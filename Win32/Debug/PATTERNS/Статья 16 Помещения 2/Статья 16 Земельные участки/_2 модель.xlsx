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W:\ЦГКО\IT\___Программы\Определение кодов НП_PLUS\PATTERNS\Статья 16 Земельные участки\"/>
    </mc:Choice>
  </mc:AlternateContent>
  <bookViews>
    <workbookView xWindow="0" yWindow="0" windowWidth="28800" windowHeight="12135"/>
  </bookViews>
  <sheets>
    <sheet name="расчеты" sheetId="1" r:id="rId1"/>
    <sheet name="ГОТОВ" sheetId="11" r:id="rId2"/>
    <sheet name="ПЕРЕСЧЕТ НЕ ТРЕБУЕТСЯ" sheetId="13" r:id="rId3"/>
    <sheet name="СТОПЛИСТ" sheetId="12" r:id="rId4"/>
    <sheet name="справочник ВРИ" sheetId="14" r:id="rId5"/>
    <sheet name="коэф.модели" sheetId="7" r:id="rId6"/>
    <sheet name="Лист4" sheetId="6" state="hidden" r:id="rId7"/>
    <sheet name="КК и удельник" sheetId="2" r:id="rId8"/>
  </sheets>
  <definedNames>
    <definedName name="_xlnm._FilterDatabase" localSheetId="7" hidden="1">'КК и удельник'!$A$2:$AL$2</definedName>
    <definedName name="_xlnm._FilterDatabase" localSheetId="0" hidden="1">расчеты!$A$3:$CR$3</definedName>
  </definedNames>
  <calcPr calcId="152511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Q10" i="1" l="1"/>
  <c r="CR10" i="1" s="1"/>
  <c r="CP10" i="1"/>
  <c r="CO10" i="1"/>
  <c r="CN10" i="1"/>
  <c r="CM10" i="1"/>
  <c r="CL10" i="1"/>
  <c r="CK10" i="1"/>
  <c r="CJ10" i="1"/>
  <c r="CI10" i="1"/>
  <c r="CG10" i="1"/>
  <c r="CF10" i="1"/>
  <c r="CE10" i="1"/>
  <c r="CB10" i="1"/>
  <c r="CD10" i="1" s="1"/>
  <c r="BY10" i="1"/>
  <c r="BV10" i="1"/>
  <c r="BU10" i="1"/>
  <c r="BS10" i="1"/>
  <c r="BT10" i="1" s="1"/>
  <c r="BR10" i="1"/>
  <c r="BQ10" i="1"/>
  <c r="BP10" i="1"/>
  <c r="BO10" i="1"/>
  <c r="BN10" i="1"/>
  <c r="BW10" i="1" s="1"/>
  <c r="BM10" i="1"/>
  <c r="BL10" i="1"/>
  <c r="BK10" i="1"/>
  <c r="BJ10" i="1"/>
  <c r="BI10" i="1"/>
  <c r="BH10" i="1"/>
  <c r="BG10" i="1"/>
  <c r="BC10" i="1"/>
  <c r="BD10" i="1" s="1"/>
  <c r="BB10" i="1"/>
  <c r="BA10" i="1"/>
  <c r="AY10" i="1"/>
  <c r="AZ10" i="1" s="1"/>
  <c r="AX10" i="1"/>
  <c r="AW10" i="1"/>
  <c r="AV10" i="1"/>
  <c r="AU10" i="1"/>
  <c r="BE10" i="1" s="1"/>
  <c r="BF10" i="1" s="1"/>
  <c r="CP9" i="1"/>
  <c r="CO9" i="1"/>
  <c r="CN9" i="1"/>
  <c r="CM9" i="1"/>
  <c r="CL9" i="1"/>
  <c r="CK9" i="1"/>
  <c r="CJ9" i="1"/>
  <c r="CG9" i="1"/>
  <c r="CI9" i="1" s="1"/>
  <c r="CF9" i="1"/>
  <c r="CB9" i="1"/>
  <c r="CC9" i="1" s="1"/>
  <c r="BY9" i="1"/>
  <c r="BW9" i="1"/>
  <c r="BX9" i="1" s="1"/>
  <c r="CA9" i="1" s="1"/>
  <c r="BV9" i="1"/>
  <c r="BU9" i="1"/>
  <c r="BS9" i="1"/>
  <c r="BT9" i="1" s="1"/>
  <c r="BR9" i="1"/>
  <c r="BQ9" i="1"/>
  <c r="BP9" i="1"/>
  <c r="BO9" i="1"/>
  <c r="BN9" i="1"/>
  <c r="BM9" i="1"/>
  <c r="BL9" i="1"/>
  <c r="CQ9" i="1" s="1"/>
  <c r="CR9" i="1" s="1"/>
  <c r="BK9" i="1"/>
  <c r="BJ9" i="1"/>
  <c r="BI9" i="1"/>
  <c r="BH9" i="1"/>
  <c r="BG9" i="1"/>
  <c r="BC9" i="1"/>
  <c r="BD9" i="1" s="1"/>
  <c r="BB9" i="1"/>
  <c r="BA9" i="1"/>
  <c r="AY9" i="1"/>
  <c r="AZ9" i="1" s="1"/>
  <c r="AX9" i="1"/>
  <c r="AV9" i="1"/>
  <c r="AW9" i="1" s="1"/>
  <c r="AU9" i="1"/>
  <c r="BE9" i="1" s="1"/>
  <c r="BF9" i="1" s="1"/>
  <c r="CP8" i="1"/>
  <c r="CO8" i="1"/>
  <c r="CN8" i="1"/>
  <c r="CM8" i="1"/>
  <c r="CL8" i="1"/>
  <c r="CK8" i="1"/>
  <c r="CJ8" i="1"/>
  <c r="CG8" i="1"/>
  <c r="CI8" i="1" s="1"/>
  <c r="CF8" i="1"/>
  <c r="CD8" i="1"/>
  <c r="CC8" i="1"/>
  <c r="CB8" i="1"/>
  <c r="CE8" i="1" s="1"/>
  <c r="BY8" i="1"/>
  <c r="BU8" i="1"/>
  <c r="BV8" i="1" s="1"/>
  <c r="BT8" i="1"/>
  <c r="BS8" i="1"/>
  <c r="BQ8" i="1"/>
  <c r="BR8" i="1" s="1"/>
  <c r="BP8" i="1"/>
  <c r="BM8" i="1"/>
  <c r="BO8" i="1" s="1"/>
  <c r="BL8" i="1"/>
  <c r="BK8" i="1"/>
  <c r="BJ8" i="1"/>
  <c r="BI8" i="1"/>
  <c r="BH8" i="1"/>
  <c r="BG8" i="1"/>
  <c r="BD8" i="1"/>
  <c r="BC8" i="1"/>
  <c r="BA8" i="1"/>
  <c r="BB8" i="1" s="1"/>
  <c r="AZ8" i="1"/>
  <c r="AY8" i="1"/>
  <c r="AX8" i="1"/>
  <c r="AV8" i="1"/>
  <c r="AW8" i="1" s="1"/>
  <c r="BE8" i="1" s="1"/>
  <c r="BF8" i="1" s="1"/>
  <c r="AU8" i="1"/>
  <c r="CQ7" i="1"/>
  <c r="CR7" i="1" s="1"/>
  <c r="CP7" i="1"/>
  <c r="CO7" i="1"/>
  <c r="CN7" i="1"/>
  <c r="CM7" i="1"/>
  <c r="CL7" i="1"/>
  <c r="CK7" i="1"/>
  <c r="CJ7" i="1"/>
  <c r="CI7" i="1"/>
  <c r="CG7" i="1"/>
  <c r="CF7" i="1"/>
  <c r="CE7" i="1"/>
  <c r="CD7" i="1"/>
  <c r="CC7" i="1"/>
  <c r="CB7" i="1"/>
  <c r="BY7" i="1"/>
  <c r="BU7" i="1"/>
  <c r="BV7" i="1" s="1"/>
  <c r="BT7" i="1"/>
  <c r="BS7" i="1"/>
  <c r="BQ7" i="1"/>
  <c r="BR7" i="1" s="1"/>
  <c r="BP7" i="1"/>
  <c r="BM7" i="1"/>
  <c r="BN7" i="1" s="1"/>
  <c r="BL7" i="1"/>
  <c r="BW7" i="1" s="1"/>
  <c r="BK7" i="1"/>
  <c r="BJ7" i="1"/>
  <c r="BI7" i="1"/>
  <c r="BH7" i="1"/>
  <c r="BG7" i="1"/>
  <c r="BD7" i="1"/>
  <c r="BC7" i="1"/>
  <c r="BA7" i="1"/>
  <c r="BB7" i="1" s="1"/>
  <c r="AZ7" i="1"/>
  <c r="AY7" i="1"/>
  <c r="AX7" i="1"/>
  <c r="AW7" i="1"/>
  <c r="BE7" i="1" s="1"/>
  <c r="BF7" i="1" s="1"/>
  <c r="AV7" i="1"/>
  <c r="AU7" i="1"/>
  <c r="CQ6" i="1"/>
  <c r="CR6" i="1" s="1"/>
  <c r="CP6" i="1"/>
  <c r="CO6" i="1"/>
  <c r="CN6" i="1"/>
  <c r="CM6" i="1"/>
  <c r="CL6" i="1"/>
  <c r="CK6" i="1"/>
  <c r="CJ6" i="1"/>
  <c r="CI6" i="1"/>
  <c r="CG6" i="1"/>
  <c r="CF6" i="1"/>
  <c r="CE6" i="1"/>
  <c r="CB6" i="1"/>
  <c r="CD6" i="1" s="1"/>
  <c r="BY6" i="1"/>
  <c r="BV6" i="1"/>
  <c r="BU6" i="1"/>
  <c r="BS6" i="1"/>
  <c r="BT6" i="1" s="1"/>
  <c r="BR6" i="1"/>
  <c r="BQ6" i="1"/>
  <c r="BP6" i="1"/>
  <c r="BO6" i="1"/>
  <c r="BN6" i="1"/>
  <c r="BW6" i="1" s="1"/>
  <c r="BM6" i="1"/>
  <c r="BL6" i="1"/>
  <c r="BK6" i="1"/>
  <c r="BJ6" i="1"/>
  <c r="BI6" i="1"/>
  <c r="BH6" i="1"/>
  <c r="BG6" i="1"/>
  <c r="BC6" i="1"/>
  <c r="BD6" i="1" s="1"/>
  <c r="BB6" i="1"/>
  <c r="BA6" i="1"/>
  <c r="AY6" i="1"/>
  <c r="AZ6" i="1" s="1"/>
  <c r="AX6" i="1"/>
  <c r="AW6" i="1"/>
  <c r="AV6" i="1"/>
  <c r="AU6" i="1"/>
  <c r="BE6" i="1" s="1"/>
  <c r="BF6" i="1" s="1"/>
  <c r="CP5" i="1"/>
  <c r="CO5" i="1"/>
  <c r="CM5" i="1"/>
  <c r="CK5" i="1"/>
  <c r="CF5" i="1"/>
  <c r="CB5" i="1"/>
  <c r="CC5" i="1" s="1"/>
  <c r="BY5" i="1"/>
  <c r="BU5" i="1"/>
  <c r="BV5" i="1" s="1"/>
  <c r="BS5" i="1"/>
  <c r="BT5" i="1" s="1"/>
  <c r="BQ5" i="1"/>
  <c r="BR5" i="1" s="1"/>
  <c r="BP5" i="1"/>
  <c r="CN5" i="1" s="1"/>
  <c r="BM5" i="1"/>
  <c r="BO5" i="1" s="1"/>
  <c r="BL5" i="1"/>
  <c r="CQ5" i="1" s="1"/>
  <c r="CR5" i="1" s="1"/>
  <c r="BK5" i="1"/>
  <c r="BJ5" i="1"/>
  <c r="BI5" i="1"/>
  <c r="BH5" i="1"/>
  <c r="BC5" i="1"/>
  <c r="BD5" i="1" s="1"/>
  <c r="BA5" i="1"/>
  <c r="BB5" i="1" s="1"/>
  <c r="AY5" i="1"/>
  <c r="AZ5" i="1" s="1"/>
  <c r="AX5" i="1"/>
  <c r="AV5" i="1"/>
  <c r="AW5" i="1" s="1"/>
  <c r="AU5" i="1"/>
  <c r="CL5" i="1" l="1"/>
  <c r="BN5" i="1"/>
  <c r="BW5" i="1"/>
  <c r="BX5" i="1" s="1"/>
  <c r="CJ5" i="1"/>
  <c r="BE5" i="1"/>
  <c r="BF5" i="1" s="1"/>
  <c r="BG5" i="1" s="1"/>
  <c r="CH6" i="1"/>
  <c r="BX6" i="1"/>
  <c r="CA6" i="1" s="1"/>
  <c r="BX7" i="1"/>
  <c r="CA7" i="1" s="1"/>
  <c r="CH7" i="1"/>
  <c r="CH10" i="1"/>
  <c r="BX10" i="1"/>
  <c r="CA10" i="1" s="1"/>
  <c r="CD5" i="1"/>
  <c r="CC6" i="1"/>
  <c r="BO7" i="1"/>
  <c r="BN8" i="1"/>
  <c r="BW8" i="1" s="1"/>
  <c r="CQ8" i="1"/>
  <c r="CR8" i="1" s="1"/>
  <c r="CD9" i="1"/>
  <c r="CH9" i="1"/>
  <c r="CC10" i="1"/>
  <c r="CE5" i="1"/>
  <c r="CE9" i="1"/>
  <c r="CG5" i="1" l="1"/>
  <c r="CI5" i="1" s="1"/>
  <c r="CH5" i="1"/>
  <c r="CH8" i="1"/>
  <c r="BX8" i="1"/>
  <c r="CA8" i="1" s="1"/>
  <c r="CA5" i="1" l="1"/>
  <c r="BH4" i="1" l="1"/>
  <c r="CF4" i="1" l="1"/>
  <c r="BJ4" i="1" l="1"/>
  <c r="AU4" i="1" l="1"/>
  <c r="AV4" i="1"/>
  <c r="AW4" i="1" s="1"/>
  <c r="AX4" i="1"/>
  <c r="AY4" i="1"/>
  <c r="AZ4" i="1" s="1"/>
  <c r="BA4" i="1"/>
  <c r="BB4" i="1" s="1"/>
  <c r="BC4" i="1"/>
  <c r="BD4" i="1" s="1"/>
  <c r="BI4" i="1"/>
  <c r="BK4" i="1"/>
  <c r="BL4" i="1"/>
  <c r="BM4" i="1"/>
  <c r="BQ4" i="1"/>
  <c r="BR4" i="1" s="1"/>
  <c r="BS4" i="1"/>
  <c r="BT4" i="1" s="1"/>
  <c r="BU4" i="1"/>
  <c r="BV4" i="1" s="1"/>
  <c r="BY4" i="1"/>
  <c r="CB4" i="1"/>
  <c r="CE4" i="1" s="1"/>
  <c r="CM4" i="1"/>
  <c r="CP4" i="1"/>
  <c r="BP4" i="1" l="1"/>
  <c r="CN4" i="1" s="1"/>
  <c r="BO4" i="1"/>
  <c r="CJ4" i="1"/>
  <c r="CL4" i="1"/>
  <c r="CK4" i="1"/>
  <c r="CO4" i="1"/>
  <c r="CC4" i="1"/>
  <c r="CD4" i="1"/>
  <c r="BN4" i="1"/>
  <c r="BW4" i="1" s="1"/>
  <c r="CH4" i="1" s="1"/>
  <c r="BE4" i="1"/>
  <c r="BF4" i="1" s="1"/>
  <c r="BG4" i="1" s="1"/>
  <c r="BX4" i="1" l="1"/>
  <c r="CG4" i="1" s="1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L1075" i="2"/>
  <c r="AL1076" i="2"/>
  <c r="AL1077" i="2"/>
  <c r="AL1078" i="2"/>
  <c r="AL1079" i="2"/>
  <c r="AL1080" i="2"/>
  <c r="AL1081" i="2"/>
  <c r="AL1082" i="2"/>
  <c r="AL1083" i="2"/>
  <c r="AL1084" i="2"/>
  <c r="AL1085" i="2"/>
  <c r="AL1086" i="2"/>
  <c r="AL1087" i="2"/>
  <c r="AL1088" i="2"/>
  <c r="AL1089" i="2"/>
  <c r="AL1090" i="2"/>
  <c r="AL1091" i="2"/>
  <c r="AL1092" i="2"/>
  <c r="AL1093" i="2"/>
  <c r="AL1094" i="2"/>
  <c r="AL1095" i="2"/>
  <c r="AL1096" i="2"/>
  <c r="AL1097" i="2"/>
  <c r="AL1098" i="2"/>
  <c r="AL1099" i="2"/>
  <c r="AL1100" i="2"/>
  <c r="AL1101" i="2"/>
  <c r="AL1102" i="2"/>
  <c r="AL1103" i="2"/>
  <c r="AL1104" i="2"/>
  <c r="AL1105" i="2"/>
  <c r="AL1106" i="2"/>
  <c r="AL1107" i="2"/>
  <c r="AL1108" i="2"/>
  <c r="AL1109" i="2"/>
  <c r="AL1110" i="2"/>
  <c r="AL1111" i="2"/>
  <c r="AL1112" i="2"/>
  <c r="AL1113" i="2"/>
  <c r="AL1114" i="2"/>
  <c r="AL1115" i="2"/>
  <c r="AL1116" i="2"/>
  <c r="AL1117" i="2"/>
  <c r="AL1118" i="2"/>
  <c r="AL1119" i="2"/>
  <c r="AL1120" i="2"/>
  <c r="AL1121" i="2"/>
  <c r="AL1122" i="2"/>
  <c r="AL1123" i="2"/>
  <c r="AL1124" i="2"/>
  <c r="AL1125" i="2"/>
  <c r="AL1126" i="2"/>
  <c r="AL1127" i="2"/>
  <c r="AL1128" i="2"/>
  <c r="AL1129" i="2"/>
  <c r="AL1130" i="2"/>
  <c r="AL1131" i="2"/>
  <c r="AL1132" i="2"/>
  <c r="AL1133" i="2"/>
  <c r="AL1134" i="2"/>
  <c r="AL1135" i="2"/>
  <c r="AL1136" i="2"/>
  <c r="AL1137" i="2"/>
  <c r="AL1138" i="2"/>
  <c r="AL1139" i="2"/>
  <c r="AL1140" i="2"/>
  <c r="AL1141" i="2"/>
  <c r="AL1142" i="2"/>
  <c r="AL1143" i="2"/>
  <c r="AL1144" i="2"/>
  <c r="AL1145" i="2"/>
  <c r="AL1146" i="2"/>
  <c r="AL1147" i="2"/>
  <c r="AL1148" i="2"/>
  <c r="AL1149" i="2"/>
  <c r="AL1150" i="2"/>
  <c r="AL1151" i="2"/>
  <c r="AL1152" i="2"/>
  <c r="AL1153" i="2"/>
  <c r="AL1154" i="2"/>
  <c r="AL1155" i="2"/>
  <c r="AL1156" i="2"/>
  <c r="AL1157" i="2"/>
  <c r="AL1158" i="2"/>
  <c r="AL1159" i="2"/>
  <c r="AL1160" i="2"/>
  <c r="AL1161" i="2"/>
  <c r="AL1162" i="2"/>
  <c r="AL1163" i="2"/>
  <c r="AL1164" i="2"/>
  <c r="AL1165" i="2"/>
  <c r="AL1166" i="2"/>
  <c r="AL1167" i="2"/>
  <c r="AL1168" i="2"/>
  <c r="AL1169" i="2"/>
  <c r="AL1170" i="2"/>
  <c r="AL1171" i="2"/>
  <c r="AL1172" i="2"/>
  <c r="AL1173" i="2"/>
  <c r="AL1174" i="2"/>
  <c r="AL1175" i="2"/>
  <c r="AL1176" i="2"/>
  <c r="AL1177" i="2"/>
  <c r="AL1178" i="2"/>
  <c r="AL1179" i="2"/>
  <c r="AL1180" i="2"/>
  <c r="AL1181" i="2"/>
  <c r="AL1182" i="2"/>
  <c r="AL1183" i="2"/>
  <c r="AL1184" i="2"/>
  <c r="AL1185" i="2"/>
  <c r="AL1186" i="2"/>
  <c r="AL1187" i="2"/>
  <c r="AL1188" i="2"/>
  <c r="AL1189" i="2"/>
  <c r="AL1190" i="2"/>
  <c r="AL1191" i="2"/>
  <c r="AL1192" i="2"/>
  <c r="AL1193" i="2"/>
  <c r="AL1194" i="2"/>
  <c r="AL1195" i="2"/>
  <c r="AL1196" i="2"/>
  <c r="AL1197" i="2"/>
  <c r="AL1198" i="2"/>
  <c r="AL1199" i="2"/>
  <c r="AL1200" i="2"/>
  <c r="AL1201" i="2"/>
  <c r="AL1202" i="2"/>
  <c r="AL1203" i="2"/>
  <c r="AL1204" i="2"/>
  <c r="AL1205" i="2"/>
  <c r="AL1206" i="2"/>
  <c r="AL1207" i="2"/>
  <c r="AL1208" i="2"/>
  <c r="AL1209" i="2"/>
  <c r="AL1210" i="2"/>
  <c r="AL1211" i="2"/>
  <c r="AL1212" i="2"/>
  <c r="AL1213" i="2"/>
  <c r="AL1214" i="2"/>
  <c r="AL1215" i="2"/>
  <c r="AL1216" i="2"/>
  <c r="AL1217" i="2"/>
  <c r="AL1218" i="2"/>
  <c r="AL1219" i="2"/>
  <c r="AL1220" i="2"/>
  <c r="AL1221" i="2"/>
  <c r="AL1222" i="2"/>
  <c r="AL1223" i="2"/>
  <c r="AL1224" i="2"/>
  <c r="AL1225" i="2"/>
  <c r="AL1226" i="2"/>
  <c r="AL1227" i="2"/>
  <c r="AL1228" i="2"/>
  <c r="AL1229" i="2"/>
  <c r="AL1230" i="2"/>
  <c r="AL1231" i="2"/>
  <c r="AL1232" i="2"/>
  <c r="AL1233" i="2"/>
  <c r="AL1234" i="2"/>
  <c r="AL1235" i="2"/>
  <c r="AL1236" i="2"/>
  <c r="AL1237" i="2"/>
  <c r="AL1238" i="2"/>
  <c r="AL1239" i="2"/>
  <c r="AL1240" i="2"/>
  <c r="AL1241" i="2"/>
  <c r="AL1242" i="2"/>
  <c r="AL1243" i="2"/>
  <c r="AL1244" i="2"/>
  <c r="AL1245" i="2"/>
  <c r="AL1246" i="2"/>
  <c r="AL1247" i="2"/>
  <c r="AL1248" i="2"/>
  <c r="AL1249" i="2"/>
  <c r="AL1250" i="2"/>
  <c r="AL1251" i="2"/>
  <c r="AL1252" i="2"/>
  <c r="AL1253" i="2"/>
  <c r="AL1254" i="2"/>
  <c r="AL1255" i="2"/>
  <c r="AL1256" i="2"/>
  <c r="AL1257" i="2"/>
  <c r="AL1258" i="2"/>
  <c r="AL1259" i="2"/>
  <c r="AL1260" i="2"/>
  <c r="AL1261" i="2"/>
  <c r="AL1262" i="2"/>
  <c r="AL1263" i="2"/>
  <c r="AL1264" i="2"/>
  <c r="AL1265" i="2"/>
  <c r="AL1266" i="2"/>
  <c r="AL1267" i="2"/>
  <c r="AL1268" i="2"/>
  <c r="AL1269" i="2"/>
  <c r="AL1270" i="2"/>
  <c r="AL1271" i="2"/>
  <c r="AL1272" i="2"/>
  <c r="AL1273" i="2"/>
  <c r="AL1274" i="2"/>
  <c r="AL1275" i="2"/>
  <c r="AL1276" i="2"/>
  <c r="AL1277" i="2"/>
  <c r="AL1278" i="2"/>
  <c r="AL1279" i="2"/>
  <c r="AL1280" i="2"/>
  <c r="AL1281" i="2"/>
  <c r="AL1282" i="2"/>
  <c r="AL1283" i="2"/>
  <c r="AL1284" i="2"/>
  <c r="AL1285" i="2"/>
  <c r="AL1286" i="2"/>
  <c r="AL1287" i="2"/>
  <c r="AL1288" i="2"/>
  <c r="AL1289" i="2"/>
  <c r="AL1290" i="2"/>
  <c r="AL1291" i="2"/>
  <c r="AL1292" i="2"/>
  <c r="AL1293" i="2"/>
  <c r="AL1294" i="2"/>
  <c r="AL1295" i="2"/>
  <c r="AL1296" i="2"/>
  <c r="AL1297" i="2"/>
  <c r="AL1298" i="2"/>
  <c r="AL1299" i="2"/>
  <c r="AL1300" i="2"/>
  <c r="AL1301" i="2"/>
  <c r="AL1302" i="2"/>
  <c r="AL1303" i="2"/>
  <c r="AL1304" i="2"/>
  <c r="AL1305" i="2"/>
  <c r="AL1306" i="2"/>
  <c r="AL1307" i="2"/>
  <c r="AL1308" i="2"/>
  <c r="AL1309" i="2"/>
  <c r="AL1310" i="2"/>
  <c r="AL1311" i="2"/>
  <c r="AL1312" i="2"/>
  <c r="AL1313" i="2"/>
  <c r="AL1314" i="2"/>
  <c r="AL1315" i="2"/>
  <c r="AL1316" i="2"/>
  <c r="AL1317" i="2"/>
  <c r="AL1318" i="2"/>
  <c r="AL1319" i="2"/>
  <c r="AL1320" i="2"/>
  <c r="AL1321" i="2"/>
  <c r="AL1322" i="2"/>
  <c r="AL1323" i="2"/>
  <c r="AL1324" i="2"/>
  <c r="AL1325" i="2"/>
  <c r="AL1326" i="2"/>
  <c r="AL1327" i="2"/>
  <c r="AL1328" i="2"/>
  <c r="AL1329" i="2"/>
  <c r="AL1330" i="2"/>
  <c r="AL1331" i="2"/>
  <c r="AL1332" i="2"/>
  <c r="AL1333" i="2"/>
  <c r="AL1334" i="2"/>
  <c r="AL1335" i="2"/>
  <c r="AL1336" i="2"/>
  <c r="AL1337" i="2"/>
  <c r="AL1338" i="2"/>
  <c r="AL1339" i="2"/>
  <c r="AL1340" i="2"/>
  <c r="AL1341" i="2"/>
  <c r="AL1342" i="2"/>
  <c r="AL1343" i="2"/>
  <c r="AL1344" i="2"/>
  <c r="AL1345" i="2"/>
  <c r="AL1346" i="2"/>
  <c r="AL1347" i="2"/>
  <c r="AL1348" i="2"/>
  <c r="AL1349" i="2"/>
  <c r="AL1350" i="2"/>
  <c r="AL1351" i="2"/>
  <c r="AL1352" i="2"/>
  <c r="AL1353" i="2"/>
  <c r="AL1354" i="2"/>
  <c r="AL1355" i="2"/>
  <c r="AL1356" i="2"/>
  <c r="AL1357" i="2"/>
  <c r="AL1358" i="2"/>
  <c r="AL1359" i="2"/>
  <c r="AL1360" i="2"/>
  <c r="AL1361" i="2"/>
  <c r="AL1362" i="2"/>
  <c r="AL1363" i="2"/>
  <c r="AL1364" i="2"/>
  <c r="AL1365" i="2"/>
  <c r="AL1366" i="2"/>
  <c r="AL1367" i="2"/>
  <c r="AL1368" i="2"/>
  <c r="AL1369" i="2"/>
  <c r="AL1370" i="2"/>
  <c r="AL1371" i="2"/>
  <c r="AL1372" i="2"/>
  <c r="AL1373" i="2"/>
  <c r="AL1374" i="2"/>
  <c r="AL1375" i="2"/>
  <c r="AL1376" i="2"/>
  <c r="AL1377" i="2"/>
  <c r="AL1378" i="2"/>
  <c r="AL1379" i="2"/>
  <c r="AL1380" i="2"/>
  <c r="AL1381" i="2"/>
  <c r="AL1382" i="2"/>
  <c r="AL1383" i="2"/>
  <c r="AL1384" i="2"/>
  <c r="AL1385" i="2"/>
  <c r="AL1386" i="2"/>
  <c r="AL1387" i="2"/>
  <c r="AL1388" i="2"/>
  <c r="AL1389" i="2"/>
  <c r="AL1390" i="2"/>
  <c r="AL1391" i="2"/>
  <c r="AL1392" i="2"/>
  <c r="AL1393" i="2"/>
  <c r="AL1394" i="2"/>
  <c r="AL1395" i="2"/>
  <c r="AL1396" i="2"/>
  <c r="AL1397" i="2"/>
  <c r="AL1398" i="2"/>
  <c r="AL1399" i="2"/>
  <c r="AL1400" i="2"/>
  <c r="AL1401" i="2"/>
  <c r="AL1402" i="2"/>
  <c r="AL1403" i="2"/>
  <c r="AL1404" i="2"/>
  <c r="AL1405" i="2"/>
  <c r="AL1406" i="2"/>
  <c r="AL1407" i="2"/>
  <c r="AL1408" i="2"/>
  <c r="AL1409" i="2"/>
  <c r="AL1410" i="2"/>
  <c r="AL1411" i="2"/>
  <c r="AL1412" i="2"/>
  <c r="AL1413" i="2"/>
  <c r="AL1414" i="2"/>
  <c r="AL1415" i="2"/>
  <c r="AL1416" i="2"/>
  <c r="AL1417" i="2"/>
  <c r="AL1418" i="2"/>
  <c r="AL1419" i="2"/>
  <c r="AL1420" i="2"/>
  <c r="AL1421" i="2"/>
  <c r="AL1422" i="2"/>
  <c r="AL1423" i="2"/>
  <c r="AL1424" i="2"/>
  <c r="AL1425" i="2"/>
  <c r="AL1426" i="2"/>
  <c r="AL1427" i="2"/>
  <c r="AL1428" i="2"/>
  <c r="AL1429" i="2"/>
  <c r="AL1430" i="2"/>
  <c r="AL1431" i="2"/>
  <c r="AL1432" i="2"/>
  <c r="AL1433" i="2"/>
  <c r="AL1434" i="2"/>
  <c r="AL1435" i="2"/>
  <c r="AL1436" i="2"/>
  <c r="AL1437" i="2"/>
  <c r="AL1438" i="2"/>
  <c r="AL1439" i="2"/>
  <c r="AL1440" i="2"/>
  <c r="AL1441" i="2"/>
  <c r="AL1442" i="2"/>
  <c r="AL1443" i="2"/>
  <c r="AL1444" i="2"/>
  <c r="AL1445" i="2"/>
  <c r="AL1446" i="2"/>
  <c r="AL1447" i="2"/>
  <c r="AL1448" i="2"/>
  <c r="AL1449" i="2"/>
  <c r="AL1450" i="2"/>
  <c r="AL1451" i="2"/>
  <c r="AL1452" i="2"/>
  <c r="AL1453" i="2"/>
  <c r="AL1454" i="2"/>
  <c r="AL1455" i="2"/>
  <c r="AL1456" i="2"/>
  <c r="AL1457" i="2"/>
  <c r="AL1458" i="2"/>
  <c r="AL1459" i="2"/>
  <c r="AL1460" i="2"/>
  <c r="AL1461" i="2"/>
  <c r="AL1462" i="2"/>
  <c r="AL1463" i="2"/>
  <c r="AL1464" i="2"/>
  <c r="AL1465" i="2"/>
  <c r="AL1466" i="2"/>
  <c r="AL1467" i="2"/>
  <c r="AL1468" i="2"/>
  <c r="AL1469" i="2"/>
  <c r="AL1470" i="2"/>
  <c r="AL1471" i="2"/>
  <c r="AL1472" i="2"/>
  <c r="AL1473" i="2"/>
  <c r="AL1474" i="2"/>
  <c r="AL1475" i="2"/>
  <c r="AL1476" i="2"/>
  <c r="AL1477" i="2"/>
  <c r="AL1478" i="2"/>
  <c r="AL1479" i="2"/>
  <c r="AL1480" i="2"/>
  <c r="AL1481" i="2"/>
  <c r="AL1482" i="2"/>
  <c r="AL1483" i="2"/>
  <c r="AL1484" i="2"/>
  <c r="AL1485" i="2"/>
  <c r="AL1486" i="2"/>
  <c r="AL1487" i="2"/>
  <c r="AL1488" i="2"/>
  <c r="AL1489" i="2"/>
  <c r="AL1490" i="2"/>
  <c r="AL1491" i="2"/>
  <c r="AL1492" i="2"/>
  <c r="AL1493" i="2"/>
  <c r="AL1494" i="2"/>
  <c r="AL1495" i="2"/>
  <c r="AL1496" i="2"/>
  <c r="AL1497" i="2"/>
  <c r="AL1498" i="2"/>
  <c r="AL1499" i="2"/>
  <c r="AL1500" i="2"/>
  <c r="AL1501" i="2"/>
  <c r="AL1502" i="2"/>
  <c r="AL1503" i="2"/>
  <c r="AL1504" i="2"/>
  <c r="AL1505" i="2"/>
  <c r="AL1506" i="2"/>
  <c r="AL1507" i="2"/>
  <c r="AL1508" i="2"/>
  <c r="AL1509" i="2"/>
  <c r="AL1510" i="2"/>
  <c r="AL1511" i="2"/>
  <c r="AL1512" i="2"/>
  <c r="AL1513" i="2"/>
  <c r="AL1514" i="2"/>
  <c r="AL1515" i="2"/>
  <c r="AL1516" i="2"/>
  <c r="AL1517" i="2"/>
  <c r="AL1518" i="2"/>
  <c r="AL1519" i="2"/>
  <c r="AL1520" i="2"/>
  <c r="AL1521" i="2"/>
  <c r="AL1522" i="2"/>
  <c r="AL1523" i="2"/>
  <c r="AL1524" i="2"/>
  <c r="AL1525" i="2"/>
  <c r="AL1526" i="2"/>
  <c r="AL1527" i="2"/>
  <c r="AL1528" i="2"/>
  <c r="AL1529" i="2"/>
  <c r="AL1530" i="2"/>
  <c r="AL1531" i="2"/>
  <c r="AL1532" i="2"/>
  <c r="AL1533" i="2"/>
  <c r="AL1534" i="2"/>
  <c r="AL1535" i="2"/>
  <c r="AL1536" i="2"/>
  <c r="AL1537" i="2"/>
  <c r="AL1538" i="2"/>
  <c r="AL1539" i="2"/>
  <c r="AL1540" i="2"/>
  <c r="AL1541" i="2"/>
  <c r="AL1542" i="2"/>
  <c r="AL1543" i="2"/>
  <c r="AL1544" i="2"/>
  <c r="AL1545" i="2"/>
  <c r="AL1546" i="2"/>
  <c r="AL1547" i="2"/>
  <c r="AL1548" i="2"/>
  <c r="AL1549" i="2"/>
  <c r="AL1550" i="2"/>
  <c r="AL1551" i="2"/>
  <c r="AL1552" i="2"/>
  <c r="AL1553" i="2"/>
  <c r="AL1554" i="2"/>
  <c r="AL1555" i="2"/>
  <c r="AL1556" i="2"/>
  <c r="AL1557" i="2"/>
  <c r="AL1558" i="2"/>
  <c r="AL1559" i="2"/>
  <c r="AL1560" i="2"/>
  <c r="AL1561" i="2"/>
  <c r="AL1562" i="2"/>
  <c r="AL1563" i="2"/>
  <c r="AL1564" i="2"/>
  <c r="AL1565" i="2"/>
  <c r="AL1566" i="2"/>
  <c r="AL1567" i="2"/>
  <c r="AL1568" i="2"/>
  <c r="AL1569" i="2"/>
  <c r="AL1570" i="2"/>
  <c r="AL1571" i="2"/>
  <c r="AL1572" i="2"/>
  <c r="AL1573" i="2"/>
  <c r="AL1574" i="2"/>
  <c r="AL1575" i="2"/>
  <c r="AL1576" i="2"/>
  <c r="AL1577" i="2"/>
  <c r="AL1578" i="2"/>
  <c r="AL1579" i="2"/>
  <c r="AL1580" i="2"/>
  <c r="AL1581" i="2"/>
  <c r="AL1582" i="2"/>
  <c r="AL1583" i="2"/>
  <c r="AL1584" i="2"/>
  <c r="AL1585" i="2"/>
  <c r="AL1586" i="2"/>
  <c r="AL1587" i="2"/>
  <c r="AL1588" i="2"/>
  <c r="AL1589" i="2"/>
  <c r="AL1590" i="2"/>
  <c r="AL1591" i="2"/>
  <c r="AL1592" i="2"/>
  <c r="AL1593" i="2"/>
  <c r="AL1594" i="2"/>
  <c r="AL1595" i="2"/>
  <c r="AL1596" i="2"/>
  <c r="AL1597" i="2"/>
  <c r="AL1598" i="2"/>
  <c r="AL1599" i="2"/>
  <c r="AL1600" i="2"/>
  <c r="AL1601" i="2"/>
  <c r="AL1602" i="2"/>
  <c r="AL1603" i="2"/>
  <c r="AL1604" i="2"/>
  <c r="AL1605" i="2"/>
  <c r="AL1606" i="2"/>
  <c r="AL1607" i="2"/>
  <c r="AL1608" i="2"/>
  <c r="AL1609" i="2"/>
  <c r="AL1610" i="2"/>
  <c r="AL1611" i="2"/>
  <c r="AL1612" i="2"/>
  <c r="AL1613" i="2"/>
  <c r="AL1614" i="2"/>
  <c r="AL1615" i="2"/>
  <c r="AL1616" i="2"/>
  <c r="AL1617" i="2"/>
  <c r="AL1618" i="2"/>
  <c r="AL1619" i="2"/>
  <c r="AL1620" i="2"/>
  <c r="AL1621" i="2"/>
  <c r="AL1622" i="2"/>
  <c r="AL1623" i="2"/>
  <c r="AL1624" i="2"/>
  <c r="AL1625" i="2"/>
  <c r="AL1626" i="2"/>
  <c r="AL1627" i="2"/>
  <c r="AL1628" i="2"/>
  <c r="AL1629" i="2"/>
  <c r="AL1630" i="2"/>
  <c r="AL1631" i="2"/>
  <c r="AL1632" i="2"/>
  <c r="AL1633" i="2"/>
  <c r="AL1634" i="2"/>
  <c r="AL1635" i="2"/>
  <c r="AL1636" i="2"/>
  <c r="AL1637" i="2"/>
  <c r="AL1638" i="2"/>
  <c r="AL1639" i="2"/>
  <c r="AL1640" i="2"/>
  <c r="AL1641" i="2"/>
  <c r="AL1642" i="2"/>
  <c r="AL1643" i="2"/>
  <c r="AL1644" i="2"/>
  <c r="AL1645" i="2"/>
  <c r="AL1646" i="2"/>
  <c r="AL1647" i="2"/>
  <c r="AL1648" i="2"/>
  <c r="AL1649" i="2"/>
  <c r="AL1650" i="2"/>
  <c r="AL1651" i="2"/>
  <c r="AL1652" i="2"/>
  <c r="AL1653" i="2"/>
  <c r="AL1654" i="2"/>
  <c r="AL1655" i="2"/>
  <c r="AL1656" i="2"/>
  <c r="AL1657" i="2"/>
  <c r="AL1658" i="2"/>
  <c r="AL1659" i="2"/>
  <c r="AL1660" i="2"/>
  <c r="AL1661" i="2"/>
  <c r="AL1662" i="2"/>
  <c r="AL1663" i="2"/>
  <c r="AL1664" i="2"/>
  <c r="AL1665" i="2"/>
  <c r="AL1666" i="2"/>
  <c r="AL1667" i="2"/>
  <c r="AL1668" i="2"/>
  <c r="AL1669" i="2"/>
  <c r="AL1670" i="2"/>
  <c r="AL1671" i="2"/>
  <c r="AL1672" i="2"/>
  <c r="AL1673" i="2"/>
  <c r="AL1674" i="2"/>
  <c r="AL1675" i="2"/>
  <c r="AL1676" i="2"/>
  <c r="AL1677" i="2"/>
  <c r="AL1678" i="2"/>
  <c r="AL1679" i="2"/>
  <c r="AL1680" i="2"/>
  <c r="AL1681" i="2"/>
  <c r="AL1682" i="2"/>
  <c r="AL1683" i="2"/>
  <c r="AL1684" i="2"/>
  <c r="AL1685" i="2"/>
  <c r="AL1686" i="2"/>
  <c r="AL1687" i="2"/>
  <c r="AL1688" i="2"/>
  <c r="AL1689" i="2"/>
  <c r="AL1690" i="2"/>
  <c r="AL1691" i="2"/>
  <c r="AL1692" i="2"/>
  <c r="AL1693" i="2"/>
  <c r="AL1694" i="2"/>
  <c r="AL1695" i="2"/>
  <c r="AL1696" i="2"/>
  <c r="AL1697" i="2"/>
  <c r="AL1698" i="2"/>
  <c r="AL1699" i="2"/>
  <c r="AL1700" i="2"/>
  <c r="AL1701" i="2"/>
  <c r="AL1702" i="2"/>
  <c r="AL1703" i="2"/>
  <c r="AL1704" i="2"/>
  <c r="AL1705" i="2"/>
  <c r="AL1706" i="2"/>
  <c r="AL1707" i="2"/>
  <c r="AL1708" i="2"/>
  <c r="AL1709" i="2"/>
  <c r="AL1710" i="2"/>
  <c r="AL1711" i="2"/>
  <c r="AL1712" i="2"/>
  <c r="AL1713" i="2"/>
  <c r="AL1714" i="2"/>
  <c r="AL1715" i="2"/>
  <c r="AL1716" i="2"/>
  <c r="AL1717" i="2"/>
  <c r="AL1718" i="2"/>
  <c r="AL1719" i="2"/>
  <c r="AL1720" i="2"/>
  <c r="AL1721" i="2"/>
  <c r="AL1722" i="2"/>
  <c r="AL1723" i="2"/>
  <c r="AL1724" i="2"/>
  <c r="AL1725" i="2"/>
  <c r="AL1726" i="2"/>
  <c r="AL1727" i="2"/>
  <c r="AL1728" i="2"/>
  <c r="AL1729" i="2"/>
  <c r="AL1730" i="2"/>
  <c r="AL1731" i="2"/>
  <c r="AL1732" i="2"/>
  <c r="AL1733" i="2"/>
  <c r="AL1734" i="2"/>
  <c r="AL1735" i="2"/>
  <c r="AL1736" i="2"/>
  <c r="AL1737" i="2"/>
  <c r="AL1738" i="2"/>
  <c r="AL1739" i="2"/>
  <c r="AL1740" i="2"/>
  <c r="AL1741" i="2"/>
  <c r="AL1742" i="2"/>
  <c r="AL1743" i="2"/>
  <c r="AL1744" i="2"/>
  <c r="AL1745" i="2"/>
  <c r="AL1746" i="2"/>
  <c r="AL1747" i="2"/>
  <c r="AL1748" i="2"/>
  <c r="AL1749" i="2"/>
  <c r="AL1750" i="2"/>
  <c r="AL1751" i="2"/>
  <c r="AL1752" i="2"/>
  <c r="AL1753" i="2"/>
  <c r="AL1754" i="2"/>
  <c r="AL1755" i="2"/>
  <c r="AL1756" i="2"/>
  <c r="AL1757" i="2"/>
  <c r="AL1758" i="2"/>
  <c r="AL1759" i="2"/>
  <c r="AL1760" i="2"/>
  <c r="AL1761" i="2"/>
  <c r="AL1762" i="2"/>
  <c r="AL1763" i="2"/>
  <c r="AL1764" i="2"/>
  <c r="AL1765" i="2"/>
  <c r="AL1766" i="2"/>
  <c r="AL1767" i="2"/>
  <c r="AL1768" i="2"/>
  <c r="AL1769" i="2"/>
  <c r="AL1770" i="2"/>
  <c r="AL1771" i="2"/>
  <c r="AL1772" i="2"/>
  <c r="AL1773" i="2"/>
  <c r="AL1774" i="2"/>
  <c r="AL1775" i="2"/>
  <c r="AL1776" i="2"/>
  <c r="AL1777" i="2"/>
  <c r="AL1778" i="2"/>
  <c r="AL1779" i="2"/>
  <c r="AL1780" i="2"/>
  <c r="AL1781" i="2"/>
  <c r="AL1782" i="2"/>
  <c r="AL1783" i="2"/>
  <c r="AL1784" i="2"/>
  <c r="AL1785" i="2"/>
  <c r="AL1786" i="2"/>
  <c r="AL1787" i="2"/>
  <c r="AL1788" i="2"/>
  <c r="AL1789" i="2"/>
  <c r="AL1790" i="2"/>
  <c r="AL1791" i="2"/>
  <c r="AL1792" i="2"/>
  <c r="AL1793" i="2"/>
  <c r="AL1794" i="2"/>
  <c r="AL1795" i="2"/>
  <c r="AL1796" i="2"/>
  <c r="AL1797" i="2"/>
  <c r="AL1798" i="2"/>
  <c r="AL1799" i="2"/>
  <c r="AL1800" i="2"/>
  <c r="AL1801" i="2"/>
  <c r="AL1802" i="2"/>
  <c r="AL1803" i="2"/>
  <c r="AL1804" i="2"/>
  <c r="AL1805" i="2"/>
  <c r="AL1806" i="2"/>
  <c r="AL1807" i="2"/>
  <c r="AL1808" i="2"/>
  <c r="AL1809" i="2"/>
  <c r="AL1810" i="2"/>
  <c r="AL1811" i="2"/>
  <c r="AL1812" i="2"/>
  <c r="AL1813" i="2"/>
  <c r="AL1814" i="2"/>
  <c r="AL1815" i="2"/>
  <c r="AL1816" i="2"/>
  <c r="AL1817" i="2"/>
  <c r="AL1818" i="2"/>
  <c r="AL1819" i="2"/>
  <c r="AL1820" i="2"/>
  <c r="AL1821" i="2"/>
  <c r="AL1822" i="2"/>
  <c r="AL1823" i="2"/>
  <c r="AL1824" i="2"/>
  <c r="AL1825" i="2"/>
  <c r="AL1826" i="2"/>
  <c r="AL1827" i="2"/>
  <c r="AL1828" i="2"/>
  <c r="AL1829" i="2"/>
  <c r="AL1830" i="2"/>
  <c r="AL1831" i="2"/>
  <c r="AL1832" i="2"/>
  <c r="AL1833" i="2"/>
  <c r="AL1834" i="2"/>
  <c r="AL1835" i="2"/>
  <c r="AL1836" i="2"/>
  <c r="AL1837" i="2"/>
  <c r="AL1838" i="2"/>
  <c r="AL1839" i="2"/>
  <c r="AL1840" i="2"/>
  <c r="AL1841" i="2"/>
  <c r="AL1842" i="2"/>
  <c r="AL1843" i="2"/>
  <c r="AL1844" i="2"/>
  <c r="AL1845" i="2"/>
  <c r="AL1846" i="2"/>
  <c r="AL1847" i="2"/>
  <c r="AL1848" i="2"/>
  <c r="AL1849" i="2"/>
  <c r="AL1850" i="2"/>
  <c r="AL1851" i="2"/>
  <c r="AL1852" i="2"/>
  <c r="AL1853" i="2"/>
  <c r="AL1854" i="2"/>
  <c r="AL1855" i="2"/>
  <c r="AL1856" i="2"/>
  <c r="AL1857" i="2"/>
  <c r="AL1858" i="2"/>
  <c r="AL1859" i="2"/>
  <c r="AL1860" i="2"/>
  <c r="AL1861" i="2"/>
  <c r="AL1862" i="2"/>
  <c r="AL1863" i="2"/>
  <c r="AL1864" i="2"/>
  <c r="AL1865" i="2"/>
  <c r="AL1866" i="2"/>
  <c r="AL1867" i="2"/>
  <c r="AL1868" i="2"/>
  <c r="AL1869" i="2"/>
  <c r="AL1870" i="2"/>
  <c r="AL1871" i="2"/>
  <c r="AL1872" i="2"/>
  <c r="AL1873" i="2"/>
  <c r="AL1874" i="2"/>
  <c r="AL1875" i="2"/>
  <c r="AL1876" i="2"/>
  <c r="AL1877" i="2"/>
  <c r="AL1878" i="2"/>
  <c r="AL1879" i="2"/>
  <c r="AL1880" i="2"/>
  <c r="AL1881" i="2"/>
  <c r="AL1882" i="2"/>
  <c r="AL1883" i="2"/>
  <c r="AL1884" i="2"/>
  <c r="AL1885" i="2"/>
  <c r="AL1886" i="2"/>
  <c r="AL1887" i="2"/>
  <c r="AL1888" i="2"/>
  <c r="AL1889" i="2"/>
  <c r="AL1890" i="2"/>
  <c r="AL1891" i="2"/>
  <c r="AL1892" i="2"/>
  <c r="AL1893" i="2"/>
  <c r="AL1894" i="2"/>
  <c r="AL1895" i="2"/>
  <c r="AL1896" i="2"/>
  <c r="AL1897" i="2"/>
  <c r="AL1898" i="2"/>
  <c r="AL1899" i="2"/>
  <c r="AL1900" i="2"/>
  <c r="AL1901" i="2"/>
  <c r="AL1902" i="2"/>
  <c r="AL1903" i="2"/>
  <c r="AL1904" i="2"/>
  <c r="AL1905" i="2"/>
  <c r="AL1906" i="2"/>
  <c r="AL1907" i="2"/>
  <c r="AL1908" i="2"/>
  <c r="AL1909" i="2"/>
  <c r="AL1910" i="2"/>
  <c r="AL1911" i="2"/>
  <c r="AL1912" i="2"/>
  <c r="AL1913" i="2"/>
  <c r="AL1914" i="2"/>
  <c r="AL1915" i="2"/>
  <c r="AL1916" i="2"/>
  <c r="AL1917" i="2"/>
  <c r="AL1918" i="2"/>
  <c r="AL1919" i="2"/>
  <c r="AL1920" i="2"/>
  <c r="AL1921" i="2"/>
  <c r="AL1922" i="2"/>
  <c r="AL1923" i="2"/>
  <c r="AL1924" i="2"/>
  <c r="AL1925" i="2"/>
  <c r="AL1926" i="2"/>
  <c r="AL1927" i="2"/>
  <c r="AL1928" i="2"/>
  <c r="AL1929" i="2"/>
  <c r="AL1930" i="2"/>
  <c r="AL1931" i="2"/>
  <c r="AL1932" i="2"/>
  <c r="AL1933" i="2"/>
  <c r="AL1934" i="2"/>
  <c r="AL1935" i="2"/>
  <c r="AL1936" i="2"/>
  <c r="AL1937" i="2"/>
  <c r="AL1938" i="2"/>
  <c r="AL1939" i="2"/>
  <c r="AL1940" i="2"/>
  <c r="AL1941" i="2"/>
  <c r="AL1942" i="2"/>
  <c r="AL1943" i="2"/>
  <c r="AL1944" i="2"/>
  <c r="AL1945" i="2"/>
  <c r="AL1946" i="2"/>
  <c r="AL1947" i="2"/>
  <c r="AL1948" i="2"/>
  <c r="AL1949" i="2"/>
  <c r="AL1950" i="2"/>
  <c r="AL1951" i="2"/>
  <c r="AL1952" i="2"/>
  <c r="AL1953" i="2"/>
  <c r="AL1954" i="2"/>
  <c r="AL1955" i="2"/>
  <c r="AL1956" i="2"/>
  <c r="AL1957" i="2"/>
  <c r="AL1958" i="2"/>
  <c r="AL1959" i="2"/>
  <c r="AL1960" i="2"/>
  <c r="AL1961" i="2"/>
  <c r="AL1962" i="2"/>
  <c r="AL1963" i="2"/>
  <c r="AL1964" i="2"/>
  <c r="AL1965" i="2"/>
  <c r="AL1966" i="2"/>
  <c r="AL1967" i="2"/>
  <c r="AL1968" i="2"/>
  <c r="AL1969" i="2"/>
  <c r="AL1970" i="2"/>
  <c r="AL1971" i="2"/>
  <c r="AL1972" i="2"/>
  <c r="AL1973" i="2"/>
  <c r="AL1974" i="2"/>
  <c r="AL1975" i="2"/>
  <c r="AL1976" i="2"/>
  <c r="AL1977" i="2"/>
  <c r="AL1978" i="2"/>
  <c r="AL1979" i="2"/>
  <c r="AL1980" i="2"/>
  <c r="AL1981" i="2"/>
  <c r="AL1982" i="2"/>
  <c r="AL1983" i="2"/>
  <c r="AL1984" i="2"/>
  <c r="AL1985" i="2"/>
  <c r="AL1986" i="2"/>
  <c r="AL1987" i="2"/>
  <c r="AL1988" i="2"/>
  <c r="AL1989" i="2"/>
  <c r="AL1990" i="2"/>
  <c r="AL1991" i="2"/>
  <c r="AL1992" i="2"/>
  <c r="AL1993" i="2"/>
  <c r="AL1994" i="2"/>
  <c r="AL1995" i="2"/>
  <c r="AL1996" i="2"/>
  <c r="AL1997" i="2"/>
  <c r="AL1998" i="2"/>
  <c r="AL1999" i="2"/>
  <c r="AL2000" i="2"/>
  <c r="AL2001" i="2"/>
  <c r="AL2002" i="2"/>
  <c r="AL2003" i="2"/>
  <c r="AL2004" i="2"/>
  <c r="AL2005" i="2"/>
  <c r="AL2006" i="2"/>
  <c r="AL2007" i="2"/>
  <c r="AL2008" i="2"/>
  <c r="AL2009" i="2"/>
  <c r="AL2010" i="2"/>
  <c r="AL2011" i="2"/>
  <c r="AL2012" i="2"/>
  <c r="AL2013" i="2"/>
  <c r="AL2014" i="2"/>
  <c r="AL2015" i="2"/>
  <c r="AL2016" i="2"/>
  <c r="AL2017" i="2"/>
  <c r="AL2018" i="2"/>
  <c r="AL2019" i="2"/>
  <c r="AL2020" i="2"/>
  <c r="AL2021" i="2"/>
  <c r="AL2022" i="2"/>
  <c r="AL2023" i="2"/>
  <c r="AL2024" i="2"/>
  <c r="AL2025" i="2"/>
  <c r="AL2026" i="2"/>
  <c r="AL2027" i="2"/>
  <c r="AL2028" i="2"/>
  <c r="AL2029" i="2"/>
  <c r="AL2030" i="2"/>
  <c r="AL2031" i="2"/>
  <c r="AL2032" i="2"/>
  <c r="AL2033" i="2"/>
  <c r="AL2034" i="2"/>
  <c r="AL2035" i="2"/>
  <c r="AL2036" i="2"/>
  <c r="AL2037" i="2"/>
  <c r="AL2038" i="2"/>
  <c r="AL2039" i="2"/>
  <c r="AL2040" i="2"/>
  <c r="AL2041" i="2"/>
  <c r="AL2042" i="2"/>
  <c r="AL2043" i="2"/>
  <c r="AL2044" i="2"/>
  <c r="AL2045" i="2"/>
  <c r="AL2046" i="2"/>
  <c r="AL2047" i="2"/>
  <c r="AL2048" i="2"/>
  <c r="AL2049" i="2"/>
  <c r="AL2050" i="2"/>
  <c r="AL2051" i="2"/>
  <c r="AL2052" i="2"/>
  <c r="AL2053" i="2"/>
  <c r="AL2054" i="2"/>
  <c r="AL2055" i="2"/>
  <c r="AL2056" i="2"/>
  <c r="AL2057" i="2"/>
  <c r="AL2058" i="2"/>
  <c r="AL2059" i="2"/>
  <c r="AL2060" i="2"/>
  <c r="AL2061" i="2"/>
  <c r="AL2062" i="2"/>
  <c r="AL2063" i="2"/>
  <c r="AL2064" i="2"/>
  <c r="AL2065" i="2"/>
  <c r="AL2066" i="2"/>
  <c r="AL2067" i="2"/>
  <c r="AL2068" i="2"/>
  <c r="AL2069" i="2"/>
  <c r="AL2070" i="2"/>
  <c r="AL2071" i="2"/>
  <c r="AL2072" i="2"/>
  <c r="AL2073" i="2"/>
  <c r="AL2074" i="2"/>
  <c r="AL2075" i="2"/>
  <c r="AL2076" i="2"/>
  <c r="AL2077" i="2"/>
  <c r="AL2078" i="2"/>
  <c r="AL2079" i="2"/>
  <c r="AL2080" i="2"/>
  <c r="AL2081" i="2"/>
  <c r="AL2082" i="2"/>
  <c r="AL2083" i="2"/>
  <c r="AL2084" i="2"/>
  <c r="AL2085" i="2"/>
  <c r="AL2086" i="2"/>
  <c r="AL2087" i="2"/>
  <c r="AL2088" i="2"/>
  <c r="AL2089" i="2"/>
  <c r="AL2090" i="2"/>
  <c r="AL2091" i="2"/>
  <c r="AL2092" i="2"/>
  <c r="AL2093" i="2"/>
  <c r="AL2094" i="2"/>
  <c r="AL2095" i="2"/>
  <c r="AL2096" i="2"/>
  <c r="AL2097" i="2"/>
  <c r="AL2098" i="2"/>
  <c r="AL2099" i="2"/>
  <c r="AL2100" i="2"/>
  <c r="AL2101" i="2"/>
  <c r="AL2102" i="2"/>
  <c r="AL2103" i="2"/>
  <c r="AL2104" i="2"/>
  <c r="AL2105" i="2"/>
  <c r="AL2106" i="2"/>
  <c r="AL2107" i="2"/>
  <c r="AL2108" i="2"/>
  <c r="AL2109" i="2"/>
  <c r="AL2110" i="2"/>
  <c r="AL2111" i="2"/>
  <c r="AL2112" i="2"/>
  <c r="AL2113" i="2"/>
  <c r="AL2114" i="2"/>
  <c r="AL2115" i="2"/>
  <c r="AL2116" i="2"/>
  <c r="AL2117" i="2"/>
  <c r="AL2118" i="2"/>
  <c r="AL2119" i="2"/>
  <c r="AL2120" i="2"/>
  <c r="AL2121" i="2"/>
  <c r="AL2122" i="2"/>
  <c r="AL2123" i="2"/>
  <c r="AL2124" i="2"/>
  <c r="AL2125" i="2"/>
  <c r="AL2126" i="2"/>
  <c r="AL2127" i="2"/>
  <c r="AL2128" i="2"/>
  <c r="AL2129" i="2"/>
  <c r="AL2130" i="2"/>
  <c r="AL2131" i="2"/>
  <c r="AL2132" i="2"/>
  <c r="AL2133" i="2"/>
  <c r="AL2134" i="2"/>
  <c r="AL2135" i="2"/>
  <c r="AL2136" i="2"/>
  <c r="AL2137" i="2"/>
  <c r="AL2138" i="2"/>
  <c r="AL2139" i="2"/>
  <c r="AL2140" i="2"/>
  <c r="AL2141" i="2"/>
  <c r="AL2142" i="2"/>
  <c r="AL2143" i="2"/>
  <c r="AL2144" i="2"/>
  <c r="AL2145" i="2"/>
  <c r="AL2146" i="2"/>
  <c r="AL2147" i="2"/>
  <c r="AL2148" i="2"/>
  <c r="AL2149" i="2"/>
  <c r="AL2150" i="2"/>
  <c r="AL2151" i="2"/>
  <c r="AL2152" i="2"/>
  <c r="AL2153" i="2"/>
  <c r="AL2154" i="2"/>
  <c r="AL2155" i="2"/>
  <c r="AL2156" i="2"/>
  <c r="AL2157" i="2"/>
  <c r="AL2158" i="2"/>
  <c r="AL2159" i="2"/>
  <c r="AL2160" i="2"/>
  <c r="AL2161" i="2"/>
  <c r="AL2162" i="2"/>
  <c r="AL2163" i="2"/>
  <c r="AL2164" i="2"/>
  <c r="AL2165" i="2"/>
  <c r="AL2166" i="2"/>
  <c r="AL2167" i="2"/>
  <c r="AL2168" i="2"/>
  <c r="AL2169" i="2"/>
  <c r="AL2170" i="2"/>
  <c r="AL2171" i="2"/>
  <c r="AL2172" i="2"/>
  <c r="AL2173" i="2"/>
  <c r="AL2174" i="2"/>
  <c r="AL2175" i="2"/>
  <c r="AL2176" i="2"/>
  <c r="AL2177" i="2"/>
  <c r="AL2178" i="2"/>
  <c r="AL2179" i="2"/>
  <c r="AL2180" i="2"/>
  <c r="AL2181" i="2"/>
  <c r="AL2182" i="2"/>
  <c r="AL2183" i="2"/>
  <c r="AL2184" i="2"/>
  <c r="AL2185" i="2"/>
  <c r="AL2186" i="2"/>
  <c r="AL2187" i="2"/>
  <c r="AL2188" i="2"/>
  <c r="AL2189" i="2"/>
  <c r="AL2190" i="2"/>
  <c r="AL2191" i="2"/>
  <c r="AL2192" i="2"/>
  <c r="AL2193" i="2"/>
  <c r="AL2194" i="2"/>
  <c r="AL2195" i="2"/>
  <c r="AL2196" i="2"/>
  <c r="AL2197" i="2"/>
  <c r="AL2198" i="2"/>
  <c r="AL2199" i="2"/>
  <c r="AL2200" i="2"/>
  <c r="AL2201" i="2"/>
  <c r="AL2202" i="2"/>
  <c r="AL2203" i="2"/>
  <c r="AL2204" i="2"/>
  <c r="AL2205" i="2"/>
  <c r="AL2206" i="2"/>
  <c r="AL2207" i="2"/>
  <c r="AL2208" i="2"/>
  <c r="AL2209" i="2"/>
  <c r="AL2210" i="2"/>
  <c r="AL2211" i="2"/>
  <c r="AL2212" i="2"/>
  <c r="AL2213" i="2"/>
  <c r="AL2214" i="2"/>
  <c r="AL2215" i="2"/>
  <c r="AL2216" i="2"/>
  <c r="AL2217" i="2"/>
  <c r="AL2218" i="2"/>
  <c r="AL2219" i="2"/>
  <c r="AL2220" i="2"/>
  <c r="AL2221" i="2"/>
  <c r="AL2222" i="2"/>
  <c r="AL2223" i="2"/>
  <c r="AL2224" i="2"/>
  <c r="AL2225" i="2"/>
  <c r="AL2226" i="2"/>
  <c r="AL2227" i="2"/>
  <c r="AL2228" i="2"/>
  <c r="AL2229" i="2"/>
  <c r="AL2230" i="2"/>
  <c r="AL2231" i="2"/>
  <c r="AL2232" i="2"/>
  <c r="AL2233" i="2"/>
  <c r="AL2234" i="2"/>
  <c r="AL2235" i="2"/>
  <c r="AL2236" i="2"/>
  <c r="AL2237" i="2"/>
  <c r="AL2238" i="2"/>
  <c r="AL2239" i="2"/>
  <c r="AL2240" i="2"/>
  <c r="AL2241" i="2"/>
  <c r="AL2242" i="2"/>
  <c r="AL2243" i="2"/>
  <c r="AL2244" i="2"/>
  <c r="AL2245" i="2"/>
  <c r="AL2246" i="2"/>
  <c r="AL2247" i="2"/>
  <c r="AL2248" i="2"/>
  <c r="AL2249" i="2"/>
  <c r="AL2250" i="2"/>
  <c r="AL2251" i="2"/>
  <c r="AL2252" i="2"/>
  <c r="AL2253" i="2"/>
  <c r="AL2254" i="2"/>
  <c r="AL2255" i="2"/>
  <c r="AL2256" i="2"/>
  <c r="AL2257" i="2"/>
  <c r="AL2258" i="2"/>
  <c r="AL2259" i="2"/>
  <c r="AL2260" i="2"/>
  <c r="AL2261" i="2"/>
  <c r="AL2262" i="2"/>
  <c r="AL2263" i="2"/>
  <c r="AL2264" i="2"/>
  <c r="AL2265" i="2"/>
  <c r="AL2266" i="2"/>
  <c r="AL2267" i="2"/>
  <c r="AL2268" i="2"/>
  <c r="AL2269" i="2"/>
  <c r="AL2270" i="2"/>
  <c r="AL2271" i="2"/>
  <c r="AL2272" i="2"/>
  <c r="AL2273" i="2"/>
  <c r="AL2274" i="2"/>
  <c r="AL2275" i="2"/>
  <c r="AL2276" i="2"/>
  <c r="AL2277" i="2"/>
  <c r="AL2278" i="2"/>
  <c r="AL2279" i="2"/>
  <c r="AL2280" i="2"/>
  <c r="AL2281" i="2"/>
  <c r="AL2282" i="2"/>
  <c r="AL2283" i="2"/>
  <c r="AL2284" i="2"/>
  <c r="AL2285" i="2"/>
  <c r="AL2286" i="2"/>
  <c r="AL2287" i="2"/>
  <c r="AL2288" i="2"/>
  <c r="AL2289" i="2"/>
  <c r="AL2290" i="2"/>
  <c r="AL2291" i="2"/>
  <c r="AL2292" i="2"/>
  <c r="AL2293" i="2"/>
  <c r="AL2294" i="2"/>
  <c r="AL2295" i="2"/>
  <c r="AL2296" i="2"/>
  <c r="AL2297" i="2"/>
  <c r="AL2298" i="2"/>
  <c r="AL2299" i="2"/>
  <c r="AL2300" i="2"/>
  <c r="AL2301" i="2"/>
  <c r="AL2302" i="2"/>
  <c r="AL2303" i="2"/>
  <c r="AL2304" i="2"/>
  <c r="AL2305" i="2"/>
  <c r="AL2306" i="2"/>
  <c r="AL2307" i="2"/>
  <c r="AL2308" i="2"/>
  <c r="AL2309" i="2"/>
  <c r="AL2310" i="2"/>
  <c r="AL2311" i="2"/>
  <c r="AL2312" i="2"/>
  <c r="AL2313" i="2"/>
  <c r="AL2314" i="2"/>
  <c r="AL2315" i="2"/>
  <c r="AL2316" i="2"/>
  <c r="AL2317" i="2"/>
  <c r="AL2318" i="2"/>
  <c r="AL2319" i="2"/>
  <c r="AL2320" i="2"/>
  <c r="AL2321" i="2"/>
  <c r="AL2322" i="2"/>
  <c r="AL2323" i="2"/>
  <c r="AL2324" i="2"/>
  <c r="AL2325" i="2"/>
  <c r="AL2326" i="2"/>
  <c r="AL2327" i="2"/>
  <c r="AL2328" i="2"/>
  <c r="AL2329" i="2"/>
  <c r="AL2330" i="2"/>
  <c r="AL2331" i="2"/>
  <c r="AL2332" i="2"/>
  <c r="AL2333" i="2"/>
  <c r="AL2334" i="2"/>
  <c r="AL2335" i="2"/>
  <c r="AL2336" i="2"/>
  <c r="AL2337" i="2"/>
  <c r="AL2338" i="2"/>
  <c r="AL2339" i="2"/>
  <c r="AL2340" i="2"/>
  <c r="AL2341" i="2"/>
  <c r="AL2342" i="2"/>
  <c r="AL2343" i="2"/>
  <c r="AL2344" i="2"/>
  <c r="AL2345" i="2"/>
  <c r="AL2346" i="2"/>
  <c r="AL2347" i="2"/>
  <c r="AL2348" i="2"/>
  <c r="AL2349" i="2"/>
  <c r="AL2350" i="2"/>
  <c r="AL2351" i="2"/>
  <c r="AL2352" i="2"/>
  <c r="AL2353" i="2"/>
  <c r="AL2354" i="2"/>
  <c r="AL2355" i="2"/>
  <c r="AL2356" i="2"/>
  <c r="AL2357" i="2"/>
  <c r="AL2358" i="2"/>
  <c r="AL2359" i="2"/>
  <c r="AL2360" i="2"/>
  <c r="AL2361" i="2"/>
  <c r="AL2362" i="2"/>
  <c r="AL2363" i="2"/>
  <c r="AL2364" i="2"/>
  <c r="AL2365" i="2"/>
  <c r="AL2366" i="2"/>
  <c r="AL2367" i="2"/>
  <c r="AL2368" i="2"/>
  <c r="AL2369" i="2"/>
  <c r="AL2370" i="2"/>
  <c r="AL2371" i="2"/>
  <c r="AL2372" i="2"/>
  <c r="AL2373" i="2"/>
  <c r="AL2374" i="2"/>
  <c r="AL2375" i="2"/>
  <c r="AL2376" i="2"/>
  <c r="AL2377" i="2"/>
  <c r="AL2378" i="2"/>
  <c r="AL2379" i="2"/>
  <c r="AL2380" i="2"/>
  <c r="AL2381" i="2"/>
  <c r="AL2382" i="2"/>
  <c r="AL2383" i="2"/>
  <c r="AL2384" i="2"/>
  <c r="AL2385" i="2"/>
  <c r="AL2386" i="2"/>
  <c r="AL2387" i="2"/>
  <c r="AL2388" i="2"/>
  <c r="AL2389" i="2"/>
  <c r="AL2390" i="2"/>
  <c r="AL2391" i="2"/>
  <c r="AL2392" i="2"/>
  <c r="AL2393" i="2"/>
  <c r="AL2394" i="2"/>
  <c r="AL2395" i="2"/>
  <c r="AL2396" i="2"/>
  <c r="AL2397" i="2"/>
  <c r="AL2398" i="2"/>
  <c r="AL2399" i="2"/>
  <c r="AL2400" i="2"/>
  <c r="AL2401" i="2"/>
  <c r="AL2402" i="2"/>
  <c r="AL2403" i="2"/>
  <c r="AL2404" i="2"/>
  <c r="AL2405" i="2"/>
  <c r="AL2406" i="2"/>
  <c r="AL2407" i="2"/>
  <c r="AL2408" i="2"/>
  <c r="AL2409" i="2"/>
  <c r="AL2410" i="2"/>
  <c r="AL2411" i="2"/>
  <c r="AL2412" i="2"/>
  <c r="AL2413" i="2"/>
  <c r="AL2414" i="2"/>
  <c r="AL2415" i="2"/>
  <c r="AL2416" i="2"/>
  <c r="AL2417" i="2"/>
  <c r="AL2418" i="2"/>
  <c r="AL2419" i="2"/>
  <c r="AL2420" i="2"/>
  <c r="AL2421" i="2"/>
  <c r="AL2422" i="2"/>
  <c r="AL2423" i="2"/>
  <c r="AL2424" i="2"/>
  <c r="AL2425" i="2"/>
  <c r="AL2426" i="2"/>
  <c r="AL2427" i="2"/>
  <c r="AL2428" i="2"/>
  <c r="AL2429" i="2"/>
  <c r="AL2430" i="2"/>
  <c r="AL2431" i="2"/>
  <c r="AL2432" i="2"/>
  <c r="AL2433" i="2"/>
  <c r="AL2434" i="2"/>
  <c r="AL2435" i="2"/>
  <c r="AL2436" i="2"/>
  <c r="AL2437" i="2"/>
  <c r="AL2438" i="2"/>
  <c r="AL2439" i="2"/>
  <c r="AL2440" i="2"/>
  <c r="AL2441" i="2"/>
  <c r="AL2442" i="2"/>
  <c r="AL2443" i="2"/>
  <c r="AL2444" i="2"/>
  <c r="AL2445" i="2"/>
  <c r="AL2446" i="2"/>
  <c r="AL2447" i="2"/>
  <c r="AL2448" i="2"/>
  <c r="AL2449" i="2"/>
  <c r="AL2450" i="2"/>
  <c r="AL2451" i="2"/>
  <c r="AL2452" i="2"/>
  <c r="AL2453" i="2"/>
  <c r="AL2454" i="2"/>
  <c r="AL2455" i="2"/>
  <c r="AL2456" i="2"/>
  <c r="AL2457" i="2"/>
  <c r="AL2458" i="2"/>
  <c r="AL2459" i="2"/>
  <c r="AL2460" i="2"/>
  <c r="AL2461" i="2"/>
  <c r="AL2462" i="2"/>
  <c r="AL2463" i="2"/>
  <c r="AL2464" i="2"/>
  <c r="AL2465" i="2"/>
  <c r="AL2466" i="2"/>
  <c r="AL2467" i="2"/>
  <c r="AL2468" i="2"/>
  <c r="AL2469" i="2"/>
  <c r="AL2470" i="2"/>
  <c r="AL2471" i="2"/>
  <c r="AL2472" i="2"/>
  <c r="AL2473" i="2"/>
  <c r="AL2474" i="2"/>
  <c r="AL2475" i="2"/>
  <c r="AL2476" i="2"/>
  <c r="AL2477" i="2"/>
  <c r="AL2478" i="2"/>
  <c r="AL2479" i="2"/>
  <c r="AL2480" i="2"/>
  <c r="AL2481" i="2"/>
  <c r="AL2482" i="2"/>
  <c r="AL2483" i="2"/>
  <c r="AL2484" i="2"/>
  <c r="AL2485" i="2"/>
  <c r="AL2486" i="2"/>
  <c r="AL2487" i="2"/>
  <c r="AL2488" i="2"/>
  <c r="AL2489" i="2"/>
  <c r="AL2490" i="2"/>
  <c r="AL2491" i="2"/>
  <c r="AL2492" i="2"/>
  <c r="AL2493" i="2"/>
  <c r="AL2494" i="2"/>
  <c r="AL2495" i="2"/>
  <c r="AL2496" i="2"/>
  <c r="AL2497" i="2"/>
  <c r="AL2498" i="2"/>
  <c r="AL2499" i="2"/>
  <c r="AL2500" i="2"/>
  <c r="AL2501" i="2"/>
  <c r="AL2502" i="2"/>
  <c r="AL2503" i="2"/>
  <c r="AL2504" i="2"/>
  <c r="AL2505" i="2"/>
  <c r="AL2506" i="2"/>
  <c r="AL2507" i="2"/>
  <c r="AL2508" i="2"/>
  <c r="AL2509" i="2"/>
  <c r="AL2510" i="2"/>
  <c r="AL2511" i="2"/>
  <c r="AL2512" i="2"/>
  <c r="AL2513" i="2"/>
  <c r="AL2514" i="2"/>
  <c r="AL2515" i="2"/>
  <c r="AL2516" i="2"/>
  <c r="AL2517" i="2"/>
  <c r="AL2518" i="2"/>
  <c r="AL2519" i="2"/>
  <c r="AL2520" i="2"/>
  <c r="AL2521" i="2"/>
  <c r="AL2522" i="2"/>
  <c r="AL2523" i="2"/>
  <c r="AL2524" i="2"/>
  <c r="AL2525" i="2"/>
  <c r="AL2526" i="2"/>
  <c r="AL2527" i="2"/>
  <c r="AL2528" i="2"/>
  <c r="AL2529" i="2"/>
  <c r="AL2530" i="2"/>
  <c r="AL2531" i="2"/>
  <c r="AL2532" i="2"/>
  <c r="AL2533" i="2"/>
  <c r="AL2534" i="2"/>
  <c r="AL2535" i="2"/>
  <c r="AL2536" i="2"/>
  <c r="AL2537" i="2"/>
  <c r="AL2538" i="2"/>
  <c r="AL2539" i="2"/>
  <c r="AL2540" i="2"/>
  <c r="AL2541" i="2"/>
  <c r="AL2542" i="2"/>
  <c r="AL2543" i="2"/>
  <c r="AL2544" i="2"/>
  <c r="AL2545" i="2"/>
  <c r="AL2546" i="2"/>
  <c r="AL2547" i="2"/>
  <c r="AL2548" i="2"/>
  <c r="AL2549" i="2"/>
  <c r="AL2550" i="2"/>
  <c r="AL2551" i="2"/>
  <c r="AL2552" i="2"/>
  <c r="AL2553" i="2"/>
  <c r="AL2554" i="2"/>
  <c r="AL2555" i="2"/>
  <c r="AL2556" i="2"/>
  <c r="AL2557" i="2"/>
  <c r="AL2558" i="2"/>
  <c r="AL2559" i="2"/>
  <c r="AL2560" i="2"/>
  <c r="AL2561" i="2"/>
  <c r="AL2562" i="2"/>
  <c r="AL2563" i="2"/>
  <c r="AL2564" i="2"/>
  <c r="AL2565" i="2"/>
  <c r="AL2566" i="2"/>
  <c r="AL2567" i="2"/>
  <c r="AL2568" i="2"/>
  <c r="AL2569" i="2"/>
  <c r="AL2570" i="2"/>
  <c r="AL2571" i="2"/>
  <c r="AL2572" i="2"/>
  <c r="AL2573" i="2"/>
  <c r="AL2574" i="2"/>
  <c r="AL2575" i="2"/>
  <c r="AL2576" i="2"/>
  <c r="AL2577" i="2"/>
  <c r="AL2578" i="2"/>
  <c r="AL2579" i="2"/>
  <c r="AL2580" i="2"/>
  <c r="AL2581" i="2"/>
  <c r="AL2582" i="2"/>
  <c r="AL2583" i="2"/>
  <c r="AL2584" i="2"/>
  <c r="AL2585" i="2"/>
  <c r="AL2586" i="2"/>
  <c r="AL2587" i="2"/>
  <c r="AL2588" i="2"/>
  <c r="AL2589" i="2"/>
  <c r="AL2590" i="2"/>
  <c r="AL2591" i="2"/>
  <c r="AL2592" i="2"/>
  <c r="AL2593" i="2"/>
  <c r="AL2594" i="2"/>
  <c r="AL2595" i="2"/>
  <c r="AL2596" i="2"/>
  <c r="AL2597" i="2"/>
  <c r="AL2598" i="2"/>
  <c r="AL2599" i="2"/>
  <c r="AL2600" i="2"/>
  <c r="AL2601" i="2"/>
  <c r="AL2602" i="2"/>
  <c r="AL2603" i="2"/>
  <c r="AL2604" i="2"/>
  <c r="AL2605" i="2"/>
  <c r="AL2606" i="2"/>
  <c r="AL2607" i="2"/>
  <c r="AL2608" i="2"/>
  <c r="AL2609" i="2"/>
  <c r="AL2610" i="2"/>
  <c r="AL2611" i="2"/>
  <c r="AL2612" i="2"/>
  <c r="AL2613" i="2"/>
  <c r="AL2614" i="2"/>
  <c r="AL2615" i="2"/>
  <c r="AL2616" i="2"/>
  <c r="AL2617" i="2"/>
  <c r="AL2618" i="2"/>
  <c r="AL2619" i="2"/>
  <c r="AL2620" i="2"/>
  <c r="AL2621" i="2"/>
  <c r="AL2622" i="2"/>
  <c r="AL2623" i="2"/>
  <c r="AL2624" i="2"/>
  <c r="AL2625" i="2"/>
  <c r="AL2626" i="2"/>
  <c r="AL2627" i="2"/>
  <c r="AL2628" i="2"/>
  <c r="AL2629" i="2"/>
  <c r="AL2630" i="2"/>
  <c r="AL2631" i="2"/>
  <c r="AL2632" i="2"/>
  <c r="AL2633" i="2"/>
  <c r="AL2634" i="2"/>
  <c r="AL2635" i="2"/>
  <c r="AL2636" i="2"/>
  <c r="AL2637" i="2"/>
  <c r="AL2638" i="2"/>
  <c r="AL2639" i="2"/>
  <c r="AL2640" i="2"/>
  <c r="AL2641" i="2"/>
  <c r="AL2642" i="2"/>
  <c r="AL2643" i="2"/>
  <c r="AL2644" i="2"/>
  <c r="AL2645" i="2"/>
  <c r="AL2646" i="2"/>
  <c r="AL2647" i="2"/>
  <c r="AL2648" i="2"/>
  <c r="AL2649" i="2"/>
  <c r="AL2650" i="2"/>
  <c r="AL2651" i="2"/>
  <c r="AL2652" i="2"/>
  <c r="AL2653" i="2"/>
  <c r="AL2654" i="2"/>
  <c r="AL2655" i="2"/>
  <c r="AL2656" i="2"/>
  <c r="AL2657" i="2"/>
  <c r="AL2658" i="2"/>
  <c r="AL2659" i="2"/>
  <c r="AL2660" i="2"/>
  <c r="AL2661" i="2"/>
  <c r="AL2662" i="2"/>
  <c r="AL2663" i="2"/>
  <c r="AL2664" i="2"/>
  <c r="AL2665" i="2"/>
  <c r="AL2666" i="2"/>
  <c r="AL2667" i="2"/>
  <c r="AL2668" i="2"/>
  <c r="AL2669" i="2"/>
  <c r="AL2670" i="2"/>
  <c r="AL2671" i="2"/>
  <c r="AL2672" i="2"/>
  <c r="AL2673" i="2"/>
  <c r="AL2674" i="2"/>
  <c r="AL2675" i="2"/>
  <c r="AL2676" i="2"/>
  <c r="AL2677" i="2"/>
  <c r="AL2678" i="2"/>
  <c r="AL2679" i="2"/>
  <c r="AL2680" i="2"/>
  <c r="AL2681" i="2"/>
  <c r="AL2682" i="2"/>
  <c r="AL2683" i="2"/>
  <c r="AL2684" i="2"/>
  <c r="AL2685" i="2"/>
  <c r="AL2686" i="2"/>
  <c r="AL2687" i="2"/>
  <c r="AL2688" i="2"/>
  <c r="AL2689" i="2"/>
  <c r="AL2690" i="2"/>
  <c r="AL2691" i="2"/>
  <c r="AL2692" i="2"/>
  <c r="AL2693" i="2"/>
  <c r="AL2694" i="2"/>
  <c r="AL2695" i="2"/>
  <c r="AL2696" i="2"/>
  <c r="AL2697" i="2"/>
  <c r="AL2698" i="2"/>
  <c r="AL2699" i="2"/>
  <c r="AL2700" i="2"/>
  <c r="AL2701" i="2"/>
  <c r="AL2702" i="2"/>
  <c r="AL2703" i="2"/>
  <c r="AL2704" i="2"/>
  <c r="AL2705" i="2"/>
  <c r="AL2706" i="2"/>
  <c r="AL2707" i="2"/>
  <c r="AL2708" i="2"/>
  <c r="AL2709" i="2"/>
  <c r="AL2710" i="2"/>
  <c r="AL2711" i="2"/>
  <c r="AL2712" i="2"/>
  <c r="AL2713" i="2"/>
  <c r="AL2714" i="2"/>
  <c r="AL2715" i="2"/>
  <c r="AL2716" i="2"/>
  <c r="AL2717" i="2"/>
  <c r="AL2718" i="2"/>
  <c r="AL2719" i="2"/>
  <c r="AL2720" i="2"/>
  <c r="AL2721" i="2"/>
  <c r="AL2722" i="2"/>
  <c r="AL2723" i="2"/>
  <c r="AL2724" i="2"/>
  <c r="AL2725" i="2"/>
  <c r="AL2726" i="2"/>
  <c r="AL2727" i="2"/>
  <c r="AL2728" i="2"/>
  <c r="AL2729" i="2"/>
  <c r="AL2730" i="2"/>
  <c r="AL2731" i="2"/>
  <c r="AL2732" i="2"/>
  <c r="AL2733" i="2"/>
  <c r="AL2734" i="2"/>
  <c r="AL2735" i="2"/>
  <c r="AL2736" i="2"/>
  <c r="AL2737" i="2"/>
  <c r="AL2738" i="2"/>
  <c r="AL2739" i="2"/>
  <c r="AL2740" i="2"/>
  <c r="AL2741" i="2"/>
  <c r="AL2742" i="2"/>
  <c r="AL2743" i="2"/>
  <c r="AL2744" i="2"/>
  <c r="AL2745" i="2"/>
  <c r="AL2746" i="2"/>
  <c r="AL2747" i="2"/>
  <c r="AL2748" i="2"/>
  <c r="AL2749" i="2"/>
  <c r="AL2750" i="2"/>
  <c r="AL2751" i="2"/>
  <c r="AL2752" i="2"/>
  <c r="AL2753" i="2"/>
  <c r="AL2754" i="2"/>
  <c r="AL2755" i="2"/>
  <c r="AL2756" i="2"/>
  <c r="AL2757" i="2"/>
  <c r="AL2758" i="2"/>
  <c r="AL2759" i="2"/>
  <c r="AL2760" i="2"/>
  <c r="AL2761" i="2"/>
  <c r="AL2762" i="2"/>
  <c r="AL2763" i="2"/>
  <c r="AL2764" i="2"/>
  <c r="AL2765" i="2"/>
  <c r="AL2766" i="2"/>
  <c r="AL2767" i="2"/>
  <c r="AL2768" i="2"/>
  <c r="AL2769" i="2"/>
  <c r="AL2770" i="2"/>
  <c r="AL2771" i="2"/>
  <c r="AL2772" i="2"/>
  <c r="AL2773" i="2"/>
  <c r="AL2774" i="2"/>
  <c r="AL2775" i="2"/>
  <c r="AL2776" i="2"/>
  <c r="AL2777" i="2"/>
  <c r="AL2778" i="2"/>
  <c r="AL2779" i="2"/>
  <c r="AL2780" i="2"/>
  <c r="AL2781" i="2"/>
  <c r="AL2782" i="2"/>
  <c r="AL2783" i="2"/>
  <c r="AL2784" i="2"/>
  <c r="AL2785" i="2"/>
  <c r="AL2786" i="2"/>
  <c r="AL2787" i="2"/>
  <c r="AL2788" i="2"/>
  <c r="AL2789" i="2"/>
  <c r="AL2790" i="2"/>
  <c r="AL2791" i="2"/>
  <c r="AL2792" i="2"/>
  <c r="AL2793" i="2"/>
  <c r="AL2794" i="2"/>
  <c r="AL2795" i="2"/>
  <c r="AL2796" i="2"/>
  <c r="AL2797" i="2"/>
  <c r="AL2798" i="2"/>
  <c r="AL2799" i="2"/>
  <c r="AL2800" i="2"/>
  <c r="AL2801" i="2"/>
  <c r="AL2802" i="2"/>
  <c r="AL2803" i="2"/>
  <c r="AL2804" i="2"/>
  <c r="AL2805" i="2"/>
  <c r="AL2806" i="2"/>
  <c r="AL2807" i="2"/>
  <c r="AL2808" i="2"/>
  <c r="AL2809" i="2"/>
  <c r="AL2810" i="2"/>
  <c r="AL2811" i="2"/>
  <c r="AL2812" i="2"/>
  <c r="AL2813" i="2"/>
  <c r="AL2814" i="2"/>
  <c r="AL2815" i="2"/>
  <c r="AL2816" i="2"/>
  <c r="AL2817" i="2"/>
  <c r="AL2818" i="2"/>
  <c r="AL2819" i="2"/>
  <c r="AL2820" i="2"/>
  <c r="AL2821" i="2"/>
  <c r="AL2822" i="2"/>
  <c r="AL2823" i="2"/>
  <c r="AL2824" i="2"/>
  <c r="AL2825" i="2"/>
  <c r="AL2826" i="2"/>
  <c r="AL2827" i="2"/>
  <c r="AL2828" i="2"/>
  <c r="AL2829" i="2"/>
  <c r="AL2830" i="2"/>
  <c r="AL2831" i="2"/>
  <c r="AL2832" i="2"/>
  <c r="AL2833" i="2"/>
  <c r="AL2834" i="2"/>
  <c r="AL2835" i="2"/>
  <c r="AL2836" i="2"/>
  <c r="AL2837" i="2"/>
  <c r="AL2838" i="2"/>
  <c r="AL2839" i="2"/>
  <c r="AL2840" i="2"/>
  <c r="AL2841" i="2"/>
  <c r="AL2842" i="2"/>
  <c r="AL2843" i="2"/>
  <c r="AL2844" i="2"/>
  <c r="AL2845" i="2"/>
  <c r="AL2846" i="2"/>
  <c r="AL2847" i="2"/>
  <c r="AL2848" i="2"/>
  <c r="AL2849" i="2"/>
  <c r="AL2850" i="2"/>
  <c r="AL2851" i="2"/>
  <c r="AL2852" i="2"/>
  <c r="AL2853" i="2"/>
  <c r="AL2854" i="2"/>
  <c r="AL2855" i="2"/>
  <c r="AL2856" i="2"/>
  <c r="AL2857" i="2"/>
  <c r="AL2858" i="2"/>
  <c r="AL2859" i="2"/>
  <c r="AL2860" i="2"/>
  <c r="AL2861" i="2"/>
  <c r="AL2862" i="2"/>
  <c r="AL2863" i="2"/>
  <c r="AL2864" i="2"/>
  <c r="AL2865" i="2"/>
  <c r="AL2866" i="2"/>
  <c r="AL2867" i="2"/>
  <c r="AL2868" i="2"/>
  <c r="AL2869" i="2"/>
  <c r="AL2870" i="2"/>
  <c r="AL2871" i="2"/>
  <c r="AL2872" i="2"/>
  <c r="AL2873" i="2"/>
  <c r="AL2874" i="2"/>
  <c r="AL2875" i="2"/>
  <c r="AL2876" i="2"/>
  <c r="AL2877" i="2"/>
  <c r="AL2878" i="2"/>
  <c r="AL2879" i="2"/>
  <c r="AL2880" i="2"/>
  <c r="AL2881" i="2"/>
  <c r="AL2882" i="2"/>
  <c r="AL2883" i="2"/>
  <c r="AL2884" i="2"/>
  <c r="AL2885" i="2"/>
  <c r="AL2886" i="2"/>
  <c r="AL2887" i="2"/>
  <c r="AL2888" i="2"/>
  <c r="AL2889" i="2"/>
  <c r="AL2890" i="2"/>
  <c r="AL2891" i="2"/>
  <c r="AL2892" i="2"/>
  <c r="AL2893" i="2"/>
  <c r="AL2894" i="2"/>
  <c r="AL2895" i="2"/>
  <c r="AL2896" i="2"/>
  <c r="AL2897" i="2"/>
  <c r="AL2898" i="2"/>
  <c r="AL2899" i="2"/>
  <c r="AL2900" i="2"/>
  <c r="AL2901" i="2"/>
  <c r="AL2902" i="2"/>
  <c r="AL2903" i="2"/>
  <c r="AL2904" i="2"/>
  <c r="AL2905" i="2"/>
  <c r="AL2906" i="2"/>
  <c r="AL2907" i="2"/>
  <c r="AL2908" i="2"/>
  <c r="AL2909" i="2"/>
  <c r="AL2910" i="2"/>
  <c r="AL2911" i="2"/>
  <c r="AL2912" i="2"/>
  <c r="AL2913" i="2"/>
  <c r="AL2914" i="2"/>
  <c r="AL2915" i="2"/>
  <c r="AL2916" i="2"/>
  <c r="AL2917" i="2"/>
  <c r="AL2918" i="2"/>
  <c r="AL2919" i="2"/>
  <c r="AL2920" i="2"/>
  <c r="AL2921" i="2"/>
  <c r="AL2922" i="2"/>
  <c r="AL2923" i="2"/>
  <c r="AL2924" i="2"/>
  <c r="AL2925" i="2"/>
  <c r="AL2926" i="2"/>
  <c r="AL2927" i="2"/>
  <c r="AL2928" i="2"/>
  <c r="AL2929" i="2"/>
  <c r="AL2930" i="2"/>
  <c r="AL2931" i="2"/>
  <c r="AL2932" i="2"/>
  <c r="AL2933" i="2"/>
  <c r="AL2934" i="2"/>
  <c r="AL2935" i="2"/>
  <c r="AL2936" i="2"/>
  <c r="AL2937" i="2"/>
  <c r="AL2938" i="2"/>
  <c r="AL2939" i="2"/>
  <c r="AL2940" i="2"/>
  <c r="AL2941" i="2"/>
  <c r="AL2942" i="2"/>
  <c r="AL2943" i="2"/>
  <c r="AL2944" i="2"/>
  <c r="AL2945" i="2"/>
  <c r="AL2946" i="2"/>
  <c r="AL2947" i="2"/>
  <c r="AL2948" i="2"/>
  <c r="AL2949" i="2"/>
  <c r="AL2950" i="2"/>
  <c r="AL2951" i="2"/>
  <c r="AL2952" i="2"/>
  <c r="AL2953" i="2"/>
  <c r="AL2954" i="2"/>
  <c r="AL2955" i="2"/>
  <c r="AL2956" i="2"/>
  <c r="AL2957" i="2"/>
  <c r="AL2958" i="2"/>
  <c r="AL2959" i="2"/>
  <c r="AL2960" i="2"/>
  <c r="AL2961" i="2"/>
  <c r="AL2962" i="2"/>
  <c r="AL2963" i="2"/>
  <c r="AL2964" i="2"/>
  <c r="AL2965" i="2"/>
  <c r="AL2966" i="2"/>
  <c r="AL2967" i="2"/>
  <c r="AL2968" i="2"/>
  <c r="AL2969" i="2"/>
  <c r="AL2970" i="2"/>
  <c r="AL2971" i="2"/>
  <c r="AL2972" i="2"/>
  <c r="AL2973" i="2"/>
  <c r="AL2974" i="2"/>
  <c r="AL2975" i="2"/>
  <c r="AL2976" i="2"/>
  <c r="AL2977" i="2"/>
  <c r="AL2978" i="2"/>
  <c r="AL2979" i="2"/>
  <c r="AL2980" i="2"/>
  <c r="AL2981" i="2"/>
  <c r="AL2982" i="2"/>
  <c r="AL2983" i="2"/>
  <c r="AL2984" i="2"/>
  <c r="AL2985" i="2"/>
  <c r="AL2986" i="2"/>
  <c r="AL2987" i="2"/>
  <c r="AL2988" i="2"/>
  <c r="AL2989" i="2"/>
  <c r="AL2990" i="2"/>
  <c r="AL2991" i="2"/>
  <c r="AL2992" i="2"/>
  <c r="AL2993" i="2"/>
  <c r="AL2994" i="2"/>
  <c r="AL2995" i="2"/>
  <c r="AL2996" i="2"/>
  <c r="AL2997" i="2"/>
  <c r="AL2998" i="2"/>
  <c r="AL2999" i="2"/>
  <c r="AL3000" i="2"/>
  <c r="AL3001" i="2"/>
  <c r="AL3002" i="2"/>
  <c r="AL3003" i="2"/>
  <c r="AL3004" i="2"/>
  <c r="AL3005" i="2"/>
  <c r="AL3006" i="2"/>
  <c r="AL3007" i="2"/>
  <c r="AL3008" i="2"/>
  <c r="AL3009" i="2"/>
  <c r="AL3010" i="2"/>
  <c r="AL3011" i="2"/>
  <c r="AL3012" i="2"/>
  <c r="AL3013" i="2"/>
  <c r="AL3014" i="2"/>
  <c r="AL3015" i="2"/>
  <c r="AL3016" i="2"/>
  <c r="AL3017" i="2"/>
  <c r="AL3018" i="2"/>
  <c r="AL3019" i="2"/>
  <c r="AL3020" i="2"/>
  <c r="AL3021" i="2"/>
  <c r="AL3022" i="2"/>
  <c r="AL3023" i="2"/>
  <c r="AL3024" i="2"/>
  <c r="AL3025" i="2"/>
  <c r="AL3026" i="2"/>
  <c r="AL3027" i="2"/>
  <c r="AL3028" i="2"/>
  <c r="AL3029" i="2"/>
  <c r="AL3030" i="2"/>
  <c r="AL3031" i="2"/>
  <c r="AL3032" i="2"/>
  <c r="AL3033" i="2"/>
  <c r="AL3034" i="2"/>
  <c r="AL3035" i="2"/>
  <c r="AL3036" i="2"/>
  <c r="AL3037" i="2"/>
  <c r="AL3038" i="2"/>
  <c r="AL3039" i="2"/>
  <c r="AL3040" i="2"/>
  <c r="AL3041" i="2"/>
  <c r="AL3042" i="2"/>
  <c r="AL3043" i="2"/>
  <c r="AL3044" i="2"/>
  <c r="AL3045" i="2"/>
  <c r="AL3046" i="2"/>
  <c r="AL3047" i="2"/>
  <c r="AL3048" i="2"/>
  <c r="AL3049" i="2"/>
  <c r="AL3050" i="2"/>
  <c r="AL3051" i="2"/>
  <c r="AL3052" i="2"/>
  <c r="AL3053" i="2"/>
  <c r="AL3054" i="2"/>
  <c r="AL3055" i="2"/>
  <c r="AL3056" i="2"/>
  <c r="AL3057" i="2"/>
  <c r="AL3058" i="2"/>
  <c r="AL3059" i="2"/>
  <c r="AL3060" i="2"/>
  <c r="AL3061" i="2"/>
  <c r="AL3062" i="2"/>
  <c r="AL3063" i="2"/>
  <c r="AL3064" i="2"/>
  <c r="AL3065" i="2"/>
  <c r="AL3066" i="2"/>
  <c r="AL3067" i="2"/>
  <c r="AL3068" i="2"/>
  <c r="AL3069" i="2"/>
  <c r="AL3070" i="2"/>
  <c r="AL3071" i="2"/>
  <c r="AL3072" i="2"/>
  <c r="AL3073" i="2"/>
  <c r="AL3074" i="2"/>
  <c r="AL3075" i="2"/>
  <c r="AL3076" i="2"/>
  <c r="AL3077" i="2"/>
  <c r="AL3078" i="2"/>
  <c r="AL3079" i="2"/>
  <c r="AL3080" i="2"/>
  <c r="AL3081" i="2"/>
  <c r="AL3082" i="2"/>
  <c r="AL3083" i="2"/>
  <c r="AL3084" i="2"/>
  <c r="AL3085" i="2"/>
  <c r="AL3086" i="2"/>
  <c r="AL3087" i="2"/>
  <c r="AL3088" i="2"/>
  <c r="AL3089" i="2"/>
  <c r="AL3090" i="2"/>
  <c r="AL3091" i="2"/>
  <c r="AL3092" i="2"/>
  <c r="AL3093" i="2"/>
  <c r="AL3094" i="2"/>
  <c r="AL3095" i="2"/>
  <c r="AL3096" i="2"/>
  <c r="AL3097" i="2"/>
  <c r="AL3098" i="2"/>
  <c r="AL3099" i="2"/>
  <c r="AL3100" i="2"/>
  <c r="AL3101" i="2"/>
  <c r="AL3102" i="2"/>
  <c r="AL3103" i="2"/>
  <c r="AL3104" i="2"/>
  <c r="AL3105" i="2"/>
  <c r="AL3106" i="2"/>
  <c r="AL3107" i="2"/>
  <c r="AL3108" i="2"/>
  <c r="AL3109" i="2"/>
  <c r="AL3110" i="2"/>
  <c r="AL3111" i="2"/>
  <c r="AL3112" i="2"/>
  <c r="AL3113" i="2"/>
  <c r="AL3114" i="2"/>
  <c r="AL3115" i="2"/>
  <c r="AL3116" i="2"/>
  <c r="AL3117" i="2"/>
  <c r="AL3118" i="2"/>
  <c r="AL3119" i="2"/>
  <c r="AL3120" i="2"/>
  <c r="AL3121" i="2"/>
  <c r="AL3122" i="2"/>
  <c r="AL3123" i="2"/>
  <c r="AL3124" i="2"/>
  <c r="AL3125" i="2"/>
  <c r="AL3126" i="2"/>
  <c r="AL3127" i="2"/>
  <c r="AL3128" i="2"/>
  <c r="AL3129" i="2"/>
  <c r="AL3130" i="2"/>
  <c r="AL3131" i="2"/>
  <c r="AL3132" i="2"/>
  <c r="AL3133" i="2"/>
  <c r="AL3134" i="2"/>
  <c r="AL3135" i="2"/>
  <c r="AL3136" i="2"/>
  <c r="AL3137" i="2"/>
  <c r="AL3138" i="2"/>
  <c r="AL3139" i="2"/>
  <c r="AL3140" i="2"/>
  <c r="AL3141" i="2"/>
  <c r="AL3142" i="2"/>
  <c r="AL3143" i="2"/>
  <c r="AL3144" i="2"/>
  <c r="AL3145" i="2"/>
  <c r="AL3146" i="2"/>
  <c r="AL3147" i="2"/>
  <c r="AL3148" i="2"/>
  <c r="AL3149" i="2"/>
  <c r="AL3150" i="2"/>
  <c r="AL3151" i="2"/>
  <c r="AL3152" i="2"/>
  <c r="AL3153" i="2"/>
  <c r="AL3154" i="2"/>
  <c r="AL3155" i="2"/>
  <c r="AL3156" i="2"/>
  <c r="AL3157" i="2"/>
  <c r="AL3158" i="2"/>
  <c r="AL3159" i="2"/>
  <c r="AL3160" i="2"/>
  <c r="AL3161" i="2"/>
  <c r="AL3162" i="2"/>
  <c r="AL3163" i="2"/>
  <c r="AL3164" i="2"/>
  <c r="AL3165" i="2"/>
  <c r="AL3166" i="2"/>
  <c r="AL3167" i="2"/>
  <c r="AL3168" i="2"/>
  <c r="AL3169" i="2"/>
  <c r="AL3170" i="2"/>
  <c r="AL3171" i="2"/>
  <c r="AL3172" i="2"/>
  <c r="AL3173" i="2"/>
  <c r="AL3174" i="2"/>
  <c r="AL3175" i="2"/>
  <c r="AL3176" i="2"/>
  <c r="AL3177" i="2"/>
  <c r="AL3178" i="2"/>
  <c r="AL3179" i="2"/>
  <c r="AL3180" i="2"/>
  <c r="AL3181" i="2"/>
  <c r="AL3182" i="2"/>
  <c r="AL3183" i="2"/>
  <c r="AL3184" i="2"/>
  <c r="AL3185" i="2"/>
  <c r="AL3186" i="2"/>
  <c r="AL3187" i="2"/>
  <c r="AL3188" i="2"/>
  <c r="AL3189" i="2"/>
  <c r="AL3190" i="2"/>
  <c r="AL3191" i="2"/>
  <c r="AL3192" i="2"/>
  <c r="AL3193" i="2"/>
  <c r="AL3194" i="2"/>
  <c r="AL3195" i="2"/>
  <c r="AL3196" i="2"/>
  <c r="AL3197" i="2"/>
  <c r="AL3198" i="2"/>
  <c r="AL3199" i="2"/>
  <c r="AL3200" i="2"/>
  <c r="AL3201" i="2"/>
  <c r="AL3202" i="2"/>
  <c r="AL3203" i="2"/>
  <c r="AL3204" i="2"/>
  <c r="AL3205" i="2"/>
  <c r="AL3206" i="2"/>
  <c r="AL3207" i="2"/>
  <c r="AL3208" i="2"/>
  <c r="AL3209" i="2"/>
  <c r="AL3210" i="2"/>
  <c r="AL3211" i="2"/>
  <c r="AL3212" i="2"/>
  <c r="AL3213" i="2"/>
  <c r="AL3214" i="2"/>
  <c r="AL3215" i="2"/>
  <c r="AL3216" i="2"/>
  <c r="AL3217" i="2"/>
  <c r="AL3218" i="2"/>
  <c r="AL3219" i="2"/>
  <c r="AL3220" i="2"/>
  <c r="AL3221" i="2"/>
  <c r="AL3222" i="2"/>
  <c r="AL3223" i="2"/>
  <c r="AL3224" i="2"/>
  <c r="AL3225" i="2"/>
  <c r="AL3226" i="2"/>
  <c r="AL3227" i="2"/>
  <c r="AL3228" i="2"/>
  <c r="AL3229" i="2"/>
  <c r="AL3230" i="2"/>
  <c r="AL3231" i="2"/>
  <c r="AL3232" i="2"/>
  <c r="AL3233" i="2"/>
  <c r="AL3234" i="2"/>
  <c r="AL3235" i="2"/>
  <c r="AL3236" i="2"/>
  <c r="AL3237" i="2"/>
  <c r="AL3238" i="2"/>
  <c r="AL3239" i="2"/>
  <c r="AL3240" i="2"/>
  <c r="AL3241" i="2"/>
  <c r="AL3242" i="2"/>
  <c r="AL3243" i="2"/>
  <c r="AL3244" i="2"/>
  <c r="AL3245" i="2"/>
  <c r="AL3246" i="2"/>
  <c r="AL3247" i="2"/>
  <c r="AL3248" i="2"/>
  <c r="AL3249" i="2"/>
  <c r="AL3250" i="2"/>
  <c r="AL3251" i="2"/>
  <c r="AL3252" i="2"/>
  <c r="AL3253" i="2"/>
  <c r="AL3254" i="2"/>
  <c r="AL3255" i="2"/>
  <c r="AL3256" i="2"/>
  <c r="AL3257" i="2"/>
  <c r="AL3258" i="2"/>
  <c r="AL3259" i="2"/>
  <c r="AL3260" i="2"/>
  <c r="AL3261" i="2"/>
  <c r="AL3262" i="2"/>
  <c r="AL3263" i="2"/>
  <c r="AL3264" i="2"/>
  <c r="AL3265" i="2"/>
  <c r="AL3266" i="2"/>
  <c r="AL3267" i="2"/>
  <c r="AL3268" i="2"/>
  <c r="AL3269" i="2"/>
  <c r="AL3270" i="2"/>
  <c r="AL3271" i="2"/>
  <c r="AL3272" i="2"/>
  <c r="AL3273" i="2"/>
  <c r="AL3274" i="2"/>
  <c r="AL3275" i="2"/>
  <c r="AL3276" i="2"/>
  <c r="AL3277" i="2"/>
  <c r="AL3278" i="2"/>
  <c r="AL3279" i="2"/>
  <c r="AL3280" i="2"/>
  <c r="AL3281" i="2"/>
  <c r="AL3282" i="2"/>
  <c r="AL3283" i="2"/>
  <c r="AL3284" i="2"/>
  <c r="AL3285" i="2"/>
  <c r="AL3286" i="2"/>
  <c r="AL3287" i="2"/>
  <c r="AL3288" i="2"/>
  <c r="AL3289" i="2"/>
  <c r="AL3290" i="2"/>
  <c r="AL3291" i="2"/>
  <c r="AL3292" i="2"/>
  <c r="AL3293" i="2"/>
  <c r="AL3294" i="2"/>
  <c r="AL3295" i="2"/>
  <c r="AL3296" i="2"/>
  <c r="AL3297" i="2"/>
  <c r="AL3298" i="2"/>
  <c r="AL3299" i="2"/>
  <c r="AL3300" i="2"/>
  <c r="AL3301" i="2"/>
  <c r="AL3302" i="2"/>
  <c r="AL3303" i="2"/>
  <c r="AL3304" i="2"/>
  <c r="AL3305" i="2"/>
  <c r="AL3306" i="2"/>
  <c r="AL3307" i="2"/>
  <c r="AL3308" i="2"/>
  <c r="AL3309" i="2"/>
  <c r="AL3310" i="2"/>
  <c r="AL3311" i="2"/>
  <c r="AL3312" i="2"/>
  <c r="AL3313" i="2"/>
  <c r="AL3314" i="2"/>
  <c r="AL3315" i="2"/>
  <c r="AL3316" i="2"/>
  <c r="AL3317" i="2"/>
  <c r="AL3318" i="2"/>
  <c r="AL3319" i="2"/>
  <c r="AL3320" i="2"/>
  <c r="AL3321" i="2"/>
  <c r="AL3322" i="2"/>
  <c r="AL3323" i="2"/>
  <c r="AL3324" i="2"/>
  <c r="AL3325" i="2"/>
  <c r="AL3326" i="2"/>
  <c r="AL3327" i="2"/>
  <c r="AL3328" i="2"/>
  <c r="AL3329" i="2"/>
  <c r="AL3330" i="2"/>
  <c r="AL3331" i="2"/>
  <c r="AL3332" i="2"/>
  <c r="AL3333" i="2"/>
  <c r="AL3334" i="2"/>
  <c r="AL3335" i="2"/>
  <c r="AL3336" i="2"/>
  <c r="AL3337" i="2"/>
  <c r="AL3338" i="2"/>
  <c r="AL3339" i="2"/>
  <c r="AL3340" i="2"/>
  <c r="AL3341" i="2"/>
  <c r="AL3342" i="2"/>
  <c r="AL3343" i="2"/>
  <c r="AL3344" i="2"/>
  <c r="AL3345" i="2"/>
  <c r="AL3346" i="2"/>
  <c r="AL3347" i="2"/>
  <c r="AL3348" i="2"/>
  <c r="AL3349" i="2"/>
  <c r="AL3350" i="2"/>
  <c r="AL3351" i="2"/>
  <c r="AL3352" i="2"/>
  <c r="AL3353" i="2"/>
  <c r="AL3354" i="2"/>
  <c r="AL3355" i="2"/>
  <c r="AL3356" i="2"/>
  <c r="AL3357" i="2"/>
  <c r="AL3358" i="2"/>
  <c r="AL3359" i="2"/>
  <c r="AL3360" i="2"/>
  <c r="AL3361" i="2"/>
  <c r="AL3362" i="2"/>
  <c r="AL3363" i="2"/>
  <c r="AL3364" i="2"/>
  <c r="AL3365" i="2"/>
  <c r="AL3366" i="2"/>
  <c r="AL3367" i="2"/>
  <c r="AL3368" i="2"/>
  <c r="AL3369" i="2"/>
  <c r="AL3370" i="2"/>
  <c r="AL3371" i="2"/>
  <c r="AL3372" i="2"/>
  <c r="AL3373" i="2"/>
  <c r="AL3374" i="2"/>
  <c r="AL3375" i="2"/>
  <c r="AL3376" i="2"/>
  <c r="AL3377" i="2"/>
  <c r="AL3378" i="2"/>
  <c r="AL3379" i="2"/>
  <c r="AL3380" i="2"/>
  <c r="AL3381" i="2"/>
  <c r="AL3382" i="2"/>
  <c r="AL3383" i="2"/>
  <c r="AL3384" i="2"/>
  <c r="AL3385" i="2"/>
  <c r="AL3386" i="2"/>
  <c r="AL3387" i="2"/>
  <c r="AL3388" i="2"/>
  <c r="AL3389" i="2"/>
  <c r="AL3390" i="2"/>
  <c r="AL3391" i="2"/>
  <c r="AL3392" i="2"/>
  <c r="AL3393" i="2"/>
  <c r="AL3394" i="2"/>
  <c r="AL3395" i="2"/>
  <c r="AL3396" i="2"/>
  <c r="AL3397" i="2"/>
  <c r="AL3398" i="2"/>
  <c r="AL3399" i="2"/>
  <c r="AL3400" i="2"/>
  <c r="AL3401" i="2"/>
  <c r="AL3402" i="2"/>
  <c r="AL3403" i="2"/>
  <c r="AL3404" i="2"/>
  <c r="AL3405" i="2"/>
  <c r="AL3406" i="2"/>
  <c r="AL3407" i="2"/>
  <c r="AL3408" i="2"/>
  <c r="AL3409" i="2"/>
  <c r="AL3410" i="2"/>
  <c r="AL3411" i="2"/>
  <c r="AL3412" i="2"/>
  <c r="AL3413" i="2"/>
  <c r="AL3414" i="2"/>
  <c r="AL3415" i="2"/>
  <c r="AL3416" i="2"/>
  <c r="AL3417" i="2"/>
  <c r="AL3418" i="2"/>
  <c r="AL3419" i="2"/>
  <c r="AL3420" i="2"/>
  <c r="AL3421" i="2"/>
  <c r="AL3422" i="2"/>
  <c r="AL3423" i="2"/>
  <c r="AL3424" i="2"/>
  <c r="AL3425" i="2"/>
  <c r="AL3426" i="2"/>
  <c r="AL3427" i="2"/>
  <c r="AL3428" i="2"/>
  <c r="AL3429" i="2"/>
  <c r="AL3430" i="2"/>
  <c r="AL3431" i="2"/>
  <c r="AL3432" i="2"/>
  <c r="AL3433" i="2"/>
  <c r="AL3434" i="2"/>
  <c r="AL3435" i="2"/>
  <c r="AL3436" i="2"/>
  <c r="AL3437" i="2"/>
  <c r="AL3438" i="2"/>
  <c r="AL3439" i="2"/>
  <c r="AL3440" i="2"/>
  <c r="AL3441" i="2"/>
  <c r="AL3442" i="2"/>
  <c r="AL3443" i="2"/>
  <c r="AL3444" i="2"/>
  <c r="AL3445" i="2"/>
  <c r="AL3446" i="2"/>
  <c r="AL3447" i="2"/>
  <c r="AL3448" i="2"/>
  <c r="AL3449" i="2"/>
  <c r="AL3450" i="2"/>
  <c r="AL3451" i="2"/>
  <c r="AL3452" i="2"/>
  <c r="AL3453" i="2"/>
  <c r="AL3454" i="2"/>
  <c r="AL3455" i="2"/>
  <c r="AL3456" i="2"/>
  <c r="AL3457" i="2"/>
  <c r="AL3458" i="2"/>
  <c r="AL3459" i="2"/>
  <c r="AL3460" i="2"/>
  <c r="AL3461" i="2"/>
  <c r="AL3462" i="2"/>
  <c r="AL3463" i="2"/>
  <c r="AL3464" i="2"/>
  <c r="AL3465" i="2"/>
  <c r="AL3466" i="2"/>
  <c r="AL3467" i="2"/>
  <c r="AL3468" i="2"/>
  <c r="AL3469" i="2"/>
  <c r="AL3470" i="2"/>
  <c r="AL3471" i="2"/>
  <c r="AL3472" i="2"/>
  <c r="AL3473" i="2"/>
  <c r="AL3474" i="2"/>
  <c r="AL3475" i="2"/>
  <c r="AL3476" i="2"/>
  <c r="AL3477" i="2"/>
  <c r="AL3478" i="2"/>
  <c r="AL3479" i="2"/>
  <c r="AL3480" i="2"/>
  <c r="AL3481" i="2"/>
  <c r="AL3482" i="2"/>
  <c r="AL3483" i="2"/>
  <c r="AL3484" i="2"/>
  <c r="AL3485" i="2"/>
  <c r="AL3486" i="2"/>
  <c r="AL3487" i="2"/>
  <c r="AL3488" i="2"/>
  <c r="AL3489" i="2"/>
  <c r="AL3490" i="2"/>
  <c r="AL3491" i="2"/>
  <c r="AL3492" i="2"/>
  <c r="AL3493" i="2"/>
  <c r="AL3494" i="2"/>
  <c r="AL3495" i="2"/>
  <c r="AL3496" i="2"/>
  <c r="AL3497" i="2"/>
  <c r="AL3498" i="2"/>
  <c r="AL3499" i="2"/>
  <c r="AL3500" i="2"/>
  <c r="AL3501" i="2"/>
  <c r="AL3502" i="2"/>
  <c r="AL3503" i="2"/>
  <c r="AL3504" i="2"/>
  <c r="AL3505" i="2"/>
  <c r="AL3506" i="2"/>
  <c r="AL3507" i="2"/>
  <c r="AL3508" i="2"/>
  <c r="AL3509" i="2"/>
  <c r="AL3510" i="2"/>
  <c r="AL3511" i="2"/>
  <c r="AL3512" i="2"/>
  <c r="AL3513" i="2"/>
  <c r="AL3514" i="2"/>
  <c r="AL3515" i="2"/>
  <c r="AL3516" i="2"/>
  <c r="AL3517" i="2"/>
  <c r="AL3518" i="2"/>
  <c r="AL3519" i="2"/>
  <c r="AL3520" i="2"/>
  <c r="AL3521" i="2"/>
  <c r="AL3522" i="2"/>
  <c r="AL3523" i="2"/>
  <c r="AL3524" i="2"/>
  <c r="AL3525" i="2"/>
  <c r="AL3526" i="2"/>
  <c r="AL3527" i="2"/>
  <c r="AL3528" i="2"/>
  <c r="AL3529" i="2"/>
  <c r="AL3530" i="2"/>
  <c r="AL3531" i="2"/>
  <c r="AL3532" i="2"/>
  <c r="AL3533" i="2"/>
  <c r="AL3534" i="2"/>
  <c r="AL3535" i="2"/>
  <c r="AL3536" i="2"/>
  <c r="AL3537" i="2"/>
  <c r="AL3538" i="2"/>
  <c r="AL3539" i="2"/>
  <c r="AL3540" i="2"/>
  <c r="AL3541" i="2"/>
  <c r="AL3542" i="2"/>
  <c r="AL3543" i="2"/>
  <c r="AL3544" i="2"/>
  <c r="AL3545" i="2"/>
  <c r="AL3546" i="2"/>
  <c r="AL3547" i="2"/>
  <c r="AL3548" i="2"/>
  <c r="AL3549" i="2"/>
  <c r="AL3550" i="2"/>
  <c r="AL3551" i="2"/>
  <c r="AL3552" i="2"/>
  <c r="AL3553" i="2"/>
  <c r="AL3554" i="2"/>
  <c r="AL3555" i="2"/>
  <c r="AL3556" i="2"/>
  <c r="AL3557" i="2"/>
  <c r="AL3558" i="2"/>
  <c r="AL3559" i="2"/>
  <c r="AL3560" i="2"/>
  <c r="AL3561" i="2"/>
  <c r="AL3562" i="2"/>
  <c r="AL3563" i="2"/>
  <c r="AL3564" i="2"/>
  <c r="AL3565" i="2"/>
  <c r="AL3566" i="2"/>
  <c r="AL3567" i="2"/>
  <c r="AL3568" i="2"/>
  <c r="AL3569" i="2"/>
  <c r="AL3570" i="2"/>
  <c r="AL3571" i="2"/>
  <c r="AL3572" i="2"/>
  <c r="AL3573" i="2"/>
  <c r="AL3574" i="2"/>
  <c r="AL3575" i="2"/>
  <c r="AL3576" i="2"/>
  <c r="AL3577" i="2"/>
  <c r="AL3578" i="2"/>
  <c r="AL3579" i="2"/>
  <c r="AL3580" i="2"/>
  <c r="AL3581" i="2"/>
  <c r="AL3582" i="2"/>
  <c r="AL3583" i="2"/>
  <c r="AL3584" i="2"/>
  <c r="AL3585" i="2"/>
  <c r="AL3586" i="2"/>
  <c r="AL3587" i="2"/>
  <c r="AL3588" i="2"/>
  <c r="AL3589" i="2"/>
  <c r="AL3590" i="2"/>
  <c r="AL3591" i="2"/>
  <c r="AL3592" i="2"/>
  <c r="AL3593" i="2"/>
  <c r="AL3594" i="2"/>
  <c r="AL3595" i="2"/>
  <c r="AL3596" i="2"/>
  <c r="AL3597" i="2"/>
  <c r="AL3598" i="2"/>
  <c r="AL3599" i="2"/>
  <c r="AL3600" i="2"/>
  <c r="AL3601" i="2"/>
  <c r="AL3602" i="2"/>
  <c r="AL3603" i="2"/>
  <c r="AL3604" i="2"/>
  <c r="AL3605" i="2"/>
  <c r="AL3606" i="2"/>
  <c r="AL3607" i="2"/>
  <c r="AL3608" i="2"/>
  <c r="AL3609" i="2"/>
  <c r="AL3610" i="2"/>
  <c r="AL3611" i="2"/>
  <c r="AL3612" i="2"/>
  <c r="AL3613" i="2"/>
  <c r="AL3614" i="2"/>
  <c r="AL3615" i="2"/>
  <c r="AL3616" i="2"/>
  <c r="AL3617" i="2"/>
  <c r="AL3618" i="2"/>
  <c r="AL3619" i="2"/>
  <c r="AL3620" i="2"/>
  <c r="AL3621" i="2"/>
  <c r="AL3622" i="2"/>
  <c r="AL3623" i="2"/>
  <c r="AL3624" i="2"/>
  <c r="AL3625" i="2"/>
  <c r="AL3626" i="2"/>
  <c r="AL3627" i="2"/>
  <c r="AL3628" i="2"/>
  <c r="AL3629" i="2"/>
  <c r="AL3630" i="2"/>
  <c r="AL3631" i="2"/>
  <c r="AL3632" i="2"/>
  <c r="AL3633" i="2"/>
  <c r="AL3634" i="2"/>
  <c r="AL3635" i="2"/>
  <c r="AL3636" i="2"/>
  <c r="AL3637" i="2"/>
  <c r="AL3638" i="2"/>
  <c r="AL3639" i="2"/>
  <c r="AL3640" i="2"/>
  <c r="AL3641" i="2"/>
  <c r="AL3642" i="2"/>
  <c r="AL3643" i="2"/>
  <c r="AL3644" i="2"/>
  <c r="AL3645" i="2"/>
  <c r="AL3646" i="2"/>
  <c r="AL3647" i="2"/>
  <c r="AL3648" i="2"/>
  <c r="AL3649" i="2"/>
  <c r="AL3650" i="2"/>
  <c r="AL3651" i="2"/>
  <c r="AL3652" i="2"/>
  <c r="AL3653" i="2"/>
  <c r="AL3654" i="2"/>
  <c r="AL3655" i="2"/>
  <c r="AL3656" i="2"/>
  <c r="AL3657" i="2"/>
  <c r="AL3658" i="2"/>
  <c r="AL3659" i="2"/>
  <c r="AL3660" i="2"/>
  <c r="AL3661" i="2"/>
  <c r="AL3662" i="2"/>
  <c r="AL3663" i="2"/>
  <c r="AL3664" i="2"/>
  <c r="AL3665" i="2"/>
  <c r="AL3666" i="2"/>
  <c r="AL3667" i="2"/>
  <c r="AL3668" i="2"/>
  <c r="AL3669" i="2"/>
  <c r="AL3670" i="2"/>
  <c r="AL3671" i="2"/>
  <c r="AL3672" i="2"/>
  <c r="AL3673" i="2"/>
  <c r="AL3674" i="2"/>
  <c r="AL3675" i="2"/>
  <c r="AL3676" i="2"/>
  <c r="AL3677" i="2"/>
  <c r="AL3678" i="2"/>
  <c r="AL3679" i="2"/>
  <c r="AL3680" i="2"/>
  <c r="AL3681" i="2"/>
  <c r="AL3682" i="2"/>
  <c r="AL3683" i="2"/>
  <c r="AL3684" i="2"/>
  <c r="AL3685" i="2"/>
  <c r="AL3686" i="2"/>
  <c r="AL3687" i="2"/>
  <c r="AL3688" i="2"/>
  <c r="AL3689" i="2"/>
  <c r="AL3690" i="2"/>
  <c r="AL3691" i="2"/>
  <c r="AL3692" i="2"/>
  <c r="AL3693" i="2"/>
  <c r="AL3694" i="2"/>
  <c r="AL3695" i="2"/>
  <c r="AL3696" i="2"/>
  <c r="AL3697" i="2"/>
  <c r="AL3698" i="2"/>
  <c r="AL3699" i="2"/>
  <c r="AL3700" i="2"/>
  <c r="AL3701" i="2"/>
  <c r="AL3702" i="2"/>
  <c r="AL3703" i="2"/>
  <c r="AL3704" i="2"/>
  <c r="AL3705" i="2"/>
  <c r="AL3706" i="2"/>
  <c r="AL3707" i="2"/>
  <c r="AL3708" i="2"/>
  <c r="AL3709" i="2"/>
  <c r="AL3710" i="2"/>
  <c r="AL3711" i="2"/>
  <c r="AL3712" i="2"/>
  <c r="AL3713" i="2"/>
  <c r="AL3714" i="2"/>
  <c r="AL3715" i="2"/>
  <c r="AL3716" i="2"/>
  <c r="AL3717" i="2"/>
  <c r="AL3718" i="2"/>
  <c r="AL3719" i="2"/>
  <c r="AL3720" i="2"/>
  <c r="AL3721" i="2"/>
  <c r="AL3722" i="2"/>
  <c r="AL3723" i="2"/>
  <c r="AL3724" i="2"/>
  <c r="AL3725" i="2"/>
  <c r="AL3726" i="2"/>
  <c r="AL3727" i="2"/>
  <c r="AL3728" i="2"/>
  <c r="AL3729" i="2"/>
  <c r="AL3730" i="2"/>
  <c r="AL3731" i="2"/>
  <c r="AL3732" i="2"/>
  <c r="AL3733" i="2"/>
  <c r="AL3734" i="2"/>
  <c r="AL3735" i="2"/>
  <c r="AL3736" i="2"/>
  <c r="AL3737" i="2"/>
  <c r="AL3738" i="2"/>
  <c r="AL3739" i="2"/>
  <c r="AL3740" i="2"/>
  <c r="AL3741" i="2"/>
  <c r="AL3742" i="2"/>
  <c r="AL3743" i="2"/>
  <c r="AL3744" i="2"/>
  <c r="AL3745" i="2"/>
  <c r="AL3746" i="2"/>
  <c r="AL3747" i="2"/>
  <c r="AL3748" i="2"/>
  <c r="AL3749" i="2"/>
  <c r="AL3750" i="2"/>
  <c r="AL3751" i="2"/>
  <c r="AL3752" i="2"/>
  <c r="AL3753" i="2"/>
  <c r="AL3754" i="2"/>
  <c r="AL3755" i="2"/>
  <c r="AL3756" i="2"/>
  <c r="AL3757" i="2"/>
  <c r="AL3758" i="2"/>
  <c r="AL3759" i="2"/>
  <c r="AL3760" i="2"/>
  <c r="AL3761" i="2"/>
  <c r="AL3762" i="2"/>
  <c r="AL3763" i="2"/>
  <c r="AL3764" i="2"/>
  <c r="AL3765" i="2"/>
  <c r="AL3766" i="2"/>
  <c r="AL3767" i="2"/>
  <c r="AL3768" i="2"/>
  <c r="AL3769" i="2"/>
  <c r="AL3770" i="2"/>
  <c r="AL3771" i="2"/>
  <c r="AL3772" i="2"/>
  <c r="AL3773" i="2"/>
  <c r="AL3774" i="2"/>
  <c r="AL3775" i="2"/>
  <c r="AL3776" i="2"/>
  <c r="AL3777" i="2"/>
  <c r="AL3778" i="2"/>
  <c r="AL3779" i="2"/>
  <c r="AL3780" i="2"/>
  <c r="AL3781" i="2"/>
  <c r="AL3782" i="2"/>
  <c r="AL3783" i="2"/>
  <c r="AL3784" i="2"/>
  <c r="AL3785" i="2"/>
  <c r="AL3786" i="2"/>
  <c r="AL3787" i="2"/>
  <c r="AL3788" i="2"/>
  <c r="AL3789" i="2"/>
  <c r="AL3790" i="2"/>
  <c r="AL3791" i="2"/>
  <c r="AL3792" i="2"/>
  <c r="AL3793" i="2"/>
  <c r="AL3794" i="2"/>
  <c r="AL3795" i="2"/>
  <c r="AL3796" i="2"/>
  <c r="AL3797" i="2"/>
  <c r="AL3798" i="2"/>
  <c r="AL3799" i="2"/>
  <c r="AL3800" i="2"/>
  <c r="AL3801" i="2"/>
  <c r="AL3802" i="2"/>
  <c r="AL3803" i="2"/>
  <c r="AL3804" i="2"/>
  <c r="AL3805" i="2"/>
  <c r="AL3806" i="2"/>
  <c r="AL3807" i="2"/>
  <c r="AL3808" i="2"/>
  <c r="AL3809" i="2"/>
  <c r="AL3810" i="2"/>
  <c r="AL3811" i="2"/>
  <c r="AL3812" i="2"/>
  <c r="AL3813" i="2"/>
  <c r="AL3814" i="2"/>
  <c r="AL3815" i="2"/>
  <c r="AL3816" i="2"/>
  <c r="AL3817" i="2"/>
  <c r="AL3818" i="2"/>
  <c r="AL3819" i="2"/>
  <c r="AL3820" i="2"/>
  <c r="AL3821" i="2"/>
  <c r="AL3822" i="2"/>
  <c r="AL3823" i="2"/>
  <c r="AL3824" i="2"/>
  <c r="AL3825" i="2"/>
  <c r="AL3826" i="2"/>
  <c r="AL3827" i="2"/>
  <c r="AL3828" i="2"/>
  <c r="AL3829" i="2"/>
  <c r="AL3830" i="2"/>
  <c r="AL3831" i="2"/>
  <c r="AL3832" i="2"/>
  <c r="AL3833" i="2"/>
  <c r="AL3834" i="2"/>
  <c r="AL3835" i="2"/>
  <c r="AL3836" i="2"/>
  <c r="AL3837" i="2"/>
  <c r="AL3838" i="2"/>
  <c r="AL3839" i="2"/>
  <c r="AL3840" i="2"/>
  <c r="AL3841" i="2"/>
  <c r="AL3842" i="2"/>
  <c r="AL3843" i="2"/>
  <c r="AL3844" i="2"/>
  <c r="AL3845" i="2"/>
  <c r="AL3846" i="2"/>
  <c r="AL3847" i="2"/>
  <c r="AL3848" i="2"/>
  <c r="AL3849" i="2"/>
  <c r="AL3850" i="2"/>
  <c r="AL3851" i="2"/>
  <c r="AL3852" i="2"/>
  <c r="AL3853" i="2"/>
  <c r="AL3854" i="2"/>
  <c r="AL3855" i="2"/>
  <c r="AL3856" i="2"/>
  <c r="AL3857" i="2"/>
  <c r="AL3858" i="2"/>
  <c r="AL3859" i="2"/>
  <c r="AL3860" i="2"/>
  <c r="AL3861" i="2"/>
  <c r="AL3862" i="2"/>
  <c r="AL3863" i="2"/>
  <c r="AL3864" i="2"/>
  <c r="AL3865" i="2"/>
  <c r="AL3866" i="2"/>
  <c r="AL3867" i="2"/>
  <c r="AL3868" i="2"/>
  <c r="AL3869" i="2"/>
  <c r="AL3870" i="2"/>
  <c r="AL3871" i="2"/>
  <c r="AL3872" i="2"/>
  <c r="AL3873" i="2"/>
  <c r="AL3874" i="2"/>
  <c r="AL3875" i="2"/>
  <c r="AL3876" i="2"/>
  <c r="AL3877" i="2"/>
  <c r="AL3878" i="2"/>
  <c r="AL3879" i="2"/>
  <c r="AL3880" i="2"/>
  <c r="AL3881" i="2"/>
  <c r="AL3882" i="2"/>
  <c r="AL3883" i="2"/>
  <c r="AL3884" i="2"/>
  <c r="AL3885" i="2"/>
  <c r="AL3886" i="2"/>
  <c r="AL3887" i="2"/>
  <c r="AL3888" i="2"/>
  <c r="AL3889" i="2"/>
  <c r="AL3890" i="2"/>
  <c r="AL3891" i="2"/>
  <c r="AL3892" i="2"/>
  <c r="AL3893" i="2"/>
  <c r="AL3894" i="2"/>
  <c r="AL3895" i="2"/>
  <c r="AL3896" i="2"/>
  <c r="AL3897" i="2"/>
  <c r="AL3898" i="2"/>
  <c r="AL3899" i="2"/>
  <c r="AL3900" i="2"/>
  <c r="AL3901" i="2"/>
  <c r="AL3902" i="2"/>
  <c r="AL3903" i="2"/>
  <c r="AL3904" i="2"/>
  <c r="AL3905" i="2"/>
  <c r="AL3906" i="2"/>
  <c r="AL3907" i="2"/>
  <c r="AL3908" i="2"/>
  <c r="AL3909" i="2"/>
  <c r="AL3910" i="2"/>
  <c r="AL3911" i="2"/>
  <c r="AL3912" i="2"/>
  <c r="AL3913" i="2"/>
  <c r="AL3914" i="2"/>
  <c r="AL3915" i="2"/>
  <c r="AL3916" i="2"/>
  <c r="AL3917" i="2"/>
  <c r="AL3918" i="2"/>
  <c r="AL3919" i="2"/>
  <c r="AL3920" i="2"/>
  <c r="AL3921" i="2"/>
  <c r="AL3922" i="2"/>
  <c r="AL3923" i="2"/>
  <c r="AL3924" i="2"/>
  <c r="AL3925" i="2"/>
  <c r="AL3926" i="2"/>
  <c r="AL3927" i="2"/>
  <c r="AL3928" i="2"/>
  <c r="AL3929" i="2"/>
  <c r="AL3930" i="2"/>
  <c r="AL3931" i="2"/>
  <c r="AL3932" i="2"/>
  <c r="AL3933" i="2"/>
  <c r="AL3934" i="2"/>
  <c r="AL3935" i="2"/>
  <c r="AL3936" i="2"/>
  <c r="AL3937" i="2"/>
  <c r="AL3938" i="2"/>
  <c r="AL3939" i="2"/>
  <c r="AL3940" i="2"/>
  <c r="AL3941" i="2"/>
  <c r="AL3942" i="2"/>
  <c r="AL3943" i="2"/>
  <c r="AL3944" i="2"/>
  <c r="AL3945" i="2"/>
  <c r="AL3946" i="2"/>
  <c r="AL3947" i="2"/>
  <c r="AL3948" i="2"/>
  <c r="AL3949" i="2"/>
  <c r="AL3950" i="2"/>
  <c r="AL3951" i="2"/>
  <c r="AL3952" i="2"/>
  <c r="AL3953" i="2"/>
  <c r="AL3954" i="2"/>
  <c r="AL3955" i="2"/>
  <c r="AL3956" i="2"/>
  <c r="AL3957" i="2"/>
  <c r="AL3958" i="2"/>
  <c r="AL3959" i="2"/>
  <c r="AL3960" i="2"/>
  <c r="AL3961" i="2"/>
  <c r="AL3962" i="2"/>
  <c r="AL3963" i="2"/>
  <c r="AL3964" i="2"/>
  <c r="AL3965" i="2"/>
  <c r="AL3966" i="2"/>
  <c r="AL3967" i="2"/>
  <c r="AL3968" i="2"/>
  <c r="AL3969" i="2"/>
  <c r="AL3970" i="2"/>
  <c r="AL3971" i="2"/>
  <c r="AL3972" i="2"/>
  <c r="AL3973" i="2"/>
  <c r="AL3974" i="2"/>
  <c r="AL3975" i="2"/>
  <c r="AL3976" i="2"/>
  <c r="AL3977" i="2"/>
  <c r="AL3978" i="2"/>
  <c r="AL3979" i="2"/>
  <c r="AL3980" i="2"/>
  <c r="AL3981" i="2"/>
  <c r="AL3982" i="2"/>
  <c r="AL3983" i="2"/>
  <c r="AL3984" i="2"/>
  <c r="AL3985" i="2"/>
  <c r="AL3986" i="2"/>
  <c r="AL3987" i="2"/>
  <c r="AL3988" i="2"/>
  <c r="AL3989" i="2"/>
  <c r="AL3990" i="2"/>
  <c r="AL3991" i="2"/>
  <c r="AL3992" i="2"/>
  <c r="AL3993" i="2"/>
  <c r="AL3994" i="2"/>
  <c r="AL3995" i="2"/>
  <c r="AL3996" i="2"/>
  <c r="AL3997" i="2"/>
  <c r="AL3998" i="2"/>
  <c r="AL3999" i="2"/>
  <c r="AL4000" i="2"/>
  <c r="AL4001" i="2"/>
  <c r="AL4002" i="2"/>
  <c r="AL4003" i="2"/>
  <c r="AL4004" i="2"/>
  <c r="AL4005" i="2"/>
  <c r="AL4006" i="2"/>
  <c r="AL4007" i="2"/>
  <c r="AL4008" i="2"/>
  <c r="AL4009" i="2"/>
  <c r="AL4010" i="2"/>
  <c r="AL4011" i="2"/>
  <c r="AL4012" i="2"/>
  <c r="AL4013" i="2"/>
  <c r="AL4014" i="2"/>
  <c r="AL4015" i="2"/>
  <c r="AL4016" i="2"/>
  <c r="AL4017" i="2"/>
  <c r="AL4018" i="2"/>
  <c r="AL4019" i="2"/>
  <c r="AL4020" i="2"/>
  <c r="AL4021" i="2"/>
  <c r="AL4022" i="2"/>
  <c r="AL4023" i="2"/>
  <c r="AL4024" i="2"/>
  <c r="AL4025" i="2"/>
  <c r="AL4026" i="2"/>
  <c r="AL4027" i="2"/>
  <c r="AL4028" i="2"/>
  <c r="AL4029" i="2"/>
  <c r="AL4030" i="2"/>
  <c r="AL4031" i="2"/>
  <c r="AL4032" i="2"/>
  <c r="AL4033" i="2"/>
  <c r="AL4034" i="2"/>
  <c r="AL4035" i="2"/>
  <c r="AL4036" i="2"/>
  <c r="AL4037" i="2"/>
  <c r="AL4038" i="2"/>
  <c r="AL4039" i="2"/>
  <c r="AL4040" i="2"/>
  <c r="AL4041" i="2"/>
  <c r="AL4042" i="2"/>
  <c r="AL4043" i="2"/>
  <c r="AL4044" i="2"/>
  <c r="AL4045" i="2"/>
  <c r="AL4046" i="2"/>
  <c r="AL4047" i="2"/>
  <c r="AL4048" i="2"/>
  <c r="AL4049" i="2"/>
  <c r="AL4050" i="2"/>
  <c r="AL4051" i="2"/>
  <c r="AL4052" i="2"/>
  <c r="AL4053" i="2"/>
  <c r="AL4054" i="2"/>
  <c r="AL4055" i="2"/>
  <c r="AL4056" i="2"/>
  <c r="AL4057" i="2"/>
  <c r="AL4058" i="2"/>
  <c r="AL4059" i="2"/>
  <c r="AL4060" i="2"/>
  <c r="AL4061" i="2"/>
  <c r="AL4062" i="2"/>
  <c r="AL4063" i="2"/>
  <c r="AL4064" i="2"/>
  <c r="AL4065" i="2"/>
  <c r="AL4066" i="2"/>
  <c r="AL4067" i="2"/>
  <c r="AL4068" i="2"/>
  <c r="AL4069" i="2"/>
  <c r="AL4070" i="2"/>
  <c r="AL4071" i="2"/>
  <c r="AL4072" i="2"/>
  <c r="AL4073" i="2"/>
  <c r="AL4074" i="2"/>
  <c r="AL4075" i="2"/>
  <c r="AL4076" i="2"/>
  <c r="AL4077" i="2"/>
  <c r="AL4078" i="2"/>
  <c r="AL4079" i="2"/>
  <c r="AL4080" i="2"/>
  <c r="AL4081" i="2"/>
  <c r="AL4082" i="2"/>
  <c r="AL4083" i="2"/>
  <c r="AL4084" i="2"/>
  <c r="AL4085" i="2"/>
  <c r="AL4086" i="2"/>
  <c r="AL4087" i="2"/>
  <c r="AL4088" i="2"/>
  <c r="AL4089" i="2"/>
  <c r="AL4090" i="2"/>
  <c r="AL4091" i="2"/>
  <c r="AL4092" i="2"/>
  <c r="AL4093" i="2"/>
  <c r="AL4094" i="2"/>
  <c r="AL4095" i="2"/>
  <c r="AL4096" i="2"/>
  <c r="AL4097" i="2"/>
  <c r="AL4098" i="2"/>
  <c r="AL4099" i="2"/>
  <c r="AL4100" i="2"/>
  <c r="AL4101" i="2"/>
  <c r="AL4102" i="2"/>
  <c r="AL4103" i="2"/>
  <c r="AL4104" i="2"/>
  <c r="AL4105" i="2"/>
  <c r="AL4106" i="2"/>
  <c r="AL4107" i="2"/>
  <c r="AL4108" i="2"/>
  <c r="AL4109" i="2"/>
  <c r="AL4110" i="2"/>
  <c r="AL4111" i="2"/>
  <c r="AL4112" i="2"/>
  <c r="AL4113" i="2"/>
  <c r="AL4114" i="2"/>
  <c r="AL4115" i="2"/>
  <c r="AL4116" i="2"/>
  <c r="AL4117" i="2"/>
  <c r="AL4118" i="2"/>
  <c r="AL4119" i="2"/>
  <c r="AL4120" i="2"/>
  <c r="AL4121" i="2"/>
  <c r="AL4122" i="2"/>
  <c r="AL4123" i="2"/>
  <c r="AL4124" i="2"/>
  <c r="AL4125" i="2"/>
  <c r="AL4126" i="2"/>
  <c r="AL4127" i="2"/>
  <c r="AL4128" i="2"/>
  <c r="AL4129" i="2"/>
  <c r="AL4130" i="2"/>
  <c r="AL4131" i="2"/>
  <c r="AL4132" i="2"/>
  <c r="AL4133" i="2"/>
  <c r="AL4134" i="2"/>
  <c r="AL4135" i="2"/>
  <c r="AL4136" i="2"/>
  <c r="AL4137" i="2"/>
  <c r="AL4138" i="2"/>
  <c r="AL4139" i="2"/>
  <c r="AL4140" i="2"/>
  <c r="AL4141" i="2"/>
  <c r="AL4142" i="2"/>
  <c r="AL4143" i="2"/>
  <c r="AL4144" i="2"/>
  <c r="AL4145" i="2"/>
  <c r="AL4146" i="2"/>
  <c r="AL4147" i="2"/>
  <c r="AL4148" i="2"/>
  <c r="AL4149" i="2"/>
  <c r="AL4150" i="2"/>
  <c r="AL4151" i="2"/>
  <c r="AL4152" i="2"/>
  <c r="AL4153" i="2"/>
  <c r="AL4154" i="2"/>
  <c r="AL4155" i="2"/>
  <c r="AL4156" i="2"/>
  <c r="AL4157" i="2"/>
  <c r="AL4158" i="2"/>
  <c r="AL4159" i="2"/>
  <c r="AL4160" i="2"/>
  <c r="AL4161" i="2"/>
  <c r="AL4162" i="2"/>
  <c r="AL4163" i="2"/>
  <c r="AL4164" i="2"/>
  <c r="AL4165" i="2"/>
  <c r="AL4166" i="2"/>
  <c r="AL4167" i="2"/>
  <c r="AL4168" i="2"/>
  <c r="AL4169" i="2"/>
  <c r="AL4170" i="2"/>
  <c r="AL4171" i="2"/>
  <c r="AL4172" i="2"/>
  <c r="AL4173" i="2"/>
  <c r="AL4174" i="2"/>
  <c r="AL4175" i="2"/>
  <c r="AL4176" i="2"/>
  <c r="AL4177" i="2"/>
  <c r="AL4178" i="2"/>
  <c r="AL4179" i="2"/>
  <c r="AL4180" i="2"/>
  <c r="AL4181" i="2"/>
  <c r="AL4182" i="2"/>
  <c r="AL4183" i="2"/>
  <c r="AL4184" i="2"/>
  <c r="AL4185" i="2"/>
  <c r="AL4186" i="2"/>
  <c r="AL4187" i="2"/>
  <c r="AL4188" i="2"/>
  <c r="AL4189" i="2"/>
  <c r="AL4190" i="2"/>
  <c r="AL4191" i="2"/>
  <c r="AL4192" i="2"/>
  <c r="AL4193" i="2"/>
  <c r="AL4194" i="2"/>
  <c r="AL4195" i="2"/>
  <c r="AL4196" i="2"/>
  <c r="AL4197" i="2"/>
  <c r="AL4198" i="2"/>
  <c r="AL4199" i="2"/>
  <c r="AL4200" i="2"/>
  <c r="AL4201" i="2"/>
  <c r="AL4202" i="2"/>
  <c r="AL4203" i="2"/>
  <c r="AL4204" i="2"/>
  <c r="AL4205" i="2"/>
  <c r="AL4206" i="2"/>
  <c r="AL4207" i="2"/>
  <c r="AL4208" i="2"/>
  <c r="AL4209" i="2"/>
  <c r="AL4210" i="2"/>
  <c r="AL4211" i="2"/>
  <c r="AL4212" i="2"/>
  <c r="AL4213" i="2"/>
  <c r="AL4214" i="2"/>
  <c r="AL4215" i="2"/>
  <c r="AL4216" i="2"/>
  <c r="AL4217" i="2"/>
  <c r="AL4218" i="2"/>
  <c r="AL4219" i="2"/>
  <c r="AL4220" i="2"/>
  <c r="AL4221" i="2"/>
  <c r="AL4222" i="2"/>
  <c r="AL4223" i="2"/>
  <c r="AL4224" i="2"/>
  <c r="AL4225" i="2"/>
  <c r="AL4226" i="2"/>
  <c r="AL4227" i="2"/>
  <c r="AL4228" i="2"/>
  <c r="AL4229" i="2"/>
  <c r="AL4230" i="2"/>
  <c r="AL4231" i="2"/>
  <c r="AL4232" i="2"/>
  <c r="AL4233" i="2"/>
  <c r="AL4234" i="2"/>
  <c r="AL4235" i="2"/>
  <c r="AL4236" i="2"/>
  <c r="AL4237" i="2"/>
  <c r="AL4238" i="2"/>
  <c r="AL4239" i="2"/>
  <c r="AL4240" i="2"/>
  <c r="AL4241" i="2"/>
  <c r="AL4242" i="2"/>
  <c r="AL4243" i="2"/>
  <c r="AL4244" i="2"/>
  <c r="AL4245" i="2"/>
  <c r="AL4246" i="2"/>
  <c r="AL4247" i="2"/>
  <c r="AL4248" i="2"/>
  <c r="AL4249" i="2"/>
  <c r="AL4250" i="2"/>
  <c r="AL4251" i="2"/>
  <c r="AL4252" i="2"/>
  <c r="AL4253" i="2"/>
  <c r="AL4254" i="2"/>
  <c r="AL4255" i="2"/>
  <c r="AL4256" i="2"/>
  <c r="AL4257" i="2"/>
  <c r="AL4258" i="2"/>
  <c r="AL4259" i="2"/>
  <c r="AL4260" i="2"/>
  <c r="AL4261" i="2"/>
  <c r="AL4262" i="2"/>
  <c r="AL4263" i="2"/>
  <c r="AL4264" i="2"/>
  <c r="AL4265" i="2"/>
  <c r="AL4266" i="2"/>
  <c r="AL4267" i="2"/>
  <c r="AL4268" i="2"/>
  <c r="AL4269" i="2"/>
  <c r="AL4270" i="2"/>
  <c r="AL4271" i="2"/>
  <c r="AL4272" i="2"/>
  <c r="AL4273" i="2"/>
  <c r="AL4274" i="2"/>
  <c r="AL4275" i="2"/>
  <c r="AL4276" i="2"/>
  <c r="AL4277" i="2"/>
  <c r="AL4278" i="2"/>
  <c r="AL4279" i="2"/>
  <c r="AL4280" i="2"/>
  <c r="AL4281" i="2"/>
  <c r="AL4282" i="2"/>
  <c r="AL4283" i="2"/>
  <c r="AL4284" i="2"/>
  <c r="AL4285" i="2"/>
  <c r="AL4286" i="2"/>
  <c r="AL4287" i="2"/>
  <c r="AL4288" i="2"/>
  <c r="AL4289" i="2"/>
  <c r="AL4290" i="2"/>
  <c r="AL4291" i="2"/>
  <c r="AL4292" i="2"/>
  <c r="AL4293" i="2"/>
  <c r="AL4294" i="2"/>
  <c r="AL4295" i="2"/>
  <c r="AL4296" i="2"/>
  <c r="AL4297" i="2"/>
  <c r="AL4298" i="2"/>
  <c r="AL4299" i="2"/>
  <c r="AL4300" i="2"/>
  <c r="AL4301" i="2"/>
  <c r="AL4302" i="2"/>
  <c r="AL4303" i="2"/>
  <c r="AL4304" i="2"/>
  <c r="AL4305" i="2"/>
  <c r="AL4306" i="2"/>
  <c r="AL4307" i="2"/>
  <c r="AL4308" i="2"/>
  <c r="AL4309" i="2"/>
  <c r="AL4310" i="2"/>
  <c r="AL4311" i="2"/>
  <c r="AL4312" i="2"/>
  <c r="AL4313" i="2"/>
  <c r="AL4314" i="2"/>
  <c r="AL4315" i="2"/>
  <c r="AL4316" i="2"/>
  <c r="AL4317" i="2"/>
  <c r="AL4318" i="2"/>
  <c r="AL4319" i="2"/>
  <c r="AL4320" i="2"/>
  <c r="AL4321" i="2"/>
  <c r="AL4322" i="2"/>
  <c r="AL4323" i="2"/>
  <c r="AL4324" i="2"/>
  <c r="AL4325" i="2"/>
  <c r="AL4326" i="2"/>
  <c r="AL4327" i="2"/>
  <c r="AL4328" i="2"/>
  <c r="AL4329" i="2"/>
  <c r="AL4330" i="2"/>
  <c r="AL4331" i="2"/>
  <c r="AL4332" i="2"/>
  <c r="AL4333" i="2"/>
  <c r="AL4334" i="2"/>
  <c r="AL4335" i="2"/>
  <c r="AL4336" i="2"/>
  <c r="AL4337" i="2"/>
  <c r="AL4338" i="2"/>
  <c r="AL4339" i="2"/>
  <c r="AL4340" i="2"/>
  <c r="AL4341" i="2"/>
  <c r="AL4342" i="2"/>
  <c r="AL4343" i="2"/>
  <c r="AL4344" i="2"/>
  <c r="AL4345" i="2"/>
  <c r="AL4346" i="2"/>
  <c r="AL4347" i="2"/>
  <c r="AL4348" i="2"/>
  <c r="AL4349" i="2"/>
  <c r="AL4350" i="2"/>
  <c r="AL4351" i="2"/>
  <c r="AL4352" i="2"/>
  <c r="AL4353" i="2"/>
  <c r="AL4354" i="2"/>
  <c r="AL4355" i="2"/>
  <c r="AL4356" i="2"/>
  <c r="AL4357" i="2"/>
  <c r="AL4358" i="2"/>
  <c r="AL4359" i="2"/>
  <c r="AL4360" i="2"/>
  <c r="AL4361" i="2"/>
  <c r="AL4362" i="2"/>
  <c r="AL4363" i="2"/>
  <c r="AL4364" i="2"/>
  <c r="AL4365" i="2"/>
  <c r="AL4366" i="2"/>
  <c r="AL4367" i="2"/>
  <c r="AL4368" i="2"/>
  <c r="AL4369" i="2"/>
  <c r="AL4370" i="2"/>
  <c r="AL4371" i="2"/>
  <c r="AL4372" i="2"/>
  <c r="AL4373" i="2"/>
  <c r="AL4374" i="2"/>
  <c r="AL4375" i="2"/>
  <c r="AL4376" i="2"/>
  <c r="AL4377" i="2"/>
  <c r="AL4378" i="2"/>
  <c r="AL4379" i="2"/>
  <c r="AL4380" i="2"/>
  <c r="AL4381" i="2"/>
  <c r="AL4382" i="2"/>
  <c r="AL4383" i="2"/>
  <c r="AL4384" i="2"/>
  <c r="AL4385" i="2"/>
  <c r="AL4386" i="2"/>
  <c r="AL4387" i="2"/>
  <c r="AL4388" i="2"/>
  <c r="AL4389" i="2"/>
  <c r="AL4390" i="2"/>
  <c r="AL4391" i="2"/>
  <c r="AL4392" i="2"/>
  <c r="AL4393" i="2"/>
  <c r="AL4394" i="2"/>
  <c r="AL4395" i="2"/>
  <c r="AL4396" i="2"/>
  <c r="AL4397" i="2"/>
  <c r="AL4398" i="2"/>
  <c r="AL4399" i="2"/>
  <c r="AL4400" i="2"/>
  <c r="AL4401" i="2"/>
  <c r="AL4402" i="2"/>
  <c r="AL4403" i="2"/>
  <c r="AL4404" i="2"/>
  <c r="AL4405" i="2"/>
  <c r="AL4406" i="2"/>
  <c r="AL4407" i="2"/>
  <c r="AL4408" i="2"/>
  <c r="AL4409" i="2"/>
  <c r="AL4410" i="2"/>
  <c r="AL4411" i="2"/>
  <c r="AL4412" i="2"/>
  <c r="AL4413" i="2"/>
  <c r="AL4414" i="2"/>
  <c r="AL4415" i="2"/>
  <c r="AL4416" i="2"/>
  <c r="AL4417" i="2"/>
  <c r="AL4418" i="2"/>
  <c r="AL4419" i="2"/>
  <c r="AL4420" i="2"/>
  <c r="AL4421" i="2"/>
  <c r="AL4422" i="2"/>
  <c r="AL4423" i="2"/>
  <c r="AL4424" i="2"/>
  <c r="AL4425" i="2"/>
  <c r="AL4426" i="2"/>
  <c r="AL4427" i="2"/>
  <c r="AL4428" i="2"/>
  <c r="AL4429" i="2"/>
  <c r="AL4430" i="2"/>
  <c r="AL4431" i="2"/>
  <c r="AL4432" i="2"/>
  <c r="AL4433" i="2"/>
  <c r="AL4434" i="2"/>
  <c r="AL4435" i="2"/>
  <c r="AL4436" i="2"/>
  <c r="AL4437" i="2"/>
  <c r="AL4438" i="2"/>
  <c r="AL4439" i="2"/>
  <c r="AL4440" i="2"/>
  <c r="AL4441" i="2"/>
  <c r="AL4442" i="2"/>
  <c r="AL4443" i="2"/>
  <c r="AL4444" i="2"/>
  <c r="AL4445" i="2"/>
  <c r="AL4446" i="2"/>
  <c r="AL4447" i="2"/>
  <c r="AL4448" i="2"/>
  <c r="AL4449" i="2"/>
  <c r="AL4450" i="2"/>
  <c r="AL4451" i="2"/>
  <c r="AL4452" i="2"/>
  <c r="AL4453" i="2"/>
  <c r="AL4454" i="2"/>
  <c r="AL4455" i="2"/>
  <c r="AL4456" i="2"/>
  <c r="AL4457" i="2"/>
  <c r="AL4458" i="2"/>
  <c r="AL4459" i="2"/>
  <c r="AL4460" i="2"/>
  <c r="AL4461" i="2"/>
  <c r="AL4462" i="2"/>
  <c r="AL4463" i="2"/>
  <c r="AL4464" i="2"/>
  <c r="AL4465" i="2"/>
  <c r="AL4466" i="2"/>
  <c r="AL4467" i="2"/>
  <c r="AL4468" i="2"/>
  <c r="AL4469" i="2"/>
  <c r="AL4470" i="2"/>
  <c r="AL4471" i="2"/>
  <c r="AL4472" i="2"/>
  <c r="AL4473" i="2"/>
  <c r="AL4474" i="2"/>
  <c r="AL4475" i="2"/>
  <c r="AL4476" i="2"/>
  <c r="AL4477" i="2"/>
  <c r="AL4478" i="2"/>
  <c r="AL4479" i="2"/>
  <c r="AL4480" i="2"/>
  <c r="AL4481" i="2"/>
  <c r="AL4482" i="2"/>
  <c r="AL4483" i="2"/>
  <c r="AL4484" i="2"/>
  <c r="AL4485" i="2"/>
  <c r="AL4486" i="2"/>
  <c r="AL4487" i="2"/>
  <c r="AL4488" i="2"/>
  <c r="AL4489" i="2"/>
  <c r="AL4490" i="2"/>
  <c r="AL4491" i="2"/>
  <c r="AL4492" i="2"/>
  <c r="AL4493" i="2"/>
  <c r="AL4494" i="2"/>
  <c r="AL4495" i="2"/>
  <c r="AL4496" i="2"/>
  <c r="AL4497" i="2"/>
  <c r="AL4498" i="2"/>
  <c r="AL4499" i="2"/>
  <c r="AL4500" i="2"/>
  <c r="AL4501" i="2"/>
  <c r="AL4502" i="2"/>
  <c r="AL4503" i="2"/>
  <c r="AL4504" i="2"/>
  <c r="AL4505" i="2"/>
  <c r="AL4506" i="2"/>
  <c r="AL4507" i="2"/>
  <c r="AL4508" i="2"/>
  <c r="AL4509" i="2"/>
  <c r="AL4510" i="2"/>
  <c r="AL4511" i="2"/>
  <c r="AL4512" i="2"/>
  <c r="AL4513" i="2"/>
  <c r="AL4514" i="2"/>
  <c r="AL4515" i="2"/>
  <c r="AL4516" i="2"/>
  <c r="AL4517" i="2"/>
  <c r="AL4518" i="2"/>
  <c r="AL4519" i="2"/>
  <c r="AL4520" i="2"/>
  <c r="AL4521" i="2"/>
  <c r="AL4522" i="2"/>
  <c r="AL4523" i="2"/>
  <c r="AL4524" i="2"/>
  <c r="AL4525" i="2"/>
  <c r="AL4526" i="2"/>
  <c r="AL4527" i="2"/>
  <c r="AL4528" i="2"/>
  <c r="AL4529" i="2"/>
  <c r="AL4530" i="2"/>
  <c r="AL4531" i="2"/>
  <c r="AL4532" i="2"/>
  <c r="AL4533" i="2"/>
  <c r="AL4534" i="2"/>
  <c r="AL4535" i="2"/>
  <c r="AL4536" i="2"/>
  <c r="AL4537" i="2"/>
  <c r="AL4538" i="2"/>
  <c r="AL4539" i="2"/>
  <c r="AL4540" i="2"/>
  <c r="AL4541" i="2"/>
  <c r="AL4542" i="2"/>
  <c r="AL4543" i="2"/>
  <c r="AL4544" i="2"/>
  <c r="AL4545" i="2"/>
  <c r="AL4546" i="2"/>
  <c r="AL4547" i="2"/>
  <c r="AL4548" i="2"/>
  <c r="AL4549" i="2"/>
  <c r="AL4550" i="2"/>
  <c r="AL4551" i="2"/>
  <c r="AL4552" i="2"/>
  <c r="AL4553" i="2"/>
  <c r="AL4554" i="2"/>
  <c r="AL4555" i="2"/>
  <c r="AL4556" i="2"/>
  <c r="AL4557" i="2"/>
  <c r="AL4558" i="2"/>
  <c r="AL4559" i="2"/>
  <c r="AL4560" i="2"/>
  <c r="AL4561" i="2"/>
  <c r="AL4562" i="2"/>
  <c r="AL4563" i="2"/>
  <c r="AL4564" i="2"/>
  <c r="AL4565" i="2"/>
  <c r="AL4566" i="2"/>
  <c r="AL4567" i="2"/>
  <c r="AL4568" i="2"/>
  <c r="AL4569" i="2"/>
  <c r="AL4570" i="2"/>
  <c r="AL4571" i="2"/>
  <c r="AL4572" i="2"/>
  <c r="AL4573" i="2"/>
  <c r="AL4574" i="2"/>
  <c r="AL4575" i="2"/>
  <c r="AL4576" i="2"/>
  <c r="AL4577" i="2"/>
  <c r="AL4578" i="2"/>
  <c r="AL4579" i="2"/>
  <c r="AL4580" i="2"/>
  <c r="AL4581" i="2"/>
  <c r="AL4582" i="2"/>
  <c r="AL4583" i="2"/>
  <c r="AL4584" i="2"/>
  <c r="AL4585" i="2"/>
  <c r="AL4586" i="2"/>
  <c r="AL4587" i="2"/>
  <c r="AL4588" i="2"/>
  <c r="AL4589" i="2"/>
  <c r="AL4590" i="2"/>
  <c r="AL4591" i="2"/>
  <c r="AL4592" i="2"/>
  <c r="AL4593" i="2"/>
  <c r="AL4594" i="2"/>
  <c r="AL4595" i="2"/>
  <c r="AL4596" i="2"/>
  <c r="AL4597" i="2"/>
  <c r="AL4598" i="2"/>
  <c r="AL4599" i="2"/>
  <c r="AL4600" i="2"/>
  <c r="AL4601" i="2"/>
  <c r="AL4602" i="2"/>
  <c r="AL4603" i="2"/>
  <c r="AL4604" i="2"/>
  <c r="AL4605" i="2"/>
  <c r="AL4606" i="2"/>
  <c r="AL4607" i="2"/>
  <c r="AL4608" i="2"/>
  <c r="AL4609" i="2"/>
  <c r="AL4610" i="2"/>
  <c r="AL4611" i="2"/>
  <c r="AL4612" i="2"/>
  <c r="AL4613" i="2"/>
  <c r="AL4614" i="2"/>
  <c r="AL4615" i="2"/>
  <c r="AL4616" i="2"/>
  <c r="AL4617" i="2"/>
  <c r="AL4618" i="2"/>
  <c r="AL4619" i="2"/>
  <c r="AL4620" i="2"/>
  <c r="AL4621" i="2"/>
  <c r="AL4622" i="2"/>
  <c r="AL4623" i="2"/>
  <c r="AL4624" i="2"/>
  <c r="AL4625" i="2"/>
  <c r="AL4626" i="2"/>
  <c r="AL4627" i="2"/>
  <c r="AL4628" i="2"/>
  <c r="AL4629" i="2"/>
  <c r="AL4630" i="2"/>
  <c r="AL4631" i="2"/>
  <c r="AL4632" i="2"/>
  <c r="AL4633" i="2"/>
  <c r="AL4634" i="2"/>
  <c r="AL4635" i="2"/>
  <c r="AL4636" i="2"/>
  <c r="AL4637" i="2"/>
  <c r="AL4638" i="2"/>
  <c r="AL4639" i="2"/>
  <c r="AL4640" i="2"/>
  <c r="AL4641" i="2"/>
  <c r="AL4642" i="2"/>
  <c r="AL4643" i="2"/>
  <c r="AL4644" i="2"/>
  <c r="AL4645" i="2"/>
  <c r="AL4646" i="2"/>
  <c r="AL4647" i="2"/>
  <c r="AL4648" i="2"/>
  <c r="AL4649" i="2"/>
  <c r="AL4650" i="2"/>
  <c r="AL4651" i="2"/>
  <c r="AL4652" i="2"/>
  <c r="AL4653" i="2"/>
  <c r="AL4654" i="2"/>
  <c r="AL4655" i="2"/>
  <c r="AL4656" i="2"/>
  <c r="AL4657" i="2"/>
  <c r="AL4658" i="2"/>
  <c r="AL4659" i="2"/>
  <c r="AL4660" i="2"/>
  <c r="AL4661" i="2"/>
  <c r="AL4662" i="2"/>
  <c r="AL4663" i="2"/>
  <c r="AL4664" i="2"/>
  <c r="AL4665" i="2"/>
  <c r="AL4666" i="2"/>
  <c r="AL4667" i="2"/>
  <c r="AL4668" i="2"/>
  <c r="AL4669" i="2"/>
  <c r="AL4670" i="2"/>
  <c r="AL4671" i="2"/>
  <c r="AL4672" i="2"/>
  <c r="AL4673" i="2"/>
  <c r="AL4674" i="2"/>
  <c r="AL4675" i="2"/>
  <c r="AL4676" i="2"/>
  <c r="AL4677" i="2"/>
  <c r="AL4678" i="2"/>
  <c r="AL4679" i="2"/>
  <c r="AL4680" i="2"/>
  <c r="AL4681" i="2"/>
  <c r="AL4682" i="2"/>
  <c r="AL4683" i="2"/>
  <c r="AL4684" i="2"/>
  <c r="AL4685" i="2"/>
  <c r="AL4686" i="2"/>
  <c r="AL4687" i="2"/>
  <c r="AL4688" i="2"/>
  <c r="AL4689" i="2"/>
  <c r="AL4690" i="2"/>
  <c r="AL4691" i="2"/>
  <c r="AL4692" i="2"/>
  <c r="AL4693" i="2"/>
  <c r="AL4694" i="2"/>
  <c r="AL4695" i="2"/>
  <c r="AL4696" i="2"/>
  <c r="AL4697" i="2"/>
  <c r="AL4698" i="2"/>
  <c r="AL4699" i="2"/>
  <c r="AL4700" i="2"/>
  <c r="AL4701" i="2"/>
  <c r="AL4702" i="2"/>
  <c r="AL4703" i="2"/>
  <c r="AL4704" i="2"/>
  <c r="AL4705" i="2"/>
  <c r="AL4706" i="2"/>
  <c r="AL4707" i="2"/>
  <c r="AL4708" i="2"/>
  <c r="AL4709" i="2"/>
  <c r="AL4710" i="2"/>
  <c r="AL4711" i="2"/>
  <c r="AL4712" i="2"/>
  <c r="AL4713" i="2"/>
  <c r="AL4714" i="2"/>
  <c r="AL4715" i="2"/>
  <c r="AL4716" i="2"/>
  <c r="AL4717" i="2"/>
  <c r="AL4718" i="2"/>
  <c r="AL4719" i="2"/>
  <c r="AL4720" i="2"/>
  <c r="AL4721" i="2"/>
  <c r="AL4722" i="2"/>
  <c r="AL4723" i="2"/>
  <c r="AL4724" i="2"/>
  <c r="AL4725" i="2"/>
  <c r="AL4726" i="2"/>
  <c r="AL4727" i="2"/>
  <c r="AL4728" i="2"/>
  <c r="AL4729" i="2"/>
  <c r="AL4730" i="2"/>
  <c r="AL4731" i="2"/>
  <c r="AL4732" i="2"/>
  <c r="AL4733" i="2"/>
  <c r="AL4734" i="2"/>
  <c r="AL4735" i="2"/>
  <c r="AL4736" i="2"/>
  <c r="AL4737" i="2"/>
  <c r="AL4738" i="2"/>
  <c r="AL4739" i="2"/>
  <c r="AL4740" i="2"/>
  <c r="AL4741" i="2"/>
  <c r="AL4742" i="2"/>
  <c r="AL4743" i="2"/>
  <c r="AL4744" i="2"/>
  <c r="AL4745" i="2"/>
  <c r="AL4746" i="2"/>
  <c r="AL4747" i="2"/>
  <c r="AL4748" i="2"/>
  <c r="AL4749" i="2"/>
  <c r="AL4750" i="2"/>
  <c r="AL4751" i="2"/>
  <c r="AL4752" i="2"/>
  <c r="AL4753" i="2"/>
  <c r="AL4754" i="2"/>
  <c r="AL4755" i="2"/>
  <c r="AL4756" i="2"/>
  <c r="AL4757" i="2"/>
  <c r="AL4758" i="2"/>
  <c r="AL4759" i="2"/>
  <c r="AL4760" i="2"/>
  <c r="AL4761" i="2"/>
  <c r="AL4762" i="2"/>
  <c r="AL4763" i="2"/>
  <c r="AL4764" i="2"/>
  <c r="AL4765" i="2"/>
  <c r="AL4766" i="2"/>
  <c r="AL4767" i="2"/>
  <c r="AL4768" i="2"/>
  <c r="AL4769" i="2"/>
  <c r="AL4770" i="2"/>
  <c r="AL4771" i="2"/>
  <c r="AL4772" i="2"/>
  <c r="AL4773" i="2"/>
  <c r="AL4774" i="2"/>
  <c r="AL4775" i="2"/>
  <c r="AL4776" i="2"/>
  <c r="AL4777" i="2"/>
  <c r="AL4778" i="2"/>
  <c r="AL4779" i="2"/>
  <c r="AL4780" i="2"/>
  <c r="AL4781" i="2"/>
  <c r="AL4782" i="2"/>
  <c r="AL4783" i="2"/>
  <c r="AL4784" i="2"/>
  <c r="AL4785" i="2"/>
  <c r="AL4786" i="2"/>
  <c r="AL4787" i="2"/>
  <c r="AL4788" i="2"/>
  <c r="AL4789" i="2"/>
  <c r="AL4790" i="2"/>
  <c r="AL4791" i="2"/>
  <c r="AL4792" i="2"/>
  <c r="AL4793" i="2"/>
  <c r="AL4794" i="2"/>
  <c r="AL4795" i="2"/>
  <c r="AL4796" i="2"/>
  <c r="AL4797" i="2"/>
  <c r="AL4798" i="2"/>
  <c r="AL4799" i="2"/>
  <c r="AL4800" i="2"/>
  <c r="AL4801" i="2"/>
  <c r="AL4802" i="2"/>
  <c r="AL4803" i="2"/>
  <c r="AL4804" i="2"/>
  <c r="AL4805" i="2"/>
  <c r="AL4806" i="2"/>
  <c r="AL4807" i="2"/>
  <c r="AL4808" i="2"/>
  <c r="AL4809" i="2"/>
  <c r="AL4810" i="2"/>
  <c r="AL4811" i="2"/>
  <c r="AL4812" i="2"/>
  <c r="AL4813" i="2"/>
  <c r="AL4814" i="2"/>
  <c r="AL4815" i="2"/>
  <c r="AL4816" i="2"/>
  <c r="AL4817" i="2"/>
  <c r="AL4818" i="2"/>
  <c r="AL4819" i="2"/>
  <c r="AL4820" i="2"/>
  <c r="AL4821" i="2"/>
  <c r="AL4822" i="2"/>
  <c r="AL4823" i="2"/>
  <c r="AL4824" i="2"/>
  <c r="AL4825" i="2"/>
  <c r="AL4826" i="2"/>
  <c r="AL4827" i="2"/>
  <c r="AL4828" i="2"/>
  <c r="AL4829" i="2"/>
  <c r="AL4830" i="2"/>
  <c r="AL4831" i="2"/>
  <c r="AL4832" i="2"/>
  <c r="AL4833" i="2"/>
  <c r="AL4834" i="2"/>
  <c r="AL4835" i="2"/>
  <c r="AL4836" i="2"/>
  <c r="AL4837" i="2"/>
  <c r="AL4838" i="2"/>
  <c r="AL4839" i="2"/>
  <c r="AL4840" i="2"/>
  <c r="AL4841" i="2"/>
  <c r="AL4842" i="2"/>
  <c r="AL4843" i="2"/>
  <c r="AL4844" i="2"/>
  <c r="AL4845" i="2"/>
  <c r="AL4846" i="2"/>
  <c r="AL4847" i="2"/>
  <c r="AL4848" i="2"/>
  <c r="AL4849" i="2"/>
  <c r="AL4850" i="2"/>
  <c r="AL4851" i="2"/>
  <c r="AL4852" i="2"/>
  <c r="AL4853" i="2"/>
  <c r="AL4854" i="2"/>
  <c r="AL4855" i="2"/>
  <c r="AL4856" i="2"/>
  <c r="AL4857" i="2"/>
  <c r="AL4858" i="2"/>
  <c r="AL4859" i="2"/>
  <c r="AL4860" i="2"/>
  <c r="AL4861" i="2"/>
  <c r="AL4862" i="2"/>
  <c r="AL4863" i="2"/>
  <c r="AL4864" i="2"/>
  <c r="AL4865" i="2"/>
  <c r="AL4866" i="2"/>
  <c r="AL4867" i="2"/>
  <c r="AL4868" i="2"/>
  <c r="AL4869" i="2"/>
  <c r="AL4870" i="2"/>
  <c r="AL4871" i="2"/>
  <c r="AL4872" i="2"/>
  <c r="AL4873" i="2"/>
  <c r="AL4874" i="2"/>
  <c r="AL4875" i="2"/>
  <c r="AL4876" i="2"/>
  <c r="AL4877" i="2"/>
  <c r="AL4878" i="2"/>
  <c r="AL4879" i="2"/>
  <c r="AL4880" i="2"/>
  <c r="AL4881" i="2"/>
  <c r="AL4882" i="2"/>
  <c r="AL4883" i="2"/>
  <c r="AL4884" i="2"/>
  <c r="AL4885" i="2"/>
  <c r="AL4886" i="2"/>
  <c r="AL4887" i="2"/>
  <c r="AL4888" i="2"/>
  <c r="AL4889" i="2"/>
  <c r="AL4890" i="2"/>
  <c r="AL4891" i="2"/>
  <c r="AL4892" i="2"/>
  <c r="AL4893" i="2"/>
  <c r="AL4894" i="2"/>
  <c r="AL4895" i="2"/>
  <c r="AL4896" i="2"/>
  <c r="AL4897" i="2"/>
  <c r="AL4898" i="2"/>
  <c r="AL4899" i="2"/>
  <c r="AL4900" i="2"/>
  <c r="AL4901" i="2"/>
  <c r="AL4902" i="2"/>
  <c r="AL4903" i="2"/>
  <c r="AL4904" i="2"/>
  <c r="AL4905" i="2"/>
  <c r="AL4906" i="2"/>
  <c r="AL4907" i="2"/>
  <c r="AL4908" i="2"/>
  <c r="AL4909" i="2"/>
  <c r="AL4910" i="2"/>
  <c r="AL4911" i="2"/>
  <c r="AL4912" i="2"/>
  <c r="AL4913" i="2"/>
  <c r="AL4914" i="2"/>
  <c r="AL4915" i="2"/>
  <c r="AL4916" i="2"/>
  <c r="AL4917" i="2"/>
  <c r="AL4918" i="2"/>
  <c r="AL4919" i="2"/>
  <c r="AL4920" i="2"/>
  <c r="AL4921" i="2"/>
  <c r="AL4922" i="2"/>
  <c r="AL4923" i="2"/>
  <c r="AL4924" i="2"/>
  <c r="AL4925" i="2"/>
  <c r="AL4926" i="2"/>
  <c r="AL4927" i="2"/>
  <c r="AL4928" i="2"/>
  <c r="AL4929" i="2"/>
  <c r="AL4930" i="2"/>
  <c r="AL4931" i="2"/>
  <c r="AL4932" i="2"/>
  <c r="AL4933" i="2"/>
  <c r="AL4934" i="2"/>
  <c r="AL4935" i="2"/>
  <c r="AL4936" i="2"/>
  <c r="AL4937" i="2"/>
  <c r="AL4938" i="2"/>
  <c r="AL4939" i="2"/>
  <c r="AL4940" i="2"/>
  <c r="AL4941" i="2"/>
  <c r="AL4942" i="2"/>
  <c r="AL4943" i="2"/>
  <c r="AL4944" i="2"/>
  <c r="AL4945" i="2"/>
  <c r="AL4946" i="2"/>
  <c r="AL4947" i="2"/>
  <c r="AL4948" i="2"/>
  <c r="AL4949" i="2"/>
  <c r="AL4950" i="2"/>
  <c r="AL4951" i="2"/>
  <c r="AL4952" i="2"/>
  <c r="AL4953" i="2"/>
  <c r="AL4954" i="2"/>
  <c r="AL4955" i="2"/>
  <c r="AL4956" i="2"/>
  <c r="AL4957" i="2"/>
  <c r="AL4958" i="2"/>
  <c r="AL4959" i="2"/>
  <c r="AL4960" i="2"/>
  <c r="AL4961" i="2"/>
  <c r="AL4962" i="2"/>
  <c r="AL4963" i="2"/>
  <c r="AL4964" i="2"/>
  <c r="AL4965" i="2"/>
  <c r="AL4966" i="2"/>
  <c r="AL4967" i="2"/>
  <c r="AL4968" i="2"/>
  <c r="AL4969" i="2"/>
  <c r="AL4970" i="2"/>
  <c r="AL4971" i="2"/>
  <c r="AL4972" i="2"/>
  <c r="AL4973" i="2"/>
  <c r="AL4974" i="2"/>
  <c r="AL4975" i="2"/>
  <c r="AL4976" i="2"/>
  <c r="AL4977" i="2"/>
  <c r="AL4978" i="2"/>
  <c r="AL4979" i="2"/>
  <c r="AL4980" i="2"/>
  <c r="AL4981" i="2"/>
  <c r="AL4982" i="2"/>
  <c r="AL4983" i="2"/>
  <c r="AL4984" i="2"/>
  <c r="AL4985" i="2"/>
  <c r="AL4986" i="2"/>
  <c r="AL4987" i="2"/>
  <c r="AL4988" i="2"/>
  <c r="AL4989" i="2"/>
  <c r="AL4990" i="2"/>
  <c r="AL4991" i="2"/>
  <c r="AL4992" i="2"/>
  <c r="AL4993" i="2"/>
  <c r="AL4994" i="2"/>
  <c r="AL4995" i="2"/>
  <c r="AL4996" i="2"/>
  <c r="AL4997" i="2"/>
  <c r="AL4998" i="2"/>
  <c r="AL4999" i="2"/>
  <c r="AL5000" i="2"/>
  <c r="AL5001" i="2"/>
  <c r="AL5002" i="2"/>
  <c r="AL5003" i="2"/>
  <c r="AL5004" i="2"/>
  <c r="AL5005" i="2"/>
  <c r="AL5006" i="2"/>
  <c r="AL5007" i="2"/>
  <c r="AL5008" i="2"/>
  <c r="AL5009" i="2"/>
  <c r="AL5010" i="2"/>
  <c r="AL5011" i="2"/>
  <c r="AL5012" i="2"/>
  <c r="AL5013" i="2"/>
  <c r="AL5014" i="2"/>
  <c r="AL5015" i="2"/>
  <c r="AL5016" i="2"/>
  <c r="AL5017" i="2"/>
  <c r="AL5018" i="2"/>
  <c r="AL5019" i="2"/>
  <c r="AL5020" i="2"/>
  <c r="AL5021" i="2"/>
  <c r="AL5022" i="2"/>
  <c r="AL5023" i="2"/>
  <c r="AL5024" i="2"/>
  <c r="AL5025" i="2"/>
  <c r="AL5026" i="2"/>
  <c r="AL5027" i="2"/>
  <c r="AL5028" i="2"/>
  <c r="AL5029" i="2"/>
  <c r="AL5030" i="2"/>
  <c r="AL5031" i="2"/>
  <c r="AL5032" i="2"/>
  <c r="AL5033" i="2"/>
  <c r="AL5034" i="2"/>
  <c r="AL5035" i="2"/>
  <c r="AL5036" i="2"/>
  <c r="AL5037" i="2"/>
  <c r="AL5038" i="2"/>
  <c r="AL5039" i="2"/>
  <c r="AL5040" i="2"/>
  <c r="AL5041" i="2"/>
  <c r="AL5042" i="2"/>
  <c r="AL5043" i="2"/>
  <c r="AL5044" i="2"/>
  <c r="AL5045" i="2"/>
  <c r="AL5046" i="2"/>
  <c r="AL5047" i="2"/>
  <c r="AL5048" i="2"/>
  <c r="AL5049" i="2"/>
  <c r="AL5050" i="2"/>
  <c r="AL5051" i="2"/>
  <c r="AL5052" i="2"/>
  <c r="AL5053" i="2"/>
  <c r="AL5054" i="2"/>
  <c r="AL5055" i="2"/>
  <c r="AL5056" i="2"/>
  <c r="AL5057" i="2"/>
  <c r="AL5058" i="2"/>
  <c r="AL5059" i="2"/>
  <c r="AL5060" i="2"/>
  <c r="AL5061" i="2"/>
  <c r="AL5062" i="2"/>
  <c r="AL5063" i="2"/>
  <c r="AL5064" i="2"/>
  <c r="AL5065" i="2"/>
  <c r="AL5066" i="2"/>
  <c r="AL5067" i="2"/>
  <c r="AL5068" i="2"/>
  <c r="AL5069" i="2"/>
  <c r="AL5070" i="2"/>
  <c r="AL5071" i="2"/>
  <c r="AL5072" i="2"/>
  <c r="AL5073" i="2"/>
  <c r="AL5074" i="2"/>
  <c r="AL5075" i="2"/>
  <c r="AL5076" i="2"/>
  <c r="AL5077" i="2"/>
  <c r="AL5078" i="2"/>
  <c r="AL5079" i="2"/>
  <c r="AL5080" i="2"/>
  <c r="AL5081" i="2"/>
  <c r="AL5082" i="2"/>
  <c r="AL5083" i="2"/>
  <c r="AL5084" i="2"/>
  <c r="AL5085" i="2"/>
  <c r="AL5086" i="2"/>
  <c r="AL5087" i="2"/>
  <c r="AL5088" i="2"/>
  <c r="AL5089" i="2"/>
  <c r="AL5090" i="2"/>
  <c r="AL5091" i="2"/>
  <c r="AL5092" i="2"/>
  <c r="AL5093" i="2"/>
  <c r="AL5094" i="2"/>
  <c r="AL5095" i="2"/>
  <c r="AL5096" i="2"/>
  <c r="AL5097" i="2"/>
  <c r="AL5098" i="2"/>
  <c r="AL5099" i="2"/>
  <c r="AL5100" i="2"/>
  <c r="AL5101" i="2"/>
  <c r="AL5102" i="2"/>
  <c r="AL5103" i="2"/>
  <c r="AL5104" i="2"/>
  <c r="AL5105" i="2"/>
  <c r="AL5106" i="2"/>
  <c r="AL5107" i="2"/>
  <c r="AL5108" i="2"/>
  <c r="AL5109" i="2"/>
  <c r="AL5110" i="2"/>
  <c r="AL5111" i="2"/>
  <c r="AL5112" i="2"/>
  <c r="AL5113" i="2"/>
  <c r="AL5114" i="2"/>
  <c r="AL5115" i="2"/>
  <c r="AL5116" i="2"/>
  <c r="AL5117" i="2"/>
  <c r="AL5118" i="2"/>
  <c r="AL5119" i="2"/>
  <c r="AL5120" i="2"/>
  <c r="AL5121" i="2"/>
  <c r="AL5122" i="2"/>
  <c r="AL5123" i="2"/>
  <c r="AL5124" i="2"/>
  <c r="AL5125" i="2"/>
  <c r="AL5126" i="2"/>
  <c r="AL5127" i="2"/>
  <c r="AL5128" i="2"/>
  <c r="AL5129" i="2"/>
  <c r="AL5130" i="2"/>
  <c r="AL5131" i="2"/>
  <c r="AL5132" i="2"/>
  <c r="AL5133" i="2"/>
  <c r="AL5134" i="2"/>
  <c r="AL5135" i="2"/>
  <c r="AL5136" i="2"/>
  <c r="AL5137" i="2"/>
  <c r="AL5138" i="2"/>
  <c r="AL5139" i="2"/>
  <c r="AL5140" i="2"/>
  <c r="AL5141" i="2"/>
  <c r="AL5142" i="2"/>
  <c r="AL5143" i="2"/>
  <c r="AL5144" i="2"/>
  <c r="AL5145" i="2"/>
  <c r="AL5146" i="2"/>
  <c r="AL5147" i="2"/>
  <c r="AL5148" i="2"/>
  <c r="AL5149" i="2"/>
  <c r="AL5150" i="2"/>
  <c r="AL5151" i="2"/>
  <c r="AL5152" i="2"/>
  <c r="AL5153" i="2"/>
  <c r="AL5154" i="2"/>
  <c r="AL5155" i="2"/>
  <c r="AL5156" i="2"/>
  <c r="AL5157" i="2"/>
  <c r="AL5158" i="2"/>
  <c r="AL5159" i="2"/>
  <c r="AL5160" i="2"/>
  <c r="AL5161" i="2"/>
  <c r="AL5162" i="2"/>
  <c r="AL5163" i="2"/>
  <c r="AL5164" i="2"/>
  <c r="AL5165" i="2"/>
  <c r="AL5166" i="2"/>
  <c r="AL5167" i="2"/>
  <c r="AL5168" i="2"/>
  <c r="AL5169" i="2"/>
  <c r="AL5170" i="2"/>
  <c r="AL5171" i="2"/>
  <c r="AL5172" i="2"/>
  <c r="AL5173" i="2"/>
  <c r="AL5174" i="2"/>
  <c r="AL5175" i="2"/>
  <c r="AL5176" i="2"/>
  <c r="AL5177" i="2"/>
  <c r="AL5178" i="2"/>
  <c r="AL5179" i="2"/>
  <c r="AL5180" i="2"/>
  <c r="AL5181" i="2"/>
  <c r="AL5182" i="2"/>
  <c r="AL5183" i="2"/>
  <c r="AL5184" i="2"/>
  <c r="AL5185" i="2"/>
  <c r="AL5186" i="2"/>
  <c r="AL5187" i="2"/>
  <c r="AL5188" i="2"/>
  <c r="AL5189" i="2"/>
  <c r="AL5190" i="2"/>
  <c r="AL5191" i="2"/>
  <c r="AL5192" i="2"/>
  <c r="AL5193" i="2"/>
  <c r="AL5194" i="2"/>
  <c r="AL5195" i="2"/>
  <c r="AL5196" i="2"/>
  <c r="AL5197" i="2"/>
  <c r="AL5198" i="2"/>
  <c r="AL5199" i="2"/>
  <c r="AL5200" i="2"/>
  <c r="AL5201" i="2"/>
  <c r="AL5202" i="2"/>
  <c r="AL5203" i="2"/>
  <c r="AL5204" i="2"/>
  <c r="AL5205" i="2"/>
  <c r="AL5206" i="2"/>
  <c r="AL5207" i="2"/>
  <c r="AL5208" i="2"/>
  <c r="AL5209" i="2"/>
  <c r="AL5210" i="2"/>
  <c r="AL5211" i="2"/>
  <c r="AL5212" i="2"/>
  <c r="AL5213" i="2"/>
  <c r="AL5214" i="2"/>
  <c r="AL5215" i="2"/>
  <c r="AL5216" i="2"/>
  <c r="AL5217" i="2"/>
  <c r="AL5218" i="2"/>
  <c r="AL5219" i="2"/>
  <c r="AL5220" i="2"/>
  <c r="AL5221" i="2"/>
  <c r="AL5222" i="2"/>
  <c r="AL5223" i="2"/>
  <c r="AL5224" i="2"/>
  <c r="AL5225" i="2"/>
  <c r="AL5226" i="2"/>
  <c r="AL5227" i="2"/>
  <c r="AL5228" i="2"/>
  <c r="AL5229" i="2"/>
  <c r="AL5230" i="2"/>
  <c r="AL5231" i="2"/>
  <c r="AL5232" i="2"/>
  <c r="AL5233" i="2"/>
  <c r="AL5234" i="2"/>
  <c r="AL5235" i="2"/>
  <c r="AL5236" i="2"/>
  <c r="AL5237" i="2"/>
  <c r="AL5238" i="2"/>
  <c r="AL5239" i="2"/>
  <c r="AL5240" i="2"/>
  <c r="AL5241" i="2"/>
  <c r="AL5242" i="2"/>
  <c r="AL5243" i="2"/>
  <c r="AL5244" i="2"/>
  <c r="AL5245" i="2"/>
  <c r="AL5246" i="2"/>
  <c r="AL5247" i="2"/>
  <c r="AL5248" i="2"/>
  <c r="AL5249" i="2"/>
  <c r="AL5250" i="2"/>
  <c r="AL5251" i="2"/>
  <c r="AL5252" i="2"/>
  <c r="AL5253" i="2"/>
  <c r="AL5254" i="2"/>
  <c r="AL5255" i="2"/>
  <c r="AL5256" i="2"/>
  <c r="AL5257" i="2"/>
  <c r="AL5258" i="2"/>
  <c r="AL5259" i="2"/>
  <c r="AL5260" i="2"/>
  <c r="AL5261" i="2"/>
  <c r="AL5262" i="2"/>
  <c r="AL5263" i="2"/>
  <c r="AL5264" i="2"/>
  <c r="AL5265" i="2"/>
  <c r="AL5266" i="2"/>
  <c r="AL5267" i="2"/>
  <c r="AL5268" i="2"/>
  <c r="AL5269" i="2"/>
  <c r="AL5270" i="2"/>
  <c r="AL5271" i="2"/>
  <c r="AL5272" i="2"/>
  <c r="AL5273" i="2"/>
  <c r="AL5274" i="2"/>
  <c r="AL5275" i="2"/>
  <c r="AL5276" i="2"/>
  <c r="AL5277" i="2"/>
  <c r="AL5278" i="2"/>
  <c r="AL5279" i="2"/>
  <c r="AL5280" i="2"/>
  <c r="AL5281" i="2"/>
  <c r="AL5282" i="2"/>
  <c r="AL5283" i="2"/>
  <c r="AL5284" i="2"/>
  <c r="AL5285" i="2"/>
  <c r="AL5286" i="2"/>
  <c r="AL5287" i="2"/>
  <c r="AL5288" i="2"/>
  <c r="AL5289" i="2"/>
  <c r="AL5290" i="2"/>
  <c r="AL5291" i="2"/>
  <c r="AL5292" i="2"/>
  <c r="AL5293" i="2"/>
  <c r="AL5294" i="2"/>
  <c r="AL5295" i="2"/>
  <c r="AL5296" i="2"/>
  <c r="AL5297" i="2"/>
  <c r="AL5298" i="2"/>
  <c r="AL5299" i="2"/>
  <c r="AL5300" i="2"/>
  <c r="AL5301" i="2"/>
  <c r="AL5302" i="2"/>
  <c r="AL5303" i="2"/>
  <c r="AL5304" i="2"/>
  <c r="AL5305" i="2"/>
  <c r="AL5306" i="2"/>
  <c r="AL5307" i="2"/>
  <c r="AL5308" i="2"/>
  <c r="AL5309" i="2"/>
  <c r="AL5310" i="2"/>
  <c r="AL5311" i="2"/>
  <c r="AL5312" i="2"/>
  <c r="AL5313" i="2"/>
  <c r="AL5314" i="2"/>
  <c r="AL5315" i="2"/>
  <c r="AL5316" i="2"/>
  <c r="AL5317" i="2"/>
  <c r="AL5318" i="2"/>
  <c r="AL5319" i="2"/>
  <c r="AL5320" i="2"/>
  <c r="AL5321" i="2"/>
  <c r="AL5322" i="2"/>
  <c r="AL5323" i="2"/>
  <c r="AL5324" i="2"/>
  <c r="AL5325" i="2"/>
  <c r="AL5326" i="2"/>
  <c r="AL5327" i="2"/>
  <c r="AL5328" i="2"/>
  <c r="AL5329" i="2"/>
  <c r="AL5330" i="2"/>
  <c r="AL5331" i="2"/>
  <c r="AL5332" i="2"/>
  <c r="AL5333" i="2"/>
  <c r="AL5334" i="2"/>
  <c r="AL5335" i="2"/>
  <c r="AL5336" i="2"/>
  <c r="AL5337" i="2"/>
  <c r="AL5338" i="2"/>
  <c r="AL5339" i="2"/>
  <c r="AL5340" i="2"/>
  <c r="AL5341" i="2"/>
  <c r="AL5342" i="2"/>
  <c r="AL5343" i="2"/>
  <c r="AL5344" i="2"/>
  <c r="AL5345" i="2"/>
  <c r="AL5346" i="2"/>
  <c r="AL5347" i="2"/>
  <c r="AL5348" i="2"/>
  <c r="AL5349" i="2"/>
  <c r="AL5350" i="2"/>
  <c r="AL5351" i="2"/>
  <c r="AL5352" i="2"/>
  <c r="AL5353" i="2"/>
  <c r="AL5354" i="2"/>
  <c r="AL5355" i="2"/>
  <c r="AL5356" i="2"/>
  <c r="AL5357" i="2"/>
  <c r="AL5358" i="2"/>
  <c r="AL5359" i="2"/>
  <c r="AL5360" i="2"/>
  <c r="AL5361" i="2"/>
  <c r="AL5362" i="2"/>
  <c r="AL5363" i="2"/>
  <c r="AL5364" i="2"/>
  <c r="AL5365" i="2"/>
  <c r="AL5366" i="2"/>
  <c r="AL5367" i="2"/>
  <c r="AL5368" i="2"/>
  <c r="AL5369" i="2"/>
  <c r="AL5370" i="2"/>
  <c r="AL5371" i="2"/>
  <c r="AL5372" i="2"/>
  <c r="AL5373" i="2"/>
  <c r="AL5374" i="2"/>
  <c r="AL5375" i="2"/>
  <c r="AL5376" i="2"/>
  <c r="AL5377" i="2"/>
  <c r="AL5378" i="2"/>
  <c r="AL5379" i="2"/>
  <c r="AL5380" i="2"/>
  <c r="AL5381" i="2"/>
  <c r="AL5382" i="2"/>
  <c r="AL5383" i="2"/>
  <c r="AL5384" i="2"/>
  <c r="AL5385" i="2"/>
  <c r="AL5386" i="2"/>
  <c r="AL5387" i="2"/>
  <c r="AL5388" i="2"/>
  <c r="AL5389" i="2"/>
  <c r="AL5390" i="2"/>
  <c r="AL5391" i="2"/>
  <c r="AL5392" i="2"/>
  <c r="AL5393" i="2"/>
  <c r="AL5394" i="2"/>
  <c r="AL5395" i="2"/>
  <c r="AL5396" i="2"/>
  <c r="AL5397" i="2"/>
  <c r="AL5398" i="2"/>
  <c r="AL5399" i="2"/>
  <c r="AL5400" i="2"/>
  <c r="AL5401" i="2"/>
  <c r="AL5402" i="2"/>
  <c r="AL5403" i="2"/>
  <c r="AL5404" i="2"/>
  <c r="AL5405" i="2"/>
  <c r="AL5406" i="2"/>
  <c r="AL5407" i="2"/>
  <c r="AL5408" i="2"/>
  <c r="AL5409" i="2"/>
  <c r="AL5410" i="2"/>
  <c r="AL5411" i="2"/>
  <c r="AL5412" i="2"/>
  <c r="AL5413" i="2"/>
  <c r="AL5414" i="2"/>
  <c r="AL5415" i="2"/>
  <c r="AL5416" i="2"/>
  <c r="AL5417" i="2"/>
  <c r="AL5418" i="2"/>
  <c r="AL5419" i="2"/>
  <c r="AL5420" i="2"/>
  <c r="AL5421" i="2"/>
  <c r="AL5422" i="2"/>
  <c r="AL5423" i="2"/>
  <c r="AL5424" i="2"/>
  <c r="AL5425" i="2"/>
  <c r="AL5426" i="2"/>
  <c r="AL5427" i="2"/>
  <c r="AL5428" i="2"/>
  <c r="AL5429" i="2"/>
  <c r="AL5430" i="2"/>
  <c r="AL5431" i="2"/>
  <c r="AL5432" i="2"/>
  <c r="AL5433" i="2"/>
  <c r="AL5434" i="2"/>
  <c r="AL5435" i="2"/>
  <c r="AL5436" i="2"/>
  <c r="AL5437" i="2"/>
  <c r="AL5438" i="2"/>
  <c r="AL5439" i="2"/>
  <c r="AL5440" i="2"/>
  <c r="AL5441" i="2"/>
  <c r="AL5442" i="2"/>
  <c r="AL5443" i="2"/>
  <c r="AL5444" i="2"/>
  <c r="AL5445" i="2"/>
  <c r="AL5446" i="2"/>
  <c r="AL5447" i="2"/>
  <c r="AL5448" i="2"/>
  <c r="AL5449" i="2"/>
  <c r="AL5450" i="2"/>
  <c r="AL5451" i="2"/>
  <c r="AL5452" i="2"/>
  <c r="AL5453" i="2"/>
  <c r="AL5454" i="2"/>
  <c r="AL5455" i="2"/>
  <c r="AL5456" i="2"/>
  <c r="AL5457" i="2"/>
  <c r="AL5458" i="2"/>
  <c r="AL5459" i="2"/>
  <c r="AL5460" i="2"/>
  <c r="AL5461" i="2"/>
  <c r="AL5462" i="2"/>
  <c r="AL5463" i="2"/>
  <c r="AL5464" i="2"/>
  <c r="AL5465" i="2"/>
  <c r="AL5466" i="2"/>
  <c r="AL5467" i="2"/>
  <c r="AL5468" i="2"/>
  <c r="AL5469" i="2"/>
  <c r="AL5470" i="2"/>
  <c r="AL5471" i="2"/>
  <c r="AL5472" i="2"/>
  <c r="AL5473" i="2"/>
  <c r="AL5474" i="2"/>
  <c r="AL5475" i="2"/>
  <c r="AL5476" i="2"/>
  <c r="AL5477" i="2"/>
  <c r="AL5478" i="2"/>
  <c r="AL5479" i="2"/>
  <c r="AL5480" i="2"/>
  <c r="AL5481" i="2"/>
  <c r="AL5482" i="2"/>
  <c r="AL5483" i="2"/>
  <c r="AL5484" i="2"/>
  <c r="AL5485" i="2"/>
  <c r="AL5486" i="2"/>
  <c r="AL5487" i="2"/>
  <c r="AL5488" i="2"/>
  <c r="AL5489" i="2"/>
  <c r="AL5490" i="2"/>
  <c r="AL5491" i="2"/>
  <c r="AL5492" i="2"/>
  <c r="AL5493" i="2"/>
  <c r="AL5494" i="2"/>
  <c r="AL5495" i="2"/>
  <c r="AL5496" i="2"/>
  <c r="AL5497" i="2"/>
  <c r="AL5498" i="2"/>
  <c r="AL5499" i="2"/>
  <c r="AL5500" i="2"/>
  <c r="AL5501" i="2"/>
  <c r="AL5502" i="2"/>
  <c r="AL5503" i="2"/>
  <c r="AL5504" i="2"/>
  <c r="AL5505" i="2"/>
  <c r="AL5506" i="2"/>
  <c r="AL5507" i="2"/>
  <c r="AL5508" i="2"/>
  <c r="AL5509" i="2"/>
  <c r="AL5510" i="2"/>
  <c r="AL5511" i="2"/>
  <c r="AL5512" i="2"/>
  <c r="AL5513" i="2"/>
  <c r="AL5514" i="2"/>
  <c r="AL5515" i="2"/>
  <c r="AL5516" i="2"/>
  <c r="AL5517" i="2"/>
  <c r="AL5518" i="2"/>
  <c r="AL5519" i="2"/>
  <c r="AL5520" i="2"/>
  <c r="AL5521" i="2"/>
  <c r="AL5522" i="2"/>
  <c r="AL5523" i="2"/>
  <c r="AL5524" i="2"/>
  <c r="AL5525" i="2"/>
  <c r="AL5526" i="2"/>
  <c r="AL5527" i="2"/>
  <c r="AL5528" i="2"/>
  <c r="AL5529" i="2"/>
  <c r="AL5530" i="2"/>
  <c r="AL5531" i="2"/>
  <c r="AL5532" i="2"/>
  <c r="AL5533" i="2"/>
  <c r="AL5534" i="2"/>
  <c r="AL5535" i="2"/>
  <c r="AL5536" i="2"/>
  <c r="AL5537" i="2"/>
  <c r="AL5538" i="2"/>
  <c r="AL5539" i="2"/>
  <c r="AL5540" i="2"/>
  <c r="AL5541" i="2"/>
  <c r="AL5542" i="2"/>
  <c r="AL5543" i="2"/>
  <c r="AL5544" i="2"/>
  <c r="AL5545" i="2"/>
  <c r="AL5546" i="2"/>
  <c r="AL5547" i="2"/>
  <c r="AL5548" i="2"/>
  <c r="AL5549" i="2"/>
  <c r="AL5550" i="2"/>
  <c r="AL5551" i="2"/>
  <c r="AL5552" i="2"/>
  <c r="AL5553" i="2"/>
  <c r="AL5554" i="2"/>
  <c r="AL5555" i="2"/>
  <c r="AL5556" i="2"/>
  <c r="AL5557" i="2"/>
  <c r="AL5558" i="2"/>
  <c r="AL5559" i="2"/>
  <c r="AL5560" i="2"/>
  <c r="AL5561" i="2"/>
  <c r="AL5562" i="2"/>
  <c r="AL5563" i="2"/>
  <c r="AL5564" i="2"/>
  <c r="AL5565" i="2"/>
  <c r="AL5566" i="2"/>
  <c r="AL5567" i="2"/>
  <c r="AL5568" i="2"/>
  <c r="AL5569" i="2"/>
  <c r="AL5570" i="2"/>
  <c r="AL5571" i="2"/>
  <c r="AL5572" i="2"/>
  <c r="AL5573" i="2"/>
  <c r="AL5574" i="2"/>
  <c r="AL5575" i="2"/>
  <c r="AL5576" i="2"/>
  <c r="AL5577" i="2"/>
  <c r="AL5578" i="2"/>
  <c r="AL5579" i="2"/>
  <c r="AL5580" i="2"/>
  <c r="AL5581" i="2"/>
  <c r="AL5582" i="2"/>
  <c r="AL5583" i="2"/>
  <c r="AL5584" i="2"/>
  <c r="AL5585" i="2"/>
  <c r="AL5586" i="2"/>
  <c r="AL5587" i="2"/>
  <c r="AL5588" i="2"/>
  <c r="AL5589" i="2"/>
  <c r="AL5590" i="2"/>
  <c r="AL5591" i="2"/>
  <c r="AL5592" i="2"/>
  <c r="AL5593" i="2"/>
  <c r="AL5594" i="2"/>
  <c r="AL5595" i="2"/>
  <c r="AL5596" i="2"/>
  <c r="AL5597" i="2"/>
  <c r="AL5598" i="2"/>
  <c r="AL5599" i="2"/>
  <c r="AL5600" i="2"/>
  <c r="AL5601" i="2"/>
  <c r="AL5602" i="2"/>
  <c r="AL5603" i="2"/>
  <c r="AL5604" i="2"/>
  <c r="AL5605" i="2"/>
  <c r="AL5606" i="2"/>
  <c r="AL5607" i="2"/>
  <c r="AL5608" i="2"/>
  <c r="AL5609" i="2"/>
  <c r="AL5610" i="2"/>
  <c r="AL5611" i="2"/>
  <c r="AL5612" i="2"/>
  <c r="AL5613" i="2"/>
  <c r="AL5614" i="2"/>
  <c r="AL5615" i="2"/>
  <c r="AL5616" i="2"/>
  <c r="AL5617" i="2"/>
  <c r="AL5618" i="2"/>
  <c r="AL5619" i="2"/>
  <c r="AL5620" i="2"/>
  <c r="AL5621" i="2"/>
  <c r="AL5622" i="2"/>
  <c r="AL5623" i="2"/>
  <c r="AL5624" i="2"/>
  <c r="AL5625" i="2"/>
  <c r="AL5626" i="2"/>
  <c r="AL5627" i="2"/>
  <c r="AL5628" i="2"/>
  <c r="AL5629" i="2"/>
  <c r="AL5630" i="2"/>
  <c r="AL5631" i="2"/>
  <c r="AL5632" i="2"/>
  <c r="AL5633" i="2"/>
  <c r="AL5634" i="2"/>
  <c r="AL5635" i="2"/>
  <c r="AL5636" i="2"/>
  <c r="AL5637" i="2"/>
  <c r="AL5638" i="2"/>
  <c r="AL5639" i="2"/>
  <c r="AL5640" i="2"/>
  <c r="AL5641" i="2"/>
  <c r="AL5642" i="2"/>
  <c r="AL5643" i="2"/>
  <c r="AL5644" i="2"/>
  <c r="AL5645" i="2"/>
  <c r="AL5646" i="2"/>
  <c r="AL5647" i="2"/>
  <c r="AL5648" i="2"/>
  <c r="AL5649" i="2"/>
  <c r="AL5650" i="2"/>
  <c r="AL5651" i="2"/>
  <c r="AL5652" i="2"/>
  <c r="AL5653" i="2"/>
  <c r="AL5654" i="2"/>
  <c r="AL5655" i="2"/>
  <c r="AL5656" i="2"/>
  <c r="AL5657" i="2"/>
  <c r="AL5658" i="2"/>
  <c r="AL5659" i="2"/>
  <c r="AL5660" i="2"/>
  <c r="AL5661" i="2"/>
  <c r="AL5662" i="2"/>
  <c r="AL5663" i="2"/>
  <c r="AL5664" i="2"/>
  <c r="AL5665" i="2"/>
  <c r="AL5666" i="2"/>
  <c r="AL5667" i="2"/>
  <c r="AL5668" i="2"/>
  <c r="AL5669" i="2"/>
  <c r="AL5670" i="2"/>
  <c r="AL5671" i="2"/>
  <c r="AL5672" i="2"/>
  <c r="AL5673" i="2"/>
  <c r="AL5674" i="2"/>
  <c r="AL5675" i="2"/>
  <c r="AL5676" i="2"/>
  <c r="AL5677" i="2"/>
  <c r="AL5678" i="2"/>
  <c r="AL5679" i="2"/>
  <c r="AL5680" i="2"/>
  <c r="AL5681" i="2"/>
  <c r="AL5682" i="2"/>
  <c r="AL5683" i="2"/>
  <c r="AL5684" i="2"/>
  <c r="AL5685" i="2"/>
  <c r="AL5686" i="2"/>
  <c r="AL5687" i="2"/>
  <c r="AL5688" i="2"/>
  <c r="AL5689" i="2"/>
  <c r="AL5690" i="2"/>
  <c r="AL5691" i="2"/>
  <c r="AL5692" i="2"/>
  <c r="AL5693" i="2"/>
  <c r="AL5694" i="2"/>
  <c r="AL5695" i="2"/>
  <c r="AL5696" i="2"/>
  <c r="AL5697" i="2"/>
  <c r="AL5698" i="2"/>
  <c r="AL5699" i="2"/>
  <c r="AL5700" i="2"/>
  <c r="AL5701" i="2"/>
  <c r="AL5702" i="2"/>
  <c r="AL5703" i="2"/>
  <c r="AL5704" i="2"/>
  <c r="AL5705" i="2"/>
  <c r="AL5706" i="2"/>
  <c r="AL5707" i="2"/>
  <c r="AL5708" i="2"/>
  <c r="AL5709" i="2"/>
  <c r="AL5710" i="2"/>
  <c r="AL5711" i="2"/>
  <c r="AL5712" i="2"/>
  <c r="AL5713" i="2"/>
  <c r="AL5714" i="2"/>
  <c r="AL5715" i="2"/>
  <c r="AL5716" i="2"/>
  <c r="AL5717" i="2"/>
  <c r="AL5718" i="2"/>
  <c r="AL5719" i="2"/>
  <c r="AL5720" i="2"/>
  <c r="AL5721" i="2"/>
  <c r="AL5722" i="2"/>
  <c r="AL5723" i="2"/>
  <c r="AL5724" i="2"/>
  <c r="AL5725" i="2"/>
  <c r="AL5726" i="2"/>
  <c r="AL5727" i="2"/>
  <c r="AL5728" i="2"/>
  <c r="AL5729" i="2"/>
  <c r="AL5730" i="2"/>
  <c r="AL5731" i="2"/>
  <c r="AL5732" i="2"/>
  <c r="AL5733" i="2"/>
  <c r="AL5734" i="2"/>
  <c r="AL5735" i="2"/>
  <c r="AL5736" i="2"/>
  <c r="AL5737" i="2"/>
  <c r="AL5738" i="2"/>
  <c r="AL5739" i="2"/>
  <c r="AL5740" i="2"/>
  <c r="AL5741" i="2"/>
  <c r="AL5742" i="2"/>
  <c r="AL5743" i="2"/>
  <c r="AL5744" i="2"/>
  <c r="AL5745" i="2"/>
  <c r="AL5746" i="2"/>
  <c r="AL5747" i="2"/>
  <c r="AL5748" i="2"/>
  <c r="AL5749" i="2"/>
  <c r="AL5750" i="2"/>
  <c r="AL5751" i="2"/>
  <c r="AL5752" i="2"/>
  <c r="AL5753" i="2"/>
  <c r="AL5754" i="2"/>
  <c r="AL5755" i="2"/>
  <c r="AL5756" i="2"/>
  <c r="AL5757" i="2"/>
  <c r="AL5758" i="2"/>
  <c r="AL5759" i="2"/>
  <c r="AL5760" i="2"/>
  <c r="AL5761" i="2"/>
  <c r="AL5762" i="2"/>
  <c r="AL5763" i="2"/>
  <c r="AL5764" i="2"/>
  <c r="AL5765" i="2"/>
  <c r="AL5766" i="2"/>
  <c r="AL5767" i="2"/>
  <c r="AL5768" i="2"/>
  <c r="AL5769" i="2"/>
  <c r="AL5770" i="2"/>
  <c r="AL5771" i="2"/>
  <c r="AL5772" i="2"/>
  <c r="AL5773" i="2"/>
  <c r="AL5774" i="2"/>
  <c r="AL5775" i="2"/>
  <c r="AL5776" i="2"/>
  <c r="AL5777" i="2"/>
  <c r="AL5778" i="2"/>
  <c r="AL5779" i="2"/>
  <c r="AL5780" i="2"/>
  <c r="AL5781" i="2"/>
  <c r="AL5782" i="2"/>
  <c r="AL5783" i="2"/>
  <c r="AL5784" i="2"/>
  <c r="AL5785" i="2"/>
  <c r="AL5786" i="2"/>
  <c r="AL5787" i="2"/>
  <c r="AL5788" i="2"/>
  <c r="AL5789" i="2"/>
  <c r="AL5790" i="2"/>
  <c r="AL5791" i="2"/>
  <c r="AL5792" i="2"/>
  <c r="AL5793" i="2"/>
  <c r="AL5794" i="2"/>
  <c r="AL5795" i="2"/>
  <c r="AL5796" i="2"/>
  <c r="AL5797" i="2"/>
  <c r="AL5798" i="2"/>
  <c r="AL5799" i="2"/>
  <c r="AL5800" i="2"/>
  <c r="AL5801" i="2"/>
  <c r="AL5802" i="2"/>
  <c r="AL5803" i="2"/>
  <c r="AL5804" i="2"/>
  <c r="AL5805" i="2"/>
  <c r="AL5806" i="2"/>
  <c r="AL5807" i="2"/>
  <c r="AL5808" i="2"/>
  <c r="AL5809" i="2"/>
  <c r="AL5810" i="2"/>
  <c r="AL5811" i="2"/>
  <c r="AL5812" i="2"/>
  <c r="AL5813" i="2"/>
  <c r="AL5814" i="2"/>
  <c r="AL5815" i="2"/>
  <c r="AL5816" i="2"/>
  <c r="AL5817" i="2"/>
  <c r="AL5818" i="2"/>
  <c r="AL5819" i="2"/>
  <c r="AL5820" i="2"/>
  <c r="AL5821" i="2"/>
  <c r="AL5822" i="2"/>
  <c r="AL5823" i="2"/>
  <c r="AL5824" i="2"/>
  <c r="AL5825" i="2"/>
  <c r="AL5826" i="2"/>
  <c r="AL5827" i="2"/>
  <c r="AL5828" i="2"/>
  <c r="AL5829" i="2"/>
  <c r="AL5830" i="2"/>
  <c r="AL5831" i="2"/>
  <c r="AL5832" i="2"/>
  <c r="AL5833" i="2"/>
  <c r="AL5834" i="2"/>
  <c r="AL5835" i="2"/>
  <c r="AL5836" i="2"/>
  <c r="AL5837" i="2"/>
  <c r="AL5838" i="2"/>
  <c r="AL5839" i="2"/>
  <c r="AL5840" i="2"/>
  <c r="AL5841" i="2"/>
  <c r="AL5842" i="2"/>
  <c r="AL5843" i="2"/>
  <c r="AL5844" i="2"/>
  <c r="AL5845" i="2"/>
  <c r="AL5846" i="2"/>
  <c r="AL5847" i="2"/>
  <c r="AL5848" i="2"/>
  <c r="AL5849" i="2"/>
  <c r="AL5850" i="2"/>
  <c r="AL5851" i="2"/>
  <c r="AL5852" i="2"/>
  <c r="AL5853" i="2"/>
  <c r="AL5854" i="2"/>
  <c r="AL5855" i="2"/>
  <c r="AL5856" i="2"/>
  <c r="AL5857" i="2"/>
  <c r="AL5858" i="2"/>
  <c r="AL5859" i="2"/>
  <c r="AL5860" i="2"/>
  <c r="AL5861" i="2"/>
  <c r="AL5862" i="2"/>
  <c r="AL5863" i="2"/>
  <c r="AL5864" i="2"/>
  <c r="AL5865" i="2"/>
  <c r="AL5866" i="2"/>
  <c r="AL5867" i="2"/>
  <c r="AL5868" i="2"/>
  <c r="AL5869" i="2"/>
  <c r="AL5870" i="2"/>
  <c r="AL5871" i="2"/>
  <c r="AL5872" i="2"/>
  <c r="AL5873" i="2"/>
  <c r="AL5874" i="2"/>
  <c r="AL5875" i="2"/>
  <c r="AL5876" i="2"/>
  <c r="AL5877" i="2"/>
  <c r="AL5878" i="2"/>
  <c r="AL5879" i="2"/>
  <c r="AL5880" i="2"/>
  <c r="AL5881" i="2"/>
  <c r="AL5882" i="2"/>
  <c r="AL5883" i="2"/>
  <c r="AL5884" i="2"/>
  <c r="AL5885" i="2"/>
  <c r="AL5886" i="2"/>
  <c r="AL5887" i="2"/>
  <c r="AL5888" i="2"/>
  <c r="AL5889" i="2"/>
  <c r="AL5890" i="2"/>
  <c r="AL5891" i="2"/>
  <c r="AL5892" i="2"/>
  <c r="AL5893" i="2"/>
  <c r="AL5894" i="2"/>
  <c r="AL5895" i="2"/>
  <c r="AL5896" i="2"/>
  <c r="AL5897" i="2"/>
  <c r="AL5898" i="2"/>
  <c r="AL5899" i="2"/>
  <c r="AL5900" i="2"/>
  <c r="AL5901" i="2"/>
  <c r="AL5902" i="2"/>
  <c r="AL5903" i="2"/>
  <c r="AL5904" i="2"/>
  <c r="AL5905" i="2"/>
  <c r="AL5906" i="2"/>
  <c r="AL5907" i="2"/>
  <c r="AL5908" i="2"/>
  <c r="AL5909" i="2"/>
  <c r="AL5910" i="2"/>
  <c r="AL5911" i="2"/>
  <c r="AL5912" i="2"/>
  <c r="AL5913" i="2"/>
  <c r="AL5914" i="2"/>
  <c r="AL5915" i="2"/>
  <c r="AL5916" i="2"/>
  <c r="AL5917" i="2"/>
  <c r="AL5918" i="2"/>
  <c r="AL5919" i="2"/>
  <c r="AL5920" i="2"/>
  <c r="AL5921" i="2"/>
  <c r="AL5922" i="2"/>
  <c r="AL5923" i="2"/>
  <c r="AL5924" i="2"/>
  <c r="AL5925" i="2"/>
  <c r="AL5926" i="2"/>
  <c r="AL5927" i="2"/>
  <c r="AL5928" i="2"/>
  <c r="AL5929" i="2"/>
  <c r="AL5930" i="2"/>
  <c r="AL5931" i="2"/>
  <c r="AL5932" i="2"/>
  <c r="AL5933" i="2"/>
  <c r="AL5934" i="2"/>
  <c r="AL5935" i="2"/>
  <c r="AL5936" i="2"/>
  <c r="AL5937" i="2"/>
  <c r="AL5938" i="2"/>
  <c r="AL5939" i="2"/>
  <c r="AL5940" i="2"/>
  <c r="AL5941" i="2"/>
  <c r="AL5942" i="2"/>
  <c r="AL5943" i="2"/>
  <c r="AL5944" i="2"/>
  <c r="AL5945" i="2"/>
  <c r="AL5946" i="2"/>
  <c r="AL5947" i="2"/>
  <c r="AL5948" i="2"/>
  <c r="AL5949" i="2"/>
  <c r="AL5950" i="2"/>
  <c r="AL5951" i="2"/>
  <c r="AL5952" i="2"/>
  <c r="AL5953" i="2"/>
  <c r="AL5954" i="2"/>
  <c r="AL5955" i="2"/>
  <c r="AL5956" i="2"/>
  <c r="AL5957" i="2"/>
  <c r="AL5958" i="2"/>
  <c r="AL5959" i="2"/>
  <c r="AL5960" i="2"/>
  <c r="AL5961" i="2"/>
  <c r="AL5962" i="2"/>
  <c r="AL5963" i="2"/>
  <c r="AL5964" i="2"/>
  <c r="AL5965" i="2"/>
  <c r="AL5966" i="2"/>
  <c r="AL5967" i="2"/>
  <c r="AL5968" i="2"/>
  <c r="AL5969" i="2"/>
  <c r="AL5970" i="2"/>
  <c r="AL5971" i="2"/>
  <c r="AL5972" i="2"/>
  <c r="AL5973" i="2"/>
  <c r="AL5974" i="2"/>
  <c r="AL5975" i="2"/>
  <c r="AL5976" i="2"/>
  <c r="AL5977" i="2"/>
  <c r="AL5978" i="2"/>
  <c r="AL5979" i="2"/>
  <c r="AL5980" i="2"/>
  <c r="AL5981" i="2"/>
  <c r="AL5982" i="2"/>
  <c r="AL5983" i="2"/>
  <c r="AL5984" i="2"/>
  <c r="AL5985" i="2"/>
  <c r="AL5986" i="2"/>
  <c r="AL5987" i="2"/>
  <c r="AL5988" i="2"/>
  <c r="AL5989" i="2"/>
  <c r="AL5990" i="2"/>
  <c r="AL5991" i="2"/>
  <c r="AL5992" i="2"/>
  <c r="AL5993" i="2"/>
  <c r="AL5994" i="2"/>
  <c r="AL5995" i="2"/>
  <c r="AL5996" i="2"/>
  <c r="AL5997" i="2"/>
  <c r="AL5998" i="2"/>
  <c r="AL5999" i="2"/>
  <c r="AL6000" i="2"/>
  <c r="AL6001" i="2"/>
  <c r="AL6002" i="2"/>
  <c r="AL6003" i="2"/>
  <c r="AL6004" i="2"/>
  <c r="AL6005" i="2"/>
  <c r="AL6006" i="2"/>
  <c r="AL6007" i="2"/>
  <c r="AL6008" i="2"/>
  <c r="AL6009" i="2"/>
  <c r="AL6010" i="2"/>
  <c r="AL6011" i="2"/>
  <c r="AL6012" i="2"/>
  <c r="AL6013" i="2"/>
  <c r="AL6014" i="2"/>
  <c r="AL6015" i="2"/>
  <c r="AL6016" i="2"/>
  <c r="AL6017" i="2"/>
  <c r="AL6018" i="2"/>
  <c r="AL6019" i="2"/>
  <c r="AL6020" i="2"/>
  <c r="AL6021" i="2"/>
  <c r="AL6022" i="2"/>
  <c r="AL6023" i="2"/>
  <c r="AL6024" i="2"/>
  <c r="AL6025" i="2"/>
  <c r="AL6026" i="2"/>
  <c r="AL6027" i="2"/>
  <c r="AL6028" i="2"/>
  <c r="AL6029" i="2"/>
  <c r="AL6030" i="2"/>
  <c r="AL6031" i="2"/>
  <c r="AL6032" i="2"/>
  <c r="AL6033" i="2"/>
  <c r="AL6034" i="2"/>
  <c r="AL6035" i="2"/>
  <c r="AL6036" i="2"/>
  <c r="AL6037" i="2"/>
  <c r="AL6038" i="2"/>
  <c r="AL6039" i="2"/>
  <c r="AL6040" i="2"/>
  <c r="AL6041" i="2"/>
  <c r="AL6042" i="2"/>
  <c r="AL6043" i="2"/>
  <c r="AL6044" i="2"/>
  <c r="AL6045" i="2"/>
  <c r="AL6046" i="2"/>
  <c r="AL6047" i="2"/>
  <c r="AL6048" i="2"/>
  <c r="AL6049" i="2"/>
  <c r="AL6050" i="2"/>
  <c r="AL6051" i="2"/>
  <c r="AL6052" i="2"/>
  <c r="AL6053" i="2"/>
  <c r="AL6054" i="2"/>
  <c r="AL6055" i="2"/>
  <c r="AL6056" i="2"/>
  <c r="AL6057" i="2"/>
  <c r="AL6058" i="2"/>
  <c r="AL6059" i="2"/>
  <c r="AL6060" i="2"/>
  <c r="AL6061" i="2"/>
  <c r="AL6062" i="2"/>
  <c r="AL6063" i="2"/>
  <c r="AL6064" i="2"/>
  <c r="AL6065" i="2"/>
  <c r="AL6066" i="2"/>
  <c r="AL6067" i="2"/>
  <c r="AL6068" i="2"/>
  <c r="AL6069" i="2"/>
  <c r="AL6070" i="2"/>
  <c r="AL6071" i="2"/>
  <c r="AL6072" i="2"/>
  <c r="AL6073" i="2"/>
  <c r="AL6074" i="2"/>
  <c r="AL6075" i="2"/>
  <c r="AL6076" i="2"/>
  <c r="AL6077" i="2"/>
  <c r="AL6078" i="2"/>
  <c r="AL6079" i="2"/>
  <c r="AL6080" i="2"/>
  <c r="AL6081" i="2"/>
  <c r="AL6082" i="2"/>
  <c r="AL6083" i="2"/>
  <c r="AL6084" i="2"/>
  <c r="AL6085" i="2"/>
  <c r="AL6086" i="2"/>
  <c r="AL6087" i="2"/>
  <c r="AL6088" i="2"/>
  <c r="AL6089" i="2"/>
  <c r="AL6090" i="2"/>
  <c r="AL6091" i="2"/>
  <c r="AL6092" i="2"/>
  <c r="AL6093" i="2"/>
  <c r="AL6094" i="2"/>
  <c r="AL6095" i="2"/>
  <c r="AL6096" i="2"/>
  <c r="AL6097" i="2"/>
  <c r="AL6098" i="2"/>
  <c r="AL6099" i="2"/>
  <c r="AL6100" i="2"/>
  <c r="AL6101" i="2"/>
  <c r="AL6102" i="2"/>
  <c r="AL6103" i="2"/>
  <c r="AL6104" i="2"/>
  <c r="AL6105" i="2"/>
  <c r="AL6106" i="2"/>
  <c r="AL6107" i="2"/>
  <c r="AL6108" i="2"/>
  <c r="AL6109" i="2"/>
  <c r="AL6110" i="2"/>
  <c r="AL6111" i="2"/>
  <c r="AL6112" i="2"/>
  <c r="AL6113" i="2"/>
  <c r="AL6114" i="2"/>
  <c r="AL6115" i="2"/>
  <c r="AL6116" i="2"/>
  <c r="AL6117" i="2"/>
  <c r="AL6118" i="2"/>
  <c r="AL6119" i="2"/>
  <c r="AL6120" i="2"/>
  <c r="AL6121" i="2"/>
  <c r="AL6122" i="2"/>
  <c r="AL6123" i="2"/>
  <c r="AL6124" i="2"/>
  <c r="AL6125" i="2"/>
  <c r="AL6126" i="2"/>
  <c r="AL6127" i="2"/>
  <c r="AL6128" i="2"/>
  <c r="AL6129" i="2"/>
  <c r="AL6130" i="2"/>
  <c r="AL6131" i="2"/>
  <c r="AL6132" i="2"/>
  <c r="AL6133" i="2"/>
  <c r="AL6134" i="2"/>
  <c r="AL6135" i="2"/>
  <c r="AL6136" i="2"/>
  <c r="AL6137" i="2"/>
  <c r="AL6138" i="2"/>
  <c r="AL6139" i="2"/>
  <c r="AL6140" i="2"/>
  <c r="AL6141" i="2"/>
  <c r="AL6142" i="2"/>
  <c r="AL6143" i="2"/>
  <c r="AL6144" i="2"/>
  <c r="AL6145" i="2"/>
  <c r="AL6146" i="2"/>
  <c r="AL6147" i="2"/>
  <c r="AL6148" i="2"/>
  <c r="AL6149" i="2"/>
  <c r="AL6150" i="2"/>
  <c r="AL6151" i="2"/>
  <c r="AL6152" i="2"/>
  <c r="AL6153" i="2"/>
  <c r="AL6154" i="2"/>
  <c r="AL6155" i="2"/>
  <c r="AL6156" i="2"/>
  <c r="AL6157" i="2"/>
  <c r="AL6158" i="2"/>
  <c r="AL6159" i="2"/>
  <c r="AL6160" i="2"/>
  <c r="AL6161" i="2"/>
  <c r="AL6162" i="2"/>
  <c r="AL6163" i="2"/>
  <c r="AL6164" i="2"/>
  <c r="AL6165" i="2"/>
  <c r="AL6166" i="2"/>
  <c r="AL6167" i="2"/>
  <c r="AL6168" i="2"/>
  <c r="AL6169" i="2"/>
  <c r="AL6170" i="2"/>
  <c r="AL6171" i="2"/>
  <c r="AL6172" i="2"/>
  <c r="AL6173" i="2"/>
  <c r="AL6174" i="2"/>
  <c r="AL6175" i="2"/>
  <c r="AL6176" i="2"/>
  <c r="AL6177" i="2"/>
  <c r="AL6178" i="2"/>
  <c r="AL6179" i="2"/>
  <c r="AL6180" i="2"/>
  <c r="AL6181" i="2"/>
  <c r="AL6182" i="2"/>
  <c r="AL6183" i="2"/>
  <c r="AL6184" i="2"/>
  <c r="AL6185" i="2"/>
  <c r="AL6186" i="2"/>
  <c r="AL6187" i="2"/>
  <c r="AL6188" i="2"/>
  <c r="AL6189" i="2"/>
  <c r="AL6190" i="2"/>
  <c r="AL6191" i="2"/>
  <c r="AL6192" i="2"/>
  <c r="AL6193" i="2"/>
  <c r="AL6194" i="2"/>
  <c r="AL6195" i="2"/>
  <c r="AL6196" i="2"/>
  <c r="AL6197" i="2"/>
  <c r="AL6198" i="2"/>
  <c r="AL6199" i="2"/>
  <c r="AL6200" i="2"/>
  <c r="AL6201" i="2"/>
  <c r="AL6202" i="2"/>
  <c r="AL6203" i="2"/>
  <c r="AL6204" i="2"/>
  <c r="AL6205" i="2"/>
  <c r="AL6206" i="2"/>
  <c r="AL6207" i="2"/>
  <c r="AL6208" i="2"/>
  <c r="AL6209" i="2"/>
  <c r="AL6210" i="2"/>
  <c r="AL6211" i="2"/>
  <c r="AL6212" i="2"/>
  <c r="AL6213" i="2"/>
  <c r="AL6214" i="2"/>
  <c r="AL6215" i="2"/>
  <c r="AL6216" i="2"/>
  <c r="AL6217" i="2"/>
  <c r="AL6218" i="2"/>
  <c r="AL6219" i="2"/>
  <c r="AL6220" i="2"/>
  <c r="AL6221" i="2"/>
  <c r="AL6222" i="2"/>
  <c r="AL6223" i="2"/>
  <c r="AL6224" i="2"/>
  <c r="AL6225" i="2"/>
  <c r="AL6226" i="2"/>
  <c r="AL6227" i="2"/>
  <c r="AL6228" i="2"/>
  <c r="AL6229" i="2"/>
  <c r="AL6230" i="2"/>
  <c r="AL6231" i="2"/>
  <c r="AL6232" i="2"/>
  <c r="AL6233" i="2"/>
  <c r="AL6234" i="2"/>
  <c r="AL6235" i="2"/>
  <c r="AL6236" i="2"/>
  <c r="AL6237" i="2"/>
  <c r="AL6238" i="2"/>
  <c r="AL6239" i="2"/>
  <c r="AL6240" i="2"/>
  <c r="AL6241" i="2"/>
  <c r="AL6242" i="2"/>
  <c r="AL6243" i="2"/>
  <c r="AL6244" i="2"/>
  <c r="AL6245" i="2"/>
  <c r="AL6246" i="2"/>
  <c r="AL6247" i="2"/>
  <c r="AL6248" i="2"/>
  <c r="AL6249" i="2"/>
  <c r="AL6250" i="2"/>
  <c r="AL6251" i="2"/>
  <c r="AL6252" i="2"/>
  <c r="AL6253" i="2"/>
  <c r="AL6254" i="2"/>
  <c r="AL6255" i="2"/>
  <c r="AL6256" i="2"/>
  <c r="AL6257" i="2"/>
  <c r="AL6258" i="2"/>
  <c r="AL6259" i="2"/>
  <c r="AL6260" i="2"/>
  <c r="AL6261" i="2"/>
  <c r="AL6262" i="2"/>
  <c r="AL6263" i="2"/>
  <c r="AL6264" i="2"/>
  <c r="AL6265" i="2"/>
  <c r="AL6266" i="2"/>
  <c r="AL6267" i="2"/>
  <c r="AL6268" i="2"/>
  <c r="AL6269" i="2"/>
  <c r="AL6270" i="2"/>
  <c r="AL6271" i="2"/>
  <c r="AL6272" i="2"/>
  <c r="AL6273" i="2"/>
  <c r="AL6274" i="2"/>
  <c r="AL6275" i="2"/>
  <c r="AL6276" i="2"/>
  <c r="AL6277" i="2"/>
  <c r="AL6278" i="2"/>
  <c r="AL6279" i="2"/>
  <c r="AL6280" i="2"/>
  <c r="AL6281" i="2"/>
  <c r="AL6282" i="2"/>
  <c r="AL6283" i="2"/>
  <c r="AL6284" i="2"/>
  <c r="AL6285" i="2"/>
  <c r="AL6286" i="2"/>
  <c r="AL6287" i="2"/>
  <c r="AL6288" i="2"/>
  <c r="AL6289" i="2"/>
  <c r="AL6290" i="2"/>
  <c r="AL6291" i="2"/>
  <c r="AL6292" i="2"/>
  <c r="AL6293" i="2"/>
  <c r="AL6294" i="2"/>
  <c r="AL6295" i="2"/>
  <c r="AL6296" i="2"/>
  <c r="AL6297" i="2"/>
  <c r="AL6298" i="2"/>
  <c r="AL6299" i="2"/>
  <c r="AL6300" i="2"/>
  <c r="AL6301" i="2"/>
  <c r="AL6302" i="2"/>
  <c r="AL6303" i="2"/>
  <c r="AL6304" i="2"/>
  <c r="AL6305" i="2"/>
  <c r="AL6306" i="2"/>
  <c r="AL6307" i="2"/>
  <c r="AL6308" i="2"/>
  <c r="AL6309" i="2"/>
  <c r="AL6310" i="2"/>
  <c r="AL6311" i="2"/>
  <c r="AL6312" i="2"/>
  <c r="AL6313" i="2"/>
  <c r="AL6314" i="2"/>
  <c r="AL6315" i="2"/>
  <c r="AL6316" i="2"/>
  <c r="AL6317" i="2"/>
  <c r="AL6318" i="2"/>
  <c r="AL6319" i="2"/>
  <c r="AL6320" i="2"/>
  <c r="AL6321" i="2"/>
  <c r="AL6322" i="2"/>
  <c r="AL6323" i="2"/>
  <c r="AL6324" i="2"/>
  <c r="AL6325" i="2"/>
  <c r="AL6326" i="2"/>
  <c r="AL6327" i="2"/>
  <c r="AL6328" i="2"/>
  <c r="AL6329" i="2"/>
  <c r="AL6330" i="2"/>
  <c r="AL6331" i="2"/>
  <c r="AL6332" i="2"/>
  <c r="AL6333" i="2"/>
  <c r="AL6334" i="2"/>
  <c r="AL6335" i="2"/>
  <c r="AL6336" i="2"/>
  <c r="AL6337" i="2"/>
  <c r="AL6338" i="2"/>
  <c r="AL6339" i="2"/>
  <c r="AL6340" i="2"/>
  <c r="AL6341" i="2"/>
  <c r="AL6342" i="2"/>
  <c r="AL6343" i="2"/>
  <c r="AL6344" i="2"/>
  <c r="AL6345" i="2"/>
  <c r="AL6346" i="2"/>
  <c r="AL6347" i="2"/>
  <c r="AL6348" i="2"/>
  <c r="AL6349" i="2"/>
  <c r="AL6350" i="2"/>
  <c r="AL6351" i="2"/>
  <c r="AL6352" i="2"/>
  <c r="AL6353" i="2"/>
  <c r="AL6354" i="2"/>
  <c r="AL6355" i="2"/>
  <c r="AL6356" i="2"/>
  <c r="AL6357" i="2"/>
  <c r="AL6358" i="2"/>
  <c r="AL6359" i="2"/>
  <c r="AL6360" i="2"/>
  <c r="AL6361" i="2"/>
  <c r="AL6362" i="2"/>
  <c r="AL6363" i="2"/>
  <c r="AL6364" i="2"/>
  <c r="AL6365" i="2"/>
  <c r="AL6366" i="2"/>
  <c r="AL6367" i="2"/>
  <c r="AL6368" i="2"/>
  <c r="AL6369" i="2"/>
  <c r="AL6370" i="2"/>
  <c r="AL6371" i="2"/>
  <c r="AL6372" i="2"/>
  <c r="AL6373" i="2"/>
  <c r="AL6374" i="2"/>
  <c r="AL6375" i="2"/>
  <c r="AL6376" i="2"/>
  <c r="AL6377" i="2"/>
  <c r="AL6378" i="2"/>
  <c r="AL6379" i="2"/>
  <c r="AL6380" i="2"/>
  <c r="AL6381" i="2"/>
  <c r="AL6382" i="2"/>
  <c r="AL6383" i="2"/>
  <c r="AL6384" i="2"/>
  <c r="AL6385" i="2"/>
  <c r="AL6386" i="2"/>
  <c r="AL6387" i="2"/>
  <c r="AL6388" i="2"/>
  <c r="AL6389" i="2"/>
  <c r="AL6390" i="2"/>
  <c r="AL6391" i="2"/>
  <c r="AL6392" i="2"/>
  <c r="AL6393" i="2"/>
  <c r="AL6394" i="2"/>
  <c r="AL6395" i="2"/>
  <c r="AL6396" i="2"/>
  <c r="AL6397" i="2"/>
  <c r="AL6398" i="2"/>
  <c r="AL6399" i="2"/>
  <c r="AL6400" i="2"/>
  <c r="AL6401" i="2"/>
  <c r="AL6402" i="2"/>
  <c r="AL6403" i="2"/>
  <c r="AL6404" i="2"/>
  <c r="AL6405" i="2"/>
  <c r="AL6406" i="2"/>
  <c r="AL6407" i="2"/>
  <c r="AL6408" i="2"/>
  <c r="AL6409" i="2"/>
  <c r="AL6410" i="2"/>
  <c r="AL6411" i="2"/>
  <c r="AL6412" i="2"/>
  <c r="AL6413" i="2"/>
  <c r="AL6414" i="2"/>
  <c r="AL6415" i="2"/>
  <c r="AL6416" i="2"/>
  <c r="AL6417" i="2"/>
  <c r="AL6418" i="2"/>
  <c r="AL6419" i="2"/>
  <c r="AL6420" i="2"/>
  <c r="AL6421" i="2"/>
  <c r="AL6422" i="2"/>
  <c r="AL6423" i="2"/>
  <c r="AL6424" i="2"/>
  <c r="AL6425" i="2"/>
  <c r="AL6426" i="2"/>
  <c r="AL6427" i="2"/>
  <c r="AL6428" i="2"/>
  <c r="AL6429" i="2"/>
  <c r="AL6430" i="2"/>
  <c r="AL6431" i="2"/>
  <c r="AL6432" i="2"/>
  <c r="AL6433" i="2"/>
  <c r="AL6434" i="2"/>
  <c r="AL6435" i="2"/>
  <c r="AL6436" i="2"/>
  <c r="AL6437" i="2"/>
  <c r="AL6438" i="2"/>
  <c r="AL6439" i="2"/>
  <c r="AL6440" i="2"/>
  <c r="AL6441" i="2"/>
  <c r="AL6442" i="2"/>
  <c r="AL6443" i="2"/>
  <c r="AL6444" i="2"/>
  <c r="AL6445" i="2"/>
  <c r="AL6446" i="2"/>
  <c r="AL6447" i="2"/>
  <c r="AL6448" i="2"/>
  <c r="AL6449" i="2"/>
  <c r="AL6450" i="2"/>
  <c r="AL6451" i="2"/>
  <c r="AL6452" i="2"/>
  <c r="AL6453" i="2"/>
  <c r="AL6454" i="2"/>
  <c r="AL6455" i="2"/>
  <c r="AL6456" i="2"/>
  <c r="AL6457" i="2"/>
  <c r="AL6458" i="2"/>
  <c r="AL6459" i="2"/>
  <c r="AL6460" i="2"/>
  <c r="AL6461" i="2"/>
  <c r="AL6462" i="2"/>
  <c r="AL6463" i="2"/>
  <c r="AL6464" i="2"/>
  <c r="AL6465" i="2"/>
  <c r="AL6466" i="2"/>
  <c r="AL6467" i="2"/>
  <c r="AL6468" i="2"/>
  <c r="AL6469" i="2"/>
  <c r="AL6470" i="2"/>
  <c r="AL6471" i="2"/>
  <c r="AL6472" i="2"/>
  <c r="AL6473" i="2"/>
  <c r="AL6474" i="2"/>
  <c r="AL6475" i="2"/>
  <c r="AL6476" i="2"/>
  <c r="AL6477" i="2"/>
  <c r="AL6478" i="2"/>
  <c r="AL6479" i="2"/>
  <c r="AL6480" i="2"/>
  <c r="AL6481" i="2"/>
  <c r="AL6482" i="2"/>
  <c r="AL6483" i="2"/>
  <c r="AL6484" i="2"/>
  <c r="AL6485" i="2"/>
  <c r="AL6486" i="2"/>
  <c r="AL6487" i="2"/>
  <c r="AL6488" i="2"/>
  <c r="AL6489" i="2"/>
  <c r="AL6490" i="2"/>
  <c r="AL6491" i="2"/>
  <c r="AL6492" i="2"/>
  <c r="AL6493" i="2"/>
  <c r="AL6494" i="2"/>
  <c r="AL6495" i="2"/>
  <c r="AL6496" i="2"/>
  <c r="AL6497" i="2"/>
  <c r="AL6498" i="2"/>
  <c r="AL6499" i="2"/>
  <c r="AL6500" i="2"/>
  <c r="AL6501" i="2"/>
  <c r="AL6502" i="2"/>
  <c r="AL6503" i="2"/>
  <c r="AL6504" i="2"/>
  <c r="AL6505" i="2"/>
  <c r="AL6506" i="2"/>
  <c r="AL6507" i="2"/>
  <c r="AL6508" i="2"/>
  <c r="AL6509" i="2"/>
  <c r="AL6510" i="2"/>
  <c r="AL6511" i="2"/>
  <c r="AL6512" i="2"/>
  <c r="AL6513" i="2"/>
  <c r="AL6514" i="2"/>
  <c r="AL6515" i="2"/>
  <c r="AL6516" i="2"/>
  <c r="AL6517" i="2"/>
  <c r="AL6518" i="2"/>
  <c r="AL6519" i="2"/>
  <c r="AL6520" i="2"/>
  <c r="AL6521" i="2"/>
  <c r="AL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3" i="2"/>
  <c r="CI4" i="1" l="1"/>
  <c r="CQ4" i="1"/>
  <c r="CR4" i="1" s="1"/>
  <c r="E4" i="7"/>
  <c r="CA4" i="1" l="1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2" i="2"/>
  <c r="N31" i="2"/>
  <c r="N30" i="2"/>
  <c r="N29" i="2"/>
  <c r="N28" i="2"/>
  <c r="N27" i="2"/>
  <c r="N26" i="2"/>
  <c r="N23" i="2"/>
  <c r="N22" i="2"/>
  <c r="N21" i="2"/>
  <c r="N20" i="2"/>
  <c r="N19" i="2"/>
  <c r="N18" i="2"/>
  <c r="N17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<sst xmlns="http://schemas.openxmlformats.org/spreadsheetml/2006/main" count="31508" uniqueCount="7956">
  <si>
    <t>Идентификатор</t>
  </si>
  <si>
    <t>Кадастровый номер</t>
  </si>
  <si>
    <t>Номер кадастрового квартала</t>
  </si>
  <si>
    <t>Площадь в квадратных метрах</t>
  </si>
  <si>
    <t>Категория земель</t>
  </si>
  <si>
    <t>Группа для XML</t>
  </si>
  <si>
    <t>Код расчета вида использования</t>
  </si>
  <si>
    <t>Наличие газоснабжения</t>
  </si>
  <si>
    <t>Наличие отопления</t>
  </si>
  <si>
    <t>Наличие электроснабжения</t>
  </si>
  <si>
    <t>Наличие водоотведения</t>
  </si>
  <si>
    <t>66:41:0401041</t>
  </si>
  <si>
    <t>Земли населенных пунктов</t>
  </si>
  <si>
    <t>02:060</t>
  </si>
  <si>
    <t>Центр</t>
  </si>
  <si>
    <t>66:45:0100191</t>
  </si>
  <si>
    <t>02:050</t>
  </si>
  <si>
    <t>02:014</t>
  </si>
  <si>
    <t>66:45:0200088</t>
  </si>
  <si>
    <t>66:41:0609023</t>
  </si>
  <si>
    <t>66:56:0203001</t>
  </si>
  <si>
    <t>ТАГИЛСТРОЙ</t>
  </si>
  <si>
    <t>66:58:0116002</t>
  </si>
  <si>
    <t>КОРАБЕЛЬНАЯ РОЩА</t>
  </si>
  <si>
    <t>66:56:0403005</t>
  </si>
  <si>
    <t>9-Й ПОСЁЛОК</t>
  </si>
  <si>
    <t>66:56:0109001</t>
  </si>
  <si>
    <t>ВЫЯ</t>
  </si>
  <si>
    <t>66:56:0110015</t>
  </si>
  <si>
    <t>ЦЕНТР</t>
  </si>
  <si>
    <t>66:41:0110004</t>
  </si>
  <si>
    <t>66:41:0206014</t>
  </si>
  <si>
    <t>66:41:0303094</t>
  </si>
  <si>
    <t>ВИЗ</t>
  </si>
  <si>
    <t>66:41:0601039</t>
  </si>
  <si>
    <t>66:41:0702035</t>
  </si>
  <si>
    <t>66:41:0108117</t>
  </si>
  <si>
    <t>66:56:0109005</t>
  </si>
  <si>
    <t>66:41:0504035</t>
  </si>
  <si>
    <t>66:41:0108111</t>
  </si>
  <si>
    <t>66:56:0206005</t>
  </si>
  <si>
    <t>КРАСНЫЙ КАМЕНЬ</t>
  </si>
  <si>
    <t>66:56:0103001</t>
  </si>
  <si>
    <t>66:56:0108004</t>
  </si>
  <si>
    <t>66:41:0609024</t>
  </si>
  <si>
    <t>66:41:0504008</t>
  </si>
  <si>
    <t>66:41:0108009</t>
  </si>
  <si>
    <t>66:56:0601014</t>
  </si>
  <si>
    <t>66:45:0200204</t>
  </si>
  <si>
    <t>66:41:0108079</t>
  </si>
  <si>
    <t>66:56:0404009</t>
  </si>
  <si>
    <t>ВАЛЕГИН БОР</t>
  </si>
  <si>
    <t>66:56:0601008</t>
  </si>
  <si>
    <t>ЗАПРУДНЫЙ</t>
  </si>
  <si>
    <t>66:56:0204011</t>
  </si>
  <si>
    <t>НОВАЯ КУШВА</t>
  </si>
  <si>
    <t>66:56:0206008</t>
  </si>
  <si>
    <t>66:41:0108096</t>
  </si>
  <si>
    <t>66:41:0106097</t>
  </si>
  <si>
    <t>Уралмаш</t>
  </si>
  <si>
    <t>66:41:0303080</t>
  </si>
  <si>
    <t>66:58:0106001</t>
  </si>
  <si>
    <t>66:41:0106102</t>
  </si>
  <si>
    <t>66:41:0106118</t>
  </si>
  <si>
    <t>66:45:0200087</t>
  </si>
  <si>
    <t>66:41:0404012</t>
  </si>
  <si>
    <t>УНЦ</t>
  </si>
  <si>
    <t>66:41:0106020</t>
  </si>
  <si>
    <t>66:58:0111005</t>
  </si>
  <si>
    <t>ДИНАС</t>
  </si>
  <si>
    <t>66:58:1701002</t>
  </si>
  <si>
    <t>66:56:0205001</t>
  </si>
  <si>
    <t>МАЛАЯ КУШВА</t>
  </si>
  <si>
    <t>66:56:0402010</t>
  </si>
  <si>
    <t>ВАГОНКА</t>
  </si>
  <si>
    <t>66:41:0402020</t>
  </si>
  <si>
    <t>66:41:0704018</t>
  </si>
  <si>
    <t>66:58:0112001</t>
  </si>
  <si>
    <t>ПОДВОЛОШНАЯ</t>
  </si>
  <si>
    <t>66:58:0115001</t>
  </si>
  <si>
    <t>66:41:0000000</t>
  </si>
  <si>
    <t>66:41:0108091</t>
  </si>
  <si>
    <t>66:58:0114001</t>
  </si>
  <si>
    <t>66:41:0303105</t>
  </si>
  <si>
    <t>66:41:0106023</t>
  </si>
  <si>
    <t>66:56:0207007</t>
  </si>
  <si>
    <t>66:45:0200243</t>
  </si>
  <si>
    <t>ПОС.УАЗ-II</t>
  </si>
  <si>
    <t>66:41:0501066</t>
  </si>
  <si>
    <t>66:41:0504003</t>
  </si>
  <si>
    <t>66:41:0402001</t>
  </si>
  <si>
    <t>66:56:0206001</t>
  </si>
  <si>
    <t>66:41:0106043</t>
  </si>
  <si>
    <t>66:41:0608017</t>
  </si>
  <si>
    <t>66:56:0502001</t>
  </si>
  <si>
    <t>66:41:0519050</t>
  </si>
  <si>
    <t>66:41:0504030</t>
  </si>
  <si>
    <t>66:41:0609022</t>
  </si>
  <si>
    <t>66:41:0601011</t>
  </si>
  <si>
    <t>66:41:0106156</t>
  </si>
  <si>
    <t>66:41:0108114</t>
  </si>
  <si>
    <t>66:41:0204055</t>
  </si>
  <si>
    <t>66:41:0303004</t>
  </si>
  <si>
    <t>66:41:0601007</t>
  </si>
  <si>
    <t>66:41:0206032</t>
  </si>
  <si>
    <t>66:41:0108035</t>
  </si>
  <si>
    <t>66:56:0109002</t>
  </si>
  <si>
    <t>66:56:0110008</t>
  </si>
  <si>
    <t>66:41:0501056</t>
  </si>
  <si>
    <t>66:41:0702066</t>
  </si>
  <si>
    <t>66:41:0204024</t>
  </si>
  <si>
    <t>66:41:0106022</t>
  </si>
  <si>
    <t>66:56:0402009</t>
  </si>
  <si>
    <t>66:56:0205002</t>
  </si>
  <si>
    <t>66:56:0502016</t>
  </si>
  <si>
    <t>66:41:0502079</t>
  </si>
  <si>
    <t>66:41:0106039</t>
  </si>
  <si>
    <t>66:41:0607008</t>
  </si>
  <si>
    <t>Исток</t>
  </si>
  <si>
    <t>66:41:0106035</t>
  </si>
  <si>
    <t>66:41:0204051</t>
  </si>
  <si>
    <t>66:41:0603013</t>
  </si>
  <si>
    <t>66:56:0403010</t>
  </si>
  <si>
    <t>66:41:0204011</t>
  </si>
  <si>
    <t>66:45:0200226</t>
  </si>
  <si>
    <t>66:56:0402011</t>
  </si>
  <si>
    <t>66:41:0601045</t>
  </si>
  <si>
    <t>66:56:0208008</t>
  </si>
  <si>
    <t>РУДНИК ИМ. III ИНТЕРНАЦИОНАЛА</t>
  </si>
  <si>
    <t>66:41:0204036</t>
  </si>
  <si>
    <t>66:56:0403009</t>
  </si>
  <si>
    <t>АЛТАЙСКИЙ</t>
  </si>
  <si>
    <t>66:45:0100267</t>
  </si>
  <si>
    <t>66:41:0304006</t>
  </si>
  <si>
    <t>66:58:0113011</t>
  </si>
  <si>
    <t>66:41:0509002</t>
  </si>
  <si>
    <t>66:56:0206002</t>
  </si>
  <si>
    <t>66:45:0100175</t>
  </si>
  <si>
    <t>66:56:0207003</t>
  </si>
  <si>
    <t>66:45:0100353</t>
  </si>
  <si>
    <t>66:41:0303066</t>
  </si>
  <si>
    <t>66:56:0207004</t>
  </si>
  <si>
    <t>66:56:0403008</t>
  </si>
  <si>
    <t>66:41:0704040</t>
  </si>
  <si>
    <t>66:56:0206003</t>
  </si>
  <si>
    <t>66:56:0301004</t>
  </si>
  <si>
    <t>СЕВЕРНЫЙ М-Н</t>
  </si>
  <si>
    <t>66:56:0402007</t>
  </si>
  <si>
    <t>66:56:0404001</t>
  </si>
  <si>
    <t>66:45:0200320</t>
  </si>
  <si>
    <t>66:58:0000000</t>
  </si>
  <si>
    <t>Севернее ЖД</t>
  </si>
  <si>
    <t>66:41:0604021</t>
  </si>
  <si>
    <t>66:41:0506003</t>
  </si>
  <si>
    <t>66:41:0604007</t>
  </si>
  <si>
    <t>66:56:0402002</t>
  </si>
  <si>
    <t>66:56:0206007</t>
  </si>
  <si>
    <t>66:56:0110003</t>
  </si>
  <si>
    <t>66:56:0206010</t>
  </si>
  <si>
    <t>66:56:0401009</t>
  </si>
  <si>
    <t>66:56:0109006</t>
  </si>
  <si>
    <t>66:56:0109007</t>
  </si>
  <si>
    <t>66:41:0702049</t>
  </si>
  <si>
    <t>66:56:0107002</t>
  </si>
  <si>
    <t>ЛЕБЯЖКА</t>
  </si>
  <si>
    <t>66:41:0501026</t>
  </si>
  <si>
    <t>66:41:0402010</t>
  </si>
  <si>
    <t>66:56:0402005</t>
  </si>
  <si>
    <t>66:41:0501033</t>
  </si>
  <si>
    <t>66:41:0204022</t>
  </si>
  <si>
    <t>66:41:0303026</t>
  </si>
  <si>
    <t>66:41:0301010</t>
  </si>
  <si>
    <t>66:41:0304023</t>
  </si>
  <si>
    <t>66:56:0403001</t>
  </si>
  <si>
    <t>ПИХТОВЫЕ ГОРЫ</t>
  </si>
  <si>
    <t>66:56:0109009</t>
  </si>
  <si>
    <t>66:56:0204013</t>
  </si>
  <si>
    <t>66:56:0402006</t>
  </si>
  <si>
    <t>66:41:0505027</t>
  </si>
  <si>
    <t>66:41:0704025</t>
  </si>
  <si>
    <t>66:41:0106119</t>
  </si>
  <si>
    <t>66:41:0504041</t>
  </si>
  <si>
    <t>66:45:0100376</t>
  </si>
  <si>
    <t>ПОС. СЕВЕРНЫЙ</t>
  </si>
  <si>
    <t>66:45:0100011</t>
  </si>
  <si>
    <t>66:41:0504007</t>
  </si>
  <si>
    <t>66:41:0313010</t>
  </si>
  <si>
    <t>66:41:0402012</t>
  </si>
  <si>
    <t>66:41:0502069</t>
  </si>
  <si>
    <t>66:58:0120007</t>
  </si>
  <si>
    <t>66:41:0106064</t>
  </si>
  <si>
    <t>66:19:1901009</t>
  </si>
  <si>
    <t>66:41:0306106</t>
  </si>
  <si>
    <t>Межселенная территория-зона 4</t>
  </si>
  <si>
    <t>66:45:0100316</t>
  </si>
  <si>
    <t>66:45:0200265</t>
  </si>
  <si>
    <t>ПОС. УАЗ-I</t>
  </si>
  <si>
    <t>66:45:0200250</t>
  </si>
  <si>
    <t>66:45:0200222</t>
  </si>
  <si>
    <t>66:45:0200041</t>
  </si>
  <si>
    <t>66:56:0110002</t>
  </si>
  <si>
    <t>66:41:0516002</t>
  </si>
  <si>
    <t>Верхнемакарово</t>
  </si>
  <si>
    <t>66:41:0704005</t>
  </si>
  <si>
    <t>66:45:0200081</t>
  </si>
  <si>
    <t>66:45:0200246</t>
  </si>
  <si>
    <t>66:45:0100282</t>
  </si>
  <si>
    <t>66:45:0100396</t>
  </si>
  <si>
    <t>66:41:0706008</t>
  </si>
  <si>
    <t>ЖБИ</t>
  </si>
  <si>
    <t>66:41:0508065</t>
  </si>
  <si>
    <t>66:41:0206017</t>
  </si>
  <si>
    <t>66:41:0402013</t>
  </si>
  <si>
    <t>66:41:0504052</t>
  </si>
  <si>
    <t>66:41:0501054</t>
  </si>
  <si>
    <t>66:58:0112003</t>
  </si>
  <si>
    <t>66:41:0206016</t>
  </si>
  <si>
    <t>66:41:0110141</t>
  </si>
  <si>
    <t>66:41:0110143</t>
  </si>
  <si>
    <t>66:56:0403007</t>
  </si>
  <si>
    <t>66:41:0303017</t>
  </si>
  <si>
    <t>66:41:0501008</t>
  </si>
  <si>
    <t>66:41:0515002</t>
  </si>
  <si>
    <t>66:41:0701008</t>
  </si>
  <si>
    <t>66:58:1301005</t>
  </si>
  <si>
    <t>66:58:2201001</t>
  </si>
  <si>
    <t>66:56:0402008</t>
  </si>
  <si>
    <t>66:41:0515026</t>
  </si>
  <si>
    <t>66:41:0614066</t>
  </si>
  <si>
    <t>66:41:0705006</t>
  </si>
  <si>
    <t>66:41:0704008</t>
  </si>
  <si>
    <t>66:41:0711064</t>
  </si>
  <si>
    <t>66:41:0711004</t>
  </si>
  <si>
    <t>66:41:0519016</t>
  </si>
  <si>
    <t>66:41:0106108</t>
  </si>
  <si>
    <t>66:41:0401009</t>
  </si>
  <si>
    <t>66:56:0204014</t>
  </si>
  <si>
    <t>66:56:0403004</t>
  </si>
  <si>
    <t>66:56:0205006</t>
  </si>
  <si>
    <t>66:58:0112002</t>
  </si>
  <si>
    <t>66:45:0200358</t>
  </si>
  <si>
    <t>66:45:0200359</t>
  </si>
  <si>
    <t>66:41:0505003</t>
  </si>
  <si>
    <t>66:41:0701024</t>
  </si>
  <si>
    <t>66:41:0302033</t>
  </si>
  <si>
    <t>66:41:0204016</t>
  </si>
  <si>
    <t>66:41:0610004</t>
  </si>
  <si>
    <t>66:56:0205003</t>
  </si>
  <si>
    <t>66:41:0504037</t>
  </si>
  <si>
    <t>66:41:0303064</t>
  </si>
  <si>
    <t>66:41:0504010</t>
  </si>
  <si>
    <t>66:45:0200096</t>
  </si>
  <si>
    <t>66:45:0200100</t>
  </si>
  <si>
    <t>66:41:0108027</t>
  </si>
  <si>
    <t>66:41:0504023</t>
  </si>
  <si>
    <t>66:41:0702064</t>
  </si>
  <si>
    <t>66:41:0702063</t>
  </si>
  <si>
    <t>66:41:0108075</t>
  </si>
  <si>
    <t>66:41:0106019</t>
  </si>
  <si>
    <t>66:41:0205013</t>
  </si>
  <si>
    <t>66:41:0502084</t>
  </si>
  <si>
    <t>66:41:0304029</t>
  </si>
  <si>
    <t>66:41:0705005</t>
  </si>
  <si>
    <t>66:45:0200057</t>
  </si>
  <si>
    <t>66:41:0603004</t>
  </si>
  <si>
    <t>66:41:0705001</t>
  </si>
  <si>
    <t>66:41:0703008</t>
  </si>
  <si>
    <t>66:41:0303079</t>
  </si>
  <si>
    <t>66:41:0603007</t>
  </si>
  <si>
    <t>66:41:0206010</t>
  </si>
  <si>
    <t>66:56:0110014</t>
  </si>
  <si>
    <t>66:41:0403006</t>
  </si>
  <si>
    <t>66:41:0106140</t>
  </si>
  <si>
    <t>66:41:0303038</t>
  </si>
  <si>
    <t>66:41:0601031</t>
  </si>
  <si>
    <t>66:58:1301009</t>
  </si>
  <si>
    <t>66:41:0601004</t>
  </si>
  <si>
    <t>66:41:0106135</t>
  </si>
  <si>
    <t>66:45:0100138</t>
  </si>
  <si>
    <t>66:56:0204015</t>
  </si>
  <si>
    <t>66:45:0200170</t>
  </si>
  <si>
    <t>66:56:0110001</t>
  </si>
  <si>
    <t>66:41:0601054</t>
  </si>
  <si>
    <t>66:41:0106128</t>
  </si>
  <si>
    <t>66:41:0401032</t>
  </si>
  <si>
    <t>66:45:0100173</t>
  </si>
  <si>
    <t>66:41:0402007</t>
  </si>
  <si>
    <t>66:41:0206026</t>
  </si>
  <si>
    <t>66:41:0701006</t>
  </si>
  <si>
    <t>66:45:0200292</t>
  </si>
  <si>
    <t>66:45:0200168</t>
  </si>
  <si>
    <t>66:45:0100146</t>
  </si>
  <si>
    <t>66:41:0108072</t>
  </si>
  <si>
    <t>66:41:0704041</t>
  </si>
  <si>
    <t>66:56:0502014</t>
  </si>
  <si>
    <t>СТАРАТЕЛЬ М-Н</t>
  </si>
  <si>
    <t>66:41:0502096</t>
  </si>
  <si>
    <t>66:41:0402004</t>
  </si>
  <si>
    <t>66:45:0100021</t>
  </si>
  <si>
    <t>66:41:0702072</t>
  </si>
  <si>
    <t>66:41:0303072</t>
  </si>
  <si>
    <t>66:41:0403047</t>
  </si>
  <si>
    <t>66:41:0106002</t>
  </si>
  <si>
    <t>66:41:0402016</t>
  </si>
  <si>
    <t>66:41:0702069</t>
  </si>
  <si>
    <t>66:45:0100134</t>
  </si>
  <si>
    <t>66:56:0109004</t>
  </si>
  <si>
    <t>66:56:0601007</t>
  </si>
  <si>
    <t>66:56:0110006</t>
  </si>
  <si>
    <t>66:56:0404010</t>
  </si>
  <si>
    <t>СУХОЛОЖСКИЙ</t>
  </si>
  <si>
    <t>66:41:0703007</t>
  </si>
  <si>
    <t>66:41:0614015</t>
  </si>
  <si>
    <t>66:45:0200231</t>
  </si>
  <si>
    <t>ПОС.УАЗ-III</t>
  </si>
  <si>
    <t>66:45:0100209</t>
  </si>
  <si>
    <t>66:41:0504005</t>
  </si>
  <si>
    <t>66:41:0205015</t>
  </si>
  <si>
    <t>66:58:0113004</t>
  </si>
  <si>
    <t>66:56:0110005</t>
  </si>
  <si>
    <t>66:58:0103001</t>
  </si>
  <si>
    <t>66:41:0313121</t>
  </si>
  <si>
    <t>66:41:0309012</t>
  </si>
  <si>
    <t>66:41:0401053</t>
  </si>
  <si>
    <t>66:58:0109003</t>
  </si>
  <si>
    <t>САМСТРОЙ</t>
  </si>
  <si>
    <t>66:41:0601010</t>
  </si>
  <si>
    <t>66:41:0607007</t>
  </si>
  <si>
    <t>66:41:0206015</t>
  </si>
  <si>
    <t>66:41:0303009</t>
  </si>
  <si>
    <t>66:56:0205005</t>
  </si>
  <si>
    <t>66:56:0403003</t>
  </si>
  <si>
    <t>66:56:0112007</t>
  </si>
  <si>
    <t>66:45:0200270</t>
  </si>
  <si>
    <t>66:56:0207005</t>
  </si>
  <si>
    <t>66:41:0708018</t>
  </si>
  <si>
    <t>66:41:0604006</t>
  </si>
  <si>
    <t>66:41:0502126</t>
  </si>
  <si>
    <t>66:41:0702034</t>
  </si>
  <si>
    <t>66:41:0519010</t>
  </si>
  <si>
    <t>66:41:0108099</t>
  </si>
  <si>
    <t>66:41:0205003</t>
  </si>
  <si>
    <t>66:41:0108012</t>
  </si>
  <si>
    <t>66:41:0612090</t>
  </si>
  <si>
    <t>66:56:0601003</t>
  </si>
  <si>
    <t>66:56:0204012</t>
  </si>
  <si>
    <t>66:41:0402028</t>
  </si>
  <si>
    <t>66:45:0100007</t>
  </si>
  <si>
    <t>66:56:0110004</t>
  </si>
  <si>
    <t>66:56:0112002</t>
  </si>
  <si>
    <t>66:41:0707011</t>
  </si>
  <si>
    <t>66:41:0401034</t>
  </si>
  <si>
    <t>66:41:0602005</t>
  </si>
  <si>
    <t>66:41:0601005</t>
  </si>
  <si>
    <t>66:41:0401048</t>
  </si>
  <si>
    <t>66:41:0515032</t>
  </si>
  <si>
    <t>66:41:0501063</t>
  </si>
  <si>
    <t>66:41:0510025</t>
  </si>
  <si>
    <t>66:56:0110007</t>
  </si>
  <si>
    <t>66:41:0206025</t>
  </si>
  <si>
    <t>66:41:0206006</t>
  </si>
  <si>
    <t>66:41:0501058</t>
  </si>
  <si>
    <t>66:41:0102023</t>
  </si>
  <si>
    <t>66:41:0108053</t>
  </si>
  <si>
    <t>66:45:0100360</t>
  </si>
  <si>
    <t>66:45:0100243</t>
  </si>
  <si>
    <t>66:45:0200297</t>
  </si>
  <si>
    <t>66:45:0100133</t>
  </si>
  <si>
    <t>66:45:0200281</t>
  </si>
  <si>
    <t>66:45:0100148</t>
  </si>
  <si>
    <t>66:41:0403081</t>
  </si>
  <si>
    <t>66:41:0304025</t>
  </si>
  <si>
    <t>66:41:0504019</t>
  </si>
  <si>
    <t>66:41:0702047</t>
  </si>
  <si>
    <t>66:41:0509016</t>
  </si>
  <si>
    <t>66:41:0510038</t>
  </si>
  <si>
    <t>66:41:0504002</t>
  </si>
  <si>
    <t>66:45:0100399</t>
  </si>
  <si>
    <t>66:41:0304027</t>
  </si>
  <si>
    <t>66:56:0206006</t>
  </si>
  <si>
    <t>66:41:0702055</t>
  </si>
  <si>
    <t>66:56:0205004</t>
  </si>
  <si>
    <t>66:56:0601001</t>
  </si>
  <si>
    <t>66:41:0305001</t>
  </si>
  <si>
    <t>66:45:0100113</t>
  </si>
  <si>
    <t>66:41:0304012</t>
  </si>
  <si>
    <t>66:56:0107003</t>
  </si>
  <si>
    <t>66:41:0502078</t>
  </si>
  <si>
    <t>66:41:0210071</t>
  </si>
  <si>
    <t>Северка</t>
  </si>
  <si>
    <t>66:41:0504044</t>
  </si>
  <si>
    <t>66:56:0110010</t>
  </si>
  <si>
    <t>66:41:0303112</t>
  </si>
  <si>
    <t>66:56:0111014</t>
  </si>
  <si>
    <t>66:41:0502507</t>
  </si>
  <si>
    <t>66:41:0401027</t>
  </si>
  <si>
    <t>66:41:0504025</t>
  </si>
  <si>
    <t>66:41:0607016</t>
  </si>
  <si>
    <t>66:41:0604017</t>
  </si>
  <si>
    <t>66:41:0525004</t>
  </si>
  <si>
    <t>66:41:0609011</t>
  </si>
  <si>
    <t>66:41:0702033</t>
  </si>
  <si>
    <t>66:58:0701008</t>
  </si>
  <si>
    <t>66:41:0313005</t>
  </si>
  <si>
    <t>66:58:1301006</t>
  </si>
  <si>
    <t>66:56:0208007</t>
  </si>
  <si>
    <t>66:41:0304008</t>
  </si>
  <si>
    <t>66:41:0704044</t>
  </si>
  <si>
    <t>66:41:0612088</t>
  </si>
  <si>
    <t>66:41:0402022</t>
  </si>
  <si>
    <t>66:58:0118001</t>
  </si>
  <si>
    <t>66:41:0108083</t>
  </si>
  <si>
    <t>66:41:0106113</t>
  </si>
  <si>
    <t>66:41:0303037</t>
  </si>
  <si>
    <t>66:41:0313007</t>
  </si>
  <si>
    <t>66:41:0303154</t>
  </si>
  <si>
    <t>66:41:0313006</t>
  </si>
  <si>
    <t>66:56:0207008</t>
  </si>
  <si>
    <t>66:45:0100341</t>
  </si>
  <si>
    <t>66:45:0100389</t>
  </si>
  <si>
    <t>66:41:0205005</t>
  </si>
  <si>
    <t>66:41:0108092</t>
  </si>
  <si>
    <t>66:41:0204031</t>
  </si>
  <si>
    <t>66:41:0403011</t>
  </si>
  <si>
    <t>66:41:0508077</t>
  </si>
  <si>
    <t>66:41:0305005</t>
  </si>
  <si>
    <t>66:45:0200089</t>
  </si>
  <si>
    <t>66:41:0302032</t>
  </si>
  <si>
    <t>66:41:0302031</t>
  </si>
  <si>
    <t>66:58:0113001</t>
  </si>
  <si>
    <t>66:56:0107001</t>
  </si>
  <si>
    <t>66:41:0505024</t>
  </si>
  <si>
    <t>66:41:0306030</t>
  </si>
  <si>
    <t>66:19:1701002</t>
  </si>
  <si>
    <t>66:56:0403006</t>
  </si>
  <si>
    <t>66:56:0208001</t>
  </si>
  <si>
    <t>66:41:0201012</t>
  </si>
  <si>
    <t>Палкино</t>
  </si>
  <si>
    <t>66:45:0200099</t>
  </si>
  <si>
    <t>66:41:0402021</t>
  </si>
  <si>
    <t>66:45:0100132</t>
  </si>
  <si>
    <t>66:41:0604001</t>
  </si>
  <si>
    <t>66:58:2101005</t>
  </si>
  <si>
    <t>66:56:0205007</t>
  </si>
  <si>
    <t>66:45:0100241</t>
  </si>
  <si>
    <t>66:45:0200239</t>
  </si>
  <si>
    <t>66:45:0100375</t>
  </si>
  <si>
    <t>66:45:0100176</t>
  </si>
  <si>
    <t>66:45:0100159</t>
  </si>
  <si>
    <t>66:41:0109057</t>
  </si>
  <si>
    <t>66:41:0106098</t>
  </si>
  <si>
    <t>66:41:0204010</t>
  </si>
  <si>
    <t>66:41:0403073</t>
  </si>
  <si>
    <t>66:58:0111001</t>
  </si>
  <si>
    <t>66:45:0100197</t>
  </si>
  <si>
    <t>66:45:0200294</t>
  </si>
  <si>
    <t>66:41:0403025</t>
  </si>
  <si>
    <t>66:41:0402024</t>
  </si>
  <si>
    <t>66:41:0401047</t>
  </si>
  <si>
    <t>66:41:0609028</t>
  </si>
  <si>
    <t>66:41:0701013</t>
  </si>
  <si>
    <t>66:41:0102006</t>
  </si>
  <si>
    <t>66:41:0108081</t>
  </si>
  <si>
    <t>66:45:0200056</t>
  </si>
  <si>
    <t>66:41:0704036</t>
  </si>
  <si>
    <t>66:41:0515029</t>
  </si>
  <si>
    <t>66:41:0504006</t>
  </si>
  <si>
    <t>66:41:0106054</t>
  </si>
  <si>
    <t>66:41:0601035</t>
  </si>
  <si>
    <t>66:41:0702039</t>
  </si>
  <si>
    <t>66:41:0601025</t>
  </si>
  <si>
    <t>66:41:0106117</t>
  </si>
  <si>
    <t>66:41:0403074</t>
  </si>
  <si>
    <t>66:41:0509018</t>
  </si>
  <si>
    <t>66:41:0519100</t>
  </si>
  <si>
    <t>66:41:0306094</t>
  </si>
  <si>
    <t>66:41:0502074</t>
  </si>
  <si>
    <t>66:41:0701005</t>
  </si>
  <si>
    <t>66:41:0306020</t>
  </si>
  <si>
    <t>66:41:0711059</t>
  </si>
  <si>
    <t>66:41:0506901</t>
  </si>
  <si>
    <t>66:41:0402027</t>
  </si>
  <si>
    <t>66:41:0207004</t>
  </si>
  <si>
    <t>Шувакиш</t>
  </si>
  <si>
    <t>66:56:0204004</t>
  </si>
  <si>
    <t>66:41:0509022</t>
  </si>
  <si>
    <t>66:41:0306055</t>
  </si>
  <si>
    <t>66:56:0108005</t>
  </si>
  <si>
    <t>66:41:0501007</t>
  </si>
  <si>
    <t>66:41:0502071</t>
  </si>
  <si>
    <t>66:41:0701016</t>
  </si>
  <si>
    <t>66:41:0403076</t>
  </si>
  <si>
    <t>66:41:0601053</t>
  </si>
  <si>
    <t>66:41:0702052</t>
  </si>
  <si>
    <t>66:41:0108077</t>
  </si>
  <si>
    <t>66:41:0106096</t>
  </si>
  <si>
    <t>66:56:0502017</t>
  </si>
  <si>
    <t>66:41:0509048</t>
  </si>
  <si>
    <t>66:41:0509060</t>
  </si>
  <si>
    <t>66:41:0504040</t>
  </si>
  <si>
    <t>66:41:0306117</t>
  </si>
  <si>
    <t>66:56:0105001</t>
  </si>
  <si>
    <t>КИРПИЧНЫЙ</t>
  </si>
  <si>
    <t>66:56:0207006</t>
  </si>
  <si>
    <t>66:56:0206004</t>
  </si>
  <si>
    <t>66:41:0205009</t>
  </si>
  <si>
    <t>66:41:0701007</t>
  </si>
  <si>
    <t>66:41:0304026</t>
  </si>
  <si>
    <t>66:41:0108073</t>
  </si>
  <si>
    <t>66:41:0704004</t>
  </si>
  <si>
    <t>66:41:0108103</t>
  </si>
  <si>
    <t>66:45:0200353</t>
  </si>
  <si>
    <t>66:45:0200279</t>
  </si>
  <si>
    <t>66:45:0100255</t>
  </si>
  <si>
    <t>66:41:0519043</t>
  </si>
  <si>
    <t>66:41:0702004</t>
  </si>
  <si>
    <t>66:41:0612064</t>
  </si>
  <si>
    <t>66:41:0108076</t>
  </si>
  <si>
    <t>66:58:0120003</t>
  </si>
  <si>
    <t>ТАЛИЦА ПОС.</t>
  </si>
  <si>
    <t>66:41:0704007</t>
  </si>
  <si>
    <t>66:45:0200233</t>
  </si>
  <si>
    <t>66:41:0204005</t>
  </si>
  <si>
    <t>66:41:0204021</t>
  </si>
  <si>
    <t>66:41:0205020</t>
  </si>
  <si>
    <t>66:41:0206007</t>
  </si>
  <si>
    <t>66:41:0106045</t>
  </si>
  <si>
    <t>66:45:0100094</t>
  </si>
  <si>
    <t>66:41:0204044</t>
  </si>
  <si>
    <t>66:41:0106021</t>
  </si>
  <si>
    <t>66:41:0704039</t>
  </si>
  <si>
    <t>66:41:0612050</t>
  </si>
  <si>
    <t>66:41:0106036</t>
  </si>
  <si>
    <t>66:41:0502064</t>
  </si>
  <si>
    <t>66:41:0704013</t>
  </si>
  <si>
    <t>66:56:0502007</t>
  </si>
  <si>
    <t>66:56:0000000</t>
  </si>
  <si>
    <t>66:58:1501001</t>
  </si>
  <si>
    <t>66:41:0402014</t>
  </si>
  <si>
    <t>66:41:0505011</t>
  </si>
  <si>
    <t>66:56:0108003</t>
  </si>
  <si>
    <t>66:56:0101003</t>
  </si>
  <si>
    <t>ЕВСТЮНИХА</t>
  </si>
  <si>
    <t>66:41:0515001</t>
  </si>
  <si>
    <t>66:41:0108090</t>
  </si>
  <si>
    <t>66:41:0705009</t>
  </si>
  <si>
    <t>66:41:0303039</t>
  </si>
  <si>
    <t>66:41:0702023</t>
  </si>
  <si>
    <t>66:41:0304028</t>
  </si>
  <si>
    <t>66:41:0106034</t>
  </si>
  <si>
    <t>66:41:0501070</t>
  </si>
  <si>
    <t>66:45:0100143</t>
  </si>
  <si>
    <t>66:45:0200291</t>
  </si>
  <si>
    <t>66:41:0204053</t>
  </si>
  <si>
    <t>66:41:0204049</t>
  </si>
  <si>
    <t>66:19:1701001</t>
  </si>
  <si>
    <t>66:41:0204009</t>
  </si>
  <si>
    <t>66:41:0501065</t>
  </si>
  <si>
    <t>66:41:0704045</t>
  </si>
  <si>
    <t>66:41:0509043</t>
  </si>
  <si>
    <t>66:41:0509046</t>
  </si>
  <si>
    <t>66:56:0208005</t>
  </si>
  <si>
    <t>66:41:0601009</t>
  </si>
  <si>
    <t>66:41:0704011</t>
  </si>
  <si>
    <t>66:41:0702061</t>
  </si>
  <si>
    <t>66:41:0710022</t>
  </si>
  <si>
    <t>Изоплит</t>
  </si>
  <si>
    <t>66:41:0303035</t>
  </si>
  <si>
    <t>66:41:0711032</t>
  </si>
  <si>
    <t>66:41:0509033</t>
  </si>
  <si>
    <t>66:41:0612065</t>
  </si>
  <si>
    <t>66:41:0711061</t>
  </si>
  <si>
    <t>66:45:0200224</t>
  </si>
  <si>
    <t>66:45:0200278</t>
  </si>
  <si>
    <t>66:41:0509047</t>
  </si>
  <si>
    <t>66:41:0108001</t>
  </si>
  <si>
    <t>66:41:0509037</t>
  </si>
  <si>
    <t>66:41:0502080</t>
  </si>
  <si>
    <t>66:41:0509024</t>
  </si>
  <si>
    <t>66:19:1001001</t>
  </si>
  <si>
    <t>66:41:0609027</t>
  </si>
  <si>
    <t>66:41:0711065</t>
  </si>
  <si>
    <t>66:41:0203048</t>
  </si>
  <si>
    <t>66:41:0704035</t>
  </si>
  <si>
    <t>66:41:0515038</t>
  </si>
  <si>
    <t>66:41:0601023</t>
  </si>
  <si>
    <t>66:41:0707006</t>
  </si>
  <si>
    <t>66:41:0303093</t>
  </si>
  <si>
    <t>66:41:0108050</t>
  </si>
  <si>
    <t>66:41:0206031</t>
  </si>
  <si>
    <t>66:41:0401001</t>
  </si>
  <si>
    <t>66:58:0120013</t>
  </si>
  <si>
    <t>66:41:0109065</t>
  </si>
  <si>
    <t>66:41:0403002</t>
  </si>
  <si>
    <t>66:41:0403004</t>
  </si>
  <si>
    <t>66:41:0702054</t>
  </si>
  <si>
    <t>66:41:0704038</t>
  </si>
  <si>
    <t>66:41:0515025</t>
  </si>
  <si>
    <t>66:45:0200280</t>
  </si>
  <si>
    <t>66:45:0200236</t>
  </si>
  <si>
    <t>66:45:0200241</t>
  </si>
  <si>
    <t>66:45:0200131</t>
  </si>
  <si>
    <t>66:45:0200042</t>
  </si>
  <si>
    <t>66:41:0402015</t>
  </si>
  <si>
    <t>66:41:0205004</t>
  </si>
  <si>
    <t>66:45:0200261</t>
  </si>
  <si>
    <t>66:45:0100365</t>
  </si>
  <si>
    <t>66:41:0303068</t>
  </si>
  <si>
    <t>66:41:0701028</t>
  </si>
  <si>
    <t>66:56:0204008</t>
  </si>
  <si>
    <t>66:41:0108084</t>
  </si>
  <si>
    <t>66:41:0502070</t>
  </si>
  <si>
    <t>66:41:0509027</t>
  </si>
  <si>
    <t>66:45:0100179</t>
  </si>
  <si>
    <t>66:41:0601020</t>
  </si>
  <si>
    <t>66:41:0502088</t>
  </si>
  <si>
    <t>66:41:0402026</t>
  </si>
  <si>
    <t>66:41:0403015</t>
  </si>
  <si>
    <t>66:56:0202001</t>
  </si>
  <si>
    <t>ОЛЬХОВКА С.</t>
  </si>
  <si>
    <t>66:56:0204016</t>
  </si>
  <si>
    <t>66:56:0402001</t>
  </si>
  <si>
    <t>66:41:0601044</t>
  </si>
  <si>
    <t>66:41:0511021</t>
  </si>
  <si>
    <t>66:41:0608901</t>
  </si>
  <si>
    <t>66:56:0502015</t>
  </si>
  <si>
    <t>66:41:0207007</t>
  </si>
  <si>
    <t>66:41:0701027</t>
  </si>
  <si>
    <t>66:41:0108046</t>
  </si>
  <si>
    <t>66:45:0200263</t>
  </si>
  <si>
    <t>66:45:0100281</t>
  </si>
  <si>
    <t>66:45:0200273</t>
  </si>
  <si>
    <t>66:41:0701022</t>
  </si>
  <si>
    <t>66:41:0108068</t>
  </si>
  <si>
    <t>66:41:0108089</t>
  </si>
  <si>
    <t>66:41:0509049</t>
  </si>
  <si>
    <t>66:41:0704003</t>
  </si>
  <si>
    <t>66:41:0702038</t>
  </si>
  <si>
    <t>66:41:0519069</t>
  </si>
  <si>
    <t>66:45:0200244</t>
  </si>
  <si>
    <t>66:45:0200341</t>
  </si>
  <si>
    <t>66:45:0200401</t>
  </si>
  <si>
    <t>66:56:0116003</t>
  </si>
  <si>
    <t>66:56:0206009</t>
  </si>
  <si>
    <t>66:58:0701006</t>
  </si>
  <si>
    <t>66:58:0101004</t>
  </si>
  <si>
    <t>66:58:0119001</t>
  </si>
  <si>
    <t>66:45:0200191</t>
  </si>
  <si>
    <t>66:41:0710003</t>
  </si>
  <si>
    <t>66:45:0200247</t>
  </si>
  <si>
    <t>66:45:0200272</t>
  </si>
  <si>
    <t>66:45:0200221</t>
  </si>
  <si>
    <t>66:45:0200251</t>
  </si>
  <si>
    <t>66:41:0108124</t>
  </si>
  <si>
    <t>66:41:0520007</t>
  </si>
  <si>
    <t>66:41:0515035</t>
  </si>
  <si>
    <t>66:41:0518019</t>
  </si>
  <si>
    <t>66:41:0520013</t>
  </si>
  <si>
    <t>66:41:0515039</t>
  </si>
  <si>
    <t>66:56:0601005</t>
  </si>
  <si>
    <t>66:56:0301005</t>
  </si>
  <si>
    <t>66:58:1101006</t>
  </si>
  <si>
    <t>66:45:0100219</t>
  </si>
  <si>
    <t>66:41:0204040</t>
  </si>
  <si>
    <t>66:19:0901001</t>
  </si>
  <si>
    <t>66:41:0108102</t>
  </si>
  <si>
    <t>66:41:0502093</t>
  </si>
  <si>
    <t>66:41:0702060</t>
  </si>
  <si>
    <t>66:41:0603001</t>
  </si>
  <si>
    <t>66:41:0604010</t>
  </si>
  <si>
    <t>66:45:0100277</t>
  </si>
  <si>
    <t>66:56:0301003</t>
  </si>
  <si>
    <t>66:41:0607013</t>
  </si>
  <si>
    <t>66:41:0502054</t>
  </si>
  <si>
    <t>66:41:0502055</t>
  </si>
  <si>
    <t>66:41:0612901</t>
  </si>
  <si>
    <t>66:41:0515019</t>
  </si>
  <si>
    <t>66:45:0100351</t>
  </si>
  <si>
    <t>66:41:0609015</t>
  </si>
  <si>
    <t>66:41:0702077</t>
  </si>
  <si>
    <t>66:41:0303092</t>
  </si>
  <si>
    <t>66:41:0313009</t>
  </si>
  <si>
    <t>66:41:0515004</t>
  </si>
  <si>
    <t>66:25:2901011</t>
  </si>
  <si>
    <t>66:45:0100125</t>
  </si>
  <si>
    <t>66:41:0306099</t>
  </si>
  <si>
    <t>66:41:0609014</t>
  </si>
  <si>
    <t>66:41:0601052</t>
  </si>
  <si>
    <t>66:41:0204037</t>
  </si>
  <si>
    <t>66:41:0205017</t>
  </si>
  <si>
    <t>66:41:0601042</t>
  </si>
  <si>
    <t>66:41:0704009</t>
  </si>
  <si>
    <t>66:41:0515055</t>
  </si>
  <si>
    <t>66:41:0516001</t>
  </si>
  <si>
    <t>66:45:0200257</t>
  </si>
  <si>
    <t>66:45:0200259</t>
  </si>
  <si>
    <t>66:45:0200260</t>
  </si>
  <si>
    <t>66:56:0404008</t>
  </si>
  <si>
    <t>66:41:0509035</t>
  </si>
  <si>
    <t>66:41:0106111</t>
  </si>
  <si>
    <t>66:41:0604004</t>
  </si>
  <si>
    <t>66:41:0206029</t>
  </si>
  <si>
    <t>66:41:0704010</t>
  </si>
  <si>
    <t>66:41:0602006</t>
  </si>
  <si>
    <t>66:41:0504034</t>
  </si>
  <si>
    <t>66:41:0519004</t>
  </si>
  <si>
    <t>66:41:0602008</t>
  </si>
  <si>
    <t>66:41:0602009</t>
  </si>
  <si>
    <t>66:41:0206020</t>
  </si>
  <si>
    <t>66:41:0205022</t>
  </si>
  <si>
    <t>66:41:0206009</t>
  </si>
  <si>
    <t>66:41:0704017</t>
  </si>
  <si>
    <t>66:41:0609026</t>
  </si>
  <si>
    <t>66:41:0509052</t>
  </si>
  <si>
    <t>66:45:0100201</t>
  </si>
  <si>
    <t>66:45:0100187</t>
  </si>
  <si>
    <t>66:45:0100234</t>
  </si>
  <si>
    <t>66:41:0206019</t>
  </si>
  <si>
    <t>66:41:0521038</t>
  </si>
  <si>
    <t>66:56:0110012</t>
  </si>
  <si>
    <t>66:41:0303095</t>
  </si>
  <si>
    <t>66:41:0106127</t>
  </si>
  <si>
    <t>66:56:0204005</t>
  </si>
  <si>
    <t>66:41:0710032</t>
  </si>
  <si>
    <t>66:45:0200085</t>
  </si>
  <si>
    <t>66:41:0701015</t>
  </si>
  <si>
    <t>66:58:0701005</t>
  </si>
  <si>
    <t>66:41:0301015</t>
  </si>
  <si>
    <t>66:41:0601016</t>
  </si>
  <si>
    <t>66:45:0200262</t>
  </si>
  <si>
    <t>66:41:0403064</t>
  </si>
  <si>
    <t>66:41:0401019</t>
  </si>
  <si>
    <t>66:41:0404016</t>
  </si>
  <si>
    <t>66:45:0100393</t>
  </si>
  <si>
    <t>66:41:0509055</t>
  </si>
  <si>
    <t>66:58:0120001</t>
  </si>
  <si>
    <t>66:45:0200266</t>
  </si>
  <si>
    <t>66:41:0604019</t>
  </si>
  <si>
    <t>66:41:0502077</t>
  </si>
  <si>
    <t>66:41:0702058</t>
  </si>
  <si>
    <t>66:41:0108119</t>
  </si>
  <si>
    <t>66:41:0601015</t>
  </si>
  <si>
    <t>66:41:0403079</t>
  </si>
  <si>
    <t>66:41:0204012</t>
  </si>
  <si>
    <t>66:41:0303031</t>
  </si>
  <si>
    <t>66:45:0100296</t>
  </si>
  <si>
    <t>66:45:0100190</t>
  </si>
  <si>
    <t>66:45:0100361</t>
  </si>
  <si>
    <t>66:45:0100343</t>
  </si>
  <si>
    <t>66:41:0702022</t>
  </si>
  <si>
    <t>66:41:0108052</t>
  </si>
  <si>
    <t>66:41:0704024</t>
  </si>
  <si>
    <t>66:41:0702056</t>
  </si>
  <si>
    <t>66:41:0303043</t>
  </si>
  <si>
    <t>66:41:0703010</t>
  </si>
  <si>
    <t>66:41:0106139</t>
  </si>
  <si>
    <t>66:41:0106027</t>
  </si>
  <si>
    <t>66:45:0100381</t>
  </si>
  <si>
    <t>66:41:0502041</t>
  </si>
  <si>
    <t>66:41:0501057</t>
  </si>
  <si>
    <t>66:41:0303006</t>
  </si>
  <si>
    <t>66:41:0108104</t>
  </si>
  <si>
    <t>66:41:0206027</t>
  </si>
  <si>
    <t>66:41:0205010</t>
  </si>
  <si>
    <t>66:45:0100212</t>
  </si>
  <si>
    <t>66:45:0100140</t>
  </si>
  <si>
    <t>66:56:0601011</t>
  </si>
  <si>
    <t>66:56:0601013</t>
  </si>
  <si>
    <t>66:56:0602001</t>
  </si>
  <si>
    <t>66:41:0609035</t>
  </si>
  <si>
    <t>66:45:0100206</t>
  </si>
  <si>
    <t>66:56:0601010</t>
  </si>
  <si>
    <t>66:41:0204028</t>
  </si>
  <si>
    <t>66:56:0108002</t>
  </si>
  <si>
    <t>66:45:0100136</t>
  </si>
  <si>
    <t>66:41:0210019</t>
  </si>
  <si>
    <t>66:41:0509021</t>
  </si>
  <si>
    <t>66:41:0106053</t>
  </si>
  <si>
    <t>66:41:0508047</t>
  </si>
  <si>
    <t>Нижнеисетский</t>
  </si>
  <si>
    <t>66:41:0304011</t>
  </si>
  <si>
    <t>66:41:0303005</t>
  </si>
  <si>
    <t>66:41:0303001</t>
  </si>
  <si>
    <t>66:41:0204025</t>
  </si>
  <si>
    <t>66:41:0106089</t>
  </si>
  <si>
    <t>66:41:0510010</t>
  </si>
  <si>
    <t>66:41:0510002</t>
  </si>
  <si>
    <t>66:41:0519041</t>
  </si>
  <si>
    <t>66:41:0519024</t>
  </si>
  <si>
    <t>66:45:0100155</t>
  </si>
  <si>
    <t>66:45:0100306</t>
  </si>
  <si>
    <t>66:45:0100309</t>
  </si>
  <si>
    <t>66:45:0100311</t>
  </si>
  <si>
    <t>66:45:0100315</t>
  </si>
  <si>
    <t>66:58:0111013</t>
  </si>
  <si>
    <t>66:41:0702076</t>
  </si>
  <si>
    <t>66:41:0304021</t>
  </si>
  <si>
    <t>66:41:0501002</t>
  </si>
  <si>
    <t>66:41:0504033</t>
  </si>
  <si>
    <t>66:41:0501075</t>
  </si>
  <si>
    <t>66:41:0504024</t>
  </si>
  <si>
    <t>66:56:0109003</t>
  </si>
  <si>
    <t>66:41:0507099</t>
  </si>
  <si>
    <t>66:41:0522005</t>
  </si>
  <si>
    <t>66:56:0108006</t>
  </si>
  <si>
    <t>66:56:0108007</t>
  </si>
  <si>
    <t>66:58:0120011</t>
  </si>
  <si>
    <t>66:41:0108069</t>
  </si>
  <si>
    <t>66:41:0204027</t>
  </si>
  <si>
    <t>66:41:0509010</t>
  </si>
  <si>
    <t>66:41:0519099</t>
  </si>
  <si>
    <t>66:41:0108071</t>
  </si>
  <si>
    <t>66:41:0106130</t>
  </si>
  <si>
    <t>66:41:0106132</t>
  </si>
  <si>
    <t>66:41:0601028</t>
  </si>
  <si>
    <t>66:41:0106105</t>
  </si>
  <si>
    <t>66:41:0106133</t>
  </si>
  <si>
    <t>66:41:0108047</t>
  </si>
  <si>
    <t>66:41:0106092</t>
  </si>
  <si>
    <t>66:41:0108032</t>
  </si>
  <si>
    <t>66:41:0510034</t>
  </si>
  <si>
    <t>66:41:0510036</t>
  </si>
  <si>
    <t>66:41:0510058</t>
  </si>
  <si>
    <t>66:41:0509005</t>
  </si>
  <si>
    <t>66:45:0100086</t>
  </si>
  <si>
    <t>66:45:0100024</t>
  </si>
  <si>
    <t>66:41:0106138</t>
  </si>
  <si>
    <t>66:41:0106110</t>
  </si>
  <si>
    <t>66:41:0401008</t>
  </si>
  <si>
    <t>66:45:0200084</t>
  </si>
  <si>
    <t>66:45:0200269</t>
  </si>
  <si>
    <t>66:45:0100398</t>
  </si>
  <si>
    <t>66:41:0404008</t>
  </si>
  <si>
    <t>66:56:0115001</t>
  </si>
  <si>
    <t>66:41:0607021</t>
  </si>
  <si>
    <t>66:41:0525005</t>
  </si>
  <si>
    <t>66:41:0612078</t>
  </si>
  <si>
    <t>66:41:0710001</t>
  </si>
  <si>
    <t>66:41:0106137</t>
  </si>
  <si>
    <t>66:41:0403072</t>
  </si>
  <si>
    <t>66:41:0601036</t>
  </si>
  <si>
    <t>66:41:0510039</t>
  </si>
  <si>
    <t>66:41:0505015</t>
  </si>
  <si>
    <t>66:41:0504013</t>
  </si>
  <si>
    <t>66:41:0612054</t>
  </si>
  <si>
    <t>66:45:0100150</t>
  </si>
  <si>
    <t>66:45:0100142</t>
  </si>
  <si>
    <t>66:45:0200271</t>
  </si>
  <si>
    <t>66:45:0200274</t>
  </si>
  <si>
    <t>66:56:0101001</t>
  </si>
  <si>
    <t>66:56:0208006</t>
  </si>
  <si>
    <t>66:58:0901001</t>
  </si>
  <si>
    <t>66:41:0301009</t>
  </si>
  <si>
    <t>66:41:0106051</t>
  </si>
  <si>
    <t>66:56:0106008</t>
  </si>
  <si>
    <t>66:45:0100371</t>
  </si>
  <si>
    <t>66:41:0601033</t>
  </si>
  <si>
    <t>66:41:0210015</t>
  </si>
  <si>
    <t>66:41:0519049</t>
  </si>
  <si>
    <t>66:41:0509031</t>
  </si>
  <si>
    <t>66:41:0402017</t>
  </si>
  <si>
    <t>66:41:0502062</t>
  </si>
  <si>
    <t>66:41:0506034</t>
  </si>
  <si>
    <t>66:45:0200030</t>
  </si>
  <si>
    <t>66:45:0200282</t>
  </si>
  <si>
    <t>66:41:0108100</t>
  </si>
  <si>
    <t>66:41:0404009</t>
  </si>
  <si>
    <t>66:41:0402025</t>
  </si>
  <si>
    <t>66:41:0402006</t>
  </si>
  <si>
    <t>66:41:0106120</t>
  </si>
  <si>
    <t>66:41:0106104</t>
  </si>
  <si>
    <t>66:41:0502025</t>
  </si>
  <si>
    <t>66:41:0501022</t>
  </si>
  <si>
    <t>66:41:0502076</t>
  </si>
  <si>
    <t>66:45:0200346</t>
  </si>
  <si>
    <t>66:41:0604016</t>
  </si>
  <si>
    <t>66:58:0120012</t>
  </si>
  <si>
    <t>66:41:0509029</t>
  </si>
  <si>
    <t>66:41:0106122</t>
  </si>
  <si>
    <t>66:41:0106009</t>
  </si>
  <si>
    <t>66:41:0401033</t>
  </si>
  <si>
    <t>66:41:0505002</t>
  </si>
  <si>
    <t>66:41:0519122</t>
  </si>
  <si>
    <t>66:45:0200182</t>
  </si>
  <si>
    <t>66:41:0106041</t>
  </si>
  <si>
    <t>66:41:0402029</t>
  </si>
  <si>
    <t>66:41:0401058</t>
  </si>
  <si>
    <t>66:41:0110016</t>
  </si>
  <si>
    <t>66:41:0106040</t>
  </si>
  <si>
    <t>66:41:0204006</t>
  </si>
  <si>
    <t>66:41:0702030</t>
  </si>
  <si>
    <t>66:41:0204015</t>
  </si>
  <si>
    <t>66:41:0708014</t>
  </si>
  <si>
    <t>66:41:0704032</t>
  </si>
  <si>
    <t>66:41:0506007</t>
  </si>
  <si>
    <t>66:41:0205008</t>
  </si>
  <si>
    <t>66:41:0504084</t>
  </si>
  <si>
    <t>66:41:0506006</t>
  </si>
  <si>
    <t>66:41:0504049</t>
  </si>
  <si>
    <t>66:41:0702010</t>
  </si>
  <si>
    <t>66:41:0504085</t>
  </si>
  <si>
    <t>66:41:0515010</t>
  </si>
  <si>
    <t>66:41:0607009</t>
  </si>
  <si>
    <t>66:41:0509028</t>
  </si>
  <si>
    <t>66:41:0401026</t>
  </si>
  <si>
    <t>66:41:0504021</t>
  </si>
  <si>
    <t>66:41:0108048</t>
  </si>
  <si>
    <t>66:45:0100397</t>
  </si>
  <si>
    <t>66:41:0702032</t>
  </si>
  <si>
    <t>66:41:0604008</t>
  </si>
  <si>
    <t>66:41:0301006</t>
  </si>
  <si>
    <t>66:41:0311007</t>
  </si>
  <si>
    <t>66:41:0106107</t>
  </si>
  <si>
    <t>66:41:0210010</t>
  </si>
  <si>
    <t>66:41:0207006</t>
  </si>
  <si>
    <t>66:41:0502110</t>
  </si>
  <si>
    <t>66:41:0403008</t>
  </si>
  <si>
    <t>66:41:0403031</t>
  </si>
  <si>
    <t>66:41:0509059</t>
  </si>
  <si>
    <t>66:41:0210012</t>
  </si>
  <si>
    <t>66:58:1201002</t>
  </si>
  <si>
    <t>66:45:0200237</t>
  </si>
  <si>
    <t>66:45:0100223</t>
  </si>
  <si>
    <t>66:41:0108070</t>
  </si>
  <si>
    <t>66:41:0106055</t>
  </si>
  <si>
    <t>66:41:0401016</t>
  </si>
  <si>
    <t>66:41:0106106</t>
  </si>
  <si>
    <t>66:56:0402003</t>
  </si>
  <si>
    <t>66:56:0204002</t>
  </si>
  <si>
    <t>66:56:0115003</t>
  </si>
  <si>
    <t>66:45:0100152</t>
  </si>
  <si>
    <t>66:41:0206028</t>
  </si>
  <si>
    <t>66:41:0612084</t>
  </si>
  <si>
    <t>66:41:0402039</t>
  </si>
  <si>
    <t>66:41:0508075</t>
  </si>
  <si>
    <t>66:41:0510019</t>
  </si>
  <si>
    <t>66:45:0100109</t>
  </si>
  <si>
    <t>66:41:0519018</t>
  </si>
  <si>
    <t>66:41:0517003</t>
  </si>
  <si>
    <t>66:41:0518013</t>
  </si>
  <si>
    <t>66:41:0401022</t>
  </si>
  <si>
    <t>66:45:0200350</t>
  </si>
  <si>
    <t>66:41:0204057</t>
  </si>
  <si>
    <t>66:41:0502117</t>
  </si>
  <si>
    <t>66:41:0510054</t>
  </si>
  <si>
    <t>66:56:0101002</t>
  </si>
  <si>
    <t>66:45:0100265</t>
  </si>
  <si>
    <t>66:41:0204014</t>
  </si>
  <si>
    <t>66:45:0100280</t>
  </si>
  <si>
    <t>66:41:0401052</t>
  </si>
  <si>
    <t>66:41:0601008</t>
  </si>
  <si>
    <t>66:45:0200193</t>
  </si>
  <si>
    <t>66:41:0204039</t>
  </si>
  <si>
    <t>66:41:0612015</t>
  </si>
  <si>
    <t>66:56:0106010</t>
  </si>
  <si>
    <t>66:41:0106042</t>
  </si>
  <si>
    <t>66:41:0609017</t>
  </si>
  <si>
    <t>66:41:0608022</t>
  </si>
  <si>
    <t>66:41:0504075</t>
  </si>
  <si>
    <t>66:41:0302034</t>
  </si>
  <si>
    <t>66:41:0515014</t>
  </si>
  <si>
    <t>66:41:0401031</t>
  </si>
  <si>
    <t>66:56:0110013</t>
  </si>
  <si>
    <t>66:41:0704016</t>
  </si>
  <si>
    <t>66:41:0108086</t>
  </si>
  <si>
    <t>66:41:0502051</t>
  </si>
  <si>
    <t>66:41:0508072</t>
  </si>
  <si>
    <t>66:41:0704037</t>
  </si>
  <si>
    <t>66:45:0200252</t>
  </si>
  <si>
    <t>66:45:0200114</t>
  </si>
  <si>
    <t>66:45:0200323</t>
  </si>
  <si>
    <t>66:41:0304014</t>
  </si>
  <si>
    <t>66:41:0509023</t>
  </si>
  <si>
    <t>66:41:0612016</t>
  </si>
  <si>
    <t>66:41:0504094</t>
  </si>
  <si>
    <t>66:41:0106037</t>
  </si>
  <si>
    <t>66:41:0303002</t>
  </si>
  <si>
    <t>66:45:0200293</t>
  </si>
  <si>
    <t>66:41:0604009</t>
  </si>
  <si>
    <t>66:41:0525001</t>
  </si>
  <si>
    <t>66:41:0303148</t>
  </si>
  <si>
    <t>66:41:0708016</t>
  </si>
  <si>
    <t>66:41:0603006</t>
  </si>
  <si>
    <t>66:41:0704026</t>
  </si>
  <si>
    <t>66:41:0301008</t>
  </si>
  <si>
    <t>66:41:0502095</t>
  </si>
  <si>
    <t>66:41:0313004</t>
  </si>
  <si>
    <t>66:56:0204006</t>
  </si>
  <si>
    <t>66:41:0701004</t>
  </si>
  <si>
    <t>66:41:0102021</t>
  </si>
  <si>
    <t>66:41:0109050</t>
  </si>
  <si>
    <t>66:45:0100382</t>
  </si>
  <si>
    <t>66:41:0502106</t>
  </si>
  <si>
    <t>66:41:0502111</t>
  </si>
  <si>
    <t>66:41:0525009</t>
  </si>
  <si>
    <t>66:41:0315004</t>
  </si>
  <si>
    <t>66:41:0520010</t>
  </si>
  <si>
    <t>66:41:0401006</t>
  </si>
  <si>
    <t>66:41:0108082</t>
  </si>
  <si>
    <t>66:41:0306088</t>
  </si>
  <si>
    <t>66:58:0901005</t>
  </si>
  <si>
    <t>66:41:0306083</t>
  </si>
  <si>
    <t>66:41:0608025</t>
  </si>
  <si>
    <t>66:41:0518017</t>
  </si>
  <si>
    <t>66:56:0207002</t>
  </si>
  <si>
    <t>66:56:0204007</t>
  </si>
  <si>
    <t>66:41:0708001</t>
  </si>
  <si>
    <t>66:45:0100264</t>
  </si>
  <si>
    <t>66:41:0501064</t>
  </si>
  <si>
    <t>66:41:0106168</t>
  </si>
  <si>
    <t>66:41:0508044</t>
  </si>
  <si>
    <t>66:41:0711033</t>
  </si>
  <si>
    <t>66:41:0501901</t>
  </si>
  <si>
    <t>66:58:1301004</t>
  </si>
  <si>
    <t>66:45:0200192</t>
  </si>
  <si>
    <t>66:41:0701023</t>
  </si>
  <si>
    <t>66:41:0306101</t>
  </si>
  <si>
    <t>66:41:0304031</t>
  </si>
  <si>
    <t>66:41:0304015</t>
  </si>
  <si>
    <t>66:41:0106131</t>
  </si>
  <si>
    <t>66:41:0106093</t>
  </si>
  <si>
    <t>66:41:0519062</t>
  </si>
  <si>
    <t>66:41:0601051</t>
  </si>
  <si>
    <t>66:45:0200187</t>
  </si>
  <si>
    <t>66:45:0100180</t>
  </si>
  <si>
    <t>66:41:0504063</t>
  </si>
  <si>
    <t>66:41:0610038</t>
  </si>
  <si>
    <t>66:45:0100020</t>
  </si>
  <si>
    <t>66:41:0504096</t>
  </si>
  <si>
    <t>66:41:0504011</t>
  </si>
  <si>
    <t>66:41:0102022</t>
  </si>
  <si>
    <t>66:41:0106164</t>
  </si>
  <si>
    <t>66:41:0510008</t>
  </si>
  <si>
    <t>66:45:0200163</t>
  </si>
  <si>
    <t>66:45:0200101</t>
  </si>
  <si>
    <t>66:41:0608020</t>
  </si>
  <si>
    <t>66:41:0109071</t>
  </si>
  <si>
    <t>66:41:0106114</t>
  </si>
  <si>
    <t>66:41:0702026</t>
  </si>
  <si>
    <t>66:41:0612062</t>
  </si>
  <si>
    <t>66:41:0519901</t>
  </si>
  <si>
    <t>66:41:0601027</t>
  </si>
  <si>
    <t>66:41:0604022</t>
  </si>
  <si>
    <t>66:41:0702048</t>
  </si>
  <si>
    <t>66:45:0100006</t>
  </si>
  <si>
    <t>66:41:0204901</t>
  </si>
  <si>
    <t>66:41:0502068</t>
  </si>
  <si>
    <t>66:58:0104003</t>
  </si>
  <si>
    <t>66:45:0100228</t>
  </si>
  <si>
    <t>66:45:0100181</t>
  </si>
  <si>
    <t>66:41:0401013</t>
  </si>
  <si>
    <t>66:41:0509034</t>
  </si>
  <si>
    <t>66:41:0206001</t>
  </si>
  <si>
    <t>66:41:0205021</t>
  </si>
  <si>
    <t>66:41:0108055</t>
  </si>
  <si>
    <t>66:41:0519025</t>
  </si>
  <si>
    <t>66:41:0206023</t>
  </si>
  <si>
    <t>66:58:0701002</t>
  </si>
  <si>
    <t>66:41:0402005</t>
  </si>
  <si>
    <t>66:41:0108105</t>
  </si>
  <si>
    <t>66:45:0100183</t>
  </si>
  <si>
    <t>66:41:0106094</t>
  </si>
  <si>
    <t>66:45:0100268</t>
  </si>
  <si>
    <t>66:41:0401040</t>
  </si>
  <si>
    <t>66:41:0509026</t>
  </si>
  <si>
    <t>66:41:0106063</t>
  </si>
  <si>
    <t>66:41:0306100</t>
  </si>
  <si>
    <t>66:41:0204056</t>
  </si>
  <si>
    <t>66:41:0301004</t>
  </si>
  <si>
    <t>66:41:0515040</t>
  </si>
  <si>
    <t>66:41:0204043</t>
  </si>
  <si>
    <t>66:41:0403075</t>
  </si>
  <si>
    <t>66:41:0506001</t>
  </si>
  <si>
    <t>66:41:0519130</t>
  </si>
  <si>
    <t>66:41:0503005</t>
  </si>
  <si>
    <t>66:41:0304017</t>
  </si>
  <si>
    <t>66:41:0204023</t>
  </si>
  <si>
    <t>66:41:0504036</t>
  </si>
  <si>
    <t>66:41:0106032</t>
  </si>
  <si>
    <t>66:41:0601026</t>
  </si>
  <si>
    <t>66:41:0519042</t>
  </si>
  <si>
    <t>66:41:0108126</t>
  </si>
  <si>
    <t>66:41:0603008</t>
  </si>
  <si>
    <t>66:41:0302035</t>
  </si>
  <si>
    <t>66:41:0108109</t>
  </si>
  <si>
    <t>66:41:0501031</t>
  </si>
  <si>
    <t>66:41:0504004</t>
  </si>
  <si>
    <t>66:41:0306129</t>
  </si>
  <si>
    <t>66:41:0610040</t>
  </si>
  <si>
    <t>66:41:0001001</t>
  </si>
  <si>
    <t>66:41:0609018</t>
  </si>
  <si>
    <t>66:41:0610042</t>
  </si>
  <si>
    <t>66:41:0205019</t>
  </si>
  <si>
    <t>66:41:0206004</t>
  </si>
  <si>
    <t>66:41:0108054</t>
  </si>
  <si>
    <t>66:45:0200245</t>
  </si>
  <si>
    <t>66:45:0200202</t>
  </si>
  <si>
    <t>66:41:0203016</t>
  </si>
  <si>
    <t>66:41:0210009</t>
  </si>
  <si>
    <t>66:41:0106170</t>
  </si>
  <si>
    <t>66:41:0303083</t>
  </si>
  <si>
    <t>66:41:0504086</t>
  </si>
  <si>
    <t>66:41:0711020</t>
  </si>
  <si>
    <t>66:41:0402003</t>
  </si>
  <si>
    <t>66:58:0701009</t>
  </si>
  <si>
    <t>66:45:0100207</t>
  </si>
  <si>
    <t>66:45:0100213</t>
  </si>
  <si>
    <t>66:41:0603009</t>
  </si>
  <si>
    <t>66:41:0106901</t>
  </si>
  <si>
    <t>66:41:0509051</t>
  </si>
  <si>
    <t>66:41:0210034</t>
  </si>
  <si>
    <t>66:41:0401038</t>
  </si>
  <si>
    <t>66:41:0108057</t>
  </si>
  <si>
    <t>66:41:0206005</t>
  </si>
  <si>
    <t>66:41:0502114</t>
  </si>
  <si>
    <t>66:41:0303077</t>
  </si>
  <si>
    <t>66:41:0710015</t>
  </si>
  <si>
    <t>66:41:0204042</t>
  </si>
  <si>
    <t>66:41:0106088</t>
  </si>
  <si>
    <t>66:41:0312002</t>
  </si>
  <si>
    <t>66:41:0108098</t>
  </si>
  <si>
    <t>66:41:0106095</t>
  </si>
  <si>
    <t>66:41:0501009</t>
  </si>
  <si>
    <t>66:41:0704022</t>
  </si>
  <si>
    <t>66:41:0108066</t>
  </si>
  <si>
    <t>66:45:0100359</t>
  </si>
  <si>
    <t>66:41:0106129</t>
  </si>
  <si>
    <t>66:41:0502048</t>
  </si>
  <si>
    <t>66:41:0604018</t>
  </si>
  <si>
    <t>66:41:0502098</t>
  </si>
  <si>
    <t>66:41:0401004</t>
  </si>
  <si>
    <t>66:41:0509038</t>
  </si>
  <si>
    <t>66:41:0502053</t>
  </si>
  <si>
    <t>66:41:0612087</t>
  </si>
  <si>
    <t>66:41:0402008</t>
  </si>
  <si>
    <t>66:41:0701021</t>
  </si>
  <si>
    <t>66:41:0704021</t>
  </si>
  <si>
    <t>66:41:0402030</t>
  </si>
  <si>
    <t>66:41:0303067</t>
  </si>
  <si>
    <t>66:45:0200082</t>
  </si>
  <si>
    <t>66:41:0509032</t>
  </si>
  <si>
    <t>66:41:0525901</t>
  </si>
  <si>
    <t>66:41:0510053</t>
  </si>
  <si>
    <t>66:41:0502086</t>
  </si>
  <si>
    <t>66:45:0200068</t>
  </si>
  <si>
    <t>66:41:0106033</t>
  </si>
  <si>
    <t>66:41:0517004</t>
  </si>
  <si>
    <t>66:41:0303101</t>
  </si>
  <si>
    <t>66:41:0501035</t>
  </si>
  <si>
    <t>66:41:0704014</t>
  </si>
  <si>
    <t>66:19:1801001</t>
  </si>
  <si>
    <t>66:41:0601001</t>
  </si>
  <si>
    <t>66:41:0520008</t>
  </si>
  <si>
    <t>66:45:0100258</t>
  </si>
  <si>
    <t>66:45:0100266</t>
  </si>
  <si>
    <t>66:41:0604005</t>
  </si>
  <si>
    <t>66:41:0603016</t>
  </si>
  <si>
    <t>66:41:0612020</t>
  </si>
  <si>
    <t>66:56:0601002</t>
  </si>
  <si>
    <t>66:41:0106101</t>
  </si>
  <si>
    <t>66:41:0206021</t>
  </si>
  <si>
    <t>66:45:0100141</t>
  </si>
  <si>
    <t>66:41:0106057</t>
  </si>
  <si>
    <t>66:41:0106028</t>
  </si>
  <si>
    <t>66:41:0612085</t>
  </si>
  <si>
    <t>66:41:0210062</t>
  </si>
  <si>
    <t>66:41:0306901</t>
  </si>
  <si>
    <t>66:41:0604023</t>
  </si>
  <si>
    <t>66:45:0100013</t>
  </si>
  <si>
    <t>66:41:0506015</t>
  </si>
  <si>
    <t>66:45:0100149</t>
  </si>
  <si>
    <t>66:45:0100279</t>
  </si>
  <si>
    <t>66:41:0504050</t>
  </si>
  <si>
    <t>66:41:0511030</t>
  </si>
  <si>
    <t>66:41:0510030</t>
  </si>
  <si>
    <t>66:41:0505012</t>
  </si>
  <si>
    <t>66:41:0504095</t>
  </si>
  <si>
    <t>66:41:0108038</t>
  </si>
  <si>
    <t>66:41:0106073</t>
  </si>
  <si>
    <t>66:41:0304007</t>
  </si>
  <si>
    <t>66:41:0204052</t>
  </si>
  <si>
    <t>66:41:0106121</t>
  </si>
  <si>
    <t>66:41:0612028</t>
  </si>
  <si>
    <t>66:41:0515034</t>
  </si>
  <si>
    <t>66:41:0520019</t>
  </si>
  <si>
    <t>66:41:0502085</t>
  </si>
  <si>
    <t>66:41:0510029</t>
  </si>
  <si>
    <t>66:45:0100287</t>
  </si>
  <si>
    <t>66:41:0303022</t>
  </si>
  <si>
    <t>66:41:0519121</t>
  </si>
  <si>
    <t>66:41:0108042</t>
  </si>
  <si>
    <t>66:41:0110003</t>
  </si>
  <si>
    <t>66:41:0204019</t>
  </si>
  <si>
    <t>66:41:0204060</t>
  </si>
  <si>
    <t>66:41:0401043</t>
  </si>
  <si>
    <t>66:41:0601024</t>
  </si>
  <si>
    <t>66:41:0501032</t>
  </si>
  <si>
    <t>66:56:0116002</t>
  </si>
  <si>
    <t>66:41:0401042</t>
  </si>
  <si>
    <t>66:58:0110003</t>
  </si>
  <si>
    <t>66:41:0519082</t>
  </si>
  <si>
    <t>66:41:0704002</t>
  </si>
  <si>
    <t>66:41:0601022</t>
  </si>
  <si>
    <t>66:41:0507109</t>
  </si>
  <si>
    <t>66:41:0403035</t>
  </si>
  <si>
    <t>66:41:0515030</t>
  </si>
  <si>
    <t>66:45:0100139</t>
  </si>
  <si>
    <t>66:41:0508080</t>
  </si>
  <si>
    <t>66:41:0106080</t>
  </si>
  <si>
    <t>66:56:0106011</t>
  </si>
  <si>
    <t>66:41:0612025</t>
  </si>
  <si>
    <t>66:41:0519115</t>
  </si>
  <si>
    <t>66:45:0100350</t>
  </si>
  <si>
    <t>66:45:0100372</t>
  </si>
  <si>
    <t>66:41:0702041</t>
  </si>
  <si>
    <t>66:41:0502087</t>
  </si>
  <si>
    <t>66:41:0515020</t>
  </si>
  <si>
    <t>66:41:0306120</t>
  </si>
  <si>
    <t>66:41:0519003</t>
  </si>
  <si>
    <t>66:41:0502083</t>
  </si>
  <si>
    <t>66:41:0502063</t>
  </si>
  <si>
    <t>66:41:0518023</t>
  </si>
  <si>
    <t>66:41:0603005</t>
  </si>
  <si>
    <t>66:41:0108011</t>
  </si>
  <si>
    <t>66:41:0303040</t>
  </si>
  <si>
    <t>66:41:0106126</t>
  </si>
  <si>
    <t>66:41:0504058</t>
  </si>
  <si>
    <t>66:45:0100294</t>
  </si>
  <si>
    <t>66:45:0100224</t>
  </si>
  <si>
    <t>66:56:0403011</t>
  </si>
  <si>
    <t>66:41:0711078</t>
  </si>
  <si>
    <t>66:41:0601006</t>
  </si>
  <si>
    <t>66:41:0304033</t>
  </si>
  <si>
    <t>66:45:0100276</t>
  </si>
  <si>
    <t>66:41:0508058</t>
  </si>
  <si>
    <t>66:41:0106099</t>
  </si>
  <si>
    <t>66:41:0304005</t>
  </si>
  <si>
    <t>66:41:0610039</t>
  </si>
  <si>
    <t>66:41:0603002</t>
  </si>
  <si>
    <t>66:41:0401035</t>
  </si>
  <si>
    <t>66:41:0501061</t>
  </si>
  <si>
    <t>66:41:0702045</t>
  </si>
  <si>
    <t>66:41:0521042</t>
  </si>
  <si>
    <t>66:41:0702031</t>
  </si>
  <si>
    <t>66:41:0601019</t>
  </si>
  <si>
    <t>66:56:0601009</t>
  </si>
  <si>
    <t>66:41:0506030</t>
  </si>
  <si>
    <t>66:41:0702065</t>
  </si>
  <si>
    <t>66:41:0106077</t>
  </si>
  <si>
    <t>66:45:0100028</t>
  </si>
  <si>
    <t>66:41:0504012</t>
  </si>
  <si>
    <t>66:45:0200230</t>
  </si>
  <si>
    <t>66:45:0200080</t>
  </si>
  <si>
    <t>66:41:0504026</t>
  </si>
  <si>
    <t>66:41:0304034</t>
  </si>
  <si>
    <t>66:41:0509061</t>
  </si>
  <si>
    <t>66:41:0106103</t>
  </si>
  <si>
    <t>66:41:0401005</t>
  </si>
  <si>
    <t>66:41:0612019</t>
  </si>
  <si>
    <t>66:45:0100025</t>
  </si>
  <si>
    <t>66:41:0106062</t>
  </si>
  <si>
    <t>66:56:0601012</t>
  </si>
  <si>
    <t>66:41:0702057</t>
  </si>
  <si>
    <t>66:41:0206018</t>
  </si>
  <si>
    <t>66:41:0108067</t>
  </si>
  <si>
    <t>66:41:0201014</t>
  </si>
  <si>
    <t>66:41:0612048</t>
  </si>
  <si>
    <t>66:41:0501021</t>
  </si>
  <si>
    <t>66:41:0204058</t>
  </si>
  <si>
    <t>66:41:0711074</t>
  </si>
  <si>
    <t>66:41:0108115</t>
  </si>
  <si>
    <t>66:41:0601013</t>
  </si>
  <si>
    <t>66:41:0301005</t>
  </si>
  <si>
    <t>66:41:0612030</t>
  </si>
  <si>
    <t>66:41:0106001</t>
  </si>
  <si>
    <t>66:41:0519072</t>
  </si>
  <si>
    <t>66:45:0200337</t>
  </si>
  <si>
    <t>66:41:0612040</t>
  </si>
  <si>
    <t>66:41:0510007</t>
  </si>
  <si>
    <t>66:41:0204008</t>
  </si>
  <si>
    <t>66:41:0403030</t>
  </si>
  <si>
    <t>66:41:0508023</t>
  </si>
  <si>
    <t>66:41:0612005</t>
  </si>
  <si>
    <t>66:41:0304024</t>
  </si>
  <si>
    <t>66:41:0520015</t>
  </si>
  <si>
    <t>66:56:0208002</t>
  </si>
  <si>
    <t>66:41:0515028</t>
  </si>
  <si>
    <t>66:45:0100240</t>
  </si>
  <si>
    <t>66:41:0108118</t>
  </si>
  <si>
    <t>66:41:0109055</t>
  </si>
  <si>
    <t>66:41:0704023</t>
  </si>
  <si>
    <t>66:41:0604026</t>
  </si>
  <si>
    <t>66:41:0205016</t>
  </si>
  <si>
    <t>66:41:0401045</t>
  </si>
  <si>
    <t>66:41:0510056</t>
  </si>
  <si>
    <t>66:41:0504062</t>
  </si>
  <si>
    <t>66:41:0301013</t>
  </si>
  <si>
    <t>66:41:0401049</t>
  </si>
  <si>
    <t>66:41:0305021</t>
  </si>
  <si>
    <t>66:41:0502046</t>
  </si>
  <si>
    <t>66:41:0303161</t>
  </si>
  <si>
    <t>66:41:0508088</t>
  </si>
  <si>
    <t>66:41:0403033</t>
  </si>
  <si>
    <t>66:41:0519070</t>
  </si>
  <si>
    <t>66:56:0106001</t>
  </si>
  <si>
    <t>66:41:0108056</t>
  </si>
  <si>
    <t>66:41:0601050</t>
  </si>
  <si>
    <t>66:41:0401018</t>
  </si>
  <si>
    <t>66:45:0100263</t>
  </si>
  <si>
    <t>66:41:0102015</t>
  </si>
  <si>
    <t>66:41:0108051</t>
  </si>
  <si>
    <t>66:41:0508079</t>
  </si>
  <si>
    <t>66:41:0607005</t>
  </si>
  <si>
    <t>66:45:0200189</t>
  </si>
  <si>
    <t>66:41:0403024</t>
  </si>
  <si>
    <t>66:41:0203049</t>
  </si>
  <si>
    <t>66:41:0401003</t>
  </si>
  <si>
    <t>66:45:0100017</t>
  </si>
  <si>
    <t>66:56:0207001</t>
  </si>
  <si>
    <t>66:41:0403060</t>
  </si>
  <si>
    <t>66:41:0604901</t>
  </si>
  <si>
    <t>66:41:0402018</t>
  </si>
  <si>
    <t>66:41:0604020</t>
  </si>
  <si>
    <t>66:41:0106162</t>
  </si>
  <si>
    <t>66:41:0510027</t>
  </si>
  <si>
    <t>66:45:0200352</t>
  </si>
  <si>
    <t>66:45:0200032</t>
  </si>
  <si>
    <t>66:56:0110011</t>
  </si>
  <si>
    <t>66:41:0502044</t>
  </si>
  <si>
    <t>66:41:0508042</t>
  </si>
  <si>
    <t>66:41:0506038</t>
  </si>
  <si>
    <t>66:45:0100221</t>
  </si>
  <si>
    <t>66:58:0111004</t>
  </si>
  <si>
    <t>66:41:0403038</t>
  </si>
  <si>
    <t>66:41:0402033</t>
  </si>
  <si>
    <t>66:45:0100270</t>
  </si>
  <si>
    <t>66:41:0601018</t>
  </si>
  <si>
    <t>66:45:0100225</t>
  </si>
  <si>
    <t>66:45:0100160</t>
  </si>
  <si>
    <t>66:41:0701025</t>
  </si>
  <si>
    <t>66:41:0203034</t>
  </si>
  <si>
    <t>66:45:0100029</t>
  </si>
  <si>
    <t>66:41:0519009</t>
  </si>
  <si>
    <t>66:41:0108043</t>
  </si>
  <si>
    <t>66:45:0200063</t>
  </si>
  <si>
    <t>66:41:0609033</t>
  </si>
  <si>
    <t>66:41:0710011</t>
  </si>
  <si>
    <t>66:41:0502056</t>
  </si>
  <si>
    <t>66:41:0506041</t>
  </si>
  <si>
    <t>66:41:0401029</t>
  </si>
  <si>
    <t>66:41:0510051</t>
  </si>
  <si>
    <t>66:41:0503006</t>
  </si>
  <si>
    <t>66:56:0112013</t>
  </si>
  <si>
    <t>ГОЛЫЙ КАМЕНЬ</t>
  </si>
  <si>
    <t>66:41:0601034</t>
  </si>
  <si>
    <t>66:41:0711053</t>
  </si>
  <si>
    <t>66:58:2902019</t>
  </si>
  <si>
    <t>66:41:0502115</t>
  </si>
  <si>
    <t>66:41:0306096</t>
  </si>
  <si>
    <t>66:41:0106115</t>
  </si>
  <si>
    <t>66:41:0519124</t>
  </si>
  <si>
    <t>66:45:0200402</t>
  </si>
  <si>
    <t>66:41:0502006</t>
  </si>
  <si>
    <t>66:41:0106109</t>
  </si>
  <si>
    <t>66:41:0504073</t>
  </si>
  <si>
    <t>66:41:0401011</t>
  </si>
  <si>
    <t>66:56:0111007</t>
  </si>
  <si>
    <t>66:41:0205007</t>
  </si>
  <si>
    <t>66:41:0311003</t>
  </si>
  <si>
    <t>66:41:0401020</t>
  </si>
  <si>
    <t>66:45:0200171</t>
  </si>
  <si>
    <t>66:45:0100409</t>
  </si>
  <si>
    <t>66:41:0515007</t>
  </si>
  <si>
    <t>66:41:0515015</t>
  </si>
  <si>
    <t>66:41:0506025</t>
  </si>
  <si>
    <t>66:41:0515033</t>
  </si>
  <si>
    <t>66:45:0100251</t>
  </si>
  <si>
    <t>66:45:0100220</t>
  </si>
  <si>
    <t>66:41:0403034</t>
  </si>
  <si>
    <t>66:41:0519071</t>
  </si>
  <si>
    <t>66:45:0000000</t>
  </si>
  <si>
    <t>66:41:0520006</t>
  </si>
  <si>
    <t>66:41:0519123</t>
  </si>
  <si>
    <t>66:41:0306021</t>
  </si>
  <si>
    <t>66:41:0207025</t>
  </si>
  <si>
    <t>66:45:0100019</t>
  </si>
  <si>
    <t>66:41:0504022</t>
  </si>
  <si>
    <t>66:41:0702078</t>
  </si>
  <si>
    <t>66:41:0504074</t>
  </si>
  <si>
    <t>66:41:0401007</t>
  </si>
  <si>
    <t>66:41:0304010</t>
  </si>
  <si>
    <t>66:45:0100232</t>
  </si>
  <si>
    <t>66:41:0301007</t>
  </si>
  <si>
    <t>66:41:0303082</t>
  </si>
  <si>
    <t>66:41:0302041</t>
  </si>
  <si>
    <t>СОВХОЗ ПЕРВОУРАЛЬСКИЙ</t>
  </si>
  <si>
    <t>66:45:0100107</t>
  </si>
  <si>
    <t>66:41:0510037</t>
  </si>
  <si>
    <t>66:41:0504039</t>
  </si>
  <si>
    <t>66:41:0502043</t>
  </si>
  <si>
    <t>66:45:0100010</t>
  </si>
  <si>
    <t>66:41:0510069</t>
  </si>
  <si>
    <t>66:41:0609043</t>
  </si>
  <si>
    <t>66:41:0403018</t>
  </si>
  <si>
    <t>66:41:0509030</t>
  </si>
  <si>
    <t>66:41:0108065</t>
  </si>
  <si>
    <t>66:41:0102031</t>
  </si>
  <si>
    <t>66:41:0519002</t>
  </si>
  <si>
    <t>66:58:0108002</t>
  </si>
  <si>
    <t>66:41:0702005</t>
  </si>
  <si>
    <t>66:41:0704012</t>
  </si>
  <si>
    <t>66:41:0515052</t>
  </si>
  <si>
    <t>66:41:0612031</t>
  </si>
  <si>
    <t>66:41:0204035</t>
  </si>
  <si>
    <t>66:41:0510024</t>
  </si>
  <si>
    <t>66:41:0520002</t>
  </si>
  <si>
    <t>66:45:0100261</t>
  </si>
  <si>
    <t>66:41:0508055</t>
  </si>
  <si>
    <t>66:41:0508001</t>
  </si>
  <si>
    <t>66:41:0710009</t>
  </si>
  <si>
    <t>66:41:0519015</t>
  </si>
  <si>
    <t>66:41:0205014</t>
  </si>
  <si>
    <t>66:45:0100182</t>
  </si>
  <si>
    <t>66:41:0612067</t>
  </si>
  <si>
    <t>66:45:0100342</t>
  </si>
  <si>
    <t>66:41:0710018</t>
  </si>
  <si>
    <t>66:41:0607041</t>
  </si>
  <si>
    <t>66:56:0108001</t>
  </si>
  <si>
    <t>66:41:0508040</t>
  </si>
  <si>
    <t>66:41:0608033</t>
  </si>
  <si>
    <t>66:41:0204061</t>
  </si>
  <si>
    <t>66:41:0303075</t>
  </si>
  <si>
    <t>66:41:0403019</t>
  </si>
  <si>
    <t>66:41:0206030</t>
  </si>
  <si>
    <t>66:41:0303053</t>
  </si>
  <si>
    <t>66:45:0200283</t>
  </si>
  <si>
    <t>66:41:0504083</t>
  </si>
  <si>
    <t>66:41:0507107</t>
  </si>
  <si>
    <t>66:41:0401030</t>
  </si>
  <si>
    <t>66:41:0510015</t>
  </si>
  <si>
    <t>66:41:0515021</t>
  </si>
  <si>
    <t>66:41:0210017</t>
  </si>
  <si>
    <t>66:41:0519116</t>
  </si>
  <si>
    <t>66:41:0505029</t>
  </si>
  <si>
    <t>66:41:0510023</t>
  </si>
  <si>
    <t>66:56:0112005</t>
  </si>
  <si>
    <t>66:41:0610024</t>
  </si>
  <si>
    <t>66:45:0200190</t>
  </si>
  <si>
    <t>66:41:0510021</t>
  </si>
  <si>
    <t>66:56:0401007</t>
  </si>
  <si>
    <t>66:41:0509019</t>
  </si>
  <si>
    <t>66:41:0704020</t>
  </si>
  <si>
    <t>66:41:0403022</t>
  </si>
  <si>
    <t>66:41:0203060</t>
  </si>
  <si>
    <t>66:41:0306017</t>
  </si>
  <si>
    <t>66:41:0707001</t>
  </si>
  <si>
    <t>66:41:0403007</t>
  </si>
  <si>
    <t>66:41:0303150</t>
  </si>
  <si>
    <t>66:41:0601038</t>
  </si>
  <si>
    <t>66:41:0608024</t>
  </si>
  <si>
    <t>66:41:0106112</t>
  </si>
  <si>
    <t>66:41:0204045</t>
  </si>
  <si>
    <t>66:45:0100144</t>
  </si>
  <si>
    <t>66:41:0506032</t>
  </si>
  <si>
    <t>66:41:0203010</t>
  </si>
  <si>
    <t>66:41:0706001</t>
  </si>
  <si>
    <t>66:45:0200275</t>
  </si>
  <si>
    <t>66:41:0109003</t>
  </si>
  <si>
    <t>66:41:0702008</t>
  </si>
  <si>
    <t>66:58:0109001</t>
  </si>
  <si>
    <t>66:41:0510005</t>
  </si>
  <si>
    <t>66:41:0711028</t>
  </si>
  <si>
    <t>66:41:0707010</t>
  </si>
  <si>
    <t>66:56:0204010</t>
  </si>
  <si>
    <t>66:45:0200214</t>
  </si>
  <si>
    <t>66:45:0100308</t>
  </si>
  <si>
    <t>66:45:0200338</t>
  </si>
  <si>
    <t>66:41:0205012</t>
  </si>
  <si>
    <t>66:41:0504048</t>
  </si>
  <si>
    <t>66:58:0701001</t>
  </si>
  <si>
    <t>66:41:0710005</t>
  </si>
  <si>
    <t>66:41:0704019</t>
  </si>
  <si>
    <t>66:56:0502010</t>
  </si>
  <si>
    <t>66:41:0306056</t>
  </si>
  <si>
    <t>66:41:0612057</t>
  </si>
  <si>
    <t>66:41:0711073</t>
  </si>
  <si>
    <t>66:45:0200162</t>
  </si>
  <si>
    <t>66:45:0100216</t>
  </si>
  <si>
    <t>66:56:0208009</t>
  </si>
  <si>
    <t>66:58:1701003</t>
  </si>
  <si>
    <t>66:41:0614075</t>
  </si>
  <si>
    <t>66:41:0203012</t>
  </si>
  <si>
    <t>66:41:0403028</t>
  </si>
  <si>
    <t>66:45:0100299</t>
  </si>
  <si>
    <t>66:45:0100291</t>
  </si>
  <si>
    <t>66:58:0901002</t>
  </si>
  <si>
    <t>66:41:0510006</t>
  </si>
  <si>
    <t>66:41:0609025</t>
  </si>
  <si>
    <t>66:41:0609034</t>
  </si>
  <si>
    <t>66:19:1501001</t>
  </si>
  <si>
    <t>66:41:0519017</t>
  </si>
  <si>
    <t>66:41:0402032</t>
  </si>
  <si>
    <t>66:41:0403901</t>
  </si>
  <si>
    <t>66:41:0106083</t>
  </si>
  <si>
    <t>66:41:0516020</t>
  </si>
  <si>
    <t>66:41:0608019</t>
  </si>
  <si>
    <t>66:41:0501059</t>
  </si>
  <si>
    <t>66:41:0403070</t>
  </si>
  <si>
    <t>66:41:0303029</t>
  </si>
  <si>
    <t>66:41:0106136</t>
  </si>
  <si>
    <t>66:41:0711046</t>
  </si>
  <si>
    <t>66:41:0508024</t>
  </si>
  <si>
    <t>66:41:0513040</t>
  </si>
  <si>
    <t>66:45:0100147</t>
  </si>
  <si>
    <t>66:41:0508006</t>
  </si>
  <si>
    <t>66:41:0509017</t>
  </si>
  <si>
    <t>66:41:0203057</t>
  </si>
  <si>
    <t>66:41:0608028</t>
  </si>
  <si>
    <t>66:41:0205002</t>
  </si>
  <si>
    <t>66:45:0100196</t>
  </si>
  <si>
    <t>66:45:0100200</t>
  </si>
  <si>
    <t>66:41:0109034</t>
  </si>
  <si>
    <t>66:45:0200328</t>
  </si>
  <si>
    <t>66:41:0510004</t>
  </si>
  <si>
    <t>66:41:0614034</t>
  </si>
  <si>
    <t>66:41:0301011</t>
  </si>
  <si>
    <t>66:41:0304002</t>
  </si>
  <si>
    <t>66:41:0203018</t>
  </si>
  <si>
    <t>66:41:0607037</t>
  </si>
  <si>
    <t>66:41:0311008</t>
  </si>
  <si>
    <t>66:41:0515054</t>
  </si>
  <si>
    <t>66:41:0701020</t>
  </si>
  <si>
    <t>66:41:0704034</t>
  </si>
  <si>
    <t>66:41:0525003</t>
  </si>
  <si>
    <t>66:41:0303081</t>
  </si>
  <si>
    <t>66:41:0403009</t>
  </si>
  <si>
    <t>66:41:0303027</t>
  </si>
  <si>
    <t>66:41:0303032</t>
  </si>
  <si>
    <t>66:45:0100385</t>
  </si>
  <si>
    <t>66:41:0106067</t>
  </si>
  <si>
    <t>66:45:0100300</t>
  </si>
  <si>
    <t>66:41:0605004</t>
  </si>
  <si>
    <t>66:41:0109053</t>
  </si>
  <si>
    <t>66:41:0403014</t>
  </si>
  <si>
    <t>66:45:0200066</t>
  </si>
  <si>
    <t>66:56:0601006</t>
  </si>
  <si>
    <t>66:41:0601021</t>
  </si>
  <si>
    <t>66:58:1301007</t>
  </si>
  <si>
    <t>66:41:0711067</t>
  </si>
  <si>
    <t>66:41:0108058</t>
  </si>
  <si>
    <t>66:45:0200061</t>
  </si>
  <si>
    <t>66:41:0403023</t>
  </si>
  <si>
    <t>66:41:0510048</t>
  </si>
  <si>
    <t>66:41:0403056</t>
  </si>
  <si>
    <t>66:45:0100260</t>
  </si>
  <si>
    <t>66:41:0401039</t>
  </si>
  <si>
    <t>66:41:0303073</t>
  </si>
  <si>
    <t>66:41:0306119</t>
  </si>
  <si>
    <t>66:41:0204033</t>
  </si>
  <si>
    <t>66:41:0515008</t>
  </si>
  <si>
    <t>66:41:0303149</t>
  </si>
  <si>
    <t>66:41:0305007</t>
  </si>
  <si>
    <t>66:41:0303057</t>
  </si>
  <si>
    <t>66:41:0519127</t>
  </si>
  <si>
    <t>66:41:0525008</t>
  </si>
  <si>
    <t>66:41:0502005</t>
  </si>
  <si>
    <t>66:56:0208003</t>
  </si>
  <si>
    <t>66:41:0701026</t>
  </si>
  <si>
    <t>66:41:0302007</t>
  </si>
  <si>
    <t>66:41:0711901</t>
  </si>
  <si>
    <t>66:41:0612009</t>
  </si>
  <si>
    <t>66:41:0404019</t>
  </si>
  <si>
    <t>66:45:0100217</t>
  </si>
  <si>
    <t>66:41:0403010</t>
  </si>
  <si>
    <t>66:41:0106086</t>
  </si>
  <si>
    <t>66:41:0206022</t>
  </si>
  <si>
    <t>66:41:0203065</t>
  </si>
  <si>
    <t>66:41:0106007</t>
  </si>
  <si>
    <t>66:41:0607001</t>
  </si>
  <si>
    <t>66:41:0106066</t>
  </si>
  <si>
    <t>66:41:0510018</t>
  </si>
  <si>
    <t>66:41:0203019</t>
  </si>
  <si>
    <t>66:41:0502024</t>
  </si>
  <si>
    <t>66:41:0210023</t>
  </si>
  <si>
    <t>66:41:0607017</t>
  </si>
  <si>
    <t>66:41:0701012</t>
  </si>
  <si>
    <t>66:41:0508027</t>
  </si>
  <si>
    <t>66:41:0502075</t>
  </si>
  <si>
    <t>66:41:0514032</t>
  </si>
  <si>
    <t>66:41:0518009</t>
  </si>
  <si>
    <t>66:41:0402002</t>
  </si>
  <si>
    <t>66:41:0502047</t>
  </si>
  <si>
    <t>66:41:0314004</t>
  </si>
  <si>
    <t>66:41:0702901</t>
  </si>
  <si>
    <t>66:41:0403040</t>
  </si>
  <si>
    <t>66:41:0403037</t>
  </si>
  <si>
    <t>66:41:0303151</t>
  </si>
  <si>
    <t>66:45:0200295</t>
  </si>
  <si>
    <t>66:41:0307076</t>
  </si>
  <si>
    <t>66:41:0601055</t>
  </si>
  <si>
    <t>66:45:0100218</t>
  </si>
  <si>
    <t>66:45:0100178</t>
  </si>
  <si>
    <t>66:41:0609029</t>
  </si>
  <si>
    <t>66:41:0702027</t>
  </si>
  <si>
    <t>66:41:0403045</t>
  </si>
  <si>
    <t>66:41:0708004</t>
  </si>
  <si>
    <t>66:41:0708007</t>
  </si>
  <si>
    <t>66:41:0303102</t>
  </si>
  <si>
    <t>66:45:0100346</t>
  </si>
  <si>
    <t>66:41:0304030</t>
  </si>
  <si>
    <t>66:41:0601014</t>
  </si>
  <si>
    <t>66:41:0603012</t>
  </si>
  <si>
    <t>66:41:0106087</t>
  </si>
  <si>
    <t>66:45:0200312</t>
  </si>
  <si>
    <t>66:41:0303136</t>
  </si>
  <si>
    <t>66:45:0100135</t>
  </si>
  <si>
    <t>66:41:0304020</t>
  </si>
  <si>
    <t>66:41:0401017</t>
  </si>
  <si>
    <t>66:41:0204047</t>
  </si>
  <si>
    <t>66:19:0101006</t>
  </si>
  <si>
    <t>66:19:1501002</t>
  </si>
  <si>
    <t>66:41:0106150</t>
  </si>
  <si>
    <t>КК</t>
  </si>
  <si>
    <t>Зона</t>
  </si>
  <si>
    <t>Удельник для Среднеэтажного-02:050</t>
  </si>
  <si>
    <t>Удельник для Многоэтажного-02:060</t>
  </si>
  <si>
    <t>Удельник для Малоэтажного-02:014</t>
  </si>
  <si>
    <t>КОМПРЕССОРНЫЙ</t>
  </si>
  <si>
    <t>ЭЛЬМАШ</t>
  </si>
  <si>
    <t>ПИОНЕРСКИЙ</t>
  </si>
  <si>
    <t>ЧЕРМЕТ</t>
  </si>
  <si>
    <t>УРАЛМАШ</t>
  </si>
  <si>
    <t>АВТОВОКЗАЛ</t>
  </si>
  <si>
    <t>ВТУЗГОРОДОК</t>
  </si>
  <si>
    <t>БОТАНИЧЕСКИЙ</t>
  </si>
  <si>
    <t>ЛЕЧЕБНЫЙ</t>
  </si>
  <si>
    <t>ГОРНЫЙ ЩИТ</t>
  </si>
  <si>
    <t>Старая сортировка</t>
  </si>
  <si>
    <t>УКТУС</t>
  </si>
  <si>
    <t>ИСТОК</t>
  </si>
  <si>
    <t>Новая сортировка</t>
  </si>
  <si>
    <t>СИБИРСКИЙ</t>
  </si>
  <si>
    <t>ПАРКОВЫЙ</t>
  </si>
  <si>
    <t>Ю-З</t>
  </si>
  <si>
    <t>ХИММАШ</t>
  </si>
  <si>
    <t>ЕЛИЗАВЕТ</t>
  </si>
  <si>
    <t>АКАДЕМИЧЕСКИЙ</t>
  </si>
  <si>
    <t>ШИРОКАЯ РЕЧКА</t>
  </si>
  <si>
    <t>ЧУСОВСКОЕ ОЗЕРО</t>
  </si>
  <si>
    <t>ВОКЗАЛЬНЫЙ</t>
  </si>
  <si>
    <t>ШАБРОВСКИЙ</t>
  </si>
  <si>
    <t>ШАРТАШ</t>
  </si>
  <si>
    <t>ЗАРЕЧНЫЙ</t>
  </si>
  <si>
    <t>ПТИЦЕФАБРИКА</t>
  </si>
  <si>
    <t>ЗАВОКЗАЛЬНЫЙ</t>
  </si>
  <si>
    <t>Шарташский рынок</t>
  </si>
  <si>
    <t>МАЛЫЙ ИСТОК</t>
  </si>
  <si>
    <t>КОЛЬЦОВО</t>
  </si>
  <si>
    <t>СИНИЕ КАМНИ</t>
  </si>
  <si>
    <t>СОВХОЗ</t>
  </si>
  <si>
    <t>САДОВЫЙ</t>
  </si>
  <si>
    <t>СЕВЕРКА</t>
  </si>
  <si>
    <t>РУДНЫЙ</t>
  </si>
  <si>
    <t>ШУВАКИШ</t>
  </si>
  <si>
    <t>ИЗОПЛИТ</t>
  </si>
  <si>
    <t>ПОЛЕВОДСТВО</t>
  </si>
  <si>
    <t>Сулим.Торфянник</t>
  </si>
  <si>
    <t>КАЛИНОВСКИЙ</t>
  </si>
  <si>
    <t>МЕДНЫЙ</t>
  </si>
  <si>
    <t>СОЛНЕЧНЫЙ</t>
  </si>
  <si>
    <t>66:41:0202007</t>
  </si>
  <si>
    <t>66:41:0614003</t>
  </si>
  <si>
    <t>Малый Исток</t>
  </si>
  <si>
    <t>УАЗ-III - 49 кв.</t>
  </si>
  <si>
    <t>УАЗ</t>
  </si>
  <si>
    <t>УАЗ-II</t>
  </si>
  <si>
    <t>Чкаловский</t>
  </si>
  <si>
    <t>Октябрьский</t>
  </si>
  <si>
    <t>Южный</t>
  </si>
  <si>
    <t>Ст.Каменск-Хозспособ</t>
  </si>
  <si>
    <t>Северный</t>
  </si>
  <si>
    <t>Ленин-Олимп</t>
  </si>
  <si>
    <t>Трубников</t>
  </si>
  <si>
    <t>Алт_Гальян_М-Кушва</t>
  </si>
  <si>
    <t>Ваг_Стар_Пихтовы-г</t>
  </si>
  <si>
    <t>Выя_Леб_Горб_Кр-Кам</t>
  </si>
  <si>
    <t>Евст_В-Черм</t>
  </si>
  <si>
    <t>Рудник_Север</t>
  </si>
  <si>
    <t>Сух_Г-Кам_Н_Кушва_Н-Черм</t>
  </si>
  <si>
    <t>Тагил_Кирп</t>
  </si>
  <si>
    <t>Веер</t>
  </si>
  <si>
    <t>ДинСанПод</t>
  </si>
  <si>
    <t>Западный</t>
  </si>
  <si>
    <t>Магнитка</t>
  </si>
  <si>
    <t>Первомайский</t>
  </si>
  <si>
    <t>Соцгород</t>
  </si>
  <si>
    <t>Талица</t>
  </si>
  <si>
    <t>Техгород</t>
  </si>
  <si>
    <t>Хромпик</t>
  </si>
  <si>
    <t>Шайтанка</t>
  </si>
  <si>
    <t>66:58:2901002</t>
  </si>
  <si>
    <t>66:58:2901001</t>
  </si>
  <si>
    <t>66:58:2802001</t>
  </si>
  <si>
    <t>66:41:0101006</t>
  </si>
  <si>
    <t>66:58:2802005</t>
  </si>
  <si>
    <t>66:19:0101020</t>
  </si>
  <si>
    <t>66:19:1904004</t>
  </si>
  <si>
    <t>66:19:1905005</t>
  </si>
  <si>
    <t>66:58:2902008</t>
  </si>
  <si>
    <t>66:19:1905006</t>
  </si>
  <si>
    <t>66:58:2902016</t>
  </si>
  <si>
    <t>66:58:2902040</t>
  </si>
  <si>
    <t>66:58:2902032</t>
  </si>
  <si>
    <t>66:19:0101019</t>
  </si>
  <si>
    <t>66:19:1905007</t>
  </si>
  <si>
    <t>66:58:2902002</t>
  </si>
  <si>
    <t>66:58:2902057</t>
  </si>
  <si>
    <t>66:58:2902023</t>
  </si>
  <si>
    <t>66:58:2902021</t>
  </si>
  <si>
    <t>66:58:2902034</t>
  </si>
  <si>
    <t>66:58:2902039</t>
  </si>
  <si>
    <t>66:58:2901012</t>
  </si>
  <si>
    <t>66:58:2803019</t>
  </si>
  <si>
    <t>66:58:2902037</t>
  </si>
  <si>
    <t>66:58:2902047</t>
  </si>
  <si>
    <t>66:58:2902046</t>
  </si>
  <si>
    <t>66:58:2803020</t>
  </si>
  <si>
    <t>66:19:1904003</t>
  </si>
  <si>
    <t>66:58:2902044</t>
  </si>
  <si>
    <t>66:58:2901013</t>
  </si>
  <si>
    <t>66:19:0101023</t>
  </si>
  <si>
    <t>66:58:2902001</t>
  </si>
  <si>
    <t>66:58:2902029</t>
  </si>
  <si>
    <t>66:58:2803008</t>
  </si>
  <si>
    <t>66:58:2902042</t>
  </si>
  <si>
    <t>66:58:2902043</t>
  </si>
  <si>
    <t>66:58:2902003</t>
  </si>
  <si>
    <t>66:58:2902007</t>
  </si>
  <si>
    <t>66:19:1902001</t>
  </si>
  <si>
    <t>66:58:2902004</t>
  </si>
  <si>
    <t>66:58:2902060</t>
  </si>
  <si>
    <t>66:58:2802006</t>
  </si>
  <si>
    <t>66:19:1902003</t>
  </si>
  <si>
    <t>66:19:0103007</t>
  </si>
  <si>
    <t>66:58:2902073</t>
  </si>
  <si>
    <t>66:58:2902081</t>
  </si>
  <si>
    <t>66:58:2901004</t>
  </si>
  <si>
    <t>66:58:2901010</t>
  </si>
  <si>
    <t>66:58:2902064</t>
  </si>
  <si>
    <t>66:58:2902055</t>
  </si>
  <si>
    <t>66:58:2902078</t>
  </si>
  <si>
    <t>66:58:2902082</t>
  </si>
  <si>
    <t>66:58:2902069</t>
  </si>
  <si>
    <t>66:58:2902027</t>
  </si>
  <si>
    <t>66:58:2803028</t>
  </si>
  <si>
    <t>66:58:2902070</t>
  </si>
  <si>
    <t>66:19:0101022</t>
  </si>
  <si>
    <t>66:19:1905004</t>
  </si>
  <si>
    <t>66:58:2902077</t>
  </si>
  <si>
    <t>66:58:2902009</t>
  </si>
  <si>
    <t>66:19:1904001</t>
  </si>
  <si>
    <t>66:19:1905003</t>
  </si>
  <si>
    <t>66:58:2803001</t>
  </si>
  <si>
    <t>66:58:2902065</t>
  </si>
  <si>
    <t>66:58:2901009</t>
  </si>
  <si>
    <t>66:58:2902010</t>
  </si>
  <si>
    <t>66:58:2902050</t>
  </si>
  <si>
    <t>66:58:2902066</t>
  </si>
  <si>
    <t>66:58:2902054</t>
  </si>
  <si>
    <t>66:58:2902022</t>
  </si>
  <si>
    <t>66:58:2902051</t>
  </si>
  <si>
    <t>66:58:2803021</t>
  </si>
  <si>
    <t>66:58:2901007</t>
  </si>
  <si>
    <t>66:58:2902025</t>
  </si>
  <si>
    <t>66:58:2902015</t>
  </si>
  <si>
    <t>66:58:2901011</t>
  </si>
  <si>
    <t>66:58:2902011</t>
  </si>
  <si>
    <t>66:58:2902013</t>
  </si>
  <si>
    <t>66:58:2902058</t>
  </si>
  <si>
    <t>66:58:2902063</t>
  </si>
  <si>
    <t>66:58:2803013</t>
  </si>
  <si>
    <t>66:19:0101017</t>
  </si>
  <si>
    <t>66:58:2902075</t>
  </si>
  <si>
    <t>66:19:0101018</t>
  </si>
  <si>
    <t>66:58:2902062</t>
  </si>
  <si>
    <t>66:58:2902076</t>
  </si>
  <si>
    <t>66:19:1902002</t>
  </si>
  <si>
    <t>66:58:2902024</t>
  </si>
  <si>
    <t>66:58:2901014</t>
  </si>
  <si>
    <t>66:58:2803036</t>
  </si>
  <si>
    <t>66:58:2902041</t>
  </si>
  <si>
    <t>66:58:2902074</t>
  </si>
  <si>
    <t>66:58:2803025</t>
  </si>
  <si>
    <t>66:58:2902071</t>
  </si>
  <si>
    <t>66:58:2803002</t>
  </si>
  <si>
    <t>66:58:2803015</t>
  </si>
  <si>
    <t>66:58:2803005</t>
  </si>
  <si>
    <t>66:56:0106003</t>
  </si>
  <si>
    <t>66:41:0514043</t>
  </si>
  <si>
    <t>66:45:0100059</t>
  </si>
  <si>
    <t>66:58:0117003</t>
  </si>
  <si>
    <t>66:58:2101004</t>
  </si>
  <si>
    <t>66:45:0100042</t>
  </si>
  <si>
    <t>66:45:0100046</t>
  </si>
  <si>
    <t>66:58:0104002</t>
  </si>
  <si>
    <t>66:56:0113001</t>
  </si>
  <si>
    <t>66:56:0201003</t>
  </si>
  <si>
    <t>66:56:0102003</t>
  </si>
  <si>
    <t>66:45:0200109</t>
  </si>
  <si>
    <t>66:45:0100162</t>
  </si>
  <si>
    <t>66:56:0111010</t>
  </si>
  <si>
    <t>66:58:0119002</t>
  </si>
  <si>
    <t>66:45:0100047</t>
  </si>
  <si>
    <t>66:56:0402004</t>
  </si>
  <si>
    <t>66:45:0200021</t>
  </si>
  <si>
    <t>66:56:0201001</t>
  </si>
  <si>
    <t>66:58:1101010</t>
  </si>
  <si>
    <t>66:45:0100052</t>
  </si>
  <si>
    <t>66:56:0113004</t>
  </si>
  <si>
    <t>66:56:0201007</t>
  </si>
  <si>
    <t>66:58:0120016</t>
  </si>
  <si>
    <t>66:45:0100370</t>
  </si>
  <si>
    <t>66:58:0120002</t>
  </si>
  <si>
    <t>66:56:0103005</t>
  </si>
  <si>
    <t>66:45:0200018</t>
  </si>
  <si>
    <t>66:45:0100087</t>
  </si>
  <si>
    <t>66:56:0112006</t>
  </si>
  <si>
    <t>66:56:0203002</t>
  </si>
  <si>
    <t>66:58:0120010</t>
  </si>
  <si>
    <t>66:45:0200123</t>
  </si>
  <si>
    <t>66:45:0200167</t>
  </si>
  <si>
    <t>66:56:0301006</t>
  </si>
  <si>
    <t>66:45:0200029</t>
  </si>
  <si>
    <t>66:56:0114002</t>
  </si>
  <si>
    <t>66:45:0100090</t>
  </si>
  <si>
    <t>66:45:0100096</t>
  </si>
  <si>
    <t>66:45:0200300</t>
  </si>
  <si>
    <t>66:45:0100106</t>
  </si>
  <si>
    <t>66:58:2902030</t>
  </si>
  <si>
    <t>66:56:0201011</t>
  </si>
  <si>
    <t>66:56:0404005</t>
  </si>
  <si>
    <t>66:56:0102001</t>
  </si>
  <si>
    <t>66:45:0100076</t>
  </si>
  <si>
    <t>66:56:0106009</t>
  </si>
  <si>
    <t>66:56:0111019</t>
  </si>
  <si>
    <t>66:45:0200115</t>
  </si>
  <si>
    <t>66:58:0110002</t>
  </si>
  <si>
    <t>66:58:0101003</t>
  </si>
  <si>
    <t>66:45:0200014</t>
  </si>
  <si>
    <t>66:58:0118008</t>
  </si>
  <si>
    <t>66:58:0102002</t>
  </si>
  <si>
    <t>66:58:1301001</t>
  </si>
  <si>
    <t>66:45:0100088</t>
  </si>
  <si>
    <t>66:56:0403002</t>
  </si>
  <si>
    <t>66:58:0801003</t>
  </si>
  <si>
    <t>66:45:0100349</t>
  </si>
  <si>
    <t>66:45:0200112</t>
  </si>
  <si>
    <t>66:56:0112011</t>
  </si>
  <si>
    <t>66:45:0200019</t>
  </si>
  <si>
    <t>66:41:0513032</t>
  </si>
  <si>
    <t>66:58:0108005</t>
  </si>
  <si>
    <t>66:45:0100367</t>
  </si>
  <si>
    <t>66:45:0200013</t>
  </si>
  <si>
    <t>66:45:0100033</t>
  </si>
  <si>
    <t>66:45:0100030</t>
  </si>
  <si>
    <t>66:56:0401002</t>
  </si>
  <si>
    <t>66:58:0101002</t>
  </si>
  <si>
    <t>66:58:1901001</t>
  </si>
  <si>
    <t>66:45:0200025</t>
  </si>
  <si>
    <t>66:58:0117002</t>
  </si>
  <si>
    <t>66:56:0113007</t>
  </si>
  <si>
    <t>66:58:0118010</t>
  </si>
  <si>
    <t>66:45:0200016</t>
  </si>
  <si>
    <t>66:45:0200011</t>
  </si>
  <si>
    <t>66:45:0200188</t>
  </si>
  <si>
    <t>66:41:0605015</t>
  </si>
  <si>
    <t>66:58:0111012</t>
  </si>
  <si>
    <t>66:56:0401005</t>
  </si>
  <si>
    <t>66:56:0113011</t>
  </si>
  <si>
    <t>66:58:0116001</t>
  </si>
  <si>
    <t>66:58:0116004</t>
  </si>
  <si>
    <t>66:58:1301002</t>
  </si>
  <si>
    <t>66:56:0401006</t>
  </si>
  <si>
    <t>66:58:1601003</t>
  </si>
  <si>
    <t>66:58:0501001</t>
  </si>
  <si>
    <t>66:58:0108001</t>
  </si>
  <si>
    <t>66:56:0111001</t>
  </si>
  <si>
    <t>66:45:0200127</t>
  </si>
  <si>
    <t>66:58:0401001</t>
  </si>
  <si>
    <t>66:41:0513037</t>
  </si>
  <si>
    <t>66:45:0200009</t>
  </si>
  <si>
    <t>66:58:0104008</t>
  </si>
  <si>
    <t>66:58:1801001</t>
  </si>
  <si>
    <t>66:45:0100051</t>
  </si>
  <si>
    <t>66:45:0200225</t>
  </si>
  <si>
    <t>66:56:0502003</t>
  </si>
  <si>
    <t>66:41:0310053</t>
  </si>
  <si>
    <t>66:45:0200139</t>
  </si>
  <si>
    <t>66:56:0502018</t>
  </si>
  <si>
    <t>66:58:0112004</t>
  </si>
  <si>
    <t>66:45:0200006</t>
  </si>
  <si>
    <t>66:45:0100091</t>
  </si>
  <si>
    <t>66:58:0601001</t>
  </si>
  <si>
    <t>66:45:0100329</t>
  </si>
  <si>
    <t>66:56:0111005</t>
  </si>
  <si>
    <t>66:45:0100383</t>
  </si>
  <si>
    <t>66:45:0100057</t>
  </si>
  <si>
    <t>66:58:3001001</t>
  </si>
  <si>
    <t>66:58:0110007</t>
  </si>
  <si>
    <t>66:45:0100318</t>
  </si>
  <si>
    <t>66:45:0200108</t>
  </si>
  <si>
    <t>66:56:0404007</t>
  </si>
  <si>
    <t>66:45:0100242</t>
  </si>
  <si>
    <t>66:45:0100303</t>
  </si>
  <si>
    <t>66:58:0118006</t>
  </si>
  <si>
    <t>66:58:0104001</t>
  </si>
  <si>
    <t>66:45:0200008</t>
  </si>
  <si>
    <t>66:56:0114003</t>
  </si>
  <si>
    <t>66:58:2201002</t>
  </si>
  <si>
    <t>66:45:0100043</t>
  </si>
  <si>
    <t>66:58:0111006</t>
  </si>
  <si>
    <t>66:58:0801002</t>
  </si>
  <si>
    <t>66:45:0100193</t>
  </si>
  <si>
    <t>66:45:0100083</t>
  </si>
  <si>
    <t>66:45:0200351</t>
  </si>
  <si>
    <t>66:58:0118003</t>
  </si>
  <si>
    <t>66:45:0200004</t>
  </si>
  <si>
    <t>66:45:0200007</t>
  </si>
  <si>
    <t>66:45:0100084</t>
  </si>
  <si>
    <t>66:56:0112004</t>
  </si>
  <si>
    <t>66:56:0111009</t>
  </si>
  <si>
    <t>66:19:0801001</t>
  </si>
  <si>
    <t>66:58:1101002</t>
  </si>
  <si>
    <t>66:58:0104006</t>
  </si>
  <si>
    <t>66:56:0401003</t>
  </si>
  <si>
    <t>66:45:0100037</t>
  </si>
  <si>
    <t>66:45:0200242</t>
  </si>
  <si>
    <t>66:58:0117001</t>
  </si>
  <si>
    <t>66:56:0112001</t>
  </si>
  <si>
    <t>66:58:1401002</t>
  </si>
  <si>
    <t>66:56:0106013</t>
  </si>
  <si>
    <t>66:56:0109008</t>
  </si>
  <si>
    <t>66:56:0201006</t>
  </si>
  <si>
    <t>66:56:0502011</t>
  </si>
  <si>
    <t>66:58:0120004</t>
  </si>
  <si>
    <t>66:45:0100156</t>
  </si>
  <si>
    <t>66:45:0100161</t>
  </si>
  <si>
    <t>66:45:0100338</t>
  </si>
  <si>
    <t>66:45:0100048</t>
  </si>
  <si>
    <t>66:45:0100112</t>
  </si>
  <si>
    <t>66:45:0200220</t>
  </si>
  <si>
    <t>66:56:0109011</t>
  </si>
  <si>
    <t>66:45:0100289</t>
  </si>
  <si>
    <t>66:45:0200028</t>
  </si>
  <si>
    <t>66:56:0111015</t>
  </si>
  <si>
    <t>66:58:0105002</t>
  </si>
  <si>
    <t>66:41:0309067</t>
  </si>
  <si>
    <t>66:58:1101012</t>
  </si>
  <si>
    <t>66:58:1201003</t>
  </si>
  <si>
    <t>66:45:0100331</t>
  </si>
  <si>
    <t>66:45:0200026</t>
  </si>
  <si>
    <t>66:56:0115002</t>
  </si>
  <si>
    <t>66:45:0200128</t>
  </si>
  <si>
    <t>66:58:0501002</t>
  </si>
  <si>
    <t>66:56:0502013</t>
  </si>
  <si>
    <t>66:45:0100055</t>
  </si>
  <si>
    <t>66:45:0100462</t>
  </si>
  <si>
    <t>66:58:0119006</t>
  </si>
  <si>
    <t>66:45:0200017</t>
  </si>
  <si>
    <t>66:45:0100050</t>
  </si>
  <si>
    <t>66:56:0102009</t>
  </si>
  <si>
    <t>66:45:0200211</t>
  </si>
  <si>
    <t>66:19:0103006</t>
  </si>
  <si>
    <t>66:19:0101031</t>
  </si>
  <si>
    <t>66:19:0103001</t>
  </si>
  <si>
    <t>66:58:2803006</t>
  </si>
  <si>
    <t>66:19:0101025</t>
  </si>
  <si>
    <t>66:19:0103002</t>
  </si>
  <si>
    <t>66:19:1905001</t>
  </si>
  <si>
    <t>66:19:1905012</t>
  </si>
  <si>
    <t>66:58:2903001</t>
  </si>
  <si>
    <t>66:58:2904001</t>
  </si>
  <si>
    <t>66:19:2601001</t>
  </si>
  <si>
    <t>66:58:2803003</t>
  </si>
  <si>
    <t>66:45:0100362</t>
  </si>
  <si>
    <t>66:45:0200348</t>
  </si>
  <si>
    <t>66:58:2902020</t>
  </si>
  <si>
    <t>66:58:2801001</t>
  </si>
  <si>
    <t>66:58:2902048</t>
  </si>
  <si>
    <t>66:58:2902026</t>
  </si>
  <si>
    <t>66:58:2803004</t>
  </si>
  <si>
    <t>66:19:1904005</t>
  </si>
  <si>
    <t>66:58:2902036</t>
  </si>
  <si>
    <t>66:58:2902072</t>
  </si>
  <si>
    <t>66:58:2902052</t>
  </si>
  <si>
    <t>66:58:2902045</t>
  </si>
  <si>
    <t>66:58:2902006</t>
  </si>
  <si>
    <t>66:58:2901003</t>
  </si>
  <si>
    <t>66:58:2902038</t>
  </si>
  <si>
    <t>66:58:2902053</t>
  </si>
  <si>
    <t>66:58:2902033</t>
  </si>
  <si>
    <t>66:58:2803017</t>
  </si>
  <si>
    <t>66:58:2803038</t>
  </si>
  <si>
    <t>66:58:2902031</t>
  </si>
  <si>
    <t>66:58:2902059</t>
  </si>
  <si>
    <t>66:58:2902012</t>
  </si>
  <si>
    <t>66:56:0301002</t>
  </si>
  <si>
    <t>66:58:1101007</t>
  </si>
  <si>
    <t>66:56:0111017</t>
  </si>
  <si>
    <t>66:45:0100319</t>
  </si>
  <si>
    <t>66:45:0100015</t>
  </si>
  <si>
    <t>66:56:0112018</t>
  </si>
  <si>
    <t>66:45:0200020</t>
  </si>
  <si>
    <t>66:58:0113009</t>
  </si>
  <si>
    <t>66:58:0104005</t>
  </si>
  <si>
    <t>66:45:0100004</t>
  </si>
  <si>
    <t>66:45:0100128</t>
  </si>
  <si>
    <t>66:58:0117004</t>
  </si>
  <si>
    <t>66:45:0100354</t>
  </si>
  <si>
    <t>66:58:1101004</t>
  </si>
  <si>
    <t>66:45:0200015</t>
  </si>
  <si>
    <t>66:45:0100097</t>
  </si>
  <si>
    <t>66:58:0601002</t>
  </si>
  <si>
    <t>66:45:0100301</t>
  </si>
  <si>
    <t>66:45:0100053</t>
  </si>
  <si>
    <t>66:58:0111007</t>
  </si>
  <si>
    <t>66:58:0103002</t>
  </si>
  <si>
    <t>66:58:0111014</t>
  </si>
  <si>
    <t>66:45:0200010</t>
  </si>
  <si>
    <t>66:58:0113008</t>
  </si>
  <si>
    <t>66:56:0202005</t>
  </si>
  <si>
    <t>66:45:0200344</t>
  </si>
  <si>
    <t>66:58:0120006</t>
  </si>
  <si>
    <t>66:45:0200116</t>
  </si>
  <si>
    <t>66:56:0204003</t>
  </si>
  <si>
    <t>66:41:0303128</t>
  </si>
  <si>
    <t>66:58:0113003</t>
  </si>
  <si>
    <t>66:58:0120008</t>
  </si>
  <si>
    <t>66:58:0110006</t>
  </si>
  <si>
    <t>66:56:0502004</t>
  </si>
  <si>
    <t>66:45:0100079</t>
  </si>
  <si>
    <t>66:58:1401003</t>
  </si>
  <si>
    <t>66:58:1601001</t>
  </si>
  <si>
    <t>66:56:0204001</t>
  </si>
  <si>
    <t>66:58:2101001</t>
  </si>
  <si>
    <t>66:58:1601002</t>
  </si>
  <si>
    <t>66:45:0100068</t>
  </si>
  <si>
    <t>66:45:0100199</t>
  </si>
  <si>
    <t>66:45:0100158</t>
  </si>
  <si>
    <t>66:45:0200309</t>
  </si>
  <si>
    <t>66:45:0200005</t>
  </si>
  <si>
    <t>66:58:0108006</t>
  </si>
  <si>
    <t>66:45:0100092</t>
  </si>
  <si>
    <t>66:45:0100111</t>
  </si>
  <si>
    <t>66:56:0102002</t>
  </si>
  <si>
    <t>66:45:0200117</t>
  </si>
  <si>
    <t>66:58:1101003</t>
  </si>
  <si>
    <t>66:41:0102005</t>
  </si>
  <si>
    <t>66:45:0200052</t>
  </si>
  <si>
    <t>66:58:2301004</t>
  </si>
  <si>
    <t>66:19:1401001</t>
  </si>
  <si>
    <t>66:45:0200255</t>
  </si>
  <si>
    <t>66:41:0513128</t>
  </si>
  <si>
    <t>66:41:0513118</t>
  </si>
  <si>
    <t>66:41:0514011</t>
  </si>
  <si>
    <t>66:41:0521031</t>
  </si>
  <si>
    <t>66:41:0309049</t>
  </si>
  <si>
    <t>66:45:0100358</t>
  </si>
  <si>
    <t>66:41:0514014</t>
  </si>
  <si>
    <t>66:41:0513114</t>
  </si>
  <si>
    <t>66:56:0112008</t>
  </si>
  <si>
    <t>66:56:0401008</t>
  </si>
  <si>
    <t>66:56:0113003</t>
  </si>
  <si>
    <t>66:56:0103004</t>
  </si>
  <si>
    <t>66:56:0111003</t>
  </si>
  <si>
    <t>66:56:0201008</t>
  </si>
  <si>
    <t>66:56:0401010</t>
  </si>
  <si>
    <t>66:56:0113006</t>
  </si>
  <si>
    <t>66:56:0201002</t>
  </si>
  <si>
    <t>66:56:0401004</t>
  </si>
  <si>
    <t>66:58:0102004</t>
  </si>
  <si>
    <t>66:56:0204009</t>
  </si>
  <si>
    <t>66:56:0404004</t>
  </si>
  <si>
    <t>66:56:0502005</t>
  </si>
  <si>
    <t>66:56:0113009</t>
  </si>
  <si>
    <t>66:56:0201010</t>
  </si>
  <si>
    <t>66:41:0513078</t>
  </si>
  <si>
    <t>66:45:0100045</t>
  </si>
  <si>
    <t>66:45:0200288</t>
  </si>
  <si>
    <t>66:56:0111012</t>
  </si>
  <si>
    <t>66:41:0507075</t>
  </si>
  <si>
    <t>66:45:0100352</t>
  </si>
  <si>
    <t>66:45:0100077</t>
  </si>
  <si>
    <t>66:58:2301005</t>
  </si>
  <si>
    <t>66:45:0100304</t>
  </si>
  <si>
    <t>66:45:0100407</t>
  </si>
  <si>
    <t>66:45:0100036</t>
  </si>
  <si>
    <t>66:56:0104001</t>
  </si>
  <si>
    <t>66:45:0100387</t>
  </si>
  <si>
    <t>66:45:0200023</t>
  </si>
  <si>
    <t>66:56:0106017</t>
  </si>
  <si>
    <t>66:19:0101032</t>
  </si>
  <si>
    <t>66:45:0100235</t>
  </si>
  <si>
    <t>66:41:0307034</t>
  </si>
  <si>
    <t>66:45:0100089</t>
  </si>
  <si>
    <t>66:45:0100105</t>
  </si>
  <si>
    <t>66:58:1101001</t>
  </si>
  <si>
    <t>66:58:0110001</t>
  </si>
  <si>
    <t>66:45:0100039</t>
  </si>
  <si>
    <t>66:56:0106012</t>
  </si>
  <si>
    <t>66:58:0120005</t>
  </si>
  <si>
    <t>66:45:0100065</t>
  </si>
  <si>
    <t>66:45:0100290</t>
  </si>
  <si>
    <t>66:41:0702024</t>
  </si>
  <si>
    <t>66:45:0100080</t>
  </si>
  <si>
    <t>66:41:0521050</t>
  </si>
  <si>
    <t>66:58:2101003</t>
  </si>
  <si>
    <t>66:56:0401001</t>
  </si>
  <si>
    <t>66:56:0110009</t>
  </si>
  <si>
    <t>66:58:0110005</t>
  </si>
  <si>
    <t>66:45:0100369</t>
  </si>
  <si>
    <t>66:45:0200173</t>
  </si>
  <si>
    <t>66:58:0104004</t>
  </si>
  <si>
    <t>66:58:1201001</t>
  </si>
  <si>
    <t>66:45:0100274</t>
  </si>
  <si>
    <t>66:58:2601001</t>
  </si>
  <si>
    <t>66:19:1501003</t>
  </si>
  <si>
    <t>66:45:0200218</t>
  </si>
  <si>
    <t>66:41:0310050</t>
  </si>
  <si>
    <t>66:45:0200227</t>
  </si>
  <si>
    <t>66:45:0100072</t>
  </si>
  <si>
    <t>66:56:0102005</t>
  </si>
  <si>
    <t>66:19:0101028</t>
  </si>
  <si>
    <t>66:56:0301001</t>
  </si>
  <si>
    <t>66:58:0105004</t>
  </si>
  <si>
    <t>66:58:1201006</t>
  </si>
  <si>
    <t>66:58:2301001</t>
  </si>
  <si>
    <t>66:58:0118002</t>
  </si>
  <si>
    <t>66:56:0106015</t>
  </si>
  <si>
    <t>66:45:0100237</t>
  </si>
  <si>
    <t>66:58:0101006</t>
  </si>
  <si>
    <t>66:58:0102003</t>
  </si>
  <si>
    <t>66:58:0101005</t>
  </si>
  <si>
    <t>66:58:0107003</t>
  </si>
  <si>
    <t>66:58:0109002</t>
  </si>
  <si>
    <t>66:19:1901015</t>
  </si>
  <si>
    <t>66:45:0200208</t>
  </si>
  <si>
    <t>66:45:0100392</t>
  </si>
  <si>
    <t>66:45:0100450</t>
  </si>
  <si>
    <t>66:45:0200058</t>
  </si>
  <si>
    <t>66:45:0200327</t>
  </si>
  <si>
    <t>66:45:0100137</t>
  </si>
  <si>
    <t>66:45:0100054</t>
  </si>
  <si>
    <t>66:41:0515006</t>
  </si>
  <si>
    <t>66:58:1001001</t>
  </si>
  <si>
    <t>66:58:2301003</t>
  </si>
  <si>
    <t>66:58:0101001</t>
  </si>
  <si>
    <t>66:58:0108003</t>
  </si>
  <si>
    <t>66:58:0101007</t>
  </si>
  <si>
    <t>66:58:0107001</t>
  </si>
  <si>
    <t>66:58:0111011</t>
  </si>
  <si>
    <t>66:58:0104007</t>
  </si>
  <si>
    <t>66:58:0110008</t>
  </si>
  <si>
    <t>66:58:0113010</t>
  </si>
  <si>
    <t>66:58:0113005</t>
  </si>
  <si>
    <t>66:58:0113006</t>
  </si>
  <si>
    <t>66:45:0100078</t>
  </si>
  <si>
    <t>66:45:0100236</t>
  </si>
  <si>
    <t>66:45:0200364</t>
  </si>
  <si>
    <t>66:45:0200120</t>
  </si>
  <si>
    <t>66:19:0101034</t>
  </si>
  <si>
    <t>66:41:0514004</t>
  </si>
  <si>
    <t>66:58:3101001</t>
  </si>
  <si>
    <t>66:58:2001001</t>
  </si>
  <si>
    <t>66:58:0119008</t>
  </si>
  <si>
    <t>66:58:1101008</t>
  </si>
  <si>
    <t>66:58:0301001</t>
  </si>
  <si>
    <t>66:58:2501001</t>
  </si>
  <si>
    <t>66:58:0120009</t>
  </si>
  <si>
    <t>66:45:0200027</t>
  </si>
  <si>
    <t>66:58:2101002</t>
  </si>
  <si>
    <t>66:58:0113002</t>
  </si>
  <si>
    <t>66:45:0100244</t>
  </si>
  <si>
    <t>66:45:0200180</t>
  </si>
  <si>
    <t>66:56:0502019</t>
  </si>
  <si>
    <t>66:56:0103002</t>
  </si>
  <si>
    <t>66:56:0113002</t>
  </si>
  <si>
    <t>66:56:0111013</t>
  </si>
  <si>
    <t>66:56:0102008</t>
  </si>
  <si>
    <t>66:56:0502006</t>
  </si>
  <si>
    <t>66:56:0113005</t>
  </si>
  <si>
    <t>66:41:0203074</t>
  </si>
  <si>
    <t>66:45:0100254</t>
  </si>
  <si>
    <t>66:58:0111008</t>
  </si>
  <si>
    <t>66:45:0100040</t>
  </si>
  <si>
    <t>66:45:0100099</t>
  </si>
  <si>
    <t>66:45:0100031</t>
  </si>
  <si>
    <t>66:45:0100041</t>
  </si>
  <si>
    <t>66:58:0801001</t>
  </si>
  <si>
    <t>66:41:0305014</t>
  </si>
  <si>
    <t>66:58:1101011</t>
  </si>
  <si>
    <t>66:58:0119003</t>
  </si>
  <si>
    <t>66:45:0100070</t>
  </si>
  <si>
    <t>66:56:0111016</t>
  </si>
  <si>
    <t>66:56:0201005</t>
  </si>
  <si>
    <t>66:56:0106007</t>
  </si>
  <si>
    <t>66:58:2301002</t>
  </si>
  <si>
    <t>66:45:0100334</t>
  </si>
  <si>
    <t>66:45:0100408</t>
  </si>
  <si>
    <t>66:45:0200002</t>
  </si>
  <si>
    <t>66:45:0100130</t>
  </si>
  <si>
    <t>66:56:0502012</t>
  </si>
  <si>
    <t>66:58:0103003</t>
  </si>
  <si>
    <t>66:45:0100049</t>
  </si>
  <si>
    <t>66:45:0100071</t>
  </si>
  <si>
    <t>66:45:0100082</t>
  </si>
  <si>
    <t>66:45:0100101</t>
  </si>
  <si>
    <t>66:45:0100100</t>
  </si>
  <si>
    <t>66:45:0100061</t>
  </si>
  <si>
    <t>66:45:0100122</t>
  </si>
  <si>
    <t>66:45:0100129</t>
  </si>
  <si>
    <t>66:58:0105001</t>
  </si>
  <si>
    <t>66:58:0105003</t>
  </si>
  <si>
    <t>66:45:0100023</t>
  </si>
  <si>
    <t>66:41:0513101</t>
  </si>
  <si>
    <t>66:45:0100325</t>
  </si>
  <si>
    <t>66:56:0106005</t>
  </si>
  <si>
    <t>66:58:1301008</t>
  </si>
  <si>
    <t>66:45:0200175</t>
  </si>
  <si>
    <t>66:56:0111020</t>
  </si>
  <si>
    <t>66:56:0601004</t>
  </si>
  <si>
    <t>66:58:0111009</t>
  </si>
  <si>
    <t>66:45:0100320</t>
  </si>
  <si>
    <t>66:58:0120014</t>
  </si>
  <si>
    <t>66:58:0120015</t>
  </si>
  <si>
    <t>66:45:0200079</t>
  </si>
  <si>
    <t>66:45:0200198</t>
  </si>
  <si>
    <t>66:45:0200103</t>
  </si>
  <si>
    <t>66:45:0200024</t>
  </si>
  <si>
    <t>66:45:0200140</t>
  </si>
  <si>
    <t>66:45:0200040</t>
  </si>
  <si>
    <t>66:45:0200152</t>
  </si>
  <si>
    <t>66:45:0100332</t>
  </si>
  <si>
    <t>66:45:0200156</t>
  </si>
  <si>
    <t>66:58:0901004</t>
  </si>
  <si>
    <t>66:41:0514047</t>
  </si>
  <si>
    <t>66:58:0118005</t>
  </si>
  <si>
    <t>66:58:1501004</t>
  </si>
  <si>
    <t>66:45:0200001</t>
  </si>
  <si>
    <t>66:45:0100192</t>
  </si>
  <si>
    <t>66:45:0200102</t>
  </si>
  <si>
    <t>66:45:0200126</t>
  </si>
  <si>
    <t>66:45:0100249</t>
  </si>
  <si>
    <t>66:45:0200047</t>
  </si>
  <si>
    <t>66:58:1401001</t>
  </si>
  <si>
    <t>66:41:0309098</t>
  </si>
  <si>
    <t>66:58:0701007</t>
  </si>
  <si>
    <t>66:58:1201004</t>
  </si>
  <si>
    <t>66:45:0200229</t>
  </si>
  <si>
    <t>66:45:0100012</t>
  </si>
  <si>
    <t>66:45:0100188</t>
  </si>
  <si>
    <t>66:56:0201004</t>
  </si>
  <si>
    <t>66:56:0111011</t>
  </si>
  <si>
    <t>66:45:0100056</t>
  </si>
  <si>
    <t>66:41:0607030</t>
  </si>
  <si>
    <t>66:58:1501002</t>
  </si>
  <si>
    <t>66:58:1001002</t>
  </si>
  <si>
    <t>66:45:0100110</t>
  </si>
  <si>
    <t>66:45:0200322</t>
  </si>
  <si>
    <t>66:56:0112003</t>
  </si>
  <si>
    <t>66:45:0100344</t>
  </si>
  <si>
    <t>66:56:0208004</t>
  </si>
  <si>
    <t>66:41:0513045</t>
  </si>
  <si>
    <t>66:45:0200286</t>
  </si>
  <si>
    <t>66:56:0106006</t>
  </si>
  <si>
    <t>66:56:0102004</t>
  </si>
  <si>
    <t>66:58:0113007</t>
  </si>
  <si>
    <t>66:58:0102005</t>
  </si>
  <si>
    <t>66:58:0104009</t>
  </si>
  <si>
    <t>66:45:0100210</t>
  </si>
  <si>
    <t>66:45:0200285</t>
  </si>
  <si>
    <t>66:45:0200313</t>
  </si>
  <si>
    <t>66:45:0200059</t>
  </si>
  <si>
    <t>66:45:0200065</t>
  </si>
  <si>
    <t>66:45:0100317</t>
  </si>
  <si>
    <t>66:45:0200141</t>
  </si>
  <si>
    <t>66:41:0707004</t>
  </si>
  <si>
    <t>66:58:2701001</t>
  </si>
  <si>
    <t>66:58:2803018</t>
  </si>
  <si>
    <t>66:58:1201005</t>
  </si>
  <si>
    <t>66:45:0200219</t>
  </si>
  <si>
    <t>66:56:0112012</t>
  </si>
  <si>
    <t>66:56:0102006</t>
  </si>
  <si>
    <t>66:56:0111002</t>
  </si>
  <si>
    <t>66:58:0107004</t>
  </si>
  <si>
    <t>66:58:0111003</t>
  </si>
  <si>
    <t>66:45:0200003</t>
  </si>
  <si>
    <t>66:45:0200314</t>
  </si>
  <si>
    <t>66:45:0200098</t>
  </si>
  <si>
    <t>66:45:0200105</t>
  </si>
  <si>
    <t>66:56:0502009</t>
  </si>
  <si>
    <t>66:41:0704901</t>
  </si>
  <si>
    <t>66:41:0203077</t>
  </si>
  <si>
    <t>66:58:0102001</t>
  </si>
  <si>
    <t>66:58:2401001</t>
  </si>
  <si>
    <t>66:58:0119004</t>
  </si>
  <si>
    <t>66:58:0111002</t>
  </si>
  <si>
    <t>66:41:0507019</t>
  </si>
  <si>
    <t>66:41:0310073</t>
  </si>
  <si>
    <t>66:41:0521015</t>
  </si>
  <si>
    <t>66:45:0200317</t>
  </si>
  <si>
    <t>66:56:0111021</t>
  </si>
  <si>
    <t>66:45:0100345</t>
  </si>
  <si>
    <t>66:45:0100336</t>
  </si>
  <si>
    <t>66:45:0100305</t>
  </si>
  <si>
    <t>66:45:0200212</t>
  </si>
  <si>
    <t>66:56:0113010</t>
  </si>
  <si>
    <t>66:45:0100058</t>
  </si>
  <si>
    <t>66:45:0100064</t>
  </si>
  <si>
    <t>66:45:0100016</t>
  </si>
  <si>
    <t>66:45:0100008</t>
  </si>
  <si>
    <t>66:56:0112009</t>
  </si>
  <si>
    <t>66:45:0100044</t>
  </si>
  <si>
    <t>66:56:0112014</t>
  </si>
  <si>
    <t>66:45:0100333</t>
  </si>
  <si>
    <t>66:45:0100069</t>
  </si>
  <si>
    <t>66:45:0200157</t>
  </si>
  <si>
    <t>66:41:0109029</t>
  </si>
  <si>
    <t>66:41:0105020</t>
  </si>
  <si>
    <t>66:41:0302901</t>
  </si>
  <si>
    <t>66:58:0118004</t>
  </si>
  <si>
    <t>66:58:0901003</t>
  </si>
  <si>
    <t>66:58:0119005</t>
  </si>
  <si>
    <t>66:58:1701001</t>
  </si>
  <si>
    <t>66:58:0118009</t>
  </si>
  <si>
    <t>66:41:0109033</t>
  </si>
  <si>
    <t>66:45:0200340</t>
  </si>
  <si>
    <t>66:41:0514003</t>
  </si>
  <si>
    <t>66:45:0100102</t>
  </si>
  <si>
    <t>66:58:0111010</t>
  </si>
  <si>
    <t>66:56:0111008</t>
  </si>
  <si>
    <t>66:56:0102007</t>
  </si>
  <si>
    <t>66:45:0200298</t>
  </si>
  <si>
    <t>66:58:1101005</t>
  </si>
  <si>
    <t>66:45:0100032</t>
  </si>
  <si>
    <t>66:41:0614004</t>
  </si>
  <si>
    <t>66:41:0610027</t>
  </si>
  <si>
    <t>66:45:0200184</t>
  </si>
  <si>
    <t>66:45:0200154</t>
  </si>
  <si>
    <t>66:41:0702003</t>
  </si>
  <si>
    <t>66:41:0511025</t>
  </si>
  <si>
    <t>66:56:0404003</t>
  </si>
  <si>
    <t>66:41:0502021</t>
  </si>
  <si>
    <t>66:45:0200335</t>
  </si>
  <si>
    <t>66:45:0100335</t>
  </si>
  <si>
    <t>66:56:0502002</t>
  </si>
  <si>
    <t>66:45:0100205</t>
  </si>
  <si>
    <t>66:56:0111023</t>
  </si>
  <si>
    <t>66:45:0100085</t>
  </si>
  <si>
    <t>66:45:0100060</t>
  </si>
  <si>
    <t>66:58:0119009</t>
  </si>
  <si>
    <t>66:45:0100038</t>
  </si>
  <si>
    <t>66:56:0103003</t>
  </si>
  <si>
    <t>66:56:0106016</t>
  </si>
  <si>
    <t>66:56:0111006</t>
  </si>
  <si>
    <t>66:45:0200284</t>
  </si>
  <si>
    <t>66:45:0200060</t>
  </si>
  <si>
    <t>66:45:0100211</t>
  </si>
  <si>
    <t>66:45:0200039</t>
  </si>
  <si>
    <t>66:45:0200045</t>
  </si>
  <si>
    <t>66:45:0100295</t>
  </si>
  <si>
    <t>66:45:0100278</t>
  </si>
  <si>
    <t>66:41:0507077</t>
  </si>
  <si>
    <t>66:58:0110004</t>
  </si>
  <si>
    <t>66:41:0514046</t>
  </si>
  <si>
    <t>66:45:0200093</t>
  </si>
  <si>
    <t>66:41:0310017</t>
  </si>
  <si>
    <t>66:56:0106004</t>
  </si>
  <si>
    <t>66:45:0200215</t>
  </si>
  <si>
    <t>66:41:0309025</t>
  </si>
  <si>
    <t>66:45:0200336</t>
  </si>
  <si>
    <t>66:41:0306002</t>
  </si>
  <si>
    <t>66:56:0104002</t>
  </si>
  <si>
    <t>66:45:0100062</t>
  </si>
  <si>
    <t>66:36:3501001</t>
  </si>
  <si>
    <t>66:41:0306026</t>
  </si>
  <si>
    <t>66:56:0106002</t>
  </si>
  <si>
    <t>66:56:0112016</t>
  </si>
  <si>
    <t>66:41:0707009</t>
  </si>
  <si>
    <t>66:45:0100009</t>
  </si>
  <si>
    <t>66:45:0100066</t>
  </si>
  <si>
    <t>66:45:0100121</t>
  </si>
  <si>
    <t>66:56:0106014</t>
  </si>
  <si>
    <t>66:56:0112015</t>
  </si>
  <si>
    <t>66:56:0111018</t>
  </si>
  <si>
    <t>66:45:0100126</t>
  </si>
  <si>
    <t>66:45:0100118</t>
  </si>
  <si>
    <t>66:56:0404006</t>
  </si>
  <si>
    <t>66:45:0200153</t>
  </si>
  <si>
    <t>66:19:0101030</t>
  </si>
  <si>
    <t>66:41:0513117</t>
  </si>
  <si>
    <t>66:41:0703005</t>
  </si>
  <si>
    <t>66:56:0501002</t>
  </si>
  <si>
    <t>66:45:0200345</t>
  </si>
  <si>
    <t>66:45:0200142</t>
  </si>
  <si>
    <t>66:45:0100248</t>
  </si>
  <si>
    <t>66:58:0701003</t>
  </si>
  <si>
    <t>66:45:0100165</t>
  </si>
  <si>
    <t>66:45:0200046</t>
  </si>
  <si>
    <t>66:45:0100298</t>
  </si>
  <si>
    <t>66:45:0100355</t>
  </si>
  <si>
    <t>66:45:0100034</t>
  </si>
  <si>
    <t>66:45:0100115</t>
  </si>
  <si>
    <t>66:41:0306019</t>
  </si>
  <si>
    <t>66:56:0113008</t>
  </si>
  <si>
    <t>66:56:0201009</t>
  </si>
  <si>
    <t>66:56:0111022</t>
  </si>
  <si>
    <t>66:41:0308023</t>
  </si>
  <si>
    <t>66:41:0106085</t>
  </si>
  <si>
    <t>66:45:0100095</t>
  </si>
  <si>
    <t>66:45:0100116</t>
  </si>
  <si>
    <t>66:45:0200092</t>
  </si>
  <si>
    <t>66:45:0200078</t>
  </si>
  <si>
    <t>66:45:0200073</t>
  </si>
  <si>
    <t>66:41:0513116</t>
  </si>
  <si>
    <t>66:45:0100185</t>
  </si>
  <si>
    <t>66:45:0200240</t>
  </si>
  <si>
    <t>66:56:0111004</t>
  </si>
  <si>
    <t>66:56:0501001</t>
  </si>
  <si>
    <t>66:45:0100202</t>
  </si>
  <si>
    <t>66:45:0200289</t>
  </si>
  <si>
    <t>66:41:0507091</t>
  </si>
  <si>
    <t>66:41:0301901</t>
  </si>
  <si>
    <t>66:45:0200124</t>
  </si>
  <si>
    <t>66:45:0100231</t>
  </si>
  <si>
    <t>66:45:0100384</t>
  </si>
  <si>
    <t>66:45:0100035</t>
  </si>
  <si>
    <t>66:58:2802002</t>
  </si>
  <si>
    <t>66:58:2902049</t>
  </si>
  <si>
    <t>66:58:2902014</t>
  </si>
  <si>
    <t>66:58:2902005</t>
  </si>
  <si>
    <t>66:19:0101033</t>
  </si>
  <si>
    <t>66:58:2901006</t>
  </si>
  <si>
    <t>66:45:0200256</t>
  </si>
  <si>
    <t>66:58:0119007</t>
  </si>
  <si>
    <t>66:45:0100284</t>
  </si>
  <si>
    <t>66:19:0101026</t>
  </si>
  <si>
    <t>66:56:0109010</t>
  </si>
  <si>
    <t>66:41:0514023</t>
  </si>
  <si>
    <t>66:56:0404002</t>
  </si>
  <si>
    <t>66:41:0702012</t>
  </si>
  <si>
    <t>66:41:0510028</t>
  </si>
  <si>
    <t>66:58:1101009</t>
  </si>
  <si>
    <t>66:45:0200178</t>
  </si>
  <si>
    <t>66:45:0200203</t>
  </si>
  <si>
    <t>66:58:1301003</t>
  </si>
  <si>
    <t>66:45:0200064</t>
  </si>
  <si>
    <t>66:45:0100123</t>
  </si>
  <si>
    <t>66:41:0307075</t>
  </si>
  <si>
    <t>66:58:0118007</t>
  </si>
  <si>
    <t>66:56:0114001</t>
  </si>
  <si>
    <t>66:45:0100222</t>
  </si>
  <si>
    <t>66:41:0503016</t>
  </si>
  <si>
    <t>66:56:0112010</t>
  </si>
  <si>
    <t>66:45:0200307</t>
  </si>
  <si>
    <t>66:45:0100186</t>
  </si>
  <si>
    <t>66:56:0112017</t>
  </si>
  <si>
    <t>66:45:0200216</t>
  </si>
  <si>
    <t>66:45:0100104</t>
  </si>
  <si>
    <t>66:56:0202004</t>
  </si>
  <si>
    <t>66:58:0108004</t>
  </si>
  <si>
    <t>66:45:0100215</t>
  </si>
  <si>
    <t>66:45:0100163</t>
  </si>
  <si>
    <t>66:45:0100328</t>
  </si>
  <si>
    <t>66:45:0100153</t>
  </si>
  <si>
    <t>66:45:0200012</t>
  </si>
  <si>
    <t>66:56:0502008</t>
  </si>
  <si>
    <t>66:41:0208007</t>
  </si>
  <si>
    <t>66:41:0307017</t>
  </si>
  <si>
    <t>66:41:0202005</t>
  </si>
  <si>
    <t>66:41:0307099</t>
  </si>
  <si>
    <t>66:45:0200129</t>
  </si>
  <si>
    <t>66:45:0100364</t>
  </si>
  <si>
    <t>66:45:0200169</t>
  </si>
  <si>
    <t>66:55:0303037</t>
  </si>
  <si>
    <t>66:41:0505901</t>
  </si>
  <si>
    <t>66:41:0527001</t>
  </si>
  <si>
    <t>66:45:0200197</t>
  </si>
  <si>
    <t>66:45:0100245</t>
  </si>
  <si>
    <t>66:45:0100246</t>
  </si>
  <si>
    <t>66:45:0100340</t>
  </si>
  <si>
    <t>66:45:0200125</t>
  </si>
  <si>
    <t>66:41:0402037</t>
  </si>
  <si>
    <t>66:41:0309100</t>
  </si>
  <si>
    <t>66:41:0109047</t>
  </si>
  <si>
    <t>66:45:0100151</t>
  </si>
  <si>
    <t>66:41:0201003</t>
  </si>
  <si>
    <t>66:45:0100239</t>
  </si>
  <si>
    <t>66:41:0508063</t>
  </si>
  <si>
    <t>66:41:0612022</t>
  </si>
  <si>
    <t>66:45:0200155</t>
  </si>
  <si>
    <t>66:45:0200304</t>
  </si>
  <si>
    <t>66:45:0100461</t>
  </si>
  <si>
    <t>66:41:0614044</t>
  </si>
  <si>
    <t>66:45:0200177</t>
  </si>
  <si>
    <t>66:45:0100233</t>
  </si>
  <si>
    <t>66:41:0519083</t>
  </si>
  <si>
    <t>66:45:0100330</t>
  </si>
  <si>
    <t>66:45:0200090</t>
  </si>
  <si>
    <t>66:41:0209035</t>
  </si>
  <si>
    <t>66:45:0100323</t>
  </si>
  <si>
    <t>66:41:0607025</t>
  </si>
  <si>
    <t>66:41:0513039</t>
  </si>
  <si>
    <t>66:41:0103005</t>
  </si>
  <si>
    <t>66:41:0109037</t>
  </si>
  <si>
    <t>66:45:0200277</t>
  </si>
  <si>
    <t>66:45:0100226</t>
  </si>
  <si>
    <t>66:41:0507011</t>
  </si>
  <si>
    <t>66:19:0101024</t>
  </si>
  <si>
    <t>66:45:0200310</t>
  </si>
  <si>
    <t>66:45:0100272</t>
  </si>
  <si>
    <t>66:45:0100273</t>
  </si>
  <si>
    <t>66:41:0511022</t>
  </si>
  <si>
    <t>66:41:0307019</t>
  </si>
  <si>
    <t>66:41:0519110</t>
  </si>
  <si>
    <t>66:45:0100074</t>
  </si>
  <si>
    <t>66:45:0100001</t>
  </si>
  <si>
    <t>66:41:0207031</t>
  </si>
  <si>
    <t>66:45:0100390</t>
  </si>
  <si>
    <t>66:41:0310030</t>
  </si>
  <si>
    <t>66:41:0708026</t>
  </si>
  <si>
    <t>66:45:0200331</t>
  </si>
  <si>
    <t>66:45:0200201</t>
  </si>
  <si>
    <t>66:45:0200107</t>
  </si>
  <si>
    <t>66:45:0200172</t>
  </si>
  <si>
    <t>66:45:0200176</t>
  </si>
  <si>
    <t>66:45:0200179</t>
  </si>
  <si>
    <t>66:45:0200183</t>
  </si>
  <si>
    <t>66:45:0200207</t>
  </si>
  <si>
    <t>66:45:0200228</t>
  </si>
  <si>
    <t>66:45:0200181</t>
  </si>
  <si>
    <t>66:45:0100322</t>
  </si>
  <si>
    <t>66:58:0116003</t>
  </si>
  <si>
    <t>66:19:0103008</t>
  </si>
  <si>
    <t>66:41:0507030</t>
  </si>
  <si>
    <t>66:41:0507070</t>
  </si>
  <si>
    <t>66:41:0521053</t>
  </si>
  <si>
    <t>66:45:0100271</t>
  </si>
  <si>
    <t>66:41:0612091</t>
  </si>
  <si>
    <t>66:41:0510016</t>
  </si>
  <si>
    <t>66:45:0100067</t>
  </si>
  <si>
    <t>66:45:0100131</t>
  </si>
  <si>
    <t>66:41:0310097</t>
  </si>
  <si>
    <t>66:41:0310034</t>
  </si>
  <si>
    <t>66:45:0200094</t>
  </si>
  <si>
    <t>66:45:0200095</t>
  </si>
  <si>
    <t>66:45:0200296</t>
  </si>
  <si>
    <t>66:45:0200144</t>
  </si>
  <si>
    <t>66:58:1501005</t>
  </si>
  <si>
    <t>66:41:0508013</t>
  </si>
  <si>
    <t>66:41:0303133</t>
  </si>
  <si>
    <t>66:45:0200194</t>
  </si>
  <si>
    <t>66:45:0200305</t>
  </si>
  <si>
    <t>66:45:0200158</t>
  </si>
  <si>
    <t>66:45:0200159</t>
  </si>
  <si>
    <t>66:45:0200360</t>
  </si>
  <si>
    <t>66:45:0200235</t>
  </si>
  <si>
    <t>66:45:0200132</t>
  </si>
  <si>
    <t>66:45:0200137</t>
  </si>
  <si>
    <t>66:58:2902035</t>
  </si>
  <si>
    <t>66:58:2901008</t>
  </si>
  <si>
    <t>66:41:0523003</t>
  </si>
  <si>
    <t>66:45:0100238</t>
  </si>
  <si>
    <t>66:45:0200196</t>
  </si>
  <si>
    <t>66:45:0200199</t>
  </si>
  <si>
    <t>66:45:0100177</t>
  </si>
  <si>
    <t>66:41:0521022</t>
  </si>
  <si>
    <t>66:45:0100357</t>
  </si>
  <si>
    <t>66:41:0303122</t>
  </si>
  <si>
    <t>66:41:0306065</t>
  </si>
  <si>
    <t>66:41:0507026</t>
  </si>
  <si>
    <t>66:45:0100252</t>
  </si>
  <si>
    <t>66:45:0100174</t>
  </si>
  <si>
    <t>66:41:0507085</t>
  </si>
  <si>
    <t>66:41:0508026</t>
  </si>
  <si>
    <t>66:41:0209034</t>
  </si>
  <si>
    <t>66:41:0303901</t>
  </si>
  <si>
    <t>66:45:0200200</t>
  </si>
  <si>
    <t>66:41:0702040</t>
  </si>
  <si>
    <t>66:41:0306091</t>
  </si>
  <si>
    <t>66:41:0311014</t>
  </si>
  <si>
    <t>66:45:0200339</t>
  </si>
  <si>
    <t>66:45:0200074</t>
  </si>
  <si>
    <t>66:45:0200306</t>
  </si>
  <si>
    <t>66:45:0200122</t>
  </si>
  <si>
    <t>66:41:0514016</t>
  </si>
  <si>
    <t>66:45:0100293</t>
  </si>
  <si>
    <t>66:41:0309058</t>
  </si>
  <si>
    <t>66:41:0306093</t>
  </si>
  <si>
    <t>66:41:0308002</t>
  </si>
  <si>
    <t>66:41:0308019</t>
  </si>
  <si>
    <t>66:41:0712003</t>
  </si>
  <si>
    <t>66:41:0612013</t>
  </si>
  <si>
    <t>66:41:0502045</t>
  </si>
  <si>
    <t>66:45:0200195</t>
  </si>
  <si>
    <t>66:41:0310051</t>
  </si>
  <si>
    <t>66:45:0200357</t>
  </si>
  <si>
    <t>66:45:0100026</t>
  </si>
  <si>
    <t>66:56:0202002</t>
  </si>
  <si>
    <t>66:45:0100018</t>
  </si>
  <si>
    <t>66:45:0100283</t>
  </si>
  <si>
    <t>66:45:0200355</t>
  </si>
  <si>
    <t>66:45:0100321</t>
  </si>
  <si>
    <t>66:45:0200072</t>
  </si>
  <si>
    <t>66:45:0100204</t>
  </si>
  <si>
    <t>66:45:0100166</t>
  </si>
  <si>
    <t>66:45:0200054</t>
  </si>
  <si>
    <t>66:45:0100157</t>
  </si>
  <si>
    <t>66:41:0309068</t>
  </si>
  <si>
    <t>66:41:0309065</t>
  </si>
  <si>
    <t>66:41:0313023</t>
  </si>
  <si>
    <t>66:45:0100326</t>
  </si>
  <si>
    <t>66:45:0200036</t>
  </si>
  <si>
    <t>66:45:0200037</t>
  </si>
  <si>
    <t>66:45:0200038</t>
  </si>
  <si>
    <t>66:45:0100292</t>
  </si>
  <si>
    <t>66:45:0100373</t>
  </si>
  <si>
    <t>66:45:0200330</t>
  </si>
  <si>
    <t>66:45:0200318</t>
  </si>
  <si>
    <t>66:41:0709021</t>
  </si>
  <si>
    <t>66:58:0701004</t>
  </si>
  <si>
    <t>66:41:0610026</t>
  </si>
  <si>
    <t>66:41:0608003</t>
  </si>
  <si>
    <t>66:45:0200253</t>
  </si>
  <si>
    <t>66:41:0707017</t>
  </si>
  <si>
    <t>66:41:0612039</t>
  </si>
  <si>
    <t>66:45:0100395</t>
  </si>
  <si>
    <t>66:45:0100189</t>
  </si>
  <si>
    <t>66:45:0100003</t>
  </si>
  <si>
    <t>66:41:0310084</t>
  </si>
  <si>
    <t>66:41:0606047</t>
  </si>
  <si>
    <t>66:41:0603021</t>
  </si>
  <si>
    <t>66:41:0513120</t>
  </si>
  <si>
    <t>66:45:0100339</t>
  </si>
  <si>
    <t>66:58:0201001</t>
  </si>
  <si>
    <t>66:45:0200361</t>
  </si>
  <si>
    <t>66:58:0107002</t>
  </si>
  <si>
    <t>66:45:0100073</t>
  </si>
  <si>
    <t>66:45:0100103</t>
  </si>
  <si>
    <t>66:45:0100124</t>
  </si>
  <si>
    <t>66:45:0100127</t>
  </si>
  <si>
    <t>66:41:0309075</t>
  </si>
  <si>
    <t>66:41:0207024</t>
  </si>
  <si>
    <t>66:45:0100250</t>
  </si>
  <si>
    <t>66:45:0100198</t>
  </si>
  <si>
    <t>66:45:0200118</t>
  </si>
  <si>
    <t>66:45:0200121</t>
  </si>
  <si>
    <t>66:45:0200043</t>
  </si>
  <si>
    <t>66:45:0100145</t>
  </si>
  <si>
    <t>66:45:0100168</t>
  </si>
  <si>
    <t>66:41:0315008</t>
  </si>
  <si>
    <t>66:45:0200347</t>
  </si>
  <si>
    <t>66:45:0100169</t>
  </si>
  <si>
    <t>66:45:0100253</t>
  </si>
  <si>
    <t>66:41:0307025</t>
  </si>
  <si>
    <t>66:41:0209033</t>
  </si>
  <si>
    <t>66:45:0200031</t>
  </si>
  <si>
    <t>66:41:0601037</t>
  </si>
  <si>
    <t>66:45:0200106</t>
  </si>
  <si>
    <t>66:45:0200136</t>
  </si>
  <si>
    <t>66:41:0307032</t>
  </si>
  <si>
    <t>66:41:0109018</t>
  </si>
  <si>
    <t>66:19:0103003</t>
  </si>
  <si>
    <t>66:45:0100348</t>
  </si>
  <si>
    <t>66:41:0210049</t>
  </si>
  <si>
    <t>66:45:0200133</t>
  </si>
  <si>
    <t>66:41:0309093</t>
  </si>
  <si>
    <t>66:45:0200050</t>
  </si>
  <si>
    <t>66:45:0100324</t>
  </si>
  <si>
    <t>66:45:0100203</t>
  </si>
  <si>
    <t>66:41:0511029</t>
  </si>
  <si>
    <t>66:45:0100227</t>
  </si>
  <si>
    <t>66:45:0100229</t>
  </si>
  <si>
    <t>66:45:0100230</t>
  </si>
  <si>
    <t>66:45:0100286</t>
  </si>
  <si>
    <t>66:45:0100114</t>
  </si>
  <si>
    <t>66:41:0106178</t>
  </si>
  <si>
    <t>66:41:0608014</t>
  </si>
  <si>
    <t>66:45:0200091</t>
  </si>
  <si>
    <t>66:45:0200209</t>
  </si>
  <si>
    <t>66:45:0100184</t>
  </si>
  <si>
    <t>66:41:0513124</t>
  </si>
  <si>
    <t>66:45:0100247</t>
  </si>
  <si>
    <t>66:41:0106049</t>
  </si>
  <si>
    <t>66:45:0200076</t>
  </si>
  <si>
    <t>66:41:0309064</t>
  </si>
  <si>
    <t>66:45:0100327</t>
  </si>
  <si>
    <t>66:41:0310078</t>
  </si>
  <si>
    <t>66:41:0308012</t>
  </si>
  <si>
    <t>66:41:0507090</t>
  </si>
  <si>
    <t>66:45:0100154</t>
  </si>
  <si>
    <t>66:45:0100108</t>
  </si>
  <si>
    <t>66:45:0200049</t>
  </si>
  <si>
    <t>66:45:0100313</t>
  </si>
  <si>
    <t>66:41:0210046</t>
  </si>
  <si>
    <t>66:41:0106058</t>
  </si>
  <si>
    <t>66:41:0106155</t>
  </si>
  <si>
    <t>66:45:0200217</t>
  </si>
  <si>
    <t>66:41:0513054</t>
  </si>
  <si>
    <t>66:41:0306071</t>
  </si>
  <si>
    <t>66:41:0106153</t>
  </si>
  <si>
    <t>66:45:0100368</t>
  </si>
  <si>
    <t>66:45:0100275</t>
  </si>
  <si>
    <t>66:41:0308001</t>
  </si>
  <si>
    <t>66:41:0512001</t>
  </si>
  <si>
    <t>66:41:0307011</t>
  </si>
  <si>
    <t>66:41:0309027</t>
  </si>
  <si>
    <t>66:45:0200151</t>
  </si>
  <si>
    <t>66:41:0508003</t>
  </si>
  <si>
    <t>66:45:0100164</t>
  </si>
  <si>
    <t>66:45:0100167</t>
  </si>
  <si>
    <t>66:45:0200342</t>
  </si>
  <si>
    <t>66:45:0200075</t>
  </si>
  <si>
    <t>66:45:0200210</t>
  </si>
  <si>
    <t>66:41:0612044</t>
  </si>
  <si>
    <t>66:45:0100075</t>
  </si>
  <si>
    <t>66:45:0100120</t>
  </si>
  <si>
    <t>66:45:0100170</t>
  </si>
  <si>
    <t>66:41:0519089</t>
  </si>
  <si>
    <t>66:45:0200315</t>
  </si>
  <si>
    <t>66:41:0306069</t>
  </si>
  <si>
    <t>66:58:2902061</t>
  </si>
  <si>
    <t>66:58:2802003</t>
  </si>
  <si>
    <t>66:58:2902028</t>
  </si>
  <si>
    <t>66:41:0303902</t>
  </si>
  <si>
    <t>66:45:0100377</t>
  </si>
  <si>
    <t>66:45:0100002</t>
  </si>
  <si>
    <t>66:41:0519034</t>
  </si>
  <si>
    <t>66:45:0200166</t>
  </si>
  <si>
    <t>66:41:0612047</t>
  </si>
  <si>
    <t>66:45:0200051</t>
  </si>
  <si>
    <t>66:41:0102037</t>
  </si>
  <si>
    <t>66:41:0104011</t>
  </si>
  <si>
    <t>66:41:0112003</t>
  </si>
  <si>
    <t>66:41:0110023</t>
  </si>
  <si>
    <t>66:41:0502092</t>
  </si>
  <si>
    <t>66:41:0521032</t>
  </si>
  <si>
    <t>66:41:0310038</t>
  </si>
  <si>
    <t>66:45:0200267</t>
  </si>
  <si>
    <t>66:41:0403012</t>
  </si>
  <si>
    <t>66:41:0503015</t>
  </si>
  <si>
    <t>66:45:0200287</t>
  </si>
  <si>
    <t>66:45:0200086</t>
  </si>
  <si>
    <t>66:41:0310061</t>
  </si>
  <si>
    <t>66:45:0200146</t>
  </si>
  <si>
    <t>66:41:0614017</t>
  </si>
  <si>
    <t>66:41:0612014</t>
  </si>
  <si>
    <t>66:45:0100172</t>
  </si>
  <si>
    <t>66:45:0200319</t>
  </si>
  <si>
    <t>66:41:0521007</t>
  </si>
  <si>
    <t>66:41:0511027</t>
  </si>
  <si>
    <t>66:45:0100117</t>
  </si>
  <si>
    <t>66:41:0101003</t>
  </si>
  <si>
    <t>66:45:0200258</t>
  </si>
  <si>
    <t>66:41:0712001</t>
  </si>
  <si>
    <t>66:45:0200071</t>
  </si>
  <si>
    <t>66:41:0604003</t>
  </si>
  <si>
    <t>66:41:0607031</t>
  </si>
  <si>
    <t>66:41:0312004</t>
  </si>
  <si>
    <t>66:41:0614035</t>
  </si>
  <si>
    <t>66:45:0100269</t>
  </si>
  <si>
    <t>66:45:0200174</t>
  </si>
  <si>
    <t>66:45:0200213</t>
  </si>
  <si>
    <t>66:41:0513098</t>
  </si>
  <si>
    <t>66:41:0102038</t>
  </si>
  <si>
    <t>66:41:0507076</t>
  </si>
  <si>
    <t>66:41:0509064</t>
  </si>
  <si>
    <t>66:41:0102016</t>
  </si>
  <si>
    <t>66:41:0511007</t>
  </si>
  <si>
    <t>66:45:0200290</t>
  </si>
  <si>
    <t>66:45:0200070</t>
  </si>
  <si>
    <t>66:41:0502014</t>
  </si>
  <si>
    <t>66:45:0200149</t>
  </si>
  <si>
    <t>66:41:0105025</t>
  </si>
  <si>
    <t>66:45:0100312</t>
  </si>
  <si>
    <t>66:45:0200062</t>
  </si>
  <si>
    <t>66:41:0503010</t>
  </si>
  <si>
    <t>66:41:0521017</t>
  </si>
  <si>
    <t>66:41:0521013</t>
  </si>
  <si>
    <t>66:41:0203050</t>
  </si>
  <si>
    <t>66:45:0100259</t>
  </si>
  <si>
    <t>66:41:0106004</t>
  </si>
  <si>
    <t>66:45:0200303</t>
  </si>
  <si>
    <t>66:45:0200110</t>
  </si>
  <si>
    <t>66:41:0703011</t>
  </si>
  <si>
    <t>66:45:0200053</t>
  </si>
  <si>
    <t>66:41:0313108</t>
  </si>
  <si>
    <t>66:41:0310055</t>
  </si>
  <si>
    <t>66:41:0210047</t>
  </si>
  <si>
    <t>66:41:0210044</t>
  </si>
  <si>
    <t>66:41:0612038</t>
  </si>
  <si>
    <t>66:45:0200150</t>
  </si>
  <si>
    <t>66:41:0309051</t>
  </si>
  <si>
    <t>66:45:0200311</t>
  </si>
  <si>
    <t>66:41:0507010</t>
  </si>
  <si>
    <t>66:45:0100394</t>
  </si>
  <si>
    <t>66:41:0513121</t>
  </si>
  <si>
    <t>66:45:0200069</t>
  </si>
  <si>
    <t>66:45:0100288</t>
  </si>
  <si>
    <t>66:41:0504076</t>
  </si>
  <si>
    <t>66:45:0100297</t>
  </si>
  <si>
    <t>66:41:0305006</t>
  </si>
  <si>
    <t>66:45:0200308</t>
  </si>
  <si>
    <t>66:41:0303124</t>
  </si>
  <si>
    <t>66:45:0100214</t>
  </si>
  <si>
    <t>66:41:0305012</t>
  </si>
  <si>
    <t>66:41:0309028</t>
  </si>
  <si>
    <t>66:41:0307043</t>
  </si>
  <si>
    <t>66:41:0502037</t>
  </si>
  <si>
    <t>66:41:0610032</t>
  </si>
  <si>
    <t>66:41:0101014</t>
  </si>
  <si>
    <t>66:41:0311011</t>
  </si>
  <si>
    <t>66:45:0100208</t>
  </si>
  <si>
    <t>66:41:0209114</t>
  </si>
  <si>
    <t>66:41:0511009</t>
  </si>
  <si>
    <t>66:45:0200033</t>
  </si>
  <si>
    <t>66:41:0614012</t>
  </si>
  <si>
    <t>66:36:3201002</t>
  </si>
  <si>
    <t>66:41:0519048</t>
  </si>
  <si>
    <t>66:41:0513105</t>
  </si>
  <si>
    <t>66:41:0513122</t>
  </si>
  <si>
    <t>66:41:0511006</t>
  </si>
  <si>
    <t>66:41:0507042</t>
  </si>
  <si>
    <t>66:41:0507038</t>
  </si>
  <si>
    <t>66:45:0100014</t>
  </si>
  <si>
    <t>66:41:0210105</t>
  </si>
  <si>
    <t>66:41:0607032</t>
  </si>
  <si>
    <t>66:45:0200164</t>
  </si>
  <si>
    <t>66:41:0503008</t>
  </si>
  <si>
    <t>66:45:0100302</t>
  </si>
  <si>
    <t>66:41:0504079</t>
  </si>
  <si>
    <t>66:41:0521033</t>
  </si>
  <si>
    <t>66:41:0109019</t>
  </si>
  <si>
    <t>66:41:0310056</t>
  </si>
  <si>
    <t>66:19:0101029</t>
  </si>
  <si>
    <t>66:45:0200356</t>
  </si>
  <si>
    <t>66:41:0526015</t>
  </si>
  <si>
    <t>66:41:0102018</t>
  </si>
  <si>
    <t>66:41:0519120</t>
  </si>
  <si>
    <t>66:45:0200022</t>
  </si>
  <si>
    <t>66:41:0521025</t>
  </si>
  <si>
    <t>66:45:0200104</t>
  </si>
  <si>
    <t>66:41:0305020</t>
  </si>
  <si>
    <t>66:41:0712046</t>
  </si>
  <si>
    <t>66:41:0310086</t>
  </si>
  <si>
    <t>66:41:0507016</t>
  </si>
  <si>
    <t>66:41:0306049</t>
  </si>
  <si>
    <t>66:41:0105026</t>
  </si>
  <si>
    <t>66:41:0203023</t>
  </si>
  <si>
    <t>66:45:0200165</t>
  </si>
  <si>
    <t>66:45:0100262</t>
  </si>
  <si>
    <t>66:41:0521014</t>
  </si>
  <si>
    <t>66:45:0100380</t>
  </si>
  <si>
    <t>66:45:0200148</t>
  </si>
  <si>
    <t>66:41:0310081</t>
  </si>
  <si>
    <t>66:41:0310018</t>
  </si>
  <si>
    <t>66:41:0104002</t>
  </si>
  <si>
    <t>66:45:0100256</t>
  </si>
  <si>
    <t>66:58:2902056</t>
  </si>
  <si>
    <t>66:41:0606015</t>
  </si>
  <si>
    <t>66:45:0200302</t>
  </si>
  <si>
    <t>66:41:0514042</t>
  </si>
  <si>
    <t>66:45:0200161</t>
  </si>
  <si>
    <t>66:41:0507024</t>
  </si>
  <si>
    <t>66:45:0200363</t>
  </si>
  <si>
    <t>66:45:0200160</t>
  </si>
  <si>
    <t>66:41:0607028</t>
  </si>
  <si>
    <t>66:41:0521024</t>
  </si>
  <si>
    <t>66:41:0307073</t>
  </si>
  <si>
    <t>66:41:0313027</t>
  </si>
  <si>
    <t>66:41:0306059</t>
  </si>
  <si>
    <t>66:41:0518001</t>
  </si>
  <si>
    <t>66:45:0200362</t>
  </si>
  <si>
    <t>66:45:0100081</t>
  </si>
  <si>
    <t>66:41:0611002</t>
  </si>
  <si>
    <t>66:41:0210901</t>
  </si>
  <si>
    <t>66:41:0305019</t>
  </si>
  <si>
    <t>66:41:0702002</t>
  </si>
  <si>
    <t>66:41:0307028</t>
  </si>
  <si>
    <t>66:41:0313024</t>
  </si>
  <si>
    <t>66:45:0100347</t>
  </si>
  <si>
    <t>66:41:0203079</t>
  </si>
  <si>
    <t>66:41:0307008</t>
  </si>
  <si>
    <t>66:45:0200113</t>
  </si>
  <si>
    <t>66:41:0101008</t>
  </si>
  <si>
    <t>66:41:0513033</t>
  </si>
  <si>
    <t>66:41:0313090</t>
  </si>
  <si>
    <t>66:45:0200083</t>
  </si>
  <si>
    <t>66:41:0614021</t>
  </si>
  <si>
    <t>66:41:0708005</t>
  </si>
  <si>
    <t>66:41:0712017</t>
  </si>
  <si>
    <t>66:45:0200134</t>
  </si>
  <si>
    <t>66:45:0200135</t>
  </si>
  <si>
    <t>66:58:2803034</t>
  </si>
  <si>
    <t>66:41:0613001</t>
  </si>
  <si>
    <t>66:41:0109024</t>
  </si>
  <si>
    <t>66:41:0514017</t>
  </si>
  <si>
    <t>66:41:0201008</t>
  </si>
  <si>
    <t>66:41:0518034</t>
  </si>
  <si>
    <t>66:41:0507017</t>
  </si>
  <si>
    <t>66:41:0210058</t>
  </si>
  <si>
    <t>66:41:0309066</t>
  </si>
  <si>
    <t>66:41:0614005</t>
  </si>
  <si>
    <t>66:41:0510009</t>
  </si>
  <si>
    <t>66:41:0310095</t>
  </si>
  <si>
    <t>66:41:0103011</t>
  </si>
  <si>
    <t>66:45:0200268</t>
  </si>
  <si>
    <t>66:45:0100093</t>
  </si>
  <si>
    <t>66:41:0307020</t>
  </si>
  <si>
    <t>66:41:0106018</t>
  </si>
  <si>
    <t>66:41:0402031</t>
  </si>
  <si>
    <t>66:41:0109042</t>
  </si>
  <si>
    <t>66:58:2902067</t>
  </si>
  <si>
    <t>66:19:1908010</t>
  </si>
  <si>
    <t>66:41:0519067</t>
  </si>
  <si>
    <t>66:41:0614063</t>
  </si>
  <si>
    <t>66:71:0101001</t>
  </si>
  <si>
    <t>66:58:2902017</t>
  </si>
  <si>
    <t>66:45:0200276</t>
  </si>
  <si>
    <t>66:45:0200248</t>
  </si>
  <si>
    <t>66:41:0513066</t>
  </si>
  <si>
    <t>66:41:0307026</t>
  </si>
  <si>
    <t>66:41:0209037</t>
  </si>
  <si>
    <t>66:41:0110129</t>
  </si>
  <si>
    <t>66:45:0100356</t>
  </si>
  <si>
    <t>66:41:0614020</t>
  </si>
  <si>
    <t>66:41:0511005</t>
  </si>
  <si>
    <t>66:41:0210061</t>
  </si>
  <si>
    <t>66:41:0306090</t>
  </si>
  <si>
    <t>66:45:0200119</t>
  </si>
  <si>
    <t>66:41:0526049</t>
  </si>
  <si>
    <t>66:41:0610019</t>
  </si>
  <si>
    <t>66:41:0612032</t>
  </si>
  <si>
    <t>66:41:0521006</t>
  </si>
  <si>
    <t>66:41:0507089</t>
  </si>
  <si>
    <t>66:41:0306121</t>
  </si>
  <si>
    <t>66:41:0310059</t>
  </si>
  <si>
    <t>66:45:0200299</t>
  </si>
  <si>
    <t>66:41:0521029</t>
  </si>
  <si>
    <t>66:41:0612026</t>
  </si>
  <si>
    <t>66:41:0612037</t>
  </si>
  <si>
    <t>66:41:0529007</t>
  </si>
  <si>
    <t>66:41:0519026</t>
  </si>
  <si>
    <t>66:45:0200316</t>
  </si>
  <si>
    <t>66:41:0210003</t>
  </si>
  <si>
    <t>66:41:0203029</t>
  </si>
  <si>
    <t>66:41:0307035</t>
  </si>
  <si>
    <t>66:41:0606082</t>
  </si>
  <si>
    <t>66:41:0307030</t>
  </si>
  <si>
    <t>66:41:0519076</t>
  </si>
  <si>
    <t>66:41:0526001</t>
  </si>
  <si>
    <t>66:41:0209095</t>
  </si>
  <si>
    <t>66:41:0519064</t>
  </si>
  <si>
    <t>66:41:0610030</t>
  </si>
  <si>
    <t>66:41:0612018</t>
  </si>
  <si>
    <t>66:41:0521009</t>
  </si>
  <si>
    <t>66:41:0501060</t>
  </si>
  <si>
    <t>66:56:0116001</t>
  </si>
  <si>
    <t>66:41:0102901</t>
  </si>
  <si>
    <t>66:41:0307072</t>
  </si>
  <si>
    <t>66:41:0306126</t>
  </si>
  <si>
    <t>66:45:0100366</t>
  </si>
  <si>
    <t>66:41:0313029</t>
  </si>
  <si>
    <t>66:41:0207901</t>
  </si>
  <si>
    <t>66:41:0609047</t>
  </si>
  <si>
    <t>66:41:0109004</t>
  </si>
  <si>
    <t>66:41:0606005</t>
  </si>
  <si>
    <t>66:41:0503022</t>
  </si>
  <si>
    <t>66:41:0110021</t>
  </si>
  <si>
    <t>66:41:0308006</t>
  </si>
  <si>
    <t>66:41:0606079</t>
  </si>
  <si>
    <t>66:41:0614065</t>
  </si>
  <si>
    <t>66:41:0403003</t>
  </si>
  <si>
    <t>66:41:0305017</t>
  </si>
  <si>
    <t>66:45:0200343</t>
  </si>
  <si>
    <t>66:41:0606078</t>
  </si>
  <si>
    <t>66:45:0100171</t>
  </si>
  <si>
    <t>66:41:0310013</t>
  </si>
  <si>
    <t>66:41:0102030</t>
  </si>
  <si>
    <t>66:41:0518002</t>
  </si>
  <si>
    <t>66:41:0310082</t>
  </si>
  <si>
    <t>66:41:0109026</t>
  </si>
  <si>
    <t>66:41:0303049</t>
  </si>
  <si>
    <t>66:41:0610021</t>
  </si>
  <si>
    <t>66:41:0515024</t>
  </si>
  <si>
    <t>66:41:0502067</t>
  </si>
  <si>
    <t>66:41:0203078</t>
  </si>
  <si>
    <t>66:41:0313001</t>
  </si>
  <si>
    <t>66:41:0606077</t>
  </si>
  <si>
    <t>66:41:0309013</t>
  </si>
  <si>
    <t>66:45:0200301</t>
  </si>
  <si>
    <t>66:41:0502058</t>
  </si>
  <si>
    <t>66:41:0515901</t>
  </si>
  <si>
    <t>66:41:0519074</t>
  </si>
  <si>
    <t>66:41:0614057</t>
  </si>
  <si>
    <t>66:41:0104005</t>
  </si>
  <si>
    <t>66:41:0607038</t>
  </si>
  <si>
    <t>66:56:0202003</t>
  </si>
  <si>
    <t>66:41:0612036</t>
  </si>
  <si>
    <t>66:41:0404006</t>
  </si>
  <si>
    <t>66:41:0313021</t>
  </si>
  <si>
    <t>66:45:0200077</t>
  </si>
  <si>
    <t>66:41:0521028</t>
  </si>
  <si>
    <t>66:41:0711068</t>
  </si>
  <si>
    <t>66:41:0613002</t>
  </si>
  <si>
    <t>66:41:0519019</t>
  </si>
  <si>
    <t>66:41:0507043</t>
  </si>
  <si>
    <t>66:41:0612902</t>
  </si>
  <si>
    <t>66:41:0507115</t>
  </si>
  <si>
    <t>66:41:0710033</t>
  </si>
  <si>
    <t>66:45:0200403</t>
  </si>
  <si>
    <t>66:41:0203061</t>
  </si>
  <si>
    <t>66:45:0200130</t>
  </si>
  <si>
    <t>66:41:0509067</t>
  </si>
  <si>
    <t>66:41:0513035</t>
  </si>
  <si>
    <t>66:41:0518020</t>
  </si>
  <si>
    <t>66:41:0514006</t>
  </si>
  <si>
    <t>66:45:0100022</t>
  </si>
  <si>
    <t>66:58:2803011</t>
  </si>
  <si>
    <t>66:58:2803009</t>
  </si>
  <si>
    <t>66:41:0307041</t>
  </si>
  <si>
    <t>66:45:0100285</t>
  </si>
  <si>
    <t>66:41:0306048</t>
  </si>
  <si>
    <t>66:45:0200254</t>
  </si>
  <si>
    <t>66:45:0100194</t>
  </si>
  <si>
    <t>66:41:0310010</t>
  </si>
  <si>
    <t>66:41:0306024</t>
  </si>
  <si>
    <t>66:45:0200249</t>
  </si>
  <si>
    <t>66:41:0508082</t>
  </si>
  <si>
    <t>66:41:0521048</t>
  </si>
  <si>
    <t>66:41:0108007</t>
  </si>
  <si>
    <t>66:41:0307023</t>
  </si>
  <si>
    <t>66:41:0307018</t>
  </si>
  <si>
    <t>66:58:2803033</t>
  </si>
  <si>
    <t>66:41:0310016</t>
  </si>
  <si>
    <t>66:41:0207013</t>
  </si>
  <si>
    <t>66:41:0302040</t>
  </si>
  <si>
    <t>66:41:0508085</t>
  </si>
  <si>
    <t>66:41:0210042</t>
  </si>
  <si>
    <t>66:41:0519005</t>
  </si>
  <si>
    <t>66:41:0305013</t>
  </si>
  <si>
    <t>66:41:0507009</t>
  </si>
  <si>
    <t>66:41:0521008</t>
  </si>
  <si>
    <t>66:41:0307021</t>
  </si>
  <si>
    <t>66:41:0315006</t>
  </si>
  <si>
    <t>66:19:1905002</t>
  </si>
  <si>
    <t>66:41:0711019</t>
  </si>
  <si>
    <t>66:41:0612035</t>
  </si>
  <si>
    <t>66:45:0100379</t>
  </si>
  <si>
    <t>66:41:0529004</t>
  </si>
  <si>
    <t>66:45:0100363</t>
  </si>
  <si>
    <t>66:41:0513005</t>
  </si>
  <si>
    <t>66:41:0315014</t>
  </si>
  <si>
    <t>66:41:0510049</t>
  </si>
  <si>
    <t>66:41:0108026</t>
  </si>
  <si>
    <t>66:41:0519104</t>
  </si>
  <si>
    <t>66:41:0306027</t>
  </si>
  <si>
    <t>66:41:0306092</t>
  </si>
  <si>
    <t>66:41:0310041</t>
  </si>
  <si>
    <t>66:45:0100391</t>
  </si>
  <si>
    <t>66:41:0103006</t>
  </si>
  <si>
    <t>66:41:0610006</t>
  </si>
  <si>
    <t>66:41:0610025</t>
  </si>
  <si>
    <t>66:41:0610041</t>
  </si>
  <si>
    <t>66:41:0514009</t>
  </si>
  <si>
    <t>66:25:1325013</t>
  </si>
  <si>
    <t>66:41:0315001</t>
  </si>
  <si>
    <t>66:41:0519059</t>
  </si>
  <si>
    <t>66:41:0306033</t>
  </si>
  <si>
    <t>66:12:1610001</t>
  </si>
  <si>
    <t>66:41:0210038</t>
  </si>
  <si>
    <t>66:41:0106134</t>
  </si>
  <si>
    <t>66:41:0505031</t>
  </si>
  <si>
    <t>66:58:1501003</t>
  </si>
  <si>
    <t>66:41:0529009</t>
  </si>
  <si>
    <t>66:41:0306122</t>
  </si>
  <si>
    <t>66:41:0526013</t>
  </si>
  <si>
    <t>66:41:0608021</t>
  </si>
  <si>
    <t>66:41:0310112</t>
  </si>
  <si>
    <t>66:41:0515042</t>
  </si>
  <si>
    <t>66:41:0310026</t>
  </si>
  <si>
    <t>66:41:0310058</t>
  </si>
  <si>
    <t>66:41:0109011</t>
  </si>
  <si>
    <t>66:41:0110020</t>
  </si>
  <si>
    <t>66:41:0106079</t>
  </si>
  <si>
    <t>66:58:2802004</t>
  </si>
  <si>
    <t>66:58:2901005</t>
  </si>
  <si>
    <t>66:58:2803030</t>
  </si>
  <si>
    <t>66:41:0510031</t>
  </si>
  <si>
    <t>66:41:0108006</t>
  </si>
  <si>
    <t>66:41:0507088</t>
  </si>
  <si>
    <t>66:41:0209073</t>
  </si>
  <si>
    <t>66:41:0401055</t>
  </si>
  <si>
    <t>66:19:1902004</t>
  </si>
  <si>
    <t>66:41:0701901</t>
  </si>
  <si>
    <t>66:45:0100195</t>
  </si>
  <si>
    <t>66:41:0201011</t>
  </si>
  <si>
    <t>66:41:0403032</t>
  </si>
  <si>
    <t>66:41:0401901</t>
  </si>
  <si>
    <t>66:12:6901001</t>
  </si>
  <si>
    <t>66:58:2803024</t>
  </si>
  <si>
    <t>66:41:0518030</t>
  </si>
  <si>
    <t>66:41:0609046</t>
  </si>
  <si>
    <t>66:41:0520901</t>
  </si>
  <si>
    <t>66:19:1907004</t>
  </si>
  <si>
    <t>66:19:0103005</t>
  </si>
  <si>
    <t>66:41:0102028</t>
  </si>
  <si>
    <t>66:41:0512006</t>
  </si>
  <si>
    <t>66:41:0514045</t>
  </si>
  <si>
    <t>66:41:0702016</t>
  </si>
  <si>
    <t>66:41:0209039</t>
  </si>
  <si>
    <t>66:41:0310037</t>
  </si>
  <si>
    <t>66:41:0511024</t>
  </si>
  <si>
    <t>66:58:2902018</t>
  </si>
  <si>
    <t>66:41:0106065</t>
  </si>
  <si>
    <t>66:58:2803010</t>
  </si>
  <si>
    <t>66:58:2803023</t>
  </si>
  <si>
    <t>66:41:0503021</t>
  </si>
  <si>
    <t>66:58:2803014</t>
  </si>
  <si>
    <t>66:12:5213006</t>
  </si>
  <si>
    <t>66:58:2803029</t>
  </si>
  <si>
    <t>66:19:0104001</t>
  </si>
  <si>
    <t>66:41:0519112</t>
  </si>
  <si>
    <t>66:12:1617001</t>
  </si>
  <si>
    <t>66:41:0506009</t>
  </si>
  <si>
    <t>66:41:0309099</t>
  </si>
  <si>
    <t>66:41:0311010</t>
  </si>
  <si>
    <t>66:58:2803016</t>
  </si>
  <si>
    <t>66:41:0607027</t>
  </si>
  <si>
    <t>66:41:0711010</t>
  </si>
  <si>
    <t>66:41:0207026</t>
  </si>
  <si>
    <t>66:58:2803027</t>
  </si>
  <si>
    <t>66:41:0102024</t>
  </si>
  <si>
    <t>66:41:0521020</t>
  </si>
  <si>
    <t>66:41:0209038</t>
  </si>
  <si>
    <t>66:41:0307068</t>
  </si>
  <si>
    <t>66:41:0310074</t>
  </si>
  <si>
    <t>66:41:0310001</t>
  </si>
  <si>
    <t>66:41:0310047</t>
  </si>
  <si>
    <t>66:41:0605009</t>
  </si>
  <si>
    <t>66:41:0501004</t>
  </si>
  <si>
    <t>66:41:0201006</t>
  </si>
  <si>
    <t>66:25:0201015</t>
  </si>
  <si>
    <t>66:41:0612023</t>
  </si>
  <si>
    <t>66:41:0106074</t>
  </si>
  <si>
    <t>66:41:0307045</t>
  </si>
  <si>
    <t>66:41:0516015</t>
  </si>
  <si>
    <t>66:45:0200138</t>
  </si>
  <si>
    <t>66:41:0309074</t>
  </si>
  <si>
    <t>66:41:0402901</t>
  </si>
  <si>
    <t>66:41:0203053</t>
  </si>
  <si>
    <t>66:41:0709015</t>
  </si>
  <si>
    <t>66:41:0607006</t>
  </si>
  <si>
    <t>66:41:0102001</t>
  </si>
  <si>
    <t>66:41:0207902</t>
  </si>
  <si>
    <t>66:41:0106017</t>
  </si>
  <si>
    <t>66:41:0507086</t>
  </si>
  <si>
    <t>66:41:0309092</t>
  </si>
  <si>
    <t>66:41:0303110</t>
  </si>
  <si>
    <t>66:41:0514020</t>
  </si>
  <si>
    <t>66:41:0521012</t>
  </si>
  <si>
    <t>66:41:0303157</t>
  </si>
  <si>
    <t>66:41:0309091</t>
  </si>
  <si>
    <t>66:41:0516005</t>
  </si>
  <si>
    <t>66:45:0200143</t>
  </si>
  <si>
    <t>66:41:0303014</t>
  </si>
  <si>
    <t>66:41:0506016</t>
  </si>
  <si>
    <t>66:41:0507068</t>
  </si>
  <si>
    <t>66:45:0200334</t>
  </si>
  <si>
    <t>66:41:0310087</t>
  </si>
  <si>
    <t>66:41:0306074</t>
  </si>
  <si>
    <t>66:41:0106061</t>
  </si>
  <si>
    <t>66:41:0308003</t>
  </si>
  <si>
    <t>66:41:0527002</t>
  </si>
  <si>
    <t>66:41:0509062</t>
  </si>
  <si>
    <t>66:41:0521030</t>
  </si>
  <si>
    <t>66:41:0606037</t>
  </si>
  <si>
    <t>66:41:0513036</t>
  </si>
  <si>
    <t>66:41:0522001</t>
  </si>
  <si>
    <t>66:45:0100388</t>
  </si>
  <si>
    <t>66:41:0614036</t>
  </si>
  <si>
    <t>66:41:0515044</t>
  </si>
  <si>
    <t>66:41:0614064</t>
  </si>
  <si>
    <t>66:41:0504088</t>
  </si>
  <si>
    <t>66:41:0303131</t>
  </si>
  <si>
    <t>66:41:0303125</t>
  </si>
  <si>
    <t>66:19:1601001</t>
  </si>
  <si>
    <t>66:19:4101001</t>
  </si>
  <si>
    <t>66:41:0505034</t>
  </si>
  <si>
    <t>66:41:0710901</t>
  </si>
  <si>
    <t>66:41:0206901</t>
  </si>
  <si>
    <t>66:41:0306005</t>
  </si>
  <si>
    <t>66:41:0108901</t>
  </si>
  <si>
    <t>66:41:0502902</t>
  </si>
  <si>
    <t>66:41:0502901</t>
  </si>
  <si>
    <t>66:41:0705901</t>
  </si>
  <si>
    <t>66:41:0504901</t>
  </si>
  <si>
    <t>66:41:0002002</t>
  </si>
  <si>
    <t>66:41:0313025</t>
  </si>
  <si>
    <t>66:41:0519057</t>
  </si>
  <si>
    <t>66:41:0509901</t>
  </si>
  <si>
    <t>66:41:0302027</t>
  </si>
  <si>
    <t>66:41:0203008</t>
  </si>
  <si>
    <t>66:41:0110901</t>
  </si>
  <si>
    <t>66:41:0302019</t>
  </si>
  <si>
    <t>66:41:0203011</t>
  </si>
  <si>
    <t>66:41:0002001</t>
  </si>
  <si>
    <t>66:41:0502097</t>
  </si>
  <si>
    <t>66:41:0310049</t>
  </si>
  <si>
    <t>66:41:0519020</t>
  </si>
  <si>
    <t>66:41:0508901</t>
  </si>
  <si>
    <t>66:41:0601901</t>
  </si>
  <si>
    <t>66:41:0303016</t>
  </si>
  <si>
    <t>66:41:0515047</t>
  </si>
  <si>
    <t>66:41:0203004</t>
  </si>
  <si>
    <t>66:41:0203058</t>
  </si>
  <si>
    <t>66:41:0403043</t>
  </si>
  <si>
    <t>66:41:0203026</t>
  </si>
  <si>
    <t>66:41:0510046</t>
  </si>
  <si>
    <t>66:41:0502508</t>
  </si>
  <si>
    <t>66:41:0306060</t>
  </si>
  <si>
    <t>66:41:0502105</t>
  </si>
  <si>
    <t>66:41:0516008</t>
  </si>
  <si>
    <t>66:41:0311009</t>
  </si>
  <si>
    <t>66:41:0601003</t>
  </si>
  <si>
    <t>66:41:0303132</t>
  </si>
  <si>
    <t>66:41:0110014</t>
  </si>
  <si>
    <t>66:41:0711012</t>
  </si>
  <si>
    <t>66:41:0302015</t>
  </si>
  <si>
    <t>66:41:0110019</t>
  </si>
  <si>
    <t>66:41:0402019</t>
  </si>
  <si>
    <t>66:41:0511020</t>
  </si>
  <si>
    <t>66:41:0310044</t>
  </si>
  <si>
    <t>66:41:0306903</t>
  </si>
  <si>
    <t>66:41:0302014</t>
  </si>
  <si>
    <t>66:41:0508019</t>
  </si>
  <si>
    <t>66:41:0508049</t>
  </si>
  <si>
    <t>66:41:0306007</t>
  </si>
  <si>
    <t>66:41:0306116</t>
  </si>
  <si>
    <t>66:41:0502032</t>
  </si>
  <si>
    <t>66:41:0303052</t>
  </si>
  <si>
    <t>66:41:0601032</t>
  </si>
  <si>
    <t>66:41:0205901</t>
  </si>
  <si>
    <t>66:41:0303050</t>
  </si>
  <si>
    <t>66:41:0504017</t>
  </si>
  <si>
    <t>66:41:0502061</t>
  </si>
  <si>
    <t>66:41:0701011</t>
  </si>
  <si>
    <t>66:41:0309044</t>
  </si>
  <si>
    <t>66:41:0612021</t>
  </si>
  <si>
    <t>66:41:0509065</t>
  </si>
  <si>
    <t>66:41:0505010</t>
  </si>
  <si>
    <t>66:41:0503030</t>
  </si>
  <si>
    <t>66:41:0303144</t>
  </si>
  <si>
    <t>66:41:0702009</t>
  </si>
  <si>
    <t>66:41:0711013</t>
  </si>
  <si>
    <t>66:41:0610012</t>
  </si>
  <si>
    <t>66:41:0205006</t>
  </si>
  <si>
    <t>66:41:0501010</t>
  </si>
  <si>
    <t>66:41:0610015</t>
  </si>
  <si>
    <t>66:41:0610017</t>
  </si>
  <si>
    <t>66:41:0502040</t>
  </si>
  <si>
    <t>66:41:0608027</t>
  </si>
  <si>
    <t>66:41:0711005</t>
  </si>
  <si>
    <t>66:41:0520014</t>
  </si>
  <si>
    <t>66:41:0303096</t>
  </si>
  <si>
    <t>66:41:0711017</t>
  </si>
  <si>
    <t>66:41:0109901</t>
  </si>
  <si>
    <t>66:41:0711044</t>
  </si>
  <si>
    <t>66:41:0519021</t>
  </si>
  <si>
    <t>66:41:0711015</t>
  </si>
  <si>
    <t>66:41:0302012</t>
  </si>
  <si>
    <t>66:41:0303019</t>
  </si>
  <si>
    <t>66:41:0204059</t>
  </si>
  <si>
    <t>66:41:0710035</t>
  </si>
  <si>
    <t>66:41:0508036</t>
  </si>
  <si>
    <t>66:41:0306107</t>
  </si>
  <si>
    <t>66:41:0507079</t>
  </si>
  <si>
    <t>66:41:0301002</t>
  </si>
  <si>
    <t>66:41:0306073</t>
  </si>
  <si>
    <t>66:41:0401021</t>
  </si>
  <si>
    <t>66:41:0502018</t>
  </si>
  <si>
    <t>66:41:0703002</t>
  </si>
  <si>
    <t>66:41:0306104</t>
  </si>
  <si>
    <t>66:41:0204003</t>
  </si>
  <si>
    <t>66:41:0711057</t>
  </si>
  <si>
    <t>66:41:0303089</t>
  </si>
  <si>
    <t>66:41:0303048</t>
  </si>
  <si>
    <t>66:41:0521016</t>
  </si>
  <si>
    <t>66:41:0303030</t>
  </si>
  <si>
    <t>66:41:0502028</t>
  </si>
  <si>
    <t>66:41:0502100</t>
  </si>
  <si>
    <t>66:41:0506033</t>
  </si>
  <si>
    <t>66:41:0519027</t>
  </si>
  <si>
    <t>66:41:0502035</t>
  </si>
  <si>
    <t>66:41:0506011</t>
  </si>
  <si>
    <t>66:41:0510012</t>
  </si>
  <si>
    <t>66:41:0106013</t>
  </si>
  <si>
    <t>66:41:0110008</t>
  </si>
  <si>
    <t>66:41:0711008</t>
  </si>
  <si>
    <t>66:41:0203009</t>
  </si>
  <si>
    <t>66:41:0504031</t>
  </si>
  <si>
    <t>66:41:0313093</t>
  </si>
  <si>
    <t>66:41:0502124</t>
  </si>
  <si>
    <t>66:41:0204026</t>
  </si>
  <si>
    <t>66:41:0309097</t>
  </si>
  <si>
    <t>66:41:0508050</t>
  </si>
  <si>
    <t>66:41:0505041</t>
  </si>
  <si>
    <t>66:41:0306028</t>
  </si>
  <si>
    <t>66:41:0712034</t>
  </si>
  <si>
    <t>66:41:0307040</t>
  </si>
  <si>
    <t>66:41:0306118</t>
  </si>
  <si>
    <t>66:41:0106046</t>
  </si>
  <si>
    <t>66:41:0303062</t>
  </si>
  <si>
    <t>66:41:0306045</t>
  </si>
  <si>
    <t>66:41:0502049</t>
  </si>
  <si>
    <t>66:41:0502101</t>
  </si>
  <si>
    <t>66:41:0702050</t>
  </si>
  <si>
    <t>66:41:0508014</t>
  </si>
  <si>
    <t>66:41:0304032</t>
  </si>
  <si>
    <t>66:41:0404901</t>
  </si>
  <si>
    <t>66:41:0505009</t>
  </si>
  <si>
    <t>66:41:0519028</t>
  </si>
  <si>
    <t>66:41:0110005</t>
  </si>
  <si>
    <t>66:41:0707018</t>
  </si>
  <si>
    <t>66:41:0401044</t>
  </si>
  <si>
    <t>66:41:0707014</t>
  </si>
  <si>
    <t>66:41:0704028</t>
  </si>
  <si>
    <t>66:41:0504099</t>
  </si>
  <si>
    <t>66:41:0702073</t>
  </si>
  <si>
    <t>66:41:0502112</t>
  </si>
  <si>
    <t>66:41:0701014</t>
  </si>
  <si>
    <t>66:41:0403049</t>
  </si>
  <si>
    <t>66:41:0612074</t>
  </si>
  <si>
    <t>66:41:0205011</t>
  </si>
  <si>
    <t>66:41:0502039</t>
  </si>
  <si>
    <t>66:41:0403051</t>
  </si>
  <si>
    <t>66:41:0109036</t>
  </si>
  <si>
    <t>66:41:0503019</t>
  </si>
  <si>
    <t>66:41:0105017</t>
  </si>
  <si>
    <t>66:41:0303018</t>
  </si>
  <si>
    <t>66:41:0110002</t>
  </si>
  <si>
    <t>66:41:0501013</t>
  </si>
  <si>
    <t>66:41:0505001</t>
  </si>
  <si>
    <t>66:41:0711075</t>
  </si>
  <si>
    <t>66:41:0303034</t>
  </si>
  <si>
    <t>66:41:0401015</t>
  </si>
  <si>
    <t>66:41:0511014</t>
  </si>
  <si>
    <t>66:41:0711021</t>
  </si>
  <si>
    <t>66:41:0102012</t>
  </si>
  <si>
    <t>66:41:0506017</t>
  </si>
  <si>
    <t>66:41:0501062</t>
  </si>
  <si>
    <t>66:41:0508025</t>
  </si>
  <si>
    <t>66:41:0502034</t>
  </si>
  <si>
    <t>66:41:0313118</t>
  </si>
  <si>
    <t>66:41:0304004</t>
  </si>
  <si>
    <t>66:41:0519068</t>
  </si>
  <si>
    <t>66:41:0203037</t>
  </si>
  <si>
    <t>66:41:0505004</t>
  </si>
  <si>
    <t>66:41:0106169</t>
  </si>
  <si>
    <t>66:41:0106006</t>
  </si>
  <si>
    <t>66:41:0306018</t>
  </si>
  <si>
    <t>66:41:0510057</t>
  </si>
  <si>
    <t>66:41:0502102</t>
  </si>
  <si>
    <t>66:41:0303007</t>
  </si>
  <si>
    <t>66:41:0510065</t>
  </si>
  <si>
    <t>66:41:0304003</t>
  </si>
  <si>
    <t>66:41:0301014</t>
  </si>
  <si>
    <t>66:41:0606001</t>
  </si>
  <si>
    <t>66:41:0205018</t>
  </si>
  <si>
    <t>66:41:0507039</t>
  </si>
  <si>
    <t>66:41:0609003</t>
  </si>
  <si>
    <t>66:41:0313022</t>
  </si>
  <si>
    <t>66:41:0403001</t>
  </si>
  <si>
    <t>66:41:0304022</t>
  </si>
  <si>
    <t>66:41:0302023</t>
  </si>
  <si>
    <t>66:41:0403048</t>
  </si>
  <si>
    <t>66:41:0517006</t>
  </si>
  <si>
    <t>66:41:0303135</t>
  </si>
  <si>
    <t>66:41:0603020</t>
  </si>
  <si>
    <t>66:41:0102017</t>
  </si>
  <si>
    <t>66:41:0312007</t>
  </si>
  <si>
    <t>66:41:0204020</t>
  </si>
  <si>
    <t>66:41:0513038</t>
  </si>
  <si>
    <t>66:41:0517007</t>
  </si>
  <si>
    <t>66:41:0203054</t>
  </si>
  <si>
    <t>66:41:0519035</t>
  </si>
  <si>
    <t>66:41:0608016</t>
  </si>
  <si>
    <t>66:41:0711040</t>
  </si>
  <si>
    <t>66:41:0210022</t>
  </si>
  <si>
    <t>66:41:0508048</t>
  </si>
  <si>
    <t>66:41:0505044</t>
  </si>
  <si>
    <t>66:41:0106005</t>
  </si>
  <si>
    <t>66:41:0501072</t>
  </si>
  <si>
    <t>66:41:0515031</t>
  </si>
  <si>
    <t>66:41:0505019</t>
  </si>
  <si>
    <t>66:41:0109062</t>
  </si>
  <si>
    <t>66:41:0515051</t>
  </si>
  <si>
    <t>66:41:0303099</t>
  </si>
  <si>
    <t>66:41:0306082</t>
  </si>
  <si>
    <t>66:41:0711007</t>
  </si>
  <si>
    <t>66:41:0404018</t>
  </si>
  <si>
    <t>66:41:0403044</t>
  </si>
  <si>
    <t>66:41:0511008</t>
  </si>
  <si>
    <t>66:41:0203036</t>
  </si>
  <si>
    <t>66:41:0108059</t>
  </si>
  <si>
    <t>66:41:0106148</t>
  </si>
  <si>
    <t>66:41:0521052</t>
  </si>
  <si>
    <t>66:41:0203024</t>
  </si>
  <si>
    <t>66:41:0504020</t>
  </si>
  <si>
    <t>66:41:0708008</t>
  </si>
  <si>
    <t>66:41:0710024</t>
  </si>
  <si>
    <t>66:41:0302024</t>
  </si>
  <si>
    <t>66:41:0404015</t>
  </si>
  <si>
    <t>66:41:0401902</t>
  </si>
  <si>
    <t>66:41:0504016</t>
  </si>
  <si>
    <t>66:41:0702011</t>
  </si>
  <si>
    <t>66:41:0508007</t>
  </si>
  <si>
    <t>66:41:0109064</t>
  </si>
  <si>
    <t>66:41:0510059</t>
  </si>
  <si>
    <t>66:41:0401056</t>
  </si>
  <si>
    <t>66:41:0109032</t>
  </si>
  <si>
    <t>66:41:0303036</t>
  </si>
  <si>
    <t>66:41:0502104</t>
  </si>
  <si>
    <t>66:41:0709013</t>
  </si>
  <si>
    <t>66:41:0521036</t>
  </si>
  <si>
    <t>66:41:0204054</t>
  </si>
  <si>
    <t>66:41:0307029</t>
  </si>
  <si>
    <t>66:41:0509006</t>
  </si>
  <si>
    <t>66:41:0303142</t>
  </si>
  <si>
    <t>66:41:0306114</t>
  </si>
  <si>
    <t>66:41:0313094</t>
  </si>
  <si>
    <t>66:41:0303047</t>
  </si>
  <si>
    <t>66:41:0310042</t>
  </si>
  <si>
    <t>66:41:0504078</t>
  </si>
  <si>
    <t>66:41:0609036</t>
  </si>
  <si>
    <t>66:41:0612076</t>
  </si>
  <si>
    <t>66:41:0303143</t>
  </si>
  <si>
    <t>66:41:0519022</t>
  </si>
  <si>
    <t>66:41:0306050</t>
  </si>
  <si>
    <t>66:41:0508035</t>
  </si>
  <si>
    <t>66:41:0525010</t>
  </si>
  <si>
    <t>66:41:0711022</t>
  </si>
  <si>
    <t>66:41:0403050</t>
  </si>
  <si>
    <t>66:41:0612004</t>
  </si>
  <si>
    <t>66:41:0204004</t>
  </si>
  <si>
    <t>66:41:0502042</t>
  </si>
  <si>
    <t>66:41:0510013</t>
  </si>
  <si>
    <t>66:41:0501003</t>
  </si>
  <si>
    <t>66:41:0301001</t>
  </si>
  <si>
    <t>66:41:0306012</t>
  </si>
  <si>
    <t>66:41:0302036</t>
  </si>
  <si>
    <t>66:41:0403052</t>
  </si>
  <si>
    <t>66:41:0521047</t>
  </si>
  <si>
    <t>66:41:0711014</t>
  </si>
  <si>
    <t>66:41:0604030</t>
  </si>
  <si>
    <t>66:41:0609007</t>
  </si>
  <si>
    <t>66:41:0303060</t>
  </si>
  <si>
    <t>66:41:0703001</t>
  </si>
  <si>
    <t>66:41:0711018</t>
  </si>
  <si>
    <t>66:41:0501005</t>
  </si>
  <si>
    <t>66:41:0507052</t>
  </si>
  <si>
    <t>66:41:0711062</t>
  </si>
  <si>
    <t>66:41:0203001</t>
  </si>
  <si>
    <t>66:41:0303028</t>
  </si>
  <si>
    <t>66:41:0504045</t>
  </si>
  <si>
    <t>66:41:0108014</t>
  </si>
  <si>
    <t>66:41:0519014</t>
  </si>
  <si>
    <t>66:41:0313026</t>
  </si>
  <si>
    <t>66:41:0709016</t>
  </si>
  <si>
    <t>66:41:0704015</t>
  </si>
  <si>
    <t>66:41:0712020</t>
  </si>
  <si>
    <t>66:41:0610020</t>
  </si>
  <si>
    <t>66:41:0710002</t>
  </si>
  <si>
    <t>66:41:0612077</t>
  </si>
  <si>
    <t>66:41:0303010</t>
  </si>
  <si>
    <t>66:41:0504009</t>
  </si>
  <si>
    <t>66:41:0106014</t>
  </si>
  <si>
    <t>66:41:0505040</t>
  </si>
  <si>
    <t>66:41:0306109</t>
  </si>
  <si>
    <t>66:41:0707023</t>
  </si>
  <si>
    <t>66:41:0509009</t>
  </si>
  <si>
    <t>66:41:0502103</t>
  </si>
  <si>
    <t>66:41:0204034</t>
  </si>
  <si>
    <t>66:41:0510050</t>
  </si>
  <si>
    <t>66:41:0303056</t>
  </si>
  <si>
    <t>66:41:0312006</t>
  </si>
  <si>
    <t>66:41:0504046</t>
  </si>
  <si>
    <t>66:41:0301012</t>
  </si>
  <si>
    <t>66:41:0506023</t>
  </si>
  <si>
    <t>66:41:0106174</t>
  </si>
  <si>
    <t>66:41:0607033</t>
  </si>
  <si>
    <t>66:41:0204007</t>
  </si>
  <si>
    <t>66:41:0505025</t>
  </si>
  <si>
    <t>66:41:0111003</t>
  </si>
  <si>
    <t>66:41:0203027</t>
  </si>
  <si>
    <t>66:41:0401046</t>
  </si>
  <si>
    <t>66:41:0508090</t>
  </si>
  <si>
    <t>66:41:0507022</t>
  </si>
  <si>
    <t>66:41:0313117</t>
  </si>
  <si>
    <t>66:41:0502036</t>
  </si>
  <si>
    <t>66:41:0711077</t>
  </si>
  <si>
    <t>66:41:0608038</t>
  </si>
  <si>
    <t>66:41:0508041</t>
  </si>
  <si>
    <t>66:41:0704027</t>
  </si>
  <si>
    <t>66:41:0306077</t>
  </si>
  <si>
    <t>66:41:0702017</t>
  </si>
  <si>
    <t>66:41:0106070</t>
  </si>
  <si>
    <t>66:41:0105015</t>
  </si>
  <si>
    <t>66:41:0303145</t>
  </si>
  <si>
    <t>66:41:0508018</t>
  </si>
  <si>
    <t>66:41:0601002</t>
  </si>
  <si>
    <t>66:41:0307084</t>
  </si>
  <si>
    <t>66:41:0306064</t>
  </si>
  <si>
    <t>66:41:0306004</t>
  </si>
  <si>
    <t>66:41:0601030</t>
  </si>
  <si>
    <t>66:41:0603024</t>
  </si>
  <si>
    <t>66:41:0610033</t>
  </si>
  <si>
    <t>66:41:0521901</t>
  </si>
  <si>
    <t>66:41:0304001</t>
  </si>
  <si>
    <t>66:41:0509001</t>
  </si>
  <si>
    <t>66:41:0517005</t>
  </si>
  <si>
    <t>66:41:0306123</t>
  </si>
  <si>
    <t>66:41:0109060</t>
  </si>
  <si>
    <t>66:41:0108097</t>
  </si>
  <si>
    <t>66:41:0111004</t>
  </si>
  <si>
    <t>66:41:0523008</t>
  </si>
  <si>
    <t>66:41:0206008</t>
  </si>
  <si>
    <t>66:41:0608032</t>
  </si>
  <si>
    <t>66:41:0401054</t>
  </si>
  <si>
    <t>66:41:0608013</t>
  </si>
  <si>
    <t>66:41:0310011</t>
  </si>
  <si>
    <t>66:41:0312901</t>
  </si>
  <si>
    <t>66:41:0203005</t>
  </si>
  <si>
    <t>66:41:0602011</t>
  </si>
  <si>
    <t>66:41:0403055</t>
  </si>
  <si>
    <t>66:41:0508020</t>
  </si>
  <si>
    <t>66:41:0704006</t>
  </si>
  <si>
    <t>66:41:0306061</t>
  </si>
  <si>
    <t>66:41:0310024</t>
  </si>
  <si>
    <t>66:41:0507018</t>
  </si>
  <si>
    <t>66:41:0612029</t>
  </si>
  <si>
    <t>66:41:0303059</t>
  </si>
  <si>
    <t>66:41:0521001</t>
  </si>
  <si>
    <t>66:41:0502038</t>
  </si>
  <si>
    <t>66:41:0711025</t>
  </si>
  <si>
    <t>66:41:0403017</t>
  </si>
  <si>
    <t>66:41:0306058</t>
  </si>
  <si>
    <t>66:41:0204002</t>
  </si>
  <si>
    <t>66:41:0311016</t>
  </si>
  <si>
    <t>66:41:0603019</t>
  </si>
  <si>
    <t>66:41:0109902</t>
  </si>
  <si>
    <t>66:41:0516003</t>
  </si>
  <si>
    <t>66:41:0511003</t>
  </si>
  <si>
    <t>66:41:0307031</t>
  </si>
  <si>
    <t>66:41:0110012</t>
  </si>
  <si>
    <t>66:41:0607015</t>
  </si>
  <si>
    <t>66:41:0401051</t>
  </si>
  <si>
    <t>66:41:0402034</t>
  </si>
  <si>
    <t>66:41:0313116</t>
  </si>
  <si>
    <t>66:41:0110025</t>
  </si>
  <si>
    <t>66:41:0516011</t>
  </si>
  <si>
    <t>66:41:0306076</t>
  </si>
  <si>
    <t>66:41:0515027</t>
  </si>
  <si>
    <t>66:41:0520016</t>
  </si>
  <si>
    <t>66:41:0710012</t>
  </si>
  <si>
    <t>66:41:0313092</t>
  </si>
  <si>
    <t>66:41:0516004</t>
  </si>
  <si>
    <t>66:41:0519045</t>
  </si>
  <si>
    <t>66:41:0602001</t>
  </si>
  <si>
    <t>66:41:0309040</t>
  </si>
  <si>
    <t>66:41:0603017</t>
  </si>
  <si>
    <t>66:41:0312010</t>
  </si>
  <si>
    <t>66:41:0303152</t>
  </si>
  <si>
    <t>66:41:0401050</t>
  </si>
  <si>
    <t>66:41:0310045</t>
  </si>
  <si>
    <t>66:41:0303051</t>
  </si>
  <si>
    <t>66:41:0210007</t>
  </si>
  <si>
    <t>66:41:0502060</t>
  </si>
  <si>
    <t>66:41:0515018</t>
  </si>
  <si>
    <t>66:41:0306084</t>
  </si>
  <si>
    <t>66:41:0108080</t>
  </si>
  <si>
    <t>66:41:0711023</t>
  </si>
  <si>
    <t>66:41:0504060</t>
  </si>
  <si>
    <t>66:41:0519044</t>
  </si>
  <si>
    <t>66:41:0506020</t>
  </si>
  <si>
    <t>66:41:0702080</t>
  </si>
  <si>
    <t>66:41:0203066</t>
  </si>
  <si>
    <t>66:41:0703006</t>
  </si>
  <si>
    <t>66:41:0203033</t>
  </si>
  <si>
    <t>66:41:0507051</t>
  </si>
  <si>
    <t>66:41:0307046</t>
  </si>
  <si>
    <t>66:41:0301003</t>
  </si>
  <si>
    <t>66:41:0206003</t>
  </si>
  <si>
    <t>66:41:0202003</t>
  </si>
  <si>
    <t>66:41:0402009</t>
  </si>
  <si>
    <t>66:41:0701018</t>
  </si>
  <si>
    <t>66:41:0203068</t>
  </si>
  <si>
    <t>66:41:0505020</t>
  </si>
  <si>
    <t>66:41:0306115</t>
  </si>
  <si>
    <t>66:41:0403036</t>
  </si>
  <si>
    <t>66:41:0712028</t>
  </si>
  <si>
    <t>66:41:0106123</t>
  </si>
  <si>
    <t>66:41:0401036</t>
  </si>
  <si>
    <t>66:41:0306042</t>
  </si>
  <si>
    <t>66:41:0702042</t>
  </si>
  <si>
    <t>66:41:0204050</t>
  </si>
  <si>
    <t>66:41:0502029</t>
  </si>
  <si>
    <t>66:41:0516901</t>
  </si>
  <si>
    <t>66:41:0612041</t>
  </si>
  <si>
    <t>66:41:0303146</t>
  </si>
  <si>
    <t>66:41:0510902</t>
  </si>
  <si>
    <t>66:41:0104001</t>
  </si>
  <si>
    <t>66:41:0109052</t>
  </si>
  <si>
    <t>66:41:0508091</t>
  </si>
  <si>
    <t>66:41:0203020</t>
  </si>
  <si>
    <t>66:41:0603901</t>
  </si>
  <si>
    <t>66:41:0301016</t>
  </si>
  <si>
    <t>66:41:0506010</t>
  </si>
  <si>
    <t>66:41:0605011</t>
  </si>
  <si>
    <t>66:41:0302002</t>
  </si>
  <si>
    <t>66:41:0516007</t>
  </si>
  <si>
    <t>66:41:0610002</t>
  </si>
  <si>
    <t>66:41:0711056</t>
  </si>
  <si>
    <t>66:41:0606048</t>
  </si>
  <si>
    <t>66:41:0203062</t>
  </si>
  <si>
    <t>66:41:0306043</t>
  </si>
  <si>
    <t>66:41:0403077</t>
  </si>
  <si>
    <t>66:41:0523006</t>
  </si>
  <si>
    <t>66:41:0206012</t>
  </si>
  <si>
    <t>66:41:0403053</t>
  </si>
  <si>
    <t>66:41:0508022</t>
  </si>
  <si>
    <t>66:41:0610014</t>
  </si>
  <si>
    <t>66:41:0601057</t>
  </si>
  <si>
    <t>66:41:0311019</t>
  </si>
  <si>
    <t>66:41:0106091</t>
  </si>
  <si>
    <t>66:41:0702053</t>
  </si>
  <si>
    <t>66:41:0502073</t>
  </si>
  <si>
    <t>66:41:0309057</t>
  </si>
  <si>
    <t>66:41:0701003</t>
  </si>
  <si>
    <t>66:41:0403013</t>
  </si>
  <si>
    <t>66:41:0303055</t>
  </si>
  <si>
    <t>66:41:0601047</t>
  </si>
  <si>
    <t>66:41:0711011</t>
  </si>
  <si>
    <t>66:41:0519046</t>
  </si>
  <si>
    <t>66:41:0311001</t>
  </si>
  <si>
    <t>66:41:0105031</t>
  </si>
  <si>
    <t>66:41:0711009</t>
  </si>
  <si>
    <t>66:41:0307013</t>
  </si>
  <si>
    <t>66:41:0303088</t>
  </si>
  <si>
    <t>66:41:0612007</t>
  </si>
  <si>
    <t>66:41:0507028</t>
  </si>
  <si>
    <t>66:41:0310005</t>
  </si>
  <si>
    <t>66:41:0506004</t>
  </si>
  <si>
    <t>66:41:0517001</t>
  </si>
  <si>
    <t>66:41:0508051</t>
  </si>
  <si>
    <t>66:41:0701019</t>
  </si>
  <si>
    <t>66:41:0204017</t>
  </si>
  <si>
    <t>66:41:0206011</t>
  </si>
  <si>
    <t>66:41:0303137</t>
  </si>
  <si>
    <t>66:41:0711027</t>
  </si>
  <si>
    <t>66:41:0309056</t>
  </si>
  <si>
    <t>66:41:0601017</t>
  </si>
  <si>
    <t>66:41:0510042</t>
  </si>
  <si>
    <t>66:41:0711063</t>
  </si>
  <si>
    <t>66:41:0204013</t>
  </si>
  <si>
    <t>66:41:0504061</t>
  </si>
  <si>
    <t>66:41:0504059</t>
  </si>
  <si>
    <t>66:41:0711052</t>
  </si>
  <si>
    <t>66:41:0504032</t>
  </si>
  <si>
    <t>66:41:0404014</t>
  </si>
  <si>
    <t>66:41:0504066</t>
  </si>
  <si>
    <t>66:41:0113002</t>
  </si>
  <si>
    <t>66:41:0303024</t>
  </si>
  <si>
    <t>66:41:0702025</t>
  </si>
  <si>
    <t>66:41:0306080</t>
  </si>
  <si>
    <t>66:41:0508056</t>
  </si>
  <si>
    <t>66:41:0523901</t>
  </si>
  <si>
    <t>66:41:0605025</t>
  </si>
  <si>
    <t>66:41:0304009</t>
  </si>
  <si>
    <t>66:41:0519080</t>
  </si>
  <si>
    <t>66:41:0515053</t>
  </si>
  <si>
    <t>66:41:0602007</t>
  </si>
  <si>
    <t>66:41:0102029</t>
  </si>
  <si>
    <t>66:41:0710036</t>
  </si>
  <si>
    <t>66:41:0403082</t>
  </si>
  <si>
    <t>66:41:0603029</t>
  </si>
  <si>
    <t>66:41:0506002</t>
  </si>
  <si>
    <t>66:41:0502020</t>
  </si>
  <si>
    <t>66:41:0608001</t>
  </si>
  <si>
    <t>66:41:0501073</t>
  </si>
  <si>
    <t>66:41:0711051</t>
  </si>
  <si>
    <t>66:41:0102045</t>
  </si>
  <si>
    <t>66:41:0610001</t>
  </si>
  <si>
    <t>66:41:0203025</t>
  </si>
  <si>
    <t>66:41:0105022</t>
  </si>
  <si>
    <t>66:41:0501025</t>
  </si>
  <si>
    <t>66:41:0106008</t>
  </si>
  <si>
    <t>66:41:0203022</t>
  </si>
  <si>
    <t>66:41:0208005</t>
  </si>
  <si>
    <t>66:41:0711066</t>
  </si>
  <si>
    <t>66:41:0504047</t>
  </si>
  <si>
    <t>66:41:0404011</t>
  </si>
  <si>
    <t>66:41:0504065</t>
  </si>
  <si>
    <t>66:41:0602901</t>
  </si>
  <si>
    <t>66:41:0612046</t>
  </si>
  <si>
    <t>66:41:0504080</t>
  </si>
  <si>
    <t>66:41:0307083</t>
  </si>
  <si>
    <t>66:41:0605001</t>
  </si>
  <si>
    <t>66:41:0313002</t>
  </si>
  <si>
    <t>66:41:0401025</t>
  </si>
  <si>
    <t>66:41:0203059</t>
  </si>
  <si>
    <t>66:41:0306029</t>
  </si>
  <si>
    <t>66:41:0203043</t>
  </si>
  <si>
    <t>66:41:0604031</t>
  </si>
  <si>
    <t>66:41:0710034</t>
  </si>
  <si>
    <t>66:41:0403046</t>
  </si>
  <si>
    <t>66:41:0516017</t>
  </si>
  <si>
    <t>66:41:0501001</t>
  </si>
  <si>
    <t>66:41:0711024</t>
  </si>
  <si>
    <t>66:41:0612002</t>
  </si>
  <si>
    <t>66:41:0303130</t>
  </si>
  <si>
    <t>66:41:0508005</t>
  </si>
  <si>
    <t>66:41:0519029</t>
  </si>
  <si>
    <t>66:41:0508057</t>
  </si>
  <si>
    <t>66:41:0612006</t>
  </si>
  <si>
    <t>66:41:0403054</t>
  </si>
  <si>
    <t>66:41:0508004</t>
  </si>
  <si>
    <t>66:41:0612089</t>
  </si>
  <si>
    <t>66:41:0502023</t>
  </si>
  <si>
    <t>66:41:0203035</t>
  </si>
  <si>
    <t>66:41:0712032</t>
  </si>
  <si>
    <t>66:41:0313003</t>
  </si>
  <si>
    <t>66:41:0306041</t>
  </si>
  <si>
    <t>66:41:0313115</t>
  </si>
  <si>
    <t>66:41:0505042</t>
  </si>
  <si>
    <t>66:41:0519006</t>
  </si>
  <si>
    <t>66:41:0309063</t>
  </si>
  <si>
    <t>66:41:0519007</t>
  </si>
  <si>
    <t>66:41:0508059</t>
  </si>
  <si>
    <t>66:41:0203003</t>
  </si>
  <si>
    <t>66:41:0206013</t>
  </si>
  <si>
    <t>66:41:0313036</t>
  </si>
  <si>
    <t>66:41:0516012</t>
  </si>
  <si>
    <t>66:41:0310062</t>
  </si>
  <si>
    <t>66:41:0711026</t>
  </si>
  <si>
    <t>66:41:0501024</t>
  </si>
  <si>
    <t>66:41:0504067</t>
  </si>
  <si>
    <t>66:41:0307081</t>
  </si>
  <si>
    <t>66:41:0108101</t>
  </si>
  <si>
    <t>66:41:0504027</t>
  </si>
  <si>
    <t>66:41:0309078</t>
  </si>
  <si>
    <t>66:41:0106163</t>
  </si>
  <si>
    <t>66:41:0504077</t>
  </si>
  <si>
    <t>66:41:0310040</t>
  </si>
  <si>
    <t>66:41:0502031</t>
  </si>
  <si>
    <t>66:41:0711030</t>
  </si>
  <si>
    <t>66:41:0403029</t>
  </si>
  <si>
    <t>66:41:0608035</t>
  </si>
  <si>
    <t>66:41:0523007</t>
  </si>
  <si>
    <t>66:41:0306025</t>
  </si>
  <si>
    <t>66:41:0506012</t>
  </si>
  <si>
    <t>66:41:0517008</t>
  </si>
  <si>
    <t>66:41:0102011</t>
  </si>
  <si>
    <t>66:41:0303126</t>
  </si>
  <si>
    <t>66:41:0303008</t>
  </si>
  <si>
    <t>66:41:0203070</t>
  </si>
  <si>
    <t>66:41:0302046</t>
  </si>
  <si>
    <t>66:41:0102027</t>
  </si>
  <si>
    <t>66:41:0403068</t>
  </si>
  <si>
    <t>66:41:0510070</t>
  </si>
  <si>
    <t>66:41:0109068</t>
  </si>
  <si>
    <t>66:41:0509007</t>
  </si>
  <si>
    <t>66:41:0204041</t>
  </si>
  <si>
    <t>66:41:0403066</t>
  </si>
  <si>
    <t>66:41:0202008</t>
  </si>
  <si>
    <t>66:41:0306086</t>
  </si>
  <si>
    <t>66:41:0502001</t>
  </si>
  <si>
    <t>66:41:0203052</t>
  </si>
  <si>
    <t>66:41:0401010</t>
  </si>
  <si>
    <t>66:41:0203076</t>
  </si>
  <si>
    <t>66:41:0303085</t>
  </si>
  <si>
    <t>66:41:0504087</t>
  </si>
  <si>
    <t>66:41:0520003</t>
  </si>
  <si>
    <t>66:41:0310099</t>
  </si>
  <si>
    <t>66:41:0612073</t>
  </si>
  <si>
    <t>66:41:0106081</t>
  </si>
  <si>
    <t>66:41:0506018</t>
  </si>
  <si>
    <t>66:41:0403071</t>
  </si>
  <si>
    <t>66:41:0304018</t>
  </si>
  <si>
    <t>66:41:0302045</t>
  </si>
  <si>
    <t>66:41:0304013</t>
  </si>
  <si>
    <t>66:41:0504018</t>
  </si>
  <si>
    <t>66:41:0515005</t>
  </si>
  <si>
    <t>66:41:0510032</t>
  </si>
  <si>
    <t>66:41:0519037</t>
  </si>
  <si>
    <t>66:41:0206002</t>
  </si>
  <si>
    <t>66:41:0306009</t>
  </si>
  <si>
    <t>66:41:0702001</t>
  </si>
  <si>
    <t>66:41:0502017</t>
  </si>
  <si>
    <t>66:41:0502033</t>
  </si>
  <si>
    <t>66:41:0108074</t>
  </si>
  <si>
    <t>66:41:0519054</t>
  </si>
  <si>
    <t>66:41:0510033</t>
  </si>
  <si>
    <t>66:41:0403057</t>
  </si>
  <si>
    <t>66:41:0302048</t>
  </si>
  <si>
    <t>66:41:0504043</t>
  </si>
  <si>
    <t>66:41:0204048</t>
  </si>
  <si>
    <t>66:41:0507108</t>
  </si>
  <si>
    <t>66:41:0612017</t>
  </si>
  <si>
    <t>66:41:0706016</t>
  </si>
  <si>
    <t>66:41:0514002</t>
  </si>
  <si>
    <t>66:41:0601048</t>
  </si>
  <si>
    <t>66:41:0203032</t>
  </si>
  <si>
    <t>66:41:0106146</t>
  </si>
  <si>
    <t>66:41:0510071</t>
  </si>
  <si>
    <t>66:41:0508037</t>
  </si>
  <si>
    <t>66:41:0519013</t>
  </si>
  <si>
    <t>66:41:0707005</t>
  </si>
  <si>
    <t>66:41:0109023</t>
  </si>
  <si>
    <t>66:41:0306108</t>
  </si>
  <si>
    <t>66:41:0313112</t>
  </si>
  <si>
    <t>66:41:0711072</t>
  </si>
  <si>
    <t>66:41:0102026</t>
  </si>
  <si>
    <t>66:41:0519023</t>
  </si>
  <si>
    <t>66:41:0403058</t>
  </si>
  <si>
    <t>66:41:0210037</t>
  </si>
  <si>
    <t>66:41:0303013</t>
  </si>
  <si>
    <t>66:41:0203901</t>
  </si>
  <si>
    <t>66:41:0508008</t>
  </si>
  <si>
    <t>66:41:0516019</t>
  </si>
  <si>
    <t>66:41:0308021</t>
  </si>
  <si>
    <t>66:41:0302902</t>
  </si>
  <si>
    <t>66:41:0310043</t>
  </si>
  <si>
    <t>66:41:0508038</t>
  </si>
  <si>
    <t>66:41:0605003</t>
  </si>
  <si>
    <t>66:41:0504028</t>
  </si>
  <si>
    <t>66:41:0106059</t>
  </si>
  <si>
    <t>66:41:0504015</t>
  </si>
  <si>
    <t>66:41:0608005</t>
  </si>
  <si>
    <t>66:41:0303015</t>
  </si>
  <si>
    <t>66:41:0521010</t>
  </si>
  <si>
    <t>66:41:0514012</t>
  </si>
  <si>
    <t>66:41:0204062</t>
  </si>
  <si>
    <t>66:41:0711050</t>
  </si>
  <si>
    <t>66:41:0106154</t>
  </si>
  <si>
    <t>66:41:0403041</t>
  </si>
  <si>
    <t>66:41:0203007</t>
  </si>
  <si>
    <t>66:41:0711058</t>
  </si>
  <si>
    <t>66:41:0603031</t>
  </si>
  <si>
    <t>66:41:0710013</t>
  </si>
  <si>
    <t>66:41:0502094</t>
  </si>
  <si>
    <t>66:41:0609901</t>
  </si>
  <si>
    <t>66:41:0404017</t>
  </si>
  <si>
    <t>66:41:0516006</t>
  </si>
  <si>
    <t>66:41:0608007</t>
  </si>
  <si>
    <t>66:41:0605026</t>
  </si>
  <si>
    <t>66:41:0710008</t>
  </si>
  <si>
    <t>66:41:0106175</t>
  </si>
  <si>
    <t>66:41:0306011</t>
  </si>
  <si>
    <t>66:41:0402038</t>
  </si>
  <si>
    <t>66:41:0711034</t>
  </si>
  <si>
    <t>66:41:0109027</t>
  </si>
  <si>
    <t>66:41:0711029</t>
  </si>
  <si>
    <t>66:41:0508043</t>
  </si>
  <si>
    <t>66:41:0204029</t>
  </si>
  <si>
    <t>66:41:0708021</t>
  </si>
  <si>
    <t>66:41:0522004</t>
  </si>
  <si>
    <t>66:41:0708025</t>
  </si>
  <si>
    <t>66:41:0603010</t>
  </si>
  <si>
    <t>66:41:0608026</t>
  </si>
  <si>
    <t>66:41:0306087</t>
  </si>
  <si>
    <t>66:41:0510901</t>
  </si>
  <si>
    <t>66:41:0306079</t>
  </si>
  <si>
    <t>66:41:0603011</t>
  </si>
  <si>
    <t>66:41:0403039</t>
  </si>
  <si>
    <t>66:41:0303058</t>
  </si>
  <si>
    <t>66:41:0509011</t>
  </si>
  <si>
    <t>66:41:0608036</t>
  </si>
  <si>
    <t>66:41:0102034</t>
  </si>
  <si>
    <t>66:41:0519053</t>
  </si>
  <si>
    <t>66:41:0523005</t>
  </si>
  <si>
    <t>66:41:0702028</t>
  </si>
  <si>
    <t>66:41:0203046</t>
  </si>
  <si>
    <t>66:41:0102010</t>
  </si>
  <si>
    <t>66:41:0609031</t>
  </si>
  <si>
    <t>66:41:0109066</t>
  </si>
  <si>
    <t>66:41:0303098</t>
  </si>
  <si>
    <t>66:41:0306013</t>
  </si>
  <si>
    <t>66:41:0311017</t>
  </si>
  <si>
    <t>66:41:0508021</t>
  </si>
  <si>
    <t>66:41:0105029</t>
  </si>
  <si>
    <t>66:41:0306068</t>
  </si>
  <si>
    <t>66:41:0307082</t>
  </si>
  <si>
    <t>66:41:0614073</t>
  </si>
  <si>
    <t>66:41:0610031</t>
  </si>
  <si>
    <t>66:41:0504014</t>
  </si>
  <si>
    <t>66:41:0106012</t>
  </si>
  <si>
    <t>66:41:0312001</t>
  </si>
  <si>
    <t>66:41:0521034</t>
  </si>
  <si>
    <t>66:41:0102033</t>
  </si>
  <si>
    <t>66:41:0601046</t>
  </si>
  <si>
    <t>66:41:0106157</t>
  </si>
  <si>
    <t>66:41:0313119</t>
  </si>
  <si>
    <t>66:41:0508078</t>
  </si>
  <si>
    <t>66:41:0306010</t>
  </si>
  <si>
    <t>66:41:0503027</t>
  </si>
  <si>
    <t>66:41:0603030</t>
  </si>
  <si>
    <t>66:41:0504098</t>
  </si>
  <si>
    <t>66:41:0303121</t>
  </si>
  <si>
    <t>66:41:0515016</t>
  </si>
  <si>
    <t>66:41:0303087</t>
  </si>
  <si>
    <t>66:41:0522003</t>
  </si>
  <si>
    <t>66:41:0108004</t>
  </si>
  <si>
    <t>66:41:0203028</t>
  </si>
  <si>
    <t>66:41:0403042</t>
  </si>
  <si>
    <t>66:41:0203044</t>
  </si>
  <si>
    <t>66:41:0403021</t>
  </si>
  <si>
    <t>66:41:0506014</t>
  </si>
  <si>
    <t>66:41:0609005</t>
  </si>
  <si>
    <t>66:41:0507094</t>
  </si>
  <si>
    <t>66:41:0519079</t>
  </si>
  <si>
    <t>66:41:0510020</t>
  </si>
  <si>
    <t>66:41:0311006</t>
  </si>
  <si>
    <t>66:41:0102008</t>
  </si>
  <si>
    <t>66:41:0303023</t>
  </si>
  <si>
    <t>66:41:0310079</t>
  </si>
  <si>
    <t>66:41:0506040</t>
  </si>
  <si>
    <t>66:41:0517009</t>
  </si>
  <si>
    <t>66:41:0204001</t>
  </si>
  <si>
    <t>66:41:0702051</t>
  </si>
  <si>
    <t>66:41:0609032</t>
  </si>
  <si>
    <t>66:41:0403059</t>
  </si>
  <si>
    <t>66:41:0520001</t>
  </si>
  <si>
    <t>66:41:0606083</t>
  </si>
  <si>
    <t>66:41:0612001</t>
  </si>
  <si>
    <t>66:41:0507034</t>
  </si>
  <si>
    <t>66:41:0203042</t>
  </si>
  <si>
    <t>66:41:0109022</t>
  </si>
  <si>
    <t>66:41:0612012</t>
  </si>
  <si>
    <t>66:41:0303158</t>
  </si>
  <si>
    <t>66:41:0510043</t>
  </si>
  <si>
    <t>66:41:0310065</t>
  </si>
  <si>
    <t>66:41:0508039</t>
  </si>
  <si>
    <t>66:41:0603015</t>
  </si>
  <si>
    <t>66:41:0314014</t>
  </si>
  <si>
    <t>66:41:0506031</t>
  </si>
  <si>
    <t>66:41:0110011</t>
  </si>
  <si>
    <t>66:41:0701010</t>
  </si>
  <si>
    <t>66:41:0505018</t>
  </si>
  <si>
    <t>66:41:0302044</t>
  </si>
  <si>
    <t>66:41:0203072</t>
  </si>
  <si>
    <t>66:41:0505005</t>
  </si>
  <si>
    <t>66:41:0113003</t>
  </si>
  <si>
    <t>66:41:0709018</t>
  </si>
  <si>
    <t>66:41:0508017</t>
  </si>
  <si>
    <t>66:41:0306006</t>
  </si>
  <si>
    <t>66:41:0612903</t>
  </si>
  <si>
    <t>66:41:0108062</t>
  </si>
  <si>
    <t>66:41:0203038</t>
  </si>
  <si>
    <t>66:41:0404021</t>
  </si>
  <si>
    <t>66:41:0106124</t>
  </si>
  <si>
    <t>66:41:0210008</t>
  </si>
  <si>
    <t>66:41:0619901</t>
  </si>
  <si>
    <t>66:41:0521039</t>
  </si>
  <si>
    <t>66:41:0403026</t>
  </si>
  <si>
    <t>66:41:0203047</t>
  </si>
  <si>
    <t>66:41:0504064</t>
  </si>
  <si>
    <t>66:41:0702029</t>
  </si>
  <si>
    <t>66:41:0401028</t>
  </si>
  <si>
    <t>66:41:0501055</t>
  </si>
  <si>
    <t>66:41:0306103</t>
  </si>
  <si>
    <t>66:41:0109038</t>
  </si>
  <si>
    <t>66:41:0519093</t>
  </si>
  <si>
    <t>66:41:0106026</t>
  </si>
  <si>
    <t>66:41:0110022</t>
  </si>
  <si>
    <t>66:41:0402035</t>
  </si>
  <si>
    <t>66:41:0711069</t>
  </si>
  <si>
    <t>66:41:0306125</t>
  </si>
  <si>
    <t>66:41:0701002</t>
  </si>
  <si>
    <t>66:41:0302042</t>
  </si>
  <si>
    <t>66:41:0304019</t>
  </si>
  <si>
    <t>66:41:0503013</t>
  </si>
  <si>
    <t>66:41:0106078</t>
  </si>
  <si>
    <t>66:41:0513041</t>
  </si>
  <si>
    <t>66:41:0605007</t>
  </si>
  <si>
    <t>66:41:0507001</t>
  </si>
  <si>
    <t>66:41:0510044</t>
  </si>
  <si>
    <t>66:41:0712026</t>
  </si>
  <si>
    <t>66:41:0204018</t>
  </si>
  <si>
    <t>66:41:0401037</t>
  </si>
  <si>
    <t>66:41:0709014</t>
  </si>
  <si>
    <t>66:41:0711054</t>
  </si>
  <si>
    <t>66:41:0607014</t>
  </si>
  <si>
    <t>66:41:0306067</t>
  </si>
  <si>
    <t>66:41:0307044</t>
  </si>
  <si>
    <t>66:41:0102035</t>
  </si>
  <si>
    <t>66:41:0708020</t>
  </si>
  <si>
    <t>66:41:0104013</t>
  </si>
  <si>
    <t>66:41:0609039</t>
  </si>
  <si>
    <t>66:41:0306062</t>
  </si>
  <si>
    <t>66:41:0508096</t>
  </si>
  <si>
    <t>66:41:0303061</t>
  </si>
  <si>
    <t>66:41:0610011</t>
  </si>
  <si>
    <t>66:41:0508028</t>
  </si>
  <si>
    <t>66:41:0108060</t>
  </si>
  <si>
    <t>66:41:0403067</t>
  </si>
  <si>
    <t>66:41:0612027</t>
  </si>
  <si>
    <t>66:41:0502016</t>
  </si>
  <si>
    <t>66:41:0711048</t>
  </si>
  <si>
    <t>66:41:0303100</t>
  </si>
  <si>
    <t>66:41:0404007</t>
  </si>
  <si>
    <t>66:41:0608009</t>
  </si>
  <si>
    <t>66:41:0310033</t>
  </si>
  <si>
    <t>66:41:0106173</t>
  </si>
  <si>
    <t>66:41:0521035</t>
  </si>
  <si>
    <t>66:41:0401012</t>
  </si>
  <si>
    <t>66:41:0303120</t>
  </si>
  <si>
    <t>66:41:0504097</t>
  </si>
  <si>
    <t>66:41:0510001</t>
  </si>
  <si>
    <t>66:41:0711055</t>
  </si>
  <si>
    <t>66:41:0605008</t>
  </si>
  <si>
    <t>66:41:0203056</t>
  </si>
  <si>
    <t>66:41:0307079</t>
  </si>
  <si>
    <t>66:41:0712027</t>
  </si>
  <si>
    <t>66:41:0310007</t>
  </si>
  <si>
    <t>66:41:0306130</t>
  </si>
  <si>
    <t>66:41:0109043</t>
  </si>
  <si>
    <t>66:41:0612086</t>
  </si>
  <si>
    <t>66:41:0403069</t>
  </si>
  <si>
    <t>66:41:0303074</t>
  </si>
  <si>
    <t>66:41:0311012</t>
  </si>
  <si>
    <t>66:41:0106025</t>
  </si>
  <si>
    <t>66:41:0203055</t>
  </si>
  <si>
    <t>66:41:0521051</t>
  </si>
  <si>
    <t>66:41:0711071</t>
  </si>
  <si>
    <t>66:41:0711047</t>
  </si>
  <si>
    <t>66:41:0109059</t>
  </si>
  <si>
    <t>66:41:0519039</t>
  </si>
  <si>
    <t>66:41:0306081</t>
  </si>
  <si>
    <t>66:41:0203013</t>
  </si>
  <si>
    <t>66:41:0519094</t>
  </si>
  <si>
    <t>66:41:0711049</t>
  </si>
  <si>
    <t>66:41:0102041</t>
  </si>
  <si>
    <t>66:41:0508070</t>
  </si>
  <si>
    <t>66:41:0522002</t>
  </si>
  <si>
    <t>66:41:0507047</t>
  </si>
  <si>
    <t>66:41:0206024</t>
  </si>
  <si>
    <t>66:41:0510035</t>
  </si>
  <si>
    <t>66:41:0603018</t>
  </si>
  <si>
    <t>66:41:0203067</t>
  </si>
  <si>
    <t>66:41:0510064</t>
  </si>
  <si>
    <t>66:41:0106056</t>
  </si>
  <si>
    <t>66:41:0313113</t>
  </si>
  <si>
    <t>66:41:0712031</t>
  </si>
  <si>
    <t>66:41:0303113</t>
  </si>
  <si>
    <t>66:41:0504093</t>
  </si>
  <si>
    <t>66:41:0203063</t>
  </si>
  <si>
    <t>66:41:0521044</t>
  </si>
  <si>
    <t>66:41:0610009</t>
  </si>
  <si>
    <t>66:41:0509013</t>
  </si>
  <si>
    <t>66:41:0203040</t>
  </si>
  <si>
    <t>66:41:0310057</t>
  </si>
  <si>
    <t>66:41:0203073</t>
  </si>
  <si>
    <t>66:41:0612010</t>
  </si>
  <si>
    <t>66:41:0510041</t>
  </si>
  <si>
    <t>66:41:0510017</t>
  </si>
  <si>
    <t>66:41:0510022</t>
  </si>
  <si>
    <t>66:41:0519111</t>
  </si>
  <si>
    <t>66:41:0521005</t>
  </si>
  <si>
    <t>66:41:0402023</t>
  </si>
  <si>
    <t>66:41:0102046</t>
  </si>
  <si>
    <t>66:41:0303127</t>
  </si>
  <si>
    <t>66:41:0510055</t>
  </si>
  <si>
    <t>66:41:0519052</t>
  </si>
  <si>
    <t>66:41:0310046</t>
  </si>
  <si>
    <t>66:41:0312011</t>
  </si>
  <si>
    <t>66:41:0708006</t>
  </si>
  <si>
    <t>66:41:0106050</t>
  </si>
  <si>
    <t>66:41:0303114</t>
  </si>
  <si>
    <t>66:41:0102014</t>
  </si>
  <si>
    <t>66:41:0203041</t>
  </si>
  <si>
    <t>66:41:0605002</t>
  </si>
  <si>
    <t>66:41:0519033</t>
  </si>
  <si>
    <t>66:41:0711031</t>
  </si>
  <si>
    <t>66:41:0313017</t>
  </si>
  <si>
    <t>66:41:0510026</t>
  </si>
  <si>
    <t>66:41:0612011</t>
  </si>
  <si>
    <t>66:41:0608006</t>
  </si>
  <si>
    <t>66:41:0701009</t>
  </si>
  <si>
    <t>66:41:0106167</t>
  </si>
  <si>
    <t>66:41:0519081</t>
  </si>
  <si>
    <t>66:41:0108025</t>
  </si>
  <si>
    <t>66:41:0203071</t>
  </si>
  <si>
    <t>66:41:0403020</t>
  </si>
  <si>
    <t>66:41:0106030</t>
  </si>
  <si>
    <t>66:41:0106160</t>
  </si>
  <si>
    <t>66:41:0106082</t>
  </si>
  <si>
    <t>66:41:0306131</t>
  </si>
  <si>
    <t>66:41:0506019</t>
  </si>
  <si>
    <t>66:41:0608029</t>
  </si>
  <si>
    <t>66:41:0311013</t>
  </si>
  <si>
    <t>66:41:0203069</t>
  </si>
  <si>
    <t>66:41:0309083</t>
  </si>
  <si>
    <t>66:41:0510066</t>
  </si>
  <si>
    <t>66:41:0203031</t>
  </si>
  <si>
    <t>66:41:0402040</t>
  </si>
  <si>
    <t>66:41:0521902</t>
  </si>
  <si>
    <t>66:41:0303033</t>
  </si>
  <si>
    <t>66:41:0502066</t>
  </si>
  <si>
    <t>66:41:0513130</t>
  </si>
  <si>
    <t>66:41:0306052</t>
  </si>
  <si>
    <t>66:41:0106152</t>
  </si>
  <si>
    <t>66:41:0508053</t>
  </si>
  <si>
    <t>66:41:0313114</t>
  </si>
  <si>
    <t>66:41:0504069</t>
  </si>
  <si>
    <t>66:41:0203006</t>
  </si>
  <si>
    <t>66:41:0103009</t>
  </si>
  <si>
    <t>66:41:0708015</t>
  </si>
  <si>
    <t>66:41:0306023</t>
  </si>
  <si>
    <t>66:41:0106172</t>
  </si>
  <si>
    <t>66:41:0502004</t>
  </si>
  <si>
    <t>66:41:0106177</t>
  </si>
  <si>
    <t>66:41:0702007</t>
  </si>
  <si>
    <t>66:41:0504054</t>
  </si>
  <si>
    <t>66:41:0605012</t>
  </si>
  <si>
    <t>66:41:0305018</t>
  </si>
  <si>
    <t>66:41:0711003</t>
  </si>
  <si>
    <t>66:41:0515902</t>
  </si>
  <si>
    <t>66:41:0306070</t>
  </si>
  <si>
    <t>66:41:0310068</t>
  </si>
  <si>
    <t>66:41:0306105</t>
  </si>
  <si>
    <t>66:41:0508061</t>
  </si>
  <si>
    <t>66:41:0505028</t>
  </si>
  <si>
    <t>66:41:0711045</t>
  </si>
  <si>
    <t>66:41:0610022</t>
  </si>
  <si>
    <t>66:41:0612043</t>
  </si>
  <si>
    <t>66:41:0507065</t>
  </si>
  <si>
    <t>66:41:0519056</t>
  </si>
  <si>
    <t>66:41:0306078</t>
  </si>
  <si>
    <t>66:41:0508071</t>
  </si>
  <si>
    <t>66:41:0504081</t>
  </si>
  <si>
    <t>66:41:0210006</t>
  </si>
  <si>
    <t>66:41:0403027</t>
  </si>
  <si>
    <t>66:41:0309007</t>
  </si>
  <si>
    <t>66:41:0306015</t>
  </si>
  <si>
    <t>66:41:0710037</t>
  </si>
  <si>
    <t>66:41:0521027</t>
  </si>
  <si>
    <t>66:41:0109030</t>
  </si>
  <si>
    <t>66:41:0404004</t>
  </si>
  <si>
    <t>66:41:0610016</t>
  </si>
  <si>
    <t>66:41:0509039</t>
  </si>
  <si>
    <t>66:41:0508052</t>
  </si>
  <si>
    <t>66:41:0518901</t>
  </si>
  <si>
    <t>66:41:0503007</t>
  </si>
  <si>
    <t>66:41:0301017</t>
  </si>
  <si>
    <t>66:41:0510014</t>
  </si>
  <si>
    <t>66:41:0310067</t>
  </si>
  <si>
    <t>66:41:0403083</t>
  </si>
  <si>
    <t>66:41:0612079</t>
  </si>
  <si>
    <t>66:41:0709017</t>
  </si>
  <si>
    <t>66:41:0519001</t>
  </si>
  <si>
    <t>66:41:0612049</t>
  </si>
  <si>
    <t>66:41:0507015</t>
  </si>
  <si>
    <t>66:41:0612003</t>
  </si>
  <si>
    <t>66:41:0203030</t>
  </si>
  <si>
    <t>66:41:0514031</t>
  </si>
  <si>
    <t>66:41:0612042</t>
  </si>
  <si>
    <t>66:41:0507025</t>
  </si>
  <si>
    <t>66:41:0306095</t>
  </si>
  <si>
    <t>66:41:0108003</t>
  </si>
  <si>
    <t>66:41:0310117</t>
  </si>
  <si>
    <t>66:41:0508030</t>
  </si>
  <si>
    <t>66:41:0210054</t>
  </si>
  <si>
    <t>66:41:0303129</t>
  </si>
  <si>
    <t>66:41:0401023</t>
  </si>
  <si>
    <t>66:41:0203017</t>
  </si>
  <si>
    <t>66:41:0305009</t>
  </si>
  <si>
    <t>66:41:0210011</t>
  </si>
  <si>
    <t>66:41:0309059</t>
  </si>
  <si>
    <t>66:41:0711016</t>
  </si>
  <si>
    <t>66:41:0711002</t>
  </si>
  <si>
    <t>66:41:0102009</t>
  </si>
  <si>
    <t>66:41:0108122</t>
  </si>
  <si>
    <t>66:41:0501049</t>
  </si>
  <si>
    <t>66:41:0519012</t>
  </si>
  <si>
    <t>66:41:0306054</t>
  </si>
  <si>
    <t>66:41:0508010</t>
  </si>
  <si>
    <t>66:41:0506039</t>
  </si>
  <si>
    <t>66:41:0706002</t>
  </si>
  <si>
    <t>66:41:0106047</t>
  </si>
  <si>
    <t>66:41:0525002</t>
  </si>
  <si>
    <t>66:41:0306040</t>
  </si>
  <si>
    <t>66:41:0506029</t>
  </si>
  <si>
    <t>66:41:0519091</t>
  </si>
  <si>
    <t>66:41:0519047</t>
  </si>
  <si>
    <t>66:41:0109056</t>
  </si>
  <si>
    <t>66:41:0529003</t>
  </si>
  <si>
    <t>66:41:0601056</t>
  </si>
  <si>
    <t>66:41:0203021</t>
  </si>
  <si>
    <t>66:41:0306089</t>
  </si>
  <si>
    <t>66:41:0710017</t>
  </si>
  <si>
    <t>66:41:0109063</t>
  </si>
  <si>
    <t>66:41:0710027</t>
  </si>
  <si>
    <t>66:41:0521046</t>
  </si>
  <si>
    <t>66:41:0309084</t>
  </si>
  <si>
    <t>66:41:0502113</t>
  </si>
  <si>
    <t>66:41:0306075</t>
  </si>
  <si>
    <t>66:41:0203064</t>
  </si>
  <si>
    <t>66:41:0603033</t>
  </si>
  <si>
    <t>66:41:0203075</t>
  </si>
  <si>
    <t>66:41:0504072</t>
  </si>
  <si>
    <t>66:41:0519092</t>
  </si>
  <si>
    <t>66:41:0521004</t>
  </si>
  <si>
    <t>66:41:0501045</t>
  </si>
  <si>
    <t>66:41:0110017</t>
  </si>
  <si>
    <t>66:41:0702015</t>
  </si>
  <si>
    <t>66:41:0505023</t>
  </si>
  <si>
    <t>66:41:0702006</t>
  </si>
  <si>
    <t>66:41:0511001</t>
  </si>
  <si>
    <t>66:41:0305156</t>
  </si>
  <si>
    <t>66:41:0710014</t>
  </si>
  <si>
    <t>66:41:0503029</t>
  </si>
  <si>
    <t>66:41:0309061</t>
  </si>
  <si>
    <t>66:41:0203051</t>
  </si>
  <si>
    <t>66:41:0605023</t>
  </si>
  <si>
    <t>66:41:0310021</t>
  </si>
  <si>
    <t>66:41:0106069</t>
  </si>
  <si>
    <t>66:41:0508015</t>
  </si>
  <si>
    <t>66:41:0307074</t>
  </si>
  <si>
    <t>66:41:0504001</t>
  </si>
  <si>
    <t>66:41:0104008</t>
  </si>
  <si>
    <t>66:41:0519061</t>
  </si>
  <si>
    <t>66:41:0710019</t>
  </si>
  <si>
    <t>66:41:0508062</t>
  </si>
  <si>
    <t>66:41:0307024</t>
  </si>
  <si>
    <t>66:41:0521043</t>
  </si>
  <si>
    <t>66:41:0108061</t>
  </si>
  <si>
    <t>66:41:0521011</t>
  </si>
  <si>
    <t>66:41:0504055</t>
  </si>
  <si>
    <t>66:41:0510052</t>
  </si>
  <si>
    <t>66:41:0612052</t>
  </si>
  <si>
    <t>66:41:0519055</t>
  </si>
  <si>
    <t>66:41:0707008</t>
  </si>
  <si>
    <t>66:41:0609045</t>
  </si>
  <si>
    <t>66:41:0106084</t>
  </si>
  <si>
    <t>66:41:0509012</t>
  </si>
  <si>
    <t>66:41:0313053</t>
  </si>
  <si>
    <t>66:41:0525007</t>
  </si>
  <si>
    <t>66:41:0504071</t>
  </si>
  <si>
    <t>66:41:0504068</t>
  </si>
  <si>
    <t>66:41:0202002</t>
  </si>
  <si>
    <t>66:41:0106075</t>
  </si>
  <si>
    <t>66:41:0510003</t>
  </si>
  <si>
    <t>66:41:0306003</t>
  </si>
  <si>
    <t>66:41:0509025</t>
  </si>
  <si>
    <t>66:41:0709020</t>
  </si>
  <si>
    <t>66:41:0306038</t>
  </si>
  <si>
    <t>66:41:0521040</t>
  </si>
  <si>
    <t>66:41:0710007</t>
  </si>
  <si>
    <t>66:41:0303115</t>
  </si>
  <si>
    <t>66:41:0209022</t>
  </si>
  <si>
    <t>66:41:0106060</t>
  </si>
  <si>
    <t>66:41:0518018</t>
  </si>
  <si>
    <t>66:41:0305010</t>
  </si>
  <si>
    <t>66:41:0509015</t>
  </si>
  <si>
    <t>66:41:0402041</t>
  </si>
  <si>
    <t>66:41:0708003</t>
  </si>
  <si>
    <t>66:41:0309032</t>
  </si>
  <si>
    <t>66:41:0612034</t>
  </si>
  <si>
    <t>66:41:0404005</t>
  </si>
  <si>
    <t>66:41:0509050</t>
  </si>
  <si>
    <t>66:41:0210001</t>
  </si>
  <si>
    <t>66:41:0313122</t>
  </si>
  <si>
    <t>66:41:0106159</t>
  </si>
  <si>
    <t>66:41:0106161</t>
  </si>
  <si>
    <t>66:41:0106072</t>
  </si>
  <si>
    <t>66:41:0709019</t>
  </si>
  <si>
    <t>66:41:0507036</t>
  </si>
  <si>
    <t>66:41:0501044</t>
  </si>
  <si>
    <t>66:41:0609030</t>
  </si>
  <si>
    <t>66:41:0402042</t>
  </si>
  <si>
    <t>66:41:0503020</t>
  </si>
  <si>
    <t>66:41:0514027</t>
  </si>
  <si>
    <t>66:41:0403062</t>
  </si>
  <si>
    <t>66:41:0514007</t>
  </si>
  <si>
    <t>66:41:0701001</t>
  </si>
  <si>
    <t>66:41:0520004</t>
  </si>
  <si>
    <t>66:41:0106171</t>
  </si>
  <si>
    <t>66:41:0303118</t>
  </si>
  <si>
    <t>66:41:0311020</t>
  </si>
  <si>
    <t>66:41:0521002</t>
  </si>
  <si>
    <t>66:41:0309052</t>
  </si>
  <si>
    <t>66:41:0515013</t>
  </si>
  <si>
    <t>66:41:0523004</t>
  </si>
  <si>
    <t>66:41:0303138</t>
  </si>
  <si>
    <t>66:41:0702062</t>
  </si>
  <si>
    <t>66:41:0519118</t>
  </si>
  <si>
    <t>66:41:0612082</t>
  </si>
  <si>
    <t>66:41:0106031</t>
  </si>
  <si>
    <t>66:41:0106016</t>
  </si>
  <si>
    <t>66:41:0404010</t>
  </si>
  <si>
    <t>66:41:0519078</t>
  </si>
  <si>
    <t>66:41:0505033</t>
  </si>
  <si>
    <t>66:41:0707007</t>
  </si>
  <si>
    <t>66:41:0508089</t>
  </si>
  <si>
    <t>66:41:0706006</t>
  </si>
  <si>
    <t>66:41:0609902</t>
  </si>
  <si>
    <t>66:41:0508073</t>
  </si>
  <si>
    <t>66:41:0104006</t>
  </si>
  <si>
    <t>66:41:0503025</t>
  </si>
  <si>
    <t>66:41:0306128</t>
  </si>
  <si>
    <t>66:41:0609044</t>
  </si>
  <si>
    <t>66:41:0108022</t>
  </si>
  <si>
    <t>66:41:0508045</t>
  </si>
  <si>
    <t>66:41:0506005</t>
  </si>
  <si>
    <t>66:41:0110018</t>
  </si>
  <si>
    <t>66:41:0503018</t>
  </si>
  <si>
    <t>66:41:0307022</t>
  </si>
  <si>
    <t>66:41:0518004</t>
  </si>
  <si>
    <t>66:41:0508076</t>
  </si>
  <si>
    <t>66:41:0515036</t>
  </si>
  <si>
    <t>66:41:0607010</t>
  </si>
  <si>
    <t>66:41:0508034</t>
  </si>
  <si>
    <t>66:41:0110015</t>
  </si>
  <si>
    <t>66:41:0508029</t>
  </si>
  <si>
    <t>66:41:0106166</t>
  </si>
  <si>
    <t>66:41:0711036</t>
  </si>
  <si>
    <t>66:41:0106076</t>
  </si>
  <si>
    <t>66:41:0517002</t>
  </si>
  <si>
    <t>66:41:0508067</t>
  </si>
  <si>
    <t>66:41:0210045</t>
  </si>
  <si>
    <t>66:41:0508092</t>
  </si>
  <si>
    <t>66:41:0306051</t>
  </si>
  <si>
    <t>66:41:0508074</t>
  </si>
  <si>
    <t>66:41:0525006</t>
  </si>
  <si>
    <t>66:41:0102032</t>
  </si>
  <si>
    <t>66:41:0106029</t>
  </si>
  <si>
    <t>66:41:0508069</t>
  </si>
  <si>
    <t>66:41:0511034</t>
  </si>
  <si>
    <t>66:41:0203014</t>
  </si>
  <si>
    <t>66:41:0511013</t>
  </si>
  <si>
    <t>66:41:0106011</t>
  </si>
  <si>
    <t>66:41:0203039</t>
  </si>
  <si>
    <t>66:41:0102039</t>
  </si>
  <si>
    <t>66:41:0515017</t>
  </si>
  <si>
    <t>66:41:0519096</t>
  </si>
  <si>
    <t>66:41:0508064</t>
  </si>
  <si>
    <t>66:41:0519066</t>
  </si>
  <si>
    <t>66:41:0108036</t>
  </si>
  <si>
    <t>66:41:0210026</t>
  </si>
  <si>
    <t>66:41:0523001</t>
  </si>
  <si>
    <t>66:41:0311018</t>
  </si>
  <si>
    <t>66:41:0303119</t>
  </si>
  <si>
    <t>66:41:0106068</t>
  </si>
  <si>
    <t>66:41:0504051</t>
  </si>
  <si>
    <t>66:41:0509036</t>
  </si>
  <si>
    <t>66:41:0602002</t>
  </si>
  <si>
    <t>66:41:0310014</t>
  </si>
  <si>
    <t>66:41:0525012</t>
  </si>
  <si>
    <t>66:41:0310102</t>
  </si>
  <si>
    <t>66:41:0710042</t>
  </si>
  <si>
    <t>66:41:0108005</t>
  </si>
  <si>
    <t>66:41:0108034</t>
  </si>
  <si>
    <t>66:41:0109054</t>
  </si>
  <si>
    <t>66:41:0501048</t>
  </si>
  <si>
    <t>66:41:0309062</t>
  </si>
  <si>
    <t>66:41:0210035</t>
  </si>
  <si>
    <t>66:41:0503012</t>
  </si>
  <si>
    <t>66:41:0106145</t>
  </si>
  <si>
    <t>66:41:0502010</t>
  </si>
  <si>
    <t>66:41:0518005</t>
  </si>
  <si>
    <t>66:41:0303140</t>
  </si>
  <si>
    <t>66:41:0508066</t>
  </si>
  <si>
    <t>66:41:0310063</t>
  </si>
  <si>
    <t>66:41:0210106</t>
  </si>
  <si>
    <t>66:41:0309086</t>
  </si>
  <si>
    <t>66:41:0402044</t>
  </si>
  <si>
    <t>66:41:0523002</t>
  </si>
  <si>
    <t>66:41:0108002</t>
  </si>
  <si>
    <t>66:41:0708022</t>
  </si>
  <si>
    <t>66:41:0306036</t>
  </si>
  <si>
    <t>66:41:0608008</t>
  </si>
  <si>
    <t>66:41:0109058</t>
  </si>
  <si>
    <t>66:41:0712015</t>
  </si>
  <si>
    <t>66:41:0702014</t>
  </si>
  <si>
    <t>66:41:0109061</t>
  </si>
  <si>
    <t>66:41:0508009</t>
  </si>
  <si>
    <t>66:41:0504056</t>
  </si>
  <si>
    <t>66:41:0309087</t>
  </si>
  <si>
    <t>66:41:0507119</t>
  </si>
  <si>
    <t>66:41:0607026</t>
  </si>
  <si>
    <t>66:41:0711041</t>
  </si>
  <si>
    <t>66:41:0210004</t>
  </si>
  <si>
    <t>66:41:0515012</t>
  </si>
  <si>
    <t>66:41:0402043</t>
  </si>
  <si>
    <t>66:41:0503023</t>
  </si>
  <si>
    <t>66:41:0708023</t>
  </si>
  <si>
    <t>66:41:0519060</t>
  </si>
  <si>
    <t>66:41:0605018</t>
  </si>
  <si>
    <t>66:41:0309071</t>
  </si>
  <si>
    <t>66:41:0612024</t>
  </si>
  <si>
    <t>66:41:0104004</t>
  </si>
  <si>
    <t>66:41:0110024</t>
  </si>
  <si>
    <t>66:41:0310039</t>
  </si>
  <si>
    <t>66:41:0519030</t>
  </si>
  <si>
    <t>66:41:0303116</t>
  </si>
  <si>
    <t>66:41:0517011</t>
  </si>
  <si>
    <t>66:41:0702071</t>
  </si>
  <si>
    <t>66:41:0203045</t>
  </si>
  <si>
    <t>66:41:0501043</t>
  </si>
  <si>
    <t>66:41:0313102</t>
  </si>
  <si>
    <t>66:41:0504070</t>
  </si>
  <si>
    <t>66:41:0519051</t>
  </si>
  <si>
    <t>66:41:0606009</t>
  </si>
  <si>
    <t>66:41:0529008</t>
  </si>
  <si>
    <t>66:41:0306072</t>
  </si>
  <si>
    <t>66:41:0504092</t>
  </si>
  <si>
    <t>66:41:0310019</t>
  </si>
  <si>
    <t>66:41:0708010</t>
  </si>
  <si>
    <t>66:41:0519031</t>
  </si>
  <si>
    <t>66:41:0203015</t>
  </si>
  <si>
    <t>66:41:0510067</t>
  </si>
  <si>
    <t>66:41:0525013</t>
  </si>
  <si>
    <t>66:41:0109035</t>
  </si>
  <si>
    <t>66:41:0307097</t>
  </si>
  <si>
    <t>66:41:0507023</t>
  </si>
  <si>
    <t>66:41:0521018</t>
  </si>
  <si>
    <t>66:41:0310088</t>
  </si>
  <si>
    <t>66:41:0609052</t>
  </si>
  <si>
    <t>66:41:0516018</t>
  </si>
  <si>
    <t>66:41:0610044</t>
  </si>
  <si>
    <t>66:41:0310075</t>
  </si>
  <si>
    <t>66:41:0508011</t>
  </si>
  <si>
    <t>66:41:0310027</t>
  </si>
  <si>
    <t>66:41:0210005</t>
  </si>
  <si>
    <t>66:41:0711006</t>
  </si>
  <si>
    <t>66:41:0518008</t>
  </si>
  <si>
    <t>66:41:0306085</t>
  </si>
  <si>
    <t>66:41:0612033</t>
  </si>
  <si>
    <t>66:41:0515061</t>
  </si>
  <si>
    <t>66:41:0508033</t>
  </si>
  <si>
    <t>66:41:0508097</t>
  </si>
  <si>
    <t>66:41:0507002</t>
  </si>
  <si>
    <t>66:41:0310080</t>
  </si>
  <si>
    <t>66:41:0307071</t>
  </si>
  <si>
    <t>66:41:0518015</t>
  </si>
  <si>
    <t>66:41:0310101</t>
  </si>
  <si>
    <t>66:41:0503014</t>
  </si>
  <si>
    <t>66:41:0109049</t>
  </si>
  <si>
    <t>66:41:0513049</t>
  </si>
  <si>
    <t>66:41:0306113</t>
  </si>
  <si>
    <t>66:41:0507046</t>
  </si>
  <si>
    <t>66:41:0306047</t>
  </si>
  <si>
    <t>66:41:0509008</t>
  </si>
  <si>
    <t>66:41:0518016</t>
  </si>
  <si>
    <t>66:41:0502007</t>
  </si>
  <si>
    <t>66:41:0310004</t>
  </si>
  <si>
    <t>66:41:0306039</t>
  </si>
  <si>
    <t>66:41:0306008</t>
  </si>
  <si>
    <t>66:41:0521045</t>
  </si>
  <si>
    <t>66:41:0108024</t>
  </si>
  <si>
    <t>66:41:0309080</t>
  </si>
  <si>
    <t>66:41:0310113</t>
  </si>
  <si>
    <t>66:41:0708002</t>
  </si>
  <si>
    <t>66:41:0612008</t>
  </si>
  <si>
    <t>66:41:0603026</t>
  </si>
  <si>
    <t>66:41:0519113</t>
  </si>
  <si>
    <t>66:41:0503026</t>
  </si>
  <si>
    <t>66:41:0508054</t>
  </si>
  <si>
    <t>66:41:0311901</t>
  </si>
  <si>
    <t>66:41:0108020</t>
  </si>
  <si>
    <t>66:41:0508031</t>
  </si>
  <si>
    <t>66:41:0106071</t>
  </si>
  <si>
    <t>66:41:0507029</t>
  </si>
  <si>
    <t>66:41:0308022</t>
  </si>
  <si>
    <t>66:41:0516013</t>
  </si>
  <si>
    <t>66:41:0504090</t>
  </si>
  <si>
    <t>66:41:0610005</t>
  </si>
  <si>
    <t>66:41:0306037</t>
  </si>
  <si>
    <t>66:41:0517010</t>
  </si>
  <si>
    <t>66:41:0710026</t>
  </si>
  <si>
    <t>66:41:0507045</t>
  </si>
  <si>
    <t>66:41:0314016</t>
  </si>
  <si>
    <t>66:41:0503024</t>
  </si>
  <si>
    <t>66:41:0702013</t>
  </si>
  <si>
    <t>66:41:0608010</t>
  </si>
  <si>
    <t>66:41:0513053</t>
  </si>
  <si>
    <t>66:41:0204038</t>
  </si>
  <si>
    <t>66:41:0310020</t>
  </si>
  <si>
    <t>66:41:0609042</t>
  </si>
  <si>
    <t>66:41:0105019</t>
  </si>
  <si>
    <t>66:41:0403061</t>
  </si>
  <si>
    <t>66:41:0519125</t>
  </si>
  <si>
    <t>66:41:0519063</t>
  </si>
  <si>
    <t>66:41:0605010</t>
  </si>
  <si>
    <t>66:41:0501047</t>
  </si>
  <si>
    <t>66:41:0507082</t>
  </si>
  <si>
    <t>66:41:0104003</t>
  </si>
  <si>
    <t>66:41:0507053</t>
  </si>
  <si>
    <t>66:41:0105021</t>
  </si>
  <si>
    <t>66:41:0711060</t>
  </si>
  <si>
    <t>66:41:0504082</t>
  </si>
  <si>
    <t>66:41:0106052</t>
  </si>
  <si>
    <t>66:41:0109025</t>
  </si>
  <si>
    <t>66:41:0303003</t>
  </si>
  <si>
    <t>66:41:0313066</t>
  </si>
  <si>
    <t>66:41:0309011</t>
  </si>
  <si>
    <t>66:41:0529005</t>
  </si>
  <si>
    <t>66:41:0605005</t>
  </si>
  <si>
    <t>66:41:0510040</t>
  </si>
  <si>
    <t>66:41:0603025</t>
  </si>
  <si>
    <t>66:41:0108095</t>
  </si>
  <si>
    <t>66:41:0309055</t>
  </si>
  <si>
    <t>66:41:0606008</t>
  </si>
  <si>
    <t>66:41:0603032</t>
  </si>
  <si>
    <t>66:41:0303117</t>
  </si>
  <si>
    <t>66:41:0606049</t>
  </si>
  <si>
    <t>66:41:0109040</t>
  </si>
  <si>
    <t>66:41:0521026</t>
  </si>
  <si>
    <t>66:41:0310106</t>
  </si>
  <si>
    <t>66:41:0108021</t>
  </si>
  <si>
    <t>66:41:0107039</t>
  </si>
  <si>
    <t>66:41:0507003</t>
  </si>
  <si>
    <t>66:41:0508012</t>
  </si>
  <si>
    <t>66:41:0307067</t>
  </si>
  <si>
    <t>66:41:0514005</t>
  </si>
  <si>
    <t>66:41:0202006</t>
  </si>
  <si>
    <t>66:41:0314017</t>
  </si>
  <si>
    <t>66:41:0310003</t>
  </si>
  <si>
    <t>66:41:0307061</t>
  </si>
  <si>
    <t>66:41:0519011</t>
  </si>
  <si>
    <t>66:41:0105032</t>
  </si>
  <si>
    <t>66:41:0306016</t>
  </si>
  <si>
    <t>66:41:0510011</t>
  </si>
  <si>
    <t>66:41:0310109</t>
  </si>
  <si>
    <t>66:41:0603034</t>
  </si>
  <si>
    <t>66:41:0310076</t>
  </si>
  <si>
    <t>66:41:0607003</t>
  </si>
  <si>
    <t>66:41:0110176</t>
  </si>
  <si>
    <t>66:41:0607901</t>
  </si>
  <si>
    <t>66:41:0606010</t>
  </si>
  <si>
    <t>66:41:0310108</t>
  </si>
  <si>
    <t>66:41:0104007</t>
  </si>
  <si>
    <t>66:41:0105016</t>
  </si>
  <si>
    <t>66:41:0510045</t>
  </si>
  <si>
    <t>66:41:0210059</t>
  </si>
  <si>
    <t>66:41:0508046</t>
  </si>
  <si>
    <t>66:41:0101104</t>
  </si>
  <si>
    <t>66:41:0109045</t>
  </si>
  <si>
    <t>66:41:0314015</t>
  </si>
  <si>
    <t>66:41:0603028</t>
  </si>
  <si>
    <t>66:41:0607002</t>
  </si>
  <si>
    <t>66:41:0305015</t>
  </si>
  <si>
    <t>66:41:0605016</t>
  </si>
  <si>
    <t>66:41:0514029</t>
  </si>
  <si>
    <t>66:41:0507083</t>
  </si>
  <si>
    <t>66:41:0305016</t>
  </si>
  <si>
    <t>66:41:0609008</t>
  </si>
  <si>
    <t>66:41:0310048</t>
  </si>
  <si>
    <t>66:41:0610029</t>
  </si>
  <si>
    <t>66:41:0609049</t>
  </si>
  <si>
    <t>66:41:0521019</t>
  </si>
  <si>
    <t>66:41:0504089</t>
  </si>
  <si>
    <t>66:41:0508032</t>
  </si>
  <si>
    <t>66:41:0710016</t>
  </si>
  <si>
    <t>66:41:0711070</t>
  </si>
  <si>
    <t>66:41:0614009</t>
  </si>
  <si>
    <t>66:41:0109051</t>
  </si>
  <si>
    <t>66:41:0508087</t>
  </si>
  <si>
    <t>66:41:0315012</t>
  </si>
  <si>
    <t>66:41:0603027</t>
  </si>
  <si>
    <t>66:41:0511032</t>
  </si>
  <si>
    <t>66:41:0606002</t>
  </si>
  <si>
    <t>66:41:0711038</t>
  </si>
  <si>
    <t>66:41:0314018</t>
  </si>
  <si>
    <t>66:41:0529002</t>
  </si>
  <si>
    <t>66:41:0519117</t>
  </si>
  <si>
    <t>66:41:0515023</t>
  </si>
  <si>
    <t>66:41:0310025</t>
  </si>
  <si>
    <t>66:41:0610072</t>
  </si>
  <si>
    <t>66:41:0508081</t>
  </si>
  <si>
    <t>66:41:0607040</t>
  </si>
  <si>
    <t>66:41:0519065</t>
  </si>
  <si>
    <t>66:41:0712012</t>
  </si>
  <si>
    <t>66:41:0524003</t>
  </si>
  <si>
    <t>66:41:0508086</t>
  </si>
  <si>
    <t>66:41:0610035</t>
  </si>
  <si>
    <t>66:41:0515022</t>
  </si>
  <si>
    <t>66:41:0309089</t>
  </si>
  <si>
    <t>66:41:0110177</t>
  </si>
  <si>
    <t>66:41:0314003</t>
  </si>
  <si>
    <t>66:41:0314005</t>
  </si>
  <si>
    <t>66:41:0310100</t>
  </si>
  <si>
    <t>66:41:0310093</t>
  </si>
  <si>
    <t>66:41:0310091</t>
  </si>
  <si>
    <t>66:41:0502003</t>
  </si>
  <si>
    <t>66:41:0205046</t>
  </si>
  <si>
    <t>66:41:0307080</t>
  </si>
  <si>
    <t>66:41:0310009</t>
  </si>
  <si>
    <t>66:41:0519036</t>
  </si>
  <si>
    <t>66:41:0309085</t>
  </si>
  <si>
    <t>66:41:0302004</t>
  </si>
  <si>
    <t>66:41:0515046</t>
  </si>
  <si>
    <t>66:41:0504091</t>
  </si>
  <si>
    <t>66:41:0712013</t>
  </si>
  <si>
    <t>66:41:0614002</t>
  </si>
  <si>
    <t>66:41:0503004</t>
  </si>
  <si>
    <t>66:41:0310008</t>
  </si>
  <si>
    <t>66:41:0515041</t>
  </si>
  <si>
    <t>66:41:0307095</t>
  </si>
  <si>
    <t>66:41:0310901</t>
  </si>
  <si>
    <t>66:41:0107081</t>
  </si>
  <si>
    <t>66:41:0306031</t>
  </si>
  <si>
    <t>66:41:0306066</t>
  </si>
  <si>
    <t>66:41:0710006</t>
  </si>
  <si>
    <t>66:41:0307092</t>
  </si>
  <si>
    <t>66:41:0207016</t>
  </si>
  <si>
    <t>66:41:0509053</t>
  </si>
  <si>
    <t>66:41:0712007</t>
  </si>
  <si>
    <t>66:41:0507118</t>
  </si>
  <si>
    <t>66:41:0306057</t>
  </si>
  <si>
    <t>66:41:0711037</t>
  </si>
  <si>
    <t>66:41:0519008</t>
  </si>
  <si>
    <t>66:41:0309029</t>
  </si>
  <si>
    <t>66:41:0109048</t>
  </si>
  <si>
    <t>66:41:0508068</t>
  </si>
  <si>
    <t>66:41:0105018</t>
  </si>
  <si>
    <t>66:41:0311015</t>
  </si>
  <si>
    <t>66:41:0519103</t>
  </si>
  <si>
    <t>66:41:0306044</t>
  </si>
  <si>
    <t>66:41:0610003</t>
  </si>
  <si>
    <t>66:41:0310119</t>
  </si>
  <si>
    <t>66:41:0210036</t>
  </si>
  <si>
    <t>66:41:0105014</t>
  </si>
  <si>
    <t>66:41:0210104</t>
  </si>
  <si>
    <t>66:41:0612093</t>
  </si>
  <si>
    <t>66:41:0521023</t>
  </si>
  <si>
    <t>66:41:0310006</t>
  </si>
  <si>
    <t>66:41:0614007</t>
  </si>
  <si>
    <t>66:41:0210029</t>
  </si>
  <si>
    <t>66:41:0210039</t>
  </si>
  <si>
    <t>66:41:0519077</t>
  </si>
  <si>
    <t>66:41:0525011</t>
  </si>
  <si>
    <t>66:41:0306124</t>
  </si>
  <si>
    <t>66:41:0519087</t>
  </si>
  <si>
    <t>66:41:0314001</t>
  </si>
  <si>
    <t>66:41:0310107</t>
  </si>
  <si>
    <t>66:41:0210020</t>
  </si>
  <si>
    <t>66:41:0310105</t>
  </si>
  <si>
    <t>66:41:0306902</t>
  </si>
  <si>
    <t>66:41:0315003</t>
  </si>
  <si>
    <t>66:41:0314002</t>
  </si>
  <si>
    <t>66:41:0310115</t>
  </si>
  <si>
    <t>66:41:0507005</t>
  </si>
  <si>
    <t>66:41:0524001</t>
  </si>
  <si>
    <t>66:41:0515011</t>
  </si>
  <si>
    <t>66:41:0605019</t>
  </si>
  <si>
    <t>66:41:0310114</t>
  </si>
  <si>
    <t>66:41:0315901</t>
  </si>
  <si>
    <t>66:41:0313089</t>
  </si>
  <si>
    <t>66:41:0606051</t>
  </si>
  <si>
    <t>66:41:0519105</t>
  </si>
  <si>
    <t>66:41:0309072</t>
  </si>
  <si>
    <t>66:41:0519114</t>
  </si>
  <si>
    <t>66:41:0305011</t>
  </si>
  <si>
    <t>66:41:0508095</t>
  </si>
  <si>
    <t>66:41:0508083</t>
  </si>
  <si>
    <t>66:41:0207008</t>
  </si>
  <si>
    <t>66:41:0710004</t>
  </si>
  <si>
    <t>66:41:0310029</t>
  </si>
  <si>
    <t>66:41:0605013</t>
  </si>
  <si>
    <t>66:41:0508016</t>
  </si>
  <si>
    <t>66:41:0310035</t>
  </si>
  <si>
    <t>66:41:0105006</t>
  </si>
  <si>
    <t>66:41:0310120</t>
  </si>
  <si>
    <t>66:41:0207030</t>
  </si>
  <si>
    <t>66:41:0307093</t>
  </si>
  <si>
    <t>66:41:0507014</t>
  </si>
  <si>
    <t>66:41:0207015</t>
  </si>
  <si>
    <t>66:41:0310083</t>
  </si>
  <si>
    <t>66:41:0310015</t>
  </si>
  <si>
    <t>66:41:0310036</t>
  </si>
  <si>
    <t>66:41:0614024</t>
  </si>
  <si>
    <t>66:41:0707019</t>
  </si>
  <si>
    <t>66:41:0614079</t>
  </si>
  <si>
    <t>66:41:0310028</t>
  </si>
  <si>
    <t>66:41:0310094</t>
  </si>
  <si>
    <t>66:41:0526010</t>
  </si>
  <si>
    <t>66:41:0307036</t>
  </si>
  <si>
    <t>66:41:0310085</t>
  </si>
  <si>
    <t>66:41:0313084</t>
  </si>
  <si>
    <t>66:41:0607004</t>
  </si>
  <si>
    <t>66:41:0529001</t>
  </si>
  <si>
    <t>66:41:0103901</t>
  </si>
  <si>
    <t>66:41:0515045</t>
  </si>
  <si>
    <t>66:41:0307027</t>
  </si>
  <si>
    <t>66:41:0516009</t>
  </si>
  <si>
    <t>66:41:0712029</t>
  </si>
  <si>
    <t>66:41:0605021</t>
  </si>
  <si>
    <t>66:41:0515037</t>
  </si>
  <si>
    <t>66:41:0210013</t>
  </si>
  <si>
    <t>66:41:0207029</t>
  </si>
  <si>
    <t>66:41:0614072</t>
  </si>
  <si>
    <t>66:41:0516016</t>
  </si>
  <si>
    <t>66:41:0518025</t>
  </si>
  <si>
    <t>66:41:0109021</t>
  </si>
  <si>
    <t>66:41:0516014</t>
  </si>
  <si>
    <t>66:41:0306034</t>
  </si>
  <si>
    <t>66:41:0508084</t>
  </si>
  <si>
    <t>66:41:0507021</t>
  </si>
  <si>
    <t>66:41:0509014</t>
  </si>
  <si>
    <t>66:41:0306035</t>
  </si>
  <si>
    <t>66:41:0105030</t>
  </si>
  <si>
    <t>66:41:0306032</t>
  </si>
  <si>
    <t>66:41:0519126</t>
  </si>
  <si>
    <t>66:41:0519058</t>
  </si>
  <si>
    <t>66:41:0202001</t>
  </si>
  <si>
    <t>66:41:0514021</t>
  </si>
  <si>
    <t>66:41:0210070</t>
  </si>
  <si>
    <t>66:41:0519095</t>
  </si>
  <si>
    <t>66:41:0518510</t>
  </si>
  <si>
    <t>66:41:0307086</t>
  </si>
  <si>
    <t>66:41:0516010</t>
  </si>
  <si>
    <t>66:41:0306022</t>
  </si>
  <si>
    <t>66:41:0511026</t>
  </si>
  <si>
    <t>66:41:0109044</t>
  </si>
  <si>
    <t>66:41:0605017</t>
  </si>
  <si>
    <t>66:41:0614078</t>
  </si>
  <si>
    <t>66:41:0306014</t>
  </si>
  <si>
    <t>66:41:0109015</t>
  </si>
  <si>
    <t>66:41:0210002</t>
  </si>
  <si>
    <t>66:41:0502099</t>
  </si>
  <si>
    <t>66:41:0308901</t>
  </si>
  <si>
    <t>66:41:0605014</t>
  </si>
  <si>
    <t>66:41:0210092</t>
  </si>
  <si>
    <t>66:41:0307038</t>
  </si>
  <si>
    <t>66:41:0610043</t>
  </si>
  <si>
    <t>66:41:0612051</t>
  </si>
  <si>
    <t>66:41:0526901</t>
  </si>
  <si>
    <t>66:41:0210068</t>
  </si>
  <si>
    <t>66:41:0105009</t>
  </si>
  <si>
    <t>66:41:0607029</t>
  </si>
  <si>
    <t>66:41:0207032</t>
  </si>
  <si>
    <t>66:41:0313098</t>
  </si>
  <si>
    <t>66:41:0311005</t>
  </si>
  <si>
    <t>66:41:0101015</t>
  </si>
  <si>
    <t>66:41:0515003</t>
  </si>
  <si>
    <t>66:41:0507012</t>
  </si>
  <si>
    <t>66:41:0514024</t>
  </si>
  <si>
    <t>66:41:0101004</t>
  </si>
  <si>
    <t>66:41:0513044</t>
  </si>
  <si>
    <t>66:41:0514025</t>
  </si>
  <si>
    <t>66:41:0310118</t>
  </si>
  <si>
    <t>66:41:0514022</t>
  </si>
  <si>
    <t>66:41:0105013</t>
  </si>
  <si>
    <t>66:41:0519132</t>
  </si>
  <si>
    <t>66:41:0103007</t>
  </si>
  <si>
    <t>66:41:0606069</t>
  </si>
  <si>
    <t>66:41:0526016</t>
  </si>
  <si>
    <t>66:41:0310121</t>
  </si>
  <si>
    <t>66:41:0310116</t>
  </si>
  <si>
    <t>66:41:0606007</t>
  </si>
  <si>
    <t>66:41:0519090</t>
  </si>
  <si>
    <t>66:41:0310023</t>
  </si>
  <si>
    <t>66:41:0503011</t>
  </si>
  <si>
    <t>66:41:0309050</t>
  </si>
  <si>
    <t>66:41:0524006</t>
  </si>
  <si>
    <t>66:41:0508094</t>
  </si>
  <si>
    <t>66:41:0708024</t>
  </si>
  <si>
    <t>66:41:0104010</t>
  </si>
  <si>
    <t>66:41:0614077</t>
  </si>
  <si>
    <t>66:41:0509042</t>
  </si>
  <si>
    <t>66:41:0310064</t>
  </si>
  <si>
    <t>66:41:0104012</t>
  </si>
  <si>
    <t>66:41:0503009</t>
  </si>
  <si>
    <t>66:41:0308017</t>
  </si>
  <si>
    <t>66:41:0515009</t>
  </si>
  <si>
    <t>66:41:0109039</t>
  </si>
  <si>
    <t>66:41:0526002</t>
  </si>
  <si>
    <t>66:41:0310069</t>
  </si>
  <si>
    <t>66:41:0105008</t>
  </si>
  <si>
    <t>66:41:0312003</t>
  </si>
  <si>
    <t>66:41:0103008</t>
  </si>
  <si>
    <t>66:41:0518003</t>
  </si>
  <si>
    <t>66:41:0207020</t>
  </si>
  <si>
    <t>66:41:0308011</t>
  </si>
  <si>
    <t>66:41:0614076</t>
  </si>
  <si>
    <t>66:41:0503001</t>
  </si>
  <si>
    <t>66:41:0103012</t>
  </si>
  <si>
    <t>66:41:0210077</t>
  </si>
  <si>
    <t>66:41:0513043</t>
  </si>
  <si>
    <t>66:41:0210018</t>
  </si>
  <si>
    <t>66:41:0310002</t>
  </si>
  <si>
    <t>66:41:0518028</t>
  </si>
  <si>
    <t>66:41:0210072</t>
  </si>
  <si>
    <t>66:41:0107106</t>
  </si>
  <si>
    <t>66:41:0310012</t>
  </si>
  <si>
    <t>66:41:0507084</t>
  </si>
  <si>
    <t>66:41:0210087</t>
  </si>
  <si>
    <t>66:41:0207011</t>
  </si>
  <si>
    <t>66:41:0307042</t>
  </si>
  <si>
    <t>66:41:0310111</t>
  </si>
  <si>
    <t>66:41:0109046</t>
  </si>
  <si>
    <t>66:41:0515048</t>
  </si>
  <si>
    <t>66:41:0310032</t>
  </si>
  <si>
    <t>66:41:0105028</t>
  </si>
  <si>
    <t>66:41:0518024</t>
  </si>
  <si>
    <t>66:41:0507008</t>
  </si>
  <si>
    <t>66:41:0514001</t>
  </si>
  <si>
    <t>66:41:0207005</t>
  </si>
  <si>
    <t>66:41:0520005</t>
  </si>
  <si>
    <t>66:41:0509003</t>
  </si>
  <si>
    <t>66:41:0514035</t>
  </si>
  <si>
    <t>66:41:0526003</t>
  </si>
  <si>
    <t>66:41:0109013</t>
  </si>
  <si>
    <t>66:41:0315011</t>
  </si>
  <si>
    <t>66:41:0607011</t>
  </si>
  <si>
    <t>66:41:0210082</t>
  </si>
  <si>
    <t>66:41:0526011</t>
  </si>
  <si>
    <t>66:41:0210063</t>
  </si>
  <si>
    <t>66:41:0306063</t>
  </si>
  <si>
    <t>66:41:0309004</t>
  </si>
  <si>
    <t>66:41:0518027</t>
  </si>
  <si>
    <t>66:41:0712006</t>
  </si>
  <si>
    <t>66:41:0310070</t>
  </si>
  <si>
    <t>66:41:0308014</t>
  </si>
  <si>
    <t>66:41:0507013</t>
  </si>
  <si>
    <t>66:41:0308018</t>
  </si>
  <si>
    <t>66:41:0307049</t>
  </si>
  <si>
    <t>66:41:0107098</t>
  </si>
  <si>
    <t>66:41:0311004</t>
  </si>
  <si>
    <t>66:41:0707020</t>
  </si>
  <si>
    <t>66:41:0307088</t>
  </si>
  <si>
    <t>66:41:0521054</t>
  </si>
  <si>
    <t>66:41:0513048</t>
  </si>
  <si>
    <t>66:41:0310090</t>
  </si>
  <si>
    <t>66:41:0310104</t>
  </si>
  <si>
    <t>66:41:0309024</t>
  </si>
  <si>
    <t>66:41:0526004</t>
  </si>
  <si>
    <t>66:41:0609009</t>
  </si>
  <si>
    <t>66:41:0315010</t>
  </si>
  <si>
    <t>66:41:0208006</t>
  </si>
  <si>
    <t>66:41:0210014</t>
  </si>
  <si>
    <t>66:41:0310072</t>
  </si>
  <si>
    <t>66:41:0605024</t>
  </si>
  <si>
    <t>66:41:0315002</t>
  </si>
  <si>
    <t>66:41:0210040</t>
  </si>
  <si>
    <t>66:41:0315005</t>
  </si>
  <si>
    <t>66:41:0514051</t>
  </si>
  <si>
    <t>66:41:0310022</t>
  </si>
  <si>
    <t>66:41:0109031</t>
  </si>
  <si>
    <t>66:41:0513055</t>
  </si>
  <si>
    <t>66:41:0310103</t>
  </si>
  <si>
    <t>66:41:0511033</t>
  </si>
  <si>
    <t>66:41:0105005</t>
  </si>
  <si>
    <t>66:41:0610036</t>
  </si>
  <si>
    <t>66:41:0511031</t>
  </si>
  <si>
    <t>66:41:0526012</t>
  </si>
  <si>
    <t>66:41:0507092</t>
  </si>
  <si>
    <t>66:41:0307090</t>
  </si>
  <si>
    <t>66:41:0526005</t>
  </si>
  <si>
    <t>66:41:0712047</t>
  </si>
  <si>
    <t>66:41:0308004</t>
  </si>
  <si>
    <t>66:41:0105023</t>
  </si>
  <si>
    <t>66:41:0210079</t>
  </si>
  <si>
    <t>66:41:0308015</t>
  </si>
  <si>
    <t>66:41:0210030</t>
  </si>
  <si>
    <t>66:41:0519075</t>
  </si>
  <si>
    <t>66:41:0109017</t>
  </si>
  <si>
    <t>66:41:0105010</t>
  </si>
  <si>
    <t>66:41:0313095</t>
  </si>
  <si>
    <t>66:41:0310096</t>
  </si>
  <si>
    <t>66:41:0511016</t>
  </si>
  <si>
    <t>66:41:0309073</t>
  </si>
  <si>
    <t>66:41:0524004</t>
  </si>
  <si>
    <t>66:41:0315013</t>
  </si>
  <si>
    <t>66:41:0519131</t>
  </si>
  <si>
    <t>66:41:0519086</t>
  </si>
  <si>
    <t>66:41:0310077</t>
  </si>
  <si>
    <t>66:41:0308007</t>
  </si>
  <si>
    <t>66:41:0308010</t>
  </si>
  <si>
    <t>66:41:0209032</t>
  </si>
  <si>
    <t>66:41:0310031</t>
  </si>
  <si>
    <t>66:41:0313052</t>
  </si>
  <si>
    <t>66:41:0526014</t>
  </si>
  <si>
    <t>66:41:0315017</t>
  </si>
  <si>
    <t>66:41:0308009</t>
  </si>
  <si>
    <t>66:41:0207028</t>
  </si>
  <si>
    <t>66:41:0207003</t>
  </si>
  <si>
    <t>66:41:0614022</t>
  </si>
  <si>
    <t>66:41:0513042</t>
  </si>
  <si>
    <t>66:41:0313091</t>
  </si>
  <si>
    <t>66:41:0526007</t>
  </si>
  <si>
    <t>66:41:0507087</t>
  </si>
  <si>
    <t>66:41:0109014</t>
  </si>
  <si>
    <t>66:41:0309090</t>
  </si>
  <si>
    <t>66:41:0109041</t>
  </si>
  <si>
    <t>66:41:0307006</t>
  </si>
  <si>
    <t>66:41:0308020</t>
  </si>
  <si>
    <t>66:41:0210074</t>
  </si>
  <si>
    <t>66:41:0210073</t>
  </si>
  <si>
    <t>66:41:0307060</t>
  </si>
  <si>
    <t>66:41:0712049</t>
  </si>
  <si>
    <t>66:41:0526006</t>
  </si>
  <si>
    <t>66:41:0519133</t>
  </si>
  <si>
    <t>66:41:0315015</t>
  </si>
  <si>
    <t>66:41:0514030</t>
  </si>
  <si>
    <t>66:41:0514054</t>
  </si>
  <si>
    <t>66:41:0312005</t>
  </si>
  <si>
    <t>66:41:0308013</t>
  </si>
  <si>
    <t>66:41:0308016</t>
  </si>
  <si>
    <t>66:41:0109006</t>
  </si>
  <si>
    <t>66:41:0109009</t>
  </si>
  <si>
    <t>66:41:0207012</t>
  </si>
  <si>
    <t>66:41:0315007</t>
  </si>
  <si>
    <t>66:41:0107105</t>
  </si>
  <si>
    <t>66:41:0210041</t>
  </si>
  <si>
    <t>66:41:0207010</t>
  </si>
  <si>
    <t>66:41:0202004</t>
  </si>
  <si>
    <t>66:41:0526008</t>
  </si>
  <si>
    <t>66:41:0207014</t>
  </si>
  <si>
    <t>66:41:0507066</t>
  </si>
  <si>
    <t>66:41:0526050</t>
  </si>
  <si>
    <t>66:41:0109016</t>
  </si>
  <si>
    <t>66:41:0605022</t>
  </si>
  <si>
    <t>66:41:0105027</t>
  </si>
  <si>
    <t>66:41:0519085</t>
  </si>
  <si>
    <t>66:41:0308008</t>
  </si>
  <si>
    <t>66:41:0526009</t>
  </si>
  <si>
    <t>66:41:0614052</t>
  </si>
  <si>
    <t>66:41:0511011</t>
  </si>
  <si>
    <t>66:41:0511015</t>
  </si>
  <si>
    <t>66:41:0309036</t>
  </si>
  <si>
    <t>66:41:0310052</t>
  </si>
  <si>
    <t>66:41:0210051</t>
  </si>
  <si>
    <t>66:41:0310054</t>
  </si>
  <si>
    <t>66:41:0315016</t>
  </si>
  <si>
    <t>66:41:0707022</t>
  </si>
  <si>
    <t>66:41:0308005</t>
  </si>
  <si>
    <t>66:41:0207002</t>
  </si>
  <si>
    <t>66:41:0712030</t>
  </si>
  <si>
    <t>66:41:0309026</t>
  </si>
  <si>
    <t>66:41:0310092</t>
  </si>
  <si>
    <t>66:41:0101005</t>
  </si>
  <si>
    <t>66:41:0526026</t>
  </si>
  <si>
    <t>66:41:0519073</t>
  </si>
  <si>
    <t>66:41:0109007</t>
  </si>
  <si>
    <t>66:41:0109010</t>
  </si>
  <si>
    <t>66:41:0207019</t>
  </si>
  <si>
    <t>66:41:0519084</t>
  </si>
  <si>
    <t>66:41:0307050</t>
  </si>
  <si>
    <t>66:41:0209040</t>
  </si>
  <si>
    <t>66:41:0519088</t>
  </si>
  <si>
    <t>66:41:0112002</t>
  </si>
  <si>
    <t>66:41:0309034</t>
  </si>
  <si>
    <t>66:41:0518026</t>
  </si>
  <si>
    <t>66:41:0210065</t>
  </si>
  <si>
    <t>66:41:0105002</t>
  </si>
  <si>
    <t>66:41:0207001</t>
  </si>
  <si>
    <t>66:41:0207021</t>
  </si>
  <si>
    <t>66:41:0109008</t>
  </si>
  <si>
    <t>66:41:0210052</t>
  </si>
  <si>
    <t>66:41:0614041</t>
  </si>
  <si>
    <t>66:41:0209063</t>
  </si>
  <si>
    <t>66:41:0209093</t>
  </si>
  <si>
    <t>66:41:0519040</t>
  </si>
  <si>
    <t>66:41:0207027</t>
  </si>
  <si>
    <t>66:41:0112001</t>
  </si>
  <si>
    <t>66:41:0507069</t>
  </si>
  <si>
    <t>66:41:0614042</t>
  </si>
  <si>
    <t>66:41:0209102</t>
  </si>
  <si>
    <t>66:41:0307014</t>
  </si>
  <si>
    <t>66:41:0210048</t>
  </si>
  <si>
    <t>66:41:0307091</t>
  </si>
  <si>
    <t>66:41:0210050</t>
  </si>
  <si>
    <t>66:41:0524005</t>
  </si>
  <si>
    <t>66:41:0307012</t>
  </si>
  <si>
    <t>66:41:0210043</t>
  </si>
  <si>
    <t>66:41:0309019</t>
  </si>
  <si>
    <t>66:41:0524002</t>
  </si>
  <si>
    <t>66:41:0107095</t>
  </si>
  <si>
    <t>66:41:0105033</t>
  </si>
  <si>
    <t>66:41:0209042</t>
  </si>
  <si>
    <t>66:41:0307064</t>
  </si>
  <si>
    <t>66:41:0307089</t>
  </si>
  <si>
    <t>66:41:0210903</t>
  </si>
  <si>
    <t>66:41:0307098</t>
  </si>
  <si>
    <t>66:41:0614054</t>
  </si>
  <si>
    <t>66:41:0210086</t>
  </si>
  <si>
    <t>66:41:0208002</t>
  </si>
  <si>
    <t>66:41:0307065</t>
  </si>
  <si>
    <t>66:41:0313013</t>
  </si>
  <si>
    <t>66:41:0209057</t>
  </si>
  <si>
    <t>66:41:0514018</t>
  </si>
  <si>
    <t>66:41:0512004</t>
  </si>
  <si>
    <t>66:41:0207009</t>
  </si>
  <si>
    <t>66:41:0511017</t>
  </si>
  <si>
    <t>66:41:0207023</t>
  </si>
  <si>
    <t>66:41:0201001</t>
  </si>
  <si>
    <t>66:41:0511023</t>
  </si>
  <si>
    <t>66:41:0209115</t>
  </si>
  <si>
    <t>66:41:0307094</t>
  </si>
  <si>
    <t>66:41:0210084</t>
  </si>
  <si>
    <t>66:41:0614030</t>
  </si>
  <si>
    <t>66:41:0307096</t>
  </si>
  <si>
    <t>66:41:0201016</t>
  </si>
  <si>
    <t>66:41:0313032</t>
  </si>
  <si>
    <t>66:41:0511010</t>
  </si>
  <si>
    <t>66:41:0313033</t>
  </si>
  <si>
    <t>66:41:0209082</t>
  </si>
  <si>
    <t>66:41:0109002</t>
  </si>
  <si>
    <t>66:41:0208009</t>
  </si>
  <si>
    <t>66:41:0712036</t>
  </si>
  <si>
    <t>66:41:0614055</t>
  </si>
  <si>
    <t>66:41:0207022</t>
  </si>
  <si>
    <t>66:41:0307058</t>
  </si>
  <si>
    <t>66:41:0207018</t>
  </si>
  <si>
    <t>66:41:0507103</t>
  </si>
  <si>
    <t>66:41:0201015</t>
  </si>
  <si>
    <t>66:41:0309006</t>
  </si>
  <si>
    <t>66:41:0109005</t>
  </si>
  <si>
    <t>66:41:0313028</t>
  </si>
  <si>
    <t>66:41:0514013</t>
  </si>
  <si>
    <t>66:41:0513009</t>
  </si>
  <si>
    <t>66:41:0313031</t>
  </si>
  <si>
    <t>66:41:0105001</t>
  </si>
  <si>
    <t>66:41:0614067</t>
  </si>
  <si>
    <t>66:41:0109001</t>
  </si>
  <si>
    <t>66:41:0513127</t>
  </si>
  <si>
    <t>66:41:0313030</t>
  </si>
  <si>
    <t>66:41:0207017</t>
  </si>
  <si>
    <t>66:41:0614062</t>
  </si>
  <si>
    <t>66:41:0309003</t>
  </si>
  <si>
    <t>66:41:0513047</t>
  </si>
  <si>
    <t>66:41:0307016</t>
  </si>
  <si>
    <t>66:41:0514019</t>
  </si>
  <si>
    <t>66:41:0309005</t>
  </si>
  <si>
    <t>66:41:0307007</t>
  </si>
  <si>
    <t>66:41:0201017</t>
  </si>
  <si>
    <t>66:41:0606006</t>
  </si>
  <si>
    <t>66:41:0210066</t>
  </si>
  <si>
    <t>66:41:0513006</t>
  </si>
  <si>
    <t>66:41:0307015</t>
  </si>
  <si>
    <t>66:41:0606003</t>
  </si>
  <si>
    <t>66:41:0712048</t>
  </si>
  <si>
    <t>66:41:0210021</t>
  </si>
  <si>
    <t>66:41:0201013</t>
  </si>
  <si>
    <t>66:41:0307056</t>
  </si>
  <si>
    <t>66:41:0507072</t>
  </si>
  <si>
    <t>66:41:0513131</t>
  </si>
  <si>
    <t>66:41:0513007</t>
  </si>
  <si>
    <t>66:41:0712021</t>
  </si>
  <si>
    <t>66:41:0606040</t>
  </si>
  <si>
    <t>66:41:0201018</t>
  </si>
  <si>
    <t>66:41:0708009</t>
  </si>
  <si>
    <t>66:41:0511012</t>
  </si>
  <si>
    <t>66:41:0210088</t>
  </si>
  <si>
    <t>66:41:0309002</t>
  </si>
  <si>
    <t>66:41:0513074</t>
  </si>
  <si>
    <t>66:41:0209041</t>
  </si>
  <si>
    <t>66:41:0606038</t>
  </si>
  <si>
    <t>66:41:0507027</t>
  </si>
  <si>
    <t>66:41:0210085</t>
  </si>
  <si>
    <t>66:41:0528006</t>
  </si>
  <si>
    <t>66:41:0507035</t>
  </si>
  <si>
    <t>66:41:0606011</t>
  </si>
  <si>
    <t>66:41:0511028</t>
  </si>
  <si>
    <t>66:41:0210053</t>
  </si>
  <si>
    <t>66:41:0606036</t>
  </si>
  <si>
    <t>66:41:0512005</t>
  </si>
  <si>
    <t>66:41:0307059</t>
  </si>
  <si>
    <t>66:41:0513073</t>
  </si>
  <si>
    <t>66:41:0513075</t>
  </si>
  <si>
    <t>66:41:0513079</t>
  </si>
  <si>
    <t>66:41:0606042</t>
  </si>
  <si>
    <t>66:41:0307057</t>
  </si>
  <si>
    <t>66:41:0528901</t>
  </si>
  <si>
    <t>66:41:0307009</t>
  </si>
  <si>
    <t>66:41:0209062</t>
  </si>
  <si>
    <t>66:41:0210091</t>
  </si>
  <si>
    <t>66:41:0528003</t>
  </si>
  <si>
    <t>66:41:0208008</t>
  </si>
  <si>
    <t>66:41:0528041</t>
  </si>
  <si>
    <t>66:41:0209036</t>
  </si>
  <si>
    <t>66:41:0513129</t>
  </si>
  <si>
    <t>66:41:0606081</t>
  </si>
  <si>
    <t>66:41:0513072</t>
  </si>
  <si>
    <t>66:41:0513094</t>
  </si>
  <si>
    <t>66:41:0528002</t>
  </si>
  <si>
    <t>66:41:0528005</t>
  </si>
  <si>
    <t>66:41:0208001</t>
  </si>
  <si>
    <t>66:41:0201010</t>
  </si>
  <si>
    <t>66:41:0513113</t>
  </si>
  <si>
    <t>66:41:0614001</t>
  </si>
  <si>
    <t>66:41:0611001</t>
  </si>
  <si>
    <t>66:41:0528001</t>
  </si>
  <si>
    <t>66:41:0201009</t>
  </si>
  <si>
    <t>66:41:0528004</t>
  </si>
  <si>
    <t>66:41:0201901</t>
  </si>
  <si>
    <t>66:41:0201004</t>
  </si>
  <si>
    <t>66:41:0209110</t>
  </si>
  <si>
    <t>66:41:0513115</t>
  </si>
  <si>
    <t>66:41:0606029</t>
  </si>
  <si>
    <t>66:41:0209077</t>
  </si>
  <si>
    <t>66:41:0208004</t>
  </si>
  <si>
    <t>66:41:0513087</t>
  </si>
  <si>
    <t>66:41:0606084</t>
  </si>
  <si>
    <t>66:41:0712023</t>
  </si>
  <si>
    <t>66:41:0209076</t>
  </si>
  <si>
    <t>66:41:0208003</t>
  </si>
  <si>
    <t>66:41:0514037</t>
  </si>
  <si>
    <t>66:41:0201005</t>
  </si>
  <si>
    <t>66:41:0209078</t>
  </si>
  <si>
    <t>66:41:0201002</t>
  </si>
  <si>
    <t>66:41:0606080</t>
  </si>
  <si>
    <t>66:41:0513507</t>
  </si>
  <si>
    <t>66:41:0513123</t>
  </si>
  <si>
    <t>66:41:0209075</t>
  </si>
  <si>
    <t>66:41:0209074</t>
  </si>
  <si>
    <t>66:41:0513097</t>
  </si>
  <si>
    <t>66:41:0201902</t>
  </si>
  <si>
    <t>66:41:0513111</t>
  </si>
  <si>
    <t>66:41:0201007</t>
  </si>
  <si>
    <t>66:41:0209105</t>
  </si>
  <si>
    <t>66:41:0614006</t>
  </si>
  <si>
    <t>66:41:0513125</t>
  </si>
  <si>
    <t>66:41:0712025</t>
  </si>
  <si>
    <t>66:41:0209071</t>
  </si>
  <si>
    <t>66:41:0513126</t>
  </si>
  <si>
    <t>66:41:0513058</t>
  </si>
  <si>
    <t>66:41:0313120</t>
  </si>
  <si>
    <t>66:41:0209064</t>
  </si>
  <si>
    <t>66:41:0513099</t>
  </si>
  <si>
    <t>66:41:0513091</t>
  </si>
  <si>
    <t>66:41:0101007</t>
  </si>
  <si>
    <t>66:41:0614023</t>
  </si>
  <si>
    <t>66:41:0209048</t>
  </si>
  <si>
    <t>66:41:0512012</t>
  </si>
  <si>
    <t>66:41:0513062</t>
  </si>
  <si>
    <t>66:41:0513102</t>
  </si>
  <si>
    <t>66:41:0514044</t>
  </si>
  <si>
    <t>66:41:0514048</t>
  </si>
  <si>
    <t>66:41:0512010</t>
  </si>
  <si>
    <t>66:41:0512014</t>
  </si>
  <si>
    <t>66:41:0513004</t>
  </si>
  <si>
    <t>66:41:0606016</t>
  </si>
  <si>
    <t>66:41:0209106</t>
  </si>
  <si>
    <t>66:41:0512019</t>
  </si>
  <si>
    <t>66:41:0512033</t>
  </si>
  <si>
    <t>66:41:0101012</t>
  </si>
  <si>
    <t>66:41:0101001</t>
  </si>
  <si>
    <t>66:41:0512022</t>
  </si>
  <si>
    <t>66:41:0512027</t>
  </si>
  <si>
    <t>66:41:0512028</t>
  </si>
  <si>
    <t>66:41:0512043</t>
  </si>
  <si>
    <t>Ниже начинаются добавочные кварталы</t>
  </si>
  <si>
    <t>Чусовское озеро</t>
  </si>
  <si>
    <t>КАРАСЬЕОЗЕРСК</t>
  </si>
  <si>
    <t>Палникс</t>
  </si>
  <si>
    <t>СЕМЬ КЛЮЧЕЙ</t>
  </si>
  <si>
    <t>Березит</t>
  </si>
  <si>
    <t>Палкинский торфяник</t>
  </si>
  <si>
    <t>Технопарк</t>
  </si>
  <si>
    <t>Межселенная территория-зона 1</t>
  </si>
  <si>
    <t>Межселенная территория-зона 2</t>
  </si>
  <si>
    <t>Межселенная территория-зона 3</t>
  </si>
  <si>
    <t>Семь ключей</t>
  </si>
  <si>
    <t>Широкая Речка</t>
  </si>
  <si>
    <t>Таблица перекодировки ЕКБ</t>
  </si>
  <si>
    <t>Наименование жилого района</t>
  </si>
  <si>
    <t>Наименование объединенного жилого массива (зона)</t>
  </si>
  <si>
    <t>Сокращенное наименование для построения модели</t>
  </si>
  <si>
    <t>микрорайон Южный</t>
  </si>
  <si>
    <t>микрорайон Октябрьский-I</t>
  </si>
  <si>
    <t>микрорайон Октябрьский-II</t>
  </si>
  <si>
    <t>49-й квартал</t>
  </si>
  <si>
    <t>УАЗ III – 49 квартал</t>
  </si>
  <si>
    <t>посёлок Трубников</t>
  </si>
  <si>
    <t>посёлок Ленинский</t>
  </si>
  <si>
    <t>Ленинский-Олимпийский</t>
  </si>
  <si>
    <t>посёлок Олимпийский</t>
  </si>
  <si>
    <t>посёлок Чкаловский</t>
  </si>
  <si>
    <t>посёлок Хозспособ</t>
  </si>
  <si>
    <t>Хозспособ-Старый Кменск</t>
  </si>
  <si>
    <t>Старый Каменск</t>
  </si>
  <si>
    <t>УАЗ-I</t>
  </si>
  <si>
    <t>52:000:0:0:0</t>
  </si>
  <si>
    <t>мс</t>
  </si>
  <si>
    <t>Каменск-Уральскиймс</t>
  </si>
  <si>
    <t>52:001:1:1:2</t>
  </si>
  <si>
    <t>г</t>
  </si>
  <si>
    <t>Каменск-Уральский</t>
  </si>
  <si>
    <t>52:002:1:1:2</t>
  </si>
  <si>
    <t>д</t>
  </si>
  <si>
    <t>Кодинка</t>
  </si>
  <si>
    <t>52:003:2:5:6</t>
  </si>
  <si>
    <t>Малая Кодинка</t>
  </si>
  <si>
    <t>52:004:1:1:2</t>
  </si>
  <si>
    <t>Монастырка</t>
  </si>
  <si>
    <t>52:005:1:1:2</t>
  </si>
  <si>
    <t>Новый Завод</t>
  </si>
  <si>
    <t>52:006:2:3:6</t>
  </si>
  <si>
    <t>п</t>
  </si>
  <si>
    <t>Поселок Госдороги</t>
  </si>
  <si>
    <t>52:007:1:1:2</t>
  </si>
  <si>
    <t>Токарева</t>
  </si>
  <si>
    <t>Каменск</t>
  </si>
  <si>
    <t>Совхоз Первоуральский</t>
  </si>
  <si>
    <t>Совхоз_Первоур</t>
  </si>
  <si>
    <t>Сантехизделий</t>
  </si>
  <si>
    <t>КорабельнаяРоща</t>
  </si>
  <si>
    <t>ЦЕНТР-Перв</t>
  </si>
  <si>
    <t>Южнее ЖД</t>
  </si>
  <si>
    <t>Ельничный</t>
  </si>
  <si>
    <t>Пильная</t>
  </si>
  <si>
    <t>Первоуральск</t>
  </si>
  <si>
    <t>Верхняя Черемшанка пос.</t>
  </si>
  <si>
    <t>Нижняя Черемшанка</t>
  </si>
  <si>
    <t>Горбуново</t>
  </si>
  <si>
    <t>Гальяно-горбуновский массив ж/м</t>
  </si>
  <si>
    <t>Центр-Тагил</t>
  </si>
  <si>
    <t>Ключики</t>
  </si>
  <si>
    <t>Верхне-Выйская плотина</t>
  </si>
  <si>
    <t>Пырловка</t>
  </si>
  <si>
    <t>Фотеево</t>
  </si>
  <si>
    <t>Тагил</t>
  </si>
  <si>
    <t>На странице нельзя удалять строки</t>
  </si>
  <si>
    <t>01:000:0:0:0</t>
  </si>
  <si>
    <t>01:001:1:1:4</t>
  </si>
  <si>
    <t>01:002:2:3:5</t>
  </si>
  <si>
    <t>01:003:2:3:5</t>
  </si>
  <si>
    <t>02:000:0:0:0</t>
  </si>
  <si>
    <t>02:001:1:1:4</t>
  </si>
  <si>
    <t>02:002:2:4:6</t>
  </si>
  <si>
    <t>02:003:2:3:6</t>
  </si>
  <si>
    <t>02:004:2:3:6</t>
  </si>
  <si>
    <t>02:005:2:4:6</t>
  </si>
  <si>
    <t>02:006:2:4:6</t>
  </si>
  <si>
    <t>02:007:2:3:6</t>
  </si>
  <si>
    <t>02:008:2:3:6</t>
  </si>
  <si>
    <t>02:009:2:5:6</t>
  </si>
  <si>
    <t>02:010:2:3:6</t>
  </si>
  <si>
    <t>02:011:2:3:6</t>
  </si>
  <si>
    <t>02:012:2:3:6</t>
  </si>
  <si>
    <t>02:013:2:4:6</t>
  </si>
  <si>
    <t>02:014:2:4:6</t>
  </si>
  <si>
    <t>02:015:2:5:6</t>
  </si>
  <si>
    <t>02:016:2:5:6</t>
  </si>
  <si>
    <t>02:017:2:5:6</t>
  </si>
  <si>
    <t>02:018:2:4:6</t>
  </si>
  <si>
    <t>02:019:2:4:6</t>
  </si>
  <si>
    <t>02:020:2:5:6</t>
  </si>
  <si>
    <t>02:021:2:3:6</t>
  </si>
  <si>
    <t>02:022:2:4:6</t>
  </si>
  <si>
    <t>02:023:2:4:6</t>
  </si>
  <si>
    <t>02:024:2:5:6</t>
  </si>
  <si>
    <t>02:025:2:4:6</t>
  </si>
  <si>
    <t>02:026:2:3:6</t>
  </si>
  <si>
    <t>02:028:2:4:6</t>
  </si>
  <si>
    <t>03:000:0:0:0</t>
  </si>
  <si>
    <t>03:001:2:4:6</t>
  </si>
  <si>
    <t>03:002:2:5:6</t>
  </si>
  <si>
    <t>03:003:1:2:4</t>
  </si>
  <si>
    <t>03:004:2:5:6</t>
  </si>
  <si>
    <t>03:005:2:5:6</t>
  </si>
  <si>
    <t>03:006:2:5:6</t>
  </si>
  <si>
    <t>03:007:2:5:6</t>
  </si>
  <si>
    <t>03:008:2:5:6</t>
  </si>
  <si>
    <t>03:009:2:4:6</t>
  </si>
  <si>
    <t>03:010:2:5:6</t>
  </si>
  <si>
    <t>03:011:2:5:6</t>
  </si>
  <si>
    <t>03:012:2:5:6</t>
  </si>
  <si>
    <t>03:013:2:4:6</t>
  </si>
  <si>
    <t>03:014:2:5:6</t>
  </si>
  <si>
    <t>03:015:2:5:6</t>
  </si>
  <si>
    <t>03:016:2:5:6</t>
  </si>
  <si>
    <t>03:017:2:5:6</t>
  </si>
  <si>
    <t>03:018:2:5:6</t>
  </si>
  <si>
    <t>03:019:2:5:6</t>
  </si>
  <si>
    <t>03:020:2:5:6</t>
  </si>
  <si>
    <t>03:021:2:5:6</t>
  </si>
  <si>
    <t>03:022:2:5:6</t>
  </si>
  <si>
    <t>03:023:2:5:6</t>
  </si>
  <si>
    <t>03:024:2:5:6</t>
  </si>
  <si>
    <t>03:025:2:5:6</t>
  </si>
  <si>
    <t>03:026:2:5:6</t>
  </si>
  <si>
    <t>03:027:2:4:6</t>
  </si>
  <si>
    <t>03:028:2:5:6</t>
  </si>
  <si>
    <t>03:029:2:4:6</t>
  </si>
  <si>
    <t>03:030:2:5:6</t>
  </si>
  <si>
    <t>03:031:2:4:5</t>
  </si>
  <si>
    <t>03:032:2:5:6</t>
  </si>
  <si>
    <t>03:033:2:5:6</t>
  </si>
  <si>
    <t>03:034:2:4:6</t>
  </si>
  <si>
    <t>03:035:2:5:6</t>
  </si>
  <si>
    <t>03:036:2:5:6</t>
  </si>
  <si>
    <t>03:037:2:5:6</t>
  </si>
  <si>
    <t>03:038:2:5:6</t>
  </si>
  <si>
    <t>03:039:2:4:6</t>
  </si>
  <si>
    <t>03:040:2:4:5</t>
  </si>
  <si>
    <t>03:041:2:5:6</t>
  </si>
  <si>
    <t>03:042:2:4:5</t>
  </si>
  <si>
    <t>03:043:2:4:6</t>
  </si>
  <si>
    <t>03:044:2:5:6</t>
  </si>
  <si>
    <t>03:045:2:4:6</t>
  </si>
  <si>
    <t>03:046:2:5:6</t>
  </si>
  <si>
    <t>03:047:2:5:6</t>
  </si>
  <si>
    <t>03:048:2:4:6</t>
  </si>
  <si>
    <t>03:049:2:4:6</t>
  </si>
  <si>
    <t>03:050:2:5:6</t>
  </si>
  <si>
    <t>03:051:2:5:6</t>
  </si>
  <si>
    <t>03:052:2:5:6</t>
  </si>
  <si>
    <t>03:053:2:5:6</t>
  </si>
  <si>
    <t>03:054:2:3:6</t>
  </si>
  <si>
    <t>03:055:2:5:6</t>
  </si>
  <si>
    <t>03:056:2:5:6</t>
  </si>
  <si>
    <t>03:057:2:5:6</t>
  </si>
  <si>
    <t>03:058:2:5:6</t>
  </si>
  <si>
    <t>03:059:2:5:6</t>
  </si>
  <si>
    <t>04:000:0:0:0</t>
  </si>
  <si>
    <t>04:001:1:1:3</t>
  </si>
  <si>
    <t>04:002:2:3:5</t>
  </si>
  <si>
    <t>04:003:2:3:6</t>
  </si>
  <si>
    <t>05:000:0:0:0</t>
  </si>
  <si>
    <t>05:001:2:5:6</t>
  </si>
  <si>
    <t>05:002:2:5:6</t>
  </si>
  <si>
    <t>05:003:2:3:6</t>
  </si>
  <si>
    <t>05:004:2:4:6</t>
  </si>
  <si>
    <t>05:005:1:2:4</t>
  </si>
  <si>
    <t>05:006:2:4:6</t>
  </si>
  <si>
    <t>05:007:2:5:6</t>
  </si>
  <si>
    <t>05:008:2:4:6</t>
  </si>
  <si>
    <t>05:009:2:4:6</t>
  </si>
  <si>
    <t>05:010:2:5:6</t>
  </si>
  <si>
    <t>05:011:2:5:6</t>
  </si>
  <si>
    <t>05:012:2:5:6</t>
  </si>
  <si>
    <t>05:013:2:5:6</t>
  </si>
  <si>
    <t>05:014:2:5:6</t>
  </si>
  <si>
    <t>05:015:2:5:6</t>
  </si>
  <si>
    <t>05:016:2:5:6</t>
  </si>
  <si>
    <t>05:017:2:5:6</t>
  </si>
  <si>
    <t>05:018:2:5:6</t>
  </si>
  <si>
    <t>05:019:2:3:6</t>
  </si>
  <si>
    <t>05:020:2:3:6</t>
  </si>
  <si>
    <t>05:021:2:5:6</t>
  </si>
  <si>
    <t>05:022:2:5:6</t>
  </si>
  <si>
    <t>05:023:2:4:6</t>
  </si>
  <si>
    <t>05:024:2:5:6</t>
  </si>
  <si>
    <t>05:025:2:5:6</t>
  </si>
  <si>
    <t>05:026:2:5:6</t>
  </si>
  <si>
    <t>05:027:2:5:6</t>
  </si>
  <si>
    <t>05:028:2:4:6</t>
  </si>
  <si>
    <t>05:029:2:5:6</t>
  </si>
  <si>
    <t>05:030:2:5:6</t>
  </si>
  <si>
    <t>05:031:2:5:6</t>
  </si>
  <si>
    <t>05:032:2:5:6</t>
  </si>
  <si>
    <t>05:033:2:5:6</t>
  </si>
  <si>
    <t>05:034:2:5:6</t>
  </si>
  <si>
    <t>05:035:2:5:6</t>
  </si>
  <si>
    <t>05:036:2:5:6</t>
  </si>
  <si>
    <t>05:037:2:5:6</t>
  </si>
  <si>
    <t>05:038:2:5:6</t>
  </si>
  <si>
    <t>05:039:2:3:6</t>
  </si>
  <si>
    <t>05:040:2:5:6</t>
  </si>
  <si>
    <t>05:041:2:3:6</t>
  </si>
  <si>
    <t>05:042:2:5:6</t>
  </si>
  <si>
    <t>05:043:2:5:6</t>
  </si>
  <si>
    <t>05:044:2:5:6</t>
  </si>
  <si>
    <t>05:045:2:4:6</t>
  </si>
  <si>
    <t>05:046:2:3:6</t>
  </si>
  <si>
    <t>05:047:2:5:6</t>
  </si>
  <si>
    <t>05:048:2:5:6</t>
  </si>
  <si>
    <t>05:049:2:5:6</t>
  </si>
  <si>
    <t>05:050:2:5:6</t>
  </si>
  <si>
    <t>05:051:2:5:6</t>
  </si>
  <si>
    <t>05:052:2:5:6</t>
  </si>
  <si>
    <t>05:053:2:3:5</t>
  </si>
  <si>
    <t>05:054:2:5:6</t>
  </si>
  <si>
    <t>06:000:0:0:0</t>
  </si>
  <si>
    <t>06:001:2:4:6</t>
  </si>
  <si>
    <t>06:002:2:4:5</t>
  </si>
  <si>
    <t>06:003:2:5:6</t>
  </si>
  <si>
    <t>06:004:2:5:6</t>
  </si>
  <si>
    <t>06:005:2:5:6</t>
  </si>
  <si>
    <t>06:006:2:5:6</t>
  </si>
  <si>
    <t>06:007:2:5:6</t>
  </si>
  <si>
    <t>06:008:2:5:6</t>
  </si>
  <si>
    <t>06:009:2:5:6</t>
  </si>
  <si>
    <t>06:010:2:4:6</t>
  </si>
  <si>
    <t>06:011:2:5:6</t>
  </si>
  <si>
    <t>06:012:2:5:6</t>
  </si>
  <si>
    <t>06:013:2:5:6</t>
  </si>
  <si>
    <t>06:014:2:4:6</t>
  </si>
  <si>
    <t>06:015:2:5:6</t>
  </si>
  <si>
    <t>06:016:2:5:6</t>
  </si>
  <si>
    <t>06:017:2:5:6</t>
  </si>
  <si>
    <t>06:018:2:5:6</t>
  </si>
  <si>
    <t>06:019:2:5:6</t>
  </si>
  <si>
    <t>06:020:2:5:6</t>
  </si>
  <si>
    <t>06:021:2:5:6</t>
  </si>
  <si>
    <t>06:022:2:5:6</t>
  </si>
  <si>
    <t>06:023:2:5:6</t>
  </si>
  <si>
    <t>06:024:2:5:6</t>
  </si>
  <si>
    <t>06:025:2:5:6</t>
  </si>
  <si>
    <t>06:026:2:5:6</t>
  </si>
  <si>
    <t>06:027:2:5:6</t>
  </si>
  <si>
    <t>06:028:2:5:6</t>
  </si>
  <si>
    <t>06:029:2:5:6</t>
  </si>
  <si>
    <t>06:030:2:4:6</t>
  </si>
  <si>
    <t>06:031:2:3:6</t>
  </si>
  <si>
    <t>06:032:2:5:6</t>
  </si>
  <si>
    <t>06:033:2:4:6</t>
  </si>
  <si>
    <t>06:034:2:5:6</t>
  </si>
  <si>
    <t>06:035:2:5:6</t>
  </si>
  <si>
    <t>06:036:2:5:6</t>
  </si>
  <si>
    <t>06:037:2:5:6</t>
  </si>
  <si>
    <t>06:038:2:5:6</t>
  </si>
  <si>
    <t>06:039:2:5:6</t>
  </si>
  <si>
    <t>06:040:2:4:5</t>
  </si>
  <si>
    <t>06:041:2:5:6</t>
  </si>
  <si>
    <t>06:042:2:5:6</t>
  </si>
  <si>
    <t>06:043:2:5:6</t>
  </si>
  <si>
    <t>06:044:2:5:6</t>
  </si>
  <si>
    <t>06:045:2:5:6</t>
  </si>
  <si>
    <t>06:046:2:5:6</t>
  </si>
  <si>
    <t>06:047:2:5:6</t>
  </si>
  <si>
    <t>06:048:2:5:6</t>
  </si>
  <si>
    <t>06:049:2:5:6</t>
  </si>
  <si>
    <t>06:050:2:5:6</t>
  </si>
  <si>
    <t>06:051:2:5:6</t>
  </si>
  <si>
    <t>06:052:2:5:6</t>
  </si>
  <si>
    <t>06:053:2:5:6</t>
  </si>
  <si>
    <t>06:054:2:5:6</t>
  </si>
  <si>
    <t>06:055:2:5:6</t>
  </si>
  <si>
    <t>06:056:2:5:6</t>
  </si>
  <si>
    <t>06:057:2:5:6</t>
  </si>
  <si>
    <t>06:058:2:5:6</t>
  </si>
  <si>
    <t>06:059:2:5:6</t>
  </si>
  <si>
    <t>06:060:2:5:6</t>
  </si>
  <si>
    <t>06:061:2:5:6</t>
  </si>
  <si>
    <t>06:062:2:4:6</t>
  </si>
  <si>
    <t>06:063:2:4:6</t>
  </si>
  <si>
    <t>06:064:2:5:6</t>
  </si>
  <si>
    <t>06:065:2:5:6</t>
  </si>
  <si>
    <t>06:066:2:5:6</t>
  </si>
  <si>
    <t>06:067:2:5:6</t>
  </si>
  <si>
    <t>06:068:2:5:6</t>
  </si>
  <si>
    <t>06:069:2:4:6</t>
  </si>
  <si>
    <t>07:000:0:0:0</t>
  </si>
  <si>
    <t>07:001:2:3:6</t>
  </si>
  <si>
    <t>07:002:1:2:4</t>
  </si>
  <si>
    <t>07:003:2:3:6</t>
  </si>
  <si>
    <t>07:004:2:4:6</t>
  </si>
  <si>
    <t>07:005:2:4:6</t>
  </si>
  <si>
    <t>07:006:2:3:6</t>
  </si>
  <si>
    <t>07:007:2:3:6</t>
  </si>
  <si>
    <t>07:008:2:5:6</t>
  </si>
  <si>
    <t>07:009:2:5:6</t>
  </si>
  <si>
    <t>07:010:2:5:6</t>
  </si>
  <si>
    <t>07:011:2:5:6</t>
  </si>
  <si>
    <t>07:012:2:5:6</t>
  </si>
  <si>
    <t>07:013:2:3:6</t>
  </si>
  <si>
    <t>07:014:2:4:6</t>
  </si>
  <si>
    <t>07:015:2:5:6</t>
  </si>
  <si>
    <t>07:016:2:4:6</t>
  </si>
  <si>
    <t>07:017:2:3:6</t>
  </si>
  <si>
    <t>07:018:2:3:6</t>
  </si>
  <si>
    <t>07:019:2:4:6</t>
  </si>
  <si>
    <t>07:020:2:4:6</t>
  </si>
  <si>
    <t>07:021:2:4:6</t>
  </si>
  <si>
    <t>07:022:2:5:6</t>
  </si>
  <si>
    <t>07:023:2:4:6</t>
  </si>
  <si>
    <t>07:024:2:5:6</t>
  </si>
  <si>
    <t>07:025:2:3:6</t>
  </si>
  <si>
    <t>07:026:2:4:6</t>
  </si>
  <si>
    <t>07:027:2:3:6</t>
  </si>
  <si>
    <t>07:028:2:3:6</t>
  </si>
  <si>
    <t>07:029:2:5:6</t>
  </si>
  <si>
    <t>07:030:2:3:6</t>
  </si>
  <si>
    <t>07:031:2:3:6</t>
  </si>
  <si>
    <t>07:032:2:3:6</t>
  </si>
  <si>
    <t>07:033:2:3:6</t>
  </si>
  <si>
    <t>07:034:2:3:6</t>
  </si>
  <si>
    <t>07:035:2:3:6</t>
  </si>
  <si>
    <t>07:036:2:3:6</t>
  </si>
  <si>
    <t>07:037:2:3:6</t>
  </si>
  <si>
    <t>07:038:2:3:6</t>
  </si>
  <si>
    <t>07:039:2:4:6</t>
  </si>
  <si>
    <t>07:040:2:5:6</t>
  </si>
  <si>
    <t>07:041:2:5:6</t>
  </si>
  <si>
    <t>07:042:2:4:6</t>
  </si>
  <si>
    <t>07:043:2:3:6</t>
  </si>
  <si>
    <t>07:044:2:5:6</t>
  </si>
  <si>
    <t>07:045:2:5:6</t>
  </si>
  <si>
    <t>08:000:0:0:0</t>
  </si>
  <si>
    <t>08:001:2:3:6</t>
  </si>
  <si>
    <t>08:002:1:1:3</t>
  </si>
  <si>
    <t>08:003:2:3:6</t>
  </si>
  <si>
    <t>08:004:2:3:5</t>
  </si>
  <si>
    <t>08:005:2:3:5</t>
  </si>
  <si>
    <t>08:006:2:3:6</t>
  </si>
  <si>
    <t>08:007:2:3:6</t>
  </si>
  <si>
    <t>08:008:2:3:5</t>
  </si>
  <si>
    <t>08:009:2:3:6</t>
  </si>
  <si>
    <t>08:010:2:3:5</t>
  </si>
  <si>
    <t>08:011:2:3:6</t>
  </si>
  <si>
    <t>08:012:2:3:6</t>
  </si>
  <si>
    <t>08:013:2:3:6</t>
  </si>
  <si>
    <t>08:014:2:3:6</t>
  </si>
  <si>
    <t>08:015:2:3:6</t>
  </si>
  <si>
    <t>08:016:2:3:6</t>
  </si>
  <si>
    <t>08:017:2:3:6</t>
  </si>
  <si>
    <t>08:018:2:3:5</t>
  </si>
  <si>
    <t>09:000:0:0:0</t>
  </si>
  <si>
    <t>09:001:1:2:4</t>
  </si>
  <si>
    <t>09:002:2:4:6</t>
  </si>
  <si>
    <t>09:003:2:3:6</t>
  </si>
  <si>
    <t>09:004:2:3:6</t>
  </si>
  <si>
    <t>09:005:2:3:6</t>
  </si>
  <si>
    <t>10:000:0:0:0</t>
  </si>
  <si>
    <t>10:001:2:5:6</t>
  </si>
  <si>
    <t>10:002:2:3:6</t>
  </si>
  <si>
    <t>10:003:2:3:6</t>
  </si>
  <si>
    <t>10:004:1:1:4</t>
  </si>
  <si>
    <t>10:005:2:3:6</t>
  </si>
  <si>
    <t>10:006:2:3:6</t>
  </si>
  <si>
    <t>10:007:2:3:6</t>
  </si>
  <si>
    <t>10:008:2:3:6</t>
  </si>
  <si>
    <t>10:009:2:5:6</t>
  </si>
  <si>
    <t>10:010:2:5:6</t>
  </si>
  <si>
    <t>10:011:2:5:6</t>
  </si>
  <si>
    <t>10:012:2:5:6</t>
  </si>
  <si>
    <t>10:013:2:5:6</t>
  </si>
  <si>
    <t>10:014:2:3:6</t>
  </si>
  <si>
    <t>10:015:2:3:6</t>
  </si>
  <si>
    <t>10:016:2:3:6</t>
  </si>
  <si>
    <t>10:017:2:5:6</t>
  </si>
  <si>
    <t>10:018:2:3:6</t>
  </si>
  <si>
    <t>10:019:2:3:6</t>
  </si>
  <si>
    <t>11:000:0:0:0</t>
  </si>
  <si>
    <t>11:001:1:1:4</t>
  </si>
  <si>
    <t>11:002:2:3:6</t>
  </si>
  <si>
    <t>11:003:2:5:6</t>
  </si>
  <si>
    <t>12:000:0:0:0</t>
  </si>
  <si>
    <t>12:001:2:5:6</t>
  </si>
  <si>
    <t>12:002:2:5:6</t>
  </si>
  <si>
    <t>12:003:2:4:6</t>
  </si>
  <si>
    <t>12:004:2:3:6</t>
  </si>
  <si>
    <t>12:005:2:5:6</t>
  </si>
  <si>
    <t>12:006:1:2:4</t>
  </si>
  <si>
    <t>12:007:2:3:6</t>
  </si>
  <si>
    <t>12:008:2:4:6</t>
  </si>
  <si>
    <t>12:009:2:3:6</t>
  </si>
  <si>
    <t>12:010:2:5:6</t>
  </si>
  <si>
    <t>12:011:2:5:6</t>
  </si>
  <si>
    <t>12:012:2:3:6</t>
  </si>
  <si>
    <t>12:013:2:5:6</t>
  </si>
  <si>
    <t>12:014:2:5:6</t>
  </si>
  <si>
    <t>12:015:2:5:6</t>
  </si>
  <si>
    <t>12:016:2:5:6</t>
  </si>
  <si>
    <t>12:017:2:5:6</t>
  </si>
  <si>
    <t>12:018:2:5:6</t>
  </si>
  <si>
    <t>12:019:2:3:6</t>
  </si>
  <si>
    <t>12:020:2:5:6</t>
  </si>
  <si>
    <t>12:021:2:5:6</t>
  </si>
  <si>
    <t>12:022:2:5:6</t>
  </si>
  <si>
    <t>12:023:2:5:6</t>
  </si>
  <si>
    <t>12:024:2:5:6</t>
  </si>
  <si>
    <t>12:025:2:5:6</t>
  </si>
  <si>
    <t>12:026:2:5:6</t>
  </si>
  <si>
    <t>12:027:2:5:6</t>
  </si>
  <si>
    <t>12:028:2:3:6</t>
  </si>
  <si>
    <t>12:029:2:3:6</t>
  </si>
  <si>
    <t>12:030:2:5:6</t>
  </si>
  <si>
    <t>12:031:2:5:6</t>
  </si>
  <si>
    <t>12:032:2:5:6</t>
  </si>
  <si>
    <t>12:033:2:5:6</t>
  </si>
  <si>
    <t>12:034:2:5:6</t>
  </si>
  <si>
    <t>12:035:2:3:6</t>
  </si>
  <si>
    <t>12:036:2:5:6</t>
  </si>
  <si>
    <t>12:037:2:5:6</t>
  </si>
  <si>
    <t>12:038:2:3:6</t>
  </si>
  <si>
    <t>12:039:2:3:6</t>
  </si>
  <si>
    <t>12:040:2:5:6</t>
  </si>
  <si>
    <t>12:041:2:4:6</t>
  </si>
  <si>
    <t>12:042:2:5:6</t>
  </si>
  <si>
    <t>13:000:0:0:0</t>
  </si>
  <si>
    <t>13:001:2:5:6</t>
  </si>
  <si>
    <t>13:002:2:3:6</t>
  </si>
  <si>
    <t>13:003:2:4:6</t>
  </si>
  <si>
    <t>13:004:2:4:6</t>
  </si>
  <si>
    <t>13:005:2:5:6</t>
  </si>
  <si>
    <t>13:006:2:4:6</t>
  </si>
  <si>
    <t>13:007:2:3:6</t>
  </si>
  <si>
    <t>13:008:2:4:6</t>
  </si>
  <si>
    <t>13:009:2:4:6</t>
  </si>
  <si>
    <t>13:010:2:5:6</t>
  </si>
  <si>
    <t>13:011:2:3:6</t>
  </si>
  <si>
    <t>13:012:2:3:6</t>
  </si>
  <si>
    <t>13:013:1:2:4</t>
  </si>
  <si>
    <t>13:014:2:3:6</t>
  </si>
  <si>
    <t>13:015:2:4:6</t>
  </si>
  <si>
    <t>13:016:2:5:6</t>
  </si>
  <si>
    <t>13:017:2:3:6</t>
  </si>
  <si>
    <t>13:018:2:5:6</t>
  </si>
  <si>
    <t>13:019:2:4:6</t>
  </si>
  <si>
    <t>13:020:2:5:6</t>
  </si>
  <si>
    <t>13:021:2:5:6</t>
  </si>
  <si>
    <t>13:022:2:4:6</t>
  </si>
  <si>
    <t>13:023:2:3:6</t>
  </si>
  <si>
    <t>13:024:2:4:6</t>
  </si>
  <si>
    <t>13:025:2:3:6</t>
  </si>
  <si>
    <t>13:026:2:5:6</t>
  </si>
  <si>
    <t>13:027:2:4:6</t>
  </si>
  <si>
    <t>13:028:2:5:6</t>
  </si>
  <si>
    <t>13:029:2:5:6</t>
  </si>
  <si>
    <t>13:030:2:4:6</t>
  </si>
  <si>
    <t>13:031:2:3:6</t>
  </si>
  <si>
    <t>13:032:2:3:6</t>
  </si>
  <si>
    <t>13:033:2:4:6</t>
  </si>
  <si>
    <t>13:034:2:4:6</t>
  </si>
  <si>
    <t>13:035:2:5:6</t>
  </si>
  <si>
    <t>13:036:2:5:6</t>
  </si>
  <si>
    <t>13:037:2:3:6</t>
  </si>
  <si>
    <t>13:038:2:4:6</t>
  </si>
  <si>
    <t>13:039:2:3:6</t>
  </si>
  <si>
    <t>13:040:2:3:6</t>
  </si>
  <si>
    <t>13:041:2:4:6</t>
  </si>
  <si>
    <t>13:042:2:4:6</t>
  </si>
  <si>
    <t>13:043:2:5:6</t>
  </si>
  <si>
    <t>13:044:2:3:6</t>
  </si>
  <si>
    <t>13:045:2:5:6</t>
  </si>
  <si>
    <t>13:046:2:5:6</t>
  </si>
  <si>
    <t>13:047:2:3:6</t>
  </si>
  <si>
    <t>13:048:2:5:6</t>
  </si>
  <si>
    <t>13:049:2:3:6</t>
  </si>
  <si>
    <t>13:050:2:5:6</t>
  </si>
  <si>
    <t>13:051:2:5:6</t>
  </si>
  <si>
    <t>13:052:2:5:6</t>
  </si>
  <si>
    <t>13:053:2:5:6</t>
  </si>
  <si>
    <t>13:054:2:5:6</t>
  </si>
  <si>
    <t>13:055:2:5:6</t>
  </si>
  <si>
    <t>13:056:2:5:6</t>
  </si>
  <si>
    <t>13:057:2:3:6</t>
  </si>
  <si>
    <t>13:058:2:4:6</t>
  </si>
  <si>
    <t>13:059:2:5:6</t>
  </si>
  <si>
    <t>13:060:2:4:6</t>
  </si>
  <si>
    <t>14:000:0:0:0</t>
  </si>
  <si>
    <t>14:001:2:3:6</t>
  </si>
  <si>
    <t>14:002:2:3:6</t>
  </si>
  <si>
    <t>14:003:2:5:6</t>
  </si>
  <si>
    <t>14:004:2:4:6</t>
  </si>
  <si>
    <t>14:005:2:3:6</t>
  </si>
  <si>
    <t>14:006:2:3:6</t>
  </si>
  <si>
    <t>14:007:2:3:6</t>
  </si>
  <si>
    <t>14:008:2:3:6</t>
  </si>
  <si>
    <t>14:009:2:4:6</t>
  </si>
  <si>
    <t>14:010:2:3:6</t>
  </si>
  <si>
    <t>14:011:2:5:6</t>
  </si>
  <si>
    <t>14:012:2:5:6</t>
  </si>
  <si>
    <t>14:013:2:3:6</t>
  </si>
  <si>
    <t>14:015:2:5:6</t>
  </si>
  <si>
    <t>14:016:2:4:6</t>
  </si>
  <si>
    <t>14:017:2:3:6</t>
  </si>
  <si>
    <t>14:018:2:4:6</t>
  </si>
  <si>
    <t>14:019:2:3:6</t>
  </si>
  <si>
    <t>14:020:2:3:6</t>
  </si>
  <si>
    <t>14:021:2:5:6</t>
  </si>
  <si>
    <t>14:022:2:3:6</t>
  </si>
  <si>
    <t>14:023:2:3:6</t>
  </si>
  <si>
    <t>15:000:0:0:0</t>
  </si>
  <si>
    <t>15:001:2:3:6</t>
  </si>
  <si>
    <t>15:002:1:2:4</t>
  </si>
  <si>
    <t>15:003:1:1:4</t>
  </si>
  <si>
    <t>15:004:2:3:6</t>
  </si>
  <si>
    <t>15:005:2:3:5</t>
  </si>
  <si>
    <t>15:006:2:3:4</t>
  </si>
  <si>
    <t>16:000:0:0:0</t>
  </si>
  <si>
    <t>16:001:2:5:6</t>
  </si>
  <si>
    <t>16:002:2:4:5</t>
  </si>
  <si>
    <t>16:003:2:4:5</t>
  </si>
  <si>
    <t>16:004:2:5:6</t>
  </si>
  <si>
    <t>16:005:1:1:4</t>
  </si>
  <si>
    <t>16:006:2:5:6</t>
  </si>
  <si>
    <t>16:007:2:5:6</t>
  </si>
  <si>
    <t>16:008:2:4:6</t>
  </si>
  <si>
    <t>16:009:2:4:6</t>
  </si>
  <si>
    <t>16:010:2:3:6</t>
  </si>
  <si>
    <t>16:011:2:4:5</t>
  </si>
  <si>
    <t>16:012:2:6:6</t>
  </si>
  <si>
    <t>16:013:2:3:6</t>
  </si>
  <si>
    <t>16:014:2:4:6</t>
  </si>
  <si>
    <t>16:015:2:4:6</t>
  </si>
  <si>
    <t>16:016:2:5:6</t>
  </si>
  <si>
    <t>16:017:2:4:5</t>
  </si>
  <si>
    <t>16:018:2:5:6</t>
  </si>
  <si>
    <t>16:019:2:3:6</t>
  </si>
  <si>
    <t>16:020:2:4:6</t>
  </si>
  <si>
    <t>16:021:2:4:6</t>
  </si>
  <si>
    <t>16:022:2:3:6</t>
  </si>
  <si>
    <t>16:023:2:3:6</t>
  </si>
  <si>
    <t>16:024:2:5:6</t>
  </si>
  <si>
    <t>16:025:2:5:6</t>
  </si>
  <si>
    <t>16:026:2:5:6</t>
  </si>
  <si>
    <t>16:027:2:5:6</t>
  </si>
  <si>
    <t>16:028:2:3:5</t>
  </si>
  <si>
    <t>16:029:2:5:6</t>
  </si>
  <si>
    <t>16:030:2:5:6</t>
  </si>
  <si>
    <t>16:031:2:5:6</t>
  </si>
  <si>
    <t>16:032:2:5:6</t>
  </si>
  <si>
    <t>16:033:2:3:6</t>
  </si>
  <si>
    <t>16:034:2:4:6</t>
  </si>
  <si>
    <t>16:035:2:4:5</t>
  </si>
  <si>
    <t>16:036:2:4:5</t>
  </si>
  <si>
    <t>16:037:2:5:6</t>
  </si>
  <si>
    <t>16:038:2:4:6</t>
  </si>
  <si>
    <t>16:039:2:5:6</t>
  </si>
  <si>
    <t>16:040:2:4:6</t>
  </si>
  <si>
    <t>16:041:2:5:6</t>
  </si>
  <si>
    <t>17:000:0:0:0</t>
  </si>
  <si>
    <t>17:001:1:2:4</t>
  </si>
  <si>
    <t>18:000:0:0:0</t>
  </si>
  <si>
    <t>18:001:1:2:4</t>
  </si>
  <si>
    <t>19:000:0:0:0</t>
  </si>
  <si>
    <t>19:001:2:3:6</t>
  </si>
  <si>
    <t>19:002:1:1:4</t>
  </si>
  <si>
    <t>19:003:2:3:6</t>
  </si>
  <si>
    <t>20:000:0:0:0</t>
  </si>
  <si>
    <t>20:001:2:4:6</t>
  </si>
  <si>
    <t>20:002:2:3:6</t>
  </si>
  <si>
    <t>20:003:1:1:3</t>
  </si>
  <si>
    <t>20:004:2:5:6</t>
  </si>
  <si>
    <t>20:005:2:3:6</t>
  </si>
  <si>
    <t>20:006:2:3:6</t>
  </si>
  <si>
    <t>20:007:2:3:6</t>
  </si>
  <si>
    <t>20:008:2:3:6</t>
  </si>
  <si>
    <t>20:009:2:3:6</t>
  </si>
  <si>
    <t>20:010:2:3:6</t>
  </si>
  <si>
    <t>20:011:2:3:6</t>
  </si>
  <si>
    <t>20:012:2:3:6</t>
  </si>
  <si>
    <t>20:013:2:3:6</t>
  </si>
  <si>
    <t>20:014:2:3:6</t>
  </si>
  <si>
    <t>20:015:2:4:6</t>
  </si>
  <si>
    <t>20:016:2:3:6</t>
  </si>
  <si>
    <t>20:017:2:3:6</t>
  </si>
  <si>
    <t>20:018:2:3:6</t>
  </si>
  <si>
    <t>20:019:2:3:6</t>
  </si>
  <si>
    <t>20:020:2:5:6</t>
  </si>
  <si>
    <t>20:021:2:3:6</t>
  </si>
  <si>
    <t>20:022:2:3:6</t>
  </si>
  <si>
    <t>20:023:2:3:6</t>
  </si>
  <si>
    <t>20:024:2:3:6</t>
  </si>
  <si>
    <t>20:025:2:3:6</t>
  </si>
  <si>
    <t>21:000:0:0:0</t>
  </si>
  <si>
    <t>21:001:1:1:4</t>
  </si>
  <si>
    <t>22:000:0:0:0</t>
  </si>
  <si>
    <t>22:001:2:5:6</t>
  </si>
  <si>
    <t>22:002:2:5:6</t>
  </si>
  <si>
    <t>22:003:2:5:6</t>
  </si>
  <si>
    <t>22:004:2:5:6</t>
  </si>
  <si>
    <t>22:005:2:5:6</t>
  </si>
  <si>
    <t>22:006:2:5:6</t>
  </si>
  <si>
    <t>22:007:1:1:4</t>
  </si>
  <si>
    <t>22:008:2:5:6</t>
  </si>
  <si>
    <t>22:009:2:5:6</t>
  </si>
  <si>
    <t>22:010:2:5:6</t>
  </si>
  <si>
    <t>22:011:2:4:6</t>
  </si>
  <si>
    <t>22:012:2:5:6</t>
  </si>
  <si>
    <t>22:013:2:5:6</t>
  </si>
  <si>
    <t>22:014:2:5:6</t>
  </si>
  <si>
    <t>22:015:2:5:6</t>
  </si>
  <si>
    <t>22:016:2:5:6</t>
  </si>
  <si>
    <t>22:017:2:3:6</t>
  </si>
  <si>
    <t>22:018:2:3:6</t>
  </si>
  <si>
    <t>22:019:2:3:6</t>
  </si>
  <si>
    <t>22:020:2:4:6</t>
  </si>
  <si>
    <t>22:021:2:5:6</t>
  </si>
  <si>
    <t>22:022:2:3:6</t>
  </si>
  <si>
    <t>22:023:2:5:6</t>
  </si>
  <si>
    <t>22:024:2:4:6</t>
  </si>
  <si>
    <t>22:025:2:5:6</t>
  </si>
  <si>
    <t>22:026:2:5:6</t>
  </si>
  <si>
    <t>22:027:2:5:6</t>
  </si>
  <si>
    <t>22:028:2:5:6</t>
  </si>
  <si>
    <t>22:029:2:5:6</t>
  </si>
  <si>
    <t>22:030:2:5:6</t>
  </si>
  <si>
    <t>22:031:2:4:6</t>
  </si>
  <si>
    <t>22:032:2:5:6</t>
  </si>
  <si>
    <t>22:033:2:5:6</t>
  </si>
  <si>
    <t>22:034:2:4:6</t>
  </si>
  <si>
    <t>22:035:2:5:6</t>
  </si>
  <si>
    <t>22:036:2:4:6</t>
  </si>
  <si>
    <t>22:037:2:3:5</t>
  </si>
  <si>
    <t>22:038:2:4:6</t>
  </si>
  <si>
    <t>22:039:2:5:6</t>
  </si>
  <si>
    <t>22:040:2:5:6</t>
  </si>
  <si>
    <t>22:041:2:5:6</t>
  </si>
  <si>
    <t>22:042:2:4:6</t>
  </si>
  <si>
    <t>22:043:2:5:6</t>
  </si>
  <si>
    <t>22:044:2:5:6</t>
  </si>
  <si>
    <t>23:000:0:0:0</t>
  </si>
  <si>
    <t>23:001:2:3:6</t>
  </si>
  <si>
    <t>23:002:2:3:6</t>
  </si>
  <si>
    <t>23:003:1:1:4</t>
  </si>
  <si>
    <t>23:004:2:3:6</t>
  </si>
  <si>
    <t>24:000:0:0:0</t>
  </si>
  <si>
    <t>24:001:2:5:6</t>
  </si>
  <si>
    <t>24:002:2:5:6</t>
  </si>
  <si>
    <t>24:003:1:1:4</t>
  </si>
  <si>
    <t>24:004:2:5:6</t>
  </si>
  <si>
    <t>24:005:2:4:5</t>
  </si>
  <si>
    <t>25:000:0:0:0</t>
  </si>
  <si>
    <t>25:001:1:2:4</t>
  </si>
  <si>
    <t>26:000:0:0:0</t>
  </si>
  <si>
    <t>26:001:2:3:6</t>
  </si>
  <si>
    <t>26:002:2:3:6</t>
  </si>
  <si>
    <t>26:003:2:3:6</t>
  </si>
  <si>
    <t>26:004:1:1:4</t>
  </si>
  <si>
    <t>26:005:2:3:6</t>
  </si>
  <si>
    <t>26:006:2:3:6</t>
  </si>
  <si>
    <t>26:007:2:3:6</t>
  </si>
  <si>
    <t>27:000:0:0:0</t>
  </si>
  <si>
    <t>27:001:2:3:6</t>
  </si>
  <si>
    <t>27:002:1:1:3</t>
  </si>
  <si>
    <t>27:003:2:3:6</t>
  </si>
  <si>
    <t>27:004:2:3:6</t>
  </si>
  <si>
    <t>27:005:2:3:6</t>
  </si>
  <si>
    <t>27:006:2:3:6</t>
  </si>
  <si>
    <t>28:000:0:0:0</t>
  </si>
  <si>
    <t>28:001:2:3:6</t>
  </si>
  <si>
    <t>28:002:2:3:6</t>
  </si>
  <si>
    <t>28:003:2:3:6</t>
  </si>
  <si>
    <t>28:004:2:3:6</t>
  </si>
  <si>
    <t>28:005:2:3:6</t>
  </si>
  <si>
    <t>28:006:1:1:4</t>
  </si>
  <si>
    <t>28:007:2:3:6</t>
  </si>
  <si>
    <t>28:008:2:3:6</t>
  </si>
  <si>
    <t>28:009:2:3:6</t>
  </si>
  <si>
    <t>28:010:2:3:6</t>
  </si>
  <si>
    <t>28:011:2:5:6</t>
  </si>
  <si>
    <t>29:000:0:0:0</t>
  </si>
  <si>
    <t>29:001:2:3:6</t>
  </si>
  <si>
    <t>29:002:1:1:4</t>
  </si>
  <si>
    <t>29:003:2:3:6</t>
  </si>
  <si>
    <t>29:004:2:3:6</t>
  </si>
  <si>
    <t>29:005:2:3:6</t>
  </si>
  <si>
    <t>30:000:0:0:0</t>
  </si>
  <si>
    <t>30:001:2:4:6</t>
  </si>
  <si>
    <t>30:002:2:3:6</t>
  </si>
  <si>
    <t>30:003:2:4:6</t>
  </si>
  <si>
    <t>30:004:1:1:4</t>
  </si>
  <si>
    <t>30:005:2:3:6</t>
  </si>
  <si>
    <t>31:000:0:0:0</t>
  </si>
  <si>
    <t>31:001:2:3:6</t>
  </si>
  <si>
    <t>31:002:2:3:6</t>
  </si>
  <si>
    <t>31:003:2:3:6</t>
  </si>
  <si>
    <t>31:004:2:3:6</t>
  </si>
  <si>
    <t>31:005:1:2:4</t>
  </si>
  <si>
    <t>32:000:0:0:0</t>
  </si>
  <si>
    <t>32:001:2:3:6</t>
  </si>
  <si>
    <t>32:002:2:4:6</t>
  </si>
  <si>
    <t>32:003:2:3:6</t>
  </si>
  <si>
    <t>32:004:2:3:6</t>
  </si>
  <si>
    <t>32:005:2:5:6</t>
  </si>
  <si>
    <t>32:006:2:3:6</t>
  </si>
  <si>
    <t>32:007:2:5:6</t>
  </si>
  <si>
    <t>32:008:2:3:6</t>
  </si>
  <si>
    <t>32:009:2:5:6</t>
  </si>
  <si>
    <t>32:010:2:3:6</t>
  </si>
  <si>
    <t>32:011:2:5:6</t>
  </si>
  <si>
    <t>32:012:2:3:6</t>
  </si>
  <si>
    <t>32:013:2:5:6</t>
  </si>
  <si>
    <t>32:014:2:3:6</t>
  </si>
  <si>
    <t>32:015:2:4:6</t>
  </si>
  <si>
    <t>32:016:2:3:6</t>
  </si>
  <si>
    <t>32:017:2:4:6</t>
  </si>
  <si>
    <t>32:018:2:3:6</t>
  </si>
  <si>
    <t>32:020:2:3:6</t>
  </si>
  <si>
    <t>32:021:2:3:6</t>
  </si>
  <si>
    <t>32:022:2:3:6</t>
  </si>
  <si>
    <t>32:023:2:4:6</t>
  </si>
  <si>
    <t>32:024:2:5:6</t>
  </si>
  <si>
    <t>32:025:2:5:6</t>
  </si>
  <si>
    <t>32:026:2:3:6</t>
  </si>
  <si>
    <t>32:027:2:5:6</t>
  </si>
  <si>
    <t>32:028:2:3:6</t>
  </si>
  <si>
    <t>32:029:2:5:6</t>
  </si>
  <si>
    <t>32:030:2:3:6</t>
  </si>
  <si>
    <t>33:000:0:0:0</t>
  </si>
  <si>
    <t>33:001:2:3:6</t>
  </si>
  <si>
    <t>33:002:2:3:6</t>
  </si>
  <si>
    <t>33:003:2:3:6</t>
  </si>
  <si>
    <t>33:004:2:3:6</t>
  </si>
  <si>
    <t>33:005:2:4:6</t>
  </si>
  <si>
    <t>33:006:2:3:6</t>
  </si>
  <si>
    <t>33:007:2:4:6</t>
  </si>
  <si>
    <t>33:008:1:1:3</t>
  </si>
  <si>
    <t>34:000:0:0:0</t>
  </si>
  <si>
    <t>34:001:1:2:4</t>
  </si>
  <si>
    <t>35:000:0:0:0</t>
  </si>
  <si>
    <t>35:001:2:3:6</t>
  </si>
  <si>
    <t>35:002:2:5:6</t>
  </si>
  <si>
    <t>35:003:2:5:6</t>
  </si>
  <si>
    <t>35:004:1:1:4</t>
  </si>
  <si>
    <t>36:000:0:0:0</t>
  </si>
  <si>
    <t>36:001:2:5:6</t>
  </si>
  <si>
    <t>36:002:2:5:6</t>
  </si>
  <si>
    <t>36:003:1:2:4</t>
  </si>
  <si>
    <t>36:004:2:3:6</t>
  </si>
  <si>
    <t>37:000:0:0:0</t>
  </si>
  <si>
    <t>37:001:2:3:5</t>
  </si>
  <si>
    <t>37:002:2:5:6</t>
  </si>
  <si>
    <t>37:003:2:5:6</t>
  </si>
  <si>
    <t>37:004:2:5:6</t>
  </si>
  <si>
    <t>37:005:2:3:6</t>
  </si>
  <si>
    <t>37:006:2:5:6</t>
  </si>
  <si>
    <t>37:007:2:4:5</t>
  </si>
  <si>
    <t>37:008:2:3:6</t>
  </si>
  <si>
    <t>37:009:2:5:6</t>
  </si>
  <si>
    <t>37:010:2:3:6</t>
  </si>
  <si>
    <t>37:011:2:4:5</t>
  </si>
  <si>
    <t>37:012:2:5:6</t>
  </si>
  <si>
    <t>37:013:2:4:6</t>
  </si>
  <si>
    <t>37:014:2:5:6</t>
  </si>
  <si>
    <t>37:015:2:5:6</t>
  </si>
  <si>
    <t>37:016:2:4:5</t>
  </si>
  <si>
    <t>37:017:2:3:6</t>
  </si>
  <si>
    <t>37:018:2:4:5</t>
  </si>
  <si>
    <t>37:019:2:4:6</t>
  </si>
  <si>
    <t>37:020:2:5:6</t>
  </si>
  <si>
    <t>37:021:1:1:4</t>
  </si>
  <si>
    <t>37:022:2:4:6</t>
  </si>
  <si>
    <t>37:023:2:4:6</t>
  </si>
  <si>
    <t>37:024:2:4:5</t>
  </si>
  <si>
    <t>37:025:2:3:6</t>
  </si>
  <si>
    <t>37:026:2:5:6</t>
  </si>
  <si>
    <t>38:000:0:0:0</t>
  </si>
  <si>
    <t>38:001:2:3:6</t>
  </si>
  <si>
    <t>38:002:2:3:6</t>
  </si>
  <si>
    <t>38:003:2:3:6</t>
  </si>
  <si>
    <t>38:004:2:3:6</t>
  </si>
  <si>
    <t>38:005:2:3:6</t>
  </si>
  <si>
    <t>38:006:2:3:6</t>
  </si>
  <si>
    <t>38:007:1:1:4</t>
  </si>
  <si>
    <t>38:008:2:3:6</t>
  </si>
  <si>
    <t>38:009:2:3:6</t>
  </si>
  <si>
    <t>38:010:2:3:6</t>
  </si>
  <si>
    <t>38:011:2:3:6</t>
  </si>
  <si>
    <t>38:012:2:3:6</t>
  </si>
  <si>
    <t>38:013:2:3:6</t>
  </si>
  <si>
    <t>38:014:2:3:6</t>
  </si>
  <si>
    <t>38:015:2:3:6</t>
  </si>
  <si>
    <t>38:016:2:3:6</t>
  </si>
  <si>
    <t>38:017:2:3:6</t>
  </si>
  <si>
    <t>38:018:2:3:6</t>
  </si>
  <si>
    <t>38:019:2:3:6</t>
  </si>
  <si>
    <t>38:020:2:3:6</t>
  </si>
  <si>
    <t>38:021:2:3:6</t>
  </si>
  <si>
    <t>38:022:2:3:6</t>
  </si>
  <si>
    <t>38:023:2:3:6</t>
  </si>
  <si>
    <t>38:024:2:3:6</t>
  </si>
  <si>
    <t>38:025:2:3:6</t>
  </si>
  <si>
    <t>38:026:2:3:6</t>
  </si>
  <si>
    <t>38:027:2:3:6</t>
  </si>
  <si>
    <t>38:028:2:3:6</t>
  </si>
  <si>
    <t>38:029:2:3:6</t>
  </si>
  <si>
    <t>38:030:2:3:6</t>
  </si>
  <si>
    <t>39:000:0:0:0</t>
  </si>
  <si>
    <t>39:001:2:5:6</t>
  </si>
  <si>
    <t>39:002:2:4:6</t>
  </si>
  <si>
    <t>39:003:2:5:6</t>
  </si>
  <si>
    <t>39:004:2:4:6</t>
  </si>
  <si>
    <t>39:005:2:5:6</t>
  </si>
  <si>
    <t>39:006:2:5:6</t>
  </si>
  <si>
    <t>39:007:2:5:6</t>
  </si>
  <si>
    <t>39:008:2:5:6</t>
  </si>
  <si>
    <t>39:009:2:5:6</t>
  </si>
  <si>
    <t>39:010:2:5:6</t>
  </si>
  <si>
    <t>39:011:2:5:6</t>
  </si>
  <si>
    <t>39:012:2:5:6</t>
  </si>
  <si>
    <t>39:013:2:5:6</t>
  </si>
  <si>
    <t>39:014:2:5:6</t>
  </si>
  <si>
    <t>39:015:2:5:6</t>
  </si>
  <si>
    <t>39:016:2:4:6</t>
  </si>
  <si>
    <t>39:017:2:5:6</t>
  </si>
  <si>
    <t>39:018:2:5:6</t>
  </si>
  <si>
    <t>39:019:2:3:6</t>
  </si>
  <si>
    <t>39:020:2:4:6</t>
  </si>
  <si>
    <t>39:021:2:5:6</t>
  </si>
  <si>
    <t>39:022:2:5:6</t>
  </si>
  <si>
    <t>39:023:2:5:6</t>
  </si>
  <si>
    <t>39:024:2:4:6</t>
  </si>
  <si>
    <t>39:025:2:5:6</t>
  </si>
  <si>
    <t>39:026:2:5:6</t>
  </si>
  <si>
    <t>39:027:2:3:6</t>
  </si>
  <si>
    <t>39:028:2:5:5</t>
  </si>
  <si>
    <t>39:029:2:4:6</t>
  </si>
  <si>
    <t>39:030:2:5:6</t>
  </si>
  <si>
    <t>39:031:2:3:5</t>
  </si>
  <si>
    <t>39:032:2:4:6</t>
  </si>
  <si>
    <t>39:033:2:5:6</t>
  </si>
  <si>
    <t>39:034:2:5:6</t>
  </si>
  <si>
    <t>39:035:2:5:6</t>
  </si>
  <si>
    <t>39:036:2:4:5</t>
  </si>
  <si>
    <t>39:037:2:4:6</t>
  </si>
  <si>
    <t>39:038:2:5:6</t>
  </si>
  <si>
    <t>39:039:2:4:6</t>
  </si>
  <si>
    <t>39:040:2:5:6</t>
  </si>
  <si>
    <t>39:041:2:5:6</t>
  </si>
  <si>
    <t>39:042:2:5:6</t>
  </si>
  <si>
    <t>39:043:2:5:6</t>
  </si>
  <si>
    <t>39:044:2:5:6</t>
  </si>
  <si>
    <t>39:045:2:5:6</t>
  </si>
  <si>
    <t>39:046:2:4:6</t>
  </si>
  <si>
    <t>39:047:2:5:6</t>
  </si>
  <si>
    <t>39:048:2:5:6</t>
  </si>
  <si>
    <t>39:049:2:3:6</t>
  </si>
  <si>
    <t>39:050:2:5:6</t>
  </si>
  <si>
    <t>39:051:2:3:6</t>
  </si>
  <si>
    <t>39:052:2:5:6</t>
  </si>
  <si>
    <t>39:053:2:3:6</t>
  </si>
  <si>
    <t>39:054:2:5:6</t>
  </si>
  <si>
    <t>39:055:2:5:6</t>
  </si>
  <si>
    <t>39:056:2:5:6</t>
  </si>
  <si>
    <t>39:057:2:5:6</t>
  </si>
  <si>
    <t>39:058:2:5:6</t>
  </si>
  <si>
    <t>39:059:2:5:6</t>
  </si>
  <si>
    <t>39:060:2:5:6</t>
  </si>
  <si>
    <t>39:061:2:5:6</t>
  </si>
  <si>
    <t>39:062:2:5:6</t>
  </si>
  <si>
    <t>39:063:2:5:6</t>
  </si>
  <si>
    <t>39:064:2:4:6</t>
  </si>
  <si>
    <t>39:065:2:5:6</t>
  </si>
  <si>
    <t>39:066:2:5:6</t>
  </si>
  <si>
    <t>39:067:2:4:6</t>
  </si>
  <si>
    <t>39:068:2:5:6</t>
  </si>
  <si>
    <t>39:069:2:5:6</t>
  </si>
  <si>
    <t>39:070:2:5:6</t>
  </si>
  <si>
    <t>39:071:1:2:4</t>
  </si>
  <si>
    <t>39:072:2:5:6</t>
  </si>
  <si>
    <t>39:073:2:5:6</t>
  </si>
  <si>
    <t>39:074:2:4:6</t>
  </si>
  <si>
    <t>39:075:2:5:6</t>
  </si>
  <si>
    <t>39:076:2:5:6</t>
  </si>
  <si>
    <t>39:077:2:4:6</t>
  </si>
  <si>
    <t>39:078:2:3:6</t>
  </si>
  <si>
    <t>39:079:2:5:6</t>
  </si>
  <si>
    <t>39:080:2:4:6</t>
  </si>
  <si>
    <t>39:081:2:5:6</t>
  </si>
  <si>
    <t>39:082:2:5:6</t>
  </si>
  <si>
    <t>39:083:2:3:6</t>
  </si>
  <si>
    <t>39:084:2:4:6</t>
  </si>
  <si>
    <t>39:085:2:5:6</t>
  </si>
  <si>
    <t>39:086:2:5:6</t>
  </si>
  <si>
    <t>39:087:2:5:6</t>
  </si>
  <si>
    <t>39:088:2:5:6</t>
  </si>
  <si>
    <t>39:089:2:4:6</t>
  </si>
  <si>
    <t>39:090:2:5:6</t>
  </si>
  <si>
    <t>39:091:2:4:6</t>
  </si>
  <si>
    <t>39:092:2:4:6</t>
  </si>
  <si>
    <t>39:093:2:4:6</t>
  </si>
  <si>
    <t>39:094:2:5:6</t>
  </si>
  <si>
    <t>39:095:2:5:6</t>
  </si>
  <si>
    <t>39:096:2:5:6</t>
  </si>
  <si>
    <t>39:097:2:5:6</t>
  </si>
  <si>
    <t>39:098:2:5:6</t>
  </si>
  <si>
    <t>39:099:2:5:6</t>
  </si>
  <si>
    <t>39:100:2:4:6</t>
  </si>
  <si>
    <t>39:101:2:5:6</t>
  </si>
  <si>
    <t>39:102:2:5:6</t>
  </si>
  <si>
    <t>39:103:2:5:6</t>
  </si>
  <si>
    <t>40:000:0:0:0</t>
  </si>
  <si>
    <t>40:001:2:4:6</t>
  </si>
  <si>
    <t>40:002:2:5:6</t>
  </si>
  <si>
    <t>40:003:2:5:6</t>
  </si>
  <si>
    <t>40:004:2:5:6</t>
  </si>
  <si>
    <t>40:005:2:5:6</t>
  </si>
  <si>
    <t>40:006:2:5:6</t>
  </si>
  <si>
    <t>40:007:2:4:6</t>
  </si>
  <si>
    <t>40:008:2:5:6</t>
  </si>
  <si>
    <t>40:009:2:5:6</t>
  </si>
  <si>
    <t>40:010:2:5:6</t>
  </si>
  <si>
    <t>40:011:2:3:6</t>
  </si>
  <si>
    <t>40:012:2:5:6</t>
  </si>
  <si>
    <t>40:013:2:4:6</t>
  </si>
  <si>
    <t>40:014:2:4:5</t>
  </si>
  <si>
    <t>40:015:2:4:5</t>
  </si>
  <si>
    <t>40:016:2:5:6</t>
  </si>
  <si>
    <t>40:017:2:5:6</t>
  </si>
  <si>
    <t>40:018:2:3:6</t>
  </si>
  <si>
    <t>40:019:2:4:5</t>
  </si>
  <si>
    <t>40:020:2:3:6</t>
  </si>
  <si>
    <t>40:021:2:5:6</t>
  </si>
  <si>
    <t>40:022:2:5:6</t>
  </si>
  <si>
    <t>40:023:2:5:6</t>
  </si>
  <si>
    <t>40:024:2:3:6</t>
  </si>
  <si>
    <t>40:025:2:3:6</t>
  </si>
  <si>
    <t>40:026:2:5:6</t>
  </si>
  <si>
    <t>40:027:2:5:6</t>
  </si>
  <si>
    <t>40:028:2:5:6</t>
  </si>
  <si>
    <t>40:029:2:4:5</t>
  </si>
  <si>
    <t>40:030:1:2:4</t>
  </si>
  <si>
    <t>40:031:2:5:6</t>
  </si>
  <si>
    <t>40:032:2:5:6</t>
  </si>
  <si>
    <t>40:033:2:4:5</t>
  </si>
  <si>
    <t>40:034:2:3:6</t>
  </si>
  <si>
    <t>40:035:2:3:6</t>
  </si>
  <si>
    <t>40:036:2:4:6</t>
  </si>
  <si>
    <t>40:037:2:3:6</t>
  </si>
  <si>
    <t>40:038:2:5:6</t>
  </si>
  <si>
    <t>40:039:2:4:6</t>
  </si>
  <si>
    <t>40:040:2:4:5</t>
  </si>
  <si>
    <t>40:041:2:4:5</t>
  </si>
  <si>
    <t>40:042:2:5:6</t>
  </si>
  <si>
    <t>40:043:2:5:6</t>
  </si>
  <si>
    <t>40:044:2:4:5</t>
  </si>
  <si>
    <t>40:045:2:5:6</t>
  </si>
  <si>
    <t>40:046:2:3:6</t>
  </si>
  <si>
    <t>40:047:2:4:6</t>
  </si>
  <si>
    <t>40:048:2:4:6</t>
  </si>
  <si>
    <t>40:049:2:5:6</t>
  </si>
  <si>
    <t>40:050:2:4:6</t>
  </si>
  <si>
    <t>40:051:2:3:6</t>
  </si>
  <si>
    <t>40:052:2:4:5</t>
  </si>
  <si>
    <t>40:053:2:5:6</t>
  </si>
  <si>
    <t>40:054:2:3:6</t>
  </si>
  <si>
    <t>40:055:2:4:5</t>
  </si>
  <si>
    <t>40:056:2:3:6</t>
  </si>
  <si>
    <t>40:057:2:4:6</t>
  </si>
  <si>
    <t>40:058:2:5:6</t>
  </si>
  <si>
    <t>40:059:2:5:6</t>
  </si>
  <si>
    <t>40:060:2:5:6</t>
  </si>
  <si>
    <t>40:061:2:4:6</t>
  </si>
  <si>
    <t>40:062:2:5:6</t>
  </si>
  <si>
    <t>40:063:2:5:6</t>
  </si>
  <si>
    <t>40:064:2:5:6</t>
  </si>
  <si>
    <t>40:065:2:5:6</t>
  </si>
  <si>
    <t>40:066:2:4:6</t>
  </si>
  <si>
    <t>41:000:0:0:0</t>
  </si>
  <si>
    <t>41:001:1:1:4</t>
  </si>
  <si>
    <t>42:000:0:0:0</t>
  </si>
  <si>
    <t>42:001:2:3:6</t>
  </si>
  <si>
    <t>42:002:2:3:6</t>
  </si>
  <si>
    <t>42:003:1:1:4</t>
  </si>
  <si>
    <t>43:000:0:0:0</t>
  </si>
  <si>
    <t>43:001:2:3:6</t>
  </si>
  <si>
    <t>43:002:2:3:6</t>
  </si>
  <si>
    <t>43:003:1:1:4</t>
  </si>
  <si>
    <t>43:004:2:3:6</t>
  </si>
  <si>
    <t>43:005:2:5:6</t>
  </si>
  <si>
    <t>43:006:2:3:6</t>
  </si>
  <si>
    <t>43:007:2:3:6</t>
  </si>
  <si>
    <t>43:008:2:3:6</t>
  </si>
  <si>
    <t>43:009:2:3:6</t>
  </si>
  <si>
    <t>44:000:0:0:0</t>
  </si>
  <si>
    <t>44:001:2:3:6</t>
  </si>
  <si>
    <t>44:002:2:3:5</t>
  </si>
  <si>
    <t>44:003:2:5:6</t>
  </si>
  <si>
    <t>44:004:2:3:6</t>
  </si>
  <si>
    <t>44:005:2:3:6</t>
  </si>
  <si>
    <t>44:006:2:5:6</t>
  </si>
  <si>
    <t>44:007:1:1:4</t>
  </si>
  <si>
    <t>44:008:2:5:6</t>
  </si>
  <si>
    <t>44:009:2:5:6</t>
  </si>
  <si>
    <t>44:010:2:3:6</t>
  </si>
  <si>
    <t>44:011:2:3:6</t>
  </si>
  <si>
    <t>44:012:2:3:6</t>
  </si>
  <si>
    <t>44:013:2:3:6</t>
  </si>
  <si>
    <t>45:000:0:0:0</t>
  </si>
  <si>
    <t>45:001:2:3:5</t>
  </si>
  <si>
    <t>45:002:1:2:4</t>
  </si>
  <si>
    <t>45:003:2:3:6</t>
  </si>
  <si>
    <t>45:004:2:3:6</t>
  </si>
  <si>
    <t>46:000:0:0:0</t>
  </si>
  <si>
    <t>46:001:2:5:6</t>
  </si>
  <si>
    <t>46:002:2:5:6</t>
  </si>
  <si>
    <t>46:003:2:4:6</t>
  </si>
  <si>
    <t>46:004:2:5:6</t>
  </si>
  <si>
    <t>46:005:2:5:6</t>
  </si>
  <si>
    <t>46:006:2:5:6</t>
  </si>
  <si>
    <t>46:007:2:5:6</t>
  </si>
  <si>
    <t>46:008:2:3:6</t>
  </si>
  <si>
    <t>46:009:2:4:6</t>
  </si>
  <si>
    <t>46:010:2:3:6</t>
  </si>
  <si>
    <t>46:011:2:5:6</t>
  </si>
  <si>
    <t>46:012:2:4:6</t>
  </si>
  <si>
    <t>46:013:2:5:6</t>
  </si>
  <si>
    <t>46:014:2:5:6</t>
  </si>
  <si>
    <t>46:015:2:4:6</t>
  </si>
  <si>
    <t>46:016:2:5:6</t>
  </si>
  <si>
    <t>46:017:2:5:6</t>
  </si>
  <si>
    <t>46:018:2:5:6</t>
  </si>
  <si>
    <t>46:019:1:2:4</t>
  </si>
  <si>
    <t>46:020:2:4:6</t>
  </si>
  <si>
    <t>46:021:2:3:6</t>
  </si>
  <si>
    <t>46:022:2:3:6</t>
  </si>
  <si>
    <t>46:023:2:5:6</t>
  </si>
  <si>
    <t>46:024:2:5:6</t>
  </si>
  <si>
    <t>46:025:2:3:6</t>
  </si>
  <si>
    <t>46:026:2:5:6</t>
  </si>
  <si>
    <t>46:027:2:5:6</t>
  </si>
  <si>
    <t>46:028:2:5:6</t>
  </si>
  <si>
    <t>46:029:2:3:6</t>
  </si>
  <si>
    <t>46:030:2:3:6</t>
  </si>
  <si>
    <t>46:031:2:5:6</t>
  </si>
  <si>
    <t>46:032:2:5:6</t>
  </si>
  <si>
    <t>46:033:2:5:6</t>
  </si>
  <si>
    <t>46:034:2:5:6</t>
  </si>
  <si>
    <t>46:035:2:5:6</t>
  </si>
  <si>
    <t>46:036:2:5:6</t>
  </si>
  <si>
    <t>46:037:2:4:6</t>
  </si>
  <si>
    <t>46:038:2:3:6</t>
  </si>
  <si>
    <t>46:039:2:4:6</t>
  </si>
  <si>
    <t>46:040:2:5:6</t>
  </si>
  <si>
    <t>48:000:0:0:0</t>
  </si>
  <si>
    <t>48:001:1:2:4</t>
  </si>
  <si>
    <t>49:000:0:0:0</t>
  </si>
  <si>
    <t>49:001:2:4:6</t>
  </si>
  <si>
    <t>49:002:2:3:6</t>
  </si>
  <si>
    <t>49:003:2:3:6</t>
  </si>
  <si>
    <t>49:004:2:5:6</t>
  </si>
  <si>
    <t>49:005:2:3:5</t>
  </si>
  <si>
    <t>49:006:2:5:6</t>
  </si>
  <si>
    <t>49:007:2:5:6</t>
  </si>
  <si>
    <t>49:008:2:5:6</t>
  </si>
  <si>
    <t>49:009:2:5:6</t>
  </si>
  <si>
    <t>49:010:1:2:4</t>
  </si>
  <si>
    <t>49:011:2:5:6</t>
  </si>
  <si>
    <t>49:012:2:5:6</t>
  </si>
  <si>
    <t>49:013:2:3:6</t>
  </si>
  <si>
    <t>49:014:2:5:6</t>
  </si>
  <si>
    <t>49:015:2:4:6</t>
  </si>
  <si>
    <t>49:016:2:5:6</t>
  </si>
  <si>
    <t>49:017:2:4:6</t>
  </si>
  <si>
    <t>49:018:2:5:6</t>
  </si>
  <si>
    <t>49:019:2:4:6</t>
  </si>
  <si>
    <t>49:020:2:3:6</t>
  </si>
  <si>
    <t>49:021:2:5:6</t>
  </si>
  <si>
    <t>49:022:2:3:6</t>
  </si>
  <si>
    <t>49:023:2:5:6</t>
  </si>
  <si>
    <t>49:024:2:3:6</t>
  </si>
  <si>
    <t>49:025:2:3:5</t>
  </si>
  <si>
    <t>49:026:2:3:6</t>
  </si>
  <si>
    <t>49:027:2:5:6</t>
  </si>
  <si>
    <t>49:028:2:5:6</t>
  </si>
  <si>
    <t>49:029:2:3:6</t>
  </si>
  <si>
    <t>49:030:2:5:6</t>
  </si>
  <si>
    <t>49:031:2:4:6</t>
  </si>
  <si>
    <t>49:032:2:4:6</t>
  </si>
  <si>
    <t>49:033:2:5:6</t>
  </si>
  <si>
    <t>49:034:2:4:5</t>
  </si>
  <si>
    <t>49:035:2:3:6</t>
  </si>
  <si>
    <t>49:036:2:4:5</t>
  </si>
  <si>
    <t>49:037:2:5:6</t>
  </si>
  <si>
    <t>49:038:2:5:6</t>
  </si>
  <si>
    <t>49:039:2:5:6</t>
  </si>
  <si>
    <t>49:040:2:5:6</t>
  </si>
  <si>
    <t>49:041:2:3:6</t>
  </si>
  <si>
    <t>49:042:2:3:6</t>
  </si>
  <si>
    <t>49:043:2:5:6</t>
  </si>
  <si>
    <t>49:044:2:5:6</t>
  </si>
  <si>
    <t>49:045:2:5:6</t>
  </si>
  <si>
    <t>49:046:2:3:6</t>
  </si>
  <si>
    <t>49:047:2:5:6</t>
  </si>
  <si>
    <t>49:048:2:5:6</t>
  </si>
  <si>
    <t>49:049:2:4:6</t>
  </si>
  <si>
    <t>49:050:2:4:6</t>
  </si>
  <si>
    <t>49:051:2:5:6</t>
  </si>
  <si>
    <t>49:052:2:3:6</t>
  </si>
  <si>
    <t>49:053:2:4:6</t>
  </si>
  <si>
    <t>49:054:2:5:6</t>
  </si>
  <si>
    <t>49:055:2:3:6</t>
  </si>
  <si>
    <t>49:056:2:5:6</t>
  </si>
  <si>
    <t>49:057:2:4:6</t>
  </si>
  <si>
    <t>49:058:2:4:6</t>
  </si>
  <si>
    <t>49:059:2:5:6</t>
  </si>
  <si>
    <t>49:060:2:3:6</t>
  </si>
  <si>
    <t>49:061:2:3:6</t>
  </si>
  <si>
    <t>49:062:2:5:6</t>
  </si>
  <si>
    <t>49:063:2:3:6</t>
  </si>
  <si>
    <t>49:064:2:5:6</t>
  </si>
  <si>
    <t>49:065:2:5:6</t>
  </si>
  <si>
    <t>49:066:2:4:6</t>
  </si>
  <si>
    <t>49:067:2:5:6</t>
  </si>
  <si>
    <t>49:068:2:5:6</t>
  </si>
  <si>
    <t>49:069:2:4:6</t>
  </si>
  <si>
    <t>49:070:2:4:6</t>
  </si>
  <si>
    <t>49:071:2:3:6</t>
  </si>
  <si>
    <t>49:072:2:5:6</t>
  </si>
  <si>
    <t>50:000:0:0:0</t>
  </si>
  <si>
    <t>50:001:1:1:4</t>
  </si>
  <si>
    <t>50:002:2:3:5</t>
  </si>
  <si>
    <t>50:003:2:5:6</t>
  </si>
  <si>
    <t>50:004:2:3:5</t>
  </si>
  <si>
    <t>50:005:2:3:6</t>
  </si>
  <si>
    <t>50:006:2:4:6</t>
  </si>
  <si>
    <t>50:007:2:3:6</t>
  </si>
  <si>
    <t>50:008:2:3:6</t>
  </si>
  <si>
    <t>50:009:2:5:6</t>
  </si>
  <si>
    <t>50:010:2:3:5</t>
  </si>
  <si>
    <t>51:000:0:0:0</t>
  </si>
  <si>
    <t>51:001:1:1:4</t>
  </si>
  <si>
    <t>52:002:2:5:6</t>
  </si>
  <si>
    <t>52:004:2:5:6</t>
  </si>
  <si>
    <t>52:005:2:5:6</t>
  </si>
  <si>
    <t>52:007:2:5:6</t>
  </si>
  <si>
    <t>53:000:0:0:0</t>
  </si>
  <si>
    <t>53:001:2:5:6</t>
  </si>
  <si>
    <t>53:002:2:3:6</t>
  </si>
  <si>
    <t>53:003:2:5:6</t>
  </si>
  <si>
    <t>53:004:2:4:6</t>
  </si>
  <si>
    <t>53:005:2:5:6</t>
  </si>
  <si>
    <t>53:006:2:5:6</t>
  </si>
  <si>
    <t>53:007:2:5:6</t>
  </si>
  <si>
    <t>53:008:2:6:6</t>
  </si>
  <si>
    <t>53:009:2:4:6</t>
  </si>
  <si>
    <t>53:010:2:3:6</t>
  </si>
  <si>
    <t>53:011:2:3:5</t>
  </si>
  <si>
    <t>53:012:2:4:6</t>
  </si>
  <si>
    <t>53:013:2:5:6</t>
  </si>
  <si>
    <t>53:014:2:3:6</t>
  </si>
  <si>
    <t>53:015:2:5:6</t>
  </si>
  <si>
    <t>53:016:2:5:6</t>
  </si>
  <si>
    <t>53:017:2:4:6</t>
  </si>
  <si>
    <t>53:018:2:3:6</t>
  </si>
  <si>
    <t>53:019:2:4:6</t>
  </si>
  <si>
    <t>53:020:2:5:6</t>
  </si>
  <si>
    <t>53:021:2:4:6</t>
  </si>
  <si>
    <t>53:022:2:3:6</t>
  </si>
  <si>
    <t>53:023:2:5:6</t>
  </si>
  <si>
    <t>53:024:2:5:6</t>
  </si>
  <si>
    <t>53:025:2:3:6</t>
  </si>
  <si>
    <t>53:026:2:5:6</t>
  </si>
  <si>
    <t>53:027:2:5:6</t>
  </si>
  <si>
    <t>53:028:2:5:6</t>
  </si>
  <si>
    <t>53:029:2:4:6</t>
  </si>
  <si>
    <t>53:030:2:5:6</t>
  </si>
  <si>
    <t>53:031:2:4:6</t>
  </si>
  <si>
    <t>53:032:2:5:6</t>
  </si>
  <si>
    <t>53:033:2:3:6</t>
  </si>
  <si>
    <t>53:034:2:5:6</t>
  </si>
  <si>
    <t>53:035:2:5:6</t>
  </si>
  <si>
    <t>53:036:2:5:6</t>
  </si>
  <si>
    <t>53:037:2:4:6</t>
  </si>
  <si>
    <t>53:038:2:3:6</t>
  </si>
  <si>
    <t>53:039:2:4:6</t>
  </si>
  <si>
    <t>53:040:2:5:6</t>
  </si>
  <si>
    <t>53:041:2:3:6</t>
  </si>
  <si>
    <t>53:042:2:3:6</t>
  </si>
  <si>
    <t>53:043:2:5:6</t>
  </si>
  <si>
    <t>53:044:2:3:6</t>
  </si>
  <si>
    <t>53:045:2:3:6</t>
  </si>
  <si>
    <t>53:046:2:4:6</t>
  </si>
  <si>
    <t>53:047:2:3:6</t>
  </si>
  <si>
    <t>53:048:2:4:6</t>
  </si>
  <si>
    <t>53:049:2:4:6</t>
  </si>
  <si>
    <t>53:050:2:5:6</t>
  </si>
  <si>
    <t>53:051:2:5:6</t>
  </si>
  <si>
    <t>53:052:2:4:6</t>
  </si>
  <si>
    <t>53:053:2:5:6</t>
  </si>
  <si>
    <t>53:054:2:5:6</t>
  </si>
  <si>
    <t>54:000:0:0:0</t>
  </si>
  <si>
    <t>54:001:2:4:6</t>
  </si>
  <si>
    <t>54:002:2:5:6</t>
  </si>
  <si>
    <t>54:003:2:3:6</t>
  </si>
  <si>
    <t>54:004:2:5:6</t>
  </si>
  <si>
    <t>54:005:2:5:5</t>
  </si>
  <si>
    <t>54:006:2:5:6</t>
  </si>
  <si>
    <t>54:007:2:4:6</t>
  </si>
  <si>
    <t>54:008:2:5:6</t>
  </si>
  <si>
    <t>54:009:2:5:6</t>
  </si>
  <si>
    <t>54:010:2:5:6</t>
  </si>
  <si>
    <t>54:011:2:5:6</t>
  </si>
  <si>
    <t>54:012:2:5:6</t>
  </si>
  <si>
    <t>54:013:2:5:6</t>
  </si>
  <si>
    <t>54:014:2:5:6</t>
  </si>
  <si>
    <t>54:015:2:3:6</t>
  </si>
  <si>
    <t>54:016:2:5:6</t>
  </si>
  <si>
    <t>54:018:2:5:6</t>
  </si>
  <si>
    <t>54:019:2:5:6</t>
  </si>
  <si>
    <t>54:020:2:5:6</t>
  </si>
  <si>
    <t>54:021:2:4:6</t>
  </si>
  <si>
    <t>54:022:2:5:6</t>
  </si>
  <si>
    <t>54:023:2:5:6</t>
  </si>
  <si>
    <t>54:024:2:4:6</t>
  </si>
  <si>
    <t>54:025:2:5:6</t>
  </si>
  <si>
    <t>54:026:2:4:5</t>
  </si>
  <si>
    <t>54:027:2:4:5</t>
  </si>
  <si>
    <t>54:028:2:5:6</t>
  </si>
  <si>
    <t>54:029:2:5:6</t>
  </si>
  <si>
    <t>54:030:2:5:6</t>
  </si>
  <si>
    <t>54:031:2:4:6</t>
  </si>
  <si>
    <t>54:032:2:5:6</t>
  </si>
  <si>
    <t>54:033:2:5:6</t>
  </si>
  <si>
    <t>54:034:1:2:4</t>
  </si>
  <si>
    <t>54:035:2:5:6</t>
  </si>
  <si>
    <t>54:036:2:4:6</t>
  </si>
  <si>
    <t>54:037:2:4:6</t>
  </si>
  <si>
    <t>54:038:2:5:6</t>
  </si>
  <si>
    <t>54:039:2:5:6</t>
  </si>
  <si>
    <t>54:040:2:5:6</t>
  </si>
  <si>
    <t>54:041:2:5:5</t>
  </si>
  <si>
    <t>54:042:2:4:6</t>
  </si>
  <si>
    <t>54:043:2:4:6</t>
  </si>
  <si>
    <t>54:044:2:5:6</t>
  </si>
  <si>
    <t>54:045:2:5:6</t>
  </si>
  <si>
    <t>54:046:2:5:6</t>
  </si>
  <si>
    <t>54:047:2:5:6</t>
  </si>
  <si>
    <t>54:048:2:3:5</t>
  </si>
  <si>
    <t>54:049:2:3:6</t>
  </si>
  <si>
    <t>54:050:2:3:6</t>
  </si>
  <si>
    <t>54:051:2:4:6</t>
  </si>
  <si>
    <t>54:052:2:5:6</t>
  </si>
  <si>
    <t>54:053:2:3:6</t>
  </si>
  <si>
    <t>54:054:2:5:6</t>
  </si>
  <si>
    <t>54:055:2:4:6</t>
  </si>
  <si>
    <t>54:056:2:5:6</t>
  </si>
  <si>
    <t>54:057:2:5:6</t>
  </si>
  <si>
    <t>54:058:2:5:6</t>
  </si>
  <si>
    <t>54:059:2:5:6</t>
  </si>
  <si>
    <t>54:060:2:5:6</t>
  </si>
  <si>
    <t>54:061:2:5:6</t>
  </si>
  <si>
    <t>54:062:2:4:6</t>
  </si>
  <si>
    <t>54:063:2:5:6</t>
  </si>
  <si>
    <t>54:064:2:5:6</t>
  </si>
  <si>
    <t>54:065:2:4:6</t>
  </si>
  <si>
    <t>54:066:2:5:6</t>
  </si>
  <si>
    <t>54:067:2:5:6</t>
  </si>
  <si>
    <t>54:068:2:4:6</t>
  </si>
  <si>
    <t>55:000:0:0:0</t>
  </si>
  <si>
    <t>55:001:2:3:6</t>
  </si>
  <si>
    <t>55:002:2:4:6</t>
  </si>
  <si>
    <t>55:003:2:3:6</t>
  </si>
  <si>
    <t>55:004:2:4:6</t>
  </si>
  <si>
    <t>55:005:2:3:6</t>
  </si>
  <si>
    <t>55:006:2:3:6</t>
  </si>
  <si>
    <t>55:007:2:5:6</t>
  </si>
  <si>
    <t>55:008:2:5:6</t>
  </si>
  <si>
    <t>55:009:2:3:6</t>
  </si>
  <si>
    <t>55:010:2:3:6</t>
  </si>
  <si>
    <t>55:011:2:3:6</t>
  </si>
  <si>
    <t>55:012:2:4:6</t>
  </si>
  <si>
    <t>55:013:2:4:6</t>
  </si>
  <si>
    <t>55:014:2:4:6</t>
  </si>
  <si>
    <t>55:015:2:4:6</t>
  </si>
  <si>
    <t>55:016:2:5:6</t>
  </si>
  <si>
    <t>55:017:1:1:4</t>
  </si>
  <si>
    <t>55:018:2:3:6</t>
  </si>
  <si>
    <t>55:019:2:5:6</t>
  </si>
  <si>
    <t>55:020:2:5:6</t>
  </si>
  <si>
    <t>55:021:2:3:6</t>
  </si>
  <si>
    <t>55:022:2:3:6</t>
  </si>
  <si>
    <t>55:023:2:5:6</t>
  </si>
  <si>
    <t>55:024:2:3:6</t>
  </si>
  <si>
    <t>55:025:2:5:6</t>
  </si>
  <si>
    <t>55:026:2:3:6</t>
  </si>
  <si>
    <t>55:027:2:5:6</t>
  </si>
  <si>
    <t>55:028:2:3:6</t>
  </si>
  <si>
    <t>55:029:2:4:6</t>
  </si>
  <si>
    <t>55:030:2:3:6</t>
  </si>
  <si>
    <t>55:031:2:3:6</t>
  </si>
  <si>
    <t>55:032:2:3:6</t>
  </si>
  <si>
    <t>55:033:2:4:6</t>
  </si>
  <si>
    <t>55:034:2:3:6</t>
  </si>
  <si>
    <t>55:035:2:3:6</t>
  </si>
  <si>
    <t>55:036:2:4:6</t>
  </si>
  <si>
    <t>55:037:2:4:6</t>
  </si>
  <si>
    <t>55:038:2:3:6</t>
  </si>
  <si>
    <t>56:000:0:0:0</t>
  </si>
  <si>
    <t>56:001:2:4:6</t>
  </si>
  <si>
    <t>56:002:2:4:6</t>
  </si>
  <si>
    <t>56:003:1:2:4</t>
  </si>
  <si>
    <t>56:004:2:5:6</t>
  </si>
  <si>
    <t>56:005:2:3:6</t>
  </si>
  <si>
    <t>56:006:2:5:6</t>
  </si>
  <si>
    <t>56:007:1:2:4</t>
  </si>
  <si>
    <t>56:008:1:2:4</t>
  </si>
  <si>
    <t>56:009:2:5:6</t>
  </si>
  <si>
    <t>56:010:2:4:6</t>
  </si>
  <si>
    <t>56:011:2:3:6</t>
  </si>
  <si>
    <t>56:012:2:5:6</t>
  </si>
  <si>
    <t>56:013:2:3:6</t>
  </si>
  <si>
    <t>56:014:2:3:6</t>
  </si>
  <si>
    <t>56:015:2:5:6</t>
  </si>
  <si>
    <t>56:016:2:3:6</t>
  </si>
  <si>
    <t>56:017:2:3:6</t>
  </si>
  <si>
    <t>56:018:1:1:4</t>
  </si>
  <si>
    <t>56:019:2:3:6</t>
  </si>
  <si>
    <t>56:020:2:4:6</t>
  </si>
  <si>
    <t>56:021:1:1:4</t>
  </si>
  <si>
    <t>56:022:2:3:6</t>
  </si>
  <si>
    <t>56:023:2:5:6</t>
  </si>
  <si>
    <t>56:024:2:4:6</t>
  </si>
  <si>
    <t>56:025:2:5:6</t>
  </si>
  <si>
    <t>56:026:2:5:6</t>
  </si>
  <si>
    <t>56:027:2:3:6</t>
  </si>
  <si>
    <t>56:028:2:3:6</t>
  </si>
  <si>
    <t>56:029:2:5:6</t>
  </si>
  <si>
    <t>56:030:2:4:6</t>
  </si>
  <si>
    <t>56:031:2:5:6</t>
  </si>
  <si>
    <t>56:032:2:4:6</t>
  </si>
  <si>
    <t>56:033:2:5:6</t>
  </si>
  <si>
    <t>56:034:2:5:6</t>
  </si>
  <si>
    <t>56:035:2:5:6</t>
  </si>
  <si>
    <t>56:036:2:5:6</t>
  </si>
  <si>
    <t>56:037:2:5:6</t>
  </si>
  <si>
    <t>56:038:2:4:6</t>
  </si>
  <si>
    <t>57:000:0:0:0</t>
  </si>
  <si>
    <t>57:001:2:3:6</t>
  </si>
  <si>
    <t>57:002:2:3:6</t>
  </si>
  <si>
    <t>57:003:2:5:6</t>
  </si>
  <si>
    <t>57:004:2:3:6</t>
  </si>
  <si>
    <t>57:005:2:3:6</t>
  </si>
  <si>
    <t>57:006:2:3:6</t>
  </si>
  <si>
    <t>57:007:2:3:6</t>
  </si>
  <si>
    <t>57:008:2:3:6</t>
  </si>
  <si>
    <t>57:009:2:3:6</t>
  </si>
  <si>
    <t>57:010:2:3:6</t>
  </si>
  <si>
    <t>57:011:2:3:6</t>
  </si>
  <si>
    <t>57:012:2:3:6</t>
  </si>
  <si>
    <t>57:013:2:5:6</t>
  </si>
  <si>
    <t>57:014:2:3:6</t>
  </si>
  <si>
    <t>57:015:1:1:4</t>
  </si>
  <si>
    <t>57:016:2:5:6</t>
  </si>
  <si>
    <t>57:017:2:3:6</t>
  </si>
  <si>
    <t>57:018:2:3:6</t>
  </si>
  <si>
    <t>57:019:2:3:6</t>
  </si>
  <si>
    <t>57:020:2:3:6</t>
  </si>
  <si>
    <t>57:021:2:3:6</t>
  </si>
  <si>
    <t>57:022:2:3:6</t>
  </si>
  <si>
    <t>58:000:0:0:0</t>
  </si>
  <si>
    <t>58:001:2:5:6</t>
  </si>
  <si>
    <t>58:002:2:3:6</t>
  </si>
  <si>
    <t>58:003:2:3:6</t>
  </si>
  <si>
    <t>58:004:2:4:6</t>
  </si>
  <si>
    <t>58:005:2:4:6</t>
  </si>
  <si>
    <t>58:006:2:3:6</t>
  </si>
  <si>
    <t>58:007:2:3:5</t>
  </si>
  <si>
    <t>58:008:2:4:6</t>
  </si>
  <si>
    <t>58:009:2:4:6</t>
  </si>
  <si>
    <t>58:010:2:5:6</t>
  </si>
  <si>
    <t>58:011:1:1:4</t>
  </si>
  <si>
    <t>58:012:2:3:6</t>
  </si>
  <si>
    <t>58:013:2:5:6</t>
  </si>
  <si>
    <t>58:014:2:5:6</t>
  </si>
  <si>
    <t>58:015:2:5:6</t>
  </si>
  <si>
    <t>58:016:2:3:6</t>
  </si>
  <si>
    <t>58:017:2:5:6</t>
  </si>
  <si>
    <t>58:018:2:4:6</t>
  </si>
  <si>
    <t>58:019:2:3:6</t>
  </si>
  <si>
    <t>58:020:2:3:6</t>
  </si>
  <si>
    <t>58:021:2:3:6</t>
  </si>
  <si>
    <t>58:022:2:3:6</t>
  </si>
  <si>
    <t>58:023:2:3:6</t>
  </si>
  <si>
    <t>58:024:2:3:6</t>
  </si>
  <si>
    <t>59:000:0:0:0</t>
  </si>
  <si>
    <t>59:001:2:5:6</t>
  </si>
  <si>
    <t>59:002:2:3:6</t>
  </si>
  <si>
    <t>59:003:1:1:3</t>
  </si>
  <si>
    <t>59:004:2:5:6</t>
  </si>
  <si>
    <t>59:005:2:5:5</t>
  </si>
  <si>
    <t>59:006:2:4:5</t>
  </si>
  <si>
    <t>60:000:0:0:0</t>
  </si>
  <si>
    <t>60:001:2:3:6</t>
  </si>
  <si>
    <t>60:002:2:3:6</t>
  </si>
  <si>
    <t>60:003:2:3:6</t>
  </si>
  <si>
    <t>60:004:2:5:6</t>
  </si>
  <si>
    <t>60:005:2:3:6</t>
  </si>
  <si>
    <t>60:006:2:4:6</t>
  </si>
  <si>
    <t>60:007:2:3:6</t>
  </si>
  <si>
    <t>60:008:2:4:6</t>
  </si>
  <si>
    <t>60:009:2:4:6</t>
  </si>
  <si>
    <t>60:010:2:3:6</t>
  </si>
  <si>
    <t>60:011:2:4:6</t>
  </si>
  <si>
    <t>60:012:1:1:3</t>
  </si>
  <si>
    <t>60:013:2:5:6</t>
  </si>
  <si>
    <t>60:014:2:3:6</t>
  </si>
  <si>
    <t>61:000:0:0:0</t>
  </si>
  <si>
    <t>61:001:2:4:6</t>
  </si>
  <si>
    <t>61:002:2:5:6</t>
  </si>
  <si>
    <t>61:003:2:5:6</t>
  </si>
  <si>
    <t>61:004:2:5:6</t>
  </si>
  <si>
    <t>61:005:2:5:6</t>
  </si>
  <si>
    <t>61:006:2:5:6</t>
  </si>
  <si>
    <t>61:007:2:3:6</t>
  </si>
  <si>
    <t>61:008:2:5:6</t>
  </si>
  <si>
    <t>61:009:2:5:6</t>
  </si>
  <si>
    <t>61:010:2:4:6</t>
  </si>
  <si>
    <t>61:011:2:3:6</t>
  </si>
  <si>
    <t>61:012:2:5:6</t>
  </si>
  <si>
    <t>61:013:2:5:6</t>
  </si>
  <si>
    <t>61:014:2:5:6</t>
  </si>
  <si>
    <t>61:015:2:5:6</t>
  </si>
  <si>
    <t>61:016:2:5:6</t>
  </si>
  <si>
    <t>61:017:2:3:6</t>
  </si>
  <si>
    <t>61:018:2:4:6</t>
  </si>
  <si>
    <t>61:019:2:4:6</t>
  </si>
  <si>
    <t>61:020:2:5:6</t>
  </si>
  <si>
    <t>61:021:1:2:4</t>
  </si>
  <si>
    <t>61:022:2:5:6</t>
  </si>
  <si>
    <t>61:023:2:5:6</t>
  </si>
  <si>
    <t>61:024:2:5:6</t>
  </si>
  <si>
    <t>61:025:2:5:6</t>
  </si>
  <si>
    <t>61:026:2:5:6</t>
  </si>
  <si>
    <t>61:027:2:5:6</t>
  </si>
  <si>
    <t>61:028:2:5:6</t>
  </si>
  <si>
    <t>61:029:2:5:6</t>
  </si>
  <si>
    <t>61:030:2:5:6</t>
  </si>
  <si>
    <t>61:031:2:4:6</t>
  </si>
  <si>
    <t>61:032:2:4:6</t>
  </si>
  <si>
    <t>61:033:2:5:6</t>
  </si>
  <si>
    <t>61:034:2:4:6</t>
  </si>
  <si>
    <t>61:035:2:5:6</t>
  </si>
  <si>
    <t>61:036:2:5:6</t>
  </si>
  <si>
    <t>61:037:2:5:6</t>
  </si>
  <si>
    <t>61:038:2:4:6</t>
  </si>
  <si>
    <t>61:039:2:4:6</t>
  </si>
  <si>
    <t>61:040:2:4:6</t>
  </si>
  <si>
    <t>61:041:2:4:6</t>
  </si>
  <si>
    <t>61:042:2:5:6</t>
  </si>
  <si>
    <t>61:043:2:3:6</t>
  </si>
  <si>
    <t>61:044:2:4:6</t>
  </si>
  <si>
    <t>62:000:0:0:0</t>
  </si>
  <si>
    <t>62:001:2:4:6</t>
  </si>
  <si>
    <t>62:002:2:5:6</t>
  </si>
  <si>
    <t>62:003:2:4:5</t>
  </si>
  <si>
    <t>62:004:2:5:6</t>
  </si>
  <si>
    <t>62:005:2:5:6</t>
  </si>
  <si>
    <t>62:006:2:5:6</t>
  </si>
  <si>
    <t>62:007:2:5:6</t>
  </si>
  <si>
    <t>62:008:2:4:6</t>
  </si>
  <si>
    <t>62:009:2:4:5</t>
  </si>
  <si>
    <t>62:010:2:5:6</t>
  </si>
  <si>
    <t>62:011:2:3:6</t>
  </si>
  <si>
    <t>62:012:2:3:6</t>
  </si>
  <si>
    <t>62:013:2:5:6</t>
  </si>
  <si>
    <t>62:014:2:4:6</t>
  </si>
  <si>
    <t>62:015:2:3:6</t>
  </si>
  <si>
    <t>62:016:2:4:5</t>
  </si>
  <si>
    <t>62:017:2:5:6</t>
  </si>
  <si>
    <t>62:018:2:5:6</t>
  </si>
  <si>
    <t>62:019:2:3:6</t>
  </si>
  <si>
    <t>62:020:2:4:6</t>
  </si>
  <si>
    <t>62:021:2:4:6</t>
  </si>
  <si>
    <t>62:022:2:5:6</t>
  </si>
  <si>
    <t>62:023:2:4:6</t>
  </si>
  <si>
    <t>62:024:1:1:4</t>
  </si>
  <si>
    <t>62:025:2:5:6</t>
  </si>
  <si>
    <t>62:026:2:5:6</t>
  </si>
  <si>
    <t>62:027:2:3:6</t>
  </si>
  <si>
    <t>62:028:2:4:6</t>
  </si>
  <si>
    <t>62:029:2:4:6</t>
  </si>
  <si>
    <t>62:030:2:5:6</t>
  </si>
  <si>
    <t>62:031:2:4:5</t>
  </si>
  <si>
    <t>63:000:0:0:0</t>
  </si>
  <si>
    <t>63:001:2:3:6</t>
  </si>
  <si>
    <t>63:002:2:3:6</t>
  </si>
  <si>
    <t>63:003:2:4:6</t>
  </si>
  <si>
    <t>63:004:2:3:5</t>
  </si>
  <si>
    <t>63:005:2:3:5</t>
  </si>
  <si>
    <t>63:006:1:1:4</t>
  </si>
  <si>
    <t>63:007:2:3:6</t>
  </si>
  <si>
    <t>63:008:2:3:5</t>
  </si>
  <si>
    <t>63:009:2:3:5</t>
  </si>
  <si>
    <t>64:000:0:0:0</t>
  </si>
  <si>
    <t>64:001:2:4:6</t>
  </si>
  <si>
    <t>64:002:2:3:6</t>
  </si>
  <si>
    <t>64:003:2:3:6</t>
  </si>
  <si>
    <t>64:004:2:5:6</t>
  </si>
  <si>
    <t>64:005:2:3:6</t>
  </si>
  <si>
    <t>64:006:2:5:6</t>
  </si>
  <si>
    <t>64:007:2:3:6</t>
  </si>
  <si>
    <t>64:008:2:3:6</t>
  </si>
  <si>
    <t>64:009:2:3:5</t>
  </si>
  <si>
    <t>64:010:2:3:5</t>
  </si>
  <si>
    <t>64:011:2:3:6</t>
  </si>
  <si>
    <t>64:012:2:3:6</t>
  </si>
  <si>
    <t>64:013:2:3:6</t>
  </si>
  <si>
    <t>64:014:2:5:6</t>
  </si>
  <si>
    <t>64:015:2:3:6</t>
  </si>
  <si>
    <t>64:016:2:3:6</t>
  </si>
  <si>
    <t>64:017:2:6:6</t>
  </si>
  <si>
    <t>64:018:2:5:6</t>
  </si>
  <si>
    <t>64:019:2:3:6</t>
  </si>
  <si>
    <t>64:020:2:3:6</t>
  </si>
  <si>
    <t>64:021:2:3:6</t>
  </si>
  <si>
    <t>64:022:2:3:6</t>
  </si>
  <si>
    <t>64:023:2:5:6</t>
  </si>
  <si>
    <t>64:024:2:3:6</t>
  </si>
  <si>
    <t>64:025:2:3:6</t>
  </si>
  <si>
    <t>64:026:2:3:6</t>
  </si>
  <si>
    <t>64:027:2:5:6</t>
  </si>
  <si>
    <t>64:028:2:3:6</t>
  </si>
  <si>
    <t>64:029:2:5:6</t>
  </si>
  <si>
    <t>64:030:2:3:6</t>
  </si>
  <si>
    <t>64:031:1:1:3</t>
  </si>
  <si>
    <t>64:032:2:5:6</t>
  </si>
  <si>
    <t>64:033:2:3:6</t>
  </si>
  <si>
    <t>64:034:2:3:6</t>
  </si>
  <si>
    <t>64:035:2:3:6</t>
  </si>
  <si>
    <t>64:036:2:4:6</t>
  </si>
  <si>
    <t>64:037:2:3:6</t>
  </si>
  <si>
    <t>65:000:0:0:0</t>
  </si>
  <si>
    <t>65:001:2:5:6</t>
  </si>
  <si>
    <t>65:002:2:5:6</t>
  </si>
  <si>
    <t>65:003:2:4:6</t>
  </si>
  <si>
    <t>65:004:2:5:6</t>
  </si>
  <si>
    <t>65:005:2:5:6</t>
  </si>
  <si>
    <t>65:006:2:5:6</t>
  </si>
  <si>
    <t>65:007:2:5:6</t>
  </si>
  <si>
    <t>65:008:2:5:6</t>
  </si>
  <si>
    <t>65:009:2:5:6</t>
  </si>
  <si>
    <t>65:010:2:5:6</t>
  </si>
  <si>
    <t>65:011:2:5:6</t>
  </si>
  <si>
    <t>65:012:2:5:6</t>
  </si>
  <si>
    <t>65:013:2:5:6</t>
  </si>
  <si>
    <t>65:014:2:5:6</t>
  </si>
  <si>
    <t>65:015:2:3:6</t>
  </si>
  <si>
    <t>65:016:2:5:6</t>
  </si>
  <si>
    <t>65:017:2:5:6</t>
  </si>
  <si>
    <t>65:018:2:5:6</t>
  </si>
  <si>
    <t>65:019:2:5:6</t>
  </si>
  <si>
    <t>65:020:2:4:6</t>
  </si>
  <si>
    <t>65:021:2:5:6</t>
  </si>
  <si>
    <t>65:022:2:4:6</t>
  </si>
  <si>
    <t>65:023:2:4:6</t>
  </si>
  <si>
    <t>65:024:2:5:6</t>
  </si>
  <si>
    <t>65:025:2:5:6</t>
  </si>
  <si>
    <t>65:026:2:5:6</t>
  </si>
  <si>
    <t>65:027:2:5:6</t>
  </si>
  <si>
    <t>65:028:2:5:6</t>
  </si>
  <si>
    <t>65:029:2:5:6</t>
  </si>
  <si>
    <t>65:030:2:4:6</t>
  </si>
  <si>
    <t>65:031:2:5:6</t>
  </si>
  <si>
    <t>65:032:2:5:6</t>
  </si>
  <si>
    <t>65:033:2:4:6</t>
  </si>
  <si>
    <t>65:034:2:4:6</t>
  </si>
  <si>
    <t>65:035:2:3:6</t>
  </si>
  <si>
    <t>65:036:2:5:6</t>
  </si>
  <si>
    <t>65:037:2:5:6</t>
  </si>
  <si>
    <t>65:038:2:4:6</t>
  </si>
  <si>
    <t>65:039:2:5:6</t>
  </si>
  <si>
    <t>65:040:2:4:6</t>
  </si>
  <si>
    <t>65:041:2:5:6</t>
  </si>
  <si>
    <t>65:042:2:4:6</t>
  </si>
  <si>
    <t>65:043:2:4:6</t>
  </si>
  <si>
    <t>65:044:2:5:6</t>
  </si>
  <si>
    <t>65:045:2:4:6</t>
  </si>
  <si>
    <t>65:046:2:5:6</t>
  </si>
  <si>
    <t>65:047:2:5:6</t>
  </si>
  <si>
    <t>65:048:2:5:6</t>
  </si>
  <si>
    <t>66:000:0:0:0</t>
  </si>
  <si>
    <t>66:001:2:3:5</t>
  </si>
  <si>
    <t>66:002:2:5:6</t>
  </si>
  <si>
    <t>66:003:2:3:6</t>
  </si>
  <si>
    <t>66:004:2:5:6</t>
  </si>
  <si>
    <t>66:005:2:5:6</t>
  </si>
  <si>
    <t>66:006:2:4:6</t>
  </si>
  <si>
    <t>66:007:2:5:6</t>
  </si>
  <si>
    <t>66:008:2:5:6</t>
  </si>
  <si>
    <t>66:009:2:5:6</t>
  </si>
  <si>
    <t>66:010:2:5:6</t>
  </si>
  <si>
    <t>66:011:2:5:6</t>
  </si>
  <si>
    <t>66:012:2:5:6</t>
  </si>
  <si>
    <t>66:013:2:5:6</t>
  </si>
  <si>
    <t>66:014:2:4:6</t>
  </si>
  <si>
    <t>66:015:2:3:6</t>
  </si>
  <si>
    <t>66:016:2:3:6</t>
  </si>
  <si>
    <t>66:017:2:4:6</t>
  </si>
  <si>
    <t>66:018:1:2:4</t>
  </si>
  <si>
    <t>66:019:2:3:6</t>
  </si>
  <si>
    <t>66:020:2:5:6</t>
  </si>
  <si>
    <t>66:021:2:5:6</t>
  </si>
  <si>
    <t>66:022:2:5:6</t>
  </si>
  <si>
    <t>66:023:2:5:6</t>
  </si>
  <si>
    <t>66:024:2:3:6</t>
  </si>
  <si>
    <t>67:000:0:0:0</t>
  </si>
  <si>
    <t>67:001:2:4:6</t>
  </si>
  <si>
    <t>67:002:2:4:6</t>
  </si>
  <si>
    <t>67:003:2:5:6</t>
  </si>
  <si>
    <t>67:004:2:3:6</t>
  </si>
  <si>
    <t>67:005:2:3:5</t>
  </si>
  <si>
    <t>67:006:2:5:5</t>
  </si>
  <si>
    <t>67:007:2:3:5</t>
  </si>
  <si>
    <t>67:008:2:4:5</t>
  </si>
  <si>
    <t>67:009:2:5:6</t>
  </si>
  <si>
    <t>67:010:2:3:5</t>
  </si>
  <si>
    <t>67:011:2:3:6</t>
  </si>
  <si>
    <t>67:012:2:3:6</t>
  </si>
  <si>
    <t>67:013:2:3:5</t>
  </si>
  <si>
    <t>67:014:2:4:6</t>
  </si>
  <si>
    <t>67:015:2:3:6</t>
  </si>
  <si>
    <t>67:016:2:4:5</t>
  </si>
  <si>
    <t>67:017:2:5:6</t>
  </si>
  <si>
    <t>67:018:2:3:6</t>
  </si>
  <si>
    <t>67:019:2:5:6</t>
  </si>
  <si>
    <t>67:020:2:3:6</t>
  </si>
  <si>
    <t>67:021:2:3:6</t>
  </si>
  <si>
    <t>67:022:2:5:6</t>
  </si>
  <si>
    <t>67:023:2:4:5</t>
  </si>
  <si>
    <t>67:024:2:4:6</t>
  </si>
  <si>
    <t>67:025:2:3:5</t>
  </si>
  <si>
    <t>67:026:2:5:6</t>
  </si>
  <si>
    <t>67:027:2:4:5</t>
  </si>
  <si>
    <t>67:028:2:3:5</t>
  </si>
  <si>
    <t>67:029:2:3:6</t>
  </si>
  <si>
    <t>67:030:2:3:6</t>
  </si>
  <si>
    <t>67:031:1:1:4</t>
  </si>
  <si>
    <t>67:032:2:5:6</t>
  </si>
  <si>
    <t>67:033:2:3:6</t>
  </si>
  <si>
    <t>67:034:2:4:6</t>
  </si>
  <si>
    <t>67:035:2:4:6</t>
  </si>
  <si>
    <t>67:036:2:5:6</t>
  </si>
  <si>
    <t>67:037:2:3:6</t>
  </si>
  <si>
    <t>67:038:2:4:6</t>
  </si>
  <si>
    <t>67:039:2:4:6</t>
  </si>
  <si>
    <t>67:040:2:4:6</t>
  </si>
  <si>
    <t>68:000:0:0:0</t>
  </si>
  <si>
    <t>68:001:2:5:6</t>
  </si>
  <si>
    <t>68:002:2:5:6</t>
  </si>
  <si>
    <t>68:003:2:5:6</t>
  </si>
  <si>
    <t>68:004:2:5:6</t>
  </si>
  <si>
    <t>68:005:2:5:6</t>
  </si>
  <si>
    <t>68:006:2:5:6</t>
  </si>
  <si>
    <t>68:007:2:5:6</t>
  </si>
  <si>
    <t>68:008:2:5:6</t>
  </si>
  <si>
    <t>68:009:2:5:6</t>
  </si>
  <si>
    <t>68:010:2:5:6</t>
  </si>
  <si>
    <t>68:011:2:5:6</t>
  </si>
  <si>
    <t>68:012:2:5:6</t>
  </si>
  <si>
    <t>68:013:2:5:6</t>
  </si>
  <si>
    <t>68:014:2:5:6</t>
  </si>
  <si>
    <t>68:015:2:3:6</t>
  </si>
  <si>
    <t>68:016:2:5:6</t>
  </si>
  <si>
    <t>68:017:2:5:6</t>
  </si>
  <si>
    <t>68:018:2:5:6</t>
  </si>
  <si>
    <t>68:019:2:5:6</t>
  </si>
  <si>
    <t>68:020:2:3:6</t>
  </si>
  <si>
    <t>68:021:2:4:5</t>
  </si>
  <si>
    <t>68:022:2:3:6</t>
  </si>
  <si>
    <t>68:023:2:5:6</t>
  </si>
  <si>
    <t>68:024:2:5:6</t>
  </si>
  <si>
    <t>68:025:2:5:6</t>
  </si>
  <si>
    <t>68:026:2:5:6</t>
  </si>
  <si>
    <t>68:027:2:5:6</t>
  </si>
  <si>
    <t>68:028:2:5:6</t>
  </si>
  <si>
    <t>68:029:2:5:6</t>
  </si>
  <si>
    <t>68:030:2:5:6</t>
  </si>
  <si>
    <t>68:031:2:3:6</t>
  </si>
  <si>
    <t>68:032:2:5:6</t>
  </si>
  <si>
    <t>68:033:2:3:6</t>
  </si>
  <si>
    <t>69:000:0:0:0</t>
  </si>
  <si>
    <t>69:001:2:3:5</t>
  </si>
  <si>
    <t>69:002:2:5:6</t>
  </si>
  <si>
    <t>69:003:2:5:6</t>
  </si>
  <si>
    <t>69:004:2:5:6</t>
  </si>
  <si>
    <t>69:005:2:5:6</t>
  </si>
  <si>
    <t>69:006:2:5:6</t>
  </si>
  <si>
    <t>69:007:2:5:6</t>
  </si>
  <si>
    <t>69:008:2:5:6</t>
  </si>
  <si>
    <t>69:009:2:5:6</t>
  </si>
  <si>
    <t>69:010:2:4:6</t>
  </si>
  <si>
    <t>69:011:2:5:6</t>
  </si>
  <si>
    <t>69:012:2:5:6</t>
  </si>
  <si>
    <t>69:013:2:5:6</t>
  </si>
  <si>
    <t>69:014:2:3:6</t>
  </si>
  <si>
    <t>69:015:2:5:6</t>
  </si>
  <si>
    <t>69:016:2:3:6</t>
  </si>
  <si>
    <t>69:017:2:5:6</t>
  </si>
  <si>
    <t>69:018:2:3:6</t>
  </si>
  <si>
    <t>69:019:2:3:6</t>
  </si>
  <si>
    <t>69:020:2:5:6</t>
  </si>
  <si>
    <t>69:021:2:4:6</t>
  </si>
  <si>
    <t>69:022:2:4:6</t>
  </si>
  <si>
    <t>69:023:2:3:6</t>
  </si>
  <si>
    <t>69:024:2:5:6</t>
  </si>
  <si>
    <t>69:025:2:3:6</t>
  </si>
  <si>
    <t>69:026:2:5:6</t>
  </si>
  <si>
    <t>69:027:2:5:6</t>
  </si>
  <si>
    <t>69:028:2:5:6</t>
  </si>
  <si>
    <t>69:029:2:5:6</t>
  </si>
  <si>
    <t>69:030:2:5:6</t>
  </si>
  <si>
    <t>69:031:2:3:6</t>
  </si>
  <si>
    <t>69:032:2:5:6</t>
  </si>
  <si>
    <t>69:033:2:5:6</t>
  </si>
  <si>
    <t>69:034:1:1:4</t>
  </si>
  <si>
    <t>69:035:2:4:6</t>
  </si>
  <si>
    <t>69:036:2:5:6</t>
  </si>
  <si>
    <t>69:037:2:5:6</t>
  </si>
  <si>
    <t>69:038:2:3:6</t>
  </si>
  <si>
    <t>69:039:2:5:6</t>
  </si>
  <si>
    <t>69:040:2:5:6</t>
  </si>
  <si>
    <t>69:041:2:5:6</t>
  </si>
  <si>
    <t>69:042:2:5:6</t>
  </si>
  <si>
    <t>69:043:2:3:6</t>
  </si>
  <si>
    <t>69:044:2:5:6</t>
  </si>
  <si>
    <t>69:045:2:3:6</t>
  </si>
  <si>
    <t>70:000:0:0:0</t>
  </si>
  <si>
    <t>70:001:2:5:6</t>
  </si>
  <si>
    <t>70:002:2:4:6</t>
  </si>
  <si>
    <t>70:003:2:4:6</t>
  </si>
  <si>
    <t>70:004:2:5:6</t>
  </si>
  <si>
    <t>70:005:2:5:6</t>
  </si>
  <si>
    <t>70:006:2:4:6</t>
  </si>
  <si>
    <t>70:007:2:5:6</t>
  </si>
  <si>
    <t>70:008:2:5:6</t>
  </si>
  <si>
    <t>70:009:2:5:6</t>
  </si>
  <si>
    <t>70:010:2:5:6</t>
  </si>
  <si>
    <t>70:011:2:5:6</t>
  </si>
  <si>
    <t>70:012:2:3:6</t>
  </si>
  <si>
    <t>70:013:2:5:6</t>
  </si>
  <si>
    <t>70:014:2:4:5</t>
  </si>
  <si>
    <t>70:015:2:5:6</t>
  </si>
  <si>
    <t>70:016:2:5:6</t>
  </si>
  <si>
    <t>70:017:2:5:6</t>
  </si>
  <si>
    <t>70:018:2:5:6</t>
  </si>
  <si>
    <t>70:019:2:5:6</t>
  </si>
  <si>
    <t>70:020:2:5:6</t>
  </si>
  <si>
    <t>70:021:2:4:6</t>
  </si>
  <si>
    <t>70:022:2:5:6</t>
  </si>
  <si>
    <t>70:023:2:4:6</t>
  </si>
  <si>
    <t>70:024:2:4:6</t>
  </si>
  <si>
    <t>70:025:2:5:6</t>
  </si>
  <si>
    <t>70:026:2:4:6</t>
  </si>
  <si>
    <t>70:027:2:5:6</t>
  </si>
  <si>
    <t>70:028:2:5:6</t>
  </si>
  <si>
    <t>70:029:2:3:6</t>
  </si>
  <si>
    <t>70:030:2:4:6</t>
  </si>
  <si>
    <t>70:031:2:4:6</t>
  </si>
  <si>
    <t>70:032:2:5:6</t>
  </si>
  <si>
    <t>70:033:2:5:6</t>
  </si>
  <si>
    <t>70:034:2:5:6</t>
  </si>
  <si>
    <t>70:035:2:5:6</t>
  </si>
  <si>
    <t>70:036:2:5:6</t>
  </si>
  <si>
    <t>70:037:2:5:6</t>
  </si>
  <si>
    <t>70:038:2:5:6</t>
  </si>
  <si>
    <t>70:039:2:5:6</t>
  </si>
  <si>
    <t>70:040:2:4:6</t>
  </si>
  <si>
    <t>70:041:2:5:6</t>
  </si>
  <si>
    <t>70:042:2:5:6</t>
  </si>
  <si>
    <t>70:043:2:4:6</t>
  </si>
  <si>
    <t>70:044:2:5:6</t>
  </si>
  <si>
    <t>70:045:2:3:6</t>
  </si>
  <si>
    <t>70:046:2:5:6</t>
  </si>
  <si>
    <t>70:047:2:3:6</t>
  </si>
  <si>
    <t>70:048:2:4:6</t>
  </si>
  <si>
    <t>70:049:2:5:6</t>
  </si>
  <si>
    <t>70:050:2:3:6</t>
  </si>
  <si>
    <t>70:051:2:5:6</t>
  </si>
  <si>
    <t>70:052:2:5:6</t>
  </si>
  <si>
    <t>70:053:2:5:6</t>
  </si>
  <si>
    <t>70:054:2:4:6</t>
  </si>
  <si>
    <t>70:055:2:5:6</t>
  </si>
  <si>
    <t>70:056:2:5:6</t>
  </si>
  <si>
    <t>70:057:2:5:6</t>
  </si>
  <si>
    <t>70:058:2:5:6</t>
  </si>
  <si>
    <t>70:059:2:5:6</t>
  </si>
  <si>
    <t>70:060:2:5:6</t>
  </si>
  <si>
    <t>70:061:2:3:6</t>
  </si>
  <si>
    <t>70:062:2:5:6</t>
  </si>
  <si>
    <t>70:063:2:3:6</t>
  </si>
  <si>
    <t>70:064:2:5:6</t>
  </si>
  <si>
    <t>70:065:2:5:6</t>
  </si>
  <si>
    <t>70:066:2:4:6</t>
  </si>
  <si>
    <t>70:067:2:5:6</t>
  </si>
  <si>
    <t>70:068:2:5:6</t>
  </si>
  <si>
    <t>70:069:2:5:6</t>
  </si>
  <si>
    <t>70:070:2:3:5</t>
  </si>
  <si>
    <t>70:071:2:5:6</t>
  </si>
  <si>
    <t>70:072:2:5:6</t>
  </si>
  <si>
    <t>70:073:2:5:6</t>
  </si>
  <si>
    <t>70:074:2:3:6</t>
  </si>
  <si>
    <t>70:075:2:5:6</t>
  </si>
  <si>
    <t>70:076:2:5:6</t>
  </si>
  <si>
    <t>70:077:2:5:6</t>
  </si>
  <si>
    <t>70:078:2:4:6</t>
  </si>
  <si>
    <t>70:079:2:3:6</t>
  </si>
  <si>
    <t>70:080:2:5:6</t>
  </si>
  <si>
    <t>70:081:2:5:6</t>
  </si>
  <si>
    <t>70:082:1:1:4</t>
  </si>
  <si>
    <t>70:083:2:5:6</t>
  </si>
  <si>
    <t>70:084:2:5:6</t>
  </si>
  <si>
    <t>70:085:2:5:6</t>
  </si>
  <si>
    <t>70:086:2:3:5</t>
  </si>
  <si>
    <t>70:087:2:4:6</t>
  </si>
  <si>
    <t>70:088:2:5:6</t>
  </si>
  <si>
    <t>70:089:2:5:6</t>
  </si>
  <si>
    <t>70:090:2:5:6</t>
  </si>
  <si>
    <t>70:091:2:5:6</t>
  </si>
  <si>
    <t>70:092:2:5:6</t>
  </si>
  <si>
    <t>70:093:2:3:6</t>
  </si>
  <si>
    <t>70:094:2:5:6</t>
  </si>
  <si>
    <t>70:095:2:4:6</t>
  </si>
  <si>
    <t>71:000:0:0:0</t>
  </si>
  <si>
    <t>71:001:2:5:6</t>
  </si>
  <si>
    <t>71:002:2:3:6</t>
  </si>
  <si>
    <t>71:003:2:5:6</t>
  </si>
  <si>
    <t>71:004:2:5:6</t>
  </si>
  <si>
    <t>71:005:2:4:5</t>
  </si>
  <si>
    <t>71:006:2:5:6</t>
  </si>
  <si>
    <t>71:007:2:5:6</t>
  </si>
  <si>
    <t>71:008:2:5:6</t>
  </si>
  <si>
    <t>71:009:2:5:6</t>
  </si>
  <si>
    <t>71:010:2:4:6</t>
  </si>
  <si>
    <t>71:011:2:5:6</t>
  </si>
  <si>
    <t>71:012:2:3:5</t>
  </si>
  <si>
    <t>71:013:2:5:6</t>
  </si>
  <si>
    <t>71:014:2:3:5</t>
  </si>
  <si>
    <t>71:015:2:5:6</t>
  </si>
  <si>
    <t>71:016:2:4:6</t>
  </si>
  <si>
    <t>71:017:2:4:6</t>
  </si>
  <si>
    <t>71:018:2:5:6</t>
  </si>
  <si>
    <t>71:019:2:3:6</t>
  </si>
  <si>
    <t>71:020:2:5:6</t>
  </si>
  <si>
    <t>71:021:2:5:6</t>
  </si>
  <si>
    <t>71:022:2:5:6</t>
  </si>
  <si>
    <t>71:023:2:3:5</t>
  </si>
  <si>
    <t>71:024:2:4:6</t>
  </si>
  <si>
    <t>71:025:2:5:6</t>
  </si>
  <si>
    <t>71:026:2:5:6</t>
  </si>
  <si>
    <t>71:027:2:4:6</t>
  </si>
  <si>
    <t>71:028:2:5:6</t>
  </si>
  <si>
    <t>71:029:2:3:6</t>
  </si>
  <si>
    <t>71:030:2:5:6</t>
  </si>
  <si>
    <t>71:031:2:5:6</t>
  </si>
  <si>
    <t>71:032:2:5:6</t>
  </si>
  <si>
    <t>71:033:2:4:6</t>
  </si>
  <si>
    <t>71:034:2:5:6</t>
  </si>
  <si>
    <t>71:035:2:5:6</t>
  </si>
  <si>
    <t>71:036:2:5:6</t>
  </si>
  <si>
    <t>71:037:2:5:6</t>
  </si>
  <si>
    <t>71:038:2:5:6</t>
  </si>
  <si>
    <t>71:039:2:4:6</t>
  </si>
  <si>
    <t>71:040:1:2:4</t>
  </si>
  <si>
    <t>71:041:2:3:6</t>
  </si>
  <si>
    <t>71:042:2:5:6</t>
  </si>
  <si>
    <t>71:043:2:5:6</t>
  </si>
  <si>
    <t>71:044:2:4:6</t>
  </si>
  <si>
    <t>71:045:2:5:6</t>
  </si>
  <si>
    <t>71:046:2:5:6</t>
  </si>
  <si>
    <t>71:047:2:5:6</t>
  </si>
  <si>
    <t>71:048:2:3:6</t>
  </si>
  <si>
    <t>71:049:2:3:5</t>
  </si>
  <si>
    <t>71:050:2:5:6</t>
  </si>
  <si>
    <t>71:051:2:5:6</t>
  </si>
  <si>
    <t>71:052:2:4:6</t>
  </si>
  <si>
    <t>72:000:0:0:0</t>
  </si>
  <si>
    <t>72:001:2:5:6</t>
  </si>
  <si>
    <t>72:002:2:5:6</t>
  </si>
  <si>
    <t>72:003:2:4:6</t>
  </si>
  <si>
    <t>72:004:2:5:6</t>
  </si>
  <si>
    <t>72:005:2:5:6</t>
  </si>
  <si>
    <t>72:006:2:3:6</t>
  </si>
  <si>
    <t>72:007:2:5:6</t>
  </si>
  <si>
    <t>72:008:2:5:6</t>
  </si>
  <si>
    <t>72:009:2:4:6</t>
  </si>
  <si>
    <t>72:010:2:5:6</t>
  </si>
  <si>
    <t>72:011:2:3:6</t>
  </si>
  <si>
    <t>72:012:2:4:6</t>
  </si>
  <si>
    <t>72:013:2:4:6</t>
  </si>
  <si>
    <t>72:014:2:4:6</t>
  </si>
  <si>
    <t>72:015:2:4:6</t>
  </si>
  <si>
    <t>72:016:2:5:6</t>
  </si>
  <si>
    <t>72:017:2:5:6</t>
  </si>
  <si>
    <t>72:018:2:5:6</t>
  </si>
  <si>
    <t>72:019:2:5:6</t>
  </si>
  <si>
    <t>72:020:2:5:6</t>
  </si>
  <si>
    <t>72:021:2:4:6</t>
  </si>
  <si>
    <t>72:022:2:5:6</t>
  </si>
  <si>
    <t>72:023:2:5:6</t>
  </si>
  <si>
    <t>72:024:2:4:6</t>
  </si>
  <si>
    <t>72:025:2:4:6</t>
  </si>
  <si>
    <t>72:026:2:4:6</t>
  </si>
  <si>
    <t>72:027:2:4:6</t>
  </si>
  <si>
    <t>72:028:2:5:6</t>
  </si>
  <si>
    <t>72:029:2:5:6</t>
  </si>
  <si>
    <t>72:030:2:4:6</t>
  </si>
  <si>
    <t>72:031:2:5:6</t>
  </si>
  <si>
    <t>72:032:2:5:6</t>
  </si>
  <si>
    <t>72:033:2:5:6</t>
  </si>
  <si>
    <t>72:034:2:5:6</t>
  </si>
  <si>
    <t>72:035:2:5:6</t>
  </si>
  <si>
    <t>72:036:2:5:6</t>
  </si>
  <si>
    <t>72:037:2:3:6</t>
  </si>
  <si>
    <t>72:038:2:3:6</t>
  </si>
  <si>
    <t>72:039:2:3:6</t>
  </si>
  <si>
    <t>72:040:2:3:6</t>
  </si>
  <si>
    <t>72:041:2:5:6</t>
  </si>
  <si>
    <t>72:042:2:5:6</t>
  </si>
  <si>
    <t>72:043:2:3:6</t>
  </si>
  <si>
    <t>72:044:2:5:6</t>
  </si>
  <si>
    <t>72:045:2:5:6</t>
  </si>
  <si>
    <t>72:046:2:5:6</t>
  </si>
  <si>
    <t>72:047:2:5:6</t>
  </si>
  <si>
    <t>72:048:2:5:6</t>
  </si>
  <si>
    <t>72:049:1:1:4</t>
  </si>
  <si>
    <t>72:050:2:3:6</t>
  </si>
  <si>
    <t>72:051:2:5:6</t>
  </si>
  <si>
    <t>72:052:2:5:6</t>
  </si>
  <si>
    <t>72:053:2:4:6</t>
  </si>
  <si>
    <t>72:054:2:5:6</t>
  </si>
  <si>
    <t>72:055:2:3:6</t>
  </si>
  <si>
    <t>72:056:2:5:6</t>
  </si>
  <si>
    <t>72:057:2:5:6</t>
  </si>
  <si>
    <t>72:058:2:4:6</t>
  </si>
  <si>
    <t>72:059:2:5:6</t>
  </si>
  <si>
    <t>72:060:2:4:6</t>
  </si>
  <si>
    <t>72:061:2:5:6</t>
  </si>
  <si>
    <t>72:062:2:3:6</t>
  </si>
  <si>
    <t>72:063:2:4:6</t>
  </si>
  <si>
    <t>73:000:0:0:0</t>
  </si>
  <si>
    <t>73:001:2:3:6</t>
  </si>
  <si>
    <t>73:002:2:5:6</t>
  </si>
  <si>
    <t>73:003:2:3:5</t>
  </si>
  <si>
    <t>73:004:2:3:6</t>
  </si>
  <si>
    <t>73:005:2:3:6</t>
  </si>
  <si>
    <t>73:006:2:5:5</t>
  </si>
  <si>
    <t>73:007:2:5:6</t>
  </si>
  <si>
    <t>73:008:2:3:6</t>
  </si>
  <si>
    <t>73:009:2:5:6</t>
  </si>
  <si>
    <t>73:010:2:5:6</t>
  </si>
  <si>
    <t>73:011:2:3:6</t>
  </si>
  <si>
    <t>73:012:2:3:5</t>
  </si>
  <si>
    <t>73:013:2:5:6</t>
  </si>
  <si>
    <t>73:014:2:5:6</t>
  </si>
  <si>
    <t>73:015:2:5:6</t>
  </si>
  <si>
    <t>73:016:2:4:6</t>
  </si>
  <si>
    <t>73:017:2:5:6</t>
  </si>
  <si>
    <t>73:018:2:5:6</t>
  </si>
  <si>
    <t>73:019:2:5:6</t>
  </si>
  <si>
    <t>73:020:2:5:6</t>
  </si>
  <si>
    <t>73:021:2:5:6</t>
  </si>
  <si>
    <t>73:022:2:5:6</t>
  </si>
  <si>
    <t>73:023:2:3:6</t>
  </si>
  <si>
    <t>73:024:2:5:6</t>
  </si>
  <si>
    <t>73:025:2:4:6</t>
  </si>
  <si>
    <t>73:026:2:4:6</t>
  </si>
  <si>
    <t>73:027:2:3:6</t>
  </si>
  <si>
    <t>73:028:2:3:5</t>
  </si>
  <si>
    <t>73:029:2:5:6</t>
  </si>
  <si>
    <t>73:030:2:3:6</t>
  </si>
  <si>
    <t>73:031:2:4:5</t>
  </si>
  <si>
    <t>73:032:2:5:6</t>
  </si>
  <si>
    <t>73:033:2:3:6</t>
  </si>
  <si>
    <t>73:034:2:4:6</t>
  </si>
  <si>
    <t>73:035:1:2:4</t>
  </si>
  <si>
    <t>73:036:2:3:5</t>
  </si>
  <si>
    <t>73:037:2:5:6</t>
  </si>
  <si>
    <t>73:038:2:3:6</t>
  </si>
  <si>
    <t>73:039:2:5:6</t>
  </si>
  <si>
    <t>КОД НП</t>
  </si>
  <si>
    <t>Арамильский городской округ</t>
  </si>
  <si>
    <t>Артемовский городской округ</t>
  </si>
  <si>
    <t>Артинский городской округ</t>
  </si>
  <si>
    <t>Асбестовский городской округ</t>
  </si>
  <si>
    <t>Ачитский городской округ</t>
  </si>
  <si>
    <t>Байкаловский муниципальный район</t>
  </si>
  <si>
    <t>Белоярский городской округ</t>
  </si>
  <si>
    <t>Березовский городской округ</t>
  </si>
  <si>
    <t>Бисертский городской округ</t>
  </si>
  <si>
    <t>Верхнесалдинский городской округ</t>
  </si>
  <si>
    <t>Волчанский городской округ</t>
  </si>
  <si>
    <t>Гаринский городской округ</t>
  </si>
  <si>
    <t>Горноуральский городской округ</t>
  </si>
  <si>
    <t>Город Нижний Тагил</t>
  </si>
  <si>
    <t>Городской округ "Город Лесной"</t>
  </si>
  <si>
    <t>Городской округ Богданович</t>
  </si>
  <si>
    <t>Городской округ Верхнее Дуброво</t>
  </si>
  <si>
    <t>Городской округ Верх-Нейвинский</t>
  </si>
  <si>
    <t>Городской округ Верхний Тагил</t>
  </si>
  <si>
    <t>Городской округ Верхняя Пышма</t>
  </si>
  <si>
    <t>Городской округ Верхняя Тура</t>
  </si>
  <si>
    <t>Городской округ Верхотурский</t>
  </si>
  <si>
    <t>Городской округ Дегтярск</t>
  </si>
  <si>
    <t>Городской округ Заречный</t>
  </si>
  <si>
    <t>Городской округ ЗАТО Свободный</t>
  </si>
  <si>
    <t>Городской округ Карпинск</t>
  </si>
  <si>
    <t>Городской округ Краснотурьинск</t>
  </si>
  <si>
    <t>Городской округ Красноуральск</t>
  </si>
  <si>
    <t>Городской округ Красноуфимск</t>
  </si>
  <si>
    <t>Городской округ Нижняя Салда</t>
  </si>
  <si>
    <t>Городской округ Пелым</t>
  </si>
  <si>
    <t>Городской округ Первоуральск</t>
  </si>
  <si>
    <t>Городской округ Ревда</t>
  </si>
  <si>
    <t>Городской округ Рефтинский</t>
  </si>
  <si>
    <t>Городской округ Среднеуральск</t>
  </si>
  <si>
    <t>Городской округ Староуткинск</t>
  </si>
  <si>
    <t>Городской округ Сухой Лог</t>
  </si>
  <si>
    <t>Ивдельский городской округ</t>
  </si>
  <si>
    <t>Ирбитское муниципальное образование</t>
  </si>
  <si>
    <t>Каменский городской округ</t>
  </si>
  <si>
    <t>Камышловский городской округ</t>
  </si>
  <si>
    <t>Качканарский городской округ</t>
  </si>
  <si>
    <t>Кировградский городской округ</t>
  </si>
  <si>
    <t>Кушвинский городской округ</t>
  </si>
  <si>
    <t>Малышевский городской округ</t>
  </si>
  <si>
    <t>Махнёвское муниципальное образование</t>
  </si>
  <si>
    <t>муниципальное образование «поселок Уральский»</t>
  </si>
  <si>
    <t>Муниципальное образование Алапаевское</t>
  </si>
  <si>
    <t>Муниципальное образование город Алапаевск</t>
  </si>
  <si>
    <t>Муниципальное образование город Ирбит</t>
  </si>
  <si>
    <t>Муниципальное образование город Каменск-Уральский</t>
  </si>
  <si>
    <t>муниципальное образование Камышловский муниципальный район</t>
  </si>
  <si>
    <t>Муниципальное образование Красноуфимский округ</t>
  </si>
  <si>
    <t>Невьянский городской округ</t>
  </si>
  <si>
    <t>Нижнесергинский муниципальный район</t>
  </si>
  <si>
    <t>Нижнетуринский городской округ</t>
  </si>
  <si>
    <t>Новолялинский городской округ</t>
  </si>
  <si>
    <t>Новоуральский городской округ</t>
  </si>
  <si>
    <t>Полевской городской округ</t>
  </si>
  <si>
    <t>Пышминский городской округ</t>
  </si>
  <si>
    <t>Режевской городской округ</t>
  </si>
  <si>
    <t>Североуральский городской округ</t>
  </si>
  <si>
    <t>Серовский городской округ</t>
  </si>
  <si>
    <t>Слободо-Туринский муниципальный район</t>
  </si>
  <si>
    <t>Сосьвинский городской округ</t>
  </si>
  <si>
    <t>Сысертский городской округ</t>
  </si>
  <si>
    <t>Таборинский муниципальный район</t>
  </si>
  <si>
    <t>Тавдинский городской округ</t>
  </si>
  <si>
    <t>Талицкий городской округ</t>
  </si>
  <si>
    <t>Тугулымский городской округ</t>
  </si>
  <si>
    <t>Туринский городской округ</t>
  </si>
  <si>
    <t>Шалинский городской округ</t>
  </si>
  <si>
    <t>ГО</t>
  </si>
  <si>
    <t>МОНАСТЫРКА</t>
  </si>
  <si>
    <t>Расчитана как область</t>
  </si>
  <si>
    <t>п.Студеный</t>
  </si>
  <si>
    <t>П.Уралец</t>
  </si>
  <si>
    <t>с.Сулем</t>
  </si>
  <si>
    <t>п.Висимо-Уткинск</t>
  </si>
  <si>
    <t>п.Чащино</t>
  </si>
  <si>
    <t>Желтый цвет -КК в 1003</t>
  </si>
  <si>
    <t>КК возле Первоуральска которые должны считаться как область</t>
  </si>
  <si>
    <t>С учетом трансформации</t>
  </si>
  <si>
    <t>Без учета инфляции</t>
  </si>
  <si>
    <t>Названия строк</t>
  </si>
  <si>
    <t>Общий итог</t>
  </si>
  <si>
    <t>Количество по полю Удельник для Малоэтажного-02:014</t>
  </si>
  <si>
    <t>Среднее по полю Удельник для Малоэтажного-02:014</t>
  </si>
  <si>
    <t>КК из расчетника</t>
  </si>
  <si>
    <t>Признак квартала</t>
  </si>
  <si>
    <t>loc_Factor_838</t>
  </si>
  <si>
    <t>loc_Factor_836</t>
  </si>
  <si>
    <t>loc_Factor_835</t>
  </si>
  <si>
    <t>loc_Factor_802</t>
  </si>
  <si>
    <t>loc_Factor_804</t>
  </si>
  <si>
    <t>loc_Factor_803</t>
  </si>
  <si>
    <t>id_group</t>
  </si>
  <si>
    <t>Коэффициент типовых характеристик</t>
  </si>
  <si>
    <t>Поправка на Коэффициент типовых характеристик</t>
  </si>
  <si>
    <t>Коэффициент плотности</t>
  </si>
  <si>
    <t>Теплоснабжение</t>
  </si>
  <si>
    <t>Электроснабжение</t>
  </si>
  <si>
    <t>Водоотведение</t>
  </si>
  <si>
    <t>УПКС, руб. за 1 кв. М</t>
  </si>
  <si>
    <t>КС, рублей</t>
  </si>
  <si>
    <t>многоэтажный</t>
  </si>
  <si>
    <t>наличие теплоснабжения</t>
  </si>
  <si>
    <t>наличие электроснабжения</t>
  </si>
  <si>
    <t>наличие водоотведения</t>
  </si>
  <si>
    <t>среднеэтажный</t>
  </si>
  <si>
    <t>малоэтажный</t>
  </si>
  <si>
    <t>УПКС рыночной стоимости квартиры</t>
  </si>
  <si>
    <t>Модель №2</t>
  </si>
  <si>
    <t>y=V1*V2*V3*V4*V5*V6</t>
  </si>
  <si>
    <t>Фактор</t>
  </si>
  <si>
    <t>Обозначение фактора</t>
  </si>
  <si>
    <t>Номер модели</t>
  </si>
  <si>
    <t>Наименование ЦФ</t>
  </si>
  <si>
    <t>Градация (не хранится в БД как отдельное поле)</t>
  </si>
  <si>
    <t xml:space="preserve">Значение поправки </t>
  </si>
  <si>
    <t>Рыночная стоимость квартиры</t>
  </si>
  <si>
    <t>V1</t>
  </si>
  <si>
    <t>Число</t>
  </si>
  <si>
    <t>функция от местоположения квартиры</t>
  </si>
  <si>
    <t>V2</t>
  </si>
  <si>
    <t>функция от этажности</t>
  </si>
  <si>
    <t>V3</t>
  </si>
  <si>
    <t>V4</t>
  </si>
  <si>
    <t>отсутствие теплоснабжения</t>
  </si>
  <si>
    <t>V5</t>
  </si>
  <si>
    <t>отсутствие электроснабжения</t>
  </si>
  <si>
    <t>V6</t>
  </si>
  <si>
    <t>отсутствие водоотведения</t>
  </si>
  <si>
    <t>Типовая характеристика</t>
  </si>
  <si>
    <t>Типовая этажность</t>
  </si>
  <si>
    <t>CadastralCostDesc</t>
  </si>
  <si>
    <t>Район,исходя из которого считается УПКС</t>
  </si>
  <si>
    <t>Центр-Перв</t>
  </si>
  <si>
    <t>Флаг ВРИ по документу</t>
  </si>
  <si>
    <t>Флаг площади</t>
  </si>
  <si>
    <t>Флаг ВРИ старый спр</t>
  </si>
  <si>
    <t>Флаг ВРИ новый спр</t>
  </si>
  <si>
    <t>Флаг Категории ЗУ</t>
  </si>
  <si>
    <t>Правило</t>
  </si>
  <si>
    <t>Новоя модель</t>
  </si>
  <si>
    <t>Площадь (ЦФ)</t>
  </si>
  <si>
    <t>Газоснабжение (ЦФ)</t>
  </si>
  <si>
    <t>Электроснабжение (ЦФ)</t>
  </si>
  <si>
    <t>Водоотведение (ЦФ)</t>
  </si>
  <si>
    <t>Рыночная стоимость квартиры(ЦФ)</t>
  </si>
  <si>
    <t>Код населённого пункта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</si>
  <si>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</si>
  <si>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</si>
  <si>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</si>
  <si>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Номер заявления</t>
  </si>
  <si>
    <t>Тип заявления</t>
  </si>
  <si>
    <t>Статус заявления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</si>
  <si>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</si>
  <si>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</si>
  <si>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</si>
  <si>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</si>
  <si>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</si>
  <si>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кода НП</t>
  </si>
  <si>
    <t>НЕ ГОТОВ</t>
  </si>
  <si>
    <t>Коэффициент плотности(ЦФ)</t>
  </si>
  <si>
    <t>Коэффициент типовых характеристик(ЦФ)</t>
  </si>
  <si>
    <t>Теплоснабжение (ЦФ)</t>
  </si>
  <si>
    <t>Обязательная проверка</t>
  </si>
  <si>
    <t>Specific_CadastralCost</t>
  </si>
  <si>
    <t>CadastralCost</t>
  </si>
  <si>
    <t>ВРИ</t>
  </si>
  <si>
    <t>Сегмент</t>
  </si>
  <si>
    <t>Площадь</t>
  </si>
  <si>
    <t>Status_kc</t>
  </si>
  <si>
    <t>loc_VICode</t>
  </si>
  <si>
    <t>Segment</t>
  </si>
  <si>
    <t>2. СЕГМЕНТ "Жилая застройка (среднеэтажная и многоэтажная)"</t>
  </si>
  <si>
    <t>Расчет стоимости в рамках 16 статьи и факторы для загрузки в базу</t>
  </si>
  <si>
    <t>Анализ</t>
  </si>
  <si>
    <t>Вид разрешенного использования</t>
  </si>
  <si>
    <t>Старый код НП</t>
  </si>
  <si>
    <t>Особый контроль</t>
  </si>
  <si>
    <t>13. СЕГМЕНТ "Садоводство и огородничество, малоэтажная жилая застройка"</t>
  </si>
  <si>
    <t>Площадь не является ценообразующим фактором,но при ее изменении объект может попасть на перегруппировку</t>
  </si>
  <si>
    <t>CadastralNumber</t>
  </si>
  <si>
    <t>ControlSP</t>
  </si>
  <si>
    <t>Код сегмента</t>
  </si>
  <si>
    <t>loc_SgCode</t>
  </si>
  <si>
    <t>ППЗ_M2_Осипов</t>
  </si>
  <si>
    <t>наличие</t>
  </si>
  <si>
    <t>ГОТОВ</t>
  </si>
  <si>
    <t>не готов</t>
  </si>
  <si>
    <t>loc_factor_807</t>
  </si>
  <si>
    <t>01:010</t>
  </si>
  <si>
    <t>01:020</t>
  </si>
  <si>
    <t>01:030</t>
  </si>
  <si>
    <t>01:031</t>
  </si>
  <si>
    <t>01:032</t>
  </si>
  <si>
    <t>01:040</t>
  </si>
  <si>
    <t>01:041</t>
  </si>
  <si>
    <t>01:042</t>
  </si>
  <si>
    <t>01:050</t>
  </si>
  <si>
    <t>01:051</t>
  </si>
  <si>
    <t>01:052</t>
  </si>
  <si>
    <t>01:053</t>
  </si>
  <si>
    <t>01:054</t>
  </si>
  <si>
    <t>01:060</t>
  </si>
  <si>
    <t>01:070</t>
  </si>
  <si>
    <t>01:080</t>
  </si>
  <si>
    <t>01:081</t>
  </si>
  <si>
    <t>01:082</t>
  </si>
  <si>
    <t>01:083</t>
  </si>
  <si>
    <t>01:084</t>
  </si>
  <si>
    <t>01:085</t>
  </si>
  <si>
    <t>01:086</t>
  </si>
  <si>
    <t>01:120</t>
  </si>
  <si>
    <t>01:121</t>
  </si>
  <si>
    <t>01:130</t>
  </si>
  <si>
    <t>01:131</t>
  </si>
  <si>
    <t>01:140</t>
  </si>
  <si>
    <t>01:141</t>
  </si>
  <si>
    <t>01:142</t>
  </si>
  <si>
    <t>01:160</t>
  </si>
  <si>
    <t>01:161</t>
  </si>
  <si>
    <t>01:170</t>
  </si>
  <si>
    <t>01:171</t>
  </si>
  <si>
    <t>02:012</t>
  </si>
  <si>
    <t>02:015</t>
  </si>
  <si>
    <t>02:022</t>
  </si>
  <si>
    <t>02:033</t>
  </si>
  <si>
    <t>13:010</t>
  </si>
  <si>
    <t>01:997</t>
  </si>
  <si>
    <t>01:998</t>
  </si>
  <si>
    <t>01:999</t>
  </si>
  <si>
    <t>02:000</t>
  </si>
  <si>
    <t>02:051</t>
  </si>
  <si>
    <t>02:061</t>
  </si>
  <si>
    <t>02:999</t>
  </si>
  <si>
    <t>01:143</t>
  </si>
  <si>
    <t>03:010</t>
  </si>
  <si>
    <t>03:013</t>
  </si>
  <si>
    <t>03:020</t>
  </si>
  <si>
    <t>03:021</t>
  </si>
  <si>
    <t>03:022</t>
  </si>
  <si>
    <t>03:023</t>
  </si>
  <si>
    <t>03:030</t>
  </si>
  <si>
    <t>03:031</t>
  </si>
  <si>
    <t>03:032</t>
  </si>
  <si>
    <t>03:033</t>
  </si>
  <si>
    <t>03:034</t>
  </si>
  <si>
    <t>03:035</t>
  </si>
  <si>
    <t>03:040</t>
  </si>
  <si>
    <t>03:041</t>
  </si>
  <si>
    <t>03:042</t>
  </si>
  <si>
    <t>03:050</t>
  </si>
  <si>
    <t>03:051</t>
  </si>
  <si>
    <t>03:052</t>
  </si>
  <si>
    <t>03:060</t>
  </si>
  <si>
    <t>03:061</t>
  </si>
  <si>
    <t>03:062</t>
  </si>
  <si>
    <t>03:065</t>
  </si>
  <si>
    <t>03:070</t>
  </si>
  <si>
    <t>03:071</t>
  </si>
  <si>
    <t>03:072</t>
  </si>
  <si>
    <t>03:073</t>
  </si>
  <si>
    <t>03:080</t>
  </si>
  <si>
    <t>03:081</t>
  </si>
  <si>
    <t>03:082</t>
  </si>
  <si>
    <t>03:083</t>
  </si>
  <si>
    <t>03:090</t>
  </si>
  <si>
    <t>03:091</t>
  </si>
  <si>
    <t>03:092</t>
  </si>
  <si>
    <t>03:100</t>
  </si>
  <si>
    <t>03:101</t>
  </si>
  <si>
    <t>03:102</t>
  </si>
  <si>
    <t>03:103</t>
  </si>
  <si>
    <t>03:104</t>
  </si>
  <si>
    <t>05:010</t>
  </si>
  <si>
    <t>05:011</t>
  </si>
  <si>
    <t>05:012</t>
  </si>
  <si>
    <t>05:020</t>
  </si>
  <si>
    <t>05:021</t>
  </si>
  <si>
    <t>05:051</t>
  </si>
  <si>
    <t>07:021</t>
  </si>
  <si>
    <t>07:022</t>
  </si>
  <si>
    <t>08:022</t>
  </si>
  <si>
    <t>08:030</t>
  </si>
  <si>
    <t>08:041</t>
  </si>
  <si>
    <t>09:030</t>
  </si>
  <si>
    <t>03:999</t>
  </si>
  <si>
    <t>01:183</t>
  </si>
  <si>
    <t>02:017</t>
  </si>
  <si>
    <t>02:053</t>
  </si>
  <si>
    <t>02:063</t>
  </si>
  <si>
    <t>03:063</t>
  </si>
  <si>
    <t>03:064</t>
  </si>
  <si>
    <t>04:010</t>
  </si>
  <si>
    <t>04:020</t>
  </si>
  <si>
    <t>04:030</t>
  </si>
  <si>
    <t>04:040</t>
  </si>
  <si>
    <t>04:050</t>
  </si>
  <si>
    <t>04:060</t>
  </si>
  <si>
    <t>04:080</t>
  </si>
  <si>
    <t>04:081</t>
  </si>
  <si>
    <t>04:082</t>
  </si>
  <si>
    <t>04:083</t>
  </si>
  <si>
    <t>04:084</t>
  </si>
  <si>
    <t>04:096</t>
  </si>
  <si>
    <t>04:100</t>
  </si>
  <si>
    <t>05:013</t>
  </si>
  <si>
    <t>05:050</t>
  </si>
  <si>
    <t>08:021</t>
  </si>
  <si>
    <t>04:996</t>
  </si>
  <si>
    <t>04:997</t>
  </si>
  <si>
    <t>04:998</t>
  </si>
  <si>
    <t>04:999</t>
  </si>
  <si>
    <t>02:040</t>
  </si>
  <si>
    <t>04:070</t>
  </si>
  <si>
    <t>04:097</t>
  </si>
  <si>
    <t>05:014</t>
  </si>
  <si>
    <t>05:022</t>
  </si>
  <si>
    <t>05:030</t>
  </si>
  <si>
    <t>08:040</t>
  </si>
  <si>
    <t>09:021</t>
  </si>
  <si>
    <t>09:023</t>
  </si>
  <si>
    <t>05:999</t>
  </si>
  <si>
    <t>01:087</t>
  </si>
  <si>
    <t>01:088</t>
  </si>
  <si>
    <t>01:090</t>
  </si>
  <si>
    <t>01:091</t>
  </si>
  <si>
    <t>01:092</t>
  </si>
  <si>
    <t>01:100</t>
  </si>
  <si>
    <t>01:101</t>
  </si>
  <si>
    <t>01:102</t>
  </si>
  <si>
    <t>01:110</t>
  </si>
  <si>
    <t>01:111</t>
  </si>
  <si>
    <t>01:112</t>
  </si>
  <si>
    <t>01:122</t>
  </si>
  <si>
    <t>01:132</t>
  </si>
  <si>
    <t>01:150</t>
  </si>
  <si>
    <t>01:172</t>
  </si>
  <si>
    <t>01:180</t>
  </si>
  <si>
    <t>01:181</t>
  </si>
  <si>
    <t>01:182</t>
  </si>
  <si>
    <t>03:011</t>
  </si>
  <si>
    <t>03:012</t>
  </si>
  <si>
    <t>03:093</t>
  </si>
  <si>
    <t>04:095</t>
  </si>
  <si>
    <t>04:098</t>
  </si>
  <si>
    <t>04:099</t>
  </si>
  <si>
    <t>05:040</t>
  </si>
  <si>
    <t>06:010</t>
  </si>
  <si>
    <t>06:011</t>
  </si>
  <si>
    <t>06:012</t>
  </si>
  <si>
    <t>06:013</t>
  </si>
  <si>
    <t>06:014</t>
  </si>
  <si>
    <t>06:020</t>
  </si>
  <si>
    <t>06:021</t>
  </si>
  <si>
    <t>06:030</t>
  </si>
  <si>
    <t>06:031</t>
  </si>
  <si>
    <t>06:040</t>
  </si>
  <si>
    <t>06:050</t>
  </si>
  <si>
    <t>06:060</t>
  </si>
  <si>
    <t>06:070</t>
  </si>
  <si>
    <t>06:071</t>
  </si>
  <si>
    <t>06:072</t>
  </si>
  <si>
    <t>06:073</t>
  </si>
  <si>
    <t>06:074</t>
  </si>
  <si>
    <t>06:080</t>
  </si>
  <si>
    <t>06:090</t>
  </si>
  <si>
    <t>06:091</t>
  </si>
  <si>
    <t>06:092</t>
  </si>
  <si>
    <t>06:093</t>
  </si>
  <si>
    <t>06:100</t>
  </si>
  <si>
    <t>06:101</t>
  </si>
  <si>
    <t>06:110</t>
  </si>
  <si>
    <t>06:111</t>
  </si>
  <si>
    <t>07:010</t>
  </si>
  <si>
    <t>07:011</t>
  </si>
  <si>
    <t>07:012</t>
  </si>
  <si>
    <t>07:013</t>
  </si>
  <si>
    <t>07:014</t>
  </si>
  <si>
    <t>07:015</t>
  </si>
  <si>
    <t>07:020</t>
  </si>
  <si>
    <t>07:030</t>
  </si>
  <si>
    <t>07:031</t>
  </si>
  <si>
    <t>07:032</t>
  </si>
  <si>
    <t>07:040</t>
  </si>
  <si>
    <t>07:041</t>
  </si>
  <si>
    <t>07:042</t>
  </si>
  <si>
    <t>07:050</t>
  </si>
  <si>
    <t>07:051</t>
  </si>
  <si>
    <t>08:010</t>
  </si>
  <si>
    <t>08:012</t>
  </si>
  <si>
    <t>08:013</t>
  </si>
  <si>
    <t>08:031</t>
  </si>
  <si>
    <t>10:011</t>
  </si>
  <si>
    <t>10:012</t>
  </si>
  <si>
    <t>11:030</t>
  </si>
  <si>
    <t>12:001</t>
  </si>
  <si>
    <t>06:998</t>
  </si>
  <si>
    <t>06:999</t>
  </si>
  <si>
    <t>02:071</t>
  </si>
  <si>
    <t>04:021</t>
  </si>
  <si>
    <t>04:031</t>
  </si>
  <si>
    <t>04:090</t>
  </si>
  <si>
    <t>04:091</t>
  </si>
  <si>
    <t>04:092</t>
  </si>
  <si>
    <t>04:093</t>
  </si>
  <si>
    <t>04:094</t>
  </si>
  <si>
    <t>07:023</t>
  </si>
  <si>
    <t>07:024</t>
  </si>
  <si>
    <t>07:999</t>
  </si>
  <si>
    <t>08:020</t>
  </si>
  <si>
    <t>08:999</t>
  </si>
  <si>
    <t>02:016</t>
  </si>
  <si>
    <t>02:032</t>
  </si>
  <si>
    <t>02:052</t>
  </si>
  <si>
    <t>02:062</t>
  </si>
  <si>
    <t>05:031</t>
  </si>
  <si>
    <t>09:010</t>
  </si>
  <si>
    <t>09:020</t>
  </si>
  <si>
    <t>09:022</t>
  </si>
  <si>
    <t>12:002</t>
  </si>
  <si>
    <t>12:003</t>
  </si>
  <si>
    <t>09:999</t>
  </si>
  <si>
    <t>09:998</t>
  </si>
  <si>
    <t>09:997</t>
  </si>
  <si>
    <t>09:996</t>
  </si>
  <si>
    <t>09:995</t>
  </si>
  <si>
    <t>10:010</t>
  </si>
  <si>
    <t>10:020</t>
  </si>
  <si>
    <t>10:030</t>
  </si>
  <si>
    <t>10:040</t>
  </si>
  <si>
    <t>10:999</t>
  </si>
  <si>
    <t>11:010</t>
  </si>
  <si>
    <t>11:020</t>
  </si>
  <si>
    <t>11:999</t>
  </si>
  <si>
    <t>08:011</t>
  </si>
  <si>
    <t>12:010</t>
  </si>
  <si>
    <t>12:020</t>
  </si>
  <si>
    <t>12:021</t>
  </si>
  <si>
    <t>12:030</t>
  </si>
  <si>
    <t>12:999</t>
  </si>
  <si>
    <t>02:010</t>
  </si>
  <si>
    <t>02:011</t>
  </si>
  <si>
    <t>02:013</t>
  </si>
  <si>
    <t>02:020</t>
  </si>
  <si>
    <t>02:021</t>
  </si>
  <si>
    <t>02:030</t>
  </si>
  <si>
    <t>02:031</t>
  </si>
  <si>
    <t>13:011</t>
  </si>
  <si>
    <t>13:021</t>
  </si>
  <si>
    <t>13:999</t>
  </si>
  <si>
    <t>13:031</t>
  </si>
  <si>
    <t>02:023</t>
  </si>
  <si>
    <t>02:019</t>
  </si>
  <si>
    <t>13:000</t>
  </si>
  <si>
    <t>14:000</t>
  </si>
  <si>
    <t>loc_GroupName</t>
  </si>
  <si>
    <t>Наименование вида использования</t>
  </si>
  <si>
    <t>Растениеводство в целом. Включает коды расчета вида использования 01.020-01.060</t>
  </si>
  <si>
    <t>Выращивание зерновых, бобовых, кормовых, технических, масличных, эфиромасличных и иных сельскохозяйственных культур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</si>
  <si>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</si>
  <si>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Овощеводство в открытом грунте</t>
  </si>
  <si>
    <t>Овощеводство тепличное</t>
  </si>
  <si>
    <t>Выращивание тонизирующих, лекарственных, цветочных культур в целом</t>
  </si>
  <si>
    <t>Выращивание тонизирующих, лекарственных, цветочных культур. Травы</t>
  </si>
  <si>
    <t>Выращивание тонизирующих, лекарственных, цветочных культур. Кустарники</t>
  </si>
  <si>
    <t>Садоводство в целом - выращивание многолетних плодовых и ягодных культур, винограда и иных многолетних культур</t>
  </si>
  <si>
    <t>Садоводство плодовое</t>
  </si>
  <si>
    <t>Садоводство ягодно-кустарниковое</t>
  </si>
  <si>
    <t>Садоводство виноградники</t>
  </si>
  <si>
    <t>Садоводство ягодники</t>
  </si>
  <si>
    <t>Выращивание льна и конопли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</si>
  <si>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</si>
  <si>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</si>
  <si>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Скотоводство. Сенокошение, выпас, производство кормов, за исключением кодов расчета вида использования 01.082-01.084</t>
  </si>
  <si>
    <t>Скотоводство. Оленеводство</t>
  </si>
  <si>
    <t>Скотоводство. Овцеводство</t>
  </si>
  <si>
    <t>Скотоводство. Коневодство</t>
  </si>
  <si>
    <t>Скотоводство молочное. Выращивание скота для получения молочной продукции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</si>
  <si>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</si>
  <si>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Пчеловодство в целом. Разведение, содержание и использование пчел и иных полезных насекомых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</si>
  <si>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</si>
  <si>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</si>
  <si>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Рыбоводство. Водные объекты, предназначенные для рыбоводства</t>
  </si>
  <si>
    <t>Научное обеспечение сельского хозяйства в целом</t>
  </si>
  <si>
    <t>Научное обеспечение сельского хозяйства. Растениеводство. Выращивание опытных образцов</t>
  </si>
  <si>
    <t>Научное обеспечение сельского хозяйства. Животноводство. Сенокошение, выпас, производство кормов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</si>
  <si>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</si>
  <si>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Крестьянское фермерское хозяйство (площадью от 5000 кв м)</t>
  </si>
  <si>
    <t>Питомники в целом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</si>
  <si>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</si>
  <si>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Выращивание плодовых, ягодных, овощных, бахчевых или иных декоративных или сельскохозяйственных культур</t>
  </si>
  <si>
    <t>Разведение декоративных и плодовых, ягодных, овощных культур</t>
  </si>
  <si>
    <t>Ведение личного подсобного хозяйства. Производство (выращивание) сельскохозяйственной продукции, кормов, выпаса скота</t>
  </si>
  <si>
    <t>Блокированная жилая застройка. Разведение декоративных и плодовых, ягодных, овощных культур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</si>
  <si>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</si>
  <si>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Для размещения ферм, МТФ, свинарников, коровников, конных дворов, тепличных хозяйств</t>
  </si>
  <si>
    <t>Сельскохозяйственное производство</t>
  </si>
  <si>
    <t>Иной вид использования в сегменте "Сельскохозяйственное использование"</t>
  </si>
  <si>
    <t>Жилая застройка (среднеэтажная и многоэтажная без уточнения этажности)</t>
  </si>
  <si>
    <t>Среднеэтажная жилая застройка в целом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</si>
  <si>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</si>
  <si>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Многоэтажная жилая застройка (высотная застройка) в целом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</si>
  <si>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</si>
  <si>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Иной вид использования в сегменте "Жилая застройка (среднеэтажная и многоэтажная)"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</si>
  <si>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</si>
  <si>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Коммунальное обслуживание в целом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</si>
  <si>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</si>
  <si>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Социальное обслуживание в целом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</si>
  <si>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</si>
  <si>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Социальное обслуживание. Размещение ОКС для размещения отделений почты и телеграфа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</si>
  <si>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</si>
  <si>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Бытовое обслуживание в целом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</si>
  <si>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</si>
  <si>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Бытовое обслуживание. Размещение ОКС, предназначенных для оказания населению или организациям бытовых услуг. Бани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</si>
  <si>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</si>
  <si>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</si>
  <si>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</si>
  <si>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</si>
  <si>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</si>
  <si>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</si>
  <si>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</si>
  <si>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</si>
  <si>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</si>
  <si>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Культурное развитие в целом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</si>
  <si>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</si>
  <si>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Культурное развитие. Размещение ОКС, предназначенных для размещения в них домов культуры, театров, филармоний, цирков</t>
  </si>
  <si>
    <t>Культурное развитие. Размещение зданий и сооружений для размещения зверинцев, зоопарков, океанариумов</t>
  </si>
  <si>
    <t>Религиозное использование в целом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</si>
  <si>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</si>
  <si>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</si>
  <si>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</si>
  <si>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Общественное управление в целом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</si>
  <si>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</si>
  <si>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</si>
  <si>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</si>
  <si>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Обеспечение научной деятельности в целом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</si>
  <si>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</si>
  <si>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</si>
  <si>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</si>
  <si>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</si>
  <si>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Приюты для животных. Размещение ОКС, предназначенных для оказания ветеринарных услуг в стационаре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</si>
  <si>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</si>
  <si>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Приюты для животных. Размещение ОКС, предназначенных для организации гостиниц для животных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</si>
  <si>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</si>
  <si>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Спорт. Размещение ОКС в качестве спортивных клубов, спортивных залов, бассейнов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</si>
  <si>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</si>
  <si>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</si>
  <si>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</si>
  <si>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Поля для гольфа или конных прогулок. Размещение конноспортивных манежей, не предусматривающих устройство трибун</t>
  </si>
  <si>
    <t>Автомобильный транспорт. Размещение зданий и сооружений, предназначенных для обслуживания пассажиров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</si>
  <si>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</si>
  <si>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</si>
  <si>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</si>
  <si>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Обеспечение деятельности по исполнению наказаний. Размещение ОКС для создания мест лишения свободы (поселения)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</si>
  <si>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</si>
  <si>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Иной вид использования в сегменте "Общественное использование"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</si>
  <si>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</si>
  <si>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</si>
  <si>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</si>
  <si>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</si>
  <si>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Культурное развитие. Размещение ОКС, предназначенных для размещения в них кинотеатров и кинозалов</t>
  </si>
  <si>
    <t>Культурное развитие. Устройство площадок для празднеств и гуляний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</si>
  <si>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</si>
  <si>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</si>
  <si>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</si>
  <si>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Магазины. Размещение ОКС, предназначенных для продажи товаров, торговая площадь которых составляет до 5 000 кв.м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</si>
  <si>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</si>
  <si>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</si>
  <si>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Развлечения. Размещение ОКС, предназначенных для размещения дискотек и танцевальных площадок, ночных клубов</t>
  </si>
  <si>
    <t>Развлечения. Размещение ОКС, предназначенных для размещения аквапарков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</si>
  <si>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</si>
  <si>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Развлечения. Размещение ОКС, предназначенных для размещения ипподромов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</si>
  <si>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</si>
  <si>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</si>
  <si>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</si>
  <si>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</si>
  <si>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</si>
  <si>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</si>
  <si>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Ярмарки, торговые выставки на открытых площадках</t>
  </si>
  <si>
    <t xml:space="preserve">Рекламные щиты/рекламные растяжки/рекламные конструкции </t>
  </si>
  <si>
    <t>Киоски/Ларьки/Торговые павильоны/Прицепы и Трейлеры торговые</t>
  </si>
  <si>
    <t>Иной вид использования в сегменте "Предпринимательство"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</si>
  <si>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</si>
  <si>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</si>
  <si>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Объекты придорожного сервиса. Предоставление гостиничных услуг в качестве придорожного сервиса</t>
  </si>
  <si>
    <t>Спорт. Размещение спортивных баз и лагерей - ОКС для временного проживания, питания спортсменов, для бытовых нужд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</si>
  <si>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</si>
  <si>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Охота и рыбалка. Размещение дома охотника или рыболова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</si>
  <si>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</si>
  <si>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</si>
  <si>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Санаторная деятельность. Размещение лечебно-оздоровительных лагерей</t>
  </si>
  <si>
    <t>Иной вид использования в сегменте "Отдых (рекреация)"</t>
  </si>
  <si>
    <t>Скотоводство. Размещение зданий, сооружений, используемых для содержания и разведения скота, хранения кормов</t>
  </si>
  <si>
    <t>Скотоводство. Размещение зданий, сооружений, используемых для переработки продукции</t>
  </si>
  <si>
    <t>Звероводство в целом. Разведение в неволе ценных пушных зверей.</t>
  </si>
  <si>
    <t>Звероводство. Размещение зданий, сооружений, используемых для содержания и разведения животных, хранения кормов</t>
  </si>
  <si>
    <t>Звероводство. Размещение зданий, сооружений, используемых для производства, хранения и первичной переработки продукции</t>
  </si>
  <si>
    <t>Птицеводство в целом. Разведение домашних пород птиц, в том числе водоплавающих</t>
  </si>
  <si>
    <t>Птицеводство. Размещение зданий, сооружений, используемых для содержания и разведения животных, хранения кормов</t>
  </si>
  <si>
    <t>Птицеводство. Размещение зданий, сооружений, используемых для производства, хранения и первичной переработки продукции</t>
  </si>
  <si>
    <t>Свиноводство в целом</t>
  </si>
  <si>
    <t>Свиноводство. Размещение зданий, сооружений, используемых для содержания и разведения животных, хранения кормов</t>
  </si>
  <si>
    <t>Свиноводство. Размещение зданий, сооружений, используемых для производства, хранения и первичной переработки продукции</t>
  </si>
  <si>
    <t>Пчеловодство. Размещение сооружений, используемых для хранения и первичной переработки продукции пчеловодства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</si>
  <si>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</si>
  <si>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</si>
  <si>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</si>
  <si>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Обеспечение сельскохозяйственного производства в целом. Включает коды расчета вида использования 01:181, 01:182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</si>
  <si>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</si>
  <si>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</si>
  <si>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</si>
  <si>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</si>
  <si>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</si>
  <si>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Объекты придорожного сервиса. Размещение автозаправочных станций (бензиновых, газовых)</t>
  </si>
  <si>
    <t>Объекты придорожного сервиса. Размещение автомобильных моек и прачечных для автомобильных принадлежностей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</si>
  <si>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</si>
  <si>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</si>
  <si>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Недропользование. Осуществление геологических изысканий, добыча недр открытым (карьеры, отвалы) способом</t>
  </si>
  <si>
    <t>Недропользование. Осуществление геологических изысканий, добыча недр закрытым (шахты, скважины) способом</t>
  </si>
  <si>
    <t>Недропользование. Размещение ОКС, в том числе подземных, в целях добычи недр</t>
  </si>
  <si>
    <t>Недропользование. Размещение ОКС, необходимых для подготовки сырья к транспортировке и (или) промышленной переработке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</si>
  <si>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</si>
  <si>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</si>
  <si>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</si>
  <si>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Легкая промышленность. Размещение ОКС, предназначенных для текстильной, фарфорово-фаянсовой, электронной промышленности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</si>
  <si>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</si>
  <si>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</si>
  <si>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</si>
  <si>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</si>
  <si>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</si>
  <si>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</si>
  <si>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</si>
  <si>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</si>
  <si>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Атомная энергетика. Размещение объектов электросетевого хозяйства, обслуживающих атомные электростанции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</si>
  <si>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</si>
  <si>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</si>
  <si>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</si>
  <si>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</si>
  <si>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</si>
  <si>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</si>
  <si>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</si>
  <si>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</si>
  <si>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Железнодорожный транспорт. Размещение железнодорожных путей</t>
  </si>
  <si>
    <t>Железнодорожный транспорт. Размещение зданий и сооружений, в том числе железнодорожных вокзалов и станций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</si>
  <si>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</si>
  <si>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</si>
  <si>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</si>
  <si>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</si>
  <si>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Автомобильный транспорт. Размещение автомобильных дорог и технически связанных с ними сооружений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</si>
  <si>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</si>
  <si>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Водный транспорт. Размещение ОКС морских портов и речных портов, причалов, пристаней, гидротехнических сооружений</t>
  </si>
  <si>
    <t>Водный транспорт. Размещение ОКС гидротехнических сооружений, за исключением кодов расчета вида использования 07:030, 07:031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</si>
  <si>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</si>
  <si>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</si>
  <si>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Воздушный транспорт. Размещение объектов, предназначенных для технического обслуживания и ремонта воздушных судов</t>
  </si>
  <si>
    <t>Трубопроводный транспорт. Размещение магистральных нефтепроводов, водопроводов, газопроводов и иных трубопроводов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</si>
  <si>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</si>
  <si>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</si>
  <si>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</si>
  <si>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</si>
  <si>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</si>
  <si>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</si>
  <si>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Заготовка древесины. Создание лесных дорог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</si>
  <si>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</si>
  <si>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</si>
  <si>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здания/нежилые здания/сооружения по документу с производственным использованием по классификатору</t>
  </si>
  <si>
    <t>Иной вид использования в сегменте "Производственная деятельность"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</si>
  <si>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</si>
  <si>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</si>
  <si>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Рынки. Размещение гаражей и (или) стоянок для автомобилей сотрудников и посетителей рынка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</si>
  <si>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</si>
  <si>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Обслуживание автотранспорта. Размещение открытых площадок, предназначенных для хранения автотранспорта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</si>
  <si>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</si>
  <si>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</si>
  <si>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</si>
  <si>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Автомобильный транспорт. Под оборудование для открытых стоянок автомобильного транспорта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</si>
  <si>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</si>
  <si>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Иной вид использования в сегменте "Транспорт"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</si>
  <si>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</si>
  <si>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Иной вид использования в сегменте "Обеспечение обороны и безопасности"</t>
  </si>
  <si>
    <t>Обустройство спортивных и детских площадок, площадок отдыха на территории малоэтажной многоквартирной жилой застройки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</si>
  <si>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</si>
  <si>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</si>
  <si>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</si>
  <si>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</si>
  <si>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</si>
  <si>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</si>
  <si>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Санаторная деятельность. Обустройство лечебно-оздоровительных местностей (пляжи, бюветы, места добычи целебной грязи)</t>
  </si>
  <si>
    <t>Размещение в границах населенных пунктов набережных, береговых полос водных объектов общего пользования</t>
  </si>
  <si>
    <t>Размещение в границах населенных пунктов скверов, бульваров, малых архитектурных форм благоустройства</t>
  </si>
  <si>
    <t>Иной вид использования в сегменте "Деятельность по особой охране и изучению природы"</t>
  </si>
  <si>
    <t>Территории общего пользования - остановки и остановочные комплексы</t>
  </si>
  <si>
    <t>Территории общего пользования - без указания уточняющей функции</t>
  </si>
  <si>
    <t>Территории общего пользования - размещение автомобильных дорог и технически связанных с ними сооружений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</si>
  <si>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</si>
  <si>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</si>
  <si>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Лесные плантации. Выращивание и рубка лесных насаждений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</si>
  <si>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</si>
  <si>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Резервные леса. Деятельность, связанная с охраной лесов</t>
  </si>
  <si>
    <t>Иной вид использования в сегменте "Использование лесов"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</si>
  <si>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</si>
  <si>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</si>
  <si>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Иной вид использования в сегменте "Водные объекты"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</si>
  <si>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</si>
  <si>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Ритуальная деятельность. Размещение кладбищ, крематориев и мест захоронения, культовых сооружений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</si>
  <si>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</si>
  <si>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</si>
  <si>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Запас. Отсутствие хозяйственной деятельности</t>
  </si>
  <si>
    <t>Иной вид использования в сегменте "Специальное, ритуальное использование, запас"</t>
  </si>
  <si>
    <t>Индивидуальное жилищное строительство в целом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</si>
  <si>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</si>
  <si>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Малоэтажная многоквартирная жилая застройка в целом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</si>
  <si>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</si>
  <si>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Ведение личного подсобного хозяйства с правом застройки в целом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</si>
  <si>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</si>
  <si>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Блокированная жилая застройка в целом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</si>
  <si>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</si>
  <si>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</si>
  <si>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</si>
  <si>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Иной вид использования в сегменте "Садоводство и огородничество, малоэтажная жилая застройка"</t>
  </si>
  <si>
    <t>Дачные, садовые и огородные участки в организованных коттеджных поселках.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</si>
  <si>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</si>
  <si>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Размещение индивидуального жилого дома в организованных коттеджных поселках</t>
  </si>
  <si>
    <t>Малоэтажная жилая застройка без  уточнения этажности и характера использования земельного участка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</si>
  <si>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</si>
  <si>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</si>
  <si>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Расшифровка расчетной подгруппы</t>
  </si>
  <si>
    <t>Проверка района</t>
  </si>
  <si>
    <t>Old_Utlbydoc</t>
  </si>
  <si>
    <t>Ври по документу старое</t>
  </si>
  <si>
    <t>ID</t>
  </si>
  <si>
    <t>CadastralBlock</t>
  </si>
  <si>
    <t>loc_factor_822</t>
  </si>
  <si>
    <t>loc_factor_804</t>
  </si>
  <si>
    <t>loc_factor_803</t>
  </si>
  <si>
    <t>loc_factor_802</t>
  </si>
  <si>
    <t>loc_factor_838</t>
  </si>
  <si>
    <t>loc_factor_835</t>
  </si>
  <si>
    <t>loc_factor_836</t>
  </si>
  <si>
    <t>LocalityCode</t>
  </si>
  <si>
    <t>OldLocalityCode</t>
  </si>
  <si>
    <t>Area</t>
  </si>
  <si>
    <t>ParcelCategory</t>
  </si>
  <si>
    <t>PresenceGas</t>
  </si>
  <si>
    <t>PresenceHeating</t>
  </si>
  <si>
    <t>PresencePower</t>
  </si>
  <si>
    <t>PresenceWaterDisposal</t>
  </si>
  <si>
    <t>Statement</t>
  </si>
  <si>
    <t>Type_Statement</t>
  </si>
  <si>
    <t>Status_Statement</t>
  </si>
  <si>
    <t>Sp_flag</t>
  </si>
  <si>
    <t>inputpacket_date</t>
  </si>
  <si>
    <t>Date_comm</t>
  </si>
  <si>
    <t>Sol_comm</t>
  </si>
  <si>
    <t>FlagLocalityCode</t>
  </si>
  <si>
    <t>Flag_VRI</t>
  </si>
  <si>
    <t>FlagParam</t>
  </si>
  <si>
    <t>Flag_VRIoldspr</t>
  </si>
  <si>
    <t>Flag_VRInewspr</t>
  </si>
  <si>
    <t>Flag_Category</t>
  </si>
  <si>
    <t>PraviloVRI</t>
  </si>
  <si>
    <t>ID_Group</t>
  </si>
  <si>
    <t>New_id_group</t>
  </si>
  <si>
    <t>UtilizationByDoc</t>
  </si>
  <si>
    <t>VRICode_NEW</t>
  </si>
  <si>
    <t>Parcels</t>
  </si>
  <si>
    <r>
      <t>ВРИ по документу</t>
    </r>
    <r>
      <rPr>
        <b/>
        <i/>
        <sz val="10"/>
        <color theme="1"/>
        <rFont val="Calibri"/>
        <family val="2"/>
        <charset val="204"/>
        <scheme val="minor"/>
      </rPr>
      <t xml:space="preserve"> старое</t>
    </r>
  </si>
  <si>
    <t>Суд</t>
  </si>
  <si>
    <t>Court</t>
  </si>
  <si>
    <t>Date_Court</t>
  </si>
  <si>
    <t>47:004:1:1:1</t>
  </si>
  <si>
    <t>земли жилой застройки (для жилищных нужд)</t>
  </si>
  <si>
    <t>66:41:0704041:7</t>
  </si>
  <si>
    <t>12.05.2021</t>
  </si>
  <si>
    <t>Правило6</t>
  </si>
  <si>
    <t>СТ16_Ф1_М2_18052021_Бунаков</t>
  </si>
  <si>
    <t>Проверка отклонения УПКС от текущего диапазона и  контроль значительного изменения КС</t>
  </si>
  <si>
    <t>Контроль текущего диапазона УПКС от 866 руб. до 17 260 руб. за 1 кв. м и значительного изменения стоимости (50 млн. руб)</t>
  </si>
  <si>
    <t>Сравнение текущей стоимости от предыдущего расчета</t>
  </si>
  <si>
    <t>Сравнение УПКС от предыдущего расчета</t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</si>
  <si>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новое</t>
    </r>
  </si>
  <si>
    <t>Верно, если расходждение менее 1,00 руб. Если расхождение более 1,00 -ценовые факторы подобраны неверно. Требуется анализ</t>
  </si>
  <si>
    <t>Этажность в расчет (если ЦФ "Коэ-т плотности" не сформирован ранее)</t>
  </si>
  <si>
    <t>Переход от РС квартиры к району (ВНИМАНИЕ, есть совпадения по РС квартиры!)</t>
  </si>
  <si>
    <r>
      <t xml:space="preserve">Код расчета вида использования </t>
    </r>
    <r>
      <rPr>
        <b/>
        <i/>
        <sz val="10"/>
        <color theme="1"/>
        <rFont val="Calibri"/>
        <family val="2"/>
        <charset val="204"/>
        <scheme val="minor"/>
      </rPr>
      <t>текущий</t>
    </r>
  </si>
  <si>
    <t>Обновляем или формируем поле "Старое ВРИ"</t>
  </si>
  <si>
    <r>
      <t xml:space="preserve">Код расчета вида использования </t>
    </r>
    <r>
      <rPr>
        <b/>
        <i/>
        <sz val="10"/>
        <color theme="1"/>
        <rFont val="Calibri"/>
        <family val="2"/>
        <charset val="204"/>
        <scheme val="minor"/>
      </rPr>
      <t>новый</t>
    </r>
  </si>
  <si>
    <t>Дата заседания Суда</t>
  </si>
  <si>
    <t>Участие объекта на комиссии, в заявлениях, в судах и прочее</t>
  </si>
  <si>
    <t>Повтор расчета по данным предудыщего расчета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</si>
  <si>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 = 'НЕ ГОТОВ' AND New_id_group=8002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</si>
</sst>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0.0000"/>
    <numFmt numFmtId="165" formatCode="0.00000"/>
    <numFmt numFmtId="166" formatCode="0.000000"/>
  </numFmts>
  <fonts count="19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43" fontId="11" fillId="0" borderId="0" applyFont="0" applyFill="0" applyBorder="0" applyAlignment="0" applyProtection="0"/>
    <xf numFmtId="0" fontId="11" fillId="0" borderId="0"/>
  </cellStyleXfs>
  <cellXfs count="144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quotePrefix="1" applyFont="1" applyAlignment="1">
      <alignment vertical="top" wrapText="1"/>
    </xf>
    <xf numFmtId="0" fontId="0" fillId="0" borderId="0" xfId="0"/>
    <xf numFmtId="0" fontId="0" fillId="0" borderId="0" xfId="0" applyFill="1" applyBorder="1"/>
    <xf numFmtId="0" fontId="0" fillId="0" borderId="0" xfId="0"/>
    <xf numFmtId="0" fontId="0" fillId="0" borderId="0" xfId="0" applyFill="1" applyBorder="1" applyAlignment="1">
      <alignment horizontal="right"/>
    </xf>
    <xf numFmtId="0" fontId="0" fillId="0" borderId="0" xfId="0" applyBorder="1"/>
    <xf numFmtId="0" fontId="4" fillId="0" borderId="0" xfId="0" applyFont="1" applyBorder="1"/>
    <xf numFmtId="0" fontId="0" fillId="0" borderId="0" xfId="0" applyAlignment="1">
      <alignment horizontal="center"/>
    </xf>
    <xf numFmtId="0" fontId="1" fillId="2" borderId="0" xfId="0" quotePrefix="1" applyFont="1" applyFill="1" applyAlignment="1">
      <alignment vertical="top" wrapText="1"/>
    </xf>
    <xf numFmtId="0" fontId="0" fillId="2" borderId="0" xfId="0" applyFill="1"/>
    <xf numFmtId="0" fontId="0" fillId="0" borderId="0" xfId="0" applyAlignment="1"/>
    <xf numFmtId="0" fontId="5" fillId="0" borderId="0" xfId="1"/>
    <xf numFmtId="0" fontId="5" fillId="3" borderId="0" xfId="1" applyFill="1"/>
    <xf numFmtId="0" fontId="5" fillId="4" borderId="0" xfId="1" applyFill="1"/>
    <xf numFmtId="0" fontId="1" fillId="5" borderId="0" xfId="0" applyFont="1" applyFill="1" applyAlignment="1">
      <alignment vertical="top" wrapText="1"/>
    </xf>
    <xf numFmtId="0" fontId="5" fillId="0" borderId="0" xfId="1" applyFill="1"/>
    <xf numFmtId="0" fontId="0" fillId="5" borderId="0" xfId="0" applyFill="1"/>
    <xf numFmtId="0" fontId="1" fillId="5" borderId="0" xfId="0" quotePrefix="1" applyFont="1" applyFill="1" applyAlignment="1">
      <alignment vertical="top" wrapText="1"/>
    </xf>
    <xf numFmtId="0" fontId="1" fillId="3" borderId="0" xfId="0" quotePrefix="1" applyFont="1" applyFill="1" applyAlignment="1">
      <alignment vertical="top" wrapText="1"/>
    </xf>
    <xf numFmtId="0" fontId="0" fillId="6" borderId="0" xfId="0" applyFill="1"/>
    <xf numFmtId="0" fontId="0" fillId="3" borderId="0" xfId="0" applyFill="1"/>
    <xf numFmtId="0" fontId="0" fillId="7" borderId="0" xfId="0" applyFill="1"/>
    <xf numFmtId="0" fontId="0" fillId="3" borderId="0" xfId="0" quotePrefix="1" applyFill="1"/>
    <xf numFmtId="164" fontId="0" fillId="0" borderId="0" xfId="0" applyNumberFormat="1"/>
    <xf numFmtId="0" fontId="0" fillId="0" borderId="0" xfId="0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2" xfId="0" applyFont="1" applyFill="1" applyBorder="1" applyAlignment="1">
      <alignment horizontal="center" wrapText="1"/>
    </xf>
    <xf numFmtId="0" fontId="9" fillId="0" borderId="2" xfId="0" applyFont="1" applyFill="1" applyBorder="1" applyAlignment="1">
      <alignment horizont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vertical="center" wrapText="1"/>
    </xf>
    <xf numFmtId="2" fontId="0" fillId="3" borderId="5" xfId="0" applyNumberFormat="1" applyFill="1" applyBorder="1" applyAlignment="1">
      <alignment horizont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43" fontId="1" fillId="0" borderId="0" xfId="2" applyFont="1" applyAlignment="1">
      <alignment vertical="top" wrapText="1"/>
    </xf>
    <xf numFmtId="43" fontId="1" fillId="0" borderId="0" xfId="2" applyNumberFormat="1" applyFont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0" fillId="0" borderId="0" xfId="0" quotePrefix="1" applyFill="1"/>
    <xf numFmtId="0" fontId="0" fillId="8" borderId="0" xfId="0" applyFill="1"/>
    <xf numFmtId="0" fontId="2" fillId="0" borderId="0" xfId="0" applyFont="1" applyFill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4" fontId="14" fillId="0" borderId="0" xfId="0" applyNumberFormat="1" applyFont="1" applyAlignment="1">
      <alignment wrapText="1"/>
    </xf>
    <xf numFmtId="0" fontId="8" fillId="0" borderId="0" xfId="0" applyFont="1" applyFill="1" applyAlignment="1">
      <alignment horizontal="left" vertical="center" wrapText="1"/>
    </xf>
    <xf numFmtId="43" fontId="8" fillId="0" borderId="0" xfId="2" applyFont="1" applyFill="1" applyAlignment="1">
      <alignment horizontal="left" vertical="center" wrapText="1"/>
    </xf>
    <xf numFmtId="0" fontId="13" fillId="11" borderId="0" xfId="0" applyFont="1" applyFill="1" applyAlignment="1">
      <alignment vertical="top" wrapText="1"/>
    </xf>
    <xf numFmtId="0" fontId="14" fillId="0" borderId="0" xfId="0" applyFont="1" applyAlignment="1">
      <alignment wrapText="1"/>
    </xf>
    <xf numFmtId="0" fontId="12" fillId="0" borderId="0" xfId="0" applyFont="1" applyFill="1" applyAlignment="1">
      <alignment vertical="top" wrapText="1"/>
    </xf>
    <xf numFmtId="165" fontId="1" fillId="0" borderId="0" xfId="0" applyNumberFormat="1" applyFont="1" applyFill="1" applyAlignment="1">
      <alignment vertical="top" wrapText="1"/>
    </xf>
    <xf numFmtId="166" fontId="1" fillId="0" borderId="0" xfId="0" applyNumberFormat="1" applyFont="1" applyFill="1" applyAlignment="1">
      <alignment vertical="top" wrapText="1"/>
    </xf>
    <xf numFmtId="0" fontId="7" fillId="0" borderId="0" xfId="0" applyFont="1" applyFill="1"/>
    <xf numFmtId="43" fontId="7" fillId="0" borderId="0" xfId="2" applyFont="1" applyFill="1"/>
    <xf numFmtId="0" fontId="9" fillId="0" borderId="0" xfId="1" applyFont="1" applyFill="1"/>
    <xf numFmtId="0" fontId="4" fillId="0" borderId="0" xfId="1" applyFont="1" applyFill="1"/>
    <xf numFmtId="0" fontId="3" fillId="0" borderId="0" xfId="0" applyFont="1" applyFill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12" fillId="0" borderId="0" xfId="0" applyFont="1" applyFill="1" applyAlignment="1">
      <alignment wrapText="1"/>
    </xf>
    <xf numFmtId="0" fontId="12" fillId="0" borderId="0" xfId="0" applyFont="1" applyFill="1" applyAlignment="1">
      <alignment horizontal="center" vertical="top" wrapText="1"/>
    </xf>
    <xf numFmtId="4" fontId="12" fillId="0" borderId="0" xfId="0" applyNumberFormat="1" applyFont="1" applyAlignment="1">
      <alignment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5" fillId="13" borderId="0" xfId="0" applyFont="1" applyFill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3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vertical="top" wrapText="1"/>
    </xf>
    <xf numFmtId="0" fontId="15" fillId="13" borderId="0" xfId="0" applyFont="1" applyFill="1" applyAlignment="1">
      <alignment horizontal="center"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15" fillId="13" borderId="0" xfId="0" applyFont="1" applyFill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left" vertical="center" wrapText="1"/>
    </xf>
    <xf numFmtId="0" fontId="12" fillId="15" borderId="0" xfId="0" applyFont="1" applyFill="1" applyAlignment="1">
      <alignment horizontal="center" vertical="top" wrapText="1"/>
    </xf>
    <xf numFmtId="0" fontId="3" fillId="11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6" fillId="11" borderId="0" xfId="0" applyFont="1" applyFill="1" applyAlignment="1">
      <alignment vertical="center" wrapText="1"/>
    </xf>
    <xf numFmtId="0" fontId="15" fillId="11" borderId="0" xfId="0" applyFont="1" applyFill="1" applyAlignment="1">
      <alignment horizontal="left" vertical="center" wrapText="1"/>
    </xf>
    <xf numFmtId="0" fontId="17" fillId="11" borderId="0" xfId="1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15" fillId="10" borderId="0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left" vertical="center" wrapText="1"/>
    </xf>
    <xf numFmtId="0" fontId="16" fillId="11" borderId="0" xfId="0" applyFont="1" applyFill="1" applyAlignment="1">
      <alignment horizontal="center" vertical="top" wrapText="1"/>
    </xf>
    <xf numFmtId="0" fontId="16" fillId="12" borderId="0" xfId="0" applyFont="1" applyFill="1" applyAlignment="1">
      <alignment horizontal="center" vertical="top" wrapText="1"/>
    </xf>
    <xf numFmtId="0" fontId="15" fillId="13" borderId="0" xfId="0" applyFont="1" applyFill="1" applyAlignment="1">
      <alignment horizontal="center" vertical="top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wrapText="1"/>
    </xf>
    <xf numFmtId="0" fontId="10" fillId="0" borderId="13" xfId="0" applyFont="1" applyFill="1" applyBorder="1" applyAlignment="1">
      <alignment horizont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3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center" vertical="top" wrapText="1"/>
    </xf>
    <xf numFmtId="0" fontId="18" fillId="4" borderId="0" xfId="0" applyFont="1" applyFill="1" applyAlignment="1">
      <alignment vertical="top" wrapText="1"/>
    </xf>
    <xf numFmtId="0" fontId="0" fillId="4" borderId="0" xfId="0" applyFill="1" applyBorder="1"/>
    <xf numFmtId="0" fontId="1" fillId="16" borderId="0" xfId="0" applyFont="1" applyFill="1" applyAlignment="1">
      <alignment vertical="top" wrapText="1"/>
    </xf>
    <xf numFmtId="0" fontId="1" fillId="16" borderId="0" xfId="0" quotePrefix="1" applyFont="1" applyFill="1" applyAlignment="1">
      <alignment vertical="top" wrapText="1"/>
    </xf>
    <xf numFmtId="165" fontId="1" fillId="16" borderId="0" xfId="0" applyNumberFormat="1" applyFont="1" applyFill="1" applyAlignment="1">
      <alignment vertical="top" wrapText="1"/>
    </xf>
    <xf numFmtId="0" fontId="7" fillId="16" borderId="0" xfId="0" applyFont="1" applyFill="1" applyAlignment="1">
      <alignment wrapText="1"/>
    </xf>
    <xf numFmtId="43" fontId="1" fillId="16" borderId="0" xfId="2" applyNumberFormat="1" applyFont="1" applyFill="1" applyAlignment="1">
      <alignment vertical="top" wrapText="1"/>
    </xf>
    <xf numFmtId="43" fontId="1" fillId="16" borderId="0" xfId="2" applyFont="1" applyFill="1" applyAlignment="1">
      <alignment vertical="top" wrapText="1"/>
    </xf>
    <xf numFmtId="4" fontId="14" fillId="16" borderId="0" xfId="0" applyNumberFormat="1" applyFont="1" applyFill="1" applyAlignment="1">
      <alignment wrapText="1"/>
    </xf>
    <xf numFmtId="4" fontId="12" fillId="16" borderId="0" xfId="0" applyNumberFormat="1" applyFont="1" applyFill="1" applyAlignment="1">
      <alignment wrapText="1"/>
    </xf>
    <xf numFmtId="0" fontId="0" fillId="16" borderId="0" xfId="0" quotePrefix="1" applyFill="1"/>
    <xf numFmtId="166" fontId="1" fillId="16" borderId="0" xfId="0" applyNumberFormat="1" applyFont="1" applyFill="1" applyAlignment="1">
      <alignment vertical="top" wrapText="1"/>
    </xf>
    <xf numFmtId="0" fontId="0" fillId="16" borderId="0" xfId="0" applyFill="1"/>
    <xf numFmtId="0" fontId="12" fillId="16" borderId="0" xfId="0" applyFont="1" applyFill="1" applyAlignment="1">
      <alignment wrapText="1"/>
    </xf>
    <xf numFmtId="0" fontId="14" fillId="16" borderId="0" xfId="0" applyFont="1" applyFill="1" applyAlignment="1">
      <alignment wrapText="1"/>
    </xf>
  </cellXfs>
  <cellStyles count="4">
    <cellStyle name="Обычный" xfId="0" builtinId="0"/>
    <cellStyle name="Обычный 14" xfId="3"/>
    <cellStyle name="Обычный 2" xfId="1"/>
    <cellStyle name="Финансовый" xfId="2" builtinId="3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Бунаков Максим Дмитриевич" refreshedDate="44104.391609722225" createdVersion="6" refreshedVersion="6" minRefreshableVersion="3" recordCount="6529">
  <cacheSource type="worksheet">
    <worksheetSource ref="A2:E6521" sheet="КК и удельник"/>
  </cacheSource>
  <cacheFields count="5">
    <cacheField name="КК" numFmtId="0">
      <sharedItems count="5029">
        <s v="66:41:0401041"/>
        <s v="66:41:0609023"/>
        <s v="66:41:0110004"/>
        <s v="66:41:0206014"/>
        <s v="66:41:0303094"/>
        <s v="66:41:0601039"/>
        <s v="66:41:0702035"/>
        <s v="66:41:0108117"/>
        <s v="66:41:0504035"/>
        <s v="66:41:0108111"/>
        <s v="66:41:0609024"/>
        <s v="66:41:0504008"/>
        <s v="66:41:0108009"/>
        <s v="66:41:0108079"/>
        <s v="66:41:0108096"/>
        <s v="66:41:0106097"/>
        <s v="66:41:0303080"/>
        <s v="66:41:0106102"/>
        <s v="66:41:0106118"/>
        <s v="66:41:0404012"/>
        <s v="66:41:0106020"/>
        <s v="66:41:0402020"/>
        <s v="66:41:0704018"/>
        <s v="66:41:0108091"/>
        <s v="66:41:0303105"/>
        <s v="66:41:0106023"/>
        <s v="66:41:0501066"/>
        <s v="66:41:0504003"/>
        <s v="66:41:0402001"/>
        <s v="66:41:0106043"/>
        <s v="66:41:0608017"/>
        <s v="66:41:0519050"/>
        <s v="66:41:0504030"/>
        <s v="66:41:0609022"/>
        <s v="66:41:0601011"/>
        <s v="66:41:0106156"/>
        <s v="66:41:0108114"/>
        <s v="66:41:0204055"/>
        <s v="66:41:0303004"/>
        <s v="66:41:0601007"/>
        <s v="66:41:0206032"/>
        <s v="66:41:0108035"/>
        <s v="66:41:0501056"/>
        <s v="66:41:0702066"/>
        <s v="66:41:0204024"/>
        <s v="66:41:0106022"/>
        <s v="66:41:0502079"/>
        <s v="66:41:0106039"/>
        <s v="66:41:0607008"/>
        <s v="66:41:0106035"/>
        <s v="66:41:0204051"/>
        <s v="66:41:0603013"/>
        <s v="66:41:0204011"/>
        <s v="66:41:0601045"/>
        <s v="66:41:0204036"/>
        <s v="66:41:0304006"/>
        <s v="66:41:0509002"/>
        <s v="66:41:0303066"/>
        <s v="66:41:0704040"/>
        <s v="66:41:0604021"/>
        <s v="66:41:0506003"/>
        <s v="66:41:0604007"/>
        <s v="66:41:0702049"/>
        <s v="66:41:0501026"/>
        <s v="66:41:0402010"/>
        <s v="66:41:0501033"/>
        <s v="66:41:0204022"/>
        <s v="66:41:0303026"/>
        <s v="66:41:0301010"/>
        <s v="66:41:0304023"/>
        <s v="66:41:0505027"/>
        <s v="66:41:0704025"/>
        <s v="66:41:0106119"/>
        <s v="66:41:0504041"/>
        <s v="66:41:0504007"/>
        <s v="66:41:0313010"/>
        <s v="66:41:0402012"/>
        <s v="66:41:0502069"/>
        <s v="66:41:0106064"/>
        <s v="66:41:0306106"/>
        <s v="66:41:0516002"/>
        <s v="66:41:0704005"/>
        <s v="66:41:0706008"/>
        <s v="66:41:0508065"/>
        <s v="66:41:0206017"/>
        <s v="66:41:0402013"/>
        <s v="66:41:0504052"/>
        <s v="66:41:0501054"/>
        <s v="66:41:0206016"/>
        <s v="66:41:0110141"/>
        <s v="66:41:0110143"/>
        <s v="66:41:0303017"/>
        <s v="66:41:0501008"/>
        <s v="66:41:0515002"/>
        <s v="66:41:0701008"/>
        <s v="66:41:0515026"/>
        <s v="66:41:0614066"/>
        <s v="66:41:0705006"/>
        <s v="66:41:0704008"/>
        <s v="66:41:0711064"/>
        <s v="66:41:0711004"/>
        <s v="66:41:0519016"/>
        <s v="66:41:0106108"/>
        <s v="66:41:0401009"/>
        <s v="66:41:0505003"/>
        <s v="66:41:0701024"/>
        <s v="66:41:0302033"/>
        <s v="66:41:0204016"/>
        <s v="66:41:0610004"/>
        <s v="66:41:0504037"/>
        <s v="66:41:0303064"/>
        <s v="66:41:0504010"/>
        <s v="66:41:0108027"/>
        <s v="66:41:0504023"/>
        <s v="66:41:0702064"/>
        <s v="66:41:0702063"/>
        <s v="66:41:0108075"/>
        <s v="66:41:0106019"/>
        <s v="66:41:0205013"/>
        <s v="66:41:0502084"/>
        <s v="66:41:0304029"/>
        <s v="66:41:0705005"/>
        <s v="66:41:0603004"/>
        <s v="66:41:0705001"/>
        <s v="66:41:0703008"/>
        <s v="66:41:0303079"/>
        <s v="66:41:0603007"/>
        <s v="66:41:0206010"/>
        <s v="66:41:0403006"/>
        <s v="66:41:0106140"/>
        <s v="66:41:0303038"/>
        <s v="66:41:0601031"/>
        <s v="66:41:0601004"/>
        <s v="66:41:0106135"/>
        <s v="66:41:0601054"/>
        <s v="66:41:0106128"/>
        <s v="66:41:0401032"/>
        <s v="66:41:0402007"/>
        <s v="66:41:0206026"/>
        <s v="66:41:0701006"/>
        <s v="66:41:0108072"/>
        <s v="66:41:0704041"/>
        <s v="66:41:0502096"/>
        <s v="66:41:0402004"/>
        <s v="66:41:0702072"/>
        <s v="66:41:0303072"/>
        <s v="66:41:0403047"/>
        <s v="66:41:0106002"/>
        <s v="66:41:0402016"/>
        <s v="66:41:0702069"/>
        <s v="66:41:0703007"/>
        <s v="66:41:0614015"/>
        <s v="66:41:0504005"/>
        <s v="66:41:0205015"/>
        <s v="66:41:0313121"/>
        <s v="66:41:0309012"/>
        <s v="66:41:0401053"/>
        <s v="66:41:0601010"/>
        <s v="66:41:0607007"/>
        <s v="66:41:0206015"/>
        <s v="66:41:0303009"/>
        <s v="66:41:0708018"/>
        <s v="66:41:0604006"/>
        <s v="66:41:0502126"/>
        <s v="66:41:0702034"/>
        <s v="66:41:0519010"/>
        <s v="66:41:0108099"/>
        <s v="66:41:0205003"/>
        <s v="66:41:0108012"/>
        <s v="66:41:0612090"/>
        <s v="66:41:0402028"/>
        <s v="66:41:0707011"/>
        <s v="66:41:0401034"/>
        <s v="66:41:0602005"/>
        <s v="66:41:0601005"/>
        <s v="66:41:0401048"/>
        <s v="66:41:0515032"/>
        <s v="66:41:0501063"/>
        <s v="66:41:0510025"/>
        <s v="66:41:0206025"/>
        <s v="66:41:0206006"/>
        <s v="66:41:0501058"/>
        <s v="66:41:0102023"/>
        <s v="66:41:0108053"/>
        <s v="66:41:0403081"/>
        <s v="66:41:0304025"/>
        <s v="66:41:0504019"/>
        <s v="66:41:0702047"/>
        <s v="66:41:0509016"/>
        <s v="66:41:0510038"/>
        <s v="66:41:0504002"/>
        <s v="66:41:0304027"/>
        <s v="66:41:0702055"/>
        <s v="66:41:0305001"/>
        <s v="66:41:0304012"/>
        <s v="66:41:0502078"/>
        <s v="66:41:0210071"/>
        <s v="66:41:0504044"/>
        <s v="66:41:0303112"/>
        <s v="66:41:0502507"/>
        <s v="66:41:0401027"/>
        <s v="66:41:0504025"/>
        <s v="66:41:0607016"/>
        <s v="66:41:0604017"/>
        <s v="66:41:0525004"/>
        <s v="66:41:0609011"/>
        <s v="66:41:0702033"/>
        <s v="66:41:0313005"/>
        <s v="66:41:0304008"/>
        <s v="66:41:0704044"/>
        <s v="66:41:0612088"/>
        <s v="66:41:0402022"/>
        <s v="66:41:0108083"/>
        <s v="66:41:0106113"/>
        <s v="66:41:0303037"/>
        <s v="66:41:0313007"/>
        <s v="66:41:0303154"/>
        <s v="66:41:0313006"/>
        <s v="66:41:0205005"/>
        <s v="66:41:0108092"/>
        <s v="66:41:0204031"/>
        <s v="66:41:0403011"/>
        <s v="66:41:0508077"/>
        <s v="66:41:0305005"/>
        <s v="66:41:0302032"/>
        <s v="66:41:0302031"/>
        <s v="66:41:0505024"/>
        <s v="66:41:0306030"/>
        <s v="66:41:0201012"/>
        <s v="66:41:0402021"/>
        <s v="66:41:0604001"/>
        <s v="66:41:0109057"/>
        <s v="66:41:0106098"/>
        <s v="66:41:0204010"/>
        <s v="66:41:0403073"/>
        <s v="66:41:0403025"/>
        <s v="66:41:0402024"/>
        <s v="66:41:0401047"/>
        <s v="66:41:0609028"/>
        <s v="66:41:0701013"/>
        <s v="66:41:0102006"/>
        <s v="66:41:0108081"/>
        <s v="66:41:0704036"/>
        <s v="66:41:0515029"/>
        <s v="66:41:0504006"/>
        <s v="66:41:0106054"/>
        <s v="66:41:0601035"/>
        <s v="66:41:0702039"/>
        <s v="66:41:0601025"/>
        <s v="66:41:0106117"/>
        <s v="66:41:0403074"/>
        <s v="66:41:0509018"/>
        <s v="66:41:0519100"/>
        <s v="66:41:0306094"/>
        <s v="66:41:0502074"/>
        <s v="66:41:0701005"/>
        <s v="66:41:0306020"/>
        <s v="66:41:0711059"/>
        <s v="66:41:0506901"/>
        <s v="66:41:0402027"/>
        <s v="66:41:0207004"/>
        <s v="66:41:0509022"/>
        <s v="66:41:0306055"/>
        <s v="66:41:0501007"/>
        <s v="66:41:0502071"/>
        <s v="66:41:0701016"/>
        <s v="66:41:0403076"/>
        <s v="66:41:0601053"/>
        <s v="66:41:0702052"/>
        <s v="66:41:0108077"/>
        <s v="66:41:0106096"/>
        <s v="66:41:0509048"/>
        <s v="66:41:0509060"/>
        <s v="66:41:0504040"/>
        <s v="66:41:0306117"/>
        <s v="66:41:0205009"/>
        <s v="66:41:0701007"/>
        <s v="66:41:0304026"/>
        <s v="66:41:0108073"/>
        <s v="66:41:0704004"/>
        <s v="66:41:0108103"/>
        <s v="66:41:0519043"/>
        <s v="66:41:0702004"/>
        <s v="66:41:0612064"/>
        <s v="66:41:0108076"/>
        <s v="66:41:0704007"/>
        <s v="66:41:0204005"/>
        <s v="66:41:0204021"/>
        <s v="66:41:0205020"/>
        <s v="66:41:0206007"/>
        <s v="66:41:0106045"/>
        <s v="66:41:0204044"/>
        <s v="66:41:0106021"/>
        <s v="66:41:0704039"/>
        <s v="66:41:0612050"/>
        <s v="66:41:0106036"/>
        <s v="66:41:0502064"/>
        <s v="66:41:0704013"/>
        <s v="66:41:0402014"/>
        <s v="66:41:0505011"/>
        <s v="66:41:0515001"/>
        <s v="66:41:0108090"/>
        <s v="66:41:0705009"/>
        <s v="66:41:0303039"/>
        <s v="66:41:0702023"/>
        <s v="66:41:0304028"/>
        <s v="66:41:0106034"/>
        <s v="66:41:0501070"/>
        <s v="66:41:0204053"/>
        <s v="66:41:0204049"/>
        <s v="66:41:0204009"/>
        <s v="66:41:0501065"/>
        <s v="66:41:0704045"/>
        <s v="66:41:0509043"/>
        <s v="66:41:0509046"/>
        <s v="66:41:0601009"/>
        <s v="66:41:0704011"/>
        <s v="66:41:0702061"/>
        <s v="66:41:0710022"/>
        <s v="66:41:0303035"/>
        <s v="66:41:0711032"/>
        <s v="66:41:0509033"/>
        <s v="66:41:0612065"/>
        <s v="66:41:0711061"/>
        <s v="66:41:0509047"/>
        <s v="66:41:0108001"/>
        <s v="66:41:0509037"/>
        <s v="66:41:0502080"/>
        <s v="66:41:0509024"/>
        <s v="66:41:0609027"/>
        <s v="66:41:0711065"/>
        <s v="66:41:0203048"/>
        <s v="66:41:0704035"/>
        <s v="66:41:0515038"/>
        <s v="66:41:0601023"/>
        <s v="66:41:0707006"/>
        <s v="66:41:0303093"/>
        <s v="66:41:0108050"/>
        <s v="66:41:0206031"/>
        <s v="66:41:0401001"/>
        <s v="66:41:0109065"/>
        <s v="66:41:0403002"/>
        <s v="66:41:0403004"/>
        <s v="66:41:0702054"/>
        <s v="66:41:0704038"/>
        <s v="66:41:0515025"/>
        <s v="66:41:0402015"/>
        <s v="66:41:0205004"/>
        <s v="66:41:0303068"/>
        <s v="66:41:0701028"/>
        <s v="66:41:0108084"/>
        <s v="66:41:0502070"/>
        <s v="66:41:0509027"/>
        <s v="66:41:0601020"/>
        <s v="66:41:0502088"/>
        <s v="66:41:0402026"/>
        <s v="66:41:0403015"/>
        <s v="66:41:0601044"/>
        <s v="66:41:0511021"/>
        <s v="66:41:0608901"/>
        <s v="66:41:0207007"/>
        <s v="66:41:0701027"/>
        <s v="66:41:0108046"/>
        <s v="66:41:0701022"/>
        <s v="66:41:0108068"/>
        <s v="66:41:0108089"/>
        <s v="66:41:0509049"/>
        <s v="66:41:0704003"/>
        <s v="66:41:0702038"/>
        <s v="66:41:0519069"/>
        <s v="66:41:0710003"/>
        <s v="66:41:0108124"/>
        <s v="66:41:0520007"/>
        <s v="66:41:0515035"/>
        <s v="66:41:0518019"/>
        <s v="66:41:0520013"/>
        <s v="66:41:0515039"/>
        <s v="66:41:0204040"/>
        <s v="66:41:0108102"/>
        <s v="66:41:0502093"/>
        <s v="66:41:0702060"/>
        <s v="66:41:0603001"/>
        <s v="66:41:0604010"/>
        <s v="66:41:0607013"/>
        <s v="66:41:0502054"/>
        <s v="66:41:0502055"/>
        <s v="66:41:0612901"/>
        <s v="66:41:0515019"/>
        <s v="66:41:0609015"/>
        <s v="66:41:0702077"/>
        <s v="66:41:0303092"/>
        <s v="66:41:0313009"/>
        <s v="66:41:0515004"/>
        <s v="66:41:0306099"/>
        <s v="66:41:0609014"/>
        <s v="66:41:0601052"/>
        <s v="66:41:0204037"/>
        <s v="66:41:0205017"/>
        <s v="66:41:0601042"/>
        <s v="66:41:0704009"/>
        <s v="66:41:0515055"/>
        <s v="66:41:0516001"/>
        <s v="66:41:0509035"/>
        <s v="66:41:0106111"/>
        <s v="66:41:0604004"/>
        <s v="66:41:0206029"/>
        <s v="66:41:0704010"/>
        <s v="66:41:0602006"/>
        <s v="66:41:0504034"/>
        <s v="66:41:0519004"/>
        <s v="66:41:0602008"/>
        <s v="66:41:0602009"/>
        <s v="66:41:0206020"/>
        <s v="66:41:0205022"/>
        <s v="66:41:0206009"/>
        <s v="66:41:0704017"/>
        <s v="66:41:0609026"/>
        <s v="66:41:0509052"/>
        <s v="66:41:0206019"/>
        <s v="66:41:0521038"/>
        <s v="66:41:0303095"/>
        <s v="66:41:0106127"/>
        <s v="66:41:0710032"/>
        <s v="66:41:0701015"/>
        <s v="66:41:0301015"/>
        <s v="66:41:0601016"/>
        <s v="66:41:0403064"/>
        <s v="66:41:0401019"/>
        <s v="66:41:0404016"/>
        <s v="66:41:0509055"/>
        <s v="66:41:0604019"/>
        <s v="66:41:0502077"/>
        <s v="66:41:0702058"/>
        <s v="66:41:0108119"/>
        <s v="66:41:0601015"/>
        <s v="66:41:0403079"/>
        <s v="66:41:0204012"/>
        <s v="66:41:0303031"/>
        <s v="66:41:0702022"/>
        <s v="66:41:0108052"/>
        <s v="66:41:0704024"/>
        <s v="66:41:0702056"/>
        <s v="66:41:0303043"/>
        <s v="66:41:0703010"/>
        <s v="66:41:0106139"/>
        <s v="66:41:0106027"/>
        <s v="66:41:0502041"/>
        <s v="66:41:0501057"/>
        <s v="66:41:0303006"/>
        <s v="66:41:0108104"/>
        <s v="66:41:0206027"/>
        <s v="66:41:0205010"/>
        <s v="66:41:0609035"/>
        <s v="66:41:0204028"/>
        <s v="66:41:0210019"/>
        <s v="66:41:0509021"/>
        <s v="66:41:0106053"/>
        <s v="66:41:0508047"/>
        <s v="66:41:0304011"/>
        <s v="66:41:0303005"/>
        <s v="66:41:0303001"/>
        <s v="66:41:0204025"/>
        <s v="66:41:0106089"/>
        <s v="66:41:0510010"/>
        <s v="66:41:0510002"/>
        <s v="66:41:0519041"/>
        <s v="66:41:0519024"/>
        <s v="66:41:0702076"/>
        <s v="66:41:0304021"/>
        <s v="66:41:0501002"/>
        <s v="66:41:0504033"/>
        <s v="66:41:0501075"/>
        <s v="66:41:0504024"/>
        <s v="66:41:0507099"/>
        <s v="66:41:0522005"/>
        <s v="66:41:0108069"/>
        <s v="66:41:0204027"/>
        <s v="66:41:0509010"/>
        <s v="66:41:0519099"/>
        <s v="66:41:0108071"/>
        <s v="66:41:0106130"/>
        <s v="66:41:0106132"/>
        <s v="66:41:0601028"/>
        <s v="66:41:0106105"/>
        <s v="66:41:0106133"/>
        <s v="66:41:0108047"/>
        <s v="66:41:0106092"/>
        <s v="66:41:0108032"/>
        <s v="66:41:0510034"/>
        <s v="66:41:0510036"/>
        <s v="66:41:0510058"/>
        <s v="66:41:0509005"/>
        <s v="66:41:0106138"/>
        <s v="66:41:0106110"/>
        <s v="66:41:0401008"/>
        <s v="66:41:0404008"/>
        <s v="66:41:0607021"/>
        <s v="66:41:0525005"/>
        <s v="66:41:0612078"/>
        <s v="66:41:0710001"/>
        <s v="66:41:0106137"/>
        <s v="66:41:0403072"/>
        <s v="66:41:0601036"/>
        <s v="66:41:0510039"/>
        <s v="66:41:0505015"/>
        <s v="66:41:0504013"/>
        <s v="66:41:0612054"/>
        <s v="66:41:0301009"/>
        <s v="66:41:0106051"/>
        <s v="66:41:0601033"/>
        <s v="66:41:0210015"/>
        <s v="66:41:0519049"/>
        <s v="66:41:0509031"/>
        <s v="66:41:0402017"/>
        <s v="66:41:0502062"/>
        <s v="66:41:0506034"/>
        <s v="66:41:0108100"/>
        <s v="66:41:0404009"/>
        <s v="66:41:0402025"/>
        <s v="66:41:0402006"/>
        <s v="66:41:0106120"/>
        <s v="66:41:0106104"/>
        <s v="66:41:0502025"/>
        <s v="66:41:0501022"/>
        <s v="66:41:0502076"/>
        <s v="66:41:0604016"/>
        <s v="66:41:0509029"/>
        <s v="66:41:0106122"/>
        <s v="66:41:0106009"/>
        <s v="66:41:0401033"/>
        <s v="66:41:0505002"/>
        <s v="66:41:0519122"/>
        <s v="66:41:0106041"/>
        <s v="66:41:0402029"/>
        <s v="66:41:0401058"/>
        <s v="66:41:0110016"/>
        <s v="66:41:0106040"/>
        <s v="66:41:0204006"/>
        <s v="66:41:0702030"/>
        <s v="66:41:0204015"/>
        <s v="66:41:0708014"/>
        <s v="66:41:0704032"/>
        <s v="66:41:0506007"/>
        <s v="66:41:0205008"/>
        <s v="66:41:0504084"/>
        <s v="66:41:0506006"/>
        <s v="66:41:0504049"/>
        <s v="66:41:0702010"/>
        <s v="66:41:0504085"/>
        <s v="66:41:0515010"/>
        <s v="66:41:0607009"/>
        <s v="66:41:0509028"/>
        <s v="66:41:0401026"/>
        <s v="66:41:0504021"/>
        <s v="66:41:0108048"/>
        <s v="66:41:0702032"/>
        <s v="66:41:0604008"/>
        <s v="66:41:0301006"/>
        <s v="66:41:0311007"/>
        <s v="66:41:0106107"/>
        <s v="66:41:0210010"/>
        <s v="66:41:0207006"/>
        <s v="66:41:0502110"/>
        <s v="66:41:0403008"/>
        <s v="66:41:0403031"/>
        <s v="66:41:0509059"/>
        <s v="66:41:0210012"/>
        <s v="66:41:0108070"/>
        <s v="66:41:0106055"/>
        <s v="66:41:0401016"/>
        <s v="66:41:0106106"/>
        <s v="66:41:0206028"/>
        <s v="66:41:0612084"/>
        <s v="66:41:0402039"/>
        <s v="66:41:0508075"/>
        <s v="66:41:0510019"/>
        <s v="66:41:0519018"/>
        <s v="66:41:0517003"/>
        <s v="66:41:0518013"/>
        <s v="66:41:0401022"/>
        <s v="66:41:0204057"/>
        <s v="66:41:0502117"/>
        <s v="66:41:0510054"/>
        <s v="66:41:0204014"/>
        <s v="66:41:0401052"/>
        <s v="66:41:0601008"/>
        <s v="66:41:0204039"/>
        <s v="66:41:0612015"/>
        <s v="66:41:0106042"/>
        <s v="66:41:0609017"/>
        <s v="66:41:0608022"/>
        <s v="66:41:0504075"/>
        <s v="66:41:0302034"/>
        <s v="66:41:0515014"/>
        <s v="66:41:0401031"/>
        <s v="66:41:0704016"/>
        <s v="66:41:0108086"/>
        <s v="66:41:0502051"/>
        <s v="66:41:0508072"/>
        <s v="66:41:0704037"/>
        <s v="66:41:0304014"/>
        <s v="66:41:0509023"/>
        <s v="66:41:0612016"/>
        <s v="66:41:0504094"/>
        <s v="66:41:0106037"/>
        <s v="66:41:0303002"/>
        <s v="66:41:0604009"/>
        <s v="66:41:0525001"/>
        <s v="66:41:0303148"/>
        <s v="66:41:0708016"/>
        <s v="66:41:0603006"/>
        <s v="66:41:0704026"/>
        <s v="66:41:0301008"/>
        <s v="66:41:0502095"/>
        <s v="66:41:0313004"/>
        <s v="66:41:0701004"/>
        <s v="66:41:0102021"/>
        <s v="66:41:0109050"/>
        <s v="66:41:0502106"/>
        <s v="66:41:0502111"/>
        <s v="66:41:0525009"/>
        <s v="66:41:0315004"/>
        <s v="66:41:0520010"/>
        <s v="66:41:0401006"/>
        <s v="66:41:0108082"/>
        <s v="66:41:0306088"/>
        <s v="66:41:0306083"/>
        <s v="66:41:0608025"/>
        <s v="66:41:0518017"/>
        <s v="66:41:0708001"/>
        <s v="66:41:0501064"/>
        <s v="66:41:0106168"/>
        <s v="66:41:0508044"/>
        <s v="66:41:0711033"/>
        <s v="66:41:0501901"/>
        <s v="66:41:0701023"/>
        <s v="66:41:0306101"/>
        <s v="66:41:0304031"/>
        <s v="66:41:0304015"/>
        <s v="66:41:0106131"/>
        <s v="66:41:0106093"/>
        <s v="66:41:0519062"/>
        <s v="66:41:0601051"/>
        <s v="66:41:0504063"/>
        <s v="66:41:0610038"/>
        <s v="66:41:0504096"/>
        <s v="66:41:0504011"/>
        <s v="66:41:0102022"/>
        <s v="66:41:0106164"/>
        <s v="66:41:0510008"/>
        <s v="66:41:0608020"/>
        <s v="66:41:0109071"/>
        <s v="66:41:0106114"/>
        <s v="66:41:0702026"/>
        <s v="66:41:0612062"/>
        <s v="66:41:0519901"/>
        <s v="66:41:0601027"/>
        <s v="66:41:0604022"/>
        <s v="66:41:0702048"/>
        <s v="66:41:0204901"/>
        <s v="66:41:0502068"/>
        <s v="66:41:0401013"/>
        <s v="66:41:0509034"/>
        <s v="66:41:0206001"/>
        <s v="66:41:0205021"/>
        <s v="66:41:0108055"/>
        <s v="66:41:0519025"/>
        <s v="66:41:0206023"/>
        <s v="66:41:0402005"/>
        <s v="66:41:0108105"/>
        <s v="66:41:0106094"/>
        <s v="66:41:0401040"/>
        <s v="66:41:0509026"/>
        <s v="66:41:0106063"/>
        <s v="66:41:0306100"/>
        <s v="66:41:0204056"/>
        <s v="66:41:0301004"/>
        <s v="66:41:0515040"/>
        <s v="66:41:0204043"/>
        <s v="66:41:0403075"/>
        <s v="66:41:0506001"/>
        <s v="66:41:0519130"/>
        <s v="66:41:0503005"/>
        <s v="66:41:0304017"/>
        <s v="66:41:0204023"/>
        <s v="66:41:0504036"/>
        <s v="66:41:0106032"/>
        <s v="66:41:0601026"/>
        <s v="66:41:0519042"/>
        <s v="66:41:0108126"/>
        <s v="66:41:0603008"/>
        <s v="66:41:0302035"/>
        <s v="66:41:0108109"/>
        <s v="66:41:0501031"/>
        <s v="66:41:0504004"/>
        <s v="66:41:0306129"/>
        <s v="66:41:0610040"/>
        <s v="66:41:0001001"/>
        <s v="66:41:0609018"/>
        <s v="66:41:0610042"/>
        <s v="66:41:0205019"/>
        <s v="66:41:0206004"/>
        <s v="66:41:0108054"/>
        <s v="66:41:0203016"/>
        <s v="66:41:0210009"/>
        <s v="66:41:0106170"/>
        <s v="66:41:0303083"/>
        <s v="66:41:0504086"/>
        <s v="66:41:0711020"/>
        <s v="66:41:0402003"/>
        <s v="66:41:0603009"/>
        <s v="66:41:0106901"/>
        <s v="66:41:0509051"/>
        <s v="66:41:0210034"/>
        <s v="66:41:0401038"/>
        <s v="66:41:0108057"/>
        <s v="66:41:0206005"/>
        <s v="66:41:0502114"/>
        <s v="66:41:0303077"/>
        <s v="66:41:0710015"/>
        <s v="66:41:0204042"/>
        <s v="66:41:0106088"/>
        <s v="66:41:0312002"/>
        <s v="66:41:0108098"/>
        <s v="66:41:0106095"/>
        <s v="66:41:0501009"/>
        <s v="66:41:0704022"/>
        <s v="66:41:0108066"/>
        <s v="66:41:0106129"/>
        <s v="66:41:0502048"/>
        <s v="66:41:0604018"/>
        <s v="66:41:0502098"/>
        <s v="66:41:0401004"/>
        <s v="66:41:0509038"/>
        <s v="66:41:0502053"/>
        <s v="66:41:0612087"/>
        <s v="66:41:0402008"/>
        <s v="66:41:0701021"/>
        <s v="66:41:0704021"/>
        <s v="66:41:0402030"/>
        <s v="66:41:0303067"/>
        <s v="66:41:0509032"/>
        <s v="66:41:0525901"/>
        <s v="66:41:0510053"/>
        <s v="66:41:0502086"/>
        <s v="66:41:0106033"/>
        <s v="66:41:0517004"/>
        <s v="66:41:0303101"/>
        <s v="66:41:0501035"/>
        <s v="66:41:0704014"/>
        <s v="66:41:0601001"/>
        <s v="66:41:0520008"/>
        <s v="66:41:0604005"/>
        <s v="66:41:0603016"/>
        <s v="66:41:0612020"/>
        <s v="66:41:0106101"/>
        <s v="66:41:0206021"/>
        <s v="66:41:0106057"/>
        <s v="66:41:0106028"/>
        <s v="66:41:0612085"/>
        <s v="66:41:0210062"/>
        <s v="66:41:0306901"/>
        <s v="66:41:0604023"/>
        <s v="66:41:0506015"/>
        <s v="66:41:0504050"/>
        <s v="66:41:0511030"/>
        <s v="66:41:0510030"/>
        <s v="66:41:0505012"/>
        <s v="66:41:0504095"/>
        <s v="66:41:0108038"/>
        <s v="66:41:0106073"/>
        <s v="66:41:0304007"/>
        <s v="66:41:0204052"/>
        <s v="66:41:0106121"/>
        <s v="66:41:0612028"/>
        <s v="66:41:0515034"/>
        <s v="66:41:0520019"/>
        <s v="66:41:0502085"/>
        <s v="66:41:0510029"/>
        <s v="66:41:0303022"/>
        <s v="66:41:0519121"/>
        <s v="66:41:0108042"/>
        <s v="66:41:0110003"/>
        <s v="66:41:0204019"/>
        <s v="66:41:0204060"/>
        <s v="66:41:0401043"/>
        <s v="66:41:0601024"/>
        <s v="66:41:0501032"/>
        <s v="66:41:0401042"/>
        <s v="66:41:0519082"/>
        <s v="66:41:0704002"/>
        <s v="66:41:0601022"/>
        <s v="66:41:0507109"/>
        <s v="66:41:0403035"/>
        <s v="66:41:0515030"/>
        <s v="66:41:0508080"/>
        <s v="66:41:0106080"/>
        <s v="66:41:0612025"/>
        <s v="66:41:0519115"/>
        <s v="66:41:0702041"/>
        <s v="66:41:0502087"/>
        <s v="66:41:0515020"/>
        <s v="66:41:0306120"/>
        <s v="66:41:0519003"/>
        <s v="66:41:0502083"/>
        <s v="66:41:0502063"/>
        <s v="66:41:0518023"/>
        <s v="66:41:0603005"/>
        <s v="66:41:0108011"/>
        <s v="66:41:0303040"/>
        <s v="66:41:0106126"/>
        <s v="66:41:0504058"/>
        <s v="66:41:0711078"/>
        <s v="66:41:0601006"/>
        <s v="66:41:0304033"/>
        <s v="66:41:0508058"/>
        <s v="66:41:0106099"/>
        <s v="66:41:0304005"/>
        <s v="66:41:0610039"/>
        <s v="66:41:0603002"/>
        <s v="66:41:0401035"/>
        <s v="66:41:0501061"/>
        <s v="66:41:0702045"/>
        <s v="66:41:0521042"/>
        <s v="66:41:0702031"/>
        <s v="66:41:0601019"/>
        <s v="66:41:0506030"/>
        <s v="66:41:0702065"/>
        <s v="66:41:0106077"/>
        <s v="66:41:0504012"/>
        <s v="66:41:0504026"/>
        <s v="66:41:0304034"/>
        <s v="66:41:0509061"/>
        <s v="66:41:0106103"/>
        <s v="66:41:0401005"/>
        <s v="66:41:0612019"/>
        <s v="66:41:0106062"/>
        <s v="66:41:0702057"/>
        <s v="66:41:0206018"/>
        <s v="66:41:0108067"/>
        <s v="66:41:0201014"/>
        <s v="66:41:0612048"/>
        <s v="66:41:0501021"/>
        <s v="66:41:0204058"/>
        <s v="66:41:0711074"/>
        <s v="66:41:0108115"/>
        <s v="66:41:0601013"/>
        <s v="66:41:0301005"/>
        <s v="66:41:0612030"/>
        <s v="66:41:0106001"/>
        <s v="66:41:0519072"/>
        <s v="66:41:0612040"/>
        <s v="66:41:0510007"/>
        <s v="66:41:0204008"/>
        <s v="66:41:0403030"/>
        <s v="66:41:0508023"/>
        <s v="66:41:0612005"/>
        <s v="66:41:0304024"/>
        <s v="66:41:0520015"/>
        <s v="66:41:0515028"/>
        <s v="66:41:0108118"/>
        <s v="66:41:0109055"/>
        <s v="66:41:0704023"/>
        <s v="66:41:0604026"/>
        <s v="66:41:0205016"/>
        <s v="66:41:0401045"/>
        <s v="66:41:0510056"/>
        <s v="66:41:0504062"/>
        <s v="66:41:0301013"/>
        <s v="66:41:0401049"/>
        <s v="66:41:0305021"/>
        <s v="66:41:0502046"/>
        <s v="66:41:0303161"/>
        <s v="66:41:0508088"/>
        <s v="66:41:0403033"/>
        <s v="66:41:0519070"/>
        <s v="66:41:0108056"/>
        <s v="66:41:0601050"/>
        <s v="66:41:0401018"/>
        <s v="66:41:0102015"/>
        <s v="66:41:0108051"/>
        <s v="66:41:0508079"/>
        <s v="66:41:0607005"/>
        <s v="66:41:0403024"/>
        <s v="66:41:0203049"/>
        <s v="66:41:0401003"/>
        <s v="66:41:0403060"/>
        <s v="66:41:0604901"/>
        <s v="66:41:0402018"/>
        <s v="66:41:0604020"/>
        <s v="66:41:0106162"/>
        <s v="66:41:0510027"/>
        <s v="66:41:0502044"/>
        <s v="66:41:0508042"/>
        <s v="66:41:0506038"/>
        <s v="66:41:0403038"/>
        <s v="66:41:0402033"/>
        <s v="66:41:0601018"/>
        <s v="66:41:0701025"/>
        <s v="66:41:0203034"/>
        <s v="66:41:0519009"/>
        <s v="66:41:0108043"/>
        <s v="66:41:0609033"/>
        <s v="66:41:0710011"/>
        <s v="66:41:0502056"/>
        <s v="66:41:0506041"/>
        <s v="66:41:0401029"/>
        <s v="66:41:0510051"/>
        <s v="66:41:0503006"/>
        <s v="66:41:0601034"/>
        <s v="66:41:0711053"/>
        <s v="66:41:0502115"/>
        <s v="66:41:0306096"/>
        <s v="66:41:0106115"/>
        <s v="66:41:0519124"/>
        <s v="66:41:0502006"/>
        <s v="66:41:0106109"/>
        <s v="66:41:0504073"/>
        <s v="66:41:0401011"/>
        <s v="66:41:0205007"/>
        <s v="66:41:0311003"/>
        <s v="66:41:0401020"/>
        <s v="66:41:0515007"/>
        <s v="66:41:0515015"/>
        <s v="66:41:0506025"/>
        <s v="66:41:0515033"/>
        <s v="66:41:0403034"/>
        <s v="66:41:0519071"/>
        <s v="66:41:0520006"/>
        <s v="66:41:0519123"/>
        <s v="66:41:0306021"/>
        <s v="66:41:0207025"/>
        <s v="66:41:0504022"/>
        <s v="66:41:0702078"/>
        <s v="66:41:0504074"/>
        <s v="66:41:0401007"/>
        <s v="66:41:0304010"/>
        <s v="66:41:0301007"/>
        <s v="66:41:0303082"/>
        <s v="66:41:0302041"/>
        <s v="66:41:0510037"/>
        <s v="66:41:0504039"/>
        <s v="66:41:0502043"/>
        <s v="66:41:0510069"/>
        <s v="66:41:0609043"/>
        <s v="66:41:0403018"/>
        <s v="66:41:0509030"/>
        <s v="66:41:0108065"/>
        <s v="66:41:0102031"/>
        <s v="66:41:0519002"/>
        <s v="66:41:0702005"/>
        <s v="66:41:0704012"/>
        <s v="66:41:0515052"/>
        <s v="66:41:0612031"/>
        <s v="66:41:0204035"/>
        <s v="66:41:0510024"/>
        <s v="66:41:0520002"/>
        <s v="66:41:0508055"/>
        <s v="66:41:0508001"/>
        <s v="66:41:0710009"/>
        <s v="66:41:0519015"/>
        <s v="66:41:0205014"/>
        <s v="66:41:0612067"/>
        <s v="66:41:0710018"/>
        <s v="66:41:0607041"/>
        <s v="66:41:0508040"/>
        <s v="66:41:0608033"/>
        <s v="66:41:0204061"/>
        <s v="66:41:0303075"/>
        <s v="66:41:0403019"/>
        <s v="66:41:0206030"/>
        <s v="66:41:0303053"/>
        <s v="66:41:0504083"/>
        <s v="66:41:0507107"/>
        <s v="66:41:0401030"/>
        <s v="66:41:0510015"/>
        <s v="66:41:0515021"/>
        <s v="66:41:0210017"/>
        <s v="66:41:0519116"/>
        <s v="66:41:0505029"/>
        <s v="66:41:0510023"/>
        <s v="66:41:0610024"/>
        <s v="66:41:0510021"/>
        <s v="66:41:0509019"/>
        <s v="66:41:0704020"/>
        <s v="66:41:0403022"/>
        <s v="66:41:0203060"/>
        <s v="66:41:0306017"/>
        <s v="66:41:0707001"/>
        <s v="66:41:0403007"/>
        <s v="66:41:0303150"/>
        <s v="66:41:0601038"/>
        <s v="66:41:0608024"/>
        <s v="66:41:0106112"/>
        <s v="66:41:0204045"/>
        <s v="66:41:0506032"/>
        <s v="66:41:0203010"/>
        <s v="66:41:0706001"/>
        <s v="66:41:0109003"/>
        <s v="66:41:0702008"/>
        <s v="66:41:0510005"/>
        <s v="66:41:0711028"/>
        <s v="66:41:0707010"/>
        <s v="66:41:0205012"/>
        <s v="66:41:0504048"/>
        <s v="66:41:0710005"/>
        <s v="66:41:0704019"/>
        <s v="66:41:0306056"/>
        <s v="66:41:0612057"/>
        <s v="66:41:0711073"/>
        <s v="66:41:0614075"/>
        <s v="66:41:0203012"/>
        <s v="66:41:0403028"/>
        <s v="66:41:0510006"/>
        <s v="66:41:0609025"/>
        <s v="66:41:0609034"/>
        <s v="66:41:0519017"/>
        <s v="66:41:0402032"/>
        <s v="66:41:0403901"/>
        <s v="66:41:0106083"/>
        <s v="66:41:0516020"/>
        <s v="66:41:0608019"/>
        <s v="66:41:0501059"/>
        <s v="66:41:0403070"/>
        <s v="66:41:0303029"/>
        <s v="66:41:0106136"/>
        <s v="66:41:0711046"/>
        <s v="66:41:0508024"/>
        <s v="66:41:0513040"/>
        <s v="66:41:0508006"/>
        <s v="66:41:0509017"/>
        <s v="66:41:0203057"/>
        <s v="66:41:0608028"/>
        <s v="66:41:0205002"/>
        <s v="66:41:0109034"/>
        <s v="66:41:0510004"/>
        <s v="66:41:0614034"/>
        <s v="66:41:0301011"/>
        <s v="66:41:0304002"/>
        <s v="66:41:0203018"/>
        <s v="66:41:0607037"/>
        <s v="66:41:0311008"/>
        <s v="66:41:0515054"/>
        <s v="66:41:0701020"/>
        <s v="66:41:0704034"/>
        <s v="66:41:0525003"/>
        <s v="66:41:0303081"/>
        <s v="66:41:0403009"/>
        <s v="66:41:0303027"/>
        <s v="66:41:0303032"/>
        <s v="66:41:0106067"/>
        <s v="66:41:0605004"/>
        <s v="66:41:0109053"/>
        <s v="66:41:0403014"/>
        <s v="66:41:0601021"/>
        <s v="66:41:0711067"/>
        <s v="66:41:0108058"/>
        <s v="66:41:0403023"/>
        <s v="66:41:0510048"/>
        <s v="66:41:0403056"/>
        <s v="66:41:0401039"/>
        <s v="66:41:0303073"/>
        <s v="66:41:0306119"/>
        <s v="66:41:0204033"/>
        <s v="66:41:0515008"/>
        <s v="66:41:0303149"/>
        <s v="66:41:0305007"/>
        <s v="66:41:0303057"/>
        <s v="66:41:0519127"/>
        <s v="66:41:0525008"/>
        <s v="66:41:0502005"/>
        <s v="66:41:0701026"/>
        <s v="66:41:0302007"/>
        <s v="66:41:0711901"/>
        <s v="66:41:0612009"/>
        <s v="66:41:0404019"/>
        <s v="66:41:0403010"/>
        <s v="66:41:0106086"/>
        <s v="66:41:0206022"/>
        <s v="66:41:0203065"/>
        <s v="66:41:0106007"/>
        <s v="66:41:0607001"/>
        <s v="66:41:0106066"/>
        <s v="66:41:0510018"/>
        <s v="66:41:0203019"/>
        <s v="66:41:0502024"/>
        <s v="66:41:0210023"/>
        <s v="66:41:0607017"/>
        <s v="66:41:0701012"/>
        <s v="66:41:0508027"/>
        <s v="66:41:0502075"/>
        <s v="66:41:0514032"/>
        <s v="66:41:0518009"/>
        <s v="66:41:0402002"/>
        <s v="66:41:0502047"/>
        <s v="66:41:0314004"/>
        <s v="66:41:0702901"/>
        <s v="66:41:0403040"/>
        <s v="66:41:0403037"/>
        <s v="66:41:0303151"/>
        <s v="66:41:0307076"/>
        <s v="66:41:0601055"/>
        <s v="66:41:0609029"/>
        <s v="66:41:0702027"/>
        <s v="66:41:0403045"/>
        <s v="66:41:0708004"/>
        <s v="66:41:0708007"/>
        <s v="66:41:0303102"/>
        <s v="66:41:0304030"/>
        <s v="66:41:0601014"/>
        <s v="66:41:0603012"/>
        <s v="66:41:0106087"/>
        <s v="66:41:0303136"/>
        <s v="66:41:0304020"/>
        <s v="66:41:0401017"/>
        <s v="66:41:0204047"/>
        <s v="66:41:0106150"/>
        <s v="66:41:0202007"/>
        <s v="66:41:0614003"/>
        <s v="66:41:0000000"/>
        <s v="66:45:0200187"/>
        <s v="66:45:0200204"/>
        <s v="66:45:0200214"/>
        <s v="66:45:0200221"/>
        <s v="66:45:0200222"/>
        <s v="66:45:0200224"/>
        <s v="66:45:0200226"/>
        <s v="66:45:0200350"/>
        <s v="66:45:0200320"/>
        <s v="66:45:0200297"/>
        <s v="66:45:0100125"/>
        <s v="66:45:0100132"/>
        <s v="66:45:0100133"/>
        <s v="66:45:0100134"/>
        <s v="66:45:0100135"/>
        <s v="66:45:0100136"/>
        <s v="66:45:0100138"/>
        <s v="66:45:0100140"/>
        <s v="66:45:0100142"/>
        <s v="66:45:0100143"/>
        <s v="66:45:0100144"/>
        <s v="66:45:0100148"/>
        <s v="66:45:0100149"/>
        <s v="66:45:0100150"/>
        <s v="66:45:0100152"/>
        <s v="66:45:0100155"/>
        <s v="66:45:0100187"/>
        <s v="66:45:0100190"/>
        <s v="66:45:0100191"/>
        <s v="66:45:0100196"/>
        <s v="66:45:0100197"/>
        <s v="66:45:0100266"/>
        <s v="66:45:0100360"/>
        <s v="66:45:0100361"/>
        <s v="66:45:0100028"/>
        <s v="66:45:0100086"/>
        <s v="66:45:0100146"/>
        <s v="66:45:0100147"/>
        <s v="66:45:0100159"/>
        <s v="66:45:0100200"/>
        <s v="66:45:0100206"/>
        <s v="66:45:0100207"/>
        <s v="66:45:0100209"/>
        <s v="66:45:0100212"/>
        <s v="66:45:0100241"/>
        <s v="66:45:0100243"/>
        <s v="66:45:0100255"/>
        <s v="66:45:0100263"/>
        <s v="66:45:0100264"/>
        <s v="66:45:0100268"/>
        <s v="66:45:0100287"/>
        <s v="66:45:0100306"/>
        <s v="66:45:0100353"/>
        <s v="66:45:0100396"/>
        <s v="66:45:0200168"/>
        <s v="66:45:0200170"/>
        <s v="66:45:0200323"/>
        <s v="66:45:0200163"/>
        <s v="66:45:0200032"/>
        <s v="66:45:0200189"/>
        <s v="66:45:0100342"/>
        <s v="66:45:0100010"/>
        <s v="66:45:0100019"/>
        <s v="66:45:0100020"/>
        <s v="66:45:0100024"/>
        <s v="66:45:0100025"/>
        <s v="66:45:0100376"/>
        <s v="66:45:0100409"/>
        <s v="66:45:0100389"/>
        <s v="66:45:0200056"/>
        <s v="66:45:0200057"/>
        <s v="66:45:0200250"/>
        <s v="66:45:0200251"/>
        <s v="66:45:0200252"/>
        <s v="66:45:0200257"/>
        <s v="66:45:0200259"/>
        <s v="66:45:0200260"/>
        <s v="66:45:0200261"/>
        <s v="66:45:0200262"/>
        <s v="66:45:0200263"/>
        <s v="66:45:0200265"/>
        <s v="66:45:0200266"/>
        <s v="66:45:0200269"/>
        <s v="66:45:0200270"/>
        <s v="66:45:0200271"/>
        <s v="66:45:0200272"/>
        <s v="66:45:0200273"/>
        <s v="66:45:0200274"/>
        <s v="66:45:0200275"/>
        <s v="66:45:0200359"/>
        <s v="66:45:0200041"/>
        <s v="66:45:0200042"/>
        <s v="66:45:0200233"/>
        <s v="66:45:0200239"/>
        <s v="66:45:0200241"/>
        <s v="66:45:0200243"/>
        <s v="66:45:0200244"/>
        <s v="66:45:0200245"/>
        <s v="66:45:0200246"/>
        <s v="66:45:0200247"/>
        <s v="66:45:0200278"/>
        <s v="66:45:0200279"/>
        <s v="66:45:0200280"/>
        <s v="66:45:0200281"/>
        <s v="66:45:0200282"/>
        <s v="66:45:0200283"/>
        <s v="66:45:0200291"/>
        <s v="66:45:0200292"/>
        <s v="66:45:0200293"/>
        <s v="66:45:0200294"/>
        <s v="66:45:0200295"/>
        <s v="66:45:0200312"/>
        <s v="66:45:0200341"/>
        <s v="66:45:0200114"/>
        <s v="66:45:0200162"/>
        <s v="66:45:0200190"/>
        <s v="66:45:0200191"/>
        <s v="66:45:0200192"/>
        <s v="66:45:0200193"/>
        <s v="66:45:0200202"/>
        <s v="66:45:0200230"/>
        <s v="66:45:0200231"/>
        <s v="66:45:0200236"/>
        <s v="66:45:0200237"/>
        <s v="66:45:0200352"/>
        <s v="66:45:0200353"/>
        <s v="66:45:0200402"/>
        <s v="66:45:0100113"/>
        <s v="66:45:0100265"/>
        <s v="66:45:0100267"/>
        <s v="66:45:0100276"/>
        <s v="66:45:0100277"/>
        <s v="66:45:0100279"/>
        <s v="66:45:0100280"/>
        <s v="66:45:0100281"/>
        <s v="66:45:0100282"/>
        <s v="66:45:0100291"/>
        <s v="66:45:0100294"/>
        <s v="66:45:0100296"/>
        <s v="66:45:0100299"/>
        <s v="66:45:0100300"/>
        <s v="66:45:0100309"/>
        <s v="66:45:0100350"/>
        <s v="66:45:0100311"/>
        <s v="66:45:0100315"/>
        <s v="66:45:0100316"/>
        <s v="66:45:0100351"/>
        <s v="66:45:0100011"/>
        <s v="66:45:0100341"/>
        <s v="66:45:0100343"/>
        <s v="66:45:0100359"/>
        <s v="66:45:0100371"/>
        <s v="66:45:0100375"/>
        <s v="66:45:0100381"/>
        <s v="66:45:0100006"/>
        <s v="66:45:0100007"/>
        <s v="66:45:0100017"/>
        <s v="66:45:0100021"/>
        <s v="66:45:0100141"/>
        <s v="66:45:0100160"/>
        <s v="66:45:0100173"/>
        <s v="66:45:0100175"/>
        <s v="66:45:0100176"/>
        <s v="66:45:0100178"/>
        <s v="66:45:0100179"/>
        <s v="66:45:0100180"/>
        <s v="66:45:0100181"/>
        <s v="66:45:0100182"/>
        <s v="66:45:0100183"/>
        <s v="66:45:0100393"/>
        <s v="66:45:0100397"/>
        <s v="66:45:0100398"/>
        <s v="66:45:0200061"/>
        <s v="66:45:0200063"/>
        <s v="66:45:0200066"/>
        <s v="66:45:0200068"/>
        <s v="66:45:0200080"/>
        <s v="66:45:0200081"/>
        <s v="66:45:0200082"/>
        <s v="66:45:0200084"/>
        <s v="66:45:0200085"/>
        <s v="66:45:0200087"/>
        <s v="66:45:0200088"/>
        <s v="66:45:0200089"/>
        <s v="66:45:0200096"/>
        <s v="66:45:0200099"/>
        <s v="66:45:0200100"/>
        <s v="66:45:0200101"/>
        <s v="66:45:0200131"/>
        <s v="66:45:0200171"/>
        <s v="66:45:0200182"/>
        <s v="66:45:0200328"/>
        <s v="66:45:0200337"/>
        <s v="66:45:0200338"/>
        <s v="66:45:0200346"/>
        <s v="66:45:0200358"/>
        <s v="66:45:0200401"/>
        <s v="66:45:0100308"/>
        <s v="66:45:0100013"/>
        <s v="66:45:0100029"/>
        <s v="66:45:0100094"/>
        <s v="66:45:0100107"/>
        <s v="66:45:0100109"/>
        <s v="66:45:0100139"/>
        <s v="66:45:0100201"/>
        <s v="66:45:0100213"/>
        <s v="66:45:0100216"/>
        <s v="66:45:0100217"/>
        <s v="66:45:0100218"/>
        <s v="66:45:0100219"/>
        <s v="66:45:0100220"/>
        <s v="66:45:0100221"/>
        <s v="66:45:0100223"/>
        <s v="66:45:0100224"/>
        <s v="66:45:0100225"/>
        <s v="66:45:0100228"/>
        <s v="66:45:0100232"/>
        <s v="66:45:0100234"/>
        <s v="66:45:0100240"/>
        <s v="66:45:0100251"/>
        <s v="66:45:0100258"/>
        <s v="66:45:0100260"/>
        <s v="66:45:0100261"/>
        <s v="66:45:0100270"/>
        <s v="66:45:0100346"/>
        <s v="66:45:0100365"/>
        <s v="66:45:0100372"/>
        <s v="66:45:0100382"/>
        <s v="66:45:0100385"/>
        <s v="66:45:0100399"/>
        <s v="66:45:0200030"/>
        <s v="66:56:0111007"/>
        <s v="66:56:0111014"/>
        <s v="66:56:0112002"/>
        <s v="66:56:0112005"/>
        <s v="66:56:0112007"/>
        <s v="66:56:0205001"/>
        <s v="66:56:0205002"/>
        <s v="66:56:0205003"/>
        <s v="66:56:0205004"/>
        <s v="66:56:0205005"/>
        <s v="66:56:0205006"/>
        <s v="66:56:0205007"/>
        <s v="66:56:0403005"/>
        <s v="66:56:0403006"/>
        <s v="66:56:0403007"/>
        <s v="66:56:0403008"/>
        <s v="66:56:0403009"/>
        <s v="66:56:0403010"/>
        <s v="66:56:0404008"/>
        <s v="66:56:0601001"/>
        <s v="66:56:0601002"/>
        <s v="66:56:0601003"/>
        <s v="66:56:0601005"/>
        <s v="66:56:0601006"/>
        <s v="66:56:0601007"/>
        <s v="66:56:0601008"/>
        <s v="66:56:0601009"/>
        <s v="66:56:0601010"/>
        <s v="66:56:0601012"/>
        <s v="66:56:0601013"/>
        <s v="66:56:0601014"/>
        <s v="66:56:0602001"/>
        <s v="66:19:1901009"/>
        <s v="66:56:0401007"/>
        <s v="66:56:0401009"/>
        <s v="66:56:0402001"/>
        <s v="66:56:0402002"/>
        <s v="66:56:0402003"/>
        <s v="66:56:0402005"/>
        <s v="66:56:0402006"/>
        <s v="66:56:0402007"/>
        <s v="66:56:0402008"/>
        <s v="66:56:0402009"/>
        <s v="66:56:0402010"/>
        <s v="66:56:0402011"/>
        <s v="66:56:0403001"/>
        <s v="66:56:0403003"/>
        <s v="66:56:0403004"/>
        <s v="66:56:0403011"/>
        <s v="66:56:0502007"/>
        <s v="66:56:0502010"/>
        <s v="66:56:0502014"/>
        <s v="66:56:0502015"/>
        <s v="66:56:0107001"/>
        <s v="66:56:0107002"/>
        <s v="66:56:0107003"/>
        <s v="66:56:0108001"/>
        <s v="66:56:0108002"/>
        <s v="66:56:0108003"/>
        <s v="66:56:0108004"/>
        <s v="66:56:0108005"/>
        <s v="66:56:0108006"/>
        <s v="66:56:0108007"/>
        <s v="66:56:0109001"/>
        <s v="66:56:0109002"/>
        <s v="66:56:0109003"/>
        <s v="66:56:0109004"/>
        <s v="66:56:0109005"/>
        <s v="66:56:0109006"/>
        <s v="66:56:0109007"/>
        <s v="66:56:0109009"/>
        <s v="66:56:0206001"/>
        <s v="66:56:0206002"/>
        <s v="66:56:0206003"/>
        <s v="66:56:0206004"/>
        <s v="66:56:0206005"/>
        <s v="66:56:0206006"/>
        <s v="66:56:0206009"/>
        <s v="66:56:0206010"/>
        <s v="66:56:0601011"/>
        <s v="66:56:0115001"/>
        <s v="66:56:0115003"/>
        <s v="66:56:0103001"/>
        <s v="66:56:0202001"/>
        <s v="66:56:0208001"/>
        <s v="66:56:0208002"/>
        <s v="66:56:0208003"/>
        <s v="66:56:0208005"/>
        <s v="66:56:0208007"/>
        <s v="66:56:0208008"/>
        <s v="66:56:0208009"/>
        <s v="66:56:0301003"/>
        <s v="66:56:0301004"/>
        <s v="66:56:0301005"/>
        <s v="66:56:0106001"/>
        <s v="66:56:0112013"/>
        <s v="66:56:0116002"/>
        <s v="66:56:0116003"/>
        <s v="66:56:0204002"/>
        <s v="66:56:0204004"/>
        <s v="66:56:0204005"/>
        <s v="66:56:0204006"/>
        <s v="66:56:0204007"/>
        <s v="66:56:0204008"/>
        <s v="66:56:0204010"/>
        <s v="66:56:0204011"/>
        <s v="66:56:0204012"/>
        <s v="66:56:0204013"/>
        <s v="66:56:0204014"/>
        <s v="66:56:0204015"/>
        <s v="66:56:0204016"/>
        <s v="66:56:0404001"/>
        <s v="66:56:0404009"/>
        <s v="66:56:0404010"/>
        <s v="66:56:0502001"/>
        <s v="66:56:0502016"/>
        <s v="66:56:0502017"/>
        <s v="66:56:0105001"/>
        <s v="66:56:0106008"/>
        <s v="66:56:0106010"/>
        <s v="66:56:0106011"/>
        <s v="66:56:0203001"/>
        <s v="66:56:0207001"/>
        <s v="66:56:0207002"/>
        <s v="66:56:0207003"/>
        <s v="66:56:0207004"/>
        <s v="66:56:0207005"/>
        <s v="66:56:0207006"/>
        <s v="66:56:0207007"/>
        <s v="66:56:0207008"/>
        <s v="66:56:0208006"/>
        <s v="66:56:0110001"/>
        <s v="66:56:0110002"/>
        <s v="66:56:0110003"/>
        <s v="66:56:0110004"/>
        <s v="66:56:0110005"/>
        <s v="66:56:0110006"/>
        <s v="66:56:0110007"/>
        <s v="66:56:0110008"/>
        <s v="66:56:0110010"/>
        <s v="66:56:0110011"/>
        <s v="66:56:0110012"/>
        <s v="66:56:0110013"/>
        <s v="66:56:0110014"/>
        <s v="66:56:0110015"/>
        <s v="66:56:0206007"/>
        <s v="66:56:0206008"/>
        <s v="66:58:0106001"/>
        <s v="66:58:0109001"/>
        <s v="66:58:0109003"/>
        <s v="66:58:0111001"/>
        <s v="66:58:0111004"/>
        <s v="66:58:0111005"/>
        <s v="66:58:0111013"/>
        <s v="66:58:0112001"/>
        <s v="66:58:0112002"/>
        <s v="66:58:0112003"/>
        <s v="66:58:0113001"/>
        <s v="66:58:0113004"/>
        <s v="66:58:0120007"/>
        <s v="66:58:0120011"/>
        <s v="66:58:0120012"/>
        <s v="66:58:0120013"/>
        <s v="66:58:0119001"/>
        <s v="66:58:0113011"/>
        <s v="66:58:0118001"/>
        <s v="66:58:0120001"/>
        <s v="66:58:0120003"/>
        <s v="66:58:0115001"/>
        <s v="66:58:0116002"/>
        <s v="66:58:0114001"/>
        <s v="66:58:0101004"/>
        <s v="66:58:0103001"/>
        <s v="66:58:0104003"/>
        <s v="66:58:0108002"/>
        <s v="66:58:0110003"/>
        <s v="66:58:2901002"/>
        <s v="66:58:2901001"/>
        <s v="66:58:2802001"/>
        <s v="66:41:0101006"/>
        <s v="66:58:2802005"/>
        <s v="66:19:0101020"/>
        <s v="66:19:1904004"/>
        <s v="66:19:1905005"/>
        <s v="66:58:2902008"/>
        <s v="66:19:1905006"/>
        <s v="66:58:2902016"/>
        <s v="66:58:2902040"/>
        <s v="66:58:2902032"/>
        <s v="66:19:0101019"/>
        <s v="66:19:1905007"/>
        <s v="66:58:2902002"/>
        <s v="66:58:2902057"/>
        <s v="66:58:2902023"/>
        <s v="66:58:2902021"/>
        <s v="66:58:2902034"/>
        <s v="66:58:2902039"/>
        <s v="66:58:2901012"/>
        <s v="66:58:2803019"/>
        <s v="66:58:2902037"/>
        <s v="66:58:2902047"/>
        <s v="66:58:2902046"/>
        <s v="66:19:0101006"/>
        <s v="66:58:2902019"/>
        <s v="66:58:2803020"/>
        <s v="66:19:1904003"/>
        <s v="66:58:2902044"/>
        <s v="66:58:2901013"/>
        <s v="66:19:0101023"/>
        <s v="66:58:2902001"/>
        <s v="66:58:2902029"/>
        <s v="66:58:2803008"/>
        <s v="66:58:2902042"/>
        <s v="66:58:2902043"/>
        <s v="66:58:2902003"/>
        <s v="66:58:2902007"/>
        <s v="66:19:1902001"/>
        <s v="66:58:2902004"/>
        <s v="66:58:2902060"/>
        <s v="66:58:2802006"/>
        <s v="66:19:1902003"/>
        <s v="66:19:0103007"/>
        <s v="66:58:2902073"/>
        <s v="66:58:2902081"/>
        <s v="66:58:2901004"/>
        <s v="66:58:2901010"/>
        <s v="66:58:2902064"/>
        <s v="66:58:2902055"/>
        <s v="66:58:2902078"/>
        <s v="66:58:2902082"/>
        <s v="66:58:2902069"/>
        <s v="66:58:2902027"/>
        <s v="66:58:2803028"/>
        <s v="66:58:2902070"/>
        <s v="66:19:0101022"/>
        <s v="66:19:1905004"/>
        <s v="66:58:2902077"/>
        <s v="66:58:2902009"/>
        <s v="66:19:1904001"/>
        <s v="66:19:1905003"/>
        <s v="66:58:2803001"/>
        <s v="66:58:2902065"/>
        <s v="66:58:2901009"/>
        <s v="66:58:2902010"/>
        <s v="66:58:2902050"/>
        <s v="66:58:2902066"/>
        <s v="66:58:2902054"/>
        <s v="66:58:2902022"/>
        <s v="66:58:2902051"/>
        <s v="66:58:2803021"/>
        <s v="66:58:2901007"/>
        <s v="66:58:2902025"/>
        <s v="66:58:2902015"/>
        <s v="66:58:2901011"/>
        <s v="66:58:2902011"/>
        <s v="66:58:2902013"/>
        <s v="66:58:2902058"/>
        <s v="66:58:2902063"/>
        <s v="66:58:2803013"/>
        <s v="66:19:0101017"/>
        <s v="66:58:2902075"/>
        <s v="66:19:0101018"/>
        <s v="66:58:2902062"/>
        <s v="66:58:2902076"/>
        <s v="66:19:1902002"/>
        <s v="66:58:2902024"/>
        <s v="66:58:2901014"/>
        <s v="66:58:2803036"/>
        <s v="66:58:2902041"/>
        <s v="66:58:2902074"/>
        <s v="66:58:2803025"/>
        <s v="66:58:2902071"/>
        <s v="66:58:2803002"/>
        <s v="66:58:2803015"/>
        <s v="66:58:2803005"/>
        <s v="66:56:0106003"/>
        <s v="66:41:0514043"/>
        <s v="66:45:0100059"/>
        <s v="66:58:0117003"/>
        <s v="66:58:2101004"/>
        <s v="66:45:0100042"/>
        <s v="66:45:0100046"/>
        <s v="66:19:1501002"/>
        <s v="66:58:1101006"/>
        <s v="66:58:0104002"/>
        <s v="66:56:0113001"/>
        <s v="66:56:0201003"/>
        <s v="66:56:0102003"/>
        <s v="66:45:0200109"/>
        <s v="66:45:0100162"/>
        <s v="66:56:0111010"/>
        <s v="66:58:0119002"/>
        <s v="66:45:0100047"/>
        <s v="66:56:0402004"/>
        <s v="66:45:0200021"/>
        <s v="66:56:0201001"/>
        <s v="66:58:1101010"/>
        <s v="66:45:0100052"/>
        <s v="66:56:0113004"/>
        <s v="66:56:0201007"/>
        <s v="66:58:0120016"/>
        <s v="66:58:1301007"/>
        <s v="66:45:0100370"/>
        <s v="66:58:0120002"/>
        <s v="66:56:0103005"/>
        <s v="66:45:0200018"/>
        <s v="66:45:0100087"/>
        <s v="66:56:0112006"/>
        <s v="66:56:0203002"/>
        <s v="66:58:0120010"/>
        <s v="66:58:0901005"/>
        <s v="66:45:0200123"/>
        <s v="66:45:0200167"/>
        <s v="66:56:0301006"/>
        <s v="66:45:0200029"/>
        <s v="66:56:0114002"/>
        <s v="66:45:0100090"/>
        <s v="66:45:0100096"/>
        <s v="66:45:0200300"/>
        <s v="66:45:0100106"/>
        <s v="66:58:2902030"/>
        <s v="66:56:0201011"/>
        <s v="66:56:0404005"/>
        <s v="66:56:0102001"/>
        <s v="66:45:0100076"/>
        <s v="66:56:0106009"/>
        <s v="66:56:0111019"/>
        <s v="66:19:1801001"/>
        <s v="66:45:0200115"/>
        <s v="66:58:0110002"/>
        <s v="66:58:0000000"/>
        <s v="66:58:0101003"/>
        <s v="66:45:0200014"/>
        <s v="66:58:0118008"/>
        <s v="66:58:0102002"/>
        <s v="66:58:1301001"/>
        <s v="66:45:0100088"/>
        <s v="66:58:0901001"/>
        <s v="66:56:0403002"/>
        <s v="66:58:0801003"/>
        <s v="66:45:0100349"/>
        <s v="66:45:0200112"/>
        <s v="66:56:0112011"/>
        <s v="66:45:0200019"/>
        <s v="66:41:0513032"/>
        <s v="66:58:0108005"/>
        <s v="66:45:0100367"/>
        <s v="66:45:0200013"/>
        <s v="66:45:0100033"/>
        <s v="66:45:0100030"/>
        <s v="66:56:0401002"/>
        <s v="66:58:0101002"/>
        <s v="66:58:1901001"/>
        <s v="66:45:0200025"/>
        <s v="66:58:0117002"/>
        <s v="66:56:0113007"/>
        <s v="66:58:0118010"/>
        <s v="66:45:0200016"/>
        <s v="66:45:0200011"/>
        <s v="66:45:0200188"/>
        <s v="66:41:0605015"/>
        <s v="66:58:0111012"/>
        <s v="66:56:0401005"/>
        <s v="66:56:0113011"/>
        <s v="66:58:0116001"/>
        <s v="66:58:0116004"/>
        <s v="66:58:1301002"/>
        <s v="66:58:1301004"/>
        <s v="66:56:0401006"/>
        <s v="66:58:1601003"/>
        <s v="66:58:0501001"/>
        <s v="66:58:0108001"/>
        <s v="66:56:0111001"/>
        <s v="66:45:0200127"/>
        <s v="66:58:0401001"/>
        <s v="66:41:0513037"/>
        <s v="66:45:0200009"/>
        <s v="66:58:2201001"/>
        <s v="66:58:0104008"/>
        <s v="66:58:1801001"/>
        <s v="66:45:0100051"/>
        <s v="66:45:0200225"/>
        <s v="66:56:0502003"/>
        <s v="66:41:0310053"/>
        <s v="66:45:0200139"/>
        <s v="66:56:0502018"/>
        <s v="66:58:0112004"/>
        <s v="66:45:0200006"/>
        <s v="66:45:0100091"/>
        <s v="66:58:0601001"/>
        <s v="66:45:0100329"/>
        <s v="66:56:0111005"/>
        <s v="66:45:0100383"/>
        <s v="66:45:0100057"/>
        <s v="66:45:0000000"/>
        <s v="66:58:3001001"/>
        <s v="66:58:1301006"/>
        <s v="66:58:0110007"/>
        <s v="66:45:0100318"/>
        <s v="66:45:0200108"/>
        <s v="66:56:0404007"/>
        <s v="66:45:0100242"/>
        <s v="66:45:0100303"/>
        <s v="66:58:0118006"/>
        <s v="66:58:0104001"/>
        <s v="66:45:0200008"/>
        <s v="66:56:0114003"/>
        <s v="66:58:2201002"/>
        <s v="66:45:0100043"/>
        <s v="66:58:0111006"/>
        <s v="66:58:0801002"/>
        <s v="66:45:0100193"/>
        <s v="66:45:0100083"/>
        <s v="66:45:0200351"/>
        <s v="66:58:0118003"/>
        <s v="66:45:0200004"/>
        <s v="66:45:0200007"/>
        <s v="66:45:0100084"/>
        <s v="66:56:0112004"/>
        <s v="66:56:0111009"/>
        <s v="66:58:0701009"/>
        <s v="66:19:0801001"/>
        <s v="66:58:1101002"/>
        <s v="66:58:0104006"/>
        <s v="66:56:0401003"/>
        <s v="66:45:0100037"/>
        <s v="66:45:0200242"/>
        <s v="66:58:0117001"/>
        <s v="66:56:0112001"/>
        <s v="66:58:1401002"/>
        <s v="66:56:0106013"/>
        <s v="66:56:0109008"/>
        <s v="66:56:0201006"/>
        <s v="66:56:0502011"/>
        <s v="66:58:0120004"/>
        <s v="66:45:0100156"/>
        <s v="66:45:0100161"/>
        <s v="66:45:0100338"/>
        <s v="66:45:0100048"/>
        <s v="66:58:1301005"/>
        <s v="66:45:0100112"/>
        <s v="66:45:0200220"/>
        <s v="66:56:0109011"/>
        <s v="66:45:0100289"/>
        <s v="66:45:0200028"/>
        <s v="66:56:0111015"/>
        <s v="66:58:0105002"/>
        <s v="66:41:0309067"/>
        <s v="66:58:1101012"/>
        <s v="66:58:1201003"/>
        <s v="66:45:0100331"/>
        <s v="66:56:0000000"/>
        <s v="66:58:0701006"/>
        <s v="66:45:0200026"/>
        <s v="66:56:0115002"/>
        <s v="66:45:0200128"/>
        <s v="66:58:0501002"/>
        <s v="66:56:0502013"/>
        <s v="66:45:0100055"/>
        <s v="66:45:0100462"/>
        <s v="66:58:0119006"/>
        <s v="66:45:0200017"/>
        <s v="66:45:0100050"/>
        <s v="66:56:0102009"/>
        <s v="66:45:0200211"/>
        <s v="66:19:0103006"/>
        <s v="66:19:0101031"/>
        <s v="66:19:0103001"/>
        <s v="66:58:2803006"/>
        <s v="66:19:0101025"/>
        <s v="66:19:0103002"/>
        <s v="66:19:1905001"/>
        <s v="66:19:1905012"/>
        <s v="66:58:2903001"/>
        <s v="66:58:2904001"/>
        <s v="66:19:2601001"/>
        <s v="66:58:2803003"/>
        <s v="66:45:0100362"/>
        <s v="66:45:0200348"/>
        <s v="66:58:2902020"/>
        <s v="66:58:2801001"/>
        <s v="66:58:2902048"/>
        <s v="66:58:2902026"/>
        <s v="66:58:2803004"/>
        <s v="66:19:1904005"/>
        <s v="66:58:2902036"/>
        <s v="66:58:2902072"/>
        <s v="66:58:2902052"/>
        <s v="66:58:2902045"/>
        <s v="66:58:2902006"/>
        <s v="66:58:2901003"/>
        <s v="66:58:2902038"/>
        <s v="66:58:2902053"/>
        <s v="66:58:2902033"/>
        <s v="66:58:2803017"/>
        <s v="66:58:2803038"/>
        <s v="66:58:2902031"/>
        <s v="66:58:2902059"/>
        <s v="66:58:2902012"/>
        <s v="66:56:0301002"/>
        <s v="66:58:1101007"/>
        <s v="66:56:0111017"/>
        <s v="66:45:0100319"/>
        <s v="66:45:0100015"/>
        <s v="66:56:0112018"/>
        <s v="66:45:0200020"/>
        <s v="66:58:0113009"/>
        <s v="66:58:0104005"/>
        <s v="66:45:0100004"/>
        <s v="66:45:0100128"/>
        <s v="66:58:0117004"/>
        <s v="66:45:0100354"/>
        <s v="66:58:1101004"/>
        <s v="66:45:0200015"/>
        <s v="66:45:0100097"/>
        <s v="66:58:0601002"/>
        <s v="66:45:0100301"/>
        <s v="66:58:0701002"/>
        <s v="66:45:0100053"/>
        <s v="66:58:0111007"/>
        <s v="66:58:1701003"/>
        <s v="66:58:0103002"/>
        <s v="66:58:0111014"/>
        <s v="66:45:0200010"/>
        <s v="66:58:0113008"/>
        <s v="66:56:0202005"/>
        <s v="66:45:0200344"/>
        <s v="66:58:0120006"/>
        <s v="66:45:0200116"/>
        <s v="66:56:0204003"/>
        <s v="66:41:0303128"/>
        <s v="66:58:0113003"/>
        <s v="66:58:0120008"/>
        <s v="66:58:0110006"/>
        <s v="66:58:1501001"/>
        <s v="66:56:0502004"/>
        <s v="66:45:0100079"/>
        <s v="66:58:1401003"/>
        <s v="66:58:1601001"/>
        <s v="66:56:0204001"/>
        <s v="66:58:2101001"/>
        <s v="66:58:1601002"/>
        <s v="66:45:0100068"/>
        <s v="66:45:0100199"/>
        <s v="66:45:0100158"/>
        <s v="66:45:0200309"/>
        <s v="66:45:0200005"/>
        <s v="66:58:0108006"/>
        <s v="66:45:0100092"/>
        <s v="66:19:0901001"/>
        <s v="66:19:1501001"/>
        <s v="66:45:0100111"/>
        <s v="66:56:0102002"/>
        <s v="66:45:0200117"/>
        <s v="66:19:1701001"/>
        <s v="66:58:1101003"/>
        <s v="66:41:0102005"/>
        <s v="66:45:0200052"/>
        <s v="66:58:2301004"/>
        <s v="66:19:1401001"/>
        <s v="66:45:0200255"/>
        <s v="66:19:1701002"/>
        <s v="66:41:0513128"/>
        <s v="66:41:0513118"/>
        <s v="66:41:0514011"/>
        <s v="66:41:0521031"/>
        <s v="66:41:0309049"/>
        <s v="66:45:0100358"/>
        <s v="66:41:0514014"/>
        <s v="66:41:0513114"/>
        <s v="66:56:0112008"/>
        <s v="66:56:0401008"/>
        <s v="66:56:0113003"/>
        <s v="66:56:0103004"/>
        <s v="66:56:0111003"/>
        <s v="66:56:0201008"/>
        <s v="66:56:0401010"/>
        <s v="66:56:0101002"/>
        <s v="66:56:0113006"/>
        <s v="66:56:0201002"/>
        <s v="66:56:0401004"/>
        <s v="66:58:0102004"/>
        <s v="66:56:0204009"/>
        <s v="66:56:0404004"/>
        <s v="66:56:0502005"/>
        <s v="66:56:0113009"/>
        <s v="66:56:0201010"/>
        <s v="66:41:0513078"/>
        <s v="66:45:0100045"/>
        <s v="66:45:0200288"/>
        <s v="66:56:0111012"/>
        <s v="66:41:0507075"/>
        <s v="66:45:0100352"/>
        <s v="66:45:0100077"/>
        <s v="66:58:2301005"/>
        <s v="66:45:0100304"/>
        <s v="66:45:0100407"/>
        <s v="66:45:0100036"/>
        <s v="66:56:0104001"/>
        <s v="66:45:0100387"/>
        <s v="66:45:0200023"/>
        <s v="66:56:0106017"/>
        <s v="66:19:0101032"/>
        <s v="66:45:0100235"/>
        <s v="66:41:0307034"/>
        <s v="66:45:0100089"/>
        <s v="66:45:0100105"/>
        <s v="66:58:1101001"/>
        <s v="66:58:0701005"/>
        <s v="66:58:0110001"/>
        <s v="66:45:0100039"/>
        <s v="66:56:0106012"/>
        <s v="66:58:0120005"/>
        <s v="66:45:0100065"/>
        <s v="66:45:0100290"/>
        <s v="66:41:0702024"/>
        <s v="66:58:2101005"/>
        <s v="66:45:0100080"/>
        <s v="66:41:0521050"/>
        <s v="66:58:2101003"/>
        <s v="66:56:0401001"/>
        <s v="66:56:0110009"/>
        <s v="66:58:0110005"/>
        <s v="66:45:0100369"/>
        <s v="66:45:0200173"/>
        <s v="66:58:0104004"/>
        <s v="66:58:1201001"/>
        <s v="66:45:0100274"/>
        <s v="66:58:2601001"/>
        <s v="66:19:1501003"/>
        <s v="66:45:0200218"/>
        <s v="66:41:0310050"/>
        <s v="66:45:0200227"/>
        <s v="66:45:0100072"/>
        <s v="66:56:0102005"/>
        <s v="66:19:0101028"/>
        <s v="66:56:0301001"/>
        <s v="66:58:0105004"/>
        <s v="66:58:1201006"/>
        <s v="66:58:0701008"/>
        <s v="66:58:2301001"/>
        <s v="66:58:0118002"/>
        <s v="66:56:0106015"/>
        <s v="66:45:0100237"/>
        <s v="66:58:0101006"/>
        <s v="66:58:0102003"/>
        <s v="66:58:0101005"/>
        <s v="66:58:0107003"/>
        <s v="66:58:0109002"/>
        <s v="66:19:1901015"/>
        <s v="66:45:0200208"/>
        <s v="66:45:0100392"/>
        <s v="66:45:0100450"/>
        <s v="66:45:0200058"/>
        <s v="66:45:0200327"/>
        <s v="66:45:0100137"/>
        <s v="66:45:0100054"/>
        <s v="66:41:0515006"/>
        <s v="66:58:1001001"/>
        <s v="66:58:2301003"/>
        <s v="66:58:1301009"/>
        <s v="66:58:0101001"/>
        <s v="66:58:0108003"/>
        <s v="66:58:0101007"/>
        <s v="66:58:0107001"/>
        <s v="66:58:0111011"/>
        <s v="66:58:0104007"/>
        <s v="66:58:0110008"/>
        <s v="66:58:0113010"/>
        <s v="66:58:0113005"/>
        <s v="66:58:0113006"/>
        <s v="66:45:0100078"/>
        <s v="66:45:0100236"/>
        <s v="66:45:0200364"/>
        <s v="66:45:0200120"/>
        <s v="66:19:0101034"/>
        <s v="66:41:0514004"/>
        <s v="66:58:3101001"/>
        <s v="66:58:2001001"/>
        <s v="66:58:0119008"/>
        <s v="66:58:1101008"/>
        <s v="66:58:0301001"/>
        <s v="66:58:2501001"/>
        <s v="66:58:0120009"/>
        <s v="66:45:0200027"/>
        <s v="66:58:2101002"/>
        <s v="66:58:0113002"/>
        <s v="66:45:0100244"/>
        <s v="66:45:0200180"/>
        <s v="66:56:0502019"/>
        <s v="66:56:0103002"/>
        <s v="66:56:0113002"/>
        <s v="66:56:0111013"/>
        <s v="66:56:0102008"/>
        <s v="66:56:0502006"/>
        <s v="66:56:0113005"/>
        <s v="66:41:0203074"/>
        <s v="66:45:0100254"/>
        <s v="66:58:0111008"/>
        <s v="66:45:0100040"/>
        <s v="66:45:0100099"/>
        <s v="66:45:0100031"/>
        <s v="66:45:0100041"/>
        <s v="66:58:0801001"/>
        <s v="66:41:0305014"/>
        <s v="66:58:1101011"/>
        <s v="66:58:0119003"/>
        <s v="66:45:0100070"/>
        <s v="66:56:0111016"/>
        <s v="66:56:0201005"/>
        <s v="66:56:0106007"/>
        <s v="66:58:2301002"/>
        <s v="66:45:0100334"/>
        <s v="66:45:0100408"/>
        <s v="66:45:0200002"/>
        <s v="66:45:0100130"/>
        <s v="66:56:0101003"/>
        <s v="66:56:0502012"/>
        <s v="66:58:0103003"/>
        <s v="66:45:0100049"/>
        <s v="66:45:0100071"/>
        <s v="66:45:0100082"/>
        <s v="66:45:0100101"/>
        <s v="66:45:0100100"/>
        <s v="66:45:0100061"/>
        <s v="66:45:0100122"/>
        <s v="66:45:0100129"/>
        <s v="66:58:0105001"/>
        <s v="66:58:0105003"/>
        <s v="66:45:0100023"/>
        <s v="66:41:0513101"/>
        <s v="66:45:0100325"/>
        <s v="66:56:0106005"/>
        <s v="66:58:1301008"/>
        <s v="66:45:0200175"/>
        <s v="66:56:0111020"/>
        <s v="66:56:0601004"/>
        <s v="66:58:0111009"/>
        <s v="66:45:0100320"/>
        <s v="66:58:0901002"/>
        <s v="66:58:0120014"/>
        <s v="66:58:0120015"/>
        <s v="66:45:0200079"/>
        <s v="66:45:0200198"/>
        <s v="66:45:0200103"/>
        <s v="66:45:0200024"/>
        <s v="66:45:0200140"/>
        <s v="66:45:0200040"/>
        <s v="66:45:0200152"/>
        <s v="66:45:0100332"/>
        <s v="66:45:0200156"/>
        <s v="66:58:0901004"/>
        <s v="66:41:0514047"/>
        <s v="66:58:0118005"/>
        <s v="66:58:1201002"/>
        <s v="66:58:1501004"/>
        <s v="66:45:0200001"/>
        <s v="66:45:0100192"/>
        <s v="66:45:0200102"/>
        <s v="66:45:0200126"/>
        <s v="66:45:0100249"/>
        <s v="66:45:0200047"/>
        <s v="66:58:1401001"/>
        <s v="66:41:0309098"/>
        <s v="66:58:0701001"/>
        <s v="66:58:0701007"/>
        <s v="66:58:1201004"/>
        <s v="66:58:1701002"/>
        <s v="66:45:0200229"/>
        <s v="66:19:1001001"/>
        <s v="66:45:0100012"/>
        <s v="66:45:0100188"/>
        <s v="66:56:0201004"/>
        <s v="66:56:0111011"/>
        <s v="66:45:0100056"/>
        <s v="66:41:0607030"/>
        <s v="66:58:1501002"/>
        <s v="66:58:1001002"/>
        <s v="66:45:0100110"/>
        <s v="66:45:0200322"/>
        <s v="66:56:0112003"/>
        <s v="66:45:0100344"/>
        <s v="66:56:0208004"/>
        <s v="66:41:0513045"/>
        <s v="66:45:0200286"/>
        <s v="66:56:0106006"/>
        <s v="66:56:0102004"/>
        <s v="66:58:0113007"/>
        <s v="66:58:0102005"/>
        <s v="66:58:0104009"/>
        <s v="66:45:0100210"/>
        <s v="66:45:0200285"/>
        <s v="66:45:0200313"/>
        <s v="66:45:0200059"/>
        <s v="66:45:0200065"/>
        <s v="66:45:0100317"/>
        <s v="66:45:0200141"/>
        <s v="66:41:0707004"/>
        <s v="66:58:2701001"/>
        <s v="66:58:2803018"/>
        <s v="66:58:1201005"/>
        <s v="66:45:0200219"/>
        <s v="66:56:0112012"/>
        <s v="66:56:0102006"/>
        <s v="66:56:0111002"/>
        <s v="66:58:0107004"/>
        <s v="66:58:0111003"/>
        <s v="66:45:0200003"/>
        <s v="66:45:0200314"/>
        <s v="66:45:0200098"/>
        <s v="66:45:0200105"/>
        <s v="66:56:0502009"/>
        <s v="66:41:0704901"/>
        <s v="66:41:0203077"/>
        <s v="66:58:0102001"/>
        <s v="66:58:2401001"/>
        <s v="66:58:0119004"/>
        <s v="66:58:0111002"/>
        <s v="66:41:0507019"/>
        <s v="66:41:0310073"/>
        <s v="66:41:0521015"/>
        <s v="66:45:0200317"/>
        <s v="66:56:0111021"/>
        <s v="66:45:0100345"/>
        <s v="66:45:0100336"/>
        <s v="66:45:0100305"/>
        <s v="66:45:0200212"/>
        <s v="66:56:0113010"/>
        <s v="66:45:0100058"/>
        <s v="66:45:0100064"/>
        <s v="66:45:0100016"/>
        <s v="66:45:0100008"/>
        <s v="66:56:0112009"/>
        <s v="66:45:0100044"/>
        <s v="66:56:0112014"/>
        <s v="66:45:0100333"/>
        <s v="66:45:0100069"/>
        <s v="66:45:0200157"/>
        <s v="66:41:0109029"/>
        <s v="66:41:0105020"/>
        <s v="66:41:0302901"/>
        <s v="66:58:0118004"/>
        <s v="66:58:0901003"/>
        <s v="66:58:0119005"/>
        <s v="66:58:1701001"/>
        <s v="66:58:0118009"/>
        <s v="66:41:0109033"/>
        <s v="66:45:0200340"/>
        <s v="66:41:0514003"/>
        <s v="66:45:0100102"/>
        <s v="66:58:0111010"/>
        <s v="66:56:0111008"/>
        <s v="66:56:0102007"/>
        <s v="66:45:0200298"/>
        <s v="66:58:1101005"/>
        <s v="66:45:0100032"/>
        <s v="66:41:0614004"/>
        <s v="66:41:0610027"/>
        <s v="66:45:0200184"/>
        <s v="66:45:0200154"/>
        <s v="66:41:0702003"/>
        <s v="66:41:0511025"/>
        <s v="66:56:0404003"/>
        <s v="66:41:0502021"/>
        <s v="66:45:0200335"/>
        <s v="66:45:0100335"/>
        <s v="66:56:0502002"/>
        <s v="66:45:0100205"/>
        <s v="66:56:0111023"/>
        <s v="66:45:0100085"/>
        <s v="66:45:0100060"/>
        <s v="66:58:0119009"/>
        <s v="66:45:0100038"/>
        <s v="66:56:0103003"/>
        <s v="66:56:0106016"/>
        <s v="66:56:0111006"/>
        <s v="66:45:0200284"/>
        <s v="66:45:0200060"/>
        <s v="66:45:0100211"/>
        <s v="66:45:0200039"/>
        <s v="66:45:0200045"/>
        <s v="66:45:0100295"/>
        <s v="66:45:0100278"/>
        <s v="66:41:0507077"/>
        <s v="66:58:0110004"/>
        <s v="66:41:0514046"/>
        <s v="66:45:0200093"/>
        <s v="66:41:0310017"/>
        <s v="66:56:0106004"/>
        <s v="66:45:0200215"/>
        <s v="66:41:0309025"/>
        <s v="66:45:0200336"/>
        <s v="66:41:0306002"/>
        <s v="66:56:0104002"/>
        <s v="66:45:0100062"/>
        <s v="66:36:3501001"/>
        <s v="66:41:0306026"/>
        <s v="66:56:0106002"/>
        <s v="66:56:0112016"/>
        <s v="66:41:0707009"/>
        <s v="66:45:0100009"/>
        <s v="66:45:0100066"/>
        <s v="66:45:0100121"/>
        <s v="66:56:0106014"/>
        <s v="66:56:0112015"/>
        <s v="66:56:0111018"/>
        <s v="66:45:0100126"/>
        <s v="66:45:0100118"/>
        <s v="66:56:0404006"/>
        <s v="66:45:0200153"/>
        <s v="66:19:0101030"/>
        <s v="66:41:0513117"/>
        <s v="66:41:0703005"/>
        <s v="66:56:0501002"/>
        <s v="66:45:0200345"/>
        <s v="66:45:0200142"/>
        <s v="66:45:0100248"/>
        <s v="66:58:0701003"/>
        <s v="66:45:0100165"/>
        <s v="66:45:0200046"/>
        <s v="66:45:0100298"/>
        <s v="66:45:0100355"/>
        <s v="66:45:0100034"/>
        <s v="66:45:0100115"/>
        <s v="66:41:0306019"/>
        <s v="66:56:0113008"/>
        <s v="66:56:0201009"/>
        <s v="66:56:0111022"/>
        <s v="66:41:0308023"/>
        <s v="66:41:0106085"/>
        <s v="66:45:0100095"/>
        <s v="66:45:0100116"/>
        <s v="66:45:0200092"/>
        <s v="66:45:0200078"/>
        <s v="66:45:0200073"/>
        <s v="66:41:0513116"/>
        <s v="66:45:0100185"/>
        <s v="66:45:0200240"/>
        <s v="66:56:0111004"/>
        <s v="66:56:0501001"/>
        <s v="66:45:0100202"/>
        <s v="66:45:0200289"/>
        <s v="66:41:0507091"/>
        <s v="66:41:0301901"/>
        <s v="66:45:0200124"/>
        <s v="66:45:0100231"/>
        <s v="66:45:0100384"/>
        <s v="66:45:0100035"/>
        <s v="66:58:2802002"/>
        <s v="66:58:2902049"/>
        <s v="66:58:2902014"/>
        <s v="66:58:2902005"/>
        <s v="66:19:0101033"/>
        <s v="66:58:2901006"/>
        <s v="66:45:0200256"/>
        <s v="66:58:0119007"/>
        <s v="66:45:0100284"/>
        <s v="66:19:0101026"/>
        <s v="66:56:0109010"/>
        <s v="66:41:0514023"/>
        <s v="66:56:0404002"/>
        <s v="66:41:0702012"/>
        <s v="66:41:0510028"/>
        <s v="66:58:1101009"/>
        <s v="66:45:0200178"/>
        <s v="66:45:0200203"/>
        <s v="66:58:1301003"/>
        <s v="66:45:0200064"/>
        <s v="66:45:0100123"/>
        <s v="66:41:0307075"/>
        <s v="66:58:0118007"/>
        <s v="66:56:0114001"/>
        <s v="66:45:0100222"/>
        <s v="66:41:0503016"/>
        <s v="66:56:0112010"/>
        <s v="66:45:0200307"/>
        <s v="66:45:0100186"/>
        <s v="66:56:0112017"/>
        <s v="66:45:0200216"/>
        <s v="66:45:0100104"/>
        <s v="66:56:0202004"/>
        <s v="66:58:0108004"/>
        <s v="66:45:0100215"/>
        <s v="66:45:0100163"/>
        <s v="66:45:0100328"/>
        <s v="66:45:0100153"/>
        <s v="66:45:0200012"/>
        <s v="66:56:0502008"/>
        <s v="66:41:0208007"/>
        <s v="66:41:0307017"/>
        <s v="66:41:0202005"/>
        <s v="66:41:0307099"/>
        <s v="66:45:0200129"/>
        <s v="66:45:0100364"/>
        <s v="66:45:0200169"/>
        <s v="66:55:0303037"/>
        <s v="66:41:0505901"/>
        <s v="66:41:0527001"/>
        <s v="66:45:0200197"/>
        <s v="66:45:0100245"/>
        <s v="66:45:0100246"/>
        <s v="66:45:0100340"/>
        <s v="66:45:0200125"/>
        <s v="66:41:0402037"/>
        <s v="66:41:0309100"/>
        <s v="66:41:0109047"/>
        <s v="66:45:0100151"/>
        <s v="66:41:0201003"/>
        <s v="66:45:0100239"/>
        <s v="66:41:0508063"/>
        <s v="66:41:0612022"/>
        <s v="66:45:0200155"/>
        <s v="66:45:0200304"/>
        <s v="66:45:0100461"/>
        <s v="66:41:0614044"/>
        <s v="66:45:0200177"/>
        <s v="66:45:0100233"/>
        <s v="66:41:0519083"/>
        <s v="66:45:0100330"/>
        <s v="66:45:0200090"/>
        <s v="66:41:0209035"/>
        <s v="66:45:0100323"/>
        <s v="66:56:0101001"/>
        <s v="66:41:0607025"/>
        <s v="66:41:0513039"/>
        <s v="66:41:0103005"/>
        <s v="66:41:0109037"/>
        <s v="66:45:0200277"/>
        <s v="66:45:0100226"/>
        <s v="66:41:0507011"/>
        <s v="66:19:0101024"/>
        <s v="66:45:0200310"/>
        <s v="66:45:0100272"/>
        <s v="66:45:0100273"/>
        <s v="66:41:0511022"/>
        <s v="66:41:0307019"/>
        <s v="66:41:0519110"/>
        <s v="66:45:0100074"/>
        <s v="66:45:0100001"/>
        <s v="66:41:0207031"/>
        <s v="66:45:0100390"/>
        <s v="66:41:0310030"/>
        <s v="66:41:0708026"/>
        <s v="66:45:0200331"/>
        <s v="66:45:0200201"/>
        <s v="66:45:0200107"/>
        <s v="66:45:0200172"/>
        <s v="66:45:0200176"/>
        <s v="66:45:0200179"/>
        <s v="66:45:0200183"/>
        <s v="66:45:0200207"/>
        <s v="66:45:0200228"/>
        <s v="66:45:0200181"/>
        <s v="66:45:0100322"/>
        <s v="66:58:0116003"/>
        <s v="66:19:0103008"/>
        <s v="66:41:0507030"/>
        <s v="66:41:0507070"/>
        <s v="66:41:0521053"/>
        <s v="66:45:0100271"/>
        <s v="66:41:0612091"/>
        <s v="66:41:0510016"/>
        <s v="66:45:0100067"/>
        <s v="66:45:0100131"/>
        <s v="66:41:0310097"/>
        <s v="66:41:0310034"/>
        <s v="66:45:0200094"/>
        <s v="66:45:0200095"/>
        <s v="66:45:0200296"/>
        <s v="66:45:0200144"/>
        <s v="66:58:1501005"/>
        <s v="66:41:0508013"/>
        <s v="66:41:0303133"/>
        <s v="66:45:0200194"/>
        <s v="66:45:0200305"/>
        <s v="66:45:0200158"/>
        <s v="66:45:0200159"/>
        <s v="66:45:0200360"/>
        <s v="66:45:0200235"/>
        <s v="66:45:0200132"/>
        <s v="66:45:0200137"/>
        <s v="66:58:2902035"/>
        <s v="66:58:2901008"/>
        <s v="66:41:0523003"/>
        <s v="66:45:0100238"/>
        <s v="66:45:0200196"/>
        <s v="66:45:0200199"/>
        <s v="66:45:0100177"/>
        <s v="66:41:0521022"/>
        <s v="66:45:0100357"/>
        <s v="66:41:0303122"/>
        <s v="66:41:0306065"/>
        <s v="66:41:0507026"/>
        <s v="66:45:0100252"/>
        <s v="66:45:0100174"/>
        <s v="66:41:0507085"/>
        <s v="66:41:0508026"/>
        <s v="66:41:0209034"/>
        <s v="66:41:0303901"/>
        <s v="66:45:0200200"/>
        <s v="66:41:0702040"/>
        <s v="66:41:0306091"/>
        <s v="66:41:0311014"/>
        <s v="66:45:0200339"/>
        <s v="66:45:0200074"/>
        <s v="66:45:0200306"/>
        <s v="66:45:0200122"/>
        <s v="66:41:0514016"/>
        <s v="66:45:0100293"/>
        <s v="66:41:0309058"/>
        <s v="66:41:0306093"/>
        <s v="66:41:0308002"/>
        <s v="66:41:0308019"/>
        <s v="66:41:0712003"/>
        <s v="66:41:0612013"/>
        <s v="66:41:0502045"/>
        <s v="66:45:0200195"/>
        <s v="66:41:0310051"/>
        <s v="66:45:0200357"/>
        <s v="66:45:0100026"/>
        <s v="66:56:0202002"/>
        <s v="66:45:0100018"/>
        <s v="66:45:0100283"/>
        <s v="66:45:0200355"/>
        <s v="66:45:0100321"/>
        <s v="66:45:0200072"/>
        <s v="66:45:0100204"/>
        <s v="66:45:0100166"/>
        <s v="66:45:0200054"/>
        <s v="66:45:0100157"/>
        <s v="66:41:0309068"/>
        <s v="66:41:0309065"/>
        <s v="66:41:0313023"/>
        <s v="66:45:0100326"/>
        <s v="66:45:0200036"/>
        <s v="66:45:0200037"/>
        <s v="66:45:0200038"/>
        <s v="66:45:0100292"/>
        <s v="66:45:0100373"/>
        <s v="66:45:0200330"/>
        <s v="66:45:0200318"/>
        <s v="66:41:0709021"/>
        <s v="66:58:0701004"/>
        <s v="66:41:0610026"/>
        <s v="66:41:0608003"/>
        <s v="66:45:0200253"/>
        <s v="66:41:0707017"/>
        <s v="66:41:0612039"/>
        <s v="66:45:0100395"/>
        <s v="66:45:0100189"/>
        <s v="66:45:0100003"/>
        <s v="66:41:0310084"/>
        <s v="66:41:0606047"/>
        <s v="66:41:0603021"/>
        <s v="66:41:0513120"/>
        <s v="66:45:0100339"/>
        <s v="66:58:0201001"/>
        <s v="66:45:0200361"/>
        <s v="66:58:0107002"/>
        <s v="66:45:0100073"/>
        <s v="66:45:0100103"/>
        <s v="66:45:0100124"/>
        <s v="66:45:0100127"/>
        <s v="66:41:0309075"/>
        <s v="66:41:0207024"/>
        <s v="66:45:0100250"/>
        <s v="66:45:0100198"/>
        <s v="66:45:0200118"/>
        <s v="66:45:0200121"/>
        <s v="66:45:0200043"/>
        <s v="66:45:0100145"/>
        <s v="66:45:0100168"/>
        <s v="66:41:0315008"/>
        <s v="66:45:0200347"/>
        <s v="66:45:0100169"/>
        <s v="66:45:0100253"/>
        <s v="66:41:0307025"/>
        <s v="66:41:0209033"/>
        <s v="66:45:0200031"/>
        <s v="66:41:0601037"/>
        <s v="66:45:0200106"/>
        <s v="66:45:0200136"/>
        <s v="66:41:0307032"/>
        <s v="66:41:0109018"/>
        <s v="66:19:0103003"/>
        <s v="66:45:0100348"/>
        <s v="66:41:0210049"/>
        <s v="66:45:0200133"/>
        <s v="66:41:0309093"/>
        <s v="66:45:0200050"/>
        <s v="66:45:0100324"/>
        <s v="66:45:0100203"/>
        <s v="66:41:0511029"/>
        <s v="66:45:0100227"/>
        <s v="66:45:0100229"/>
        <s v="66:45:0100230"/>
        <s v="66:45:0100286"/>
        <s v="66:45:0100114"/>
        <s v="66:41:0106178"/>
        <s v="66:41:0608014"/>
        <s v="66:45:0200091"/>
        <s v="66:45:0200209"/>
        <s v="66:45:0100184"/>
        <s v="66:41:0513124"/>
        <s v="66:45:0100247"/>
        <s v="66:41:0106049"/>
        <s v="66:45:0200076"/>
        <s v="66:41:0309064"/>
        <s v="66:45:0100327"/>
        <s v="66:41:0310078"/>
        <s v="66:41:0308012"/>
        <s v="66:41:0507090"/>
        <s v="66:45:0100154"/>
        <s v="66:45:0100108"/>
        <s v="66:45:0200049"/>
        <s v="66:45:0100313"/>
        <s v="66:41:0210046"/>
        <s v="66:41:0106058"/>
        <s v="66:41:0106155"/>
        <s v="66:45:0200217"/>
        <s v="66:41:0513054"/>
        <s v="66:41:0306071"/>
        <s v="66:41:0106153"/>
        <s v="66:45:0100368"/>
        <s v="66:45:0100275"/>
        <s v="66:41:0308001"/>
        <s v="66:41:0512001"/>
        <s v="66:41:0307011"/>
        <s v="66:41:0309027"/>
        <s v="66:45:0200151"/>
        <s v="66:41:0508003"/>
        <s v="66:45:0100164"/>
        <s v="66:45:0100167"/>
        <s v="66:45:0200342"/>
        <s v="66:45:0200075"/>
        <s v="66:45:0200210"/>
        <s v="66:41:0612044"/>
        <s v="66:45:0100075"/>
        <s v="66:45:0100120"/>
        <s v="66:45:0100170"/>
        <s v="66:41:0519089"/>
        <s v="66:45:0200315"/>
        <s v="66:41:0306069"/>
        <s v="66:58:2902061"/>
        <s v="66:58:2802003"/>
        <s v="66:58:2902028"/>
        <s v="66:41:0303902"/>
        <s v="66:45:0100377"/>
        <s v="66:45:0100002"/>
        <s v="66:41:0519034"/>
        <s v="66:45:0200166"/>
        <s v="66:41:0612047"/>
        <s v="66:45:0200051"/>
        <s v="66:41:0102037"/>
        <s v="66:41:0104011"/>
        <s v="66:41:0112003"/>
        <s v="66:41:0110023"/>
        <s v="66:41:0502092"/>
        <s v="66:41:0521032"/>
        <s v="66:41:0310038"/>
        <s v="66:45:0200267"/>
        <s v="66:41:0403012"/>
        <s v="66:41:0503015"/>
        <s v="66:45:0200287"/>
        <s v="66:45:0200086"/>
        <s v="66:41:0310061"/>
        <s v="66:45:0200146"/>
        <s v="66:41:0614017"/>
        <s v="66:41:0612014"/>
        <s v="66:45:0100172"/>
        <s v="66:45:0200319"/>
        <s v="66:41:0521007"/>
        <s v="66:41:0511027"/>
        <s v="66:45:0100117"/>
        <s v="66:41:0101003"/>
        <s v="66:45:0200258"/>
        <s v="66:41:0712001"/>
        <s v="66:45:0200071"/>
        <s v="66:41:0604003"/>
        <s v="66:41:0607031"/>
        <s v="66:41:0312004"/>
        <s v="66:41:0614035"/>
        <s v="66:45:0100269"/>
        <s v="66:45:0200174"/>
        <s v="66:45:0200213"/>
        <s v="66:41:0513098"/>
        <s v="66:41:0102038"/>
        <s v="66:41:0507076"/>
        <s v="66:41:0509064"/>
        <s v="66:41:0102016"/>
        <s v="66:41:0511007"/>
        <s v="66:45:0200290"/>
        <s v="66:45:0200070"/>
        <s v="66:41:0502014"/>
        <s v="66:45:0200149"/>
        <s v="66:41:0105025"/>
        <s v="66:45:0100312"/>
        <s v="66:45:0200062"/>
        <s v="66:41:0503010"/>
        <s v="66:41:0521017"/>
        <s v="66:41:0521013"/>
        <s v="66:41:0203050"/>
        <s v="66:45:0100259"/>
        <s v="66:41:0106004"/>
        <s v="66:45:0200303"/>
        <s v="66:45:0200110"/>
        <s v="66:41:0703011"/>
        <s v="66:45:0200053"/>
        <s v="66:41:0313108"/>
        <s v="66:41:0310055"/>
        <s v="66:41:0210047"/>
        <s v="66:41:0210044"/>
        <s v="66:41:0612038"/>
        <s v="66:45:0200150"/>
        <s v="66:41:0309051"/>
        <s v="66:45:0200311"/>
        <s v="66:41:0507010"/>
        <s v="66:45:0100394"/>
        <s v="66:41:0513121"/>
        <s v="66:45:0200069"/>
        <s v="66:45:0100288"/>
        <s v="66:41:0504076"/>
        <s v="66:45:0100297"/>
        <s v="66:41:0305006"/>
        <s v="66:45:0200308"/>
        <s v="66:41:0303124"/>
        <s v="66:45:0100214"/>
        <s v="66:41:0305012"/>
        <s v="66:41:0309028"/>
        <s v="66:41:0307043"/>
        <s v="66:41:0502037"/>
        <s v="66:41:0610032"/>
        <s v="66:41:0101014"/>
        <s v="66:41:0311011"/>
        <s v="66:45:0100208"/>
        <s v="66:41:0209114"/>
        <s v="66:41:0511009"/>
        <s v="66:45:0200033"/>
        <s v="66:41:0614012"/>
        <s v="66:36:3201002"/>
        <s v="66:41:0519048"/>
        <s v="66:41:0513105"/>
        <s v="66:41:0513122"/>
        <s v="66:41:0511006"/>
        <s v="66:41:0507042"/>
        <s v="66:41:0507038"/>
        <s v="66:45:0100014"/>
        <s v="66:41:0210105"/>
        <s v="66:41:0607032"/>
        <s v="66:45:0200164"/>
        <s v="66:41:0503008"/>
        <s v="66:45:0100302"/>
        <s v="66:41:0504079"/>
        <s v="66:41:0521033"/>
        <s v="66:41:0109019"/>
        <s v="66:41:0310056"/>
        <s v="66:19:0101029"/>
        <s v="66:45:0200356"/>
        <s v="66:41:0526015"/>
        <s v="66:41:0102018"/>
        <s v="66:41:0519120"/>
        <s v="66:45:0200022"/>
        <s v="66:41:0521025"/>
        <s v="66:45:0200104"/>
        <s v="66:41:0305020"/>
        <s v="66:41:0712046"/>
        <s v="66:41:0310086"/>
        <s v="66:41:0507016"/>
        <s v="66:41:0306049"/>
        <s v="66:41:0105026"/>
        <s v="66:41:0203023"/>
        <s v="66:45:0200165"/>
        <s v="66:45:0100262"/>
        <s v="66:41:0521014"/>
        <s v="66:45:0100380"/>
        <s v="66:45:0200148"/>
        <s v="66:41:0310081"/>
        <s v="66:41:0310018"/>
        <s v="66:41:0104002"/>
        <s v="66:45:0100256"/>
        <s v="66:58:2902056"/>
        <s v="66:41:0606015"/>
        <s v="66:45:0200302"/>
        <s v="66:41:0514042"/>
        <s v="66:45:0200161"/>
        <s v="66:41:0507024"/>
        <s v="66:45:0200363"/>
        <s v="66:45:0200160"/>
        <s v="66:41:0607028"/>
        <s v="66:41:0521024"/>
        <s v="66:41:0307073"/>
        <s v="66:41:0313027"/>
        <s v="66:41:0306059"/>
        <s v="66:41:0518001"/>
        <s v="66:45:0200362"/>
        <s v="66:45:0100081"/>
        <s v="66:41:0611002"/>
        <s v="66:41:0210901"/>
        <s v="66:41:0305019"/>
        <s v="66:41:0702002"/>
        <s v="66:41:0307028"/>
        <s v="66:41:0313024"/>
        <s v="66:45:0100347"/>
        <s v="66:41:0203079"/>
        <s v="66:41:0307008"/>
        <s v="66:45:0200113"/>
        <s v="66:41:0101008"/>
        <s v="66:41:0513033"/>
        <s v="66:41:0313090"/>
        <s v="66:45:0200083"/>
        <s v="66:41:0614021"/>
        <s v="66:41:0708005"/>
        <s v="66:41:0712017"/>
        <s v="66:45:0200134"/>
        <s v="66:45:0200135"/>
        <s v="66:58:2803034"/>
        <s v="66:41:0613001"/>
        <s v="66:41:0109024"/>
        <s v="66:41:0514017"/>
        <s v="66:41:0201008"/>
        <s v="66:41:0518034"/>
        <s v="66:41:0507017"/>
        <s v="66:41:0210058"/>
        <s v="66:41:0309066"/>
        <s v="66:41:0614005"/>
        <s v="66:41:0510009"/>
        <s v="66:41:0310095"/>
        <s v="66:41:0103011"/>
        <s v="66:45:0200268"/>
        <s v="66:45:0100093"/>
        <s v="66:41:0307020"/>
        <s v="66:41:0106018"/>
        <s v="66:41:0402031"/>
        <s v="66:41:0109042"/>
        <s v="66:58:2902067"/>
        <s v="66:19:1908010"/>
        <s v="66:41:0519067"/>
        <s v="66:41:0614063"/>
        <s v="66:71:0101001"/>
        <s v="66:58:2902017"/>
        <s v="66:45:0200276"/>
        <s v="66:45:0200248"/>
        <s v="66:41:0513066"/>
        <s v="66:41:0307026"/>
        <s v="66:41:0209037"/>
        <s v="66:41:0110129"/>
        <s v="66:45:0100356"/>
        <s v="66:41:0614020"/>
        <s v="66:41:0511005"/>
        <s v="66:41:0210061"/>
        <s v="66:41:0306090"/>
        <s v="66:45:0200119"/>
        <s v="66:41:0526049"/>
        <s v="66:41:0610019"/>
        <s v="66:41:0612032"/>
        <s v="66:41:0521006"/>
        <s v="66:41:0507089"/>
        <s v="66:41:0306121"/>
        <s v="66:41:0310059"/>
        <s v="66:45:0200299"/>
        <s v="66:41:0521029"/>
        <s v="66:41:0612026"/>
        <s v="66:41:0612037"/>
        <s v="66:41:0529007"/>
        <s v="66:41:0519026"/>
        <s v="66:45:0200316"/>
        <s v="66:41:0210003"/>
        <s v="66:41:0203029"/>
        <s v="66:41:0307035"/>
        <s v="66:41:0606082"/>
        <s v="66:41:0307030"/>
        <s v="66:41:0519076"/>
        <s v="66:41:0526001"/>
        <s v="66:41:0209095"/>
        <s v="66:41:0519064"/>
        <s v="66:41:0610030"/>
        <s v="66:41:0612018"/>
        <s v="66:41:0521009"/>
        <s v="66:41:0501060"/>
        <s v="66:56:0116001"/>
        <s v="66:41:0102901"/>
        <s v="66:41:0307072"/>
        <s v="66:41:0306126"/>
        <s v="66:45:0100366"/>
        <s v="66:41:0313029"/>
        <s v="66:41:0207901"/>
        <s v="66:41:0609047"/>
        <s v="66:41:0109004"/>
        <s v="66:41:0606005"/>
        <s v="66:41:0503022"/>
        <s v="66:41:0110021"/>
        <s v="66:41:0308006"/>
        <s v="66:41:0606079"/>
        <s v="66:41:0614065"/>
        <s v="66:41:0403003"/>
        <s v="66:41:0305017"/>
        <s v="66:45:0200343"/>
        <s v="66:41:0606078"/>
        <s v="66:45:0100171"/>
        <s v="66:41:0310013"/>
        <s v="66:41:0102030"/>
        <s v="66:41:0518002"/>
        <s v="66:41:0310082"/>
        <s v="66:41:0109026"/>
        <s v="66:41:0303049"/>
        <s v="66:41:0610021"/>
        <s v="66:41:0515024"/>
        <s v="66:41:0502067"/>
        <s v="66:41:0203078"/>
        <s v="66:41:0313001"/>
        <s v="66:41:0606077"/>
        <s v="66:41:0309013"/>
        <s v="66:45:0200301"/>
        <s v="66:41:0502058"/>
        <s v="66:41:0515901"/>
        <s v="66:41:0519074"/>
        <s v="66:41:0614057"/>
        <s v="66:41:0104005"/>
        <s v="66:41:0607038"/>
        <s v="66:56:0202003"/>
        <s v="66:41:0612036"/>
        <s v="66:41:0404006"/>
        <s v="66:41:0313021"/>
        <s v="66:45:0200077"/>
        <s v="66:41:0521028"/>
        <s v="66:41:0711068"/>
        <s v="66:41:0613002"/>
        <s v="66:41:0519019"/>
        <s v="66:41:0507043"/>
        <s v="66:41:0612902"/>
        <s v="66:41:0507115"/>
        <s v="66:41:0710033"/>
        <s v="66:45:0200403"/>
        <s v="66:41:0203061"/>
        <s v="66:45:0200130"/>
        <s v="66:41:0509067"/>
        <s v="66:41:0513035"/>
        <s v="66:41:0518020"/>
        <s v="66:41:0514006"/>
        <s v="66:45:0100022"/>
        <s v="66:58:2803011"/>
        <s v="66:58:2803009"/>
        <s v="66:41:0307041"/>
        <s v="66:45:0100285"/>
        <s v="66:41:0306048"/>
        <s v="66:45:0200254"/>
        <s v="66:45:0100194"/>
        <s v="66:41:0310010"/>
        <s v="66:41:0306024"/>
        <s v="66:45:0200249"/>
        <s v="66:41:0508082"/>
        <s v="66:41:0521048"/>
        <s v="66:41:0108007"/>
        <s v="66:41:0307023"/>
        <s v="66:41:0307018"/>
        <s v="66:58:2803033"/>
        <s v="66:41:0310016"/>
        <s v="66:41:0207013"/>
        <s v="66:41:0302040"/>
        <s v="66:41:0508085"/>
        <s v="66:41:0210042"/>
        <s v="66:41:0519005"/>
        <s v="66:41:0305013"/>
        <s v="66:41:0507009"/>
        <s v="66:41:0521008"/>
        <s v="66:41:0307021"/>
        <s v="66:41:0315006"/>
        <s v="66:19:1905002"/>
        <s v="66:41:0711019"/>
        <s v="66:41:0612035"/>
        <s v="66:45:0100379"/>
        <s v="66:41:0529004"/>
        <s v="66:45:0100363"/>
        <s v="66:41:0513005"/>
        <s v="66:41:0315014"/>
        <s v="66:41:0510049"/>
        <s v="66:41:0108026"/>
        <s v="66:41:0519104"/>
        <s v="66:41:0306027"/>
        <s v="66:41:0306092"/>
        <s v="66:41:0310041"/>
        <s v="66:45:0100391"/>
        <s v="66:41:0103006"/>
        <s v="66:41:0610006"/>
        <s v="66:41:0610025"/>
        <s v="66:41:0610041"/>
        <s v="66:41:0514009"/>
        <s v="66:25:1325013"/>
        <s v="66:41:0315001"/>
        <s v="66:41:0519059"/>
        <s v="66:41:0306033"/>
        <s v="66:12:1610001"/>
        <s v="66:41:0210038"/>
        <s v="66:41:0106134"/>
        <s v="66:41:0505031"/>
        <s v="66:58:1501003"/>
        <s v="66:41:0529009"/>
        <s v="66:41:0306122"/>
        <s v="66:41:0526013"/>
        <s v="66:41:0608021"/>
        <s v="66:41:0310112"/>
        <s v="66:41:0515042"/>
        <s v="66:41:0310026"/>
        <s v="66:41:0310058"/>
        <s v="66:41:0109011"/>
        <s v="66:41:0110020"/>
        <s v="66:41:0106079"/>
        <s v="66:58:2802004"/>
        <s v="66:58:2901005"/>
        <s v="66:58:2803030"/>
        <s v="66:41:0510031"/>
        <s v="66:41:0108006"/>
        <s v="66:41:0507088"/>
        <s v="66:41:0209073"/>
        <s v="66:41:0401055"/>
        <s v="66:19:1902004"/>
        <s v="66:41:0701901"/>
        <s v="66:45:0100195"/>
        <s v="66:41:0201011"/>
        <s v="66:41:0403032"/>
        <s v="66:41:0401901"/>
        <s v="66:12:6901001"/>
        <s v="66:58:2803024"/>
        <s v="66:41:0518030"/>
        <s v="66:41:0609046"/>
        <s v="66:41:0520901"/>
        <s v="66:19:1907004"/>
        <s v="66:19:0103005"/>
        <s v="66:41:0102028"/>
        <s v="66:41:0512006"/>
        <s v="66:41:0514045"/>
        <s v="66:41:0702016"/>
        <s v="66:41:0209039"/>
        <s v="66:41:0310037"/>
        <s v="66:41:0511024"/>
        <s v="66:58:2902018"/>
        <s v="66:41:0106065"/>
        <s v="66:58:2803010"/>
        <s v="66:58:2803023"/>
        <s v="66:41:0503021"/>
        <s v="66:58:2803014"/>
        <s v="66:12:5213006"/>
        <s v="66:58:2803029"/>
        <s v="66:19:0104001"/>
        <s v="66:41:0519112"/>
        <s v="66:12:1617001"/>
        <s v="66:41:0506009"/>
        <s v="66:41:0309099"/>
        <s v="66:41:0311010"/>
        <s v="66:58:2803016"/>
        <s v="66:41:0607027"/>
        <s v="66:41:0711010"/>
        <s v="66:41:0207026"/>
        <s v="66:58:2803027"/>
        <s v="66:41:0102024"/>
        <s v="66:41:0521020"/>
        <s v="66:41:0209038"/>
        <s v="66:41:0307068"/>
        <s v="66:41:0310074"/>
        <s v="66:41:0310001"/>
        <s v="66:41:0310047"/>
        <s v="66:41:0605009"/>
        <s v="66:41:0501004"/>
        <s v="66:41:0201006"/>
        <s v="66:25:0201015"/>
        <s v="66:41:0612023"/>
        <s v="66:41:0106074"/>
        <s v="66:41:0307045"/>
        <s v="66:41:0516015"/>
        <s v="66:25:2901011"/>
        <s v="66:45:0200138"/>
        <s v="66:41:0309074"/>
        <s v="66:41:0402901"/>
        <s v="66:41:0203053"/>
        <s v="66:41:0709015"/>
        <s v="66:41:0607006"/>
        <s v="66:41:0102001"/>
        <s v="66:41:0207902"/>
        <s v="66:41:0106017"/>
        <s v="66:41:0507086"/>
        <s v="66:41:0309092"/>
        <s v="66:41:0303110"/>
        <s v="66:41:0514020"/>
        <s v="66:41:0521012"/>
        <s v="66:41:0303157"/>
        <s v="66:41:0309091"/>
        <s v="66:41:0516005"/>
        <s v="66:45:0200143"/>
        <s v="66:41:0303014"/>
        <s v="66:41:0506016"/>
        <s v="66:41:0507068"/>
        <s v="66:45:0200334"/>
        <s v="66:41:0310087"/>
        <s v="66:41:0306074"/>
        <s v="66:41:0106061"/>
        <s v="66:41:0308003"/>
        <s v="66:41:0527002"/>
        <s v="66:41:0509062"/>
        <s v="66:41:0521030"/>
        <s v="66:41:0606037"/>
        <s v="66:41:0513036"/>
        <s v="66:41:0522001"/>
        <s v="66:45:0100388"/>
        <s v="66:41:0614036"/>
        <s v="66:41:0515044"/>
        <s v="66:41:0614064"/>
        <s v="66:41:0504088"/>
        <s v="66:41:0303131"/>
        <s v="66:41:0303125"/>
        <s v="66:19:1601001"/>
        <s v="66:19:4101001"/>
        <s v="66:41:0505034"/>
        <s v="66:41:0710901"/>
        <s v="66:41:0206901"/>
        <s v="66:41:0306005"/>
        <s v="66:41:0108901"/>
        <s v="66:41:0502902"/>
        <s v="66:41:0502901"/>
        <s v="66:41:0705901"/>
        <s v="66:41:0504901"/>
        <s v="66:41:0002002"/>
        <s v="66:41:0313025"/>
        <s v="66:41:0519057"/>
        <s v="66:41:0509901"/>
        <s v="66:41:0302027"/>
        <s v="66:41:0203008"/>
        <s v="66:41:0110901"/>
        <s v="66:41:0302019"/>
        <s v="66:41:0203011"/>
        <s v="66:41:0002001"/>
        <s v="66:41:0502097"/>
        <s v="66:41:0310049"/>
        <s v="66:41:0519020"/>
        <s v="66:41:0508901"/>
        <s v="66:41:0601901"/>
        <s v="66:41:0303016"/>
        <s v="66:41:0515047"/>
        <s v="66:41:0203004"/>
        <s v="66:41:0203058"/>
        <s v="66:41:0403043"/>
        <s v="66:41:0203026"/>
        <s v="66:41:0510046"/>
        <s v="66:41:0502508"/>
        <s v="66:41:0306060"/>
        <s v="66:41:0502105"/>
        <s v="66:41:0516008"/>
        <s v="66:41:0311009"/>
        <s v="66:41:0601003"/>
        <s v="66:41:0303132"/>
        <s v="66:41:0110014"/>
        <s v="66:41:0711012"/>
        <s v="66:41:0302015"/>
        <s v="66:41:0110019"/>
        <s v="66:41:0402019"/>
        <s v="66:41:0511020"/>
        <s v="66:41:0310044"/>
        <s v="66:41:0306903"/>
        <s v="66:41:0302014"/>
        <s v="66:41:0508019"/>
        <s v="66:41:0508049"/>
        <s v="66:41:0306007"/>
        <s v="66:41:0306116"/>
        <s v="66:41:0502032"/>
        <s v="66:41:0303052"/>
        <s v="66:41:0601032"/>
        <s v="66:41:0205901"/>
        <s v="66:41:0303050"/>
        <s v="66:41:0504017"/>
        <s v="66:41:0502061"/>
        <s v="66:41:0701011"/>
        <s v="66:41:0309044"/>
        <s v="66:41:0612021"/>
        <s v="66:41:0509065"/>
        <s v="66:41:0505010"/>
        <s v="66:41:0503030"/>
        <s v="66:41:0303144"/>
        <s v="66:41:0702009"/>
        <s v="66:41:0711013"/>
        <s v="66:41:0610012"/>
        <s v="66:41:0205006"/>
        <s v="66:41:0501010"/>
        <s v="66:41:0610015"/>
        <s v="66:41:0610017"/>
        <s v="66:41:0502040"/>
        <s v="66:41:0608027"/>
        <s v="66:41:0711005"/>
        <s v="66:41:0520014"/>
        <s v="66:41:0303096"/>
        <s v="66:41:0711017"/>
        <s v="66:41:0109901"/>
        <s v="66:41:0711044"/>
        <s v="66:41:0519021"/>
        <s v="66:41:0711015"/>
        <s v="66:41:0302012"/>
        <s v="66:41:0303019"/>
        <s v="66:41:0204059"/>
        <s v="66:41:0710035"/>
        <s v="66:41:0508036"/>
        <s v="66:41:0306107"/>
        <s v="66:41:0507079"/>
        <s v="66:41:0301002"/>
        <s v="66:41:0306073"/>
        <s v="66:41:0401021"/>
        <s v="66:41:0502018"/>
        <s v="66:41:0703002"/>
        <s v="66:41:0306104"/>
        <s v="66:41:0204003"/>
        <s v="66:41:0711057"/>
        <s v="66:41:0303089"/>
        <s v="66:41:0303048"/>
        <s v="66:41:0521016"/>
        <s v="66:41:0303030"/>
        <s v="66:41:0502028"/>
        <s v="66:41:0502100"/>
        <s v="66:41:0506033"/>
        <s v="66:41:0519027"/>
        <s v="66:41:0502035"/>
        <s v="66:41:0506011"/>
        <s v="66:41:0510012"/>
        <s v="66:41:0106013"/>
        <s v="66:41:0110008"/>
        <s v="66:41:0711008"/>
        <s v="66:41:0203009"/>
        <s v="66:41:0504031"/>
        <s v="66:41:0313093"/>
        <s v="66:41:0502124"/>
        <s v="66:41:0204026"/>
        <s v="66:41:0309097"/>
        <s v="66:41:0508050"/>
        <s v="66:41:0505041"/>
        <s v="66:41:0306028"/>
        <s v="66:41:0712034"/>
        <s v="66:41:0307040"/>
        <s v="66:41:0306118"/>
        <s v="66:41:0106046"/>
        <s v="66:41:0303062"/>
        <s v="66:41:0306045"/>
        <s v="66:41:0502049"/>
        <s v="66:41:0502101"/>
        <s v="66:41:0702050"/>
        <s v="66:41:0508014"/>
        <s v="66:41:0304032"/>
        <s v="66:41:0404901"/>
        <s v="66:41:0505009"/>
        <s v="66:41:0519028"/>
        <s v="66:41:0110005"/>
        <s v="66:41:0707018"/>
        <s v="66:41:0401044"/>
        <s v="66:41:0707014"/>
        <s v="66:41:0704028"/>
        <s v="66:41:0504099"/>
        <s v="66:41:0702073"/>
        <s v="66:41:0502112"/>
        <s v="66:41:0701014"/>
        <s v="66:41:0403049"/>
        <s v="66:41:0612074"/>
        <s v="66:41:0205011"/>
        <s v="66:41:0502039"/>
        <s v="66:41:0403051"/>
        <s v="66:41:0109036"/>
        <s v="66:41:0503019"/>
        <s v="66:41:0105017"/>
        <s v="66:41:0303018"/>
        <s v="66:41:0110002"/>
        <s v="66:41:0501013"/>
        <s v="66:41:0505001"/>
        <s v="66:41:0711075"/>
        <s v="66:41:0303034"/>
        <s v="66:41:0401015"/>
        <s v="66:41:0511014"/>
        <s v="66:41:0711021"/>
        <s v="66:41:0102012"/>
        <s v="66:41:0506017"/>
        <s v="66:41:0501062"/>
        <s v="66:41:0508025"/>
        <s v="66:41:0502034"/>
        <s v="66:41:0313118"/>
        <s v="66:41:0304004"/>
        <s v="66:41:0519068"/>
        <s v="66:41:0203037"/>
        <s v="66:41:0505004"/>
        <s v="66:41:0106169"/>
        <s v="66:41:0106006"/>
        <s v="66:41:0306018"/>
        <s v="66:41:0510057"/>
        <s v="66:41:0502102"/>
        <s v="66:41:0303007"/>
        <s v="66:41:0510065"/>
        <s v="66:41:0304003"/>
        <s v="66:41:0301014"/>
        <s v="66:41:0606001"/>
        <s v="66:41:0205018"/>
        <s v="66:41:0507039"/>
        <s v="66:41:0609003"/>
        <s v="66:41:0313022"/>
        <s v="66:41:0403001"/>
        <s v="66:41:0304022"/>
        <s v="66:41:0302023"/>
        <s v="66:41:0403048"/>
        <s v="66:41:0517006"/>
        <s v="66:41:0303135"/>
        <s v="66:41:0603020"/>
        <s v="66:41:0102017"/>
        <s v="66:41:0312007"/>
        <s v="66:41:0204020"/>
        <s v="66:41:0513038"/>
        <s v="66:41:0517007"/>
        <s v="66:41:0203054"/>
        <s v="66:41:0519035"/>
        <s v="66:41:0608016"/>
        <s v="66:41:0711040"/>
        <s v="66:41:0210022"/>
        <s v="66:41:0508048"/>
        <s v="66:41:0505044"/>
        <s v="66:41:0106005"/>
        <s v="66:41:0501072"/>
        <s v="66:41:0515031"/>
        <s v="66:41:0505019"/>
        <s v="66:41:0109062"/>
        <s v="66:41:0515051"/>
        <s v="66:41:0303099"/>
        <s v="66:41:0306082"/>
        <s v="66:41:0711007"/>
        <s v="66:41:0404018"/>
        <s v="66:41:0403044"/>
        <s v="66:41:0511008"/>
        <s v="66:41:0203036"/>
        <s v="66:41:0108059"/>
        <s v="66:41:0106148"/>
        <s v="66:41:0521052"/>
        <s v="66:41:0203024"/>
        <s v="66:41:0504020"/>
        <s v="66:41:0708008"/>
        <s v="66:41:0710024"/>
        <s v="66:41:0302024"/>
        <s v="66:41:0404015"/>
        <s v="66:41:0401902"/>
        <s v="66:41:0504016"/>
        <s v="66:41:0702011"/>
        <s v="66:41:0508007"/>
        <s v="66:41:0109064"/>
        <s v="66:41:0510059"/>
        <s v="66:41:0401056"/>
        <s v="66:41:0109032"/>
        <s v="66:41:0303036"/>
        <s v="66:41:0502104"/>
        <s v="66:41:0709013"/>
        <s v="66:41:0521036"/>
        <s v="66:41:0204054"/>
        <s v="66:41:0307029"/>
        <s v="66:41:0509006"/>
        <s v="66:41:0303142"/>
        <s v="66:41:0306114"/>
        <s v="66:41:0313094"/>
        <s v="66:41:0303047"/>
        <s v="66:41:0310042"/>
        <s v="66:41:0504078"/>
        <s v="66:41:0609036"/>
        <s v="66:41:0612076"/>
        <s v="66:41:0303143"/>
        <s v="66:41:0519022"/>
        <s v="66:41:0306050"/>
        <s v="66:41:0508035"/>
        <s v="66:41:0525010"/>
        <s v="66:41:0711022"/>
        <s v="66:41:0403050"/>
        <s v="66:41:0612004"/>
        <s v="66:41:0204004"/>
        <s v="66:41:0502042"/>
        <s v="66:41:0510013"/>
        <s v="66:41:0501003"/>
        <s v="66:41:0301001"/>
        <s v="66:41:0306012"/>
        <s v="66:41:0302036"/>
        <s v="66:41:0403052"/>
        <s v="66:41:0521047"/>
        <s v="66:41:0711014"/>
        <s v="66:41:0604030"/>
        <s v="66:41:0609007"/>
        <s v="66:41:0303060"/>
        <s v="66:41:0703001"/>
        <s v="66:41:0711018"/>
        <s v="66:41:0501005"/>
        <s v="66:41:0507052"/>
        <s v="66:41:0711062"/>
        <s v="66:41:0203001"/>
        <s v="66:41:0303028"/>
        <s v="66:41:0504045"/>
        <s v="66:41:0108014"/>
        <s v="66:41:0519014"/>
        <s v="66:41:0313026"/>
        <s v="66:41:0709016"/>
        <s v="66:41:0704015"/>
        <s v="66:41:0712020"/>
        <s v="66:41:0610020"/>
        <s v="66:41:0710002"/>
        <s v="66:41:0612077"/>
        <s v="66:41:0303010"/>
        <s v="66:41:0504009"/>
        <s v="66:41:0106014"/>
        <s v="66:41:0505040"/>
        <s v="66:41:0306109"/>
        <s v="66:41:0707023"/>
        <s v="66:41:0509009"/>
        <s v="66:41:0502103"/>
        <s v="66:41:0204034"/>
        <s v="66:41:0510050"/>
        <s v="66:41:0303056"/>
        <s v="66:41:0312006"/>
        <s v="66:41:0504046"/>
        <s v="66:41:0301012"/>
        <s v="66:41:0506023"/>
        <s v="66:41:0106174"/>
        <s v="66:41:0607033"/>
        <s v="66:41:0204007"/>
        <s v="66:41:0505025"/>
        <s v="66:41:0111003"/>
        <s v="66:41:0203027"/>
        <s v="66:41:0401046"/>
        <s v="66:41:0508090"/>
        <s v="66:41:0507022"/>
        <s v="66:41:0313117"/>
        <s v="66:41:0502036"/>
        <s v="66:41:0711077"/>
        <s v="66:41:0608038"/>
        <s v="66:41:0508041"/>
        <s v="66:41:0704027"/>
        <s v="66:41:0306077"/>
        <s v="66:41:0702017"/>
        <s v="66:41:0106070"/>
        <s v="66:41:0105015"/>
        <s v="66:41:0303145"/>
        <s v="66:41:0508018"/>
        <s v="66:41:0601002"/>
        <s v="66:41:0307084"/>
        <s v="66:41:0306064"/>
        <s v="66:41:0306004"/>
        <s v="66:41:0601030"/>
        <s v="66:41:0603024"/>
        <s v="66:41:0610033"/>
        <s v="66:41:0521901"/>
        <s v="66:41:0304001"/>
        <s v="66:41:0509001"/>
        <s v="66:41:0517005"/>
        <s v="66:41:0306123"/>
        <s v="66:41:0109060"/>
        <s v="66:41:0108097"/>
        <s v="66:41:0111004"/>
        <s v="66:41:0523008"/>
        <s v="66:41:0206008"/>
        <s v="66:41:0608032"/>
        <s v="66:41:0401054"/>
        <s v="66:41:0608013"/>
        <s v="66:41:0310011"/>
        <s v="66:41:0312901"/>
        <s v="66:41:0203005"/>
        <s v="66:41:0602011"/>
        <s v="66:41:0403055"/>
        <s v="66:41:0508020"/>
        <s v="66:41:0704006"/>
        <s v="66:41:0306061"/>
        <s v="66:41:0310024"/>
        <s v="66:41:0507018"/>
        <s v="66:41:0612029"/>
        <s v="66:41:0303059"/>
        <s v="66:41:0521001"/>
        <s v="66:41:0502038"/>
        <s v="66:41:0711025"/>
        <s v="66:41:0403017"/>
        <s v="66:41:0306058"/>
        <s v="66:41:0204002"/>
        <s v="66:41:0311016"/>
        <s v="66:41:0603019"/>
        <s v="66:41:0109902"/>
        <s v="66:41:0516003"/>
        <s v="66:41:0511003"/>
        <s v="66:41:0307031"/>
        <s v="66:41:0110012"/>
        <s v="66:41:0607015"/>
        <s v="66:41:0401051"/>
        <s v="66:41:0402034"/>
        <s v="66:41:0313116"/>
        <s v="66:41:0110025"/>
        <s v="66:41:0516011"/>
        <s v="66:41:0306076"/>
        <s v="66:41:0515027"/>
        <s v="66:41:0520016"/>
        <s v="66:41:0710012"/>
        <s v="66:41:0313092"/>
        <s v="66:41:0516004"/>
        <s v="66:41:0519045"/>
        <s v="66:41:0602001"/>
        <s v="66:41:0309040"/>
        <s v="66:41:0603017"/>
        <s v="66:41:0312010"/>
        <s v="66:41:0303152"/>
        <s v="66:41:0401050"/>
        <s v="66:41:0310045"/>
        <s v="66:41:0303051"/>
        <s v="66:41:0210007"/>
        <s v="66:41:0502060"/>
        <s v="66:41:0515018"/>
        <s v="66:41:0306084"/>
        <s v="66:41:0108080"/>
        <s v="66:41:0711023"/>
        <s v="66:41:0504060"/>
        <s v="66:41:0519044"/>
        <s v="66:41:0506020"/>
        <s v="66:41:0702080"/>
        <s v="66:41:0203066"/>
        <s v="66:41:0703006"/>
        <s v="66:41:0203033"/>
        <s v="66:41:0507051"/>
        <s v="66:41:0307046"/>
        <s v="66:41:0301003"/>
        <s v="66:41:0206003"/>
        <s v="66:41:0202003"/>
        <s v="66:41:0402009"/>
        <s v="66:41:0701018"/>
        <s v="66:41:0203068"/>
        <s v="66:41:0505020"/>
        <s v="66:41:0306115"/>
        <s v="66:41:0403036"/>
        <s v="66:41:0712028"/>
        <s v="66:41:0106123"/>
        <s v="66:41:0401036"/>
        <s v="66:41:0306042"/>
        <s v="66:41:0702042"/>
        <s v="66:41:0204050"/>
        <s v="66:41:0502029"/>
        <s v="66:41:0516901"/>
        <s v="66:41:0612041"/>
        <s v="66:41:0303146"/>
        <s v="66:41:0510902"/>
        <s v="66:41:0104001"/>
        <s v="66:41:0109052"/>
        <s v="66:41:0508091"/>
        <s v="66:41:0203020"/>
        <s v="66:41:0603901"/>
        <s v="66:41:0301016"/>
        <s v="66:41:0506010"/>
        <s v="66:41:0605011"/>
        <s v="66:41:0302002"/>
        <s v="66:41:0516007"/>
        <s v="66:41:0610002"/>
        <s v="66:41:0711056"/>
        <s v="66:41:0606048"/>
        <s v="66:41:0203062"/>
        <s v="66:41:0306043"/>
        <s v="66:41:0403077"/>
        <s v="66:41:0523006"/>
        <s v="66:41:0206012"/>
        <s v="66:41:0403053"/>
        <s v="66:41:0508022"/>
        <s v="66:41:0610014"/>
        <s v="66:41:0601057"/>
        <s v="66:41:0311019"/>
        <s v="66:41:0106091"/>
        <s v="66:41:0702053"/>
        <s v="66:41:0502073"/>
        <s v="66:41:0309057"/>
        <s v="66:41:0701003"/>
        <s v="66:41:0403013"/>
        <s v="66:41:0303055"/>
        <s v="66:41:0601047"/>
        <s v="66:41:0711011"/>
        <s v="66:41:0519046"/>
        <s v="66:41:0311001"/>
        <s v="66:41:0105031"/>
        <s v="66:41:0711009"/>
        <s v="66:41:0307013"/>
        <s v="66:41:0303088"/>
        <s v="66:41:0612007"/>
        <s v="66:41:0507028"/>
        <s v="66:41:0310005"/>
        <s v="66:41:0506004"/>
        <s v="66:41:0517001"/>
        <s v="66:41:0508051"/>
        <s v="66:41:0701019"/>
        <s v="66:41:0204017"/>
        <s v="66:41:0206011"/>
        <s v="66:41:0303137"/>
        <s v="66:41:0711027"/>
        <s v="66:41:0309056"/>
        <s v="66:41:0601017"/>
        <s v="66:41:0510042"/>
        <s v="66:41:0711063"/>
        <s v="66:41:0204013"/>
        <s v="66:41:0504061"/>
        <s v="66:41:0504059"/>
        <s v="66:41:0711052"/>
        <s v="66:41:0504032"/>
        <s v="66:41:0404014"/>
        <s v="66:41:0504066"/>
        <s v="66:41:0113002"/>
        <s v="66:41:0303024"/>
        <s v="66:41:0702025"/>
        <s v="66:41:0306080"/>
        <s v="66:41:0508056"/>
        <s v="66:41:0523901"/>
        <s v="66:41:0605025"/>
        <s v="66:41:0304009"/>
        <s v="66:41:0519080"/>
        <s v="66:41:0515053"/>
        <s v="66:41:0602007"/>
        <s v="66:41:0102029"/>
        <s v="66:41:0710036"/>
        <s v="66:41:0403082"/>
        <s v="66:41:0603029"/>
        <s v="66:41:0506002"/>
        <s v="66:41:0502020"/>
        <s v="66:41:0608001"/>
        <s v="66:41:0501073"/>
        <s v="66:41:0711051"/>
        <s v="66:41:0102045"/>
        <s v="66:41:0610001"/>
        <s v="66:41:0203025"/>
        <s v="66:41:0105022"/>
        <s v="66:41:0501025"/>
        <s v="66:41:0106008"/>
        <s v="66:41:0203022"/>
        <s v="66:41:0208005"/>
        <s v="66:41:0711066"/>
        <s v="66:41:0504047"/>
        <s v="66:41:0404011"/>
        <s v="66:41:0504065"/>
        <s v="66:41:0602901"/>
        <s v="66:41:0612046"/>
        <s v="66:41:0504080"/>
        <s v="66:41:0307083"/>
        <s v="66:41:0605001"/>
        <s v="66:41:0313002"/>
        <s v="66:41:0401025"/>
        <s v="66:41:0203059"/>
        <s v="66:41:0306029"/>
        <s v="66:41:0203043"/>
        <s v="66:41:0604031"/>
        <s v="66:41:0710034"/>
        <s v="66:41:0403046"/>
        <s v="66:41:0516017"/>
        <s v="66:41:0501001"/>
        <s v="66:41:0711024"/>
        <s v="66:41:0612002"/>
        <s v="66:41:0303130"/>
        <s v="66:41:0508005"/>
        <s v="66:41:0519029"/>
        <s v="66:41:0508057"/>
        <s v="66:41:0612006"/>
        <s v="66:41:0403054"/>
        <s v="66:41:0508004"/>
        <s v="66:41:0612089"/>
        <s v="66:41:0502023"/>
        <s v="66:41:0203035"/>
        <s v="66:41:0712032"/>
        <s v="66:41:0313003"/>
        <s v="66:41:0306041"/>
        <s v="66:41:0313115"/>
        <s v="66:41:0505042"/>
        <s v="66:41:0519006"/>
        <s v="66:41:0309063"/>
        <s v="66:41:0519007"/>
        <s v="66:41:0508059"/>
        <s v="66:41:0203003"/>
        <s v="66:41:0206013"/>
        <s v="66:41:0313036"/>
        <s v="66:41:0516012"/>
        <s v="66:41:0310062"/>
        <s v="66:41:0711026"/>
        <s v="66:41:0501024"/>
        <s v="66:41:0504067"/>
        <s v="66:41:0307081"/>
        <s v="66:41:0108101"/>
        <s v="66:41:0504027"/>
        <s v="66:41:0309078"/>
        <s v="66:41:0106163"/>
        <s v="66:41:0504077"/>
        <s v="66:41:0310040"/>
        <s v="66:41:0502031"/>
        <s v="66:41:0711030"/>
        <s v="66:41:0403029"/>
        <s v="66:41:0608035"/>
        <s v="66:41:0523007"/>
        <s v="66:41:0306025"/>
        <s v="66:41:0506012"/>
        <s v="66:41:0517008"/>
        <s v="66:41:0102011"/>
        <s v="66:41:0303126"/>
        <s v="66:41:0303008"/>
        <s v="66:41:0203070"/>
        <s v="66:41:0302046"/>
        <s v="66:41:0102027"/>
        <s v="66:41:0403068"/>
        <s v="66:41:0510070"/>
        <s v="66:41:0109068"/>
        <s v="66:41:0509007"/>
        <s v="66:41:0204041"/>
        <s v="66:41:0403066"/>
        <s v="66:41:0202008"/>
        <s v="66:41:0306086"/>
        <s v="66:41:0502001"/>
        <s v="66:41:0203052"/>
        <s v="66:41:0401010"/>
        <s v="66:41:0203076"/>
        <s v="66:41:0303085"/>
        <s v="66:41:0504087"/>
        <s v="66:41:0520003"/>
        <s v="66:41:0310099"/>
        <s v="66:41:0612073"/>
        <s v="66:41:0106081"/>
        <s v="66:41:0506018"/>
        <s v="66:41:0403071"/>
        <s v="66:41:0304018"/>
        <s v="66:41:0302045"/>
        <s v="66:41:0304013"/>
        <s v="66:41:0504018"/>
        <s v="66:41:0515005"/>
        <s v="66:41:0510032"/>
        <s v="66:41:0519037"/>
        <s v="66:41:0206002"/>
        <s v="66:41:0306009"/>
        <s v="66:41:0702001"/>
        <s v="66:41:0502017"/>
        <s v="66:41:0502033"/>
        <s v="66:41:0108074"/>
        <s v="66:41:0519054"/>
        <s v="66:41:0510033"/>
        <s v="66:41:0403057"/>
        <s v="66:41:0302048"/>
        <s v="66:41:0504043"/>
        <s v="66:41:0204048"/>
        <s v="66:41:0507108"/>
        <s v="66:41:0612017"/>
        <s v="66:41:0706016"/>
        <s v="66:41:0514002"/>
        <s v="66:41:0601048"/>
        <s v="66:41:0203032"/>
        <s v="66:41:0106146"/>
        <s v="66:41:0510071"/>
        <s v="66:41:0508037"/>
        <s v="66:41:0519013"/>
        <s v="66:41:0707005"/>
        <s v="66:41:0109023"/>
        <s v="66:41:0306108"/>
        <s v="66:41:0313112"/>
        <s v="66:41:0711072"/>
        <s v="66:41:0102026"/>
        <s v="66:41:0519023"/>
        <s v="66:41:0403058"/>
        <s v="66:41:0210037"/>
        <s v="66:41:0303013"/>
        <s v="66:41:0203901"/>
        <s v="66:41:0508008"/>
        <s v="66:41:0516019"/>
        <s v="66:41:0308021"/>
        <s v="66:41:0302902"/>
        <s v="66:41:0310043"/>
        <s v="66:41:0508038"/>
        <s v="66:41:0605003"/>
        <s v="66:41:0504028"/>
        <s v="66:41:0106059"/>
        <s v="66:41:0504015"/>
        <s v="66:41:0608005"/>
        <s v="66:41:0303015"/>
        <s v="66:41:0521010"/>
        <s v="66:41:0514012"/>
        <s v="66:41:0204062"/>
        <s v="66:41:0711050"/>
        <s v="66:41:0106154"/>
        <s v="66:41:0403041"/>
        <s v="66:41:0203007"/>
        <s v="66:41:0711058"/>
        <s v="66:41:0603031"/>
        <s v="66:41:0710013"/>
        <s v="66:41:0502094"/>
        <s v="66:41:0609901"/>
        <s v="66:41:0404017"/>
        <s v="66:41:0516006"/>
        <s v="66:41:0608007"/>
        <s v="66:41:0605026"/>
        <s v="66:41:0710008"/>
        <s v="66:41:0106175"/>
        <s v="66:41:0306011"/>
        <s v="66:41:0402038"/>
        <s v="66:41:0711034"/>
        <s v="66:41:0109027"/>
        <s v="66:41:0711029"/>
        <s v="66:41:0508043"/>
        <s v="66:41:0204029"/>
        <s v="66:41:0708021"/>
        <s v="66:41:0522004"/>
        <s v="66:41:0708025"/>
        <s v="66:41:0603010"/>
        <s v="66:41:0608026"/>
        <s v="66:41:0306087"/>
        <s v="66:41:0510901"/>
        <s v="66:41:0306079"/>
        <s v="66:41:0603011"/>
        <s v="66:41:0403039"/>
        <s v="66:41:0303058"/>
        <s v="66:41:0509011"/>
        <s v="66:41:0608036"/>
        <s v="66:41:0102034"/>
        <s v="66:41:0519053"/>
        <s v="66:41:0523005"/>
        <s v="66:41:0702028"/>
        <s v="66:41:0203046"/>
        <s v="66:41:0102010"/>
        <s v="66:41:0609031"/>
        <s v="66:41:0109066"/>
        <s v="66:41:0303098"/>
        <s v="66:41:0306013"/>
        <s v="66:41:0311017"/>
        <s v="66:41:0508021"/>
        <s v="66:41:0105029"/>
        <s v="66:41:0306068"/>
        <s v="66:41:0307082"/>
        <s v="66:41:0614073"/>
        <s v="66:41:0610031"/>
        <s v="66:41:0504014"/>
        <s v="66:41:0106012"/>
        <s v="66:41:0312001"/>
        <s v="66:41:0521034"/>
        <s v="66:41:0102033"/>
        <s v="66:41:0601046"/>
        <s v="66:41:0106157"/>
        <s v="66:41:0313119"/>
        <s v="66:41:0508078"/>
        <s v="66:41:0306010"/>
        <s v="66:41:0503027"/>
        <s v="66:41:0603030"/>
        <s v="66:41:0504098"/>
        <s v="66:41:0303121"/>
        <s v="66:41:0515016"/>
        <s v="66:41:0303087"/>
        <s v="66:41:0522003"/>
        <s v="66:41:0108004"/>
        <s v="66:41:0203028"/>
        <s v="66:41:0403042"/>
        <s v="66:41:0203044"/>
        <s v="66:41:0403021"/>
        <s v="66:41:0506014"/>
        <s v="66:41:0609005"/>
        <s v="66:41:0507094"/>
        <s v="66:41:0519079"/>
        <s v="66:41:0510020"/>
        <s v="66:41:0311006"/>
        <s v="66:41:0102008"/>
        <s v="66:41:0303023"/>
        <s v="66:41:0310079"/>
        <s v="66:41:0506040"/>
        <s v="66:41:0517009"/>
        <s v="66:41:0204001"/>
        <s v="66:41:0702051"/>
        <s v="66:41:0609032"/>
        <s v="66:41:0403059"/>
        <s v="66:41:0520001"/>
        <s v="66:41:0606083"/>
        <s v="66:41:0612001"/>
        <s v="66:41:0507034"/>
        <s v="66:41:0203042"/>
        <s v="66:41:0109022"/>
        <s v="66:41:0612012"/>
        <s v="66:41:0303158"/>
        <s v="66:41:0510043"/>
        <s v="66:41:0310065"/>
        <s v="66:41:0508039"/>
        <s v="66:41:0603015"/>
        <s v="66:41:0314014"/>
        <s v="66:41:0506031"/>
        <s v="66:41:0110011"/>
        <s v="66:41:0701010"/>
        <s v="66:41:0505018"/>
        <s v="66:41:0302044"/>
        <s v="66:41:0203072"/>
        <s v="66:41:0505005"/>
        <s v="66:41:0113003"/>
        <s v="66:41:0709018"/>
        <s v="66:41:0508017"/>
        <s v="66:41:0306006"/>
        <s v="66:41:0612903"/>
        <s v="66:41:0108062"/>
        <s v="66:41:0203038"/>
        <s v="66:41:0404021"/>
        <s v="66:41:0106124"/>
        <s v="66:41:0210008"/>
        <s v="66:41:0619901"/>
        <s v="66:41:0521039"/>
        <s v="66:41:0403026"/>
        <s v="66:41:0203047"/>
        <s v="66:41:0504064"/>
        <s v="66:41:0702029"/>
        <s v="66:41:0401028"/>
        <s v="66:41:0501055"/>
        <s v="66:41:0306103"/>
        <s v="66:41:0109038"/>
        <s v="66:41:0519093"/>
        <s v="66:41:0106026"/>
        <s v="66:41:0110022"/>
        <s v="66:41:0402035"/>
        <s v="66:41:0711069"/>
        <s v="66:41:0306125"/>
        <s v="66:41:0701002"/>
        <s v="66:41:0302042"/>
        <s v="66:41:0304019"/>
        <s v="66:41:0503013"/>
        <s v="66:41:0106078"/>
        <s v="66:41:0513041"/>
        <s v="66:41:0605007"/>
        <s v="66:41:0507001"/>
        <s v="66:41:0510044"/>
        <s v="66:41:0712026"/>
        <s v="66:41:0204018"/>
        <s v="66:41:0401037"/>
        <s v="66:41:0709014"/>
        <s v="66:41:0711054"/>
        <s v="66:41:0607014"/>
        <s v="66:41:0306067"/>
        <s v="66:41:0307044"/>
        <s v="66:41:0102035"/>
        <s v="66:41:0708020"/>
        <s v="66:41:0104013"/>
        <s v="66:41:0609039"/>
        <s v="66:41:0306062"/>
        <s v="66:41:0508096"/>
        <s v="66:41:0303061"/>
        <s v="66:41:0610011"/>
        <s v="66:41:0508028"/>
        <s v="66:41:0108060"/>
        <s v="66:41:0403067"/>
        <s v="66:41:0612027"/>
        <s v="66:41:0502016"/>
        <s v="66:41:0711048"/>
        <s v="66:41:0303100"/>
        <s v="66:41:0404007"/>
        <s v="66:41:0608009"/>
        <s v="66:41:0310033"/>
        <s v="66:41:0106173"/>
        <s v="66:41:0521035"/>
        <s v="66:41:0401012"/>
        <s v="66:41:0303120"/>
        <s v="66:41:0504097"/>
        <s v="66:41:0510001"/>
        <s v="66:41:0711055"/>
        <s v="66:41:0605008"/>
        <s v="66:41:0203056"/>
        <s v="66:41:0307079"/>
        <s v="66:41:0712027"/>
        <s v="66:41:0310007"/>
        <s v="66:41:0306130"/>
        <s v="66:41:0109043"/>
        <s v="66:41:0612086"/>
        <s v="66:41:0403069"/>
        <s v="66:41:0303074"/>
        <s v="66:41:0311012"/>
        <s v="66:41:0106025"/>
        <s v="66:41:0203055"/>
        <s v="66:41:0521051"/>
        <s v="66:41:0711071"/>
        <s v="66:41:0711047"/>
        <s v="66:41:0109059"/>
        <s v="66:41:0519039"/>
        <s v="66:41:0306081"/>
        <s v="66:41:0203013"/>
        <s v="66:41:0519094"/>
        <s v="66:41:0711049"/>
        <s v="66:41:0102041"/>
        <s v="66:41:0508070"/>
        <s v="66:41:0522002"/>
        <s v="66:41:0507047"/>
        <s v="66:41:0206024"/>
        <s v="66:41:0510035"/>
        <s v="66:41:0603018"/>
        <s v="66:41:0203067"/>
        <s v="66:41:0510064"/>
        <s v="66:41:0106056"/>
        <s v="66:41:0313113"/>
        <s v="66:41:0712031"/>
        <s v="66:41:0303113"/>
        <s v="66:41:0504093"/>
        <s v="66:41:0203063"/>
        <s v="66:41:0521044"/>
        <s v="66:41:0610009"/>
        <s v="66:41:0509013"/>
        <s v="66:41:0203040"/>
        <s v="66:41:0310057"/>
        <s v="66:41:0203073"/>
        <s v="66:41:0612010"/>
        <s v="66:41:0510041"/>
        <s v="66:41:0510017"/>
        <s v="66:41:0510022"/>
        <s v="66:41:0519111"/>
        <s v="66:41:0521005"/>
        <s v="66:41:0402023"/>
        <s v="66:41:0102046"/>
        <s v="66:41:0303127"/>
        <s v="66:41:0510055"/>
        <s v="66:41:0519052"/>
        <s v="66:41:0310046"/>
        <s v="66:41:0312011"/>
        <s v="66:41:0708006"/>
        <s v="66:41:0106050"/>
        <s v="66:41:0303114"/>
        <s v="66:41:0102014"/>
        <s v="66:41:0203041"/>
        <s v="66:41:0605002"/>
        <s v="66:41:0519033"/>
        <s v="66:41:0711031"/>
        <s v="66:41:0313017"/>
        <s v="66:41:0510026"/>
        <s v="66:41:0612011"/>
        <s v="66:41:0608006"/>
        <s v="66:41:0701009"/>
        <s v="66:41:0106167"/>
        <s v="66:41:0519081"/>
        <s v="66:41:0108025"/>
        <s v="66:41:0203071"/>
        <s v="66:41:0403020"/>
        <s v="66:41:0106030"/>
        <s v="66:41:0106160"/>
        <s v="66:41:0106082"/>
        <s v="66:41:0306131"/>
        <s v="66:41:0506019"/>
        <s v="66:41:0608029"/>
        <s v="66:41:0311013"/>
        <s v="66:41:0203069"/>
        <s v="66:41:0309083"/>
        <s v="66:41:0510066"/>
        <s v="66:41:0203031"/>
        <s v="66:41:0402040"/>
        <s v="66:41:0521902"/>
        <s v="66:41:0303033"/>
        <s v="66:41:0502066"/>
        <s v="66:41:0513130"/>
        <s v="66:41:0306052"/>
        <s v="66:41:0106152"/>
        <s v="66:41:0508053"/>
        <s v="66:41:0313114"/>
        <s v="66:41:0504069"/>
        <s v="66:41:0203006"/>
        <s v="66:41:0103009"/>
        <s v="66:41:0708015"/>
        <s v="66:41:0306023"/>
        <s v="66:41:0106172"/>
        <s v="66:41:0502004"/>
        <s v="66:41:0106177"/>
        <s v="66:41:0702007"/>
        <s v="66:41:0504054"/>
        <s v="66:41:0605012"/>
        <s v="66:41:0305018"/>
        <s v="66:41:0711003"/>
        <s v="66:41:0515902"/>
        <s v="66:41:0306070"/>
        <s v="66:41:0310068"/>
        <s v="66:41:0306105"/>
        <s v="66:41:0508061"/>
        <s v="66:41:0505028"/>
        <s v="66:41:0711045"/>
        <s v="66:41:0610022"/>
        <s v="66:41:0612043"/>
        <s v="66:41:0507065"/>
        <s v="66:41:0519056"/>
        <s v="66:41:0306078"/>
        <s v="66:41:0508071"/>
        <s v="66:41:0504081"/>
        <s v="66:41:0210006"/>
        <s v="66:41:0403027"/>
        <s v="66:41:0309007"/>
        <s v="66:41:0306015"/>
        <s v="66:41:0710037"/>
        <s v="66:41:0521027"/>
        <s v="66:41:0109030"/>
        <s v="66:41:0404004"/>
        <s v="66:41:0610016"/>
        <s v="66:41:0509039"/>
        <s v="66:41:0508052"/>
        <s v="66:41:0518901"/>
        <s v="66:41:0503007"/>
        <s v="66:41:0301017"/>
        <s v="66:41:0510014"/>
        <s v="66:41:0310067"/>
        <s v="66:41:0403083"/>
        <s v="66:41:0612079"/>
        <s v="66:41:0709017"/>
        <s v="66:41:0519001"/>
        <s v="66:41:0612049"/>
        <s v="66:41:0507015"/>
        <s v="66:41:0612003"/>
        <s v="66:41:0203030"/>
        <s v="66:41:0514031"/>
        <s v="66:41:0612042"/>
        <s v="66:41:0507025"/>
        <s v="66:41:0306095"/>
        <s v="66:41:0108003"/>
        <s v="66:41:0310117"/>
        <s v="66:41:0508030"/>
        <s v="66:41:0210054"/>
        <s v="66:41:0303129"/>
        <s v="66:41:0401023"/>
        <s v="66:41:0203017"/>
        <s v="66:41:0305009"/>
        <s v="66:41:0210011"/>
        <s v="66:41:0309059"/>
        <s v="66:41:0711016"/>
        <s v="66:41:0711002"/>
        <s v="66:41:0102009"/>
        <s v="66:41:0108122"/>
        <s v="66:41:0501049"/>
        <s v="66:41:0519012"/>
        <s v="66:41:0306054"/>
        <s v="66:41:0508010"/>
        <s v="66:41:0506039"/>
        <s v="66:41:0706002"/>
        <s v="66:41:0106047"/>
        <s v="66:41:0525002"/>
        <s v="66:41:0306040"/>
        <s v="66:41:0506029"/>
        <s v="66:41:0519091"/>
        <s v="66:41:0519047"/>
        <s v="66:41:0109056"/>
        <s v="66:41:0529003"/>
        <s v="66:41:0601056"/>
        <s v="66:41:0203021"/>
        <s v="66:41:0306089"/>
        <s v="66:41:0710017"/>
        <s v="66:41:0109063"/>
        <s v="66:41:0710027"/>
        <s v="66:41:0521046"/>
        <s v="66:41:0309084"/>
        <s v="66:41:0502113"/>
        <s v="66:41:0306075"/>
        <s v="66:41:0203064"/>
        <s v="66:41:0603033"/>
        <s v="66:41:0203075"/>
        <s v="66:41:0504072"/>
        <s v="66:41:0519092"/>
        <s v="66:41:0521004"/>
        <s v="66:41:0501045"/>
        <s v="66:41:0110017"/>
        <s v="66:41:0702015"/>
        <s v="66:41:0505023"/>
        <s v="66:41:0702006"/>
        <s v="66:41:0511001"/>
        <s v="66:41:0305156"/>
        <s v="66:41:0710014"/>
        <s v="66:41:0503029"/>
        <s v="66:41:0309061"/>
        <s v="66:41:0203051"/>
        <s v="66:41:0605023"/>
        <s v="66:41:0310021"/>
        <s v="66:41:0106069"/>
        <s v="66:41:0508015"/>
        <s v="66:41:0307074"/>
        <s v="66:41:0504001"/>
        <s v="66:41:0104008"/>
        <s v="66:41:0519061"/>
        <s v="66:41:0710019"/>
        <s v="66:41:0508062"/>
        <s v="66:41:0307024"/>
        <s v="66:41:0521043"/>
        <s v="66:41:0108061"/>
        <s v="66:41:0521011"/>
        <s v="66:41:0504055"/>
        <s v="66:41:0510052"/>
        <s v="66:41:0612052"/>
        <s v="66:41:0519055"/>
        <s v="66:41:0707008"/>
        <s v="66:41:0609045"/>
        <s v="66:41:0106084"/>
        <s v="66:41:0509012"/>
        <s v="66:41:0313053"/>
        <s v="66:41:0525007"/>
        <s v="66:41:0504071"/>
        <s v="66:41:0504068"/>
        <s v="66:41:0202002"/>
        <s v="66:41:0106075"/>
        <s v="66:41:0510003"/>
        <s v="66:41:0306003"/>
        <s v="66:41:0509025"/>
        <s v="66:41:0709020"/>
        <s v="66:41:0306038"/>
        <s v="66:41:0521040"/>
        <s v="66:41:0710007"/>
        <s v="66:41:0303115"/>
        <s v="66:41:0209022"/>
        <s v="66:41:0106060"/>
        <s v="66:41:0518018"/>
        <s v="66:41:0305010"/>
        <s v="66:41:0509015"/>
        <s v="66:41:0402041"/>
        <s v="66:41:0708003"/>
        <s v="66:41:0309032"/>
        <s v="66:41:0612034"/>
        <s v="66:41:0404005"/>
        <s v="66:41:0509050"/>
        <s v="66:41:0210001"/>
        <s v="66:41:0313122"/>
        <s v="66:41:0106159"/>
        <s v="66:41:0106161"/>
        <s v="66:41:0106072"/>
        <s v="66:41:0709019"/>
        <s v="66:41:0507036"/>
        <s v="66:41:0501044"/>
        <s v="66:41:0609030"/>
        <s v="66:41:0402042"/>
        <s v="66:41:0503020"/>
        <s v="66:41:0514027"/>
        <s v="66:41:0403062"/>
        <s v="66:41:0514007"/>
        <s v="66:41:0701001"/>
        <s v="66:41:0520004"/>
        <s v="66:41:0106171"/>
        <s v="66:41:0303118"/>
        <s v="66:41:0311020"/>
        <s v="66:41:0521002"/>
        <s v="66:41:0309052"/>
        <s v="66:41:0515013"/>
        <s v="66:41:0523004"/>
        <s v="66:41:0303138"/>
        <s v="66:41:0702062"/>
        <s v="66:41:0519118"/>
        <s v="66:41:0612082"/>
        <s v="66:41:0106031"/>
        <s v="66:41:0106016"/>
        <s v="66:41:0404010"/>
        <s v="66:41:0519078"/>
        <s v="66:41:0505033"/>
        <s v="66:41:0707007"/>
        <s v="66:41:0508089"/>
        <s v="66:41:0706006"/>
        <s v="66:41:0609902"/>
        <s v="66:41:0508073"/>
        <s v="66:41:0104006"/>
        <s v="66:41:0503025"/>
        <s v="66:41:0306128"/>
        <s v="66:41:0609044"/>
        <s v="66:41:0108022"/>
        <s v="66:41:0508045"/>
        <s v="66:41:0506005"/>
        <s v="66:41:0110018"/>
        <s v="66:41:0503018"/>
        <s v="66:41:0307022"/>
        <s v="66:41:0518004"/>
        <s v="66:41:0508076"/>
        <s v="66:41:0515036"/>
        <s v="66:41:0607010"/>
        <s v="66:41:0508034"/>
        <s v="66:41:0110015"/>
        <s v="66:41:0508029"/>
        <s v="66:41:0106166"/>
        <s v="66:41:0711036"/>
        <s v="66:41:0106076"/>
        <s v="66:41:0517002"/>
        <s v="66:41:0508067"/>
        <s v="66:41:0210045"/>
        <s v="66:41:0508092"/>
        <s v="66:41:0306051"/>
        <s v="66:41:0508074"/>
        <s v="66:41:0525006"/>
        <s v="66:41:0102032"/>
        <s v="66:41:0106029"/>
        <s v="66:41:0508069"/>
        <s v="66:41:0511034"/>
        <s v="66:41:0203014"/>
        <s v="66:41:0511013"/>
        <s v="66:41:0106011"/>
        <s v="66:41:0203039"/>
        <s v="66:41:0102039"/>
        <s v="66:41:0515017"/>
        <s v="66:41:0519096"/>
        <s v="66:41:0508064"/>
        <s v="66:41:0519066"/>
        <s v="66:41:0108036"/>
        <s v="66:41:0210026"/>
        <s v="66:41:0523001"/>
        <s v="66:41:0311018"/>
        <s v="66:41:0303119"/>
        <s v="66:41:0106068"/>
        <s v="66:41:0504051"/>
        <s v="66:41:0509036"/>
        <s v="66:41:0602002"/>
        <s v="66:41:0310014"/>
        <s v="66:41:0525012"/>
        <s v="66:41:0310102"/>
        <s v="66:41:0710042"/>
        <s v="66:41:0108005"/>
        <s v="66:41:0108034"/>
        <s v="66:41:0109054"/>
        <s v="66:41:0501048"/>
        <s v="66:41:0309062"/>
        <s v="66:41:0210035"/>
        <s v="66:41:0503012"/>
        <s v="66:41:0106145"/>
        <s v="66:41:0502010"/>
        <s v="66:41:0518005"/>
        <s v="66:41:0303140"/>
        <s v="66:41:0508066"/>
        <s v="66:41:0310063"/>
        <s v="66:41:0210106"/>
        <s v="66:41:0309086"/>
        <s v="66:41:0402044"/>
        <s v="66:41:0523002"/>
        <s v="66:41:0108002"/>
        <s v="66:41:0708022"/>
        <s v="66:41:0306036"/>
        <s v="66:41:0608008"/>
        <s v="66:41:0109058"/>
        <s v="66:41:0712015"/>
        <s v="66:41:0702014"/>
        <s v="66:41:0109061"/>
        <s v="66:41:0508009"/>
        <s v="66:41:0504056"/>
        <s v="66:41:0309087"/>
        <s v="66:41:0507119"/>
        <s v="66:41:0607026"/>
        <s v="66:41:0711041"/>
        <s v="66:41:0210004"/>
        <s v="66:41:0515012"/>
        <s v="66:41:0402043"/>
        <s v="66:41:0503023"/>
        <s v="66:41:0708023"/>
        <s v="66:41:0519060"/>
        <s v="66:41:0605018"/>
        <s v="66:41:0309071"/>
        <s v="66:41:0612024"/>
        <s v="66:41:0104004"/>
        <s v="66:41:0110024"/>
        <s v="66:41:0310039"/>
        <s v="66:41:0519030"/>
        <s v="66:41:0303116"/>
        <s v="66:41:0517011"/>
        <s v="66:41:0702071"/>
        <s v="66:41:0203045"/>
        <s v="66:41:0501043"/>
        <s v="66:41:0313102"/>
        <s v="66:41:0504070"/>
        <s v="66:41:0519051"/>
        <s v="66:41:0606009"/>
        <s v="66:41:0529008"/>
        <s v="66:41:0306072"/>
        <s v="66:41:0504092"/>
        <s v="66:41:0310019"/>
        <s v="66:41:0708010"/>
        <s v="66:41:0519031"/>
        <s v="66:41:0203015"/>
        <s v="66:41:0510067"/>
        <s v="66:41:0525013"/>
        <s v="66:41:0109035"/>
        <s v="66:41:0307097"/>
        <s v="66:41:0507023"/>
        <s v="66:41:0521018"/>
        <s v="66:41:0310088"/>
        <s v="66:41:0609052"/>
        <s v="66:41:0516018"/>
        <s v="66:41:0610044"/>
        <s v="66:41:0310075"/>
        <s v="66:41:0508011"/>
        <s v="66:41:0310027"/>
        <s v="66:41:0210005"/>
        <s v="66:41:0711006"/>
        <s v="66:41:0518008"/>
        <s v="66:41:0306085"/>
        <s v="66:41:0612033"/>
        <s v="66:41:0515061"/>
        <s v="66:41:0508033"/>
        <s v="66:41:0508097"/>
        <s v="66:41:0507002"/>
        <s v="66:41:0310080"/>
        <s v="66:41:0307071"/>
        <s v="66:41:0518015"/>
        <s v="66:41:0310101"/>
        <s v="66:41:0503014"/>
        <s v="66:41:0109049"/>
        <s v="66:41:0513049"/>
        <s v="66:41:0306113"/>
        <s v="66:41:0507046"/>
        <s v="66:41:0306047"/>
        <s v="66:41:0509008"/>
        <s v="66:41:0518016"/>
        <s v="66:41:0502007"/>
        <s v="66:41:0310004"/>
        <s v="66:41:0306039"/>
        <s v="66:41:0306008"/>
        <s v="66:41:0521045"/>
        <s v="66:41:0108024"/>
        <s v="66:41:0309080"/>
        <s v="66:41:0310113"/>
        <s v="66:41:0708002"/>
        <s v="66:41:0612008"/>
        <s v="66:41:0603026"/>
        <s v="66:41:0519113"/>
        <s v="66:41:0503026"/>
        <s v="66:41:0508054"/>
        <s v="66:41:0311901"/>
        <s v="66:41:0108020"/>
        <s v="66:41:0508031"/>
        <s v="66:41:0106071"/>
        <s v="66:41:0507029"/>
        <s v="66:41:0308022"/>
        <s v="66:41:0516013"/>
        <s v="66:41:0504090"/>
        <s v="66:41:0610005"/>
        <s v="66:41:0306037"/>
        <s v="66:41:0517010"/>
        <s v="66:41:0710026"/>
        <s v="66:41:0507045"/>
        <s v="66:41:0314016"/>
        <s v="66:41:0503024"/>
        <s v="66:41:0702013"/>
        <s v="66:41:0608010"/>
        <s v="66:41:0513053"/>
        <s v="66:41:0204038"/>
        <s v="66:41:0310020"/>
        <s v="66:41:0609042"/>
        <s v="66:41:0105019"/>
        <s v="66:41:0403061"/>
        <s v="66:41:0519125"/>
        <s v="66:41:0519063"/>
        <s v="66:41:0605010"/>
        <s v="66:41:0501047"/>
        <s v="66:41:0507082"/>
        <s v="66:41:0104003"/>
        <s v="66:41:0507053"/>
        <s v="66:41:0105021"/>
        <s v="66:41:0711060"/>
        <s v="66:41:0504082"/>
        <s v="66:41:0106052"/>
        <s v="66:41:0109025"/>
        <s v="66:41:0303003"/>
        <s v="66:41:0313066"/>
        <s v="66:41:0309011"/>
        <s v="66:41:0529005"/>
        <s v="66:41:0605005"/>
        <s v="66:41:0510040"/>
        <s v="66:41:0603025"/>
        <s v="66:41:0108095"/>
        <s v="66:41:0309055"/>
        <s v="66:41:0606008"/>
        <s v="66:41:0603032"/>
        <s v="66:41:0303117"/>
        <s v="66:41:0606049"/>
        <s v="66:41:0109040"/>
        <s v="66:41:0521026"/>
        <s v="66:41:0310106"/>
        <s v="66:41:0108021"/>
        <s v="66:41:0107039"/>
        <s v="66:41:0507003"/>
        <s v="66:41:0508012"/>
        <s v="66:41:0307067"/>
        <s v="66:41:0514005"/>
        <s v="66:41:0202006"/>
        <s v="66:41:0314017"/>
        <s v="66:41:0310003"/>
        <s v="66:41:0307061"/>
        <s v="66:41:0519011"/>
        <s v="66:41:0105032"/>
        <s v="66:41:0306016"/>
        <s v="66:41:0510011"/>
        <s v="66:41:0310109"/>
        <s v="66:41:0603034"/>
        <s v="66:41:0310076"/>
        <s v="66:41:0607003"/>
        <s v="66:41:0110176"/>
        <s v="66:41:0607901"/>
        <s v="66:41:0606010"/>
        <s v="66:41:0310108"/>
        <s v="66:41:0104007"/>
        <s v="66:41:0105016"/>
        <s v="66:41:0510045"/>
        <s v="66:41:0210059"/>
        <s v="66:41:0508046"/>
        <s v="66:41:0101104"/>
        <s v="66:41:0109045"/>
        <s v="66:41:0314015"/>
        <s v="66:41:0603028"/>
        <s v="66:41:0607002"/>
        <s v="66:41:0305015"/>
        <s v="66:41:0605016"/>
        <s v="66:41:0514029"/>
        <s v="66:41:0507083"/>
        <s v="66:41:0305016"/>
        <s v="66:41:0609008"/>
        <s v="66:41:0310048"/>
        <s v="66:41:0610029"/>
        <s v="66:41:0609049"/>
        <s v="66:41:0521019"/>
        <s v="66:41:0504089"/>
        <s v="66:41:0508032"/>
        <s v="66:41:0710016"/>
        <s v="66:41:0711070"/>
        <s v="66:41:0614009"/>
        <s v="66:41:0109051"/>
        <s v="66:41:0508087"/>
        <s v="66:41:0315012"/>
        <s v="66:41:0603027"/>
        <s v="66:41:0511032"/>
        <s v="66:41:0606002"/>
        <s v="66:41:0711038"/>
        <s v="66:41:0314018"/>
        <s v="66:41:0529002"/>
        <s v="66:41:0519117"/>
        <s v="66:41:0515023"/>
        <s v="66:41:0310025"/>
        <s v="66:41:0610072"/>
        <s v="66:41:0508081"/>
        <s v="66:41:0607040"/>
        <s v="66:41:0519065"/>
        <s v="66:41:0712012"/>
        <s v="66:41:0524003"/>
        <s v="66:41:0508086"/>
        <s v="66:41:0610035"/>
        <s v="66:41:0515022"/>
        <s v="66:41:0309089"/>
        <s v="66:41:0110177"/>
        <s v="66:41:0314003"/>
        <s v="66:41:0314005"/>
        <s v="66:41:0310100"/>
        <s v="66:41:0310093"/>
        <s v="66:41:0310091"/>
        <s v="66:41:0502003"/>
        <s v="66:41:0205046"/>
        <s v="66:41:0307080"/>
        <s v="66:41:0310009"/>
        <s v="66:41:0519036"/>
        <s v="66:41:0309085"/>
        <s v="66:41:0302004"/>
        <s v="66:41:0515046"/>
        <s v="66:41:0504091"/>
        <s v="66:41:0712013"/>
        <s v="66:41:0614002"/>
        <s v="66:41:0503004"/>
        <s v="66:41:0310008"/>
        <s v="66:41:0515041"/>
        <s v="66:41:0307095"/>
        <s v="66:41:0310901"/>
        <s v="66:41:0107081"/>
        <s v="66:41:0306031"/>
        <s v="66:41:0306066"/>
        <s v="66:41:0710006"/>
        <s v="66:41:0307092"/>
        <s v="66:41:0207016"/>
        <s v="66:41:0509053"/>
        <s v="66:41:0712007"/>
        <s v="66:41:0507118"/>
        <s v="66:41:0306057"/>
        <s v="66:41:0711037"/>
        <s v="66:41:0519008"/>
        <s v="66:41:0309029"/>
        <s v="66:41:0109048"/>
        <s v="66:41:0508068"/>
        <s v="66:41:0105018"/>
        <s v="66:41:0311015"/>
        <s v="66:41:0519103"/>
        <s v="66:41:0306044"/>
        <s v="66:41:0610003"/>
        <s v="66:41:0310119"/>
        <s v="66:41:0210036"/>
        <s v="66:41:0105014"/>
        <s v="66:41:0210104"/>
        <s v="66:41:0612093"/>
        <s v="66:41:0521023"/>
        <s v="66:41:0310006"/>
        <s v="66:41:0614007"/>
        <s v="66:41:0210029"/>
        <s v="66:41:0210039"/>
        <s v="66:41:0519077"/>
        <s v="66:41:0525011"/>
        <s v="66:41:0306124"/>
        <s v="66:41:0519087"/>
        <s v="66:41:0314001"/>
        <s v="66:41:0310107"/>
        <s v="66:41:0210020"/>
        <s v="66:41:0310105"/>
        <s v="66:41:0306902"/>
        <s v="66:41:0315003"/>
        <s v="66:41:0314002"/>
        <s v="66:41:0310115"/>
        <s v="66:41:0507005"/>
        <s v="66:41:0524001"/>
        <s v="66:41:0515011"/>
        <s v="66:41:0605019"/>
        <s v="66:41:0310114"/>
        <s v="66:41:0315901"/>
        <s v="66:41:0313089"/>
        <s v="66:41:0606051"/>
        <s v="66:41:0519105"/>
        <s v="66:41:0309072"/>
        <s v="66:41:0519114"/>
        <s v="66:41:0305011"/>
        <s v="66:41:0508095"/>
        <s v="66:41:0508083"/>
        <s v="66:41:0207008"/>
        <s v="66:41:0710004"/>
        <s v="66:41:0310029"/>
        <s v="66:41:0605013"/>
        <s v="66:41:0508016"/>
        <s v="66:41:0310035"/>
        <s v="66:41:0105006"/>
        <s v="66:41:0310120"/>
        <s v="66:41:0207030"/>
        <s v="66:41:0307093"/>
        <s v="66:41:0507014"/>
        <s v="66:41:0207015"/>
        <s v="66:41:0310083"/>
        <s v="66:41:0310015"/>
        <s v="66:41:0310036"/>
        <s v="66:41:0614024"/>
        <s v="66:41:0707019"/>
        <s v="66:41:0614079"/>
        <s v="66:41:0310028"/>
        <s v="66:41:0310094"/>
        <s v="66:41:0526010"/>
        <s v="66:41:0307036"/>
        <s v="66:41:0310085"/>
        <s v="66:41:0313084"/>
        <s v="66:41:0607004"/>
        <s v="66:41:0529001"/>
        <s v="66:41:0103901"/>
        <s v="66:41:0515045"/>
        <s v="66:41:0307027"/>
        <s v="66:41:0516009"/>
        <s v="66:41:0712029"/>
        <s v="66:41:0605021"/>
        <s v="66:41:0515037"/>
        <s v="66:41:0210013"/>
        <s v="66:41:0207029"/>
        <s v="66:41:0614072"/>
        <s v="66:41:0516016"/>
        <s v="66:41:0518025"/>
        <s v="66:41:0109021"/>
        <s v="66:41:0516014"/>
        <s v="66:41:0306034"/>
        <s v="66:41:0508084"/>
        <s v="66:41:0507021"/>
        <s v="66:41:0509014"/>
        <s v="66:41:0306035"/>
        <s v="66:41:0105030"/>
        <s v="66:41:0306032"/>
        <s v="66:41:0519126"/>
        <s v="66:41:0519058"/>
        <s v="66:41:0202001"/>
        <s v="66:41:0514021"/>
        <s v="66:41:0210070"/>
        <s v="66:41:0519095"/>
        <s v="66:41:0518510"/>
        <s v="66:41:0307086"/>
        <s v="66:41:0516010"/>
        <s v="66:41:0306022"/>
        <s v="66:41:0511026"/>
        <s v="66:41:0109044"/>
        <s v="66:41:0605017"/>
        <s v="66:41:0614078"/>
        <s v="66:41:0306014"/>
        <s v="66:41:0109015"/>
        <s v="66:41:0210002"/>
        <s v="66:41:0502099"/>
        <s v="66:41:0308901"/>
        <s v="66:41:0605014"/>
        <s v="66:41:0210092"/>
        <s v="66:41:0307038"/>
        <s v="66:41:0610043"/>
        <s v="66:41:0612051"/>
        <s v="66:41:0526901"/>
        <s v="66:41:0210068"/>
        <s v="66:41:0105009"/>
        <s v="66:41:0607029"/>
        <s v="66:41:0207032"/>
        <s v="66:41:0313098"/>
        <s v="66:41:0311005"/>
        <s v="66:41:0101015"/>
        <s v="66:41:0515003"/>
        <s v="66:41:0507012"/>
        <s v="66:41:0514024"/>
        <s v="66:41:0101004"/>
        <s v="66:41:0513044"/>
        <s v="66:41:0514025"/>
        <s v="66:41:0310118"/>
        <s v="66:41:0514022"/>
        <s v="66:41:0105013"/>
        <s v="66:41:0519132"/>
        <s v="66:41:0103007"/>
        <s v="66:41:0606069"/>
        <s v="66:41:0526016"/>
        <s v="66:41:0310121"/>
        <s v="66:41:0310116"/>
        <s v="66:41:0606007"/>
        <s v="66:41:0519090"/>
        <s v="66:41:0310023"/>
        <s v="66:41:0503011"/>
        <s v="66:41:0309050"/>
        <s v="66:41:0524006"/>
        <s v="66:41:0508094"/>
        <s v="66:41:0708024"/>
        <s v="66:41:0104010"/>
        <s v="66:41:0614077"/>
        <s v="66:41:0509042"/>
        <s v="66:41:0310064"/>
        <s v="66:41:0104012"/>
        <s v="66:41:0503009"/>
        <s v="66:41:0308017"/>
        <s v="66:41:0515009"/>
        <s v="66:41:0109039"/>
        <s v="66:41:0526002"/>
        <s v="66:41:0310069"/>
        <s v="66:41:0105008"/>
        <s v="66:41:0312003"/>
        <s v="66:41:0103008"/>
        <s v="66:41:0518003"/>
        <s v="66:41:0207020"/>
        <s v="66:41:0308011"/>
        <s v="66:41:0614076"/>
        <s v="66:41:0503001"/>
        <s v="66:41:0103012"/>
        <s v="66:41:0210077"/>
        <s v="66:41:0513043"/>
        <s v="66:41:0210018"/>
        <s v="66:41:0310002"/>
        <s v="66:41:0518028"/>
        <s v="66:41:0210072"/>
        <s v="66:41:0107106"/>
        <s v="66:41:0310012"/>
        <s v="66:41:0507084"/>
        <s v="66:41:0210087"/>
        <s v="66:41:0207011"/>
        <s v="66:41:0307042"/>
        <s v="66:41:0310111"/>
        <s v="66:41:0109046"/>
        <s v="66:41:0515048"/>
        <s v="66:41:0310032"/>
        <s v="66:41:0105028"/>
        <s v="66:41:0518024"/>
        <s v="66:41:0507008"/>
        <s v="66:41:0514001"/>
        <s v="66:41:0207005"/>
        <s v="66:41:0520005"/>
        <s v="66:41:0509003"/>
        <s v="66:41:0514035"/>
        <s v="66:41:0526003"/>
        <s v="66:41:0109013"/>
        <s v="66:41:0315011"/>
        <s v="66:41:0607011"/>
        <s v="66:41:0210082"/>
        <s v="66:41:0526011"/>
        <s v="66:41:0210063"/>
        <s v="66:41:0306063"/>
        <s v="66:41:0309004"/>
        <s v="66:41:0518027"/>
        <s v="66:41:0712006"/>
        <s v="66:41:0310070"/>
        <s v="66:41:0308014"/>
        <s v="66:41:0507013"/>
        <s v="66:41:0308018"/>
        <s v="66:41:0307049"/>
        <s v="66:41:0107098"/>
        <s v="66:41:0311004"/>
        <s v="66:41:0707020"/>
        <s v="66:41:0307088"/>
        <s v="66:41:0521054"/>
        <s v="66:41:0513048"/>
        <s v="66:41:0310090"/>
        <s v="66:41:0310104"/>
        <s v="66:41:0309024"/>
        <s v="66:41:0526004"/>
        <s v="66:41:0609009"/>
        <s v="66:41:0315010"/>
        <s v="66:41:0208006"/>
        <s v="66:41:0210014"/>
        <s v="66:41:0310072"/>
        <s v="66:41:0605024"/>
        <s v="66:41:0315002"/>
        <s v="66:41:0210040"/>
        <s v="66:41:0315005"/>
        <s v="66:41:0514051"/>
        <s v="66:41:0310022"/>
        <s v="66:41:0109031"/>
        <s v="66:41:0513055"/>
        <s v="66:41:0310103"/>
        <s v="66:41:0511033"/>
        <s v="66:41:0105005"/>
        <s v="66:41:0610036"/>
        <s v="66:41:0511031"/>
        <s v="66:41:0526012"/>
        <s v="66:41:0507092"/>
        <s v="66:41:0307090"/>
        <s v="66:41:0526005"/>
        <s v="66:41:0712047"/>
        <s v="66:41:0308004"/>
        <s v="66:41:0105023"/>
        <s v="66:41:0210079"/>
        <s v="66:41:0308015"/>
        <s v="66:41:0210030"/>
        <s v="66:41:0519075"/>
        <s v="66:41:0109017"/>
        <s v="66:41:0105010"/>
        <s v="66:41:0313095"/>
        <s v="66:41:0310096"/>
        <s v="66:41:0511016"/>
        <s v="66:41:0309073"/>
        <s v="66:41:0524004"/>
        <s v="66:41:0315013"/>
        <s v="66:41:0519131"/>
        <s v="66:41:0519086"/>
        <s v="66:41:0310077"/>
        <s v="66:41:0308007"/>
        <s v="66:41:0308010"/>
        <s v="66:41:0209032"/>
        <s v="66:41:0310031"/>
        <s v="66:41:0313052"/>
        <s v="66:41:0526014"/>
        <s v="66:41:0315017"/>
        <s v="66:41:0308009"/>
        <s v="66:41:0207028"/>
        <s v="66:41:0207003"/>
        <s v="66:41:0614022"/>
        <s v="66:41:0513042"/>
        <s v="66:41:0313091"/>
        <s v="66:41:0526007"/>
        <s v="66:41:0507087"/>
        <s v="66:41:0109014"/>
        <s v="66:41:0309090"/>
        <s v="66:41:0109041"/>
        <s v="66:41:0307006"/>
        <s v="66:41:0308020"/>
        <s v="66:41:0210074"/>
        <s v="66:41:0210073"/>
        <s v="66:41:0307060"/>
        <s v="66:41:0712049"/>
        <s v="66:41:0526006"/>
        <s v="66:41:0519133"/>
        <s v="66:41:0315015"/>
        <s v="66:41:0514030"/>
        <s v="66:41:0514054"/>
        <s v="66:41:0312005"/>
        <s v="66:41:0308013"/>
        <s v="66:41:0308016"/>
        <s v="66:41:0109006"/>
        <s v="66:41:0109009"/>
        <s v="66:41:0207012"/>
        <s v="66:41:0315007"/>
        <s v="66:41:0107105"/>
        <s v="66:41:0210041"/>
        <s v="66:41:0207010"/>
        <s v="66:41:0202004"/>
        <s v="66:41:0526008"/>
        <s v="66:41:0207014"/>
        <s v="66:41:0507066"/>
        <s v="66:41:0526050"/>
        <s v="66:41:0109016"/>
        <s v="66:41:0605022"/>
        <s v="66:41:0105027"/>
        <s v="66:41:0519085"/>
        <s v="66:41:0308008"/>
        <s v="66:41:0526009"/>
        <s v="66:41:0614052"/>
        <s v="66:41:0511011"/>
        <s v="66:41:0511015"/>
        <s v="66:41:0309036"/>
        <s v="66:41:0310052"/>
        <s v="66:41:0210051"/>
        <s v="66:41:0310054"/>
        <s v="66:41:0315016"/>
        <s v="66:41:0707022"/>
        <s v="66:41:0308005"/>
        <s v="66:41:0207002"/>
        <s v="66:41:0712030"/>
        <s v="66:41:0309026"/>
        <s v="66:41:0310092"/>
        <s v="66:41:0101005"/>
        <s v="66:41:0526026"/>
        <s v="66:41:0519073"/>
        <s v="66:41:0109007"/>
        <s v="66:41:0109010"/>
        <s v="66:41:0207019"/>
        <s v="66:41:0519084"/>
        <s v="66:41:0307050"/>
        <s v="66:41:0209040"/>
        <s v="66:41:0519088"/>
        <s v="66:41:0112002"/>
        <s v="66:41:0309034"/>
        <s v="66:41:0518026"/>
        <s v="66:41:0210065"/>
        <s v="66:41:0105002"/>
        <s v="66:41:0207001"/>
        <s v="66:41:0207021"/>
        <s v="66:41:0109008"/>
        <s v="66:41:0210052"/>
        <s v="66:41:0614041"/>
        <s v="66:41:0209063"/>
        <s v="66:41:0209093"/>
        <s v="66:41:0519040"/>
        <s v="66:41:0207027"/>
        <s v="66:41:0112001"/>
        <s v="66:41:0507069"/>
        <s v="66:41:0614042"/>
        <s v="66:41:0209102"/>
        <s v="66:41:0307014"/>
        <s v="66:41:0210048"/>
        <s v="66:41:0307091"/>
        <s v="66:41:0210050"/>
        <s v="66:41:0524005"/>
        <s v="66:41:0307012"/>
        <s v="66:41:0210043"/>
        <s v="66:41:0309019"/>
        <s v="66:41:0524002"/>
        <s v="66:41:0107095"/>
        <s v="66:41:0105033"/>
        <s v="66:41:0209042"/>
        <s v="66:41:0307064"/>
        <s v="66:41:0307089"/>
        <s v="66:41:0210903"/>
        <s v="66:41:0307098"/>
        <s v="66:41:0614054"/>
        <s v="66:41:0210086"/>
        <s v="66:41:0208002"/>
        <s v="66:41:0307065"/>
        <s v="66:41:0313013"/>
        <s v="66:41:0209057"/>
        <s v="66:41:0514018"/>
        <s v="66:41:0512004"/>
        <s v="66:41:0207009"/>
        <s v="66:41:0511017"/>
        <s v="66:41:0207023"/>
        <s v="66:41:0201001"/>
        <s v="66:41:0511023"/>
        <s v="66:41:0209115"/>
        <s v="66:41:0307094"/>
        <s v="66:41:0210084"/>
        <s v="66:41:0614030"/>
        <s v="66:41:0307096"/>
        <s v="66:41:0201016"/>
        <s v="66:41:0313032"/>
        <s v="66:41:0511010"/>
        <s v="66:41:0313033"/>
        <s v="66:41:0209082"/>
        <s v="66:41:0109002"/>
        <s v="66:41:0208009"/>
        <s v="66:41:0712036"/>
        <s v="66:41:0614055"/>
        <s v="66:41:0207022"/>
        <s v="66:41:0307058"/>
        <s v="66:41:0207018"/>
        <s v="66:41:0507103"/>
        <s v="66:41:0201015"/>
        <s v="66:41:0309006"/>
        <s v="66:41:0109005"/>
        <s v="66:41:0313028"/>
        <s v="66:41:0514013"/>
        <s v="66:41:0513009"/>
        <s v="66:41:0313031"/>
        <s v="66:41:0105001"/>
        <s v="66:41:0614067"/>
        <s v="66:41:0109001"/>
        <s v="66:41:0513127"/>
        <s v="66:41:0313030"/>
        <s v="66:41:0207017"/>
        <s v="66:41:0614062"/>
        <s v="66:41:0309003"/>
        <s v="66:41:0513047"/>
        <s v="66:41:0307016"/>
        <s v="66:41:0514019"/>
        <s v="66:41:0309005"/>
        <s v="66:41:0307007"/>
        <s v="66:41:0201017"/>
        <s v="66:41:0606006"/>
        <s v="66:41:0210066"/>
        <s v="66:41:0513006"/>
        <s v="66:41:0307015"/>
        <s v="66:41:0606003"/>
        <s v="66:41:0712048"/>
        <s v="66:41:0210021"/>
        <s v="66:41:0201013"/>
        <s v="66:41:0307056"/>
        <s v="66:41:0507072"/>
        <s v="66:41:0513131"/>
        <s v="66:41:0513007"/>
        <s v="66:41:0712021"/>
        <s v="66:41:0606040"/>
        <s v="66:41:0201018"/>
        <s v="66:41:0708009"/>
        <s v="66:41:0511012"/>
        <s v="66:41:0210088"/>
        <s v="66:41:0309002"/>
        <s v="66:41:0513074"/>
        <s v="66:41:0209041"/>
        <s v="66:41:0606038"/>
        <s v="66:41:0507027"/>
        <s v="66:41:0210085"/>
        <s v="66:41:0528006"/>
        <s v="66:41:0507035"/>
        <s v="66:41:0606011"/>
        <s v="66:41:0511028"/>
        <s v="66:41:0210053"/>
        <s v="66:41:0606036"/>
        <s v="66:41:0512005"/>
        <s v="66:41:0307059"/>
        <s v="66:41:0513073"/>
        <s v="66:41:0513075"/>
        <s v="66:41:0513079"/>
        <s v="66:41:0606042"/>
        <s v="66:41:0307057"/>
        <s v="66:41:0528901"/>
        <s v="66:41:0307009"/>
        <s v="66:41:0209062"/>
        <s v="66:41:0210091"/>
        <s v="66:41:0528003"/>
        <s v="66:41:0208008"/>
        <s v="66:41:0528041"/>
        <s v="66:41:0209036"/>
        <s v="66:41:0513129"/>
        <s v="66:41:0606081"/>
        <s v="66:41:0513072"/>
        <s v="66:41:0513094"/>
        <s v="66:41:0528002"/>
        <s v="66:41:0528005"/>
        <s v="66:41:0208001"/>
        <s v="66:41:0201010"/>
        <s v="66:41:0513113"/>
        <s v="66:41:0614001"/>
        <s v="66:41:0611001"/>
        <s v="66:41:0528001"/>
        <s v="66:41:0201009"/>
        <s v="66:41:0528004"/>
        <s v="66:41:0201901"/>
        <s v="66:41:0201004"/>
        <s v="66:41:0209110"/>
        <s v="66:41:0513115"/>
        <s v="66:41:0606029"/>
        <s v="66:41:0209077"/>
        <s v="66:41:0208004"/>
        <s v="66:41:0513087"/>
        <s v="66:41:0606084"/>
        <s v="66:41:0712023"/>
        <s v="66:41:0209076"/>
        <s v="66:41:0208003"/>
        <s v="66:41:0514037"/>
        <s v="66:41:0201005"/>
        <s v="66:41:0209078"/>
        <s v="66:41:0201002"/>
        <s v="66:41:0606080"/>
        <s v="66:41:0513507"/>
        <s v="66:41:0513123"/>
        <s v="66:41:0209075"/>
        <s v="66:41:0209074"/>
        <s v="66:41:0513097"/>
        <s v="66:41:0201902"/>
        <s v="66:41:0513111"/>
        <s v="66:41:0201007"/>
        <s v="66:41:0209105"/>
        <s v="66:41:0614006"/>
        <s v="66:41:0513125"/>
        <s v="66:41:0712025"/>
        <s v="66:41:0209071"/>
        <s v="66:41:0513126"/>
        <s v="66:41:0513058"/>
        <s v="66:41:0313120"/>
        <s v="66:41:0209064"/>
        <s v="66:41:0513099"/>
        <s v="66:41:0513091"/>
        <s v="66:41:0101007"/>
        <s v="66:41:0614023"/>
        <s v="66:41:0209048"/>
        <s v="66:41:0512012"/>
        <s v="66:41:0513062"/>
        <s v="66:41:0513102"/>
        <s v="66:41:0514044"/>
        <s v="66:41:0514048"/>
        <s v="66:41:0512010"/>
        <s v="66:41:0512014"/>
        <s v="66:41:0513004"/>
        <s v="66:41:0606016"/>
        <s v="66:41:0209106"/>
        <s v="66:41:0512019"/>
        <s v="66:41:0512033"/>
        <s v="66:41:0101012"/>
        <s v="66:41:0101001"/>
        <s v="66:41:0512022"/>
        <s v="66:41:0512027"/>
        <s v="66:41:0512028"/>
        <s v="66:41:0512043"/>
      </sharedItems>
    </cacheField>
    <cacheField name="Зона" numFmtId="0">
      <sharedItems/>
    </cacheField>
    <cacheField name="Удельник для Среднеэтажного-02:050" numFmtId="0">
      <sharedItems containsSemiMixedTypes="0" containsString="0" containsNumber="1" minValue="21261.0285" maxValue="93989.912800000006"/>
    </cacheField>
    <cacheField name="Удельник для Многоэтажного-02:060" numFmtId="0">
      <sharedItems containsSemiMixedTypes="0" containsString="0" containsNumber="1" minValue="21261.0285" maxValue="93989.912800000006"/>
    </cacheField>
    <cacheField name="Удельник для Малоэтажного-02:014" numFmtId="0">
      <sharedItems containsSemiMixedTypes="0" containsString="0" containsNumber="1" minValue="20837.465199999999" maxValue="85109.5451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29">
  <r>
    <x v="0"/>
    <s v="Центр"/>
    <n v="93989.912800000006"/>
    <n v="93989.912800000006"/>
    <n v="85109.545199999993"/>
  </r>
  <r>
    <x v="1"/>
    <s v="КОМПРЕССОРНЫЙ"/>
    <n v="56392.543899999997"/>
    <n v="56392.543899999997"/>
    <n v="51064.4617"/>
  </r>
  <r>
    <x v="2"/>
    <s v="ЭЛЬМАШ"/>
    <n v="70734.0236"/>
    <n v="70734.0236"/>
    <n v="64050.9208"/>
  </r>
  <r>
    <x v="3"/>
    <s v="Центр"/>
    <n v="93989.912800000006"/>
    <n v="93989.912800000006"/>
    <n v="85109.545199999993"/>
  </r>
  <r>
    <x v="4"/>
    <s v="ВИЗ"/>
    <n v="84298.205100000006"/>
    <n v="84298.205100000006"/>
    <n v="76333.533100000001"/>
  </r>
  <r>
    <x v="5"/>
    <s v="Центр"/>
    <n v="93989.912800000006"/>
    <n v="93989.912800000006"/>
    <n v="85109.545199999993"/>
  </r>
  <r>
    <x v="6"/>
    <s v="ПИОНЕРСКИЙ"/>
    <n v="77743.704100000003"/>
    <n v="77743.704100000003"/>
    <n v="70398.310800000007"/>
  </r>
  <r>
    <x v="7"/>
    <s v="ЭЛЬМАШ"/>
    <n v="70734.0236"/>
    <n v="70734.0236"/>
    <n v="64050.9208"/>
  </r>
  <r>
    <x v="8"/>
    <s v="ЧЕРМЕТ"/>
    <n v="62652.9401"/>
    <n v="62652.9401"/>
    <n v="56733.3557"/>
  </r>
  <r>
    <x v="9"/>
    <s v="ЭЛЬМАШ"/>
    <n v="70734.0236"/>
    <n v="70734.0236"/>
    <n v="64050.9208"/>
  </r>
  <r>
    <x v="10"/>
    <s v="КОМПРЕССОРНЫЙ"/>
    <n v="56392.543899999997"/>
    <n v="56392.543899999997"/>
    <n v="51064.4617"/>
  </r>
  <r>
    <x v="11"/>
    <s v="ЧЕРМЕТ"/>
    <n v="62652.9401"/>
    <n v="62652.9401"/>
    <n v="56733.3557"/>
  </r>
  <r>
    <x v="12"/>
    <s v="ЭЛЬМАШ"/>
    <n v="70734.0236"/>
    <n v="70734.0236"/>
    <n v="64050.9208"/>
  </r>
  <r>
    <x v="13"/>
    <s v="ЭЛЬМАШ"/>
    <n v="70734.0236"/>
    <n v="70734.0236"/>
    <n v="64050.9208"/>
  </r>
  <r>
    <x v="14"/>
    <s v="ЭЛЬМАШ"/>
    <n v="70734.0236"/>
    <n v="70734.0236"/>
    <n v="64050.9208"/>
  </r>
  <r>
    <x v="15"/>
    <s v="УРАЛМАШ"/>
    <n v="70026.7601"/>
    <n v="70026.7601"/>
    <n v="63410.482000000004"/>
  </r>
  <r>
    <x v="16"/>
    <s v="ВИЗ"/>
    <n v="84298.205100000006"/>
    <n v="84298.205100000006"/>
    <n v="76333.533100000001"/>
  </r>
  <r>
    <x v="17"/>
    <s v="УРАЛМАШ"/>
    <n v="70026.7601"/>
    <n v="70026.7601"/>
    <n v="63410.482000000004"/>
  </r>
  <r>
    <x v="18"/>
    <s v="УРАЛМАШ"/>
    <n v="70026.7601"/>
    <n v="70026.7601"/>
    <n v="63410.482000000004"/>
  </r>
  <r>
    <x v="19"/>
    <s v="УНЦ"/>
    <n v="64795.756300000001"/>
    <n v="64795.756300000001"/>
    <n v="58673.716200000003"/>
  </r>
  <r>
    <x v="20"/>
    <s v="УРАЛМАШ"/>
    <n v="70026.7601"/>
    <n v="70026.7601"/>
    <n v="63410.482000000004"/>
  </r>
  <r>
    <x v="21"/>
    <s v="АВТОВОКЗАЛ"/>
    <n v="83744.997499999998"/>
    <n v="83744.997499999998"/>
    <n v="75832.596099999995"/>
  </r>
  <r>
    <x v="22"/>
    <s v="ВТУЗГОРОДОК"/>
    <n v="77071.442599999995"/>
    <n v="77071.442599999995"/>
    <n v="69789.570900000006"/>
  </r>
  <r>
    <x v="23"/>
    <s v="ЭЛЬМАШ"/>
    <n v="70734.0236"/>
    <n v="70734.0236"/>
    <n v="64050.9208"/>
  </r>
  <r>
    <x v="24"/>
    <s v="ВИЗ"/>
    <n v="84298.205100000006"/>
    <n v="84298.205100000006"/>
    <n v="76333.533100000001"/>
  </r>
  <r>
    <x v="25"/>
    <s v="УРАЛМАШ"/>
    <n v="70026.7601"/>
    <n v="70026.7601"/>
    <n v="63410.482000000004"/>
  </r>
  <r>
    <x v="26"/>
    <s v="БОТАНИЧЕСКИЙ"/>
    <n v="77064.444199999998"/>
    <n v="77064.444199999998"/>
    <n v="69783.233200000002"/>
  </r>
  <r>
    <x v="27"/>
    <s v="ЧЕРМЕТ"/>
    <n v="62652.9401"/>
    <n v="62652.9401"/>
    <n v="56733.3557"/>
  </r>
  <r>
    <x v="28"/>
    <s v="АВТОВОКЗАЛ"/>
    <n v="83744.997499999998"/>
    <n v="83744.997499999998"/>
    <n v="75832.596099999995"/>
  </r>
  <r>
    <x v="29"/>
    <s v="УРАЛМАШ"/>
    <n v="70026.7601"/>
    <n v="70026.7601"/>
    <n v="63410.482000000004"/>
  </r>
  <r>
    <x v="30"/>
    <s v="ЛЕЧЕБНЫЙ"/>
    <n v="57793.0844"/>
    <n v="57793.0844"/>
    <n v="52332.6639"/>
  </r>
  <r>
    <x v="31"/>
    <s v="ГОРНЫЙ ЩИТ"/>
    <n v="52246.960299999999"/>
    <n v="52246.960299999999"/>
    <n v="47310.556700000001"/>
  </r>
  <r>
    <x v="32"/>
    <s v="ЧЕРМЕТ"/>
    <n v="62652.9401"/>
    <n v="62652.9401"/>
    <n v="56733.3557"/>
  </r>
  <r>
    <x v="33"/>
    <s v="КОМПРЕССОРНЫЙ"/>
    <n v="56392.543899999997"/>
    <n v="56392.543899999997"/>
    <n v="51064.4617"/>
  </r>
  <r>
    <x v="34"/>
    <s v="Центр"/>
    <n v="93989.912800000006"/>
    <n v="93989.912800000006"/>
    <n v="85109.545199999993"/>
  </r>
  <r>
    <x v="35"/>
    <s v="УРАЛМАШ"/>
    <n v="70026.7601"/>
    <n v="70026.7601"/>
    <n v="63410.482000000004"/>
  </r>
  <r>
    <x v="36"/>
    <s v="ЭЛЬМАШ"/>
    <n v="70734.0236"/>
    <n v="70734.0236"/>
    <n v="64050.9208"/>
  </r>
  <r>
    <x v="37"/>
    <s v="Старая сортировка"/>
    <n v="59368.686099999999"/>
    <n v="59368.686099999999"/>
    <n v="53759.401700000002"/>
  </r>
  <r>
    <x v="38"/>
    <s v="ВИЗ"/>
    <n v="84298.205100000006"/>
    <n v="84298.205100000006"/>
    <n v="76333.533100000001"/>
  </r>
  <r>
    <x v="39"/>
    <s v="Центр"/>
    <n v="93989.912800000006"/>
    <n v="93989.912800000006"/>
    <n v="85109.545199999993"/>
  </r>
  <r>
    <x v="40"/>
    <s v="Центр"/>
    <n v="93989.912800000006"/>
    <n v="93989.912800000006"/>
    <n v="85109.545199999993"/>
  </r>
  <r>
    <x v="41"/>
    <s v="ЭЛЬМАШ"/>
    <n v="70734.0236"/>
    <n v="70734.0236"/>
    <n v="64050.9208"/>
  </r>
  <r>
    <x v="42"/>
    <s v="АВТОВОКЗАЛ"/>
    <n v="83744.997499999998"/>
    <n v="83744.997499999998"/>
    <n v="75832.596099999995"/>
  </r>
  <r>
    <x v="43"/>
    <s v="ПИОНЕРСКИЙ"/>
    <n v="77743.704100000003"/>
    <n v="77743.704100000003"/>
    <n v="70398.310800000007"/>
  </r>
  <r>
    <x v="44"/>
    <s v="Старая сортировка"/>
    <n v="59368.686099999999"/>
    <n v="59368.686099999999"/>
    <n v="53759.401700000002"/>
  </r>
  <r>
    <x v="45"/>
    <s v="УРАЛМАШ"/>
    <n v="70026.7601"/>
    <n v="70026.7601"/>
    <n v="63410.482000000004"/>
  </r>
  <r>
    <x v="46"/>
    <s v="УКТУС"/>
    <n v="63640.311600000001"/>
    <n v="63640.311600000001"/>
    <n v="57627.4473"/>
  </r>
  <r>
    <x v="47"/>
    <s v="УРАЛМАШ"/>
    <n v="70026.7601"/>
    <n v="70026.7601"/>
    <n v="63410.482000000004"/>
  </r>
  <r>
    <x v="48"/>
    <s v="ИСТОК"/>
    <n v="53500.443299999999"/>
    <n v="53500.443299999999"/>
    <n v="48445.605100000001"/>
  </r>
  <r>
    <x v="49"/>
    <s v="УРАЛМАШ"/>
    <n v="70026.7601"/>
    <n v="70026.7601"/>
    <n v="63410.482000000004"/>
  </r>
  <r>
    <x v="50"/>
    <s v="Новая сортировка"/>
    <n v="64914.8"/>
    <n v="64914.8"/>
    <n v="58781.519200000002"/>
  </r>
  <r>
    <x v="51"/>
    <s v="СИБИРСКИЙ"/>
    <n v="63556.280200000001"/>
    <n v="63556.280200000001"/>
    <n v="57551.353499999997"/>
  </r>
  <r>
    <x v="52"/>
    <s v="Старая сортировка"/>
    <n v="59368.686099999999"/>
    <n v="59368.686099999999"/>
    <n v="53759.401700000002"/>
  </r>
  <r>
    <x v="53"/>
    <s v="ПАРКОВЫЙ"/>
    <n v="81392.097599999994"/>
    <n v="81392.097599999994"/>
    <n v="73702.001099999994"/>
  </r>
  <r>
    <x v="54"/>
    <s v="Новая сортировка"/>
    <n v="64914.8"/>
    <n v="64914.8"/>
    <n v="58781.519200000002"/>
  </r>
  <r>
    <x v="55"/>
    <s v="Ю-З"/>
    <n v="76630.280299999999"/>
    <n v="76630.280299999999"/>
    <n v="69390.088799999998"/>
  </r>
  <r>
    <x v="56"/>
    <s v="ХИММАШ"/>
    <n v="61980.678599999999"/>
    <n v="61980.678599999999"/>
    <n v="56124.615700000002"/>
  </r>
  <r>
    <x v="57"/>
    <s v="ВИЗ"/>
    <n v="84298.205100000006"/>
    <n v="84298.205100000006"/>
    <n v="76333.533100000001"/>
  </r>
  <r>
    <x v="58"/>
    <s v="ВТУЗГОРОДОК"/>
    <n v="77071.442599999995"/>
    <n v="77071.442599999995"/>
    <n v="69789.570900000006"/>
  </r>
  <r>
    <x v="59"/>
    <s v="АВТОВОКЗАЛ"/>
    <n v="83744.997499999998"/>
    <n v="83744.997499999998"/>
    <n v="75832.596099999995"/>
  </r>
  <r>
    <x v="60"/>
    <s v="ЕЛИЗАВЕТ"/>
    <n v="60958.294800000003"/>
    <n v="60958.294800000003"/>
    <n v="55198.825199999999"/>
  </r>
  <r>
    <x v="61"/>
    <s v="АВТОВОКЗАЛ"/>
    <n v="83744.997499999998"/>
    <n v="83744.997499999998"/>
    <n v="75832.596099999995"/>
  </r>
  <r>
    <x v="62"/>
    <s v="ПИОНЕРСКИЙ"/>
    <n v="77743.704100000003"/>
    <n v="77743.704100000003"/>
    <n v="70398.310800000007"/>
  </r>
  <r>
    <x v="63"/>
    <s v="АВТОВОКЗАЛ"/>
    <n v="83744.997499999998"/>
    <n v="83744.997499999998"/>
    <n v="75832.596099999995"/>
  </r>
  <r>
    <x v="64"/>
    <s v="АВТОВОКЗАЛ"/>
    <n v="83744.997499999998"/>
    <n v="83744.997499999998"/>
    <n v="75832.596099999995"/>
  </r>
  <r>
    <x v="65"/>
    <s v="АВТОВОКЗАЛ"/>
    <n v="83744.997499999998"/>
    <n v="83744.997499999998"/>
    <n v="75832.596099999995"/>
  </r>
  <r>
    <x v="66"/>
    <s v="Старая сортировка"/>
    <n v="59368.686099999999"/>
    <n v="59368.686099999999"/>
    <n v="53759.401700000002"/>
  </r>
  <r>
    <x v="67"/>
    <s v="ВИЗ"/>
    <n v="84298.205100000006"/>
    <n v="84298.205100000006"/>
    <n v="76333.533100000001"/>
  </r>
  <r>
    <x v="68"/>
    <s v="Центр"/>
    <n v="93989.912800000006"/>
    <n v="93989.912800000006"/>
    <n v="85109.545199999993"/>
  </r>
  <r>
    <x v="69"/>
    <s v="Ю-З"/>
    <n v="76630.280299999999"/>
    <n v="76630.280299999999"/>
    <n v="69390.088799999998"/>
  </r>
  <r>
    <x v="70"/>
    <s v="ЧЕРМЕТ"/>
    <n v="62652.9401"/>
    <n v="62652.9401"/>
    <n v="56733.3557"/>
  </r>
  <r>
    <x v="71"/>
    <s v="ВТУЗГОРОДОК"/>
    <n v="77071.442599999995"/>
    <n v="77071.442599999995"/>
    <n v="69789.570900000006"/>
  </r>
  <r>
    <x v="72"/>
    <s v="УРАЛМАШ"/>
    <n v="70026.7601"/>
    <n v="70026.7601"/>
    <n v="63410.482000000004"/>
  </r>
  <r>
    <x v="73"/>
    <s v="ЧЕРМЕТ"/>
    <n v="62652.9401"/>
    <n v="62652.9401"/>
    <n v="56733.3557"/>
  </r>
  <r>
    <x v="74"/>
    <s v="ЧЕРМЕТ"/>
    <n v="62652.9401"/>
    <n v="62652.9401"/>
    <n v="56733.3557"/>
  </r>
  <r>
    <x v="75"/>
    <s v="АКАДЕМИЧЕСКИЙ"/>
    <n v="61763.596599999997"/>
    <n v="61763.596599999997"/>
    <n v="55928.0435"/>
  </r>
  <r>
    <x v="76"/>
    <s v="АВТОВОКЗАЛ"/>
    <n v="83744.997499999998"/>
    <n v="83744.997499999998"/>
    <n v="75832.596099999995"/>
  </r>
  <r>
    <x v="77"/>
    <s v="УКТУС"/>
    <n v="63640.311600000001"/>
    <n v="63640.311600000001"/>
    <n v="57627.4473"/>
  </r>
  <r>
    <x v="78"/>
    <s v="УРАЛМАШ"/>
    <n v="70026.7601"/>
    <n v="70026.7601"/>
    <n v="63410.482000000004"/>
  </r>
  <r>
    <x v="79"/>
    <s v="ШИРОКАЯ РЕЧКА"/>
    <n v="63178.133800000003"/>
    <n v="63178.133800000003"/>
    <n v="57208.931499999999"/>
  </r>
  <r>
    <x v="80"/>
    <s v="ЧУСОВСКОЕ ОЗЕРО"/>
    <n v="49782.025399999999"/>
    <n v="49782.025399999999"/>
    <n v="45078.506800000003"/>
  </r>
  <r>
    <x v="81"/>
    <s v="ВТУЗГОРОДОК"/>
    <n v="77071.442599999995"/>
    <n v="77071.442599999995"/>
    <n v="69789.570900000006"/>
  </r>
  <r>
    <x v="82"/>
    <s v="ЖБИ"/>
    <n v="69382.512499999997"/>
    <n v="69382.512499999997"/>
    <n v="62827.103199999998"/>
  </r>
  <r>
    <x v="83"/>
    <s v="ХИММАШ"/>
    <n v="61980.678599999999"/>
    <n v="61980.678599999999"/>
    <n v="56124.615700000002"/>
  </r>
  <r>
    <x v="84"/>
    <s v="ВОКЗАЛЬНЫЙ"/>
    <n v="78633.047600000005"/>
    <n v="78633.047600000005"/>
    <n v="71203.623000000007"/>
  </r>
  <r>
    <x v="85"/>
    <s v="АВТОВОКЗАЛ"/>
    <n v="83744.997499999998"/>
    <n v="83744.997499999998"/>
    <n v="75832.596099999995"/>
  </r>
  <r>
    <x v="86"/>
    <s v="ЧЕРМЕТ"/>
    <n v="62652.9401"/>
    <n v="62652.9401"/>
    <n v="56733.3557"/>
  </r>
  <r>
    <x v="87"/>
    <s v="АВТОВОКЗАЛ"/>
    <n v="83744.997499999998"/>
    <n v="83744.997499999998"/>
    <n v="75832.596099999995"/>
  </r>
  <r>
    <x v="88"/>
    <s v="Центр"/>
    <n v="93989.912800000006"/>
    <n v="93989.912800000006"/>
    <n v="85109.545199999993"/>
  </r>
  <r>
    <x v="89"/>
    <s v="УРАЛМАШ"/>
    <n v="70026.7601"/>
    <n v="70026.7601"/>
    <n v="63410.482000000004"/>
  </r>
  <r>
    <x v="90"/>
    <s v="УРАЛМАШ"/>
    <n v="70026.7601"/>
    <n v="70026.7601"/>
    <n v="63410.482000000004"/>
  </r>
  <r>
    <x v="91"/>
    <s v="ВИЗ"/>
    <n v="84298.205100000006"/>
    <n v="84298.205100000006"/>
    <n v="76333.533100000001"/>
  </r>
  <r>
    <x v="92"/>
    <s v="АВТОВОКЗАЛ"/>
    <n v="83744.997499999998"/>
    <n v="83744.997499999998"/>
    <n v="75832.596099999995"/>
  </r>
  <r>
    <x v="93"/>
    <s v="ШАБРОВСКИЙ"/>
    <n v="37590.3603"/>
    <n v="37590.3603"/>
    <n v="34038.745900000002"/>
  </r>
  <r>
    <x v="94"/>
    <s v="Центр"/>
    <n v="93989.912800000006"/>
    <n v="93989.912800000006"/>
    <n v="85109.545199999993"/>
  </r>
  <r>
    <x v="95"/>
    <s v="ШАБРОВСКИЙ"/>
    <n v="37590.3603"/>
    <n v="37590.3603"/>
    <n v="34038.745900000002"/>
  </r>
  <r>
    <x v="96"/>
    <s v="ИСТОК"/>
    <n v="53500.443299999999"/>
    <n v="53500.443299999999"/>
    <n v="48445.605100000001"/>
  </r>
  <r>
    <x v="97"/>
    <s v="ЖБИ"/>
    <n v="69382.512499999997"/>
    <n v="69382.512499999997"/>
    <n v="62827.103199999998"/>
  </r>
  <r>
    <x v="98"/>
    <s v="ВТУЗГОРОДОК"/>
    <n v="77071.442599999995"/>
    <n v="77071.442599999995"/>
    <n v="69789.570900000006"/>
  </r>
  <r>
    <x v="99"/>
    <s v="ШАРТАШ"/>
    <n v="68129.029500000004"/>
    <n v="68129.029500000004"/>
    <n v="61692.054799999998"/>
  </r>
  <r>
    <x v="100"/>
    <s v="ШАРТАШ"/>
    <n v="68129.029500000004"/>
    <n v="68129.029500000004"/>
    <n v="61692.054799999998"/>
  </r>
  <r>
    <x v="101"/>
    <s v="ГОРНЫЙ ЩИТ"/>
    <n v="52246.960299999999"/>
    <n v="52246.960299999999"/>
    <n v="47310.556700000001"/>
  </r>
  <r>
    <x v="102"/>
    <s v="УРАЛМАШ"/>
    <n v="70026.7601"/>
    <n v="70026.7601"/>
    <n v="63410.482000000004"/>
  </r>
  <r>
    <x v="103"/>
    <s v="Центр"/>
    <n v="93989.912800000006"/>
    <n v="93989.912800000006"/>
    <n v="85109.545199999993"/>
  </r>
  <r>
    <x v="104"/>
    <s v="ЧЕРМЕТ"/>
    <n v="62652.9401"/>
    <n v="62652.9401"/>
    <n v="56733.3557"/>
  </r>
  <r>
    <x v="105"/>
    <s v="Центр"/>
    <n v="93989.912800000006"/>
    <n v="93989.912800000006"/>
    <n v="85109.545199999993"/>
  </r>
  <r>
    <x v="106"/>
    <s v="ЗАРЕЧНЫЙ"/>
    <n v="71105.171700000006"/>
    <n v="71105.171700000006"/>
    <n v="64387.005100000002"/>
  </r>
  <r>
    <x v="107"/>
    <s v="Старая сортировка"/>
    <n v="59368.686099999999"/>
    <n v="59368.686099999999"/>
    <n v="53759.401700000002"/>
  </r>
  <r>
    <x v="108"/>
    <s v="ПТИЦЕФАБРИКА"/>
    <n v="56847.723400000003"/>
    <n v="56847.723400000003"/>
    <n v="51476.629399999998"/>
  </r>
  <r>
    <x v="109"/>
    <s v="ЧЕРМЕТ"/>
    <n v="62652.9401"/>
    <n v="62652.9401"/>
    <n v="56733.3557"/>
  </r>
  <r>
    <x v="110"/>
    <s v="ВИЗ"/>
    <n v="84298.205100000006"/>
    <n v="84298.205100000006"/>
    <n v="76333.533100000001"/>
  </r>
  <r>
    <x v="111"/>
    <s v="ЧЕРМЕТ"/>
    <n v="62652.9401"/>
    <n v="62652.9401"/>
    <n v="56733.3557"/>
  </r>
  <r>
    <x v="112"/>
    <s v="ЭЛЬМАШ"/>
    <n v="70734.0236"/>
    <n v="70734.0236"/>
    <n v="64050.9208"/>
  </r>
  <r>
    <x v="113"/>
    <s v="ЧЕРМЕТ"/>
    <n v="62652.9401"/>
    <n v="62652.9401"/>
    <n v="56733.3557"/>
  </r>
  <r>
    <x v="114"/>
    <s v="ПИОНЕРСКИЙ"/>
    <n v="77743.704100000003"/>
    <n v="77743.704100000003"/>
    <n v="70398.310800000007"/>
  </r>
  <r>
    <x v="115"/>
    <s v="ПИОНЕРСКИЙ"/>
    <n v="77743.704100000003"/>
    <n v="77743.704100000003"/>
    <n v="70398.310800000007"/>
  </r>
  <r>
    <x v="116"/>
    <s v="ЭЛЬМАШ"/>
    <n v="70734.0236"/>
    <n v="70734.0236"/>
    <n v="64050.9208"/>
  </r>
  <r>
    <x v="117"/>
    <s v="УРАЛМАШ"/>
    <n v="70026.7601"/>
    <n v="70026.7601"/>
    <n v="63410.482000000004"/>
  </r>
  <r>
    <x v="118"/>
    <s v="ЗАВОКЗАЛЬНЫЙ"/>
    <n v="56140.449699999997"/>
    <n v="56140.449699999997"/>
    <n v="50836.1803"/>
  </r>
  <r>
    <x v="119"/>
    <s v="УКТУС"/>
    <n v="63640.311600000001"/>
    <n v="63640.311600000001"/>
    <n v="57627.4473"/>
  </r>
  <r>
    <x v="120"/>
    <s v="Ю-З"/>
    <n v="76630.280299999999"/>
    <n v="76630.280299999999"/>
    <n v="69390.088799999998"/>
  </r>
  <r>
    <x v="121"/>
    <s v="ЖБИ"/>
    <n v="69382.512499999997"/>
    <n v="69382.512499999997"/>
    <n v="62827.103199999998"/>
  </r>
  <r>
    <x v="122"/>
    <s v="Шарташский рынок"/>
    <n v="79683.445300000007"/>
    <n v="79683.445300000007"/>
    <n v="72154.784899999999"/>
  </r>
  <r>
    <x v="123"/>
    <s v="ЖБИ"/>
    <n v="69382.512499999997"/>
    <n v="69382.512499999997"/>
    <n v="62827.103199999998"/>
  </r>
  <r>
    <x v="124"/>
    <s v="ВТУЗГОРОДОК"/>
    <n v="77071.442599999995"/>
    <n v="77071.442599999995"/>
    <n v="69789.570900000006"/>
  </r>
  <r>
    <x v="125"/>
    <s v="ВИЗ"/>
    <n v="84298.205100000006"/>
    <n v="84298.205100000006"/>
    <n v="76333.533100000001"/>
  </r>
  <r>
    <x v="126"/>
    <s v="Шарташский рынок"/>
    <n v="79683.445300000007"/>
    <n v="79683.445300000007"/>
    <n v="72154.784899999999"/>
  </r>
  <r>
    <x v="127"/>
    <s v="Центр"/>
    <n v="93989.912800000006"/>
    <n v="93989.912800000006"/>
    <n v="85109.545199999993"/>
  </r>
  <r>
    <x v="128"/>
    <s v="Ю-З"/>
    <n v="76630.280299999999"/>
    <n v="76630.280299999999"/>
    <n v="69390.088799999998"/>
  </r>
  <r>
    <x v="129"/>
    <s v="УРАЛМАШ"/>
    <n v="70026.7601"/>
    <n v="70026.7601"/>
    <n v="63410.482000000004"/>
  </r>
  <r>
    <x v="130"/>
    <s v="ВИЗ"/>
    <n v="84298.205100000006"/>
    <n v="84298.205100000006"/>
    <n v="76333.533100000001"/>
  </r>
  <r>
    <x v="131"/>
    <s v="Центр"/>
    <n v="93989.912800000006"/>
    <n v="93989.912800000006"/>
    <n v="85109.545199999993"/>
  </r>
  <r>
    <x v="132"/>
    <s v="Центр"/>
    <n v="93989.912800000006"/>
    <n v="93989.912800000006"/>
    <n v="85109.545199999993"/>
  </r>
  <r>
    <x v="133"/>
    <s v="УРАЛМАШ"/>
    <n v="70026.7601"/>
    <n v="70026.7601"/>
    <n v="63410.482000000004"/>
  </r>
  <r>
    <x v="134"/>
    <s v="ПАРКОВЫЙ"/>
    <n v="81392.097599999994"/>
    <n v="81392.097599999994"/>
    <n v="73702.001099999994"/>
  </r>
  <r>
    <x v="135"/>
    <s v="УРАЛМАШ"/>
    <n v="70026.7601"/>
    <n v="70026.7601"/>
    <n v="63410.482000000004"/>
  </r>
  <r>
    <x v="136"/>
    <s v="Центр"/>
    <n v="93989.912800000006"/>
    <n v="93989.912800000006"/>
    <n v="85109.545199999993"/>
  </r>
  <r>
    <x v="137"/>
    <s v="АВТОВОКЗАЛ"/>
    <n v="83744.997499999998"/>
    <n v="83744.997499999998"/>
    <n v="75832.596099999995"/>
  </r>
  <r>
    <x v="138"/>
    <s v="Центр"/>
    <n v="93989.912800000006"/>
    <n v="93989.912800000006"/>
    <n v="85109.545199999993"/>
  </r>
  <r>
    <x v="139"/>
    <s v="Центр"/>
    <n v="93989.912800000006"/>
    <n v="93989.912800000006"/>
    <n v="85109.545199999993"/>
  </r>
  <r>
    <x v="140"/>
    <s v="ЭЛЬМАШ"/>
    <n v="70734.0236"/>
    <n v="70734.0236"/>
    <n v="64050.9208"/>
  </r>
  <r>
    <x v="141"/>
    <s v="ВТУЗГОРОДОК"/>
    <n v="77071.442599999995"/>
    <n v="77071.442599999995"/>
    <n v="69789.570900000006"/>
  </r>
  <r>
    <x v="142"/>
    <s v="УКТУС"/>
    <n v="63640.311600000001"/>
    <n v="63640.311600000001"/>
    <n v="57627.4473"/>
  </r>
  <r>
    <x v="143"/>
    <s v="АВТОВОКЗАЛ"/>
    <n v="83744.997499999998"/>
    <n v="83744.997499999998"/>
    <n v="75832.596099999995"/>
  </r>
  <r>
    <x v="144"/>
    <s v="ПИОНЕРСКИЙ"/>
    <n v="77743.704100000003"/>
    <n v="77743.704100000003"/>
    <n v="70398.310800000007"/>
  </r>
  <r>
    <x v="145"/>
    <s v="ВИЗ"/>
    <n v="84298.205100000006"/>
    <n v="84298.205100000006"/>
    <n v="76333.533100000001"/>
  </r>
  <r>
    <x v="146"/>
    <s v="Ю-З"/>
    <n v="76630.280299999999"/>
    <n v="76630.280299999999"/>
    <n v="69390.088799999998"/>
  </r>
  <r>
    <x v="147"/>
    <s v="УРАЛМАШ"/>
    <n v="70026.7601"/>
    <n v="70026.7601"/>
    <n v="63410.482000000004"/>
  </r>
  <r>
    <x v="148"/>
    <s v="АВТОВОКЗАЛ"/>
    <n v="83744.997499999998"/>
    <n v="83744.997499999998"/>
    <n v="75832.596099999995"/>
  </r>
  <r>
    <x v="149"/>
    <s v="ПИОНЕРСКИЙ"/>
    <n v="77743.704100000003"/>
    <n v="77743.704100000003"/>
    <n v="70398.310800000007"/>
  </r>
  <r>
    <x v="150"/>
    <s v="ВТУЗГОРОДОК"/>
    <n v="77071.442599999995"/>
    <n v="77071.442599999995"/>
    <n v="69789.570900000006"/>
  </r>
  <r>
    <x v="151"/>
    <s v="МАЛЫЙ ИСТОК"/>
    <n v="60173.9879"/>
    <n v="60173.9879"/>
    <n v="54488.630299999997"/>
  </r>
  <r>
    <x v="152"/>
    <s v="ЧЕРМЕТ"/>
    <n v="62652.9401"/>
    <n v="62652.9401"/>
    <n v="56733.3557"/>
  </r>
  <r>
    <x v="153"/>
    <s v="ЗАВОКЗАЛЬНЫЙ"/>
    <n v="56140.449699999997"/>
    <n v="56140.449699999997"/>
    <n v="50836.1803"/>
  </r>
  <r>
    <x v="154"/>
    <s v="ШИРОКАЯ РЕЧКА"/>
    <n v="63178.133800000003"/>
    <n v="63178.133800000003"/>
    <n v="57208.931499999999"/>
  </r>
  <r>
    <x v="155"/>
    <s v="ШИРОКАЯ РЕЧКА"/>
    <n v="63178.133800000003"/>
    <n v="63178.133800000003"/>
    <n v="57208.931499999999"/>
  </r>
  <r>
    <x v="156"/>
    <s v="Центр"/>
    <n v="93989.912800000006"/>
    <n v="93989.912800000006"/>
    <n v="85109.545199999993"/>
  </r>
  <r>
    <x v="157"/>
    <s v="Центр"/>
    <n v="93989.912800000006"/>
    <n v="93989.912800000006"/>
    <n v="85109.545199999993"/>
  </r>
  <r>
    <x v="158"/>
    <s v="ИСТОК"/>
    <n v="53500.443299999999"/>
    <n v="53500.443299999999"/>
    <n v="48445.605100000001"/>
  </r>
  <r>
    <x v="159"/>
    <s v="ВОКЗАЛЬНЫЙ"/>
    <n v="78633.047600000005"/>
    <n v="78633.047600000005"/>
    <n v="71203.623000000007"/>
  </r>
  <r>
    <x v="160"/>
    <s v="ВИЗ"/>
    <n v="84298.205100000006"/>
    <n v="84298.205100000006"/>
    <n v="76333.533100000001"/>
  </r>
  <r>
    <x v="161"/>
    <s v="ШАРТАШ"/>
    <n v="68129.029500000004"/>
    <n v="68129.029500000004"/>
    <n v="61692.054799999998"/>
  </r>
  <r>
    <x v="162"/>
    <s v="АВТОВОКЗАЛ"/>
    <n v="83744.997499999998"/>
    <n v="83744.997499999998"/>
    <n v="75832.596099999995"/>
  </r>
  <r>
    <x v="163"/>
    <s v="УКТУС"/>
    <n v="63640.311600000001"/>
    <n v="63640.311600000001"/>
    <n v="57627.4473"/>
  </r>
  <r>
    <x v="164"/>
    <s v="ПИОНЕРСКИЙ"/>
    <n v="77743.704100000003"/>
    <n v="77743.704100000003"/>
    <n v="70398.310800000007"/>
  </r>
  <r>
    <x v="165"/>
    <s v="ГОРНЫЙ ЩИТ"/>
    <n v="52246.960299999999"/>
    <n v="52246.960299999999"/>
    <n v="47310.556700000001"/>
  </r>
  <r>
    <x v="166"/>
    <s v="ЭЛЬМАШ"/>
    <n v="70734.0236"/>
    <n v="70734.0236"/>
    <n v="64050.9208"/>
  </r>
  <r>
    <x v="167"/>
    <s v="ЗАВОКЗАЛЬНЫЙ"/>
    <n v="56140.449699999997"/>
    <n v="56140.449699999997"/>
    <n v="50836.1803"/>
  </r>
  <r>
    <x v="168"/>
    <s v="ЭЛЬМАШ"/>
    <n v="70734.0236"/>
    <n v="70734.0236"/>
    <n v="64050.9208"/>
  </r>
  <r>
    <x v="169"/>
    <s v="КОЛЬЦОВО"/>
    <n v="54886.9666"/>
    <n v="54886.9666"/>
    <n v="49701.1319"/>
  </r>
  <r>
    <x v="170"/>
    <s v="АВТОВОКЗАЛ"/>
    <n v="83744.997499999998"/>
    <n v="83744.997499999998"/>
    <n v="75832.596099999995"/>
  </r>
  <r>
    <x v="171"/>
    <s v="ЖБИ"/>
    <n v="69382.512499999997"/>
    <n v="69382.512499999997"/>
    <n v="62827.103199999998"/>
  </r>
  <r>
    <x v="172"/>
    <s v="Центр"/>
    <n v="93989.912800000006"/>
    <n v="93989.912800000006"/>
    <n v="85109.545199999993"/>
  </r>
  <r>
    <x v="173"/>
    <s v="СИНИЕ КАМНИ"/>
    <n v="68647.224799999996"/>
    <n v="68647.224799999996"/>
    <n v="62161.2929"/>
  </r>
  <r>
    <x v="174"/>
    <s v="Центр"/>
    <n v="93989.912800000006"/>
    <n v="93989.912800000006"/>
    <n v="85109.545199999993"/>
  </r>
  <r>
    <x v="175"/>
    <s v="Центр"/>
    <n v="93989.912800000006"/>
    <n v="93989.912800000006"/>
    <n v="85109.545199999993"/>
  </r>
  <r>
    <x v="176"/>
    <s v="ШАБРОВСКИЙ"/>
    <n v="37590.3603"/>
    <n v="37590.3603"/>
    <n v="34038.745900000002"/>
  </r>
  <r>
    <x v="177"/>
    <s v="БОТАНИЧЕСКИЙ"/>
    <n v="77064.444199999998"/>
    <n v="77064.444199999998"/>
    <n v="69783.233200000002"/>
  </r>
  <r>
    <x v="178"/>
    <s v="СОВХОЗ"/>
    <n v="59746.832600000002"/>
    <n v="59746.832600000002"/>
    <n v="54101.823700000001"/>
  </r>
  <r>
    <x v="179"/>
    <s v="Центр"/>
    <n v="93989.912800000006"/>
    <n v="93989.912800000006"/>
    <n v="85109.545199999993"/>
  </r>
  <r>
    <x v="180"/>
    <s v="Центр"/>
    <n v="93989.912800000006"/>
    <n v="93989.912800000006"/>
    <n v="85109.545199999993"/>
  </r>
  <r>
    <x v="181"/>
    <s v="БОТАНИЧЕСКИЙ"/>
    <n v="77064.444199999998"/>
    <n v="77064.444199999998"/>
    <n v="69783.233200000002"/>
  </r>
  <r>
    <x v="182"/>
    <s v="САДОВЫЙ"/>
    <n v="53262.345800000003"/>
    <n v="53262.345800000003"/>
    <n v="48230.0095"/>
  </r>
  <r>
    <x v="183"/>
    <s v="ЭЛЬМАШ"/>
    <n v="70734.0236"/>
    <n v="70734.0236"/>
    <n v="64050.9208"/>
  </r>
  <r>
    <x v="184"/>
    <s v="Ю-З"/>
    <n v="76630.280299999999"/>
    <n v="76630.280299999999"/>
    <n v="69390.088799999998"/>
  </r>
  <r>
    <x v="185"/>
    <s v="Ю-З"/>
    <n v="76630.280299999999"/>
    <n v="76630.280299999999"/>
    <n v="69390.088799999998"/>
  </r>
  <r>
    <x v="186"/>
    <s v="ЧЕРМЕТ"/>
    <n v="62652.9401"/>
    <n v="62652.9401"/>
    <n v="56733.3557"/>
  </r>
  <r>
    <x v="187"/>
    <s v="ПИОНЕРСКИЙ"/>
    <n v="77743.704100000003"/>
    <n v="77743.704100000003"/>
    <n v="70398.310800000007"/>
  </r>
  <r>
    <x v="188"/>
    <s v="ХИММАШ"/>
    <n v="61980.678599999999"/>
    <n v="61980.678599999999"/>
    <n v="56124.615700000002"/>
  </r>
  <r>
    <x v="189"/>
    <s v="СОВХОЗ"/>
    <n v="59746.832600000002"/>
    <n v="59746.832600000002"/>
    <n v="54101.823700000001"/>
  </r>
  <r>
    <x v="190"/>
    <s v="ЧЕРМЕТ"/>
    <n v="62652.9401"/>
    <n v="62652.9401"/>
    <n v="56733.3557"/>
  </r>
  <r>
    <x v="191"/>
    <s v="Ю-З"/>
    <n v="76630.280299999999"/>
    <n v="76630.280299999999"/>
    <n v="69390.088799999998"/>
  </r>
  <r>
    <x v="192"/>
    <s v="ПИОНЕРСКИЙ"/>
    <n v="77743.704100000003"/>
    <n v="77743.704100000003"/>
    <n v="70398.310800000007"/>
  </r>
  <r>
    <x v="193"/>
    <s v="ВИЗ"/>
    <n v="84298.205100000006"/>
    <n v="84298.205100000006"/>
    <n v="76333.533100000001"/>
  </r>
  <r>
    <x v="194"/>
    <s v="Ю-З"/>
    <n v="76630.280299999999"/>
    <n v="76630.280299999999"/>
    <n v="69390.088799999998"/>
  </r>
  <r>
    <x v="195"/>
    <s v="УКТУС"/>
    <n v="63640.311600000001"/>
    <n v="63640.311600000001"/>
    <n v="57627.4473"/>
  </r>
  <r>
    <x v="196"/>
    <s v="СЕВЕРКА"/>
    <n v="51175.5573"/>
    <n v="51175.5573"/>
    <n v="46340.381600000001"/>
  </r>
  <r>
    <x v="197"/>
    <s v="ЧЕРМЕТ"/>
    <n v="62652.9401"/>
    <n v="62652.9401"/>
    <n v="56733.3557"/>
  </r>
  <r>
    <x v="198"/>
    <s v="ВИЗ"/>
    <n v="84298.205100000006"/>
    <n v="84298.205100000006"/>
    <n v="76333.533100000001"/>
  </r>
  <r>
    <x v="199"/>
    <s v="УКТУС"/>
    <n v="63640.311600000001"/>
    <n v="63640.311600000001"/>
    <n v="57627.4473"/>
  </r>
  <r>
    <x v="200"/>
    <s v="Центр"/>
    <n v="93989.912800000006"/>
    <n v="93989.912800000006"/>
    <n v="85109.545199999993"/>
  </r>
  <r>
    <x v="201"/>
    <s v="ЧЕРМЕТ"/>
    <n v="62652.9401"/>
    <n v="62652.9401"/>
    <n v="56733.3557"/>
  </r>
  <r>
    <x v="202"/>
    <s v="ИСТОК"/>
    <n v="53500.443299999999"/>
    <n v="53500.443299999999"/>
    <n v="48445.605100000001"/>
  </r>
  <r>
    <x v="203"/>
    <s v="АВТОВОКЗАЛ"/>
    <n v="83744.997499999998"/>
    <n v="83744.997499999998"/>
    <n v="75832.596099999995"/>
  </r>
  <r>
    <x v="204"/>
    <s v="РУДНЫЙ"/>
    <n v="46784.877899999999"/>
    <n v="46784.877899999999"/>
    <n v="42364.543299999998"/>
  </r>
  <r>
    <x v="205"/>
    <s v="ЛЕЧЕБНЫЙ"/>
    <n v="57793.0844"/>
    <n v="57793.0844"/>
    <n v="52332.6639"/>
  </r>
  <r>
    <x v="206"/>
    <s v="ПИОНЕРСКИЙ"/>
    <n v="77743.704100000003"/>
    <n v="77743.704100000003"/>
    <n v="70398.310800000007"/>
  </r>
  <r>
    <x v="207"/>
    <s v="АКАДЕМИЧЕСКИЙ"/>
    <n v="61763.596599999997"/>
    <n v="61763.596599999997"/>
    <n v="55928.0435"/>
  </r>
  <r>
    <x v="208"/>
    <s v="Ю-З"/>
    <n v="76630.280299999999"/>
    <n v="76630.280299999999"/>
    <n v="69390.088799999998"/>
  </r>
  <r>
    <x v="209"/>
    <s v="ВТУЗГОРОДОК"/>
    <n v="77071.442599999995"/>
    <n v="77071.442599999995"/>
    <n v="69789.570900000006"/>
  </r>
  <r>
    <x v="210"/>
    <s v="КОЛЬЦОВО"/>
    <n v="54886.9666"/>
    <n v="54886.9666"/>
    <n v="49701.1319"/>
  </r>
  <r>
    <x v="211"/>
    <s v="АВТОВОКЗАЛ"/>
    <n v="83744.997499999998"/>
    <n v="83744.997499999998"/>
    <n v="75832.596099999995"/>
  </r>
  <r>
    <x v="212"/>
    <s v="ЭЛЬМАШ"/>
    <n v="70734.0236"/>
    <n v="70734.0236"/>
    <n v="64050.9208"/>
  </r>
  <r>
    <x v="213"/>
    <s v="УРАЛМАШ"/>
    <n v="70026.7601"/>
    <n v="70026.7601"/>
    <n v="63410.482000000004"/>
  </r>
  <r>
    <x v="214"/>
    <s v="ВИЗ"/>
    <n v="84298.205100000006"/>
    <n v="84298.205100000006"/>
    <n v="76333.533100000001"/>
  </r>
  <r>
    <x v="215"/>
    <s v="УНЦ"/>
    <n v="64795.756300000001"/>
    <n v="64795.756300000001"/>
    <n v="58673.716200000003"/>
  </r>
  <r>
    <x v="216"/>
    <s v="ВИЗ"/>
    <n v="84298.205100000006"/>
    <n v="84298.205100000006"/>
    <n v="76333.533100000001"/>
  </r>
  <r>
    <x v="217"/>
    <s v="УНЦ"/>
    <n v="64795.756300000001"/>
    <n v="64795.756300000001"/>
    <n v="58673.716200000003"/>
  </r>
  <r>
    <x v="218"/>
    <s v="ЗАВОКЗАЛЬНЫЙ"/>
    <n v="56140.449699999997"/>
    <n v="56140.449699999997"/>
    <n v="50836.1803"/>
  </r>
  <r>
    <x v="219"/>
    <s v="ЭЛЬМАШ"/>
    <n v="70734.0236"/>
    <n v="70734.0236"/>
    <n v="64050.9208"/>
  </r>
  <r>
    <x v="220"/>
    <s v="Новая сортировка"/>
    <n v="64914.8"/>
    <n v="64914.8"/>
    <n v="58781.519200000002"/>
  </r>
  <r>
    <x v="221"/>
    <s v="Ю-З"/>
    <n v="76630.280299999999"/>
    <n v="76630.280299999999"/>
    <n v="69390.088799999998"/>
  </r>
  <r>
    <x v="222"/>
    <s v="ХИММАШ"/>
    <n v="61980.678599999999"/>
    <n v="61980.678599999999"/>
    <n v="56124.615700000002"/>
  </r>
  <r>
    <x v="223"/>
    <s v="ВИЗ"/>
    <n v="84298.205100000006"/>
    <n v="84298.205100000006"/>
    <n v="76333.533100000001"/>
  </r>
  <r>
    <x v="224"/>
    <s v="ЗАРЕЧНЫЙ"/>
    <n v="71105.171700000006"/>
    <n v="71105.171700000006"/>
    <n v="64387.005100000002"/>
  </r>
  <r>
    <x v="225"/>
    <s v="ЗАРЕЧНЫЙ"/>
    <n v="71105.171700000006"/>
    <n v="71105.171700000006"/>
    <n v="64387.005100000002"/>
  </r>
  <r>
    <x v="226"/>
    <s v="ЧЕРМЕТ"/>
    <n v="62652.9401"/>
    <n v="62652.9401"/>
    <n v="56733.3557"/>
  </r>
  <r>
    <x v="227"/>
    <s v="ШИРОКАЯ РЕЧКА"/>
    <n v="63178.133800000003"/>
    <n v="63178.133800000003"/>
    <n v="57208.931499999999"/>
  </r>
  <r>
    <x v="228"/>
    <s v="Шувакиш"/>
    <n v="44242.899599999997"/>
    <n v="44242.899599999997"/>
    <n v="40062.737300000001"/>
  </r>
  <r>
    <x v="229"/>
    <s v="АВТОВОКЗАЛ"/>
    <n v="83744.997499999998"/>
    <n v="83744.997499999998"/>
    <n v="75832.596099999995"/>
  </r>
  <r>
    <x v="230"/>
    <s v="АВТОВОКЗАЛ"/>
    <n v="83744.997499999998"/>
    <n v="83744.997499999998"/>
    <n v="75832.596099999995"/>
  </r>
  <r>
    <x v="231"/>
    <s v="УРАЛМАШ"/>
    <n v="70026.7601"/>
    <n v="70026.7601"/>
    <n v="63410.482000000004"/>
  </r>
  <r>
    <x v="232"/>
    <s v="УРАЛМАШ"/>
    <n v="70026.7601"/>
    <n v="70026.7601"/>
    <n v="63410.482000000004"/>
  </r>
  <r>
    <x v="233"/>
    <s v="Старая сортировка"/>
    <n v="59368.686099999999"/>
    <n v="59368.686099999999"/>
    <n v="53759.401700000002"/>
  </r>
  <r>
    <x v="234"/>
    <s v="Ю-З"/>
    <n v="76630.280299999999"/>
    <n v="76630.280299999999"/>
    <n v="69390.088799999998"/>
  </r>
  <r>
    <x v="235"/>
    <s v="Ю-З"/>
    <n v="76630.280299999999"/>
    <n v="76630.280299999999"/>
    <n v="69390.088799999998"/>
  </r>
  <r>
    <x v="236"/>
    <s v="АВТОВОКЗАЛ"/>
    <n v="83744.997499999998"/>
    <n v="83744.997499999998"/>
    <n v="75832.596099999995"/>
  </r>
  <r>
    <x v="237"/>
    <s v="Центр"/>
    <n v="93989.912800000006"/>
    <n v="93989.912800000006"/>
    <n v="85109.545199999993"/>
  </r>
  <r>
    <x v="238"/>
    <s v="КОМПРЕССОРНЫЙ"/>
    <n v="56392.543899999997"/>
    <n v="56392.543899999997"/>
    <n v="51064.4617"/>
  </r>
  <r>
    <x v="239"/>
    <s v="Центр"/>
    <n v="93989.912800000006"/>
    <n v="93989.912800000006"/>
    <n v="85109.545199999993"/>
  </r>
  <r>
    <x v="240"/>
    <s v="САДОВЫЙ"/>
    <n v="53262.345800000003"/>
    <n v="53262.345800000003"/>
    <n v="48230.0095"/>
  </r>
  <r>
    <x v="241"/>
    <s v="ЭЛЬМАШ"/>
    <n v="70734.0236"/>
    <n v="70734.0236"/>
    <n v="64050.9208"/>
  </r>
  <r>
    <x v="242"/>
    <s v="ВТУЗГОРОДОК"/>
    <n v="77071.442599999995"/>
    <n v="77071.442599999995"/>
    <n v="69789.570900000006"/>
  </r>
  <r>
    <x v="243"/>
    <s v="ШАБРОВСКИЙ"/>
    <n v="37590.3603"/>
    <n v="37590.3603"/>
    <n v="34038.745900000002"/>
  </r>
  <r>
    <x v="244"/>
    <s v="ЧЕРМЕТ"/>
    <n v="62652.9401"/>
    <n v="62652.9401"/>
    <n v="56733.3557"/>
  </r>
  <r>
    <x v="245"/>
    <s v="УРАЛМАШ"/>
    <n v="70026.7601"/>
    <n v="70026.7601"/>
    <n v="63410.482000000004"/>
  </r>
  <r>
    <x v="246"/>
    <s v="Центр"/>
    <n v="93989.912800000006"/>
    <n v="93989.912800000006"/>
    <n v="85109.545199999993"/>
  </r>
  <r>
    <x v="247"/>
    <s v="ПИОНЕРСКИЙ"/>
    <n v="77743.704100000003"/>
    <n v="77743.704100000003"/>
    <n v="70398.310800000007"/>
  </r>
  <r>
    <x v="248"/>
    <s v="Центр"/>
    <n v="93989.912800000006"/>
    <n v="93989.912800000006"/>
    <n v="85109.545199999993"/>
  </r>
  <r>
    <x v="249"/>
    <s v="УРАЛМАШ"/>
    <n v="70026.7601"/>
    <n v="70026.7601"/>
    <n v="63410.482000000004"/>
  </r>
  <r>
    <x v="250"/>
    <s v="Ю-З"/>
    <n v="76630.280299999999"/>
    <n v="76630.280299999999"/>
    <n v="69390.088799999998"/>
  </r>
  <r>
    <x v="251"/>
    <s v="ХИММАШ"/>
    <n v="61980.678599999999"/>
    <n v="61980.678599999999"/>
    <n v="56124.615700000002"/>
  </r>
  <r>
    <x v="252"/>
    <s v="ГОРНЫЙ ЩИТ"/>
    <n v="52246.960299999999"/>
    <n v="52246.960299999999"/>
    <n v="47310.556700000001"/>
  </r>
  <r>
    <x v="253"/>
    <s v="ШИРОКАЯ РЕЧКА"/>
    <n v="63178.133800000003"/>
    <n v="63178.133800000003"/>
    <n v="57208.931499999999"/>
  </r>
  <r>
    <x v="254"/>
    <s v="УКТУС"/>
    <n v="63640.311600000001"/>
    <n v="63640.311600000001"/>
    <n v="57627.4473"/>
  </r>
  <r>
    <x v="255"/>
    <s v="Центр"/>
    <n v="93989.912800000006"/>
    <n v="93989.912800000006"/>
    <n v="85109.545199999993"/>
  </r>
  <r>
    <x v="256"/>
    <s v="ВИЗ"/>
    <n v="84298.205100000006"/>
    <n v="84298.205100000006"/>
    <n v="76333.533100000001"/>
  </r>
  <r>
    <x v="257"/>
    <s v="ШАРТАШ"/>
    <n v="68129.029500000004"/>
    <n v="68129.029500000004"/>
    <n v="61692.054799999998"/>
  </r>
  <r>
    <x v="258"/>
    <s v="ЕЛИЗАВЕТ"/>
    <n v="60958.294800000003"/>
    <n v="60958.294800000003"/>
    <n v="55198.825199999999"/>
  </r>
  <r>
    <x v="259"/>
    <s v="АВТОВОКЗАЛ"/>
    <n v="83744.997499999998"/>
    <n v="83744.997499999998"/>
    <n v="75832.596099999995"/>
  </r>
  <r>
    <x v="260"/>
    <s v="ШУВАКИШ"/>
    <n v="44242.899599999997"/>
    <n v="44242.899599999997"/>
    <n v="40062.737300000001"/>
  </r>
  <r>
    <x v="261"/>
    <s v="ХИММАШ"/>
    <n v="61980.678599999999"/>
    <n v="61980.678599999999"/>
    <n v="56124.615700000002"/>
  </r>
  <r>
    <x v="262"/>
    <s v="ШИРОКАЯ РЕЧКА"/>
    <n v="63178.133800000003"/>
    <n v="63178.133800000003"/>
    <n v="57208.931499999999"/>
  </r>
  <r>
    <x v="263"/>
    <s v="АВТОВОКЗАЛ"/>
    <n v="83744.997499999998"/>
    <n v="83744.997499999998"/>
    <n v="75832.596099999995"/>
  </r>
  <r>
    <x v="264"/>
    <s v="УКТУС"/>
    <n v="63640.311600000001"/>
    <n v="63640.311600000001"/>
    <n v="57627.4473"/>
  </r>
  <r>
    <x v="265"/>
    <s v="Центр"/>
    <n v="93989.912800000006"/>
    <n v="93989.912800000006"/>
    <n v="85109.545199999993"/>
  </r>
  <r>
    <x v="266"/>
    <s v="Ю-З"/>
    <n v="76630.280299999999"/>
    <n v="76630.280299999999"/>
    <n v="69390.088799999998"/>
  </r>
  <r>
    <x v="267"/>
    <s v="ПАРКОВЫЙ"/>
    <n v="81392.097599999994"/>
    <n v="81392.097599999994"/>
    <n v="73702.001099999994"/>
  </r>
  <r>
    <x v="268"/>
    <s v="ПИОНЕРСКИЙ"/>
    <n v="77743.704100000003"/>
    <n v="77743.704100000003"/>
    <n v="70398.310800000007"/>
  </r>
  <r>
    <x v="269"/>
    <s v="ЭЛЬМАШ"/>
    <n v="70734.0236"/>
    <n v="70734.0236"/>
    <n v="64050.9208"/>
  </r>
  <r>
    <x v="270"/>
    <s v="УРАЛМАШ"/>
    <n v="70026.7601"/>
    <n v="70026.7601"/>
    <n v="63410.482000000004"/>
  </r>
  <r>
    <x v="271"/>
    <s v="ХИММАШ"/>
    <n v="61980.678599999999"/>
    <n v="61980.678599999999"/>
    <n v="56124.615700000002"/>
  </r>
  <r>
    <x v="272"/>
    <s v="ХИММАШ"/>
    <n v="61980.678599999999"/>
    <n v="61980.678599999999"/>
    <n v="56124.615700000002"/>
  </r>
  <r>
    <x v="273"/>
    <s v="ЧЕРМЕТ"/>
    <n v="62652.9401"/>
    <n v="62652.9401"/>
    <n v="56733.3557"/>
  </r>
  <r>
    <x v="274"/>
    <s v="ШИРОКАЯ РЕЧКА"/>
    <n v="63178.133800000003"/>
    <n v="63178.133800000003"/>
    <n v="57208.931499999999"/>
  </r>
  <r>
    <x v="275"/>
    <s v="ЗАВОКЗАЛЬНЫЙ"/>
    <n v="56140.449699999997"/>
    <n v="56140.449699999997"/>
    <n v="50836.1803"/>
  </r>
  <r>
    <x v="276"/>
    <s v="Центр"/>
    <n v="93989.912800000006"/>
    <n v="93989.912800000006"/>
    <n v="85109.545199999993"/>
  </r>
  <r>
    <x v="277"/>
    <s v="Ю-З"/>
    <n v="76630.280299999999"/>
    <n v="76630.280299999999"/>
    <n v="69390.088799999998"/>
  </r>
  <r>
    <x v="278"/>
    <s v="ЭЛЬМАШ"/>
    <n v="70734.0236"/>
    <n v="70734.0236"/>
    <n v="64050.9208"/>
  </r>
  <r>
    <x v="279"/>
    <s v="ВТУЗГОРОДОК"/>
    <n v="77071.442599999995"/>
    <n v="77071.442599999995"/>
    <n v="69789.570900000006"/>
  </r>
  <r>
    <x v="280"/>
    <s v="ЭЛЬМАШ"/>
    <n v="70734.0236"/>
    <n v="70734.0236"/>
    <n v="64050.9208"/>
  </r>
  <r>
    <x v="281"/>
    <s v="ГОРНЫЙ ЩИТ"/>
    <n v="52246.960299999999"/>
    <n v="52246.960299999999"/>
    <n v="47310.556700000001"/>
  </r>
  <r>
    <x v="282"/>
    <s v="ПИОНЕРСКИЙ"/>
    <n v="77743.704100000003"/>
    <n v="77743.704100000003"/>
    <n v="70398.310800000007"/>
  </r>
  <r>
    <x v="283"/>
    <s v="КОЛЬЦОВО"/>
    <n v="54886.9666"/>
    <n v="54886.9666"/>
    <n v="49701.1319"/>
  </r>
  <r>
    <x v="284"/>
    <s v="ЭЛЬМАШ"/>
    <n v="70734.0236"/>
    <n v="70734.0236"/>
    <n v="64050.9208"/>
  </r>
  <r>
    <x v="285"/>
    <s v="ВТУЗГОРОДОК"/>
    <n v="77071.442599999995"/>
    <n v="77071.442599999995"/>
    <n v="69789.570900000006"/>
  </r>
  <r>
    <x v="286"/>
    <s v="Старая сортировка"/>
    <n v="59368.686099999999"/>
    <n v="59368.686099999999"/>
    <n v="53759.401700000002"/>
  </r>
  <r>
    <x v="287"/>
    <s v="Старая сортировка"/>
    <n v="59368.686099999999"/>
    <n v="59368.686099999999"/>
    <n v="53759.401700000002"/>
  </r>
  <r>
    <x v="288"/>
    <s v="ЗАВОКЗАЛЬНЫЙ"/>
    <n v="56140.449699999997"/>
    <n v="56140.449699999997"/>
    <n v="50836.1803"/>
  </r>
  <r>
    <x v="289"/>
    <s v="ВОКЗАЛЬНЫЙ"/>
    <n v="78633.047600000005"/>
    <n v="78633.047600000005"/>
    <n v="71203.623000000007"/>
  </r>
  <r>
    <x v="290"/>
    <s v="УРАЛМАШ"/>
    <n v="70026.7601"/>
    <n v="70026.7601"/>
    <n v="63410.482000000004"/>
  </r>
  <r>
    <x v="291"/>
    <s v="Новая сортировка"/>
    <n v="64914.8"/>
    <n v="64914.8"/>
    <n v="58781.519200000002"/>
  </r>
  <r>
    <x v="292"/>
    <s v="УРАЛМАШ"/>
    <n v="70026.7601"/>
    <n v="70026.7601"/>
    <n v="63410.482000000004"/>
  </r>
  <r>
    <x v="293"/>
    <s v="ВТУЗГОРОДОК"/>
    <n v="77071.442599999995"/>
    <n v="77071.442599999995"/>
    <n v="69789.570900000006"/>
  </r>
  <r>
    <x v="294"/>
    <s v="КОЛЬЦОВО"/>
    <n v="54886.9666"/>
    <n v="54886.9666"/>
    <n v="49701.1319"/>
  </r>
  <r>
    <x v="295"/>
    <s v="УРАЛМАШ"/>
    <n v="70026.7601"/>
    <n v="70026.7601"/>
    <n v="63410.482000000004"/>
  </r>
  <r>
    <x v="296"/>
    <s v="УКТУС"/>
    <n v="63640.311600000001"/>
    <n v="63640.311600000001"/>
    <n v="57627.4473"/>
  </r>
  <r>
    <x v="297"/>
    <s v="ВТУЗГОРОДОК"/>
    <n v="77071.442599999995"/>
    <n v="77071.442599999995"/>
    <n v="69789.570900000006"/>
  </r>
  <r>
    <x v="298"/>
    <s v="АВТОВОКЗАЛ"/>
    <n v="83744.997499999998"/>
    <n v="83744.997499999998"/>
    <n v="75832.596099999995"/>
  </r>
  <r>
    <x v="299"/>
    <s v="УКТУС"/>
    <n v="63640.311600000001"/>
    <n v="63640.311600000001"/>
    <n v="57627.4473"/>
  </r>
  <r>
    <x v="300"/>
    <s v="ШАБРОВСКИЙ"/>
    <n v="37590.3603"/>
    <n v="37590.3603"/>
    <n v="34038.745900000002"/>
  </r>
  <r>
    <x v="301"/>
    <s v="ЭЛЬМАШ"/>
    <n v="70734.0236"/>
    <n v="70734.0236"/>
    <n v="64050.9208"/>
  </r>
  <r>
    <x v="302"/>
    <s v="ЖБИ"/>
    <n v="69382.512499999997"/>
    <n v="69382.512499999997"/>
    <n v="62827.103199999998"/>
  </r>
  <r>
    <x v="303"/>
    <s v="ВИЗ"/>
    <n v="84298.205100000006"/>
    <n v="84298.205100000006"/>
    <n v="76333.533100000001"/>
  </r>
  <r>
    <x v="304"/>
    <s v="ПИОНЕРСКИЙ"/>
    <n v="77743.704100000003"/>
    <n v="77743.704100000003"/>
    <n v="70398.310800000007"/>
  </r>
  <r>
    <x v="305"/>
    <s v="Ю-З"/>
    <n v="76630.280299999999"/>
    <n v="76630.280299999999"/>
    <n v="69390.088799999998"/>
  </r>
  <r>
    <x v="306"/>
    <s v="УРАЛМАШ"/>
    <n v="70026.7601"/>
    <n v="70026.7601"/>
    <n v="63410.482000000004"/>
  </r>
  <r>
    <x v="307"/>
    <s v="БОТАНИЧЕСКИЙ"/>
    <n v="77064.444199999998"/>
    <n v="77064.444199999998"/>
    <n v="69783.233200000002"/>
  </r>
  <r>
    <x v="308"/>
    <s v="Старая сортировка"/>
    <n v="59368.686099999999"/>
    <n v="59368.686099999999"/>
    <n v="53759.401700000002"/>
  </r>
  <r>
    <x v="309"/>
    <s v="Новая сортировка"/>
    <n v="64914.8"/>
    <n v="64914.8"/>
    <n v="58781.519200000002"/>
  </r>
  <r>
    <x v="310"/>
    <s v="Старая сортировка"/>
    <n v="59368.686099999999"/>
    <n v="59368.686099999999"/>
    <n v="53759.401700000002"/>
  </r>
  <r>
    <x v="311"/>
    <s v="БОТАНИЧЕСКИЙ"/>
    <n v="77064.444199999998"/>
    <n v="77064.444199999998"/>
    <n v="69783.233200000002"/>
  </r>
  <r>
    <x v="312"/>
    <s v="ВТУЗГОРОДОК"/>
    <n v="77071.442599999995"/>
    <n v="77071.442599999995"/>
    <n v="69789.570900000006"/>
  </r>
  <r>
    <x v="313"/>
    <s v="ХИММАШ"/>
    <n v="61980.678599999999"/>
    <n v="61980.678599999999"/>
    <n v="56124.615700000002"/>
  </r>
  <r>
    <x v="314"/>
    <s v="ХИММАШ"/>
    <n v="61980.678599999999"/>
    <n v="61980.678599999999"/>
    <n v="56124.615700000002"/>
  </r>
  <r>
    <x v="315"/>
    <s v="Центр"/>
    <n v="93989.912800000006"/>
    <n v="93989.912800000006"/>
    <n v="85109.545199999993"/>
  </r>
  <r>
    <x v="316"/>
    <s v="ВТУЗГОРОДОК"/>
    <n v="77071.442599999995"/>
    <n v="77071.442599999995"/>
    <n v="69789.570900000006"/>
  </r>
  <r>
    <x v="317"/>
    <s v="ПИОНЕРСКИЙ"/>
    <n v="77743.704100000003"/>
    <n v="77743.704100000003"/>
    <n v="70398.310800000007"/>
  </r>
  <r>
    <x v="318"/>
    <s v="ИЗОПЛИТ"/>
    <n v="53668.506099999999"/>
    <n v="53668.506099999999"/>
    <n v="48597.792699999998"/>
  </r>
  <r>
    <x v="319"/>
    <s v="ВИЗ"/>
    <n v="84298.205100000006"/>
    <n v="84298.205100000006"/>
    <n v="76333.533100000001"/>
  </r>
  <r>
    <x v="320"/>
    <s v="ШАРТАШ"/>
    <n v="68129.029500000004"/>
    <n v="68129.029500000004"/>
    <n v="61692.054799999998"/>
  </r>
  <r>
    <x v="321"/>
    <s v="ХИММАШ"/>
    <n v="61980.678599999999"/>
    <n v="61980.678599999999"/>
    <n v="56124.615700000002"/>
  </r>
  <r>
    <x v="322"/>
    <s v="КОЛЬЦОВО"/>
    <n v="54886.9666"/>
    <n v="54886.9666"/>
    <n v="49701.1319"/>
  </r>
  <r>
    <x v="323"/>
    <s v="ШАРТАШ"/>
    <n v="68129.029500000004"/>
    <n v="68129.029500000004"/>
    <n v="61692.054799999998"/>
  </r>
  <r>
    <x v="324"/>
    <s v="ХИММАШ"/>
    <n v="61980.678599999999"/>
    <n v="61980.678599999999"/>
    <n v="56124.615700000002"/>
  </r>
  <r>
    <x v="325"/>
    <s v="ЭЛЬМАШ"/>
    <n v="70734.0236"/>
    <n v="70734.0236"/>
    <n v="64050.9208"/>
  </r>
  <r>
    <x v="326"/>
    <s v="ХИММАШ"/>
    <n v="61980.678599999999"/>
    <n v="61980.678599999999"/>
    <n v="56124.615700000002"/>
  </r>
  <r>
    <x v="327"/>
    <s v="УКТУС"/>
    <n v="63640.311600000001"/>
    <n v="63640.311600000001"/>
    <n v="57627.4473"/>
  </r>
  <r>
    <x v="328"/>
    <s v="ХИММАШ"/>
    <n v="61980.678599999999"/>
    <n v="61980.678599999999"/>
    <n v="56124.615700000002"/>
  </r>
  <r>
    <x v="329"/>
    <s v="КОМПРЕССОРНЫЙ"/>
    <n v="56392.543899999997"/>
    <n v="56392.543899999997"/>
    <n v="51064.4617"/>
  </r>
  <r>
    <x v="330"/>
    <s v="ШАРТАШ"/>
    <n v="68129.029500000004"/>
    <n v="68129.029500000004"/>
    <n v="61692.054799999998"/>
  </r>
  <r>
    <x v="331"/>
    <s v="Старая сортировка"/>
    <n v="59368.686099999999"/>
    <n v="59368.686099999999"/>
    <n v="53759.401700000002"/>
  </r>
  <r>
    <x v="332"/>
    <s v="ВТУЗГОРОДОК"/>
    <n v="77071.442599999995"/>
    <n v="77071.442599999995"/>
    <n v="69789.570900000006"/>
  </r>
  <r>
    <x v="333"/>
    <s v="ШАБРОВСКИЙ"/>
    <n v="37590.3603"/>
    <n v="37590.3603"/>
    <n v="34038.745900000002"/>
  </r>
  <r>
    <x v="334"/>
    <s v="Центр"/>
    <n v="93989.912800000006"/>
    <n v="93989.912800000006"/>
    <n v="85109.545199999993"/>
  </r>
  <r>
    <x v="335"/>
    <s v="ШАРТАШ"/>
    <n v="68129.029500000004"/>
    <n v="68129.029500000004"/>
    <n v="61692.054799999998"/>
  </r>
  <r>
    <x v="336"/>
    <s v="ВИЗ"/>
    <n v="84298.205100000006"/>
    <n v="84298.205100000006"/>
    <n v="76333.533100000001"/>
  </r>
  <r>
    <x v="337"/>
    <s v="ЭЛЬМАШ"/>
    <n v="70734.0236"/>
    <n v="70734.0236"/>
    <n v="64050.9208"/>
  </r>
  <r>
    <x v="338"/>
    <s v="ВОКЗАЛЬНЫЙ"/>
    <n v="78633.047600000005"/>
    <n v="78633.047600000005"/>
    <n v="71203.623000000007"/>
  </r>
  <r>
    <x v="339"/>
    <s v="Центр"/>
    <n v="93989.912800000006"/>
    <n v="93989.912800000006"/>
    <n v="85109.545199999993"/>
  </r>
  <r>
    <x v="340"/>
    <s v="ЭЛЬМАШ"/>
    <n v="70734.0236"/>
    <n v="70734.0236"/>
    <n v="64050.9208"/>
  </r>
  <r>
    <x v="341"/>
    <s v="Ю-З"/>
    <n v="76630.280299999999"/>
    <n v="76630.280299999999"/>
    <n v="69390.088799999998"/>
  </r>
  <r>
    <x v="342"/>
    <s v="Ю-З"/>
    <n v="76630.280299999999"/>
    <n v="76630.280299999999"/>
    <n v="69390.088799999998"/>
  </r>
  <r>
    <x v="343"/>
    <s v="ПИОНЕРСКИЙ"/>
    <n v="77743.704100000003"/>
    <n v="77743.704100000003"/>
    <n v="70398.310800000007"/>
  </r>
  <r>
    <x v="344"/>
    <s v="ВТУЗГОРОДОК"/>
    <n v="77071.442599999995"/>
    <n v="77071.442599999995"/>
    <n v="69789.570900000006"/>
  </r>
  <r>
    <x v="345"/>
    <s v="ШАБРОВСКИЙ"/>
    <n v="37590.3603"/>
    <n v="37590.3603"/>
    <n v="34038.745900000002"/>
  </r>
  <r>
    <x v="346"/>
    <s v="АВТОВОКЗАЛ"/>
    <n v="83744.997499999998"/>
    <n v="83744.997499999998"/>
    <n v="75832.596099999995"/>
  </r>
  <r>
    <x v="347"/>
    <s v="ЗАВОКЗАЛЬНЫЙ"/>
    <n v="56140.449699999997"/>
    <n v="56140.449699999997"/>
    <n v="50836.1803"/>
  </r>
  <r>
    <x v="348"/>
    <s v="ВИЗ"/>
    <n v="84298.205100000006"/>
    <n v="84298.205100000006"/>
    <n v="76333.533100000001"/>
  </r>
  <r>
    <x v="349"/>
    <s v="Центр"/>
    <n v="93989.912800000006"/>
    <n v="93989.912800000006"/>
    <n v="85109.545199999993"/>
  </r>
  <r>
    <x v="350"/>
    <s v="ЭЛЬМАШ"/>
    <n v="70734.0236"/>
    <n v="70734.0236"/>
    <n v="64050.9208"/>
  </r>
  <r>
    <x v="351"/>
    <s v="УКТУС"/>
    <n v="63640.311600000001"/>
    <n v="63640.311600000001"/>
    <n v="57627.4473"/>
  </r>
  <r>
    <x v="352"/>
    <s v="ХИММАШ"/>
    <n v="61980.678599999999"/>
    <n v="61980.678599999999"/>
    <n v="56124.615700000002"/>
  </r>
  <r>
    <x v="353"/>
    <s v="Центр"/>
    <n v="93989.912800000006"/>
    <n v="93989.912800000006"/>
    <n v="85109.545199999993"/>
  </r>
  <r>
    <x v="354"/>
    <s v="УКТУС"/>
    <n v="63640.311600000001"/>
    <n v="63640.311600000001"/>
    <n v="57627.4473"/>
  </r>
  <r>
    <x v="355"/>
    <s v="АВТОВОКЗАЛ"/>
    <n v="83744.997499999998"/>
    <n v="83744.997499999998"/>
    <n v="75832.596099999995"/>
  </r>
  <r>
    <x v="356"/>
    <s v="Ю-З"/>
    <n v="76630.280299999999"/>
    <n v="76630.280299999999"/>
    <n v="69390.088799999998"/>
  </r>
  <r>
    <x v="357"/>
    <s v="ПАРКОВЫЙ"/>
    <n v="81392.097599999994"/>
    <n v="81392.097599999994"/>
    <n v="73702.001099999994"/>
  </r>
  <r>
    <x v="358"/>
    <s v="СОВХОЗ"/>
    <n v="59746.832600000002"/>
    <n v="59746.832600000002"/>
    <n v="54101.823700000001"/>
  </r>
  <r>
    <x v="359"/>
    <s v="ЛЕЧЕБНЫЙ"/>
    <n v="57793.0844"/>
    <n v="57793.0844"/>
    <n v="52332.6639"/>
  </r>
  <r>
    <x v="360"/>
    <s v="ШУВАКИШ"/>
    <n v="44242.899599999997"/>
    <n v="44242.899599999997"/>
    <n v="40062.737300000001"/>
  </r>
  <r>
    <x v="361"/>
    <s v="Центр"/>
    <n v="93989.912800000006"/>
    <n v="93989.912800000006"/>
    <n v="85109.545199999993"/>
  </r>
  <r>
    <x v="362"/>
    <s v="ЭЛЬМАШ"/>
    <n v="70734.0236"/>
    <n v="70734.0236"/>
    <n v="64050.9208"/>
  </r>
  <r>
    <x v="363"/>
    <s v="Центр"/>
    <n v="93989.912800000006"/>
    <n v="93989.912800000006"/>
    <n v="85109.545199999993"/>
  </r>
  <r>
    <x v="364"/>
    <s v="ЭЛЬМАШ"/>
    <n v="70734.0236"/>
    <n v="70734.0236"/>
    <n v="64050.9208"/>
  </r>
  <r>
    <x v="365"/>
    <s v="ЭЛЬМАШ"/>
    <n v="70734.0236"/>
    <n v="70734.0236"/>
    <n v="64050.9208"/>
  </r>
  <r>
    <x v="366"/>
    <s v="ХИММАШ"/>
    <n v="61980.678599999999"/>
    <n v="61980.678599999999"/>
    <n v="56124.615700000002"/>
  </r>
  <r>
    <x v="367"/>
    <s v="ВТУЗГОРОДОК"/>
    <n v="77071.442599999995"/>
    <n v="77071.442599999995"/>
    <n v="69789.570900000006"/>
  </r>
  <r>
    <x v="368"/>
    <s v="ПИОНЕРСКИЙ"/>
    <n v="77743.704100000003"/>
    <n v="77743.704100000003"/>
    <n v="70398.310800000007"/>
  </r>
  <r>
    <x v="369"/>
    <s v="ГОРНЫЙ ЩИТ"/>
    <n v="52246.960299999999"/>
    <n v="52246.960299999999"/>
    <n v="47310.556700000001"/>
  </r>
  <r>
    <x v="370"/>
    <s v="ИЗОПЛИТ"/>
    <n v="53668.506099999999"/>
    <n v="53668.506099999999"/>
    <n v="48597.792699999998"/>
  </r>
  <r>
    <x v="371"/>
    <s v="ЭЛЬМАШ"/>
    <n v="70734.0236"/>
    <n v="70734.0236"/>
    <n v="64050.9208"/>
  </r>
  <r>
    <x v="372"/>
    <s v="ШАБРОВСКИЙ"/>
    <n v="37590.3603"/>
    <n v="37590.3603"/>
    <n v="34038.745900000002"/>
  </r>
  <r>
    <x v="373"/>
    <s v="ШАБРОВСКИЙ"/>
    <n v="37590.3603"/>
    <n v="37590.3603"/>
    <n v="34038.745900000002"/>
  </r>
  <r>
    <x v="374"/>
    <s v="ПОЛЕВОДСТВО"/>
    <n v="55692.278700000003"/>
    <n v="55692.278700000003"/>
    <n v="50430.350200000001"/>
  </r>
  <r>
    <x v="375"/>
    <s v="ШАБРОВСКИЙ"/>
    <n v="37590.3603"/>
    <n v="37590.3603"/>
    <n v="34038.745900000002"/>
  </r>
  <r>
    <x v="376"/>
    <s v="ШАБРОВСКИЙ"/>
    <n v="37590.3603"/>
    <n v="37590.3603"/>
    <n v="34038.745900000002"/>
  </r>
  <r>
    <x v="377"/>
    <s v="Новая сортировка"/>
    <n v="64914.8"/>
    <n v="64914.8"/>
    <n v="58781.519200000002"/>
  </r>
  <r>
    <x v="378"/>
    <s v="ЭЛЬМАШ"/>
    <n v="70734.0236"/>
    <n v="70734.0236"/>
    <n v="64050.9208"/>
  </r>
  <r>
    <x v="379"/>
    <s v="УКТУС"/>
    <n v="63640.311600000001"/>
    <n v="63640.311600000001"/>
    <n v="57627.4473"/>
  </r>
  <r>
    <x v="380"/>
    <s v="ПИОНЕРСКИЙ"/>
    <n v="77743.704100000003"/>
    <n v="77743.704100000003"/>
    <n v="70398.310800000007"/>
  </r>
  <r>
    <x v="381"/>
    <s v="Шарташский рынок"/>
    <n v="79683.445300000007"/>
    <n v="79683.445300000007"/>
    <n v="72154.784899999999"/>
  </r>
  <r>
    <x v="382"/>
    <s v="АВТОВОКЗАЛ"/>
    <n v="83744.997499999998"/>
    <n v="83744.997499999998"/>
    <n v="75832.596099999995"/>
  </r>
  <r>
    <x v="383"/>
    <s v="ИСТОК"/>
    <n v="53500.443299999999"/>
    <n v="53500.443299999999"/>
    <n v="48445.605100000001"/>
  </r>
  <r>
    <x v="384"/>
    <s v="УКТУС"/>
    <n v="63640.311600000001"/>
    <n v="63640.311600000001"/>
    <n v="57627.4473"/>
  </r>
  <r>
    <x v="385"/>
    <s v="УКТУС"/>
    <n v="63640.311600000001"/>
    <n v="63640.311600000001"/>
    <n v="57627.4473"/>
  </r>
  <r>
    <x v="386"/>
    <s v="КОЛЬЦОВО"/>
    <n v="54886.9666"/>
    <n v="54886.9666"/>
    <n v="49701.1319"/>
  </r>
  <r>
    <x v="387"/>
    <s v="ШАБРОВСКИЙ"/>
    <n v="37590.3603"/>
    <n v="37590.3603"/>
    <n v="34038.745900000002"/>
  </r>
  <r>
    <x v="388"/>
    <s v="КОМПРЕССОРНЫЙ"/>
    <n v="56392.543899999997"/>
    <n v="56392.543899999997"/>
    <n v="51064.4617"/>
  </r>
  <r>
    <x v="389"/>
    <s v="ПИОНЕРСКИЙ"/>
    <n v="77743.704100000003"/>
    <n v="77743.704100000003"/>
    <n v="70398.310800000007"/>
  </r>
  <r>
    <x v="390"/>
    <s v="ВИЗ"/>
    <n v="84298.205100000006"/>
    <n v="84298.205100000006"/>
    <n v="76333.533100000001"/>
  </r>
  <r>
    <x v="391"/>
    <s v="ШИРОКАЯ РЕЧКА"/>
    <n v="63178.133800000003"/>
    <n v="63178.133800000003"/>
    <n v="57208.931499999999"/>
  </r>
  <r>
    <x v="392"/>
    <s v="ШАБРОВСКИЙ"/>
    <n v="37590.3603"/>
    <n v="37590.3603"/>
    <n v="34038.745900000002"/>
  </r>
  <r>
    <x v="393"/>
    <s v="ШИРОКАЯ РЕЧКА"/>
    <n v="63178.133800000003"/>
    <n v="63178.133800000003"/>
    <n v="57208.931499999999"/>
  </r>
  <r>
    <x v="394"/>
    <s v="ЛЕЧЕБНЫЙ"/>
    <n v="57793.0844"/>
    <n v="57793.0844"/>
    <n v="52332.6639"/>
  </r>
  <r>
    <x v="395"/>
    <s v="ПАРКОВЫЙ"/>
    <n v="81392.097599999994"/>
    <n v="81392.097599999994"/>
    <n v="73702.001099999994"/>
  </r>
  <r>
    <x v="396"/>
    <s v="Новая сортировка"/>
    <n v="64914.8"/>
    <n v="64914.8"/>
    <n v="58781.519200000002"/>
  </r>
  <r>
    <x v="397"/>
    <s v="ЗАВОКЗАЛЬНЫЙ"/>
    <n v="56140.449699999997"/>
    <n v="56140.449699999997"/>
    <n v="50836.1803"/>
  </r>
  <r>
    <x v="398"/>
    <s v="ПАРКОВЫЙ"/>
    <n v="81392.097599999994"/>
    <n v="81392.097599999994"/>
    <n v="73702.001099999994"/>
  </r>
  <r>
    <x v="399"/>
    <s v="ВТУЗГОРОДОК"/>
    <n v="77071.442599999995"/>
    <n v="77071.442599999995"/>
    <n v="69789.570900000006"/>
  </r>
  <r>
    <x v="400"/>
    <s v="ШАБРОВСКИЙ"/>
    <n v="37590.3603"/>
    <n v="37590.3603"/>
    <n v="34038.745900000002"/>
  </r>
  <r>
    <x v="401"/>
    <s v="ЧУСОВСКОЕ ОЗЕРО"/>
    <n v="49782.025399999999"/>
    <n v="49782.025399999999"/>
    <n v="45078.506800000003"/>
  </r>
  <r>
    <x v="402"/>
    <s v="ХИММАШ"/>
    <n v="61980.678599999999"/>
    <n v="61980.678599999999"/>
    <n v="56124.615700000002"/>
  </r>
  <r>
    <x v="403"/>
    <s v="УРАЛМАШ"/>
    <n v="70026.7601"/>
    <n v="70026.7601"/>
    <n v="63410.482000000004"/>
  </r>
  <r>
    <x v="404"/>
    <s v="АВТОВОКЗАЛ"/>
    <n v="83744.997499999998"/>
    <n v="83744.997499999998"/>
    <n v="75832.596099999995"/>
  </r>
  <r>
    <x v="405"/>
    <s v="Центр"/>
    <n v="93989.912800000006"/>
    <n v="93989.912800000006"/>
    <n v="85109.545199999993"/>
  </r>
  <r>
    <x v="406"/>
    <s v="ВТУЗГОРОДОК"/>
    <n v="77071.442599999995"/>
    <n v="77071.442599999995"/>
    <n v="69789.570900000006"/>
  </r>
  <r>
    <x v="407"/>
    <s v="СИНИЕ КАМНИ"/>
    <n v="68647.224799999996"/>
    <n v="68647.224799999996"/>
    <n v="62161.2929"/>
  </r>
  <r>
    <x v="408"/>
    <s v="ЧЕРМЕТ"/>
    <n v="62652.9401"/>
    <n v="62652.9401"/>
    <n v="56733.3557"/>
  </r>
  <r>
    <x v="409"/>
    <s v="ГОРНЫЙ ЩИТ"/>
    <n v="52246.960299999999"/>
    <n v="52246.960299999999"/>
    <n v="47310.556700000001"/>
  </r>
  <r>
    <x v="410"/>
    <s v="СИНИЕ КАМНИ"/>
    <n v="68647.224799999996"/>
    <n v="68647.224799999996"/>
    <n v="62161.2929"/>
  </r>
  <r>
    <x v="411"/>
    <s v="СИНИЕ КАМНИ"/>
    <n v="68647.224799999996"/>
    <n v="68647.224799999996"/>
    <n v="62161.2929"/>
  </r>
  <r>
    <x v="412"/>
    <s v="Центр"/>
    <n v="93989.912800000006"/>
    <n v="93989.912800000006"/>
    <n v="85109.545199999993"/>
  </r>
  <r>
    <x v="413"/>
    <s v="ЗАВОКЗАЛЬНЫЙ"/>
    <n v="56140.449699999997"/>
    <n v="56140.449699999997"/>
    <n v="50836.1803"/>
  </r>
  <r>
    <x v="414"/>
    <s v="ВОКЗАЛЬНЫЙ"/>
    <n v="78633.047600000005"/>
    <n v="78633.047600000005"/>
    <n v="71203.623000000007"/>
  </r>
  <r>
    <x v="415"/>
    <s v="ВТУЗГОРОДОК"/>
    <n v="77071.442599999995"/>
    <n v="77071.442599999995"/>
    <n v="69789.570900000006"/>
  </r>
  <r>
    <x v="416"/>
    <s v="КОМПРЕССОРНЫЙ"/>
    <n v="56392.543899999997"/>
    <n v="56392.543899999997"/>
    <n v="51064.4617"/>
  </r>
  <r>
    <x v="417"/>
    <s v="ХИММАШ"/>
    <n v="61980.678599999999"/>
    <n v="61980.678599999999"/>
    <n v="56124.615700000002"/>
  </r>
  <r>
    <x v="418"/>
    <s v="ВОКЗАЛЬНЫЙ"/>
    <n v="78633.047600000005"/>
    <n v="78633.047600000005"/>
    <n v="71203.623000000007"/>
  </r>
  <r>
    <x v="419"/>
    <s v="Сулим.Торфянник"/>
    <n v="46784.877899999999"/>
    <n v="46784.877899999999"/>
    <n v="42364.543299999998"/>
  </r>
  <r>
    <x v="420"/>
    <s v="ВИЗ"/>
    <n v="84298.205100000006"/>
    <n v="84298.205100000006"/>
    <n v="76333.533100000001"/>
  </r>
  <r>
    <x v="421"/>
    <s v="УРАЛМАШ"/>
    <n v="70026.7601"/>
    <n v="70026.7601"/>
    <n v="63410.482000000004"/>
  </r>
  <r>
    <x v="422"/>
    <s v="ИЗОПЛИТ"/>
    <n v="53668.506099999999"/>
    <n v="53668.506099999999"/>
    <n v="48597.792699999998"/>
  </r>
  <r>
    <x v="423"/>
    <s v="Центр"/>
    <n v="93989.912800000006"/>
    <n v="93989.912800000006"/>
    <n v="85109.545199999993"/>
  </r>
  <r>
    <x v="424"/>
    <s v="Центр"/>
    <n v="93989.912800000006"/>
    <n v="93989.912800000006"/>
    <n v="85109.545199999993"/>
  </r>
  <r>
    <x v="425"/>
    <s v="Центр"/>
    <n v="93989.912800000006"/>
    <n v="93989.912800000006"/>
    <n v="85109.545199999993"/>
  </r>
  <r>
    <x v="426"/>
    <s v="Ю-З"/>
    <n v="76630.280299999999"/>
    <n v="76630.280299999999"/>
    <n v="69390.088799999998"/>
  </r>
  <r>
    <x v="427"/>
    <s v="Центр"/>
    <n v="93989.912800000006"/>
    <n v="93989.912800000006"/>
    <n v="85109.545199999993"/>
  </r>
  <r>
    <x v="428"/>
    <s v="УНЦ"/>
    <n v="64795.756300000001"/>
    <n v="64795.756300000001"/>
    <n v="58673.716200000003"/>
  </r>
  <r>
    <x v="429"/>
    <s v="ХИММАШ"/>
    <n v="61980.678599999999"/>
    <n v="61980.678599999999"/>
    <n v="56124.615700000002"/>
  </r>
  <r>
    <x v="430"/>
    <s v="АВТОВОКЗАЛ"/>
    <n v="83744.997499999998"/>
    <n v="83744.997499999998"/>
    <n v="75832.596099999995"/>
  </r>
  <r>
    <x v="431"/>
    <s v="УКТУС"/>
    <n v="63640.311600000001"/>
    <n v="63640.311600000001"/>
    <n v="57627.4473"/>
  </r>
  <r>
    <x v="432"/>
    <s v="ПИОНЕРСКИЙ"/>
    <n v="77743.704100000003"/>
    <n v="77743.704100000003"/>
    <n v="70398.310800000007"/>
  </r>
  <r>
    <x v="433"/>
    <s v="ЭЛЬМАШ"/>
    <n v="70734.0236"/>
    <n v="70734.0236"/>
    <n v="64050.9208"/>
  </r>
  <r>
    <x v="434"/>
    <s v="Центр"/>
    <n v="93989.912800000006"/>
    <n v="93989.912800000006"/>
    <n v="85109.545199999993"/>
  </r>
  <r>
    <x v="435"/>
    <s v="Ю-З"/>
    <n v="76630.280299999999"/>
    <n v="76630.280299999999"/>
    <n v="69390.088799999998"/>
  </r>
  <r>
    <x v="436"/>
    <s v="Старая сортировка"/>
    <n v="59368.686099999999"/>
    <n v="59368.686099999999"/>
    <n v="53759.401700000002"/>
  </r>
  <r>
    <x v="437"/>
    <s v="ВИЗ"/>
    <n v="84298.205100000006"/>
    <n v="84298.205100000006"/>
    <n v="76333.533100000001"/>
  </r>
  <r>
    <x v="438"/>
    <s v="ПИОНЕРСКИЙ"/>
    <n v="77743.704100000003"/>
    <n v="77743.704100000003"/>
    <n v="70398.310800000007"/>
  </r>
  <r>
    <x v="439"/>
    <s v="ЭЛЬМАШ"/>
    <n v="70734.0236"/>
    <n v="70734.0236"/>
    <n v="64050.9208"/>
  </r>
  <r>
    <x v="440"/>
    <s v="ВТУЗГОРОДОК"/>
    <n v="77071.442599999995"/>
    <n v="77071.442599999995"/>
    <n v="69789.570900000006"/>
  </r>
  <r>
    <x v="441"/>
    <s v="ПИОНЕРСКИЙ"/>
    <n v="77743.704100000003"/>
    <n v="77743.704100000003"/>
    <n v="70398.310800000007"/>
  </r>
  <r>
    <x v="442"/>
    <s v="ВИЗ"/>
    <n v="84298.205100000006"/>
    <n v="84298.205100000006"/>
    <n v="76333.533100000001"/>
  </r>
  <r>
    <x v="443"/>
    <s v="ВТУЗГОРОДОК"/>
    <n v="77071.442599999995"/>
    <n v="77071.442599999995"/>
    <n v="69789.570900000006"/>
  </r>
  <r>
    <x v="444"/>
    <s v="УРАЛМАШ"/>
    <n v="70026.7601"/>
    <n v="70026.7601"/>
    <n v="63410.482000000004"/>
  </r>
  <r>
    <x v="445"/>
    <s v="УРАЛМАШ"/>
    <n v="70026.7601"/>
    <n v="70026.7601"/>
    <n v="63410.482000000004"/>
  </r>
  <r>
    <x v="446"/>
    <s v="УКТУС"/>
    <n v="63640.311600000001"/>
    <n v="63640.311600000001"/>
    <n v="57627.4473"/>
  </r>
  <r>
    <x v="447"/>
    <s v="АВТОВОКЗАЛ"/>
    <n v="83744.997499999998"/>
    <n v="83744.997499999998"/>
    <n v="75832.596099999995"/>
  </r>
  <r>
    <x v="448"/>
    <s v="ВИЗ"/>
    <n v="84298.205100000006"/>
    <n v="84298.205100000006"/>
    <n v="76333.533100000001"/>
  </r>
  <r>
    <x v="449"/>
    <s v="ЭЛЬМАШ"/>
    <n v="70734.0236"/>
    <n v="70734.0236"/>
    <n v="64050.9208"/>
  </r>
  <r>
    <x v="450"/>
    <s v="ЗАРЕЧНЫЙ"/>
    <n v="71105.171700000006"/>
    <n v="71105.171700000006"/>
    <n v="64387.005100000002"/>
  </r>
  <r>
    <x v="451"/>
    <s v="ЗАВОКЗАЛЬНЫЙ"/>
    <n v="56140.449699999997"/>
    <n v="56140.449699999997"/>
    <n v="50836.1803"/>
  </r>
  <r>
    <x v="452"/>
    <s v="КОМПРЕССОРНЫЙ"/>
    <n v="56392.543899999997"/>
    <n v="56392.543899999997"/>
    <n v="51064.4617"/>
  </r>
  <r>
    <x v="453"/>
    <s v="Новая сортировка"/>
    <n v="64914.8"/>
    <n v="64914.8"/>
    <n v="58781.519200000002"/>
  </r>
  <r>
    <x v="454"/>
    <s v="СЕВЕРКА"/>
    <n v="51175.5573"/>
    <n v="51175.5573"/>
    <n v="46340.381600000001"/>
  </r>
  <r>
    <x v="455"/>
    <s v="ХИММАШ"/>
    <n v="61980.678599999999"/>
    <n v="61980.678599999999"/>
    <n v="56124.615700000002"/>
  </r>
  <r>
    <x v="456"/>
    <s v="УРАЛМАШ"/>
    <n v="70026.7601"/>
    <n v="70026.7601"/>
    <n v="63410.482000000004"/>
  </r>
  <r>
    <x v="457"/>
    <s v="Нижнеисетский"/>
    <n v="46784.877899999999"/>
    <n v="46784.877899999999"/>
    <n v="42364.543299999998"/>
  </r>
  <r>
    <x v="458"/>
    <s v="Ю-З"/>
    <n v="76630.280299999999"/>
    <n v="76630.280299999999"/>
    <n v="69390.088799999998"/>
  </r>
  <r>
    <x v="459"/>
    <s v="ВИЗ"/>
    <n v="84298.205100000006"/>
    <n v="84298.205100000006"/>
    <n v="76333.533100000001"/>
  </r>
  <r>
    <x v="460"/>
    <s v="ВИЗ"/>
    <n v="84298.205100000006"/>
    <n v="84298.205100000006"/>
    <n v="76333.533100000001"/>
  </r>
  <r>
    <x v="461"/>
    <s v="Новая сортировка"/>
    <n v="64914.8"/>
    <n v="64914.8"/>
    <n v="58781.519200000002"/>
  </r>
  <r>
    <x v="462"/>
    <s v="УРАЛМАШ"/>
    <n v="70026.7601"/>
    <n v="70026.7601"/>
    <n v="63410.482000000004"/>
  </r>
  <r>
    <x v="463"/>
    <s v="СОВХОЗ"/>
    <n v="59746.832600000002"/>
    <n v="59746.832600000002"/>
    <n v="54101.823700000001"/>
  </r>
  <r>
    <x v="464"/>
    <s v="УНЦ"/>
    <n v="64795.756300000001"/>
    <n v="64795.756300000001"/>
    <n v="58673.716200000003"/>
  </r>
  <r>
    <x v="465"/>
    <s v="ГОРНЫЙ ЩИТ"/>
    <n v="52246.960299999999"/>
    <n v="52246.960299999999"/>
    <n v="47310.556700000001"/>
  </r>
  <r>
    <x v="466"/>
    <s v="ГОРНЫЙ ЩИТ"/>
    <n v="52246.960299999999"/>
    <n v="52246.960299999999"/>
    <n v="47310.556700000001"/>
  </r>
  <r>
    <x v="467"/>
    <s v="ПИОНЕРСКИЙ"/>
    <n v="77743.704100000003"/>
    <n v="77743.704100000003"/>
    <n v="70398.310800000007"/>
  </r>
  <r>
    <x v="468"/>
    <s v="Ю-З"/>
    <n v="76630.280299999999"/>
    <n v="76630.280299999999"/>
    <n v="69390.088799999998"/>
  </r>
  <r>
    <x v="469"/>
    <s v="АВТОВОКЗАЛ"/>
    <n v="83744.997499999998"/>
    <n v="83744.997499999998"/>
    <n v="75832.596099999995"/>
  </r>
  <r>
    <x v="470"/>
    <s v="ЧЕРМЕТ"/>
    <n v="62652.9401"/>
    <n v="62652.9401"/>
    <n v="56733.3557"/>
  </r>
  <r>
    <x v="471"/>
    <s v="БОТАНИЧЕСКИЙ"/>
    <n v="77064.444199999998"/>
    <n v="77064.444199999998"/>
    <n v="69783.233200000002"/>
  </r>
  <r>
    <x v="472"/>
    <s v="ЧЕРМЕТ"/>
    <n v="62652.9401"/>
    <n v="62652.9401"/>
    <n v="56733.3557"/>
  </r>
  <r>
    <x v="473"/>
    <s v="Нижнеисетский"/>
    <n v="46784.877899999999"/>
    <n v="46784.877899999999"/>
    <n v="42364.543299999998"/>
  </r>
  <r>
    <x v="474"/>
    <s v="УКТУС"/>
    <n v="63640.311600000001"/>
    <n v="63640.311600000001"/>
    <n v="57627.4473"/>
  </r>
  <r>
    <x v="475"/>
    <s v="ЭЛЬМАШ"/>
    <n v="70734.0236"/>
    <n v="70734.0236"/>
    <n v="64050.9208"/>
  </r>
  <r>
    <x v="476"/>
    <s v="Новая сортировка"/>
    <n v="64914.8"/>
    <n v="64914.8"/>
    <n v="58781.519200000002"/>
  </r>
  <r>
    <x v="477"/>
    <s v="ХИММАШ"/>
    <n v="61980.678599999999"/>
    <n v="61980.678599999999"/>
    <n v="56124.615700000002"/>
  </r>
  <r>
    <x v="478"/>
    <s v="ГОРНЫЙ ЩИТ"/>
    <n v="52246.960299999999"/>
    <n v="52246.960299999999"/>
    <n v="47310.556700000001"/>
  </r>
  <r>
    <x v="479"/>
    <s v="ЭЛЬМАШ"/>
    <n v="70734.0236"/>
    <n v="70734.0236"/>
    <n v="64050.9208"/>
  </r>
  <r>
    <x v="480"/>
    <s v="УРАЛМАШ"/>
    <n v="70026.7601"/>
    <n v="70026.7601"/>
    <n v="63410.482000000004"/>
  </r>
  <r>
    <x v="481"/>
    <s v="УРАЛМАШ"/>
    <n v="70026.7601"/>
    <n v="70026.7601"/>
    <n v="63410.482000000004"/>
  </r>
  <r>
    <x v="482"/>
    <s v="Центр"/>
    <n v="93989.912800000006"/>
    <n v="93989.912800000006"/>
    <n v="85109.545199999993"/>
  </r>
  <r>
    <x v="483"/>
    <s v="УРАЛМАШ"/>
    <n v="70026.7601"/>
    <n v="70026.7601"/>
    <n v="63410.482000000004"/>
  </r>
  <r>
    <x v="484"/>
    <s v="УРАЛМАШ"/>
    <n v="70026.7601"/>
    <n v="70026.7601"/>
    <n v="63410.482000000004"/>
  </r>
  <r>
    <x v="485"/>
    <s v="ЭЛЬМАШ"/>
    <n v="70734.0236"/>
    <n v="70734.0236"/>
    <n v="64050.9208"/>
  </r>
  <r>
    <x v="486"/>
    <s v="УРАЛМАШ"/>
    <n v="70026.7601"/>
    <n v="70026.7601"/>
    <n v="63410.482000000004"/>
  </r>
  <r>
    <x v="487"/>
    <s v="ЭЛЬМАШ"/>
    <n v="70734.0236"/>
    <n v="70734.0236"/>
    <n v="64050.9208"/>
  </r>
  <r>
    <x v="488"/>
    <s v="СОВХОЗ"/>
    <n v="59746.832600000002"/>
    <n v="59746.832600000002"/>
    <n v="54101.823700000001"/>
  </r>
  <r>
    <x v="489"/>
    <s v="СОВХОЗ"/>
    <n v="59746.832600000002"/>
    <n v="59746.832600000002"/>
    <n v="54101.823700000001"/>
  </r>
  <r>
    <x v="490"/>
    <s v="СОВХОЗ"/>
    <n v="59746.832600000002"/>
    <n v="59746.832600000002"/>
    <n v="54101.823700000001"/>
  </r>
  <r>
    <x v="491"/>
    <s v="ХИММАШ"/>
    <n v="61980.678599999999"/>
    <n v="61980.678599999999"/>
    <n v="56124.615700000002"/>
  </r>
  <r>
    <x v="492"/>
    <s v="УРАЛМАШ"/>
    <n v="70026.7601"/>
    <n v="70026.7601"/>
    <n v="63410.482000000004"/>
  </r>
  <r>
    <x v="493"/>
    <s v="УРАЛМАШ"/>
    <n v="70026.7601"/>
    <n v="70026.7601"/>
    <n v="63410.482000000004"/>
  </r>
  <r>
    <x v="494"/>
    <s v="Центр"/>
    <n v="93989.912800000006"/>
    <n v="93989.912800000006"/>
    <n v="85109.545199999993"/>
  </r>
  <r>
    <x v="495"/>
    <s v="Ю-З"/>
    <n v="76630.280299999999"/>
    <n v="76630.280299999999"/>
    <n v="69390.088799999998"/>
  </r>
  <r>
    <x v="496"/>
    <s v="ИСТОК"/>
    <n v="53500.443299999999"/>
    <n v="53500.443299999999"/>
    <n v="48445.605100000001"/>
  </r>
  <r>
    <x v="497"/>
    <s v="РУДНЫЙ"/>
    <n v="46784.877899999999"/>
    <n v="46784.877899999999"/>
    <n v="42364.543299999998"/>
  </r>
  <r>
    <x v="498"/>
    <s v="КОЛЬЦОВО"/>
    <n v="54886.9666"/>
    <n v="54886.9666"/>
    <n v="49701.1319"/>
  </r>
  <r>
    <x v="499"/>
    <s v="ИЗОПЛИТ"/>
    <n v="53668.506099999999"/>
    <n v="53668.506099999999"/>
    <n v="48597.792699999998"/>
  </r>
  <r>
    <x v="500"/>
    <s v="УРАЛМАШ"/>
    <n v="70026.7601"/>
    <n v="70026.7601"/>
    <n v="63410.482000000004"/>
  </r>
  <r>
    <x v="501"/>
    <s v="Ю-З"/>
    <n v="76630.280299999999"/>
    <n v="76630.280299999999"/>
    <n v="69390.088799999998"/>
  </r>
  <r>
    <x v="502"/>
    <s v="Центр"/>
    <n v="93989.912800000006"/>
    <n v="93989.912800000006"/>
    <n v="85109.545199999993"/>
  </r>
  <r>
    <x v="503"/>
    <s v="СОВХОЗ"/>
    <n v="59746.832600000002"/>
    <n v="59746.832600000002"/>
    <n v="54101.823700000001"/>
  </r>
  <r>
    <x v="504"/>
    <s v="ЕЛИЗАВЕТ"/>
    <n v="60958.294800000003"/>
    <n v="60958.294800000003"/>
    <n v="55198.825199999999"/>
  </r>
  <r>
    <x v="505"/>
    <s v="ЧЕРМЕТ"/>
    <n v="62652.9401"/>
    <n v="62652.9401"/>
    <n v="56733.3557"/>
  </r>
  <r>
    <x v="506"/>
    <s v="КОЛЬЦОВО"/>
    <n v="54886.9666"/>
    <n v="54886.9666"/>
    <n v="49701.1319"/>
  </r>
  <r>
    <x v="507"/>
    <s v="Центр"/>
    <n v="93989.912800000006"/>
    <n v="93989.912800000006"/>
    <n v="85109.545199999993"/>
  </r>
  <r>
    <x v="508"/>
    <s v="УРАЛМАШ"/>
    <n v="70026.7601"/>
    <n v="70026.7601"/>
    <n v="63410.482000000004"/>
  </r>
  <r>
    <x v="509"/>
    <s v="Центр"/>
    <n v="93989.912800000006"/>
    <n v="93989.912800000006"/>
    <n v="85109.545199999993"/>
  </r>
  <r>
    <x v="510"/>
    <s v="СЕВЕРКА"/>
    <n v="51175.5573"/>
    <n v="51175.5573"/>
    <n v="46340.381600000001"/>
  </r>
  <r>
    <x v="511"/>
    <s v="ГОРНЫЙ ЩИТ"/>
    <n v="52246.960299999999"/>
    <n v="52246.960299999999"/>
    <n v="47310.556700000001"/>
  </r>
  <r>
    <x v="512"/>
    <s v="ХИММАШ"/>
    <n v="61980.678599999999"/>
    <n v="61980.678599999999"/>
    <n v="56124.615700000002"/>
  </r>
  <r>
    <x v="513"/>
    <s v="АВТОВОКЗАЛ"/>
    <n v="83744.997499999998"/>
    <n v="83744.997499999998"/>
    <n v="75832.596099999995"/>
  </r>
  <r>
    <x v="514"/>
    <s v="УКТУС"/>
    <n v="63640.311600000001"/>
    <n v="63640.311600000001"/>
    <n v="57627.4473"/>
  </r>
  <r>
    <x v="515"/>
    <s v="ЕЛИЗАВЕТ"/>
    <n v="60958.294800000003"/>
    <n v="60958.294800000003"/>
    <n v="55198.825199999999"/>
  </r>
  <r>
    <x v="516"/>
    <s v="ЭЛЬМАШ"/>
    <n v="70734.0236"/>
    <n v="70734.0236"/>
    <n v="64050.9208"/>
  </r>
  <r>
    <x v="517"/>
    <s v="Ю-З"/>
    <n v="76630.280299999999"/>
    <n v="76630.280299999999"/>
    <n v="69390.088799999998"/>
  </r>
  <r>
    <x v="518"/>
    <s v="АВТОВОКЗАЛ"/>
    <n v="83744.997499999998"/>
    <n v="83744.997499999998"/>
    <n v="75832.596099999995"/>
  </r>
  <r>
    <x v="519"/>
    <s v="АВТОВОКЗАЛ"/>
    <n v="83744.997499999998"/>
    <n v="83744.997499999998"/>
    <n v="75832.596099999995"/>
  </r>
  <r>
    <x v="520"/>
    <s v="УРАЛМАШ"/>
    <n v="70026.7601"/>
    <n v="70026.7601"/>
    <n v="63410.482000000004"/>
  </r>
  <r>
    <x v="521"/>
    <s v="УРАЛМАШ"/>
    <n v="70026.7601"/>
    <n v="70026.7601"/>
    <n v="63410.482000000004"/>
  </r>
  <r>
    <x v="522"/>
    <s v="УКТУС"/>
    <n v="63640.311600000001"/>
    <n v="63640.311600000001"/>
    <n v="57627.4473"/>
  </r>
  <r>
    <x v="523"/>
    <s v="АВТОВОКЗАЛ"/>
    <n v="83744.997499999998"/>
    <n v="83744.997499999998"/>
    <n v="75832.596099999995"/>
  </r>
  <r>
    <x v="524"/>
    <s v="УКТУС"/>
    <n v="63640.311600000001"/>
    <n v="63640.311600000001"/>
    <n v="57627.4473"/>
  </r>
  <r>
    <x v="525"/>
    <s v="АВТОВОКЗАЛ"/>
    <n v="83744.997499999998"/>
    <n v="83744.997499999998"/>
    <n v="75832.596099999995"/>
  </r>
  <r>
    <x v="526"/>
    <s v="ХИММАШ"/>
    <n v="61980.678599999999"/>
    <n v="61980.678599999999"/>
    <n v="56124.615700000002"/>
  </r>
  <r>
    <x v="527"/>
    <s v="УРАЛМАШ"/>
    <n v="70026.7601"/>
    <n v="70026.7601"/>
    <n v="63410.482000000004"/>
  </r>
  <r>
    <x v="528"/>
    <s v="УРАЛМАШ"/>
    <n v="70026.7601"/>
    <n v="70026.7601"/>
    <n v="63410.482000000004"/>
  </r>
  <r>
    <x v="529"/>
    <s v="Центр"/>
    <n v="93989.912800000006"/>
    <n v="93989.912800000006"/>
    <n v="85109.545199999993"/>
  </r>
  <r>
    <x v="530"/>
    <s v="ЧЕРМЕТ"/>
    <n v="62652.9401"/>
    <n v="62652.9401"/>
    <n v="56733.3557"/>
  </r>
  <r>
    <x v="531"/>
    <s v="ГОРНЫЙ ЩИТ"/>
    <n v="52246.960299999999"/>
    <n v="52246.960299999999"/>
    <n v="47310.556700000001"/>
  </r>
  <r>
    <x v="532"/>
    <s v="УРАЛМАШ"/>
    <n v="70026.7601"/>
    <n v="70026.7601"/>
    <n v="63410.482000000004"/>
  </r>
  <r>
    <x v="533"/>
    <s v="АВТОВОКЗАЛ"/>
    <n v="83744.997499999998"/>
    <n v="83744.997499999998"/>
    <n v="75832.596099999995"/>
  </r>
  <r>
    <x v="534"/>
    <s v="Центр"/>
    <n v="93989.912800000006"/>
    <n v="93989.912800000006"/>
    <n v="85109.545199999993"/>
  </r>
  <r>
    <x v="535"/>
    <s v="ЭЛЬМАШ"/>
    <n v="70734.0236"/>
    <n v="70734.0236"/>
    <n v="64050.9208"/>
  </r>
  <r>
    <x v="536"/>
    <s v="УРАЛМАШ"/>
    <n v="70026.7601"/>
    <n v="70026.7601"/>
    <n v="63410.482000000004"/>
  </r>
  <r>
    <x v="537"/>
    <s v="Старая сортировка"/>
    <n v="59368.686099999999"/>
    <n v="59368.686099999999"/>
    <n v="53759.401700000002"/>
  </r>
  <r>
    <x v="538"/>
    <s v="ПИОНЕРСКИЙ"/>
    <n v="77743.704100000003"/>
    <n v="77743.704100000003"/>
    <n v="70398.310800000007"/>
  </r>
  <r>
    <x v="539"/>
    <s v="Старая сортировка"/>
    <n v="59368.686099999999"/>
    <n v="59368.686099999999"/>
    <n v="53759.401700000002"/>
  </r>
  <r>
    <x v="540"/>
    <s v="КАЛИНОВСКИЙ"/>
    <n v="56546.599699999999"/>
    <n v="56546.599699999999"/>
    <n v="51203.963499999998"/>
  </r>
  <r>
    <x v="541"/>
    <s v="ВТУЗГОРОДОК"/>
    <n v="77071.442599999995"/>
    <n v="77071.442599999995"/>
    <n v="69789.570900000006"/>
  </r>
  <r>
    <x v="542"/>
    <s v="ЕЛИЗАВЕТ"/>
    <n v="60958.294800000003"/>
    <n v="60958.294800000003"/>
    <n v="55198.825199999999"/>
  </r>
  <r>
    <x v="543"/>
    <s v="ЗАВОКЗАЛЬНЫЙ"/>
    <n v="56140.449699999997"/>
    <n v="56140.449699999997"/>
    <n v="50836.1803"/>
  </r>
  <r>
    <x v="544"/>
    <s v="ЧЕРМЕТ"/>
    <n v="62652.9401"/>
    <n v="62652.9401"/>
    <n v="56733.3557"/>
  </r>
  <r>
    <x v="545"/>
    <s v="ЕЛИЗАВЕТ"/>
    <n v="60958.294800000003"/>
    <n v="60958.294800000003"/>
    <n v="55198.825199999999"/>
  </r>
  <r>
    <x v="546"/>
    <s v="ЧЕРМЕТ"/>
    <n v="62652.9401"/>
    <n v="62652.9401"/>
    <n v="56733.3557"/>
  </r>
  <r>
    <x v="547"/>
    <s v="ПИОНЕРСКИЙ"/>
    <n v="77743.704100000003"/>
    <n v="77743.704100000003"/>
    <n v="70398.310800000007"/>
  </r>
  <r>
    <x v="548"/>
    <s v="ЧЕРМЕТ"/>
    <n v="62652.9401"/>
    <n v="62652.9401"/>
    <n v="56733.3557"/>
  </r>
  <r>
    <x v="549"/>
    <s v="ШАБРОВСКИЙ"/>
    <n v="37590.3603"/>
    <n v="37590.3603"/>
    <n v="34038.745900000002"/>
  </r>
  <r>
    <x v="550"/>
    <s v="ИСТОК"/>
    <n v="53500.443299999999"/>
    <n v="53500.443299999999"/>
    <n v="48445.605100000001"/>
  </r>
  <r>
    <x v="551"/>
    <s v="ХИММАШ"/>
    <n v="61980.678599999999"/>
    <n v="61980.678599999999"/>
    <n v="56124.615700000002"/>
  </r>
  <r>
    <x v="552"/>
    <s v="Центр"/>
    <n v="93989.912800000006"/>
    <n v="93989.912800000006"/>
    <n v="85109.545199999993"/>
  </r>
  <r>
    <x v="553"/>
    <s v="ЧЕРМЕТ"/>
    <n v="62652.9401"/>
    <n v="62652.9401"/>
    <n v="56733.3557"/>
  </r>
  <r>
    <x v="554"/>
    <s v="ЭЛЬМАШ"/>
    <n v="70734.0236"/>
    <n v="70734.0236"/>
    <n v="64050.9208"/>
  </r>
  <r>
    <x v="555"/>
    <s v="ПИОНЕРСКИЙ"/>
    <n v="77743.704100000003"/>
    <n v="77743.704100000003"/>
    <n v="70398.310800000007"/>
  </r>
  <r>
    <x v="556"/>
    <s v="АВТОВОКЗАЛ"/>
    <n v="83744.997499999998"/>
    <n v="83744.997499999998"/>
    <n v="75832.596099999995"/>
  </r>
  <r>
    <x v="557"/>
    <s v="Центр"/>
    <n v="93989.912800000006"/>
    <n v="93989.912800000006"/>
    <n v="85109.545199999993"/>
  </r>
  <r>
    <x v="558"/>
    <s v="МЕДНЫЙ"/>
    <n v="51343.6201"/>
    <n v="51343.6201"/>
    <n v="46492.558799999999"/>
  </r>
  <r>
    <x v="559"/>
    <s v="УРАЛМАШ"/>
    <n v="70026.7601"/>
    <n v="70026.7601"/>
    <n v="63410.482000000004"/>
  </r>
  <r>
    <x v="560"/>
    <s v="СЕВЕРКА"/>
    <n v="51175.5573"/>
    <n v="51175.5573"/>
    <n v="46340.381600000001"/>
  </r>
  <r>
    <x v="561"/>
    <s v="ШУВАКИШ"/>
    <n v="44242.899599999997"/>
    <n v="44242.899599999997"/>
    <n v="40062.737300000001"/>
  </r>
  <r>
    <x v="562"/>
    <s v="УКТУС"/>
    <n v="63640.311600000001"/>
    <n v="63640.311600000001"/>
    <n v="57627.4473"/>
  </r>
  <r>
    <x v="563"/>
    <s v="Ю-З"/>
    <n v="76630.280299999999"/>
    <n v="76630.280299999999"/>
    <n v="69390.088799999998"/>
  </r>
  <r>
    <x v="564"/>
    <s v="Ю-З"/>
    <n v="76630.280299999999"/>
    <n v="76630.280299999999"/>
    <n v="69390.088799999998"/>
  </r>
  <r>
    <x v="565"/>
    <s v="ХИММАШ"/>
    <n v="61980.678599999999"/>
    <n v="61980.678599999999"/>
    <n v="56124.615700000002"/>
  </r>
  <r>
    <x v="566"/>
    <s v="СЕВЕРКА"/>
    <n v="51175.5573"/>
    <n v="51175.5573"/>
    <n v="46340.381600000001"/>
  </r>
  <r>
    <x v="567"/>
    <s v="ЭЛЬМАШ"/>
    <n v="70734.0236"/>
    <n v="70734.0236"/>
    <n v="64050.9208"/>
  </r>
  <r>
    <x v="568"/>
    <s v="УРАЛМАШ"/>
    <n v="70026.7601"/>
    <n v="70026.7601"/>
    <n v="63410.482000000004"/>
  </r>
  <r>
    <x v="569"/>
    <s v="Центр"/>
    <n v="93989.912800000006"/>
    <n v="93989.912800000006"/>
    <n v="85109.545199999993"/>
  </r>
  <r>
    <x v="570"/>
    <s v="УРАЛМАШ"/>
    <n v="70026.7601"/>
    <n v="70026.7601"/>
    <n v="63410.482000000004"/>
  </r>
  <r>
    <x v="571"/>
    <s v="ЗАРЕЧНЫЙ"/>
    <n v="71105.171700000006"/>
    <n v="71105.171700000006"/>
    <n v="64387.005100000002"/>
  </r>
  <r>
    <x v="572"/>
    <s v="КОЛЬЦОВО"/>
    <n v="54886.9666"/>
    <n v="54886.9666"/>
    <n v="49701.1319"/>
  </r>
  <r>
    <x v="573"/>
    <s v="АВТОВОКЗАЛ"/>
    <n v="83744.997499999998"/>
    <n v="83744.997499999998"/>
    <n v="75832.596099999995"/>
  </r>
  <r>
    <x v="574"/>
    <s v="УКТУС"/>
    <n v="63640.311600000001"/>
    <n v="63640.311600000001"/>
    <n v="57627.4473"/>
  </r>
  <r>
    <x v="575"/>
    <s v="СОВХОЗ"/>
    <n v="59746.832600000002"/>
    <n v="59746.832600000002"/>
    <n v="54101.823700000001"/>
  </r>
  <r>
    <x v="576"/>
    <s v="ГОРНЫЙ ЩИТ"/>
    <n v="52246.960299999999"/>
    <n v="52246.960299999999"/>
    <n v="47310.556700000001"/>
  </r>
  <r>
    <x v="577"/>
    <s v="ГОРНЫЙ ЩИТ"/>
    <n v="52246.960299999999"/>
    <n v="52246.960299999999"/>
    <n v="47310.556700000001"/>
  </r>
  <r>
    <x v="578"/>
    <s v="ПОЛЕВОДСТВО"/>
    <n v="55692.278700000003"/>
    <n v="55692.278700000003"/>
    <n v="50430.350200000001"/>
  </r>
  <r>
    <x v="579"/>
    <s v="Центр"/>
    <n v="93989.912800000006"/>
    <n v="93989.912800000006"/>
    <n v="85109.545199999993"/>
  </r>
  <r>
    <x v="580"/>
    <s v="Старая сортировка"/>
    <n v="59368.686099999999"/>
    <n v="59368.686099999999"/>
    <n v="53759.401700000002"/>
  </r>
  <r>
    <x v="581"/>
    <s v="УКТУС"/>
    <n v="63640.311600000001"/>
    <n v="63640.311600000001"/>
    <n v="57627.4473"/>
  </r>
  <r>
    <x v="582"/>
    <s v="СОВХОЗ"/>
    <n v="59746.832600000002"/>
    <n v="59746.832600000002"/>
    <n v="54101.823700000001"/>
  </r>
  <r>
    <x v="583"/>
    <s v="Старая сортировка"/>
    <n v="59368.686099999999"/>
    <n v="59368.686099999999"/>
    <n v="53759.401700000002"/>
  </r>
  <r>
    <x v="584"/>
    <s v="Центр"/>
    <n v="93989.912800000006"/>
    <n v="93989.912800000006"/>
    <n v="85109.545199999993"/>
  </r>
  <r>
    <x v="585"/>
    <s v="Центр"/>
    <n v="93989.912800000006"/>
    <n v="93989.912800000006"/>
    <n v="85109.545199999993"/>
  </r>
  <r>
    <x v="586"/>
    <s v="Новая сортировка"/>
    <n v="64914.8"/>
    <n v="64914.8"/>
    <n v="58781.519200000002"/>
  </r>
  <r>
    <x v="587"/>
    <s v="КОЛЬЦОВО"/>
    <n v="54886.9666"/>
    <n v="54886.9666"/>
    <n v="49701.1319"/>
  </r>
  <r>
    <x v="588"/>
    <s v="УРАЛМАШ"/>
    <n v="70026.7601"/>
    <n v="70026.7601"/>
    <n v="63410.482000000004"/>
  </r>
  <r>
    <x v="589"/>
    <s v="КОМПРЕССОРНЫЙ"/>
    <n v="56392.543899999997"/>
    <n v="56392.543899999997"/>
    <n v="51064.4617"/>
  </r>
  <r>
    <x v="590"/>
    <s v="ЛЕЧЕБНЫЙ"/>
    <n v="57793.0844"/>
    <n v="57793.0844"/>
    <n v="52332.6639"/>
  </r>
  <r>
    <x v="591"/>
    <s v="ЧЕРМЕТ"/>
    <n v="62652.9401"/>
    <n v="62652.9401"/>
    <n v="56733.3557"/>
  </r>
  <r>
    <x v="592"/>
    <s v="ЗАРЕЧНЫЙ"/>
    <n v="71105.171700000006"/>
    <n v="71105.171700000006"/>
    <n v="64387.005100000002"/>
  </r>
  <r>
    <x v="593"/>
    <s v="ШАБРОВСКИЙ"/>
    <n v="37590.3603"/>
    <n v="37590.3603"/>
    <n v="34038.745900000002"/>
  </r>
  <r>
    <x v="594"/>
    <s v="Центр"/>
    <n v="93989.912800000006"/>
    <n v="93989.912800000006"/>
    <n v="85109.545199999993"/>
  </r>
  <r>
    <x v="595"/>
    <s v="ВТУЗГОРОДОК"/>
    <n v="77071.442599999995"/>
    <n v="77071.442599999995"/>
    <n v="69789.570900000006"/>
  </r>
  <r>
    <x v="596"/>
    <s v="ЭЛЬМАШ"/>
    <n v="70734.0236"/>
    <n v="70734.0236"/>
    <n v="64050.9208"/>
  </r>
  <r>
    <x v="597"/>
    <s v="УКТУС"/>
    <n v="63640.311600000001"/>
    <n v="63640.311600000001"/>
    <n v="57627.4473"/>
  </r>
  <r>
    <x v="598"/>
    <s v="ХИММАШ"/>
    <n v="61980.678599999999"/>
    <n v="61980.678599999999"/>
    <n v="56124.615700000002"/>
  </r>
  <r>
    <x v="599"/>
    <s v="ВТУЗГОРОДОК"/>
    <n v="77071.442599999995"/>
    <n v="77071.442599999995"/>
    <n v="69789.570900000006"/>
  </r>
  <r>
    <x v="600"/>
    <s v="Ю-З"/>
    <n v="76630.280299999999"/>
    <n v="76630.280299999999"/>
    <n v="69390.088799999998"/>
  </r>
  <r>
    <x v="601"/>
    <s v="ХИММАШ"/>
    <n v="61980.678599999999"/>
    <n v="61980.678599999999"/>
    <n v="56124.615700000002"/>
  </r>
  <r>
    <x v="602"/>
    <s v="КОЛЬЦОВО"/>
    <n v="54886.9666"/>
    <n v="54886.9666"/>
    <n v="49701.1319"/>
  </r>
  <r>
    <x v="603"/>
    <s v="ЧЕРМЕТ"/>
    <n v="62652.9401"/>
    <n v="62652.9401"/>
    <n v="56733.3557"/>
  </r>
  <r>
    <x v="604"/>
    <s v="УРАЛМАШ"/>
    <n v="70026.7601"/>
    <n v="70026.7601"/>
    <n v="63410.482000000004"/>
  </r>
  <r>
    <x v="605"/>
    <s v="ВИЗ"/>
    <n v="84298.205100000006"/>
    <n v="84298.205100000006"/>
    <n v="76333.533100000001"/>
  </r>
  <r>
    <x v="606"/>
    <s v="АВТОВОКЗАЛ"/>
    <n v="83744.997499999998"/>
    <n v="83744.997499999998"/>
    <n v="75832.596099999995"/>
  </r>
  <r>
    <x v="607"/>
    <s v="РУДНЫЙ"/>
    <n v="46784.877899999999"/>
    <n v="46784.877899999999"/>
    <n v="42364.543299999998"/>
  </r>
  <r>
    <x v="608"/>
    <s v="ВИЗ"/>
    <n v="84298.205100000006"/>
    <n v="84298.205100000006"/>
    <n v="76333.533100000001"/>
  </r>
  <r>
    <x v="609"/>
    <s v="КАЛИНОВСКИЙ"/>
    <n v="56546.599699999999"/>
    <n v="56546.599699999999"/>
    <n v="51203.963499999998"/>
  </r>
  <r>
    <x v="610"/>
    <s v="Шарташский рынок"/>
    <n v="79683.445300000007"/>
    <n v="79683.445300000007"/>
    <n v="72154.784899999999"/>
  </r>
  <r>
    <x v="611"/>
    <s v="ВТУЗГОРОДОК"/>
    <n v="77071.442599999995"/>
    <n v="77071.442599999995"/>
    <n v="69789.570900000006"/>
  </r>
  <r>
    <x v="612"/>
    <s v="Центр"/>
    <n v="93989.912800000006"/>
    <n v="93989.912800000006"/>
    <n v="85109.545199999993"/>
  </r>
  <r>
    <x v="613"/>
    <s v="УКТУС"/>
    <n v="63640.311600000001"/>
    <n v="63640.311600000001"/>
    <n v="57627.4473"/>
  </r>
  <r>
    <x v="614"/>
    <s v="АКАДЕМИЧЕСКИЙ"/>
    <n v="61763.596599999997"/>
    <n v="61763.596599999997"/>
    <n v="55928.0435"/>
  </r>
  <r>
    <x v="615"/>
    <s v="Центр"/>
    <n v="93989.912800000006"/>
    <n v="93989.912800000006"/>
    <n v="85109.545199999993"/>
  </r>
  <r>
    <x v="616"/>
    <s v="САДОВЫЙ"/>
    <n v="53262.345800000003"/>
    <n v="53262.345800000003"/>
    <n v="48230.0095"/>
  </r>
  <r>
    <x v="617"/>
    <s v="ЭЛЬМАШ"/>
    <n v="70734.0236"/>
    <n v="70734.0236"/>
    <n v="64050.9208"/>
  </r>
  <r>
    <x v="618"/>
    <s v="УКТУС"/>
    <n v="63640.311600000001"/>
    <n v="63640.311600000001"/>
    <n v="57627.4473"/>
  </r>
  <r>
    <x v="619"/>
    <s v="УКТУС"/>
    <n v="63640.311600000001"/>
    <n v="63640.311600000001"/>
    <n v="57627.4473"/>
  </r>
  <r>
    <x v="620"/>
    <s v="РУДНЫЙ"/>
    <n v="46784.877899999999"/>
    <n v="46784.877899999999"/>
    <n v="42364.543299999998"/>
  </r>
  <r>
    <x v="621"/>
    <s v="ШИРОКАЯ РЕЧКА"/>
    <n v="63178.133800000003"/>
    <n v="63178.133800000003"/>
    <n v="57208.931499999999"/>
  </r>
  <r>
    <x v="622"/>
    <s v="ШАБРОВСКИЙ"/>
    <n v="37590.3603"/>
    <n v="37590.3603"/>
    <n v="34038.745900000002"/>
  </r>
  <r>
    <x v="623"/>
    <s v="Центр"/>
    <n v="93989.912800000006"/>
    <n v="93989.912800000006"/>
    <n v="85109.545199999993"/>
  </r>
  <r>
    <x v="624"/>
    <s v="ЭЛЬМАШ"/>
    <n v="70734.0236"/>
    <n v="70734.0236"/>
    <n v="64050.9208"/>
  </r>
  <r>
    <x v="625"/>
    <s v="ШИРОКАЯ РЕЧКА"/>
    <n v="63178.133800000003"/>
    <n v="63178.133800000003"/>
    <n v="57208.931499999999"/>
  </r>
  <r>
    <x v="626"/>
    <s v="ШИРОКАЯ РЕЧКА"/>
    <n v="63178.133800000003"/>
    <n v="63178.133800000003"/>
    <n v="57208.931499999999"/>
  </r>
  <r>
    <x v="627"/>
    <s v="ЛЕЧЕБНЫЙ"/>
    <n v="57793.0844"/>
    <n v="57793.0844"/>
    <n v="52332.6639"/>
  </r>
  <r>
    <x v="628"/>
    <s v="ПОЛЕВОДСТВО"/>
    <n v="55692.278700000003"/>
    <n v="55692.278700000003"/>
    <n v="50430.350200000001"/>
  </r>
  <r>
    <x v="629"/>
    <s v="КАЛИНОВСКИЙ"/>
    <n v="56546.599699999999"/>
    <n v="56546.599699999999"/>
    <n v="51203.963499999998"/>
  </r>
  <r>
    <x v="630"/>
    <s v="БОТАНИЧЕСКИЙ"/>
    <n v="77064.444199999998"/>
    <n v="77064.444199999998"/>
    <n v="69783.233200000002"/>
  </r>
  <r>
    <x v="631"/>
    <s v="УРАЛМАШ"/>
    <n v="70026.7601"/>
    <n v="70026.7601"/>
    <n v="63410.482000000004"/>
  </r>
  <r>
    <x v="632"/>
    <s v="Нижнеисетский"/>
    <n v="46784.877899999999"/>
    <n v="46784.877899999999"/>
    <n v="42364.543299999998"/>
  </r>
  <r>
    <x v="633"/>
    <s v="ШАРТАШ"/>
    <n v="68129.029500000004"/>
    <n v="68129.029500000004"/>
    <n v="61692.054799999998"/>
  </r>
  <r>
    <x v="634"/>
    <s v="АВТОВОКЗАЛ"/>
    <n v="83744.997499999998"/>
    <n v="83744.997499999998"/>
    <n v="75832.596099999995"/>
  </r>
  <r>
    <x v="635"/>
    <s v="Центр"/>
    <n v="93989.912800000006"/>
    <n v="93989.912800000006"/>
    <n v="85109.545199999993"/>
  </r>
  <r>
    <x v="636"/>
    <s v="ШИРОКАЯ РЕЧКА"/>
    <n v="63178.133800000003"/>
    <n v="63178.133800000003"/>
    <n v="57208.931499999999"/>
  </r>
  <r>
    <x v="637"/>
    <s v="Ю-З"/>
    <n v="76630.280299999999"/>
    <n v="76630.280299999999"/>
    <n v="69390.088799999998"/>
  </r>
  <r>
    <x v="638"/>
    <s v="Ю-З"/>
    <n v="76630.280299999999"/>
    <n v="76630.280299999999"/>
    <n v="69390.088799999998"/>
  </r>
  <r>
    <x v="639"/>
    <s v="УРАЛМАШ"/>
    <n v="70026.7601"/>
    <n v="70026.7601"/>
    <n v="63410.482000000004"/>
  </r>
  <r>
    <x v="640"/>
    <s v="УРАЛМАШ"/>
    <n v="70026.7601"/>
    <n v="70026.7601"/>
    <n v="63410.482000000004"/>
  </r>
  <r>
    <x v="641"/>
    <s v="ГОРНЫЙ ЩИТ"/>
    <n v="52246.960299999999"/>
    <n v="52246.960299999999"/>
    <n v="47310.556700000001"/>
  </r>
  <r>
    <x v="642"/>
    <s v="ПАРКОВЫЙ"/>
    <n v="81392.097599999994"/>
    <n v="81392.097599999994"/>
    <n v="73702.001099999994"/>
  </r>
  <r>
    <x v="643"/>
    <s v="ЧЕРМЕТ"/>
    <n v="62652.9401"/>
    <n v="62652.9401"/>
    <n v="56733.3557"/>
  </r>
  <r>
    <x v="644"/>
    <s v="ПТИЦЕФАБРИКА"/>
    <n v="56847.723400000003"/>
    <n v="56847.723400000003"/>
    <n v="51476.629399999998"/>
  </r>
  <r>
    <x v="645"/>
    <s v="ЧЕРМЕТ"/>
    <n v="62652.9401"/>
    <n v="62652.9401"/>
    <n v="56733.3557"/>
  </r>
  <r>
    <x v="646"/>
    <s v="ЧЕРМЕТ"/>
    <n v="62652.9401"/>
    <n v="62652.9401"/>
    <n v="56733.3557"/>
  </r>
  <r>
    <x v="647"/>
    <s v="САДОВЫЙ"/>
    <n v="53262.345800000003"/>
    <n v="53262.345800000003"/>
    <n v="48230.0095"/>
  </r>
  <r>
    <x v="648"/>
    <s v="УРАЛМАШ"/>
    <n v="70026.7601"/>
    <n v="70026.7601"/>
    <n v="63410.482000000004"/>
  </r>
  <r>
    <x v="649"/>
    <s v="СОВХОЗ"/>
    <n v="59746.832600000002"/>
    <n v="59746.832600000002"/>
    <n v="54101.823700000001"/>
  </r>
  <r>
    <x v="650"/>
    <s v="ЛЕЧЕБНЫЙ"/>
    <n v="57793.0844"/>
    <n v="57793.0844"/>
    <n v="52332.6639"/>
  </r>
  <r>
    <x v="651"/>
    <s v="УРАЛМАШ"/>
    <n v="70026.7601"/>
    <n v="70026.7601"/>
    <n v="63410.482000000004"/>
  </r>
  <r>
    <x v="652"/>
    <s v="УРАЛМАШ"/>
    <n v="70026.7601"/>
    <n v="70026.7601"/>
    <n v="63410.482000000004"/>
  </r>
  <r>
    <x v="653"/>
    <s v="ПИОНЕРСКИЙ"/>
    <n v="77743.704100000003"/>
    <n v="77743.704100000003"/>
    <n v="70398.310800000007"/>
  </r>
  <r>
    <x v="654"/>
    <s v="КОЛЬЦОВО"/>
    <n v="54886.9666"/>
    <n v="54886.9666"/>
    <n v="49701.1319"/>
  </r>
  <r>
    <x v="655"/>
    <s v="ГОРНЫЙ ЩИТ"/>
    <n v="52246.960299999999"/>
    <n v="52246.960299999999"/>
    <n v="47310.556700000001"/>
  </r>
  <r>
    <x v="656"/>
    <s v="Центр"/>
    <n v="93989.912800000006"/>
    <n v="93989.912800000006"/>
    <n v="85109.545199999993"/>
  </r>
  <r>
    <x v="657"/>
    <s v="АВТОВОКЗАЛ"/>
    <n v="83744.997499999998"/>
    <n v="83744.997499999998"/>
    <n v="75832.596099999995"/>
  </r>
  <r>
    <x v="658"/>
    <s v="ПИОНЕРСКИЙ"/>
    <n v="77743.704100000003"/>
    <n v="77743.704100000003"/>
    <n v="70398.310800000007"/>
  </r>
  <r>
    <x v="659"/>
    <s v="Старая сортировка"/>
    <n v="59368.686099999999"/>
    <n v="59368.686099999999"/>
    <n v="53759.401700000002"/>
  </r>
  <r>
    <x v="660"/>
    <s v="УКТУС"/>
    <n v="63640.311600000001"/>
    <n v="63640.311600000001"/>
    <n v="57627.4473"/>
  </r>
  <r>
    <x v="661"/>
    <s v="Центр"/>
    <n v="93989.912800000006"/>
    <n v="93989.912800000006"/>
    <n v="85109.545199999993"/>
  </r>
  <r>
    <x v="662"/>
    <s v="ХИММАШ"/>
    <n v="61980.678599999999"/>
    <n v="61980.678599999999"/>
    <n v="56124.615700000002"/>
  </r>
  <r>
    <x v="663"/>
    <s v="ВОКЗАЛЬНЫЙ"/>
    <n v="78633.047600000005"/>
    <n v="78633.047600000005"/>
    <n v="71203.623000000007"/>
  </r>
  <r>
    <x v="664"/>
    <s v="ЗАВОКЗАЛЬНЫЙ"/>
    <n v="56140.449699999997"/>
    <n v="56140.449699999997"/>
    <n v="50836.1803"/>
  </r>
  <r>
    <x v="665"/>
    <s v="ЭЛЬМАШ"/>
    <n v="70734.0236"/>
    <n v="70734.0236"/>
    <n v="64050.9208"/>
  </r>
  <r>
    <x v="666"/>
    <s v="ГОРНЫЙ ЩИТ"/>
    <n v="52246.960299999999"/>
    <n v="52246.960299999999"/>
    <n v="47310.556700000001"/>
  </r>
  <r>
    <x v="667"/>
    <s v="Центр"/>
    <n v="93989.912800000006"/>
    <n v="93989.912800000006"/>
    <n v="85109.545199999993"/>
  </r>
  <r>
    <x v="668"/>
    <s v="АВТОВОКЗАЛ"/>
    <n v="83744.997499999998"/>
    <n v="83744.997499999998"/>
    <n v="75832.596099999995"/>
  </r>
  <r>
    <x v="669"/>
    <s v="ЭЛЬМАШ"/>
    <n v="70734.0236"/>
    <n v="70734.0236"/>
    <n v="64050.9208"/>
  </r>
  <r>
    <x v="670"/>
    <s v="УРАЛМАШ"/>
    <n v="70026.7601"/>
    <n v="70026.7601"/>
    <n v="63410.482000000004"/>
  </r>
  <r>
    <x v="671"/>
    <s v="Центр"/>
    <n v="93989.912800000006"/>
    <n v="93989.912800000006"/>
    <n v="85109.545199999993"/>
  </r>
  <r>
    <x v="672"/>
    <s v="ХИММАШ"/>
    <n v="61980.678599999999"/>
    <n v="61980.678599999999"/>
    <n v="56124.615700000002"/>
  </r>
  <r>
    <x v="673"/>
    <s v="УРАЛМАШ"/>
    <n v="70026.7601"/>
    <n v="70026.7601"/>
    <n v="63410.482000000004"/>
  </r>
  <r>
    <x v="674"/>
    <s v="ШИРОКАЯ РЕЧКА"/>
    <n v="63178.133800000003"/>
    <n v="63178.133800000003"/>
    <n v="57208.931499999999"/>
  </r>
  <r>
    <x v="675"/>
    <s v="Старая сортировка"/>
    <n v="59368.686099999999"/>
    <n v="59368.686099999999"/>
    <n v="53759.401700000002"/>
  </r>
  <r>
    <x v="676"/>
    <s v="Центр"/>
    <n v="93989.912800000006"/>
    <n v="93989.912800000006"/>
    <n v="85109.545199999993"/>
  </r>
  <r>
    <x v="677"/>
    <s v="ШАБРОВСКИЙ"/>
    <n v="37590.3603"/>
    <n v="37590.3603"/>
    <n v="34038.745900000002"/>
  </r>
  <r>
    <x v="678"/>
    <s v="Старая сортировка"/>
    <n v="59368.686099999999"/>
    <n v="59368.686099999999"/>
    <n v="53759.401700000002"/>
  </r>
  <r>
    <x v="679"/>
    <s v="Ю-З"/>
    <n v="76630.280299999999"/>
    <n v="76630.280299999999"/>
    <n v="69390.088799999998"/>
  </r>
  <r>
    <x v="680"/>
    <s v="ЕЛИЗАВЕТ"/>
    <n v="60958.294800000003"/>
    <n v="60958.294800000003"/>
    <n v="55198.825199999999"/>
  </r>
  <r>
    <x v="681"/>
    <s v="ГОРНЫЙ ЩИТ"/>
    <n v="52246.960299999999"/>
    <n v="52246.960299999999"/>
    <n v="47310.556700000001"/>
  </r>
  <r>
    <x v="682"/>
    <s v="УКТУС"/>
    <n v="63640.311600000001"/>
    <n v="63640.311600000001"/>
    <n v="57627.4473"/>
  </r>
  <r>
    <x v="683"/>
    <s v="Ю-З"/>
    <n v="76630.280299999999"/>
    <n v="76630.280299999999"/>
    <n v="69390.088799999998"/>
  </r>
  <r>
    <x v="684"/>
    <s v="Старая сортировка"/>
    <n v="59368.686099999999"/>
    <n v="59368.686099999999"/>
    <n v="53759.401700000002"/>
  </r>
  <r>
    <x v="685"/>
    <s v="ЧЕРМЕТ"/>
    <n v="62652.9401"/>
    <n v="62652.9401"/>
    <n v="56733.3557"/>
  </r>
  <r>
    <x v="686"/>
    <s v="УРАЛМАШ"/>
    <n v="70026.7601"/>
    <n v="70026.7601"/>
    <n v="63410.482000000004"/>
  </r>
  <r>
    <x v="687"/>
    <s v="Центр"/>
    <n v="93989.912800000006"/>
    <n v="93989.912800000006"/>
    <n v="85109.545199999993"/>
  </r>
  <r>
    <x v="688"/>
    <s v="ГОРНЫЙ ЩИТ"/>
    <n v="52246.960299999999"/>
    <n v="52246.960299999999"/>
    <n v="47310.556700000001"/>
  </r>
  <r>
    <x v="689"/>
    <s v="ЭЛЬМАШ"/>
    <n v="70734.0236"/>
    <n v="70734.0236"/>
    <n v="64050.9208"/>
  </r>
  <r>
    <x v="690"/>
    <s v="Шарташский рынок"/>
    <n v="79683.445300000007"/>
    <n v="79683.445300000007"/>
    <n v="72154.784899999999"/>
  </r>
  <r>
    <x v="691"/>
    <s v="ЗАРЕЧНЫЙ"/>
    <n v="71105.171700000006"/>
    <n v="71105.171700000006"/>
    <n v="64387.005100000002"/>
  </r>
  <r>
    <x v="692"/>
    <s v="ЭЛЬМАШ"/>
    <n v="70734.0236"/>
    <n v="70734.0236"/>
    <n v="64050.9208"/>
  </r>
  <r>
    <x v="693"/>
    <s v="АВТОВОКЗАЛ"/>
    <n v="83744.997499999998"/>
    <n v="83744.997499999998"/>
    <n v="75832.596099999995"/>
  </r>
  <r>
    <x v="694"/>
    <s v="ЧЕРМЕТ"/>
    <n v="62652.9401"/>
    <n v="62652.9401"/>
    <n v="56733.3557"/>
  </r>
  <r>
    <x v="695"/>
    <s v="ШИРОКАЯ РЕЧКА"/>
    <n v="63178.133800000003"/>
    <n v="63178.133800000003"/>
    <n v="57208.931499999999"/>
  </r>
  <r>
    <x v="696"/>
    <s v="ПТИЦЕФАБРИКА"/>
    <n v="56847.723400000003"/>
    <n v="56847.723400000003"/>
    <n v="51476.629399999998"/>
  </r>
  <r>
    <x v="697"/>
    <s v="УКТУС"/>
    <n v="63640.311600000001"/>
    <n v="63640.311600000001"/>
    <n v="57627.4473"/>
  </r>
  <r>
    <x v="698"/>
    <s v="КОМПРЕССОРНЫЙ"/>
    <n v="56392.543899999997"/>
    <n v="56392.543899999997"/>
    <n v="51064.4617"/>
  </r>
  <r>
    <x v="699"/>
    <s v="ПТИЦЕФАБРИКА"/>
    <n v="56847.723400000003"/>
    <n v="56847.723400000003"/>
    <n v="51476.629399999998"/>
  </r>
  <r>
    <x v="700"/>
    <s v="ПИОНЕРСКИЙ"/>
    <n v="77743.704100000003"/>
    <n v="77743.704100000003"/>
    <n v="70398.310800000007"/>
  </r>
  <r>
    <x v="701"/>
    <s v="ВОКЗАЛЬНЫЙ"/>
    <n v="78633.047600000005"/>
    <n v="78633.047600000005"/>
    <n v="71203.623000000007"/>
  </r>
  <r>
    <x v="702"/>
    <s v="ЭЛЬМАШ"/>
    <n v="70734.0236"/>
    <n v="70734.0236"/>
    <n v="64050.9208"/>
  </r>
  <r>
    <x v="703"/>
    <s v="Старая сортировка"/>
    <n v="59368.686099999999"/>
    <n v="59368.686099999999"/>
    <n v="53759.401700000002"/>
  </r>
  <r>
    <x v="704"/>
    <s v="СЕВЕРКА"/>
    <n v="51175.5573"/>
    <n v="51175.5573"/>
    <n v="46340.381600000001"/>
  </r>
  <r>
    <x v="705"/>
    <s v="УРАЛМАШ"/>
    <n v="70026.7601"/>
    <n v="70026.7601"/>
    <n v="63410.482000000004"/>
  </r>
  <r>
    <x v="706"/>
    <s v="ВИЗ"/>
    <n v="84298.205100000006"/>
    <n v="84298.205100000006"/>
    <n v="76333.533100000001"/>
  </r>
  <r>
    <x v="707"/>
    <s v="ЧЕРМЕТ"/>
    <n v="62652.9401"/>
    <n v="62652.9401"/>
    <n v="56733.3557"/>
  </r>
  <r>
    <x v="708"/>
    <s v="ШАРТАШ"/>
    <n v="68129.029500000004"/>
    <n v="68129.029500000004"/>
    <n v="61692.054799999998"/>
  </r>
  <r>
    <x v="709"/>
    <s v="АВТОВОКЗАЛ"/>
    <n v="83744.997499999998"/>
    <n v="83744.997499999998"/>
    <n v="75832.596099999995"/>
  </r>
  <r>
    <x v="710"/>
    <s v="Шарташский рынок"/>
    <n v="79683.445300000007"/>
    <n v="79683.445300000007"/>
    <n v="72154.784899999999"/>
  </r>
  <r>
    <x v="711"/>
    <s v="УРАЛМАШ"/>
    <n v="70026.7601"/>
    <n v="70026.7601"/>
    <n v="63410.482000000004"/>
  </r>
  <r>
    <x v="712"/>
    <s v="ХИММАШ"/>
    <n v="61980.678599999999"/>
    <n v="61980.678599999999"/>
    <n v="56124.615700000002"/>
  </r>
  <r>
    <x v="713"/>
    <s v="СЕВЕРКА"/>
    <n v="51175.5573"/>
    <n v="51175.5573"/>
    <n v="46340.381600000001"/>
  </r>
  <r>
    <x v="714"/>
    <s v="Центр"/>
    <n v="93989.912800000006"/>
    <n v="93989.912800000006"/>
    <n v="85109.545199999993"/>
  </r>
  <r>
    <x v="715"/>
    <s v="ЭЛЬМАШ"/>
    <n v="70734.0236"/>
    <n v="70734.0236"/>
    <n v="64050.9208"/>
  </r>
  <r>
    <x v="716"/>
    <s v="Центр"/>
    <n v="93989.912800000006"/>
    <n v="93989.912800000006"/>
    <n v="85109.545199999993"/>
  </r>
  <r>
    <x v="717"/>
    <s v="УКТУС"/>
    <n v="63640.311600000001"/>
    <n v="63640.311600000001"/>
    <n v="57627.4473"/>
  </r>
  <r>
    <x v="718"/>
    <s v="ВИЗ"/>
    <n v="84298.205100000006"/>
    <n v="84298.205100000006"/>
    <n v="76333.533100000001"/>
  </r>
  <r>
    <x v="719"/>
    <s v="ИЗОПЛИТ"/>
    <n v="53668.506099999999"/>
    <n v="53668.506099999999"/>
    <n v="48597.792699999998"/>
  </r>
  <r>
    <x v="720"/>
    <s v="Старая сортировка"/>
    <n v="59368.686099999999"/>
    <n v="59368.686099999999"/>
    <n v="53759.401700000002"/>
  </r>
  <r>
    <x v="721"/>
    <s v="УРАЛМАШ"/>
    <n v="70026.7601"/>
    <n v="70026.7601"/>
    <n v="63410.482000000004"/>
  </r>
  <r>
    <x v="722"/>
    <s v="ЧУСОВСКОЕ ОЗЕРО"/>
    <n v="49782.025399999999"/>
    <n v="49782.025399999999"/>
    <n v="45078.506800000003"/>
  </r>
  <r>
    <x v="723"/>
    <s v="ЭЛЬМАШ"/>
    <n v="70734.0236"/>
    <n v="70734.0236"/>
    <n v="64050.9208"/>
  </r>
  <r>
    <x v="724"/>
    <s v="УРАЛМАШ"/>
    <n v="70026.7601"/>
    <n v="70026.7601"/>
    <n v="63410.482000000004"/>
  </r>
  <r>
    <x v="725"/>
    <s v="АВТОВОКЗАЛ"/>
    <n v="83744.997499999998"/>
    <n v="83744.997499999998"/>
    <n v="75832.596099999995"/>
  </r>
  <r>
    <x v="726"/>
    <s v="ВТУЗГОРОДОК"/>
    <n v="77071.442599999995"/>
    <n v="77071.442599999995"/>
    <n v="69789.570900000006"/>
  </r>
  <r>
    <x v="727"/>
    <s v="ЭЛЬМАШ"/>
    <n v="70734.0236"/>
    <n v="70734.0236"/>
    <n v="64050.9208"/>
  </r>
  <r>
    <x v="728"/>
    <s v="УРАЛМАШ"/>
    <n v="70026.7601"/>
    <n v="70026.7601"/>
    <n v="63410.482000000004"/>
  </r>
  <r>
    <x v="729"/>
    <s v="УКТУС"/>
    <n v="63640.311600000001"/>
    <n v="63640.311600000001"/>
    <n v="57627.4473"/>
  </r>
  <r>
    <x v="730"/>
    <s v="АВТОВОКЗАЛ"/>
    <n v="83744.997499999998"/>
    <n v="83744.997499999998"/>
    <n v="75832.596099999995"/>
  </r>
  <r>
    <x v="731"/>
    <s v="УКТУС"/>
    <n v="63640.311600000001"/>
    <n v="63640.311600000001"/>
    <n v="57627.4473"/>
  </r>
  <r>
    <x v="732"/>
    <s v="Центр"/>
    <n v="93989.912800000006"/>
    <n v="93989.912800000006"/>
    <n v="85109.545199999993"/>
  </r>
  <r>
    <x v="733"/>
    <s v="ХИММАШ"/>
    <n v="61980.678599999999"/>
    <n v="61980.678599999999"/>
    <n v="56124.615700000002"/>
  </r>
  <r>
    <x v="734"/>
    <s v="УКТУС"/>
    <n v="63640.311600000001"/>
    <n v="63640.311600000001"/>
    <n v="57627.4473"/>
  </r>
  <r>
    <x v="735"/>
    <s v="КОЛЬЦОВО"/>
    <n v="54886.9666"/>
    <n v="54886.9666"/>
    <n v="49701.1319"/>
  </r>
  <r>
    <x v="736"/>
    <s v="АВТОВОКЗАЛ"/>
    <n v="83744.997499999998"/>
    <n v="83744.997499999998"/>
    <n v="75832.596099999995"/>
  </r>
  <r>
    <x v="737"/>
    <s v="Центр"/>
    <n v="93989.912800000006"/>
    <n v="93989.912800000006"/>
    <n v="85109.545199999993"/>
  </r>
  <r>
    <x v="738"/>
    <s v="ВТУЗГОРОДОК"/>
    <n v="77071.442599999995"/>
    <n v="77071.442599999995"/>
    <n v="69789.570900000006"/>
  </r>
  <r>
    <x v="739"/>
    <s v="АВТОВОКЗАЛ"/>
    <n v="83744.997499999998"/>
    <n v="83744.997499999998"/>
    <n v="75832.596099999995"/>
  </r>
  <r>
    <x v="740"/>
    <s v="ВИЗ"/>
    <n v="84298.205100000006"/>
    <n v="84298.205100000006"/>
    <n v="76333.533100000001"/>
  </r>
  <r>
    <x v="741"/>
    <s v="ХИММАШ"/>
    <n v="61980.678599999999"/>
    <n v="61980.678599999999"/>
    <n v="56124.615700000002"/>
  </r>
  <r>
    <x v="742"/>
    <s v="РУДНЫЙ"/>
    <n v="46784.877899999999"/>
    <n v="46784.877899999999"/>
    <n v="42364.543299999998"/>
  </r>
  <r>
    <x v="743"/>
    <s v="СОВХОЗ"/>
    <n v="59746.832600000002"/>
    <n v="59746.832600000002"/>
    <n v="54101.823700000001"/>
  </r>
  <r>
    <x v="744"/>
    <s v="УКТУС"/>
    <n v="63640.311600000001"/>
    <n v="63640.311600000001"/>
    <n v="57627.4473"/>
  </r>
  <r>
    <x v="745"/>
    <s v="УРАЛМАШ"/>
    <n v="70026.7601"/>
    <n v="70026.7601"/>
    <n v="63410.482000000004"/>
  </r>
  <r>
    <x v="746"/>
    <s v="ГОРНЫЙ ЩИТ"/>
    <n v="52246.960299999999"/>
    <n v="52246.960299999999"/>
    <n v="47310.556700000001"/>
  </r>
  <r>
    <x v="747"/>
    <s v="ВИЗ"/>
    <n v="84298.205100000006"/>
    <n v="84298.205100000006"/>
    <n v="76333.533100000001"/>
  </r>
  <r>
    <x v="748"/>
    <s v="АВТОВОКЗАЛ"/>
    <n v="83744.997499999998"/>
    <n v="83744.997499999998"/>
    <n v="75832.596099999995"/>
  </r>
  <r>
    <x v="749"/>
    <s v="ВТУЗГОРОДОК"/>
    <n v="77071.442599999995"/>
    <n v="77071.442599999995"/>
    <n v="69789.570900000006"/>
  </r>
  <r>
    <x v="750"/>
    <s v="Центр"/>
    <n v="93989.912800000006"/>
    <n v="93989.912800000006"/>
    <n v="85109.545199999993"/>
  </r>
  <r>
    <x v="751"/>
    <s v="ШАБРОВСКИЙ"/>
    <n v="37590.3603"/>
    <n v="37590.3603"/>
    <n v="34038.745900000002"/>
  </r>
  <r>
    <x v="752"/>
    <s v="АВТОВОКЗАЛ"/>
    <n v="83744.997499999998"/>
    <n v="83744.997499999998"/>
    <n v="75832.596099999995"/>
  </r>
  <r>
    <x v="753"/>
    <s v="СИБИРСКИЙ"/>
    <n v="63556.280200000001"/>
    <n v="63556.280200000001"/>
    <n v="57551.353499999997"/>
  </r>
  <r>
    <x v="754"/>
    <s v="КОЛЬЦОВО"/>
    <n v="54886.9666"/>
    <n v="54886.9666"/>
    <n v="49701.1319"/>
  </r>
  <r>
    <x v="755"/>
    <s v="УРАЛМАШ"/>
    <n v="70026.7601"/>
    <n v="70026.7601"/>
    <n v="63410.482000000004"/>
  </r>
  <r>
    <x v="756"/>
    <s v="Центр"/>
    <n v="93989.912800000006"/>
    <n v="93989.912800000006"/>
    <n v="85109.545199999993"/>
  </r>
  <r>
    <x v="757"/>
    <s v="УРАЛМАШ"/>
    <n v="70026.7601"/>
    <n v="70026.7601"/>
    <n v="63410.482000000004"/>
  </r>
  <r>
    <x v="758"/>
    <s v="УРАЛМАШ"/>
    <n v="70026.7601"/>
    <n v="70026.7601"/>
    <n v="63410.482000000004"/>
  </r>
  <r>
    <x v="759"/>
    <s v="КОЛЬЦОВО"/>
    <n v="54886.9666"/>
    <n v="54886.9666"/>
    <n v="49701.1319"/>
  </r>
  <r>
    <x v="760"/>
    <s v="СЕВЕРКА"/>
    <n v="51175.5573"/>
    <n v="51175.5573"/>
    <n v="46340.381600000001"/>
  </r>
  <r>
    <x v="761"/>
    <s v="ШИРОКАЯ РЕЧКА"/>
    <n v="63178.133800000003"/>
    <n v="63178.133800000003"/>
    <n v="57208.931499999999"/>
  </r>
  <r>
    <x v="762"/>
    <s v="АВТОВОКЗАЛ"/>
    <n v="83744.997499999998"/>
    <n v="83744.997499999998"/>
    <n v="75832.596099999995"/>
  </r>
  <r>
    <x v="763"/>
    <s v="ЕЛИЗАВЕТ"/>
    <n v="60958.294800000003"/>
    <n v="60958.294800000003"/>
    <n v="55198.825199999999"/>
  </r>
  <r>
    <x v="764"/>
    <s v="ЧЕРМЕТ"/>
    <n v="62652.9401"/>
    <n v="62652.9401"/>
    <n v="56733.3557"/>
  </r>
  <r>
    <x v="765"/>
    <s v="СОЛНЕЧНЫЙ"/>
    <n v="60615.160499999998"/>
    <n v="60615.160499999998"/>
    <n v="54888.112399999998"/>
  </r>
  <r>
    <x v="766"/>
    <s v="СОВХОЗ"/>
    <n v="59746.832600000002"/>
    <n v="59746.832600000002"/>
    <n v="54101.823700000001"/>
  </r>
  <r>
    <x v="767"/>
    <s v="ЕЛИЗАВЕТ"/>
    <n v="60958.294800000003"/>
    <n v="60958.294800000003"/>
    <n v="55198.825199999999"/>
  </r>
  <r>
    <x v="768"/>
    <s v="ЧЕРМЕТ"/>
    <n v="62652.9401"/>
    <n v="62652.9401"/>
    <n v="56733.3557"/>
  </r>
  <r>
    <x v="769"/>
    <s v="ЭЛЬМАШ"/>
    <n v="70734.0236"/>
    <n v="70734.0236"/>
    <n v="64050.9208"/>
  </r>
  <r>
    <x v="770"/>
    <s v="УРАЛМАШ"/>
    <n v="70026.7601"/>
    <n v="70026.7601"/>
    <n v="63410.482000000004"/>
  </r>
  <r>
    <x v="771"/>
    <s v="ВИЗ"/>
    <n v="84298.205100000006"/>
    <n v="84298.205100000006"/>
    <n v="76333.533100000001"/>
  </r>
  <r>
    <x v="772"/>
    <s v="Старая сортировка"/>
    <n v="59368.686099999999"/>
    <n v="59368.686099999999"/>
    <n v="53759.401700000002"/>
  </r>
  <r>
    <x v="773"/>
    <s v="УРАЛМАШ"/>
    <n v="70026.7601"/>
    <n v="70026.7601"/>
    <n v="63410.482000000004"/>
  </r>
  <r>
    <x v="774"/>
    <s v="КОЛЬЦОВО"/>
    <n v="54886.9666"/>
    <n v="54886.9666"/>
    <n v="49701.1319"/>
  </r>
  <r>
    <x v="775"/>
    <s v="ШАБРОВСКИЙ"/>
    <n v="37590.3603"/>
    <n v="37590.3603"/>
    <n v="34038.745900000002"/>
  </r>
  <r>
    <x v="776"/>
    <s v="ШАБРОВСКИЙ"/>
    <n v="37590.3603"/>
    <n v="37590.3603"/>
    <n v="34038.745900000002"/>
  </r>
  <r>
    <x v="777"/>
    <s v="УКТУС"/>
    <n v="63640.311600000001"/>
    <n v="63640.311600000001"/>
    <n v="57627.4473"/>
  </r>
  <r>
    <x v="778"/>
    <s v="СОВХОЗ"/>
    <n v="59746.832600000002"/>
    <n v="59746.832600000002"/>
    <n v="54101.823700000001"/>
  </r>
  <r>
    <x v="779"/>
    <s v="ВИЗ"/>
    <n v="84298.205100000006"/>
    <n v="84298.205100000006"/>
    <n v="76333.533100000001"/>
  </r>
  <r>
    <x v="780"/>
    <s v="ГОРНЫЙ ЩИТ"/>
    <n v="52246.960299999999"/>
    <n v="52246.960299999999"/>
    <n v="47310.556700000001"/>
  </r>
  <r>
    <x v="781"/>
    <s v="ЭЛЬМАШ"/>
    <n v="70734.0236"/>
    <n v="70734.0236"/>
    <n v="64050.9208"/>
  </r>
  <r>
    <x v="782"/>
    <s v="ЭЛЬМАШ"/>
    <n v="70734.0236"/>
    <n v="70734.0236"/>
    <n v="64050.9208"/>
  </r>
  <r>
    <x v="783"/>
    <s v="Старая сортировка"/>
    <n v="59368.686099999999"/>
    <n v="59368.686099999999"/>
    <n v="53759.401700000002"/>
  </r>
  <r>
    <x v="784"/>
    <s v="Старая сортировка"/>
    <n v="59368.686099999999"/>
    <n v="59368.686099999999"/>
    <n v="53759.401700000002"/>
  </r>
  <r>
    <x v="785"/>
    <s v="Центр"/>
    <n v="93989.912800000006"/>
    <n v="93989.912800000006"/>
    <n v="85109.545199999993"/>
  </r>
  <r>
    <x v="786"/>
    <s v="Центр"/>
    <n v="93989.912800000006"/>
    <n v="93989.912800000006"/>
    <n v="85109.545199999993"/>
  </r>
  <r>
    <x v="787"/>
    <s v="АВТОВОКЗАЛ"/>
    <n v="83744.997499999998"/>
    <n v="83744.997499999998"/>
    <n v="75832.596099999995"/>
  </r>
  <r>
    <x v="788"/>
    <s v="Центр"/>
    <n v="93989.912800000006"/>
    <n v="93989.912800000006"/>
    <n v="85109.545199999993"/>
  </r>
  <r>
    <x v="789"/>
    <s v="ГОРНЫЙ ЩИТ"/>
    <n v="52246.960299999999"/>
    <n v="52246.960299999999"/>
    <n v="47310.556700000001"/>
  </r>
  <r>
    <x v="790"/>
    <s v="ВТУЗГОРОДОК"/>
    <n v="77071.442599999995"/>
    <n v="77071.442599999995"/>
    <n v="69789.570900000006"/>
  </r>
  <r>
    <x v="791"/>
    <s v="Центр"/>
    <n v="93989.912800000006"/>
    <n v="93989.912800000006"/>
    <n v="85109.545199999993"/>
  </r>
  <r>
    <x v="792"/>
    <s v="Нижнеисетский"/>
    <n v="46784.877899999999"/>
    <n v="46784.877899999999"/>
    <n v="42364.543299999998"/>
  </r>
  <r>
    <x v="793"/>
    <s v="Ю-З"/>
    <n v="76630.280299999999"/>
    <n v="76630.280299999999"/>
    <n v="69390.088799999998"/>
  </r>
  <r>
    <x v="794"/>
    <s v="ШАБРОВСКИЙ"/>
    <n v="37590.3603"/>
    <n v="37590.3603"/>
    <n v="34038.745900000002"/>
  </r>
  <r>
    <x v="795"/>
    <s v="ХИММАШ"/>
    <n v="61980.678599999999"/>
    <n v="61980.678599999999"/>
    <n v="56124.615700000002"/>
  </r>
  <r>
    <x v="796"/>
    <s v="УРАЛМАШ"/>
    <n v="70026.7601"/>
    <n v="70026.7601"/>
    <n v="63410.482000000004"/>
  </r>
  <r>
    <x v="797"/>
    <s v="КОЛЬЦОВО"/>
    <n v="54886.9666"/>
    <n v="54886.9666"/>
    <n v="49701.1319"/>
  </r>
  <r>
    <x v="798"/>
    <s v="ГОРНЫЙ ЩИТ"/>
    <n v="52246.960299999999"/>
    <n v="52246.960299999999"/>
    <n v="47310.556700000001"/>
  </r>
  <r>
    <x v="799"/>
    <s v="ПИОНЕРСКИЙ"/>
    <n v="77743.704100000003"/>
    <n v="77743.704100000003"/>
    <n v="70398.310800000007"/>
  </r>
  <r>
    <x v="800"/>
    <s v="УКТУС"/>
    <n v="63640.311600000001"/>
    <n v="63640.311600000001"/>
    <n v="57627.4473"/>
  </r>
  <r>
    <x v="801"/>
    <s v="ШАБРОВСКИЙ"/>
    <n v="37590.3603"/>
    <n v="37590.3603"/>
    <n v="34038.745900000002"/>
  </r>
  <r>
    <x v="802"/>
    <s v="ШИРОКАЯ РЕЧКА"/>
    <n v="63178.133800000003"/>
    <n v="63178.133800000003"/>
    <n v="57208.931499999999"/>
  </r>
  <r>
    <x v="803"/>
    <s v="ГОРНЫЙ ЩИТ"/>
    <n v="52246.960299999999"/>
    <n v="52246.960299999999"/>
    <n v="47310.556700000001"/>
  </r>
  <r>
    <x v="804"/>
    <s v="УКТУС"/>
    <n v="63640.311600000001"/>
    <n v="63640.311600000001"/>
    <n v="57627.4473"/>
  </r>
  <r>
    <x v="805"/>
    <s v="УКТУС"/>
    <n v="63640.311600000001"/>
    <n v="63640.311600000001"/>
    <n v="57627.4473"/>
  </r>
  <r>
    <x v="806"/>
    <s v="ПОЛЕВОДСТВО"/>
    <n v="55692.278700000003"/>
    <n v="55692.278700000003"/>
    <n v="50430.350200000001"/>
  </r>
  <r>
    <x v="807"/>
    <s v="Шарташский рынок"/>
    <n v="79683.445300000007"/>
    <n v="79683.445300000007"/>
    <n v="72154.784899999999"/>
  </r>
  <r>
    <x v="808"/>
    <s v="ЭЛЬМАШ"/>
    <n v="70734.0236"/>
    <n v="70734.0236"/>
    <n v="64050.9208"/>
  </r>
  <r>
    <x v="809"/>
    <s v="ВИЗ"/>
    <n v="84298.205100000006"/>
    <n v="84298.205100000006"/>
    <n v="76333.533100000001"/>
  </r>
  <r>
    <x v="810"/>
    <s v="УРАЛМАШ"/>
    <n v="70026.7601"/>
    <n v="70026.7601"/>
    <n v="63410.482000000004"/>
  </r>
  <r>
    <x v="811"/>
    <s v="ЧЕРМЕТ"/>
    <n v="62652.9401"/>
    <n v="62652.9401"/>
    <n v="56733.3557"/>
  </r>
  <r>
    <x v="812"/>
    <s v="ШАРТАШ"/>
    <n v="68129.029500000004"/>
    <n v="68129.029500000004"/>
    <n v="61692.054799999998"/>
  </r>
  <r>
    <x v="813"/>
    <s v="Центр"/>
    <n v="93989.912800000006"/>
    <n v="93989.912800000006"/>
    <n v="85109.545199999993"/>
  </r>
  <r>
    <x v="814"/>
    <s v="Ю-З"/>
    <n v="76630.280299999999"/>
    <n v="76630.280299999999"/>
    <n v="69390.088799999998"/>
  </r>
  <r>
    <x v="815"/>
    <s v="Нижнеисетский"/>
    <n v="46784.877899999999"/>
    <n v="46784.877899999999"/>
    <n v="42364.543299999998"/>
  </r>
  <r>
    <x v="816"/>
    <s v="УРАЛМАШ"/>
    <n v="70026.7601"/>
    <n v="70026.7601"/>
    <n v="63410.482000000004"/>
  </r>
  <r>
    <x v="817"/>
    <s v="ВИЗ"/>
    <n v="84298.205100000006"/>
    <n v="84298.205100000006"/>
    <n v="76333.533100000001"/>
  </r>
  <r>
    <x v="818"/>
    <s v="ПТИЦЕФАБРИКА"/>
    <n v="56847.723400000003"/>
    <n v="56847.723400000003"/>
    <n v="51476.629399999998"/>
  </r>
  <r>
    <x v="819"/>
    <s v="Шарташский рынок"/>
    <n v="79683.445300000007"/>
    <n v="79683.445300000007"/>
    <n v="72154.784899999999"/>
  </r>
  <r>
    <x v="820"/>
    <s v="Центр"/>
    <n v="93989.912800000006"/>
    <n v="93989.912800000006"/>
    <n v="85109.545199999993"/>
  </r>
  <r>
    <x v="821"/>
    <s v="БОТАНИЧЕСКИЙ"/>
    <n v="77064.444199999998"/>
    <n v="77064.444199999998"/>
    <n v="69783.233200000002"/>
  </r>
  <r>
    <x v="822"/>
    <s v="ПИОНЕРСКИЙ"/>
    <n v="77743.704100000003"/>
    <n v="77743.704100000003"/>
    <n v="70398.310800000007"/>
  </r>
  <r>
    <x v="823"/>
    <s v="Сулим.Торфянник"/>
    <n v="46784.877899999999"/>
    <n v="46784.877899999999"/>
    <n v="42364.543299999998"/>
  </r>
  <r>
    <x v="824"/>
    <s v="ПИОНЕРСКИЙ"/>
    <n v="77743.704100000003"/>
    <n v="77743.704100000003"/>
    <n v="70398.310800000007"/>
  </r>
  <r>
    <x v="825"/>
    <s v="Центр"/>
    <n v="93989.912800000006"/>
    <n v="93989.912800000006"/>
    <n v="85109.545199999993"/>
  </r>
  <r>
    <x v="826"/>
    <s v="ЕЛИЗАВЕТ"/>
    <n v="60958.294800000003"/>
    <n v="60958.294800000003"/>
    <n v="55198.825199999999"/>
  </r>
  <r>
    <x v="827"/>
    <s v="ПИОНЕРСКИЙ"/>
    <n v="77743.704100000003"/>
    <n v="77743.704100000003"/>
    <n v="70398.310800000007"/>
  </r>
  <r>
    <x v="828"/>
    <s v="УРАЛМАШ"/>
    <n v="70026.7601"/>
    <n v="70026.7601"/>
    <n v="63410.482000000004"/>
  </r>
  <r>
    <x v="829"/>
    <s v="ЧЕРМЕТ"/>
    <n v="62652.9401"/>
    <n v="62652.9401"/>
    <n v="56733.3557"/>
  </r>
  <r>
    <x v="830"/>
    <s v="ЧЕРМЕТ"/>
    <n v="62652.9401"/>
    <n v="62652.9401"/>
    <n v="56733.3557"/>
  </r>
  <r>
    <x v="831"/>
    <s v="Ю-З"/>
    <n v="76630.280299999999"/>
    <n v="76630.280299999999"/>
    <n v="69390.088799999998"/>
  </r>
  <r>
    <x v="832"/>
    <s v="ХИММАШ"/>
    <n v="61980.678599999999"/>
    <n v="61980.678599999999"/>
    <n v="56124.615700000002"/>
  </r>
  <r>
    <x v="833"/>
    <s v="УРАЛМАШ"/>
    <n v="70026.7601"/>
    <n v="70026.7601"/>
    <n v="63410.482000000004"/>
  </r>
  <r>
    <x v="834"/>
    <s v="Центр"/>
    <n v="93989.912800000006"/>
    <n v="93989.912800000006"/>
    <n v="85109.545199999993"/>
  </r>
  <r>
    <x v="835"/>
    <s v="КОЛЬЦОВО"/>
    <n v="54886.9666"/>
    <n v="54886.9666"/>
    <n v="49701.1319"/>
  </r>
  <r>
    <x v="836"/>
    <s v="УРАЛМАШ"/>
    <n v="70026.7601"/>
    <n v="70026.7601"/>
    <n v="63410.482000000004"/>
  </r>
  <r>
    <x v="837"/>
    <s v="ПИОНЕРСКИЙ"/>
    <n v="77743.704100000003"/>
    <n v="77743.704100000003"/>
    <n v="70398.310800000007"/>
  </r>
  <r>
    <x v="838"/>
    <s v="Центр"/>
    <n v="93989.912800000006"/>
    <n v="93989.912800000006"/>
    <n v="85109.545199999993"/>
  </r>
  <r>
    <x v="839"/>
    <s v="ЭЛЬМАШ"/>
    <n v="70734.0236"/>
    <n v="70734.0236"/>
    <n v="64050.9208"/>
  </r>
  <r>
    <x v="840"/>
    <s v="Шувакиш"/>
    <n v="44242.899599999997"/>
    <n v="44242.899599999997"/>
    <n v="40062.737300000001"/>
  </r>
  <r>
    <x v="841"/>
    <s v="КОЛЬЦОВО"/>
    <n v="54886.9666"/>
    <n v="54886.9666"/>
    <n v="49701.1319"/>
  </r>
  <r>
    <x v="842"/>
    <s v="АВТОВОКЗАЛ"/>
    <n v="83744.997499999998"/>
    <n v="83744.997499999998"/>
    <n v="75832.596099999995"/>
  </r>
  <r>
    <x v="843"/>
    <s v="Старая сортировка"/>
    <n v="59368.686099999999"/>
    <n v="59368.686099999999"/>
    <n v="53759.401700000002"/>
  </r>
  <r>
    <x v="844"/>
    <s v="ШАРТАШ"/>
    <n v="68129.029500000004"/>
    <n v="68129.029500000004"/>
    <n v="61692.054799999998"/>
  </r>
  <r>
    <x v="845"/>
    <s v="ЭЛЬМАШ"/>
    <n v="70734.0236"/>
    <n v="70734.0236"/>
    <n v="64050.9208"/>
  </r>
  <r>
    <x v="846"/>
    <s v="Центр"/>
    <n v="93989.912800000006"/>
    <n v="93989.912800000006"/>
    <n v="85109.545199999993"/>
  </r>
  <r>
    <x v="847"/>
    <s v="Центр"/>
    <n v="93989.912800000006"/>
    <n v="93989.912800000006"/>
    <n v="85109.545199999993"/>
  </r>
  <r>
    <x v="848"/>
    <s v="КОЛЬЦОВО"/>
    <n v="54886.9666"/>
    <n v="54886.9666"/>
    <n v="49701.1319"/>
  </r>
  <r>
    <x v="849"/>
    <s v="УРАЛМАШ"/>
    <n v="70026.7601"/>
    <n v="70026.7601"/>
    <n v="63410.482000000004"/>
  </r>
  <r>
    <x v="850"/>
    <s v="ГОРНЫЙ ЩИТ"/>
    <n v="52246.960299999999"/>
    <n v="52246.960299999999"/>
    <n v="47310.556700000001"/>
  </r>
  <r>
    <x v="851"/>
    <s v="КОЛЬЦОВО"/>
    <n v="54886.9666"/>
    <n v="54886.9666"/>
    <n v="49701.1319"/>
  </r>
  <r>
    <x v="852"/>
    <s v="СОВХОЗ"/>
    <n v="59746.832600000002"/>
    <n v="59746.832600000002"/>
    <n v="54101.823700000001"/>
  </r>
  <r>
    <x v="853"/>
    <s v="Старая сортировка"/>
    <n v="59368.686099999999"/>
    <n v="59368.686099999999"/>
    <n v="53759.401700000002"/>
  </r>
  <r>
    <x v="854"/>
    <s v="Ю-З"/>
    <n v="76630.280299999999"/>
    <n v="76630.280299999999"/>
    <n v="69390.088799999998"/>
  </r>
  <r>
    <x v="855"/>
    <s v="Нижнеисетский"/>
    <n v="46784.877899999999"/>
    <n v="46784.877899999999"/>
    <n v="42364.543299999998"/>
  </r>
  <r>
    <x v="856"/>
    <s v="МАЛЫЙ ИСТОК"/>
    <n v="60173.9879"/>
    <n v="60173.9879"/>
    <n v="54488.630299999997"/>
  </r>
  <r>
    <x v="857"/>
    <s v="Ю-З"/>
    <n v="76630.280299999999"/>
    <n v="76630.280299999999"/>
    <n v="69390.088799999998"/>
  </r>
  <r>
    <x v="858"/>
    <s v="ШАБРОВСКИЙ"/>
    <n v="37590.3603"/>
    <n v="37590.3603"/>
    <n v="34038.745900000002"/>
  </r>
  <r>
    <x v="859"/>
    <s v="ШАБРОВСКИЙ"/>
    <n v="37590.3603"/>
    <n v="37590.3603"/>
    <n v="34038.745900000002"/>
  </r>
  <r>
    <x v="860"/>
    <s v="ЭЛЬМАШ"/>
    <n v="70734.0236"/>
    <n v="70734.0236"/>
    <n v="64050.9208"/>
  </r>
  <r>
    <x v="861"/>
    <s v="УРАЛМАШ"/>
    <n v="70026.7601"/>
    <n v="70026.7601"/>
    <n v="63410.482000000004"/>
  </r>
  <r>
    <x v="862"/>
    <s v="ВТУЗГОРОДОК"/>
    <n v="77071.442599999995"/>
    <n v="77071.442599999995"/>
    <n v="69789.570900000006"/>
  </r>
  <r>
    <x v="863"/>
    <s v="АВТОВОКЗАЛ"/>
    <n v="83744.997499999998"/>
    <n v="83744.997499999998"/>
    <n v="75832.596099999995"/>
  </r>
  <r>
    <x v="864"/>
    <s v="ЗАВОКЗАЛЬНЫЙ"/>
    <n v="56140.449699999997"/>
    <n v="56140.449699999997"/>
    <n v="50836.1803"/>
  </r>
  <r>
    <x v="865"/>
    <s v="Центр"/>
    <n v="93989.912800000006"/>
    <n v="93989.912800000006"/>
    <n v="85109.545199999993"/>
  </r>
  <r>
    <x v="866"/>
    <s v="СОВХОЗ"/>
    <n v="59746.832600000002"/>
    <n v="59746.832600000002"/>
    <n v="54101.823700000001"/>
  </r>
  <r>
    <x v="867"/>
    <s v="ЧЕРМЕТ"/>
    <n v="62652.9401"/>
    <n v="62652.9401"/>
    <n v="56733.3557"/>
  </r>
  <r>
    <x v="868"/>
    <s v="Центр"/>
    <n v="93989.912800000006"/>
    <n v="93989.912800000006"/>
    <n v="85109.545199999993"/>
  </r>
  <r>
    <x v="869"/>
    <s v="Центр"/>
    <n v="93989.912800000006"/>
    <n v="93989.912800000006"/>
    <n v="85109.545199999993"/>
  </r>
  <r>
    <x v="870"/>
    <s v="ВИЗ"/>
    <n v="84298.205100000006"/>
    <n v="84298.205100000006"/>
    <n v="76333.533100000001"/>
  </r>
  <r>
    <x v="871"/>
    <s v="УКТУС"/>
    <n v="63640.311600000001"/>
    <n v="63640.311600000001"/>
    <n v="57627.4473"/>
  </r>
  <r>
    <x v="872"/>
    <s v="ВИЗ"/>
    <n v="84298.205100000006"/>
    <n v="84298.205100000006"/>
    <n v="76333.533100000001"/>
  </r>
  <r>
    <x v="873"/>
    <s v="ХИММАШ"/>
    <n v="61980.678599999999"/>
    <n v="61980.678599999999"/>
    <n v="56124.615700000002"/>
  </r>
  <r>
    <x v="874"/>
    <s v="Ю-З"/>
    <n v="76630.280299999999"/>
    <n v="76630.280299999999"/>
    <n v="69390.088799999998"/>
  </r>
  <r>
    <x v="875"/>
    <s v="ГОРНЫЙ ЩИТ"/>
    <n v="52246.960299999999"/>
    <n v="52246.960299999999"/>
    <n v="47310.556700000001"/>
  </r>
  <r>
    <x v="876"/>
    <s v="ЭЛЬМАШ"/>
    <n v="70734.0236"/>
    <n v="70734.0236"/>
    <n v="64050.9208"/>
  </r>
  <r>
    <x v="877"/>
    <s v="ПАРКОВЫЙ"/>
    <n v="81392.097599999994"/>
    <n v="81392.097599999994"/>
    <n v="73702.001099999994"/>
  </r>
  <r>
    <x v="878"/>
    <s v="Центр"/>
    <n v="93989.912800000006"/>
    <n v="93989.912800000006"/>
    <n v="85109.545199999993"/>
  </r>
  <r>
    <x v="879"/>
    <s v="САДОВЫЙ"/>
    <n v="53262.345800000003"/>
    <n v="53262.345800000003"/>
    <n v="48230.0095"/>
  </r>
  <r>
    <x v="880"/>
    <s v="ЭЛЬМАШ"/>
    <n v="70734.0236"/>
    <n v="70734.0236"/>
    <n v="64050.9208"/>
  </r>
  <r>
    <x v="881"/>
    <s v="ХИММАШ"/>
    <n v="61980.678599999999"/>
    <n v="61980.678599999999"/>
    <n v="56124.615700000002"/>
  </r>
  <r>
    <x v="882"/>
    <s v="ИСТОК"/>
    <n v="53500.443299999999"/>
    <n v="53500.443299999999"/>
    <n v="48445.605100000001"/>
  </r>
  <r>
    <x v="883"/>
    <s v="Ю-З"/>
    <n v="76630.280299999999"/>
    <n v="76630.280299999999"/>
    <n v="69390.088799999998"/>
  </r>
  <r>
    <x v="884"/>
    <s v="Старая сортировка"/>
    <n v="59368.686099999999"/>
    <n v="59368.686099999999"/>
    <n v="53759.401700000002"/>
  </r>
  <r>
    <x v="885"/>
    <s v="Центр"/>
    <n v="93989.912800000006"/>
    <n v="93989.912800000006"/>
    <n v="85109.545199999993"/>
  </r>
  <r>
    <x v="886"/>
    <s v="Ю-З"/>
    <n v="76630.280299999999"/>
    <n v="76630.280299999999"/>
    <n v="69390.088799999998"/>
  </r>
  <r>
    <x v="887"/>
    <s v="АВТОВОКЗАЛ"/>
    <n v="83744.997499999998"/>
    <n v="83744.997499999998"/>
    <n v="75832.596099999995"/>
  </r>
  <r>
    <x v="888"/>
    <s v="АВТОВОКЗАЛ"/>
    <n v="83744.997499999998"/>
    <n v="83744.997499999998"/>
    <n v="75832.596099999995"/>
  </r>
  <r>
    <x v="889"/>
    <s v="АВТОВОКЗАЛ"/>
    <n v="83744.997499999998"/>
    <n v="83744.997499999998"/>
    <n v="75832.596099999995"/>
  </r>
  <r>
    <x v="890"/>
    <s v="УРАЛМАШ"/>
    <n v="70026.7601"/>
    <n v="70026.7601"/>
    <n v="63410.482000000004"/>
  </r>
  <r>
    <x v="891"/>
    <s v="УНЦ"/>
    <n v="64795.756300000001"/>
    <n v="64795.756300000001"/>
    <n v="58673.716200000003"/>
  </r>
  <r>
    <x v="892"/>
    <s v="УКТУС"/>
    <n v="63640.311600000001"/>
    <n v="63640.311600000001"/>
    <n v="57627.4473"/>
  </r>
  <r>
    <x v="893"/>
    <s v="Нижнеисетский"/>
    <n v="46784.877899999999"/>
    <n v="46784.877899999999"/>
    <n v="42364.543299999998"/>
  </r>
  <r>
    <x v="894"/>
    <s v="ЕЛИЗАВЕТ"/>
    <n v="60958.294800000003"/>
    <n v="60958.294800000003"/>
    <n v="55198.825199999999"/>
  </r>
  <r>
    <x v="895"/>
    <s v="Ю-З"/>
    <n v="76630.280299999999"/>
    <n v="76630.280299999999"/>
    <n v="69390.088799999998"/>
  </r>
  <r>
    <x v="896"/>
    <s v="АВТОВОКЗАЛ"/>
    <n v="83744.997499999998"/>
    <n v="83744.997499999998"/>
    <n v="75832.596099999995"/>
  </r>
  <r>
    <x v="897"/>
    <s v="Центр"/>
    <n v="93989.912800000006"/>
    <n v="93989.912800000006"/>
    <n v="85109.545199999993"/>
  </r>
  <r>
    <x v="898"/>
    <s v="Центр"/>
    <n v="93989.912800000006"/>
    <n v="93989.912800000006"/>
    <n v="85109.545199999993"/>
  </r>
  <r>
    <x v="899"/>
    <s v="Старая сортировка"/>
    <n v="59368.686099999999"/>
    <n v="59368.686099999999"/>
    <n v="53759.401700000002"/>
  </r>
  <r>
    <x v="900"/>
    <s v="ГОРНЫЙ ЩИТ"/>
    <n v="52246.960299999999"/>
    <n v="52246.960299999999"/>
    <n v="47310.556700000001"/>
  </r>
  <r>
    <x v="901"/>
    <s v="ЭЛЬМАШ"/>
    <n v="70734.0236"/>
    <n v="70734.0236"/>
    <n v="64050.9208"/>
  </r>
  <r>
    <x v="902"/>
    <s v="КОМПРЕССОРНЫЙ"/>
    <n v="56392.543899999997"/>
    <n v="56392.543899999997"/>
    <n v="51064.4617"/>
  </r>
  <r>
    <x v="903"/>
    <s v="ИЗОПЛИТ"/>
    <n v="53668.506099999999"/>
    <n v="53668.506099999999"/>
    <n v="48597.792699999998"/>
  </r>
  <r>
    <x v="904"/>
    <s v="УКТУС"/>
    <n v="63640.311600000001"/>
    <n v="63640.311600000001"/>
    <n v="57627.4473"/>
  </r>
  <r>
    <x v="905"/>
    <s v="ЕЛИЗАВЕТ"/>
    <n v="60958.294800000003"/>
    <n v="60958.294800000003"/>
    <n v="55198.825199999999"/>
  </r>
  <r>
    <x v="906"/>
    <s v="Центр"/>
    <n v="93989.912800000006"/>
    <n v="93989.912800000006"/>
    <n v="85109.545199999993"/>
  </r>
  <r>
    <x v="907"/>
    <s v="СОВХОЗ"/>
    <n v="59746.832600000002"/>
    <n v="59746.832600000002"/>
    <n v="54101.823700000001"/>
  </r>
  <r>
    <x v="908"/>
    <s v="УКТУС"/>
    <n v="63640.311600000001"/>
    <n v="63640.311600000001"/>
    <n v="57627.4473"/>
  </r>
  <r>
    <x v="909"/>
    <s v="Центр"/>
    <n v="93989.912800000006"/>
    <n v="93989.912800000006"/>
    <n v="85109.545199999993"/>
  </r>
  <r>
    <x v="910"/>
    <s v="ШАРТАШ"/>
    <n v="68129.029500000004"/>
    <n v="68129.029500000004"/>
    <n v="61692.054799999998"/>
  </r>
  <r>
    <x v="911"/>
    <s v="УКТУС"/>
    <n v="63640.311600000001"/>
    <n v="63640.311600000001"/>
    <n v="57627.4473"/>
  </r>
  <r>
    <x v="912"/>
    <s v="ШИРОКАЯ РЕЧКА"/>
    <n v="63178.133800000003"/>
    <n v="63178.133800000003"/>
    <n v="57208.931499999999"/>
  </r>
  <r>
    <x v="913"/>
    <s v="УРАЛМАШ"/>
    <n v="70026.7601"/>
    <n v="70026.7601"/>
    <n v="63410.482000000004"/>
  </r>
  <r>
    <x v="914"/>
    <s v="ГОРНЫЙ ЩИТ"/>
    <n v="52246.960299999999"/>
    <n v="52246.960299999999"/>
    <n v="47310.556700000001"/>
  </r>
  <r>
    <x v="915"/>
    <s v="УКТУС"/>
    <n v="63640.311600000001"/>
    <n v="63640.311600000001"/>
    <n v="57627.4473"/>
  </r>
  <r>
    <x v="916"/>
    <s v="УРАЛМАШ"/>
    <n v="70026.7601"/>
    <n v="70026.7601"/>
    <n v="63410.482000000004"/>
  </r>
  <r>
    <x v="917"/>
    <s v="ЧЕРМЕТ"/>
    <n v="62652.9401"/>
    <n v="62652.9401"/>
    <n v="56733.3557"/>
  </r>
  <r>
    <x v="918"/>
    <s v="Центр"/>
    <n v="93989.912800000006"/>
    <n v="93989.912800000006"/>
    <n v="85109.545199999993"/>
  </r>
  <r>
    <x v="919"/>
    <s v="ЗАВОКЗАЛЬНЫЙ"/>
    <n v="56140.449699999997"/>
    <n v="56140.449699999997"/>
    <n v="50836.1803"/>
  </r>
  <r>
    <x v="920"/>
    <s v="МЕДНЫЙ"/>
    <n v="51343.6201"/>
    <n v="51343.6201"/>
    <n v="46492.558799999999"/>
  </r>
  <r>
    <x v="921"/>
    <s v="Центр"/>
    <n v="93989.912800000006"/>
    <n v="93989.912800000006"/>
    <n v="85109.545199999993"/>
  </r>
  <r>
    <x v="922"/>
    <s v="ШАБРОВСКИЙ"/>
    <n v="37590.3603"/>
    <n v="37590.3603"/>
    <n v="34038.745900000002"/>
  </r>
  <r>
    <x v="923"/>
    <s v="ШАБРОВСКИЙ"/>
    <n v="37590.3603"/>
    <n v="37590.3603"/>
    <n v="34038.745900000002"/>
  </r>
  <r>
    <x v="924"/>
    <s v="ЕЛИЗАВЕТ"/>
    <n v="60958.294800000003"/>
    <n v="60958.294800000003"/>
    <n v="55198.825199999999"/>
  </r>
  <r>
    <x v="925"/>
    <s v="ШАБРОВСКИЙ"/>
    <n v="37590.3603"/>
    <n v="37590.3603"/>
    <n v="34038.745900000002"/>
  </r>
  <r>
    <x v="926"/>
    <s v="Ю-З"/>
    <n v="76630.280299999999"/>
    <n v="76630.280299999999"/>
    <n v="69390.088799999998"/>
  </r>
  <r>
    <x v="927"/>
    <s v="ГОРНЫЙ ЩИТ"/>
    <n v="52246.960299999999"/>
    <n v="52246.960299999999"/>
    <n v="47310.556700000001"/>
  </r>
  <r>
    <x v="928"/>
    <s v="ШАБРОВСКИЙ"/>
    <n v="37590.3603"/>
    <n v="37590.3603"/>
    <n v="34038.745900000002"/>
  </r>
  <r>
    <x v="929"/>
    <s v="ГОРНЫЙ ЩИТ"/>
    <n v="52246.960299999999"/>
    <n v="52246.960299999999"/>
    <n v="47310.556700000001"/>
  </r>
  <r>
    <x v="930"/>
    <s v="ВИЗ"/>
    <n v="84298.205100000006"/>
    <n v="84298.205100000006"/>
    <n v="76333.533100000001"/>
  </r>
  <r>
    <x v="931"/>
    <s v="ШУВАКИШ"/>
    <n v="44242.899599999997"/>
    <n v="44242.899599999997"/>
    <n v="40062.737300000001"/>
  </r>
  <r>
    <x v="932"/>
    <s v="ЧЕРМЕТ"/>
    <n v="62652.9401"/>
    <n v="62652.9401"/>
    <n v="56733.3557"/>
  </r>
  <r>
    <x v="933"/>
    <s v="ПИОНЕРСКИЙ"/>
    <n v="77743.704100000003"/>
    <n v="77743.704100000003"/>
    <n v="70398.310800000007"/>
  </r>
  <r>
    <x v="934"/>
    <s v="ЧЕРМЕТ"/>
    <n v="62652.9401"/>
    <n v="62652.9401"/>
    <n v="56733.3557"/>
  </r>
  <r>
    <x v="935"/>
    <s v="Центр"/>
    <n v="93989.912800000006"/>
    <n v="93989.912800000006"/>
    <n v="85109.545199999993"/>
  </r>
  <r>
    <x v="936"/>
    <s v="Ю-З"/>
    <n v="76630.280299999999"/>
    <n v="76630.280299999999"/>
    <n v="69390.088799999998"/>
  </r>
  <r>
    <x v="937"/>
    <s v="Центр"/>
    <n v="93989.912800000006"/>
    <n v="93989.912800000006"/>
    <n v="85109.545199999993"/>
  </r>
  <r>
    <x v="938"/>
    <s v="ВИЗ"/>
    <n v="84298.205100000006"/>
    <n v="84298.205100000006"/>
    <n v="76333.533100000001"/>
  </r>
  <r>
    <x v="939"/>
    <s v="ЗАРЕЧНЫЙ"/>
    <n v="71105.171700000006"/>
    <n v="71105.171700000006"/>
    <n v="64387.005100000002"/>
  </r>
  <r>
    <x v="940"/>
    <s v="СОВХОЗ"/>
    <n v="59746.832600000002"/>
    <n v="59746.832600000002"/>
    <n v="54101.823700000001"/>
  </r>
  <r>
    <x v="941"/>
    <s v="ЧЕРМЕТ"/>
    <n v="62652.9401"/>
    <n v="62652.9401"/>
    <n v="56733.3557"/>
  </r>
  <r>
    <x v="942"/>
    <s v="УКТУС"/>
    <n v="63640.311600000001"/>
    <n v="63640.311600000001"/>
    <n v="57627.4473"/>
  </r>
  <r>
    <x v="943"/>
    <s v="УНЦ"/>
    <n v="64795.756300000001"/>
    <n v="64795.756300000001"/>
    <n v="58673.716200000003"/>
  </r>
  <r>
    <x v="944"/>
    <s v="МАЛЫЙ ИСТОК"/>
    <n v="60173.9879"/>
    <n v="60173.9879"/>
    <n v="54488.630299999997"/>
  </r>
  <r>
    <x v="945"/>
    <s v="Ю-З"/>
    <n v="76630.280299999999"/>
    <n v="76630.280299999999"/>
    <n v="69390.088799999998"/>
  </r>
  <r>
    <x v="946"/>
    <s v="ХИММАШ"/>
    <n v="61980.678599999999"/>
    <n v="61980.678599999999"/>
    <n v="56124.615700000002"/>
  </r>
  <r>
    <x v="947"/>
    <s v="ЭЛЬМАШ"/>
    <n v="70734.0236"/>
    <n v="70734.0236"/>
    <n v="64050.9208"/>
  </r>
  <r>
    <x v="948"/>
    <s v="САДОВЫЙ"/>
    <n v="53262.345800000003"/>
    <n v="53262.345800000003"/>
    <n v="48230.0095"/>
  </r>
  <r>
    <x v="949"/>
    <s v="ГОРНЫЙ ЩИТ"/>
    <n v="52246.960299999999"/>
    <n v="52246.960299999999"/>
    <n v="47310.556700000001"/>
  </r>
  <r>
    <x v="950"/>
    <s v="ПИОНЕРСКИЙ"/>
    <n v="77743.704100000003"/>
    <n v="77743.704100000003"/>
    <n v="70398.310800000007"/>
  </r>
  <r>
    <x v="951"/>
    <s v="ВТУЗГОРОДОК"/>
    <n v="77071.442599999995"/>
    <n v="77071.442599999995"/>
    <n v="69789.570900000006"/>
  </r>
  <r>
    <x v="952"/>
    <s v="ШАБРОВСКИЙ"/>
    <n v="37590.3603"/>
    <n v="37590.3603"/>
    <n v="34038.745900000002"/>
  </r>
  <r>
    <x v="953"/>
    <s v="КОЛЬЦОВО"/>
    <n v="54886.9666"/>
    <n v="54886.9666"/>
    <n v="49701.1319"/>
  </r>
  <r>
    <x v="954"/>
    <s v="Новая сортировка"/>
    <n v="64914.8"/>
    <n v="64914.8"/>
    <n v="58781.519200000002"/>
  </r>
  <r>
    <x v="955"/>
    <s v="УНЦ"/>
    <n v="64795.756300000001"/>
    <n v="64795.756300000001"/>
    <n v="58673.716200000003"/>
  </r>
  <r>
    <x v="956"/>
    <s v="ШАБРОВСКИЙ"/>
    <n v="37590.3603"/>
    <n v="37590.3603"/>
    <n v="34038.745900000002"/>
  </r>
  <r>
    <x v="957"/>
    <s v="Нижнеисетский"/>
    <n v="46784.877899999999"/>
    <n v="46784.877899999999"/>
    <n v="42364.543299999998"/>
  </r>
  <r>
    <x v="958"/>
    <s v="УКТУС"/>
    <n v="63640.311600000001"/>
    <n v="63640.311600000001"/>
    <n v="57627.4473"/>
  </r>
  <r>
    <x v="959"/>
    <s v="ИЗОПЛИТ"/>
    <n v="53668.506099999999"/>
    <n v="53668.506099999999"/>
    <n v="48597.792699999998"/>
  </r>
  <r>
    <x v="960"/>
    <s v="ГОРНЫЙ ЩИТ"/>
    <n v="52246.960299999999"/>
    <n v="52246.960299999999"/>
    <n v="47310.556700000001"/>
  </r>
  <r>
    <x v="961"/>
    <s v="ЗАВОКЗАЛЬНЫЙ"/>
    <n v="56140.449699999997"/>
    <n v="56140.449699999997"/>
    <n v="50836.1803"/>
  </r>
  <r>
    <x v="962"/>
    <s v="КОЛЬЦОВО"/>
    <n v="54886.9666"/>
    <n v="54886.9666"/>
    <n v="49701.1319"/>
  </r>
  <r>
    <x v="963"/>
    <s v="ИЗОПЛИТ"/>
    <n v="53668.506099999999"/>
    <n v="53668.506099999999"/>
    <n v="48597.792699999998"/>
  </r>
  <r>
    <x v="964"/>
    <s v="ИСТОК"/>
    <n v="53500.443299999999"/>
    <n v="53500.443299999999"/>
    <n v="48445.605100000001"/>
  </r>
  <r>
    <x v="965"/>
    <s v="Нижнеисетский"/>
    <n v="46784.877899999999"/>
    <n v="46784.877899999999"/>
    <n v="42364.543299999998"/>
  </r>
  <r>
    <x v="966"/>
    <s v="ЛЕЧЕБНЫЙ"/>
    <n v="57793.0844"/>
    <n v="57793.0844"/>
    <n v="52332.6639"/>
  </r>
  <r>
    <x v="967"/>
    <s v="Новая сортировка"/>
    <n v="64914.8"/>
    <n v="64914.8"/>
    <n v="58781.519200000002"/>
  </r>
  <r>
    <x v="968"/>
    <s v="ВИЗ"/>
    <n v="84298.205100000006"/>
    <n v="84298.205100000006"/>
    <n v="76333.533100000001"/>
  </r>
  <r>
    <x v="969"/>
    <s v="Ю-З"/>
    <n v="76630.280299999999"/>
    <n v="76630.280299999999"/>
    <n v="69390.088799999998"/>
  </r>
  <r>
    <x v="970"/>
    <s v="Центр"/>
    <n v="93989.912800000006"/>
    <n v="93989.912800000006"/>
    <n v="85109.545199999993"/>
  </r>
  <r>
    <x v="971"/>
    <s v="ВИЗ"/>
    <n v="84298.205100000006"/>
    <n v="84298.205100000006"/>
    <n v="76333.533100000001"/>
  </r>
  <r>
    <x v="972"/>
    <s v="ЧЕРМЕТ"/>
    <n v="62652.9401"/>
    <n v="62652.9401"/>
    <n v="56733.3557"/>
  </r>
  <r>
    <x v="973"/>
    <s v="Нижнеисетский"/>
    <n v="46784.877899999999"/>
    <n v="46784.877899999999"/>
    <n v="42364.543299999998"/>
  </r>
  <r>
    <x v="974"/>
    <s v="Центр"/>
    <n v="93989.912800000006"/>
    <n v="93989.912800000006"/>
    <n v="85109.545199999993"/>
  </r>
  <r>
    <x v="975"/>
    <s v="СОВХОЗ"/>
    <n v="59746.832600000002"/>
    <n v="59746.832600000002"/>
    <n v="54101.823700000001"/>
  </r>
  <r>
    <x v="976"/>
    <s v="ШАБРОВСКИЙ"/>
    <n v="37590.3603"/>
    <n v="37590.3603"/>
    <n v="34038.745900000002"/>
  </r>
  <r>
    <x v="977"/>
    <s v="СЕВЕРКА"/>
    <n v="51175.5573"/>
    <n v="51175.5573"/>
    <n v="46340.381600000001"/>
  </r>
  <r>
    <x v="978"/>
    <s v="ГОРНЫЙ ЩИТ"/>
    <n v="52246.960299999999"/>
    <n v="52246.960299999999"/>
    <n v="47310.556700000001"/>
  </r>
  <r>
    <x v="979"/>
    <s v="ЧЕРМЕТ"/>
    <n v="62652.9401"/>
    <n v="62652.9401"/>
    <n v="56733.3557"/>
  </r>
  <r>
    <x v="980"/>
    <s v="СОВХОЗ"/>
    <n v="59746.832600000002"/>
    <n v="59746.832600000002"/>
    <n v="54101.823700000001"/>
  </r>
  <r>
    <x v="981"/>
    <s v="ПТИЦЕФАБРИКА"/>
    <n v="56847.723400000003"/>
    <n v="56847.723400000003"/>
    <n v="51476.629399999998"/>
  </r>
  <r>
    <x v="982"/>
    <s v="СОВХОЗ"/>
    <n v="59746.832600000002"/>
    <n v="59746.832600000002"/>
    <n v="54101.823700000001"/>
  </r>
  <r>
    <x v="983"/>
    <s v="ХИММАШ"/>
    <n v="61980.678599999999"/>
    <n v="61980.678599999999"/>
    <n v="56124.615700000002"/>
  </r>
  <r>
    <x v="984"/>
    <s v="ВТУЗГОРОДОК"/>
    <n v="77071.442599999995"/>
    <n v="77071.442599999995"/>
    <n v="69789.570900000006"/>
  </r>
  <r>
    <x v="985"/>
    <s v="Ю-З"/>
    <n v="76630.280299999999"/>
    <n v="76630.280299999999"/>
    <n v="69390.088799999998"/>
  </r>
  <r>
    <x v="986"/>
    <s v="Старая сортировка"/>
    <n v="59368.686099999999"/>
    <n v="59368.686099999999"/>
    <n v="53759.401700000002"/>
  </r>
  <r>
    <x v="987"/>
    <s v="ВИЗ"/>
    <n v="84298.205100000006"/>
    <n v="84298.205100000006"/>
    <n v="76333.533100000001"/>
  </r>
  <r>
    <x v="988"/>
    <s v="ШАРТАШ"/>
    <n v="68129.029500000004"/>
    <n v="68129.029500000004"/>
    <n v="61692.054799999998"/>
  </r>
  <r>
    <x v="989"/>
    <s v="Ю-З"/>
    <n v="76630.280299999999"/>
    <n v="76630.280299999999"/>
    <n v="69390.088799999998"/>
  </r>
  <r>
    <x v="990"/>
    <s v="ВИЗ"/>
    <n v="84298.205100000006"/>
    <n v="84298.205100000006"/>
    <n v="76333.533100000001"/>
  </r>
  <r>
    <x v="991"/>
    <s v="Центр"/>
    <n v="93989.912800000006"/>
    <n v="93989.912800000006"/>
    <n v="85109.545199999993"/>
  </r>
  <r>
    <x v="992"/>
    <s v="ЛЕЧЕБНЫЙ"/>
    <n v="57793.0844"/>
    <n v="57793.0844"/>
    <n v="52332.6639"/>
  </r>
  <r>
    <x v="993"/>
    <s v="УРАЛМАШ"/>
    <n v="70026.7601"/>
    <n v="70026.7601"/>
    <n v="63410.482000000004"/>
  </r>
  <r>
    <x v="994"/>
    <s v="Старая сортировка"/>
    <n v="59368.686099999999"/>
    <n v="59368.686099999999"/>
    <n v="53759.401700000002"/>
  </r>
  <r>
    <x v="995"/>
    <s v="ЕЛИЗАВЕТ"/>
    <n v="60958.294800000003"/>
    <n v="60958.294800000003"/>
    <n v="55198.825199999999"/>
  </r>
  <r>
    <x v="996"/>
    <s v="Старая сортировка"/>
    <n v="59368.686099999999"/>
    <n v="59368.686099999999"/>
    <n v="53759.401700000002"/>
  </r>
  <r>
    <x v="997"/>
    <s v="ЖБИ"/>
    <n v="69382.512499999997"/>
    <n v="69382.512499999997"/>
    <n v="62827.103199999998"/>
  </r>
  <r>
    <x v="998"/>
    <s v="УРАЛМАШ"/>
    <n v="70026.7601"/>
    <n v="70026.7601"/>
    <n v="63410.482000000004"/>
  </r>
  <r>
    <x v="999"/>
    <s v="ПИОНЕРСКИЙ"/>
    <n v="77743.704100000003"/>
    <n v="77743.704100000003"/>
    <n v="70398.310800000007"/>
  </r>
  <r>
    <x v="1000"/>
    <s v="УНЦ"/>
    <n v="64795.756300000001"/>
    <n v="64795.756300000001"/>
    <n v="58673.716200000003"/>
  </r>
  <r>
    <x v="1001"/>
    <s v="ШАРТАШ"/>
    <n v="68129.029500000004"/>
    <n v="68129.029500000004"/>
    <n v="61692.054799999998"/>
  </r>
  <r>
    <x v="1002"/>
    <s v="ЖБИ"/>
    <n v="69382.512499999997"/>
    <n v="69382.512499999997"/>
    <n v="62827.103199999998"/>
  </r>
  <r>
    <x v="1003"/>
    <s v="ЗАВОКЗАЛЬНЫЙ"/>
    <n v="56140.449699999997"/>
    <n v="56140.449699999997"/>
    <n v="50836.1803"/>
  </r>
  <r>
    <x v="1004"/>
    <s v="ЧЕРМЕТ"/>
    <n v="62652.9401"/>
    <n v="62652.9401"/>
    <n v="56733.3557"/>
  </r>
  <r>
    <x v="1005"/>
    <s v="ИЗОПЛИТ"/>
    <n v="53668.506099999999"/>
    <n v="53668.506099999999"/>
    <n v="48597.792699999998"/>
  </r>
  <r>
    <x v="1006"/>
    <s v="ВТУЗГОРОДОК"/>
    <n v="77071.442599999995"/>
    <n v="77071.442599999995"/>
    <n v="69789.570900000006"/>
  </r>
  <r>
    <x v="1007"/>
    <s v="ШИРОКАЯ РЕЧКА"/>
    <n v="63178.133800000003"/>
    <n v="63178.133800000003"/>
    <n v="57208.931499999999"/>
  </r>
  <r>
    <x v="1008"/>
    <s v="КОЛЬЦОВО"/>
    <n v="54886.9666"/>
    <n v="54886.9666"/>
    <n v="49701.1319"/>
  </r>
  <r>
    <x v="1009"/>
    <s v="ШАРТАШ"/>
    <n v="68129.029500000004"/>
    <n v="68129.029500000004"/>
    <n v="61692.054799999998"/>
  </r>
  <r>
    <x v="1010"/>
    <s v="МАЛЫЙ ИСТОК"/>
    <n v="60173.9879"/>
    <n v="60173.9879"/>
    <n v="54488.630299999997"/>
  </r>
  <r>
    <x v="1011"/>
    <s v="Старая сортировка"/>
    <n v="59368.686099999999"/>
    <n v="59368.686099999999"/>
    <n v="53759.401700000002"/>
  </r>
  <r>
    <x v="1012"/>
    <s v="Ю-З"/>
    <n v="76630.280299999999"/>
    <n v="76630.280299999999"/>
    <n v="69390.088799999998"/>
  </r>
  <r>
    <x v="1013"/>
    <s v="УНЦ"/>
    <n v="64795.756300000001"/>
    <n v="64795.756300000001"/>
    <n v="58673.716200000003"/>
  </r>
  <r>
    <x v="1014"/>
    <s v="КОМПРЕССОРНЫЙ"/>
    <n v="56392.543899999997"/>
    <n v="56392.543899999997"/>
    <n v="51064.4617"/>
  </r>
  <r>
    <x v="1015"/>
    <s v="КОМПРЕССОРНЫЙ"/>
    <n v="56392.543899999997"/>
    <n v="56392.543899999997"/>
    <n v="51064.4617"/>
  </r>
  <r>
    <x v="1016"/>
    <s v="ГОРНЫЙ ЩИТ"/>
    <n v="52246.960299999999"/>
    <n v="52246.960299999999"/>
    <n v="47310.556700000001"/>
  </r>
  <r>
    <x v="1017"/>
    <s v="АВТОВОКЗАЛ"/>
    <n v="83744.997499999998"/>
    <n v="83744.997499999998"/>
    <n v="75832.596099999995"/>
  </r>
  <r>
    <x v="1018"/>
    <s v="Ю-З"/>
    <n v="76630.280299999999"/>
    <n v="76630.280299999999"/>
    <n v="69390.088799999998"/>
  </r>
  <r>
    <x v="1019"/>
    <s v="УРАЛМАШ"/>
    <n v="70026.7601"/>
    <n v="70026.7601"/>
    <n v="63410.482000000004"/>
  </r>
  <r>
    <x v="1020"/>
    <s v="ЧУСОВСКОЕ ОЗЕРО"/>
    <n v="49782.025399999999"/>
    <n v="49782.025399999999"/>
    <n v="45078.506800000003"/>
  </r>
  <r>
    <x v="1021"/>
    <s v="ЛЕЧЕБНЫЙ"/>
    <n v="57793.0844"/>
    <n v="57793.0844"/>
    <n v="52332.6639"/>
  </r>
  <r>
    <x v="1022"/>
    <s v="АВТОВОКЗАЛ"/>
    <n v="83744.997499999998"/>
    <n v="83744.997499999998"/>
    <n v="75832.596099999995"/>
  </r>
  <r>
    <x v="1023"/>
    <s v="Ю-З"/>
    <n v="76630.280299999999"/>
    <n v="76630.280299999999"/>
    <n v="69390.088799999998"/>
  </r>
  <r>
    <x v="1024"/>
    <s v="ВИЗ"/>
    <n v="84298.205100000006"/>
    <n v="84298.205100000006"/>
    <n v="76333.533100000001"/>
  </r>
  <r>
    <x v="1025"/>
    <s v="УРАЛМАШ"/>
    <n v="70026.7601"/>
    <n v="70026.7601"/>
    <n v="63410.482000000004"/>
  </r>
  <r>
    <x v="1026"/>
    <s v="ШАРТАШ"/>
    <n v="68129.029500000004"/>
    <n v="68129.029500000004"/>
    <n v="61692.054799999998"/>
  </r>
  <r>
    <x v="1027"/>
    <s v="Нижнеисетский"/>
    <n v="46784.877899999999"/>
    <n v="46784.877899999999"/>
    <n v="42364.543299999998"/>
  </r>
  <r>
    <x v="1028"/>
    <s v="ПОЛЕВОДСТВО"/>
    <n v="55692.278700000003"/>
    <n v="55692.278700000003"/>
    <n v="50430.350200000001"/>
  </r>
  <r>
    <x v="1029"/>
    <s v="Нижнеисетский"/>
    <n v="46784.877899999999"/>
    <n v="46784.877899999999"/>
    <n v="42364.543299999998"/>
  </r>
  <r>
    <x v="1030"/>
    <s v="ХИММАШ"/>
    <n v="61980.678599999999"/>
    <n v="61980.678599999999"/>
    <n v="56124.615700000002"/>
  </r>
  <r>
    <x v="1031"/>
    <s v="Старая сортировка"/>
    <n v="59368.686099999999"/>
    <n v="59368.686099999999"/>
    <n v="53759.401700000002"/>
  </r>
  <r>
    <x v="1032"/>
    <s v="ЛЕЧЕБНЫЙ"/>
    <n v="57793.0844"/>
    <n v="57793.0844"/>
    <n v="52332.6639"/>
  </r>
  <r>
    <x v="1033"/>
    <s v="ЗАВОКЗАЛЬНЫЙ"/>
    <n v="56140.449699999997"/>
    <n v="56140.449699999997"/>
    <n v="50836.1803"/>
  </r>
  <r>
    <x v="1034"/>
    <s v="УРАЛМАШ"/>
    <n v="70026.7601"/>
    <n v="70026.7601"/>
    <n v="63410.482000000004"/>
  </r>
  <r>
    <x v="1035"/>
    <s v="УНЦ"/>
    <n v="64795.756300000001"/>
    <n v="64795.756300000001"/>
    <n v="58673.716200000003"/>
  </r>
  <r>
    <x v="1036"/>
    <s v="ИСТОК"/>
    <n v="53500.443299999999"/>
    <n v="53500.443299999999"/>
    <n v="48445.605100000001"/>
  </r>
  <r>
    <x v="1037"/>
    <s v="Центр"/>
    <n v="93989.912800000006"/>
    <n v="93989.912800000006"/>
    <n v="85109.545199999993"/>
  </r>
  <r>
    <x v="1038"/>
    <s v="ВИЗ"/>
    <n v="84298.205100000006"/>
    <n v="84298.205100000006"/>
    <n v="76333.533100000001"/>
  </r>
  <r>
    <x v="1039"/>
    <s v="Старая сортировка"/>
    <n v="59368.686099999999"/>
    <n v="59368.686099999999"/>
    <n v="53759.401700000002"/>
  </r>
  <r>
    <x v="1040"/>
    <s v="ИСТОК"/>
    <n v="53500.443299999999"/>
    <n v="53500.443299999999"/>
    <n v="48445.605100000001"/>
  </r>
  <r>
    <x v="1041"/>
    <s v="МЕДНЫЙ"/>
    <n v="51343.6201"/>
    <n v="51343.6201"/>
    <n v="46492.558799999999"/>
  </r>
  <r>
    <x v="1042"/>
    <s v="ШАБРОВСКИЙ"/>
    <n v="37590.3603"/>
    <n v="37590.3603"/>
    <n v="34038.745900000002"/>
  </r>
  <r>
    <x v="1043"/>
    <s v="Центр"/>
    <n v="93989.912800000006"/>
    <n v="93989.912800000006"/>
    <n v="85109.545199999993"/>
  </r>
  <r>
    <x v="1044"/>
    <s v="ВТУЗГОРОДОК"/>
    <n v="77071.442599999995"/>
    <n v="77071.442599999995"/>
    <n v="69789.570900000006"/>
  </r>
  <r>
    <x v="1045"/>
    <s v="РУДНЫЙ"/>
    <n v="46784.877899999999"/>
    <n v="46784.877899999999"/>
    <n v="42364.543299999998"/>
  </r>
  <r>
    <x v="1046"/>
    <s v="ВИЗ"/>
    <n v="84298.205100000006"/>
    <n v="84298.205100000006"/>
    <n v="76333.533100000001"/>
  </r>
  <r>
    <x v="1047"/>
    <s v="Ю-З"/>
    <n v="76630.280299999999"/>
    <n v="76630.280299999999"/>
    <n v="69390.088799999998"/>
  </r>
  <r>
    <x v="1048"/>
    <s v="ВИЗ"/>
    <n v="84298.205100000006"/>
    <n v="84298.205100000006"/>
    <n v="76333.533100000001"/>
  </r>
  <r>
    <x v="1049"/>
    <s v="ВИЗ"/>
    <n v="84298.205100000006"/>
    <n v="84298.205100000006"/>
    <n v="76333.533100000001"/>
  </r>
  <r>
    <x v="1050"/>
    <s v="УРАЛМАШ"/>
    <n v="70026.7601"/>
    <n v="70026.7601"/>
    <n v="63410.482000000004"/>
  </r>
  <r>
    <x v="1051"/>
    <s v="СИБИРСКИЙ"/>
    <n v="63556.280200000001"/>
    <n v="63556.280200000001"/>
    <n v="57551.353499999997"/>
  </r>
  <r>
    <x v="1052"/>
    <s v="УРАЛМАШ"/>
    <n v="70026.7601"/>
    <n v="70026.7601"/>
    <n v="63410.482000000004"/>
  </r>
  <r>
    <x v="1053"/>
    <s v="Ю-З"/>
    <n v="76630.280299999999"/>
    <n v="76630.280299999999"/>
    <n v="69390.088799999998"/>
  </r>
  <r>
    <x v="1054"/>
    <s v="Центр"/>
    <n v="93989.912800000006"/>
    <n v="93989.912800000006"/>
    <n v="85109.545199999993"/>
  </r>
  <r>
    <x v="1055"/>
    <s v="ШАРТАШ"/>
    <n v="68129.029500000004"/>
    <n v="68129.029500000004"/>
    <n v="61692.054799999998"/>
  </r>
  <r>
    <x v="1056"/>
    <s v="ЭЛЬМАШ"/>
    <n v="70734.0236"/>
    <n v="70734.0236"/>
    <n v="64050.9208"/>
  </r>
  <r>
    <x v="1057"/>
    <s v="Ю-З"/>
    <n v="76630.280299999999"/>
    <n v="76630.280299999999"/>
    <n v="69390.088799999998"/>
  </r>
  <r>
    <x v="1058"/>
    <s v="СОВХОЗ"/>
    <n v="59746.832600000002"/>
    <n v="59746.832600000002"/>
    <n v="54101.823700000001"/>
  </r>
  <r>
    <x v="1059"/>
    <s v="Ю-З"/>
    <n v="76630.280299999999"/>
    <n v="76630.280299999999"/>
    <n v="69390.088799999998"/>
  </r>
  <r>
    <x v="1060"/>
    <s v="Центр"/>
    <n v="93989.912800000006"/>
    <n v="93989.912800000006"/>
    <n v="85109.545199999993"/>
  </r>
  <r>
    <x v="1061"/>
    <s v="ВИЗ"/>
    <n v="84298.205100000006"/>
    <n v="84298.205100000006"/>
    <n v="76333.533100000001"/>
  </r>
  <r>
    <x v="1062"/>
    <s v="ШИРОКАЯ РЕЧКА"/>
    <n v="63178.133800000003"/>
    <n v="63178.133800000003"/>
    <n v="57208.931499999999"/>
  </r>
  <r>
    <x v="1063"/>
    <s v="Новая сортировка"/>
    <n v="64914.8"/>
    <n v="64914.8"/>
    <n v="58781.519200000002"/>
  </r>
  <r>
    <x v="1064"/>
    <s v="ШАБРОВСКИЙ"/>
    <n v="37590.3603"/>
    <n v="37590.3603"/>
    <n v="34038.745900000002"/>
  </r>
  <r>
    <x v="1065"/>
    <s v="ВИЗ"/>
    <n v="84298.205100000006"/>
    <n v="84298.205100000006"/>
    <n v="76333.533100000001"/>
  </r>
  <r>
    <x v="1066"/>
    <s v="ВИЗ"/>
    <n v="84298.205100000006"/>
    <n v="84298.205100000006"/>
    <n v="76333.533100000001"/>
  </r>
  <r>
    <x v="1067"/>
    <s v="ВИЗ"/>
    <n v="84298.205100000006"/>
    <n v="84298.205100000006"/>
    <n v="76333.533100000001"/>
  </r>
  <r>
    <x v="1068"/>
    <s v="ГОРНЫЙ ЩИТ"/>
    <n v="52246.960299999999"/>
    <n v="52246.960299999999"/>
    <n v="47310.556700000001"/>
  </r>
  <r>
    <x v="1069"/>
    <s v="РУДНЫЙ"/>
    <n v="46784.877899999999"/>
    <n v="46784.877899999999"/>
    <n v="42364.543299999998"/>
  </r>
  <r>
    <x v="1070"/>
    <s v="УКТУС"/>
    <n v="63640.311600000001"/>
    <n v="63640.311600000001"/>
    <n v="57627.4473"/>
  </r>
  <r>
    <x v="1071"/>
    <s v="Центр"/>
    <n v="93989.912800000006"/>
    <n v="93989.912800000006"/>
    <n v="85109.545199999993"/>
  </r>
  <r>
    <x v="1072"/>
    <s v="ВИЗ"/>
    <n v="84298.205100000006"/>
    <n v="84298.205100000006"/>
    <n v="76333.533100000001"/>
  </r>
  <r>
    <x v="1073"/>
    <s v="ШАРТАШ"/>
    <n v="68129.029500000004"/>
    <n v="68129.029500000004"/>
    <n v="61692.054799999998"/>
  </r>
  <r>
    <x v="1074"/>
    <s v="КОЛЬЦОВО"/>
    <n v="54886.9666"/>
    <n v="54886.9666"/>
    <n v="49701.1319"/>
  </r>
  <r>
    <x v="1075"/>
    <s v="УНЦ"/>
    <n v="64795.756300000001"/>
    <n v="64795.756300000001"/>
    <n v="58673.716200000003"/>
  </r>
  <r>
    <x v="1076"/>
    <s v="Ю-З"/>
    <n v="76630.280299999999"/>
    <n v="76630.280299999999"/>
    <n v="69390.088799999998"/>
  </r>
  <r>
    <x v="1077"/>
    <s v="УРАЛМАШ"/>
    <n v="70026.7601"/>
    <n v="70026.7601"/>
    <n v="63410.482000000004"/>
  </r>
  <r>
    <x v="1078"/>
    <s v="Центр"/>
    <n v="93989.912800000006"/>
    <n v="93989.912800000006"/>
    <n v="85109.545199999993"/>
  </r>
  <r>
    <x v="1079"/>
    <s v="Старая сортировка"/>
    <n v="59368.686099999999"/>
    <n v="59368.686099999999"/>
    <n v="53759.401700000002"/>
  </r>
  <r>
    <x v="1080"/>
    <s v="УРАЛМАШ"/>
    <n v="70026.7601"/>
    <n v="70026.7601"/>
    <n v="63410.482000000004"/>
  </r>
  <r>
    <x v="1081"/>
    <s v="ИСТОК"/>
    <n v="53500.443299999999"/>
    <n v="53500.443299999999"/>
    <n v="48445.605100000001"/>
  </r>
  <r>
    <x v="1082"/>
    <s v="УРАЛМАШ"/>
    <n v="70026.7601"/>
    <n v="70026.7601"/>
    <n v="63410.482000000004"/>
  </r>
  <r>
    <x v="1083"/>
    <s v="СОВХОЗ"/>
    <n v="59746.832600000002"/>
    <n v="59746.832600000002"/>
    <n v="54101.823700000001"/>
  </r>
  <r>
    <x v="1084"/>
    <s v="Старая сортировка"/>
    <n v="59368.686099999999"/>
    <n v="59368.686099999999"/>
    <n v="53759.401700000002"/>
  </r>
  <r>
    <x v="1085"/>
    <s v="УКТУС"/>
    <n v="63640.311600000001"/>
    <n v="63640.311600000001"/>
    <n v="57627.4473"/>
  </r>
  <r>
    <x v="1086"/>
    <s v="СЕВЕРКА"/>
    <n v="51175.5573"/>
    <n v="51175.5573"/>
    <n v="46340.381600000001"/>
  </r>
  <r>
    <x v="1087"/>
    <s v="ИСТОК"/>
    <n v="53500.443299999999"/>
    <n v="53500.443299999999"/>
    <n v="48445.605100000001"/>
  </r>
  <r>
    <x v="1088"/>
    <s v="Центр"/>
    <n v="93989.912800000006"/>
    <n v="93989.912800000006"/>
    <n v="85109.545199999993"/>
  </r>
  <r>
    <x v="1089"/>
    <s v="Нижнеисетский"/>
    <n v="46784.877899999999"/>
    <n v="46784.877899999999"/>
    <n v="42364.543299999998"/>
  </r>
  <r>
    <x v="1090"/>
    <s v="УКТУС"/>
    <n v="63640.311600000001"/>
    <n v="63640.311600000001"/>
    <n v="57627.4473"/>
  </r>
  <r>
    <x v="1091"/>
    <s v="ШАБРОВСКИЙ"/>
    <n v="37590.3603"/>
    <n v="37590.3603"/>
    <n v="34038.745900000002"/>
  </r>
  <r>
    <x v="1092"/>
    <s v="ПОЛЕВОДСТВО"/>
    <n v="55692.278700000003"/>
    <n v="55692.278700000003"/>
    <n v="50430.350200000001"/>
  </r>
  <r>
    <x v="1093"/>
    <s v="АВТОВОКЗАЛ"/>
    <n v="83744.997499999998"/>
    <n v="83744.997499999998"/>
    <n v="75832.596099999995"/>
  </r>
  <r>
    <x v="1094"/>
    <s v="УКТУС"/>
    <n v="63640.311600000001"/>
    <n v="63640.311600000001"/>
    <n v="57627.4473"/>
  </r>
  <r>
    <x v="1095"/>
    <s v="ШИРОКАЯ РЕЧКА"/>
    <n v="63178.133800000003"/>
    <n v="63178.133800000003"/>
    <n v="57208.931499999999"/>
  </r>
  <r>
    <x v="1096"/>
    <s v="ПИОНЕРСКИЙ"/>
    <n v="77743.704100000003"/>
    <n v="77743.704100000003"/>
    <n v="70398.310800000007"/>
  </r>
  <r>
    <x v="1097"/>
    <s v="Ю-З"/>
    <n v="76630.280299999999"/>
    <n v="76630.280299999999"/>
    <n v="69390.088799999998"/>
  </r>
  <r>
    <x v="1098"/>
    <s v="Ю-З"/>
    <n v="76630.280299999999"/>
    <n v="76630.280299999999"/>
    <n v="69390.088799999998"/>
  </r>
  <r>
    <x v="1099"/>
    <s v="ВИЗ"/>
    <n v="84298.205100000006"/>
    <n v="84298.205100000006"/>
    <n v="76333.533100000001"/>
  </r>
  <r>
    <x v="1100"/>
    <s v="ВИЗ"/>
    <n v="84298.205100000006"/>
    <n v="84298.205100000006"/>
    <n v="76333.533100000001"/>
  </r>
  <r>
    <x v="1101"/>
    <s v="АВТОВОКЗАЛ"/>
    <n v="83744.997499999998"/>
    <n v="83744.997499999998"/>
    <n v="75832.596099999995"/>
  </r>
  <r>
    <x v="1102"/>
    <s v="КОМПРЕССОРНЫЙ"/>
    <n v="56392.543899999997"/>
    <n v="56392.543899999997"/>
    <n v="51064.4617"/>
  </r>
  <r>
    <x v="1103"/>
    <s v="ПИОНЕРСКИЙ"/>
    <n v="77743.704100000003"/>
    <n v="77743.704100000003"/>
    <n v="70398.310800000007"/>
  </r>
  <r>
    <x v="1104"/>
    <s v="Ю-З"/>
    <n v="76630.280299999999"/>
    <n v="76630.280299999999"/>
    <n v="69390.088799999998"/>
  </r>
  <r>
    <x v="1105"/>
    <s v="КАЛИНОВСКИЙ"/>
    <n v="56546.599699999999"/>
    <n v="56546.599699999999"/>
    <n v="51203.963499999998"/>
  </r>
  <r>
    <x v="1106"/>
    <s v="КАЛИНОВСКИЙ"/>
    <n v="56546.599699999999"/>
    <n v="56546.599699999999"/>
    <n v="51203.963499999998"/>
  </r>
  <r>
    <x v="1107"/>
    <s v="ВИЗ"/>
    <n v="84298.205100000006"/>
    <n v="84298.205100000006"/>
    <n v="76333.533100000001"/>
  </r>
  <r>
    <x v="1108"/>
    <s v="Ю-З"/>
    <n v="76630.280299999999"/>
    <n v="76630.280299999999"/>
    <n v="69390.088799999998"/>
  </r>
  <r>
    <x v="1109"/>
    <s v="Центр"/>
    <n v="93989.912800000006"/>
    <n v="93989.912800000006"/>
    <n v="85109.545199999993"/>
  </r>
  <r>
    <x v="1110"/>
    <s v="Шарташский рынок"/>
    <n v="79683.445300000007"/>
    <n v="79683.445300000007"/>
    <n v="72154.784899999999"/>
  </r>
  <r>
    <x v="1111"/>
    <s v="УРАЛМАШ"/>
    <n v="70026.7601"/>
    <n v="70026.7601"/>
    <n v="63410.482000000004"/>
  </r>
  <r>
    <x v="1112"/>
    <s v="ВИЗ"/>
    <n v="84298.205100000006"/>
    <n v="84298.205100000006"/>
    <n v="76333.533100000001"/>
  </r>
  <r>
    <x v="1113"/>
    <s v="ВИЗ"/>
    <n v="84298.205100000006"/>
    <n v="84298.205100000006"/>
    <n v="76333.533100000001"/>
  </r>
  <r>
    <x v="1114"/>
    <s v="Центр"/>
    <n v="93989.912800000006"/>
    <n v="93989.912800000006"/>
    <n v="85109.545199999993"/>
  </r>
  <r>
    <x v="1115"/>
    <s v="Новая сортировка"/>
    <n v="64914.8"/>
    <n v="64914.8"/>
    <n v="58781.519200000002"/>
  </r>
  <r>
    <x v="1116"/>
    <s v="УРАЛМАШ"/>
    <n v="70026.7601"/>
    <n v="70026.7601"/>
    <n v="63410.482000000004"/>
  </r>
  <r>
    <x v="1117"/>
    <s v="Старая сортировка"/>
    <n v="59368.686099999999"/>
    <n v="59368.686099999999"/>
    <n v="53759.401700000002"/>
  </r>
  <r>
    <x v="1118"/>
    <s v="Малый Исток"/>
    <n v="60173.9879"/>
    <n v="60173.9879"/>
    <n v="54488.630299999997"/>
  </r>
  <r>
    <x v="1119"/>
    <s v="АКАДЕМИЧЕСКИЙ"/>
    <n v="61763.596599999997"/>
    <n v="61763.596599999997"/>
    <n v="55928.0435"/>
  </r>
  <r>
    <x v="1120"/>
    <s v="УАЗ-III - 49 кв."/>
    <n v="35563.243300000002"/>
    <n v="35563.243300000002"/>
    <n v="31984.905299999999"/>
  </r>
  <r>
    <x v="1121"/>
    <s v="УАЗ-III - 49 кв."/>
    <n v="35563.243300000002"/>
    <n v="35563.243300000002"/>
    <n v="31984.905299999999"/>
  </r>
  <r>
    <x v="1122"/>
    <s v="УАЗ-III - 49 кв."/>
    <n v="35563.243300000002"/>
    <n v="35563.243300000002"/>
    <n v="31984.905299999999"/>
  </r>
  <r>
    <x v="1123"/>
    <s v="УАЗ-III - 49 кв."/>
    <n v="35563.243300000002"/>
    <n v="35563.243300000002"/>
    <n v="31984.905299999999"/>
  </r>
  <r>
    <x v="1124"/>
    <s v="УАЗ-III - 49 кв."/>
    <n v="35563.243300000002"/>
    <n v="35563.243300000002"/>
    <n v="31984.905299999999"/>
  </r>
  <r>
    <x v="1125"/>
    <s v="УАЗ-III - 49 кв."/>
    <n v="35563.243300000002"/>
    <n v="35563.243300000002"/>
    <n v="31984.905299999999"/>
  </r>
  <r>
    <x v="1126"/>
    <s v="УАЗ-III - 49 кв."/>
    <n v="35563.243300000002"/>
    <n v="35563.243300000002"/>
    <n v="31984.905299999999"/>
  </r>
  <r>
    <x v="1127"/>
    <s v="УАЗ"/>
    <n v="29199.565200000001"/>
    <n v="29199.565200000001"/>
    <n v="26261.5317"/>
  </r>
  <r>
    <x v="1128"/>
    <s v="УАЗ-II"/>
    <n v="35756.285400000001"/>
    <n v="35756.285400000001"/>
    <n v="32158.5213"/>
  </r>
  <r>
    <x v="1129"/>
    <s v="Чкаловский"/>
    <n v="28848.8855"/>
    <n v="28848.8855"/>
    <n v="25946.143"/>
  </r>
  <r>
    <x v="1130"/>
    <s v="Октябрьский"/>
    <n v="39105.413099999998"/>
    <n v="39105.413099999998"/>
    <n v="35170.666700000002"/>
  </r>
  <r>
    <x v="1131"/>
    <s v="Октябрьский"/>
    <n v="39105.413099999998"/>
    <n v="39105.413099999998"/>
    <n v="35170.666700000002"/>
  </r>
  <r>
    <x v="1132"/>
    <s v="Октябрьский"/>
    <n v="39105.413099999998"/>
    <n v="39105.413099999998"/>
    <n v="35170.666700000002"/>
  </r>
  <r>
    <x v="1133"/>
    <s v="Октябрьский"/>
    <n v="39105.413099999998"/>
    <n v="39105.413099999998"/>
    <n v="35170.666700000002"/>
  </r>
  <r>
    <x v="1134"/>
    <s v="Октябрьский"/>
    <n v="39105.413099999998"/>
    <n v="39105.413099999998"/>
    <n v="35170.666700000002"/>
  </r>
  <r>
    <x v="1135"/>
    <s v="Октябрьский"/>
    <n v="39105.413099999998"/>
    <n v="39105.413099999998"/>
    <n v="35170.666700000002"/>
  </r>
  <r>
    <x v="1136"/>
    <s v="Октябрьский"/>
    <n v="39105.413099999998"/>
    <n v="39105.413099999998"/>
    <n v="35170.666700000002"/>
  </r>
  <r>
    <x v="1137"/>
    <s v="Октябрьский"/>
    <n v="39105.413099999998"/>
    <n v="39105.413099999998"/>
    <n v="35170.666700000002"/>
  </r>
  <r>
    <x v="1138"/>
    <s v="Октябрьский"/>
    <n v="39105.413099999998"/>
    <n v="39105.413099999998"/>
    <n v="35170.666700000002"/>
  </r>
  <r>
    <x v="1139"/>
    <s v="Октябрьский"/>
    <n v="39105.413099999998"/>
    <n v="39105.413099999998"/>
    <n v="35170.666700000002"/>
  </r>
  <r>
    <x v="1140"/>
    <s v="Октябрьский"/>
    <n v="39105.413099999998"/>
    <n v="39105.413099999998"/>
    <n v="35170.666700000002"/>
  </r>
  <r>
    <x v="1141"/>
    <s v="Октябрьский"/>
    <n v="39105.413099999998"/>
    <n v="39105.413099999998"/>
    <n v="35170.666700000002"/>
  </r>
  <r>
    <x v="1142"/>
    <s v="Октябрьский"/>
    <n v="39105.413099999998"/>
    <n v="39105.413099999998"/>
    <n v="35170.666700000002"/>
  </r>
  <r>
    <x v="1143"/>
    <s v="Октябрьский"/>
    <n v="39105.413099999998"/>
    <n v="39105.413099999998"/>
    <n v="35170.666700000002"/>
  </r>
  <r>
    <x v="1144"/>
    <s v="Октябрьский"/>
    <n v="39105.413099999998"/>
    <n v="39105.413099999998"/>
    <n v="35170.666700000002"/>
  </r>
  <r>
    <x v="1145"/>
    <s v="Октябрьский"/>
    <n v="39105.413099999998"/>
    <n v="39105.413099999998"/>
    <n v="35170.666700000002"/>
  </r>
  <r>
    <x v="1146"/>
    <s v="Октябрьский"/>
    <n v="39105.413099999998"/>
    <n v="39105.413099999998"/>
    <n v="35170.666700000002"/>
  </r>
  <r>
    <x v="1147"/>
    <s v="Октябрьский"/>
    <n v="39105.413099999998"/>
    <n v="39105.413099999998"/>
    <n v="35170.666700000002"/>
  </r>
  <r>
    <x v="1148"/>
    <s v="Октябрьский"/>
    <n v="39105.413099999998"/>
    <n v="39105.413099999998"/>
    <n v="35170.666700000002"/>
  </r>
  <r>
    <x v="1149"/>
    <s v="Октябрьский"/>
    <n v="39105.413099999998"/>
    <n v="39105.413099999998"/>
    <n v="35170.666700000002"/>
  </r>
  <r>
    <x v="1150"/>
    <s v="Октябрьский"/>
    <n v="39105.413099999998"/>
    <n v="39105.413099999998"/>
    <n v="35170.666700000002"/>
  </r>
  <r>
    <x v="1151"/>
    <s v="Октябрьский"/>
    <n v="39105.413099999998"/>
    <n v="39105.413099999998"/>
    <n v="35170.666700000002"/>
  </r>
  <r>
    <x v="1152"/>
    <s v="Октябрьский"/>
    <n v="39105.413099999998"/>
    <n v="39105.413099999998"/>
    <n v="35170.666700000002"/>
  </r>
  <r>
    <x v="1153"/>
    <s v="Октябрьский"/>
    <n v="39105.413099999998"/>
    <n v="39105.413099999998"/>
    <n v="35170.666700000002"/>
  </r>
  <r>
    <x v="1154"/>
    <s v="Октябрьский"/>
    <n v="39105.413099999998"/>
    <n v="39105.413099999998"/>
    <n v="35170.666700000002"/>
  </r>
  <r>
    <x v="1155"/>
    <s v="Октябрьский"/>
    <n v="39105.413099999998"/>
    <n v="39105.413099999998"/>
    <n v="35170.666700000002"/>
  </r>
  <r>
    <x v="1156"/>
    <s v="Октябрьский"/>
    <n v="39105.413099999998"/>
    <n v="39105.413099999998"/>
    <n v="35170.666700000002"/>
  </r>
  <r>
    <x v="1157"/>
    <s v="Октябрьский"/>
    <n v="39105.413099999998"/>
    <n v="39105.413099999998"/>
    <n v="35170.666700000002"/>
  </r>
  <r>
    <x v="1158"/>
    <s v="Октябрьский"/>
    <n v="39105.413099999998"/>
    <n v="39105.413099999998"/>
    <n v="35170.666700000002"/>
  </r>
  <r>
    <x v="1159"/>
    <s v="Октябрьский"/>
    <n v="39105.413099999998"/>
    <n v="39105.413099999998"/>
    <n v="35170.666700000002"/>
  </r>
  <r>
    <x v="1160"/>
    <s v="Октябрьский"/>
    <n v="39105.413099999998"/>
    <n v="39105.413099999998"/>
    <n v="35170.666700000002"/>
  </r>
  <r>
    <x v="1161"/>
    <s v="Октябрьский"/>
    <n v="39105.413099999998"/>
    <n v="39105.413099999998"/>
    <n v="35170.666700000002"/>
  </r>
  <r>
    <x v="1162"/>
    <s v="Октябрьский"/>
    <n v="39105.413099999998"/>
    <n v="39105.413099999998"/>
    <n v="35170.666700000002"/>
  </r>
  <r>
    <x v="1163"/>
    <s v="Октябрьский"/>
    <n v="39105.413099999998"/>
    <n v="39105.413099999998"/>
    <n v="35170.666700000002"/>
  </r>
  <r>
    <x v="1164"/>
    <s v="Октябрьский"/>
    <n v="39105.413099999998"/>
    <n v="39105.413099999998"/>
    <n v="35170.666700000002"/>
  </r>
  <r>
    <x v="1165"/>
    <s v="Октябрьский"/>
    <n v="39105.413099999998"/>
    <n v="39105.413099999998"/>
    <n v="35170.666700000002"/>
  </r>
  <r>
    <x v="1166"/>
    <s v="Октябрьский"/>
    <n v="39105.413099999998"/>
    <n v="39105.413099999998"/>
    <n v="35170.666700000002"/>
  </r>
  <r>
    <x v="1167"/>
    <s v="Октябрьский"/>
    <n v="39105.413099999998"/>
    <n v="39105.413099999998"/>
    <n v="35170.666700000002"/>
  </r>
  <r>
    <x v="1168"/>
    <s v="Октябрьский"/>
    <n v="39105.413099999998"/>
    <n v="39105.413099999998"/>
    <n v="35170.666700000002"/>
  </r>
  <r>
    <x v="1169"/>
    <s v="Октябрьский"/>
    <n v="39105.413099999998"/>
    <n v="39105.413099999998"/>
    <n v="35170.666700000002"/>
  </r>
  <r>
    <x v="1170"/>
    <s v="Октябрьский"/>
    <n v="39105.413099999998"/>
    <n v="39105.413099999998"/>
    <n v="35170.666700000002"/>
  </r>
  <r>
    <x v="1171"/>
    <s v="Октябрьский"/>
    <n v="39105.413099999998"/>
    <n v="39105.413099999998"/>
    <n v="35170.666700000002"/>
  </r>
  <r>
    <x v="1172"/>
    <s v="Октябрьский"/>
    <n v="39105.413099999998"/>
    <n v="39105.413099999998"/>
    <n v="35170.666700000002"/>
  </r>
  <r>
    <x v="1173"/>
    <s v="Октябрьский"/>
    <n v="39105.413099999998"/>
    <n v="39105.413099999998"/>
    <n v="35170.666700000002"/>
  </r>
  <r>
    <x v="1174"/>
    <s v="Южный"/>
    <n v="37400.280599999998"/>
    <n v="37400.280599999998"/>
    <n v="33637.106500000002"/>
  </r>
  <r>
    <x v="1175"/>
    <s v="Южный"/>
    <n v="37400.280599999998"/>
    <n v="37400.280599999998"/>
    <n v="33637.106500000002"/>
  </r>
  <r>
    <x v="1176"/>
    <s v="Южный"/>
    <n v="37400.280599999998"/>
    <n v="37400.280599999998"/>
    <n v="33637.106500000002"/>
  </r>
  <r>
    <x v="1177"/>
    <s v="Ст.Каменск-Хозспособ"/>
    <n v="28855.326499999999"/>
    <n v="28855.326499999999"/>
    <n v="25951.933700000001"/>
  </r>
  <r>
    <x v="1178"/>
    <s v="МОНАСТЫРКА"/>
    <n v="25238.569899999999"/>
    <n v="25238.569899999999"/>
    <n v="24735.775000000001"/>
  </r>
  <r>
    <x v="1179"/>
    <s v="МОНАСТЫРКА"/>
    <n v="25238.569899999999"/>
    <n v="25238.569899999999"/>
    <n v="24735.775000000001"/>
  </r>
  <r>
    <x v="1180"/>
    <s v="Ст.Каменск-Хозспособ"/>
    <n v="28855.326499999999"/>
    <n v="28855.326499999999"/>
    <n v="25951.933700000001"/>
  </r>
  <r>
    <x v="1181"/>
    <s v="Северный"/>
    <n v="29151.309799999999"/>
    <n v="29151.309799999999"/>
    <n v="26218.127700000001"/>
  </r>
  <r>
    <x v="1182"/>
    <s v="Северный"/>
    <n v="29151.309799999999"/>
    <n v="29151.309799999999"/>
    <n v="26218.127700000001"/>
  </r>
  <r>
    <x v="1183"/>
    <s v="Северный"/>
    <n v="29151.309799999999"/>
    <n v="29151.309799999999"/>
    <n v="26218.127700000001"/>
  </r>
  <r>
    <x v="1184"/>
    <s v="Северный"/>
    <n v="29151.309799999999"/>
    <n v="29151.309799999999"/>
    <n v="26218.127700000001"/>
  </r>
  <r>
    <x v="1185"/>
    <s v="Северный"/>
    <n v="29151.309799999999"/>
    <n v="29151.309799999999"/>
    <n v="26218.127700000001"/>
  </r>
  <r>
    <x v="1186"/>
    <s v="Северный"/>
    <n v="29151.309799999999"/>
    <n v="29151.309799999999"/>
    <n v="26218.127700000001"/>
  </r>
  <r>
    <x v="1187"/>
    <s v="Северный"/>
    <n v="29151.309799999999"/>
    <n v="29151.309799999999"/>
    <n v="26218.127700000001"/>
  </r>
  <r>
    <x v="1188"/>
    <s v="Ст.Каменск-Хозспособ"/>
    <n v="28855.326499999999"/>
    <n v="28855.326499999999"/>
    <n v="25951.933700000001"/>
  </r>
  <r>
    <x v="1189"/>
    <s v="УАЗ"/>
    <n v="29199.565200000001"/>
    <n v="29199.565200000001"/>
    <n v="26261.5317"/>
  </r>
  <r>
    <x v="1190"/>
    <s v="УАЗ"/>
    <n v="29199.565200000001"/>
    <n v="29199.565200000001"/>
    <n v="26261.5317"/>
  </r>
  <r>
    <x v="1191"/>
    <s v="УАЗ"/>
    <n v="29199.565200000001"/>
    <n v="29199.565200000001"/>
    <n v="26261.5317"/>
  </r>
  <r>
    <x v="1192"/>
    <s v="УАЗ"/>
    <n v="29199.565200000001"/>
    <n v="29199.565200000001"/>
    <n v="26261.5317"/>
  </r>
  <r>
    <x v="1193"/>
    <s v="УАЗ"/>
    <n v="29199.565200000001"/>
    <n v="29199.565200000001"/>
    <n v="26261.5317"/>
  </r>
  <r>
    <x v="1194"/>
    <s v="УАЗ"/>
    <n v="29199.565200000001"/>
    <n v="29199.565200000001"/>
    <n v="26261.5317"/>
  </r>
  <r>
    <x v="1195"/>
    <s v="УАЗ"/>
    <n v="29199.565200000001"/>
    <n v="29199.565200000001"/>
    <n v="26261.5317"/>
  </r>
  <r>
    <x v="1196"/>
    <s v="УАЗ"/>
    <n v="29199.565200000001"/>
    <n v="29199.565200000001"/>
    <n v="26261.5317"/>
  </r>
  <r>
    <x v="1197"/>
    <s v="УАЗ"/>
    <n v="29199.565200000001"/>
    <n v="29199.565200000001"/>
    <n v="26261.5317"/>
  </r>
  <r>
    <x v="1198"/>
    <s v="УАЗ"/>
    <n v="29199.565200000001"/>
    <n v="29199.565200000001"/>
    <n v="26261.5317"/>
  </r>
  <r>
    <x v="1199"/>
    <s v="УАЗ"/>
    <n v="29199.565200000001"/>
    <n v="29199.565200000001"/>
    <n v="26261.5317"/>
  </r>
  <r>
    <x v="1200"/>
    <s v="УАЗ"/>
    <n v="29199.565200000001"/>
    <n v="29199.565200000001"/>
    <n v="26261.5317"/>
  </r>
  <r>
    <x v="1201"/>
    <s v="УАЗ"/>
    <n v="29199.565200000001"/>
    <n v="29199.565200000001"/>
    <n v="26261.5317"/>
  </r>
  <r>
    <x v="1202"/>
    <s v="УАЗ"/>
    <n v="29199.565200000001"/>
    <n v="29199.565200000001"/>
    <n v="26261.5317"/>
  </r>
  <r>
    <x v="1203"/>
    <s v="УАЗ"/>
    <n v="29199.565200000001"/>
    <n v="29199.565200000001"/>
    <n v="26261.5317"/>
  </r>
  <r>
    <x v="1204"/>
    <s v="УАЗ"/>
    <n v="29199.565200000001"/>
    <n v="29199.565200000001"/>
    <n v="26261.5317"/>
  </r>
  <r>
    <x v="1205"/>
    <s v="УАЗ"/>
    <n v="29199.565200000001"/>
    <n v="29199.565200000001"/>
    <n v="26261.5317"/>
  </r>
  <r>
    <x v="1206"/>
    <s v="УАЗ"/>
    <n v="29199.565200000001"/>
    <n v="29199.565200000001"/>
    <n v="26261.5317"/>
  </r>
  <r>
    <x v="1207"/>
    <s v="УАЗ"/>
    <n v="29199.565200000001"/>
    <n v="29199.565200000001"/>
    <n v="26261.5317"/>
  </r>
  <r>
    <x v="1208"/>
    <s v="УАЗ"/>
    <n v="29199.565200000001"/>
    <n v="29199.565200000001"/>
    <n v="26261.5317"/>
  </r>
  <r>
    <x v="1209"/>
    <s v="УАЗ"/>
    <n v="29199.565200000001"/>
    <n v="29199.565200000001"/>
    <n v="26261.5317"/>
  </r>
  <r>
    <x v="1210"/>
    <s v="УАЗ-II"/>
    <n v="35756.285400000001"/>
    <n v="35756.285400000001"/>
    <n v="32158.5213"/>
  </r>
  <r>
    <x v="1211"/>
    <s v="УАЗ-II"/>
    <n v="35756.285400000001"/>
    <n v="35756.285400000001"/>
    <n v="32158.5213"/>
  </r>
  <r>
    <x v="1212"/>
    <s v="УАЗ-II"/>
    <n v="35756.285400000001"/>
    <n v="35756.285400000001"/>
    <n v="32158.5213"/>
  </r>
  <r>
    <x v="1213"/>
    <s v="УАЗ-II"/>
    <n v="35756.285400000001"/>
    <n v="35756.285400000001"/>
    <n v="32158.5213"/>
  </r>
  <r>
    <x v="1214"/>
    <s v="УАЗ-II"/>
    <n v="35756.285400000001"/>
    <n v="35756.285400000001"/>
    <n v="32158.5213"/>
  </r>
  <r>
    <x v="1215"/>
    <s v="УАЗ-II"/>
    <n v="35756.285400000001"/>
    <n v="35756.285400000001"/>
    <n v="32158.5213"/>
  </r>
  <r>
    <x v="1216"/>
    <s v="УАЗ-II"/>
    <n v="35756.285400000001"/>
    <n v="35756.285400000001"/>
    <n v="32158.5213"/>
  </r>
  <r>
    <x v="1217"/>
    <s v="УАЗ-II"/>
    <n v="35756.285400000001"/>
    <n v="35756.285400000001"/>
    <n v="32158.5213"/>
  </r>
  <r>
    <x v="1218"/>
    <s v="УАЗ-II"/>
    <n v="35756.285400000001"/>
    <n v="35756.285400000001"/>
    <n v="32158.5213"/>
  </r>
  <r>
    <x v="1219"/>
    <s v="УАЗ-II"/>
    <n v="35756.285400000001"/>
    <n v="35756.285400000001"/>
    <n v="32158.5213"/>
  </r>
  <r>
    <x v="1220"/>
    <s v="УАЗ-II"/>
    <n v="35756.285400000001"/>
    <n v="35756.285400000001"/>
    <n v="32158.5213"/>
  </r>
  <r>
    <x v="1221"/>
    <s v="УАЗ-II"/>
    <n v="35756.285400000001"/>
    <n v="35756.285400000001"/>
    <n v="32158.5213"/>
  </r>
  <r>
    <x v="1222"/>
    <s v="УАЗ-II"/>
    <n v="35756.285400000001"/>
    <n v="35756.285400000001"/>
    <n v="32158.5213"/>
  </r>
  <r>
    <x v="1223"/>
    <s v="УАЗ-II"/>
    <n v="35756.285400000001"/>
    <n v="35756.285400000001"/>
    <n v="32158.5213"/>
  </r>
  <r>
    <x v="1224"/>
    <s v="УАЗ-II"/>
    <n v="35756.285400000001"/>
    <n v="35756.285400000001"/>
    <n v="32158.5213"/>
  </r>
  <r>
    <x v="1225"/>
    <s v="УАЗ-II"/>
    <n v="35756.285400000001"/>
    <n v="35756.285400000001"/>
    <n v="32158.5213"/>
  </r>
  <r>
    <x v="1226"/>
    <s v="УАЗ-II"/>
    <n v="35756.285400000001"/>
    <n v="35756.285400000001"/>
    <n v="32158.5213"/>
  </r>
  <r>
    <x v="1227"/>
    <s v="УАЗ-II"/>
    <n v="35756.285400000001"/>
    <n v="35756.285400000001"/>
    <n v="32158.5213"/>
  </r>
  <r>
    <x v="1228"/>
    <s v="УАЗ-II"/>
    <n v="35756.285400000001"/>
    <n v="35756.285400000001"/>
    <n v="32158.5213"/>
  </r>
  <r>
    <x v="1229"/>
    <s v="УАЗ-II"/>
    <n v="35756.285400000001"/>
    <n v="35756.285400000001"/>
    <n v="32158.5213"/>
  </r>
  <r>
    <x v="1230"/>
    <s v="УАЗ-II"/>
    <n v="35756.285400000001"/>
    <n v="35756.285400000001"/>
    <n v="32158.5213"/>
  </r>
  <r>
    <x v="1231"/>
    <s v="УАЗ-II"/>
    <n v="35756.285400000001"/>
    <n v="35756.285400000001"/>
    <n v="32158.5213"/>
  </r>
  <r>
    <x v="1232"/>
    <s v="УАЗ-II"/>
    <n v="35756.285400000001"/>
    <n v="35756.285400000001"/>
    <n v="32158.5213"/>
  </r>
  <r>
    <x v="1233"/>
    <s v="УАЗ-III - 49 кв."/>
    <n v="35563.243300000002"/>
    <n v="35563.243300000002"/>
    <n v="31984.905299999999"/>
  </r>
  <r>
    <x v="1234"/>
    <s v="УАЗ-III - 49 кв."/>
    <n v="35563.243300000002"/>
    <n v="35563.243300000002"/>
    <n v="31984.905299999999"/>
  </r>
  <r>
    <x v="1235"/>
    <s v="УАЗ-III - 49 кв."/>
    <n v="35563.243300000002"/>
    <n v="35563.243300000002"/>
    <n v="31984.905299999999"/>
  </r>
  <r>
    <x v="1236"/>
    <s v="УАЗ-III - 49 кв."/>
    <n v="35563.243300000002"/>
    <n v="35563.243300000002"/>
    <n v="31984.905299999999"/>
  </r>
  <r>
    <x v="1237"/>
    <s v="УАЗ-III - 49 кв."/>
    <n v="35563.243300000002"/>
    <n v="35563.243300000002"/>
    <n v="31984.905299999999"/>
  </r>
  <r>
    <x v="1238"/>
    <s v="УАЗ-III - 49 кв."/>
    <n v="35563.243300000002"/>
    <n v="35563.243300000002"/>
    <n v="31984.905299999999"/>
  </r>
  <r>
    <x v="1239"/>
    <s v="УАЗ-III - 49 кв."/>
    <n v="35563.243300000002"/>
    <n v="35563.243300000002"/>
    <n v="31984.905299999999"/>
  </r>
  <r>
    <x v="1240"/>
    <s v="УАЗ-III - 49 кв."/>
    <n v="35563.243300000002"/>
    <n v="35563.243300000002"/>
    <n v="31984.905299999999"/>
  </r>
  <r>
    <x v="1241"/>
    <s v="УАЗ-III - 49 кв."/>
    <n v="35563.243300000002"/>
    <n v="35563.243300000002"/>
    <n v="31984.905299999999"/>
  </r>
  <r>
    <x v="1242"/>
    <s v="УАЗ-III - 49 кв."/>
    <n v="35563.243300000002"/>
    <n v="35563.243300000002"/>
    <n v="31984.905299999999"/>
  </r>
  <r>
    <x v="1243"/>
    <s v="УАЗ-III - 49 кв."/>
    <n v="35563.243300000002"/>
    <n v="35563.243300000002"/>
    <n v="31984.905299999999"/>
  </r>
  <r>
    <x v="1244"/>
    <s v="УАЗ-III - 49 кв."/>
    <n v="35563.243300000002"/>
    <n v="35563.243300000002"/>
    <n v="31984.905299999999"/>
  </r>
  <r>
    <x v="1245"/>
    <s v="УАЗ-III - 49 кв."/>
    <n v="35563.243300000002"/>
    <n v="35563.243300000002"/>
    <n v="31984.905299999999"/>
  </r>
  <r>
    <x v="1246"/>
    <s v="УАЗ-III - 49 кв."/>
    <n v="35563.243300000002"/>
    <n v="35563.243300000002"/>
    <n v="31984.905299999999"/>
  </r>
  <r>
    <x v="1247"/>
    <s v="Ленин-Олимп"/>
    <n v="32172.2909"/>
    <n v="32172.2909"/>
    <n v="28935.146499999999"/>
  </r>
  <r>
    <x v="1248"/>
    <s v="Ленин-Олимп"/>
    <n v="32172.2909"/>
    <n v="32172.2909"/>
    <n v="28935.146499999999"/>
  </r>
  <r>
    <x v="1249"/>
    <s v="Ленин-Олимп"/>
    <n v="32172.2909"/>
    <n v="32172.2909"/>
    <n v="28935.146499999999"/>
  </r>
  <r>
    <x v="1250"/>
    <s v="Ленин-Олимп"/>
    <n v="32172.2909"/>
    <n v="32172.2909"/>
    <n v="28935.146499999999"/>
  </r>
  <r>
    <x v="1251"/>
    <s v="Ленин-Олимп"/>
    <n v="32172.2909"/>
    <n v="32172.2909"/>
    <n v="28935.146499999999"/>
  </r>
  <r>
    <x v="1252"/>
    <s v="Ленин-Олимп"/>
    <n v="32172.2909"/>
    <n v="32172.2909"/>
    <n v="28935.146499999999"/>
  </r>
  <r>
    <x v="1253"/>
    <s v="Ленин-Олимп"/>
    <n v="32172.2909"/>
    <n v="32172.2909"/>
    <n v="28935.146499999999"/>
  </r>
  <r>
    <x v="1254"/>
    <s v="Ленин-Олимп"/>
    <n v="32172.2909"/>
    <n v="32172.2909"/>
    <n v="28935.146499999999"/>
  </r>
  <r>
    <x v="1255"/>
    <s v="Ленин-Олимп"/>
    <n v="32172.2909"/>
    <n v="32172.2909"/>
    <n v="28935.146499999999"/>
  </r>
  <r>
    <x v="1256"/>
    <s v="Ленин-Олимп"/>
    <n v="32172.2909"/>
    <n v="32172.2909"/>
    <n v="28935.146499999999"/>
  </r>
  <r>
    <x v="1257"/>
    <s v="Ленин-Олимп"/>
    <n v="32172.2909"/>
    <n v="32172.2909"/>
    <n v="28935.146499999999"/>
  </r>
  <r>
    <x v="1258"/>
    <s v="Ленин-Олимп"/>
    <n v="32172.2909"/>
    <n v="32172.2909"/>
    <n v="28935.146499999999"/>
  </r>
  <r>
    <x v="1259"/>
    <s v="Ленин-Олимп"/>
    <n v="32172.2909"/>
    <n v="32172.2909"/>
    <n v="28935.146499999999"/>
  </r>
  <r>
    <x v="1260"/>
    <s v="Ленин-Олимп"/>
    <n v="32172.2909"/>
    <n v="32172.2909"/>
    <n v="28935.146499999999"/>
  </r>
  <r>
    <x v="1261"/>
    <s v="Ленин-Олимп"/>
    <n v="32172.2909"/>
    <n v="32172.2909"/>
    <n v="28935.146499999999"/>
  </r>
  <r>
    <x v="1262"/>
    <s v="Ленин-Олимп"/>
    <n v="32172.2909"/>
    <n v="32172.2909"/>
    <n v="28935.146499999999"/>
  </r>
  <r>
    <x v="1263"/>
    <s v="Ленин-Олимп"/>
    <n v="32172.2909"/>
    <n v="32172.2909"/>
    <n v="28935.146499999999"/>
  </r>
  <r>
    <x v="1264"/>
    <s v="Ленин-Олимп"/>
    <n v="32172.2909"/>
    <n v="32172.2909"/>
    <n v="28935.146499999999"/>
  </r>
  <r>
    <x v="1265"/>
    <s v="Ленин-Олимп"/>
    <n v="32172.2909"/>
    <n v="32172.2909"/>
    <n v="28935.146499999999"/>
  </r>
  <r>
    <x v="1266"/>
    <s v="Ленин-Олимп"/>
    <n v="32172.2909"/>
    <n v="32172.2909"/>
    <n v="28935.146499999999"/>
  </r>
  <r>
    <x v="1267"/>
    <s v="Трубников"/>
    <n v="38278.589899999999"/>
    <n v="38278.589899999999"/>
    <n v="34427.0285"/>
  </r>
  <r>
    <x v="1268"/>
    <s v="Трубников"/>
    <n v="38278.589899999999"/>
    <n v="38278.589899999999"/>
    <n v="34427.0285"/>
  </r>
  <r>
    <x v="1269"/>
    <s v="Трубников"/>
    <n v="38278.589899999999"/>
    <n v="38278.589899999999"/>
    <n v="34427.0285"/>
  </r>
  <r>
    <x v="1270"/>
    <s v="Трубников"/>
    <n v="38278.589899999999"/>
    <n v="38278.589899999999"/>
    <n v="34427.0285"/>
  </r>
  <r>
    <x v="1271"/>
    <s v="Трубников"/>
    <n v="38278.589899999999"/>
    <n v="38278.589899999999"/>
    <n v="34427.0285"/>
  </r>
  <r>
    <x v="1272"/>
    <s v="Трубников"/>
    <n v="38278.589899999999"/>
    <n v="38278.589899999999"/>
    <n v="34427.0285"/>
  </r>
  <r>
    <x v="1273"/>
    <s v="Трубников"/>
    <n v="38278.589899999999"/>
    <n v="38278.589899999999"/>
    <n v="34427.0285"/>
  </r>
  <r>
    <x v="1274"/>
    <s v="Ст.Каменск-Хозспособ"/>
    <n v="28855.326499999999"/>
    <n v="28855.326499999999"/>
    <n v="25951.933700000001"/>
  </r>
  <r>
    <x v="1275"/>
    <s v="Ст.Каменск-Хозспособ"/>
    <n v="28855.326499999999"/>
    <n v="28855.326499999999"/>
    <n v="25951.933700000001"/>
  </r>
  <r>
    <x v="1276"/>
    <s v="Ст.Каменск-Хозспособ"/>
    <n v="28855.326499999999"/>
    <n v="28855.326499999999"/>
    <n v="25951.933700000001"/>
  </r>
  <r>
    <x v="1277"/>
    <s v="Ст.Каменск-Хозспособ"/>
    <n v="28855.326499999999"/>
    <n v="28855.326499999999"/>
    <n v="25951.933700000001"/>
  </r>
  <r>
    <x v="1278"/>
    <s v="Ст.Каменск-Хозспособ"/>
    <n v="28855.326499999999"/>
    <n v="28855.326499999999"/>
    <n v="25951.933700000001"/>
  </r>
  <r>
    <x v="1279"/>
    <s v="Ст.Каменск-Хозспособ"/>
    <n v="28855.326499999999"/>
    <n v="28855.326499999999"/>
    <n v="25951.933700000001"/>
  </r>
  <r>
    <x v="1280"/>
    <s v="Ст.Каменск-Хозспособ"/>
    <n v="28855.326499999999"/>
    <n v="28855.326499999999"/>
    <n v="25951.933700000001"/>
  </r>
  <r>
    <x v="1281"/>
    <s v="Ст.Каменск-Хозспособ"/>
    <n v="28855.326499999999"/>
    <n v="28855.326499999999"/>
    <n v="25951.933700000001"/>
  </r>
  <r>
    <x v="1282"/>
    <s v="Ст.Каменск-Хозспособ"/>
    <n v="28855.326499999999"/>
    <n v="28855.326499999999"/>
    <n v="25951.933700000001"/>
  </r>
  <r>
    <x v="1283"/>
    <s v="Ст.Каменск-Хозспособ"/>
    <n v="28855.326499999999"/>
    <n v="28855.326499999999"/>
    <n v="25951.933700000001"/>
  </r>
  <r>
    <x v="1284"/>
    <s v="Ст.Каменск-Хозспособ"/>
    <n v="28855.326499999999"/>
    <n v="28855.326499999999"/>
    <n v="25951.933700000001"/>
  </r>
  <r>
    <x v="1285"/>
    <s v="Ст.Каменск-Хозспособ"/>
    <n v="28855.326499999999"/>
    <n v="28855.326499999999"/>
    <n v="25951.933700000001"/>
  </r>
  <r>
    <x v="1286"/>
    <s v="Ст.Каменск-Хозспособ"/>
    <n v="28855.326499999999"/>
    <n v="28855.326499999999"/>
    <n v="25951.933700000001"/>
  </r>
  <r>
    <x v="1287"/>
    <s v="Ст.Каменск-Хозспособ"/>
    <n v="28855.326499999999"/>
    <n v="28855.326499999999"/>
    <n v="25951.933700000001"/>
  </r>
  <r>
    <x v="1288"/>
    <s v="Ст.Каменск-Хозспособ"/>
    <n v="28855.326499999999"/>
    <n v="28855.326499999999"/>
    <n v="25951.933700000001"/>
  </r>
  <r>
    <x v="1289"/>
    <s v="Ст.Каменск-Хозспособ"/>
    <n v="28855.326499999999"/>
    <n v="28855.326499999999"/>
    <n v="25951.933700000001"/>
  </r>
  <r>
    <x v="1290"/>
    <s v="Ст.Каменск-Хозспособ"/>
    <n v="28855.326499999999"/>
    <n v="28855.326499999999"/>
    <n v="25951.933700000001"/>
  </r>
  <r>
    <x v="1291"/>
    <s v="Ст.Каменск-Хозспособ"/>
    <n v="28855.326499999999"/>
    <n v="28855.326499999999"/>
    <n v="25951.933700000001"/>
  </r>
  <r>
    <x v="1292"/>
    <s v="Чкаловский"/>
    <n v="28848.8855"/>
    <n v="28848.8855"/>
    <n v="25946.143"/>
  </r>
  <r>
    <x v="1293"/>
    <s v="Чкаловский"/>
    <n v="28848.8855"/>
    <n v="28848.8855"/>
    <n v="25946.143"/>
  </r>
  <r>
    <x v="1294"/>
    <s v="Чкаловский"/>
    <n v="28848.8855"/>
    <n v="28848.8855"/>
    <n v="25946.143"/>
  </r>
  <r>
    <x v="1295"/>
    <s v="Чкаловский"/>
    <n v="28848.8855"/>
    <n v="28848.8855"/>
    <n v="25946.143"/>
  </r>
  <r>
    <x v="1296"/>
    <s v="Чкаловский"/>
    <n v="28848.8855"/>
    <n v="28848.8855"/>
    <n v="25946.143"/>
  </r>
  <r>
    <x v="1297"/>
    <s v="Чкаловский"/>
    <n v="28848.8855"/>
    <n v="28848.8855"/>
    <n v="25946.143"/>
  </r>
  <r>
    <x v="1298"/>
    <s v="Чкаловский"/>
    <n v="28848.8855"/>
    <n v="28848.8855"/>
    <n v="25946.143"/>
  </r>
  <r>
    <x v="1299"/>
    <s v="Чкаловский"/>
    <n v="28848.8855"/>
    <n v="28848.8855"/>
    <n v="25946.143"/>
  </r>
  <r>
    <x v="1300"/>
    <s v="Чкаловский"/>
    <n v="28848.8855"/>
    <n v="28848.8855"/>
    <n v="25946.143"/>
  </r>
  <r>
    <x v="1301"/>
    <s v="Чкаловский"/>
    <n v="28848.8855"/>
    <n v="28848.8855"/>
    <n v="25946.143"/>
  </r>
  <r>
    <x v="1302"/>
    <s v="Чкаловский"/>
    <n v="28848.8855"/>
    <n v="28848.8855"/>
    <n v="25946.143"/>
  </r>
  <r>
    <x v="1303"/>
    <s v="Чкаловский"/>
    <n v="28848.8855"/>
    <n v="28848.8855"/>
    <n v="25946.143"/>
  </r>
  <r>
    <x v="1304"/>
    <s v="Чкаловский"/>
    <n v="28848.8855"/>
    <n v="28848.8855"/>
    <n v="25946.143"/>
  </r>
  <r>
    <x v="1305"/>
    <s v="Чкаловский"/>
    <n v="28848.8855"/>
    <n v="28848.8855"/>
    <n v="25946.143"/>
  </r>
  <r>
    <x v="1306"/>
    <s v="Чкаловский"/>
    <n v="28848.8855"/>
    <n v="28848.8855"/>
    <n v="25946.143"/>
  </r>
  <r>
    <x v="1307"/>
    <s v="Чкаловский"/>
    <n v="28848.8855"/>
    <n v="28848.8855"/>
    <n v="25946.143"/>
  </r>
  <r>
    <x v="1308"/>
    <s v="Чкаловский"/>
    <n v="28848.8855"/>
    <n v="28848.8855"/>
    <n v="25946.143"/>
  </r>
  <r>
    <x v="1309"/>
    <s v="Чкаловский"/>
    <n v="28848.8855"/>
    <n v="28848.8855"/>
    <n v="25946.143"/>
  </r>
  <r>
    <x v="1310"/>
    <s v="Чкаловский"/>
    <n v="28848.8855"/>
    <n v="28848.8855"/>
    <n v="25946.143"/>
  </r>
  <r>
    <x v="1311"/>
    <s v="Чкаловский"/>
    <n v="28848.8855"/>
    <n v="28848.8855"/>
    <n v="25946.143"/>
  </r>
  <r>
    <x v="1312"/>
    <s v="Чкаловский"/>
    <n v="28848.8855"/>
    <n v="28848.8855"/>
    <n v="25946.143"/>
  </r>
  <r>
    <x v="1313"/>
    <s v="Чкаловский"/>
    <n v="28848.8855"/>
    <n v="28848.8855"/>
    <n v="25946.143"/>
  </r>
  <r>
    <x v="1314"/>
    <s v="Чкаловский"/>
    <n v="28848.8855"/>
    <n v="28848.8855"/>
    <n v="25946.143"/>
  </r>
  <r>
    <x v="1315"/>
    <s v="Чкаловский"/>
    <n v="28848.8855"/>
    <n v="28848.8855"/>
    <n v="25946.143"/>
  </r>
  <r>
    <x v="1316"/>
    <s v="Чкаловский"/>
    <n v="28848.8855"/>
    <n v="28848.8855"/>
    <n v="25946.143"/>
  </r>
  <r>
    <x v="1317"/>
    <s v="Ленин-Олимп"/>
    <n v="32172.2909"/>
    <n v="32172.2909"/>
    <n v="28935.146499999999"/>
  </r>
  <r>
    <x v="1318"/>
    <s v="Ст.Каменск-Хозспособ"/>
    <n v="28855.326499999999"/>
    <n v="28855.326499999999"/>
    <n v="25951.933700000001"/>
  </r>
  <r>
    <x v="1319"/>
    <s v="Ст.Каменск-Хозспособ"/>
    <n v="28855.326499999999"/>
    <n v="28855.326499999999"/>
    <n v="25951.933700000001"/>
  </r>
  <r>
    <x v="1320"/>
    <s v="Ст.Каменск-Хозспособ"/>
    <n v="28855.326499999999"/>
    <n v="28855.326499999999"/>
    <n v="25951.933700000001"/>
  </r>
  <r>
    <x v="1321"/>
    <s v="Ст.Каменск-Хозспособ"/>
    <n v="28855.326499999999"/>
    <n v="28855.326499999999"/>
    <n v="25951.933700000001"/>
  </r>
  <r>
    <x v="1322"/>
    <s v="Ст.Каменск-Хозспособ"/>
    <n v="28855.326499999999"/>
    <n v="28855.326499999999"/>
    <n v="25951.933700000001"/>
  </r>
  <r>
    <x v="1323"/>
    <s v="Ст.Каменск-Хозспособ"/>
    <n v="28855.326499999999"/>
    <n v="28855.326499999999"/>
    <n v="25951.933700000001"/>
  </r>
  <r>
    <x v="1324"/>
    <s v="Ст.Каменск-Хозспособ"/>
    <n v="28855.326499999999"/>
    <n v="28855.326499999999"/>
    <n v="25951.933700000001"/>
  </r>
  <r>
    <x v="1325"/>
    <s v="Ст.Каменск-Хозспособ"/>
    <n v="28855.326499999999"/>
    <n v="28855.326499999999"/>
    <n v="25951.933700000001"/>
  </r>
  <r>
    <x v="1326"/>
    <s v="Ст.Каменск-Хозспособ"/>
    <n v="28855.326499999999"/>
    <n v="28855.326499999999"/>
    <n v="25951.933700000001"/>
  </r>
  <r>
    <x v="1327"/>
    <s v="Ст.Каменск-Хозспособ"/>
    <n v="28855.326499999999"/>
    <n v="28855.326499999999"/>
    <n v="25951.933700000001"/>
  </r>
  <r>
    <x v="1328"/>
    <s v="Ст.Каменск-Хозспособ"/>
    <n v="28855.326499999999"/>
    <n v="28855.326499999999"/>
    <n v="25951.933700000001"/>
  </r>
  <r>
    <x v="1329"/>
    <s v="Ст.Каменск-Хозспособ"/>
    <n v="28855.326499999999"/>
    <n v="28855.326499999999"/>
    <n v="25951.933700000001"/>
  </r>
  <r>
    <x v="1330"/>
    <s v="Ст.Каменск-Хозспособ"/>
    <n v="28855.326499999999"/>
    <n v="28855.326499999999"/>
    <n v="25951.933700000001"/>
  </r>
  <r>
    <x v="1331"/>
    <s v="Ст.Каменск-Хозспособ"/>
    <n v="28855.326499999999"/>
    <n v="28855.326499999999"/>
    <n v="25951.933700000001"/>
  </r>
  <r>
    <x v="1332"/>
    <s v="Ст.Каменск-Хозспособ"/>
    <n v="28855.326499999999"/>
    <n v="28855.326499999999"/>
    <n v="25951.933700000001"/>
  </r>
  <r>
    <x v="1333"/>
    <s v="Ст.Каменск-Хозспособ"/>
    <n v="28855.326499999999"/>
    <n v="28855.326499999999"/>
    <n v="25951.933700000001"/>
  </r>
  <r>
    <x v="1334"/>
    <s v="Ст.Каменск-Хозспособ"/>
    <n v="28855.326499999999"/>
    <n v="28855.326499999999"/>
    <n v="25951.933700000001"/>
  </r>
  <r>
    <x v="1335"/>
    <s v="Ст.Каменск-Хозспособ"/>
    <n v="28855.326499999999"/>
    <n v="28855.326499999999"/>
    <n v="25951.933700000001"/>
  </r>
  <r>
    <x v="1336"/>
    <s v="Ст.Каменск-Хозспособ"/>
    <n v="28855.326499999999"/>
    <n v="28855.326499999999"/>
    <n v="25951.933700000001"/>
  </r>
  <r>
    <x v="1337"/>
    <s v="Ст.Каменск-Хозспособ"/>
    <n v="28855.326499999999"/>
    <n v="28855.326499999999"/>
    <n v="25951.933700000001"/>
  </r>
  <r>
    <x v="1338"/>
    <s v="Ст.Каменск-Хозспособ"/>
    <n v="28855.326499999999"/>
    <n v="28855.326499999999"/>
    <n v="25951.933700000001"/>
  </r>
  <r>
    <x v="1339"/>
    <s v="Ст.Каменск-Хозспособ"/>
    <n v="28855.326499999999"/>
    <n v="28855.326499999999"/>
    <n v="25951.933700000001"/>
  </r>
  <r>
    <x v="1340"/>
    <s v="Ст.Каменск-Хозспособ"/>
    <n v="28855.326499999999"/>
    <n v="28855.326499999999"/>
    <n v="25951.933700000001"/>
  </r>
  <r>
    <x v="1341"/>
    <s v="Ст.Каменск-Хозспособ"/>
    <n v="28855.326499999999"/>
    <n v="28855.326499999999"/>
    <n v="25951.933700000001"/>
  </r>
  <r>
    <x v="1342"/>
    <s v="Ст.Каменск-Хозспособ"/>
    <n v="28855.326499999999"/>
    <n v="28855.326499999999"/>
    <n v="25951.933700000001"/>
  </r>
  <r>
    <x v="1343"/>
    <s v="Ст.Каменск-Хозспособ"/>
    <n v="28855.326499999999"/>
    <n v="28855.326499999999"/>
    <n v="25951.933700000001"/>
  </r>
  <r>
    <x v="1344"/>
    <s v="Ст.Каменск-Хозспособ"/>
    <n v="28855.326499999999"/>
    <n v="28855.326499999999"/>
    <n v="25951.933700000001"/>
  </r>
  <r>
    <x v="1345"/>
    <s v="Ст.Каменск-Хозспособ"/>
    <n v="28855.326499999999"/>
    <n v="28855.326499999999"/>
    <n v="25951.933700000001"/>
  </r>
  <r>
    <x v="1346"/>
    <s v="Ст.Каменск-Хозспособ"/>
    <n v="28855.326499999999"/>
    <n v="28855.326499999999"/>
    <n v="25951.933700000001"/>
  </r>
  <r>
    <x v="1347"/>
    <s v="Ст.Каменск-Хозспособ"/>
    <n v="28855.326499999999"/>
    <n v="28855.326499999999"/>
    <n v="25951.933700000001"/>
  </r>
  <r>
    <x v="1348"/>
    <s v="Ст.Каменск-Хозспособ"/>
    <n v="28855.326499999999"/>
    <n v="28855.326499999999"/>
    <n v="25951.933700000001"/>
  </r>
  <r>
    <x v="1349"/>
    <s v="Ст.Каменск-Хозспособ"/>
    <n v="28855.326499999999"/>
    <n v="28855.326499999999"/>
    <n v="25951.933700000001"/>
  </r>
  <r>
    <x v="1350"/>
    <s v="Ст.Каменск-Хозспособ"/>
    <n v="28855.326499999999"/>
    <n v="28855.326499999999"/>
    <n v="25951.933700000001"/>
  </r>
  <r>
    <x v="1351"/>
    <s v="Алт_Гальян_М-Кушва"/>
    <n v="40018.9617"/>
    <n v="40018.9617"/>
    <n v="35129.2961"/>
  </r>
  <r>
    <x v="1352"/>
    <s v="Алт_Гальян_М-Кушва"/>
    <n v="40018.9617"/>
    <n v="40018.9617"/>
    <n v="35129.2961"/>
  </r>
  <r>
    <x v="1353"/>
    <s v="Алт_Гальян_М-Кушва"/>
    <n v="40018.9617"/>
    <n v="40018.9617"/>
    <n v="35129.2961"/>
  </r>
  <r>
    <x v="1354"/>
    <s v="Алт_Гальян_М-Кушва"/>
    <n v="40018.9617"/>
    <n v="40018.9617"/>
    <n v="35129.2961"/>
  </r>
  <r>
    <x v="1355"/>
    <s v="Алт_Гальян_М-Кушва"/>
    <n v="40018.9617"/>
    <n v="40018.9617"/>
    <n v="35129.2961"/>
  </r>
  <r>
    <x v="1356"/>
    <s v="Алт_Гальян_М-Кушва"/>
    <n v="40018.9617"/>
    <n v="40018.9617"/>
    <n v="35129.2961"/>
  </r>
  <r>
    <x v="1357"/>
    <s v="Алт_Гальян_М-Кушва"/>
    <n v="40018.9617"/>
    <n v="40018.9617"/>
    <n v="35129.2961"/>
  </r>
  <r>
    <x v="1358"/>
    <s v="Алт_Гальян_М-Кушва"/>
    <n v="40018.9617"/>
    <n v="40018.9617"/>
    <n v="35129.2961"/>
  </r>
  <r>
    <x v="1359"/>
    <s v="Алт_Гальян_М-Кушва"/>
    <n v="40018.9617"/>
    <n v="40018.9617"/>
    <n v="35129.2961"/>
  </r>
  <r>
    <x v="1360"/>
    <s v="Алт_Гальян_М-Кушва"/>
    <n v="40018.9617"/>
    <n v="40018.9617"/>
    <n v="35129.2961"/>
  </r>
  <r>
    <x v="1361"/>
    <s v="Алт_Гальян_М-Кушва"/>
    <n v="40018.9617"/>
    <n v="40018.9617"/>
    <n v="35129.2961"/>
  </r>
  <r>
    <x v="1362"/>
    <s v="Алт_Гальян_М-Кушва"/>
    <n v="40018.9617"/>
    <n v="40018.9617"/>
    <n v="35129.2961"/>
  </r>
  <r>
    <x v="1363"/>
    <s v="Алт_Гальян_М-Кушва"/>
    <n v="40018.9617"/>
    <n v="40018.9617"/>
    <n v="35129.2961"/>
  </r>
  <r>
    <x v="1364"/>
    <s v="Алт_Гальян_М-Кушва"/>
    <n v="40018.9617"/>
    <n v="40018.9617"/>
    <n v="35129.2961"/>
  </r>
  <r>
    <x v="1365"/>
    <s v="Алт_Гальян_М-Кушва"/>
    <n v="40018.9617"/>
    <n v="40018.9617"/>
    <n v="35129.2961"/>
  </r>
  <r>
    <x v="1366"/>
    <s v="Алт_Гальян_М-Кушва"/>
    <n v="40018.9617"/>
    <n v="40018.9617"/>
    <n v="35129.2961"/>
  </r>
  <r>
    <x v="1367"/>
    <s v="Алт_Гальян_М-Кушва"/>
    <n v="40018.9617"/>
    <n v="40018.9617"/>
    <n v="35129.2961"/>
  </r>
  <r>
    <x v="1368"/>
    <s v="Алт_Гальян_М-Кушва"/>
    <n v="40018.9617"/>
    <n v="40018.9617"/>
    <n v="35129.2961"/>
  </r>
  <r>
    <x v="1369"/>
    <s v="Алт_Гальян_М-Кушва"/>
    <n v="40018.9617"/>
    <n v="40018.9617"/>
    <n v="35129.2961"/>
  </r>
  <r>
    <x v="1370"/>
    <s v="Алт_Гальян_М-Кушва"/>
    <n v="40018.9617"/>
    <n v="40018.9617"/>
    <n v="35129.2961"/>
  </r>
  <r>
    <x v="1371"/>
    <s v="Алт_Гальян_М-Кушва"/>
    <n v="40018.9617"/>
    <n v="40018.9617"/>
    <n v="35129.2961"/>
  </r>
  <r>
    <x v="1372"/>
    <s v="Алт_Гальян_М-Кушва"/>
    <n v="40018.9617"/>
    <n v="40018.9617"/>
    <n v="35129.2961"/>
  </r>
  <r>
    <x v="1373"/>
    <s v="Алт_Гальян_М-Кушва"/>
    <n v="40018.9617"/>
    <n v="40018.9617"/>
    <n v="35129.2961"/>
  </r>
  <r>
    <x v="1374"/>
    <s v="Алт_Гальян_М-Кушва"/>
    <n v="40018.9617"/>
    <n v="40018.9617"/>
    <n v="35129.2961"/>
  </r>
  <r>
    <x v="1375"/>
    <s v="Алт_Гальян_М-Кушва"/>
    <n v="40018.9617"/>
    <n v="40018.9617"/>
    <n v="35129.2961"/>
  </r>
  <r>
    <x v="1376"/>
    <s v="Алт_Гальян_М-Кушва"/>
    <n v="40018.9617"/>
    <n v="40018.9617"/>
    <n v="35129.2961"/>
  </r>
  <r>
    <x v="1377"/>
    <s v="Алт_Гальян_М-Кушва"/>
    <n v="40018.9617"/>
    <n v="40018.9617"/>
    <n v="35129.2961"/>
  </r>
  <r>
    <x v="1378"/>
    <s v="Алт_Гальян_М-Кушва"/>
    <n v="40018.9617"/>
    <n v="40018.9617"/>
    <n v="35129.2961"/>
  </r>
  <r>
    <x v="1379"/>
    <s v="Алт_Гальян_М-Кушва"/>
    <n v="40018.9617"/>
    <n v="40018.9617"/>
    <n v="35129.2961"/>
  </r>
  <r>
    <x v="1380"/>
    <s v="Алт_Гальян_М-Кушва"/>
    <n v="40018.9617"/>
    <n v="40018.9617"/>
    <n v="35129.2961"/>
  </r>
  <r>
    <x v="1381"/>
    <s v="Алт_Гальян_М-Кушва"/>
    <n v="40018.9617"/>
    <n v="40018.9617"/>
    <n v="35129.2961"/>
  </r>
  <r>
    <x v="1382"/>
    <s v="Алт_Гальян_М-Кушва"/>
    <n v="40018.9617"/>
    <n v="40018.9617"/>
    <n v="35129.2961"/>
  </r>
  <r>
    <x v="1383"/>
    <s v="Ваг_Стар_Пихтовы-г"/>
    <n v="40625.090199999999"/>
    <n v="40625.090199999999"/>
    <n v="35661.364300000001"/>
  </r>
  <r>
    <x v="1384"/>
    <s v="Ваг_Стар_Пихтовы-г"/>
    <n v="40625.090199999999"/>
    <n v="40625.090199999999"/>
    <n v="35661.364300000001"/>
  </r>
  <r>
    <x v="1385"/>
    <s v="Ваг_Стар_Пихтовы-г"/>
    <n v="40625.090199999999"/>
    <n v="40625.090199999999"/>
    <n v="35661.364300000001"/>
  </r>
  <r>
    <x v="1386"/>
    <s v="Ваг_Стар_Пихтовы-г"/>
    <n v="40625.090199999999"/>
    <n v="40625.090199999999"/>
    <n v="35661.364300000001"/>
  </r>
  <r>
    <x v="1387"/>
    <s v="Ваг_Стар_Пихтовы-г"/>
    <n v="40625.090199999999"/>
    <n v="40625.090199999999"/>
    <n v="35661.364300000001"/>
  </r>
  <r>
    <x v="1388"/>
    <s v="Ваг_Стар_Пихтовы-г"/>
    <n v="40625.090199999999"/>
    <n v="40625.090199999999"/>
    <n v="35661.364300000001"/>
  </r>
  <r>
    <x v="1389"/>
    <s v="Ваг_Стар_Пихтовы-г"/>
    <n v="40625.090199999999"/>
    <n v="40625.090199999999"/>
    <n v="35661.364300000001"/>
  </r>
  <r>
    <x v="1390"/>
    <s v="Ваг_Стар_Пихтовы-г"/>
    <n v="40625.090199999999"/>
    <n v="40625.090199999999"/>
    <n v="35661.364300000001"/>
  </r>
  <r>
    <x v="1391"/>
    <s v="Ваг_Стар_Пихтовы-г"/>
    <n v="40625.090199999999"/>
    <n v="40625.090199999999"/>
    <n v="35661.364300000001"/>
  </r>
  <r>
    <x v="1392"/>
    <s v="Ваг_Стар_Пихтовы-г"/>
    <n v="40625.090199999999"/>
    <n v="40625.090199999999"/>
    <n v="35661.364300000001"/>
  </r>
  <r>
    <x v="1393"/>
    <s v="Ваг_Стар_Пихтовы-г"/>
    <n v="40625.090199999999"/>
    <n v="40625.090199999999"/>
    <n v="35661.364300000001"/>
  </r>
  <r>
    <x v="1394"/>
    <s v="Ваг_Стар_Пихтовы-г"/>
    <n v="40625.090199999999"/>
    <n v="40625.090199999999"/>
    <n v="35661.364300000001"/>
  </r>
  <r>
    <x v="1395"/>
    <s v="Ваг_Стар_Пихтовы-г"/>
    <n v="40625.090199999999"/>
    <n v="40625.090199999999"/>
    <n v="35661.364300000001"/>
  </r>
  <r>
    <x v="1396"/>
    <s v="Ваг_Стар_Пихтовы-г"/>
    <n v="40625.090199999999"/>
    <n v="40625.090199999999"/>
    <n v="35661.364300000001"/>
  </r>
  <r>
    <x v="1397"/>
    <s v="Ваг_Стар_Пихтовы-г"/>
    <n v="40625.090199999999"/>
    <n v="40625.090199999999"/>
    <n v="35661.364300000001"/>
  </r>
  <r>
    <x v="1398"/>
    <s v="Ваг_Стар_Пихтовы-г"/>
    <n v="40625.090199999999"/>
    <n v="40625.090199999999"/>
    <n v="35661.364300000001"/>
  </r>
  <r>
    <x v="1399"/>
    <s v="Ваг_Стар_Пихтовы-г"/>
    <n v="40625.090199999999"/>
    <n v="40625.090199999999"/>
    <n v="35661.364300000001"/>
  </r>
  <r>
    <x v="1400"/>
    <s v="Ваг_Стар_Пихтовы-г"/>
    <n v="40625.090199999999"/>
    <n v="40625.090199999999"/>
    <n v="35661.364300000001"/>
  </r>
  <r>
    <x v="1401"/>
    <s v="Ваг_Стар_Пихтовы-г"/>
    <n v="40625.090199999999"/>
    <n v="40625.090199999999"/>
    <n v="35661.364300000001"/>
  </r>
  <r>
    <x v="1402"/>
    <s v="Ваг_Стар_Пихтовы-г"/>
    <n v="40625.090199999999"/>
    <n v="40625.090199999999"/>
    <n v="35661.364300000001"/>
  </r>
  <r>
    <x v="1403"/>
    <s v="Ваг_Стар_Пихтовы-г"/>
    <n v="40625.090199999999"/>
    <n v="40625.090199999999"/>
    <n v="35661.364300000001"/>
  </r>
  <r>
    <x v="1404"/>
    <s v="Выя_Леб_Горб_Кр-Кам"/>
    <n v="36513.6518"/>
    <n v="36513.6518"/>
    <n v="32052.276999999998"/>
  </r>
  <r>
    <x v="1405"/>
    <s v="Выя_Леб_Горб_Кр-Кам"/>
    <n v="36513.6518"/>
    <n v="36513.6518"/>
    <n v="32052.276999999998"/>
  </r>
  <r>
    <x v="1406"/>
    <s v="Выя_Леб_Горб_Кр-Кам"/>
    <n v="36513.6518"/>
    <n v="36513.6518"/>
    <n v="32052.276999999998"/>
  </r>
  <r>
    <x v="1407"/>
    <s v="Выя_Леб_Горб_Кр-Кам"/>
    <n v="36513.6518"/>
    <n v="36513.6518"/>
    <n v="32052.276999999998"/>
  </r>
  <r>
    <x v="1408"/>
    <s v="Выя_Леб_Горб_Кр-Кам"/>
    <n v="36513.6518"/>
    <n v="36513.6518"/>
    <n v="32052.276999999998"/>
  </r>
  <r>
    <x v="1409"/>
    <s v="Выя_Леб_Горб_Кр-Кам"/>
    <n v="36513.6518"/>
    <n v="36513.6518"/>
    <n v="32052.276999999998"/>
  </r>
  <r>
    <x v="1410"/>
    <s v="Выя_Леб_Горб_Кр-Кам"/>
    <n v="36513.6518"/>
    <n v="36513.6518"/>
    <n v="32052.276999999998"/>
  </r>
  <r>
    <x v="1411"/>
    <s v="Выя_Леб_Горб_Кр-Кам"/>
    <n v="36513.6518"/>
    <n v="36513.6518"/>
    <n v="32052.276999999998"/>
  </r>
  <r>
    <x v="1412"/>
    <s v="Выя_Леб_Горб_Кр-Кам"/>
    <n v="36513.6518"/>
    <n v="36513.6518"/>
    <n v="32052.276999999998"/>
  </r>
  <r>
    <x v="1413"/>
    <s v="Выя_Леб_Горб_Кр-Кам"/>
    <n v="36513.6518"/>
    <n v="36513.6518"/>
    <n v="32052.276999999998"/>
  </r>
  <r>
    <x v="1414"/>
    <s v="Выя_Леб_Горб_Кр-Кам"/>
    <n v="36513.6518"/>
    <n v="36513.6518"/>
    <n v="32052.276999999998"/>
  </r>
  <r>
    <x v="1415"/>
    <s v="Выя_Леб_Горб_Кр-Кам"/>
    <n v="36513.6518"/>
    <n v="36513.6518"/>
    <n v="32052.276999999998"/>
  </r>
  <r>
    <x v="1416"/>
    <s v="Выя_Леб_Горб_Кр-Кам"/>
    <n v="36513.6518"/>
    <n v="36513.6518"/>
    <n v="32052.276999999998"/>
  </r>
  <r>
    <x v="1417"/>
    <s v="Выя_Леб_Горб_Кр-Кам"/>
    <n v="36513.6518"/>
    <n v="36513.6518"/>
    <n v="32052.276999999998"/>
  </r>
  <r>
    <x v="1418"/>
    <s v="Выя_Леб_Горб_Кр-Кам"/>
    <n v="36513.6518"/>
    <n v="36513.6518"/>
    <n v="32052.276999999998"/>
  </r>
  <r>
    <x v="1419"/>
    <s v="Выя_Леб_Горб_Кр-Кам"/>
    <n v="36513.6518"/>
    <n v="36513.6518"/>
    <n v="32052.276999999998"/>
  </r>
  <r>
    <x v="1420"/>
    <s v="Выя_Леб_Горб_Кр-Кам"/>
    <n v="36513.6518"/>
    <n v="36513.6518"/>
    <n v="32052.276999999998"/>
  </r>
  <r>
    <x v="1421"/>
    <s v="Выя_Леб_Горб_Кр-Кам"/>
    <n v="36513.6518"/>
    <n v="36513.6518"/>
    <n v="32052.276999999998"/>
  </r>
  <r>
    <x v="1422"/>
    <s v="Выя_Леб_Горб_Кр-Кам"/>
    <n v="36513.6518"/>
    <n v="36513.6518"/>
    <n v="32052.276999999998"/>
  </r>
  <r>
    <x v="1423"/>
    <s v="Выя_Леб_Горб_Кр-Кам"/>
    <n v="36513.6518"/>
    <n v="36513.6518"/>
    <n v="32052.276999999998"/>
  </r>
  <r>
    <x v="1424"/>
    <s v="Выя_Леб_Горб_Кр-Кам"/>
    <n v="36513.6518"/>
    <n v="36513.6518"/>
    <n v="32052.276999999998"/>
  </r>
  <r>
    <x v="1425"/>
    <s v="Выя_Леб_Горб_Кр-Кам"/>
    <n v="36513.6518"/>
    <n v="36513.6518"/>
    <n v="32052.276999999998"/>
  </r>
  <r>
    <x v="1426"/>
    <s v="Выя_Леб_Горб_Кр-Кам"/>
    <n v="36513.6518"/>
    <n v="36513.6518"/>
    <n v="32052.276999999998"/>
  </r>
  <r>
    <x v="1427"/>
    <s v="Выя_Леб_Горб_Кр-Кам"/>
    <n v="36513.6518"/>
    <n v="36513.6518"/>
    <n v="32052.276999999998"/>
  </r>
  <r>
    <x v="1428"/>
    <s v="Выя_Леб_Горб_Кр-Кам"/>
    <n v="36513.6518"/>
    <n v="36513.6518"/>
    <n v="32052.276999999998"/>
  </r>
  <r>
    <x v="1429"/>
    <s v="Выя_Леб_Горб_Кр-Кам"/>
    <n v="36513.6518"/>
    <n v="36513.6518"/>
    <n v="32052.276999999998"/>
  </r>
  <r>
    <x v="1430"/>
    <s v="Выя_Леб_Горб_Кр-Кам"/>
    <n v="36513.6518"/>
    <n v="36513.6518"/>
    <n v="32052.276999999998"/>
  </r>
  <r>
    <x v="1431"/>
    <s v="Евст_В-Черм"/>
    <n v="24299.835599999999"/>
    <n v="24299.835599999999"/>
    <n v="21330.794900000001"/>
  </r>
  <r>
    <x v="1432"/>
    <s v="Евст_В-Черм"/>
    <n v="24299.835599999999"/>
    <n v="24299.835599999999"/>
    <n v="21330.794900000001"/>
  </r>
  <r>
    <x v="1433"/>
    <s v="Рудник_Север"/>
    <n v="30591.135900000001"/>
    <n v="30591.135900000001"/>
    <n v="26853.405500000001"/>
  </r>
  <r>
    <x v="1434"/>
    <s v="Рудник_Север"/>
    <n v="30591.135900000001"/>
    <n v="30591.135900000001"/>
    <n v="26853.405500000001"/>
  </r>
  <r>
    <x v="1435"/>
    <s v="Рудник_Север"/>
    <n v="30591.135900000001"/>
    <n v="30591.135900000001"/>
    <n v="26853.405500000001"/>
  </r>
  <r>
    <x v="1436"/>
    <s v="Рудник_Север"/>
    <n v="30591.135900000001"/>
    <n v="30591.135900000001"/>
    <n v="26853.405500000001"/>
  </r>
  <r>
    <x v="1437"/>
    <s v="Рудник_Север"/>
    <n v="30591.135900000001"/>
    <n v="30591.135900000001"/>
    <n v="26853.405500000001"/>
  </r>
  <r>
    <x v="1438"/>
    <s v="Рудник_Север"/>
    <n v="30591.135900000001"/>
    <n v="30591.135900000001"/>
    <n v="26853.405500000001"/>
  </r>
  <r>
    <x v="1439"/>
    <s v="Рудник_Север"/>
    <n v="30591.135900000001"/>
    <n v="30591.135900000001"/>
    <n v="26853.405500000001"/>
  </r>
  <r>
    <x v="1440"/>
    <s v="Рудник_Север"/>
    <n v="30591.135900000001"/>
    <n v="30591.135900000001"/>
    <n v="26853.405500000001"/>
  </r>
  <r>
    <x v="1441"/>
    <s v="Рудник_Север"/>
    <n v="30591.135900000001"/>
    <n v="30591.135900000001"/>
    <n v="26853.405500000001"/>
  </r>
  <r>
    <x v="1442"/>
    <s v="Рудник_Север"/>
    <n v="30591.135900000001"/>
    <n v="30591.135900000001"/>
    <n v="26853.405500000001"/>
  </r>
  <r>
    <x v="1443"/>
    <s v="Рудник_Север"/>
    <n v="30591.135900000001"/>
    <n v="30591.135900000001"/>
    <n v="26853.405500000001"/>
  </r>
  <r>
    <x v="1444"/>
    <s v="Рудник_Север"/>
    <n v="30591.135900000001"/>
    <n v="30591.135900000001"/>
    <n v="26853.405500000001"/>
  </r>
  <r>
    <x v="1445"/>
    <s v="Сух_Г-Кам_Н_Кушва_Н-Черм"/>
    <n v="29893.73"/>
    <n v="29893.73"/>
    <n v="26241.207699999999"/>
  </r>
  <r>
    <x v="1446"/>
    <s v="Сух_Г-Кам_Н_Кушва_Н-Черм"/>
    <n v="29893.73"/>
    <n v="29893.73"/>
    <n v="26241.207699999999"/>
  </r>
  <r>
    <x v="1447"/>
    <s v="Сух_Г-Кам_Н_Кушва_Н-Черм"/>
    <n v="29893.73"/>
    <n v="29893.73"/>
    <n v="26241.207699999999"/>
  </r>
  <r>
    <x v="1448"/>
    <s v="Сух_Г-Кам_Н_Кушва_Н-Черм"/>
    <n v="29893.73"/>
    <n v="29893.73"/>
    <n v="26241.207699999999"/>
  </r>
  <r>
    <x v="1449"/>
    <s v="Сух_Г-Кам_Н_Кушва_Н-Черм"/>
    <n v="29893.73"/>
    <n v="29893.73"/>
    <n v="26241.207699999999"/>
  </r>
  <r>
    <x v="1450"/>
    <s v="Сух_Г-Кам_Н_Кушва_Н-Черм"/>
    <n v="29893.73"/>
    <n v="29893.73"/>
    <n v="26241.207699999999"/>
  </r>
  <r>
    <x v="1451"/>
    <s v="Сух_Г-Кам_Н_Кушва_Н-Черм"/>
    <n v="29893.73"/>
    <n v="29893.73"/>
    <n v="26241.207699999999"/>
  </r>
  <r>
    <x v="1452"/>
    <s v="Сух_Г-Кам_Н_Кушва_Н-Черм"/>
    <n v="29893.73"/>
    <n v="29893.73"/>
    <n v="26241.207699999999"/>
  </r>
  <r>
    <x v="1453"/>
    <s v="Сух_Г-Кам_Н_Кушва_Н-Черм"/>
    <n v="29893.73"/>
    <n v="29893.73"/>
    <n v="26241.207699999999"/>
  </r>
  <r>
    <x v="1454"/>
    <s v="Сух_Г-Кам_Н_Кушва_Н-Черм"/>
    <n v="29893.73"/>
    <n v="29893.73"/>
    <n v="26241.207699999999"/>
  </r>
  <r>
    <x v="1455"/>
    <s v="Сух_Г-Кам_Н_Кушва_Н-Черм"/>
    <n v="29893.73"/>
    <n v="29893.73"/>
    <n v="26241.207699999999"/>
  </r>
  <r>
    <x v="1456"/>
    <s v="Сух_Г-Кам_Н_Кушва_Н-Черм"/>
    <n v="29893.73"/>
    <n v="29893.73"/>
    <n v="26241.207699999999"/>
  </r>
  <r>
    <x v="1457"/>
    <s v="Сух_Г-Кам_Н_Кушва_Н-Черм"/>
    <n v="29893.73"/>
    <n v="29893.73"/>
    <n v="26241.207699999999"/>
  </r>
  <r>
    <x v="1458"/>
    <s v="Сух_Г-Кам_Н_Кушва_Н-Черм"/>
    <n v="29893.73"/>
    <n v="29893.73"/>
    <n v="26241.207699999999"/>
  </r>
  <r>
    <x v="1459"/>
    <s v="Сух_Г-Кам_Н_Кушва_Н-Черм"/>
    <n v="29893.73"/>
    <n v="29893.73"/>
    <n v="26241.207699999999"/>
  </r>
  <r>
    <x v="1460"/>
    <s v="Сух_Г-Кам_Н_Кушва_Н-Черм"/>
    <n v="29893.73"/>
    <n v="29893.73"/>
    <n v="26241.207699999999"/>
  </r>
  <r>
    <x v="1461"/>
    <s v="Сух_Г-Кам_Н_Кушва_Н-Черм"/>
    <n v="29893.73"/>
    <n v="29893.73"/>
    <n v="26241.207699999999"/>
  </r>
  <r>
    <x v="1462"/>
    <s v="Сух_Г-Кам_Н_Кушва_Н-Черм"/>
    <n v="29893.73"/>
    <n v="29893.73"/>
    <n v="26241.207699999999"/>
  </r>
  <r>
    <x v="1463"/>
    <s v="Сух_Г-Кам_Н_Кушва_Н-Черм"/>
    <n v="29893.73"/>
    <n v="29893.73"/>
    <n v="26241.207699999999"/>
  </r>
  <r>
    <x v="1464"/>
    <s v="Сух_Г-Кам_Н_Кушва_Н-Черм"/>
    <n v="29893.73"/>
    <n v="29893.73"/>
    <n v="26241.207699999999"/>
  </r>
  <r>
    <x v="1465"/>
    <s v="Сух_Г-Кам_Н_Кушва_Н-Черм"/>
    <n v="29893.73"/>
    <n v="29893.73"/>
    <n v="26241.207699999999"/>
  </r>
  <r>
    <x v="1466"/>
    <s v="Сух_Г-Кам_Н_Кушва_Н-Черм"/>
    <n v="29893.73"/>
    <n v="29893.73"/>
    <n v="26241.207699999999"/>
  </r>
  <r>
    <x v="1467"/>
    <s v="Сух_Г-Кам_Н_Кушва_Н-Черм"/>
    <n v="29893.73"/>
    <n v="29893.73"/>
    <n v="26241.207699999999"/>
  </r>
  <r>
    <x v="1468"/>
    <s v="Тагил_Кирп"/>
    <n v="34023.428"/>
    <n v="34023.428"/>
    <n v="29866.3148"/>
  </r>
  <r>
    <x v="1469"/>
    <s v="Тагил_Кирп"/>
    <n v="34023.428"/>
    <n v="34023.428"/>
    <n v="29866.3148"/>
  </r>
  <r>
    <x v="1470"/>
    <s v="Тагил_Кирп"/>
    <n v="34023.428"/>
    <n v="34023.428"/>
    <n v="29866.3148"/>
  </r>
  <r>
    <x v="1471"/>
    <s v="Тагил_Кирп"/>
    <n v="34023.428"/>
    <n v="34023.428"/>
    <n v="29866.3148"/>
  </r>
  <r>
    <x v="1472"/>
    <s v="Тагил_Кирп"/>
    <n v="34023.428"/>
    <n v="34023.428"/>
    <n v="29866.3148"/>
  </r>
  <r>
    <x v="1473"/>
    <s v="Тагил_Кирп"/>
    <n v="34023.428"/>
    <n v="34023.428"/>
    <n v="29866.3148"/>
  </r>
  <r>
    <x v="1474"/>
    <s v="Тагил_Кирп"/>
    <n v="34023.428"/>
    <n v="34023.428"/>
    <n v="29866.3148"/>
  </r>
  <r>
    <x v="1475"/>
    <s v="Тагил_Кирп"/>
    <n v="34023.428"/>
    <n v="34023.428"/>
    <n v="29866.3148"/>
  </r>
  <r>
    <x v="1476"/>
    <s v="Тагил_Кирп"/>
    <n v="34023.428"/>
    <n v="34023.428"/>
    <n v="29866.3148"/>
  </r>
  <r>
    <x v="1477"/>
    <s v="Тагил_Кирп"/>
    <n v="34023.428"/>
    <n v="34023.428"/>
    <n v="29866.3148"/>
  </r>
  <r>
    <x v="1478"/>
    <s v="Тагил_Кирп"/>
    <n v="34023.428"/>
    <n v="34023.428"/>
    <n v="29866.3148"/>
  </r>
  <r>
    <x v="1479"/>
    <s v="Тагил_Кирп"/>
    <n v="34023.428"/>
    <n v="34023.428"/>
    <n v="29866.3148"/>
  </r>
  <r>
    <x v="1480"/>
    <s v="Тагил_Кирп"/>
    <n v="34023.428"/>
    <n v="34023.428"/>
    <n v="29866.3148"/>
  </r>
  <r>
    <x v="1481"/>
    <s v="Тагил_Кирп"/>
    <n v="34023.428"/>
    <n v="34023.428"/>
    <n v="29866.3148"/>
  </r>
  <r>
    <x v="1482"/>
    <s v="Центр"/>
    <n v="45477.761700000003"/>
    <n v="45477.761700000003"/>
    <n v="39921.119500000001"/>
  </r>
  <r>
    <x v="1483"/>
    <s v="Центр"/>
    <n v="45477.761700000003"/>
    <n v="45477.761700000003"/>
    <n v="39921.119500000001"/>
  </r>
  <r>
    <x v="1484"/>
    <s v="Центр"/>
    <n v="45477.761700000003"/>
    <n v="45477.761700000003"/>
    <n v="39921.119500000001"/>
  </r>
  <r>
    <x v="1485"/>
    <s v="Центр"/>
    <n v="45477.761700000003"/>
    <n v="45477.761700000003"/>
    <n v="39921.119500000001"/>
  </r>
  <r>
    <x v="1486"/>
    <s v="Центр"/>
    <n v="45477.761700000003"/>
    <n v="45477.761700000003"/>
    <n v="39921.119500000001"/>
  </r>
  <r>
    <x v="1487"/>
    <s v="Центр"/>
    <n v="45477.761700000003"/>
    <n v="45477.761700000003"/>
    <n v="39921.119500000001"/>
  </r>
  <r>
    <x v="1488"/>
    <s v="Центр"/>
    <n v="45477.761700000003"/>
    <n v="45477.761700000003"/>
    <n v="39921.119500000001"/>
  </r>
  <r>
    <x v="1489"/>
    <s v="Центр"/>
    <n v="45477.761700000003"/>
    <n v="45477.761700000003"/>
    <n v="39921.119500000001"/>
  </r>
  <r>
    <x v="1490"/>
    <s v="Центр"/>
    <n v="45477.761700000003"/>
    <n v="45477.761700000003"/>
    <n v="39921.119500000001"/>
  </r>
  <r>
    <x v="1491"/>
    <s v="Центр"/>
    <n v="45477.761700000003"/>
    <n v="45477.761700000003"/>
    <n v="39921.119500000001"/>
  </r>
  <r>
    <x v="1492"/>
    <s v="Центр"/>
    <n v="45477.761700000003"/>
    <n v="45477.761700000003"/>
    <n v="39921.119500000001"/>
  </r>
  <r>
    <x v="1493"/>
    <s v="Центр"/>
    <n v="45477.761700000003"/>
    <n v="45477.761700000003"/>
    <n v="39921.119500000001"/>
  </r>
  <r>
    <x v="1494"/>
    <s v="Центр"/>
    <n v="45477.761700000003"/>
    <n v="45477.761700000003"/>
    <n v="39921.119500000001"/>
  </r>
  <r>
    <x v="1495"/>
    <s v="Центр"/>
    <n v="45477.761700000003"/>
    <n v="45477.761700000003"/>
    <n v="39921.119500000001"/>
  </r>
  <r>
    <x v="1496"/>
    <s v="Центр"/>
    <n v="45477.761700000003"/>
    <n v="45477.761700000003"/>
    <n v="39921.119500000001"/>
  </r>
  <r>
    <x v="1497"/>
    <s v="Центр"/>
    <n v="45477.761700000003"/>
    <n v="45477.761700000003"/>
    <n v="39921.119500000001"/>
  </r>
  <r>
    <x v="1498"/>
    <s v="Веер"/>
    <n v="41385.677100000001"/>
    <n v="41385.677100000001"/>
    <n v="37671.780200000001"/>
  </r>
  <r>
    <x v="1499"/>
    <s v="ДинСанПод"/>
    <n v="36244.5985"/>
    <n v="36244.5985"/>
    <n v="32992.053800000002"/>
  </r>
  <r>
    <x v="1500"/>
    <s v="ДинСанПод"/>
    <n v="36244.5985"/>
    <n v="36244.5985"/>
    <n v="32992.053800000002"/>
  </r>
  <r>
    <x v="1501"/>
    <s v="ДинСанПод"/>
    <n v="36244.5985"/>
    <n v="36244.5985"/>
    <n v="32992.053800000002"/>
  </r>
  <r>
    <x v="1502"/>
    <s v="ДинСанПод"/>
    <n v="36244.5985"/>
    <n v="36244.5985"/>
    <n v="32992.053800000002"/>
  </r>
  <r>
    <x v="1503"/>
    <s v="ДинСанПод"/>
    <n v="36244.5985"/>
    <n v="36244.5985"/>
    <n v="32992.053800000002"/>
  </r>
  <r>
    <x v="1504"/>
    <s v="ДинСанПод"/>
    <n v="36244.5985"/>
    <n v="36244.5985"/>
    <n v="32992.053800000002"/>
  </r>
  <r>
    <x v="1505"/>
    <s v="ДинСанПод"/>
    <n v="36244.5985"/>
    <n v="36244.5985"/>
    <n v="32992.053800000002"/>
  </r>
  <r>
    <x v="1506"/>
    <s v="ДинСанПод"/>
    <n v="36244.5985"/>
    <n v="36244.5985"/>
    <n v="32992.053800000002"/>
  </r>
  <r>
    <x v="1507"/>
    <s v="ДинСанПод"/>
    <n v="36244.5985"/>
    <n v="36244.5985"/>
    <n v="32992.053800000002"/>
  </r>
  <r>
    <x v="1508"/>
    <s v="Западный"/>
    <n v="38366.254699999998"/>
    <n v="38366.254699999998"/>
    <n v="34923.320599999999"/>
  </r>
  <r>
    <x v="1509"/>
    <s v="Западный"/>
    <n v="38366.254699999998"/>
    <n v="38366.254699999998"/>
    <n v="34923.320599999999"/>
  </r>
  <r>
    <x v="1510"/>
    <s v="Магнитка"/>
    <n v="32948.938800000004"/>
    <n v="32948.938800000004"/>
    <n v="29992.139899999998"/>
  </r>
  <r>
    <x v="1511"/>
    <s v="Магнитка"/>
    <n v="32948.938800000004"/>
    <n v="32948.938800000004"/>
    <n v="29992.139899999998"/>
  </r>
  <r>
    <x v="1512"/>
    <s v="Магнитка"/>
    <n v="32948.938800000004"/>
    <n v="32948.938800000004"/>
    <n v="29992.139899999998"/>
  </r>
  <r>
    <x v="1513"/>
    <s v="Магнитка"/>
    <n v="32948.938800000004"/>
    <n v="32948.938800000004"/>
    <n v="29992.139899999998"/>
  </r>
  <r>
    <x v="1514"/>
    <s v="Первомайский"/>
    <n v="26641.525799999999"/>
    <n v="26641.525799999999"/>
    <n v="24250.754499999999"/>
  </r>
  <r>
    <x v="1515"/>
    <s v="Соцгород"/>
    <n v="40100.412600000003"/>
    <n v="40100.412600000003"/>
    <n v="36501.853799999997"/>
  </r>
  <r>
    <x v="1516"/>
    <s v="Соцгород"/>
    <n v="40100.412600000003"/>
    <n v="40100.412600000003"/>
    <n v="36501.853799999997"/>
  </r>
  <r>
    <x v="1517"/>
    <s v="Талица"/>
    <n v="36808.582300000002"/>
    <n v="36808.582300000002"/>
    <n v="33505.428800000002"/>
  </r>
  <r>
    <x v="1518"/>
    <s v="Талица"/>
    <n v="36808.582300000002"/>
    <n v="36808.582300000002"/>
    <n v="33505.428800000002"/>
  </r>
  <r>
    <x v="1519"/>
    <s v="Техгород"/>
    <n v="42713.148200000003"/>
    <n v="42713.148200000003"/>
    <n v="38880.125099999997"/>
  </r>
  <r>
    <x v="1520"/>
    <s v="Хромпик"/>
    <n v="38473.686099999999"/>
    <n v="38473.686099999999"/>
    <n v="35021.100899999998"/>
  </r>
  <r>
    <x v="1521"/>
    <s v="Центр"/>
    <n v="39931.596299999997"/>
    <n v="39931.596299999997"/>
    <n v="36348.1901"/>
  </r>
  <r>
    <x v="1522"/>
    <s v="Шайтанка"/>
    <n v="34007.852099999996"/>
    <n v="34007.852099999996"/>
    <n v="30956.028900000001"/>
  </r>
  <r>
    <x v="1523"/>
    <s v="Шайтанка"/>
    <n v="34007.852099999996"/>
    <n v="34007.852099999996"/>
    <n v="30956.028900000001"/>
  </r>
  <r>
    <x v="1524"/>
    <s v="Шайтанка"/>
    <n v="34007.852099999996"/>
    <n v="34007.852099999996"/>
    <n v="30956.028900000001"/>
  </r>
  <r>
    <x v="1525"/>
    <s v="Шайтанка"/>
    <n v="34007.852099999996"/>
    <n v="34007.852099999996"/>
    <n v="30956.028900000001"/>
  </r>
  <r>
    <x v="1526"/>
    <s v="Шайтанка"/>
    <n v="34007.852099999996"/>
    <n v="34007.852099999996"/>
    <n v="30956.028900000001"/>
  </r>
  <r>
    <x v="1527"/>
    <s v="Шайтанка"/>
    <n v="34007.852099999996"/>
    <n v="34007.852099999996"/>
    <n v="30956.028900000001"/>
  </r>
  <r>
    <x v="1528"/>
    <s v="Шайтанка"/>
    <n v="34007.852099999996"/>
    <n v="34007.852099999996"/>
    <n v="30956.028900000001"/>
  </r>
  <r>
    <x v="1529"/>
    <s v="ДинСанПод"/>
    <n v="36244.5985"/>
    <n v="36244.5985"/>
    <n v="32992.053800000002"/>
  </r>
  <r>
    <x v="1530"/>
    <s v="САДОВЫЙ"/>
    <n v="51600.800000000003"/>
    <n v="51600.800000000003"/>
    <n v="46725.45"/>
  </r>
  <r>
    <x v="1531"/>
    <s v="ДинСанПод"/>
    <n v="36244.5985"/>
    <n v="36244.5985"/>
    <n v="32992.053800000002"/>
  </r>
  <r>
    <x v="1532"/>
    <s v="Сух_Г-Кам_Н_Кушва_Н-Черм"/>
    <n v="29893.73"/>
    <n v="29893.73"/>
    <n v="26241.207699999999"/>
  </r>
  <r>
    <x v="1533"/>
    <s v="Ваг_Стар_Пихтовы-г"/>
    <n v="40625.090199999999"/>
    <n v="40625.090199999999"/>
    <n v="35661.364300000001"/>
  </r>
  <r>
    <x v="1534"/>
    <s v="Ваг_Стар_Пихтовы-г"/>
    <n v="40625.090199999999"/>
    <n v="40625.090199999999"/>
    <n v="35661.364300000001"/>
  </r>
  <r>
    <x v="1535"/>
    <s v="ДинСанПод"/>
    <n v="36244.5985"/>
    <n v="36244.5985"/>
    <n v="32992.053800000002"/>
  </r>
  <r>
    <x v="1536"/>
    <s v="Ваг_Стар_Пихтовы-г"/>
    <n v="40625.090199999999"/>
    <n v="40625.090199999999"/>
    <n v="35661.364300000001"/>
  </r>
  <r>
    <x v="1537"/>
    <s v="Совхоз"/>
    <n v="57883"/>
    <n v="57883"/>
    <n v="52414.09"/>
  </r>
  <r>
    <x v="1538"/>
    <s v="Совхоз"/>
    <n v="57883"/>
    <n v="57883"/>
    <n v="52414.09"/>
  </r>
  <r>
    <x v="1539"/>
    <s v="Совхоз"/>
    <n v="57883"/>
    <n v="57883"/>
    <n v="52414.09"/>
  </r>
  <r>
    <x v="1540"/>
    <s v="Сух_Г-Кам_Н_Кушва_Н-Черм"/>
    <n v="29893.73"/>
    <n v="29893.73"/>
    <n v="26241.207699999999"/>
  </r>
  <r>
    <x v="1541"/>
    <s v="Ваг_Стар_Пихтовы-г"/>
    <n v="40625.090199999999"/>
    <n v="40625.090199999999"/>
    <n v="35661.364300000001"/>
  </r>
  <r>
    <x v="1542"/>
    <s v="Шайтанка"/>
    <n v="34007.852099999996"/>
    <n v="34007.852099999996"/>
    <n v="30956.028900000001"/>
  </r>
  <r>
    <x v="1543"/>
    <s v="Совхоз"/>
    <n v="57883"/>
    <n v="57883"/>
    <n v="52414.09"/>
  </r>
  <r>
    <x v="1544"/>
    <s v="Талица"/>
    <n v="36808.582300000002"/>
    <n v="36808.582300000002"/>
    <n v="33505.428800000002"/>
  </r>
  <r>
    <x v="1545"/>
    <s v="Совхоз"/>
    <n v="57883"/>
    <n v="57883"/>
    <n v="52414.09"/>
  </r>
  <r>
    <x v="1546"/>
    <s v="Совхоз"/>
    <n v="57883"/>
    <n v="57883"/>
    <n v="52414.09"/>
  </r>
  <r>
    <x v="1547"/>
    <s v="Совхоз"/>
    <n v="57883"/>
    <n v="57883"/>
    <n v="52414.09"/>
  </r>
  <r>
    <x v="1548"/>
    <s v="Шайтанка"/>
    <n v="34007.852099999996"/>
    <n v="34007.852099999996"/>
    <n v="30956.028900000001"/>
  </r>
  <r>
    <x v="1549"/>
    <s v="ДинСанПод"/>
    <n v="36244.5985"/>
    <n v="36244.5985"/>
    <n v="32992.053800000002"/>
  </r>
  <r>
    <x v="1550"/>
    <s v="Совхоз"/>
    <n v="57883"/>
    <n v="57883"/>
    <n v="52414.09"/>
  </r>
  <r>
    <x v="1551"/>
    <s v="Совхоз"/>
    <n v="57883"/>
    <n v="57883"/>
    <n v="52414.09"/>
  </r>
  <r>
    <x v="1552"/>
    <s v="Совхоз"/>
    <n v="57883"/>
    <n v="57883"/>
    <n v="52414.09"/>
  </r>
  <r>
    <x v="1553"/>
    <s v="п.Чащино"/>
    <n v="21261.0285"/>
    <n v="21261.0285"/>
    <n v="20837.465199999999"/>
  </r>
  <r>
    <x v="1554"/>
    <s v="КК возле Первоуральска которые должны считаться как область"/>
    <n v="27104.663700000001"/>
    <n v="27104.663700000001"/>
    <n v="26564.688900000001"/>
  </r>
  <r>
    <x v="1555"/>
    <s v="ДинСанПод"/>
    <n v="36244.5985"/>
    <n v="36244.5985"/>
    <n v="32992.053800000002"/>
  </r>
  <r>
    <x v="1556"/>
    <s v="Выя_Леб_Горб_Кр-Кам"/>
    <n v="36513.6518"/>
    <n v="36513.6518"/>
    <n v="32052.276999999998"/>
  </r>
  <r>
    <x v="1557"/>
    <s v="Совхоз"/>
    <n v="57883"/>
    <n v="57883"/>
    <n v="52414.09"/>
  </r>
  <r>
    <x v="1558"/>
    <s v="Шайтанка"/>
    <n v="34007.852099999996"/>
    <n v="34007.852099999996"/>
    <n v="30956.028900000001"/>
  </r>
  <r>
    <x v="1559"/>
    <s v="Выя_Леб_Горб_Кр-Кам"/>
    <n v="36513.6518"/>
    <n v="36513.6518"/>
    <n v="32052.276999999998"/>
  </r>
  <r>
    <x v="1560"/>
    <s v="Шайтанка"/>
    <n v="34007.852099999996"/>
    <n v="34007.852099999996"/>
    <n v="30956.028900000001"/>
  </r>
  <r>
    <x v="1561"/>
    <s v="Совхоз"/>
    <n v="57883"/>
    <n v="57883"/>
    <n v="52414.09"/>
  </r>
  <r>
    <x v="1562"/>
    <s v="ДинСанПод"/>
    <n v="36244.5985"/>
    <n v="36244.5985"/>
    <n v="32992.053800000002"/>
  </r>
  <r>
    <x v="1563"/>
    <s v="Совхоз"/>
    <n v="57883"/>
    <n v="57883"/>
    <n v="52414.09"/>
  </r>
  <r>
    <x v="1564"/>
    <s v="Совхоз"/>
    <n v="57883"/>
    <n v="57883"/>
    <n v="52414.09"/>
  </r>
  <r>
    <x v="1565"/>
    <s v="Шайтанка"/>
    <n v="34007.852099999996"/>
    <n v="34007.852099999996"/>
    <n v="30956.028900000001"/>
  </r>
  <r>
    <x v="1566"/>
    <s v="ДинСанПод"/>
    <n v="36244.5985"/>
    <n v="36244.5985"/>
    <n v="32992.053800000002"/>
  </r>
  <r>
    <x v="1567"/>
    <s v="Рудник_Север"/>
    <n v="30591.135900000001"/>
    <n v="30591.135900000001"/>
    <n v="26853.405500000001"/>
  </r>
  <r>
    <x v="1568"/>
    <s v="Шайтанка"/>
    <n v="34007.852099999996"/>
    <n v="34007.852099999996"/>
    <n v="30956.028900000001"/>
  </r>
  <r>
    <x v="1569"/>
    <s v="Совхоз"/>
    <n v="57883"/>
    <n v="57883"/>
    <n v="52414.09"/>
  </r>
  <r>
    <x v="1570"/>
    <s v="ДинСанПод"/>
    <n v="36244.5985"/>
    <n v="36244.5985"/>
    <n v="32992.053800000002"/>
  </r>
  <r>
    <x v="1571"/>
    <s v="Рудник_Север"/>
    <n v="30591.135900000001"/>
    <n v="30591.135900000001"/>
    <n v="26853.405500000001"/>
  </r>
  <r>
    <x v="1572"/>
    <s v="Выя_Леб_Горб_Кр-Кам"/>
    <n v="36513.6518"/>
    <n v="36513.6518"/>
    <n v="32052.276999999998"/>
  </r>
  <r>
    <x v="1573"/>
    <s v="Совхоз"/>
    <n v="57883"/>
    <n v="57883"/>
    <n v="52414.09"/>
  </r>
  <r>
    <x v="1574"/>
    <s v="Совхоз"/>
    <n v="57883"/>
    <n v="57883"/>
    <n v="52414.09"/>
  </r>
  <r>
    <x v="1575"/>
    <s v="Шайтанка"/>
    <n v="34007.852099999996"/>
    <n v="34007.852099999996"/>
    <n v="30956.028900000001"/>
  </r>
  <r>
    <x v="1576"/>
    <s v="Шайтанка"/>
    <n v="34007.852099999996"/>
    <n v="34007.852099999996"/>
    <n v="30956.028900000001"/>
  </r>
  <r>
    <x v="1577"/>
    <s v="Совхоз"/>
    <n v="57883"/>
    <n v="57883"/>
    <n v="52414.09"/>
  </r>
  <r>
    <x v="1578"/>
    <s v="Совхоз"/>
    <n v="57883"/>
    <n v="57883"/>
    <n v="52414.09"/>
  </r>
  <r>
    <x v="1579"/>
    <s v="Совхоз"/>
    <n v="57883"/>
    <n v="57883"/>
    <n v="52414.09"/>
  </r>
  <r>
    <x v="1580"/>
    <s v="Совхоз"/>
    <n v="57883"/>
    <n v="57883"/>
    <n v="52414.09"/>
  </r>
  <r>
    <x v="1581"/>
    <s v="Магнитка"/>
    <n v="32948.938800000004"/>
    <n v="32948.938800000004"/>
    <n v="29992.139899999998"/>
  </r>
  <r>
    <x v="1582"/>
    <s v="Совхоз"/>
    <n v="57883"/>
    <n v="57883"/>
    <n v="52414.09"/>
  </r>
  <r>
    <x v="1583"/>
    <s v="ДинСанПод"/>
    <n v="36244.5985"/>
    <n v="36244.5985"/>
    <n v="32992.053800000002"/>
  </r>
  <r>
    <x v="1584"/>
    <s v="Магнитка"/>
    <n v="32948.938800000004"/>
    <n v="32948.938800000004"/>
    <n v="29992.139899999998"/>
  </r>
  <r>
    <x v="1585"/>
    <s v="Выя_Леб_Горб_Кр-Кам"/>
    <n v="36513.6518"/>
    <n v="36513.6518"/>
    <n v="32052.276999999998"/>
  </r>
  <r>
    <x v="1586"/>
    <s v="Ваг_Стар_Пихтовы-г"/>
    <n v="40625.090199999999"/>
    <n v="40625.090199999999"/>
    <n v="35661.364300000001"/>
  </r>
  <r>
    <x v="1587"/>
    <s v="Совхоз"/>
    <n v="57883"/>
    <n v="57883"/>
    <n v="52414.09"/>
  </r>
  <r>
    <x v="1588"/>
    <s v="Совхоз"/>
    <n v="57883"/>
    <n v="57883"/>
    <n v="52414.09"/>
  </r>
  <r>
    <x v="1589"/>
    <s v="Выя_Леб_Горб_Кр-Кам"/>
    <n v="36513.6518"/>
    <n v="36513.6518"/>
    <n v="32052.276999999998"/>
  </r>
  <r>
    <x v="1590"/>
    <s v="Ваг_Стар_Пихтовы-г"/>
    <n v="40625.090199999999"/>
    <n v="40625.090199999999"/>
    <n v="35661.364300000001"/>
  </r>
  <r>
    <x v="1591"/>
    <s v="ДинСанПод"/>
    <n v="36244.5985"/>
    <n v="36244.5985"/>
    <n v="32992.053800000002"/>
  </r>
  <r>
    <x v="1592"/>
    <s v="Совхоз"/>
    <n v="57883"/>
    <n v="57883"/>
    <n v="52414.09"/>
  </r>
  <r>
    <x v="1593"/>
    <s v="Шайтанка"/>
    <n v="34007.852099999996"/>
    <n v="34007.852099999996"/>
    <n v="30956.028900000001"/>
  </r>
  <r>
    <x v="1594"/>
    <s v="Талица"/>
    <n v="36808.582300000002"/>
    <n v="36808.582300000002"/>
    <n v="33505.428800000002"/>
  </r>
  <r>
    <x v="1595"/>
    <s v="Совхоз"/>
    <n v="57883"/>
    <n v="57883"/>
    <n v="52414.09"/>
  </r>
  <r>
    <x v="1596"/>
    <s v="Совхоз"/>
    <n v="57883"/>
    <n v="57883"/>
    <n v="52414.09"/>
  </r>
  <r>
    <x v="1597"/>
    <s v="Совхоз"/>
    <n v="57883"/>
    <n v="57883"/>
    <n v="52414.09"/>
  </r>
  <r>
    <x v="1598"/>
    <s v="Совхоз"/>
    <n v="57883"/>
    <n v="57883"/>
    <n v="52414.09"/>
  </r>
  <r>
    <x v="1599"/>
    <s v="Совхоз"/>
    <n v="57883"/>
    <n v="57883"/>
    <n v="52414.09"/>
  </r>
  <r>
    <x v="1600"/>
    <s v="ДинСанПод"/>
    <n v="36244.5985"/>
    <n v="36244.5985"/>
    <n v="32992.053800000002"/>
  </r>
  <r>
    <x v="1601"/>
    <s v="Шайтанка"/>
    <n v="34007.852099999996"/>
    <n v="34007.852099999996"/>
    <n v="30956.028900000001"/>
  </r>
  <r>
    <x v="1602"/>
    <s v="Совхоз"/>
    <n v="57883"/>
    <n v="57883"/>
    <n v="52414.09"/>
  </r>
  <r>
    <x v="1603"/>
    <s v="Талица"/>
    <n v="36808.582300000002"/>
    <n v="36808.582300000002"/>
    <n v="33505.428800000002"/>
  </r>
  <r>
    <x v="1604"/>
    <s v="Шайтанка"/>
    <n v="34007.852099999996"/>
    <n v="34007.852099999996"/>
    <n v="30956.028900000001"/>
  </r>
  <r>
    <x v="1605"/>
    <s v="Талица"/>
    <n v="36808.582300000002"/>
    <n v="36808.582300000002"/>
    <n v="33505.428800000002"/>
  </r>
  <r>
    <x v="1606"/>
    <s v="Совхоз"/>
    <n v="57883"/>
    <n v="57883"/>
    <n v="52414.09"/>
  </r>
  <r>
    <x v="1607"/>
    <s v="Совхоз"/>
    <n v="57883"/>
    <n v="57883"/>
    <n v="52414.09"/>
  </r>
  <r>
    <x v="1608"/>
    <s v="Магнитка"/>
    <n v="32948.938800000004"/>
    <n v="32948.938800000004"/>
    <n v="29992.139899999998"/>
  </r>
  <r>
    <x v="1609"/>
    <s v="ДинСанПод"/>
    <n v="36244.5985"/>
    <n v="36244.5985"/>
    <n v="32992.053800000002"/>
  </r>
  <r>
    <x v="1610"/>
    <s v="Сух_Г-Кам_Н_Кушва_Н-Черм"/>
    <n v="29893.73"/>
    <n v="29893.73"/>
    <n v="26241.207699999999"/>
  </r>
  <r>
    <x v="1611"/>
    <s v="Совхоз"/>
    <n v="57883"/>
    <n v="57883"/>
    <n v="52414.09"/>
  </r>
  <r>
    <x v="1612"/>
    <s v="Сух_Г-Кам_Н_Кушва_Н-Черм"/>
    <n v="29893.73"/>
    <n v="29893.73"/>
    <n v="26241.207699999999"/>
  </r>
  <r>
    <x v="1613"/>
    <s v="Совхоз"/>
    <n v="57883"/>
    <n v="57883"/>
    <n v="52414.09"/>
  </r>
  <r>
    <x v="1614"/>
    <s v="Совхоз"/>
    <n v="57883"/>
    <n v="57883"/>
    <n v="52414.09"/>
  </r>
  <r>
    <x v="1615"/>
    <s v="Рудник_Север"/>
    <n v="30591.135900000001"/>
    <n v="30591.135900000001"/>
    <n v="26853.405500000001"/>
  </r>
  <r>
    <x v="1616"/>
    <s v="Совхоз"/>
    <n v="57883"/>
    <n v="57883"/>
    <n v="52414.09"/>
  </r>
  <r>
    <x v="1383"/>
    <s v="Ваг_Стар_Пихтовы-г"/>
    <n v="40625.090199999999"/>
    <n v="40625.090199999999"/>
    <n v="35661.364300000001"/>
  </r>
  <r>
    <x v="1617"/>
    <s v="Шайтанка"/>
    <n v="34007.852099999996"/>
    <n v="34007.852099999996"/>
    <n v="30956.028900000001"/>
  </r>
  <r>
    <x v="1618"/>
    <s v="ДинСанПод"/>
    <n v="36244.5985"/>
    <n v="36244.5985"/>
    <n v="32992.053800000002"/>
  </r>
  <r>
    <x v="1619"/>
    <s v="Совхоз"/>
    <n v="57883"/>
    <n v="57883"/>
    <n v="52414.09"/>
  </r>
  <r>
    <x v="1620"/>
    <s v="Совхоз"/>
    <n v="57883"/>
    <n v="57883"/>
    <n v="52414.09"/>
  </r>
  <r>
    <x v="1621"/>
    <s v="ДинСанПод"/>
    <n v="36244.5985"/>
    <n v="36244.5985"/>
    <n v="32992.053800000002"/>
  </r>
  <r>
    <x v="1622"/>
    <s v="Магнитка"/>
    <n v="32948.938800000004"/>
    <n v="32948.938800000004"/>
    <n v="29992.139899999998"/>
  </r>
  <r>
    <x v="1623"/>
    <s v="ДинСанПод"/>
    <n v="36244.5985"/>
    <n v="36244.5985"/>
    <n v="32992.053800000002"/>
  </r>
  <r>
    <x v="1624"/>
    <s v="ДинСанПод"/>
    <n v="36244.5985"/>
    <n v="36244.5985"/>
    <n v="32992.053800000002"/>
  </r>
  <r>
    <x v="1625"/>
    <s v="ДинСанПод"/>
    <n v="36244.5985"/>
    <n v="36244.5985"/>
    <n v="32992.053800000002"/>
  </r>
  <r>
    <x v="1626"/>
    <s v="Сух_Г-Кам_Н_Кушва_Н-Черм"/>
    <n v="29893.73"/>
    <n v="29893.73"/>
    <n v="26241.207699999999"/>
  </r>
  <r>
    <x v="1519"/>
    <s v="Техгород"/>
    <n v="42713.148200000003"/>
    <n v="42713.148200000003"/>
    <n v="38880.125099999997"/>
  </r>
  <r>
    <x v="1357"/>
    <s v="Алт_Гальян_М-Кушва"/>
    <n v="40018.9617"/>
    <n v="40018.9617"/>
    <n v="35129.2961"/>
  </r>
  <r>
    <x v="1627"/>
    <s v="ШАБРОВСКИЙ"/>
    <n v="36417.71"/>
    <n v="36417.71"/>
    <n v="32976.89"/>
  </r>
  <r>
    <x v="1628"/>
    <s v="Ст.Каменск-Хозспособ"/>
    <n v="28855.326499999999"/>
    <n v="28855.326499999999"/>
    <n v="25951.933700000001"/>
  </r>
  <r>
    <x v="1629"/>
    <s v="Шайтанка"/>
    <n v="34007.852099999996"/>
    <n v="34007.852099999996"/>
    <n v="30956.028900000001"/>
  </r>
  <r>
    <x v="1630"/>
    <s v="Совхоз"/>
    <n v="57883"/>
    <n v="57883"/>
    <n v="52414.09"/>
  </r>
  <r>
    <x v="1631"/>
    <s v="Северный"/>
    <n v="29151.309799999999"/>
    <n v="29151.309799999999"/>
    <n v="26218.127700000001"/>
  </r>
  <r>
    <x v="1632"/>
    <s v="Ст.Каменск-Хозспособ"/>
    <n v="28855.326499999999"/>
    <n v="28855.326499999999"/>
    <n v="25951.933700000001"/>
  </r>
  <r>
    <x v="1633"/>
    <s v="п.Висимо-Уткинск"/>
    <n v="21261.0285"/>
    <n v="21261.0285"/>
    <n v="20837.465199999999"/>
  </r>
  <r>
    <x v="1634"/>
    <s v="КК возле Первоуральска которые должны считаться как область"/>
    <n v="27104.663700000001"/>
    <n v="27104.663700000001"/>
    <n v="26564.688900000001"/>
  </r>
  <r>
    <x v="1635"/>
    <s v="ДинСанПод"/>
    <n v="36244.5985"/>
    <n v="36244.5985"/>
    <n v="32992.053800000002"/>
  </r>
  <r>
    <x v="1636"/>
    <s v="Алт_Гальян_М-Кушва"/>
    <n v="40018.9617"/>
    <n v="40018.9617"/>
    <n v="35129.2961"/>
  </r>
  <r>
    <x v="1637"/>
    <s v="Евст_В-Черм"/>
    <n v="24299.835599999999"/>
    <n v="24299.835599999999"/>
    <n v="21330.794900000001"/>
  </r>
  <r>
    <x v="1638"/>
    <s v="Сух_Г-Кам_Н_Кушва_Н-Черм"/>
    <n v="29893.73"/>
    <n v="29893.73"/>
    <n v="26241.207699999999"/>
  </r>
  <r>
    <x v="1481"/>
    <s v="Тагил_Кирп"/>
    <n v="34023.428"/>
    <n v="34023.428"/>
    <n v="29866.3148"/>
  </r>
  <r>
    <x v="1639"/>
    <s v="Чкаловский"/>
    <n v="28848.8855"/>
    <n v="28848.8855"/>
    <n v="25946.143"/>
  </r>
  <r>
    <x v="1640"/>
    <s v="Ст.Каменск-Хозспособ"/>
    <n v="28855.326499999999"/>
    <n v="28855.326499999999"/>
    <n v="25951.933700000001"/>
  </r>
  <r>
    <x v="1641"/>
    <s v="Алт_Гальян_М-Кушва"/>
    <n v="40018.9617"/>
    <n v="40018.9617"/>
    <n v="35129.2961"/>
  </r>
  <r>
    <x v="1642"/>
    <s v="Соцгород"/>
    <n v="40100.412600000003"/>
    <n v="40100.412600000003"/>
    <n v="36501.853799999997"/>
  </r>
  <r>
    <x v="1424"/>
    <s v="Выя_Леб_Горб_Кр-Кам"/>
    <n v="36513.6518"/>
    <n v="36513.6518"/>
    <n v="32052.276999999998"/>
  </r>
  <r>
    <x v="1643"/>
    <s v="Ст.Каменск-Хозспособ"/>
    <n v="28855.326499999999"/>
    <n v="28855.326499999999"/>
    <n v="25951.933700000001"/>
  </r>
  <r>
    <x v="1644"/>
    <s v="Ваг_Стар_Пихтовы-г"/>
    <n v="40625.090199999999"/>
    <n v="40625.090199999999"/>
    <n v="35661.364300000001"/>
  </r>
  <r>
    <x v="1354"/>
    <s v="Алт_Гальян_М-Кушва"/>
    <n v="40018.9617"/>
    <n v="40018.9617"/>
    <n v="35129.2961"/>
  </r>
  <r>
    <x v="1434"/>
    <s v="Рудник_Север"/>
    <n v="30591.135900000001"/>
    <n v="30591.135900000001"/>
    <n v="26853.405500000001"/>
  </r>
  <r>
    <x v="1645"/>
    <s v="Чкаловский"/>
    <n v="28848.8855"/>
    <n v="28848.8855"/>
    <n v="25946.143"/>
  </r>
  <r>
    <x v="1646"/>
    <s v="Рудник_Север"/>
    <n v="30591.135900000001"/>
    <n v="30591.135900000001"/>
    <n v="26853.405500000001"/>
  </r>
  <r>
    <x v="1647"/>
    <s v="ДинСанПод"/>
    <n v="36244.5985"/>
    <n v="36244.5985"/>
    <n v="32992.053800000002"/>
  </r>
  <r>
    <x v="1648"/>
    <s v="Ст.Каменск-Хозспособ"/>
    <n v="28855.326499999999"/>
    <n v="28855.326499999999"/>
    <n v="25951.933700000001"/>
  </r>
  <r>
    <x v="1649"/>
    <s v="Выя_Леб_Горб_Кр-Кам"/>
    <n v="36513.6518"/>
    <n v="36513.6518"/>
    <n v="32052.276999999998"/>
  </r>
  <r>
    <x v="1650"/>
    <s v="Рудник_Север"/>
    <n v="30591.135900000001"/>
    <n v="30591.135900000001"/>
    <n v="26853.405500000001"/>
  </r>
  <r>
    <x v="1651"/>
    <s v="Магнитка"/>
    <n v="32948.938800000004"/>
    <n v="32948.938800000004"/>
    <n v="29992.139899999998"/>
  </r>
  <r>
    <x v="1652"/>
    <s v="КК возле Первоуральска которые должны считаться как область"/>
    <n v="27104.663700000001"/>
    <n v="27104.663700000001"/>
    <n v="26564.688900000001"/>
  </r>
  <r>
    <x v="1653"/>
    <s v="Трубников"/>
    <n v="38278.589899999999"/>
    <n v="38278.589899999999"/>
    <n v="34427.0285"/>
  </r>
  <r>
    <x v="1654"/>
    <s v="Талица"/>
    <n v="36808.582300000002"/>
    <n v="36808.582300000002"/>
    <n v="33505.428800000002"/>
  </r>
  <r>
    <x v="1655"/>
    <s v="Сух_Г-Кам_Н_Кушва_Н-Черм"/>
    <n v="29893.73"/>
    <n v="29893.73"/>
    <n v="26241.207699999999"/>
  </r>
  <r>
    <x v="1656"/>
    <s v="Чкаловский"/>
    <n v="28848.8855"/>
    <n v="28848.8855"/>
    <n v="25946.143"/>
  </r>
  <r>
    <x v="1657"/>
    <s v="Ленин-Олимп"/>
    <n v="32172.2909"/>
    <n v="32172.2909"/>
    <n v="28935.146499999999"/>
  </r>
  <r>
    <x v="1511"/>
    <s v="Магнитка"/>
    <n v="32948.938800000004"/>
    <n v="32948.938800000004"/>
    <n v="29992.139899999998"/>
  </r>
  <r>
    <x v="1658"/>
    <s v="Алт_Гальян_М-Кушва"/>
    <n v="40018.9617"/>
    <n v="40018.9617"/>
    <n v="35129.2961"/>
  </r>
  <r>
    <x v="1659"/>
    <s v="Тагил_Кирп"/>
    <n v="34023.428"/>
    <n v="34023.428"/>
    <n v="29866.3148"/>
  </r>
  <r>
    <x v="1660"/>
    <s v="Талица"/>
    <n v="36808.582300000002"/>
    <n v="36808.582300000002"/>
    <n v="33505.428800000002"/>
  </r>
  <r>
    <x v="1661"/>
    <s v="КК возле Первоуральска которые должны считаться как область"/>
    <n v="27104.663700000001"/>
    <n v="27104.663700000001"/>
    <n v="26564.688900000001"/>
  </r>
  <r>
    <x v="1662"/>
    <s v="Чкаловский"/>
    <n v="28848.8855"/>
    <n v="28848.8855"/>
    <n v="25946.143"/>
  </r>
  <r>
    <x v="1663"/>
    <s v="УАЗ"/>
    <n v="29199.565200000001"/>
    <n v="29199.565200000001"/>
    <n v="26261.5317"/>
  </r>
  <r>
    <x v="1664"/>
    <s v="Рудник_Север"/>
    <n v="30591.135900000001"/>
    <n v="30591.135900000001"/>
    <n v="26853.405500000001"/>
  </r>
  <r>
    <x v="1665"/>
    <s v="УАЗ"/>
    <n v="29199.565200000001"/>
    <n v="29199.565200000001"/>
    <n v="26261.5317"/>
  </r>
  <r>
    <x v="1150"/>
    <s v="Октябрьский"/>
    <n v="39105.413099999998"/>
    <n v="39105.413099999998"/>
    <n v="35170.666700000002"/>
  </r>
  <r>
    <x v="1666"/>
    <s v="Алт_Гальян_М-Кушва"/>
    <n v="40018.9617"/>
    <n v="40018.9617"/>
    <n v="35129.2961"/>
  </r>
  <r>
    <x v="1667"/>
    <s v="Ленин-Олимп"/>
    <n v="32172.2909"/>
    <n v="32172.2909"/>
    <n v="28935.146499999999"/>
  </r>
  <r>
    <x v="1668"/>
    <s v="Октябрьский"/>
    <n v="39105.413099999998"/>
    <n v="39105.413099999998"/>
    <n v="35170.666700000002"/>
  </r>
  <r>
    <x v="1669"/>
    <s v="УАЗ"/>
    <n v="29199.565200000001"/>
    <n v="29199.565200000001"/>
    <n v="26261.5317"/>
  </r>
  <r>
    <x v="1670"/>
    <s v="Ст.Каменск-Хозспособ"/>
    <n v="28855.326499999999"/>
    <n v="28855.326499999999"/>
    <n v="25951.933700000001"/>
  </r>
  <r>
    <x v="1671"/>
    <s v="Совхоз"/>
    <n v="57883"/>
    <n v="57883"/>
    <n v="52414.09"/>
  </r>
  <r>
    <x v="1672"/>
    <s v="Евст_В-Черм"/>
    <n v="24299.835599999999"/>
    <n v="24299.835599999999"/>
    <n v="21330.794900000001"/>
  </r>
  <r>
    <x v="1517"/>
    <s v="Талица"/>
    <n v="36808.582300000002"/>
    <n v="36808.582300000002"/>
    <n v="33505.428800000002"/>
  </r>
  <r>
    <x v="1673"/>
    <s v="Сух_Г-Кам_Н_Кушва_Н-Черм"/>
    <n v="29893.73"/>
    <n v="29893.73"/>
    <n v="26241.207699999999"/>
  </r>
  <r>
    <x v="1518"/>
    <s v="Талица"/>
    <n v="36808.582300000002"/>
    <n v="36808.582300000002"/>
    <n v="33505.428800000002"/>
  </r>
  <r>
    <x v="1439"/>
    <s v="Рудник_Север"/>
    <n v="30591.135900000001"/>
    <n v="30591.135900000001"/>
    <n v="26853.405500000001"/>
  </r>
  <r>
    <x v="1674"/>
    <s v="Сух_Г-Кам_Н_Кушва_Н-Черм"/>
    <n v="29893.73"/>
    <n v="29893.73"/>
    <n v="26241.207699999999"/>
  </r>
  <r>
    <x v="1462"/>
    <s v="Сух_Г-Кам_Н_Кушва_Н-Черм"/>
    <n v="29893.73"/>
    <n v="29893.73"/>
    <n v="26241.207699999999"/>
  </r>
  <r>
    <x v="1675"/>
    <s v="Ст.Каменск-Хозспособ"/>
    <n v="28855.326499999999"/>
    <n v="28855.326499999999"/>
    <n v="25951.933700000001"/>
  </r>
  <r>
    <x v="1127"/>
    <s v="УАЗ"/>
    <n v="29199.565200000001"/>
    <n v="29199.565200000001"/>
    <n v="26261.5317"/>
  </r>
  <r>
    <x v="1676"/>
    <s v="Тагил_Кирп"/>
    <n v="34023.428"/>
    <n v="34023.428"/>
    <n v="29866.3148"/>
  </r>
  <r>
    <x v="1677"/>
    <s v="Алт_Гальян_М-Кушва"/>
    <n v="40018.9617"/>
    <n v="40018.9617"/>
    <n v="35129.2961"/>
  </r>
  <r>
    <x v="1262"/>
    <s v="Ленин-Олимп"/>
    <n v="32172.2909"/>
    <n v="32172.2909"/>
    <n v="28935.146499999999"/>
  </r>
  <r>
    <x v="1678"/>
    <s v="с.Сулем"/>
    <n v="21261.0285"/>
    <n v="21261.0285"/>
    <n v="20837.465199999999"/>
  </r>
  <r>
    <x v="1329"/>
    <s v="Ст.Каменск-Хозспособ"/>
    <n v="28855.326499999999"/>
    <n v="28855.326499999999"/>
    <n v="25951.933700000001"/>
  </r>
  <r>
    <x v="1679"/>
    <s v="Чкаловский"/>
    <n v="28848.8855"/>
    <n v="28848.8855"/>
    <n v="25946.143"/>
  </r>
  <r>
    <x v="1680"/>
    <s v="Совхоз"/>
    <n v="57883"/>
    <n v="57883"/>
    <n v="52414.09"/>
  </r>
  <r>
    <x v="1681"/>
    <s v="Соцгород"/>
    <n v="40100.412600000003"/>
    <n v="40100.412600000003"/>
    <n v="36501.853799999997"/>
  </r>
  <r>
    <x v="1682"/>
    <s v="Шайтанка"/>
    <n v="34007.852099999996"/>
    <n v="34007.852099999996"/>
    <n v="30956.028900000001"/>
  </r>
  <r>
    <x v="1404"/>
    <s v="Выя_Леб_Горб_Кр-Кам"/>
    <n v="36513.6518"/>
    <n v="36513.6518"/>
    <n v="32052.276999999998"/>
  </r>
  <r>
    <x v="1514"/>
    <s v="Первомайский"/>
    <n v="26641.525799999999"/>
    <n v="26641.525799999999"/>
    <n v="24250.754499999999"/>
  </r>
  <r>
    <x v="1683"/>
    <s v="Чкаловский"/>
    <n v="28848.8855"/>
    <n v="28848.8855"/>
    <n v="25946.143"/>
  </r>
  <r>
    <x v="1684"/>
    <s v="Соцгород"/>
    <n v="40100.412600000003"/>
    <n v="40100.412600000003"/>
    <n v="36501.853799999997"/>
  </r>
  <r>
    <x v="1685"/>
    <s v="Шайтанка"/>
    <n v="34007.852099999996"/>
    <n v="34007.852099999996"/>
    <n v="30956.028900000001"/>
  </r>
  <r>
    <x v="1686"/>
    <s v="Шайтанка"/>
    <n v="34007.852099999996"/>
    <n v="34007.852099999996"/>
    <n v="30956.028900000001"/>
  </r>
  <r>
    <x v="1687"/>
    <s v="Ст.Каменск-Хозспособ"/>
    <n v="28855.326499999999"/>
    <n v="28855.326499999999"/>
    <n v="25951.933700000001"/>
  </r>
  <r>
    <x v="1688"/>
    <s v="КК возле Первоуральска которые должны считаться как область"/>
    <n v="27104.663700000001"/>
    <n v="27104.663700000001"/>
    <n v="26564.688900000001"/>
  </r>
  <r>
    <x v="1689"/>
    <s v="Ваг_Стар_Пихтовы-г"/>
    <n v="40625.090199999999"/>
    <n v="40625.090199999999"/>
    <n v="35661.364300000001"/>
  </r>
  <r>
    <x v="1690"/>
    <s v="ДинСанПод"/>
    <n v="36244.5985"/>
    <n v="36244.5985"/>
    <n v="32992.053800000002"/>
  </r>
  <r>
    <x v="1413"/>
    <s v="Выя_Леб_Горб_Кр-Кам"/>
    <n v="36513.6518"/>
    <n v="36513.6518"/>
    <n v="32052.276999999998"/>
  </r>
  <r>
    <x v="1691"/>
    <s v="Ст.Каменск-Хозспособ"/>
    <n v="28855.326499999999"/>
    <n v="28855.326499999999"/>
    <n v="25951.933700000001"/>
  </r>
  <r>
    <x v="1692"/>
    <s v="Чкаловский"/>
    <n v="28848.8855"/>
    <n v="28848.8855"/>
    <n v="25946.143"/>
  </r>
  <r>
    <x v="1693"/>
    <s v="Алт_Гальян_М-Кушва"/>
    <n v="40018.9617"/>
    <n v="40018.9617"/>
    <n v="35129.2961"/>
  </r>
  <r>
    <x v="1470"/>
    <s v="Тагил_Кирп"/>
    <n v="34023.428"/>
    <n v="34023.428"/>
    <n v="29866.3148"/>
  </r>
  <r>
    <x v="1694"/>
    <s v="УАЗ"/>
    <n v="29199.565200000001"/>
    <n v="29199.565200000001"/>
    <n v="26261.5317"/>
  </r>
  <r>
    <x v="1695"/>
    <s v="ГОРНЫЙ ЩИТ"/>
    <n v="50617.09"/>
    <n v="50617.09"/>
    <n v="45834.68"/>
  </r>
  <r>
    <x v="1696"/>
    <s v="Шайтанка"/>
    <n v="34007.852099999996"/>
    <n v="34007.852099999996"/>
    <n v="30956.028900000001"/>
  </r>
  <r>
    <x v="1376"/>
    <s v="Алт_Гальян_М-Кушва"/>
    <n v="40018.9617"/>
    <n v="40018.9617"/>
    <n v="35129.2961"/>
  </r>
  <r>
    <x v="1489"/>
    <s v="Центр"/>
    <n v="91057.85"/>
    <n v="91057.85"/>
    <n v="82454.509999999995"/>
  </r>
  <r>
    <x v="1697"/>
    <s v="Октябрьский"/>
    <n v="39105.413099999998"/>
    <n v="39105.413099999998"/>
    <n v="35170.666700000002"/>
  </r>
  <r>
    <x v="1698"/>
    <s v="УАЗ"/>
    <n v="29199.565200000001"/>
    <n v="29199.565200000001"/>
    <n v="26261.5317"/>
  </r>
  <r>
    <x v="1516"/>
    <s v="Соцгород"/>
    <n v="40100.412600000003"/>
    <n v="40100.412600000003"/>
    <n v="36501.853799999997"/>
  </r>
  <r>
    <x v="1520"/>
    <s v="Хромпик"/>
    <n v="38473.686099999999"/>
    <n v="38473.686099999999"/>
    <n v="35021.100899999998"/>
  </r>
  <r>
    <x v="1699"/>
    <s v="Октябрьский"/>
    <n v="39105.413099999998"/>
    <n v="39105.413099999998"/>
    <n v="35170.666700000002"/>
  </r>
  <r>
    <x v="1700"/>
    <s v="Ленин-Олимп"/>
    <n v="32172.2909"/>
    <n v="32172.2909"/>
    <n v="28935.146499999999"/>
  </r>
  <r>
    <x v="1701"/>
    <s v="Ваг_Стар_Пихтовы-г"/>
    <n v="40625.090199999999"/>
    <n v="40625.090199999999"/>
    <n v="35661.364300000001"/>
  </r>
  <r>
    <x v="1140"/>
    <s v="Октябрьский"/>
    <n v="39105.413099999998"/>
    <n v="39105.413099999998"/>
    <n v="35170.666700000002"/>
  </r>
  <r>
    <x v="1515"/>
    <s v="Соцгород"/>
    <n v="40100.412600000003"/>
    <n v="40100.412600000003"/>
    <n v="36501.853799999997"/>
  </r>
  <r>
    <x v="1702"/>
    <s v="Шайтанка"/>
    <n v="34007.852099999996"/>
    <n v="34007.852099999996"/>
    <n v="30956.028900000001"/>
  </r>
  <r>
    <x v="1703"/>
    <s v="ДинСанПод"/>
    <n v="36244.5985"/>
    <n v="36244.5985"/>
    <n v="32992.053800000002"/>
  </r>
  <r>
    <x v="1704"/>
    <s v="Чкаловский"/>
    <n v="28848.8855"/>
    <n v="28848.8855"/>
    <n v="25946.143"/>
  </r>
  <r>
    <x v="1705"/>
    <s v="Шайтанка"/>
    <n v="34007.852099999996"/>
    <n v="34007.852099999996"/>
    <n v="30956.028900000001"/>
  </r>
  <r>
    <x v="1706"/>
    <s v="Выя_Леб_Горб_Кр-Кам"/>
    <n v="36513.6518"/>
    <n v="36513.6518"/>
    <n v="32052.276999999998"/>
  </r>
  <r>
    <x v="1707"/>
    <s v="Соцгород"/>
    <n v="40100.412600000003"/>
    <n v="40100.412600000003"/>
    <n v="36501.853799999997"/>
  </r>
  <r>
    <x v="1501"/>
    <s v="ДинСанПод"/>
    <n v="36244.5985"/>
    <n v="36244.5985"/>
    <n v="32992.053800000002"/>
  </r>
  <r>
    <x v="1438"/>
    <s v="Рудник_Север"/>
    <n v="30591.135900000001"/>
    <n v="30591.135900000001"/>
    <n v="26853.405500000001"/>
  </r>
  <r>
    <x v="1445"/>
    <s v="Сух_Г-Кам_Н_Кушва_Н-Черм"/>
    <n v="29893.73"/>
    <n v="29893.73"/>
    <n v="26241.207699999999"/>
  </r>
  <r>
    <x v="1708"/>
    <s v="Чкаловский"/>
    <n v="28848.8855"/>
    <n v="28848.8855"/>
    <n v="25946.143"/>
  </r>
  <r>
    <x v="1709"/>
    <s v="Ст.Каменск-Хозспособ"/>
    <n v="28855.326499999999"/>
    <n v="28855.326499999999"/>
    <n v="25951.933700000001"/>
  </r>
  <r>
    <x v="1447"/>
    <s v="Сух_Г-Кам_Н_Кушва_Н-Черм"/>
    <n v="29893.73"/>
    <n v="29893.73"/>
    <n v="26241.207699999999"/>
  </r>
  <r>
    <x v="1710"/>
    <s v="УАЗ"/>
    <n v="29199.565200000001"/>
    <n v="29199.565200000001"/>
    <n v="26261.5317"/>
  </r>
  <r>
    <x v="1711"/>
    <s v="ЛЕЧЕБНЫЙ"/>
    <n v="55990.2"/>
    <n v="55990.2"/>
    <n v="50700.12"/>
  </r>
  <r>
    <x v="1388"/>
    <s v="Ваг_Стар_Пихтовы-г"/>
    <n v="40625.090199999999"/>
    <n v="40625.090199999999"/>
    <n v="35661.364300000001"/>
  </r>
  <r>
    <x v="1712"/>
    <s v="ДинСанПод"/>
    <n v="36244.5985"/>
    <n v="36244.5985"/>
    <n v="32992.053800000002"/>
  </r>
  <r>
    <x v="1713"/>
    <s v="Ваг_Стар_Пихтовы-г"/>
    <n v="40625.090199999999"/>
    <n v="40625.090199999999"/>
    <n v="35661.364300000001"/>
  </r>
  <r>
    <x v="1714"/>
    <s v="Выя_Леб_Горб_Кр-Кам"/>
    <n v="36513.6518"/>
    <n v="36513.6518"/>
    <n v="32052.276999999998"/>
  </r>
  <r>
    <x v="1715"/>
    <s v="Шайтанка"/>
    <n v="34007.852099999996"/>
    <n v="34007.852099999996"/>
    <n v="30956.028900000001"/>
  </r>
  <r>
    <x v="1716"/>
    <s v="Хромпик"/>
    <n v="38473.686099999999"/>
    <n v="38473.686099999999"/>
    <n v="35021.100899999998"/>
  </r>
  <r>
    <x v="1717"/>
    <s v="Шайтанка"/>
    <n v="34007.852099999996"/>
    <n v="34007.852099999996"/>
    <n v="30956.028900000001"/>
  </r>
  <r>
    <x v="1173"/>
    <s v="Октябрьский"/>
    <n v="39105.413099999998"/>
    <n v="39105.413099999998"/>
    <n v="35170.666700000002"/>
  </r>
  <r>
    <x v="1718"/>
    <s v="КК возле Первоуральска которые должны считаться как область"/>
    <n v="27104.663700000001"/>
    <n v="27104.663700000001"/>
    <n v="26564.688900000001"/>
  </r>
  <r>
    <x v="1719"/>
    <s v="Ваг_Стар_Пихтовы-г"/>
    <n v="40625.090199999999"/>
    <n v="40625.090199999999"/>
    <n v="35661.364300000001"/>
  </r>
  <r>
    <x v="1463"/>
    <s v="Сух_Г-Кам_Н_Кушва_Н-Черм"/>
    <n v="29893.73"/>
    <n v="29893.73"/>
    <n v="26241.207699999999"/>
  </r>
  <r>
    <x v="1509"/>
    <s v="Западный"/>
    <n v="38366.254699999998"/>
    <n v="38366.254699999998"/>
    <n v="34923.320599999999"/>
  </r>
  <r>
    <x v="1720"/>
    <s v="ДинСанПод"/>
    <n v="36244.5985"/>
    <n v="36244.5985"/>
    <n v="32992.053800000002"/>
  </r>
  <r>
    <x v="1356"/>
    <s v="Алт_Гальян_М-Кушва"/>
    <n v="40018.9617"/>
    <n v="40018.9617"/>
    <n v="35129.2961"/>
  </r>
  <r>
    <x v="1721"/>
    <s v="ДинСанПод"/>
    <n v="36244.5985"/>
    <n v="36244.5985"/>
    <n v="32992.053800000002"/>
  </r>
  <r>
    <x v="1722"/>
    <s v="Шайтанка"/>
    <n v="34007.852099999996"/>
    <n v="34007.852099999996"/>
    <n v="30956.028900000001"/>
  </r>
  <r>
    <x v="1723"/>
    <s v="Алт_Гальян_М-Кушва"/>
    <n v="40018.9617"/>
    <n v="40018.9617"/>
    <n v="35129.2961"/>
  </r>
  <r>
    <x v="1724"/>
    <s v="УАЗ-II"/>
    <n v="35756.285400000001"/>
    <n v="35756.285400000001"/>
    <n v="32158.5213"/>
  </r>
  <r>
    <x v="1521"/>
    <s v="Центр"/>
    <n v="91057.85"/>
    <n v="91057.85"/>
    <n v="82454.509999999995"/>
  </r>
  <r>
    <x v="1091"/>
    <s v="ШАБРОВСКИЙ"/>
    <n v="36417.71"/>
    <n v="36417.71"/>
    <n v="32976.89"/>
  </r>
  <r>
    <x v="1725"/>
    <s v="ДинСанПод"/>
    <n v="36244.5985"/>
    <n v="36244.5985"/>
    <n v="32992.053800000002"/>
  </r>
  <r>
    <x v="1431"/>
    <s v="Евст_В-Черм"/>
    <n v="24299.835599999999"/>
    <n v="24299.835599999999"/>
    <n v="21330.794900000001"/>
  </r>
  <r>
    <x v="1437"/>
    <s v="Рудник_Север"/>
    <n v="30591.135900000001"/>
    <n v="30591.135900000001"/>
    <n v="26853.405500000001"/>
  </r>
  <r>
    <x v="1726"/>
    <s v="ПОЛЕВОДСТВО"/>
    <n v="53954.93"/>
    <n v="53954.93"/>
    <n v="48857.15"/>
  </r>
  <r>
    <x v="1727"/>
    <s v="Ст.Каменск-Хозспособ"/>
    <n v="28855.326499999999"/>
    <n v="28855.326499999999"/>
    <n v="25951.933700000001"/>
  </r>
  <r>
    <x v="1472"/>
    <s v="Тагил_Кирп"/>
    <n v="34023.428"/>
    <n v="34023.428"/>
    <n v="29866.3148"/>
  </r>
  <r>
    <x v="1728"/>
    <s v="КК возле Первоуральска которые должны считаться как область"/>
    <n v="27104.663700000001"/>
    <n v="27104.663700000001"/>
    <n v="26564.688900000001"/>
  </r>
  <r>
    <x v="1729"/>
    <s v="ДинСанПод"/>
    <n v="36244.5985"/>
    <n v="36244.5985"/>
    <n v="32992.053800000002"/>
  </r>
  <r>
    <x v="1730"/>
    <s v="ДинСанПод"/>
    <n v="36244.5985"/>
    <n v="36244.5985"/>
    <n v="32992.053800000002"/>
  </r>
  <r>
    <x v="1731"/>
    <s v="Ст.Каменск-Хозспособ"/>
    <n v="28855.326499999999"/>
    <n v="28855.326499999999"/>
    <n v="25951.933700000001"/>
  </r>
  <r>
    <x v="1732"/>
    <s v="УАЗ-III - 49 кв."/>
    <n v="35563.243300000002"/>
    <n v="35563.243300000002"/>
    <n v="31984.905299999999"/>
  </r>
  <r>
    <x v="1733"/>
    <s v="Сух_Г-Кам_Н_Кушва_Н-Черм"/>
    <n v="29893.73"/>
    <n v="29893.73"/>
    <n v="26241.207699999999"/>
  </r>
  <r>
    <x v="1734"/>
    <s v="МЕДНЫЙ"/>
    <n v="49741.93"/>
    <n v="49741.93"/>
    <n v="45042.2"/>
  </r>
  <r>
    <x v="1735"/>
    <s v="Чкаловский"/>
    <n v="28848.8855"/>
    <n v="28848.8855"/>
    <n v="25946.143"/>
  </r>
  <r>
    <x v="1736"/>
    <s v="Ваг_Стар_Пихтовы-г"/>
    <n v="40625.090199999999"/>
    <n v="40625.090199999999"/>
    <n v="35661.364300000001"/>
  </r>
  <r>
    <x v="1371"/>
    <s v="Алт_Гальян_М-Кушва"/>
    <n v="40018.9617"/>
    <n v="40018.9617"/>
    <n v="35129.2961"/>
  </r>
  <r>
    <x v="1737"/>
    <s v="ДинСанПод"/>
    <n v="36244.5985"/>
    <n v="36244.5985"/>
    <n v="32992.053800000002"/>
  </r>
  <r>
    <x v="1738"/>
    <s v="УАЗ"/>
    <n v="29199.565200000001"/>
    <n v="29199.565200000001"/>
    <n v="26261.5317"/>
  </r>
  <r>
    <x v="1739"/>
    <s v="Ленин-Олимп"/>
    <n v="32172.2909"/>
    <n v="32172.2909"/>
    <n v="28935.146499999999"/>
  </r>
  <r>
    <x v="1740"/>
    <s v="ДинСанПод"/>
    <n v="36244.5985"/>
    <n v="36244.5985"/>
    <n v="32992.053800000002"/>
  </r>
  <r>
    <x v="1252"/>
    <s v="Ленин-Олимп"/>
    <n v="32172.2909"/>
    <n v="32172.2909"/>
    <n v="28935.146499999999"/>
  </r>
  <r>
    <x v="1741"/>
    <s v="Ленин-Олимп"/>
    <n v="32172.2909"/>
    <n v="32172.2909"/>
    <n v="28935.146499999999"/>
  </r>
  <r>
    <x v="1742"/>
    <s v="Алт_Гальян_М-Кушва"/>
    <n v="40018.9617"/>
    <n v="40018.9617"/>
    <n v="35129.2961"/>
  </r>
  <r>
    <x v="1743"/>
    <s v="Северный"/>
    <n v="29151.309799999999"/>
    <n v="29151.309799999999"/>
    <n v="26218.127700000001"/>
  </r>
  <r>
    <x v="1744"/>
    <s v="Ленин-Олимп"/>
    <n v="32172.2909"/>
    <n v="32172.2909"/>
    <n v="28935.146499999999"/>
  </r>
  <r>
    <x v="1745"/>
    <s v="Ст.Каменск-Хозспособ"/>
    <n v="28855.326499999999"/>
    <n v="28855.326499999999"/>
    <n v="25951.933700000001"/>
  </r>
  <r>
    <x v="1746"/>
    <s v="ДинСанПод"/>
    <n v="36244.5985"/>
    <n v="36244.5985"/>
    <n v="32992.053800000002"/>
  </r>
  <r>
    <x v="1265"/>
    <s v="Ленин-Олимп"/>
    <n v="32172.2909"/>
    <n v="32172.2909"/>
    <n v="28935.146499999999"/>
  </r>
  <r>
    <x v="1747"/>
    <s v="КК возле Первоуральска которые должны считаться как область"/>
    <n v="27104.663700000001"/>
    <n v="27104.663700000001"/>
    <n v="26564.688900000001"/>
  </r>
  <r>
    <x v="1748"/>
    <s v="Шайтанка"/>
    <n v="34007.852099999996"/>
    <n v="34007.852099999996"/>
    <n v="30956.028900000001"/>
  </r>
  <r>
    <x v="1749"/>
    <s v="Ленин-Олимп"/>
    <n v="32172.2909"/>
    <n v="32172.2909"/>
    <n v="28935.146499999999"/>
  </r>
  <r>
    <x v="1359"/>
    <s v="Алт_Гальян_М-Кушва"/>
    <n v="40018.9617"/>
    <n v="40018.9617"/>
    <n v="35129.2961"/>
  </r>
  <r>
    <x v="1750"/>
    <s v="Чкаловский"/>
    <n v="28848.8855"/>
    <n v="28848.8855"/>
    <n v="25946.143"/>
  </r>
  <r>
    <x v="1751"/>
    <s v="Ваг_Стар_Пихтовы-г"/>
    <n v="40625.090199999999"/>
    <n v="40625.090199999999"/>
    <n v="35661.364300000001"/>
  </r>
  <r>
    <x v="1752"/>
    <s v="Ст.Каменск-Хозспособ"/>
    <n v="28855.326499999999"/>
    <n v="28855.326499999999"/>
    <n v="25951.933700000001"/>
  </r>
  <r>
    <x v="1753"/>
    <s v="Ленин-Олимп"/>
    <n v="32172.2909"/>
    <n v="32172.2909"/>
    <n v="28935.146499999999"/>
  </r>
  <r>
    <x v="1321"/>
    <s v="Ст.Каменск-Хозспособ"/>
    <n v="28855.326499999999"/>
    <n v="28855.326499999999"/>
    <n v="25951.933700000001"/>
  </r>
  <r>
    <x v="1754"/>
    <s v="Соцгород"/>
    <n v="40100.412600000003"/>
    <n v="40100.412600000003"/>
    <n v="36501.853799999997"/>
  </r>
  <r>
    <x v="1755"/>
    <s v="Шайтанка"/>
    <n v="34007.852099999996"/>
    <n v="34007.852099999996"/>
    <n v="30956.028900000001"/>
  </r>
  <r>
    <x v="1756"/>
    <s v="УАЗ"/>
    <n v="29199.565200000001"/>
    <n v="29199.565200000001"/>
    <n v="26261.5317"/>
  </r>
  <r>
    <x v="1407"/>
    <s v="Выя_Леб_Горб_Кр-Кам"/>
    <n v="36513.6518"/>
    <n v="36513.6518"/>
    <n v="32052.276999999998"/>
  </r>
  <r>
    <x v="1343"/>
    <s v="Ст.Каменск-Хозспособ"/>
    <n v="28855.326499999999"/>
    <n v="28855.326499999999"/>
    <n v="25951.933700000001"/>
  </r>
  <r>
    <x v="1757"/>
    <s v="Сух_Г-Кам_Н_Кушва_Н-Черм"/>
    <n v="29893.73"/>
    <n v="29893.73"/>
    <n v="26241.207699999999"/>
  </r>
  <r>
    <x v="1332"/>
    <s v="Ст.Каменск-Хозспособ"/>
    <n v="28855.326499999999"/>
    <n v="28855.326499999999"/>
    <n v="25951.933700000001"/>
  </r>
  <r>
    <x v="1758"/>
    <s v="Совхоз"/>
    <n v="57883"/>
    <n v="57883"/>
    <n v="52414.09"/>
  </r>
  <r>
    <x v="1759"/>
    <s v="Северный"/>
    <n v="29151.309799999999"/>
    <n v="29151.309799999999"/>
    <n v="26218.127700000001"/>
  </r>
  <r>
    <x v="1760"/>
    <s v="ДинСанПод"/>
    <n v="36244.5985"/>
    <n v="36244.5985"/>
    <n v="32992.053800000002"/>
  </r>
  <r>
    <x v="1761"/>
    <s v="ДинСанПод"/>
    <n v="36244.5985"/>
    <n v="36244.5985"/>
    <n v="32992.053800000002"/>
  </r>
  <r>
    <x v="1762"/>
    <s v="Октябрьский"/>
    <n v="39105.413099999998"/>
    <n v="39105.413099999998"/>
    <n v="35170.666700000002"/>
  </r>
  <r>
    <x v="1763"/>
    <s v="Ленин-Олимп"/>
    <n v="32172.2909"/>
    <n v="32172.2909"/>
    <n v="28935.146499999999"/>
  </r>
  <r>
    <x v="1764"/>
    <s v="УАЗ"/>
    <n v="29199.565200000001"/>
    <n v="29199.565200000001"/>
    <n v="26261.5317"/>
  </r>
  <r>
    <x v="1765"/>
    <s v="Соцгород"/>
    <n v="40100.412600000003"/>
    <n v="40100.412600000003"/>
    <n v="36501.853799999997"/>
  </r>
  <r>
    <x v="1766"/>
    <s v="УАЗ"/>
    <n v="29199.565200000001"/>
    <n v="29199.565200000001"/>
    <n v="26261.5317"/>
  </r>
  <r>
    <x v="1362"/>
    <s v="Алт_Гальян_М-Кушва"/>
    <n v="40018.9617"/>
    <n v="40018.9617"/>
    <n v="35129.2961"/>
  </r>
  <r>
    <x v="1767"/>
    <s v="Ст.Каменск-Хозспособ"/>
    <n v="28855.326499999999"/>
    <n v="28855.326499999999"/>
    <n v="25951.933700000001"/>
  </r>
  <r>
    <x v="1499"/>
    <s v="ДинСанПод"/>
    <n v="36244.5985"/>
    <n v="36244.5985"/>
    <n v="32992.053800000002"/>
  </r>
  <r>
    <x v="1768"/>
    <s v="Ст.Каменск-Хозспособ"/>
    <n v="28855.326499999999"/>
    <n v="28855.326499999999"/>
    <n v="25951.933700000001"/>
  </r>
  <r>
    <x v="1769"/>
    <s v="Алт_Гальян_М-Кушва"/>
    <n v="40018.9617"/>
    <n v="40018.9617"/>
    <n v="35129.2961"/>
  </r>
  <r>
    <x v="1770"/>
    <s v="Алт_Гальян_М-Кушва"/>
    <n v="40018.9617"/>
    <n v="40018.9617"/>
    <n v="35129.2961"/>
  </r>
  <r>
    <x v="1496"/>
    <s v="Центр"/>
    <n v="91057.85"/>
    <n v="91057.85"/>
    <n v="82454.509999999995"/>
  </r>
  <r>
    <x v="1771"/>
    <s v="КК возле Первоуральска которые должны считаться как область"/>
    <n v="27104.663700000001"/>
    <n v="27104.663700000001"/>
    <n v="26564.688900000001"/>
  </r>
  <r>
    <x v="1772"/>
    <s v="Выя_Леб_Горб_Кр-Кам"/>
    <n v="36513.6518"/>
    <n v="36513.6518"/>
    <n v="32052.276999999998"/>
  </r>
  <r>
    <x v="1773"/>
    <s v="ДинСанПод"/>
    <n v="36244.5985"/>
    <n v="36244.5985"/>
    <n v="32992.053800000002"/>
  </r>
  <r>
    <x v="1774"/>
    <s v="Шайтанка"/>
    <n v="34007.852099999996"/>
    <n v="34007.852099999996"/>
    <n v="30956.028900000001"/>
  </r>
  <r>
    <x v="1775"/>
    <s v="Ваг_Стар_Пихтовы-г"/>
    <n v="40625.090199999999"/>
    <n v="40625.090199999999"/>
    <n v="35661.364300000001"/>
  </r>
  <r>
    <x v="1776"/>
    <s v="Северный"/>
    <n v="29151.309799999999"/>
    <n v="29151.309799999999"/>
    <n v="26218.127700000001"/>
  </r>
  <r>
    <x v="1385"/>
    <s v="Ваг_Стар_Пихтовы-г"/>
    <n v="40625.090199999999"/>
    <n v="40625.090199999999"/>
    <n v="35661.364300000001"/>
  </r>
  <r>
    <x v="1777"/>
    <s v="УАЗ-II"/>
    <n v="35756.285400000001"/>
    <n v="35756.285400000001"/>
    <n v="32158.5213"/>
  </r>
  <r>
    <x v="1170"/>
    <s v="Октябрьский"/>
    <n v="39105.413099999998"/>
    <n v="39105.413099999998"/>
    <n v="35170.666700000002"/>
  </r>
  <r>
    <x v="1525"/>
    <s v="Шайтанка"/>
    <n v="34007.852099999996"/>
    <n v="34007.852099999996"/>
    <n v="30956.028900000001"/>
  </r>
  <r>
    <x v="1778"/>
    <s v="Шайтанка"/>
    <n v="34007.852099999996"/>
    <n v="34007.852099999996"/>
    <n v="30956.028900000001"/>
  </r>
  <r>
    <x v="1779"/>
    <s v="Алт_Гальян_М-Кушва"/>
    <n v="40018.9617"/>
    <n v="40018.9617"/>
    <n v="35129.2961"/>
  </r>
  <r>
    <x v="1286"/>
    <s v="Ст.Каменск-Хозспособ"/>
    <n v="28855.326499999999"/>
    <n v="28855.326499999999"/>
    <n v="25951.933700000001"/>
  </r>
  <r>
    <x v="1498"/>
    <s v="Веер"/>
    <n v="41385.677100000001"/>
    <n v="41385.677100000001"/>
    <n v="37671.780200000001"/>
  </r>
  <r>
    <x v="1390"/>
    <s v="Ваг_Стар_Пихтовы-г"/>
    <n v="40625.090199999999"/>
    <n v="40625.090199999999"/>
    <n v="35661.364300000001"/>
  </r>
  <r>
    <x v="1780"/>
    <s v="ДинСанПод"/>
    <n v="36244.5985"/>
    <n v="36244.5985"/>
    <n v="32992.053800000002"/>
  </r>
  <r>
    <x v="1781"/>
    <s v="Тагил_Кирп"/>
    <n v="34023.428"/>
    <n v="34023.428"/>
    <n v="29866.3148"/>
  </r>
  <r>
    <x v="1782"/>
    <s v="Выя_Леб_Горб_Кр-Кам"/>
    <n v="36513.6518"/>
    <n v="36513.6518"/>
    <n v="32052.276999999998"/>
  </r>
  <r>
    <x v="1456"/>
    <s v="Сух_Г-Кам_Н_Кушва_Н-Черм"/>
    <n v="29893.73"/>
    <n v="29893.73"/>
    <n v="26241.207699999999"/>
  </r>
  <r>
    <x v="1783"/>
    <s v="Рудник_Север"/>
    <n v="30591.135900000001"/>
    <n v="30591.135900000001"/>
    <n v="26853.405500000001"/>
  </r>
  <r>
    <x v="1784"/>
    <s v="Ваг_Стар_Пихтовы-г"/>
    <n v="40625.090199999999"/>
    <n v="40625.090199999999"/>
    <n v="35661.364300000001"/>
  </r>
  <r>
    <x v="1785"/>
    <s v="Талица"/>
    <n v="36808.582300000002"/>
    <n v="36808.582300000002"/>
    <n v="33505.428800000002"/>
  </r>
  <r>
    <x v="1432"/>
    <s v="Евст_В-Черм"/>
    <n v="24299.835599999999"/>
    <n v="24299.835599999999"/>
    <n v="21330.794900000001"/>
  </r>
  <r>
    <x v="1786"/>
    <s v="Октябрьский"/>
    <n v="39105.413099999998"/>
    <n v="39105.413099999998"/>
    <n v="35170.666700000002"/>
  </r>
  <r>
    <x v="1787"/>
    <s v="Ст.Каменск-Хозспособ"/>
    <n v="28855.326499999999"/>
    <n v="28855.326499999999"/>
    <n v="25951.933700000001"/>
  </r>
  <r>
    <x v="1788"/>
    <s v="Ст.Каменск-Хозспособ"/>
    <n v="28855.326499999999"/>
    <n v="28855.326499999999"/>
    <n v="25951.933700000001"/>
  </r>
  <r>
    <x v="1789"/>
    <s v="Ст.Каменск-Хозспособ"/>
    <n v="28855.326499999999"/>
    <n v="28855.326499999999"/>
    <n v="25951.933700000001"/>
  </r>
  <r>
    <x v="1523"/>
    <s v="Шайтанка"/>
    <n v="34007.852099999996"/>
    <n v="34007.852099999996"/>
    <n v="30956.028900000001"/>
  </r>
  <r>
    <x v="79"/>
    <s v="ШИРОКАЯ РЕЧКА"/>
    <n v="61207.26"/>
    <n v="61207.26"/>
    <n v="55424.27"/>
  </r>
  <r>
    <x v="1790"/>
    <s v="КК возле Первоуральска которые должны считаться как область"/>
    <n v="27104.663700000001"/>
    <n v="27104.663700000001"/>
    <n v="26564.688900000001"/>
  </r>
  <r>
    <x v="1396"/>
    <s v="Ваг_Стар_Пихтовы-г"/>
    <n v="40625.090199999999"/>
    <n v="40625.090199999999"/>
    <n v="35661.364300000001"/>
  </r>
  <r>
    <x v="1791"/>
    <s v="Октябрьский"/>
    <n v="39105.413099999998"/>
    <n v="39105.413099999998"/>
    <n v="35170.666700000002"/>
  </r>
  <r>
    <x v="1465"/>
    <s v="Сух_Г-Кам_Н_Кушва_Н-Черм"/>
    <n v="29893.73"/>
    <n v="29893.73"/>
    <n v="26241.207699999999"/>
  </r>
  <r>
    <x v="1792"/>
    <s v="УАЗ-III - 49 кв."/>
    <n v="35563.243300000002"/>
    <n v="35563.243300000002"/>
    <n v="31984.905299999999"/>
  </r>
  <r>
    <x v="1793"/>
    <s v="Выя_Леб_Горб_Кр-Кам"/>
    <n v="36513.6518"/>
    <n v="36513.6518"/>
    <n v="32052.276999999998"/>
  </r>
  <r>
    <x v="1185"/>
    <s v="Северный"/>
    <n v="29151.309799999999"/>
    <n v="29151.309799999999"/>
    <n v="26218.127700000001"/>
  </r>
  <r>
    <x v="1510"/>
    <s v="Магнитка"/>
    <n v="32948.938800000004"/>
    <n v="32948.938800000004"/>
    <n v="29992.139899999998"/>
  </r>
  <r>
    <x v="1794"/>
    <s v="Ленин-Олимп"/>
    <n v="32172.2909"/>
    <n v="32172.2909"/>
    <n v="28935.146499999999"/>
  </r>
  <r>
    <x v="1795"/>
    <s v="УАЗ"/>
    <n v="29199.565200000001"/>
    <n v="29199.565200000001"/>
    <n v="26261.5317"/>
  </r>
  <r>
    <x v="1796"/>
    <s v="Алт_Гальян_М-Кушва"/>
    <n v="40018.9617"/>
    <n v="40018.9617"/>
    <n v="35129.2961"/>
  </r>
  <r>
    <x v="1797"/>
    <s v="Шайтанка"/>
    <n v="34007.852099999996"/>
    <n v="34007.852099999996"/>
    <n v="30956.028900000001"/>
  </r>
  <r>
    <x v="1798"/>
    <s v="ШИРОКАЯ РЕЧКА"/>
    <n v="61207.26"/>
    <n v="61207.26"/>
    <n v="55424.27"/>
  </r>
  <r>
    <x v="1799"/>
    <s v="ДинСанПод"/>
    <n v="36244.5985"/>
    <n v="36244.5985"/>
    <n v="32992.053800000002"/>
  </r>
  <r>
    <x v="1800"/>
    <s v="ДинСанПод"/>
    <n v="36244.5985"/>
    <n v="36244.5985"/>
    <n v="32992.053800000002"/>
  </r>
  <r>
    <x v="1801"/>
    <s v="Ленин-Олимп"/>
    <n v="32172.2909"/>
    <n v="32172.2909"/>
    <n v="28935.146499999999"/>
  </r>
  <r>
    <x v="1802"/>
    <s v="Выя_Леб_Горб_Кр-Кам"/>
    <n v="36513.6518"/>
    <n v="36513.6518"/>
    <n v="32052.276999999998"/>
  </r>
  <r>
    <x v="1803"/>
    <s v="КК возле Первоуральска которые должны считаться как область"/>
    <n v="27104.663700000001"/>
    <n v="27104.663700000001"/>
    <n v="26564.688900000001"/>
  </r>
  <r>
    <x v="1804"/>
    <s v="УАЗ-III - 49 кв."/>
    <n v="35563.243300000002"/>
    <n v="35563.243300000002"/>
    <n v="31984.905299999999"/>
  </r>
  <r>
    <x v="1805"/>
    <s v="Сух_Г-Кам_Н_Кушва_Н-Черм"/>
    <n v="29893.73"/>
    <n v="29893.73"/>
    <n v="26241.207699999999"/>
  </r>
  <r>
    <x v="1806"/>
    <s v="Южный"/>
    <n v="37400.280599999998"/>
    <n v="37400.280599999998"/>
    <n v="33637.106500000002"/>
  </r>
  <r>
    <x v="1807"/>
    <s v="ДинСанПод"/>
    <n v="36244.5985"/>
    <n v="36244.5985"/>
    <n v="32992.053800000002"/>
  </r>
  <r>
    <x v="1808"/>
    <s v="Ваг_Стар_Пихтовы-г"/>
    <n v="40625.090199999999"/>
    <n v="40625.090199999999"/>
    <n v="35661.364300000001"/>
  </r>
  <r>
    <x v="1809"/>
    <s v="Ленин-Олимп"/>
    <n v="32172.2909"/>
    <n v="32172.2909"/>
    <n v="28935.146499999999"/>
  </r>
  <r>
    <x v="1810"/>
    <s v="Северный"/>
    <n v="29151.309799999999"/>
    <n v="29151.309799999999"/>
    <n v="26218.127700000001"/>
  </r>
  <r>
    <x v="1451"/>
    <s v="Сух_Г-Кам_Н_Кушва_Н-Черм"/>
    <n v="29893.73"/>
    <n v="29893.73"/>
    <n v="26241.207699999999"/>
  </r>
  <r>
    <x v="1811"/>
    <s v="Соцгород"/>
    <n v="40100.412600000003"/>
    <n v="40100.412600000003"/>
    <n v="36501.853799999997"/>
  </r>
  <r>
    <x v="1487"/>
    <s v="Центр"/>
    <n v="91057.85"/>
    <n v="91057.85"/>
    <n v="82454.509999999995"/>
  </r>
  <r>
    <x v="1812"/>
    <s v="Ст.Каменск-Хозспособ"/>
    <n v="28855.326499999999"/>
    <n v="28855.326499999999"/>
    <n v="25951.933700000001"/>
  </r>
  <r>
    <x v="1260"/>
    <s v="Ленин-Олимп"/>
    <n v="32172.2909"/>
    <n v="32172.2909"/>
    <n v="28935.146499999999"/>
  </r>
  <r>
    <x v="1813"/>
    <s v="Ст.Каменск-Хозспособ"/>
    <n v="28855.326499999999"/>
    <n v="28855.326499999999"/>
    <n v="25951.933700000001"/>
  </r>
  <r>
    <x v="1814"/>
    <s v="Сух_Г-Кам_Н_Кушва_Н-Черм"/>
    <n v="29893.73"/>
    <n v="29893.73"/>
    <n v="26241.207699999999"/>
  </r>
  <r>
    <x v="1815"/>
    <s v="УАЗ-III - 49 кв."/>
    <n v="35563.243300000002"/>
    <n v="35563.243300000002"/>
    <n v="31984.905299999999"/>
  </r>
  <r>
    <x v="1816"/>
    <s v="Ваг_Стар_Пихтовы-г"/>
    <n v="40625.090199999999"/>
    <n v="40625.090199999999"/>
    <n v="35661.364300000001"/>
  </r>
  <r>
    <x v="1817"/>
    <s v="Выя_Леб_Горб_Кр-Кам"/>
    <n v="36513.6518"/>
    <n v="36513.6518"/>
    <n v="32052.276999999998"/>
  </r>
  <r>
    <x v="1818"/>
    <s v="Выя_Леб_Горб_Кр-Кам"/>
    <n v="36513.6518"/>
    <n v="36513.6518"/>
    <n v="32052.276999999998"/>
  </r>
  <r>
    <x v="1819"/>
    <s v="ДинСанПод"/>
    <n v="36244.5985"/>
    <n v="36244.5985"/>
    <n v="32992.053800000002"/>
  </r>
  <r>
    <x v="1820"/>
    <s v="Сух_Г-Кам_Н_Кушва_Н-Черм"/>
    <n v="29893.73"/>
    <n v="29893.73"/>
    <n v="26241.207699999999"/>
  </r>
  <r>
    <x v="1821"/>
    <s v="Выя_Леб_Горб_Кр-Кам"/>
    <n v="36513.6518"/>
    <n v="36513.6518"/>
    <n v="32052.276999999998"/>
  </r>
  <r>
    <x v="1822"/>
    <s v="Ваг_Стар_Пихтовы-г"/>
    <n v="40625.090199999999"/>
    <n v="40625.090199999999"/>
    <n v="35661.364300000001"/>
  </r>
  <r>
    <x v="1823"/>
    <s v="Ваг_Стар_Пихтовы-г"/>
    <n v="40625.090199999999"/>
    <n v="40625.090199999999"/>
    <n v="35661.364300000001"/>
  </r>
  <r>
    <x v="1824"/>
    <s v="Совхоз"/>
    <n v="57883"/>
    <n v="57883"/>
    <n v="52414.09"/>
  </r>
  <r>
    <x v="1825"/>
    <s v="Совхоз"/>
    <n v="57883"/>
    <n v="57883"/>
    <n v="52414.09"/>
  </r>
  <r>
    <x v="1826"/>
    <s v="Ваг_Стар_Пихтовы-г"/>
    <n v="40625.090199999999"/>
    <n v="40625.090199999999"/>
    <n v="35661.364300000001"/>
  </r>
  <r>
    <x v="1827"/>
    <s v="ДинСанПод"/>
    <n v="36244.5985"/>
    <n v="36244.5985"/>
    <n v="32992.053800000002"/>
  </r>
  <r>
    <x v="1828"/>
    <s v="Ст.Каменск-Хозспособ"/>
    <n v="28855.326499999999"/>
    <n v="28855.326499999999"/>
    <n v="25951.933700000001"/>
  </r>
  <r>
    <x v="1829"/>
    <s v="Чкаловский"/>
    <n v="28848.8855"/>
    <n v="28848.8855"/>
    <n v="25946.143"/>
  </r>
  <r>
    <x v="1830"/>
    <s v="Талица"/>
    <n v="36808.582300000002"/>
    <n v="36808.582300000002"/>
    <n v="33505.428800000002"/>
  </r>
  <r>
    <x v="1831"/>
    <s v="ДинСанПод"/>
    <n v="36244.5985"/>
    <n v="36244.5985"/>
    <n v="32992.053800000002"/>
  </r>
  <r>
    <x v="1832"/>
    <s v="Совхоз"/>
    <n v="57883"/>
    <n v="57883"/>
    <n v="52414.09"/>
  </r>
  <r>
    <x v="1833"/>
    <s v="Совхоз"/>
    <n v="57883"/>
    <n v="57883"/>
    <n v="52414.09"/>
  </r>
  <r>
    <x v="1834"/>
    <s v="ДинСанПод"/>
    <n v="36244.5985"/>
    <n v="36244.5985"/>
    <n v="32992.053800000002"/>
  </r>
  <r>
    <x v="1835"/>
    <s v="Ваг_Стар_Пихтовы-г"/>
    <n v="40625.090199999999"/>
    <n v="40625.090199999999"/>
    <n v="35661.364300000001"/>
  </r>
  <r>
    <x v="1836"/>
    <s v="Совхоз"/>
    <n v="57883"/>
    <n v="57883"/>
    <n v="52414.09"/>
  </r>
  <r>
    <x v="1837"/>
    <s v="Магнитка"/>
    <n v="32948.938800000004"/>
    <n v="32948.938800000004"/>
    <n v="29992.139899999998"/>
  </r>
  <r>
    <x v="1838"/>
    <s v="Совхоз"/>
    <n v="57883"/>
    <n v="57883"/>
    <n v="52414.09"/>
  </r>
  <r>
    <x v="1839"/>
    <s v="Совхоз"/>
    <n v="57883"/>
    <n v="57883"/>
    <n v="52414.09"/>
  </r>
  <r>
    <x v="1840"/>
    <s v="ДинСанПод"/>
    <n v="36244.5985"/>
    <n v="36244.5985"/>
    <n v="32992.053800000002"/>
  </r>
  <r>
    <x v="1841"/>
    <s v="Шайтанка"/>
    <n v="34007.852099999996"/>
    <n v="34007.852099999996"/>
    <n v="30956.028900000001"/>
  </r>
  <r>
    <x v="1842"/>
    <s v="Совхоз"/>
    <n v="57883"/>
    <n v="57883"/>
    <n v="52414.09"/>
  </r>
  <r>
    <x v="1843"/>
    <s v="Совхоз"/>
    <n v="57883"/>
    <n v="57883"/>
    <n v="52414.09"/>
  </r>
  <r>
    <x v="1844"/>
    <s v="Совхоз"/>
    <n v="57883"/>
    <n v="57883"/>
    <n v="52414.09"/>
  </r>
  <r>
    <x v="1845"/>
    <s v="ДинСанПод"/>
    <n v="36244.5985"/>
    <n v="36244.5985"/>
    <n v="32992.053800000002"/>
  </r>
  <r>
    <x v="1846"/>
    <s v="ДинСанПод"/>
    <n v="36244.5985"/>
    <n v="36244.5985"/>
    <n v="32992.053800000002"/>
  </r>
  <r>
    <x v="1847"/>
    <s v="Совхоз"/>
    <n v="57883"/>
    <n v="57883"/>
    <n v="52414.09"/>
  </r>
  <r>
    <x v="1848"/>
    <s v="Совхоз"/>
    <n v="57883"/>
    <n v="57883"/>
    <n v="52414.09"/>
  </r>
  <r>
    <x v="1849"/>
    <s v="Совхоз"/>
    <n v="57883"/>
    <n v="57883"/>
    <n v="52414.09"/>
  </r>
  <r>
    <x v="1850"/>
    <s v="Рудник_Север"/>
    <n v="30591.135900000001"/>
    <n v="30591.135900000001"/>
    <n v="26853.405500000001"/>
  </r>
  <r>
    <x v="1851"/>
    <s v="ДинСанПод"/>
    <n v="36244.5985"/>
    <n v="36244.5985"/>
    <n v="32992.053800000002"/>
  </r>
  <r>
    <x v="1852"/>
    <s v="Алт_Гальян_М-Кушва"/>
    <n v="40018.9617"/>
    <n v="40018.9617"/>
    <n v="35129.2961"/>
  </r>
  <r>
    <x v="1853"/>
    <s v="Ленин-Олимп"/>
    <n v="32172.2909"/>
    <n v="32172.2909"/>
    <n v="28935.146499999999"/>
  </r>
  <r>
    <x v="1473"/>
    <s v="Тагил_Кирп"/>
    <n v="34023.428"/>
    <n v="34023.428"/>
    <n v="29866.3148"/>
  </r>
  <r>
    <x v="1854"/>
    <s v="Ст.Каменск-Хозспособ"/>
    <n v="28855.326499999999"/>
    <n v="28855.326499999999"/>
    <n v="25951.933700000001"/>
  </r>
  <r>
    <x v="1855"/>
    <s v="Сух_Г-Кам_Н_Кушва_Н-Черм"/>
    <n v="29893.73"/>
    <n v="29893.73"/>
    <n v="26241.207699999999"/>
  </r>
  <r>
    <x v="1856"/>
    <s v="УАЗ"/>
    <n v="29199.565200000001"/>
    <n v="29199.565200000001"/>
    <n v="26261.5317"/>
  </r>
  <r>
    <x v="1857"/>
    <s v="Соцгород"/>
    <n v="40100.412600000003"/>
    <n v="40100.412600000003"/>
    <n v="36501.853799999997"/>
  </r>
  <r>
    <x v="1858"/>
    <s v="Шайтанка"/>
    <n v="34007.852099999996"/>
    <n v="34007.852099999996"/>
    <n v="30956.028900000001"/>
  </r>
  <r>
    <x v="1494"/>
    <s v="Центр"/>
    <n v="91057.85"/>
    <n v="91057.85"/>
    <n v="82454.509999999995"/>
  </r>
  <r>
    <x v="1859"/>
    <s v="Октябрьский"/>
    <n v="39105.413099999998"/>
    <n v="39105.413099999998"/>
    <n v="35170.666700000002"/>
  </r>
  <r>
    <x v="1860"/>
    <s v="Ст.Каменск-Хозспособ"/>
    <n v="28855.326499999999"/>
    <n v="28855.326499999999"/>
    <n v="25951.933700000001"/>
  </r>
  <r>
    <x v="1441"/>
    <s v="Рудник_Север"/>
    <n v="30591.135900000001"/>
    <n v="30591.135900000001"/>
    <n v="26853.405500000001"/>
  </r>
  <r>
    <x v="1861"/>
    <s v="Шайтанка"/>
    <n v="34007.852099999996"/>
    <n v="34007.852099999996"/>
    <n v="30956.028900000001"/>
  </r>
  <r>
    <x v="1862"/>
    <s v="Ленин-Олимп"/>
    <n v="32172.2909"/>
    <n v="32172.2909"/>
    <n v="28935.146499999999"/>
  </r>
  <r>
    <x v="1863"/>
    <s v="ДинСанПод"/>
    <n v="36244.5985"/>
    <n v="36244.5985"/>
    <n v="32992.053800000002"/>
  </r>
  <r>
    <x v="1503"/>
    <s v="ДинСанПод"/>
    <n v="36244.5985"/>
    <n v="36244.5985"/>
    <n v="32992.053800000002"/>
  </r>
  <r>
    <x v="1864"/>
    <s v="УАЗ"/>
    <n v="29199.565200000001"/>
    <n v="29199.565200000001"/>
    <n v="26261.5317"/>
  </r>
  <r>
    <x v="1865"/>
    <s v="Ленин-Олимп"/>
    <n v="32172.2909"/>
    <n v="32172.2909"/>
    <n v="28935.146499999999"/>
  </r>
  <r>
    <x v="1450"/>
    <s v="Сух_Г-Кам_Н_Кушва_Н-Черм"/>
    <n v="29893.73"/>
    <n v="29893.73"/>
    <n v="26241.207699999999"/>
  </r>
  <r>
    <x v="1866"/>
    <s v="ДинСанПод"/>
    <n v="36244.5985"/>
    <n v="36244.5985"/>
    <n v="32992.053800000002"/>
  </r>
  <r>
    <x v="1867"/>
    <s v="Ленин-Олимп"/>
    <n v="32172.2909"/>
    <n v="32172.2909"/>
    <n v="28935.146499999999"/>
  </r>
  <r>
    <x v="1868"/>
    <s v="КК возле Первоуральска которые должны считаться как область"/>
    <n v="27104.663700000001"/>
    <n v="27104.663700000001"/>
    <n v="26564.688900000001"/>
  </r>
  <r>
    <x v="1869"/>
    <s v="Ст.Каменск-Хозспособ"/>
    <n v="28855.326499999999"/>
    <n v="28855.326499999999"/>
    <n v="25951.933700000001"/>
  </r>
  <r>
    <x v="1870"/>
    <s v="ДинСанПод"/>
    <n v="36244.5985"/>
    <n v="36244.5985"/>
    <n v="32992.053800000002"/>
  </r>
  <r>
    <x v="1429"/>
    <s v="Выя_Леб_Горб_Кр-Кам"/>
    <n v="36513.6518"/>
    <n v="36513.6518"/>
    <n v="32052.276999999998"/>
  </r>
  <r>
    <x v="1871"/>
    <s v="КК возле Первоуральска которые должны считаться как область"/>
    <n v="27104.663700000001"/>
    <n v="27104.663700000001"/>
    <n v="26564.688900000001"/>
  </r>
  <r>
    <x v="1872"/>
    <s v="Шайтанка"/>
    <n v="34007.852099999996"/>
    <n v="34007.852099999996"/>
    <n v="30956.028900000001"/>
  </r>
  <r>
    <x v="1873"/>
    <s v="ДинСанПод"/>
    <n v="36244.5985"/>
    <n v="36244.5985"/>
    <n v="32992.053800000002"/>
  </r>
  <r>
    <x v="1874"/>
    <s v="Ст.Каменск-Хозспособ"/>
    <n v="28855.326499999999"/>
    <n v="28855.326499999999"/>
    <n v="25951.933700000001"/>
  </r>
  <r>
    <x v="1875"/>
    <s v="Соцгород"/>
    <n v="40100.412600000003"/>
    <n v="40100.412600000003"/>
    <n v="36501.853799999997"/>
  </r>
  <r>
    <x v="1876"/>
    <s v="Евст_В-Черм"/>
    <n v="24299.835599999999"/>
    <n v="24299.835599999999"/>
    <n v="21330.794900000001"/>
  </r>
  <r>
    <x v="1217"/>
    <s v="УАЗ-II"/>
    <n v="35756.285400000001"/>
    <n v="35756.285400000001"/>
    <n v="32158.5213"/>
  </r>
  <r>
    <x v="1877"/>
    <s v="УАЗ-III - 49 кв."/>
    <n v="35563.243300000002"/>
    <n v="35563.243300000002"/>
    <n v="31984.905299999999"/>
  </r>
  <r>
    <x v="1878"/>
    <s v="Талица"/>
    <n v="36808.582300000002"/>
    <n v="36808.582300000002"/>
    <n v="33505.428800000002"/>
  </r>
  <r>
    <x v="1879"/>
    <s v="Чкаловский"/>
    <n v="28848.8855"/>
    <n v="28848.8855"/>
    <n v="25946.143"/>
  </r>
  <r>
    <x v="1880"/>
    <s v="Сух_Г-Кам_Н_Кушва_Н-Черм"/>
    <n v="29893.73"/>
    <n v="29893.73"/>
    <n v="26241.207699999999"/>
  </r>
  <r>
    <x v="1342"/>
    <s v="Ст.Каменск-Хозспособ"/>
    <n v="28855.326499999999"/>
    <n v="28855.326499999999"/>
    <n v="25951.933700000001"/>
  </r>
  <r>
    <x v="1881"/>
    <s v="ВИЗ"/>
    <n v="81668.479999999996"/>
    <n v="81668.479999999996"/>
    <n v="73952.27"/>
  </r>
  <r>
    <x v="1461"/>
    <s v="Сух_Г-Кам_Н_Кушва_Н-Черм"/>
    <n v="29893.73"/>
    <n v="29893.73"/>
    <n v="26241.207699999999"/>
  </r>
  <r>
    <x v="1882"/>
    <s v="Западный"/>
    <n v="38366.254699999998"/>
    <n v="38366.254699999998"/>
    <n v="34923.320599999999"/>
  </r>
  <r>
    <x v="1883"/>
    <s v="Талица"/>
    <n v="36808.582300000002"/>
    <n v="36808.582300000002"/>
    <n v="33505.428800000002"/>
  </r>
  <r>
    <x v="1884"/>
    <s v="Шайтанка"/>
    <n v="34007.852099999996"/>
    <n v="34007.852099999996"/>
    <n v="30956.028900000001"/>
  </r>
  <r>
    <x v="1885"/>
    <s v="КК возле Первоуральска которые должны считаться как область"/>
    <n v="27104.663700000001"/>
    <n v="27104.663700000001"/>
    <n v="26564.688900000001"/>
  </r>
  <r>
    <x v="1886"/>
    <s v="Сух_Г-Кам_Н_Кушва_Н-Черм"/>
    <n v="29893.73"/>
    <n v="29893.73"/>
    <n v="26241.207699999999"/>
  </r>
  <r>
    <x v="1887"/>
    <s v="Ленин-Олимп"/>
    <n v="32172.2909"/>
    <n v="32172.2909"/>
    <n v="28935.146499999999"/>
  </r>
  <r>
    <x v="1888"/>
    <s v="ДинСанПод"/>
    <n v="36244.5985"/>
    <n v="36244.5985"/>
    <n v="32992.053800000002"/>
  </r>
  <r>
    <x v="1889"/>
    <s v="ДинСанПод"/>
    <n v="36244.5985"/>
    <n v="36244.5985"/>
    <n v="32992.053800000002"/>
  </r>
  <r>
    <x v="1890"/>
    <s v="Алт_Гальян_М-Кушва"/>
    <n v="40018.9617"/>
    <n v="40018.9617"/>
    <n v="35129.2961"/>
  </r>
  <r>
    <x v="1891"/>
    <s v="Совхоз"/>
    <n v="57883"/>
    <n v="57883"/>
    <n v="52414.09"/>
  </r>
  <r>
    <x v="1892"/>
    <s v="ДинСанПод"/>
    <n v="36244.5985"/>
    <n v="36244.5985"/>
    <n v="32992.053800000002"/>
  </r>
  <r>
    <x v="1893"/>
    <s v="Ст.Каменск-Хозспособ"/>
    <n v="28855.326499999999"/>
    <n v="28855.326499999999"/>
    <n v="25951.933700000001"/>
  </r>
  <r>
    <x v="1894"/>
    <s v="Октябрьский"/>
    <n v="39105.413099999998"/>
    <n v="39105.413099999998"/>
    <n v="35170.666700000002"/>
  </r>
  <r>
    <x v="1895"/>
    <s v="Октябрьский"/>
    <n v="39105.413099999998"/>
    <n v="39105.413099999998"/>
    <n v="35170.666700000002"/>
  </r>
  <r>
    <x v="1896"/>
    <s v="УАЗ-II"/>
    <n v="35756.285400000001"/>
    <n v="35756.285400000001"/>
    <n v="32158.5213"/>
  </r>
  <r>
    <x v="1897"/>
    <s v="Ст.Каменск-Хозспособ"/>
    <n v="28855.326499999999"/>
    <n v="28855.326499999999"/>
    <n v="25951.933700000001"/>
  </r>
  <r>
    <x v="1898"/>
    <s v="Шайтанка"/>
    <n v="34007.852099999996"/>
    <n v="34007.852099999996"/>
    <n v="30956.028900000001"/>
  </r>
  <r>
    <x v="1139"/>
    <s v="Октябрьский"/>
    <n v="39105.413099999998"/>
    <n v="39105.413099999998"/>
    <n v="35170.666700000002"/>
  </r>
  <r>
    <x v="1507"/>
    <s v="ДинСанПод"/>
    <n v="36244.5985"/>
    <n v="36244.5985"/>
    <n v="32992.053800000002"/>
  </r>
  <r>
    <x v="1899"/>
    <s v="Ст.Каменск-Хозспособ"/>
    <n v="28855.326499999999"/>
    <n v="28855.326499999999"/>
    <n v="25951.933700000001"/>
  </r>
  <r>
    <x v="1900"/>
    <s v="Выя_Леб_Горб_Кр-Кам"/>
    <n v="21261.0285"/>
    <n v="21261.0285"/>
    <n v="20837.465199999999"/>
  </r>
  <r>
    <x v="1901"/>
    <s v="п.Висимо-Уткинск"/>
    <n v="21261.0285"/>
    <n v="21261.0285"/>
    <n v="20837.465199999999"/>
  </r>
  <r>
    <x v="1902"/>
    <s v="Северный"/>
    <n v="29151.309799999999"/>
    <n v="29151.309799999999"/>
    <n v="26218.127700000001"/>
  </r>
  <r>
    <x v="1903"/>
    <s v="Сух_Г-Кам_Н_Кушва_Н-Черм"/>
    <n v="29893.73"/>
    <n v="29893.73"/>
    <n v="26241.207699999999"/>
  </r>
  <r>
    <x v="1306"/>
    <s v="Чкаловский"/>
    <n v="28848.8855"/>
    <n v="28848.8855"/>
    <n v="25946.143"/>
  </r>
  <r>
    <x v="1155"/>
    <s v="Октябрьский"/>
    <n v="39105.413099999998"/>
    <n v="39105.413099999998"/>
    <n v="35170.666700000002"/>
  </r>
  <r>
    <x v="1904"/>
    <s v="Чкаловский"/>
    <n v="28848.8855"/>
    <n v="28848.8855"/>
    <n v="25946.143"/>
  </r>
  <r>
    <x v="1905"/>
    <s v="П.Уралец"/>
    <n v="21261.0285"/>
    <n v="21261.0285"/>
    <n v="20837.465199999999"/>
  </r>
  <r>
    <x v="1442"/>
    <s v="Рудник_Север"/>
    <n v="30591.135900000001"/>
    <n v="30591.135900000001"/>
    <n v="26853.405500000001"/>
  </r>
  <r>
    <x v="1505"/>
    <s v="ДинСанПод"/>
    <n v="36244.5985"/>
    <n v="36244.5985"/>
    <n v="32992.053800000002"/>
  </r>
  <r>
    <x v="1372"/>
    <s v="Алт_Гальян_М-Кушва"/>
    <n v="40018.9617"/>
    <n v="40018.9617"/>
    <n v="35129.2961"/>
  </r>
  <r>
    <x v="1906"/>
    <s v="ДинСанПод"/>
    <n v="36244.5985"/>
    <n v="36244.5985"/>
    <n v="32992.053800000002"/>
  </r>
  <r>
    <x v="1907"/>
    <s v="САДОВЫЙ"/>
    <n v="51600.800000000003"/>
    <n v="51600.800000000003"/>
    <n v="46725.45"/>
  </r>
  <r>
    <x v="1908"/>
    <s v="УАЗ"/>
    <n v="29199.565200000001"/>
    <n v="29199.565200000001"/>
    <n v="26261.5317"/>
  </r>
  <r>
    <x v="1909"/>
    <s v="Совхоз"/>
    <n v="57883"/>
    <n v="57883"/>
    <n v="52414.09"/>
  </r>
  <r>
    <x v="1454"/>
    <s v="Сух_Г-Кам_Н_Кушва_Н-Черм"/>
    <n v="29893.73"/>
    <n v="29893.73"/>
    <n v="26241.207699999999"/>
  </r>
  <r>
    <x v="1363"/>
    <s v="Алт_Гальян_М-Кушва"/>
    <n v="40018.9617"/>
    <n v="40018.9617"/>
    <n v="35129.2961"/>
  </r>
  <r>
    <x v="1910"/>
    <s v="Выя_Леб_Горб_Кр-Кам"/>
    <n v="36513.6518"/>
    <n v="36513.6518"/>
    <n v="32052.276999999998"/>
  </r>
  <r>
    <x v="1367"/>
    <s v="Алт_Гальян_М-Кушва"/>
    <n v="40018.9617"/>
    <n v="40018.9617"/>
    <n v="35129.2961"/>
  </r>
  <r>
    <x v="1911"/>
    <s v="УАЗ"/>
    <n v="29199.565200000001"/>
    <n v="29199.565200000001"/>
    <n v="26261.5317"/>
  </r>
  <r>
    <x v="1912"/>
    <s v="П.Уралец"/>
    <n v="21261.0285"/>
    <n v="21261.0285"/>
    <n v="20837.465199999999"/>
  </r>
  <r>
    <x v="1913"/>
    <s v="ГОРНЫЙ ЩИТ"/>
    <n v="50617.09"/>
    <n v="50617.09"/>
    <n v="45834.68"/>
  </r>
  <r>
    <x v="1914"/>
    <s v="ШАБРОВСКИЙ"/>
    <n v="36417.71"/>
    <n v="36417.71"/>
    <n v="32976.89"/>
  </r>
  <r>
    <x v="1915"/>
    <s v="ЕЛИЗАВЕТ"/>
    <n v="59056.67"/>
    <n v="59056.67"/>
    <n v="53476.87"/>
  </r>
  <r>
    <x v="1916"/>
    <s v="Сулим.Торфянник"/>
    <n v="45325.4"/>
    <n v="45325.4"/>
    <n v="41042.959999999999"/>
  </r>
  <r>
    <x v="1917"/>
    <s v="МЕДНЫЙ"/>
    <n v="49741.93"/>
    <n v="49741.93"/>
    <n v="45042.2"/>
  </r>
  <r>
    <x v="1918"/>
    <s v="Ст.Каменск-Хозспособ"/>
    <n v="28855.326499999999"/>
    <n v="28855.326499999999"/>
    <n v="25951.933700000001"/>
  </r>
  <r>
    <x v="1320"/>
    <s v="Ст.Каменск-Хозспособ"/>
    <n v="28855.326499999999"/>
    <n v="28855.326499999999"/>
    <n v="25951.933700000001"/>
  </r>
  <r>
    <x v="1919"/>
    <s v="ЕЛИЗАВЕТ"/>
    <n v="59056.67"/>
    <n v="59056.67"/>
    <n v="53476.87"/>
  </r>
  <r>
    <x v="1920"/>
    <s v="ШАБРОВСКИЙ"/>
    <n v="36417.71"/>
    <n v="36417.71"/>
    <n v="32976.89"/>
  </r>
  <r>
    <x v="1921"/>
    <s v="Алт_Гальян_М-Кушва"/>
    <n v="40018.9617"/>
    <n v="40018.9617"/>
    <n v="35129.2961"/>
  </r>
  <r>
    <x v="1440"/>
    <s v="Рудник_Север"/>
    <n v="30591.135900000001"/>
    <n v="30591.135900000001"/>
    <n v="26853.405500000001"/>
  </r>
  <r>
    <x v="1922"/>
    <s v="Ваг_Стар_Пихтовы-г"/>
    <n v="40625.090199999999"/>
    <n v="40625.090199999999"/>
    <n v="35661.364300000001"/>
  </r>
  <r>
    <x v="1923"/>
    <s v="Выя_Леб_Горб_Кр-Кам"/>
    <n v="36513.6518"/>
    <n v="36513.6518"/>
    <n v="32052.276999999998"/>
  </r>
  <r>
    <x v="1924"/>
    <s v="Сух_Г-Кам_Н_Кушва_Н-Черм"/>
    <n v="29893.73"/>
    <n v="29893.73"/>
    <n v="26241.207699999999"/>
  </r>
  <r>
    <x v="1925"/>
    <s v="Алт_Гальян_М-Кушва"/>
    <n v="40018.9617"/>
    <n v="40018.9617"/>
    <n v="35129.2961"/>
  </r>
  <r>
    <x v="1926"/>
    <s v="Евст_В-Черм"/>
    <n v="24299.835599999999"/>
    <n v="24299.835599999999"/>
    <n v="21330.794900000001"/>
  </r>
  <r>
    <x v="1366"/>
    <s v="Алт_Гальян_М-Кушва"/>
    <n v="40018.9617"/>
    <n v="40018.9617"/>
    <n v="35129.2961"/>
  </r>
  <r>
    <x v="1927"/>
    <s v="Ваг_Стар_Пихтовы-г"/>
    <n v="40625.090199999999"/>
    <n v="40625.090199999999"/>
    <n v="35661.364300000001"/>
  </r>
  <r>
    <x v="1928"/>
    <s v="ЕВСТЮНИХА"/>
    <n v="21261.0285"/>
    <n v="21261.0285"/>
    <n v="20837.465199999999"/>
  </r>
  <r>
    <x v="1471"/>
    <s v="Тагил_Кирп"/>
    <n v="34023.428"/>
    <n v="34023.428"/>
    <n v="29866.3148"/>
  </r>
  <r>
    <x v="1929"/>
    <s v="Выя_Леб_Горб_Кр-Кам"/>
    <n v="36513.6518"/>
    <n v="36513.6518"/>
    <n v="32052.276999999998"/>
  </r>
  <r>
    <x v="1930"/>
    <s v="Евст_В-Черм"/>
    <n v="24299.835599999999"/>
    <n v="24299.835599999999"/>
    <n v="21330.794900000001"/>
  </r>
  <r>
    <x v="1358"/>
    <s v="Алт_Гальян_М-Кушва"/>
    <n v="40018.9617"/>
    <n v="40018.9617"/>
    <n v="35129.2961"/>
  </r>
  <r>
    <x v="1931"/>
    <s v="Ваг_Стар_Пихтовы-г"/>
    <n v="40625.090199999999"/>
    <n v="40625.090199999999"/>
    <n v="35661.364300000001"/>
  </r>
  <r>
    <x v="1932"/>
    <s v="Шайтанка"/>
    <n v="34007.852099999996"/>
    <n v="34007.852099999996"/>
    <n v="30956.028900000001"/>
  </r>
  <r>
    <x v="1933"/>
    <s v="Сух_Г-Кам_Н_Кушва_Н-Черм"/>
    <n v="29893.73"/>
    <n v="29893.73"/>
    <n v="26241.207699999999"/>
  </r>
  <r>
    <x v="1389"/>
    <s v="Ваг_Стар_Пихтовы-г"/>
    <n v="40625.090199999999"/>
    <n v="40625.090199999999"/>
    <n v="35661.364300000001"/>
  </r>
  <r>
    <x v="1361"/>
    <s v="Алт_Гальян_М-Кушва"/>
    <n v="40018.9617"/>
    <n v="40018.9617"/>
    <n v="35129.2961"/>
  </r>
  <r>
    <x v="1934"/>
    <s v="Сух_Г-Кам_Н_Кушва_Н-Черм"/>
    <n v="29893.73"/>
    <n v="29893.73"/>
    <n v="26241.207699999999"/>
  </r>
  <r>
    <x v="1935"/>
    <s v="Сух_Г-Кам_Н_Кушва_Н-Черм"/>
    <n v="29893.73"/>
    <n v="29893.73"/>
    <n v="26241.207699999999"/>
  </r>
  <r>
    <x v="1381"/>
    <s v="Алт_Гальян_М-Кушва"/>
    <n v="40018.9617"/>
    <n v="40018.9617"/>
    <n v="35129.2961"/>
  </r>
  <r>
    <x v="1936"/>
    <s v="Выя_Леб_Горб_Кр-Кам"/>
    <n v="36513.6518"/>
    <n v="36513.6518"/>
    <n v="32052.276999999998"/>
  </r>
  <r>
    <x v="1937"/>
    <s v="Евст_В-Черм"/>
    <n v="24299.835599999999"/>
    <n v="24299.835599999999"/>
    <n v="21330.794900000001"/>
  </r>
  <r>
    <x v="1474"/>
    <s v="Тагил_Кирп"/>
    <n v="34023.428"/>
    <n v="34023.428"/>
    <n v="29866.3148"/>
  </r>
  <r>
    <x v="1469"/>
    <s v="Тагил_Кирп"/>
    <n v="34023.428"/>
    <n v="34023.428"/>
    <n v="29866.3148"/>
  </r>
  <r>
    <x v="1938"/>
    <s v="ГОРНЫЙ ЩИТ"/>
    <n v="50617.09"/>
    <n v="50617.09"/>
    <n v="45834.68"/>
  </r>
  <r>
    <x v="1387"/>
    <s v="Ваг_Стар_Пихтовы-г"/>
    <n v="40625.090199999999"/>
    <n v="40625.090199999999"/>
    <n v="35661.364300000001"/>
  </r>
  <r>
    <x v="1939"/>
    <s v="Северный"/>
    <n v="29151.309799999999"/>
    <n v="29151.309799999999"/>
    <n v="26218.127700000001"/>
  </r>
  <r>
    <x v="1940"/>
    <s v="УАЗ-II"/>
    <n v="35756.285400000001"/>
    <n v="35756.285400000001"/>
    <n v="32158.5213"/>
  </r>
  <r>
    <x v="1941"/>
    <s v="Алт_Гальян_М-Кушва"/>
    <n v="40018.9617"/>
    <n v="40018.9617"/>
    <n v="35129.2961"/>
  </r>
  <r>
    <x v="1942"/>
    <s v="РУДНЫЙ"/>
    <n v="45325.4"/>
    <n v="45325.4"/>
    <n v="41042.959999999999"/>
  </r>
  <r>
    <x v="1943"/>
    <s v="Ст.Каменск-Хозспособ"/>
    <n v="28855.326499999999"/>
    <n v="28855.326499999999"/>
    <n v="25951.933700000001"/>
  </r>
  <r>
    <x v="1436"/>
    <s v="Рудник_Север"/>
    <n v="30591.135900000001"/>
    <n v="30591.135900000001"/>
    <n v="26853.405500000001"/>
  </r>
  <r>
    <x v="1944"/>
    <s v="Ленин-Олимп"/>
    <n v="32172.2909"/>
    <n v="32172.2909"/>
    <n v="28935.146499999999"/>
  </r>
  <r>
    <x v="1460"/>
    <s v="Сух_Г-Кам_Н_Кушва_Н-Черм"/>
    <n v="29893.73"/>
    <n v="29893.73"/>
    <n v="26241.207699999999"/>
  </r>
  <r>
    <x v="1945"/>
    <s v="Совхоз"/>
    <n v="57883"/>
    <n v="57883"/>
    <n v="52414.09"/>
  </r>
  <r>
    <x v="1946"/>
    <s v="Ленин-Олимп"/>
    <n v="32172.2909"/>
    <n v="32172.2909"/>
    <n v="28935.146499999999"/>
  </r>
  <r>
    <x v="1947"/>
    <s v="Трубников"/>
    <n v="38278.589899999999"/>
    <n v="38278.589899999999"/>
    <n v="34427.0285"/>
  </r>
  <r>
    <x v="1948"/>
    <s v="Северный"/>
    <n v="29151.309799999999"/>
    <n v="29151.309799999999"/>
    <n v="26218.127700000001"/>
  </r>
  <r>
    <x v="1949"/>
    <s v="Выя_Леб_Горб_Кр-Кам"/>
    <n v="36513.6518"/>
    <n v="36513.6518"/>
    <n v="32052.276999999998"/>
  </r>
  <r>
    <x v="1427"/>
    <s v="Выя_Леб_Горб_Кр-Кам"/>
    <n v="36513.6518"/>
    <n v="36513.6518"/>
    <n v="32052.276999999998"/>
  </r>
  <r>
    <x v="1950"/>
    <s v="Ст.Каменск-Хозспособ"/>
    <n v="28855.326499999999"/>
    <n v="28855.326499999999"/>
    <n v="25951.933700000001"/>
  </r>
  <r>
    <x v="1395"/>
    <s v="Ваг_Стар_Пихтовы-г"/>
    <n v="40625.090199999999"/>
    <n v="40625.090199999999"/>
    <n v="35661.364300000001"/>
  </r>
  <r>
    <x v="1951"/>
    <s v="УАЗ-III - 49 кв."/>
    <n v="35563.243300000002"/>
    <n v="35563.243300000002"/>
    <n v="31984.905299999999"/>
  </r>
  <r>
    <x v="1183"/>
    <s v="Северный"/>
    <n v="29151.309799999999"/>
    <n v="29151.309799999999"/>
    <n v="26218.127700000001"/>
  </r>
  <r>
    <x v="1952"/>
    <s v="Сух_Г-Кам_Н_Кушва_Н-Черм"/>
    <n v="29893.73"/>
    <n v="29893.73"/>
    <n v="26241.207699999999"/>
  </r>
  <r>
    <x v="1953"/>
    <s v="Выя_Леб_Горб_Кр-Кам"/>
    <n v="36513.6518"/>
    <n v="36513.6518"/>
    <n v="32052.276999999998"/>
  </r>
  <r>
    <x v="1954"/>
    <s v="Ст.Каменск-Хозспособ"/>
    <n v="28855.326499999999"/>
    <n v="28855.326499999999"/>
    <n v="25951.933700000001"/>
  </r>
  <r>
    <x v="1955"/>
    <s v="Северка"/>
    <n v="49579.11"/>
    <n v="49579.11"/>
    <n v="44894.77"/>
  </r>
  <r>
    <x v="1956"/>
    <s v="Ленин-Олимп"/>
    <n v="32172.2909"/>
    <n v="32172.2909"/>
    <n v="28935.146499999999"/>
  </r>
  <r>
    <x v="1166"/>
    <s v="Октябрьский"/>
    <n v="39105.413099999998"/>
    <n v="39105.413099999998"/>
    <n v="35170.666700000002"/>
  </r>
  <r>
    <x v="1957"/>
    <s v="Ст.Каменск-Хозспособ"/>
    <n v="28855.326499999999"/>
    <n v="28855.326499999999"/>
    <n v="25951.933700000001"/>
  </r>
  <r>
    <x v="1958"/>
    <s v="ДинСанПод"/>
    <n v="36244.5985"/>
    <n v="36244.5985"/>
    <n v="32992.053800000002"/>
  </r>
  <r>
    <x v="1459"/>
    <s v="Сух_Г-Кам_Н_Кушва_Н-Черм"/>
    <n v="29893.73"/>
    <n v="29893.73"/>
    <n v="26241.207699999999"/>
  </r>
  <r>
    <x v="1270"/>
    <s v="Трубников"/>
    <n v="38278.589899999999"/>
    <n v="38278.589899999999"/>
    <n v="34427.0285"/>
  </r>
  <r>
    <x v="1959"/>
    <s v="КК возле Первоуральска которые должны считаться как область"/>
    <n v="27104.663700000001"/>
    <n v="27104.663700000001"/>
    <n v="26564.688900000001"/>
  </r>
  <r>
    <x v="1960"/>
    <s v="Совхоз"/>
    <n v="57883"/>
    <n v="57883"/>
    <n v="52414.09"/>
  </r>
  <r>
    <x v="1961"/>
    <s v="Ленин-Олимп"/>
    <n v="32172.2909"/>
    <n v="32172.2909"/>
    <n v="28935.146499999999"/>
  </r>
  <r>
    <x v="1962"/>
    <s v="Тагил_Кирп"/>
    <n v="34023.428"/>
    <n v="34023.428"/>
    <n v="29866.3148"/>
  </r>
  <r>
    <x v="1963"/>
    <s v="Талица"/>
    <n v="36808.582300000002"/>
    <n v="36808.582300000002"/>
    <n v="33505.428800000002"/>
  </r>
  <r>
    <x v="1964"/>
    <s v="Ст.Каменск-Хозспособ"/>
    <n v="28855.326499999999"/>
    <n v="28855.326499999999"/>
    <n v="25951.933700000001"/>
  </r>
  <r>
    <x v="1484"/>
    <s v="Центр"/>
    <n v="91057.85"/>
    <n v="91057.85"/>
    <n v="82454.509999999995"/>
  </r>
  <r>
    <x v="1965"/>
    <s v="Ленин-Олимп"/>
    <n v="32172.2909"/>
    <n v="32172.2909"/>
    <n v="28935.146499999999"/>
  </r>
  <r>
    <x v="1966"/>
    <s v="ПИОНЕРСКИЙ"/>
    <n v="75318.45"/>
    <n v="75318.45"/>
    <n v="68202.2"/>
  </r>
  <r>
    <x v="1967"/>
    <s v="КК возле Первоуральска которые должны считаться как область"/>
    <n v="27104.663700000001"/>
    <n v="27104.663700000001"/>
    <n v="26564.688900000001"/>
  </r>
  <r>
    <x v="1968"/>
    <s v="Ленин-Олимп"/>
    <n v="32172.2909"/>
    <n v="32172.2909"/>
    <n v="28935.146499999999"/>
  </r>
  <r>
    <x v="1969"/>
    <s v="Сулим.Торфянник"/>
    <n v="45325.4"/>
    <n v="45325.4"/>
    <n v="41042.959999999999"/>
  </r>
  <r>
    <x v="1970"/>
    <s v="Совхоз"/>
    <n v="57883"/>
    <n v="57883"/>
    <n v="52414.09"/>
  </r>
  <r>
    <x v="1278"/>
    <s v="Ст.Каменск-Хозспособ"/>
    <n v="28855.326499999999"/>
    <n v="28855.326499999999"/>
    <n v="25951.933700000001"/>
  </r>
  <r>
    <x v="1971"/>
    <s v="Ваг_Стар_Пихтовы-г"/>
    <n v="40625.090199999999"/>
    <n v="40625.090199999999"/>
    <n v="35661.364300000001"/>
  </r>
  <r>
    <x v="1972"/>
    <s v="Центр"/>
    <n v="91057.85"/>
    <n v="91057.85"/>
    <n v="82454.509999999995"/>
  </r>
  <r>
    <x v="1973"/>
    <s v="Шайтанка"/>
    <n v="34007.852099999996"/>
    <n v="34007.852099999996"/>
    <n v="30956.028900000001"/>
  </r>
  <r>
    <x v="1974"/>
    <s v="Ст.Каменск-Хозспособ"/>
    <n v="28855.326499999999"/>
    <n v="28855.326499999999"/>
    <n v="25951.933700000001"/>
  </r>
  <r>
    <x v="1975"/>
    <s v="Чкаловский"/>
    <n v="28848.8855"/>
    <n v="28848.8855"/>
    <n v="25946.143"/>
  </r>
  <r>
    <x v="1976"/>
    <s v="Шайтанка"/>
    <n v="34007.852099999996"/>
    <n v="34007.852099999996"/>
    <n v="30956.028900000001"/>
  </r>
  <r>
    <x v="1028"/>
    <s v="ПОЛЕВОДСТВО"/>
    <n v="53954.93"/>
    <n v="53954.93"/>
    <n v="48857.15"/>
  </r>
  <r>
    <x v="1212"/>
    <s v="УАЗ-II"/>
    <n v="35756.285400000001"/>
    <n v="35756.285400000001"/>
    <n v="32158.5213"/>
  </r>
  <r>
    <x v="1977"/>
    <s v="ДинСанПод"/>
    <n v="36244.5985"/>
    <n v="36244.5985"/>
    <n v="32992.053800000002"/>
  </r>
  <r>
    <x v="1978"/>
    <s v="Ленин-Олимп"/>
    <n v="32172.2909"/>
    <n v="32172.2909"/>
    <n v="28935.146499999999"/>
  </r>
  <r>
    <x v="263"/>
    <s v="АВТОВОКЗАЛ"/>
    <n v="81132.53"/>
    <n v="81132.53"/>
    <n v="73466.960000000006"/>
  </r>
  <r>
    <x v="1979"/>
    <s v="Совхоз"/>
    <n v="57883"/>
    <n v="57883"/>
    <n v="52414.09"/>
  </r>
  <r>
    <x v="1980"/>
    <s v="Выя_Леб_Горб_Кр-Кам"/>
    <n v="36513.6518"/>
    <n v="36513.6518"/>
    <n v="32052.276999999998"/>
  </r>
  <r>
    <x v="1981"/>
    <s v="УАЗ-III - 49 кв."/>
    <n v="35563.243300000002"/>
    <n v="35563.243300000002"/>
    <n v="31984.905299999999"/>
  </r>
  <r>
    <x v="1982"/>
    <s v="МЕДНЫЙ"/>
    <n v="49741.93"/>
    <n v="49741.93"/>
    <n v="45042.2"/>
  </r>
  <r>
    <x v="1983"/>
    <s v="УАЗ-III - 49 кв."/>
    <n v="35563.243300000002"/>
    <n v="35563.243300000002"/>
    <n v="31984.905299999999"/>
  </r>
  <r>
    <x v="1984"/>
    <s v="Ст.Каменск-Хозспособ"/>
    <n v="28855.326499999999"/>
    <n v="28855.326499999999"/>
    <n v="25951.933700000001"/>
  </r>
  <r>
    <x v="1985"/>
    <s v="Сух_Г-Кам_Н_Кушва_Н-Черм"/>
    <n v="29893.73"/>
    <n v="29893.73"/>
    <n v="26241.207699999999"/>
  </r>
  <r>
    <x v="1986"/>
    <s v="Выя_Леб_Горб_Кр-Кам"/>
    <n v="36513.6518"/>
    <n v="36513.6518"/>
    <n v="32052.276999999998"/>
  </r>
  <r>
    <x v="1987"/>
    <s v="Рудник_Север"/>
    <n v="30591.135900000001"/>
    <n v="30591.135900000001"/>
    <n v="26853.405500000001"/>
  </r>
  <r>
    <x v="1988"/>
    <s v="Шайтанка"/>
    <n v="34007.852099999996"/>
    <n v="34007.852099999996"/>
    <n v="30956.028900000001"/>
  </r>
  <r>
    <x v="1989"/>
    <s v="ДинСанПод"/>
    <n v="36244.5985"/>
    <n v="36244.5985"/>
    <n v="32992.053800000002"/>
  </r>
  <r>
    <x v="1990"/>
    <s v="КК возле Первоуральска которые должны считаться как область"/>
    <n v="27104.663700000001"/>
    <n v="27104.663700000001"/>
    <n v="26564.688900000001"/>
  </r>
  <r>
    <x v="1991"/>
    <s v="Совхоз"/>
    <n v="57883"/>
    <n v="57883"/>
    <n v="52414.09"/>
  </r>
  <r>
    <x v="1992"/>
    <s v="ДинСанПод"/>
    <n v="36244.5985"/>
    <n v="36244.5985"/>
    <n v="32992.053800000002"/>
  </r>
  <r>
    <x v="1993"/>
    <s v="Тагил_Кирп"/>
    <n v="34023.428"/>
    <n v="34023.428"/>
    <n v="29866.3148"/>
  </r>
  <r>
    <x v="1994"/>
    <s v="Ст.Каменск-Хозспособ"/>
    <n v="28855.326499999999"/>
    <n v="28855.326499999999"/>
    <n v="25951.933700000001"/>
  </r>
  <r>
    <x v="1464"/>
    <s v="Сух_Г-Кам_Н_Кушва_Н-Черм"/>
    <n v="29893.73"/>
    <n v="29893.73"/>
    <n v="26241.207699999999"/>
  </r>
  <r>
    <x v="1995"/>
    <s v="Шайтанка"/>
    <n v="34007.852099999996"/>
    <n v="34007.852099999996"/>
    <n v="30956.028900000001"/>
  </r>
  <r>
    <x v="1996"/>
    <s v="Шайтанка"/>
    <n v="34007.852099999996"/>
    <n v="34007.852099999996"/>
    <n v="30956.028900000001"/>
  </r>
  <r>
    <x v="1997"/>
    <s v="Шайтанка"/>
    <n v="34007.852099999996"/>
    <n v="34007.852099999996"/>
    <n v="30956.028900000001"/>
  </r>
  <r>
    <x v="1500"/>
    <s v="ДинСанПод"/>
    <n v="36244.5985"/>
    <n v="36244.5985"/>
    <n v="32992.053800000002"/>
  </r>
  <r>
    <x v="1998"/>
    <s v="Шайтанка"/>
    <n v="34007.852099999996"/>
    <n v="34007.852099999996"/>
    <n v="30956.028900000001"/>
  </r>
  <r>
    <x v="1999"/>
    <s v="ДинСанПод"/>
    <n v="36244.5985"/>
    <n v="36244.5985"/>
    <n v="32992.053800000002"/>
  </r>
  <r>
    <x v="2000"/>
    <s v="Ваг_Стар_Пихтовы-г"/>
    <n v="40625.090199999999"/>
    <n v="40625.090199999999"/>
    <n v="35661.364300000001"/>
  </r>
  <r>
    <x v="2001"/>
    <s v="УАЗ-III - 49 кв."/>
    <n v="35563.243300000002"/>
    <n v="35563.243300000002"/>
    <n v="31984.905299999999"/>
  </r>
  <r>
    <x v="1125"/>
    <s v="УАЗ-III - 49 кв."/>
    <n v="35563.243300000002"/>
    <n v="35563.243300000002"/>
    <n v="31984.905299999999"/>
  </r>
  <r>
    <x v="1153"/>
    <s v="Октябрьский"/>
    <n v="39105.413099999998"/>
    <n v="39105.413099999998"/>
    <n v="35170.666700000002"/>
  </r>
  <r>
    <x v="2002"/>
    <s v="Трубников"/>
    <n v="38278.589899999999"/>
    <n v="38278.589899999999"/>
    <n v="34427.0285"/>
  </r>
  <r>
    <x v="2003"/>
    <s v="Октябрьский"/>
    <n v="39105.413099999998"/>
    <n v="39105.413099999998"/>
    <n v="35170.666700000002"/>
  </r>
  <r>
    <x v="2004"/>
    <s v="Чкаловский"/>
    <n v="28848.8855"/>
    <n v="28848.8855"/>
    <n v="25946.143"/>
  </r>
  <r>
    <x v="2005"/>
    <s v="Чкаловский"/>
    <n v="28848.8855"/>
    <n v="28848.8855"/>
    <n v="25946.143"/>
  </r>
  <r>
    <x v="2006"/>
    <s v="Ст.Каменск-Хозспособ"/>
    <n v="28855.326499999999"/>
    <n v="28855.326499999999"/>
    <n v="25951.933700000001"/>
  </r>
  <r>
    <x v="2007"/>
    <s v="Ленин-Олимп"/>
    <n v="32172.2909"/>
    <n v="32172.2909"/>
    <n v="28935.146499999999"/>
  </r>
  <r>
    <x v="1411"/>
    <s v="Выя_Леб_Горб_Кр-Кам"/>
    <n v="36513.6518"/>
    <n v="36513.6518"/>
    <n v="32052.276999999998"/>
  </r>
  <r>
    <x v="2008"/>
    <s v="ШАБРОВСКИЙ"/>
    <n v="36417.71"/>
    <n v="36417.71"/>
    <n v="32976.89"/>
  </r>
  <r>
    <x v="2009"/>
    <s v="ДинСанПод"/>
    <n v="36244.5985"/>
    <n v="36244.5985"/>
    <n v="32992.053800000002"/>
  </r>
  <r>
    <x v="2010"/>
    <s v="Совхоз"/>
    <n v="57883"/>
    <n v="57883"/>
    <n v="52414.09"/>
  </r>
  <r>
    <x v="2011"/>
    <s v="КК возле Первоуральска которые должны считаться как область"/>
    <n v="27104.663700000001"/>
    <n v="27104.663700000001"/>
    <n v="26564.688900000001"/>
  </r>
  <r>
    <x v="1423"/>
    <s v="Выя_Леб_Горб_Кр-Кам"/>
    <n v="36513.6518"/>
    <n v="36513.6518"/>
    <n v="32052.276999999998"/>
  </r>
  <r>
    <x v="1448"/>
    <s v="Сух_Г-Кам_Н_Кушва_Н-Черм"/>
    <n v="29893.73"/>
    <n v="29893.73"/>
    <n v="26241.207699999999"/>
  </r>
  <r>
    <x v="2012"/>
    <s v="Шайтанка"/>
    <n v="34007.852099999996"/>
    <n v="34007.852099999996"/>
    <n v="30956.028900000001"/>
  </r>
  <r>
    <x v="2013"/>
    <s v="Шайтанка"/>
    <n v="34007.852099999996"/>
    <n v="34007.852099999996"/>
    <n v="30956.028900000001"/>
  </r>
  <r>
    <x v="2014"/>
    <s v="Шайтанка"/>
    <n v="34007.852099999996"/>
    <n v="34007.852099999996"/>
    <n v="30956.028900000001"/>
  </r>
  <r>
    <x v="2015"/>
    <s v="Шайтанка"/>
    <n v="34007.852099999996"/>
    <n v="34007.852099999996"/>
    <n v="30956.028900000001"/>
  </r>
  <r>
    <x v="2016"/>
    <s v="ДинСанПод"/>
    <n v="36244.5985"/>
    <n v="36244.5985"/>
    <n v="32992.053800000002"/>
  </r>
  <r>
    <x v="2017"/>
    <s v="ДинСанПод"/>
    <n v="36244.5985"/>
    <n v="36244.5985"/>
    <n v="32992.053800000002"/>
  </r>
  <r>
    <x v="2018"/>
    <s v="Совхоз"/>
    <n v="57883"/>
    <n v="57883"/>
    <n v="52414.09"/>
  </r>
  <r>
    <x v="2019"/>
    <s v="Соцгород"/>
    <n v="40100.412600000003"/>
    <n v="40100.412600000003"/>
    <n v="36501.853799999997"/>
  </r>
  <r>
    <x v="2020"/>
    <s v="Соцгород"/>
    <n v="40100.412600000003"/>
    <n v="40100.412600000003"/>
    <n v="36501.853799999997"/>
  </r>
  <r>
    <x v="2021"/>
    <s v="Соцгород"/>
    <n v="40100.412600000003"/>
    <n v="40100.412600000003"/>
    <n v="36501.853799999997"/>
  </r>
  <r>
    <x v="2022"/>
    <s v="Ленин-Олимп"/>
    <n v="32172.2909"/>
    <n v="32172.2909"/>
    <n v="28935.146499999999"/>
  </r>
  <r>
    <x v="901"/>
    <s v="ЭЛЬМАШ"/>
    <n v="68527.44"/>
    <n v="68527.44"/>
    <n v="62052.82"/>
  </r>
  <r>
    <x v="1352"/>
    <s v="Алт_Гальян_М-Кушва"/>
    <n v="40018.9617"/>
    <n v="40018.9617"/>
    <n v="35129.2961"/>
  </r>
  <r>
    <x v="2023"/>
    <s v="Октябрьский"/>
    <n v="39105.413099999998"/>
    <n v="39105.413099999998"/>
    <n v="35170.666700000002"/>
  </r>
  <r>
    <x v="1208"/>
    <s v="УАЗ"/>
    <n v="29199.565200000001"/>
    <n v="29199.565200000001"/>
    <n v="26261.5317"/>
  </r>
  <r>
    <x v="2024"/>
    <s v="УАЗ"/>
    <n v="29199.565200000001"/>
    <n v="29199.565200000001"/>
    <n v="26261.5317"/>
  </r>
  <r>
    <x v="2025"/>
    <s v="УАЗ"/>
    <n v="29199.565200000001"/>
    <n v="29199.565200000001"/>
    <n v="26261.5317"/>
  </r>
  <r>
    <x v="1435"/>
    <s v="Рудник_Север"/>
    <n v="30591.135900000001"/>
    <n v="30591.135900000001"/>
    <n v="26853.405500000001"/>
  </r>
  <r>
    <x v="2026"/>
    <s v="Выя_Леб_Горб_Кр-Кам"/>
    <n v="36513.6518"/>
    <n v="36513.6518"/>
    <n v="32052.276999999998"/>
  </r>
  <r>
    <x v="2027"/>
    <s v="ЕЛИЗАВЕТ"/>
    <n v="59056.67"/>
    <n v="59056.67"/>
    <n v="53476.87"/>
  </r>
  <r>
    <x v="2028"/>
    <s v="ДинСанПод"/>
    <n v="36244.5985"/>
    <n v="36244.5985"/>
    <n v="32992.053800000002"/>
  </r>
  <r>
    <x v="2029"/>
    <s v="ДинСанПод"/>
    <n v="36244.5985"/>
    <n v="36244.5985"/>
    <n v="32992.053800000002"/>
  </r>
  <r>
    <x v="2030"/>
    <s v="Первомайский"/>
    <n v="26641.525799999999"/>
    <n v="26641.525799999999"/>
    <n v="24250.754499999999"/>
  </r>
  <r>
    <x v="2031"/>
    <s v="ДинСанПод"/>
    <n v="36244.5985"/>
    <n v="36244.5985"/>
    <n v="32992.053800000002"/>
  </r>
  <r>
    <x v="2032"/>
    <s v="ДинСанПод"/>
    <n v="36244.5985"/>
    <n v="36244.5985"/>
    <n v="32992.053800000002"/>
  </r>
  <r>
    <x v="2033"/>
    <s v="Совхоз"/>
    <n v="57883"/>
    <n v="57883"/>
    <n v="52414.09"/>
  </r>
  <r>
    <x v="2034"/>
    <s v="Талица"/>
    <n v="36808.582300000002"/>
    <n v="36808.582300000002"/>
    <n v="33505.428800000002"/>
  </r>
  <r>
    <x v="2035"/>
    <s v="УАЗ"/>
    <n v="29199.565200000001"/>
    <n v="29199.565200000001"/>
    <n v="26261.5317"/>
  </r>
  <r>
    <x v="1152"/>
    <s v="Октябрьский"/>
    <n v="39105.413099999998"/>
    <n v="39105.413099999998"/>
    <n v="35170.666700000002"/>
  </r>
  <r>
    <x v="2036"/>
    <s v="Совхоз"/>
    <n v="57883"/>
    <n v="57883"/>
    <n v="52414.09"/>
  </r>
  <r>
    <x v="2037"/>
    <s v="Западный"/>
    <n v="38366.254699999998"/>
    <n v="38366.254699999998"/>
    <n v="34923.320599999999"/>
  </r>
  <r>
    <x v="2038"/>
    <s v="Октябрьский"/>
    <n v="39105.413099999998"/>
    <n v="39105.413099999998"/>
    <n v="35170.666700000002"/>
  </r>
  <r>
    <x v="2039"/>
    <s v="Чкаловский"/>
    <n v="28848.8855"/>
    <n v="28848.8855"/>
    <n v="25946.143"/>
  </r>
  <r>
    <x v="1188"/>
    <s v="Ст.Каменск-Хозспособ"/>
    <n v="28855.326499999999"/>
    <n v="28855.326499999999"/>
    <n v="25951.933700000001"/>
  </r>
  <r>
    <x v="1401"/>
    <s v="Ваг_Стар_Пихтовы-г"/>
    <n v="40625.090199999999"/>
    <n v="40625.090199999999"/>
    <n v="35661.364300000001"/>
  </r>
  <r>
    <x v="1272"/>
    <s v="Трубников"/>
    <n v="38278.589899999999"/>
    <n v="38278.589899999999"/>
    <n v="34427.0285"/>
  </r>
  <r>
    <x v="1476"/>
    <s v="Тагил_Кирп"/>
    <n v="34023.428"/>
    <n v="34023.428"/>
    <n v="29866.3148"/>
  </r>
  <r>
    <x v="2040"/>
    <s v="Ваг_Стар_Пихтовы-г"/>
    <n v="40625.090199999999"/>
    <n v="40625.090199999999"/>
    <n v="35661.364300000001"/>
  </r>
  <r>
    <x v="2041"/>
    <s v="Рудник_Север"/>
    <n v="30591.135900000001"/>
    <n v="30591.135900000001"/>
    <n v="26853.405500000001"/>
  </r>
  <r>
    <x v="1426"/>
    <s v="Выя_Леб_Горб_Кр-Кам"/>
    <n v="36513.6518"/>
    <n v="36513.6518"/>
    <n v="32052.276999999998"/>
  </r>
  <r>
    <x v="1393"/>
    <s v="Ваг_Стар_Пихтовы-г"/>
    <n v="40625.090199999999"/>
    <n v="40625.090199999999"/>
    <n v="35661.364300000001"/>
  </r>
  <r>
    <x v="1415"/>
    <s v="Выя_Леб_Горб_Кр-Кам"/>
    <n v="36513.6518"/>
    <n v="36513.6518"/>
    <n v="32052.276999999998"/>
  </r>
  <r>
    <x v="2042"/>
    <s v="Выя_Леб_Горб_Кр-Кам"/>
    <n v="36513.6518"/>
    <n v="36513.6518"/>
    <n v="32052.276999999998"/>
  </r>
  <r>
    <x v="2043"/>
    <s v="Алт_Гальян_М-Кушва"/>
    <n v="40018.9617"/>
    <n v="40018.9617"/>
    <n v="35129.2961"/>
  </r>
  <r>
    <x v="2044"/>
    <s v="Сух_Г-Кам_Н_Кушва_Н-Черм"/>
    <n v="29893.73"/>
    <n v="29893.73"/>
    <n v="26241.207699999999"/>
  </r>
  <r>
    <x v="2045"/>
    <s v="Ваг_Стар_Пихтовы-г"/>
    <n v="40625.090199999999"/>
    <n v="40625.090199999999"/>
    <n v="35661.364300000001"/>
  </r>
  <r>
    <x v="2046"/>
    <s v="Выя_Леб_Горб_Кр-Кам"/>
    <n v="36513.6518"/>
    <n v="36513.6518"/>
    <n v="32052.276999999998"/>
  </r>
  <r>
    <x v="1458"/>
    <s v="Сух_Г-Кам_Н_Кушва_Н-Черм"/>
    <n v="29893.73"/>
    <n v="29893.73"/>
    <n v="26241.207699999999"/>
  </r>
  <r>
    <x v="2047"/>
    <s v="Старая сортировка"/>
    <n v="57516.65"/>
    <n v="57516.65"/>
    <n v="52082.35"/>
  </r>
  <r>
    <x v="1479"/>
    <s v="Тагил_Кирп"/>
    <n v="34023.428"/>
    <n v="34023.428"/>
    <n v="29866.3148"/>
  </r>
  <r>
    <x v="1360"/>
    <s v="Алт_Гальян_М-Кушва"/>
    <n v="40018.9617"/>
    <n v="40018.9617"/>
    <n v="35129.2961"/>
  </r>
  <r>
    <x v="2048"/>
    <s v="Ст.Каменск-Хозспособ"/>
    <n v="28855.326499999999"/>
    <n v="28855.326499999999"/>
    <n v="25951.933700000001"/>
  </r>
  <r>
    <x v="2049"/>
    <s v="ДинСанПод"/>
    <n v="36244.5985"/>
    <n v="36244.5985"/>
    <n v="32992.053800000002"/>
  </r>
  <r>
    <x v="2050"/>
    <s v="Северный"/>
    <n v="29151.309799999999"/>
    <n v="29151.309799999999"/>
    <n v="26218.127700000001"/>
  </r>
  <r>
    <x v="2051"/>
    <s v="Ст.Каменск-Хозспособ"/>
    <n v="28855.326499999999"/>
    <n v="28855.326499999999"/>
    <n v="25951.933700000001"/>
  </r>
  <r>
    <x v="2052"/>
    <s v="Ст.Каменск-Хозспособ"/>
    <n v="28855.326499999999"/>
    <n v="28855.326499999999"/>
    <n v="25951.933700000001"/>
  </r>
  <r>
    <x v="2053"/>
    <s v="Ст.Каменск-Хозспособ"/>
    <n v="28855.326499999999"/>
    <n v="28855.326499999999"/>
    <n v="25951.933700000001"/>
  </r>
  <r>
    <x v="1267"/>
    <s v="Трубников"/>
    <n v="38278.589899999999"/>
    <n v="38278.589899999999"/>
    <n v="34427.0285"/>
  </r>
  <r>
    <x v="2054"/>
    <s v="ДинСанПод"/>
    <n v="36244.5985"/>
    <n v="36244.5985"/>
    <n v="32992.053800000002"/>
  </r>
  <r>
    <x v="1369"/>
    <s v="Алт_Гальян_М-Кушва"/>
    <n v="40018.9617"/>
    <n v="40018.9617"/>
    <n v="35129.2961"/>
  </r>
  <r>
    <x v="1457"/>
    <s v="Сух_Г-Кам_Н_Кушва_Н-Черм"/>
    <n v="29893.73"/>
    <n v="29893.73"/>
    <n v="26241.207699999999"/>
  </r>
  <r>
    <x v="1422"/>
    <s v="Выя_Леб_Горб_Кр-Кам"/>
    <n v="36513.6518"/>
    <n v="36513.6518"/>
    <n v="32052.276999999998"/>
  </r>
  <r>
    <x v="2055"/>
    <s v="ВИЗ"/>
    <n v="81668.479999999996"/>
    <n v="81668.479999999996"/>
    <n v="73952.27"/>
  </r>
  <r>
    <x v="1249"/>
    <s v="Ленин-Олимп"/>
    <n v="32172.2909"/>
    <n v="32172.2909"/>
    <n v="28935.146499999999"/>
  </r>
  <r>
    <x v="2056"/>
    <s v="ДинСанПод"/>
    <n v="36244.5985"/>
    <n v="36244.5985"/>
    <n v="32992.053800000002"/>
  </r>
  <r>
    <x v="2057"/>
    <s v="Соцгород"/>
    <n v="40100.412600000003"/>
    <n v="40100.412600000003"/>
    <n v="36501.853799999997"/>
  </r>
  <r>
    <x v="1400"/>
    <s v="Ваг_Стар_Пихтовы-г"/>
    <n v="40625.090199999999"/>
    <n v="40625.090199999999"/>
    <n v="35661.364300000001"/>
  </r>
  <r>
    <x v="2058"/>
    <s v="Ст.Каменск-Хозспособ"/>
    <n v="28855.326499999999"/>
    <n v="28855.326499999999"/>
    <n v="25951.933700000001"/>
  </r>
  <r>
    <x v="2059"/>
    <s v="Алт_Гальян_М-Кушва"/>
    <n v="40018.9617"/>
    <n v="40018.9617"/>
    <n v="35129.2961"/>
  </r>
  <r>
    <x v="2060"/>
    <s v="Рудник_Север"/>
    <n v="30591.135900000001"/>
    <n v="30591.135900000001"/>
    <n v="26853.405500000001"/>
  </r>
  <r>
    <x v="2061"/>
    <s v="Тагил_Кирп"/>
    <n v="34023.428"/>
    <n v="34023.428"/>
    <n v="29866.3148"/>
  </r>
  <r>
    <x v="1351"/>
    <s v="Алт_Гальян_М-Кушва"/>
    <n v="40018.9617"/>
    <n v="40018.9617"/>
    <n v="35129.2961"/>
  </r>
  <r>
    <x v="2062"/>
    <s v="Совхоз"/>
    <n v="57883"/>
    <n v="57883"/>
    <n v="52414.09"/>
  </r>
  <r>
    <x v="1420"/>
    <s v="Выя_Леб_Горб_Кр-Кам"/>
    <n v="36513.6518"/>
    <n v="36513.6518"/>
    <n v="32052.276999999998"/>
  </r>
  <r>
    <x v="1339"/>
    <s v="Ст.Каменск-Хозспособ"/>
    <n v="28855.326499999999"/>
    <n v="28855.326499999999"/>
    <n v="25951.933700000001"/>
  </r>
  <r>
    <x v="1187"/>
    <s v="Северный"/>
    <n v="29151.309799999999"/>
    <n v="29151.309799999999"/>
    <n v="26218.127700000001"/>
  </r>
  <r>
    <x v="2063"/>
    <s v="Ленин-Олимп"/>
    <n v="32172.2909"/>
    <n v="32172.2909"/>
    <n v="28935.146499999999"/>
  </r>
  <r>
    <x v="1186"/>
    <s v="Северный"/>
    <n v="29151.309799999999"/>
    <n v="29151.309799999999"/>
    <n v="26218.127700000001"/>
  </r>
  <r>
    <x v="2064"/>
    <s v="Ст.Каменск-Хозспособ"/>
    <n v="28855.326499999999"/>
    <n v="28855.326499999999"/>
    <n v="25951.933700000001"/>
  </r>
  <r>
    <x v="2065"/>
    <s v="Чкаловский"/>
    <n v="28848.8855"/>
    <n v="28848.8855"/>
    <n v="25946.143"/>
  </r>
  <r>
    <x v="1232"/>
    <s v="УАЗ-II"/>
    <n v="35756.285400000001"/>
    <n v="35756.285400000001"/>
    <n v="32158.5213"/>
  </r>
  <r>
    <x v="2066"/>
    <s v="Ст.Каменск-Хозспособ"/>
    <n v="28855.326499999999"/>
    <n v="28855.326499999999"/>
    <n v="25951.933700000001"/>
  </r>
  <r>
    <x v="2067"/>
    <s v="ЕВСТЮНИХА"/>
    <n v="21261.0285"/>
    <n v="21261.0285"/>
    <n v="20837.465199999999"/>
  </r>
  <r>
    <x v="2068"/>
    <s v="Ваг_Стар_Пихтовы-г"/>
    <n v="40625.090199999999"/>
    <n v="40625.090199999999"/>
    <n v="35661.364300000001"/>
  </r>
  <r>
    <x v="1428"/>
    <s v="Выя_Леб_Горб_Кр-Кам"/>
    <n v="36513.6518"/>
    <n v="36513.6518"/>
    <n v="32052.276999999998"/>
  </r>
  <r>
    <x v="2069"/>
    <s v="Шайтанка"/>
    <n v="34007.852099999996"/>
    <n v="34007.852099999996"/>
    <n v="30956.028900000001"/>
  </r>
  <r>
    <x v="1318"/>
    <s v="Ст.Каменск-Хозспособ"/>
    <n v="28855.326499999999"/>
    <n v="28855.326499999999"/>
    <n v="25951.933700000001"/>
  </r>
  <r>
    <x v="2070"/>
    <s v="Ст.Каменск-Хозспособ"/>
    <n v="28855.326499999999"/>
    <n v="28855.326499999999"/>
    <n v="25951.933700000001"/>
  </r>
  <r>
    <x v="2071"/>
    <s v="Ст.Каменск-Хозспособ"/>
    <n v="28855.326499999999"/>
    <n v="28855.326499999999"/>
    <n v="25951.933700000001"/>
  </r>
  <r>
    <x v="2072"/>
    <s v="Ст.Каменск-Хозспособ"/>
    <n v="28855.326499999999"/>
    <n v="28855.326499999999"/>
    <n v="25951.933700000001"/>
  </r>
  <r>
    <x v="2073"/>
    <s v="Северный"/>
    <n v="29151.309799999999"/>
    <n v="29151.309799999999"/>
    <n v="26218.127700000001"/>
  </r>
  <r>
    <x v="2074"/>
    <s v="Ленин-Олимп"/>
    <n v="32172.2909"/>
    <n v="32172.2909"/>
    <n v="28935.146499999999"/>
  </r>
  <r>
    <x v="2075"/>
    <s v="Ст.Каменск-Хозспособ"/>
    <n v="28855.326499999999"/>
    <n v="28855.326499999999"/>
    <n v="25951.933700000001"/>
  </r>
  <r>
    <x v="2076"/>
    <s v="Северный"/>
    <n v="29151.309799999999"/>
    <n v="29151.309799999999"/>
    <n v="26218.127700000001"/>
  </r>
  <r>
    <x v="2077"/>
    <s v="Ст.Каменск-Хозспособ"/>
    <n v="28855.326499999999"/>
    <n v="28855.326499999999"/>
    <n v="25951.933700000001"/>
  </r>
  <r>
    <x v="1493"/>
    <s v="Центр"/>
    <n v="91057.85"/>
    <n v="91057.85"/>
    <n v="82454.509999999995"/>
  </r>
  <r>
    <x v="1433"/>
    <s v="Рудник_Север"/>
    <n v="30591.135900000001"/>
    <n v="30591.135900000001"/>
    <n v="26853.405500000001"/>
  </r>
  <r>
    <x v="2078"/>
    <s v="Шайтанка"/>
    <n v="34007.852099999996"/>
    <n v="34007.852099999996"/>
    <n v="30956.028900000001"/>
  </r>
  <r>
    <x v="2079"/>
    <s v="Шайтанка"/>
    <n v="34007.852099999996"/>
    <n v="34007.852099999996"/>
    <n v="30956.028900000001"/>
  </r>
  <r>
    <x v="1181"/>
    <s v="Северный"/>
    <n v="29151.309799999999"/>
    <n v="29151.309799999999"/>
    <n v="26218.127700000001"/>
  </r>
  <r>
    <x v="2080"/>
    <s v="Ст.Каменск-Хозспособ"/>
    <n v="28855.326499999999"/>
    <n v="28855.326499999999"/>
    <n v="25951.933700000001"/>
  </r>
  <r>
    <x v="2081"/>
    <s v="ШАБРОВСКИЙ"/>
    <n v="36417.71"/>
    <n v="36417.71"/>
    <n v="32976.89"/>
  </r>
  <r>
    <x v="1364"/>
    <s v="Алт_Гальян_М-Кушва"/>
    <n v="40018.9617"/>
    <n v="40018.9617"/>
    <n v="35129.2961"/>
  </r>
  <r>
    <x v="1475"/>
    <s v="Тагил_Кирп"/>
    <n v="34023.428"/>
    <n v="34023.428"/>
    <n v="29866.3148"/>
  </r>
  <r>
    <x v="2082"/>
    <s v="Ленин-Олимп"/>
    <n v="32172.2909"/>
    <n v="32172.2909"/>
    <n v="28935.146499999999"/>
  </r>
  <r>
    <x v="2083"/>
    <s v="Сух_Г-Кам_Н_Кушва_Н-Черм"/>
    <n v="29893.73"/>
    <n v="29893.73"/>
    <n v="26241.207699999999"/>
  </r>
  <r>
    <x v="2084"/>
    <s v="Шайтанка"/>
    <n v="34007.852099999996"/>
    <n v="34007.852099999996"/>
    <n v="30956.028900000001"/>
  </r>
  <r>
    <x v="2085"/>
    <s v="Чкаловский"/>
    <n v="28848.8855"/>
    <n v="28848.8855"/>
    <n v="25946.143"/>
  </r>
  <r>
    <x v="2086"/>
    <s v="Алт_Гальян_М-Кушва"/>
    <n v="40018.9617"/>
    <n v="40018.9617"/>
    <n v="35129.2961"/>
  </r>
  <r>
    <x v="2087"/>
    <s v="Алт_Гальян_М-Кушва"/>
    <n v="40018.9617"/>
    <n v="40018.9617"/>
    <n v="35129.2961"/>
  </r>
  <r>
    <x v="2088"/>
    <s v="ДинСанПод"/>
    <n v="36244.5985"/>
    <n v="36244.5985"/>
    <n v="32992.053800000002"/>
  </r>
  <r>
    <x v="2089"/>
    <s v="Ленин-Олимп"/>
    <n v="32172.2909"/>
    <n v="32172.2909"/>
    <n v="28935.146499999999"/>
  </r>
  <r>
    <x v="2090"/>
    <s v="КК возле Первоуральска которые должны считаться как область"/>
    <n v="27104.663700000001"/>
    <n v="27104.663700000001"/>
    <n v="26564.688900000001"/>
  </r>
  <r>
    <x v="2091"/>
    <s v="Магнитка"/>
    <n v="32948.938800000004"/>
    <n v="32948.938800000004"/>
    <n v="29992.139899999998"/>
  </r>
  <r>
    <x v="2092"/>
    <s v="Магнитка"/>
    <n v="32948.938800000004"/>
    <n v="32948.938800000004"/>
    <n v="29992.139899999998"/>
  </r>
  <r>
    <x v="1506"/>
    <s v="ДинСанПод"/>
    <n v="36244.5985"/>
    <n v="36244.5985"/>
    <n v="32992.053800000002"/>
  </r>
  <r>
    <x v="1148"/>
    <s v="Октябрьский"/>
    <n v="39105.413099999998"/>
    <n v="39105.413099999998"/>
    <n v="35170.666700000002"/>
  </r>
  <r>
    <x v="2093"/>
    <s v="Чкаловский"/>
    <n v="28848.8855"/>
    <n v="28848.8855"/>
    <n v="25946.143"/>
  </r>
  <r>
    <x v="2094"/>
    <s v="УАЗ-III - 49 кв."/>
    <n v="35563.243300000002"/>
    <n v="35563.243300000002"/>
    <n v="31984.905299999999"/>
  </r>
  <r>
    <x v="2095"/>
    <s v="Чкаловский"/>
    <n v="28848.8855"/>
    <n v="28848.8855"/>
    <n v="25946.143"/>
  </r>
  <r>
    <x v="1179"/>
    <s v="МОНАСТЫРКА"/>
    <n v="25238.569899999999"/>
    <n v="25238.569899999999"/>
    <n v="24735.775000000001"/>
  </r>
  <r>
    <x v="2096"/>
    <s v="УАЗ-III - 49 кв."/>
    <n v="35563.243300000002"/>
    <n v="35563.243300000002"/>
    <n v="31984.905299999999"/>
  </r>
  <r>
    <x v="2097"/>
    <s v="Чкаловский"/>
    <n v="28848.8855"/>
    <n v="28848.8855"/>
    <n v="25946.143"/>
  </r>
  <r>
    <x v="1164"/>
    <s v="Октябрьский"/>
    <n v="39105.413099999998"/>
    <n v="39105.413099999998"/>
    <n v="35170.666700000002"/>
  </r>
  <r>
    <x v="2098"/>
    <s v="УАЗ"/>
    <n v="29199.565200000001"/>
    <n v="29199.565200000001"/>
    <n v="26261.5317"/>
  </r>
  <r>
    <x v="1162"/>
    <s v="Октябрьский"/>
    <n v="39105.413099999998"/>
    <n v="39105.413099999998"/>
    <n v="35170.666700000002"/>
  </r>
  <r>
    <x v="2099"/>
    <s v="Чкаловский"/>
    <n v="28848.8855"/>
    <n v="28848.8855"/>
    <n v="25946.143"/>
  </r>
  <r>
    <x v="2100"/>
    <s v="Ленин-Олимп"/>
    <n v="32172.2909"/>
    <n v="32172.2909"/>
    <n v="28935.146499999999"/>
  </r>
  <r>
    <x v="2101"/>
    <s v="УАЗ"/>
    <n v="29199.565200000001"/>
    <n v="29199.565200000001"/>
    <n v="26261.5317"/>
  </r>
  <r>
    <x v="2102"/>
    <s v="ДинСанПод"/>
    <n v="36244.5985"/>
    <n v="36244.5985"/>
    <n v="32992.053800000002"/>
  </r>
  <r>
    <x v="1485"/>
    <s v="Центр"/>
    <n v="91057.85"/>
    <n v="91057.85"/>
    <n v="82454.509999999995"/>
  </r>
  <r>
    <x v="2103"/>
    <s v="ШАБРОВСКИЙ"/>
    <n v="36417.71"/>
    <n v="36417.71"/>
    <n v="32976.89"/>
  </r>
  <r>
    <x v="2104"/>
    <s v="Соцгород"/>
    <n v="40100.412600000003"/>
    <n v="40100.412600000003"/>
    <n v="36501.853799999997"/>
  </r>
  <r>
    <x v="2105"/>
    <s v="КК возле Первоуральска которые должны считаться как область"/>
    <n v="27104.663700000001"/>
    <n v="27104.663700000001"/>
    <n v="26564.688900000001"/>
  </r>
  <r>
    <x v="2106"/>
    <s v="ДинСанПод"/>
    <n v="36244.5985"/>
    <n v="36244.5985"/>
    <n v="32992.053800000002"/>
  </r>
  <r>
    <x v="1486"/>
    <s v="Центр"/>
    <n v="91057.85"/>
    <n v="91057.85"/>
    <n v="82454.509999999995"/>
  </r>
  <r>
    <x v="1180"/>
    <s v="Ст.Каменск-Хозспособ"/>
    <n v="28855.326499999999"/>
    <n v="28855.326499999999"/>
    <n v="25951.933700000001"/>
  </r>
  <r>
    <x v="2107"/>
    <s v="УАЗ-III - 49 кв."/>
    <n v="35563.243300000002"/>
    <n v="35563.243300000002"/>
    <n v="31984.905299999999"/>
  </r>
  <r>
    <x v="2108"/>
    <s v="Октябрьский"/>
    <n v="39105.413099999998"/>
    <n v="39105.413099999998"/>
    <n v="35170.666700000002"/>
  </r>
  <r>
    <x v="2109"/>
    <s v="Чкаловский"/>
    <n v="28848.8855"/>
    <n v="28848.8855"/>
    <n v="25946.143"/>
  </r>
  <r>
    <x v="1163"/>
    <s v="Октябрьский"/>
    <n v="39105.413099999998"/>
    <n v="39105.413099999998"/>
    <n v="35170.666700000002"/>
  </r>
  <r>
    <x v="2110"/>
    <s v="УАЗ-III - 49 кв."/>
    <n v="35563.243300000002"/>
    <n v="35563.243300000002"/>
    <n v="31984.905299999999"/>
  </r>
  <r>
    <x v="1291"/>
    <s v="Ст.Каменск-Хозспособ"/>
    <n v="28855.326499999999"/>
    <n v="28855.326499999999"/>
    <n v="25951.933700000001"/>
  </r>
  <r>
    <x v="1346"/>
    <s v="Ст.Каменск-Хозспособ"/>
    <n v="28855.326499999999"/>
    <n v="28855.326499999999"/>
    <n v="25951.933700000001"/>
  </r>
  <r>
    <x v="2111"/>
    <s v="Ст.Каменск-Хозспособ"/>
    <n v="28855.326499999999"/>
    <n v="28855.326499999999"/>
    <n v="25951.933700000001"/>
  </r>
  <r>
    <x v="2112"/>
    <s v="УАЗ"/>
    <n v="29199.565200000001"/>
    <n v="29199.565200000001"/>
    <n v="26261.5317"/>
  </r>
  <r>
    <x v="2113"/>
    <s v="ДинСанПод"/>
    <n v="36244.5985"/>
    <n v="36244.5985"/>
    <n v="32992.053800000002"/>
  </r>
  <r>
    <x v="2114"/>
    <s v="ШИРОКАЯ РЕЧКА"/>
    <n v="61207.26"/>
    <n v="61207.26"/>
    <n v="55424.27"/>
  </r>
  <r>
    <x v="185"/>
    <s v="Ю-З"/>
    <n v="74239.759999999995"/>
    <n v="74239.759999999995"/>
    <n v="67225.429999999993"/>
  </r>
  <r>
    <x v="560"/>
    <s v="СЕВЕРКА"/>
    <n v="49579.11"/>
    <n v="49579.11"/>
    <n v="44894.77"/>
  </r>
  <r>
    <x v="2115"/>
    <s v="КК возле Первоуральска которые должны считаться как область"/>
    <n v="27104.663700000001"/>
    <n v="27104.663700000001"/>
    <n v="26564.688900000001"/>
  </r>
  <r>
    <x v="2116"/>
    <s v="ДинСанПод"/>
    <n v="36244.5985"/>
    <n v="36244.5985"/>
    <n v="32992.053800000002"/>
  </r>
  <r>
    <x v="2117"/>
    <s v="ДинСанПод"/>
    <n v="36244.5985"/>
    <n v="36244.5985"/>
    <n v="32992.053800000002"/>
  </r>
  <r>
    <x v="2118"/>
    <s v="КК возле Первоуральска которые должны считаться как область"/>
    <n v="27104.663700000001"/>
    <n v="27104.663700000001"/>
    <n v="26564.688900000001"/>
  </r>
  <r>
    <x v="2119"/>
    <s v="УАЗ-III - 49 кв."/>
    <n v="35563.243300000002"/>
    <n v="35563.243300000002"/>
    <n v="31984.905299999999"/>
  </r>
  <r>
    <x v="2120"/>
    <s v="п.Студеный"/>
    <n v="21261.0285"/>
    <n v="21261.0285"/>
    <n v="20837.465199999999"/>
  </r>
  <r>
    <x v="1467"/>
    <s v="Сух_Г-Кам_Н_Кушва_Н-Черм"/>
    <n v="29893.73"/>
    <n v="29893.73"/>
    <n v="26241.207699999999"/>
  </r>
  <r>
    <x v="1134"/>
    <s v="Октябрьский"/>
    <n v="39105.413099999998"/>
    <n v="39105.413099999998"/>
    <n v="35170.666700000002"/>
  </r>
  <r>
    <x v="2121"/>
    <s v="Северный"/>
    <n v="29151.309799999999"/>
    <n v="29151.309799999999"/>
    <n v="26218.127700000001"/>
  </r>
  <r>
    <x v="2122"/>
    <s v="Северный"/>
    <n v="29151.309799999999"/>
    <n v="29151.309799999999"/>
    <n v="26218.127700000001"/>
  </r>
  <r>
    <x v="2123"/>
    <s v="Евст_В-Черм"/>
    <n v="24299.835599999999"/>
    <n v="24299.835599999999"/>
    <n v="21330.794900000001"/>
  </r>
  <r>
    <x v="1444"/>
    <s v="Рудник_Север"/>
    <n v="30591.135900000001"/>
    <n v="30591.135900000001"/>
    <n v="26853.405500000001"/>
  </r>
  <r>
    <x v="2124"/>
    <s v="Алт_Гальян_М-Кушва"/>
    <n v="40018.9617"/>
    <n v="40018.9617"/>
    <n v="35129.2961"/>
  </r>
  <r>
    <x v="2125"/>
    <s v="Ст.Каменск-Хозспособ"/>
    <n v="28855.326499999999"/>
    <n v="28855.326499999999"/>
    <n v="25951.933700000001"/>
  </r>
  <r>
    <x v="96"/>
    <s v="ИСТОК"/>
    <n v="51831.47"/>
    <n v="51831.47"/>
    <n v="46934.32"/>
  </r>
  <r>
    <x v="2126"/>
    <s v="ИСТОК"/>
    <n v="51831.47"/>
    <n v="51831.47"/>
    <n v="46934.32"/>
  </r>
  <r>
    <x v="1386"/>
    <s v="Ваг_Стар_Пихтовы-г"/>
    <n v="40625.090199999999"/>
    <n v="40625.090199999999"/>
    <n v="35661.364300000001"/>
  </r>
  <r>
    <x v="2127"/>
    <s v="ДинСанПод"/>
    <n v="36244.5985"/>
    <n v="36244.5985"/>
    <n v="32992.053800000002"/>
  </r>
  <r>
    <x v="2128"/>
    <s v="ДинСанПод"/>
    <n v="36244.5985"/>
    <n v="36244.5985"/>
    <n v="32992.053800000002"/>
  </r>
  <r>
    <x v="2129"/>
    <s v="Ст.Каменск-Хозспособ"/>
    <n v="28855.326499999999"/>
    <n v="28855.326499999999"/>
    <n v="25951.933700000001"/>
  </r>
  <r>
    <x v="1308"/>
    <s v="Чкаловский"/>
    <n v="28848.8855"/>
    <n v="28848.8855"/>
    <n v="25946.143"/>
  </r>
  <r>
    <x v="2130"/>
    <s v="УАЗ-II"/>
    <n v="35756.285400000001"/>
    <n v="35756.285400000001"/>
    <n v="32158.5213"/>
  </r>
  <r>
    <x v="1421"/>
    <s v="Выя_Леб_Горб_Кр-Кам"/>
    <n v="36513.6518"/>
    <n v="36513.6518"/>
    <n v="32052.276999999998"/>
  </r>
  <r>
    <x v="1087"/>
    <s v="ИСТОК"/>
    <n v="51831.47"/>
    <n v="51831.47"/>
    <n v="46934.32"/>
  </r>
  <r>
    <x v="2131"/>
    <s v="Алт_Гальян_М-Кушва"/>
    <n v="40018.9617"/>
    <n v="40018.9617"/>
    <n v="35129.2961"/>
  </r>
  <r>
    <x v="1382"/>
    <s v="Алт_Гальян_М-Кушва"/>
    <n v="40018.9617"/>
    <n v="40018.9617"/>
    <n v="35129.2961"/>
  </r>
  <r>
    <x v="2132"/>
    <s v="Ленин-Олимп"/>
    <n v="32172.2909"/>
    <n v="32172.2909"/>
    <n v="28935.146499999999"/>
  </r>
  <r>
    <x v="2133"/>
    <s v="Рудник_Север"/>
    <n v="30591.135900000001"/>
    <n v="30591.135900000001"/>
    <n v="26853.405500000001"/>
  </r>
  <r>
    <x v="1191"/>
    <s v="УАЗ"/>
    <n v="29199.565200000001"/>
    <n v="29199.565200000001"/>
    <n v="26261.5317"/>
  </r>
  <r>
    <x v="2134"/>
    <s v="ГОРНЫЙ ЩИТ"/>
    <n v="50617.09"/>
    <n v="50617.09"/>
    <n v="45834.68"/>
  </r>
  <r>
    <x v="2135"/>
    <s v="УАЗ-II"/>
    <n v="35756.285400000001"/>
    <n v="35756.285400000001"/>
    <n v="32158.5213"/>
  </r>
  <r>
    <x v="1312"/>
    <s v="Чкаловский"/>
    <n v="28848.8855"/>
    <n v="28848.8855"/>
    <n v="25946.143"/>
  </r>
  <r>
    <x v="2136"/>
    <s v="Сух_Г-Кам_Н_Кушва_Н-Черм"/>
    <n v="29893.73"/>
    <n v="29893.73"/>
    <n v="26241.207699999999"/>
  </r>
  <r>
    <x v="2137"/>
    <s v="Сух_Г-Кам_Н_Кушва_Н-Черм"/>
    <n v="29893.73"/>
    <n v="29893.73"/>
    <n v="26241.207699999999"/>
  </r>
  <r>
    <x v="1524"/>
    <s v="Шайтанка"/>
    <n v="34007.852099999996"/>
    <n v="34007.852099999996"/>
    <n v="30956.028900000001"/>
  </r>
  <r>
    <x v="2138"/>
    <s v="Соцгород"/>
    <n v="40100.412600000003"/>
    <n v="40100.412600000003"/>
    <n v="36501.853799999997"/>
  </r>
  <r>
    <x v="2139"/>
    <s v="Шайтанка"/>
    <n v="34007.852099999996"/>
    <n v="34007.852099999996"/>
    <n v="30956.028900000001"/>
  </r>
  <r>
    <x v="1526"/>
    <s v="Шайтанка"/>
    <n v="34007.852099999996"/>
    <n v="34007.852099999996"/>
    <n v="30956.028900000001"/>
  </r>
  <r>
    <x v="2140"/>
    <s v="Шайтанка"/>
    <n v="34007.852099999996"/>
    <n v="34007.852099999996"/>
    <n v="30956.028900000001"/>
  </r>
  <r>
    <x v="2141"/>
    <s v="Ст.Каменск-Хозспособ"/>
    <n v="28855.326499999999"/>
    <n v="28855.326499999999"/>
    <n v="25951.933700000001"/>
  </r>
  <r>
    <x v="1240"/>
    <s v="УАЗ-III - 49 кв."/>
    <n v="35563.243300000002"/>
    <n v="35563.243300000002"/>
    <n v="31984.905299999999"/>
  </r>
  <r>
    <x v="2142"/>
    <s v="УАЗ-II"/>
    <n v="35756.285400000001"/>
    <n v="35756.285400000001"/>
    <n v="32158.5213"/>
  </r>
  <r>
    <x v="2143"/>
    <s v="УАЗ-II"/>
    <n v="35756.285400000001"/>
    <n v="35756.285400000001"/>
    <n v="32158.5213"/>
  </r>
  <r>
    <x v="1120"/>
    <s v="УАЗ-III - 49 кв."/>
    <n v="35563.243300000002"/>
    <n v="35563.243300000002"/>
    <n v="31984.905299999999"/>
  </r>
  <r>
    <x v="2144"/>
    <s v="Чкаловский"/>
    <n v="28848.8855"/>
    <n v="28848.8855"/>
    <n v="25946.143"/>
  </r>
  <r>
    <x v="2145"/>
    <s v="Чкаловский"/>
    <n v="28848.8855"/>
    <n v="28848.8855"/>
    <n v="25946.143"/>
  </r>
  <r>
    <x v="1255"/>
    <s v="Ленин-Олимп"/>
    <n v="32172.2909"/>
    <n v="32172.2909"/>
    <n v="28935.146499999999"/>
  </r>
  <r>
    <x v="2146"/>
    <s v="Ленин-Олимп"/>
    <n v="32172.2909"/>
    <n v="32172.2909"/>
    <n v="28935.146499999999"/>
  </r>
  <r>
    <x v="1193"/>
    <s v="УАЗ"/>
    <n v="29199.565200000001"/>
    <n v="29199.565200000001"/>
    <n v="26261.5317"/>
  </r>
  <r>
    <x v="2147"/>
    <s v="Чкаловский"/>
    <n v="28848.8855"/>
    <n v="28848.8855"/>
    <n v="25946.143"/>
  </r>
  <r>
    <x v="2148"/>
    <s v="ЖБИ"/>
    <n v="67218.09"/>
    <n v="67218.09"/>
    <n v="60867.18"/>
  </r>
  <r>
    <x v="2149"/>
    <s v="ДинСанПод"/>
    <n v="36244.5985"/>
    <n v="36244.5985"/>
    <n v="32992.053800000002"/>
  </r>
  <r>
    <x v="2150"/>
    <s v="ДинСанПод"/>
    <n v="36244.5985"/>
    <n v="36244.5985"/>
    <n v="32992.053800000002"/>
  </r>
  <r>
    <x v="2151"/>
    <s v="ДинСанПод"/>
    <n v="36244.5985"/>
    <n v="36244.5985"/>
    <n v="32992.053800000002"/>
  </r>
  <r>
    <x v="2152"/>
    <s v="УАЗ-III - 49 кв."/>
    <n v="35563.243300000002"/>
    <n v="35563.243300000002"/>
    <n v="31984.905299999999"/>
  </r>
  <r>
    <x v="2153"/>
    <s v="Алт_Гальян_М-Кушва"/>
    <n v="40018.9617"/>
    <n v="40018.9617"/>
    <n v="35129.2961"/>
  </r>
  <r>
    <x v="2154"/>
    <s v="Сух_Г-Кам_Н_Кушва_Н-Черм"/>
    <n v="29893.73"/>
    <n v="29893.73"/>
    <n v="26241.207699999999"/>
  </r>
  <r>
    <x v="2155"/>
    <s v="Алт_Гальян_М-Кушва"/>
    <n v="40018.9617"/>
    <n v="40018.9617"/>
    <n v="35129.2961"/>
  </r>
  <r>
    <x v="1419"/>
    <s v="Выя_Леб_Горб_Кр-Кам"/>
    <n v="36513.6518"/>
    <n v="36513.6518"/>
    <n v="32052.276999999998"/>
  </r>
  <r>
    <x v="2156"/>
    <s v="Шайтанка"/>
    <n v="34007.852099999996"/>
    <n v="34007.852099999996"/>
    <n v="30956.028900000001"/>
  </r>
  <r>
    <x v="2157"/>
    <s v="ДинСанПод"/>
    <n v="36244.5985"/>
    <n v="36244.5985"/>
    <n v="32992.053800000002"/>
  </r>
  <r>
    <x v="1430"/>
    <s v="Выя_Леб_Горб_Кр-Кам"/>
    <n v="36513.6518"/>
    <n v="36513.6518"/>
    <n v="32052.276999999998"/>
  </r>
  <r>
    <x v="1379"/>
    <s v="Алт_Гальян_М-Кушва"/>
    <n v="40018.9617"/>
    <n v="40018.9617"/>
    <n v="35129.2961"/>
  </r>
  <r>
    <x v="2158"/>
    <s v="УАЗ-III - 49 кв."/>
    <n v="35563.243300000002"/>
    <n v="35563.243300000002"/>
    <n v="31984.905299999999"/>
  </r>
  <r>
    <x v="2159"/>
    <s v="УАЗ-II"/>
    <n v="35756.285400000001"/>
    <n v="35756.285400000001"/>
    <n v="32158.5213"/>
  </r>
  <r>
    <x v="1149"/>
    <s v="Октябрьский"/>
    <n v="39105.413099999998"/>
    <n v="39105.413099999998"/>
    <n v="35170.666700000002"/>
  </r>
  <r>
    <x v="1219"/>
    <s v="УАЗ-II"/>
    <n v="35756.285400000001"/>
    <n v="35756.285400000001"/>
    <n v="32158.5213"/>
  </r>
  <r>
    <x v="2160"/>
    <s v="Чкаловский"/>
    <n v="28848.8855"/>
    <n v="28848.8855"/>
    <n v="25946.143"/>
  </r>
  <r>
    <x v="2161"/>
    <s v="Чкаловский"/>
    <n v="28848.8855"/>
    <n v="28848.8855"/>
    <n v="25946.143"/>
  </r>
  <r>
    <x v="1154"/>
    <s v="Октябрьский"/>
    <n v="39105.413099999998"/>
    <n v="39105.413099999998"/>
    <n v="35170.666700000002"/>
  </r>
  <r>
    <x v="1508"/>
    <s v="Западный"/>
    <n v="38366.254699999998"/>
    <n v="38366.254699999998"/>
    <n v="34923.320599999999"/>
  </r>
  <r>
    <x v="2162"/>
    <s v="Ваг_Стар_Пихтовы-г"/>
    <n v="40625.090199999999"/>
    <n v="40625.090199999999"/>
    <n v="35661.364300000001"/>
  </r>
  <r>
    <x v="2163"/>
    <s v="ВТУЗГОРОДОК"/>
    <n v="74667.16"/>
    <n v="74667.16"/>
    <n v="67612.45"/>
  </r>
  <r>
    <x v="2164"/>
    <s v="Старая сортировка"/>
    <n v="57516.65"/>
    <n v="57516.65"/>
    <n v="52082.35"/>
  </r>
  <r>
    <x v="2165"/>
    <s v="Шайтанка"/>
    <n v="34007.852099999996"/>
    <n v="34007.852099999996"/>
    <n v="30956.028900000001"/>
  </r>
  <r>
    <x v="2166"/>
    <s v="ДинСанПод"/>
    <n v="36244.5985"/>
    <n v="36244.5985"/>
    <n v="32992.053800000002"/>
  </r>
  <r>
    <x v="2167"/>
    <s v="Первомайский"/>
    <n v="26641.525799999999"/>
    <n v="26641.525799999999"/>
    <n v="24250.754499999999"/>
  </r>
  <r>
    <x v="1317"/>
    <s v="Ленин-Олимп"/>
    <n v="32172.2909"/>
    <n v="32172.2909"/>
    <n v="28935.146499999999"/>
  </r>
  <r>
    <x v="2168"/>
    <s v="ДинСанПод"/>
    <n v="36244.5985"/>
    <n v="36244.5985"/>
    <n v="32992.053800000002"/>
  </r>
  <r>
    <x v="2169"/>
    <s v="ЕЛИЗАВЕТ"/>
    <n v="59056.67"/>
    <n v="59056.67"/>
    <n v="53476.87"/>
  </r>
  <r>
    <x v="2170"/>
    <s v="МЕДНЫЙ"/>
    <n v="49741.93"/>
    <n v="49741.93"/>
    <n v="45042.2"/>
  </r>
  <r>
    <x v="2171"/>
    <s v="ХИММАШ"/>
    <n v="60047.16"/>
    <n v="60047.16"/>
    <n v="54373.78"/>
  </r>
  <r>
    <x v="2172"/>
    <s v="УАЗ-II"/>
    <n v="35756.285400000001"/>
    <n v="35756.285400000001"/>
    <n v="32158.5213"/>
  </r>
  <r>
    <x v="2173"/>
    <s v="Алт_Гальян_М-Кушва"/>
    <n v="40018.9617"/>
    <n v="40018.9617"/>
    <n v="35129.2961"/>
  </r>
  <r>
    <x v="2174"/>
    <s v="Ст.Каменск-Хозспособ"/>
    <n v="28855.326499999999"/>
    <n v="28855.326499999999"/>
    <n v="25951.933700000001"/>
  </r>
  <r>
    <x v="1392"/>
    <s v="Ваг_Стар_Пихтовы-г"/>
    <n v="40625.090199999999"/>
    <n v="40625.090199999999"/>
    <n v="35661.364300000001"/>
  </r>
  <r>
    <x v="2175"/>
    <s v="Ленин-Олимп"/>
    <n v="32172.2909"/>
    <n v="32172.2909"/>
    <n v="28935.146499999999"/>
  </r>
  <r>
    <x v="2176"/>
    <s v="Октябрьский"/>
    <n v="39105.413099999998"/>
    <n v="39105.413099999998"/>
    <n v="35170.666700000002"/>
  </r>
  <r>
    <x v="2177"/>
    <s v="УАЗ"/>
    <n v="29199.565200000001"/>
    <n v="29199.565200000001"/>
    <n v="26261.5317"/>
  </r>
  <r>
    <x v="2178"/>
    <s v="Выя_Леб_Горб_Кр-Кам"/>
    <n v="36513.6518"/>
    <n v="36513.6518"/>
    <n v="32052.276999999998"/>
  </r>
  <r>
    <x v="1417"/>
    <s v="Выя_Леб_Горб_Кр-Кам"/>
    <n v="36513.6518"/>
    <n v="36513.6518"/>
    <n v="32052.276999999998"/>
  </r>
  <r>
    <x v="2179"/>
    <s v="Ленин-Олимп"/>
    <n v="32172.2909"/>
    <n v="32172.2909"/>
    <n v="28935.146499999999"/>
  </r>
  <r>
    <x v="2180"/>
    <s v="Северный"/>
    <n v="29151.309799999999"/>
    <n v="29151.309799999999"/>
    <n v="26218.127700000001"/>
  </r>
  <r>
    <x v="2181"/>
    <s v="Ст.Каменск-Хозспособ"/>
    <n v="28855.326499999999"/>
    <n v="28855.326499999999"/>
    <n v="25951.933700000001"/>
  </r>
  <r>
    <x v="2182"/>
    <s v="Ст.Каменск-Хозспособ"/>
    <n v="28855.326499999999"/>
    <n v="28855.326499999999"/>
    <n v="25951.933700000001"/>
  </r>
  <r>
    <x v="1226"/>
    <s v="УАЗ-II"/>
    <n v="35756.285400000001"/>
    <n v="35756.285400000001"/>
    <n v="32158.5213"/>
  </r>
  <r>
    <x v="2183"/>
    <s v="Алт_Гальян_М-Кушва"/>
    <n v="40018.9617"/>
    <n v="40018.9617"/>
    <n v="35129.2961"/>
  </r>
  <r>
    <x v="2184"/>
    <s v="Северный"/>
    <n v="29151.309799999999"/>
    <n v="29151.309799999999"/>
    <n v="26218.127700000001"/>
  </r>
  <r>
    <x v="2185"/>
    <s v="Сух_Г-Кам_Н_Кушва_Н-Черм"/>
    <n v="29893.73"/>
    <n v="29893.73"/>
    <n v="26241.207699999999"/>
  </r>
  <r>
    <x v="1169"/>
    <s v="Октябрьский"/>
    <n v="39105.413099999998"/>
    <n v="39105.413099999998"/>
    <n v="35170.666700000002"/>
  </r>
  <r>
    <x v="2186"/>
    <s v="Ленин-Олимп"/>
    <n v="32172.2909"/>
    <n v="32172.2909"/>
    <n v="28935.146499999999"/>
  </r>
  <r>
    <x v="2187"/>
    <s v="Трубников"/>
    <n v="38278.589899999999"/>
    <n v="38278.589899999999"/>
    <n v="34427.0285"/>
  </r>
  <r>
    <x v="2188"/>
    <s v="УАЗ"/>
    <n v="29199.565200000001"/>
    <n v="29199.565200000001"/>
    <n v="26261.5317"/>
  </r>
  <r>
    <x v="2189"/>
    <s v="УРАЛМАШ"/>
    <n v="67842.240000000005"/>
    <n v="67842.240000000005"/>
    <n v="61432.36"/>
  </r>
  <r>
    <x v="2190"/>
    <s v="УРАЛМАШ"/>
    <n v="67842.240000000005"/>
    <n v="67842.240000000005"/>
    <n v="61432.36"/>
  </r>
  <r>
    <x v="2191"/>
    <s v="ЗАРЕЧНЫЙ"/>
    <n v="68887.009999999995"/>
    <n v="68887.009999999995"/>
    <n v="62378.42"/>
  </r>
  <r>
    <x v="2192"/>
    <s v="Соцгород"/>
    <n v="40100.412600000003"/>
    <n v="40100.412600000003"/>
    <n v="36501.853799999997"/>
  </r>
  <r>
    <x v="1512"/>
    <s v="Магнитка"/>
    <n v="32948.938800000004"/>
    <n v="32948.938800000004"/>
    <n v="29992.139899999998"/>
  </r>
  <r>
    <x v="2193"/>
    <s v="ДинСанПод"/>
    <n v="36244.5985"/>
    <n v="36244.5985"/>
    <n v="32992.053800000002"/>
  </r>
  <r>
    <x v="2194"/>
    <s v="Первомайский"/>
    <n v="26641.525799999999"/>
    <n v="26641.525799999999"/>
    <n v="24250.754499999999"/>
  </r>
  <r>
    <x v="2195"/>
    <s v="ДинСанПод"/>
    <n v="36244.5985"/>
    <n v="36244.5985"/>
    <n v="32992.053800000002"/>
  </r>
  <r>
    <x v="2196"/>
    <s v="Соцгород"/>
    <n v="40100.412600000003"/>
    <n v="40100.412600000003"/>
    <n v="36501.853799999997"/>
  </r>
  <r>
    <x v="1315"/>
    <s v="Чкаловский"/>
    <n v="28848.8855"/>
    <n v="28848.8855"/>
    <n v="25946.143"/>
  </r>
  <r>
    <x v="2197"/>
    <s v="УРАЛМАШ"/>
    <n v="67842.240000000005"/>
    <n v="67842.240000000005"/>
    <n v="61432.36"/>
  </r>
  <r>
    <x v="1414"/>
    <s v="Выя_Леб_Горб_Кр-Кам"/>
    <n v="36513.6518"/>
    <n v="36513.6518"/>
    <n v="32052.276999999998"/>
  </r>
  <r>
    <x v="1477"/>
    <s v="Тагил_Кирп"/>
    <n v="34023.428"/>
    <n v="34023.428"/>
    <n v="29866.3148"/>
  </r>
  <r>
    <x v="1468"/>
    <s v="Тагил_Кирп"/>
    <n v="34023.428"/>
    <n v="34023.428"/>
    <n v="29866.3148"/>
  </r>
  <r>
    <x v="2198"/>
    <s v="Чкаловский"/>
    <n v="28848.8855"/>
    <n v="28848.8855"/>
    <n v="25946.143"/>
  </r>
  <r>
    <x v="2199"/>
    <s v="ЕЛИЗАВЕТ"/>
    <n v="59056.67"/>
    <n v="59056.67"/>
    <n v="53476.87"/>
  </r>
  <r>
    <x v="2200"/>
    <s v="Ст.Каменск-Хозспособ"/>
    <n v="28855.326499999999"/>
    <n v="28855.326499999999"/>
    <n v="25951.933700000001"/>
  </r>
  <r>
    <x v="1406"/>
    <s v="Выя_Леб_Горб_Кр-Кам"/>
    <n v="36513.6518"/>
    <n v="36513.6518"/>
    <n v="32052.276999999998"/>
  </r>
  <r>
    <x v="1410"/>
    <s v="Выя_Леб_Горб_Кр-Кам"/>
    <n v="36513.6518"/>
    <n v="36513.6518"/>
    <n v="32052.276999999998"/>
  </r>
  <r>
    <x v="2201"/>
    <s v="ДинСанПод"/>
    <n v="36244.5985"/>
    <n v="36244.5985"/>
    <n v="32992.053800000002"/>
  </r>
  <r>
    <x v="1408"/>
    <s v="Выя_Леб_Горб_Кр-Кам"/>
    <n v="36513.6518"/>
    <n v="36513.6518"/>
    <n v="32052.276999999998"/>
  </r>
  <r>
    <x v="2202"/>
    <s v="Алт_Гальян_М-Кушва"/>
    <n v="40018.9617"/>
    <n v="40018.9617"/>
    <n v="35129.2961"/>
  </r>
  <r>
    <x v="2203"/>
    <s v="Сух_Г-Кам_Н_Кушва_Н-Черм"/>
    <n v="29893.73"/>
    <n v="29893.73"/>
    <n v="26241.207699999999"/>
  </r>
  <r>
    <x v="1214"/>
    <s v="УАЗ-II"/>
    <n v="35756.285400000001"/>
    <n v="35756.285400000001"/>
    <n v="32158.5213"/>
  </r>
  <r>
    <x v="1128"/>
    <s v="УАЗ-II"/>
    <n v="35756.285400000001"/>
    <n v="35756.285400000001"/>
    <n v="32158.5213"/>
  </r>
  <r>
    <x v="2204"/>
    <s v="УАЗ-II"/>
    <n v="35756.285400000001"/>
    <n v="35756.285400000001"/>
    <n v="32158.5213"/>
  </r>
  <r>
    <x v="1301"/>
    <s v="Чкаловский"/>
    <n v="28848.8855"/>
    <n v="28848.8855"/>
    <n v="25946.143"/>
  </r>
  <r>
    <x v="1234"/>
    <s v="УАЗ-III - 49 кв."/>
    <n v="35563.243300000002"/>
    <n v="35563.243300000002"/>
    <n v="31984.905299999999"/>
  </r>
  <r>
    <x v="2205"/>
    <s v="ДинСанПод"/>
    <n v="36244.5985"/>
    <n v="36244.5985"/>
    <n v="32992.053800000002"/>
  </r>
  <r>
    <x v="2206"/>
    <s v="Ст.Каменск-Хозспособ"/>
    <n v="28855.326499999999"/>
    <n v="28855.326499999999"/>
    <n v="25951.933700000001"/>
  </r>
  <r>
    <x v="2207"/>
    <s v="МАЛЫЙ ИСТОК"/>
    <n v="58296.83"/>
    <n v="58296.83"/>
    <n v="52788.83"/>
  </r>
  <r>
    <x v="2208"/>
    <s v="ПТИЦЕФАБРИКА"/>
    <n v="55074.33"/>
    <n v="55074.33"/>
    <n v="49870.79"/>
  </r>
  <r>
    <x v="1160"/>
    <s v="Октябрьский"/>
    <n v="39105.413099999998"/>
    <n v="39105.413099999998"/>
    <n v="35170.666700000002"/>
  </r>
  <r>
    <x v="1333"/>
    <s v="Ст.Каменск-Хозспособ"/>
    <n v="28855.326499999999"/>
    <n v="28855.326499999999"/>
    <n v="25951.933700000001"/>
  </r>
  <r>
    <x v="2209"/>
    <s v="Чкаловский"/>
    <n v="28848.8855"/>
    <n v="28848.8855"/>
    <n v="25946.143"/>
  </r>
  <r>
    <x v="2210"/>
    <s v="УАЗ"/>
    <n v="29199.565200000001"/>
    <n v="29199.565200000001"/>
    <n v="26261.5317"/>
  </r>
  <r>
    <x v="2211"/>
    <s v="ПИОНЕРСКИЙ"/>
    <n v="75318.45"/>
    <n v="75318.45"/>
    <n v="68202.2"/>
  </r>
  <r>
    <x v="2212"/>
    <s v="ЧЕРМЕТ"/>
    <n v="60698.45"/>
    <n v="60698.45"/>
    <n v="54963.53"/>
  </r>
  <r>
    <x v="2213"/>
    <s v="Сух_Г-Кам_Н_Кушва_Н-Черм"/>
    <n v="29893.73"/>
    <n v="29893.73"/>
    <n v="26241.207699999999"/>
  </r>
  <r>
    <x v="2214"/>
    <s v="УКТУС"/>
    <n v="61655.02"/>
    <n v="61655.02"/>
    <n v="55829.73"/>
  </r>
  <r>
    <x v="1243"/>
    <s v="УАЗ-III - 49 кв."/>
    <n v="35563.243300000002"/>
    <n v="35563.243300000002"/>
    <n v="31984.905299999999"/>
  </r>
  <r>
    <x v="2215"/>
    <s v="УАЗ-II"/>
    <n v="35756.285400000001"/>
    <n v="35756.285400000001"/>
    <n v="32158.5213"/>
  </r>
  <r>
    <x v="1316"/>
    <s v="Чкаловский"/>
    <n v="28848.8855"/>
    <n v="28848.8855"/>
    <n v="25946.143"/>
  </r>
  <r>
    <x v="1129"/>
    <s v="Чкаловский"/>
    <n v="28848.8855"/>
    <n v="28848.8855"/>
    <n v="25946.143"/>
  </r>
  <r>
    <x v="1340"/>
    <s v="Ст.Каменск-Хозспособ"/>
    <n v="28855.326499999999"/>
    <n v="28855.326499999999"/>
    <n v="25951.933700000001"/>
  </r>
  <r>
    <x v="2216"/>
    <s v="Ст.Каменск-Хозспособ"/>
    <n v="28855.326499999999"/>
    <n v="28855.326499999999"/>
    <n v="25951.933700000001"/>
  </r>
  <r>
    <x v="1482"/>
    <s v="Центр"/>
    <n v="91057.85"/>
    <n v="91057.85"/>
    <n v="82454.509999999995"/>
  </r>
  <r>
    <x v="2217"/>
    <s v="Сух_Г-Кам_Н_Кушва_Н-Черм"/>
    <n v="29893.73"/>
    <n v="29893.73"/>
    <n v="26241.207699999999"/>
  </r>
  <r>
    <x v="1492"/>
    <s v="Центр"/>
    <n v="91057.85"/>
    <n v="91057.85"/>
    <n v="82454.509999999995"/>
  </r>
  <r>
    <x v="2218"/>
    <s v="Ст.Каменск-Хозспособ"/>
    <n v="28855.326499999999"/>
    <n v="28855.326499999999"/>
    <n v="25951.933700000001"/>
  </r>
  <r>
    <x v="1483"/>
    <s v="Центр"/>
    <n v="91057.85"/>
    <n v="91057.85"/>
    <n v="82454.509999999995"/>
  </r>
  <r>
    <x v="2219"/>
    <s v="Алт_Гальян_М-Кушва"/>
    <n v="40018.9617"/>
    <n v="40018.9617"/>
    <n v="35129.2961"/>
  </r>
  <r>
    <x v="2220"/>
    <s v="Ленин-Олимп"/>
    <n v="32172.2909"/>
    <n v="32172.2909"/>
    <n v="28935.146499999999"/>
  </r>
  <r>
    <x v="2221"/>
    <s v="Ст.Каменск-Хозспособ"/>
    <n v="28855.326499999999"/>
    <n v="28855.326499999999"/>
    <n v="25951.933700000001"/>
  </r>
  <r>
    <x v="2222"/>
    <s v="Первомайский"/>
    <n v="26641.525799999999"/>
    <n v="26641.525799999999"/>
    <n v="24250.754499999999"/>
  </r>
  <r>
    <x v="2223"/>
    <s v="Северный"/>
    <n v="29151.309799999999"/>
    <n v="29151.309799999999"/>
    <n v="26218.127700000001"/>
  </r>
  <r>
    <x v="1394"/>
    <s v="Ваг_Стар_Пихтовы-г"/>
    <n v="40625.090199999999"/>
    <n v="40625.090199999999"/>
    <n v="35661.364300000001"/>
  </r>
  <r>
    <x v="2224"/>
    <s v="Рудник_Север"/>
    <n v="30591.135900000001"/>
    <n v="30591.135900000001"/>
    <n v="26853.405500000001"/>
  </r>
  <r>
    <x v="1495"/>
    <s v="Центр"/>
    <n v="91057.85"/>
    <n v="91057.85"/>
    <n v="82454.509999999995"/>
  </r>
  <r>
    <x v="2225"/>
    <s v="Сух_Г-Кам_Н_Кушва_Н-Черм"/>
    <n v="29893.73"/>
    <n v="29893.73"/>
    <n v="26241.207699999999"/>
  </r>
  <r>
    <x v="1446"/>
    <s v="Сух_Г-Кам_Н_Кушва_Н-Черм"/>
    <n v="29893.73"/>
    <n v="29893.73"/>
    <n v="26241.207699999999"/>
  </r>
  <r>
    <x v="1377"/>
    <s v="Алт_Гальян_М-Кушва"/>
    <n v="40018.9617"/>
    <n v="40018.9617"/>
    <n v="35129.2961"/>
  </r>
  <r>
    <x v="2226"/>
    <s v="Алт_Гальян_М-Кушва"/>
    <n v="40018.9617"/>
    <n v="40018.9617"/>
    <n v="35129.2961"/>
  </r>
  <r>
    <x v="1443"/>
    <s v="Рудник_Север"/>
    <n v="30591.135900000001"/>
    <n v="30591.135900000001"/>
    <n v="26853.405500000001"/>
  </r>
  <r>
    <x v="1502"/>
    <s v="ДинСанПод"/>
    <n v="36244.5985"/>
    <n v="36244.5985"/>
    <n v="32992.053800000002"/>
  </r>
  <r>
    <x v="2227"/>
    <s v="УАЗ-II"/>
    <n v="35756.285400000001"/>
    <n v="35756.285400000001"/>
    <n v="32158.5213"/>
  </r>
  <r>
    <x v="2228"/>
    <s v="Чкаловский"/>
    <n v="28848.8855"/>
    <n v="28848.8855"/>
    <n v="25946.143"/>
  </r>
  <r>
    <x v="1264"/>
    <s v="Ленин-Олимп"/>
    <n v="32172.2909"/>
    <n v="32172.2909"/>
    <n v="28935.146499999999"/>
  </r>
  <r>
    <x v="2229"/>
    <s v="Северный"/>
    <n v="29151.309799999999"/>
    <n v="29151.309799999999"/>
    <n v="26218.127700000001"/>
  </r>
  <r>
    <x v="1338"/>
    <s v="Ст.Каменск-Хозспособ"/>
    <n v="28855.326499999999"/>
    <n v="28855.326499999999"/>
    <n v="25951.933700000001"/>
  </r>
  <r>
    <x v="1135"/>
    <s v="Октябрьский"/>
    <n v="39105.413099999998"/>
    <n v="39105.413099999998"/>
    <n v="35170.666700000002"/>
  </r>
  <r>
    <x v="2230"/>
    <s v="УАЗ"/>
    <n v="29199.565200000001"/>
    <n v="29199.565200000001"/>
    <n v="26261.5317"/>
  </r>
  <r>
    <x v="2231"/>
    <s v="УАЗ"/>
    <n v="29199.565200000001"/>
    <n v="29199.565200000001"/>
    <n v="26261.5317"/>
  </r>
  <r>
    <x v="2232"/>
    <s v="Ленин-Олимп"/>
    <n v="32172.2909"/>
    <n v="32172.2909"/>
    <n v="28935.146499999999"/>
  </r>
  <r>
    <x v="955"/>
    <s v="УНЦ"/>
    <n v="62774.42"/>
    <n v="62774.42"/>
    <n v="56843.360000000001"/>
  </r>
  <r>
    <x v="2233"/>
    <s v="Октябрьский"/>
    <n v="39105.413099999998"/>
    <n v="39105.413099999998"/>
    <n v="35170.666700000002"/>
  </r>
  <r>
    <x v="2234"/>
    <s v="РУДНЫЙ"/>
    <n v="45325.4"/>
    <n v="45325.4"/>
    <n v="41042.959999999999"/>
  </r>
  <r>
    <x v="2235"/>
    <s v="ДинСанПод"/>
    <n v="36244.5985"/>
    <n v="36244.5985"/>
    <n v="32992.053800000002"/>
  </r>
  <r>
    <x v="2236"/>
    <s v="ШАБРОВСКИЙ"/>
    <n v="36417.71"/>
    <n v="36417.71"/>
    <n v="32976.89"/>
  </r>
  <r>
    <x v="2237"/>
    <s v="Чкаловский"/>
    <n v="28848.8855"/>
    <n v="28848.8855"/>
    <n v="25946.143"/>
  </r>
  <r>
    <x v="2238"/>
    <s v="ШИРОКАЯ РЕЧКА"/>
    <n v="61207.26"/>
    <n v="61207.26"/>
    <n v="55424.27"/>
  </r>
  <r>
    <x v="2239"/>
    <s v="Сух_Г-Кам_Н_Кушва_Н-Черм"/>
    <n v="29893.73"/>
    <n v="29893.73"/>
    <n v="26241.207699999999"/>
  </r>
  <r>
    <x v="1488"/>
    <s v="Центр"/>
    <n v="91057.85"/>
    <n v="91057.85"/>
    <n v="82454.509999999995"/>
  </r>
  <r>
    <x v="1391"/>
    <s v="Ваг_Стар_Пихтовы-г"/>
    <n v="40625.090199999999"/>
    <n v="40625.090199999999"/>
    <n v="35661.364300000001"/>
  </r>
  <r>
    <x v="1303"/>
    <s v="Чкаловский"/>
    <n v="28848.8855"/>
    <n v="28848.8855"/>
    <n v="25946.143"/>
  </r>
  <r>
    <x v="2240"/>
    <s v="УАЗ-III - 49 кв."/>
    <n v="35563.243300000002"/>
    <n v="35563.243300000002"/>
    <n v="31984.905299999999"/>
  </r>
  <r>
    <x v="1239"/>
    <s v="УАЗ-III - 49 кв."/>
    <n v="35563.243300000002"/>
    <n v="35563.243300000002"/>
    <n v="31984.905299999999"/>
  </r>
  <r>
    <x v="575"/>
    <s v="СОВХОЗ"/>
    <n v="57883"/>
    <n v="57883"/>
    <n v="52414.09"/>
  </r>
  <r>
    <x v="2241"/>
    <s v="Северка"/>
    <n v="49579.11"/>
    <n v="49579.11"/>
    <n v="44894.77"/>
  </r>
  <r>
    <x v="2242"/>
    <s v="Чкаловский"/>
    <n v="28848.8855"/>
    <n v="28848.8855"/>
    <n v="25946.143"/>
  </r>
  <r>
    <x v="2243"/>
    <s v="ВИЗ"/>
    <n v="81668.479999999996"/>
    <n v="81668.479999999996"/>
    <n v="73952.27"/>
  </r>
  <r>
    <x v="1132"/>
    <s v="Октябрьский"/>
    <n v="39105.413099999998"/>
    <n v="39105.413099999998"/>
    <n v="35170.666700000002"/>
  </r>
  <r>
    <x v="2244"/>
    <s v="Тагил_Кирп"/>
    <n v="34023.428"/>
    <n v="34023.428"/>
    <n v="29866.3148"/>
  </r>
  <r>
    <x v="1513"/>
    <s v="Магнитка"/>
    <n v="32948.938800000004"/>
    <n v="32948.938800000004"/>
    <n v="29992.139899999998"/>
  </r>
  <r>
    <x v="1174"/>
    <s v="Южный"/>
    <n v="37400.280599999998"/>
    <n v="37400.280599999998"/>
    <n v="33637.106500000002"/>
  </r>
  <r>
    <x v="2245"/>
    <s v="Октябрьский"/>
    <n v="39105.413099999998"/>
    <n v="39105.413099999998"/>
    <n v="35170.666700000002"/>
  </r>
  <r>
    <x v="1220"/>
    <s v="УАЗ-II"/>
    <n v="35756.285400000001"/>
    <n v="35756.285400000001"/>
    <n v="32158.5213"/>
  </r>
  <r>
    <x v="2246"/>
    <s v="ШУВАКИШ"/>
    <n v="42862.720000000001"/>
    <n v="42862.720000000001"/>
    <n v="38812.959999999999"/>
  </r>
  <r>
    <x v="1398"/>
    <s v="Ваг_Стар_Пихтовы-г"/>
    <n v="40625.090199999999"/>
    <n v="40625.090199999999"/>
    <n v="35661.364300000001"/>
  </r>
  <r>
    <x v="2247"/>
    <s v="ШИРОКАЯ РЕЧКА"/>
    <n v="61207.26"/>
    <n v="61207.26"/>
    <n v="55424.27"/>
  </r>
  <r>
    <x v="1375"/>
    <s v="Алт_Гальян_М-Кушва"/>
    <n v="40018.9617"/>
    <n v="40018.9617"/>
    <n v="35129.2961"/>
  </r>
  <r>
    <x v="2248"/>
    <s v="Сух_Г-Кам_Н_Кушва_Н-Черм"/>
    <n v="29893.73"/>
    <n v="29893.73"/>
    <n v="26241.207699999999"/>
  </r>
  <r>
    <x v="1480"/>
    <s v="Тагил_Кирп"/>
    <n v="34023.428"/>
    <n v="34023.428"/>
    <n v="29866.3148"/>
  </r>
  <r>
    <x v="2249"/>
    <s v="Сух_Г-Кам_Н_Кушва_Н-Черм"/>
    <n v="29893.73"/>
    <n v="29893.73"/>
    <n v="26241.207699999999"/>
  </r>
  <r>
    <x v="1182"/>
    <s v="Северный"/>
    <n v="29151.309799999999"/>
    <n v="29151.309799999999"/>
    <n v="26218.127700000001"/>
  </r>
  <r>
    <x v="2250"/>
    <s v="ЖБИ"/>
    <n v="67218.09"/>
    <n v="67218.09"/>
    <n v="60867.18"/>
  </r>
  <r>
    <x v="1206"/>
    <s v="УАЗ"/>
    <n v="29199.565200000001"/>
    <n v="29199.565200000001"/>
    <n v="26261.5317"/>
  </r>
  <r>
    <x v="2251"/>
    <s v="Ст.Каменск-Хозспособ"/>
    <n v="28855.326499999999"/>
    <n v="28855.326499999999"/>
    <n v="25951.933700000001"/>
  </r>
  <r>
    <x v="2252"/>
    <s v="Ст.Каменск-Хозспособ"/>
    <n v="28855.326499999999"/>
    <n v="28855.326499999999"/>
    <n v="25951.933700000001"/>
  </r>
  <r>
    <x v="2253"/>
    <s v="Ст.Каменск-Хозспособ"/>
    <n v="28855.326499999999"/>
    <n v="28855.326499999999"/>
    <n v="25951.933700000001"/>
  </r>
  <r>
    <x v="2254"/>
    <s v="Тагил_Кирп"/>
    <n v="34023.428"/>
    <n v="34023.428"/>
    <n v="29866.3148"/>
  </r>
  <r>
    <x v="2255"/>
    <s v="Сух_Г-Кам_Н_Кушва_Н-Черм"/>
    <n v="29893.73"/>
    <n v="29893.73"/>
    <n v="26241.207699999999"/>
  </r>
  <r>
    <x v="2256"/>
    <s v="Алт_Гальян_М-Кушва"/>
    <n v="40018.9617"/>
    <n v="40018.9617"/>
    <n v="35129.2961"/>
  </r>
  <r>
    <x v="1497"/>
    <s v="Центр"/>
    <n v="91057.85"/>
    <n v="91057.85"/>
    <n v="82454.509999999995"/>
  </r>
  <r>
    <x v="2257"/>
    <s v="Октябрьский"/>
    <n v="39105.413099999998"/>
    <n v="39105.413099999998"/>
    <n v="35170.666700000002"/>
  </r>
  <r>
    <x v="2258"/>
    <s v="Октябрьский"/>
    <n v="39105.413099999998"/>
    <n v="39105.413099999998"/>
    <n v="35170.666700000002"/>
  </r>
  <r>
    <x v="1416"/>
    <s v="Выя_Леб_Горб_Кр-Кам"/>
    <n v="36513.6518"/>
    <n v="36513.6518"/>
    <n v="32052.276999999998"/>
  </r>
  <r>
    <x v="2259"/>
    <s v="Ваг_Стар_Пихтовы-г"/>
    <n v="40625.090199999999"/>
    <n v="40625.090199999999"/>
    <n v="35661.364300000001"/>
  </r>
  <r>
    <x v="2260"/>
    <s v="Чкаловский"/>
    <n v="28848.8855"/>
    <n v="28848.8855"/>
    <n v="25946.143"/>
  </r>
  <r>
    <x v="2261"/>
    <s v="Сух_Г-Кам_Н_Кушва_Н-Черм"/>
    <n v="29893.73"/>
    <n v="29893.73"/>
    <n v="26241.207699999999"/>
  </r>
  <r>
    <x v="2262"/>
    <s v="ШАБРОВСКИЙ"/>
    <n v="36417.71"/>
    <n v="36417.71"/>
    <n v="32976.89"/>
  </r>
  <r>
    <x v="2263"/>
    <s v="ВТУЗГОРОДОК"/>
    <n v="74667.16"/>
    <n v="74667.16"/>
    <n v="67612.45"/>
  </r>
  <r>
    <x v="2264"/>
    <s v="Ваг_Стар_Пихтовы-г"/>
    <n v="40625.090199999999"/>
    <n v="40625.090199999999"/>
    <n v="35661.364300000001"/>
  </r>
  <r>
    <x v="1478"/>
    <s v="Тагил_Кирп"/>
    <n v="34023.428"/>
    <n v="34023.428"/>
    <n v="29866.3148"/>
  </r>
  <r>
    <x v="1296"/>
    <s v="Чкаловский"/>
    <n v="28848.8855"/>
    <n v="28848.8855"/>
    <n v="25946.143"/>
  </r>
  <r>
    <x v="1253"/>
    <s v="Ленин-Олимп"/>
    <n v="32172.2909"/>
    <n v="32172.2909"/>
    <n v="28935.146499999999"/>
  </r>
  <r>
    <x v="2265"/>
    <s v="Чкаловский"/>
    <n v="28848.8855"/>
    <n v="28848.8855"/>
    <n v="25946.143"/>
  </r>
  <r>
    <x v="1248"/>
    <s v="Ленин-Олимп"/>
    <n v="32172.2909"/>
    <n v="32172.2909"/>
    <n v="28935.146499999999"/>
  </r>
  <r>
    <x v="2266"/>
    <s v="Чкаловский"/>
    <n v="28848.8855"/>
    <n v="28848.8855"/>
    <n v="25946.143"/>
  </r>
  <r>
    <x v="2267"/>
    <s v="Ст.Каменск-Хозспособ"/>
    <n v="28855.326499999999"/>
    <n v="28855.326499999999"/>
    <n v="25951.933700000001"/>
  </r>
  <r>
    <x v="2268"/>
    <s v="ДинСанПод"/>
    <n v="36244.5985"/>
    <n v="36244.5985"/>
    <n v="32992.053800000002"/>
  </r>
  <r>
    <x v="1344"/>
    <s v="Ст.Каменск-Хозспособ"/>
    <n v="28855.326499999999"/>
    <n v="28855.326499999999"/>
    <n v="25951.933700000001"/>
  </r>
  <r>
    <x v="1227"/>
    <s v="УАЗ-II"/>
    <n v="35756.285400000001"/>
    <n v="35756.285400000001"/>
    <n v="32158.5213"/>
  </r>
  <r>
    <x v="1229"/>
    <s v="УАЗ-II"/>
    <n v="35756.285400000001"/>
    <n v="35756.285400000001"/>
    <n v="32158.5213"/>
  </r>
  <r>
    <x v="2269"/>
    <s v="Ст.Каменск-Хозспособ"/>
    <n v="28855.326499999999"/>
    <n v="28855.326499999999"/>
    <n v="25951.933700000001"/>
  </r>
  <r>
    <x v="2270"/>
    <s v="УАЗ"/>
    <n v="29199.565200000001"/>
    <n v="29199.565200000001"/>
    <n v="26261.5317"/>
  </r>
  <r>
    <x v="2271"/>
    <s v="Октябрьский"/>
    <n v="39105.413099999998"/>
    <n v="39105.413099999998"/>
    <n v="35170.666700000002"/>
  </r>
  <r>
    <x v="2272"/>
    <s v="Ленин-Олимп"/>
    <n v="32172.2909"/>
    <n v="32172.2909"/>
    <n v="28935.146499999999"/>
  </r>
  <r>
    <x v="1268"/>
    <s v="Трубников"/>
    <n v="38278.589899999999"/>
    <n v="38278.589899999999"/>
    <n v="34427.0285"/>
  </r>
  <r>
    <x v="1298"/>
    <s v="Чкаловский"/>
    <n v="28848.8855"/>
    <n v="28848.8855"/>
    <n v="25946.143"/>
  </r>
  <r>
    <x v="1412"/>
    <s v="Выя_Леб_Горб_Кр-Кам"/>
    <n v="36513.6518"/>
    <n v="36513.6518"/>
    <n v="32052.276999999998"/>
  </r>
  <r>
    <x v="2273"/>
    <s v="Октябрьский"/>
    <n v="39105.413099999998"/>
    <n v="39105.413099999998"/>
    <n v="35170.666700000002"/>
  </r>
  <r>
    <x v="2274"/>
    <s v="Ст.Каменск-Хозспособ"/>
    <n v="28855.326499999999"/>
    <n v="28855.326499999999"/>
    <n v="25951.933700000001"/>
  </r>
  <r>
    <x v="2275"/>
    <s v="ВИЗ"/>
    <n v="81668.479999999996"/>
    <n v="81668.479999999996"/>
    <n v="73952.27"/>
  </r>
  <r>
    <x v="1378"/>
    <s v="Алт_Гальян_М-Кушва"/>
    <n v="40018.9617"/>
    <n v="40018.9617"/>
    <n v="35129.2961"/>
  </r>
  <r>
    <x v="2276"/>
    <s v="Выя_Леб_Горб_Кр-Кам"/>
    <n v="36513.6518"/>
    <n v="36513.6518"/>
    <n v="32052.276999999998"/>
  </r>
  <r>
    <x v="2277"/>
    <s v="Евст_В-Черм"/>
    <n v="24299.835599999999"/>
    <n v="24299.835599999999"/>
    <n v="21330.794900000001"/>
  </r>
  <r>
    <x v="2278"/>
    <s v="Алт_Гальян_М-Кушва"/>
    <n v="40018.9617"/>
    <n v="40018.9617"/>
    <n v="35129.2961"/>
  </r>
  <r>
    <x v="2279"/>
    <s v="Северка"/>
    <n v="49579.11"/>
    <n v="49579.11"/>
    <n v="44894.77"/>
  </r>
  <r>
    <x v="2280"/>
    <s v="УРАЛМАШ"/>
    <n v="67842.240000000005"/>
    <n v="67842.240000000005"/>
    <n v="61432.36"/>
  </r>
  <r>
    <x v="2281"/>
    <s v="Ленин-Олимп"/>
    <n v="32172.2909"/>
    <n v="32172.2909"/>
    <n v="28935.146499999999"/>
  </r>
  <r>
    <x v="2282"/>
    <s v="Ленин-Олимп"/>
    <n v="32172.2909"/>
    <n v="32172.2909"/>
    <n v="28935.146499999999"/>
  </r>
  <r>
    <x v="2283"/>
    <s v="Чкаловский"/>
    <n v="28848.8855"/>
    <n v="28848.8855"/>
    <n v="25946.143"/>
  </r>
  <r>
    <x v="2284"/>
    <s v="УАЗ-III - 49 кв."/>
    <n v="35563.243300000002"/>
    <n v="35563.243300000002"/>
    <n v="31984.905299999999"/>
  </r>
  <r>
    <x v="2285"/>
    <s v="Чкаловский"/>
    <n v="28848.8855"/>
    <n v="28848.8855"/>
    <n v="25946.143"/>
  </r>
  <r>
    <x v="2286"/>
    <s v="ШАБРОВСКИЙ"/>
    <n v="36417.71"/>
    <n v="36417.71"/>
    <n v="32976.89"/>
  </r>
  <r>
    <x v="1326"/>
    <s v="Ст.Каменск-Хозспособ"/>
    <n v="28855.326499999999"/>
    <n v="28855.326499999999"/>
    <n v="25951.933700000001"/>
  </r>
  <r>
    <x v="2287"/>
    <s v="Ст.Каменск-Хозспособ"/>
    <n v="28855.326499999999"/>
    <n v="28855.326499999999"/>
    <n v="25951.933700000001"/>
  </r>
  <r>
    <x v="1323"/>
    <s v="Ст.Каменск-Хозспособ"/>
    <n v="28855.326499999999"/>
    <n v="28855.326499999999"/>
    <n v="25951.933700000001"/>
  </r>
  <r>
    <x v="1365"/>
    <s v="Алт_Гальян_М-Кушва"/>
    <n v="40018.9617"/>
    <n v="40018.9617"/>
    <n v="35129.2961"/>
  </r>
  <r>
    <x v="2288"/>
    <s v="УАЗ-III - 49 кв."/>
    <n v="35563.243300000002"/>
    <n v="35563.243300000002"/>
    <n v="31984.905299999999"/>
  </r>
  <r>
    <x v="2289"/>
    <s v="Алт_Гальян_М-Кушва"/>
    <n v="40018.9617"/>
    <n v="40018.9617"/>
    <n v="35129.2961"/>
  </r>
  <r>
    <x v="2290"/>
    <s v="Ваг_Стар_Пихтовы-г"/>
    <n v="40625.090199999999"/>
    <n v="40625.090199999999"/>
    <n v="35661.364300000001"/>
  </r>
  <r>
    <x v="2291"/>
    <s v="Октябрьский"/>
    <n v="39105.413099999998"/>
    <n v="39105.413099999998"/>
    <n v="35170.666700000002"/>
  </r>
  <r>
    <x v="2292"/>
    <s v="УАЗ"/>
    <n v="29199.565200000001"/>
    <n v="29199.565200000001"/>
    <n v="26261.5317"/>
  </r>
  <r>
    <x v="1279"/>
    <s v="Ст.Каменск-Хозспособ"/>
    <n v="28855.326499999999"/>
    <n v="28855.326499999999"/>
    <n v="25951.933700000001"/>
  </r>
  <r>
    <x v="2293"/>
    <s v="ЕЛИЗАВЕТ"/>
    <n v="59056.67"/>
    <n v="59056.67"/>
    <n v="53476.87"/>
  </r>
  <r>
    <x v="2294"/>
    <s v="Ю-З"/>
    <n v="74239.759999999995"/>
    <n v="74239.759999999995"/>
    <n v="67225.429999999993"/>
  </r>
  <r>
    <x v="1131"/>
    <s v="Октябрьский"/>
    <n v="39105.413099999998"/>
    <n v="39105.413099999998"/>
    <n v="35170.666700000002"/>
  </r>
  <r>
    <x v="1449"/>
    <s v="Сух_Г-Кам_Н_Кушва_Н-Черм"/>
    <n v="29893.73"/>
    <n v="29893.73"/>
    <n v="26241.207699999999"/>
  </r>
  <r>
    <x v="2295"/>
    <s v="Чкаловский"/>
    <n v="28848.8855"/>
    <n v="28848.8855"/>
    <n v="25946.143"/>
  </r>
  <r>
    <x v="1237"/>
    <s v="УАЗ-III - 49 кв."/>
    <n v="35563.243300000002"/>
    <n v="35563.243300000002"/>
    <n v="31984.905299999999"/>
  </r>
  <r>
    <x v="1142"/>
    <s v="Октябрьский"/>
    <n v="39105.413099999998"/>
    <n v="39105.413099999998"/>
    <n v="35170.666700000002"/>
  </r>
  <r>
    <x v="2296"/>
    <s v="Ст.Каменск-Хозспособ"/>
    <n v="28855.326499999999"/>
    <n v="28855.326499999999"/>
    <n v="25951.933700000001"/>
  </r>
  <r>
    <x v="2297"/>
    <s v="Северный"/>
    <n v="29151.309799999999"/>
    <n v="29151.309799999999"/>
    <n v="26218.127700000001"/>
  </r>
  <r>
    <x v="1168"/>
    <s v="Октябрьский"/>
    <n v="39105.413099999998"/>
    <n v="39105.413099999998"/>
    <n v="35170.666700000002"/>
  </r>
  <r>
    <x v="2298"/>
    <s v="Трубников"/>
    <n v="38278.589899999999"/>
    <n v="38278.589899999999"/>
    <n v="34427.0285"/>
  </r>
  <r>
    <x v="2299"/>
    <s v="ДинСанПод"/>
    <n v="36244.5985"/>
    <n v="36244.5985"/>
    <n v="32992.053800000002"/>
  </r>
  <r>
    <x v="2300"/>
    <s v="Совхоз"/>
    <n v="57883"/>
    <n v="57883"/>
    <n v="52414.09"/>
  </r>
  <r>
    <x v="2301"/>
    <s v="Талица"/>
    <n v="36808.582300000002"/>
    <n v="36808.582300000002"/>
    <n v="33505.428800000002"/>
  </r>
  <r>
    <x v="2302"/>
    <s v="Шайтанка"/>
    <n v="34007.852099999996"/>
    <n v="34007.852099999996"/>
    <n v="30956.028900000001"/>
  </r>
  <r>
    <x v="2303"/>
    <s v="Выя_Леб_Горб_Кр-Кам"/>
    <n v="36513.6518"/>
    <n v="36513.6518"/>
    <n v="32052.276999999998"/>
  </r>
  <r>
    <x v="2304"/>
    <s v="Шайтанка"/>
    <n v="34007.852099999996"/>
    <n v="34007.852099999996"/>
    <n v="30956.028900000001"/>
  </r>
  <r>
    <x v="2305"/>
    <s v="УАЗ"/>
    <n v="29199.565200000001"/>
    <n v="29199.565200000001"/>
    <n v="26261.5317"/>
  </r>
  <r>
    <x v="2306"/>
    <s v="Первомайский"/>
    <n v="26641.525799999999"/>
    <n v="26641.525799999999"/>
    <n v="24250.754499999999"/>
  </r>
  <r>
    <x v="760"/>
    <s v="СЕВЕРКА"/>
    <n v="49579.11"/>
    <n v="49579.11"/>
    <n v="44894.77"/>
  </r>
  <r>
    <x v="2307"/>
    <s v="Ленин-Олимп"/>
    <n v="32172.2909"/>
    <n v="32172.2909"/>
    <n v="28935.146499999999"/>
  </r>
  <r>
    <x v="1137"/>
    <s v="Октябрьский"/>
    <n v="39105.413099999998"/>
    <n v="39105.413099999998"/>
    <n v="35170.666700000002"/>
  </r>
  <r>
    <x v="2308"/>
    <s v="Сух_Г-Кам_Н_Кушва_Н-Черм"/>
    <n v="29893.73"/>
    <n v="29893.73"/>
    <n v="26241.207699999999"/>
  </r>
  <r>
    <x v="1172"/>
    <s v="Октябрьский"/>
    <n v="39105.413099999998"/>
    <n v="39105.413099999998"/>
    <n v="35170.666700000002"/>
  </r>
  <r>
    <x v="2309"/>
    <s v="Выя_Леб_Горб_Кр-Кам"/>
    <n v="36513.6518"/>
    <n v="36513.6518"/>
    <n v="32052.276999999998"/>
  </r>
  <r>
    <x v="1126"/>
    <s v="УАЗ-III - 49 кв."/>
    <n v="35563.243300000002"/>
    <n v="35563.243300000002"/>
    <n v="31984.905299999999"/>
  </r>
  <r>
    <x v="2310"/>
    <s v="ШАБРОВСКИЙ"/>
    <n v="36417.71"/>
    <n v="36417.71"/>
    <n v="32976.89"/>
  </r>
  <r>
    <x v="2311"/>
    <s v="Сух_Г-Кам_Н_Кушва_Н-Черм"/>
    <n v="29893.73"/>
    <n v="29893.73"/>
    <n v="26241.207699999999"/>
  </r>
  <r>
    <x v="2312"/>
    <s v="ПИОНЕРСКИЙ"/>
    <n v="75318.45"/>
    <n v="75318.45"/>
    <n v="68202.2"/>
  </r>
  <r>
    <x v="2313"/>
    <s v="СОВХОЗ"/>
    <n v="57883"/>
    <n v="57883"/>
    <n v="52414.09"/>
  </r>
  <r>
    <x v="2314"/>
    <s v="ДинСанПод"/>
    <n v="36244.5985"/>
    <n v="36244.5985"/>
    <n v="32992.053800000002"/>
  </r>
  <r>
    <x v="2315"/>
    <s v="Чкаловский"/>
    <n v="28848.8855"/>
    <n v="28848.8855"/>
    <n v="25946.143"/>
  </r>
  <r>
    <x v="2316"/>
    <s v="Чкаловский"/>
    <n v="28848.8855"/>
    <n v="28848.8855"/>
    <n v="25946.143"/>
  </r>
  <r>
    <x v="2317"/>
    <s v="Шайтанка"/>
    <n v="34007.852099999996"/>
    <n v="34007.852099999996"/>
    <n v="30956.028900000001"/>
  </r>
  <r>
    <x v="2318"/>
    <s v="Чкаловский"/>
    <n v="28848.8855"/>
    <n v="28848.8855"/>
    <n v="25946.143"/>
  </r>
  <r>
    <x v="2319"/>
    <s v="Северный"/>
    <n v="29151.309799999999"/>
    <n v="29151.309799999999"/>
    <n v="26218.127700000001"/>
  </r>
  <r>
    <x v="2320"/>
    <s v="ВИЗ"/>
    <n v="81668.479999999996"/>
    <n v="81668.479999999996"/>
    <n v="73952.27"/>
  </r>
  <r>
    <x v="2321"/>
    <s v="Соцгород"/>
    <n v="40100.412600000003"/>
    <n v="40100.412600000003"/>
    <n v="36501.853799999997"/>
  </r>
  <r>
    <x v="2322"/>
    <s v="Сух_Г-Кам_Н_Кушва_Н-Черм"/>
    <n v="29893.73"/>
    <n v="29893.73"/>
    <n v="26241.207699999999"/>
  </r>
  <r>
    <x v="1221"/>
    <s v="УАЗ-II"/>
    <n v="35756.285400000001"/>
    <n v="35756.285400000001"/>
    <n v="32158.5213"/>
  </r>
  <r>
    <x v="1399"/>
    <s v="Ваг_Стар_Пихтовы-г"/>
    <n v="40625.090199999999"/>
    <n v="40625.090199999999"/>
    <n v="35661.364300000001"/>
  </r>
  <r>
    <x v="2323"/>
    <s v="Ст.Каменск-Хозспособ"/>
    <n v="28855.326499999999"/>
    <n v="28855.326499999999"/>
    <n v="25951.933700000001"/>
  </r>
  <r>
    <x v="2324"/>
    <s v="ХИММАШ"/>
    <n v="60047.16"/>
    <n v="60047.16"/>
    <n v="54373.78"/>
  </r>
  <r>
    <x v="2325"/>
    <s v="Алт_Гальян_М-Кушва"/>
    <n v="40018.9617"/>
    <n v="40018.9617"/>
    <n v="35129.2961"/>
  </r>
  <r>
    <x v="2326"/>
    <s v="Чкаловский"/>
    <n v="28848.8855"/>
    <n v="28848.8855"/>
    <n v="25946.143"/>
  </r>
  <r>
    <x v="1269"/>
    <s v="Трубников"/>
    <n v="38278.589899999999"/>
    <n v="38278.589899999999"/>
    <n v="34427.0285"/>
  </r>
  <r>
    <x v="2327"/>
    <s v="Октябрьский"/>
    <n v="39105.413099999998"/>
    <n v="39105.413099999998"/>
    <n v="35170.666700000002"/>
  </r>
  <r>
    <x v="1116"/>
    <s v="УРАЛМАШ"/>
    <n v="67842.240000000005"/>
    <n v="67842.240000000005"/>
    <n v="61432.36"/>
  </r>
  <r>
    <x v="2328"/>
    <s v="Сух_Г-Кам_Н_Кушва_Н-Черм"/>
    <n v="29893.73"/>
    <n v="29893.73"/>
    <n v="26241.207699999999"/>
  </r>
  <r>
    <x v="2329"/>
    <s v="УАЗ-III - 49 кв."/>
    <n v="35563.243300000002"/>
    <n v="35563.243300000002"/>
    <n v="31984.905299999999"/>
  </r>
  <r>
    <x v="2330"/>
    <s v="Ст.Каменск-Хозспособ"/>
    <n v="28855.326499999999"/>
    <n v="28855.326499999999"/>
    <n v="25951.933700000001"/>
  </r>
  <r>
    <x v="1158"/>
    <s v="Октябрьский"/>
    <n v="39105.413099999998"/>
    <n v="39105.413099999998"/>
    <n v="35170.666700000002"/>
  </r>
  <r>
    <x v="99"/>
    <s v="ШАРТАШ"/>
    <n v="66003.710000000006"/>
    <n v="66003.710000000006"/>
    <n v="59767.54"/>
  </r>
  <r>
    <x v="2331"/>
    <s v="Евст_В-Черм"/>
    <n v="24299.835599999999"/>
    <n v="24299.835599999999"/>
    <n v="21330.794900000001"/>
  </r>
  <r>
    <x v="2332"/>
    <s v="Шайтанка"/>
    <n v="34007.852099999996"/>
    <n v="34007.852099999996"/>
    <n v="30956.028900000001"/>
  </r>
  <r>
    <x v="1245"/>
    <s v="УАЗ-III - 49 кв."/>
    <n v="35563.243300000002"/>
    <n v="35563.243300000002"/>
    <n v="31984.905299999999"/>
  </r>
  <r>
    <x v="1305"/>
    <s v="Чкаловский"/>
    <n v="28848.8855"/>
    <n v="28848.8855"/>
    <n v="25946.143"/>
  </r>
  <r>
    <x v="2333"/>
    <s v="Ст.Каменск-Хозспособ"/>
    <n v="28855.326499999999"/>
    <n v="28855.326499999999"/>
    <n v="25951.933700000001"/>
  </r>
  <r>
    <x v="1233"/>
    <s v="УАЗ-III - 49 кв."/>
    <n v="35563.243300000002"/>
    <n v="35563.243300000002"/>
    <n v="31984.905299999999"/>
  </r>
  <r>
    <x v="1222"/>
    <s v="УАЗ-II"/>
    <n v="35756.285400000001"/>
    <n v="35756.285400000001"/>
    <n v="32158.5213"/>
  </r>
  <r>
    <x v="2334"/>
    <s v="Ст.Каменск-Хозспособ"/>
    <n v="28855.326499999999"/>
    <n v="28855.326499999999"/>
    <n v="25951.933700000001"/>
  </r>
  <r>
    <x v="2335"/>
    <s v="Ленин-Олимп"/>
    <n v="32172.2909"/>
    <n v="32172.2909"/>
    <n v="28935.146499999999"/>
  </r>
  <r>
    <x v="2336"/>
    <s v="Октябрьский"/>
    <n v="39105.413099999998"/>
    <n v="39105.413099999998"/>
    <n v="35170.666700000002"/>
  </r>
  <r>
    <x v="2337"/>
    <s v="УАЗ"/>
    <n v="29199.565200000001"/>
    <n v="29199.565200000001"/>
    <n v="26261.5317"/>
  </r>
  <r>
    <x v="1336"/>
    <s v="Ст.Каменск-Хозспособ"/>
    <n v="28855.326499999999"/>
    <n v="28855.326499999999"/>
    <n v="25951.933700000001"/>
  </r>
  <r>
    <x v="2338"/>
    <s v="Ваг_Стар_Пихтовы-г"/>
    <n v="40625.090199999999"/>
    <n v="40625.090199999999"/>
    <n v="35661.364300000001"/>
  </r>
  <r>
    <x v="2339"/>
    <s v="Старая сортировка"/>
    <n v="57516.65"/>
    <n v="57516.65"/>
    <n v="52082.35"/>
  </r>
  <r>
    <x v="2340"/>
    <s v="Северка"/>
    <n v="49579.11"/>
    <n v="49579.11"/>
    <n v="44894.77"/>
  </r>
  <r>
    <x v="2341"/>
    <s v="Старая сортировка"/>
    <n v="57516.65"/>
    <n v="57516.65"/>
    <n v="52082.35"/>
  </r>
  <r>
    <x v="2342"/>
    <s v="Северка"/>
    <n v="49579.11"/>
    <n v="49579.11"/>
    <n v="44894.77"/>
  </r>
  <r>
    <x v="2343"/>
    <s v="УАЗ-III - 49 кв."/>
    <n v="35563.243300000002"/>
    <n v="35563.243300000002"/>
    <n v="31984.905299999999"/>
  </r>
  <r>
    <x v="2344"/>
    <s v="Ленин-Олимп"/>
    <n v="32172.2909"/>
    <n v="32172.2909"/>
    <n v="28935.146499999999"/>
  </r>
  <r>
    <x v="2345"/>
    <s v="Чкаловский"/>
    <n v="28848.8855"/>
    <n v="28848.8855"/>
    <n v="25946.143"/>
  </r>
  <r>
    <x v="1210"/>
    <s v="УАЗ-II"/>
    <n v="35756.285400000001"/>
    <n v="35756.285400000001"/>
    <n v="32158.5213"/>
  </r>
  <r>
    <x v="2346"/>
    <s v="Ваг_Стар_Пихтовы-г"/>
    <n v="40625.090199999999"/>
    <n v="40625.090199999999"/>
    <n v="35661.364300000001"/>
  </r>
  <r>
    <x v="2347"/>
    <s v="ЕЛИЗАВЕТ"/>
    <n v="59056.67"/>
    <n v="59056.67"/>
    <n v="53476.87"/>
  </r>
  <r>
    <x v="2348"/>
    <s v="ШАБРОВСКИЙ"/>
    <n v="36417.71"/>
    <n v="36417.71"/>
    <n v="32976.89"/>
  </r>
  <r>
    <x v="151"/>
    <s v="МАЛЫЙ ИСТОК"/>
    <n v="58296.83"/>
    <n v="58296.83"/>
    <n v="52788.83"/>
  </r>
  <r>
    <x v="2349"/>
    <s v="УАЗ-III - 49 кв."/>
    <n v="35563.243300000002"/>
    <n v="35563.243300000002"/>
    <n v="31984.905299999999"/>
  </r>
  <r>
    <x v="1156"/>
    <s v="Октябрьский"/>
    <n v="39105.413099999998"/>
    <n v="39105.413099999998"/>
    <n v="35170.666700000002"/>
  </r>
  <r>
    <x v="2350"/>
    <s v="Ст.Каменск-Хозспособ"/>
    <n v="28855.326499999999"/>
    <n v="28855.326499999999"/>
    <n v="25951.933700000001"/>
  </r>
  <r>
    <x v="2351"/>
    <s v="Ст.Каменск-Хозспособ"/>
    <n v="28855.326499999999"/>
    <n v="28855.326499999999"/>
    <n v="25951.933700000001"/>
  </r>
  <r>
    <x v="1225"/>
    <s v="УАЗ-II"/>
    <n v="35756.285400000001"/>
    <n v="35756.285400000001"/>
    <n v="32158.5213"/>
  </r>
  <r>
    <x v="2352"/>
    <s v="Ст.Каменск-Хозспособ"/>
    <n v="28855.326499999999"/>
    <n v="28855.326499999999"/>
    <n v="25951.933700000001"/>
  </r>
  <r>
    <x v="2353"/>
    <s v="УАЗ-III - 49 кв."/>
    <n v="35563.243300000002"/>
    <n v="35563.243300000002"/>
    <n v="31984.905299999999"/>
  </r>
  <r>
    <x v="2354"/>
    <s v="АВТОВОКЗАЛ"/>
    <n v="81132.53"/>
    <n v="81132.53"/>
    <n v="73466.960000000006"/>
  </r>
  <r>
    <x v="1453"/>
    <s v="Сух_Г-Кам_Н_Кушва_Н-Черм"/>
    <n v="29893.73"/>
    <n v="29893.73"/>
    <n v="26241.207699999999"/>
  </r>
  <r>
    <x v="2355"/>
    <s v="ШИРОКАЯ РЕЧКА"/>
    <n v="61207.26"/>
    <n v="61207.26"/>
    <n v="55424.27"/>
  </r>
  <r>
    <x v="1231"/>
    <s v="УАЗ-II"/>
    <n v="35756.285400000001"/>
    <n v="35756.285400000001"/>
    <n v="32158.5213"/>
  </r>
  <r>
    <x v="2356"/>
    <s v="ЭЛЬМАШ"/>
    <n v="68527.44"/>
    <n v="68527.44"/>
    <n v="62052.82"/>
  </r>
  <r>
    <x v="1112"/>
    <s v="ВИЗ"/>
    <n v="81668.479999999996"/>
    <n v="81668.479999999996"/>
    <n v="73952.27"/>
  </r>
  <r>
    <x v="2357"/>
    <s v="Октябрьский"/>
    <n v="39105.413099999998"/>
    <n v="39105.413099999998"/>
    <n v="35170.666700000002"/>
  </r>
  <r>
    <x v="2358"/>
    <s v="Шувакиш"/>
    <n v="42862.720000000001"/>
    <n v="42862.720000000001"/>
    <n v="38812.959999999999"/>
  </r>
  <r>
    <x v="2359"/>
    <s v="Ст.Каменск-Хозспособ"/>
    <n v="28855.326499999999"/>
    <n v="28855.326499999999"/>
    <n v="25951.933700000001"/>
  </r>
  <r>
    <x v="2360"/>
    <s v="ХИММАШ"/>
    <n v="60047.16"/>
    <n v="60047.16"/>
    <n v="54373.78"/>
  </r>
  <r>
    <x v="2361"/>
    <s v="КОЛЬЦОВО"/>
    <n v="53174.74"/>
    <n v="53174.74"/>
    <n v="48150.68"/>
  </r>
  <r>
    <x v="2362"/>
    <s v="УАЗ"/>
    <n v="29199.565200000001"/>
    <n v="29199.565200000001"/>
    <n v="26261.5317"/>
  </r>
  <r>
    <x v="1309"/>
    <s v="Чкаловский"/>
    <n v="28848.8855"/>
    <n v="28848.8855"/>
    <n v="25946.143"/>
  </r>
  <r>
    <x v="2363"/>
    <s v="УАЗ-II"/>
    <n v="35756.285400000001"/>
    <n v="35756.285400000001"/>
    <n v="32158.5213"/>
  </r>
  <r>
    <x v="1261"/>
    <s v="Ленин-Олимп"/>
    <n v="32172.2909"/>
    <n v="32172.2909"/>
    <n v="28935.146499999999"/>
  </r>
  <r>
    <x v="1294"/>
    <s v="Чкаловский"/>
    <n v="28848.8855"/>
    <n v="28848.8855"/>
    <n v="25946.143"/>
  </r>
  <r>
    <x v="2364"/>
    <s v="Ст.Каменск-Хозспособ"/>
    <n v="28855.326499999999"/>
    <n v="28855.326499999999"/>
    <n v="25951.933700000001"/>
  </r>
  <r>
    <x v="2365"/>
    <s v="ИСТОК"/>
    <n v="51831.47"/>
    <n v="51831.47"/>
    <n v="46934.32"/>
  </r>
  <r>
    <x v="1259"/>
    <s v="Ленин-Олимп"/>
    <n v="32172.2909"/>
    <n v="32172.2909"/>
    <n v="28935.146499999999"/>
  </r>
  <r>
    <x v="2366"/>
    <s v="Чкаловский"/>
    <n v="28848.8855"/>
    <n v="28848.8855"/>
    <n v="25946.143"/>
  </r>
  <r>
    <x v="1335"/>
    <s v="Ст.Каменск-Хозспособ"/>
    <n v="28855.326499999999"/>
    <n v="28855.326499999999"/>
    <n v="25951.933700000001"/>
  </r>
  <r>
    <x v="2367"/>
    <s v="Ст.Каменск-Хозспособ"/>
    <n v="28855.326499999999"/>
    <n v="28855.326499999999"/>
    <n v="25951.933700000001"/>
  </r>
  <r>
    <x v="1466"/>
    <s v="Сух_Г-Кам_Н_Кушва_Н-Черм"/>
    <n v="29893.73"/>
    <n v="29893.73"/>
    <n v="26241.207699999999"/>
  </r>
  <r>
    <x v="2368"/>
    <s v="ГОРНЫЙ ЩИТ"/>
    <n v="50617.09"/>
    <n v="50617.09"/>
    <n v="45834.68"/>
  </r>
  <r>
    <x v="2369"/>
    <s v="Ленин-Олимп"/>
    <n v="32172.2909"/>
    <n v="32172.2909"/>
    <n v="28935.146499999999"/>
  </r>
  <r>
    <x v="2370"/>
    <s v="Чкаловский"/>
    <n v="28848.8855"/>
    <n v="28848.8855"/>
    <n v="25946.143"/>
  </r>
  <r>
    <x v="2371"/>
    <s v="СЕВЕРКА"/>
    <n v="49579.11"/>
    <n v="49579.11"/>
    <n v="44894.77"/>
  </r>
  <r>
    <x v="2372"/>
    <s v="Ленин-Олимп"/>
    <n v="32172.2909"/>
    <n v="32172.2909"/>
    <n v="28935.146499999999"/>
  </r>
  <r>
    <x v="1405"/>
    <s v="Выя_Леб_Горб_Кр-Кам"/>
    <n v="36513.6518"/>
    <n v="36513.6518"/>
    <n v="32052.276999999998"/>
  </r>
  <r>
    <x v="2373"/>
    <s v="ЕВСТЮНИХА"/>
    <n v="21261.0285"/>
    <n v="21261.0285"/>
    <n v="20837.465199999999"/>
  </r>
  <r>
    <x v="1293"/>
    <s v="Чкаловский"/>
    <n v="28848.8855"/>
    <n v="28848.8855"/>
    <n v="25946.143"/>
  </r>
  <r>
    <x v="2374"/>
    <s v="ИСТОК"/>
    <n v="51831.47"/>
    <n v="51831.47"/>
    <n v="46934.32"/>
  </r>
  <r>
    <x v="2375"/>
    <s v="ПОЛЕВОДСТВО"/>
    <n v="53954.93"/>
    <n v="53954.93"/>
    <n v="48857.15"/>
  </r>
  <r>
    <x v="1083"/>
    <s v="СОВХОЗ"/>
    <n v="57883"/>
    <n v="57883"/>
    <n v="52414.09"/>
  </r>
  <r>
    <x v="2376"/>
    <s v="САДОВЫЙ"/>
    <n v="51600.800000000003"/>
    <n v="51600.800000000003"/>
    <n v="46725.45"/>
  </r>
  <r>
    <x v="2377"/>
    <s v="УРАЛМАШ"/>
    <n v="67842.240000000005"/>
    <n v="67842.240000000005"/>
    <n v="61432.36"/>
  </r>
  <r>
    <x v="1213"/>
    <s v="УАЗ-II"/>
    <n v="35756.285400000001"/>
    <n v="35756.285400000001"/>
    <n v="32158.5213"/>
  </r>
  <r>
    <x v="2378"/>
    <s v="УАЗ"/>
    <n v="29199.565200000001"/>
    <n v="29199.565200000001"/>
    <n v="26261.5317"/>
  </r>
  <r>
    <x v="1330"/>
    <s v="Ст.Каменск-Хозспособ"/>
    <n v="28855.326499999999"/>
    <n v="28855.326499999999"/>
    <n v="25951.933700000001"/>
  </r>
  <r>
    <x v="2379"/>
    <s v="Ст.Каменск-Хозспособ"/>
    <n v="28855.326499999999"/>
    <n v="28855.326499999999"/>
    <n v="25951.933700000001"/>
  </r>
  <r>
    <x v="2380"/>
    <s v="ЕЛИЗАВЕТ"/>
    <n v="59056.67"/>
    <n v="59056.67"/>
    <n v="53476.87"/>
  </r>
  <r>
    <x v="2381"/>
    <s v="Выя_Леб_Горб_Кр-Кам"/>
    <n v="36513.6518"/>
    <n v="36513.6518"/>
    <n v="32052.276999999998"/>
  </r>
  <r>
    <x v="2382"/>
    <s v="УАЗ-II"/>
    <n v="35756.285400000001"/>
    <n v="35756.285400000001"/>
    <n v="32158.5213"/>
  </r>
  <r>
    <x v="1159"/>
    <s v="Октябрьский"/>
    <n v="39105.413099999998"/>
    <n v="39105.413099999998"/>
    <n v="35170.666700000002"/>
  </r>
  <r>
    <x v="2383"/>
    <s v="Ст.Каменск-Хозспособ"/>
    <n v="28855.326499999999"/>
    <n v="28855.326499999999"/>
    <n v="25951.933700000001"/>
  </r>
  <r>
    <x v="2384"/>
    <s v="Ленин-Олимп"/>
    <n v="32172.2909"/>
    <n v="32172.2909"/>
    <n v="28935.146499999999"/>
  </r>
  <r>
    <x v="1136"/>
    <s v="Октябрьский"/>
    <n v="39105.413099999998"/>
    <n v="39105.413099999998"/>
    <n v="35170.666700000002"/>
  </r>
  <r>
    <x v="1141"/>
    <s v="Октябрьский"/>
    <n v="39105.413099999998"/>
    <n v="39105.413099999998"/>
    <n v="35170.666700000002"/>
  </r>
  <r>
    <x v="2385"/>
    <s v="СОЛНЕЧНЫЙ"/>
    <n v="58724.24"/>
    <n v="58724.24"/>
    <n v="53175.85"/>
  </r>
  <r>
    <x v="2386"/>
    <s v="Северка"/>
    <n v="49579.11"/>
    <n v="49579.11"/>
    <n v="44894.77"/>
  </r>
  <r>
    <x v="2387"/>
    <s v="ГОРНЫЙ ЩИТ"/>
    <n v="50617.09"/>
    <n v="50617.09"/>
    <n v="45834.68"/>
  </r>
  <r>
    <x v="1397"/>
    <s v="Ваг_Стар_Пихтовы-г"/>
    <n v="40625.090199999999"/>
    <n v="40625.090199999999"/>
    <n v="35661.364300000001"/>
  </r>
  <r>
    <x v="2388"/>
    <s v="Северный"/>
    <n v="29151.309799999999"/>
    <n v="29151.309799999999"/>
    <n v="26218.127700000001"/>
  </r>
  <r>
    <x v="1184"/>
    <s v="Северный"/>
    <n v="29151.309799999999"/>
    <n v="29151.309799999999"/>
    <n v="26218.127700000001"/>
  </r>
  <r>
    <x v="2389"/>
    <s v="Ст.Каменск-Хозспособ"/>
    <n v="28855.326499999999"/>
    <n v="28855.326499999999"/>
    <n v="25951.933700000001"/>
  </r>
  <r>
    <x v="1522"/>
    <s v="Шайтанка"/>
    <n v="34007.852099999996"/>
    <n v="34007.852099999996"/>
    <n v="30956.028900000001"/>
  </r>
  <r>
    <x v="1409"/>
    <s v="Выя_Леб_Горб_Кр-Кам"/>
    <n v="36513.6518"/>
    <n v="36513.6518"/>
    <n v="32052.276999999998"/>
  </r>
  <r>
    <x v="2390"/>
    <s v="ШУВАКИШ"/>
    <n v="42862.720000000001"/>
    <n v="42862.720000000001"/>
    <n v="38812.959999999999"/>
  </r>
  <r>
    <x v="1452"/>
    <s v="Сух_Г-Кам_Н_Кушва_Н-Черм"/>
    <n v="29893.73"/>
    <n v="29893.73"/>
    <n v="26241.207699999999"/>
  </r>
  <r>
    <x v="2391"/>
    <s v="Северный"/>
    <n v="29151.309799999999"/>
    <n v="29151.309799999999"/>
    <n v="26218.127700000001"/>
  </r>
  <r>
    <x v="538"/>
    <s v="ПИОНЕРСКИЙ"/>
    <n v="75318.45"/>
    <n v="75318.45"/>
    <n v="68202.2"/>
  </r>
  <r>
    <x v="1373"/>
    <s v="Алт_Гальян_М-Кушва"/>
    <n v="40018.9617"/>
    <n v="40018.9617"/>
    <n v="35129.2961"/>
  </r>
  <r>
    <x v="1368"/>
    <s v="Алт_Гальян_М-Кушва"/>
    <n v="40018.9617"/>
    <n v="40018.9617"/>
    <n v="35129.2961"/>
  </r>
  <r>
    <x v="169"/>
    <s v="КОЛЬЦОВО"/>
    <n v="53174.74"/>
    <n v="53174.74"/>
    <n v="48150.68"/>
  </r>
  <r>
    <x v="1355"/>
    <s v="Алт_Гальян_М-Кушва"/>
    <n v="40018.9617"/>
    <n v="40018.9617"/>
    <n v="35129.2961"/>
  </r>
  <r>
    <x v="2392"/>
    <s v="ШИРОКАЯ РЕЧКА"/>
    <n v="61207.26"/>
    <n v="61207.26"/>
    <n v="55424.27"/>
  </r>
  <r>
    <x v="1055"/>
    <s v="ШАРТАШ"/>
    <n v="66003.710000000006"/>
    <n v="66003.710000000006"/>
    <n v="59767.54"/>
  </r>
  <r>
    <x v="2393"/>
    <s v="КАЛИНОВСКИЙ"/>
    <n v="54782.6"/>
    <n v="54782.6"/>
    <n v="49606.63"/>
  </r>
  <r>
    <x v="2394"/>
    <s v="Чкаловский"/>
    <n v="28848.8855"/>
    <n v="28848.8855"/>
    <n v="25946.143"/>
  </r>
  <r>
    <x v="1175"/>
    <s v="Южный"/>
    <n v="37400.280599999998"/>
    <n v="37400.280599999998"/>
    <n v="33637.106500000002"/>
  </r>
  <r>
    <x v="2395"/>
    <s v="Чкаловский"/>
    <n v="28848.8855"/>
    <n v="28848.8855"/>
    <n v="25946.143"/>
  </r>
  <r>
    <x v="2396"/>
    <s v="Чкаловский"/>
    <n v="28848.8855"/>
    <n v="28848.8855"/>
    <n v="25946.143"/>
  </r>
  <r>
    <x v="2397"/>
    <s v="Чкаловский"/>
    <n v="28848.8855"/>
    <n v="28848.8855"/>
    <n v="25946.143"/>
  </r>
  <r>
    <x v="2398"/>
    <s v="Чкаловский"/>
    <n v="28848.8855"/>
    <n v="28848.8855"/>
    <n v="25946.143"/>
  </r>
  <r>
    <x v="2399"/>
    <s v="Чкаловский"/>
    <n v="28848.8855"/>
    <n v="28848.8855"/>
    <n v="25946.143"/>
  </r>
  <r>
    <x v="2400"/>
    <s v="Чкаловский"/>
    <n v="28848.8855"/>
    <n v="28848.8855"/>
    <n v="25946.143"/>
  </r>
  <r>
    <x v="1228"/>
    <s v="УАЗ-II"/>
    <n v="35756.285400000001"/>
    <n v="35756.285400000001"/>
    <n v="32158.5213"/>
  </r>
  <r>
    <x v="2401"/>
    <s v="УАЗ-III - 49 кв."/>
    <n v="35563.243300000002"/>
    <n v="35563.243300000002"/>
    <n v="31984.905299999999"/>
  </r>
  <r>
    <x v="2402"/>
    <s v="УАЗ-III - 49 кв."/>
    <n v="35563.243300000002"/>
    <n v="35563.243300000002"/>
    <n v="31984.905299999999"/>
  </r>
  <r>
    <x v="2403"/>
    <s v="Чкаловский"/>
    <n v="28848.8855"/>
    <n v="28848.8855"/>
    <n v="25946.143"/>
  </r>
  <r>
    <x v="1380"/>
    <s v="Алт_Гальян_М-Кушва"/>
    <n v="40018.9617"/>
    <n v="40018.9617"/>
    <n v="35129.2961"/>
  </r>
  <r>
    <x v="2404"/>
    <s v="Ленин-Олимп"/>
    <n v="32172.2909"/>
    <n v="32172.2909"/>
    <n v="28935.146499999999"/>
  </r>
  <r>
    <x v="2405"/>
    <s v="Хромпик"/>
    <n v="38473.686099999999"/>
    <n v="38473.686099999999"/>
    <n v="35021.100899999998"/>
  </r>
  <r>
    <x v="2406"/>
    <s v="Выя_Леб_Горб_Кр-Кам"/>
    <n v="36513.6518"/>
    <n v="36513.6518"/>
    <n v="32052.276999999998"/>
  </r>
  <r>
    <x v="1418"/>
    <s v="Выя_Леб_Горб_Кр-Кам"/>
    <n v="36513.6518"/>
    <n v="36513.6518"/>
    <n v="32052.276999999998"/>
  </r>
  <r>
    <x v="2407"/>
    <s v="РУДНЫЙ"/>
    <n v="45325.4"/>
    <n v="45325.4"/>
    <n v="41042.959999999999"/>
  </r>
  <r>
    <x v="2408"/>
    <s v="РУДНЫЙ"/>
    <n v="45325.4"/>
    <n v="45325.4"/>
    <n v="41042.959999999999"/>
  </r>
  <r>
    <x v="2409"/>
    <s v="Сулим.Торфянник"/>
    <n v="45325.4"/>
    <n v="45325.4"/>
    <n v="41042.959999999999"/>
  </r>
  <r>
    <x v="1491"/>
    <s v="Центр"/>
    <n v="91057.85"/>
    <n v="91057.85"/>
    <n v="82454.509999999995"/>
  </r>
  <r>
    <x v="1121"/>
    <s v="УАЗ-III - 49 кв."/>
    <n v="35563.243300000002"/>
    <n v="35563.243300000002"/>
    <n v="31984.905299999999"/>
  </r>
  <r>
    <x v="2410"/>
    <s v="Ленин-Олимп"/>
    <n v="32172.2909"/>
    <n v="32172.2909"/>
    <n v="28935.146499999999"/>
  </r>
  <r>
    <x v="2411"/>
    <s v="КОЛЬЦОВО"/>
    <n v="53174.74"/>
    <n v="53174.74"/>
    <n v="48150.68"/>
  </r>
  <r>
    <x v="2412"/>
    <s v="СОВХОЗ"/>
    <n v="57883"/>
    <n v="57883"/>
    <n v="52414.09"/>
  </r>
  <r>
    <x v="1119"/>
    <s v="АКАДЕМИЧЕСКИЙ"/>
    <n v="59836.85"/>
    <n v="59836.85"/>
    <n v="54183.34"/>
  </r>
  <r>
    <x v="2413"/>
    <s v="Трубников"/>
    <n v="38278.589899999999"/>
    <n v="38278.589899999999"/>
    <n v="34427.0285"/>
  </r>
  <r>
    <x v="2414"/>
    <s v="Ст.Каменск-Хозспособ"/>
    <n v="28855.326499999999"/>
    <n v="28855.326499999999"/>
    <n v="25951.933700000001"/>
  </r>
  <r>
    <x v="57"/>
    <s v="ВИЗ"/>
    <n v="81668.479999999996"/>
    <n v="81668.479999999996"/>
    <n v="73952.27"/>
  </r>
  <r>
    <x v="2415"/>
    <s v="МЕДНЫЙ"/>
    <n v="49741.93"/>
    <n v="49741.93"/>
    <n v="45042.2"/>
  </r>
  <r>
    <x v="2416"/>
    <s v="ШИРОКАЯ РЕЧКА"/>
    <n v="61207.26"/>
    <n v="61207.26"/>
    <n v="55424.27"/>
  </r>
  <r>
    <x v="2417"/>
    <s v="Чкаловский"/>
    <n v="28848.8855"/>
    <n v="28848.8855"/>
    <n v="25946.143"/>
  </r>
  <r>
    <x v="2418"/>
    <s v="Чкаловский"/>
    <n v="28848.8855"/>
    <n v="28848.8855"/>
    <n v="25946.143"/>
  </r>
  <r>
    <x v="2419"/>
    <s v="УАЗ-II"/>
    <n v="35756.285400000001"/>
    <n v="35756.285400000001"/>
    <n v="32158.5213"/>
  </r>
  <r>
    <x v="2420"/>
    <s v="Чкаловский"/>
    <n v="28848.8855"/>
    <n v="28848.8855"/>
    <n v="25946.143"/>
  </r>
  <r>
    <x v="1490"/>
    <s v="Центр"/>
    <n v="91057.85"/>
    <n v="91057.85"/>
    <n v="82454.509999999995"/>
  </r>
  <r>
    <x v="1455"/>
    <s v="Сух_Г-Кам_Н_Кушва_Н-Черм"/>
    <n v="29893.73"/>
    <n v="29893.73"/>
    <n v="26241.207699999999"/>
  </r>
  <r>
    <x v="1370"/>
    <s v="Алт_Гальян_М-Кушва"/>
    <n v="40018.9617"/>
    <n v="40018.9617"/>
    <n v="35129.2961"/>
  </r>
  <r>
    <x v="2421"/>
    <s v="ДинСанПод"/>
    <n v="36244.5985"/>
    <n v="36244.5985"/>
    <n v="32992.053800000002"/>
  </r>
  <r>
    <x v="2422"/>
    <s v="Нижнеисетский"/>
    <n v="45325.4"/>
    <n v="45325.4"/>
    <n v="41042.959999999999"/>
  </r>
  <r>
    <x v="1161"/>
    <s v="Октябрьский"/>
    <n v="39105.413099999998"/>
    <n v="39105.413099999998"/>
    <n v="35170.666700000002"/>
  </r>
  <r>
    <x v="2423"/>
    <s v="ВИЗ"/>
    <n v="81668.479999999996"/>
    <n v="81668.479999999996"/>
    <n v="73952.27"/>
  </r>
  <r>
    <x v="1331"/>
    <s v="Ст.Каменск-Хозспособ"/>
    <n v="28855.326499999999"/>
    <n v="28855.326499999999"/>
    <n v="25951.933700000001"/>
  </r>
  <r>
    <x v="2424"/>
    <s v="УАЗ-III - 49 кв."/>
    <n v="35563.243300000002"/>
    <n v="35563.243300000002"/>
    <n v="31984.905299999999"/>
  </r>
  <r>
    <x v="155"/>
    <s v="ШИРОКАЯ РЕЧКА"/>
    <n v="61207.26"/>
    <n v="61207.26"/>
    <n v="55424.27"/>
  </r>
  <r>
    <x v="1001"/>
    <s v="ШАРТАШ"/>
    <n v="66003.710000000006"/>
    <n v="66003.710000000006"/>
    <n v="59767.54"/>
  </r>
  <r>
    <x v="2425"/>
    <s v="УАЗ-II"/>
    <n v="35756.285400000001"/>
    <n v="35756.285400000001"/>
    <n v="32158.5213"/>
  </r>
  <r>
    <x v="2426"/>
    <s v="УАЗ"/>
    <n v="29199.565200000001"/>
    <n v="29199.565200000001"/>
    <n v="26261.5317"/>
  </r>
  <r>
    <x v="2427"/>
    <s v="УАЗ"/>
    <n v="29199.565200000001"/>
    <n v="29199.565200000001"/>
    <n v="26261.5317"/>
  </r>
  <r>
    <x v="2428"/>
    <s v="УАЗ-III - 49 кв."/>
    <n v="35563.243300000002"/>
    <n v="35563.243300000002"/>
    <n v="31984.905299999999"/>
  </r>
  <r>
    <x v="2429"/>
    <s v="УАЗ-III - 49 кв."/>
    <n v="35563.243300000002"/>
    <n v="35563.243300000002"/>
    <n v="31984.905299999999"/>
  </r>
  <r>
    <x v="1246"/>
    <s v="УАЗ-III - 49 кв."/>
    <n v="35563.243300000002"/>
    <n v="35563.243300000002"/>
    <n v="31984.905299999999"/>
  </r>
  <r>
    <x v="2430"/>
    <s v="УАЗ-II"/>
    <n v="35756.285400000001"/>
    <n v="35756.285400000001"/>
    <n v="32158.5213"/>
  </r>
  <r>
    <x v="2431"/>
    <s v="Чкаловский"/>
    <n v="28848.8855"/>
    <n v="28848.8855"/>
    <n v="25946.143"/>
  </r>
  <r>
    <x v="2432"/>
    <s v="Совхоз"/>
    <n v="57883"/>
    <n v="57883"/>
    <n v="52414.09"/>
  </r>
  <r>
    <x v="2433"/>
    <s v="Шайтанка"/>
    <n v="34007.852099999996"/>
    <n v="34007.852099999996"/>
    <n v="30956.028900000001"/>
  </r>
  <r>
    <x v="2434"/>
    <s v="ГОРНЫЙ ЩИТ"/>
    <n v="50617.09"/>
    <n v="50617.09"/>
    <n v="45834.68"/>
  </r>
  <r>
    <x v="1300"/>
    <s v="Чкаловский"/>
    <n v="28848.8855"/>
    <n v="28848.8855"/>
    <n v="25946.143"/>
  </r>
  <r>
    <x v="2435"/>
    <s v="Ст.Каменск-Хозспособ"/>
    <n v="28855.326499999999"/>
    <n v="28855.326499999999"/>
    <n v="25951.933700000001"/>
  </r>
  <r>
    <x v="2436"/>
    <s v="УАЗ-III - 49 кв."/>
    <n v="35563.243300000002"/>
    <n v="35563.243300000002"/>
    <n v="31984.905299999999"/>
  </r>
  <r>
    <x v="2437"/>
    <s v="УАЗ-III - 49 кв."/>
    <n v="35563.243300000002"/>
    <n v="35563.243300000002"/>
    <n v="31984.905299999999"/>
  </r>
  <r>
    <x v="2438"/>
    <s v="Октябрьский"/>
    <n v="39105.413099999998"/>
    <n v="39105.413099999998"/>
    <n v="35170.666700000002"/>
  </r>
  <r>
    <x v="2439"/>
    <s v="Сулим.Торфянник"/>
    <n v="45325.4"/>
    <n v="45325.4"/>
    <n v="41042.959999999999"/>
  </r>
  <r>
    <x v="1504"/>
    <s v="ДинСанПод"/>
    <n v="36244.5985"/>
    <n v="36244.5985"/>
    <n v="32992.053800000002"/>
  </r>
  <r>
    <x v="2440"/>
    <s v="Октябрьский"/>
    <n v="39105.413099999998"/>
    <n v="39105.413099999998"/>
    <n v="35170.666700000002"/>
  </r>
  <r>
    <x v="1353"/>
    <s v="Алт_Гальян_М-Кушва"/>
    <n v="40018.9617"/>
    <n v="40018.9617"/>
    <n v="35129.2961"/>
  </r>
  <r>
    <x v="2441"/>
    <s v="ВИЗ"/>
    <n v="81668.479999999996"/>
    <n v="81668.479999999996"/>
    <n v="73952.27"/>
  </r>
  <r>
    <x v="2442"/>
    <s v="ШИРОКАЯ РЕЧКА"/>
    <n v="61207.26"/>
    <n v="61207.26"/>
    <n v="55424.27"/>
  </r>
  <r>
    <x v="2443"/>
    <s v="Нижнеисетский"/>
    <n v="45325.4"/>
    <n v="45325.4"/>
    <n v="41042.959999999999"/>
  </r>
  <r>
    <x v="653"/>
    <s v="ПИОНЕРСКИЙ"/>
    <n v="75318.45"/>
    <n v="75318.45"/>
    <n v="68202.2"/>
  </r>
  <r>
    <x v="2444"/>
    <s v="Октябрьский"/>
    <n v="39105.413099999998"/>
    <n v="39105.413099999998"/>
    <n v="35170.666700000002"/>
  </r>
  <r>
    <x v="2445"/>
    <s v="Ст.Каменск-Хозспособ"/>
    <n v="28855.326499999999"/>
    <n v="28855.326499999999"/>
    <n v="25951.933700000001"/>
  </r>
  <r>
    <x v="2446"/>
    <s v="РУДНЫЙ"/>
    <n v="45325.4"/>
    <n v="45325.4"/>
    <n v="41042.959999999999"/>
  </r>
  <r>
    <x v="2447"/>
    <s v="Нижнеисетский"/>
    <n v="45325.4"/>
    <n v="45325.4"/>
    <n v="41042.959999999999"/>
  </r>
  <r>
    <x v="2448"/>
    <s v="ШУВАКИШ"/>
    <n v="42862.720000000001"/>
    <n v="42862.720000000001"/>
    <n v="38812.959999999999"/>
  </r>
  <r>
    <x v="2449"/>
    <s v="ВИЗ"/>
    <n v="81668.479999999996"/>
    <n v="81668.479999999996"/>
    <n v="73952.27"/>
  </r>
  <r>
    <x v="2450"/>
    <s v="УАЗ"/>
    <n v="29199.565200000001"/>
    <n v="29199.565200000001"/>
    <n v="26261.5317"/>
  </r>
  <r>
    <x v="2451"/>
    <s v="ПИОНЕРСКИЙ"/>
    <n v="75318.45"/>
    <n v="75318.45"/>
    <n v="68202.2"/>
  </r>
  <r>
    <x v="2452"/>
    <s v="ШИРОКАЯ РЕЧКА"/>
    <n v="61207.26"/>
    <n v="61207.26"/>
    <n v="55424.27"/>
  </r>
  <r>
    <x v="2453"/>
    <s v="МЕДНЫЙ"/>
    <n v="49741.93"/>
    <n v="49741.93"/>
    <n v="45042.2"/>
  </r>
  <r>
    <x v="2454"/>
    <s v="Чкаловский"/>
    <n v="28848.8855"/>
    <n v="28848.8855"/>
    <n v="25946.143"/>
  </r>
  <r>
    <x v="2455"/>
    <s v="Чкаловский"/>
    <n v="28848.8855"/>
    <n v="28848.8855"/>
    <n v="25946.143"/>
  </r>
  <r>
    <x v="2456"/>
    <s v="Чкаловский"/>
    <n v="28848.8855"/>
    <n v="28848.8855"/>
    <n v="25946.143"/>
  </r>
  <r>
    <x v="2457"/>
    <s v="УАЗ-III - 49 кв."/>
    <n v="35563.243300000002"/>
    <n v="35563.243300000002"/>
    <n v="31984.905299999999"/>
  </r>
  <r>
    <x v="1194"/>
    <s v="УАЗ"/>
    <n v="29199.565200000001"/>
    <n v="29199.565200000001"/>
    <n v="26261.5317"/>
  </r>
  <r>
    <x v="2458"/>
    <s v="ЕЛИЗАВЕТ"/>
    <n v="59056.67"/>
    <n v="59056.67"/>
    <n v="53476.87"/>
  </r>
  <r>
    <x v="2459"/>
    <s v="Ленин-Олимп"/>
    <n v="32172.2909"/>
    <n v="32172.2909"/>
    <n v="28935.146499999999"/>
  </r>
  <r>
    <x v="2460"/>
    <s v="ШИРОКАЯ РЕЧКА"/>
    <n v="61207.26"/>
    <n v="61207.26"/>
    <n v="55424.27"/>
  </r>
  <r>
    <x v="2461"/>
    <s v="ШИРОКАЯ РЕЧКА"/>
    <n v="61207.26"/>
    <n v="61207.26"/>
    <n v="55424.27"/>
  </r>
  <r>
    <x v="2462"/>
    <s v="Северка"/>
    <n v="49579.11"/>
    <n v="49579.11"/>
    <n v="44894.77"/>
  </r>
  <r>
    <x v="2463"/>
    <s v="Северка"/>
    <n v="49579.11"/>
    <n v="49579.11"/>
    <n v="44894.77"/>
  </r>
  <r>
    <x v="2464"/>
    <s v="ИЗОПЛИТ"/>
    <n v="51994.29"/>
    <n v="51994.29"/>
    <n v="47081.760000000002"/>
  </r>
  <r>
    <x v="2465"/>
    <s v="КОЛЬЦОВО"/>
    <n v="53174.74"/>
    <n v="53174.74"/>
    <n v="48150.68"/>
  </r>
  <r>
    <x v="927"/>
    <s v="ГОРНЫЙ ЩИТ"/>
    <n v="50617.09"/>
    <n v="50617.09"/>
    <n v="45834.68"/>
  </r>
  <r>
    <x v="2466"/>
    <s v="УКТУС"/>
    <n v="61655.02"/>
    <n v="61655.02"/>
    <n v="55829.73"/>
  </r>
  <r>
    <x v="2467"/>
    <s v="УАЗ-III - 49 кв."/>
    <n v="35563.243300000002"/>
    <n v="35563.243300000002"/>
    <n v="31984.905299999999"/>
  </r>
  <r>
    <x v="2468"/>
    <s v="МЕДНЫЙ"/>
    <n v="49741.93"/>
    <n v="49741.93"/>
    <n v="45042.2"/>
  </r>
  <r>
    <x v="1403"/>
    <s v="Ваг_Стар_Пихтовы-г"/>
    <n v="40625.090199999999"/>
    <n v="40625.090199999999"/>
    <n v="35661.364300000001"/>
  </r>
  <r>
    <x v="2469"/>
    <s v="УАЗ-III - 49 кв."/>
    <n v="35563.243300000002"/>
    <n v="35563.243300000002"/>
    <n v="31984.905299999999"/>
  </r>
  <r>
    <x v="1218"/>
    <s v="УАЗ-II"/>
    <n v="35756.285400000001"/>
    <n v="35756.285400000001"/>
    <n v="32158.5213"/>
  </r>
  <r>
    <x v="2470"/>
    <s v="Северный"/>
    <n v="29151.309799999999"/>
    <n v="29151.309799999999"/>
    <n v="26218.127700000001"/>
  </r>
  <r>
    <x v="2471"/>
    <s v="Рудник_Север"/>
    <n v="30591.135900000001"/>
    <n v="30591.135900000001"/>
    <n v="26853.405500000001"/>
  </r>
  <r>
    <x v="2472"/>
    <s v="Ст.Каменск-Хозспособ"/>
    <n v="28855.326499999999"/>
    <n v="28855.326499999999"/>
    <n v="25951.933700000001"/>
  </r>
  <r>
    <x v="883"/>
    <s v="Ю-З"/>
    <n v="74239.759999999995"/>
    <n v="74239.759999999995"/>
    <n v="67225.429999999993"/>
  </r>
  <r>
    <x v="1236"/>
    <s v="УАЗ-III - 49 кв."/>
    <n v="35563.243300000002"/>
    <n v="35563.243300000002"/>
    <n v="31984.905299999999"/>
  </r>
  <r>
    <x v="2473"/>
    <s v="Северный"/>
    <n v="29151.309799999999"/>
    <n v="29151.309799999999"/>
    <n v="26218.127700000001"/>
  </r>
  <r>
    <x v="2474"/>
    <s v="Чкаловский"/>
    <n v="28848.8855"/>
    <n v="28848.8855"/>
    <n v="25946.143"/>
  </r>
  <r>
    <x v="1124"/>
    <s v="УАЗ-III - 49 кв."/>
    <n v="35563.243300000002"/>
    <n v="35563.243300000002"/>
    <n v="31984.905299999999"/>
  </r>
  <r>
    <x v="2475"/>
    <s v="Ленин-Олимп"/>
    <n v="32172.2909"/>
    <n v="32172.2909"/>
    <n v="28935.146499999999"/>
  </r>
  <r>
    <x v="2476"/>
    <s v="Чкаловский"/>
    <n v="28848.8855"/>
    <n v="28848.8855"/>
    <n v="25946.143"/>
  </r>
  <r>
    <x v="2477"/>
    <s v="Ст.Каменск-Хозспособ"/>
    <n v="28855.326499999999"/>
    <n v="28855.326499999999"/>
    <n v="25951.933700000001"/>
  </r>
  <r>
    <x v="1157"/>
    <s v="Октябрьский"/>
    <n v="39105.413099999998"/>
    <n v="39105.413099999998"/>
    <n v="35170.666700000002"/>
  </r>
  <r>
    <x v="2478"/>
    <s v="Ст.Каменск-Хозспособ"/>
    <n v="28855.326499999999"/>
    <n v="28855.326499999999"/>
    <n v="25951.933700000001"/>
  </r>
  <r>
    <x v="2479"/>
    <s v="УАЗ"/>
    <n v="29199.565200000001"/>
    <n v="29199.565200000001"/>
    <n v="26261.5317"/>
  </r>
  <r>
    <x v="2480"/>
    <s v="Октябрьский"/>
    <n v="39105.413099999998"/>
    <n v="39105.413099999998"/>
    <n v="35170.666700000002"/>
  </r>
  <r>
    <x v="1348"/>
    <s v="Ст.Каменск-Хозспособ"/>
    <n v="28855.326499999999"/>
    <n v="28855.326499999999"/>
    <n v="25951.933700000001"/>
  </r>
  <r>
    <x v="2481"/>
    <s v="ШИРОКАЯ РЕЧКА"/>
    <n v="61207.26"/>
    <n v="61207.26"/>
    <n v="55424.27"/>
  </r>
  <r>
    <x v="2482"/>
    <s v="ШИРОКАЯ РЕЧКА"/>
    <n v="61207.26"/>
    <n v="61207.26"/>
    <n v="55424.27"/>
  </r>
  <r>
    <x v="2483"/>
    <s v="ШИРОКАЯ РЕЧКА"/>
    <n v="61207.26"/>
    <n v="61207.26"/>
    <n v="55424.27"/>
  </r>
  <r>
    <x v="2484"/>
    <s v="Ленин-Олимп"/>
    <n v="32172.2909"/>
    <n v="32172.2909"/>
    <n v="28935.146499999999"/>
  </r>
  <r>
    <x v="1178"/>
    <s v="МОНАСТЫРКА"/>
    <n v="25238.569899999999"/>
    <n v="25238.569899999999"/>
    <n v="24735.775000000001"/>
  </r>
  <r>
    <x v="2485"/>
    <s v="УАЗ"/>
    <n v="29199.565200000001"/>
    <n v="29199.565200000001"/>
    <n v="26261.5317"/>
  </r>
  <r>
    <x v="2486"/>
    <s v="УАЗ"/>
    <n v="29199.565200000001"/>
    <n v="29199.565200000001"/>
    <n v="26261.5317"/>
  </r>
  <r>
    <x v="2487"/>
    <s v="УАЗ"/>
    <n v="29199.565200000001"/>
    <n v="29199.565200000001"/>
    <n v="26261.5317"/>
  </r>
  <r>
    <x v="2488"/>
    <s v="Ленин-Олимп"/>
    <n v="32172.2909"/>
    <n v="32172.2909"/>
    <n v="28935.146499999999"/>
  </r>
  <r>
    <x v="2489"/>
    <s v="Ст.Каменск-Хозспособ"/>
    <n v="28855.326499999999"/>
    <n v="28855.326499999999"/>
    <n v="25951.933700000001"/>
  </r>
  <r>
    <x v="2490"/>
    <s v="УАЗ-II"/>
    <n v="35756.285400000001"/>
    <n v="35756.285400000001"/>
    <n v="32158.5213"/>
  </r>
  <r>
    <x v="2491"/>
    <s v="УАЗ-II"/>
    <n v="35756.285400000001"/>
    <n v="35756.285400000001"/>
    <n v="32158.5213"/>
  </r>
  <r>
    <x v="2492"/>
    <s v="ЖБИ"/>
    <n v="67218.09"/>
    <n v="67218.09"/>
    <n v="60867.18"/>
  </r>
  <r>
    <x v="2493"/>
    <s v="ДинСанПод"/>
    <n v="36244.5985"/>
    <n v="36244.5985"/>
    <n v="32992.053800000002"/>
  </r>
  <r>
    <x v="2494"/>
    <s v="ПТИЦЕФАБРИКА"/>
    <n v="55074.33"/>
    <n v="55074.33"/>
    <n v="49870.79"/>
  </r>
  <r>
    <x v="2495"/>
    <s v="ЛЕЧЕБНЫЙ"/>
    <n v="55990.2"/>
    <n v="55990.2"/>
    <n v="50700.12"/>
  </r>
  <r>
    <x v="386"/>
    <s v="КОЛЬЦОВО"/>
    <n v="53174.74"/>
    <n v="53174.74"/>
    <n v="48150.68"/>
  </r>
  <r>
    <x v="2496"/>
    <s v="УАЗ"/>
    <n v="29199.565200000001"/>
    <n v="29199.565200000001"/>
    <n v="26261.5317"/>
  </r>
  <r>
    <x v="1244"/>
    <s v="УАЗ-III - 49 кв."/>
    <n v="35563.243300000002"/>
    <n v="35563.243300000002"/>
    <n v="31984.905299999999"/>
  </r>
  <r>
    <x v="2497"/>
    <s v="ШАРТАШ"/>
    <n v="66003.710000000006"/>
    <n v="66003.710000000006"/>
    <n v="59767.54"/>
  </r>
  <r>
    <x v="2498"/>
    <s v="КОЛЬЦОВО"/>
    <n v="53174.74"/>
    <n v="53174.74"/>
    <n v="48150.68"/>
  </r>
  <r>
    <x v="1224"/>
    <s v="УАЗ-II"/>
    <n v="35756.285400000001"/>
    <n v="35756.285400000001"/>
    <n v="32158.5213"/>
  </r>
  <r>
    <x v="1328"/>
    <s v="Ст.Каменск-Хозспособ"/>
    <n v="28855.326499999999"/>
    <n v="28855.326499999999"/>
    <n v="25951.933700000001"/>
  </r>
  <r>
    <x v="2499"/>
    <s v="Ст.Каменск-Хозспособ"/>
    <n v="28855.326499999999"/>
    <n v="28855.326499999999"/>
    <n v="25951.933700000001"/>
  </r>
  <r>
    <x v="2500"/>
    <s v="Октябрьский"/>
    <n v="39105.413099999998"/>
    <n v="39105.413099999998"/>
    <n v="35170.666700000002"/>
  </r>
  <r>
    <x v="373"/>
    <s v="ШАБРОВСКИЙ"/>
    <n v="36417.71"/>
    <n v="36417.71"/>
    <n v="32976.89"/>
  </r>
  <r>
    <x v="2501"/>
    <s v="Ст.Каменск-Хозспособ"/>
    <n v="28855.326499999999"/>
    <n v="28855.326499999999"/>
    <n v="25951.933700000001"/>
  </r>
  <r>
    <x v="1276"/>
    <s v="Ст.Каменск-Хозспособ"/>
    <n v="28855.326499999999"/>
    <n v="28855.326499999999"/>
    <n v="25951.933700000001"/>
  </r>
  <r>
    <x v="2502"/>
    <s v="МЕДНЫЙ"/>
    <n v="49741.93"/>
    <n v="49741.93"/>
    <n v="45042.2"/>
  </r>
  <r>
    <x v="1374"/>
    <s v="Алт_Гальян_М-Кушва"/>
    <n v="40018.9617"/>
    <n v="40018.9617"/>
    <n v="35129.2961"/>
  </r>
  <r>
    <x v="260"/>
    <s v="ШУВАКИШ"/>
    <n v="42862.720000000001"/>
    <n v="42862.720000000001"/>
    <n v="38812.959999999999"/>
  </r>
  <r>
    <x v="2503"/>
    <s v="ИСТОК"/>
    <n v="51831.47"/>
    <n v="51831.47"/>
    <n v="46934.32"/>
  </r>
  <r>
    <x v="2504"/>
    <s v="ЖБИ"/>
    <n v="67218.09"/>
    <n v="67218.09"/>
    <n v="60867.18"/>
  </r>
  <r>
    <x v="950"/>
    <s v="ПИОНЕРСКИЙ"/>
    <n v="75318.45"/>
    <n v="75318.45"/>
    <n v="68202.2"/>
  </r>
  <r>
    <x v="2505"/>
    <s v="ШАБРОВСКИЙ"/>
    <n v="36417.71"/>
    <n v="36417.71"/>
    <n v="32976.89"/>
  </r>
  <r>
    <x v="2506"/>
    <s v="Ст.Каменск-Хозспособ"/>
    <n v="28855.326499999999"/>
    <n v="28855.326499999999"/>
    <n v="25951.933700000001"/>
  </r>
  <r>
    <x v="1199"/>
    <s v="УАЗ"/>
    <n v="29199.565200000001"/>
    <n v="29199.565200000001"/>
    <n v="26261.5317"/>
  </r>
  <r>
    <x v="1425"/>
    <s v="Выя_Леб_Горб_Кр-Кам"/>
    <n v="36513.6518"/>
    <n v="36513.6518"/>
    <n v="32052.276999999998"/>
  </r>
  <r>
    <x v="2507"/>
    <s v="Шайтанка"/>
    <n v="34007.852099999996"/>
    <n v="34007.852099999996"/>
    <n v="30956.028900000001"/>
  </r>
  <r>
    <x v="2508"/>
    <s v="УАЗ-II"/>
    <n v="35756.285400000001"/>
    <n v="35756.285400000001"/>
    <n v="32158.5213"/>
  </r>
  <r>
    <x v="1195"/>
    <s v="УАЗ"/>
    <n v="29199.565200000001"/>
    <n v="29199.565200000001"/>
    <n v="26261.5317"/>
  </r>
  <r>
    <x v="2509"/>
    <s v="Шайтанка"/>
    <n v="34007.852099999996"/>
    <n v="34007.852099999996"/>
    <n v="30956.028900000001"/>
  </r>
  <r>
    <x v="2510"/>
    <s v="Ст.Каменск-Хозспособ"/>
    <n v="28855.326499999999"/>
    <n v="28855.326499999999"/>
    <n v="25951.933700000001"/>
  </r>
  <r>
    <x v="2511"/>
    <s v="Ст.Каменск-Хозспособ"/>
    <n v="28855.326499999999"/>
    <n v="28855.326499999999"/>
    <n v="25951.933700000001"/>
  </r>
  <r>
    <x v="2512"/>
    <s v="Северный"/>
    <n v="29151.309799999999"/>
    <n v="29151.309799999999"/>
    <n v="26218.127700000001"/>
  </r>
  <r>
    <x v="2513"/>
    <s v="Октябрьский"/>
    <n v="39105.413099999998"/>
    <n v="39105.413099999998"/>
    <n v="35170.666700000002"/>
  </r>
  <r>
    <x v="1402"/>
    <s v="Ваг_Стар_Пихтовы-г"/>
    <n v="40625.090199999999"/>
    <n v="40625.090199999999"/>
    <n v="35661.364300000001"/>
  </r>
  <r>
    <x v="1384"/>
    <s v="Ваг_Стар_Пихтовы-г"/>
    <n v="40625.090199999999"/>
    <n v="40625.090199999999"/>
    <n v="35661.364300000001"/>
  </r>
  <r>
    <x v="1111"/>
    <s v="УРАЛМАШ"/>
    <n v="67842.240000000005"/>
    <n v="67842.240000000005"/>
    <n v="61432.36"/>
  </r>
  <r>
    <x v="327"/>
    <s v="УКТУС"/>
    <n v="61655.02"/>
    <n v="61655.02"/>
    <n v="55829.73"/>
  </r>
  <r>
    <x v="2514"/>
    <s v="ВИЗ"/>
    <n v="81668.479999999996"/>
    <n v="81668.479999999996"/>
    <n v="73952.27"/>
  </r>
  <r>
    <x v="2515"/>
    <s v="ШУВАКИШ"/>
    <n v="42862.720000000001"/>
    <n v="42862.720000000001"/>
    <n v="38812.959999999999"/>
  </r>
  <r>
    <x v="919"/>
    <s v="ЗАВОКЗАЛЬНЫЙ"/>
    <n v="54389.120000000003"/>
    <n v="54389.120000000003"/>
    <n v="49250.32"/>
  </r>
  <r>
    <x v="2516"/>
    <s v="Ст.Каменск-Хозспособ"/>
    <n v="28855.326499999999"/>
    <n v="28855.326499999999"/>
    <n v="25951.933700000001"/>
  </r>
  <r>
    <x v="1324"/>
    <s v="Ст.Каменск-Хозспособ"/>
    <n v="28855.326499999999"/>
    <n v="28855.326499999999"/>
    <n v="25951.933700000001"/>
  </r>
  <r>
    <x v="1325"/>
    <s v="Ст.Каменск-Хозспособ"/>
    <n v="28855.326499999999"/>
    <n v="28855.326499999999"/>
    <n v="25951.933700000001"/>
  </r>
  <r>
    <x v="2517"/>
    <s v="Ст.Каменск-Хозспособ"/>
    <n v="28855.326499999999"/>
    <n v="28855.326499999999"/>
    <n v="25951.933700000001"/>
  </r>
  <r>
    <x v="1337"/>
    <s v="Ст.Каменск-Хозспособ"/>
    <n v="28855.326499999999"/>
    <n v="28855.326499999999"/>
    <n v="25951.933700000001"/>
  </r>
  <r>
    <x v="2518"/>
    <s v="Чкаловский"/>
    <n v="28848.8855"/>
    <n v="28848.8855"/>
    <n v="25946.143"/>
  </r>
  <r>
    <x v="2519"/>
    <s v="УАЗ"/>
    <n v="29199.565200000001"/>
    <n v="29199.565200000001"/>
    <n v="26261.5317"/>
  </r>
  <r>
    <x v="2520"/>
    <s v="УАЗ"/>
    <n v="29199.565200000001"/>
    <n v="29199.565200000001"/>
    <n v="26261.5317"/>
  </r>
  <r>
    <x v="227"/>
    <s v="ШИРОКАЯ РЕЧКА"/>
    <n v="61207.26"/>
    <n v="61207.26"/>
    <n v="55424.27"/>
  </r>
  <r>
    <x v="2521"/>
    <s v="Октябрьский"/>
    <n v="39105.413099999998"/>
    <n v="39105.413099999998"/>
    <n v="35170.666700000002"/>
  </r>
  <r>
    <x v="2522"/>
    <s v="Ст.Каменск-Хозспособ"/>
    <n v="28855.326499999999"/>
    <n v="28855.326499999999"/>
    <n v="25951.933700000001"/>
  </r>
  <r>
    <x v="2523"/>
    <s v="ШИРОКАЯ РЕЧКА"/>
    <n v="61207.26"/>
    <n v="61207.26"/>
    <n v="55424.27"/>
  </r>
  <r>
    <x v="2524"/>
    <s v="УАЗ-III - 49 кв."/>
    <n v="35563.243300000002"/>
    <n v="35563.243300000002"/>
    <n v="31984.905299999999"/>
  </r>
  <r>
    <x v="2525"/>
    <s v="Ст.Каменск-Хозспособ"/>
    <n v="28855.326499999999"/>
    <n v="28855.326499999999"/>
    <n v="25951.933700000001"/>
  </r>
  <r>
    <x v="2526"/>
    <s v="Ст.Каменск-Хозспособ"/>
    <n v="28855.326499999999"/>
    <n v="28855.326499999999"/>
    <n v="25951.933700000001"/>
  </r>
  <r>
    <x v="2527"/>
    <s v="Северка"/>
    <n v="49579.11"/>
    <n v="49579.11"/>
    <n v="44894.77"/>
  </r>
  <r>
    <x v="2528"/>
    <s v="Шувакиш"/>
    <n v="42862.720000000001"/>
    <n v="42862.720000000001"/>
    <n v="38812.959999999999"/>
  </r>
  <r>
    <x v="2529"/>
    <s v="Чкаловский"/>
    <n v="28848.8855"/>
    <n v="28848.8855"/>
    <n v="25946.143"/>
  </r>
  <r>
    <x v="2530"/>
    <s v="Центр"/>
    <n v="91057.85"/>
    <n v="91057.85"/>
    <n v="82454.509999999995"/>
  </r>
  <r>
    <x v="2531"/>
    <s v="Чкаловский"/>
    <n v="28848.8855"/>
    <n v="28848.8855"/>
    <n v="25946.143"/>
  </r>
  <r>
    <x v="2532"/>
    <s v="Чкаловский"/>
    <n v="28848.8855"/>
    <n v="28848.8855"/>
    <n v="25946.143"/>
  </r>
  <r>
    <x v="2533"/>
    <s v="Северка"/>
    <n v="49579.11"/>
    <n v="49579.11"/>
    <n v="44894.77"/>
  </r>
  <r>
    <x v="2534"/>
    <s v="УРАЛМАШ"/>
    <n v="67842.240000000005"/>
    <n v="67842.240000000005"/>
    <n v="61432.36"/>
  </r>
  <r>
    <x v="2535"/>
    <s v="Выя_Леб_Горб_Кр-Кам"/>
    <n v="36513.6518"/>
    <n v="36513.6518"/>
    <n v="32052.276999999998"/>
  </r>
  <r>
    <x v="2536"/>
    <s v="Октябрьский"/>
    <n v="39105.413099999998"/>
    <n v="39105.413099999998"/>
    <n v="35170.666700000002"/>
  </r>
  <r>
    <x v="1207"/>
    <s v="УАЗ"/>
    <n v="29199.565200000001"/>
    <n v="29199.565200000001"/>
    <n v="26261.5317"/>
  </r>
  <r>
    <x v="1258"/>
    <s v="Ленин-Олимп"/>
    <n v="32172.2909"/>
    <n v="32172.2909"/>
    <n v="28935.146499999999"/>
  </r>
  <r>
    <x v="2537"/>
    <s v="СЕВЕРКА"/>
    <n v="49579.11"/>
    <n v="49579.11"/>
    <n v="44894.77"/>
  </r>
  <r>
    <x v="2538"/>
    <s v="Чкаловский"/>
    <n v="28848.8855"/>
    <n v="28848.8855"/>
    <n v="25946.143"/>
  </r>
  <r>
    <x v="2539"/>
    <s v="ШИРОКАЯ РЕЧКА"/>
    <n v="61207.26"/>
    <n v="61207.26"/>
    <n v="55424.27"/>
  </r>
  <r>
    <x v="2540"/>
    <s v="УАЗ"/>
    <n v="29199.565200000001"/>
    <n v="29199.565200000001"/>
    <n v="26261.5317"/>
  </r>
  <r>
    <x v="2541"/>
    <s v="Ленин-Олимп"/>
    <n v="32172.2909"/>
    <n v="32172.2909"/>
    <n v="28935.146499999999"/>
  </r>
  <r>
    <x v="2542"/>
    <s v="Северный"/>
    <n v="29151.309799999999"/>
    <n v="29151.309799999999"/>
    <n v="26218.127700000001"/>
  </r>
  <r>
    <x v="2543"/>
    <s v="ГОРНЫЙ ЩИТ"/>
    <n v="50617.09"/>
    <n v="50617.09"/>
    <n v="45834.68"/>
  </r>
  <r>
    <x v="2544"/>
    <s v="Ст.Каменск-Хозспособ"/>
    <n v="28855.326499999999"/>
    <n v="28855.326499999999"/>
    <n v="25951.933700000001"/>
  </r>
  <r>
    <x v="2545"/>
    <s v="Ст.Каменск-Хозспособ"/>
    <n v="28855.326499999999"/>
    <n v="28855.326499999999"/>
    <n v="25951.933700000001"/>
  </r>
  <r>
    <x v="2546"/>
    <s v="Ст.Каменск-Хозспособ"/>
    <n v="28855.326499999999"/>
    <n v="28855.326499999999"/>
    <n v="25951.933700000001"/>
  </r>
  <r>
    <x v="2547"/>
    <s v="Трубников"/>
    <n v="38278.589899999999"/>
    <n v="38278.589899999999"/>
    <n v="34427.0285"/>
  </r>
  <r>
    <x v="1345"/>
    <s v="Ст.Каменск-Хозспособ"/>
    <n v="28855.326499999999"/>
    <n v="28855.326499999999"/>
    <n v="25951.933700000001"/>
  </r>
  <r>
    <x v="701"/>
    <s v="ВОКЗАЛЬНЫЙ"/>
    <n v="76180.05"/>
    <n v="76180.05"/>
    <n v="68982.39"/>
  </r>
  <r>
    <x v="2548"/>
    <s v="Ст.Каменск-Хозспособ"/>
    <n v="28855.326499999999"/>
    <n v="28855.326499999999"/>
    <n v="25951.933700000001"/>
  </r>
  <r>
    <x v="2549"/>
    <s v="УРАЛМАШ"/>
    <n v="67842.240000000005"/>
    <n v="67842.240000000005"/>
    <n v="61432.36"/>
  </r>
  <r>
    <x v="2550"/>
    <s v="ЛЕЧЕБНЫЙ"/>
    <n v="55990.2"/>
    <n v="55990.2"/>
    <n v="50700.12"/>
  </r>
  <r>
    <x v="2551"/>
    <s v="Чкаловский"/>
    <n v="28848.8855"/>
    <n v="28848.8855"/>
    <n v="25946.143"/>
  </r>
  <r>
    <x v="1165"/>
    <s v="Октябрьский"/>
    <n v="39105.413099999998"/>
    <n v="39105.413099999998"/>
    <n v="35170.666700000002"/>
  </r>
  <r>
    <x v="2552"/>
    <s v="УАЗ-III - 49 кв."/>
    <n v="35563.243300000002"/>
    <n v="35563.243300000002"/>
    <n v="31984.905299999999"/>
  </r>
  <r>
    <x v="2553"/>
    <s v="Ст.Каменск-Хозспособ"/>
    <n v="28855.326499999999"/>
    <n v="28855.326499999999"/>
    <n v="25951.933700000001"/>
  </r>
  <r>
    <x v="855"/>
    <s v="Нижнеисетский"/>
    <n v="45325.4"/>
    <n v="45325.4"/>
    <n v="41042.959999999999"/>
  </r>
  <r>
    <x v="2554"/>
    <s v="ШАБРОВСКИЙ"/>
    <n v="36417.71"/>
    <n v="36417.71"/>
    <n v="32976.89"/>
  </r>
  <r>
    <x v="2555"/>
    <s v="Ст.Каменск-Хозспособ"/>
    <n v="28855.326499999999"/>
    <n v="28855.326499999999"/>
    <n v="25951.933700000001"/>
  </r>
  <r>
    <x v="2556"/>
    <s v="УРАЛМАШ"/>
    <n v="67842.240000000005"/>
    <n v="67842.240000000005"/>
    <n v="61432.36"/>
  </r>
  <r>
    <x v="2557"/>
    <s v="Чкаловский"/>
    <n v="28848.8855"/>
    <n v="28848.8855"/>
    <n v="25946.143"/>
  </r>
  <r>
    <x v="2558"/>
    <s v="ШИРОКАЯ РЕЧКА"/>
    <n v="61207.26"/>
    <n v="61207.26"/>
    <n v="55424.27"/>
  </r>
  <r>
    <x v="2559"/>
    <s v="Ленин-Олимп"/>
    <n v="32172.2909"/>
    <n v="32172.2909"/>
    <n v="28935.146499999999"/>
  </r>
  <r>
    <x v="2560"/>
    <s v="ЧУСОВСКОЕ ОЗЕРО"/>
    <n v="48229.05"/>
    <n v="48229.05"/>
    <n v="43672.26"/>
  </r>
  <r>
    <x v="2561"/>
    <s v="Северка"/>
    <n v="49579.11"/>
    <n v="49579.11"/>
    <n v="44894.77"/>
  </r>
  <r>
    <x v="2562"/>
    <s v="ШАБРОВСКИЙ"/>
    <n v="36417.71"/>
    <n v="36417.71"/>
    <n v="32976.89"/>
  </r>
  <r>
    <x v="2563"/>
    <s v="Октябрьский"/>
    <n v="39105.413099999998"/>
    <n v="39105.413099999998"/>
    <n v="35170.666700000002"/>
  </r>
  <r>
    <x v="2564"/>
    <s v="Ст.Каменск-Хозспособ"/>
    <n v="28855.326499999999"/>
    <n v="28855.326499999999"/>
    <n v="25951.933700000001"/>
  </r>
  <r>
    <x v="2565"/>
    <s v="Чкаловский"/>
    <n v="28848.8855"/>
    <n v="28848.8855"/>
    <n v="25946.143"/>
  </r>
  <r>
    <x v="1171"/>
    <s v="Октябрьский"/>
    <n v="39105.413099999998"/>
    <n v="39105.413099999998"/>
    <n v="35170.666700000002"/>
  </r>
  <r>
    <x v="2566"/>
    <s v="Ленин-Олимп"/>
    <n v="32172.2909"/>
    <n v="32172.2909"/>
    <n v="28935.146499999999"/>
  </r>
  <r>
    <x v="1350"/>
    <s v="Ст.Каменск-Хозспособ"/>
    <n v="28855.326499999999"/>
    <n v="28855.326499999999"/>
    <n v="25951.933700000001"/>
  </r>
  <r>
    <x v="2567"/>
    <s v="СЕВЕРКА"/>
    <n v="49579.11"/>
    <n v="49579.11"/>
    <n v="44894.77"/>
  </r>
  <r>
    <x v="2568"/>
    <s v="УРАЛМАШ"/>
    <n v="67842.240000000005"/>
    <n v="67842.240000000005"/>
    <n v="61432.36"/>
  </r>
  <r>
    <x v="2569"/>
    <s v="УРАЛМАШ"/>
    <n v="67842.240000000005"/>
    <n v="67842.240000000005"/>
    <n v="61432.36"/>
  </r>
  <r>
    <x v="2570"/>
    <s v="УАЗ-III - 49 кв."/>
    <n v="35563.243300000002"/>
    <n v="35563.243300000002"/>
    <n v="31984.905299999999"/>
  </r>
  <r>
    <x v="2571"/>
    <s v="ГОРНЫЙ ЩИТ"/>
    <n v="50617.09"/>
    <n v="50617.09"/>
    <n v="45834.68"/>
  </r>
  <r>
    <x v="2572"/>
    <s v="ШИРОКАЯ РЕЧКА"/>
    <n v="61207.26"/>
    <n v="61207.26"/>
    <n v="55424.27"/>
  </r>
  <r>
    <x v="2573"/>
    <s v="УРАЛМАШ"/>
    <n v="67842.240000000005"/>
    <n v="67842.240000000005"/>
    <n v="61432.36"/>
  </r>
  <r>
    <x v="196"/>
    <s v="СЕВЕРКА"/>
    <n v="49579.11"/>
    <n v="49579.11"/>
    <n v="44894.77"/>
  </r>
  <r>
    <x v="2574"/>
    <s v="Ленин-Олимп"/>
    <n v="32172.2909"/>
    <n v="32172.2909"/>
    <n v="28935.146499999999"/>
  </r>
  <r>
    <x v="2575"/>
    <s v="Ленин-Олимп"/>
    <n v="32172.2909"/>
    <n v="32172.2909"/>
    <n v="28935.146499999999"/>
  </r>
  <r>
    <x v="2576"/>
    <s v="Северка"/>
    <n v="49579.11"/>
    <n v="49579.11"/>
    <n v="44894.77"/>
  </r>
  <r>
    <x v="1130"/>
    <s v="Октябрьский"/>
    <n v="39105.413099999998"/>
    <n v="39105.413099999998"/>
    <n v="35170.666700000002"/>
  </r>
  <r>
    <x v="2577"/>
    <s v="Чусовское озеро"/>
    <n v="48229.05"/>
    <n v="48229.05"/>
    <n v="43672.26"/>
  </r>
  <r>
    <x v="2578"/>
    <s v="Северка"/>
    <n v="49579.11"/>
    <n v="49579.11"/>
    <n v="44894.77"/>
  </r>
  <r>
    <x v="2579"/>
    <s v="ШИРОКАЯ РЕЧКА"/>
    <n v="61207.26"/>
    <n v="61207.26"/>
    <n v="55424.27"/>
  </r>
  <r>
    <x v="2580"/>
    <s v="Чкаловский"/>
    <n v="28848.8855"/>
    <n v="28848.8855"/>
    <n v="25946.143"/>
  </r>
  <r>
    <x v="2581"/>
    <s v="УКТУС"/>
    <n v="61655.02"/>
    <n v="61655.02"/>
    <n v="55829.73"/>
  </r>
  <r>
    <x v="1283"/>
    <s v="Ст.Каменск-Хозспособ"/>
    <n v="28855.326499999999"/>
    <n v="28855.326499999999"/>
    <n v="25951.933700000001"/>
  </r>
  <r>
    <x v="2582"/>
    <s v="Ст.Каменск-Хозспособ"/>
    <n v="28855.326499999999"/>
    <n v="28855.326499999999"/>
    <n v="25951.933700000001"/>
  </r>
  <r>
    <x v="2583"/>
    <s v="Ст.Каменск-Хозспособ"/>
    <n v="28855.326499999999"/>
    <n v="28855.326499999999"/>
    <n v="25951.933700000001"/>
  </r>
  <r>
    <x v="1341"/>
    <s v="Ст.Каменск-Хозспособ"/>
    <n v="28855.326499999999"/>
    <n v="28855.326499999999"/>
    <n v="25951.933700000001"/>
  </r>
  <r>
    <x v="2584"/>
    <s v="Чкаловский"/>
    <n v="28848.8855"/>
    <n v="28848.8855"/>
    <n v="25946.143"/>
  </r>
  <r>
    <x v="2585"/>
    <s v="УАЗ"/>
    <n v="29199.565200000001"/>
    <n v="29199.565200000001"/>
    <n v="26261.5317"/>
  </r>
  <r>
    <x v="2586"/>
    <s v="УАЗ-III - 49 кв."/>
    <n v="35563.243300000002"/>
    <n v="35563.243300000002"/>
    <n v="31984.905299999999"/>
  </r>
  <r>
    <x v="1271"/>
    <s v="Трубников"/>
    <n v="38278.589899999999"/>
    <n v="38278.589899999999"/>
    <n v="34427.0285"/>
  </r>
  <r>
    <x v="2587"/>
    <s v="КОЛЬЦОВО"/>
    <n v="53174.74"/>
    <n v="53174.74"/>
    <n v="48150.68"/>
  </r>
  <r>
    <x v="2588"/>
    <s v="Октябрьский"/>
    <n v="39105.413099999998"/>
    <n v="39105.413099999998"/>
    <n v="35170.666700000002"/>
  </r>
  <r>
    <x v="2589"/>
    <s v="Северный"/>
    <n v="29151.309799999999"/>
    <n v="29151.309799999999"/>
    <n v="26218.127700000001"/>
  </r>
  <r>
    <x v="1167"/>
    <s v="Октябрьский"/>
    <n v="39105.413099999998"/>
    <n v="39105.413099999998"/>
    <n v="35170.666700000002"/>
  </r>
  <r>
    <x v="2590"/>
    <s v="Ст.Каменск-Хозспособ"/>
    <n v="28855.326499999999"/>
    <n v="28855.326499999999"/>
    <n v="25951.933700000001"/>
  </r>
  <r>
    <x v="2591"/>
    <s v="ГОРНЫЙ ЩИТ"/>
    <n v="50617.09"/>
    <n v="50617.09"/>
    <n v="45834.68"/>
  </r>
  <r>
    <x v="2592"/>
    <s v="УАЗ-II"/>
    <n v="35756.285400000001"/>
    <n v="35756.285400000001"/>
    <n v="32158.5213"/>
  </r>
  <r>
    <x v="2593"/>
    <s v="ШИРОКАЯ РЕЧКА"/>
    <n v="61207.26"/>
    <n v="61207.26"/>
    <n v="55424.27"/>
  </r>
  <r>
    <x v="2594"/>
    <s v="Совхоз"/>
    <n v="57883"/>
    <n v="57883"/>
    <n v="52414.09"/>
  </r>
  <r>
    <x v="2595"/>
    <s v="ДинСанПод"/>
    <n v="36244.5985"/>
    <n v="36244.5985"/>
    <n v="32992.053800000002"/>
  </r>
  <r>
    <x v="2596"/>
    <s v="Совхоз"/>
    <n v="57883"/>
    <n v="57883"/>
    <n v="52414.09"/>
  </r>
  <r>
    <x v="1145"/>
    <s v="Октябрьский"/>
    <n v="39105.413099999998"/>
    <n v="39105.413099999998"/>
    <n v="35170.666700000002"/>
  </r>
  <r>
    <x v="1250"/>
    <s v="Ленин-Олимп"/>
    <n v="32172.2909"/>
    <n v="32172.2909"/>
    <n v="28935.146499999999"/>
  </r>
  <r>
    <x v="2597"/>
    <s v="ВИЗ"/>
    <n v="81668.479999999996"/>
    <n v="81668.479999999996"/>
    <n v="73952.27"/>
  </r>
  <r>
    <x v="2598"/>
    <s v="Северный"/>
    <n v="29151.309799999999"/>
    <n v="29151.309799999999"/>
    <n v="26218.127700000001"/>
  </r>
  <r>
    <x v="1349"/>
    <s v="Ст.Каменск-Хозспособ"/>
    <n v="28855.326499999999"/>
    <n v="28855.326499999999"/>
    <n v="25951.933700000001"/>
  </r>
  <r>
    <x v="1299"/>
    <s v="Чкаловский"/>
    <n v="28848.8855"/>
    <n v="28848.8855"/>
    <n v="25946.143"/>
  </r>
  <r>
    <x v="2599"/>
    <s v="Ст.Каменск-Хозспособ"/>
    <n v="28855.326499999999"/>
    <n v="28855.326499999999"/>
    <n v="25951.933700000001"/>
  </r>
  <r>
    <x v="2600"/>
    <s v="ГОРНЫЙ ЩИТ"/>
    <n v="50617.09"/>
    <n v="50617.09"/>
    <n v="45834.68"/>
  </r>
  <r>
    <x v="2601"/>
    <s v="Чкаловский"/>
    <n v="28848.8855"/>
    <n v="28848.8855"/>
    <n v="25946.143"/>
  </r>
  <r>
    <x v="1322"/>
    <s v="Ст.Каменск-Хозспособ"/>
    <n v="28855.326499999999"/>
    <n v="28855.326499999999"/>
    <n v="25951.933700000001"/>
  </r>
  <r>
    <x v="2602"/>
    <s v="КОЛЬЦОВО"/>
    <n v="53174.74"/>
    <n v="53174.74"/>
    <n v="48150.68"/>
  </r>
  <r>
    <x v="1196"/>
    <s v="УАЗ"/>
    <n v="29199.565200000001"/>
    <n v="29199.565200000001"/>
    <n v="26261.5317"/>
  </r>
  <r>
    <x v="2603"/>
    <s v="УАЗ"/>
    <n v="29199.565200000001"/>
    <n v="29199.565200000001"/>
    <n v="26261.5317"/>
  </r>
  <r>
    <x v="2604"/>
    <s v="САДОВЫЙ"/>
    <n v="51600.800000000003"/>
    <n v="51600.800000000003"/>
    <n v="46725.45"/>
  </r>
  <r>
    <x v="2605"/>
    <s v="САДОВЫЙ"/>
    <n v="51600.800000000003"/>
    <n v="51600.800000000003"/>
    <n v="46725.45"/>
  </r>
  <r>
    <x v="2606"/>
    <s v="САДОВЫЙ"/>
    <n v="51600.800000000003"/>
    <n v="51600.800000000003"/>
    <n v="46725.45"/>
  </r>
  <r>
    <x v="2607"/>
    <s v="ПИОНЕРСКИЙ"/>
    <n v="75318.45"/>
    <n v="75318.45"/>
    <n v="68202.2"/>
  </r>
  <r>
    <x v="2608"/>
    <s v="УКТУС"/>
    <n v="61655.02"/>
    <n v="61655.02"/>
    <n v="55829.73"/>
  </r>
  <r>
    <x v="1347"/>
    <s v="Ст.Каменск-Хозспособ"/>
    <n v="28855.326499999999"/>
    <n v="28855.326499999999"/>
    <n v="25951.933700000001"/>
  </r>
  <r>
    <x v="798"/>
    <s v="ГОРНЫЙ ЩИТ"/>
    <n v="50617.09"/>
    <n v="50617.09"/>
    <n v="45834.68"/>
  </r>
  <r>
    <x v="2609"/>
    <s v="Сулим.Торфянник"/>
    <n v="45325.4"/>
    <n v="45325.4"/>
    <n v="41042.959999999999"/>
  </r>
  <r>
    <x v="2610"/>
    <s v="ШИРОКАЯ РЕЧКА"/>
    <n v="61207.26"/>
    <n v="61207.26"/>
    <n v="55424.27"/>
  </r>
  <r>
    <x v="1307"/>
    <s v="Чкаловский"/>
    <n v="28848.8855"/>
    <n v="28848.8855"/>
    <n v="25946.143"/>
  </r>
  <r>
    <x v="2611"/>
    <s v="УАЗ"/>
    <n v="29199.565200000001"/>
    <n v="29199.565200000001"/>
    <n v="26261.5317"/>
  </r>
  <r>
    <x v="771"/>
    <s v="ВИЗ"/>
    <n v="81668.479999999996"/>
    <n v="81668.479999999996"/>
    <n v="73952.27"/>
  </r>
  <r>
    <x v="2612"/>
    <s v="Ю-З"/>
    <n v="74239.759999999995"/>
    <n v="74239.759999999995"/>
    <n v="67225.429999999993"/>
  </r>
  <r>
    <x v="2613"/>
    <s v="ХИММАШ"/>
    <n v="60047.16"/>
    <n v="60047.16"/>
    <n v="54373.78"/>
  </r>
  <r>
    <x v="1216"/>
    <s v="УАЗ-II"/>
    <n v="35756.285400000001"/>
    <n v="35756.285400000001"/>
    <n v="32158.5213"/>
  </r>
  <r>
    <x v="2614"/>
    <s v="УАЗ-II"/>
    <n v="35756.285400000001"/>
    <n v="35756.285400000001"/>
    <n v="32158.5213"/>
  </r>
  <r>
    <x v="2615"/>
    <s v="Чкаловский"/>
    <n v="28848.8855"/>
    <n v="28848.8855"/>
    <n v="25946.143"/>
  </r>
  <r>
    <x v="1122"/>
    <s v="УАЗ-III - 49 кв."/>
    <n v="35563.243300000002"/>
    <n v="35563.243300000002"/>
    <n v="31984.905299999999"/>
  </r>
  <r>
    <x v="998"/>
    <s v="УРАЛМАШ"/>
    <n v="67842.240000000005"/>
    <n v="67842.240000000005"/>
    <n v="61432.36"/>
  </r>
  <r>
    <x v="2616"/>
    <s v="МЕДНЫЙ"/>
    <n v="49741.93"/>
    <n v="49741.93"/>
    <n v="45042.2"/>
  </r>
  <r>
    <x v="1251"/>
    <s v="Ленин-Олимп"/>
    <n v="32172.2909"/>
    <n v="32172.2909"/>
    <n v="28935.146499999999"/>
  </r>
  <r>
    <x v="2617"/>
    <s v="Чкаловский"/>
    <n v="28848.8855"/>
    <n v="28848.8855"/>
    <n v="25946.143"/>
  </r>
  <r>
    <x v="2618"/>
    <s v="ИСТОК"/>
    <n v="51831.47"/>
    <n v="51831.47"/>
    <n v="46934.32"/>
  </r>
  <r>
    <x v="2619"/>
    <s v="КОЛЬЦОВО"/>
    <n v="53174.74"/>
    <n v="53174.74"/>
    <n v="48150.68"/>
  </r>
  <r>
    <x v="2620"/>
    <s v="Ст.Каменск-Хозспособ"/>
    <n v="28855.326499999999"/>
    <n v="28855.326499999999"/>
    <n v="25951.933700000001"/>
  </r>
  <r>
    <x v="2621"/>
    <s v="Чкаловский"/>
    <n v="28848.8855"/>
    <n v="28848.8855"/>
    <n v="25946.143"/>
  </r>
  <r>
    <x v="2622"/>
    <s v="ХИММАШ"/>
    <n v="60047.16"/>
    <n v="60047.16"/>
    <n v="54373.78"/>
  </r>
  <r>
    <x v="1209"/>
    <s v="УАЗ"/>
    <n v="29199.565200000001"/>
    <n v="29199.565200000001"/>
    <n v="26261.5317"/>
  </r>
  <r>
    <x v="1327"/>
    <s v="Ст.Каменск-Хозспособ"/>
    <n v="28855.326499999999"/>
    <n v="28855.326499999999"/>
    <n v="25951.933700000001"/>
  </r>
  <r>
    <x v="2623"/>
    <s v="ЧЕРМЕТ"/>
    <n v="60698.45"/>
    <n v="60698.45"/>
    <n v="54963.53"/>
  </r>
  <r>
    <x v="2624"/>
    <s v="Ст.Каменск-Хозспособ"/>
    <n v="28855.326499999999"/>
    <n v="28855.326499999999"/>
    <n v="25951.933700000001"/>
  </r>
  <r>
    <x v="2625"/>
    <s v="САДОВЫЙ"/>
    <n v="51600.800000000003"/>
    <n v="51600.800000000003"/>
    <n v="46725.45"/>
  </r>
  <r>
    <x v="2626"/>
    <s v="УАЗ"/>
    <n v="29199.565200000001"/>
    <n v="29199.565200000001"/>
    <n v="26261.5317"/>
  </r>
  <r>
    <x v="1223"/>
    <s v="УАЗ-II"/>
    <n v="35756.285400000001"/>
    <n v="35756.285400000001"/>
    <n v="32158.5213"/>
  </r>
  <r>
    <x v="2627"/>
    <s v="ИЗОПЛИТ"/>
    <n v="51994.29"/>
    <n v="51994.29"/>
    <n v="47081.760000000002"/>
  </r>
  <r>
    <x v="2628"/>
    <s v="Чкаловский"/>
    <n v="28848.8855"/>
    <n v="28848.8855"/>
    <n v="25946.143"/>
  </r>
  <r>
    <x v="1192"/>
    <s v="УАЗ"/>
    <n v="29199.565200000001"/>
    <n v="29199.565200000001"/>
    <n v="26261.5317"/>
  </r>
  <r>
    <x v="1215"/>
    <s v="УАЗ-II"/>
    <n v="35756.285400000001"/>
    <n v="35756.285400000001"/>
    <n v="32158.5213"/>
  </r>
  <r>
    <x v="2629"/>
    <s v="АВТОВОКЗАЛ"/>
    <n v="81132.53"/>
    <n v="81132.53"/>
    <n v="73466.960000000006"/>
  </r>
  <r>
    <x v="2630"/>
    <s v="ИСТОК"/>
    <n v="51831.47"/>
    <n v="51831.47"/>
    <n v="46934.32"/>
  </r>
  <r>
    <x v="1123"/>
    <s v="УАЗ-III - 49 кв."/>
    <n v="35563.243300000002"/>
    <n v="35563.243300000002"/>
    <n v="31984.905299999999"/>
  </r>
  <r>
    <x v="2631"/>
    <s v="ЧУСОВСКОЕ ОЗЕРО"/>
    <n v="48229.05"/>
    <n v="48229.05"/>
    <n v="43672.26"/>
  </r>
  <r>
    <x v="1138"/>
    <s v="Октябрьский"/>
    <n v="39105.413099999998"/>
    <n v="39105.413099999998"/>
    <n v="35170.666700000002"/>
  </r>
  <r>
    <x v="1238"/>
    <s v="УАЗ-III - 49 кв."/>
    <n v="35563.243300000002"/>
    <n v="35563.243300000002"/>
    <n v="31984.905299999999"/>
  </r>
  <r>
    <x v="1177"/>
    <s v="Ст.Каменск-Хозспособ"/>
    <n v="28855.326499999999"/>
    <n v="28855.326499999999"/>
    <n v="25951.933700000001"/>
  </r>
  <r>
    <x v="2632"/>
    <s v="ИСТОК"/>
    <n v="51831.47"/>
    <n v="51831.47"/>
    <n v="46934.32"/>
  </r>
  <r>
    <x v="1211"/>
    <s v="УАЗ-II"/>
    <n v="35756.285400000001"/>
    <n v="35756.285400000001"/>
    <n v="32158.5213"/>
  </r>
  <r>
    <x v="997"/>
    <s v="ЖБИ"/>
    <n v="67218.09"/>
    <n v="67218.09"/>
    <n v="60867.18"/>
  </r>
  <r>
    <x v="1310"/>
    <s v="Чкаловский"/>
    <n v="28848.8855"/>
    <n v="28848.8855"/>
    <n v="25946.143"/>
  </r>
  <r>
    <x v="2633"/>
    <s v="Ленин-Олимп"/>
    <n v="32172.2909"/>
    <n v="32172.2909"/>
    <n v="28935.146499999999"/>
  </r>
  <r>
    <x v="2634"/>
    <s v="Чкаловский"/>
    <n v="28848.8855"/>
    <n v="28848.8855"/>
    <n v="25946.143"/>
  </r>
  <r>
    <x v="2635"/>
    <s v="УАЗ"/>
    <n v="29199.565200000001"/>
    <n v="29199.565200000001"/>
    <n v="26261.5317"/>
  </r>
  <r>
    <x v="156"/>
    <s v="Центр"/>
    <n v="91057.85"/>
    <n v="91057.85"/>
    <n v="82454.509999999995"/>
  </r>
  <r>
    <x v="833"/>
    <s v="УРАЛМАШ"/>
    <n v="67842.240000000005"/>
    <n v="67842.240000000005"/>
    <n v="61432.36"/>
  </r>
  <r>
    <x v="2636"/>
    <s v="ШАБРОВСКИЙ"/>
    <n v="36417.71"/>
    <n v="36417.71"/>
    <n v="32976.89"/>
  </r>
  <r>
    <x v="2637"/>
    <s v="САДОВЫЙ"/>
    <n v="51600.800000000003"/>
    <n v="51600.800000000003"/>
    <n v="46725.45"/>
  </r>
  <r>
    <x v="766"/>
    <s v="СОВХОЗ"/>
    <n v="57883"/>
    <n v="57883"/>
    <n v="52414.09"/>
  </r>
  <r>
    <x v="2638"/>
    <s v="РУДНЫЙ"/>
    <n v="45325.4"/>
    <n v="45325.4"/>
    <n v="41042.959999999999"/>
  </r>
  <r>
    <x v="2639"/>
    <s v="ХИММАШ"/>
    <n v="60047.16"/>
    <n v="60047.16"/>
    <n v="54373.78"/>
  </r>
  <r>
    <x v="2640"/>
    <s v="САДОВЫЙ"/>
    <n v="51600.800000000003"/>
    <n v="51600.800000000003"/>
    <n v="46725.45"/>
  </r>
  <r>
    <x v="2641"/>
    <s v="ШИРОКАЯ РЕЧКА"/>
    <n v="61207.26"/>
    <n v="61207.26"/>
    <n v="55424.27"/>
  </r>
  <r>
    <x v="2642"/>
    <s v="УАЗ"/>
    <n v="29199.565200000001"/>
    <n v="29199.565200000001"/>
    <n v="26261.5317"/>
  </r>
  <r>
    <x v="2643"/>
    <s v="Чкаловский"/>
    <n v="28848.8855"/>
    <n v="28848.8855"/>
    <n v="25946.143"/>
  </r>
  <r>
    <x v="2644"/>
    <s v="УКТУС"/>
    <n v="61655.02"/>
    <n v="61655.02"/>
    <n v="55829.73"/>
  </r>
  <r>
    <x v="2645"/>
    <s v="Чкаловский"/>
    <n v="28848.8855"/>
    <n v="28848.8855"/>
    <n v="25946.143"/>
  </r>
  <r>
    <x v="1257"/>
    <s v="Ленин-Олимп"/>
    <n v="32172.2909"/>
    <n v="32172.2909"/>
    <n v="28935.146499999999"/>
  </r>
  <r>
    <x v="2646"/>
    <s v="УРАЛМАШ"/>
    <n v="67842.240000000005"/>
    <n v="67842.240000000005"/>
    <n v="61432.36"/>
  </r>
  <r>
    <x v="1266"/>
    <s v="Ленин-Олимп"/>
    <n v="32172.2909"/>
    <n v="32172.2909"/>
    <n v="28935.146499999999"/>
  </r>
  <r>
    <x v="2647"/>
    <s v="Ленин-Олимп"/>
    <n v="32172.2909"/>
    <n v="32172.2909"/>
    <n v="28935.146499999999"/>
  </r>
  <r>
    <x v="2648"/>
    <s v="Чкаловский"/>
    <n v="28848.8855"/>
    <n v="28848.8855"/>
    <n v="25946.143"/>
  </r>
  <r>
    <x v="2649"/>
    <s v="ХИММАШ"/>
    <n v="60047.16"/>
    <n v="60047.16"/>
    <n v="54373.78"/>
  </r>
  <r>
    <x v="2650"/>
    <s v="Сулим.Торфянник"/>
    <n v="45325.4"/>
    <n v="45325.4"/>
    <n v="41042.959999999999"/>
  </r>
  <r>
    <x v="2651"/>
    <s v="ХИММАШ"/>
    <n v="60047.16"/>
    <n v="60047.16"/>
    <n v="54373.78"/>
  </r>
  <r>
    <x v="844"/>
    <s v="ШАРТАШ"/>
    <n v="66003.710000000006"/>
    <n v="66003.710000000006"/>
    <n v="59767.54"/>
  </r>
  <r>
    <x v="2652"/>
    <s v="Старая сортировка"/>
    <n v="57516.65"/>
    <n v="57516.65"/>
    <n v="52082.35"/>
  </r>
  <r>
    <x v="320"/>
    <s v="ШАРТАШ"/>
    <n v="66003.710000000006"/>
    <n v="66003.710000000006"/>
    <n v="59767.54"/>
  </r>
  <r>
    <x v="2653"/>
    <s v="Ленин-Олимп"/>
    <n v="32172.2909"/>
    <n v="32172.2909"/>
    <n v="28935.146499999999"/>
  </r>
  <r>
    <x v="2654"/>
    <s v="УРАЛМАШ"/>
    <n v="67842.240000000005"/>
    <n v="67842.240000000005"/>
    <n v="61432.36"/>
  </r>
  <r>
    <x v="2655"/>
    <s v="УАЗ-II"/>
    <n v="35756.285400000001"/>
    <n v="35756.285400000001"/>
    <n v="32158.5213"/>
  </r>
  <r>
    <x v="2656"/>
    <s v="Чкаловский"/>
    <n v="28848.8855"/>
    <n v="28848.8855"/>
    <n v="25946.143"/>
  </r>
  <r>
    <x v="1203"/>
    <s v="УАЗ"/>
    <n v="29199.565200000001"/>
    <n v="29199.565200000001"/>
    <n v="26261.5317"/>
  </r>
  <r>
    <x v="2657"/>
    <s v="ВТУЗГОРОДОК"/>
    <n v="74667.16"/>
    <n v="74667.16"/>
    <n v="67612.45"/>
  </r>
  <r>
    <x v="2658"/>
    <s v="УАЗ"/>
    <n v="29199.565200000001"/>
    <n v="29199.565200000001"/>
    <n v="26261.5317"/>
  </r>
  <r>
    <x v="2659"/>
    <s v="МЕДНЫЙ"/>
    <n v="49741.93"/>
    <n v="49741.93"/>
    <n v="45042.2"/>
  </r>
  <r>
    <x v="2660"/>
    <s v="МЕДНЫЙ"/>
    <n v="49741.93"/>
    <n v="49741.93"/>
    <n v="45042.2"/>
  </r>
  <r>
    <x v="2661"/>
    <s v="СЕВЕРКА"/>
    <n v="49579.11"/>
    <n v="49579.11"/>
    <n v="44894.77"/>
  </r>
  <r>
    <x v="1284"/>
    <s v="Ст.Каменск-Хозспособ"/>
    <n v="28855.326499999999"/>
    <n v="28855.326499999999"/>
    <n v="25951.933700000001"/>
  </r>
  <r>
    <x v="1273"/>
    <s v="Трубников"/>
    <n v="38278.589899999999"/>
    <n v="38278.589899999999"/>
    <n v="34427.0285"/>
  </r>
  <r>
    <x v="2662"/>
    <s v="СЕВЕРКА"/>
    <n v="49579.11"/>
    <n v="49579.11"/>
    <n v="44894.77"/>
  </r>
  <r>
    <x v="2663"/>
    <s v="КОЛЬЦОВО"/>
    <n v="53174.74"/>
    <n v="53174.74"/>
    <n v="48150.68"/>
  </r>
  <r>
    <x v="2664"/>
    <s v="УАЗ"/>
    <n v="29199.565200000001"/>
    <n v="29199.565200000001"/>
    <n v="26261.5317"/>
  </r>
  <r>
    <x v="2665"/>
    <s v="МЕДНЫЙ"/>
    <n v="49741.93"/>
    <n v="49741.93"/>
    <n v="45042.2"/>
  </r>
  <r>
    <x v="2666"/>
    <s v="УАЗ-II"/>
    <n v="35756.285400000001"/>
    <n v="35756.285400000001"/>
    <n v="32158.5213"/>
  </r>
  <r>
    <x v="2667"/>
    <s v="ЕЛИЗАВЕТ"/>
    <n v="59056.67"/>
    <n v="59056.67"/>
    <n v="53476.87"/>
  </r>
  <r>
    <x v="50"/>
    <s v="Новая сортировка"/>
    <n v="62889.75"/>
    <n v="62889.75"/>
    <n v="56947.8"/>
  </r>
  <r>
    <x v="2668"/>
    <s v="Октябрьский"/>
    <n v="39105.413099999998"/>
    <n v="39105.413099999998"/>
    <n v="35170.666700000002"/>
  </r>
  <r>
    <x v="2669"/>
    <s v="ШАБРОВСКИЙ"/>
    <n v="36417.71"/>
    <n v="36417.71"/>
    <n v="32976.89"/>
  </r>
  <r>
    <x v="2670"/>
    <s v="Чкаловский"/>
    <n v="28848.8855"/>
    <n v="28848.8855"/>
    <n v="25946.143"/>
  </r>
  <r>
    <x v="259"/>
    <s v="АВТОВОКЗАЛ"/>
    <n v="81132.53"/>
    <n v="81132.53"/>
    <n v="73466.960000000006"/>
  </r>
  <r>
    <x v="2671"/>
    <s v="Ленин-Олимп"/>
    <n v="32172.2909"/>
    <n v="32172.2909"/>
    <n v="28935.146499999999"/>
  </r>
  <r>
    <x v="2672"/>
    <s v="ЧЕРМЕТ"/>
    <n v="60698.45"/>
    <n v="60698.45"/>
    <n v="54963.53"/>
  </r>
  <r>
    <x v="2673"/>
    <s v="Ленин-Олимп"/>
    <n v="32172.2909"/>
    <n v="32172.2909"/>
    <n v="28935.146499999999"/>
  </r>
  <r>
    <x v="2674"/>
    <s v="ВИЗ"/>
    <n v="81668.479999999996"/>
    <n v="81668.479999999996"/>
    <n v="73952.27"/>
  </r>
  <r>
    <x v="2675"/>
    <s v="УАЗ-II"/>
    <n v="35756.285400000001"/>
    <n v="35756.285400000001"/>
    <n v="32158.5213"/>
  </r>
  <r>
    <x v="2676"/>
    <s v="ВИЗ"/>
    <n v="81668.479999999996"/>
    <n v="81668.479999999996"/>
    <n v="73952.27"/>
  </r>
  <r>
    <x v="2677"/>
    <s v="Ст.Каменск-Хозспособ"/>
    <n v="28855.326499999999"/>
    <n v="28855.326499999999"/>
    <n v="25951.933700000001"/>
  </r>
  <r>
    <x v="2678"/>
    <s v="ВИЗ"/>
    <n v="81668.479999999996"/>
    <n v="81668.479999999996"/>
    <n v="73952.27"/>
  </r>
  <r>
    <x v="2679"/>
    <s v="ШИРОКАЯ РЕЧКА"/>
    <n v="61207.26"/>
    <n v="61207.26"/>
    <n v="55424.27"/>
  </r>
  <r>
    <x v="2680"/>
    <s v="Северка"/>
    <n v="49579.11"/>
    <n v="49579.11"/>
    <n v="44894.77"/>
  </r>
  <r>
    <x v="787"/>
    <s v="АВТОВОКЗАЛ"/>
    <n v="81132.53"/>
    <n v="81132.53"/>
    <n v="73466.960000000006"/>
  </r>
  <r>
    <x v="2681"/>
    <s v="УКТУС"/>
    <n v="61655.02"/>
    <n v="61655.02"/>
    <n v="55829.73"/>
  </r>
  <r>
    <x v="2682"/>
    <s v="КОЛЬЦОВО"/>
    <n v="53174.74"/>
    <n v="53174.74"/>
    <n v="48150.68"/>
  </r>
  <r>
    <x v="1302"/>
    <s v="Чкаловский"/>
    <n v="28848.8855"/>
    <n v="28848.8855"/>
    <n v="25946.143"/>
  </r>
  <r>
    <x v="2683"/>
    <s v="САДОВЫЙ"/>
    <n v="51600.800000000003"/>
    <n v="51600.800000000003"/>
    <n v="46725.45"/>
  </r>
  <r>
    <x v="2684"/>
    <s v="МЕДНЫЙ"/>
    <n v="49741.93"/>
    <n v="49741.93"/>
    <n v="45042.2"/>
  </r>
  <r>
    <x v="330"/>
    <s v="ШАРТАШ"/>
    <n v="66003.710000000006"/>
    <n v="66003.710000000006"/>
    <n v="59767.54"/>
  </r>
  <r>
    <x v="2685"/>
    <s v="Ст.Каменск-Хозспособ"/>
    <n v="28855.326499999999"/>
    <n v="28855.326499999999"/>
    <n v="25951.933700000001"/>
  </r>
  <r>
    <x v="1334"/>
    <s v="Ст.Каменск-Хозспособ"/>
    <n v="28855.326499999999"/>
    <n v="28855.326499999999"/>
    <n v="25951.933700000001"/>
  </r>
  <r>
    <x v="2686"/>
    <s v="СЕВЕРКА"/>
    <n v="49579.11"/>
    <n v="49579.11"/>
    <n v="44894.77"/>
  </r>
  <r>
    <x v="793"/>
    <s v="Ю-З"/>
    <n v="74239.759999999995"/>
    <n v="74239.759999999995"/>
    <n v="67225.429999999993"/>
  </r>
  <r>
    <x v="474"/>
    <s v="УКТУС"/>
    <n v="61655.02"/>
    <n v="61655.02"/>
    <n v="55829.73"/>
  </r>
  <r>
    <x v="1201"/>
    <s v="УАЗ"/>
    <n v="29199.565200000001"/>
    <n v="29199.565200000001"/>
    <n v="26261.5317"/>
  </r>
  <r>
    <x v="2687"/>
    <s v="ШИРОКАЯ РЕЧКА"/>
    <n v="61207.26"/>
    <n v="61207.26"/>
    <n v="55424.27"/>
  </r>
  <r>
    <x v="1147"/>
    <s v="Октябрьский"/>
    <n v="39105.413099999998"/>
    <n v="39105.413099999998"/>
    <n v="35170.666700000002"/>
  </r>
  <r>
    <x v="561"/>
    <s v="ШУВАКИШ"/>
    <n v="42862.720000000001"/>
    <n v="42862.720000000001"/>
    <n v="38812.959999999999"/>
  </r>
  <r>
    <x v="2688"/>
    <s v="УАЗ"/>
    <n v="29199.565200000001"/>
    <n v="29199.565200000001"/>
    <n v="26261.5317"/>
  </r>
  <r>
    <x v="643"/>
    <s v="ЧЕРМЕТ"/>
    <n v="60698.45"/>
    <n v="60698.45"/>
    <n v="54963.53"/>
  </r>
  <r>
    <x v="2689"/>
    <s v="МАЛЫЙ ИСТОК"/>
    <n v="58296.83"/>
    <n v="58296.83"/>
    <n v="52788.83"/>
  </r>
  <r>
    <x v="2690"/>
    <s v="САДОВЫЙ"/>
    <n v="51600.800000000003"/>
    <n v="51600.800000000003"/>
    <n v="46725.45"/>
  </r>
  <r>
    <x v="849"/>
    <s v="УРАЛМАШ"/>
    <n v="67842.240000000005"/>
    <n v="67842.240000000005"/>
    <n v="61432.36"/>
  </r>
  <r>
    <x v="2691"/>
    <s v="ГОРНЫЙ ЩИТ"/>
    <n v="50617.09"/>
    <n v="50617.09"/>
    <n v="45834.68"/>
  </r>
  <r>
    <x v="2692"/>
    <s v="ШАБРОВСКИЙ"/>
    <n v="36417.71"/>
    <n v="36417.71"/>
    <n v="32976.89"/>
  </r>
  <r>
    <x v="2693"/>
    <s v="ШАБРОВСКИЙ"/>
    <n v="36417.71"/>
    <n v="36417.71"/>
    <n v="32976.89"/>
  </r>
  <r>
    <x v="1288"/>
    <s v="Ст.Каменск-Хозспособ"/>
    <n v="28855.326499999999"/>
    <n v="28855.326499999999"/>
    <n v="25951.933700000001"/>
  </r>
  <r>
    <x v="437"/>
    <s v="ВИЗ"/>
    <n v="81668.479999999996"/>
    <n v="81668.479999999996"/>
    <n v="73952.27"/>
  </r>
  <r>
    <x v="2694"/>
    <s v="ШИРОКАЯ РЕЧКА"/>
    <n v="61207.26"/>
    <n v="61207.26"/>
    <n v="55424.27"/>
  </r>
  <r>
    <x v="2695"/>
    <s v="ЕЛИЗАВЕТ"/>
    <n v="59056.67"/>
    <n v="59056.67"/>
    <n v="53476.87"/>
  </r>
  <r>
    <x v="2696"/>
    <s v="Нижнеисетский"/>
    <n v="45325.4"/>
    <n v="45325.4"/>
    <n v="41042.959999999999"/>
  </r>
  <r>
    <x v="2697"/>
    <s v="УАЗ-II"/>
    <n v="35756.285400000001"/>
    <n v="35756.285400000001"/>
    <n v="32158.5213"/>
  </r>
  <r>
    <x v="780"/>
    <s v="ГОРНЫЙ ЩИТ"/>
    <n v="50617.09"/>
    <n v="50617.09"/>
    <n v="45834.68"/>
  </r>
  <r>
    <x v="2698"/>
    <s v="СЕВЕРКА"/>
    <n v="49579.11"/>
    <n v="49579.11"/>
    <n v="44894.77"/>
  </r>
  <r>
    <x v="2699"/>
    <s v="ИСТОК"/>
    <n v="51831.47"/>
    <n v="51831.47"/>
    <n v="46934.32"/>
  </r>
  <r>
    <x v="2700"/>
    <s v="Чкаловский"/>
    <n v="28848.8855"/>
    <n v="28848.8855"/>
    <n v="25946.143"/>
  </r>
  <r>
    <x v="2701"/>
    <s v="ЛЕЧЕБНЫЙ"/>
    <n v="55990.2"/>
    <n v="55990.2"/>
    <n v="50700.12"/>
  </r>
  <r>
    <x v="2702"/>
    <s v="Ленин-Олимп"/>
    <n v="32172.2909"/>
    <n v="32172.2909"/>
    <n v="28935.146499999999"/>
  </r>
  <r>
    <x v="1189"/>
    <s v="УАЗ"/>
    <n v="29199.565200000001"/>
    <n v="29199.565200000001"/>
    <n v="26261.5317"/>
  </r>
  <r>
    <x v="582"/>
    <s v="СОВХОЗ"/>
    <n v="57883"/>
    <n v="57883"/>
    <n v="52414.09"/>
  </r>
  <r>
    <x v="2703"/>
    <s v="ЧЕРМЕТ"/>
    <n v="60698.45"/>
    <n v="60698.45"/>
    <n v="54963.53"/>
  </r>
  <r>
    <x v="2704"/>
    <s v="Сулим.Торфянник"/>
    <n v="45325.4"/>
    <n v="45325.4"/>
    <n v="41042.959999999999"/>
  </r>
  <r>
    <x v="2705"/>
    <s v="УРАЛМАШ"/>
    <n v="67842.240000000005"/>
    <n v="67842.240000000005"/>
    <n v="61432.36"/>
  </r>
  <r>
    <x v="2706"/>
    <s v="МЕДНЫЙ"/>
    <n v="49741.93"/>
    <n v="49741.93"/>
    <n v="45042.2"/>
  </r>
  <r>
    <x v="408"/>
    <s v="ЧЕРМЕТ"/>
    <n v="60698.45"/>
    <n v="60698.45"/>
    <n v="54963.53"/>
  </r>
  <r>
    <x v="2707"/>
    <s v="Сух_Г-Кам_Н_Кушва_Н-Черм"/>
    <n v="29893.73"/>
    <n v="29893.73"/>
    <n v="26241.207699999999"/>
  </r>
  <r>
    <x v="2708"/>
    <s v="УАЗ"/>
    <n v="29199.565200000001"/>
    <n v="29199.565200000001"/>
    <n v="26261.5317"/>
  </r>
  <r>
    <x v="2709"/>
    <s v="ЕЛИЗАВЕТ"/>
    <n v="59056.67"/>
    <n v="59056.67"/>
    <n v="53476.87"/>
  </r>
  <r>
    <x v="2710"/>
    <s v="САДОВЫЙ"/>
    <n v="51600.800000000003"/>
    <n v="51600.800000000003"/>
    <n v="46725.45"/>
  </r>
  <r>
    <x v="1319"/>
    <s v="Ст.Каменск-Хозспособ"/>
    <n v="28855.326499999999"/>
    <n v="28855.326499999999"/>
    <n v="25951.933700000001"/>
  </r>
  <r>
    <x v="2711"/>
    <s v="ГОРНЫЙ ЩИТ"/>
    <n v="50617.09"/>
    <n v="50617.09"/>
    <n v="45834.68"/>
  </r>
  <r>
    <x v="2712"/>
    <s v="УАЗ"/>
    <n v="29199.565200000001"/>
    <n v="29199.565200000001"/>
    <n v="26261.5317"/>
  </r>
  <r>
    <x v="2713"/>
    <s v="ХИММАШ"/>
    <n v="60047.16"/>
    <n v="60047.16"/>
    <n v="54373.78"/>
  </r>
  <r>
    <x v="2714"/>
    <s v="Чкаловский"/>
    <n v="28848.8855"/>
    <n v="28848.8855"/>
    <n v="25946.143"/>
  </r>
  <r>
    <x v="907"/>
    <s v="СОВХОЗ"/>
    <n v="57883"/>
    <n v="57883"/>
    <n v="52414.09"/>
  </r>
  <r>
    <x v="2715"/>
    <s v="ВИЗ"/>
    <n v="81668.479999999996"/>
    <n v="81668.479999999996"/>
    <n v="73952.27"/>
  </r>
  <r>
    <x v="2716"/>
    <s v="Исток"/>
    <n v="51831.47"/>
    <n v="51831.47"/>
    <n v="46934.32"/>
  </r>
  <r>
    <x v="189"/>
    <s v="СОВХОЗ"/>
    <n v="57883"/>
    <n v="57883"/>
    <n v="52414.09"/>
  </r>
  <r>
    <x v="632"/>
    <s v="Нижнеисетский"/>
    <n v="45325.4"/>
    <n v="45325.4"/>
    <n v="41042.959999999999"/>
  </r>
  <r>
    <x v="2717"/>
    <s v="ЧУСОВСКОЕ ОЗЕРО"/>
    <n v="48229.05"/>
    <n v="48229.05"/>
    <n v="43672.26"/>
  </r>
  <r>
    <x v="2718"/>
    <s v="ЕЛИЗАВЕТ"/>
    <n v="59056.67"/>
    <n v="59056.67"/>
    <n v="53476.87"/>
  </r>
  <r>
    <x v="2719"/>
    <s v="ШИРОКАЯ РЕЧКА"/>
    <n v="61207.26"/>
    <n v="61207.26"/>
    <n v="55424.27"/>
  </r>
  <r>
    <x v="976"/>
    <s v="ШАБРОВСКИЙ"/>
    <n v="36417.71"/>
    <n v="36417.71"/>
    <n v="32976.89"/>
  </r>
  <r>
    <x v="2720"/>
    <s v="УРАЛМАШ"/>
    <n v="67842.240000000005"/>
    <n v="67842.240000000005"/>
    <n v="61432.36"/>
  </r>
  <r>
    <x v="2721"/>
    <s v="Старая сортировка"/>
    <n v="57516.65"/>
    <n v="57516.65"/>
    <n v="52082.35"/>
  </r>
  <r>
    <x v="2722"/>
    <s v="Чкаловский"/>
    <n v="28848.8855"/>
    <n v="28848.8855"/>
    <n v="25946.143"/>
  </r>
  <r>
    <x v="1144"/>
    <s v="Октябрьский"/>
    <n v="39105.413099999998"/>
    <n v="39105.413099999998"/>
    <n v="35170.666700000002"/>
  </r>
  <r>
    <x v="2723"/>
    <s v="Ст.Каменск-Хозспособ"/>
    <n v="28855.326499999999"/>
    <n v="28855.326499999999"/>
    <n v="25951.933700000001"/>
  </r>
  <r>
    <x v="2724"/>
    <s v="ХИММАШ"/>
    <n v="60047.16"/>
    <n v="60047.16"/>
    <n v="54373.78"/>
  </r>
  <r>
    <x v="2725"/>
    <s v="Северный"/>
    <n v="29151.309799999999"/>
    <n v="29151.309799999999"/>
    <n v="26218.127700000001"/>
  </r>
  <r>
    <x v="792"/>
    <s v="Нижнеисетский"/>
    <n v="45325.4"/>
    <n v="45325.4"/>
    <n v="41042.959999999999"/>
  </r>
  <r>
    <x v="2726"/>
    <s v="Чкаловский"/>
    <n v="28848.8855"/>
    <n v="28848.8855"/>
    <n v="25946.143"/>
  </r>
  <r>
    <x v="2727"/>
    <s v="МЕДНЫЙ"/>
    <n v="49741.93"/>
    <n v="49741.93"/>
    <n v="45042.2"/>
  </r>
  <r>
    <x v="2728"/>
    <s v="ШИРОКАЯ РЕЧКА"/>
    <n v="61207.26"/>
    <n v="61207.26"/>
    <n v="55424.27"/>
  </r>
  <r>
    <x v="2729"/>
    <s v="САДОВЫЙ"/>
    <n v="51600.800000000003"/>
    <n v="51600.800000000003"/>
    <n v="46725.45"/>
  </r>
  <r>
    <x v="2730"/>
    <s v="Ленин-Олимп"/>
    <n v="32172.2909"/>
    <n v="32172.2909"/>
    <n v="28935.146499999999"/>
  </r>
  <r>
    <x v="2731"/>
    <s v="Совхоз"/>
    <n v="57883"/>
    <n v="57883"/>
    <n v="52414.09"/>
  </r>
  <r>
    <x v="2732"/>
    <s v="Исток"/>
    <n v="51831.47"/>
    <n v="51831.47"/>
    <n v="46934.32"/>
  </r>
  <r>
    <x v="649"/>
    <s v="СОВХОЗ"/>
    <n v="57883"/>
    <n v="57883"/>
    <n v="52414.09"/>
  </r>
  <r>
    <x v="488"/>
    <s v="СОВХОЗ"/>
    <n v="57883"/>
    <n v="57883"/>
    <n v="52414.09"/>
  </r>
  <r>
    <x v="2733"/>
    <s v="УАЗ-II"/>
    <n v="35756.285400000001"/>
    <n v="35756.285400000001"/>
    <n v="32158.5213"/>
  </r>
  <r>
    <x v="2734"/>
    <s v="ЕЛИЗАВЕТ"/>
    <n v="59056.67"/>
    <n v="59056.67"/>
    <n v="53476.87"/>
  </r>
  <r>
    <x v="2735"/>
    <s v="Чкаловский"/>
    <n v="28848.8855"/>
    <n v="28848.8855"/>
    <n v="25946.143"/>
  </r>
  <r>
    <x v="2736"/>
    <s v="ЕЛИЗАВЕТ"/>
    <n v="59056.67"/>
    <n v="59056.67"/>
    <n v="53476.87"/>
  </r>
  <r>
    <x v="2737"/>
    <s v="Чкаловский"/>
    <n v="28848.8855"/>
    <n v="28848.8855"/>
    <n v="25946.143"/>
  </r>
  <r>
    <x v="2738"/>
    <s v="Чкаловский"/>
    <n v="28848.8855"/>
    <n v="28848.8855"/>
    <n v="25946.143"/>
  </r>
  <r>
    <x v="2739"/>
    <s v="ИСТОК"/>
    <n v="51831.47"/>
    <n v="51831.47"/>
    <n v="46934.32"/>
  </r>
  <r>
    <x v="2740"/>
    <s v="Сулим.Торфянник"/>
    <n v="45325.4"/>
    <n v="45325.4"/>
    <n v="41042.959999999999"/>
  </r>
  <r>
    <x v="2741"/>
    <s v="ВИЗ"/>
    <n v="81668.479999999996"/>
    <n v="81668.479999999996"/>
    <n v="73952.27"/>
  </r>
  <r>
    <x v="2742"/>
    <s v="ШИРОКАЯ РЕЧКА"/>
    <n v="61207.26"/>
    <n v="61207.26"/>
    <n v="55424.27"/>
  </r>
  <r>
    <x v="2743"/>
    <s v="ШИРОКАЯ РЕЧКА"/>
    <n v="61207.26"/>
    <n v="61207.26"/>
    <n v="55424.27"/>
  </r>
  <r>
    <x v="2744"/>
    <s v="ПОЛЕВОДСТВО"/>
    <n v="53954.93"/>
    <n v="53954.93"/>
    <n v="48857.15"/>
  </r>
  <r>
    <x v="2745"/>
    <s v="Южный"/>
    <n v="37400.280599999998"/>
    <n v="37400.280599999998"/>
    <n v="33637.106500000002"/>
  </r>
  <r>
    <x v="2746"/>
    <s v="Октябрьский"/>
    <n v="39105.413099999998"/>
    <n v="39105.413099999998"/>
    <n v="35170.666700000002"/>
  </r>
  <r>
    <x v="319"/>
    <s v="ВИЗ"/>
    <n v="81668.479999999996"/>
    <n v="81668.479999999996"/>
    <n v="73952.27"/>
  </r>
  <r>
    <x v="2747"/>
    <s v="ИСТОК"/>
    <n v="51831.47"/>
    <n v="51831.47"/>
    <n v="46934.32"/>
  </r>
  <r>
    <x v="1289"/>
    <s v="Ст.Каменск-Хозспособ"/>
    <n v="28855.326499999999"/>
    <n v="28855.326499999999"/>
    <n v="25951.933700000001"/>
  </r>
  <r>
    <x v="1292"/>
    <s v="Чкаловский"/>
    <n v="28848.8855"/>
    <n v="28848.8855"/>
    <n v="25946.143"/>
  </r>
  <r>
    <x v="2748"/>
    <s v="СЕВЕРКА"/>
    <n v="49579.11"/>
    <n v="49579.11"/>
    <n v="44894.77"/>
  </r>
  <r>
    <x v="253"/>
    <s v="ШИРОКАЯ РЕЧКА"/>
    <n v="61207.26"/>
    <n v="61207.26"/>
    <n v="55424.27"/>
  </r>
  <r>
    <x v="2749"/>
    <s v="ВИЗ"/>
    <n v="81668.479999999996"/>
    <n v="81668.479999999996"/>
    <n v="73952.27"/>
  </r>
  <r>
    <x v="1133"/>
    <s v="Октябрьский"/>
    <n v="39105.413099999998"/>
    <n v="39105.413099999998"/>
    <n v="35170.666700000002"/>
  </r>
  <r>
    <x v="2750"/>
    <s v="ПИОНЕРСКИЙ"/>
    <n v="75318.45"/>
    <n v="75318.45"/>
    <n v="68202.2"/>
  </r>
  <r>
    <x v="749"/>
    <s v="ВТУЗГОРОДОК"/>
    <n v="74667.16"/>
    <n v="74667.16"/>
    <n v="67612.45"/>
  </r>
  <r>
    <x v="1146"/>
    <s v="Октябрьский"/>
    <n v="39105.413099999998"/>
    <n v="39105.413099999998"/>
    <n v="35170.666700000002"/>
  </r>
  <r>
    <x v="2751"/>
    <s v="Северка"/>
    <n v="49579.11"/>
    <n v="49579.11"/>
    <n v="44894.77"/>
  </r>
  <r>
    <x v="353"/>
    <s v="Центр"/>
    <n v="91057.85"/>
    <n v="91057.85"/>
    <n v="82454.509999999995"/>
  </r>
  <r>
    <x v="2752"/>
    <s v="ШИРОКАЯ РЕЧКА"/>
    <n v="61207.26"/>
    <n v="61207.26"/>
    <n v="55424.27"/>
  </r>
  <r>
    <x v="2753"/>
    <s v="Ленин-Олимп"/>
    <n v="32172.2909"/>
    <n v="32172.2909"/>
    <n v="28935.146499999999"/>
  </r>
  <r>
    <x v="2754"/>
    <s v="Старая сортировка"/>
    <n v="57516.65"/>
    <n v="57516.65"/>
    <n v="52082.35"/>
  </r>
  <r>
    <x v="2755"/>
    <s v="Северка"/>
    <n v="49579.11"/>
    <n v="49579.11"/>
    <n v="44894.77"/>
  </r>
  <r>
    <x v="2756"/>
    <s v="Чкаловский"/>
    <n v="28848.8855"/>
    <n v="28848.8855"/>
    <n v="25946.143"/>
  </r>
  <r>
    <x v="2757"/>
    <s v="САДОВЫЙ"/>
    <n v="51600.800000000003"/>
    <n v="51600.800000000003"/>
    <n v="46725.45"/>
  </r>
  <r>
    <x v="2758"/>
    <s v="ГОРНЫЙ ЩИТ"/>
    <n v="50617.09"/>
    <n v="50617.09"/>
    <n v="45834.68"/>
  </r>
  <r>
    <x v="1190"/>
    <s v="УАЗ"/>
    <n v="29199.565200000001"/>
    <n v="29199.565200000001"/>
    <n v="26261.5317"/>
  </r>
  <r>
    <x v="2759"/>
    <s v="ЧУСОВСКОЕ ОЗЕРО"/>
    <n v="48229.05"/>
    <n v="48229.05"/>
    <n v="43672.26"/>
  </r>
  <r>
    <x v="2760"/>
    <s v="Чкаловский"/>
    <n v="28848.8855"/>
    <n v="28848.8855"/>
    <n v="25946.143"/>
  </r>
  <r>
    <x v="2761"/>
    <s v="КОЛЬЦОВО"/>
    <n v="53174.74"/>
    <n v="53174.74"/>
    <n v="48150.68"/>
  </r>
  <r>
    <x v="2762"/>
    <s v="КАЛИНОВСКИЙ"/>
    <n v="54782.6"/>
    <n v="54782.6"/>
    <n v="49606.63"/>
  </r>
  <r>
    <x v="2763"/>
    <s v="Исток"/>
    <n v="51831.47"/>
    <n v="51831.47"/>
    <n v="46934.32"/>
  </r>
  <r>
    <x v="2764"/>
    <s v="Чкаловский"/>
    <n v="28848.8855"/>
    <n v="28848.8855"/>
    <n v="25946.143"/>
  </r>
  <r>
    <x v="2765"/>
    <s v="Чкаловский"/>
    <n v="28848.8855"/>
    <n v="28848.8855"/>
    <n v="25946.143"/>
  </r>
  <r>
    <x v="2766"/>
    <s v="ДинСанПод"/>
    <n v="36244.5985"/>
    <n v="36244.5985"/>
    <n v="32992.053800000002"/>
  </r>
  <r>
    <x v="2767"/>
    <s v="МАЛЫЙ ИСТОК"/>
    <n v="58296.83"/>
    <n v="58296.83"/>
    <n v="52788.83"/>
  </r>
  <r>
    <x v="2768"/>
    <s v="УРАЛМАШ"/>
    <n v="67842.240000000005"/>
    <n v="67842.240000000005"/>
    <n v="61432.36"/>
  </r>
  <r>
    <x v="2769"/>
    <s v="ЕЛИЗАВЕТ"/>
    <n v="59056.67"/>
    <n v="59056.67"/>
    <n v="53476.87"/>
  </r>
  <r>
    <x v="2770"/>
    <s v="Шувакиш"/>
    <n v="42862.720000000001"/>
    <n v="42862.720000000001"/>
    <n v="38812.959999999999"/>
  </r>
  <r>
    <x v="969"/>
    <s v="Ю-З"/>
    <n v="74239.759999999995"/>
    <n v="74239.759999999995"/>
    <n v="67225.429999999993"/>
  </r>
  <r>
    <x v="2771"/>
    <s v="ПОЛЕВОДСТВО"/>
    <n v="53954.93"/>
    <n v="53954.93"/>
    <n v="48857.15"/>
  </r>
  <r>
    <x v="358"/>
    <s v="СОВХОЗ"/>
    <n v="57883"/>
    <n v="57883"/>
    <n v="52414.09"/>
  </r>
  <r>
    <x v="2772"/>
    <s v="ЕЛИЗАВЕТ"/>
    <n v="59056.67"/>
    <n v="59056.67"/>
    <n v="53476.87"/>
  </r>
  <r>
    <x v="1197"/>
    <s v="УАЗ"/>
    <n v="29199.565200000001"/>
    <n v="29199.565200000001"/>
    <n v="26261.5317"/>
  </r>
  <r>
    <x v="1285"/>
    <s v="Ст.Каменск-Хозспособ"/>
    <n v="28855.326499999999"/>
    <n v="28855.326499999999"/>
    <n v="25951.933700000001"/>
  </r>
  <r>
    <x v="1287"/>
    <s v="Ст.Каменск-Хозспособ"/>
    <n v="28855.326499999999"/>
    <n v="28855.326499999999"/>
    <n v="25951.933700000001"/>
  </r>
  <r>
    <x v="2773"/>
    <s v="СЕВЕРКА"/>
    <n v="49579.11"/>
    <n v="49579.11"/>
    <n v="44894.77"/>
  </r>
  <r>
    <x v="2774"/>
    <s v="ШИРОКАЯ РЕЧКА"/>
    <n v="61207.26"/>
    <n v="61207.26"/>
    <n v="55424.27"/>
  </r>
  <r>
    <x v="2775"/>
    <s v="ИСТОК"/>
    <n v="51831.47"/>
    <n v="51831.47"/>
    <n v="46934.32"/>
  </r>
  <r>
    <x v="503"/>
    <s v="СОВХОЗ"/>
    <n v="57883"/>
    <n v="57883"/>
    <n v="52414.09"/>
  </r>
  <r>
    <x v="2776"/>
    <s v="СОВХОЗ"/>
    <n v="57883"/>
    <n v="57883"/>
    <n v="52414.09"/>
  </r>
  <r>
    <x v="2777"/>
    <s v="МЕДНЫЙ"/>
    <n v="49741.93"/>
    <n v="49741.93"/>
    <n v="45042.2"/>
  </r>
  <r>
    <x v="2778"/>
    <s v="САДОВЫЙ"/>
    <n v="51600.800000000003"/>
    <n v="51600.800000000003"/>
    <n v="46725.45"/>
  </r>
  <r>
    <x v="2779"/>
    <s v="УАЗ"/>
    <n v="29199.565200000001"/>
    <n v="29199.565200000001"/>
    <n v="26261.5317"/>
  </r>
  <r>
    <x v="2780"/>
    <s v="Ст.Каменск-Хозспособ"/>
    <n v="28855.326499999999"/>
    <n v="28855.326499999999"/>
    <n v="25951.933700000001"/>
  </r>
  <r>
    <x v="80"/>
    <s v="Чусовское озеро"/>
    <n v="48229.05"/>
    <n v="48229.05"/>
    <n v="43672.26"/>
  </r>
  <r>
    <x v="904"/>
    <s v="УКТУС"/>
    <n v="61655.02"/>
    <n v="61655.02"/>
    <n v="55829.73"/>
  </r>
  <r>
    <x v="1314"/>
    <s v="Чкаловский"/>
    <n v="28848.8855"/>
    <n v="28848.8855"/>
    <n v="25946.143"/>
  </r>
  <r>
    <x v="920"/>
    <s v="МЕДНЫЙ"/>
    <n v="49741.93"/>
    <n v="49741.93"/>
    <n v="45042.2"/>
  </r>
  <r>
    <x v="2781"/>
    <s v="Северка"/>
    <n v="49579.11"/>
    <n v="49579.11"/>
    <n v="44894.77"/>
  </r>
  <r>
    <x v="2782"/>
    <s v="УРАЛМАШ"/>
    <n v="67842.240000000005"/>
    <n v="67842.240000000005"/>
    <n v="61432.36"/>
  </r>
  <r>
    <x v="2783"/>
    <s v="АВТОВОКЗАЛ"/>
    <n v="81132.53"/>
    <n v="81132.53"/>
    <n v="73466.960000000006"/>
  </r>
  <r>
    <x v="2784"/>
    <s v="ЭЛЬМАШ"/>
    <n v="68527.44"/>
    <n v="68527.44"/>
    <n v="62052.82"/>
  </r>
  <r>
    <x v="2785"/>
    <s v="Совхоз"/>
    <n v="57883"/>
    <n v="57883"/>
    <n v="52414.09"/>
  </r>
  <r>
    <x v="2786"/>
    <s v="Ваг_Стар_Пихтовы-г"/>
    <n v="40625.090199999999"/>
    <n v="40625.090199999999"/>
    <n v="35661.364300000001"/>
  </r>
  <r>
    <x v="1143"/>
    <s v="Октябрьский"/>
    <n v="39105.413099999998"/>
    <n v="39105.413099999998"/>
    <n v="35170.666700000002"/>
  </r>
  <r>
    <x v="2787"/>
    <s v="ГОРНЫЙ ЩИТ"/>
    <n v="50617.09"/>
    <n v="50617.09"/>
    <n v="45834.68"/>
  </r>
  <r>
    <x v="2788"/>
    <s v="ИСТОК"/>
    <n v="51831.47"/>
    <n v="51831.47"/>
    <n v="46934.32"/>
  </r>
  <r>
    <x v="2789"/>
    <s v="Рудник_Север"/>
    <n v="30591.135900000001"/>
    <n v="30591.135900000001"/>
    <n v="26853.405500000001"/>
  </r>
  <r>
    <x v="2790"/>
    <s v="Талица"/>
    <n v="36808.582300000002"/>
    <n v="36808.582300000002"/>
    <n v="33505.428800000002"/>
  </r>
  <r>
    <x v="2791"/>
    <s v="УАЗ"/>
    <n v="29199.565200000001"/>
    <n v="29199.565200000001"/>
    <n v="26261.5317"/>
  </r>
  <r>
    <x v="2792"/>
    <s v="УАЗ"/>
    <n v="29199.565200000001"/>
    <n v="29199.565200000001"/>
    <n v="26261.5317"/>
  </r>
  <r>
    <x v="2793"/>
    <s v="ГОРНЫЙ ЩИТ"/>
    <n v="50617.09"/>
    <n v="50617.09"/>
    <n v="45834.68"/>
  </r>
  <r>
    <x v="2794"/>
    <s v="Северка"/>
    <n v="49579.11"/>
    <n v="49579.11"/>
    <n v="44894.77"/>
  </r>
  <r>
    <x v="2795"/>
    <s v="Шувакиш"/>
    <n v="42862.720000000001"/>
    <n v="42862.720000000001"/>
    <n v="38812.959999999999"/>
  </r>
  <r>
    <x v="2796"/>
    <s v="ЭЛЬМАШ"/>
    <n v="68527.44"/>
    <n v="68527.44"/>
    <n v="62052.82"/>
  </r>
  <r>
    <x v="377"/>
    <s v="Новая сортировка"/>
    <n v="62889.75"/>
    <n v="62889.75"/>
    <n v="56947.8"/>
  </r>
  <r>
    <x v="2797"/>
    <s v="Северный"/>
    <n v="29151.309799999999"/>
    <n v="29151.309799999999"/>
    <n v="26218.127700000001"/>
  </r>
  <r>
    <x v="2798"/>
    <s v="КОЛЬЦОВО"/>
    <n v="53174.74"/>
    <n v="53174.74"/>
    <n v="48150.68"/>
  </r>
  <r>
    <x v="2799"/>
    <s v="ГОРНЫЙ ЩИТ"/>
    <n v="50617.09"/>
    <n v="50617.09"/>
    <n v="45834.68"/>
  </r>
  <r>
    <x v="2800"/>
    <s v="СЕВЕРКА"/>
    <n v="49579.11"/>
    <n v="49579.11"/>
    <n v="44894.77"/>
  </r>
  <r>
    <x v="2801"/>
    <s v="ШИРОКАЯ РЕЧКА"/>
    <n v="61207.26"/>
    <n v="61207.26"/>
    <n v="55424.27"/>
  </r>
  <r>
    <x v="2802"/>
    <s v="УАЗ"/>
    <n v="29199.565200000001"/>
    <n v="29199.565200000001"/>
    <n v="26261.5317"/>
  </r>
  <r>
    <x v="2803"/>
    <s v="ЕЛИЗАВЕТ"/>
    <n v="59056.67"/>
    <n v="59056.67"/>
    <n v="53476.87"/>
  </r>
  <r>
    <x v="2804"/>
    <s v="ПТИЦЕФАБРИКА"/>
    <n v="55074.33"/>
    <n v="55074.33"/>
    <n v="49870.79"/>
  </r>
  <r>
    <x v="2805"/>
    <s v="КОЛЬЦОВО"/>
    <n v="53174.74"/>
    <n v="53174.74"/>
    <n v="48150.68"/>
  </r>
  <r>
    <x v="2806"/>
    <s v="ХИММАШ"/>
    <n v="60047.16"/>
    <n v="60047.16"/>
    <n v="54373.78"/>
  </r>
  <r>
    <x v="2807"/>
    <s v="ШАБРОВСКИЙ"/>
    <n v="36417.71"/>
    <n v="36417.71"/>
    <n v="32976.89"/>
  </r>
  <r>
    <x v="2808"/>
    <s v="ШИРОКАЯ РЕЧКА"/>
    <n v="61207.26"/>
    <n v="61207.26"/>
    <n v="55424.27"/>
  </r>
  <r>
    <x v="2809"/>
    <s v="МЕДНЫЙ"/>
    <n v="49741.93"/>
    <n v="49741.93"/>
    <n v="45042.2"/>
  </r>
  <r>
    <x v="2810"/>
    <s v="УАЗ-II"/>
    <n v="35756.285400000001"/>
    <n v="35756.285400000001"/>
    <n v="32158.5213"/>
  </r>
  <r>
    <x v="693"/>
    <s v="АВТОВОКЗАЛ"/>
    <n v="81132.53"/>
    <n v="81132.53"/>
    <n v="73466.960000000006"/>
  </r>
  <r>
    <x v="2811"/>
    <s v="Сулим.Торфянник"/>
    <n v="45325.4"/>
    <n v="45325.4"/>
    <n v="41042.959999999999"/>
  </r>
  <r>
    <x v="2812"/>
    <s v="КОЛЬЦОВО"/>
    <n v="53174.74"/>
    <n v="53174.74"/>
    <n v="48150.68"/>
  </r>
  <r>
    <x v="991"/>
    <s v="Центр"/>
    <n v="91057.85"/>
    <n v="91057.85"/>
    <n v="82454.509999999995"/>
  </r>
  <r>
    <x v="1235"/>
    <s v="УАЗ-III - 49 кв."/>
    <n v="35563.243300000002"/>
    <n v="35563.243300000002"/>
    <n v="31984.905299999999"/>
  </r>
  <r>
    <x v="2813"/>
    <s v="КОЛЬЦОВО"/>
    <n v="53174.74"/>
    <n v="53174.74"/>
    <n v="48150.68"/>
  </r>
  <r>
    <x v="2814"/>
    <s v="УКТУС"/>
    <n v="61655.02"/>
    <n v="61655.02"/>
    <n v="55829.73"/>
  </r>
  <r>
    <x v="2815"/>
    <s v="ГОРНЫЙ ЩИТ"/>
    <n v="50617.09"/>
    <n v="50617.09"/>
    <n v="45834.68"/>
  </r>
  <r>
    <x v="2816"/>
    <s v="УАЗ-II"/>
    <n v="35756.285400000001"/>
    <n v="35756.285400000001"/>
    <n v="32158.5213"/>
  </r>
  <r>
    <x v="1241"/>
    <s v="УАЗ-III - 49 кв."/>
    <n v="35563.243300000002"/>
    <n v="35563.243300000002"/>
    <n v="31984.905299999999"/>
  </r>
  <r>
    <x v="2817"/>
    <s v="СЕВЕРКА"/>
    <n v="49579.11"/>
    <n v="49579.11"/>
    <n v="44894.77"/>
  </r>
  <r>
    <x v="2818"/>
    <s v="Старая сортировка"/>
    <n v="57516.65"/>
    <n v="57516.65"/>
    <n v="52082.35"/>
  </r>
  <r>
    <x v="2819"/>
    <s v="Северка"/>
    <n v="49579.11"/>
    <n v="49579.11"/>
    <n v="44894.77"/>
  </r>
  <r>
    <x v="2820"/>
    <s v="Исток"/>
    <n v="51831.47"/>
    <n v="51831.47"/>
    <n v="46934.32"/>
  </r>
  <r>
    <x v="2821"/>
    <s v="Северка"/>
    <n v="49579.11"/>
    <n v="49579.11"/>
    <n v="44894.77"/>
  </r>
  <r>
    <x v="2822"/>
    <s v="ГОРНЫЙ ЩИТ"/>
    <n v="50617.09"/>
    <n v="50617.09"/>
    <n v="45834.68"/>
  </r>
  <r>
    <x v="1072"/>
    <s v="ВИЗ"/>
    <n v="81668.479999999996"/>
    <n v="81668.479999999996"/>
    <n v="73952.27"/>
  </r>
  <r>
    <x v="419"/>
    <s v="Сулим.Торфянник"/>
    <n v="45325.4"/>
    <n v="45325.4"/>
    <n v="41042.959999999999"/>
  </r>
  <r>
    <x v="2823"/>
    <s v="ЕЛИЗАВЕТ"/>
    <n v="59056.67"/>
    <n v="59056.67"/>
    <n v="53476.87"/>
  </r>
  <r>
    <x v="2824"/>
    <s v="СЕВЕРКА"/>
    <n v="49579.11"/>
    <n v="49579.11"/>
    <n v="44894.77"/>
  </r>
  <r>
    <x v="2825"/>
    <s v="ГОРНЫЙ ЩИТ"/>
    <n v="50617.09"/>
    <n v="50617.09"/>
    <n v="45834.68"/>
  </r>
  <r>
    <x v="2826"/>
    <s v="КОЛЬЦОВО"/>
    <n v="53174.74"/>
    <n v="53174.74"/>
    <n v="48150.68"/>
  </r>
  <r>
    <x v="2827"/>
    <s v="КОЛЬЦОВО"/>
    <n v="53174.74"/>
    <n v="53174.74"/>
    <n v="48150.68"/>
  </r>
  <r>
    <x v="2828"/>
    <s v="ХИММАШ"/>
    <n v="60047.16"/>
    <n v="60047.16"/>
    <n v="54373.78"/>
  </r>
  <r>
    <x v="2829"/>
    <s v="АВТОВОКЗАЛ"/>
    <n v="81132.53"/>
    <n v="81132.53"/>
    <n v="73466.960000000006"/>
  </r>
  <r>
    <x v="981"/>
    <s v="ПТИЦЕФАБРИКА"/>
    <n v="55074.33"/>
    <n v="55074.33"/>
    <n v="49870.79"/>
  </r>
  <r>
    <x v="2830"/>
    <s v="Сух_Г-Кам_Н_Кушва_Н-Черм"/>
    <n v="29893.73"/>
    <n v="29893.73"/>
    <n v="26241.207699999999"/>
  </r>
  <r>
    <x v="1280"/>
    <s v="Ст.Каменск-Хозспособ"/>
    <n v="28855.326499999999"/>
    <n v="28855.326499999999"/>
    <n v="25951.933700000001"/>
  </r>
  <r>
    <x v="2831"/>
    <s v="САДОВЫЙ"/>
    <n v="51600.800000000003"/>
    <n v="51600.800000000003"/>
    <n v="46725.45"/>
  </r>
  <r>
    <x v="2832"/>
    <s v="ВИЗ"/>
    <n v="81668.479999999996"/>
    <n v="81668.479999999996"/>
    <n v="73952.27"/>
  </r>
  <r>
    <x v="1115"/>
    <s v="Новая сортировка"/>
    <n v="62889.75"/>
    <n v="62889.75"/>
    <n v="56947.8"/>
  </r>
  <r>
    <x v="2833"/>
    <s v="ШИРОКАЯ РЕЧКА"/>
    <n v="61207.26"/>
    <n v="61207.26"/>
    <n v="55424.27"/>
  </r>
  <r>
    <x v="1254"/>
    <s v="Ленин-Олимп"/>
    <n v="32172.2909"/>
    <n v="32172.2909"/>
    <n v="28935.146499999999"/>
  </r>
  <r>
    <x v="2834"/>
    <s v="Ст.Каменск-Хозспособ"/>
    <n v="28855.326499999999"/>
    <n v="28855.326499999999"/>
    <n v="25951.933700000001"/>
  </r>
  <r>
    <x v="2835"/>
    <s v="ГОРНЫЙ ЩИТ"/>
    <n v="50617.09"/>
    <n v="50617.09"/>
    <n v="45834.68"/>
  </r>
  <r>
    <x v="2836"/>
    <s v="ШУВАКИШ"/>
    <n v="42862.720000000001"/>
    <n v="42862.720000000001"/>
    <n v="38812.959999999999"/>
  </r>
  <r>
    <x v="1176"/>
    <s v="Южный"/>
    <n v="37400.280599999998"/>
    <n v="37400.280599999998"/>
    <n v="33637.106500000002"/>
  </r>
  <r>
    <x v="2837"/>
    <s v="МАЛЫЙ ИСТОК"/>
    <n v="58296.83"/>
    <n v="58296.83"/>
    <n v="52788.83"/>
  </r>
  <r>
    <x v="2838"/>
    <s v="УРАЛМАШ"/>
    <n v="67842.240000000005"/>
    <n v="67842.240000000005"/>
    <n v="61432.36"/>
  </r>
  <r>
    <x v="841"/>
    <s v="КОЛЬЦОВО"/>
    <n v="53174.74"/>
    <n v="53174.74"/>
    <n v="48150.68"/>
  </r>
  <r>
    <x v="1282"/>
    <s v="Ст.Каменск-Хозспособ"/>
    <n v="28855.326499999999"/>
    <n v="28855.326499999999"/>
    <n v="25951.933700000001"/>
  </r>
  <r>
    <x v="401"/>
    <s v="Чусовское озеро"/>
    <n v="48229.05"/>
    <n v="48229.05"/>
    <n v="43672.26"/>
  </r>
  <r>
    <x v="2839"/>
    <s v="Исток"/>
    <n v="51831.47"/>
    <n v="51831.47"/>
    <n v="46934.32"/>
  </r>
  <r>
    <x v="2840"/>
    <s v="ЛЕЧЕБНЫЙ"/>
    <n v="55990.2"/>
    <n v="55990.2"/>
    <n v="50700.12"/>
  </r>
  <r>
    <x v="852"/>
    <s v="СОВХОЗ"/>
    <n v="57883"/>
    <n v="57883"/>
    <n v="52414.09"/>
  </r>
  <r>
    <x v="2841"/>
    <s v="ПИОНЕРСКИЙ"/>
    <n v="75318.45"/>
    <n v="75318.45"/>
    <n v="68202.2"/>
  </r>
  <r>
    <x v="2842"/>
    <s v="Северка"/>
    <n v="49579.11"/>
    <n v="49579.11"/>
    <n v="44894.77"/>
  </r>
  <r>
    <x v="2843"/>
    <s v="Исток"/>
    <n v="51831.47"/>
    <n v="51831.47"/>
    <n v="46934.32"/>
  </r>
  <r>
    <x v="2844"/>
    <s v="ИСТОК"/>
    <n v="51831.47"/>
    <n v="51831.47"/>
    <n v="46934.32"/>
  </r>
  <r>
    <x v="1018"/>
    <s v="Ю-З"/>
    <n v="74239.759999999995"/>
    <n v="74239.759999999995"/>
    <n v="67225.429999999993"/>
  </r>
  <r>
    <x v="2845"/>
    <s v="Ю-З"/>
    <n v="74239.759999999995"/>
    <n v="74239.759999999995"/>
    <n v="67225.429999999993"/>
  </r>
  <r>
    <x v="531"/>
    <s v="ГОРНЫЙ ЩИТ"/>
    <n v="50617.09"/>
    <n v="50617.09"/>
    <n v="45834.68"/>
  </r>
  <r>
    <x v="2846"/>
    <s v="ВИЗ"/>
    <n v="81668.479999999996"/>
    <n v="81668.479999999996"/>
    <n v="73952.27"/>
  </r>
  <r>
    <x v="75"/>
    <s v="АКАДЕМИЧЕСКИЙ"/>
    <n v="59836.85"/>
    <n v="59836.85"/>
    <n v="54183.34"/>
  </r>
  <r>
    <x v="235"/>
    <s v="Ю-З"/>
    <n v="74239.759999999995"/>
    <n v="74239.759999999995"/>
    <n v="67225.429999999993"/>
  </r>
  <r>
    <x v="201"/>
    <s v="ЧЕРМЕТ"/>
    <n v="60698.45"/>
    <n v="60698.45"/>
    <n v="54963.53"/>
  </r>
  <r>
    <x v="2847"/>
    <s v="УАЗ"/>
    <n v="29199.565200000001"/>
    <n v="29199.565200000001"/>
    <n v="26261.5317"/>
  </r>
  <r>
    <x v="2848"/>
    <s v="Исток"/>
    <n v="51831.47"/>
    <n v="51831.47"/>
    <n v="46934.32"/>
  </r>
  <r>
    <x v="2849"/>
    <s v="Ст.Каменск-Хозспособ"/>
    <n v="28855.326499999999"/>
    <n v="28855.326499999999"/>
    <n v="25951.933700000001"/>
  </r>
  <r>
    <x v="2850"/>
    <s v="ШИРОКАЯ РЕЧКА"/>
    <n v="61207.26"/>
    <n v="61207.26"/>
    <n v="55424.27"/>
  </r>
  <r>
    <x v="2851"/>
    <s v="САДОВЫЙ"/>
    <n v="51600.800000000003"/>
    <n v="51600.800000000003"/>
    <n v="46725.45"/>
  </r>
  <r>
    <x v="881"/>
    <s v="ХИММАШ"/>
    <n v="60047.16"/>
    <n v="60047.16"/>
    <n v="54373.78"/>
  </r>
  <r>
    <x v="2852"/>
    <s v="ПОЛЕВОДСТВО"/>
    <n v="53954.93"/>
    <n v="53954.93"/>
    <n v="48857.15"/>
  </r>
  <r>
    <x v="2853"/>
    <s v="МЕДНЫЙ"/>
    <n v="49741.93"/>
    <n v="49741.93"/>
    <n v="45042.2"/>
  </r>
  <r>
    <x v="2854"/>
    <s v="УРАЛМАШ"/>
    <n v="67842.240000000005"/>
    <n v="67842.240000000005"/>
    <n v="61432.36"/>
  </r>
  <r>
    <x v="1011"/>
    <s v="Старая сортировка"/>
    <n v="57516.65"/>
    <n v="57516.65"/>
    <n v="52082.35"/>
  </r>
  <r>
    <x v="2855"/>
    <s v="ВИЗ"/>
    <n v="81668.479999999996"/>
    <n v="81668.479999999996"/>
    <n v="73952.27"/>
  </r>
  <r>
    <x v="2856"/>
    <s v="ПТИЦЕФАБРИКА"/>
    <n v="55074.33"/>
    <n v="55074.33"/>
    <n v="49870.79"/>
  </r>
  <r>
    <x v="2857"/>
    <s v="ШАБРОВСКИЙ"/>
    <n v="36417.71"/>
    <n v="36417.71"/>
    <n v="32976.89"/>
  </r>
  <r>
    <x v="2858"/>
    <s v="УКТУС"/>
    <n v="61655.02"/>
    <n v="61655.02"/>
    <n v="55829.73"/>
  </r>
  <r>
    <x v="2859"/>
    <s v="Старая сортировка"/>
    <n v="57516.65"/>
    <n v="57516.65"/>
    <n v="52082.35"/>
  </r>
  <r>
    <x v="2860"/>
    <s v="ШИРОКАЯ РЕЧКА"/>
    <n v="61207.26"/>
    <n v="61207.26"/>
    <n v="55424.27"/>
  </r>
  <r>
    <x v="215"/>
    <s v="УНЦ"/>
    <n v="62774.42"/>
    <n v="62774.42"/>
    <n v="56843.360000000001"/>
  </r>
  <r>
    <x v="2861"/>
    <s v="Исток"/>
    <n v="51831.47"/>
    <n v="51831.47"/>
    <n v="46934.32"/>
  </r>
  <r>
    <x v="1200"/>
    <s v="УАЗ"/>
    <n v="29199.565200000001"/>
    <n v="29199.565200000001"/>
    <n v="26261.5317"/>
  </r>
  <r>
    <x v="2862"/>
    <s v="ШИРОКАЯ РЕЧКА"/>
    <n v="61207.26"/>
    <n v="61207.26"/>
    <n v="55424.27"/>
  </r>
  <r>
    <x v="2863"/>
    <s v="УАЗ-II"/>
    <n v="35756.285400000001"/>
    <n v="35756.285400000001"/>
    <n v="32158.5213"/>
  </r>
  <r>
    <x v="1202"/>
    <s v="УАЗ"/>
    <n v="29199.565200000001"/>
    <n v="29199.565200000001"/>
    <n v="26261.5317"/>
  </r>
  <r>
    <x v="2864"/>
    <s v="УКТУС"/>
    <n v="61655.02"/>
    <n v="61655.02"/>
    <n v="55829.73"/>
  </r>
  <r>
    <x v="2865"/>
    <s v="ШАБРОВСКИЙ"/>
    <n v="36417.71"/>
    <n v="36417.71"/>
    <n v="32976.89"/>
  </r>
  <r>
    <x v="2866"/>
    <s v="ГОРНЫЙ ЩИТ"/>
    <n v="50617.09"/>
    <n v="50617.09"/>
    <n v="45834.68"/>
  </r>
  <r>
    <x v="2867"/>
    <s v="МАЛЫЙ ИСТОК"/>
    <n v="58296.83"/>
    <n v="58296.83"/>
    <n v="52788.83"/>
  </r>
  <r>
    <x v="2868"/>
    <s v="САДОВЫЙ"/>
    <n v="51600.800000000003"/>
    <n v="51600.800000000003"/>
    <n v="46725.45"/>
  </r>
  <r>
    <x v="801"/>
    <s v="ШАБРОВСКИЙ"/>
    <n v="36417.71"/>
    <n v="36417.71"/>
    <n v="32976.89"/>
  </r>
  <r>
    <x v="2869"/>
    <s v="ИСТОК"/>
    <n v="51831.47"/>
    <n v="51831.47"/>
    <n v="46934.32"/>
  </r>
  <r>
    <x v="2870"/>
    <s v="Евст_В-Черм"/>
    <n v="24299.835599999999"/>
    <n v="24299.835599999999"/>
    <n v="21330.794900000001"/>
  </r>
  <r>
    <x v="2871"/>
    <s v="КОЛЬЦОВО"/>
    <n v="53174.74"/>
    <n v="53174.74"/>
    <n v="48150.68"/>
  </r>
  <r>
    <x v="2872"/>
    <s v="УНЦ"/>
    <n v="62774.42"/>
    <n v="62774.42"/>
    <n v="56843.360000000001"/>
  </r>
  <r>
    <x v="2873"/>
    <s v="ШИРОКАЯ РЕЧКА"/>
    <n v="61207.26"/>
    <n v="61207.26"/>
    <n v="55424.27"/>
  </r>
  <r>
    <x v="2874"/>
    <s v="Чкаловский"/>
    <n v="28848.8855"/>
    <n v="28848.8855"/>
    <n v="25946.143"/>
  </r>
  <r>
    <x v="743"/>
    <s v="СОВХОЗ"/>
    <n v="57883"/>
    <n v="57883"/>
    <n v="52414.09"/>
  </r>
  <r>
    <x v="2875"/>
    <s v="Сулим.Торфянник"/>
    <n v="45325.4"/>
    <n v="45325.4"/>
    <n v="41042.959999999999"/>
  </r>
  <r>
    <x v="2876"/>
    <s v="ШАРТАШ"/>
    <n v="66003.710000000006"/>
    <n v="66003.710000000006"/>
    <n v="59767.54"/>
  </r>
  <r>
    <x v="478"/>
    <s v="ГОРНЫЙ ЩИТ"/>
    <n v="50617.09"/>
    <n v="50617.09"/>
    <n v="45834.68"/>
  </r>
  <r>
    <x v="2877"/>
    <s v="МАЛЫЙ ИСТОК"/>
    <n v="58296.83"/>
    <n v="58296.83"/>
    <n v="52788.83"/>
  </r>
  <r>
    <x v="2878"/>
    <s v="ГОРНЫЙ ЩИТ"/>
    <n v="50617.09"/>
    <n v="50617.09"/>
    <n v="45834.68"/>
  </r>
  <r>
    <x v="2879"/>
    <s v="ЕЛИЗАВЕТ"/>
    <n v="59056.67"/>
    <n v="59056.67"/>
    <n v="53476.87"/>
  </r>
  <r>
    <x v="2880"/>
    <s v="КОЛЬЦОВО"/>
    <n v="53174.74"/>
    <n v="53174.74"/>
    <n v="48150.68"/>
  </r>
  <r>
    <x v="2881"/>
    <s v="РУДНЫЙ"/>
    <n v="45325.4"/>
    <n v="45325.4"/>
    <n v="41042.959999999999"/>
  </r>
  <r>
    <x v="2882"/>
    <s v="ИЗОПЛИТ"/>
    <n v="51994.29"/>
    <n v="51994.29"/>
    <n v="47081.760000000002"/>
  </r>
  <r>
    <x v="1290"/>
    <s v="Ст.Каменск-Хозспособ"/>
    <n v="28855.326499999999"/>
    <n v="28855.326499999999"/>
    <n v="25951.933700000001"/>
  </r>
  <r>
    <x v="1151"/>
    <s v="Октябрьский"/>
    <n v="39105.413099999998"/>
    <n v="39105.413099999998"/>
    <n v="35170.666700000002"/>
  </r>
  <r>
    <x v="1118"/>
    <s v="Малый Исток"/>
    <n v="58296.83"/>
    <n v="58296.83"/>
    <n v="52788.83"/>
  </r>
  <r>
    <x v="2883"/>
    <s v="УАЗ"/>
    <n v="29199.565200000001"/>
    <n v="29199.565200000001"/>
    <n v="26261.5317"/>
  </r>
  <r>
    <x v="2884"/>
    <s v="Старая сортировка"/>
    <n v="57516.65"/>
    <n v="57516.65"/>
    <n v="52082.35"/>
  </r>
  <r>
    <x v="2885"/>
    <s v="Чкаловский"/>
    <n v="28848.8855"/>
    <n v="28848.8855"/>
    <n v="25946.143"/>
  </r>
  <r>
    <x v="2886"/>
    <s v="ХИММАШ"/>
    <n v="60047.16"/>
    <n v="60047.16"/>
    <n v="54373.78"/>
  </r>
  <r>
    <x v="2887"/>
    <s v="ГОРНЫЙ ЩИТ"/>
    <n v="50617.09"/>
    <n v="50617.09"/>
    <n v="45834.68"/>
  </r>
  <r>
    <x v="2888"/>
    <s v="ПОЛЕВОДСТВО"/>
    <n v="53954.93"/>
    <n v="53954.93"/>
    <n v="48857.15"/>
  </r>
  <r>
    <x v="2889"/>
    <s v="ЕЛИЗАВЕТ"/>
    <n v="59056.67"/>
    <n v="59056.67"/>
    <n v="53476.87"/>
  </r>
  <r>
    <x v="2890"/>
    <s v="Ст.Каменск-Хозспособ"/>
    <n v="28855.326499999999"/>
    <n v="28855.326499999999"/>
    <n v="25951.933700000001"/>
  </r>
  <r>
    <x v="2891"/>
    <s v="ДинСанПод"/>
    <n v="36244.5985"/>
    <n v="36244.5985"/>
    <n v="32992.053800000002"/>
  </r>
  <r>
    <x v="2892"/>
    <s v="ДинСанПод"/>
    <n v="36244.5985"/>
    <n v="36244.5985"/>
    <n v="32992.053800000002"/>
  </r>
  <r>
    <x v="2893"/>
    <s v="Северка"/>
    <n v="49579.11"/>
    <n v="49579.11"/>
    <n v="44894.77"/>
  </r>
  <r>
    <x v="1096"/>
    <s v="ПИОНЕРСКИЙ"/>
    <n v="75318.45"/>
    <n v="75318.45"/>
    <n v="68202.2"/>
  </r>
  <r>
    <x v="2894"/>
    <s v="Ленин-Олимп"/>
    <n v="32172.2909"/>
    <n v="32172.2909"/>
    <n v="28935.146499999999"/>
  </r>
  <r>
    <x v="704"/>
    <s v="СЕВЕРКА"/>
    <n v="49579.11"/>
    <n v="49579.11"/>
    <n v="44894.77"/>
  </r>
  <r>
    <x v="2895"/>
    <s v="ШИРОКАЯ РЕЧКА"/>
    <n v="61207.26"/>
    <n v="61207.26"/>
    <n v="55424.27"/>
  </r>
  <r>
    <x v="1230"/>
    <s v="УАЗ-II"/>
    <n v="35756.285400000001"/>
    <n v="35756.285400000001"/>
    <n v="32158.5213"/>
  </r>
  <r>
    <x v="2896"/>
    <s v="УАЗ"/>
    <n v="29199.565200000001"/>
    <n v="29199.565200000001"/>
    <n v="26261.5317"/>
  </r>
  <r>
    <x v="2897"/>
    <s v="Октябрьский"/>
    <n v="39105.413099999998"/>
    <n v="39105.413099999998"/>
    <n v="35170.666700000002"/>
  </r>
  <r>
    <x v="2898"/>
    <s v="ШИРОКАЯ РЕЧКА"/>
    <n v="61207.26"/>
    <n v="61207.26"/>
    <n v="55424.27"/>
  </r>
  <r>
    <x v="2899"/>
    <s v="ВИЗ"/>
    <n v="81668.479999999996"/>
    <n v="81668.479999999996"/>
    <n v="73952.27"/>
  </r>
  <r>
    <x v="331"/>
    <s v="Старая сортировка"/>
    <n v="57516.65"/>
    <n v="57516.65"/>
    <n v="52082.35"/>
  </r>
  <r>
    <x v="457"/>
    <s v="Нижнеисетский"/>
    <n v="45325.4"/>
    <n v="45325.4"/>
    <n v="41042.959999999999"/>
  </r>
  <r>
    <x v="1034"/>
    <s v="УРАЛМАШ"/>
    <n v="67842.240000000005"/>
    <n v="67842.240000000005"/>
    <n v="61432.36"/>
  </r>
  <r>
    <x v="2900"/>
    <s v="УАЗ"/>
    <n v="29199.565200000001"/>
    <n v="29199.565200000001"/>
    <n v="26261.5317"/>
  </r>
  <r>
    <x v="797"/>
    <s v="КОЛЬЦОВО"/>
    <n v="53174.74"/>
    <n v="53174.74"/>
    <n v="48150.68"/>
  </r>
  <r>
    <x v="2901"/>
    <s v="ХИММАШ"/>
    <n v="60047.16"/>
    <n v="60047.16"/>
    <n v="54373.78"/>
  </r>
  <r>
    <x v="2902"/>
    <s v="Сулим.Торфянник"/>
    <n v="45325.4"/>
    <n v="45325.4"/>
    <n v="41042.959999999999"/>
  </r>
  <r>
    <x v="2903"/>
    <s v="ЭЛЬМАШ"/>
    <n v="68527.44"/>
    <n v="68527.44"/>
    <n v="62052.82"/>
  </r>
  <r>
    <x v="258"/>
    <s v="ЕЛИЗАВЕТ"/>
    <n v="59056.67"/>
    <n v="59056.67"/>
    <n v="53476.87"/>
  </r>
  <r>
    <x v="2904"/>
    <s v="Северка"/>
    <n v="49579.11"/>
    <n v="49579.11"/>
    <n v="44894.77"/>
  </r>
  <r>
    <x v="778"/>
    <s v="СОВХОЗ"/>
    <n v="57883"/>
    <n v="57883"/>
    <n v="52414.09"/>
  </r>
  <r>
    <x v="2905"/>
    <s v="Северка"/>
    <n v="49579.11"/>
    <n v="49579.11"/>
    <n v="44894.77"/>
  </r>
  <r>
    <x v="2906"/>
    <s v="ДинСанПод"/>
    <n v="36244.5985"/>
    <n v="36244.5985"/>
    <n v="32992.053800000002"/>
  </r>
  <r>
    <x v="2907"/>
    <s v="ШИРОКАЯ РЕЧКА"/>
    <n v="61207.26"/>
    <n v="61207.26"/>
    <n v="55424.27"/>
  </r>
  <r>
    <x v="2908"/>
    <s v="ШУВАКИШ"/>
    <n v="42862.720000000001"/>
    <n v="42862.720000000001"/>
    <n v="38812.959999999999"/>
  </r>
  <r>
    <x v="1295"/>
    <s v="Чкаловский"/>
    <n v="28848.8855"/>
    <n v="28848.8855"/>
    <n v="25946.143"/>
  </r>
  <r>
    <x v="645"/>
    <s v="ЧЕРМЕТ"/>
    <n v="60698.45"/>
    <n v="60698.45"/>
    <n v="54963.53"/>
  </r>
  <r>
    <x v="2909"/>
    <s v="ЗАРЕЧНЫЙ"/>
    <n v="68887.009999999995"/>
    <n v="68887.009999999995"/>
    <n v="62378.42"/>
  </r>
  <r>
    <x v="2910"/>
    <s v="ХИММАШ"/>
    <n v="60047.16"/>
    <n v="60047.16"/>
    <n v="54373.78"/>
  </r>
  <r>
    <x v="945"/>
    <s v="Ю-З"/>
    <n v="74239.759999999995"/>
    <n v="74239.759999999995"/>
    <n v="67225.429999999993"/>
  </r>
  <r>
    <x v="1204"/>
    <s v="УАЗ"/>
    <n v="29199.565200000001"/>
    <n v="29199.565200000001"/>
    <n v="26261.5317"/>
  </r>
  <r>
    <x v="2911"/>
    <s v="СЕВЕРКА"/>
    <n v="49579.11"/>
    <n v="49579.11"/>
    <n v="44894.77"/>
  </r>
  <r>
    <x v="2912"/>
    <s v="ГОРНЫЙ ЩИТ"/>
    <n v="50617.09"/>
    <n v="50617.09"/>
    <n v="45834.68"/>
  </r>
  <r>
    <x v="2913"/>
    <s v="ВИЗ"/>
    <n v="81668.479999999996"/>
    <n v="81668.479999999996"/>
    <n v="73952.27"/>
  </r>
  <r>
    <x v="2914"/>
    <s v="ЕЛИЗАВЕТ"/>
    <n v="59056.67"/>
    <n v="59056.67"/>
    <n v="53476.87"/>
  </r>
  <r>
    <x v="958"/>
    <s v="УКТУС"/>
    <n v="61655.02"/>
    <n v="61655.02"/>
    <n v="55829.73"/>
  </r>
  <r>
    <x v="2915"/>
    <s v="ХИММАШ"/>
    <n v="60047.16"/>
    <n v="60047.16"/>
    <n v="54373.78"/>
  </r>
  <r>
    <x v="2916"/>
    <s v="Северка"/>
    <n v="49579.11"/>
    <n v="49579.11"/>
    <n v="44894.77"/>
  </r>
  <r>
    <x v="2917"/>
    <s v="ШИРОКАЯ РЕЧКА"/>
    <n v="61207.26"/>
    <n v="61207.26"/>
    <n v="55424.27"/>
  </r>
  <r>
    <x v="2918"/>
    <s v="Ваг_Стар_Пихтовы-г"/>
    <n v="40625.090199999999"/>
    <n v="40625.090199999999"/>
    <n v="35661.364300000001"/>
  </r>
  <r>
    <x v="2919"/>
    <s v="ШАРТАШ"/>
    <n v="66003.710000000006"/>
    <n v="66003.710000000006"/>
    <n v="59767.54"/>
  </r>
  <r>
    <x v="2920"/>
    <s v="КОЛЬЦОВО"/>
    <n v="53174.74"/>
    <n v="53174.74"/>
    <n v="48150.68"/>
  </r>
  <r>
    <x v="2921"/>
    <s v="Северный"/>
    <n v="29151.309799999999"/>
    <n v="29151.309799999999"/>
    <n v="26218.127700000001"/>
  </r>
  <r>
    <x v="2922"/>
    <s v="УКТУС"/>
    <n v="61655.02"/>
    <n v="61655.02"/>
    <n v="55829.73"/>
  </r>
  <r>
    <x v="1084"/>
    <s v="Старая сортировка"/>
    <n v="57516.65"/>
    <n v="57516.65"/>
    <n v="52082.35"/>
  </r>
  <r>
    <x v="2923"/>
    <s v="Северный"/>
    <n v="29151.309799999999"/>
    <n v="29151.309799999999"/>
    <n v="26218.127700000001"/>
  </r>
  <r>
    <x v="2924"/>
    <s v="ГОРНЫЙ ЩИТ"/>
    <n v="50617.09"/>
    <n v="50617.09"/>
    <n v="45834.68"/>
  </r>
  <r>
    <x v="394"/>
    <s v="ЛЕЧЕБНЫЙ"/>
    <n v="55990.2"/>
    <n v="55990.2"/>
    <n v="50700.12"/>
  </r>
  <r>
    <x v="1205"/>
    <s v="УАЗ"/>
    <n v="29199.565200000001"/>
    <n v="29199.565200000001"/>
    <n v="26261.5317"/>
  </r>
  <r>
    <x v="1297"/>
    <s v="Чкаловский"/>
    <n v="28848.8855"/>
    <n v="28848.8855"/>
    <n v="25946.143"/>
  </r>
  <r>
    <x v="1274"/>
    <s v="Ст.Каменск-Хозспособ"/>
    <n v="28855.326499999999"/>
    <n v="28855.326499999999"/>
    <n v="25951.933700000001"/>
  </r>
  <r>
    <x v="2925"/>
    <s v="ШИРОКАЯ РЕЧКА"/>
    <n v="61207.26"/>
    <n v="61207.26"/>
    <n v="55424.27"/>
  </r>
  <r>
    <x v="633"/>
    <s v="ШАРТАШ"/>
    <n v="66003.710000000006"/>
    <n v="66003.710000000006"/>
    <n v="59767.54"/>
  </r>
  <r>
    <x v="2926"/>
    <s v="СОВХОЗ"/>
    <n v="57883"/>
    <n v="57883"/>
    <n v="52414.09"/>
  </r>
  <r>
    <x v="2927"/>
    <s v="ЭЛЬМАШ"/>
    <n v="68527.44"/>
    <n v="68527.44"/>
    <n v="62052.82"/>
  </r>
  <r>
    <x v="900"/>
    <s v="ГОРНЫЙ ЩИТ"/>
    <n v="50617.09"/>
    <n v="50617.09"/>
    <n v="45834.68"/>
  </r>
  <r>
    <x v="2928"/>
    <s v="ГОРНЫЙ ЩИТ"/>
    <n v="50617.09"/>
    <n v="50617.09"/>
    <n v="45834.68"/>
  </r>
  <r>
    <x v="2929"/>
    <s v="ШИРОКАЯ РЕЧКА"/>
    <n v="61207.26"/>
    <n v="61207.26"/>
    <n v="55424.27"/>
  </r>
  <r>
    <x v="2930"/>
    <s v="ШИРОКАЯ РЕЧКА"/>
    <n v="61207.26"/>
    <n v="61207.26"/>
    <n v="55424.27"/>
  </r>
  <r>
    <x v="2931"/>
    <s v="ШИРОКАЯ РЕЧКА"/>
    <n v="61207.26"/>
    <n v="61207.26"/>
    <n v="55424.27"/>
  </r>
  <r>
    <x v="2932"/>
    <s v="Северный"/>
    <n v="29151.309799999999"/>
    <n v="29151.309799999999"/>
    <n v="26218.127700000001"/>
  </r>
  <r>
    <x v="2933"/>
    <s v="САДОВЫЙ"/>
    <n v="51600.800000000003"/>
    <n v="51600.800000000003"/>
    <n v="46725.45"/>
  </r>
  <r>
    <x v="989"/>
    <s v="Ю-З"/>
    <n v="74239.759999999995"/>
    <n v="74239.759999999995"/>
    <n v="67225.429999999993"/>
  </r>
  <r>
    <x v="2934"/>
    <s v="ПТИЦЕФАБРИКА"/>
    <n v="55074.33"/>
    <n v="55074.33"/>
    <n v="49870.79"/>
  </r>
  <r>
    <x v="2935"/>
    <s v="ПТИЦЕФАБРИКА"/>
    <n v="55074.33"/>
    <n v="55074.33"/>
    <n v="49870.79"/>
  </r>
  <r>
    <x v="2936"/>
    <s v="ПТИЦЕФАБРИКА"/>
    <n v="55074.33"/>
    <n v="55074.33"/>
    <n v="49870.79"/>
  </r>
  <r>
    <x v="2937"/>
    <s v="ЕЛИЗАВЕТ"/>
    <n v="59056.67"/>
    <n v="59056.67"/>
    <n v="53476.87"/>
  </r>
  <r>
    <x v="2938"/>
    <s v="Сулим.Торфянник"/>
    <n v="45325.4"/>
    <n v="45325.4"/>
    <n v="41042.959999999999"/>
  </r>
  <r>
    <x v="2939"/>
    <s v="ШИРОКАЯ РЕЧКА"/>
    <n v="61207.26"/>
    <n v="61207.26"/>
    <n v="55424.27"/>
  </r>
  <r>
    <x v="2940"/>
    <s v="ГОРНЫЙ ЩИТ"/>
    <n v="50617.09"/>
    <n v="50617.09"/>
    <n v="45834.68"/>
  </r>
  <r>
    <x v="2941"/>
    <s v="ШИРОКАЯ РЕЧКА"/>
    <n v="61207.26"/>
    <n v="61207.26"/>
    <n v="55424.27"/>
  </r>
  <r>
    <x v="431"/>
    <s v="УКТУС"/>
    <n v="61655.02"/>
    <n v="61655.02"/>
    <n v="55829.73"/>
  </r>
  <r>
    <x v="2942"/>
    <s v="Ленин-Олимп"/>
    <n v="32172.2909"/>
    <n v="32172.2909"/>
    <n v="28935.146499999999"/>
  </r>
  <r>
    <x v="2943"/>
    <s v="СЕВЕРКА"/>
    <n v="49579.11"/>
    <n v="49579.11"/>
    <n v="44894.77"/>
  </r>
  <r>
    <x v="2944"/>
    <s v="УРАЛМАШ"/>
    <n v="67842.240000000005"/>
    <n v="67842.240000000005"/>
    <n v="61432.36"/>
  </r>
  <r>
    <x v="2945"/>
    <s v="ЧЕРМЕТ"/>
    <n v="60698.45"/>
    <n v="60698.45"/>
    <n v="54963.53"/>
  </r>
  <r>
    <x v="2946"/>
    <s v="ДинСанПод"/>
    <n v="36244.5985"/>
    <n v="36244.5985"/>
    <n v="32992.053800000002"/>
  </r>
  <r>
    <x v="776"/>
    <s v="ШАБРОВСКИЙ"/>
    <n v="36417.71"/>
    <n v="36417.71"/>
    <n v="32976.89"/>
  </r>
  <r>
    <x v="2947"/>
    <s v="УКТУС"/>
    <n v="61655.02"/>
    <n v="61655.02"/>
    <n v="55829.73"/>
  </r>
  <r>
    <x v="2948"/>
    <s v="ШИРОКАЯ РЕЧКА"/>
    <n v="61207.26"/>
    <n v="61207.26"/>
    <n v="55424.27"/>
  </r>
  <r>
    <x v="840"/>
    <s v="Шувакиш"/>
    <n v="42862.720000000001"/>
    <n v="42862.720000000001"/>
    <n v="38812.959999999999"/>
  </r>
  <r>
    <x v="103"/>
    <s v="Центр"/>
    <n v="91057.85"/>
    <n v="91057.85"/>
    <n v="82454.509999999995"/>
  </r>
  <r>
    <x v="2949"/>
    <s v="ЕЛИЗАВЕТ"/>
    <n v="59056.67"/>
    <n v="59056.67"/>
    <n v="53476.87"/>
  </r>
  <r>
    <x v="2950"/>
    <s v="ЛЕЧЕБНЫЙ"/>
    <n v="55990.2"/>
    <n v="55990.2"/>
    <n v="50700.12"/>
  </r>
  <r>
    <x v="2951"/>
    <s v="МЕДНЫЙ"/>
    <n v="49741.93"/>
    <n v="49741.93"/>
    <n v="45042.2"/>
  </r>
  <r>
    <x v="2952"/>
    <s v="ШАБРОВСКИЙ"/>
    <n v="36417.71"/>
    <n v="36417.71"/>
    <n v="32976.89"/>
  </r>
  <r>
    <x v="2953"/>
    <s v="ШИРОКАЯ РЕЧКА"/>
    <n v="61207.26"/>
    <n v="61207.26"/>
    <n v="55424.27"/>
  </r>
  <r>
    <x v="2954"/>
    <s v="МЕДНЫЙ"/>
    <n v="49741.93"/>
    <n v="49741.93"/>
    <n v="45042.2"/>
  </r>
  <r>
    <x v="2955"/>
    <s v="УРАЛМАШ"/>
    <n v="67842.240000000005"/>
    <n v="67842.240000000005"/>
    <n v="61432.36"/>
  </r>
  <r>
    <x v="2956"/>
    <s v="УРАЛМАШ"/>
    <n v="67842.240000000005"/>
    <n v="67842.240000000005"/>
    <n v="61432.36"/>
  </r>
  <r>
    <x v="996"/>
    <s v="Старая сортировка"/>
    <n v="57516.65"/>
    <n v="57516.65"/>
    <n v="52082.35"/>
  </r>
  <r>
    <x v="2957"/>
    <s v="УРАЛМАШ"/>
    <n v="67842.240000000005"/>
    <n v="67842.240000000005"/>
    <n v="61432.36"/>
  </r>
  <r>
    <x v="2958"/>
    <s v="ДинСанПод"/>
    <n v="36244.5985"/>
    <n v="36244.5985"/>
    <n v="32992.053800000002"/>
  </r>
  <r>
    <x v="2959"/>
    <s v="Шайтанка"/>
    <n v="34007.852099999996"/>
    <n v="34007.852099999996"/>
    <n v="30956.028900000001"/>
  </r>
  <r>
    <x v="195"/>
    <s v="УКТУС"/>
    <n v="61655.02"/>
    <n v="61655.02"/>
    <n v="55829.73"/>
  </r>
  <r>
    <x v="2960"/>
    <s v="ДинСанПод"/>
    <n v="36244.5985"/>
    <n v="36244.5985"/>
    <n v="32992.053800000002"/>
  </r>
  <r>
    <x v="2961"/>
    <s v="СОВХОЗ"/>
    <n v="57883"/>
    <n v="57883"/>
    <n v="52414.09"/>
  </r>
  <r>
    <x v="234"/>
    <s v="Ю-З"/>
    <n v="74239.759999999995"/>
    <n v="74239.759999999995"/>
    <n v="67225.429999999993"/>
  </r>
  <r>
    <x v="2962"/>
    <s v="ЭЛЬМАШ"/>
    <n v="68527.44"/>
    <n v="68527.44"/>
    <n v="62052.82"/>
  </r>
  <r>
    <x v="22"/>
    <s v="ВТУЗГОРОДОК"/>
    <n v="74667.16"/>
    <n v="74667.16"/>
    <n v="67612.45"/>
  </r>
  <r>
    <x v="2963"/>
    <s v="ШАБРОВСКИЙ"/>
    <n v="36417.71"/>
    <n v="36417.71"/>
    <n v="32976.89"/>
  </r>
  <r>
    <x v="2964"/>
    <s v="Шувакиш"/>
    <n v="42862.720000000001"/>
    <n v="42862.720000000001"/>
    <n v="38812.959999999999"/>
  </r>
  <r>
    <x v="2965"/>
    <s v="Центр"/>
    <n v="91057.85"/>
    <n v="91057.85"/>
    <n v="82454.509999999995"/>
  </r>
  <r>
    <x v="2966"/>
    <s v="Рудник_Север"/>
    <n v="30591.135900000001"/>
    <n v="30591.135900000001"/>
    <n v="26853.405500000001"/>
  </r>
  <r>
    <x v="2967"/>
    <s v="Центр"/>
    <n v="91057.85"/>
    <n v="91057.85"/>
    <n v="82454.509999999995"/>
  </r>
  <r>
    <x v="2968"/>
    <s v="Ленин-Олимп"/>
    <n v="32172.2909"/>
    <n v="32172.2909"/>
    <n v="28935.146499999999"/>
  </r>
  <r>
    <x v="2969"/>
    <s v="Шувакиш"/>
    <n v="42862.720000000001"/>
    <n v="42862.720000000001"/>
    <n v="38812.959999999999"/>
  </r>
  <r>
    <x v="2970"/>
    <s v="Ю-З"/>
    <n v="74239.759999999995"/>
    <n v="74239.759999999995"/>
    <n v="67225.429999999993"/>
  </r>
  <r>
    <x v="2971"/>
    <s v="Центр"/>
    <n v="91057.85"/>
    <n v="91057.85"/>
    <n v="82454.509999999995"/>
  </r>
  <r>
    <x v="205"/>
    <s v="ЛЕЧЕБНЫЙ"/>
    <n v="55990.2"/>
    <n v="55990.2"/>
    <n v="50700.12"/>
  </r>
  <r>
    <x v="2972"/>
    <s v="Чкаловский"/>
    <n v="28848.8855"/>
    <n v="28848.8855"/>
    <n v="25946.143"/>
  </r>
  <r>
    <x v="893"/>
    <s v="Нижнеисетский"/>
    <n v="45325.4"/>
    <n v="45325.4"/>
    <n v="41042.959999999999"/>
  </r>
  <r>
    <x v="2973"/>
    <s v="ДинСанПод"/>
    <n v="36244.5985"/>
    <n v="36244.5985"/>
    <n v="32992.053800000002"/>
  </r>
  <r>
    <x v="1081"/>
    <s v="ИСТОК"/>
    <n v="51831.47"/>
    <n v="51831.47"/>
    <n v="46934.32"/>
  </r>
  <r>
    <x v="2974"/>
    <s v="ПОЛЕВОДСТВО"/>
    <n v="53954.93"/>
    <n v="53954.93"/>
    <n v="48857.15"/>
  </r>
  <r>
    <x v="2975"/>
    <s v="МАЛЫЙ ИСТОК"/>
    <n v="58296.83"/>
    <n v="58296.83"/>
    <n v="52788.83"/>
  </r>
  <r>
    <x v="2976"/>
    <s v="ШАБРОВСКИЙ"/>
    <n v="36417.71"/>
    <n v="36417.71"/>
    <n v="32976.89"/>
  </r>
  <r>
    <x v="1062"/>
    <s v="ШИРОКАЯ РЕЧКА"/>
    <n v="61207.26"/>
    <n v="61207.26"/>
    <n v="55424.27"/>
  </r>
  <r>
    <x v="2977"/>
    <s v="Ваг_Стар_Пихтовы-г"/>
    <n v="40625.090199999999"/>
    <n v="40625.090199999999"/>
    <n v="35661.364300000001"/>
  </r>
  <r>
    <x v="2978"/>
    <s v="Выя_Леб_Горб_Кр-Кам"/>
    <n v="36513.6518"/>
    <n v="36513.6518"/>
    <n v="32052.276999999998"/>
  </r>
  <r>
    <x v="2979"/>
    <s v="САДОВЫЙ"/>
    <n v="51600.800000000003"/>
    <n v="51600.800000000003"/>
    <n v="46725.45"/>
  </r>
  <r>
    <x v="2980"/>
    <s v="Чусовское озеро"/>
    <n v="48229.05"/>
    <n v="48229.05"/>
    <n v="43672.26"/>
  </r>
  <r>
    <x v="2981"/>
    <s v="ШАБРОВСКИЙ"/>
    <n v="36417.71"/>
    <n v="36417.71"/>
    <n v="32976.89"/>
  </r>
  <r>
    <x v="463"/>
    <s v="СОВХОЗ"/>
    <n v="57883"/>
    <n v="57883"/>
    <n v="52414.09"/>
  </r>
  <r>
    <x v="2982"/>
    <s v="ПИОНЕРСКИЙ"/>
    <n v="75318.45"/>
    <n v="75318.45"/>
    <n v="68202.2"/>
  </r>
  <r>
    <x v="2983"/>
    <s v="ШУВАКИШ"/>
    <n v="42862.720000000001"/>
    <n v="42862.720000000001"/>
    <n v="38812.959999999999"/>
  </r>
  <r>
    <x v="2984"/>
    <s v="ШИРОКАЯ РЕЧКА"/>
    <n v="61207.26"/>
    <n v="61207.26"/>
    <n v="55424.27"/>
  </r>
  <r>
    <x v="2985"/>
    <s v="СОЛНЕЧНЫЙ"/>
    <n v="58724.24"/>
    <n v="58724.24"/>
    <n v="53175.85"/>
  </r>
  <r>
    <x v="2986"/>
    <s v="Талица"/>
    <n v="36808.582300000002"/>
    <n v="36808.582300000002"/>
    <n v="33505.428800000002"/>
  </r>
  <r>
    <x v="2987"/>
    <s v="УРАЛМАШ"/>
    <n v="67842.240000000005"/>
    <n v="67842.240000000005"/>
    <n v="61432.36"/>
  </r>
  <r>
    <x v="2988"/>
    <s v="ДинСанПод"/>
    <n v="36244.5985"/>
    <n v="36244.5985"/>
    <n v="32992.053800000002"/>
  </r>
  <r>
    <x v="2989"/>
    <s v="ДинСанПод"/>
    <n v="36244.5985"/>
    <n v="36244.5985"/>
    <n v="32992.053800000002"/>
  </r>
  <r>
    <x v="146"/>
    <s v="Ю-З"/>
    <n v="74239.759999999995"/>
    <n v="74239.759999999995"/>
    <n v="67225.429999999993"/>
  </r>
  <r>
    <x v="2990"/>
    <s v="ХИММАШ"/>
    <n v="60047.16"/>
    <n v="60047.16"/>
    <n v="54373.78"/>
  </r>
  <r>
    <x v="1029"/>
    <s v="Нижнеисетский"/>
    <n v="45325.4"/>
    <n v="45325.4"/>
    <n v="41042.959999999999"/>
  </r>
  <r>
    <x v="2991"/>
    <s v="ДинСанПод"/>
    <n v="36244.5985"/>
    <n v="36244.5985"/>
    <n v="32992.053800000002"/>
  </r>
  <r>
    <x v="2992"/>
    <s v="УАЗ-III - 49 кв."/>
    <n v="35563.243300000002"/>
    <n v="35563.243300000002"/>
    <n v="31984.905299999999"/>
  </r>
  <r>
    <x v="2993"/>
    <s v="ДинСанПод"/>
    <n v="36244.5985"/>
    <n v="36244.5985"/>
    <n v="32992.053800000002"/>
  </r>
  <r>
    <x v="2994"/>
    <s v="Выя_Леб_Горб_Кр-Кам"/>
    <n v="36513.6518"/>
    <n v="36513.6518"/>
    <n v="32052.276999999998"/>
  </r>
  <r>
    <x v="2995"/>
    <s v="ГОРНЫЙ ЩИТ"/>
    <n v="50617.09"/>
    <n v="50617.09"/>
    <n v="45834.68"/>
  </r>
  <r>
    <x v="2996"/>
    <s v="Ст.Каменск-Хозспособ"/>
    <n v="28855.326499999999"/>
    <n v="28855.326499999999"/>
    <n v="25951.933700000001"/>
  </r>
  <r>
    <x v="2997"/>
    <s v="ЕЛИЗАВЕТ"/>
    <n v="59056.67"/>
    <n v="59056.67"/>
    <n v="53476.87"/>
  </r>
  <r>
    <x v="2998"/>
    <s v="Северка"/>
    <n v="49579.11"/>
    <n v="49579.11"/>
    <n v="44894.77"/>
  </r>
  <r>
    <x v="2999"/>
    <s v="МЕДНЫЙ"/>
    <n v="49741.93"/>
    <n v="49741.93"/>
    <n v="45042.2"/>
  </r>
  <r>
    <x v="3000"/>
    <s v="ДинСанПод"/>
    <n v="36244.5985"/>
    <n v="36244.5985"/>
    <n v="32992.053800000002"/>
  </r>
  <r>
    <x v="3001"/>
    <s v="ИСТОК"/>
    <n v="51831.47"/>
    <n v="51831.47"/>
    <n v="46934.32"/>
  </r>
  <r>
    <x v="3002"/>
    <s v="ШАРТАШ"/>
    <n v="66003.710000000006"/>
    <n v="66003.710000000006"/>
    <n v="59767.54"/>
  </r>
  <r>
    <x v="1311"/>
    <s v="Чкаловский"/>
    <n v="28848.8855"/>
    <n v="28848.8855"/>
    <n v="25946.143"/>
  </r>
  <r>
    <x v="3003"/>
    <s v="ШУВАКИШ"/>
    <n v="42862.720000000001"/>
    <n v="42862.720000000001"/>
    <n v="38812.959999999999"/>
  </r>
  <r>
    <x v="3004"/>
    <s v="ДинСанПод"/>
    <n v="36244.5985"/>
    <n v="36244.5985"/>
    <n v="32992.053800000002"/>
  </r>
  <r>
    <x v="3005"/>
    <s v="САДОВЫЙ"/>
    <n v="51600.800000000003"/>
    <n v="51600.800000000003"/>
    <n v="46725.45"/>
  </r>
  <r>
    <x v="959"/>
    <s v="ИЗОПЛИТ"/>
    <n v="51994.29"/>
    <n v="51994.29"/>
    <n v="47081.760000000002"/>
  </r>
  <r>
    <x v="3006"/>
    <s v="Сулим.Торфянник"/>
    <n v="45325.4"/>
    <n v="45325.4"/>
    <n v="41042.959999999999"/>
  </r>
  <r>
    <x v="3007"/>
    <s v="Старая сортировка"/>
    <n v="57516.65"/>
    <n v="57516.65"/>
    <n v="52082.35"/>
  </r>
  <r>
    <x v="3008"/>
    <s v="ВИЗ"/>
    <n v="81668.479999999996"/>
    <n v="81668.479999999996"/>
    <n v="73952.27"/>
  </r>
  <r>
    <x v="3009"/>
    <s v="МЕДНЫЙ"/>
    <n v="49741.93"/>
    <n v="49741.93"/>
    <n v="45042.2"/>
  </r>
  <r>
    <x v="3010"/>
    <s v="ШИРОКАЯ РЕЧКА"/>
    <n v="61207.26"/>
    <n v="61207.26"/>
    <n v="55424.27"/>
  </r>
  <r>
    <x v="3011"/>
    <s v="МЕДНЫЙ"/>
    <n v="49741.93"/>
    <n v="49741.93"/>
    <n v="45042.2"/>
  </r>
  <r>
    <x v="3012"/>
    <s v="ЛЕЧЕБНЫЙ"/>
    <n v="55990.2"/>
    <n v="55990.2"/>
    <n v="50700.12"/>
  </r>
  <r>
    <x v="1068"/>
    <s v="ГОРНЫЙ ЩИТ"/>
    <n v="50617.09"/>
    <n v="50617.09"/>
    <n v="45834.68"/>
  </r>
  <r>
    <x v="176"/>
    <s v="ШАБРОВСКИЙ"/>
    <n v="36417.71"/>
    <n v="36417.71"/>
    <n v="32976.89"/>
  </r>
  <r>
    <x v="3013"/>
    <s v="БОТАНИЧЕСКИЙ"/>
    <n v="74660.38"/>
    <n v="74660.38"/>
    <n v="67606.31"/>
  </r>
  <r>
    <x v="3014"/>
    <s v="Шувакиш"/>
    <n v="42862.720000000001"/>
    <n v="42862.720000000001"/>
    <n v="38812.959999999999"/>
  </r>
  <r>
    <x v="1198"/>
    <s v="УАЗ"/>
    <n v="29199.565200000001"/>
    <n v="29199.565200000001"/>
    <n v="26261.5317"/>
  </r>
  <r>
    <x v="3015"/>
    <s v="Сулим.Торфянник"/>
    <n v="45325.4"/>
    <n v="45325.4"/>
    <n v="41042.959999999999"/>
  </r>
  <r>
    <x v="3016"/>
    <s v="КОЛЬЦОВО"/>
    <n v="53174.74"/>
    <n v="53174.74"/>
    <n v="48150.68"/>
  </r>
  <r>
    <x v="3017"/>
    <s v="УРАЛМАШ"/>
    <n v="67842.240000000005"/>
    <n v="67842.240000000005"/>
    <n v="61432.36"/>
  </r>
  <r>
    <x v="973"/>
    <s v="Нижнеисетский"/>
    <n v="45325.4"/>
    <n v="45325.4"/>
    <n v="41042.959999999999"/>
  </r>
  <r>
    <x v="3018"/>
    <s v="Северка"/>
    <n v="49579.11"/>
    <n v="49579.11"/>
    <n v="44894.77"/>
  </r>
  <r>
    <x v="3019"/>
    <s v="Чусовское озеро"/>
    <n v="48229.05"/>
    <n v="48229.05"/>
    <n v="43672.26"/>
  </r>
  <r>
    <x v="3020"/>
    <s v="ШАБРОВСКИЙ"/>
    <n v="36417.71"/>
    <n v="36417.71"/>
    <n v="32976.89"/>
  </r>
  <r>
    <x v="3021"/>
    <s v="Чкаловский"/>
    <n v="28848.8855"/>
    <n v="28848.8855"/>
    <n v="25946.143"/>
  </r>
  <r>
    <x v="3022"/>
    <s v="ШИРОКАЯ РЕЧКА"/>
    <n v="61207.26"/>
    <n v="61207.26"/>
    <n v="55424.27"/>
  </r>
  <r>
    <x v="879"/>
    <s v="САДОВЫЙ"/>
    <n v="51600.800000000003"/>
    <n v="51600.800000000003"/>
    <n v="46725.45"/>
  </r>
  <r>
    <x v="3023"/>
    <s v="АВТОВОКЗАЛ"/>
    <n v="81132.53"/>
    <n v="81132.53"/>
    <n v="73466.960000000006"/>
  </r>
  <r>
    <x v="3024"/>
    <s v="Старая сортировка"/>
    <n v="57516.65"/>
    <n v="57516.65"/>
    <n v="52082.35"/>
  </r>
  <r>
    <x v="3025"/>
    <s v="ЖБИ"/>
    <n v="67218.09"/>
    <n v="67218.09"/>
    <n v="60867.18"/>
  </r>
  <r>
    <x v="863"/>
    <s v="АВТОВОКЗАЛ"/>
    <n v="81132.53"/>
    <n v="81132.53"/>
    <n v="73466.960000000006"/>
  </r>
  <r>
    <x v="3026"/>
    <s v="ИСТОК"/>
    <n v="51831.47"/>
    <n v="51831.47"/>
    <n v="46934.32"/>
  </r>
  <r>
    <x v="3027"/>
    <s v="САДОВЫЙ"/>
    <n v="51600.800000000003"/>
    <n v="51600.800000000003"/>
    <n v="46725.45"/>
  </r>
  <r>
    <x v="3028"/>
    <s v="ШУВАКИШ"/>
    <n v="42862.720000000001"/>
    <n v="42862.720000000001"/>
    <n v="38812.959999999999"/>
  </r>
  <r>
    <x v="3029"/>
    <s v="УРАЛМАШ"/>
    <n v="67842.240000000005"/>
    <n v="67842.240000000005"/>
    <n v="61432.36"/>
  </r>
  <r>
    <x v="3030"/>
    <s v="РУДНЫЙ"/>
    <n v="45325.4"/>
    <n v="45325.4"/>
    <n v="41042.959999999999"/>
  </r>
  <r>
    <x v="3031"/>
    <s v="ШИРОКАЯ РЕЧКА"/>
    <n v="61207.26"/>
    <n v="61207.26"/>
    <n v="55424.27"/>
  </r>
  <r>
    <x v="3032"/>
    <s v="ВИЗ"/>
    <n v="81668.479999999996"/>
    <n v="81668.479999999996"/>
    <n v="73952.27"/>
  </r>
  <r>
    <x v="3033"/>
    <s v="ШАБРОВСКИЙ"/>
    <n v="36417.71"/>
    <n v="36417.71"/>
    <n v="32976.89"/>
  </r>
  <r>
    <x v="3034"/>
    <s v="ХИММАШ"/>
    <n v="60047.16"/>
    <n v="60047.16"/>
    <n v="54373.78"/>
  </r>
  <r>
    <x v="3035"/>
    <s v="ВИЗ"/>
    <n v="81668.479999999996"/>
    <n v="81668.479999999996"/>
    <n v="73952.27"/>
  </r>
  <r>
    <x v="1000"/>
    <s v="УНЦ"/>
    <n v="62774.42"/>
    <n v="62774.42"/>
    <n v="56843.360000000001"/>
  </r>
  <r>
    <x v="3036"/>
    <s v="ШИРОКАЯ РЕЧКА"/>
    <n v="61207.26"/>
    <n v="61207.26"/>
    <n v="55424.27"/>
  </r>
  <r>
    <x v="572"/>
    <s v="КОЛЬЦОВО"/>
    <n v="53174.74"/>
    <n v="53174.74"/>
    <n v="48150.68"/>
  </r>
  <r>
    <x v="1008"/>
    <s v="КОЛЬЦОВО"/>
    <n v="53174.74"/>
    <n v="53174.74"/>
    <n v="48150.68"/>
  </r>
  <r>
    <x v="3037"/>
    <s v="Чусовское озеро"/>
    <n v="48229.05"/>
    <n v="48229.05"/>
    <n v="43672.26"/>
  </r>
  <r>
    <x v="3038"/>
    <s v="Чкаловский"/>
    <n v="28848.8855"/>
    <n v="28848.8855"/>
    <n v="25946.143"/>
  </r>
  <r>
    <x v="495"/>
    <s v="Ю-З"/>
    <n v="74239.759999999995"/>
    <n v="74239.759999999995"/>
    <n v="67225.429999999993"/>
  </r>
  <r>
    <x v="3039"/>
    <s v="ВИЗ"/>
    <n v="81668.479999999996"/>
    <n v="81668.479999999996"/>
    <n v="73952.27"/>
  </r>
  <r>
    <x v="3040"/>
    <s v="ЕЛИЗАВЕТ"/>
    <n v="59056.67"/>
    <n v="59056.67"/>
    <n v="53476.87"/>
  </r>
  <r>
    <x v="3041"/>
    <s v="ШАБРОВСКИЙ"/>
    <n v="36417.71"/>
    <n v="36417.71"/>
    <n v="32976.89"/>
  </r>
  <r>
    <x v="3042"/>
    <s v="Чкаловский"/>
    <n v="28848.8855"/>
    <n v="28848.8855"/>
    <n v="25946.143"/>
  </r>
  <r>
    <x v="3043"/>
    <s v="ЧУСОВСКОЕ ОЗЕРО"/>
    <n v="48229.05"/>
    <n v="48229.05"/>
    <n v="43672.26"/>
  </r>
  <r>
    <x v="3044"/>
    <s v="ШИРОКАЯ РЕЧКА"/>
    <n v="61207.26"/>
    <n v="61207.26"/>
    <n v="55424.27"/>
  </r>
  <r>
    <x v="3045"/>
    <s v="УРАЛМАШ"/>
    <n v="67842.240000000005"/>
    <n v="67842.240000000005"/>
    <n v="61432.36"/>
  </r>
  <r>
    <x v="3046"/>
    <s v="Северка"/>
    <n v="49579.11"/>
    <n v="49579.11"/>
    <n v="44894.77"/>
  </r>
  <r>
    <x v="3047"/>
    <s v="ШАБРОВСКИЙ"/>
    <n v="36417.71"/>
    <n v="36417.71"/>
    <n v="32976.89"/>
  </r>
  <r>
    <x v="761"/>
    <s v="ШИРОКАЯ РЕЧКА"/>
    <n v="61207.26"/>
    <n v="61207.26"/>
    <n v="55424.27"/>
  </r>
  <r>
    <x v="19"/>
    <s v="УНЦ"/>
    <n v="62774.42"/>
    <n v="62774.42"/>
    <n v="56843.360000000001"/>
  </r>
  <r>
    <x v="3048"/>
    <s v="ХИММАШ"/>
    <n v="60047.16"/>
    <n v="60047.16"/>
    <n v="54373.78"/>
  </r>
  <r>
    <x v="3049"/>
    <s v="Сулим.Торфянник"/>
    <n v="45325.4"/>
    <n v="45325.4"/>
    <n v="41042.959999999999"/>
  </r>
  <r>
    <x v="48"/>
    <s v="ИСТОК"/>
    <n v="51831.47"/>
    <n v="51831.47"/>
    <n v="46934.32"/>
  </r>
  <r>
    <x v="1100"/>
    <s v="ВИЗ"/>
    <n v="81668.479999999996"/>
    <n v="81668.479999999996"/>
    <n v="73952.27"/>
  </r>
  <r>
    <x v="3050"/>
    <s v="Исток"/>
    <n v="51831.47"/>
    <n v="51831.47"/>
    <n v="46934.32"/>
  </r>
  <r>
    <x v="3051"/>
    <s v="ГОРНЫЙ ЩИТ"/>
    <n v="50617.09"/>
    <n v="50617.09"/>
    <n v="45834.68"/>
  </r>
  <r>
    <x v="3052"/>
    <s v="УКТУС"/>
    <n v="61655.02"/>
    <n v="61655.02"/>
    <n v="55829.73"/>
  </r>
  <r>
    <x v="3053"/>
    <s v="Ст.Каменск-Хозспособ"/>
    <n v="28855.326499999999"/>
    <n v="28855.326499999999"/>
    <n v="25951.933700000001"/>
  </r>
  <r>
    <x v="3054"/>
    <s v="ИСТОК"/>
    <n v="51831.47"/>
    <n v="51831.47"/>
    <n v="46934.32"/>
  </r>
  <r>
    <x v="3055"/>
    <s v="ШАБРОВСКИЙ"/>
    <n v="36417.71"/>
    <n v="36417.71"/>
    <n v="32976.89"/>
  </r>
  <r>
    <x v="3056"/>
    <s v="ИСТОК"/>
    <n v="51831.47"/>
    <n v="51831.47"/>
    <n v="46934.32"/>
  </r>
  <r>
    <x v="1242"/>
    <s v="УАЗ-III - 49 кв."/>
    <n v="35563.243300000002"/>
    <n v="35563.243300000002"/>
    <n v="31984.905299999999"/>
  </r>
  <r>
    <x v="3057"/>
    <s v="ЧЕРМЕТ"/>
    <n v="60698.45"/>
    <n v="60698.45"/>
    <n v="54963.53"/>
  </r>
  <r>
    <x v="3058"/>
    <s v="ВИЗ"/>
    <n v="81668.479999999996"/>
    <n v="81668.479999999996"/>
    <n v="73952.27"/>
  </r>
  <r>
    <x v="3059"/>
    <s v="ВИЗ"/>
    <n v="81668.479999999996"/>
    <n v="81668.479999999996"/>
    <n v="73952.27"/>
  </r>
  <r>
    <x v="3060"/>
    <s v="Выя_Леб_Горб_Кр-Кам"/>
    <n v="36513.6518"/>
    <n v="36513.6518"/>
    <n v="32052.276999999998"/>
  </r>
  <r>
    <x v="3061"/>
    <s v="Ваг_Стар_Пихтовы-г"/>
    <n v="40625.090199999999"/>
    <n v="40625.090199999999"/>
    <n v="35661.364300000001"/>
  </r>
  <r>
    <x v="912"/>
    <s v="ШИРОКАЯ РЕЧКА"/>
    <n v="61207.26"/>
    <n v="61207.26"/>
    <n v="55424.27"/>
  </r>
  <r>
    <x v="349"/>
    <s v="Центр"/>
    <n v="91057.85"/>
    <n v="91057.85"/>
    <n v="82454.509999999995"/>
  </r>
  <r>
    <x v="3062"/>
    <s v="ЧЕРМЕТ"/>
    <n v="60698.45"/>
    <n v="60698.45"/>
    <n v="54963.53"/>
  </r>
  <r>
    <x v="864"/>
    <s v="ЗАВОКЗАЛЬНЫЙ"/>
    <n v="54389.120000000003"/>
    <n v="54389.120000000003"/>
    <n v="49250.32"/>
  </r>
  <r>
    <x v="3063"/>
    <s v="ИЗОПЛИТ"/>
    <n v="51994.29"/>
    <n v="51994.29"/>
    <n v="47081.760000000002"/>
  </r>
  <r>
    <x v="711"/>
    <s v="УРАЛМАШ"/>
    <n v="67842.240000000005"/>
    <n v="67842.240000000005"/>
    <n v="61432.36"/>
  </r>
  <r>
    <x v="3064"/>
    <s v="Центр"/>
    <n v="91057.85"/>
    <n v="91057.85"/>
    <n v="82454.509999999995"/>
  </r>
  <r>
    <x v="70"/>
    <s v="ЧЕРМЕТ"/>
    <n v="60698.45"/>
    <n v="60698.45"/>
    <n v="54963.53"/>
  </r>
  <r>
    <x v="3065"/>
    <s v="ВИЗ"/>
    <n v="81668.479999999996"/>
    <n v="81668.479999999996"/>
    <n v="73952.27"/>
  </r>
  <r>
    <x v="3066"/>
    <s v="ЭЛЬМАШ"/>
    <n v="68527.44"/>
    <n v="68527.44"/>
    <n v="62052.82"/>
  </r>
  <r>
    <x v="3067"/>
    <s v="УКТУС"/>
    <n v="61655.02"/>
    <n v="61655.02"/>
    <n v="55829.73"/>
  </r>
  <r>
    <x v="1108"/>
    <s v="Ю-З"/>
    <n v="74239.759999999995"/>
    <n v="74239.759999999995"/>
    <n v="67225.429999999993"/>
  </r>
  <r>
    <x v="3068"/>
    <s v="УКТУС"/>
    <n v="61655.02"/>
    <n v="61655.02"/>
    <n v="55829.73"/>
  </r>
  <r>
    <x v="539"/>
    <s v="Старая сортировка"/>
    <n v="57516.65"/>
    <n v="57516.65"/>
    <n v="52082.35"/>
  </r>
  <r>
    <x v="659"/>
    <s v="Старая сортировка"/>
    <n v="57516.65"/>
    <n v="57516.65"/>
    <n v="52082.35"/>
  </r>
  <r>
    <x v="3069"/>
    <s v="ЖБИ"/>
    <n v="67218.09"/>
    <n v="67218.09"/>
    <n v="60867.18"/>
  </r>
  <r>
    <x v="3070"/>
    <s v="ЧЕРМЕТ"/>
    <n v="60698.45"/>
    <n v="60698.45"/>
    <n v="54963.53"/>
  </r>
  <r>
    <x v="348"/>
    <s v="ВИЗ"/>
    <n v="81668.479999999996"/>
    <n v="81668.479999999996"/>
    <n v="73952.27"/>
  </r>
  <r>
    <x v="687"/>
    <s v="Центр"/>
    <n v="91057.85"/>
    <n v="91057.85"/>
    <n v="82454.509999999995"/>
  </r>
  <r>
    <x v="172"/>
    <s v="Центр"/>
    <n v="91057.85"/>
    <n v="91057.85"/>
    <n v="82454.509999999995"/>
  </r>
  <r>
    <x v="3071"/>
    <s v="ЖБИ"/>
    <n v="67218.09"/>
    <n v="67218.09"/>
    <n v="60867.18"/>
  </r>
  <r>
    <x v="3072"/>
    <s v="ШИРОКАЯ РЕЧКА"/>
    <n v="61207.26"/>
    <n v="61207.26"/>
    <n v="55424.27"/>
  </r>
  <r>
    <x v="887"/>
    <s v="АВТОВОКЗАЛ"/>
    <n v="81132.53"/>
    <n v="81132.53"/>
    <n v="73466.960000000006"/>
  </r>
  <r>
    <x v="634"/>
    <s v="АВТОВОКЗАЛ"/>
    <n v="81132.53"/>
    <n v="81132.53"/>
    <n v="73466.960000000006"/>
  </r>
  <r>
    <x v="3073"/>
    <s v="ГОРНЫЙ ЩИТ"/>
    <n v="50617.09"/>
    <n v="50617.09"/>
    <n v="45834.68"/>
  </r>
  <r>
    <x v="3074"/>
    <s v="ХИММАШ"/>
    <n v="60047.16"/>
    <n v="60047.16"/>
    <n v="54373.78"/>
  </r>
  <r>
    <x v="1037"/>
    <s v="Центр"/>
    <n v="91057.85"/>
    <n v="91057.85"/>
    <n v="82454.509999999995"/>
  </r>
  <r>
    <x v="3075"/>
    <s v="ЗАРЕЧНЫЙ"/>
    <n v="68887.009999999995"/>
    <n v="68887.009999999995"/>
    <n v="62378.42"/>
  </r>
  <r>
    <x v="533"/>
    <s v="АВТОВОКЗАЛ"/>
    <n v="81132.53"/>
    <n v="81132.53"/>
    <n v="73466.960000000006"/>
  </r>
  <r>
    <x v="1061"/>
    <s v="ВИЗ"/>
    <n v="81668.479999999996"/>
    <n v="81668.479999999996"/>
    <n v="73952.27"/>
  </r>
  <r>
    <x v="365"/>
    <s v="ЭЛЬМАШ"/>
    <n v="68527.44"/>
    <n v="68527.44"/>
    <n v="62052.82"/>
  </r>
  <r>
    <x v="3076"/>
    <s v="Старая сортировка"/>
    <n v="57516.65"/>
    <n v="57516.65"/>
    <n v="52082.35"/>
  </r>
  <r>
    <x v="3077"/>
    <s v="ЭЛЬМАШ"/>
    <n v="68527.44"/>
    <n v="68527.44"/>
    <n v="62052.82"/>
  </r>
  <r>
    <x v="524"/>
    <s v="УКТУС"/>
    <n v="61655.02"/>
    <n v="61655.02"/>
    <n v="55829.73"/>
  </r>
  <r>
    <x v="399"/>
    <s v="ВТУЗГОРОДОК"/>
    <n v="74667.16"/>
    <n v="74667.16"/>
    <n v="67612.45"/>
  </r>
  <r>
    <x v="3078"/>
    <s v="ЗАРЕЧНЫЙ"/>
    <n v="68887.009999999995"/>
    <n v="68887.009999999995"/>
    <n v="62378.42"/>
  </r>
  <r>
    <x v="414"/>
    <s v="ВОКЗАЛЬНЫЙ"/>
    <n v="76180.05"/>
    <n v="76180.05"/>
    <n v="68982.39"/>
  </r>
  <r>
    <x v="3079"/>
    <s v="Старая сортировка"/>
    <n v="57516.65"/>
    <n v="57516.65"/>
    <n v="52082.35"/>
  </r>
  <r>
    <x v="820"/>
    <s v="Центр"/>
    <n v="91057.85"/>
    <n v="91057.85"/>
    <n v="82454.509999999995"/>
  </r>
  <r>
    <x v="3080"/>
    <s v="ВИЗ"/>
    <n v="81668.479999999996"/>
    <n v="81668.479999999996"/>
    <n v="73952.27"/>
  </r>
  <r>
    <x v="3081"/>
    <s v="УКТУС"/>
    <n v="61655.02"/>
    <n v="61655.02"/>
    <n v="55829.73"/>
  </r>
  <r>
    <x v="90"/>
    <s v="УРАЛМАШ"/>
    <n v="67842.240000000005"/>
    <n v="67842.240000000005"/>
    <n v="61432.36"/>
  </r>
  <r>
    <x v="284"/>
    <s v="ЭЛЬМАШ"/>
    <n v="68527.44"/>
    <n v="68527.44"/>
    <n v="62052.82"/>
  </r>
  <r>
    <x v="3082"/>
    <s v="МЕДНЫЙ"/>
    <n v="49741.93"/>
    <n v="49741.93"/>
    <n v="45042.2"/>
  </r>
  <r>
    <x v="200"/>
    <s v="Центр"/>
    <n v="91057.85"/>
    <n v="91057.85"/>
    <n v="82454.509999999995"/>
  </r>
  <r>
    <x v="3083"/>
    <s v="ГОРНЫЙ ЩИТ"/>
    <n v="50617.09"/>
    <n v="50617.09"/>
    <n v="45834.68"/>
  </r>
  <r>
    <x v="3084"/>
    <s v="Нижнеисетский"/>
    <n v="45325.4"/>
    <n v="45325.4"/>
    <n v="41042.959999999999"/>
  </r>
  <r>
    <x v="225"/>
    <s v="ЗАРЕЧНЫЙ"/>
    <n v="68887.009999999995"/>
    <n v="68887.009999999995"/>
    <n v="62378.42"/>
  </r>
  <r>
    <x v="3085"/>
    <s v="Центр"/>
    <n v="91057.85"/>
    <n v="91057.85"/>
    <n v="82454.509999999995"/>
  </r>
  <r>
    <x v="177"/>
    <s v="БОТАНИЧЕСКИЙ"/>
    <n v="74660.38"/>
    <n v="74660.38"/>
    <n v="67606.31"/>
  </r>
  <r>
    <x v="318"/>
    <s v="ИЗОПЛИТ"/>
    <n v="51994.29"/>
    <n v="51994.29"/>
    <n v="47081.760000000002"/>
  </r>
  <r>
    <x v="446"/>
    <s v="УКТУС"/>
    <n v="61655.02"/>
    <n v="61655.02"/>
    <n v="55829.73"/>
  </r>
  <r>
    <x v="3086"/>
    <s v="ВИЗ"/>
    <n v="81668.479999999996"/>
    <n v="81668.479999999996"/>
    <n v="73952.27"/>
  </r>
  <r>
    <x v="188"/>
    <s v="ХИММАШ"/>
    <n v="60047.16"/>
    <n v="60047.16"/>
    <n v="54373.78"/>
  </r>
  <r>
    <x v="785"/>
    <s v="Центр"/>
    <n v="91057.85"/>
    <n v="91057.85"/>
    <n v="82454.509999999995"/>
  </r>
  <r>
    <x v="110"/>
    <s v="ВИЗ"/>
    <n v="81668.479999999996"/>
    <n v="81668.479999999996"/>
    <n v="73952.27"/>
  </r>
  <r>
    <x v="916"/>
    <s v="УРАЛМАШ"/>
    <n v="67842.240000000005"/>
    <n v="67842.240000000005"/>
    <n v="61432.36"/>
  </r>
  <r>
    <x v="3087"/>
    <s v="ШАБРОВСКИЙ"/>
    <n v="36417.71"/>
    <n v="36417.71"/>
    <n v="32976.89"/>
  </r>
  <r>
    <x v="3088"/>
    <s v="Старая сортировка"/>
    <n v="57516.65"/>
    <n v="57516.65"/>
    <n v="52082.35"/>
  </r>
  <r>
    <x v="609"/>
    <s v="КАЛИНОВСКИЙ"/>
    <n v="54782.6"/>
    <n v="54782.6"/>
    <n v="49606.63"/>
  </r>
  <r>
    <x v="1075"/>
    <s v="УНЦ"/>
    <n v="62774.42"/>
    <n v="62774.42"/>
    <n v="56843.360000000001"/>
  </r>
  <r>
    <x v="3089"/>
    <s v="Старая сортировка"/>
    <n v="57516.65"/>
    <n v="57516.65"/>
    <n v="52082.35"/>
  </r>
  <r>
    <x v="725"/>
    <s v="АВТОВОКЗАЛ"/>
    <n v="81132.53"/>
    <n v="81132.53"/>
    <n v="73466.960000000006"/>
  </r>
  <r>
    <x v="412"/>
    <s v="Центр"/>
    <n v="91057.85"/>
    <n v="91057.85"/>
    <n v="82454.509999999995"/>
  </r>
  <r>
    <x v="3090"/>
    <s v="Ю-З"/>
    <n v="74239.759999999995"/>
    <n v="74239.759999999995"/>
    <n v="67225.429999999993"/>
  </r>
  <r>
    <x v="3091"/>
    <s v="Старая сортировка"/>
    <n v="57516.65"/>
    <n v="57516.65"/>
    <n v="52082.35"/>
  </r>
  <r>
    <x v="3092"/>
    <s v="СОВХОЗ"/>
    <n v="57883"/>
    <n v="57883"/>
    <n v="52414.09"/>
  </r>
  <r>
    <x v="3093"/>
    <s v="УКТУС"/>
    <n v="61655.02"/>
    <n v="61655.02"/>
    <n v="55829.73"/>
  </r>
  <r>
    <x v="3094"/>
    <s v="ШИРОКАЯ РЕЧКА"/>
    <n v="61207.26"/>
    <n v="61207.26"/>
    <n v="55424.27"/>
  </r>
  <r>
    <x v="212"/>
    <s v="ЭЛЬМАШ"/>
    <n v="68527.44"/>
    <n v="68527.44"/>
    <n v="62052.82"/>
  </r>
  <r>
    <x v="784"/>
    <s v="Старая сортировка"/>
    <n v="57516.65"/>
    <n v="57516.65"/>
    <n v="52082.35"/>
  </r>
  <r>
    <x v="483"/>
    <s v="УРАЛМАШ"/>
    <n v="67842.240000000005"/>
    <n v="67842.240000000005"/>
    <n v="61432.36"/>
  </r>
  <r>
    <x v="3095"/>
    <s v="УКТУС"/>
    <n v="61655.02"/>
    <n v="61655.02"/>
    <n v="55829.73"/>
  </r>
  <r>
    <x v="84"/>
    <s v="ВОКЗАЛЬНЫЙ"/>
    <n v="76180.05"/>
    <n v="76180.05"/>
    <n v="68982.39"/>
  </r>
  <r>
    <x v="3096"/>
    <s v="Чусовское озеро"/>
    <n v="48229.05"/>
    <n v="48229.05"/>
    <n v="43672.26"/>
  </r>
  <r>
    <x v="275"/>
    <s v="ЗАВОКЗАЛЬНЫЙ"/>
    <n v="54389.120000000003"/>
    <n v="54389.120000000003"/>
    <n v="49250.32"/>
  </r>
  <r>
    <x v="3097"/>
    <s v="МЕДНЫЙ"/>
    <n v="49741.93"/>
    <n v="49741.93"/>
    <n v="45042.2"/>
  </r>
  <r>
    <x v="3098"/>
    <s v="Центр"/>
    <n v="91057.85"/>
    <n v="91057.85"/>
    <n v="82454.509999999995"/>
  </r>
  <r>
    <x v="397"/>
    <s v="ЗАВОКЗАЛЬНЫЙ"/>
    <n v="54389.120000000003"/>
    <n v="54389.120000000003"/>
    <n v="49250.32"/>
  </r>
  <r>
    <x v="1053"/>
    <s v="Ю-З"/>
    <n v="74239.759999999995"/>
    <n v="74239.759999999995"/>
    <n v="67225.429999999993"/>
  </r>
  <r>
    <x v="1110"/>
    <s v="Шарташский рынок"/>
    <n v="77197.679999999993"/>
    <n v="77197.679999999993"/>
    <n v="69903.88"/>
  </r>
  <r>
    <x v="866"/>
    <s v="СОВХОЗ"/>
    <n v="57883"/>
    <n v="57883"/>
    <n v="52414.09"/>
  </r>
  <r>
    <x v="731"/>
    <s v="УКТУС"/>
    <n v="61655.02"/>
    <n v="61655.02"/>
    <n v="55829.73"/>
  </r>
  <r>
    <x v="786"/>
    <s v="Центр"/>
    <n v="91057.85"/>
    <n v="91057.85"/>
    <n v="82454.509999999995"/>
  </r>
  <r>
    <x v="853"/>
    <s v="Старая сортировка"/>
    <n v="57516.65"/>
    <n v="57516.65"/>
    <n v="52082.35"/>
  </r>
  <r>
    <x v="3099"/>
    <s v="ВИЗ"/>
    <n v="81668.479999999996"/>
    <n v="81668.479999999996"/>
    <n v="73952.27"/>
  </r>
  <r>
    <x v="868"/>
    <s v="Центр"/>
    <n v="91057.85"/>
    <n v="91057.85"/>
    <n v="82454.509999999995"/>
  </r>
  <r>
    <x v="3100"/>
    <s v="ЭЛЬМАШ"/>
    <n v="68527.44"/>
    <n v="68527.44"/>
    <n v="62052.82"/>
  </r>
  <r>
    <x v="436"/>
    <s v="Старая сортировка"/>
    <n v="57516.65"/>
    <n v="57516.65"/>
    <n v="52082.35"/>
  </r>
  <r>
    <x v="442"/>
    <s v="ВИЗ"/>
    <n v="81668.479999999996"/>
    <n v="81668.479999999996"/>
    <n v="73952.27"/>
  </r>
  <r>
    <x v="117"/>
    <s v="УРАЛМАШ"/>
    <n v="67842.240000000005"/>
    <n v="67842.240000000005"/>
    <n v="61432.36"/>
  </r>
  <r>
    <x v="3101"/>
    <s v="ШАРТАШ"/>
    <n v="66003.710000000006"/>
    <n v="66003.710000000006"/>
    <n v="59767.54"/>
  </r>
  <r>
    <x v="3102"/>
    <s v="ЗАРЕЧНЫЙ"/>
    <n v="68887.009999999995"/>
    <n v="68887.009999999995"/>
    <n v="62378.42"/>
  </r>
  <r>
    <x v="689"/>
    <s v="ЭЛЬМАШ"/>
    <n v="68527.44"/>
    <n v="68527.44"/>
    <n v="62052.82"/>
  </r>
  <r>
    <x v="729"/>
    <s v="УКТУС"/>
    <n v="61655.02"/>
    <n v="61655.02"/>
    <n v="55829.73"/>
  </r>
  <r>
    <x v="3103"/>
    <s v="УРАЛМАШ"/>
    <n v="67842.240000000005"/>
    <n v="67842.240000000005"/>
    <n v="61432.36"/>
  </r>
  <r>
    <x v="3104"/>
    <s v="Центр"/>
    <n v="91057.85"/>
    <n v="91057.85"/>
    <n v="82454.509999999995"/>
  </r>
  <r>
    <x v="3105"/>
    <s v="ГОРНЫЙ ЩИТ"/>
    <n v="50617.09"/>
    <n v="50617.09"/>
    <n v="45834.68"/>
  </r>
  <r>
    <x v="3106"/>
    <s v="МЕДНЫЙ"/>
    <n v="49741.93"/>
    <n v="49741.93"/>
    <n v="45042.2"/>
  </r>
  <r>
    <x v="3107"/>
    <s v="ШИРОКАЯ РЕЧКА"/>
    <n v="61207.26"/>
    <n v="61207.26"/>
    <n v="55424.27"/>
  </r>
  <r>
    <x v="3108"/>
    <s v="ЗАРЕЧНЫЙ"/>
    <n v="68887.009999999995"/>
    <n v="68887.009999999995"/>
    <n v="62378.42"/>
  </r>
  <r>
    <x v="3109"/>
    <s v="Нижнеисетский"/>
    <n v="45325.4"/>
    <n v="45325.4"/>
    <n v="41042.959999999999"/>
  </r>
  <r>
    <x v="3110"/>
    <s v="Нижнеисетский"/>
    <n v="45325.4"/>
    <n v="45325.4"/>
    <n v="41042.959999999999"/>
  </r>
  <r>
    <x v="3111"/>
    <s v="ВИЗ"/>
    <n v="81668.479999999996"/>
    <n v="81668.479999999996"/>
    <n v="73952.27"/>
  </r>
  <r>
    <x v="3112"/>
    <s v="ШИРОКАЯ РЕЧКА"/>
    <n v="61207.26"/>
    <n v="61207.26"/>
    <n v="55424.27"/>
  </r>
  <r>
    <x v="3113"/>
    <s v="УКТУС"/>
    <n v="61655.02"/>
    <n v="61655.02"/>
    <n v="55829.73"/>
  </r>
  <r>
    <x v="3114"/>
    <s v="ВИЗ"/>
    <n v="81668.479999999996"/>
    <n v="81668.479999999996"/>
    <n v="73952.27"/>
  </r>
  <r>
    <x v="3115"/>
    <s v="Центр"/>
    <n v="91057.85"/>
    <n v="91057.85"/>
    <n v="82454.509999999995"/>
  </r>
  <r>
    <x v="3116"/>
    <s v="ЗАВОКЗАЛЬНЫЙ"/>
    <n v="54389.120000000003"/>
    <n v="54389.120000000003"/>
    <n v="49250.32"/>
  </r>
  <r>
    <x v="329"/>
    <s v="КОМПРЕССОРНЫЙ"/>
    <n v="54633.35"/>
    <n v="54633.35"/>
    <n v="49471.48"/>
  </r>
  <r>
    <x v="872"/>
    <s v="ВИЗ"/>
    <n v="81668.479999999996"/>
    <n v="81668.479999999996"/>
    <n v="73952.27"/>
  </r>
  <r>
    <x v="810"/>
    <s v="УРАЛМАШ"/>
    <n v="67842.240000000005"/>
    <n v="67842.240000000005"/>
    <n v="61432.36"/>
  </r>
  <r>
    <x v="3117"/>
    <s v="ВИЗ"/>
    <n v="81668.479999999996"/>
    <n v="81668.479999999996"/>
    <n v="73952.27"/>
  </r>
  <r>
    <x v="884"/>
    <s v="Старая сортировка"/>
    <n v="57516.65"/>
    <n v="57516.65"/>
    <n v="52082.35"/>
  </r>
  <r>
    <x v="501"/>
    <s v="Ю-З"/>
    <n v="74239.759999999995"/>
    <n v="74239.759999999995"/>
    <n v="67225.429999999993"/>
  </r>
  <r>
    <x v="3118"/>
    <s v="ЧЕРМЕТ"/>
    <n v="60698.45"/>
    <n v="60698.45"/>
    <n v="54963.53"/>
  </r>
  <r>
    <x v="728"/>
    <s v="УРАЛМАШ"/>
    <n v="67842.240000000005"/>
    <n v="67842.240000000005"/>
    <n v="61432.36"/>
  </r>
  <r>
    <x v="98"/>
    <s v="ВТУЗГОРОДОК"/>
    <n v="74667.16"/>
    <n v="74667.16"/>
    <n v="67612.45"/>
  </r>
  <r>
    <x v="1102"/>
    <s v="КОМПРЕССОРНЫЙ"/>
    <n v="54633.35"/>
    <n v="54633.35"/>
    <n v="49471.48"/>
  </r>
  <r>
    <x v="114"/>
    <s v="ПИОНЕРСКИЙ"/>
    <n v="75318.45"/>
    <n v="75318.45"/>
    <n v="68202.2"/>
  </r>
  <r>
    <x v="3119"/>
    <s v="УКТУС"/>
    <n v="61655.02"/>
    <n v="61655.02"/>
    <n v="55829.73"/>
  </r>
  <r>
    <x v="1090"/>
    <s v="УКТУС"/>
    <n v="61655.02"/>
    <n v="61655.02"/>
    <n v="55829.73"/>
  </r>
  <r>
    <x v="202"/>
    <s v="ИСТОК"/>
    <n v="51831.47"/>
    <n v="51831.47"/>
    <n v="46934.32"/>
  </r>
  <r>
    <x v="3120"/>
    <s v="Центр"/>
    <n v="91057.85"/>
    <n v="91057.85"/>
    <n v="82454.509999999995"/>
  </r>
  <r>
    <x v="3121"/>
    <s v="ШИРОКАЯ РЕЧКА"/>
    <n v="61207.26"/>
    <n v="61207.26"/>
    <n v="55424.27"/>
  </r>
  <r>
    <x v="956"/>
    <s v="ШАБРОВСКИЙ"/>
    <n v="36417.71"/>
    <n v="36417.71"/>
    <n v="32976.89"/>
  </r>
  <r>
    <x v="1082"/>
    <s v="УРАЛМАШ"/>
    <n v="67842.240000000005"/>
    <n v="67842.240000000005"/>
    <n v="61432.36"/>
  </r>
  <r>
    <x v="3122"/>
    <s v="КОЛЬЦОВО"/>
    <n v="53174.74"/>
    <n v="53174.74"/>
    <n v="48150.68"/>
  </r>
  <r>
    <x v="740"/>
    <s v="ВИЗ"/>
    <n v="81668.479999999996"/>
    <n v="81668.479999999996"/>
    <n v="73952.27"/>
  </r>
  <r>
    <x v="3123"/>
    <s v="ХИММАШ"/>
    <n v="60047.16"/>
    <n v="60047.16"/>
    <n v="54373.78"/>
  </r>
  <r>
    <x v="3124"/>
    <s v="ЧЕРМЕТ"/>
    <n v="60698.45"/>
    <n v="60698.45"/>
    <n v="54963.53"/>
  </r>
  <r>
    <x v="938"/>
    <s v="ВИЗ"/>
    <n v="81668.479999999996"/>
    <n v="81668.479999999996"/>
    <n v="73952.27"/>
  </r>
  <r>
    <x v="390"/>
    <s v="ВИЗ"/>
    <n v="81668.479999999996"/>
    <n v="81668.479999999996"/>
    <n v="73952.27"/>
  </r>
  <r>
    <x v="9"/>
    <s v="ЭЛЬМАШ"/>
    <n v="68527.44"/>
    <n v="68527.44"/>
    <n v="62052.82"/>
  </r>
  <r>
    <x v="241"/>
    <s v="ЭЛЬМАШ"/>
    <n v="68527.44"/>
    <n v="68527.44"/>
    <n v="62052.82"/>
  </r>
  <r>
    <x v="831"/>
    <s v="Ю-З"/>
    <n v="74239.759999999995"/>
    <n v="74239.759999999995"/>
    <n v="67225.429999999993"/>
  </r>
  <r>
    <x v="3125"/>
    <s v="ХИММАШ"/>
    <n v="60047.16"/>
    <n v="60047.16"/>
    <n v="54373.78"/>
  </r>
  <r>
    <x v="490"/>
    <s v="СОВХОЗ"/>
    <n v="57883"/>
    <n v="57883"/>
    <n v="52414.09"/>
  </r>
  <r>
    <x v="3126"/>
    <s v="ВИЗ"/>
    <n v="81668.479999999996"/>
    <n v="81668.479999999996"/>
    <n v="73952.27"/>
  </r>
  <r>
    <x v="43"/>
    <s v="ПИОНЕРСКИЙ"/>
    <n v="75318.45"/>
    <n v="75318.45"/>
    <n v="68202.2"/>
  </r>
  <r>
    <x v="3127"/>
    <s v="ПИОНЕРСКИЙ"/>
    <n v="75318.45"/>
    <n v="75318.45"/>
    <n v="68202.2"/>
  </r>
  <r>
    <x v="3128"/>
    <s v="ШАРТАШ"/>
    <n v="66003.710000000006"/>
    <n v="66003.710000000006"/>
    <n v="59767.54"/>
  </r>
  <r>
    <x v="3129"/>
    <s v="ПТИЦЕФАБРИКА"/>
    <n v="55074.33"/>
    <n v="55074.33"/>
    <n v="49870.79"/>
  </r>
  <r>
    <x v="3130"/>
    <s v="ЗАВОКЗАЛЬНЫЙ"/>
    <n v="54389.120000000003"/>
    <n v="54389.120000000003"/>
    <n v="49250.32"/>
  </r>
  <r>
    <x v="100"/>
    <s v="ШАРТАШ"/>
    <n v="66003.710000000006"/>
    <n v="66003.710000000006"/>
    <n v="59767.54"/>
  </r>
  <r>
    <x v="3131"/>
    <s v="БОТАНИЧЕСКИЙ"/>
    <n v="74660.38"/>
    <n v="74660.38"/>
    <n v="67606.31"/>
  </r>
  <r>
    <x v="499"/>
    <s v="ИЗОПЛИТ"/>
    <n v="51994.29"/>
    <n v="51994.29"/>
    <n v="47081.760000000002"/>
  </r>
  <r>
    <x v="3132"/>
    <s v="ПТИЦЕФАБРИКА"/>
    <n v="55074.33"/>
    <n v="55074.33"/>
    <n v="49870.79"/>
  </r>
  <r>
    <x v="3133"/>
    <s v="ПТИЦЕФАБРИКА"/>
    <n v="55074.33"/>
    <n v="55074.33"/>
    <n v="49870.79"/>
  </r>
  <r>
    <x v="763"/>
    <s v="ЕЛИЗАВЕТ"/>
    <n v="59056.67"/>
    <n v="59056.67"/>
    <n v="53476.87"/>
  </r>
  <r>
    <x v="3134"/>
    <s v="УКТУС"/>
    <n v="61655.02"/>
    <n v="61655.02"/>
    <n v="55829.73"/>
  </r>
  <r>
    <x v="3135"/>
    <s v="ЛЕЧЕБНЫЙ"/>
    <n v="55990.2"/>
    <n v="55990.2"/>
    <n v="50700.12"/>
  </r>
  <r>
    <x v="91"/>
    <s v="ВИЗ"/>
    <n v="81668.479999999996"/>
    <n v="81668.479999999996"/>
    <n v="73952.27"/>
  </r>
  <r>
    <x v="3136"/>
    <s v="ШАРТАШ"/>
    <n v="66003.710000000006"/>
    <n v="66003.710000000006"/>
    <n v="59767.54"/>
  </r>
  <r>
    <x v="816"/>
    <s v="УРАЛМАШ"/>
    <n v="67842.240000000005"/>
    <n v="67842.240000000005"/>
    <n v="61432.36"/>
  </r>
  <r>
    <x v="3137"/>
    <s v="ШАБРОВСКИЙ"/>
    <n v="36417.71"/>
    <n v="36417.71"/>
    <n v="32976.89"/>
  </r>
  <r>
    <x v="3138"/>
    <s v="ВИЗ"/>
    <n v="81668.479999999996"/>
    <n v="81668.479999999996"/>
    <n v="73952.27"/>
  </r>
  <r>
    <x v="3139"/>
    <s v="ШАРТАШ"/>
    <n v="66003.710000000006"/>
    <n v="66003.710000000006"/>
    <n v="59767.54"/>
  </r>
  <r>
    <x v="55"/>
    <s v="Ю-З"/>
    <n v="74239.759999999995"/>
    <n v="74239.759999999995"/>
    <n v="67225.429999999993"/>
  </r>
  <r>
    <x v="3140"/>
    <s v="ЭЛЬМАШ"/>
    <n v="68527.44"/>
    <n v="68527.44"/>
    <n v="62052.82"/>
  </r>
  <r>
    <x v="305"/>
    <s v="Ю-З"/>
    <n v="74239.759999999995"/>
    <n v="74239.759999999995"/>
    <n v="67225.429999999993"/>
  </r>
  <r>
    <x v="3141"/>
    <s v="ШАРТАШ"/>
    <n v="66003.710000000006"/>
    <n v="66003.710000000006"/>
    <n v="59767.54"/>
  </r>
  <r>
    <x v="471"/>
    <s v="БОТАНИЧЕСКИЙ"/>
    <n v="74660.38"/>
    <n v="74660.38"/>
    <n v="67606.31"/>
  </r>
  <r>
    <x v="342"/>
    <s v="Ю-З"/>
    <n v="74239.759999999995"/>
    <n v="74239.759999999995"/>
    <n v="67225.429999999993"/>
  </r>
  <r>
    <x v="180"/>
    <s v="Центр"/>
    <n v="91057.85"/>
    <n v="91057.85"/>
    <n v="82454.509999999995"/>
  </r>
  <r>
    <x v="141"/>
    <s v="ВТУЗГОРОДОК"/>
    <n v="74667.16"/>
    <n v="74667.16"/>
    <n v="67612.45"/>
  </r>
  <r>
    <x v="3142"/>
    <s v="ГОРНЫЙ ЩИТ"/>
    <n v="50617.09"/>
    <n v="50617.09"/>
    <n v="45834.68"/>
  </r>
  <r>
    <x v="3143"/>
    <s v="ШАРТАШ"/>
    <n v="66003.710000000006"/>
    <n v="66003.710000000006"/>
    <n v="59767.54"/>
  </r>
  <r>
    <x v="3144"/>
    <s v="ЗАРЕЧНЫЙ"/>
    <n v="68887.009999999995"/>
    <n v="68887.009999999995"/>
    <n v="62378.42"/>
  </r>
  <r>
    <x v="145"/>
    <s v="ВИЗ"/>
    <n v="81668.479999999996"/>
    <n v="81668.479999999996"/>
    <n v="73952.27"/>
  </r>
  <r>
    <x v="3145"/>
    <s v="ВИЗ"/>
    <n v="81668.479999999996"/>
    <n v="81668.479999999996"/>
    <n v="73952.27"/>
  </r>
  <r>
    <x v="3146"/>
    <s v="Старая сортировка"/>
    <n v="57516.65"/>
    <n v="57516.65"/>
    <n v="52082.35"/>
  </r>
  <r>
    <x v="3147"/>
    <s v="ИЗОПЛИТ"/>
    <n v="51994.29"/>
    <n v="51994.29"/>
    <n v="47081.760000000002"/>
  </r>
  <r>
    <x v="3148"/>
    <s v="Нижнеисетский"/>
    <n v="45325.4"/>
    <n v="45325.4"/>
    <n v="41042.959999999999"/>
  </r>
  <r>
    <x v="262"/>
    <s v="ШИРОКАЯ РЕЧКА"/>
    <n v="61207.26"/>
    <n v="61207.26"/>
    <n v="55424.27"/>
  </r>
  <r>
    <x v="921"/>
    <s v="Центр"/>
    <n v="91057.85"/>
    <n v="91057.85"/>
    <n v="82454.509999999995"/>
  </r>
  <r>
    <x v="3149"/>
    <s v="ШИРОКАЯ РЕЧКА"/>
    <n v="61207.26"/>
    <n v="61207.26"/>
    <n v="55424.27"/>
  </r>
  <r>
    <x v="3150"/>
    <s v="ЕЛИЗАВЕТ"/>
    <n v="59056.67"/>
    <n v="59056.67"/>
    <n v="53476.87"/>
  </r>
  <r>
    <x v="3151"/>
    <s v="Центр"/>
    <n v="91057.85"/>
    <n v="91057.85"/>
    <n v="82454.509999999995"/>
  </r>
  <r>
    <x v="502"/>
    <s v="Центр"/>
    <n v="91057.85"/>
    <n v="91057.85"/>
    <n v="82454.509999999995"/>
  </r>
  <r>
    <x v="3152"/>
    <s v="ШИРОКАЯ РЕЧКА"/>
    <n v="61207.26"/>
    <n v="61207.26"/>
    <n v="55424.27"/>
  </r>
  <r>
    <x v="3153"/>
    <s v="Центр"/>
    <n v="91057.85"/>
    <n v="91057.85"/>
    <n v="82454.509999999995"/>
  </r>
  <r>
    <x v="487"/>
    <s v="ЭЛЬМАШ"/>
    <n v="68527.44"/>
    <n v="68527.44"/>
    <n v="62052.82"/>
  </r>
  <r>
    <x v="149"/>
    <s v="ПИОНЕРСКИЙ"/>
    <n v="75318.45"/>
    <n v="75318.45"/>
    <n v="68202.2"/>
  </r>
  <r>
    <x v="3154"/>
    <s v="УКТУС"/>
    <n v="61655.02"/>
    <n v="61655.02"/>
    <n v="55829.73"/>
  </r>
  <r>
    <x v="398"/>
    <s v="ПАРКОВЫЙ"/>
    <n v="78853.03"/>
    <n v="78853.03"/>
    <n v="71402.83"/>
  </r>
  <r>
    <x v="942"/>
    <s v="УКТУС"/>
    <n v="61655.02"/>
    <n v="61655.02"/>
    <n v="55829.73"/>
  </r>
  <r>
    <x v="821"/>
    <s v="БОТАНИЧЕСКИЙ"/>
    <n v="74660.38"/>
    <n v="74660.38"/>
    <n v="67606.31"/>
  </r>
  <r>
    <x v="3155"/>
    <s v="ВТУЗГОРОДОК"/>
    <n v="74667.16"/>
    <n v="74667.16"/>
    <n v="67612.45"/>
  </r>
  <r>
    <x v="3156"/>
    <s v="ШИРОКАЯ РЕЧКА"/>
    <n v="61207.26"/>
    <n v="61207.26"/>
    <n v="55424.27"/>
  </r>
  <r>
    <x v="175"/>
    <s v="Центр"/>
    <n v="91057.85"/>
    <n v="91057.85"/>
    <n v="82454.509999999995"/>
  </r>
  <r>
    <x v="1074"/>
    <s v="КОЛЬЦОВО"/>
    <n v="53174.74"/>
    <n v="53174.74"/>
    <n v="48150.68"/>
  </r>
  <r>
    <x v="857"/>
    <s v="Ю-З"/>
    <n v="74239.759999999995"/>
    <n v="74239.759999999995"/>
    <n v="67225.429999999993"/>
  </r>
  <r>
    <x v="3157"/>
    <s v="Старая сортировка"/>
    <n v="57516.65"/>
    <n v="57516.65"/>
    <n v="52082.35"/>
  </r>
  <r>
    <x v="3158"/>
    <s v="ШАРТАШ"/>
    <n v="66003.710000000006"/>
    <n v="66003.710000000006"/>
    <n v="59767.54"/>
  </r>
  <r>
    <x v="182"/>
    <s v="САДОВЫЙ"/>
    <n v="51600.800000000003"/>
    <n v="51600.800000000003"/>
    <n v="46725.45"/>
  </r>
  <r>
    <x v="191"/>
    <s v="Ю-З"/>
    <n v="74239.759999999995"/>
    <n v="74239.759999999995"/>
    <n v="67225.429999999993"/>
  </r>
  <r>
    <x v="3159"/>
    <s v="ВИЗ"/>
    <n v="81668.479999999996"/>
    <n v="81668.479999999996"/>
    <n v="73952.27"/>
  </r>
  <r>
    <x v="1057"/>
    <s v="Ю-З"/>
    <n v="74239.759999999995"/>
    <n v="74239.759999999995"/>
    <n v="67225.429999999993"/>
  </r>
  <r>
    <x v="933"/>
    <s v="ПИОНЕРСКИЙ"/>
    <n v="75318.45"/>
    <n v="75318.45"/>
    <n v="68202.2"/>
  </r>
  <r>
    <x v="3160"/>
    <s v="ВИЗ"/>
    <n v="81668.479999999996"/>
    <n v="81668.479999999996"/>
    <n v="73952.27"/>
  </r>
  <r>
    <x v="3161"/>
    <s v="Сулим.Торфянник"/>
    <n v="45325.4"/>
    <n v="45325.4"/>
    <n v="41042.959999999999"/>
  </r>
  <r>
    <x v="851"/>
    <s v="КОЛЬЦОВО"/>
    <n v="53174.74"/>
    <n v="53174.74"/>
    <n v="48150.68"/>
  </r>
  <r>
    <x v="341"/>
    <s v="Ю-З"/>
    <n v="74239.759999999995"/>
    <n v="74239.759999999995"/>
    <n v="67225.429999999993"/>
  </r>
  <r>
    <x v="3162"/>
    <s v="ВИЗ"/>
    <n v="81668.479999999996"/>
    <n v="81668.479999999996"/>
    <n v="73952.27"/>
  </r>
  <r>
    <x v="3163"/>
    <s v="УКТУС"/>
    <n v="61655.02"/>
    <n v="61655.02"/>
    <n v="55829.73"/>
  </r>
  <r>
    <x v="1047"/>
    <s v="Ю-З"/>
    <n v="74239.759999999995"/>
    <n v="74239.759999999995"/>
    <n v="67225.429999999993"/>
  </r>
  <r>
    <x v="3164"/>
    <s v="УКТУС"/>
    <n v="61655.02"/>
    <n v="61655.02"/>
    <n v="55829.73"/>
  </r>
  <r>
    <x v="935"/>
    <s v="Центр"/>
    <n v="91057.85"/>
    <n v="91057.85"/>
    <n v="82454.509999999995"/>
  </r>
  <r>
    <x v="3165"/>
    <s v="ЕЛИЗАВЕТ"/>
    <n v="59056.67"/>
    <n v="59056.67"/>
    <n v="53476.87"/>
  </r>
  <r>
    <x v="3166"/>
    <s v="ГОРНЫЙ ЩИТ"/>
    <n v="50617.09"/>
    <n v="50617.09"/>
    <n v="45834.68"/>
  </r>
  <r>
    <x v="620"/>
    <s v="РУДНЫЙ"/>
    <n v="45325.4"/>
    <n v="45325.4"/>
    <n v="41042.959999999999"/>
  </r>
  <r>
    <x v="3167"/>
    <s v="УКТУС"/>
    <n v="61655.02"/>
    <n v="61655.02"/>
    <n v="55829.73"/>
  </r>
  <r>
    <x v="3168"/>
    <s v="ЕЛИЗАВЕТ"/>
    <n v="59056.67"/>
    <n v="59056.67"/>
    <n v="53476.87"/>
  </r>
  <r>
    <x v="74"/>
    <s v="ЧЕРМЕТ"/>
    <n v="60698.45"/>
    <n v="60698.45"/>
    <n v="54963.53"/>
  </r>
  <r>
    <x v="3169"/>
    <s v="СОВХОЗ"/>
    <n v="57883"/>
    <n v="57883"/>
    <n v="52414.09"/>
  </r>
  <r>
    <x v="584"/>
    <s v="Центр"/>
    <n v="91057.85"/>
    <n v="91057.85"/>
    <n v="82454.509999999995"/>
  </r>
  <r>
    <x v="194"/>
    <s v="Ю-З"/>
    <n v="74239.759999999995"/>
    <n v="74239.759999999995"/>
    <n v="67225.429999999993"/>
  </r>
  <r>
    <x v="208"/>
    <s v="Ю-З"/>
    <n v="74239.759999999995"/>
    <n v="74239.759999999995"/>
    <n v="67225.429999999993"/>
  </r>
  <r>
    <x v="3170"/>
    <s v="УРАЛМАШ"/>
    <n v="67842.240000000005"/>
    <n v="67842.240000000005"/>
    <n v="61432.36"/>
  </r>
  <r>
    <x v="321"/>
    <s v="ХИММАШ"/>
    <n v="60047.16"/>
    <n v="60047.16"/>
    <n v="54373.78"/>
  </r>
  <r>
    <x v="3171"/>
    <s v="ЭЛЬМАШ"/>
    <n v="68527.44"/>
    <n v="68527.44"/>
    <n v="62052.82"/>
  </r>
  <r>
    <x v="285"/>
    <s v="ВТУЗГОРОДОК"/>
    <n v="74667.16"/>
    <n v="74667.16"/>
    <n v="67612.45"/>
  </r>
  <r>
    <x v="867"/>
    <s v="ЧЕРМЕТ"/>
    <n v="60698.45"/>
    <n v="60698.45"/>
    <n v="54963.53"/>
  </r>
  <r>
    <x v="891"/>
    <s v="УНЦ"/>
    <n v="62774.42"/>
    <n v="62774.42"/>
    <n v="56843.360000000001"/>
  </r>
  <r>
    <x v="3172"/>
    <s v="ШАРТАШ"/>
    <n v="66003.710000000006"/>
    <n v="66003.710000000006"/>
    <n v="59767.54"/>
  </r>
  <r>
    <x v="121"/>
    <s v="ЖБИ"/>
    <n v="67218.09"/>
    <n v="67218.09"/>
    <n v="60867.18"/>
  </r>
  <r>
    <x v="3173"/>
    <s v="Старая сортировка"/>
    <n v="57516.65"/>
    <n v="57516.65"/>
    <n v="52082.35"/>
  </r>
  <r>
    <x v="3174"/>
    <s v="ЧЕРМЕТ"/>
    <n v="60698.45"/>
    <n v="60698.45"/>
    <n v="54963.53"/>
  </r>
  <r>
    <x v="3175"/>
    <s v="ШИРОКАЯ РЕЧКА"/>
    <n v="61207.26"/>
    <n v="61207.26"/>
    <n v="55424.27"/>
  </r>
  <r>
    <x v="3176"/>
    <s v="УКТУС"/>
    <n v="61655.02"/>
    <n v="61655.02"/>
    <n v="55829.73"/>
  </r>
  <r>
    <x v="473"/>
    <s v="Нижнеисетский"/>
    <n v="45325.4"/>
    <n v="45325.4"/>
    <n v="41042.959999999999"/>
  </r>
  <r>
    <x v="918"/>
    <s v="Центр"/>
    <n v="91057.85"/>
    <n v="91057.85"/>
    <n v="82454.509999999995"/>
  </r>
  <r>
    <x v="3177"/>
    <s v="Новая сортировка"/>
    <n v="62889.75"/>
    <n v="62889.75"/>
    <n v="56947.8"/>
  </r>
  <r>
    <x v="359"/>
    <s v="ЛЕЧЕБНЫЙ"/>
    <n v="55990.2"/>
    <n v="55990.2"/>
    <n v="50700.12"/>
  </r>
  <r>
    <x v="3178"/>
    <s v="ВИЗ"/>
    <n v="81668.479999999996"/>
    <n v="81668.479999999996"/>
    <n v="73952.27"/>
  </r>
  <r>
    <x v="143"/>
    <s v="АВТОВОКЗАЛ"/>
    <n v="81132.53"/>
    <n v="81132.53"/>
    <n v="73466.960000000006"/>
  </r>
  <r>
    <x v="543"/>
    <s v="ЗАВОКЗАЛЬНЫЙ"/>
    <n v="54389.120000000003"/>
    <n v="54389.120000000003"/>
    <n v="49250.32"/>
  </r>
  <r>
    <x v="40"/>
    <s v="Центр"/>
    <n v="91057.85"/>
    <n v="91057.85"/>
    <n v="82454.509999999995"/>
  </r>
  <r>
    <x v="355"/>
    <s v="АВТОВОКЗАЛ"/>
    <n v="81132.53"/>
    <n v="81132.53"/>
    <n v="73466.960000000006"/>
  </r>
  <r>
    <x v="3179"/>
    <s v="Нижнеисетский"/>
    <n v="45325.4"/>
    <n v="45325.4"/>
    <n v="41042.959999999999"/>
  </r>
  <r>
    <x v="529"/>
    <s v="Центр"/>
    <n v="91057.85"/>
    <n v="91057.85"/>
    <n v="82454.509999999995"/>
  </r>
  <r>
    <x v="387"/>
    <s v="ШАБРОВСКИЙ"/>
    <n v="36417.71"/>
    <n v="36417.71"/>
    <n v="32976.89"/>
  </r>
  <r>
    <x v="902"/>
    <s v="КОМПРЕССОРНЫЙ"/>
    <n v="54633.35"/>
    <n v="54633.35"/>
    <n v="49471.48"/>
  </r>
  <r>
    <x v="738"/>
    <s v="ВТУЗГОРОДОК"/>
    <n v="74667.16"/>
    <n v="74667.16"/>
    <n v="67612.45"/>
  </r>
  <r>
    <x v="682"/>
    <s v="УКТУС"/>
    <n v="61655.02"/>
    <n v="61655.02"/>
    <n v="55829.73"/>
  </r>
  <r>
    <x v="604"/>
    <s v="УРАЛМАШ"/>
    <n v="67842.240000000005"/>
    <n v="67842.240000000005"/>
    <n v="61432.36"/>
  </r>
  <r>
    <x v="3180"/>
    <s v="ЕЛИЗАВЕТ"/>
    <n v="59056.67"/>
    <n v="59056.67"/>
    <n v="53476.87"/>
  </r>
  <r>
    <x v="661"/>
    <s v="Центр"/>
    <n v="91057.85"/>
    <n v="91057.85"/>
    <n v="82454.509999999995"/>
  </r>
  <r>
    <x v="750"/>
    <s v="Центр"/>
    <n v="91057.85"/>
    <n v="91057.85"/>
    <n v="82454.509999999995"/>
  </r>
  <r>
    <x v="3181"/>
    <s v="ШИРОКАЯ РЕЧКА"/>
    <n v="61207.26"/>
    <n v="61207.26"/>
    <n v="55424.27"/>
  </r>
  <r>
    <x v="277"/>
    <s v="Ю-З"/>
    <n v="74239.759999999995"/>
    <n v="74239.759999999995"/>
    <n v="67225.429999999993"/>
  </r>
  <r>
    <x v="843"/>
    <s v="Старая сортировка"/>
    <n v="57516.65"/>
    <n v="57516.65"/>
    <n v="52082.35"/>
  </r>
  <r>
    <x v="13"/>
    <s v="ЭЛЬМАШ"/>
    <n v="68527.44"/>
    <n v="68527.44"/>
    <n v="62052.82"/>
  </r>
  <r>
    <x v="3182"/>
    <s v="Исток"/>
    <n v="51831.47"/>
    <n v="51831.47"/>
    <n v="46934.32"/>
  </r>
  <r>
    <x v="486"/>
    <s v="УРАЛМАШ"/>
    <n v="67842.240000000005"/>
    <n v="67842.240000000005"/>
    <n v="61432.36"/>
  </r>
  <r>
    <x v="3183"/>
    <s v="Северка"/>
    <n v="49579.11"/>
    <n v="49579.11"/>
    <n v="44894.77"/>
  </r>
  <r>
    <x v="181"/>
    <s v="БОТАНИЧЕСКИЙ"/>
    <n v="74660.38"/>
    <n v="74660.38"/>
    <n v="67606.31"/>
  </r>
  <r>
    <x v="3184"/>
    <s v="ШИРОКАЯ РЕЧКА"/>
    <n v="61207.26"/>
    <n v="61207.26"/>
    <n v="55424.27"/>
  </r>
  <r>
    <x v="737"/>
    <s v="Центр"/>
    <n v="91057.85"/>
    <n v="91057.85"/>
    <n v="82454.509999999995"/>
  </r>
  <r>
    <x v="3185"/>
    <s v="УРАЛМАШ"/>
    <n v="67842.240000000005"/>
    <n v="67842.240000000005"/>
    <n v="61432.36"/>
  </r>
  <r>
    <x v="3186"/>
    <s v="ВИЗ"/>
    <n v="81668.479999999996"/>
    <n v="81668.479999999996"/>
    <n v="73952.27"/>
  </r>
  <r>
    <x v="211"/>
    <s v="АВТОВОКЗАЛ"/>
    <n v="81132.53"/>
    <n v="81132.53"/>
    <n v="73466.960000000006"/>
  </r>
  <r>
    <x v="142"/>
    <s v="УКТУС"/>
    <n v="61655.02"/>
    <n v="61655.02"/>
    <n v="55829.73"/>
  </r>
  <r>
    <x v="3187"/>
    <s v="ШИРОКАЯ РЕЧКА"/>
    <n v="61207.26"/>
    <n v="61207.26"/>
    <n v="55424.27"/>
  </r>
  <r>
    <x v="3188"/>
    <s v="УКТУС"/>
    <n v="61655.02"/>
    <n v="61655.02"/>
    <n v="55829.73"/>
  </r>
  <r>
    <x v="123"/>
    <s v="ЖБИ"/>
    <n v="67218.09"/>
    <n v="67218.09"/>
    <n v="60867.18"/>
  </r>
  <r>
    <x v="3189"/>
    <s v="УКТУС"/>
    <n v="61655.02"/>
    <n v="61655.02"/>
    <n v="55829.73"/>
  </r>
  <r>
    <x v="286"/>
    <s v="Старая сортировка"/>
    <n v="57516.65"/>
    <n v="57516.65"/>
    <n v="52082.35"/>
  </r>
  <r>
    <x v="187"/>
    <s v="ПИОНЕРСКИЙ"/>
    <n v="75318.45"/>
    <n v="75318.45"/>
    <n v="68202.2"/>
  </r>
  <r>
    <x v="3190"/>
    <s v="ПИОНЕРСКИЙ"/>
    <n v="75318.45"/>
    <n v="75318.45"/>
    <n v="68202.2"/>
  </r>
  <r>
    <x v="3191"/>
    <s v="ХИММАШ"/>
    <n v="60047.16"/>
    <n v="60047.16"/>
    <n v="54373.78"/>
  </r>
  <r>
    <x v="3192"/>
    <s v="Ю-З"/>
    <n v="74239.759999999995"/>
    <n v="74239.759999999995"/>
    <n v="67225.429999999993"/>
  </r>
  <r>
    <x v="3193"/>
    <s v="УНЦ"/>
    <n v="62774.42"/>
    <n v="62774.42"/>
    <n v="56843.360000000001"/>
  </r>
  <r>
    <x v="3194"/>
    <s v="УКТУС"/>
    <n v="61655.02"/>
    <n v="61655.02"/>
    <n v="55829.73"/>
  </r>
  <r>
    <x v="3195"/>
    <s v="ГОРНЫЙ ЩИТ"/>
    <n v="50617.09"/>
    <n v="50617.09"/>
    <n v="45834.68"/>
  </r>
  <r>
    <x v="670"/>
    <s v="УРАЛМАШ"/>
    <n v="67842.240000000005"/>
    <n v="67842.240000000005"/>
    <n v="61432.36"/>
  </r>
  <r>
    <x v="635"/>
    <s v="Центр"/>
    <n v="91057.85"/>
    <n v="91057.85"/>
    <n v="82454.509999999995"/>
  </r>
  <r>
    <x v="3196"/>
    <s v="ЭЛЬМАШ"/>
    <n v="68527.44"/>
    <n v="68527.44"/>
    <n v="62052.82"/>
  </r>
  <r>
    <x v="3197"/>
    <s v="ШАРТАШ"/>
    <n v="66003.710000000006"/>
    <n v="66003.710000000006"/>
    <n v="59767.54"/>
  </r>
  <r>
    <x v="249"/>
    <s v="УРАЛМАШ"/>
    <n v="67842.240000000005"/>
    <n v="67842.240000000005"/>
    <n v="61432.36"/>
  </r>
  <r>
    <x v="118"/>
    <s v="ЗАВОКЗАЛЬНЫЙ"/>
    <n v="54389.120000000003"/>
    <n v="54389.120000000003"/>
    <n v="49250.32"/>
  </r>
  <r>
    <x v="974"/>
    <s v="Центр"/>
    <n v="91057.85"/>
    <n v="91057.85"/>
    <n v="82454.509999999995"/>
  </r>
  <r>
    <x v="817"/>
    <s v="ВИЗ"/>
    <n v="81668.479999999996"/>
    <n v="81668.479999999996"/>
    <n v="73952.27"/>
  </r>
  <r>
    <x v="911"/>
    <s v="УКТУС"/>
    <n v="61655.02"/>
    <n v="61655.02"/>
    <n v="55829.73"/>
  </r>
  <r>
    <x v="552"/>
    <s v="Центр"/>
    <n v="91057.85"/>
    <n v="91057.85"/>
    <n v="82454.509999999995"/>
  </r>
  <r>
    <x v="3198"/>
    <s v="Центр"/>
    <n v="91057.85"/>
    <n v="91057.85"/>
    <n v="82454.509999999995"/>
  </r>
  <r>
    <x v="3199"/>
    <s v="ЖБИ"/>
    <n v="67218.09"/>
    <n v="67218.09"/>
    <n v="60867.18"/>
  </r>
  <r>
    <x v="3200"/>
    <s v="ВТУЗГОРОДОК"/>
    <n v="74667.16"/>
    <n v="74667.16"/>
    <n v="67612.45"/>
  </r>
  <r>
    <x v="3201"/>
    <s v="ЧЕРМЕТ"/>
    <n v="60698.45"/>
    <n v="60698.45"/>
    <n v="54963.53"/>
  </r>
  <r>
    <x v="3202"/>
    <s v="ПИОНЕРСКИЙ"/>
    <n v="75318.45"/>
    <n v="75318.45"/>
    <n v="68202.2"/>
  </r>
  <r>
    <x v="97"/>
    <s v="ЖБИ"/>
    <n v="67218.09"/>
    <n v="67218.09"/>
    <n v="60867.18"/>
  </r>
  <r>
    <x v="3203"/>
    <s v="УКТУС"/>
    <n v="61655.02"/>
    <n v="61655.02"/>
    <n v="55829.73"/>
  </r>
  <r>
    <x v="3204"/>
    <s v="Центр"/>
    <n v="91057.85"/>
    <n v="91057.85"/>
    <n v="82454.509999999995"/>
  </r>
  <r>
    <x v="28"/>
    <s v="АВТОВОКЗАЛ"/>
    <n v="81132.53"/>
    <n v="81132.53"/>
    <n v="73466.960000000006"/>
  </r>
  <r>
    <x v="3205"/>
    <s v="Ю-З"/>
    <n v="74239.759999999995"/>
    <n v="74239.759999999995"/>
    <n v="67225.429999999993"/>
  </r>
  <r>
    <x v="3206"/>
    <s v="КОЛЬЦОВО"/>
    <n v="53174.74"/>
    <n v="53174.74"/>
    <n v="48150.68"/>
  </r>
  <r>
    <x v="744"/>
    <s v="УКТУС"/>
    <n v="61655.02"/>
    <n v="61655.02"/>
    <n v="55829.73"/>
  </r>
  <r>
    <x v="3207"/>
    <s v="ЗАВОКЗАЛЬНЫЙ"/>
    <n v="54389.120000000003"/>
    <n v="54389.120000000003"/>
    <n v="49250.32"/>
  </r>
  <r>
    <x v="569"/>
    <s v="Центр"/>
    <n v="91057.85"/>
    <n v="91057.85"/>
    <n v="82454.509999999995"/>
  </r>
  <r>
    <x v="303"/>
    <s v="ВИЗ"/>
    <n v="81668.479999999996"/>
    <n v="81668.479999999996"/>
    <n v="73952.27"/>
  </r>
  <r>
    <x v="3208"/>
    <s v="УКТУС"/>
    <n v="61655.02"/>
    <n v="61655.02"/>
    <n v="55829.73"/>
  </r>
  <r>
    <x v="1007"/>
    <s v="ШИРОКАЯ РЕЧКА"/>
    <n v="61207.26"/>
    <n v="61207.26"/>
    <n v="55424.27"/>
  </r>
  <r>
    <x v="88"/>
    <s v="Центр"/>
    <n v="91057.85"/>
    <n v="91057.85"/>
    <n v="82454.509999999995"/>
  </r>
  <r>
    <x v="3209"/>
    <s v="Ю-З"/>
    <n v="74239.759999999995"/>
    <n v="74239.759999999995"/>
    <n v="67225.429999999993"/>
  </r>
  <r>
    <x v="311"/>
    <s v="БОТАНИЧЕСКИЙ"/>
    <n v="74660.38"/>
    <n v="74660.38"/>
    <n v="67606.31"/>
  </r>
  <r>
    <x v="3210"/>
    <s v="УРАЛМАШ"/>
    <n v="67842.240000000005"/>
    <n v="67842.240000000005"/>
    <n v="61432.36"/>
  </r>
  <r>
    <x v="3211"/>
    <s v="ХИММАШ"/>
    <n v="60047.16"/>
    <n v="60047.16"/>
    <n v="54373.78"/>
  </r>
  <r>
    <x v="38"/>
    <s v="ВИЗ"/>
    <n v="81668.479999999996"/>
    <n v="81668.479999999996"/>
    <n v="73952.27"/>
  </r>
  <r>
    <x v="537"/>
    <s v="Старая сортировка"/>
    <n v="57516.65"/>
    <n v="57516.65"/>
    <n v="52082.35"/>
  </r>
  <r>
    <x v="3212"/>
    <s v="УРАЛМАШ"/>
    <n v="67842.240000000005"/>
    <n v="67842.240000000005"/>
    <n v="61432.36"/>
  </r>
  <r>
    <x v="3213"/>
    <s v="ВИЗ"/>
    <n v="81668.479999999996"/>
    <n v="81668.479999999996"/>
    <n v="73952.27"/>
  </r>
  <r>
    <x v="3214"/>
    <s v="ЭЛЬМАШ"/>
    <n v="68527.44"/>
    <n v="68527.44"/>
    <n v="62052.82"/>
  </r>
  <r>
    <x v="3215"/>
    <s v="АВТОВОКЗАЛ"/>
    <n v="81132.53"/>
    <n v="81132.53"/>
    <n v="73466.960000000006"/>
  </r>
  <r>
    <x v="108"/>
    <s v="ПТИЦЕФАБРИКА"/>
    <n v="55074.33"/>
    <n v="55074.33"/>
    <n v="49870.79"/>
  </r>
  <r>
    <x v="3216"/>
    <s v="ЧЕРМЕТ"/>
    <n v="60698.45"/>
    <n v="60698.45"/>
    <n v="54963.53"/>
  </r>
  <r>
    <x v="39"/>
    <s v="Центр"/>
    <n v="91057.85"/>
    <n v="91057.85"/>
    <n v="82454.509999999995"/>
  </r>
  <r>
    <x v="698"/>
    <s v="КОМПРЕССОРНЫЙ"/>
    <n v="54633.35"/>
    <n v="54633.35"/>
    <n v="49471.48"/>
  </r>
  <r>
    <x v="3217"/>
    <s v="ШАРТАШ"/>
    <n v="66003.710000000006"/>
    <n v="66003.710000000006"/>
    <n v="59767.54"/>
  </r>
  <r>
    <x v="668"/>
    <s v="АВТОВОКЗАЛ"/>
    <n v="81132.53"/>
    <n v="81132.53"/>
    <n v="73466.960000000006"/>
  </r>
  <r>
    <x v="3218"/>
    <s v="ВИЗ"/>
    <n v="81668.479999999996"/>
    <n v="81668.479999999996"/>
    <n v="73952.27"/>
  </r>
  <r>
    <x v="216"/>
    <s v="ВИЗ"/>
    <n v="81668.479999999996"/>
    <n v="81668.479999999996"/>
    <n v="73952.27"/>
  </r>
  <r>
    <x v="230"/>
    <s v="АВТОВОКЗАЛ"/>
    <n v="81132.53"/>
    <n v="81132.53"/>
    <n v="73466.960000000006"/>
  </r>
  <r>
    <x v="662"/>
    <s v="ХИММАШ"/>
    <n v="60047.16"/>
    <n v="60047.16"/>
    <n v="54373.78"/>
  </r>
  <r>
    <x v="827"/>
    <s v="ПИОНЕРСКИЙ"/>
    <n v="75318.45"/>
    <n v="75318.45"/>
    <n v="68202.2"/>
  </r>
  <r>
    <x v="859"/>
    <s v="ШАБРОВСКИЙ"/>
    <n v="36417.71"/>
    <n v="36417.71"/>
    <n v="32976.89"/>
  </r>
  <r>
    <x v="120"/>
    <s v="Ю-З"/>
    <n v="74239.759999999995"/>
    <n v="74239.759999999995"/>
    <n v="67225.429999999993"/>
  </r>
  <r>
    <x v="3219"/>
    <s v="Центр"/>
    <n v="91057.85"/>
    <n v="91057.85"/>
    <n v="82454.509999999995"/>
  </r>
  <r>
    <x v="209"/>
    <s v="ВТУЗГОРОДОК"/>
    <n v="74667.16"/>
    <n v="74667.16"/>
    <n v="67612.45"/>
  </r>
  <r>
    <x v="514"/>
    <s v="УКТУС"/>
    <n v="61655.02"/>
    <n v="61655.02"/>
    <n v="55829.73"/>
  </r>
  <r>
    <x v="3220"/>
    <s v="ГОРНЫЙ ЩИТ"/>
    <n v="50617.09"/>
    <n v="50617.09"/>
    <n v="45834.68"/>
  </r>
  <r>
    <x v="3221"/>
    <s v="ШАРТАШ"/>
    <n v="66003.710000000006"/>
    <n v="66003.710000000006"/>
    <n v="59767.54"/>
  </r>
  <r>
    <x v="567"/>
    <s v="ЭЛЬМАШ"/>
    <n v="68527.44"/>
    <n v="68527.44"/>
    <n v="62052.82"/>
  </r>
  <r>
    <x v="3222"/>
    <s v="САДОВЫЙ"/>
    <n v="51600.800000000003"/>
    <n v="51600.800000000003"/>
    <n v="46725.45"/>
  </r>
  <r>
    <x v="144"/>
    <s v="ПИОНЕРСКИЙ"/>
    <n v="75318.45"/>
    <n v="75318.45"/>
    <n v="68202.2"/>
  </r>
  <r>
    <x v="3223"/>
    <s v="ЕЛИЗАВЕТ"/>
    <n v="59056.67"/>
    <n v="59056.67"/>
    <n v="53476.87"/>
  </r>
  <r>
    <x v="20"/>
    <s v="УРАЛМАШ"/>
    <n v="67842.240000000005"/>
    <n v="67842.240000000005"/>
    <n v="61432.36"/>
  </r>
  <r>
    <x v="3224"/>
    <s v="БОТАНИЧЕСКИЙ"/>
    <n v="74660.38"/>
    <n v="74660.38"/>
    <n v="67606.31"/>
  </r>
  <r>
    <x v="1043"/>
    <s v="Центр"/>
    <n v="91057.85"/>
    <n v="91057.85"/>
    <n v="82454.509999999995"/>
  </r>
  <r>
    <x v="724"/>
    <s v="УРАЛМАШ"/>
    <n v="67842.240000000005"/>
    <n v="67842.240000000005"/>
    <n v="61432.36"/>
  </r>
  <r>
    <x v="700"/>
    <s v="ПИОНЕРСКИЙ"/>
    <n v="75318.45"/>
    <n v="75318.45"/>
    <n v="68202.2"/>
  </r>
  <r>
    <x v="150"/>
    <s v="ВТУЗГОРОДОК"/>
    <n v="74667.16"/>
    <n v="74667.16"/>
    <n v="67612.45"/>
  </r>
  <r>
    <x v="732"/>
    <s v="Центр"/>
    <n v="91057.85"/>
    <n v="91057.85"/>
    <n v="82454.509999999995"/>
  </r>
  <r>
    <x v="910"/>
    <s v="ШАРТАШ"/>
    <n v="66003.710000000006"/>
    <n v="66003.710000000006"/>
    <n v="59767.54"/>
  </r>
  <r>
    <x v="3225"/>
    <s v="Нижнеисетский"/>
    <n v="45325.4"/>
    <n v="45325.4"/>
    <n v="41042.959999999999"/>
  </r>
  <r>
    <x v="32"/>
    <s v="ЧЕРМЕТ"/>
    <n v="60698.45"/>
    <n v="60698.45"/>
    <n v="54963.53"/>
  </r>
  <r>
    <x v="131"/>
    <s v="Центр"/>
    <n v="91057.85"/>
    <n v="91057.85"/>
    <n v="82454.509999999995"/>
  </r>
  <r>
    <x v="160"/>
    <s v="ВИЗ"/>
    <n v="81668.479999999996"/>
    <n v="81668.479999999996"/>
    <n v="73952.27"/>
  </r>
  <r>
    <x v="404"/>
    <s v="АВТОВОКЗАЛ"/>
    <n v="81132.53"/>
    <n v="81132.53"/>
    <n v="73466.960000000006"/>
  </r>
  <r>
    <x v="814"/>
    <s v="Ю-З"/>
    <n v="74239.759999999995"/>
    <n v="74239.759999999995"/>
    <n v="67225.429999999993"/>
  </r>
  <r>
    <x v="1054"/>
    <s v="Центр"/>
    <n v="91057.85"/>
    <n v="91057.85"/>
    <n v="82454.509999999995"/>
  </r>
  <r>
    <x v="199"/>
    <s v="УКТУС"/>
    <n v="61655.02"/>
    <n v="61655.02"/>
    <n v="55829.73"/>
  </r>
  <r>
    <x v="888"/>
    <s v="АВТОВОКЗАЛ"/>
    <n v="81132.53"/>
    <n v="81132.53"/>
    <n v="73466.960000000006"/>
  </r>
  <r>
    <x v="1044"/>
    <s v="ВТУЗГОРОДОК"/>
    <n v="74667.16"/>
    <n v="74667.16"/>
    <n v="67612.45"/>
  </r>
  <r>
    <x v="3226"/>
    <s v="УКТУС"/>
    <n v="61655.02"/>
    <n v="61655.02"/>
    <n v="55829.73"/>
  </r>
  <r>
    <x v="829"/>
    <s v="ЧЕРМЕТ"/>
    <n v="60698.45"/>
    <n v="60698.45"/>
    <n v="54963.53"/>
  </r>
  <r>
    <x v="3227"/>
    <s v="УНЦ"/>
    <n v="62774.42"/>
    <n v="62774.42"/>
    <n v="56843.360000000001"/>
  </r>
  <r>
    <x v="3228"/>
    <s v="Ю-З"/>
    <n v="74239.759999999995"/>
    <n v="74239.759999999995"/>
    <n v="67225.429999999993"/>
  </r>
  <r>
    <x v="690"/>
    <s v="Шарташский рынок"/>
    <n v="77197.679999999993"/>
    <n v="77197.679999999993"/>
    <n v="69903.88"/>
  </r>
  <r>
    <x v="3229"/>
    <s v="ГОРНЫЙ ЩИТ"/>
    <n v="50617.09"/>
    <n v="50617.09"/>
    <n v="45834.68"/>
  </r>
  <r>
    <x v="3230"/>
    <s v="Старая сортировка"/>
    <n v="57516.65"/>
    <n v="57516.65"/>
    <n v="52082.35"/>
  </r>
  <r>
    <x v="697"/>
    <s v="УКТУС"/>
    <n v="61655.02"/>
    <n v="61655.02"/>
    <n v="55829.73"/>
  </r>
  <r>
    <x v="3231"/>
    <s v="ЧЕРМЕТ"/>
    <n v="60698.45"/>
    <n v="60698.45"/>
    <n v="54963.53"/>
  </r>
  <r>
    <x v="774"/>
    <s v="КОЛЬЦОВО"/>
    <n v="53174.74"/>
    <n v="53174.74"/>
    <n v="48150.68"/>
  </r>
  <r>
    <x v="557"/>
    <s v="Центр"/>
    <n v="91057.85"/>
    <n v="91057.85"/>
    <n v="82454.509999999995"/>
  </r>
  <r>
    <x v="178"/>
    <s v="СОВХОЗ"/>
    <n v="57883"/>
    <n v="57883"/>
    <n v="52414.09"/>
  </r>
  <r>
    <x v="378"/>
    <s v="ЭЛЬМАШ"/>
    <n v="68527.44"/>
    <n v="68527.44"/>
    <n v="62052.82"/>
  </r>
  <r>
    <x v="482"/>
    <s v="Центр"/>
    <n v="91057.85"/>
    <n v="91057.85"/>
    <n v="82454.509999999995"/>
  </r>
  <r>
    <x v="3232"/>
    <s v="УРАЛМАШ"/>
    <n v="67842.240000000005"/>
    <n v="67842.240000000005"/>
    <n v="61432.36"/>
  </r>
  <r>
    <x v="3233"/>
    <s v="УРАЛМАШ"/>
    <n v="67842.240000000005"/>
    <n v="67842.240000000005"/>
    <n v="61432.36"/>
  </r>
  <r>
    <x v="1006"/>
    <s v="ВТУЗГОРОДОК"/>
    <n v="74667.16"/>
    <n v="74667.16"/>
    <n v="67612.45"/>
  </r>
  <r>
    <x v="315"/>
    <s v="Центр"/>
    <n v="91057.85"/>
    <n v="91057.85"/>
    <n v="82454.509999999995"/>
  </r>
  <r>
    <x v="3234"/>
    <s v="ВИЗ"/>
    <n v="81668.479999999996"/>
    <n v="81668.479999999996"/>
    <n v="73952.27"/>
  </r>
  <r>
    <x v="1063"/>
    <s v="Новая сортировка"/>
    <n v="62889.75"/>
    <n v="62889.75"/>
    <n v="56947.8"/>
  </r>
  <r>
    <x v="274"/>
    <s v="ШИРОКАЯ РЕЧКА"/>
    <n v="61207.26"/>
    <n v="61207.26"/>
    <n v="55424.27"/>
  </r>
  <r>
    <x v="674"/>
    <s v="ШИРОКАЯ РЕЧКА"/>
    <n v="61207.26"/>
    <n v="61207.26"/>
    <n v="55424.27"/>
  </r>
  <r>
    <x v="885"/>
    <s v="Центр"/>
    <n v="91057.85"/>
    <n v="91057.85"/>
    <n v="82454.509999999995"/>
  </r>
  <r>
    <x v="381"/>
    <s v="Шарташский рынок"/>
    <n v="77197.679999999993"/>
    <n v="77197.679999999993"/>
    <n v="69903.88"/>
  </r>
  <r>
    <x v="753"/>
    <s v="СИБИРСКИЙ"/>
    <n v="61573.61"/>
    <n v="61573.61"/>
    <n v="55756.01"/>
  </r>
  <r>
    <x v="354"/>
    <s v="УКТУС"/>
    <n v="61655.02"/>
    <n v="61655.02"/>
    <n v="55829.73"/>
  </r>
  <r>
    <x v="173"/>
    <s v="СИНИЕ КАМНИ"/>
    <n v="66505.740000000005"/>
    <n v="66505.740000000005"/>
    <n v="60222.14"/>
  </r>
  <r>
    <x v="1094"/>
    <s v="УКТУС"/>
    <n v="61655.02"/>
    <n v="61655.02"/>
    <n v="55829.73"/>
  </r>
  <r>
    <x v="306"/>
    <s v="УРАЛМАШ"/>
    <n v="67842.240000000005"/>
    <n v="67842.240000000005"/>
    <n v="61432.36"/>
  </r>
  <r>
    <x v="112"/>
    <s v="ЭЛЬМАШ"/>
    <n v="68527.44"/>
    <n v="68527.44"/>
    <n v="62052.82"/>
  </r>
  <r>
    <x v="3235"/>
    <s v="СОВХОЗ"/>
    <n v="57883"/>
    <n v="57883"/>
    <n v="52414.09"/>
  </r>
  <r>
    <x v="3236"/>
    <s v="УКТУС"/>
    <n v="61655.02"/>
    <n v="61655.02"/>
    <n v="55829.73"/>
  </r>
  <r>
    <x v="336"/>
    <s v="ВИЗ"/>
    <n v="81668.479999999996"/>
    <n v="81668.479999999996"/>
    <n v="73952.27"/>
  </r>
  <r>
    <x v="363"/>
    <s v="Центр"/>
    <n v="91057.85"/>
    <n v="91057.85"/>
    <n v="82454.509999999995"/>
  </r>
  <r>
    <x v="691"/>
    <s v="ЗАРЕЧНЫЙ"/>
    <n v="68887.009999999995"/>
    <n v="68887.009999999995"/>
    <n v="62378.42"/>
  </r>
  <r>
    <x v="53"/>
    <s v="ПАРКОВЫЙ"/>
    <n v="78853.03"/>
    <n v="78853.03"/>
    <n v="71402.83"/>
  </r>
  <r>
    <x v="936"/>
    <s v="Ю-З"/>
    <n v="74239.759999999995"/>
    <n v="74239.759999999995"/>
    <n v="67225.429999999993"/>
  </r>
  <r>
    <x v="3237"/>
    <s v="ВИЗ"/>
    <n v="81668.479999999996"/>
    <n v="81668.479999999996"/>
    <n v="73952.27"/>
  </r>
  <r>
    <x v="154"/>
    <s v="ШИРОКАЯ РЕЧКА"/>
    <n v="61207.26"/>
    <n v="61207.26"/>
    <n v="55424.27"/>
  </r>
  <r>
    <x v="3238"/>
    <s v="СОВХОЗ"/>
    <n v="57883"/>
    <n v="57883"/>
    <n v="52414.09"/>
  </r>
  <r>
    <x v="421"/>
    <s v="УРАЛМАШ"/>
    <n v="67842.240000000005"/>
    <n v="67842.240000000005"/>
    <n v="61432.36"/>
  </r>
  <r>
    <x v="174"/>
    <s v="Центр"/>
    <n v="91057.85"/>
    <n v="91057.85"/>
    <n v="82454.509999999995"/>
  </r>
  <r>
    <x v="498"/>
    <s v="КОЛЬЦОВО"/>
    <n v="53174.74"/>
    <n v="53174.74"/>
    <n v="48150.68"/>
  </r>
  <r>
    <x v="3239"/>
    <s v="ВИЗ"/>
    <n v="81668.479999999996"/>
    <n v="81668.479999999996"/>
    <n v="73952.27"/>
  </r>
  <r>
    <x v="3240"/>
    <s v="Центр"/>
    <n v="91057.85"/>
    <n v="91057.85"/>
    <n v="82454.509999999995"/>
  </r>
  <r>
    <x v="3"/>
    <s v="Центр"/>
    <n v="91057.85"/>
    <n v="91057.85"/>
    <n v="82454.509999999995"/>
  </r>
  <r>
    <x v="745"/>
    <s v="УРАЛМАШ"/>
    <n v="67842.240000000005"/>
    <n v="67842.240000000005"/>
    <n v="61432.36"/>
  </r>
  <r>
    <x v="12"/>
    <s v="ЭЛЬМАШ"/>
    <n v="68527.44"/>
    <n v="68527.44"/>
    <n v="62052.82"/>
  </r>
  <r>
    <x v="3241"/>
    <s v="ЖБИ"/>
    <n v="67218.09"/>
    <n v="67218.09"/>
    <n v="60867.18"/>
  </r>
  <r>
    <x v="3242"/>
    <s v="ЗАВОКЗАЛЬНЫЙ"/>
    <n v="54389.120000000003"/>
    <n v="54389.120000000003"/>
    <n v="49250.32"/>
  </r>
  <r>
    <x v="3243"/>
    <s v="Нижнеисетский"/>
    <n v="45325.4"/>
    <n v="45325.4"/>
    <n v="41042.959999999999"/>
  </r>
  <r>
    <x v="3244"/>
    <s v="ЛЕЧЕБНЫЙ"/>
    <n v="55990.2"/>
    <n v="55990.2"/>
    <n v="50700.12"/>
  </r>
  <r>
    <x v="1058"/>
    <s v="СОВХОЗ"/>
    <n v="57883"/>
    <n v="57883"/>
    <n v="52414.09"/>
  </r>
  <r>
    <x v="601"/>
    <s v="ХИММАШ"/>
    <n v="60047.16"/>
    <n v="60047.16"/>
    <n v="54373.78"/>
  </r>
  <r>
    <x v="3245"/>
    <s v="ШИРОКАЯ РЕЧКА"/>
    <n v="61207.26"/>
    <n v="61207.26"/>
    <n v="55424.27"/>
  </r>
  <r>
    <x v="3246"/>
    <s v="Ю-З"/>
    <n v="74239.759999999995"/>
    <n v="74239.759999999995"/>
    <n v="67225.429999999993"/>
  </r>
  <r>
    <x v="245"/>
    <s v="УРАЛМАШ"/>
    <n v="67842.240000000005"/>
    <n v="67842.240000000005"/>
    <n v="61432.36"/>
  </r>
  <r>
    <x v="21"/>
    <s v="АВТОВОКЗАЛ"/>
    <n v="81132.53"/>
    <n v="81132.53"/>
    <n v="73466.960000000006"/>
  </r>
  <r>
    <x v="132"/>
    <s v="Центр"/>
    <n v="91057.85"/>
    <n v="91057.85"/>
    <n v="82454.509999999995"/>
  </r>
  <r>
    <x v="3247"/>
    <s v="Ю-З"/>
    <n v="74239.759999999995"/>
    <n v="74239.759999999995"/>
    <n v="67225.429999999993"/>
  </r>
  <r>
    <x v="3248"/>
    <s v="ЗАРЕЧНЫЙ"/>
    <n v="68887.009999999995"/>
    <n v="68887.009999999995"/>
    <n v="62378.42"/>
  </r>
  <r>
    <x v="3249"/>
    <s v="Ю-З"/>
    <n v="74239.759999999995"/>
    <n v="74239.759999999995"/>
    <n v="67225.429999999993"/>
  </r>
  <r>
    <x v="878"/>
    <s v="Центр"/>
    <n v="91057.85"/>
    <n v="91057.85"/>
    <n v="82454.509999999995"/>
  </r>
  <r>
    <x v="224"/>
    <s v="ЗАРЕЧНЫЙ"/>
    <n v="68887.009999999995"/>
    <n v="68887.009999999995"/>
    <n v="62378.42"/>
  </r>
  <r>
    <x v="595"/>
    <s v="ВТУЗГОРОДОК"/>
    <n v="74667.16"/>
    <n v="74667.16"/>
    <n v="67612.45"/>
  </r>
  <r>
    <x v="449"/>
    <s v="ЭЛЬМАШ"/>
    <n v="68527.44"/>
    <n v="68527.44"/>
    <n v="62052.82"/>
  </r>
  <r>
    <x v="3250"/>
    <s v="ГОРНЫЙ ЩИТ"/>
    <n v="50617.09"/>
    <n v="50617.09"/>
    <n v="45834.68"/>
  </r>
  <r>
    <x v="30"/>
    <s v="ЛЕЧЕБНЫЙ"/>
    <n v="55990.2"/>
    <n v="55990.2"/>
    <n v="50700.12"/>
  </r>
  <r>
    <x v="3251"/>
    <s v="ВИЗ"/>
    <n v="81668.479999999996"/>
    <n v="81668.479999999996"/>
    <n v="73952.27"/>
  </r>
  <r>
    <x v="896"/>
    <s v="АВТОВОКЗАЛ"/>
    <n v="81132.53"/>
    <n v="81132.53"/>
    <n v="73466.960000000006"/>
  </r>
  <r>
    <x v="3252"/>
    <s v="СИБИРСКИЙ"/>
    <n v="61573.61"/>
    <n v="61573.61"/>
    <n v="55756.01"/>
  </r>
  <r>
    <x v="705"/>
    <s v="УРАЛМАШ"/>
    <n v="67842.240000000005"/>
    <n v="67842.240000000005"/>
    <n v="61432.36"/>
  </r>
  <r>
    <x v="428"/>
    <s v="УНЦ"/>
    <n v="62774.42"/>
    <n v="62774.42"/>
    <n v="56843.360000000001"/>
  </r>
  <r>
    <x v="913"/>
    <s v="УРАЛМАШ"/>
    <n v="67842.240000000005"/>
    <n v="67842.240000000005"/>
    <n v="61432.36"/>
  </r>
  <r>
    <x v="779"/>
    <s v="ВИЗ"/>
    <n v="81668.479999999996"/>
    <n v="81668.479999999996"/>
    <n v="73952.27"/>
  </r>
  <r>
    <x v="534"/>
    <s v="Центр"/>
    <n v="91057.85"/>
    <n v="91057.85"/>
    <n v="82454.509999999995"/>
  </r>
  <r>
    <x v="865"/>
    <s v="Центр"/>
    <n v="91057.85"/>
    <n v="91057.85"/>
    <n v="82454.509999999995"/>
  </r>
  <r>
    <x v="1"/>
    <s v="КОМПРЕССОРНЫЙ"/>
    <n v="54633.35"/>
    <n v="54633.35"/>
    <n v="49471.48"/>
  </r>
  <r>
    <x v="129"/>
    <s v="УРАЛМАШ"/>
    <n v="67842.240000000005"/>
    <n v="67842.240000000005"/>
    <n v="61432.36"/>
  </r>
  <r>
    <x v="3253"/>
    <s v="САДОВЫЙ"/>
    <n v="51600.800000000003"/>
    <n v="51600.800000000003"/>
    <n v="46725.45"/>
  </r>
  <r>
    <x v="268"/>
    <s v="ПИОНЕРСКИЙ"/>
    <n v="75318.45"/>
    <n v="75318.45"/>
    <n v="68202.2"/>
  </r>
  <r>
    <x v="270"/>
    <s v="УРАЛМАШ"/>
    <n v="67842.240000000005"/>
    <n v="67842.240000000005"/>
    <n v="61432.36"/>
  </r>
  <r>
    <x v="3254"/>
    <s v="ЧУСОВСКОЕ ОЗЕРО"/>
    <n v="48229.05"/>
    <n v="48229.05"/>
    <n v="43672.26"/>
  </r>
  <r>
    <x v="769"/>
    <s v="ЭЛЬМАШ"/>
    <n v="68527.44"/>
    <n v="68527.44"/>
    <n v="62052.82"/>
  </r>
  <r>
    <x v="3255"/>
    <s v="Новая сортировка"/>
    <n v="62889.75"/>
    <n v="62889.75"/>
    <n v="56947.8"/>
  </r>
  <r>
    <x v="3256"/>
    <s v="ПОЛЕВОДСТВО"/>
    <n v="53954.93"/>
    <n v="53954.93"/>
    <n v="48857.15"/>
  </r>
  <r>
    <x v="3257"/>
    <s v="ГОРНЫЙ ЩИТ"/>
    <n v="50617.09"/>
    <n v="50617.09"/>
    <n v="45834.68"/>
  </r>
  <r>
    <x v="325"/>
    <s v="ЭЛЬМАШ"/>
    <n v="68527.44"/>
    <n v="68527.44"/>
    <n v="62052.82"/>
  </r>
  <r>
    <x v="636"/>
    <s v="ШИРОКАЯ РЕЧКА"/>
    <n v="61207.26"/>
    <n v="61207.26"/>
    <n v="55424.27"/>
  </r>
  <r>
    <x v="307"/>
    <s v="БОТАНИЧЕСКИЙ"/>
    <n v="74660.38"/>
    <n v="74660.38"/>
    <n v="67606.31"/>
  </r>
  <r>
    <x v="92"/>
    <s v="АВТОВОКЗАЛ"/>
    <n v="81132.53"/>
    <n v="81132.53"/>
    <n v="73466.960000000006"/>
  </r>
  <r>
    <x v="664"/>
    <s v="ЗАВОКЗАЛЬНЫЙ"/>
    <n v="54389.120000000003"/>
    <n v="54389.120000000003"/>
    <n v="49250.32"/>
  </r>
  <r>
    <x v="3258"/>
    <s v="Старая сортировка"/>
    <n v="57516.65"/>
    <n v="57516.65"/>
    <n v="52082.35"/>
  </r>
  <r>
    <x v="6"/>
    <s v="ПИОНЕРСКИЙ"/>
    <n v="75318.45"/>
    <n v="75318.45"/>
    <n v="68202.2"/>
  </r>
  <r>
    <x v="500"/>
    <s v="УРАЛМАШ"/>
    <n v="67842.240000000005"/>
    <n v="67842.240000000005"/>
    <n v="61432.36"/>
  </r>
  <r>
    <x v="424"/>
    <s v="Центр"/>
    <n v="91057.85"/>
    <n v="91057.85"/>
    <n v="82454.509999999995"/>
  </r>
  <r>
    <x v="952"/>
    <s v="ШАБРОВСКИЙ"/>
    <n v="36417.71"/>
    <n v="36417.71"/>
    <n v="32976.89"/>
  </r>
  <r>
    <x v="3259"/>
    <s v="ГОРНЫЙ ЩИТ"/>
    <n v="50617.09"/>
    <n v="50617.09"/>
    <n v="45834.68"/>
  </r>
  <r>
    <x v="295"/>
    <s v="УРАЛМАШ"/>
    <n v="67842.240000000005"/>
    <n v="67842.240000000005"/>
    <n v="61432.36"/>
  </r>
  <r>
    <x v="3260"/>
    <s v="ЛЕЧЕБНЫЙ"/>
    <n v="55990.2"/>
    <n v="55990.2"/>
    <n v="50700.12"/>
  </r>
  <r>
    <x v="509"/>
    <s v="Центр"/>
    <n v="91057.85"/>
    <n v="91057.85"/>
    <n v="82454.509999999995"/>
  </r>
  <r>
    <x v="3261"/>
    <s v="ШАРТАШ"/>
    <n v="66003.710000000006"/>
    <n v="66003.710000000006"/>
    <n v="59767.54"/>
  </r>
  <r>
    <x v="3262"/>
    <s v="СЕВЕРКА"/>
    <n v="49579.11"/>
    <n v="49579.11"/>
    <n v="44894.77"/>
  </r>
  <r>
    <x v="805"/>
    <s v="УКТУС"/>
    <n v="61655.02"/>
    <n v="61655.02"/>
    <n v="55829.73"/>
  </r>
  <r>
    <x v="289"/>
    <s v="ВОКЗАЛЬНЫЙ"/>
    <n v="76180.05"/>
    <n v="76180.05"/>
    <n v="68982.39"/>
  </r>
  <r>
    <x v="951"/>
    <s v="ВТУЗГОРОДОК"/>
    <n v="74667.16"/>
    <n v="74667.16"/>
    <n v="67612.45"/>
  </r>
  <r>
    <x v="266"/>
    <s v="Ю-З"/>
    <n v="74239.759999999995"/>
    <n v="74239.759999999995"/>
    <n v="67225.429999999993"/>
  </r>
  <r>
    <x v="3263"/>
    <s v="Нижнеисетский"/>
    <n v="45325.4"/>
    <n v="45325.4"/>
    <n v="41042.959999999999"/>
  </r>
  <r>
    <x v="481"/>
    <s v="УРАЛМАШ"/>
    <n v="67842.240000000005"/>
    <n v="67842.240000000005"/>
    <n v="61432.36"/>
  </r>
  <r>
    <x v="291"/>
    <s v="Новая сортировка"/>
    <n v="62889.75"/>
    <n v="62889.75"/>
    <n v="56947.8"/>
  </r>
  <r>
    <x v="799"/>
    <s v="ПИОНЕРСКИЙ"/>
    <n v="75318.45"/>
    <n v="75318.45"/>
    <n v="68202.2"/>
  </r>
  <r>
    <x v="3264"/>
    <s v="ЧЕРМЕТ"/>
    <n v="60698.45"/>
    <n v="60698.45"/>
    <n v="54963.53"/>
  </r>
  <r>
    <x v="269"/>
    <s v="ЭЛЬМАШ"/>
    <n v="68527.44"/>
    <n v="68527.44"/>
    <n v="62052.82"/>
  </r>
  <r>
    <x v="615"/>
    <s v="Центр"/>
    <n v="91057.85"/>
    <n v="91057.85"/>
    <n v="82454.509999999995"/>
  </r>
  <r>
    <x v="368"/>
    <s v="ПИОНЕРСКИЙ"/>
    <n v="75318.45"/>
    <n v="75318.45"/>
    <n v="68202.2"/>
  </r>
  <r>
    <x v="782"/>
    <s v="ЭЛЬМАШ"/>
    <n v="68527.44"/>
    <n v="68527.44"/>
    <n v="62052.82"/>
  </r>
  <r>
    <x v="226"/>
    <s v="ЧЕРМЕТ"/>
    <n v="60698.45"/>
    <n v="60698.45"/>
    <n v="54963.53"/>
  </r>
  <r>
    <x v="492"/>
    <s v="УРАЛМАШ"/>
    <n v="67842.240000000005"/>
    <n v="67842.240000000005"/>
    <n v="61432.36"/>
  </r>
  <r>
    <x v="218"/>
    <s v="ЗАВОКЗАЛЬНЫЙ"/>
    <n v="54389.120000000003"/>
    <n v="54389.120000000003"/>
    <n v="49250.32"/>
  </r>
  <r>
    <x v="515"/>
    <s v="ЕЛИЗАВЕТ"/>
    <n v="59056.67"/>
    <n v="59056.67"/>
    <n v="53476.87"/>
  </r>
  <r>
    <x v="3265"/>
    <s v="УРАЛМАШ"/>
    <n v="67842.240000000005"/>
    <n v="67842.240000000005"/>
    <n v="61432.36"/>
  </r>
  <r>
    <x v="684"/>
    <s v="Старая сортировка"/>
    <n v="57516.65"/>
    <n v="57516.65"/>
    <n v="52082.35"/>
  </r>
  <r>
    <x v="157"/>
    <s v="Центр"/>
    <n v="91057.85"/>
    <n v="91057.85"/>
    <n v="82454.509999999995"/>
  </r>
  <r>
    <x v="448"/>
    <s v="ВИЗ"/>
    <n v="81668.479999999996"/>
    <n v="81668.479999999996"/>
    <n v="73952.27"/>
  </r>
  <r>
    <x v="497"/>
    <s v="РУДНЫЙ"/>
    <n v="45325.4"/>
    <n v="45325.4"/>
    <n v="41042.959999999999"/>
  </r>
  <r>
    <x v="3266"/>
    <s v="БОТАНИЧЕСКИЙ"/>
    <n v="74660.38"/>
    <n v="74660.38"/>
    <n v="67606.31"/>
  </r>
  <r>
    <x v="3267"/>
    <s v="ШАБРОВСКИЙ"/>
    <n v="36417.71"/>
    <n v="36417.71"/>
    <n v="32976.89"/>
  </r>
  <r>
    <x v="930"/>
    <s v="ВИЗ"/>
    <n v="81668.479999999996"/>
    <n v="81668.479999999996"/>
    <n v="73952.27"/>
  </r>
  <r>
    <x v="747"/>
    <s v="ВИЗ"/>
    <n v="81668.479999999996"/>
    <n v="81668.479999999996"/>
    <n v="73952.27"/>
  </r>
  <r>
    <x v="733"/>
    <s v="ХИММАШ"/>
    <n v="60047.16"/>
    <n v="60047.16"/>
    <n v="54373.78"/>
  </r>
  <r>
    <x v="422"/>
    <s v="ИЗОПЛИТ"/>
    <n v="51994.29"/>
    <n v="51994.29"/>
    <n v="47081.760000000002"/>
  </r>
  <r>
    <x v="3268"/>
    <s v="ЕЛИЗАВЕТ"/>
    <n v="59056.67"/>
    <n v="59056.67"/>
    <n v="53476.87"/>
  </r>
  <r>
    <x v="574"/>
    <s v="УКТУС"/>
    <n v="61655.02"/>
    <n v="61655.02"/>
    <n v="55829.73"/>
  </r>
  <r>
    <x v="23"/>
    <s v="ЭЛЬМАШ"/>
    <n v="68527.44"/>
    <n v="68527.44"/>
    <n v="62052.82"/>
  </r>
  <r>
    <x v="3269"/>
    <s v="ЭЛЬМАШ"/>
    <n v="68527.44"/>
    <n v="68527.44"/>
    <n v="62052.82"/>
  </r>
  <r>
    <x v="231"/>
    <s v="УРАЛМАШ"/>
    <n v="67842.240000000005"/>
    <n v="67842.240000000005"/>
    <n v="61432.36"/>
  </r>
  <r>
    <x v="3270"/>
    <s v="ШАБРОВСКИЙ"/>
    <n v="36417.71"/>
    <n v="36417.71"/>
    <n v="32976.89"/>
  </r>
  <r>
    <x v="518"/>
    <s v="АВТОВОКЗАЛ"/>
    <n v="81132.53"/>
    <n v="81132.53"/>
    <n v="73466.960000000006"/>
  </r>
  <r>
    <x v="3271"/>
    <s v="ВИЗ"/>
    <n v="81668.479999999996"/>
    <n v="81668.479999999996"/>
    <n v="73952.27"/>
  </r>
  <r>
    <x v="1069"/>
    <s v="РУДНЫЙ"/>
    <n v="45325.4"/>
    <n v="45325.4"/>
    <n v="41042.959999999999"/>
  </r>
  <r>
    <x v="385"/>
    <s v="УКТУС"/>
    <n v="61655.02"/>
    <n v="61655.02"/>
    <n v="55829.73"/>
  </r>
  <r>
    <x v="5"/>
    <s v="Центр"/>
    <n v="91057.85"/>
    <n v="91057.85"/>
    <n v="82454.509999999995"/>
  </r>
  <r>
    <x v="3272"/>
    <s v="ШИРОКАЯ РЕЧКА"/>
    <n v="61207.26"/>
    <n v="61207.26"/>
    <n v="55424.27"/>
  </r>
  <r>
    <x v="638"/>
    <s v="Ю-З"/>
    <n v="74239.759999999995"/>
    <n v="74239.759999999995"/>
    <n v="67225.429999999993"/>
  </r>
  <r>
    <x v="535"/>
    <s v="ЭЛЬМАШ"/>
    <n v="68527.44"/>
    <n v="68527.44"/>
    <n v="62052.82"/>
  </r>
  <r>
    <x v="461"/>
    <s v="Новая сортировка"/>
    <n v="62889.75"/>
    <n v="62889.75"/>
    <n v="56947.8"/>
  </r>
  <r>
    <x v="3273"/>
    <s v="ШАРТАШ"/>
    <n v="66003.710000000006"/>
    <n v="66003.710000000006"/>
    <n v="59767.54"/>
  </r>
  <r>
    <x v="993"/>
    <s v="УРАЛМАШ"/>
    <n v="67842.240000000005"/>
    <n v="67842.240000000005"/>
    <n v="61432.36"/>
  </r>
  <r>
    <x v="3274"/>
    <s v="УНЦ"/>
    <n v="62774.42"/>
    <n v="62774.42"/>
    <n v="56843.360000000001"/>
  </r>
  <r>
    <x v="641"/>
    <s v="ГОРНЫЙ ЩИТ"/>
    <n v="50617.09"/>
    <n v="50617.09"/>
    <n v="45834.68"/>
  </r>
  <r>
    <x v="3275"/>
    <s v="Ю-З"/>
    <n v="74239.759999999995"/>
    <n v="74239.759999999995"/>
    <n v="67225.429999999993"/>
  </r>
  <r>
    <x v="3276"/>
    <s v="ШИРОКАЯ РЕЧКА"/>
    <n v="61207.26"/>
    <n v="61207.26"/>
    <n v="55424.27"/>
  </r>
  <r>
    <x v="302"/>
    <s v="ЖБИ"/>
    <n v="67218.09"/>
    <n v="67218.09"/>
    <n v="60867.18"/>
  </r>
  <r>
    <x v="124"/>
    <s v="ВТУЗГОРОДОК"/>
    <n v="74667.16"/>
    <n v="74667.16"/>
    <n v="67612.45"/>
  </r>
  <r>
    <x v="613"/>
    <s v="УКТУС"/>
    <n v="61655.02"/>
    <n v="61655.02"/>
    <n v="55829.73"/>
  </r>
  <r>
    <x v="585"/>
    <s v="Центр"/>
    <n v="91057.85"/>
    <n v="91057.85"/>
    <n v="82454.509999999995"/>
  </r>
  <r>
    <x v="3277"/>
    <s v="Старая сортировка"/>
    <n v="57516.65"/>
    <n v="57516.65"/>
    <n v="52082.35"/>
  </r>
  <r>
    <x v="790"/>
    <s v="ВТУЗГОРОДОК"/>
    <n v="74667.16"/>
    <n v="74667.16"/>
    <n v="67612.45"/>
  </r>
  <r>
    <x v="3278"/>
    <s v="ЭЛЬМАШ"/>
    <n v="68527.44"/>
    <n v="68527.44"/>
    <n v="62052.82"/>
  </r>
  <r>
    <x v="3279"/>
    <s v="УРАЛМАШ"/>
    <n v="67842.240000000005"/>
    <n v="67842.240000000005"/>
    <n v="61432.36"/>
  </r>
  <r>
    <x v="3280"/>
    <s v="Сулим.Торфянник"/>
    <n v="45325.4"/>
    <n v="45325.4"/>
    <n v="41042.959999999999"/>
  </r>
  <r>
    <x v="614"/>
    <s v="АКАДЕМИЧЕСКИЙ"/>
    <n v="59836.85"/>
    <n v="59836.85"/>
    <n v="54183.34"/>
  </r>
  <r>
    <x v="3281"/>
    <s v="Старая сортировка"/>
    <n v="57516.65"/>
    <n v="57516.65"/>
    <n v="52082.35"/>
  </r>
  <r>
    <x v="27"/>
    <s v="ЧЕРМЕТ"/>
    <n v="60698.45"/>
    <n v="60698.45"/>
    <n v="54963.53"/>
  </r>
  <r>
    <x v="168"/>
    <s v="ЭЛЬМАШ"/>
    <n v="68527.44"/>
    <n v="68527.44"/>
    <n v="62052.82"/>
  </r>
  <r>
    <x v="148"/>
    <s v="АВТОВОКЗАЛ"/>
    <n v="81132.53"/>
    <n v="81132.53"/>
    <n v="73466.960000000006"/>
  </r>
  <r>
    <x v="391"/>
    <s v="ШИРОКАЯ РЕЧКА"/>
    <n v="61207.26"/>
    <n v="61207.26"/>
    <n v="55424.27"/>
  </r>
  <r>
    <x v="599"/>
    <s v="ВТУЗГОРОДОК"/>
    <n v="74667.16"/>
    <n v="74667.16"/>
    <n v="67612.45"/>
  </r>
  <r>
    <x v="762"/>
    <s v="АВТОВОКЗАЛ"/>
    <n v="81132.53"/>
    <n v="81132.53"/>
    <n v="73466.960000000006"/>
  </r>
  <r>
    <x v="402"/>
    <s v="ХИММАШ"/>
    <n v="60047.16"/>
    <n v="60047.16"/>
    <n v="54373.78"/>
  </r>
  <r>
    <x v="89"/>
    <s v="УРАЛМАШ"/>
    <n v="67842.240000000005"/>
    <n v="67842.240000000005"/>
    <n v="61432.36"/>
  </r>
  <r>
    <x v="3282"/>
    <s v="ЧЕРМЕТ"/>
    <n v="60698.45"/>
    <n v="60698.45"/>
    <n v="54963.53"/>
  </r>
  <r>
    <x v="3283"/>
    <s v="КАЛИНОВСКИЙ"/>
    <n v="54782.6"/>
    <n v="54782.6"/>
    <n v="49606.63"/>
  </r>
  <r>
    <x v="3284"/>
    <s v="ИЗОПЛИТ"/>
    <n v="51994.29"/>
    <n v="51994.29"/>
    <n v="47081.760000000002"/>
  </r>
  <r>
    <x v="3285"/>
    <s v="ЗАРЕЧНЫЙ"/>
    <n v="68887.009999999995"/>
    <n v="68887.009999999995"/>
    <n v="62378.42"/>
  </r>
  <r>
    <x v="3286"/>
    <s v="УНЦ"/>
    <n v="62774.42"/>
    <n v="62774.42"/>
    <n v="56843.360000000001"/>
  </r>
  <r>
    <x v="3287"/>
    <s v="Центр"/>
    <n v="91057.85"/>
    <n v="91057.85"/>
    <n v="82454.509999999995"/>
  </r>
  <r>
    <x v="675"/>
    <s v="Старая сортировка"/>
    <n v="57516.65"/>
    <n v="57516.65"/>
    <n v="52082.35"/>
  </r>
  <r>
    <x v="237"/>
    <s v="Центр"/>
    <n v="91057.85"/>
    <n v="91057.85"/>
    <n v="82454.509999999995"/>
  </r>
  <r>
    <x v="3288"/>
    <s v="ЧЕРМЕТ"/>
    <n v="60698.45"/>
    <n v="60698.45"/>
    <n v="54963.53"/>
  </r>
  <r>
    <x v="3289"/>
    <s v="ПИОНЕРСКИЙ"/>
    <n v="75318.45"/>
    <n v="75318.45"/>
    <n v="68202.2"/>
  </r>
  <r>
    <x v="33"/>
    <s v="КОМПРЕССОРНЫЙ"/>
    <n v="54633.35"/>
    <n v="54633.35"/>
    <n v="49471.48"/>
  </r>
  <r>
    <x v="612"/>
    <s v="Центр"/>
    <n v="91057.85"/>
    <n v="91057.85"/>
    <n v="82454.509999999995"/>
  </r>
  <r>
    <x v="510"/>
    <s v="СЕВЕРКА"/>
    <n v="49579.11"/>
    <n v="49579.11"/>
    <n v="44894.77"/>
  </r>
  <r>
    <x v="837"/>
    <s v="ПИОНЕРСКИЙ"/>
    <n v="75318.45"/>
    <n v="75318.45"/>
    <n v="68202.2"/>
  </r>
  <r>
    <x v="3290"/>
    <s v="Нижнеисетский"/>
    <n v="45325.4"/>
    <n v="45325.4"/>
    <n v="41042.959999999999"/>
  </r>
  <r>
    <x v="3291"/>
    <s v="ЭЛЬМАШ"/>
    <n v="68527.44"/>
    <n v="68527.44"/>
    <n v="62052.82"/>
  </r>
  <r>
    <x v="660"/>
    <s v="УКТУС"/>
    <n v="61655.02"/>
    <n v="61655.02"/>
    <n v="55829.73"/>
  </r>
  <r>
    <x v="81"/>
    <s v="ВТУЗГОРОДОК"/>
    <n v="74667.16"/>
    <n v="74667.16"/>
    <n v="67612.45"/>
  </r>
  <r>
    <x v="3292"/>
    <s v="СОВХОЗ"/>
    <n v="57883"/>
    <n v="57883"/>
    <n v="52414.09"/>
  </r>
  <r>
    <x v="568"/>
    <s v="УРАЛМАШ"/>
    <n v="67842.240000000005"/>
    <n v="67842.240000000005"/>
    <n v="61432.36"/>
  </r>
  <r>
    <x v="64"/>
    <s v="АВТОВОКЗАЛ"/>
    <n v="81132.53"/>
    <n v="81132.53"/>
    <n v="73466.960000000006"/>
  </r>
  <r>
    <x v="1109"/>
    <s v="Центр"/>
    <n v="91057.85"/>
    <n v="91057.85"/>
    <n v="82454.509999999995"/>
  </r>
  <r>
    <x v="292"/>
    <s v="УРАЛМАШ"/>
    <n v="67842.240000000005"/>
    <n v="67842.240000000005"/>
    <n v="61432.36"/>
  </r>
  <r>
    <x v="773"/>
    <s v="УРАЛМАШ"/>
    <n v="67842.240000000005"/>
    <n v="67842.240000000005"/>
    <n v="61432.36"/>
  </r>
  <r>
    <x v="702"/>
    <s v="ЭЛЬМАШ"/>
    <n v="68527.44"/>
    <n v="68527.44"/>
    <n v="62052.82"/>
  </r>
  <r>
    <x v="496"/>
    <s v="ИСТОК"/>
    <n v="51831.47"/>
    <n v="51831.47"/>
    <n v="46934.32"/>
  </r>
  <r>
    <x v="152"/>
    <s v="ЧЕРМЕТ"/>
    <n v="60698.45"/>
    <n v="60698.45"/>
    <n v="54963.53"/>
  </r>
  <r>
    <x v="3293"/>
    <s v="Центр"/>
    <n v="91057.85"/>
    <n v="91057.85"/>
    <n v="82454.509999999995"/>
  </r>
  <r>
    <x v="3294"/>
    <s v="УРАЛМАШ"/>
    <n v="67842.240000000005"/>
    <n v="67842.240000000005"/>
    <n v="61432.36"/>
  </r>
  <r>
    <x v="3295"/>
    <s v="ВИЗ"/>
    <n v="81668.479999999996"/>
    <n v="81668.479999999996"/>
    <n v="73952.27"/>
  </r>
  <r>
    <x v="611"/>
    <s v="ВТУЗГОРОДОК"/>
    <n v="74667.16"/>
    <n v="74667.16"/>
    <n v="67612.45"/>
  </r>
  <r>
    <x v="16"/>
    <s v="ВИЗ"/>
    <n v="81668.479999999996"/>
    <n v="81668.479999999996"/>
    <n v="73952.27"/>
  </r>
  <r>
    <x v="1064"/>
    <s v="ШАБРОВСКИЙ"/>
    <n v="36417.71"/>
    <n v="36417.71"/>
    <n v="32976.89"/>
  </r>
  <r>
    <x v="3296"/>
    <s v="УКТУС"/>
    <n v="61655.02"/>
    <n v="61655.02"/>
    <n v="55829.73"/>
  </r>
  <r>
    <x v="3297"/>
    <s v="ЖБИ"/>
    <n v="67218.09"/>
    <n v="67218.09"/>
    <n v="60867.18"/>
  </r>
  <r>
    <x v="3298"/>
    <s v="Сулим.Торфянник"/>
    <n v="45325.4"/>
    <n v="45325.4"/>
    <n v="41042.959999999999"/>
  </r>
  <r>
    <x v="240"/>
    <s v="САДОВЫЙ"/>
    <n v="51600.800000000003"/>
    <n v="51600.800000000003"/>
    <n v="46725.45"/>
  </r>
  <r>
    <x v="671"/>
    <s v="Центр"/>
    <n v="91057.85"/>
    <n v="91057.85"/>
    <n v="82454.509999999995"/>
  </r>
  <r>
    <x v="3299"/>
    <s v="Старая сортировка"/>
    <n v="57516.65"/>
    <n v="57516.65"/>
    <n v="52082.35"/>
  </r>
  <r>
    <x v="648"/>
    <s v="УРАЛМАШ"/>
    <n v="67842.240000000005"/>
    <n v="67842.240000000005"/>
    <n v="61432.36"/>
  </r>
  <r>
    <x v="772"/>
    <s v="Старая сортировка"/>
    <n v="57516.65"/>
    <n v="57516.65"/>
    <n v="52082.35"/>
  </r>
  <r>
    <x v="3300"/>
    <s v="Северка"/>
    <n v="49579.11"/>
    <n v="49579.11"/>
    <n v="44894.77"/>
  </r>
  <r>
    <x v="3301"/>
    <s v="ХИММАШ"/>
    <n v="60047.16"/>
    <n v="60047.16"/>
    <n v="54373.78"/>
  </r>
  <r>
    <x v="3302"/>
    <s v="ВИЗ"/>
    <n v="81668.479999999996"/>
    <n v="81668.479999999996"/>
    <n v="73952.27"/>
  </r>
  <r>
    <x v="434"/>
    <s v="Центр"/>
    <n v="91057.85"/>
    <n v="91057.85"/>
    <n v="82454.509999999995"/>
  </r>
  <r>
    <x v="528"/>
    <s v="УРАЛМАШ"/>
    <n v="67842.240000000005"/>
    <n v="67842.240000000005"/>
    <n v="61432.36"/>
  </r>
  <r>
    <x v="3303"/>
    <s v="ШИРОКАЯ РЕЧКА"/>
    <n v="61207.26"/>
    <n v="61207.26"/>
    <n v="55424.27"/>
  </r>
  <r>
    <x v="3304"/>
    <s v="ШИРОКАЯ РЕЧКА"/>
    <n v="61207.26"/>
    <n v="61207.26"/>
    <n v="55424.27"/>
  </r>
  <r>
    <x v="3305"/>
    <s v="ВИЗ"/>
    <n v="81668.479999999996"/>
    <n v="81668.479999999996"/>
    <n v="73952.27"/>
  </r>
  <r>
    <x v="223"/>
    <s v="ВИЗ"/>
    <n v="81668.479999999996"/>
    <n v="81668.479999999996"/>
    <n v="73952.27"/>
  </r>
  <r>
    <x v="220"/>
    <s v="Новая сортировка"/>
    <n v="62889.75"/>
    <n v="62889.75"/>
    <n v="56947.8"/>
  </r>
  <r>
    <x v="3306"/>
    <s v="ШИРОКАЯ РЕЧКА"/>
    <n v="61207.26"/>
    <n v="61207.26"/>
    <n v="55424.27"/>
  </r>
  <r>
    <x v="207"/>
    <s v="АКАДЕМИЧЕСКИЙ"/>
    <n v="59836.85"/>
    <n v="59836.85"/>
    <n v="54183.34"/>
  </r>
  <r>
    <x v="826"/>
    <s v="ЕЛИЗАВЕТ"/>
    <n v="59056.67"/>
    <n v="59056.67"/>
    <n v="53476.87"/>
  </r>
  <r>
    <x v="453"/>
    <s v="Новая сортировка"/>
    <n v="62889.75"/>
    <n v="62889.75"/>
    <n v="56947.8"/>
  </r>
  <r>
    <x v="3307"/>
    <s v="ЧЕРМЕТ"/>
    <n v="60698.45"/>
    <n v="60698.45"/>
    <n v="54963.53"/>
  </r>
  <r>
    <x v="3308"/>
    <s v="КОМПРЕССОРНЫЙ"/>
    <n v="54633.35"/>
    <n v="54633.35"/>
    <n v="49471.48"/>
  </r>
  <r>
    <x v="3309"/>
    <s v="КОЛЬЦОВО"/>
    <n v="53174.74"/>
    <n v="53174.74"/>
    <n v="48150.68"/>
  </r>
  <r>
    <x v="396"/>
    <s v="Новая сортировка"/>
    <n v="62889.75"/>
    <n v="62889.75"/>
    <n v="56947.8"/>
  </r>
  <r>
    <x v="458"/>
    <s v="Ю-З"/>
    <n v="74239.759999999995"/>
    <n v="74239.759999999995"/>
    <n v="67225.429999999993"/>
  </r>
  <r>
    <x v="578"/>
    <s v="ПОЛЕВОДСТВО"/>
    <n v="53954.93"/>
    <n v="53954.93"/>
    <n v="48857.15"/>
  </r>
  <r>
    <x v="541"/>
    <s v="ВТУЗГОРОДОК"/>
    <n v="74667.16"/>
    <n v="74667.16"/>
    <n v="67612.45"/>
  </r>
  <r>
    <x v="308"/>
    <s v="Старая сортировка"/>
    <n v="57516.65"/>
    <n v="57516.65"/>
    <n v="52082.35"/>
  </r>
  <r>
    <x v="3310"/>
    <s v="ВИЗ"/>
    <n v="81668.479999999996"/>
    <n v="81668.479999999996"/>
    <n v="73952.27"/>
  </r>
  <r>
    <x v="791"/>
    <s v="Центр"/>
    <n v="91057.85"/>
    <n v="91057.85"/>
    <n v="82454.509999999995"/>
  </r>
  <r>
    <x v="3311"/>
    <s v="ГОРНЫЙ ЩИТ"/>
    <n v="50617.09"/>
    <n v="50617.09"/>
    <n v="45834.68"/>
  </r>
  <r>
    <x v="834"/>
    <s v="Центр"/>
    <n v="91057.85"/>
    <n v="91057.85"/>
    <n v="82454.509999999995"/>
  </r>
  <r>
    <x v="105"/>
    <s v="Центр"/>
    <n v="91057.85"/>
    <n v="91057.85"/>
    <n v="82454.509999999995"/>
  </r>
  <r>
    <x v="694"/>
    <s v="ЧЕРМЕТ"/>
    <n v="60698.45"/>
    <n v="60698.45"/>
    <n v="54963.53"/>
  </r>
  <r>
    <x v="3312"/>
    <s v="ШИРОКАЯ РЕЧКА"/>
    <n v="61207.26"/>
    <n v="61207.26"/>
    <n v="55424.27"/>
  </r>
  <r>
    <x v="85"/>
    <s v="АВТОВОКЗАЛ"/>
    <n v="81132.53"/>
    <n v="81132.53"/>
    <n v="73466.960000000006"/>
  </r>
  <r>
    <x v="555"/>
    <s v="ПИОНЕРСКИЙ"/>
    <n v="75318.45"/>
    <n v="75318.45"/>
    <n v="68202.2"/>
  </r>
  <r>
    <x v="589"/>
    <s v="КОМПРЕССОРНЫЙ"/>
    <n v="54633.35"/>
    <n v="54633.35"/>
    <n v="49471.48"/>
  </r>
  <r>
    <x v="279"/>
    <s v="ВТУЗГОРОДОК"/>
    <n v="74667.16"/>
    <n v="74667.16"/>
    <n v="67612.45"/>
  </r>
  <r>
    <x v="49"/>
    <s v="УРАЛМАШ"/>
    <n v="67842.240000000005"/>
    <n v="67842.240000000005"/>
    <n v="61432.36"/>
  </r>
  <r>
    <x v="3313"/>
    <s v="Нижнеисетский"/>
    <n v="45325.4"/>
    <n v="45325.4"/>
    <n v="41042.959999999999"/>
  </r>
  <r>
    <x v="3314"/>
    <s v="РУДНЫЙ"/>
    <n v="45325.4"/>
    <n v="45325.4"/>
    <n v="41042.959999999999"/>
  </r>
  <r>
    <x v="637"/>
    <s v="Ю-З"/>
    <n v="74239.759999999995"/>
    <n v="74239.759999999995"/>
    <n v="67225.429999999993"/>
  </r>
  <r>
    <x v="553"/>
    <s v="ЧЕРМЕТ"/>
    <n v="60698.45"/>
    <n v="60698.45"/>
    <n v="54963.53"/>
  </r>
  <r>
    <x v="723"/>
    <s v="ЭЛЬМАШ"/>
    <n v="68527.44"/>
    <n v="68527.44"/>
    <n v="62052.82"/>
  </r>
  <r>
    <x v="1101"/>
    <s v="АВТОВОКЗАЛ"/>
    <n v="81132.53"/>
    <n v="81132.53"/>
    <n v="73466.960000000006"/>
  </r>
  <r>
    <x v="242"/>
    <s v="ВТУЗГОРОДОК"/>
    <n v="74667.16"/>
    <n v="74667.16"/>
    <n v="67612.45"/>
  </r>
  <r>
    <x v="3315"/>
    <s v="ШАРТАШ"/>
    <n v="66003.710000000006"/>
    <n v="66003.710000000006"/>
    <n v="59767.54"/>
  </r>
  <r>
    <x v="860"/>
    <s v="ЭЛЬМАШ"/>
    <n v="68527.44"/>
    <n v="68527.44"/>
    <n v="62052.82"/>
  </r>
  <r>
    <x v="290"/>
    <s v="УРАЛМАШ"/>
    <n v="67842.240000000005"/>
    <n v="67842.240000000005"/>
    <n v="61432.36"/>
  </r>
  <r>
    <x v="630"/>
    <s v="БОТАНИЧЕСКИЙ"/>
    <n v="74660.38"/>
    <n v="74660.38"/>
    <n v="67606.31"/>
  </r>
  <r>
    <x v="658"/>
    <s v="ПИОНЕРСКИЙ"/>
    <n v="75318.45"/>
    <n v="75318.45"/>
    <n v="68202.2"/>
  </r>
  <r>
    <x v="128"/>
    <s v="Ю-З"/>
    <n v="74239.759999999995"/>
    <n v="74239.759999999995"/>
    <n v="67225.429999999993"/>
  </r>
  <r>
    <x v="736"/>
    <s v="АВТОВОКЗАЛ"/>
    <n v="81132.53"/>
    <n v="81132.53"/>
    <n v="73466.960000000006"/>
  </r>
  <r>
    <x v="87"/>
    <s v="АВТОВОКЗАЛ"/>
    <n v="81132.53"/>
    <n v="81132.53"/>
    <n v="73466.960000000006"/>
  </r>
  <r>
    <x v="984"/>
    <s v="ВТУЗГОРОДОК"/>
    <n v="74667.16"/>
    <n v="74667.16"/>
    <n v="67612.45"/>
  </r>
  <r>
    <x v="1078"/>
    <s v="Центр"/>
    <n v="91057.85"/>
    <n v="91057.85"/>
    <n v="82454.509999999995"/>
  </r>
  <r>
    <x v="296"/>
    <s v="УКТУС"/>
    <n v="61655.02"/>
    <n v="61655.02"/>
    <n v="55829.73"/>
  </r>
  <r>
    <x v="718"/>
    <s v="ВИЗ"/>
    <n v="81668.479999999996"/>
    <n v="81668.479999999996"/>
    <n v="73952.27"/>
  </r>
  <r>
    <x v="3316"/>
    <s v="Ю-З"/>
    <n v="74239.759999999995"/>
    <n v="74239.759999999995"/>
    <n v="67225.429999999993"/>
  </r>
  <r>
    <x v="3317"/>
    <s v="КОЛЬЦОВО"/>
    <n v="53174.74"/>
    <n v="53174.74"/>
    <n v="48150.68"/>
  </r>
  <r>
    <x v="616"/>
    <s v="САДОВЫЙ"/>
    <n v="51600.800000000003"/>
    <n v="51600.800000000003"/>
    <n v="46725.45"/>
  </r>
  <r>
    <x v="943"/>
    <s v="УНЦ"/>
    <n v="62774.42"/>
    <n v="62774.42"/>
    <n v="56843.360000000001"/>
  </r>
  <r>
    <x v="14"/>
    <s v="ЭЛЬМАШ"/>
    <n v="68527.44"/>
    <n v="68527.44"/>
    <n v="62052.82"/>
  </r>
  <r>
    <x v="3318"/>
    <s v="Старая сортировка"/>
    <n v="57516.65"/>
    <n v="57516.65"/>
    <n v="52082.35"/>
  </r>
  <r>
    <x v="137"/>
    <s v="АВТОВОКЗАЛ"/>
    <n v="81132.53"/>
    <n v="81132.53"/>
    <n v="73466.960000000006"/>
  </r>
  <r>
    <x v="507"/>
    <s v="Центр"/>
    <n v="91057.85"/>
    <n v="91057.85"/>
    <n v="82454.509999999995"/>
  </r>
  <r>
    <x v="3319"/>
    <s v="УКТУС"/>
    <n v="61655.02"/>
    <n v="61655.02"/>
    <n v="55829.73"/>
  </r>
  <r>
    <x v="3320"/>
    <s v="СОВХОЗ"/>
    <n v="57883"/>
    <n v="57883"/>
    <n v="52414.09"/>
  </r>
  <r>
    <x v="909"/>
    <s v="Центр"/>
    <n v="91057.85"/>
    <n v="91057.85"/>
    <n v="82454.509999999995"/>
  </r>
  <r>
    <x v="3321"/>
    <s v="АВТОВОКЗАЛ"/>
    <n v="81132.53"/>
    <n v="81132.53"/>
    <n v="73466.960000000006"/>
  </r>
  <r>
    <x v="3322"/>
    <s v="Центр"/>
    <n v="91057.85"/>
    <n v="91057.85"/>
    <n v="82454.509999999995"/>
  </r>
  <r>
    <x v="316"/>
    <s v="ВТУЗГОРОДОК"/>
    <n v="74667.16"/>
    <n v="74667.16"/>
    <n v="67612.45"/>
  </r>
  <r>
    <x v="3323"/>
    <s v="ВИЗ"/>
    <n v="81668.479999999996"/>
    <n v="81668.479999999996"/>
    <n v="73952.27"/>
  </r>
  <r>
    <x v="3324"/>
    <s v="ЗАРЕЧНЫЙ"/>
    <n v="68887.009999999995"/>
    <n v="68887.009999999995"/>
    <n v="62378.42"/>
  </r>
  <r>
    <x v="540"/>
    <s v="КАЛИНОВСКИЙ"/>
    <n v="54782.6"/>
    <n v="54782.6"/>
    <n v="49606.63"/>
  </r>
  <r>
    <x v="485"/>
    <s v="ЭЛЬМАШ"/>
    <n v="68527.44"/>
    <n v="68527.44"/>
    <n v="62052.82"/>
  </r>
  <r>
    <x v="26"/>
    <s v="БОТАНИЧЕСКИЙ"/>
    <n v="74660.38"/>
    <n v="74660.38"/>
    <n v="67606.31"/>
  </r>
  <r>
    <x v="138"/>
    <s v="Центр"/>
    <n v="91057.85"/>
    <n v="91057.85"/>
    <n v="82454.509999999995"/>
  </r>
  <r>
    <x v="3325"/>
    <s v="Ю-З"/>
    <n v="74239.759999999995"/>
    <n v="74239.759999999995"/>
    <n v="67225.429999999993"/>
  </r>
  <r>
    <x v="420"/>
    <s v="ВИЗ"/>
    <n v="81668.479999999996"/>
    <n v="81668.479999999996"/>
    <n v="73952.27"/>
  </r>
  <r>
    <x v="3326"/>
    <s v="Сулим.Торфянник"/>
    <n v="45325.4"/>
    <n v="45325.4"/>
    <n v="41042.959999999999"/>
  </r>
  <r>
    <x v="519"/>
    <s v="АВТОВОКЗАЛ"/>
    <n v="81132.53"/>
    <n v="81132.53"/>
    <n v="73466.960000000006"/>
  </r>
  <r>
    <x v="42"/>
    <s v="АВТОВОКЗАЛ"/>
    <n v="81132.53"/>
    <n v="81132.53"/>
    <n v="73466.960000000006"/>
  </r>
  <r>
    <x v="768"/>
    <s v="ЧЕРМЕТ"/>
    <n v="60698.45"/>
    <n v="60698.45"/>
    <n v="54963.53"/>
  </r>
  <r>
    <x v="60"/>
    <s v="ЕЛИЗАВЕТ"/>
    <n v="59056.67"/>
    <n v="59056.67"/>
    <n v="53476.87"/>
  </r>
  <r>
    <x v="106"/>
    <s v="ЗАРЕЧНЫЙ"/>
    <n v="68887.009999999995"/>
    <n v="68887.009999999995"/>
    <n v="62378.42"/>
  </r>
  <r>
    <x v="3327"/>
    <s v="ШАРТАШ"/>
    <n v="66003.710000000006"/>
    <n v="66003.710000000006"/>
    <n v="59767.54"/>
  </r>
  <r>
    <x v="347"/>
    <s v="ЗАВОКЗАЛЬНЫЙ"/>
    <n v="54389.120000000003"/>
    <n v="54389.120000000003"/>
    <n v="49250.32"/>
  </r>
  <r>
    <x v="726"/>
    <s v="ВТУЗГОРОДОК"/>
    <n v="74667.16"/>
    <n v="74667.16"/>
    <n v="67612.45"/>
  </r>
  <r>
    <x v="652"/>
    <s v="УРАЛМАШ"/>
    <n v="67842.240000000005"/>
    <n v="67842.240000000005"/>
    <n v="61432.36"/>
  </r>
  <r>
    <x v="47"/>
    <s v="УРАЛМАШ"/>
    <n v="67842.240000000005"/>
    <n v="67842.240000000005"/>
    <n v="61432.36"/>
  </r>
  <r>
    <x v="3328"/>
    <s v="АВТОВОКЗАЛ"/>
    <n v="81132.53"/>
    <n v="81132.53"/>
    <n v="73466.960000000006"/>
  </r>
  <r>
    <x v="455"/>
    <s v="ХИММАШ"/>
    <n v="60047.16"/>
    <n v="60047.16"/>
    <n v="54373.78"/>
  </r>
  <r>
    <x v="493"/>
    <s v="УРАЛМАШ"/>
    <n v="67842.240000000005"/>
    <n v="67842.240000000005"/>
    <n v="61432.36"/>
  </r>
  <r>
    <x v="184"/>
    <s v="Ю-З"/>
    <n v="74239.759999999995"/>
    <n v="74239.759999999995"/>
    <n v="67225.429999999993"/>
  </r>
  <r>
    <x v="423"/>
    <s v="Центр"/>
    <n v="91057.85"/>
    <n v="91057.85"/>
    <n v="82454.509999999995"/>
  </r>
  <r>
    <x v="3329"/>
    <s v="ЛЕЧЕБНЫЙ"/>
    <n v="55990.2"/>
    <n v="55990.2"/>
    <n v="50700.12"/>
  </r>
  <r>
    <x v="3330"/>
    <s v="ВИЗ"/>
    <n v="81668.479999999996"/>
    <n v="81668.479999999996"/>
    <n v="73952.27"/>
  </r>
  <r>
    <x v="3331"/>
    <s v="ВТУЗГОРОДОК"/>
    <n v="74667.16"/>
    <n v="74667.16"/>
    <n v="67612.45"/>
  </r>
  <r>
    <x v="362"/>
    <s v="ЭЛЬМАШ"/>
    <n v="68527.44"/>
    <n v="68527.44"/>
    <n v="62052.82"/>
  </r>
  <r>
    <x v="838"/>
    <s v="Центр"/>
    <n v="91057.85"/>
    <n v="91057.85"/>
    <n v="82454.509999999995"/>
  </r>
  <r>
    <x v="3332"/>
    <s v="ШАРТАШ"/>
    <n v="66003.710000000006"/>
    <n v="66003.710000000006"/>
    <n v="59767.54"/>
  </r>
  <r>
    <x v="3333"/>
    <s v="АВТОВОКЗАЛ"/>
    <n v="81132.53"/>
    <n v="81132.53"/>
    <n v="73466.960000000006"/>
  </r>
  <r>
    <x v="3334"/>
    <s v="Нижнеисетский"/>
    <n v="45325.4"/>
    <n v="45325.4"/>
    <n v="41042.959999999999"/>
  </r>
  <r>
    <x v="51"/>
    <s v="СИБИРСКИЙ"/>
    <n v="61573.61"/>
    <n v="61573.61"/>
    <n v="55756.01"/>
  </r>
  <r>
    <x v="522"/>
    <s v="УКТУС"/>
    <n v="61655.02"/>
    <n v="61655.02"/>
    <n v="55829.73"/>
  </r>
  <r>
    <x v="965"/>
    <s v="Нижнеисетский"/>
    <n v="45325.4"/>
    <n v="45325.4"/>
    <n v="41042.959999999999"/>
  </r>
  <r>
    <x v="192"/>
    <s v="ПИОНЕРСКИЙ"/>
    <n v="75318.45"/>
    <n v="75318.45"/>
    <n v="68202.2"/>
  </r>
  <r>
    <x v="770"/>
    <s v="УРАЛМАШ"/>
    <n v="67842.240000000005"/>
    <n v="67842.240000000005"/>
    <n v="61432.36"/>
  </r>
  <r>
    <x v="512"/>
    <s v="ХИММАШ"/>
    <n v="60047.16"/>
    <n v="60047.16"/>
    <n v="54373.78"/>
  </r>
  <r>
    <x v="3335"/>
    <s v="ШАРТАШ"/>
    <n v="66003.710000000006"/>
    <n v="66003.710000000006"/>
    <n v="59767.54"/>
  </r>
  <r>
    <x v="3336"/>
    <s v="Старая сортировка"/>
    <n v="57516.65"/>
    <n v="57516.65"/>
    <n v="52082.35"/>
  </r>
  <r>
    <x v="3337"/>
    <s v="ВИЗ"/>
    <n v="81668.479999999996"/>
    <n v="81668.479999999996"/>
    <n v="73952.27"/>
  </r>
  <r>
    <x v="869"/>
    <s v="Центр"/>
    <n v="91057.85"/>
    <n v="91057.85"/>
    <n v="82454.509999999995"/>
  </r>
  <r>
    <x v="3338"/>
    <s v="ЧЕРМЕТ"/>
    <n v="60698.45"/>
    <n v="60698.45"/>
    <n v="54963.53"/>
  </r>
  <r>
    <x v="3339"/>
    <s v="ЭЛЬМАШ"/>
    <n v="68527.44"/>
    <n v="68527.44"/>
    <n v="62052.82"/>
  </r>
  <r>
    <x v="3340"/>
    <s v="ГОРНЫЙ ЩИТ"/>
    <n v="50617.09"/>
    <n v="50617.09"/>
    <n v="45834.68"/>
  </r>
  <r>
    <x v="222"/>
    <s v="ХИММАШ"/>
    <n v="60047.16"/>
    <n v="60047.16"/>
    <n v="54373.78"/>
  </r>
  <r>
    <x v="415"/>
    <s v="ВТУЗГОРОДОК"/>
    <n v="74667.16"/>
    <n v="74667.16"/>
    <n v="67612.45"/>
  </r>
  <r>
    <x v="3341"/>
    <s v="ШИРОКАЯ РЕЧКА"/>
    <n v="61207.26"/>
    <n v="61207.26"/>
    <n v="55424.27"/>
  </r>
  <r>
    <x v="406"/>
    <s v="ВТУЗГОРОДОК"/>
    <n v="74667.16"/>
    <n v="74667.16"/>
    <n v="67612.45"/>
  </r>
  <r>
    <x v="3342"/>
    <s v="ЖБИ"/>
    <n v="67218.09"/>
    <n v="67218.09"/>
    <n v="60867.18"/>
  </r>
  <r>
    <x v="3343"/>
    <s v="ВТУЗГОРОДОК"/>
    <n v="74667.16"/>
    <n v="74667.16"/>
    <n v="67612.45"/>
  </r>
  <r>
    <x v="874"/>
    <s v="Ю-З"/>
    <n v="74239.759999999995"/>
    <n v="74239.759999999995"/>
    <n v="67225.429999999993"/>
  </r>
  <r>
    <x v="813"/>
    <s v="Центр"/>
    <n v="91057.85"/>
    <n v="91057.85"/>
    <n v="82454.509999999995"/>
  </r>
  <r>
    <x v="139"/>
    <s v="Центр"/>
    <n v="91057.85"/>
    <n v="91057.85"/>
    <n v="82454.509999999995"/>
  </r>
  <r>
    <x v="708"/>
    <s v="ШАРТАШ"/>
    <n v="66003.710000000006"/>
    <n v="66003.710000000006"/>
    <n v="59767.54"/>
  </r>
  <r>
    <x v="624"/>
    <s v="ЭЛЬМАШ"/>
    <n v="68527.44"/>
    <n v="68527.44"/>
    <n v="62052.82"/>
  </r>
  <r>
    <x v="505"/>
    <s v="ЧЕРМЕТ"/>
    <n v="60698.45"/>
    <n v="60698.45"/>
    <n v="54963.53"/>
  </r>
  <r>
    <x v="3344"/>
    <s v="Исток"/>
    <n v="51831.47"/>
    <n v="51831.47"/>
    <n v="46934.32"/>
  </r>
  <r>
    <x v="3345"/>
    <s v="ПТИЦЕФАБРИКА"/>
    <n v="55074.33"/>
    <n v="55074.33"/>
    <n v="49870.79"/>
  </r>
  <r>
    <x v="447"/>
    <s v="АВТОВОКЗАЛ"/>
    <n v="81132.53"/>
    <n v="81132.53"/>
    <n v="73466.960000000006"/>
  </r>
  <r>
    <x v="3346"/>
    <s v="ИЗОПЛИТ"/>
    <n v="51994.29"/>
    <n v="51994.29"/>
    <n v="47081.760000000002"/>
  </r>
  <r>
    <x v="586"/>
    <s v="Новая сортировка"/>
    <n v="62889.75"/>
    <n v="62889.75"/>
    <n v="56947.8"/>
  </r>
  <r>
    <x v="3347"/>
    <s v="КОЛЬЦОВО"/>
    <n v="53174.74"/>
    <n v="53174.74"/>
    <n v="48150.68"/>
  </r>
  <r>
    <x v="54"/>
    <s v="Новая сортировка"/>
    <n v="62889.75"/>
    <n v="62889.75"/>
    <n v="56947.8"/>
  </r>
  <r>
    <x v="594"/>
    <s v="Центр"/>
    <n v="91057.85"/>
    <n v="91057.85"/>
    <n v="82454.509999999995"/>
  </r>
  <r>
    <x v="3348"/>
    <s v="ВИЗ"/>
    <n v="81668.479999999996"/>
    <n v="81668.479999999996"/>
    <n v="73952.27"/>
  </r>
  <r>
    <x v="3349"/>
    <s v="ЧЕРМЕТ"/>
    <n v="60698.45"/>
    <n v="60698.45"/>
    <n v="54963.53"/>
  </r>
  <r>
    <x v="870"/>
    <s v="ВИЗ"/>
    <n v="81668.479999999996"/>
    <n v="81668.479999999996"/>
    <n v="73952.27"/>
  </r>
  <r>
    <x v="3350"/>
    <s v="УРАЛМАШ"/>
    <n v="67842.240000000005"/>
    <n v="67842.240000000005"/>
    <n v="61432.36"/>
  </r>
  <r>
    <x v="706"/>
    <s v="ВИЗ"/>
    <n v="81668.479999999996"/>
    <n v="81668.479999999996"/>
    <n v="73952.27"/>
  </r>
  <r>
    <x v="3351"/>
    <s v="ЕЛИЗАВЕТ"/>
    <n v="59056.67"/>
    <n v="59056.67"/>
    <n v="53476.87"/>
  </r>
  <r>
    <x v="351"/>
    <s v="УКТУС"/>
    <n v="61655.02"/>
    <n v="61655.02"/>
    <n v="55829.73"/>
  </r>
  <r>
    <x v="3352"/>
    <s v="ШИРОКАЯ РЕЧКА"/>
    <n v="61207.26"/>
    <n v="61207.26"/>
    <n v="55424.27"/>
  </r>
  <r>
    <x v="380"/>
    <s v="ПИОНЕРСКИЙ"/>
    <n v="75318.45"/>
    <n v="75318.45"/>
    <n v="68202.2"/>
  </r>
  <r>
    <x v="410"/>
    <s v="СИНИЕ КАМНИ"/>
    <n v="66505.740000000005"/>
    <n v="66505.740000000005"/>
    <n v="60222.14"/>
  </r>
  <r>
    <x v="248"/>
    <s v="Центр"/>
    <n v="91057.85"/>
    <n v="91057.85"/>
    <n v="82454.509999999995"/>
  </r>
  <r>
    <x v="3353"/>
    <s v="ЖБИ"/>
    <n v="67218.09"/>
    <n v="67218.09"/>
    <n v="60867.18"/>
  </r>
  <r>
    <x v="435"/>
    <s v="Ю-З"/>
    <n v="74239.759999999995"/>
    <n v="74239.759999999995"/>
    <n v="67225.429999999993"/>
  </r>
  <r>
    <x v="3354"/>
    <s v="ХИММАШ"/>
    <n v="60047.16"/>
    <n v="60047.16"/>
    <n v="54373.78"/>
  </r>
  <r>
    <x v="3355"/>
    <s v="УКТУС"/>
    <n v="61655.02"/>
    <n v="61655.02"/>
    <n v="55829.73"/>
  </r>
  <r>
    <x v="932"/>
    <s v="ЧЕРМЕТ"/>
    <n v="60698.45"/>
    <n v="60698.45"/>
    <n v="54963.53"/>
  </r>
  <r>
    <x v="361"/>
    <s v="Центр"/>
    <n v="91057.85"/>
    <n v="91057.85"/>
    <n v="82454.509999999995"/>
  </r>
  <r>
    <x v="619"/>
    <s v="УКТУС"/>
    <n v="61655.02"/>
    <n v="61655.02"/>
    <n v="55829.73"/>
  </r>
  <r>
    <x v="122"/>
    <s v="Шарташский рынок"/>
    <n v="77197.679999999993"/>
    <n v="77197.679999999993"/>
    <n v="69903.88"/>
  </r>
  <r>
    <x v="563"/>
    <s v="Ю-З"/>
    <n v="74239.759999999995"/>
    <n v="74239.759999999995"/>
    <n v="67225.429999999993"/>
  </r>
  <r>
    <x v="3356"/>
    <s v="Новая сортировка"/>
    <n v="62889.75"/>
    <n v="62889.75"/>
    <n v="56947.8"/>
  </r>
  <r>
    <x v="3357"/>
    <s v="СОВХОЗ"/>
    <n v="57883"/>
    <n v="57883"/>
    <n v="52414.09"/>
  </r>
  <r>
    <x v="3358"/>
    <s v="ВИЗ"/>
    <n v="81668.479999999996"/>
    <n v="81668.479999999996"/>
    <n v="73952.27"/>
  </r>
  <r>
    <x v="4"/>
    <s v="ВИЗ"/>
    <n v="81668.479999999996"/>
    <n v="81668.479999999996"/>
    <n v="73952.27"/>
  </r>
  <r>
    <x v="856"/>
    <s v="МАЛЫЙ ИСТОК"/>
    <n v="58296.83"/>
    <n v="58296.83"/>
    <n v="52788.83"/>
  </r>
  <r>
    <x v="3359"/>
    <s v="ЧУСОВСКОЕ ОЗЕРО"/>
    <n v="48229.05"/>
    <n v="48229.05"/>
    <n v="43672.26"/>
  </r>
  <r>
    <x v="3360"/>
    <s v="ЧЕРМЕТ"/>
    <n v="60698.45"/>
    <n v="60698.45"/>
    <n v="54963.53"/>
  </r>
  <r>
    <x v="254"/>
    <s v="УКТУС"/>
    <n v="61655.02"/>
    <n v="61655.02"/>
    <n v="55829.73"/>
  </r>
  <r>
    <x v="462"/>
    <s v="УРАЛМАШ"/>
    <n v="67842.240000000005"/>
    <n v="67842.240000000005"/>
    <n v="61432.36"/>
  </r>
  <r>
    <x v="590"/>
    <s v="ЛЕЧЕБНЫЙ"/>
    <n v="55990.2"/>
    <n v="55990.2"/>
    <n v="50700.12"/>
  </r>
  <r>
    <x v="1013"/>
    <s v="УНЦ"/>
    <n v="62774.42"/>
    <n v="62774.42"/>
    <n v="56843.360000000001"/>
  </r>
  <r>
    <x v="3361"/>
    <s v="Центр"/>
    <n v="91057.85"/>
    <n v="91057.85"/>
    <n v="82454.509999999995"/>
  </r>
  <r>
    <x v="720"/>
    <s v="Старая сортировка"/>
    <n v="57516.65"/>
    <n v="57516.65"/>
    <n v="52082.35"/>
  </r>
  <r>
    <x v="898"/>
    <s v="Центр"/>
    <n v="91057.85"/>
    <n v="91057.85"/>
    <n v="82454.509999999995"/>
  </r>
  <r>
    <x v="476"/>
    <s v="Новая сортировка"/>
    <n v="62889.75"/>
    <n v="62889.75"/>
    <n v="56947.8"/>
  </r>
  <r>
    <x v="3362"/>
    <s v="ЕЛИЗАВЕТ"/>
    <n v="59056.67"/>
    <n v="59056.67"/>
    <n v="53476.87"/>
  </r>
  <r>
    <x v="441"/>
    <s v="ПИОНЕРСКИЙ"/>
    <n v="75318.45"/>
    <n v="75318.45"/>
    <n v="68202.2"/>
  </r>
  <r>
    <x v="164"/>
    <s v="ПИОНЕРСКИЙ"/>
    <n v="75318.45"/>
    <n v="75318.45"/>
    <n v="68202.2"/>
  </r>
  <r>
    <x v="3363"/>
    <s v="УРАЛМАШ"/>
    <n v="67842.240000000005"/>
    <n v="67842.240000000005"/>
    <n v="61432.36"/>
  </r>
  <r>
    <x v="312"/>
    <s v="ВТУЗГОРОДОК"/>
    <n v="74667.16"/>
    <n v="74667.16"/>
    <n v="67612.45"/>
  </r>
  <r>
    <x v="3364"/>
    <s v="ИСТОК"/>
    <n v="51831.47"/>
    <n v="51831.47"/>
    <n v="46934.32"/>
  </r>
  <r>
    <x v="314"/>
    <s v="ХИММАШ"/>
    <n v="60047.16"/>
    <n v="60047.16"/>
    <n v="54373.78"/>
  </r>
  <r>
    <x v="3365"/>
    <s v="Старая сортировка"/>
    <n v="57516.65"/>
    <n v="57516.65"/>
    <n v="52082.35"/>
  </r>
  <r>
    <x v="130"/>
    <s v="ВИЗ"/>
    <n v="81668.479999999996"/>
    <n v="81668.479999999996"/>
    <n v="73952.27"/>
  </r>
  <r>
    <x v="326"/>
    <s v="ХИММАШ"/>
    <n v="60047.16"/>
    <n v="60047.16"/>
    <n v="54373.78"/>
  </r>
  <r>
    <x v="278"/>
    <s v="ЭЛЬМАШ"/>
    <n v="68527.44"/>
    <n v="68527.44"/>
    <n v="62052.82"/>
  </r>
  <r>
    <x v="3366"/>
    <s v="ЧЕРМЕТ"/>
    <n v="60698.45"/>
    <n v="60698.45"/>
    <n v="54963.53"/>
  </r>
  <r>
    <x v="618"/>
    <s v="УКТУС"/>
    <n v="61655.02"/>
    <n v="61655.02"/>
    <n v="55829.73"/>
  </r>
  <r>
    <x v="3367"/>
    <s v="ЭЛЬМАШ"/>
    <n v="68527.44"/>
    <n v="68527.44"/>
    <n v="62052.82"/>
  </r>
  <r>
    <x v="310"/>
    <s v="Старая сортировка"/>
    <n v="57516.65"/>
    <n v="57516.65"/>
    <n v="52082.35"/>
  </r>
  <r>
    <x v="3368"/>
    <s v="Старая сортировка"/>
    <n v="57516.65"/>
    <n v="57516.65"/>
    <n v="52082.35"/>
  </r>
  <r>
    <x v="78"/>
    <s v="УРАЛМАШ"/>
    <n v="67842.240000000005"/>
    <n v="67842.240000000005"/>
    <n v="61432.36"/>
  </r>
  <r>
    <x v="1024"/>
    <s v="ВИЗ"/>
    <n v="81668.479999999996"/>
    <n v="81668.479999999996"/>
    <n v="73952.27"/>
  </r>
  <r>
    <x v="3369"/>
    <s v="Центр"/>
    <n v="91057.85"/>
    <n v="91057.85"/>
    <n v="82454.509999999995"/>
  </r>
  <r>
    <x v="588"/>
    <s v="УРАЛМАШ"/>
    <n v="67842.240000000005"/>
    <n v="67842.240000000005"/>
    <n v="61432.36"/>
  </r>
  <r>
    <x v="3370"/>
    <s v="Нижнеисетский"/>
    <n v="45325.4"/>
    <n v="45325.4"/>
    <n v="41042.959999999999"/>
  </r>
  <r>
    <x v="3371"/>
    <s v="Нижнеисетский"/>
    <n v="45325.4"/>
    <n v="45325.4"/>
    <n v="41042.959999999999"/>
  </r>
  <r>
    <x v="754"/>
    <s v="КОЛЬЦОВО"/>
    <n v="53174.74"/>
    <n v="53174.74"/>
    <n v="48150.68"/>
  </r>
  <r>
    <x v="3372"/>
    <s v="УНЦ"/>
    <n v="62774.42"/>
    <n v="62774.42"/>
    <n v="56843.360000000001"/>
  </r>
  <r>
    <x v="3373"/>
    <s v="УКТУС"/>
    <n v="61655.02"/>
    <n v="61655.02"/>
    <n v="55829.73"/>
  </r>
  <r>
    <x v="250"/>
    <s v="Ю-З"/>
    <n v="74239.759999999995"/>
    <n v="74239.759999999995"/>
    <n v="67225.429999999993"/>
  </r>
  <r>
    <x v="332"/>
    <s v="ВТУЗГОРОДОК"/>
    <n v="74667.16"/>
    <n v="74667.16"/>
    <n v="67612.45"/>
  </r>
  <r>
    <x v="339"/>
    <s v="Центр"/>
    <n v="91057.85"/>
    <n v="91057.85"/>
    <n v="82454.509999999995"/>
  </r>
  <r>
    <x v="3374"/>
    <s v="ШАРТАШ"/>
    <n v="66003.710000000006"/>
    <n v="66003.710000000006"/>
    <n v="59767.54"/>
  </r>
  <r>
    <x v="3375"/>
    <s v="ЛЕЧЕБНЫЙ"/>
    <n v="55990.2"/>
    <n v="55990.2"/>
    <n v="50700.12"/>
  </r>
  <r>
    <x v="3376"/>
    <s v="Нижнеисетский"/>
    <n v="45325.4"/>
    <n v="45325.4"/>
    <n v="41042.959999999999"/>
  </r>
  <r>
    <x v="3377"/>
    <s v="ВТУЗГОРОДОК"/>
    <n v="74667.16"/>
    <n v="74667.16"/>
    <n v="67612.45"/>
  </r>
  <r>
    <x v="364"/>
    <s v="ЭЛЬМАШ"/>
    <n v="68527.44"/>
    <n v="68527.44"/>
    <n v="62052.82"/>
  </r>
  <r>
    <x v="3378"/>
    <s v="ШИРОКАЯ РЕЧКА"/>
    <n v="61207.26"/>
    <n v="61207.26"/>
    <n v="55424.27"/>
  </r>
  <r>
    <x v="484"/>
    <s v="УРАЛМАШ"/>
    <n v="67842.240000000005"/>
    <n v="67842.240000000005"/>
    <n v="61432.36"/>
  </r>
  <r>
    <x v="3379"/>
    <s v="ПИОНЕРСКИЙ"/>
    <n v="75318.45"/>
    <n v="75318.45"/>
    <n v="68202.2"/>
  </r>
  <r>
    <x v="3380"/>
    <s v="УРАЛМАШ"/>
    <n v="67842.240000000005"/>
    <n v="67842.240000000005"/>
    <n v="61432.36"/>
  </r>
  <r>
    <x v="3381"/>
    <s v="Старая сортировка"/>
    <n v="57516.65"/>
    <n v="57516.65"/>
    <n v="52082.35"/>
  </r>
  <r>
    <x v="542"/>
    <s v="ЕЛИЗАВЕТ"/>
    <n v="59056.67"/>
    <n v="59056.67"/>
    <n v="53476.87"/>
  </r>
  <r>
    <x v="639"/>
    <s v="УРАЛМАШ"/>
    <n v="67842.240000000005"/>
    <n v="67842.240000000005"/>
    <n v="61432.36"/>
  </r>
  <r>
    <x v="3382"/>
    <s v="ВИЗ"/>
    <n v="81668.479999999996"/>
    <n v="81668.479999999996"/>
    <n v="73952.27"/>
  </r>
  <r>
    <x v="536"/>
    <s v="УРАЛМАШ"/>
    <n v="67842.240000000005"/>
    <n v="67842.240000000005"/>
    <n v="61432.36"/>
  </r>
  <r>
    <x v="3383"/>
    <s v="Нижнеисетский"/>
    <n v="45325.4"/>
    <n v="45325.4"/>
    <n v="41042.959999999999"/>
  </r>
  <r>
    <x v="3384"/>
    <s v="Центр"/>
    <n v="91057.85"/>
    <n v="91057.85"/>
    <n v="82454.509999999995"/>
  </r>
  <r>
    <x v="815"/>
    <s v="Нижнеисетский"/>
    <n v="45325.4"/>
    <n v="45325.4"/>
    <n v="41042.959999999999"/>
  </r>
  <r>
    <x v="133"/>
    <s v="УРАЛМАШ"/>
    <n v="67842.240000000005"/>
    <n v="67842.240000000005"/>
    <n v="61432.36"/>
  </r>
  <r>
    <x v="3385"/>
    <s v="ВИЗ"/>
    <n v="81668.479999999996"/>
    <n v="81668.479999999996"/>
    <n v="73952.27"/>
  </r>
  <r>
    <x v="125"/>
    <s v="ВИЗ"/>
    <n v="81668.479999999996"/>
    <n v="81668.479999999996"/>
    <n v="73952.27"/>
  </r>
  <r>
    <x v="3386"/>
    <s v="ШИРОКАЯ РЕЧКА"/>
    <n v="61207.26"/>
    <n v="61207.26"/>
    <n v="55424.27"/>
  </r>
  <r>
    <x v="233"/>
    <s v="Старая сортировка"/>
    <n v="57516.65"/>
    <n v="57516.65"/>
    <n v="52082.35"/>
  </r>
  <r>
    <x v="504"/>
    <s v="ЕЛИЗАВЕТ"/>
    <n v="59056.67"/>
    <n v="59056.67"/>
    <n v="53476.87"/>
  </r>
  <r>
    <x v="3387"/>
    <s v="ВИЗ"/>
    <n v="81668.479999999996"/>
    <n v="81668.479999999996"/>
    <n v="73952.27"/>
  </r>
  <r>
    <x v="858"/>
    <s v="ШАБРОВСКИЙ"/>
    <n v="36417.71"/>
    <n v="36417.71"/>
    <n v="32976.89"/>
  </r>
  <r>
    <x v="877"/>
    <s v="ПАРКОВЫЙ"/>
    <n v="78853.03"/>
    <n v="78853.03"/>
    <n v="71402.83"/>
  </r>
  <r>
    <x v="104"/>
    <s v="ЧЕРМЕТ"/>
    <n v="60698.45"/>
    <n v="60698.45"/>
    <n v="54963.53"/>
  </r>
  <r>
    <x v="107"/>
    <s v="Старая сортировка"/>
    <n v="57516.65"/>
    <n v="57516.65"/>
    <n v="52082.35"/>
  </r>
  <r>
    <x v="407"/>
    <s v="СИНИЕ КАМНИ"/>
    <n v="66505.740000000005"/>
    <n v="66505.740000000005"/>
    <n v="60222.14"/>
  </r>
  <r>
    <x v="640"/>
    <s v="УРАЛМАШ"/>
    <n v="67842.240000000005"/>
    <n v="67842.240000000005"/>
    <n v="61432.36"/>
  </r>
  <r>
    <x v="3388"/>
    <s v="Центр"/>
    <n v="91057.85"/>
    <n v="91057.85"/>
    <n v="82454.509999999995"/>
  </r>
  <r>
    <x v="3389"/>
    <s v="ЛЕЧЕБНЫЙ"/>
    <n v="55990.2"/>
    <n v="55990.2"/>
    <n v="50700.12"/>
  </r>
  <r>
    <x v="3390"/>
    <s v="КОЛЬЦОВО"/>
    <n v="53174.74"/>
    <n v="53174.74"/>
    <n v="48150.68"/>
  </r>
  <r>
    <x v="3391"/>
    <s v="Сулим.Торфянник"/>
    <n v="45325.4"/>
    <n v="45325.4"/>
    <n v="41042.959999999999"/>
  </r>
  <r>
    <x v="119"/>
    <s v="УКТУС"/>
    <n v="61655.02"/>
    <n v="61655.02"/>
    <n v="55829.73"/>
  </r>
  <r>
    <x v="86"/>
    <s v="ЧЕРМЕТ"/>
    <n v="60698.45"/>
    <n v="60698.45"/>
    <n v="54963.53"/>
  </r>
  <r>
    <x v="526"/>
    <s v="ХИММАШ"/>
    <n v="60047.16"/>
    <n v="60047.16"/>
    <n v="54373.78"/>
  </r>
  <r>
    <x v="3392"/>
    <s v="ВИЗ"/>
    <n v="81668.479999999996"/>
    <n v="81668.479999999996"/>
    <n v="73952.27"/>
  </r>
  <r>
    <x v="214"/>
    <s v="ВИЗ"/>
    <n v="81668.479999999996"/>
    <n v="81668.479999999996"/>
    <n v="73952.27"/>
  </r>
  <r>
    <x v="995"/>
    <s v="ЕЛИЗАВЕТ"/>
    <n v="59056.67"/>
    <n v="59056.67"/>
    <n v="53476.87"/>
  </r>
  <r>
    <x v="3393"/>
    <s v="ХИММАШ"/>
    <n v="60047.16"/>
    <n v="60047.16"/>
    <n v="54373.78"/>
  </r>
  <r>
    <x v="304"/>
    <s v="ПИОНЕРСКИЙ"/>
    <n v="75318.45"/>
    <n v="75318.45"/>
    <n v="68202.2"/>
  </r>
  <r>
    <x v="3394"/>
    <s v="ГОРНЫЙ ЩИТ"/>
    <n v="50617.09"/>
    <n v="50617.09"/>
    <n v="45834.68"/>
  </r>
  <r>
    <x v="3395"/>
    <s v="ШИРОКАЯ РЕЧКА"/>
    <n v="61207.26"/>
    <n v="61207.26"/>
    <n v="55424.27"/>
  </r>
  <r>
    <x v="3396"/>
    <s v="ЭЛЬМАШ"/>
    <n v="68527.44"/>
    <n v="68527.44"/>
    <n v="62052.82"/>
  </r>
  <r>
    <x v="301"/>
    <s v="ЭЛЬМАШ"/>
    <n v="68527.44"/>
    <n v="68527.44"/>
    <n v="62052.82"/>
  </r>
  <r>
    <x v="494"/>
    <s v="Центр"/>
    <n v="91057.85"/>
    <n v="91057.85"/>
    <n v="82454.509999999995"/>
  </r>
  <r>
    <x v="741"/>
    <s v="ХИММАШ"/>
    <n v="60047.16"/>
    <n v="60047.16"/>
    <n v="54373.78"/>
  </r>
  <r>
    <x v="343"/>
    <s v="ПИОНЕРСКИЙ"/>
    <n v="75318.45"/>
    <n v="75318.45"/>
    <n v="68202.2"/>
  </r>
  <r>
    <x v="470"/>
    <s v="ЧЕРМЕТ"/>
    <n v="60698.45"/>
    <n v="60698.45"/>
    <n v="54963.53"/>
  </r>
  <r>
    <x v="1098"/>
    <s v="Ю-З"/>
    <n v="74239.759999999995"/>
    <n v="74239.759999999995"/>
    <n v="67225.429999999993"/>
  </r>
  <r>
    <x v="3397"/>
    <s v="ЭЛЬМАШ"/>
    <n v="68527.44"/>
    <n v="68527.44"/>
    <n v="62052.82"/>
  </r>
  <r>
    <x v="459"/>
    <s v="ВИЗ"/>
    <n v="81668.479999999996"/>
    <n v="81668.479999999996"/>
    <n v="73952.27"/>
  </r>
  <r>
    <x v="3398"/>
    <s v="ЭЛЬМАШ"/>
    <n v="68527.44"/>
    <n v="68527.44"/>
    <n v="62052.82"/>
  </r>
  <r>
    <x v="3399"/>
    <s v="ГОРНЫЙ ЩИТ"/>
    <n v="50617.09"/>
    <n v="50617.09"/>
    <n v="45834.68"/>
  </r>
  <r>
    <x v="3400"/>
    <s v="ПИОНЕРСКИЙ"/>
    <n v="75318.45"/>
    <n v="75318.45"/>
    <n v="68202.2"/>
  </r>
  <r>
    <x v="255"/>
    <s v="Центр"/>
    <n v="91057.85"/>
    <n v="91057.85"/>
    <n v="82454.509999999995"/>
  </r>
  <r>
    <x v="3401"/>
    <s v="ЛЕЧЕБНЫЙ"/>
    <n v="55990.2"/>
    <n v="55990.2"/>
    <n v="50700.12"/>
  </r>
  <r>
    <x v="3402"/>
    <s v="Центр"/>
    <n v="91057.85"/>
    <n v="91057.85"/>
    <n v="82454.509999999995"/>
  </r>
  <r>
    <x v="126"/>
    <s v="Шарташский рынок"/>
    <n v="77197.679999999993"/>
    <n v="77197.679999999993"/>
    <n v="69903.88"/>
  </r>
  <r>
    <x v="3403"/>
    <s v="ЛЕЧЕБНЫЙ"/>
    <n v="55990.2"/>
    <n v="55990.2"/>
    <n v="50700.12"/>
  </r>
  <r>
    <x v="3404"/>
    <s v="ШИРОКАЯ РЕЧКА"/>
    <n v="61207.26"/>
    <n v="61207.26"/>
    <n v="55424.27"/>
  </r>
  <r>
    <x v="280"/>
    <s v="ЭЛЬМАШ"/>
    <n v="68527.44"/>
    <n v="68527.44"/>
    <n v="62052.82"/>
  </r>
  <r>
    <x v="247"/>
    <s v="ПИОНЕРСКИЙ"/>
    <n v="75318.45"/>
    <n v="75318.45"/>
    <n v="68202.2"/>
  </r>
  <r>
    <x v="3405"/>
    <s v="ЧУСОВСКОЕ ОЗЕРО"/>
    <n v="48229.05"/>
    <n v="48229.05"/>
    <n v="43672.26"/>
  </r>
  <r>
    <x v="317"/>
    <s v="ПИОНЕРСКИЙ"/>
    <n v="75318.45"/>
    <n v="75318.45"/>
    <n v="68202.2"/>
  </r>
  <r>
    <x v="3406"/>
    <s v="Старая сортировка"/>
    <n v="57516.65"/>
    <n v="57516.65"/>
    <n v="52082.35"/>
  </r>
  <r>
    <x v="3407"/>
    <s v="СИНИЕ КАМНИ"/>
    <n v="66505.740000000005"/>
    <n v="66505.740000000005"/>
    <n v="60222.14"/>
  </r>
  <r>
    <x v="72"/>
    <s v="УРАЛМАШ"/>
    <n v="67842.240000000005"/>
    <n v="67842.240000000005"/>
    <n v="61432.36"/>
  </r>
  <r>
    <x v="3408"/>
    <s v="Ю-З"/>
    <n v="74239.759999999995"/>
    <n v="74239.759999999995"/>
    <n v="67225.429999999993"/>
  </r>
  <r>
    <x v="3409"/>
    <s v="Нижнеисетский"/>
    <n v="45325.4"/>
    <n v="45325.4"/>
    <n v="41042.959999999999"/>
  </r>
  <r>
    <x v="3410"/>
    <s v="ВТУЗГОРОДОК"/>
    <n v="74667.16"/>
    <n v="74667.16"/>
    <n v="67612.45"/>
  </r>
  <r>
    <x v="3411"/>
    <s v="ШИРОКАЯ РЕЧКА"/>
    <n v="61207.26"/>
    <n v="61207.26"/>
    <n v="55424.27"/>
  </r>
  <r>
    <x v="3412"/>
    <s v="ШИРОКАЯ РЕЧКА"/>
    <n v="61207.26"/>
    <n v="61207.26"/>
    <n v="55424.27"/>
  </r>
  <r>
    <x v="3413"/>
    <s v="Нижнеисетский"/>
    <n v="45325.4"/>
    <n v="45325.4"/>
    <n v="41042.959999999999"/>
  </r>
  <r>
    <x v="592"/>
    <s v="ЗАРЕЧНЫЙ"/>
    <n v="68887.009999999995"/>
    <n v="68887.009999999995"/>
    <n v="62378.42"/>
  </r>
  <r>
    <x v="3414"/>
    <s v="КОЛЬЦОВО"/>
    <n v="53174.74"/>
    <n v="53174.74"/>
    <n v="48150.68"/>
  </r>
  <r>
    <x v="3415"/>
    <s v="ВИЗ"/>
    <n v="81668.479999999996"/>
    <n v="81668.479999999996"/>
    <n v="73952.27"/>
  </r>
  <r>
    <x v="313"/>
    <s v="ХИММАШ"/>
    <n v="60047.16"/>
    <n v="60047.16"/>
    <n v="54373.78"/>
  </r>
  <r>
    <x v="3416"/>
    <s v="ХИММАШ"/>
    <n v="60047.16"/>
    <n v="60047.16"/>
    <n v="54373.78"/>
  </r>
  <r>
    <x v="3417"/>
    <s v="УКТУС"/>
    <n v="61655.02"/>
    <n v="61655.02"/>
    <n v="55829.73"/>
  </r>
  <r>
    <x v="3418"/>
    <s v="ШАРТАШ"/>
    <n v="66003.710000000006"/>
    <n v="66003.710000000006"/>
    <n v="59767.54"/>
  </r>
  <r>
    <x v="3419"/>
    <s v="Ю-З"/>
    <n v="74239.759999999995"/>
    <n v="74239.759999999995"/>
    <n v="67225.429999999993"/>
  </r>
  <r>
    <x v="1048"/>
    <s v="ВИЗ"/>
    <n v="81668.479999999996"/>
    <n v="81668.479999999996"/>
    <n v="73952.27"/>
  </r>
  <r>
    <x v="1031"/>
    <s v="Старая сортировка"/>
    <n v="57516.65"/>
    <n v="57516.65"/>
    <n v="52082.35"/>
  </r>
  <r>
    <x v="3420"/>
    <s v="ШИРОКАЯ РЕЧКА"/>
    <n v="61207.26"/>
    <n v="61207.26"/>
    <n v="55424.27"/>
  </r>
  <r>
    <x v="3421"/>
    <s v="Старая сортировка"/>
    <n v="57516.65"/>
    <n v="57516.65"/>
    <n v="52082.35"/>
  </r>
  <r>
    <x v="3422"/>
    <s v="МЕДНЫЙ"/>
    <n v="49741.93"/>
    <n v="49741.93"/>
    <n v="45042.2"/>
  </r>
  <r>
    <x v="338"/>
    <s v="ВОКЗАЛЬНЫЙ"/>
    <n v="76180.05"/>
    <n v="76180.05"/>
    <n v="68982.39"/>
  </r>
  <r>
    <x v="3423"/>
    <s v="СИБИРСКИЙ"/>
    <n v="61573.61"/>
    <n v="61573.61"/>
    <n v="55756.01"/>
  </r>
  <r>
    <x v="3424"/>
    <s v="УРАЛМАШ"/>
    <n v="67842.240000000005"/>
    <n v="67842.240000000005"/>
    <n v="61432.36"/>
  </r>
  <r>
    <x v="3425"/>
    <s v="Чусовское озеро"/>
    <n v="48229.05"/>
    <n v="48229.05"/>
    <n v="43672.26"/>
  </r>
  <r>
    <x v="3426"/>
    <s v="ЧЕРМЕТ"/>
    <n v="60698.45"/>
    <n v="60698.45"/>
    <n v="54963.53"/>
  </r>
  <r>
    <x v="3427"/>
    <s v="Северка"/>
    <n v="49579.11"/>
    <n v="49579.11"/>
    <n v="44894.77"/>
  </r>
  <r>
    <x v="3428"/>
    <s v="ЭЛЬМАШ"/>
    <n v="68527.44"/>
    <n v="68527.44"/>
    <n v="62052.82"/>
  </r>
  <r>
    <x v="432"/>
    <s v="ПИОНЕРСКИЙ"/>
    <n v="75318.45"/>
    <n v="75318.45"/>
    <n v="68202.2"/>
  </r>
  <r>
    <x v="516"/>
    <s v="ЭЛЬМАШ"/>
    <n v="68527.44"/>
    <n v="68527.44"/>
    <n v="62052.82"/>
  </r>
  <r>
    <x v="591"/>
    <s v="ЧЕРМЕТ"/>
    <n v="60698.45"/>
    <n v="60698.45"/>
    <n v="54963.53"/>
  </r>
  <r>
    <x v="3429"/>
    <s v="ИСТОК"/>
    <n v="51831.47"/>
    <n v="51831.47"/>
    <n v="46934.32"/>
  </r>
  <r>
    <x v="3430"/>
    <s v="Центр"/>
    <n v="91057.85"/>
    <n v="91057.85"/>
    <n v="82454.509999999995"/>
  </r>
  <r>
    <x v="3431"/>
    <s v="АВТОВОКЗАЛ"/>
    <n v="81132.53"/>
    <n v="81132.53"/>
    <n v="73466.960000000006"/>
  </r>
  <r>
    <x v="1117"/>
    <s v="Старая сортировка"/>
    <n v="57516.65"/>
    <n v="57516.65"/>
    <n v="52082.35"/>
  </r>
  <r>
    <x v="3432"/>
    <s v="УНЦ"/>
    <n v="62774.42"/>
    <n v="62774.42"/>
    <n v="56843.360000000001"/>
  </r>
  <r>
    <x v="686"/>
    <s v="УРАЛМАШ"/>
    <n v="67842.240000000005"/>
    <n v="67842.240000000005"/>
    <n v="61432.36"/>
  </r>
  <r>
    <x v="656"/>
    <s v="Центр"/>
    <n v="91057.85"/>
    <n v="91057.85"/>
    <n v="82454.509999999995"/>
  </r>
  <r>
    <x v="3433"/>
    <s v="ПИОНЕРСКИЙ"/>
    <n v="75318.45"/>
    <n v="75318.45"/>
    <n v="68202.2"/>
  </r>
  <r>
    <x v="3434"/>
    <s v="Чусовское озеро"/>
    <n v="48229.05"/>
    <n v="48229.05"/>
    <n v="43672.26"/>
  </r>
  <r>
    <x v="579"/>
    <s v="Центр"/>
    <n v="91057.85"/>
    <n v="91057.85"/>
    <n v="82454.509999999995"/>
  </r>
  <r>
    <x v="3435"/>
    <s v="ШИРОКАЯ РЕЧКА"/>
    <n v="61207.26"/>
    <n v="61207.26"/>
    <n v="55424.27"/>
  </r>
  <r>
    <x v="3436"/>
    <s v="ШАБРОВСКИЙ"/>
    <n v="36417.71"/>
    <n v="36417.71"/>
    <n v="32976.89"/>
  </r>
  <r>
    <x v="908"/>
    <s v="УКТУС"/>
    <n v="61655.02"/>
    <n v="61655.02"/>
    <n v="55829.73"/>
  </r>
  <r>
    <x v="716"/>
    <s v="Центр"/>
    <n v="91057.85"/>
    <n v="91057.85"/>
    <n v="82454.509999999995"/>
  </r>
  <r>
    <x v="3437"/>
    <s v="ШАБРОВСКИЙ"/>
    <n v="36417.71"/>
    <n v="36417.71"/>
    <n v="32976.89"/>
  </r>
  <r>
    <x v="532"/>
    <s v="УРАЛМАШ"/>
    <n v="67842.240000000005"/>
    <n v="67842.240000000005"/>
    <n v="61432.36"/>
  </r>
  <r>
    <x v="824"/>
    <s v="ПИОНЕРСКИЙ"/>
    <n v="75318.45"/>
    <n v="75318.45"/>
    <n v="68202.2"/>
  </r>
  <r>
    <x v="676"/>
    <s v="Центр"/>
    <n v="91057.85"/>
    <n v="91057.85"/>
    <n v="82454.509999999995"/>
  </r>
  <r>
    <x v="3438"/>
    <s v="ИЗОПЛИТ"/>
    <n v="51994.29"/>
    <n v="51994.29"/>
    <n v="47081.760000000002"/>
  </r>
  <r>
    <x v="3439"/>
    <s v="ШИРОКАЯ РЕЧКА"/>
    <n v="61207.26"/>
    <n v="61207.26"/>
    <n v="55424.27"/>
  </r>
  <r>
    <x v="433"/>
    <s v="ЭЛЬМАШ"/>
    <n v="68527.44"/>
    <n v="68527.44"/>
    <n v="62052.82"/>
  </r>
  <r>
    <x v="15"/>
    <s v="УРАЛМАШ"/>
    <n v="67842.240000000005"/>
    <n v="67842.240000000005"/>
    <n v="61432.36"/>
  </r>
  <r>
    <x v="7"/>
    <s v="ЭЛЬМАШ"/>
    <n v="68527.44"/>
    <n v="68527.44"/>
    <n v="62052.82"/>
  </r>
  <r>
    <x v="583"/>
    <s v="Старая сортировка"/>
    <n v="57516.65"/>
    <n v="57516.65"/>
    <n v="52082.35"/>
  </r>
  <r>
    <x v="3440"/>
    <s v="Чусовское озеро"/>
    <n v="48229.05"/>
    <n v="48229.05"/>
    <n v="43672.26"/>
  </r>
  <r>
    <x v="3441"/>
    <s v="ГОРНЫЙ ЩИТ"/>
    <n v="50617.09"/>
    <n v="50617.09"/>
    <n v="45834.68"/>
  </r>
  <r>
    <x v="713"/>
    <s v="СЕВЕРКА"/>
    <n v="49579.11"/>
    <n v="49579.11"/>
    <n v="44894.77"/>
  </r>
  <r>
    <x v="937"/>
    <s v="Центр"/>
    <n v="91057.85"/>
    <n v="91057.85"/>
    <n v="82454.509999999995"/>
  </r>
  <r>
    <x v="3442"/>
    <s v="ВТУЗГОРОДОК"/>
    <n v="74667.16"/>
    <n v="74667.16"/>
    <n v="67612.45"/>
  </r>
  <r>
    <x v="3443"/>
    <s v="МЕДНЫЙ"/>
    <n v="49741.93"/>
    <n v="49741.93"/>
    <n v="45042.2"/>
  </r>
  <r>
    <x v="970"/>
    <s v="Центр"/>
    <n v="91057.85"/>
    <n v="91057.85"/>
    <n v="82454.509999999995"/>
  </r>
  <r>
    <x v="3444"/>
    <s v="СИБИРСКИЙ"/>
    <n v="61573.61"/>
    <n v="61573.61"/>
    <n v="55756.01"/>
  </r>
  <r>
    <x v="3445"/>
    <s v="ЧУСОВСКОЕ ОЗЕРО"/>
    <n v="48229.05"/>
    <n v="48229.05"/>
    <n v="43672.26"/>
  </r>
  <r>
    <x v="3446"/>
    <s v="ВИЗ"/>
    <n v="81668.479999999996"/>
    <n v="81668.479999999996"/>
    <n v="73952.27"/>
  </r>
  <r>
    <x v="102"/>
    <s v="УРАЛМАШ"/>
    <n v="67842.240000000005"/>
    <n v="67842.240000000005"/>
    <n v="61432.36"/>
  </r>
  <r>
    <x v="3447"/>
    <s v="ПАРКОВЫЙ"/>
    <n v="78853.03"/>
    <n v="78853.03"/>
    <n v="71402.83"/>
  </r>
  <r>
    <x v="3448"/>
    <s v="МЕДНЫЙ"/>
    <n v="49741.93"/>
    <n v="49741.93"/>
    <n v="45042.2"/>
  </r>
  <r>
    <x v="1088"/>
    <s v="Центр"/>
    <n v="91057.85"/>
    <n v="91057.85"/>
    <n v="82454.509999999995"/>
  </r>
  <r>
    <x v="3449"/>
    <s v="ВИЗ"/>
    <n v="81668.479999999996"/>
    <n v="81668.479999999996"/>
    <n v="73952.27"/>
  </r>
  <r>
    <x v="3450"/>
    <s v="СЕВЕРКА"/>
    <n v="49579.11"/>
    <n v="49579.11"/>
    <n v="44894.77"/>
  </r>
  <r>
    <x v="61"/>
    <s v="АВТОВОКЗАЛ"/>
    <n v="81132.53"/>
    <n v="81132.53"/>
    <n v="73466.960000000006"/>
  </r>
  <r>
    <x v="3451"/>
    <s v="УКТУС"/>
    <n v="61655.02"/>
    <n v="61655.02"/>
    <n v="55829.73"/>
  </r>
  <r>
    <x v="298"/>
    <s v="АВТОВОКЗАЛ"/>
    <n v="81132.53"/>
    <n v="81132.53"/>
    <n v="73466.960000000006"/>
  </r>
  <r>
    <x v="3452"/>
    <s v="ШАБРОВСКИЙ"/>
    <n v="36417.71"/>
    <n v="36417.71"/>
    <n v="32976.89"/>
  </r>
  <r>
    <x v="3453"/>
    <s v="ШИРОКАЯ РЕЧКА"/>
    <n v="61207.26"/>
    <n v="61207.26"/>
    <n v="55424.27"/>
  </r>
  <r>
    <x v="418"/>
    <s v="ВОКЗАЛЬНЫЙ"/>
    <n v="76180.05"/>
    <n v="76180.05"/>
    <n v="68982.39"/>
  </r>
  <r>
    <x v="3454"/>
    <s v="ЭЛЬМАШ"/>
    <n v="68527.44"/>
    <n v="68527.44"/>
    <n v="62052.82"/>
  </r>
  <r>
    <x v="3455"/>
    <s v="ШАРТАШ"/>
    <n v="66003.710000000006"/>
    <n v="66003.710000000006"/>
    <n v="59767.54"/>
  </r>
  <r>
    <x v="444"/>
    <s v="УРАЛМАШ"/>
    <n v="67842.240000000005"/>
    <n v="67842.240000000005"/>
    <n v="61432.36"/>
  </r>
  <r>
    <x v="3456"/>
    <s v="ЧЕРМЕТ"/>
    <n v="60698.45"/>
    <n v="60698.45"/>
    <n v="54963.53"/>
  </r>
  <r>
    <x v="3457"/>
    <s v="ГОРНЫЙ ЩИТ"/>
    <n v="50617.09"/>
    <n v="50617.09"/>
    <n v="45834.68"/>
  </r>
  <r>
    <x v="3458"/>
    <s v="ЕЛИЗАВЕТ"/>
    <n v="59056.67"/>
    <n v="59056.67"/>
    <n v="53476.87"/>
  </r>
  <r>
    <x v="3459"/>
    <s v="ПИОНЕРСКИЙ"/>
    <n v="75318.45"/>
    <n v="75318.45"/>
    <n v="68202.2"/>
  </r>
  <r>
    <x v="3460"/>
    <s v="Старая сортировка"/>
    <n v="57516.65"/>
    <n v="57516.65"/>
    <n v="52082.35"/>
  </r>
  <r>
    <x v="765"/>
    <s v="СОЛНЕЧНЫЙ"/>
    <n v="58724.24"/>
    <n v="58724.24"/>
    <n v="53175.85"/>
  </r>
  <r>
    <x v="3461"/>
    <s v="ВТУЗГОРОДОК"/>
    <n v="74667.16"/>
    <n v="74667.16"/>
    <n v="67612.45"/>
  </r>
  <r>
    <x v="1046"/>
    <s v="ВИЗ"/>
    <n v="81668.479999999996"/>
    <n v="81668.479999999996"/>
    <n v="73952.27"/>
  </r>
  <r>
    <x v="1065"/>
    <s v="ВИЗ"/>
    <n v="81668.479999999996"/>
    <n v="81668.479999999996"/>
    <n v="73952.27"/>
  </r>
  <r>
    <x v="37"/>
    <s v="Старая сортировка"/>
    <n v="57516.65"/>
    <n v="57516.65"/>
    <n v="52082.35"/>
  </r>
  <r>
    <x v="3462"/>
    <s v="Старая сортировка"/>
    <n v="57516.65"/>
    <n v="57516.65"/>
    <n v="52082.35"/>
  </r>
  <r>
    <x v="3463"/>
    <s v="Нижнеисетский"/>
    <n v="45325.4"/>
    <n v="45325.4"/>
    <n v="41042.959999999999"/>
  </r>
  <r>
    <x v="836"/>
    <s v="УРАЛМАШ"/>
    <n v="67842.240000000005"/>
    <n v="67842.240000000005"/>
    <n v="61432.36"/>
  </r>
  <r>
    <x v="3464"/>
    <s v="Северка"/>
    <n v="49579.11"/>
    <n v="49579.11"/>
    <n v="44894.77"/>
  </r>
  <r>
    <x v="3465"/>
    <s v="Центр"/>
    <n v="91057.85"/>
    <n v="91057.85"/>
    <n v="82454.509999999995"/>
  </r>
  <r>
    <x v="3466"/>
    <s v="ВОКЗАЛЬНЫЙ"/>
    <n v="76180.05"/>
    <n v="76180.05"/>
    <n v="68982.39"/>
  </r>
  <r>
    <x v="0"/>
    <s v="Центр"/>
    <n v="91057.85"/>
    <n v="91057.85"/>
    <n v="82454.509999999995"/>
  </r>
  <r>
    <x v="3467"/>
    <s v="Старая сортировка"/>
    <n v="57516.65"/>
    <n v="57516.65"/>
    <n v="52082.35"/>
  </r>
  <r>
    <x v="839"/>
    <s v="ЭЛЬМАШ"/>
    <n v="68527.44"/>
    <n v="68527.44"/>
    <n v="62052.82"/>
  </r>
  <r>
    <x v="3468"/>
    <s v="ПАРКОВЫЙ"/>
    <n v="78853.03"/>
    <n v="78853.03"/>
    <n v="71402.83"/>
  </r>
  <r>
    <x v="3469"/>
    <s v="Центр"/>
    <n v="91057.85"/>
    <n v="91057.85"/>
    <n v="82454.509999999995"/>
  </r>
  <r>
    <x v="3470"/>
    <s v="Старая сортировка"/>
    <n v="57516.65"/>
    <n v="57516.65"/>
    <n v="52082.35"/>
  </r>
  <r>
    <x v="960"/>
    <s v="ГОРНЫЙ ЩИТ"/>
    <n v="50617.09"/>
    <n v="50617.09"/>
    <n v="45834.68"/>
  </r>
  <r>
    <x v="3471"/>
    <s v="ЕЛИЗАВЕТ"/>
    <n v="59056.67"/>
    <n v="59056.67"/>
    <n v="53476.87"/>
  </r>
  <r>
    <x v="3472"/>
    <s v="ШИРОКАЯ РЕЧКА"/>
    <n v="61207.26"/>
    <n v="61207.26"/>
    <n v="55424.27"/>
  </r>
  <r>
    <x v="44"/>
    <s v="Старая сортировка"/>
    <n v="57516.65"/>
    <n v="57516.65"/>
    <n v="52082.35"/>
  </r>
  <r>
    <x v="3473"/>
    <s v="Ю-З"/>
    <n v="74239.759999999995"/>
    <n v="74239.759999999995"/>
    <n v="67225.429999999993"/>
  </r>
  <r>
    <x v="3474"/>
    <s v="Исток"/>
    <n v="51831.47"/>
    <n v="51831.47"/>
    <n v="46934.32"/>
  </r>
  <r>
    <x v="193"/>
    <s v="ВИЗ"/>
    <n v="81668.479999999996"/>
    <n v="81668.479999999996"/>
    <n v="73952.27"/>
  </r>
  <r>
    <x v="3475"/>
    <s v="УРАЛМАШ"/>
    <n v="67842.240000000005"/>
    <n v="67842.240000000005"/>
    <n v="61432.36"/>
  </r>
  <r>
    <x v="3476"/>
    <s v="Центр"/>
    <n v="91057.85"/>
    <n v="91057.85"/>
    <n v="82454.509999999995"/>
  </r>
  <r>
    <x v="3477"/>
    <s v="ШИРОКАЯ РЕЧКА"/>
    <n v="61207.26"/>
    <n v="61207.26"/>
    <n v="55424.27"/>
  </r>
  <r>
    <x v="3478"/>
    <s v="ПИОНЕРСКИЙ"/>
    <n v="75318.45"/>
    <n v="75318.45"/>
    <n v="68202.2"/>
  </r>
  <r>
    <x v="17"/>
    <s v="УРАЛМАШ"/>
    <n v="67842.240000000005"/>
    <n v="67842.240000000005"/>
    <n v="61432.36"/>
  </r>
  <r>
    <x v="127"/>
    <s v="Центр"/>
    <n v="91057.85"/>
    <n v="91057.85"/>
    <n v="82454.509999999995"/>
  </r>
  <r>
    <x v="672"/>
    <s v="ХИММАШ"/>
    <n v="60047.16"/>
    <n v="60047.16"/>
    <n v="54373.78"/>
  </r>
  <r>
    <x v="3479"/>
    <s v="Новая сортировка"/>
    <n v="62889.75"/>
    <n v="62889.75"/>
    <n v="56947.8"/>
  </r>
  <r>
    <x v="134"/>
    <s v="ПАРКОВЫЙ"/>
    <n v="78853.03"/>
    <n v="78853.03"/>
    <n v="71402.83"/>
  </r>
  <r>
    <x v="35"/>
    <s v="УРАЛМАШ"/>
    <n v="67842.240000000005"/>
    <n v="67842.240000000005"/>
    <n v="61432.36"/>
  </r>
  <r>
    <x v="3480"/>
    <s v="УКТУС"/>
    <n v="61655.02"/>
    <n v="61655.02"/>
    <n v="55829.73"/>
  </r>
  <r>
    <x v="206"/>
    <s v="ПИОНЕРСКИЙ"/>
    <n v="75318.45"/>
    <n v="75318.45"/>
    <n v="68202.2"/>
  </r>
  <r>
    <x v="3481"/>
    <s v="Чусовское озеро"/>
    <n v="48229.05"/>
    <n v="48229.05"/>
    <n v="43672.26"/>
  </r>
  <r>
    <x v="3482"/>
    <s v="КОЛЬЦОВО"/>
    <n v="53174.74"/>
    <n v="53174.74"/>
    <n v="48150.68"/>
  </r>
  <r>
    <x v="3483"/>
    <s v="ВИЗ"/>
    <n v="81668.479999999996"/>
    <n v="81668.479999999996"/>
    <n v="73952.27"/>
  </r>
  <r>
    <x v="781"/>
    <s v="ЭЛЬМАШ"/>
    <n v="68527.44"/>
    <n v="68527.44"/>
    <n v="62052.82"/>
  </r>
  <r>
    <x v="647"/>
    <s v="САДОВЫЙ"/>
    <n v="51600.800000000003"/>
    <n v="51600.800000000003"/>
    <n v="46725.45"/>
  </r>
  <r>
    <x v="3484"/>
    <s v="СОВХОЗ"/>
    <n v="57883"/>
    <n v="57883"/>
    <n v="52414.09"/>
  </r>
  <r>
    <x v="3485"/>
    <s v="САДОВЫЙ"/>
    <n v="51600.800000000003"/>
    <n v="51600.800000000003"/>
    <n v="46725.45"/>
  </r>
  <r>
    <x v="3486"/>
    <s v="ЭЛЬМАШ"/>
    <n v="68527.44"/>
    <n v="68527.44"/>
    <n v="62052.82"/>
  </r>
  <r>
    <x v="171"/>
    <s v="ЖБИ"/>
    <n v="67218.09"/>
    <n v="67218.09"/>
    <n v="60867.18"/>
  </r>
  <r>
    <x v="62"/>
    <s v="ПИОНЕРСКИЙ"/>
    <n v="75318.45"/>
    <n v="75318.45"/>
    <n v="68202.2"/>
  </r>
  <r>
    <x v="807"/>
    <s v="Шарташский рынок"/>
    <n v="77197.679999999993"/>
    <n v="77197.679999999993"/>
    <n v="69903.88"/>
  </r>
  <r>
    <x v="1039"/>
    <s v="Старая сортировка"/>
    <n v="57516.65"/>
    <n v="57516.65"/>
    <n v="52082.35"/>
  </r>
  <r>
    <x v="69"/>
    <s v="Ю-З"/>
    <n v="74239.759999999995"/>
    <n v="74239.759999999995"/>
    <n v="67225.429999999993"/>
  </r>
  <r>
    <x v="830"/>
    <s v="ЧЕРМЕТ"/>
    <n v="60698.45"/>
    <n v="60698.45"/>
    <n v="54963.53"/>
  </r>
  <r>
    <x v="3487"/>
    <s v="Нижнеисетский"/>
    <n v="45325.4"/>
    <n v="45325.4"/>
    <n v="41042.959999999999"/>
  </r>
  <r>
    <x v="3488"/>
    <s v="Старая сортировка"/>
    <n v="57516.65"/>
    <n v="57516.65"/>
    <n v="52082.35"/>
  </r>
  <r>
    <x v="513"/>
    <s v="АВТОВОКЗАЛ"/>
    <n v="81132.53"/>
    <n v="81132.53"/>
    <n v="73466.960000000006"/>
  </r>
  <r>
    <x v="3489"/>
    <s v="Шарташский рынок"/>
    <n v="77197.679999999993"/>
    <n v="77197.679999999993"/>
    <n v="69903.88"/>
  </r>
  <r>
    <x v="892"/>
    <s v="УКТУС"/>
    <n v="61655.02"/>
    <n v="61655.02"/>
    <n v="55829.73"/>
  </r>
  <r>
    <x v="158"/>
    <s v="ИСТОК"/>
    <n v="51831.47"/>
    <n v="51831.47"/>
    <n v="46934.32"/>
  </r>
  <r>
    <x v="722"/>
    <s v="ЧУСОВСКОЕ ОЗЕРО"/>
    <n v="48229.05"/>
    <n v="48229.05"/>
    <n v="43672.26"/>
  </r>
  <r>
    <x v="3490"/>
    <s v="Центр"/>
    <n v="91057.85"/>
    <n v="91057.85"/>
    <n v="82454.509999999995"/>
  </r>
  <r>
    <x v="3491"/>
    <s v="ЕЛИЗАВЕТ"/>
    <n v="59056.67"/>
    <n v="59056.67"/>
    <n v="53476.87"/>
  </r>
  <r>
    <x v="3492"/>
    <s v="ЛЕЧЕБНЫЙ"/>
    <n v="55990.2"/>
    <n v="55990.2"/>
    <n v="50700.12"/>
  </r>
  <r>
    <x v="3493"/>
    <s v="ЗАРЕЧНЫЙ"/>
    <n v="68887.009999999995"/>
    <n v="68887.009999999995"/>
    <n v="62378.42"/>
  </r>
  <r>
    <x v="3494"/>
    <s v="Чусовское озеро"/>
    <n v="48229.05"/>
    <n v="48229.05"/>
    <n v="43672.26"/>
  </r>
  <r>
    <x v="717"/>
    <s v="УКТУС"/>
    <n v="61655.02"/>
    <n v="61655.02"/>
    <n v="55829.73"/>
  </r>
  <r>
    <x v="3495"/>
    <s v="ПТИЦЕФАБРИКА"/>
    <n v="55074.33"/>
    <n v="55074.33"/>
    <n v="49870.79"/>
  </r>
  <r>
    <x v="3496"/>
    <s v="ШАРТАШ"/>
    <n v="66003.710000000006"/>
    <n v="66003.710000000006"/>
    <n v="59767.54"/>
  </r>
  <r>
    <x v="52"/>
    <s v="Старая сортировка"/>
    <n v="57516.65"/>
    <n v="57516.65"/>
    <n v="52082.35"/>
  </r>
  <r>
    <x v="388"/>
    <s v="КОМПРЕССОРНЫЙ"/>
    <n v="54633.35"/>
    <n v="54633.35"/>
    <n v="49471.48"/>
  </r>
  <r>
    <x v="3497"/>
    <s v="ЛЕЧЕБНЫЙ"/>
    <n v="55990.2"/>
    <n v="55990.2"/>
    <n v="50700.12"/>
  </r>
  <r>
    <x v="3498"/>
    <s v="Старая сортировка"/>
    <n v="57516.65"/>
    <n v="57516.65"/>
    <n v="52082.35"/>
  </r>
  <r>
    <x v="3499"/>
    <s v="ШИРОКАЯ РЕЧКА"/>
    <n v="61207.26"/>
    <n v="61207.26"/>
    <n v="55424.27"/>
  </r>
  <r>
    <x v="3500"/>
    <s v="Ю-З"/>
    <n v="74239.759999999995"/>
    <n v="74239.759999999995"/>
    <n v="67225.429999999993"/>
  </r>
  <r>
    <x v="350"/>
    <s v="ЭЛЬМАШ"/>
    <n v="68527.44"/>
    <n v="68527.44"/>
    <n v="62052.82"/>
  </r>
  <r>
    <x v="3501"/>
    <s v="ГОРНЫЙ ЩИТ"/>
    <n v="50617.09"/>
    <n v="50617.09"/>
    <n v="45834.68"/>
  </r>
  <r>
    <x v="299"/>
    <s v="УКТУС"/>
    <n v="61655.02"/>
    <n v="61655.02"/>
    <n v="55829.73"/>
  </r>
  <r>
    <x v="3502"/>
    <s v="Центр"/>
    <n v="91057.85"/>
    <n v="91057.85"/>
    <n v="82454.509999999995"/>
  </r>
  <r>
    <x v="472"/>
    <s v="ЧЕРМЕТ"/>
    <n v="60698.45"/>
    <n v="60698.45"/>
    <n v="54963.53"/>
  </r>
  <r>
    <x v="3503"/>
    <s v="Ю-З"/>
    <n v="74239.759999999995"/>
    <n v="74239.759999999995"/>
    <n v="67225.429999999993"/>
  </r>
  <r>
    <x v="3504"/>
    <s v="Нижнеисетский"/>
    <n v="45325.4"/>
    <n v="45325.4"/>
    <n v="41042.959999999999"/>
  </r>
  <r>
    <x v="170"/>
    <s v="АВТОВОКЗАЛ"/>
    <n v="81132.53"/>
    <n v="81132.53"/>
    <n v="73466.960000000006"/>
  </r>
  <r>
    <x v="3505"/>
    <s v="ПТИЦЕФАБРИКА"/>
    <n v="55074.33"/>
    <n v="55074.33"/>
    <n v="49870.79"/>
  </r>
  <r>
    <x v="3506"/>
    <s v="ПАРКОВЫЙ"/>
    <n v="78853.03"/>
    <n v="78853.03"/>
    <n v="71402.83"/>
  </r>
  <r>
    <x v="3507"/>
    <s v="МЕДНЫЙ"/>
    <n v="49741.93"/>
    <n v="49741.93"/>
    <n v="45042.2"/>
  </r>
  <r>
    <x v="607"/>
    <s v="РУДНЫЙ"/>
    <n v="45325.4"/>
    <n v="45325.4"/>
    <n v="41042.959999999999"/>
  </r>
  <r>
    <x v="440"/>
    <s v="ВТУЗГОРОДОК"/>
    <n v="74667.16"/>
    <n v="74667.16"/>
    <n v="67612.45"/>
  </r>
  <r>
    <x v="602"/>
    <s v="КОЛЬЦОВО"/>
    <n v="53174.74"/>
    <n v="53174.74"/>
    <n v="48150.68"/>
  </r>
  <r>
    <x v="608"/>
    <s v="ВИЗ"/>
    <n v="81668.479999999996"/>
    <n v="81668.479999999996"/>
    <n v="73952.27"/>
  </r>
  <r>
    <x v="3508"/>
    <s v="УРАЛМАШ"/>
    <n v="67842.240000000005"/>
    <n v="67842.240000000005"/>
    <n v="61432.36"/>
  </r>
  <r>
    <x v="3509"/>
    <s v="ПИОНЕРСКИЙ"/>
    <n v="75318.45"/>
    <n v="75318.45"/>
    <n v="68202.2"/>
  </r>
  <r>
    <x v="1025"/>
    <s v="УРАЛМАШ"/>
    <n v="67842.240000000005"/>
    <n v="67842.240000000005"/>
    <n v="61432.36"/>
  </r>
  <r>
    <x v="667"/>
    <s v="Центр"/>
    <n v="91057.85"/>
    <n v="91057.85"/>
    <n v="82454.509999999995"/>
  </r>
  <r>
    <x v="683"/>
    <s v="Ю-З"/>
    <n v="74239.759999999995"/>
    <n v="74239.759999999995"/>
    <n v="67225.429999999993"/>
  </r>
  <r>
    <x v="812"/>
    <s v="ШАРТАШ"/>
    <n v="66003.710000000006"/>
    <n v="66003.710000000006"/>
    <n v="59767.54"/>
  </r>
  <r>
    <x v="988"/>
    <s v="ШАРТАШ"/>
    <n v="66003.710000000006"/>
    <n v="66003.710000000006"/>
    <n v="59767.54"/>
  </r>
  <r>
    <x v="3510"/>
    <s v="УКТУС"/>
    <n v="61655.02"/>
    <n v="61655.02"/>
    <n v="55829.73"/>
  </r>
  <r>
    <x v="3511"/>
    <s v="ШИРОКАЯ РЕЧКА"/>
    <n v="61207.26"/>
    <n v="61207.26"/>
    <n v="55424.27"/>
  </r>
  <r>
    <x v="3512"/>
    <s v="Центр"/>
    <n v="91057.85"/>
    <n v="91057.85"/>
    <n v="82454.509999999995"/>
  </r>
  <r>
    <x v="438"/>
    <s v="ПИОНЕРСКИЙ"/>
    <n v="75318.45"/>
    <n v="75318.45"/>
    <n v="68202.2"/>
  </r>
  <r>
    <x v="587"/>
    <s v="КОЛЬЦОВО"/>
    <n v="53174.74"/>
    <n v="53174.74"/>
    <n v="48150.68"/>
  </r>
  <r>
    <x v="1056"/>
    <s v="ЭЛЬМАШ"/>
    <n v="68527.44"/>
    <n v="68527.44"/>
    <n v="62052.82"/>
  </r>
  <r>
    <x v="3513"/>
    <s v="Ю-З"/>
    <n v="74239.759999999995"/>
    <n v="74239.759999999995"/>
    <n v="67225.429999999993"/>
  </r>
  <r>
    <x v="197"/>
    <s v="ЧЕРМЕТ"/>
    <n v="60698.45"/>
    <n v="60698.45"/>
    <n v="54963.53"/>
  </r>
  <r>
    <x v="3514"/>
    <s v="ВИЗ"/>
    <n v="81668.479999999996"/>
    <n v="81668.479999999996"/>
    <n v="73952.27"/>
  </r>
  <r>
    <x v="3515"/>
    <s v="ПАРКОВЫЙ"/>
    <n v="78853.03"/>
    <n v="78853.03"/>
    <n v="71402.83"/>
  </r>
  <r>
    <x v="3516"/>
    <s v="ШАРТАШ"/>
    <n v="66003.710000000006"/>
    <n v="66003.710000000006"/>
    <n v="59767.54"/>
  </r>
  <r>
    <x v="3517"/>
    <s v="ГОРНЫЙ ЩИТ"/>
    <n v="50617.09"/>
    <n v="50617.09"/>
    <n v="45834.68"/>
  </r>
  <r>
    <x v="3518"/>
    <s v="МЕДНЫЙ"/>
    <n v="49741.93"/>
    <n v="49741.93"/>
    <n v="45042.2"/>
  </r>
  <r>
    <x v="1032"/>
    <s v="ЛЕЧЕБНЫЙ"/>
    <n v="55990.2"/>
    <n v="55990.2"/>
    <n v="50700.12"/>
  </r>
  <r>
    <x v="300"/>
    <s v="ШАБРОВСКИЙ"/>
    <n v="36417.71"/>
    <n v="36417.71"/>
    <n v="32976.89"/>
  </r>
  <r>
    <x v="1070"/>
    <s v="УКТУС"/>
    <n v="61655.02"/>
    <n v="61655.02"/>
    <n v="55829.73"/>
  </r>
  <r>
    <x v="3519"/>
    <s v="УРАЛМАШ"/>
    <n v="67842.240000000005"/>
    <n v="67842.240000000005"/>
    <n v="61432.36"/>
  </r>
  <r>
    <x v="3520"/>
    <s v="ШАРТАШ"/>
    <n v="66003.710000000006"/>
    <n v="66003.710000000006"/>
    <n v="59767.54"/>
  </r>
  <r>
    <x v="530"/>
    <s v="ЧЕРМЕТ"/>
    <n v="60698.45"/>
    <n v="60698.45"/>
    <n v="54963.53"/>
  </r>
  <r>
    <x v="3521"/>
    <s v="ВИЗ"/>
    <n v="81668.479999999996"/>
    <n v="81668.479999999996"/>
    <n v="73952.27"/>
  </r>
  <r>
    <x v="3522"/>
    <s v="ВИЗ"/>
    <n v="81668.479999999996"/>
    <n v="81668.479999999996"/>
    <n v="73952.27"/>
  </r>
  <r>
    <x v="59"/>
    <s v="АВТОВОКЗАЛ"/>
    <n v="81132.53"/>
    <n v="81132.53"/>
    <n v="73466.960000000006"/>
  </r>
  <r>
    <x v="796"/>
    <s v="УРАЛМАШ"/>
    <n v="67842.240000000005"/>
    <n v="67842.240000000005"/>
    <n v="61432.36"/>
  </r>
  <r>
    <x v="3523"/>
    <s v="КОЛЬЦОВО"/>
    <n v="53174.74"/>
    <n v="53174.74"/>
    <n v="48150.68"/>
  </r>
  <r>
    <x v="520"/>
    <s v="УРАЛМАШ"/>
    <n v="67842.240000000005"/>
    <n v="67842.240000000005"/>
    <n v="61432.36"/>
  </r>
  <r>
    <x v="627"/>
    <s v="ЛЕЧЕБНЫЙ"/>
    <n v="55990.2"/>
    <n v="55990.2"/>
    <n v="50700.12"/>
  </r>
  <r>
    <x v="3524"/>
    <s v="УКТУС"/>
    <n v="61655.02"/>
    <n v="61655.02"/>
    <n v="55829.73"/>
  </r>
  <r>
    <x v="558"/>
    <s v="МЕДНЫЙ"/>
    <n v="49741.93"/>
    <n v="49741.93"/>
    <n v="45042.2"/>
  </r>
  <r>
    <x v="3525"/>
    <s v="ШИРОКАЯ РЕЧКА"/>
    <n v="61207.26"/>
    <n v="61207.26"/>
    <n v="55424.27"/>
  </r>
  <r>
    <x v="3526"/>
    <s v="ЕЛИЗАВЕТ"/>
    <n v="59056.67"/>
    <n v="59056.67"/>
    <n v="53476.87"/>
  </r>
  <r>
    <x v="794"/>
    <s v="ШАБРОВСКИЙ"/>
    <n v="36417.71"/>
    <n v="36417.71"/>
    <n v="32976.89"/>
  </r>
  <r>
    <x v="29"/>
    <s v="УРАЛМАШ"/>
    <n v="67842.240000000005"/>
    <n v="67842.240000000005"/>
    <n v="61432.36"/>
  </r>
  <r>
    <x v="1052"/>
    <s v="УРАЛМАШ"/>
    <n v="67842.240000000005"/>
    <n v="67842.240000000005"/>
    <n v="61432.36"/>
  </r>
  <r>
    <x v="610"/>
    <s v="Шарташский рынок"/>
    <n v="77197.679999999993"/>
    <n v="77197.679999999993"/>
    <n v="69903.88"/>
  </r>
  <r>
    <x v="678"/>
    <s v="Старая сортировка"/>
    <n v="57516.65"/>
    <n v="57516.65"/>
    <n v="52082.35"/>
  </r>
  <r>
    <x v="3527"/>
    <s v="ГОРНЫЙ ЩИТ"/>
    <n v="50617.09"/>
    <n v="50617.09"/>
    <n v="45834.68"/>
  </r>
  <r>
    <x v="3528"/>
    <s v="Нижнеисетский"/>
    <n v="45325.4"/>
    <n v="45325.4"/>
    <n v="41042.959999999999"/>
  </r>
  <r>
    <x v="3529"/>
    <s v="Центр"/>
    <n v="91057.85"/>
    <n v="91057.85"/>
    <n v="82454.509999999995"/>
  </r>
  <r>
    <x v="3530"/>
    <s v="Новая сортировка"/>
    <n v="62889.75"/>
    <n v="62889.75"/>
    <n v="56947.8"/>
  </r>
  <r>
    <x v="161"/>
    <s v="ШАРТАШ"/>
    <n v="66003.710000000006"/>
    <n v="66003.710000000006"/>
    <n v="59767.54"/>
  </r>
  <r>
    <x v="3531"/>
    <s v="ВОКЗАЛЬНЫЙ"/>
    <n v="76180.05"/>
    <n v="76180.05"/>
    <n v="68982.39"/>
  </r>
  <r>
    <x v="3532"/>
    <s v="ВИЗ"/>
    <n v="81668.479999999996"/>
    <n v="81668.479999999996"/>
    <n v="73952.27"/>
  </r>
  <r>
    <x v="3533"/>
    <s v="ШАРТАШ"/>
    <n v="66003.710000000006"/>
    <n v="66003.710000000006"/>
    <n v="59767.54"/>
  </r>
  <r>
    <x v="3534"/>
    <s v="ШИРОКАЯ РЕЧКА"/>
    <n v="61207.26"/>
    <n v="61207.26"/>
    <n v="55424.27"/>
  </r>
  <r>
    <x v="3535"/>
    <s v="Центр"/>
    <n v="91057.85"/>
    <n v="91057.85"/>
    <n v="82454.509999999995"/>
  </r>
  <r>
    <x v="3536"/>
    <s v="СОВХОЗ"/>
    <n v="57883"/>
    <n v="57883"/>
    <n v="52414.09"/>
  </r>
  <r>
    <x v="389"/>
    <s v="ПИОНЕРСКИЙ"/>
    <n v="75318.45"/>
    <n v="75318.45"/>
    <n v="68202.2"/>
  </r>
  <r>
    <x v="735"/>
    <s v="КОЛЬЦОВО"/>
    <n v="53174.74"/>
    <n v="53174.74"/>
    <n v="48150.68"/>
  </r>
  <r>
    <x v="646"/>
    <s v="ЧЕРМЕТ"/>
    <n v="60698.45"/>
    <n v="60698.45"/>
    <n v="54963.53"/>
  </r>
  <r>
    <x v="3537"/>
    <s v="ШАРТАШ"/>
    <n v="66003.710000000006"/>
    <n v="66003.710000000006"/>
    <n v="59767.54"/>
  </r>
  <r>
    <x v="3538"/>
    <s v="Старая сортировка"/>
    <n v="57516.65"/>
    <n v="57516.65"/>
    <n v="52082.35"/>
  </r>
  <r>
    <x v="1077"/>
    <s v="УРАЛМАШ"/>
    <n v="67842.240000000005"/>
    <n v="67842.240000000005"/>
    <n v="61432.36"/>
  </r>
  <r>
    <x v="3539"/>
    <s v="ЧЕРМЕТ"/>
    <n v="60698.45"/>
    <n v="60698.45"/>
    <n v="54963.53"/>
  </r>
  <r>
    <x v="1080"/>
    <s v="УРАЛМАШ"/>
    <n v="67842.240000000005"/>
    <n v="67842.240000000005"/>
    <n v="61432.36"/>
  </r>
  <r>
    <x v="3540"/>
    <s v="ЧЕРМЕТ"/>
    <n v="60698.45"/>
    <n v="60698.45"/>
    <n v="54963.53"/>
  </r>
  <r>
    <x v="3541"/>
    <s v="ШАРТАШ"/>
    <n v="66003.710000000006"/>
    <n v="66003.710000000006"/>
    <n v="59767.54"/>
  </r>
  <r>
    <x v="692"/>
    <s v="ЭЛЬМАШ"/>
    <n v="68527.44"/>
    <n v="68527.44"/>
    <n v="62052.82"/>
  </r>
  <r>
    <x v="3542"/>
    <s v="ЧЕРМЕТ"/>
    <n v="60698.45"/>
    <n v="60698.45"/>
    <n v="54963.53"/>
  </r>
  <r>
    <x v="3543"/>
    <s v="УНЦ"/>
    <n v="62774.42"/>
    <n v="62774.42"/>
    <n v="56843.360000000001"/>
  </r>
  <r>
    <x v="323"/>
    <s v="ШАРТАШ"/>
    <n v="66003.710000000006"/>
    <n v="66003.710000000006"/>
    <n v="59767.54"/>
  </r>
  <r>
    <x v="3544"/>
    <s v="ЧЕРМЕТ"/>
    <n v="60698.45"/>
    <n v="60698.45"/>
    <n v="54963.53"/>
  </r>
  <r>
    <x v="767"/>
    <s v="ЕЛИЗАВЕТ"/>
    <n v="59056.67"/>
    <n v="59056.67"/>
    <n v="53476.87"/>
  </r>
  <r>
    <x v="895"/>
    <s v="Ю-З"/>
    <n v="74239.759999999995"/>
    <n v="74239.759999999995"/>
    <n v="67225.429999999993"/>
  </r>
  <r>
    <x v="3545"/>
    <s v="САДОВЫЙ"/>
    <n v="51600.800000000003"/>
    <n v="51600.800000000003"/>
    <n v="46725.45"/>
  </r>
  <r>
    <x v="3546"/>
    <s v="ВИЗ"/>
    <n v="81668.479999999996"/>
    <n v="81668.479999999996"/>
    <n v="73952.27"/>
  </r>
  <r>
    <x v="369"/>
    <s v="ГОРНЫЙ ЩИТ"/>
    <n v="50617.09"/>
    <n v="50617.09"/>
    <n v="45834.68"/>
  </r>
  <r>
    <x v="1067"/>
    <s v="ВИЗ"/>
    <n v="81668.479999999996"/>
    <n v="81668.479999999996"/>
    <n v="73952.27"/>
  </r>
  <r>
    <x v="3547"/>
    <s v="ПИОНЕРСКИЙ"/>
    <n v="75318.45"/>
    <n v="75318.45"/>
    <n v="68202.2"/>
  </r>
  <r>
    <x v="475"/>
    <s v="ЭЛЬМАШ"/>
    <n v="68527.44"/>
    <n v="68527.44"/>
    <n v="62052.82"/>
  </r>
  <r>
    <x v="596"/>
    <s v="ЭЛЬМАШ"/>
    <n v="68527.44"/>
    <n v="68527.44"/>
    <n v="62052.82"/>
  </r>
  <r>
    <x v="897"/>
    <s v="Центр"/>
    <n v="91057.85"/>
    <n v="91057.85"/>
    <n v="82454.509999999995"/>
  </r>
  <r>
    <x v="3548"/>
    <s v="ШИРОКАЯ РЕЧКА"/>
    <n v="61207.26"/>
    <n v="61207.26"/>
    <n v="55424.27"/>
  </r>
  <r>
    <x v="452"/>
    <s v="КОМПРЕССОРНЫЙ"/>
    <n v="54633.35"/>
    <n v="54633.35"/>
    <n v="49471.48"/>
  </r>
  <r>
    <x v="3549"/>
    <s v="ХИММАШ"/>
    <n v="60047.16"/>
    <n v="60047.16"/>
    <n v="54373.78"/>
  </r>
  <r>
    <x v="3550"/>
    <s v="ГОРНЫЙ ЩИТ"/>
    <n v="50617.09"/>
    <n v="50617.09"/>
    <n v="45834.68"/>
  </r>
  <r>
    <x v="3551"/>
    <s v="ЛЕЧЕБНЫЙ"/>
    <n v="55990.2"/>
    <n v="55990.2"/>
    <n v="50700.12"/>
  </r>
  <r>
    <x v="3552"/>
    <s v="Ю-З"/>
    <n v="74239.759999999995"/>
    <n v="74239.759999999995"/>
    <n v="67225.429999999993"/>
  </r>
  <r>
    <x v="871"/>
    <s v="УКТУС"/>
    <n v="61655.02"/>
    <n v="61655.02"/>
    <n v="55829.73"/>
  </r>
  <r>
    <x v="3553"/>
    <s v="ГОРНЫЙ ЩИТ"/>
    <n v="50617.09"/>
    <n v="50617.09"/>
    <n v="45834.68"/>
  </r>
  <r>
    <x v="3554"/>
    <s v="ШАБРОВСКИЙ"/>
    <n v="36417.71"/>
    <n v="36417.71"/>
    <n v="32976.89"/>
  </r>
  <r>
    <x v="328"/>
    <s v="ХИММАШ"/>
    <n v="60047.16"/>
    <n v="60047.16"/>
    <n v="54373.78"/>
  </r>
  <r>
    <x v="3555"/>
    <s v="СИНИЕ КАМНИ"/>
    <n v="66505.740000000005"/>
    <n v="66505.740000000005"/>
    <n v="60222.14"/>
  </r>
  <r>
    <x v="3556"/>
    <s v="САДОВЫЙ"/>
    <n v="51600.800000000003"/>
    <n v="51600.800000000003"/>
    <n v="46725.45"/>
  </r>
  <r>
    <x v="894"/>
    <s v="ЕЛИЗАВЕТ"/>
    <n v="59056.67"/>
    <n v="59056.67"/>
    <n v="53476.87"/>
  </r>
  <r>
    <x v="3557"/>
    <s v="ИЗОПЛИТ"/>
    <n v="51994.29"/>
    <n v="51994.29"/>
    <n v="47081.760000000002"/>
  </r>
  <r>
    <x v="3558"/>
    <s v="Ю-З"/>
    <n v="74239.759999999995"/>
    <n v="74239.759999999995"/>
    <n v="67225.429999999993"/>
  </r>
  <r>
    <x v="623"/>
    <s v="Центр"/>
    <n v="91057.85"/>
    <n v="91057.85"/>
    <n v="82454.509999999995"/>
  </r>
  <r>
    <x v="63"/>
    <s v="АВТОВОКЗАЛ"/>
    <n v="81132.53"/>
    <n v="81132.53"/>
    <n v="73466.960000000006"/>
  </r>
  <r>
    <x v="665"/>
    <s v="ЭЛЬМАШ"/>
    <n v="68527.44"/>
    <n v="68527.44"/>
    <n v="62052.82"/>
  </r>
  <r>
    <x v="715"/>
    <s v="ЭЛЬМАШ"/>
    <n v="68527.44"/>
    <n v="68527.44"/>
    <n v="62052.82"/>
  </r>
  <r>
    <x v="1104"/>
    <s v="Ю-З"/>
    <n v="74239.759999999995"/>
    <n v="74239.759999999995"/>
    <n v="67225.429999999993"/>
  </r>
  <r>
    <x v="3559"/>
    <s v="ЛЕЧЕБНЫЙ"/>
    <n v="55990.2"/>
    <n v="55990.2"/>
    <n v="50700.12"/>
  </r>
  <r>
    <x v="3560"/>
    <s v="ЕЛИЗАВЕТ"/>
    <n v="59056.67"/>
    <n v="59056.67"/>
    <n v="53476.87"/>
  </r>
  <r>
    <x v="3561"/>
    <s v="УКТУС"/>
    <n v="61655.02"/>
    <n v="61655.02"/>
    <n v="55829.73"/>
  </r>
  <r>
    <x v="337"/>
    <s v="ЭЛЬМАШ"/>
    <n v="68527.44"/>
    <n v="68527.44"/>
    <n v="62052.82"/>
  </r>
  <r>
    <x v="3562"/>
    <s v="ЛЕЧЕБНЫЙ"/>
    <n v="55990.2"/>
    <n v="55990.2"/>
    <n v="50700.12"/>
  </r>
  <r>
    <x v="3563"/>
    <s v="ЧЕРМЕТ"/>
    <n v="60698.45"/>
    <n v="60698.45"/>
    <n v="54963.53"/>
  </r>
  <r>
    <x v="346"/>
    <s v="АВТОВОКЗАЛ"/>
    <n v="81132.53"/>
    <n v="81132.53"/>
    <n v="73466.960000000006"/>
  </r>
  <r>
    <x v="3564"/>
    <s v="ШАРТАШ"/>
    <n v="66003.710000000006"/>
    <n v="66003.710000000006"/>
    <n v="59767.54"/>
  </r>
  <r>
    <x v="946"/>
    <s v="ХИММАШ"/>
    <n v="60047.16"/>
    <n v="60047.16"/>
    <n v="54373.78"/>
  </r>
  <r>
    <x v="340"/>
    <s v="ЭЛЬМАШ"/>
    <n v="68527.44"/>
    <n v="68527.44"/>
    <n v="62052.82"/>
  </r>
  <r>
    <x v="3565"/>
    <s v="САДОВЫЙ"/>
    <n v="51600.800000000003"/>
    <n v="51600.800000000003"/>
    <n v="46725.45"/>
  </r>
  <r>
    <x v="899"/>
    <s v="Старая сортировка"/>
    <n v="57516.65"/>
    <n v="57516.65"/>
    <n v="52082.35"/>
  </r>
  <r>
    <x v="3566"/>
    <s v="ПТИЦЕФАБРИКА"/>
    <n v="55074.33"/>
    <n v="55074.33"/>
    <n v="49870.79"/>
  </r>
  <r>
    <x v="3567"/>
    <s v="Старая сортировка"/>
    <n v="57516.65"/>
    <n v="57516.65"/>
    <n v="52082.35"/>
  </r>
  <r>
    <x v="525"/>
    <s v="АВТОВОКЗАЛ"/>
    <n v="81132.53"/>
    <n v="81132.53"/>
    <n v="73466.960000000006"/>
  </r>
  <r>
    <x v="297"/>
    <s v="ВТУЗГОРОДОК"/>
    <n v="74667.16"/>
    <n v="74667.16"/>
    <n v="67612.45"/>
  </r>
  <r>
    <x v="3568"/>
    <s v="УРАЛМАШ"/>
    <n v="67842.240000000005"/>
    <n v="67842.240000000005"/>
    <n v="61432.36"/>
  </r>
  <r>
    <x v="3569"/>
    <s v="АВТОВОКЗАЛ"/>
    <n v="81132.53"/>
    <n v="81132.53"/>
    <n v="73466.960000000006"/>
  </r>
  <r>
    <x v="3570"/>
    <s v="УРАЛМАШ"/>
    <n v="67842.240000000005"/>
    <n v="67842.240000000005"/>
    <n v="61432.36"/>
  </r>
  <r>
    <x v="3571"/>
    <s v="Старая сортировка"/>
    <n v="57516.65"/>
    <n v="57516.65"/>
    <n v="52082.35"/>
  </r>
  <r>
    <x v="3572"/>
    <s v="Старая сортировка"/>
    <n v="57516.65"/>
    <n v="57516.65"/>
    <n v="52082.35"/>
  </r>
  <r>
    <x v="1114"/>
    <s v="Центр"/>
    <n v="91057.85"/>
    <n v="91057.85"/>
    <n v="82454.509999999995"/>
  </r>
  <r>
    <x v="73"/>
    <s v="ЧЕРМЕТ"/>
    <n v="60698.45"/>
    <n v="60698.45"/>
    <n v="54963.53"/>
  </r>
  <r>
    <x v="352"/>
    <s v="ХИММАШ"/>
    <n v="60047.16"/>
    <n v="60047.16"/>
    <n v="54373.78"/>
  </r>
  <r>
    <x v="3573"/>
    <s v="ШАРТАШ"/>
    <n v="66003.710000000006"/>
    <n v="66003.710000000006"/>
    <n v="59767.54"/>
  </r>
  <r>
    <x v="3574"/>
    <s v="ЧЕРМЕТ"/>
    <n v="60698.45"/>
    <n v="60698.45"/>
    <n v="54963.53"/>
  </r>
  <r>
    <x v="147"/>
    <s v="УРАЛМАШ"/>
    <n v="67842.240000000005"/>
    <n v="67842.240000000005"/>
    <n v="61432.36"/>
  </r>
  <r>
    <x v="644"/>
    <s v="ПТИЦЕФАБРИКА"/>
    <n v="55074.33"/>
    <n v="55074.33"/>
    <n v="49870.79"/>
  </r>
  <r>
    <x v="3575"/>
    <s v="УНЦ"/>
    <n v="62774.42"/>
    <n v="62774.42"/>
    <n v="56843.360000000001"/>
  </r>
  <r>
    <x v="547"/>
    <s v="ПИОНЕРСКИЙ"/>
    <n v="75318.45"/>
    <n v="75318.45"/>
    <n v="68202.2"/>
  </r>
  <r>
    <x v="1076"/>
    <s v="Ю-З"/>
    <n v="74239.759999999995"/>
    <n v="74239.759999999995"/>
    <n v="67225.429999999993"/>
  </r>
  <r>
    <x v="3576"/>
    <s v="ЧЕРМЕТ"/>
    <n v="60698.45"/>
    <n v="60698.45"/>
    <n v="54963.53"/>
  </r>
  <r>
    <x v="3577"/>
    <s v="СИНИЕ КАМНИ"/>
    <n v="66505.740000000005"/>
    <n v="66505.740000000005"/>
    <n v="60222.14"/>
  </r>
  <r>
    <x v="3578"/>
    <s v="КОЛЬЦОВО"/>
    <n v="53174.74"/>
    <n v="53174.74"/>
    <n v="48150.68"/>
  </r>
  <r>
    <x v="3579"/>
    <s v="ЧЕРМЕТ"/>
    <n v="60698.45"/>
    <n v="60698.45"/>
    <n v="54963.53"/>
  </r>
  <r>
    <x v="3580"/>
    <s v="ВИЗ"/>
    <n v="81668.479999999996"/>
    <n v="81668.479999999996"/>
    <n v="73952.27"/>
  </r>
  <r>
    <x v="3581"/>
    <s v="СИБИРСКИЙ"/>
    <n v="61573.61"/>
    <n v="61573.61"/>
    <n v="55756.01"/>
  </r>
  <r>
    <x v="416"/>
    <s v="КОМПРЕССОРНЫЙ"/>
    <n v="54633.35"/>
    <n v="54633.35"/>
    <n v="49471.48"/>
  </r>
  <r>
    <x v="3582"/>
    <s v="ШИРОКАЯ РЕЧКА"/>
    <n v="61207.26"/>
    <n v="61207.26"/>
    <n v="55424.27"/>
  </r>
  <r>
    <x v="3583"/>
    <s v="Центр"/>
    <n v="91057.85"/>
    <n v="91057.85"/>
    <n v="82454.509999999995"/>
  </r>
  <r>
    <x v="3584"/>
    <s v="Старая сортировка"/>
    <n v="57516.65"/>
    <n v="57516.65"/>
    <n v="52082.35"/>
  </r>
  <r>
    <x v="1033"/>
    <s v="ЗАВОКЗАЛЬНЫЙ"/>
    <n v="54389.120000000003"/>
    <n v="54389.120000000003"/>
    <n v="49250.32"/>
  </r>
  <r>
    <x v="3585"/>
    <s v="ШИРОКАЯ РЕЧКА"/>
    <n v="61207.26"/>
    <n v="61207.26"/>
    <n v="55424.27"/>
  </r>
  <r>
    <x v="3586"/>
    <s v="Старая сортировка"/>
    <n v="57516.65"/>
    <n v="57516.65"/>
    <n v="52082.35"/>
  </r>
  <r>
    <x v="948"/>
    <s v="САДОВЫЙ"/>
    <n v="51600.800000000003"/>
    <n v="51600.800000000003"/>
    <n v="46725.45"/>
  </r>
  <r>
    <x v="695"/>
    <s v="ШИРОКАЯ РЕЧКА"/>
    <n v="61207.26"/>
    <n v="61207.26"/>
    <n v="55424.27"/>
  </r>
  <r>
    <x v="3587"/>
    <s v="АВТОВОКЗАЛ"/>
    <n v="81132.53"/>
    <n v="81132.53"/>
    <n v="73466.960000000006"/>
  </r>
  <r>
    <x v="384"/>
    <s v="УКТУС"/>
    <n v="61655.02"/>
    <n v="61655.02"/>
    <n v="55829.73"/>
  </r>
  <r>
    <x v="3588"/>
    <s v="ШАРТАШ"/>
    <n v="66003.710000000006"/>
    <n v="66003.710000000006"/>
    <n v="59767.54"/>
  </r>
  <r>
    <x v="3589"/>
    <s v="Ю-З"/>
    <n v="74239.759999999995"/>
    <n v="74239.759999999995"/>
    <n v="67225.429999999993"/>
  </r>
  <r>
    <x v="18"/>
    <s v="УРАЛМАШ"/>
    <n v="67842.240000000005"/>
    <n v="67842.240000000005"/>
    <n v="61432.36"/>
  </r>
  <r>
    <x v="3590"/>
    <s v="Чусовское озеро"/>
    <n v="48229.05"/>
    <n v="48229.05"/>
    <n v="43672.26"/>
  </r>
  <r>
    <x v="3591"/>
    <s v="ЧЕРМЕТ"/>
    <n v="60698.45"/>
    <n v="60698.45"/>
    <n v="54963.53"/>
  </r>
  <r>
    <x v="3592"/>
    <s v="ШАРТАШ"/>
    <n v="66003.710000000006"/>
    <n v="66003.710000000006"/>
    <n v="59767.54"/>
  </r>
  <r>
    <x v="663"/>
    <s v="ВОКЗАЛЬНЫЙ"/>
    <n v="76180.05"/>
    <n v="76180.05"/>
    <n v="68982.39"/>
  </r>
  <r>
    <x v="3593"/>
    <s v="КОЛЬЦОВО"/>
    <n v="53174.74"/>
    <n v="53174.74"/>
    <n v="48150.68"/>
  </r>
  <r>
    <x v="3594"/>
    <s v="ВИЗ"/>
    <n v="81668.479999999996"/>
    <n v="81668.479999999996"/>
    <n v="73952.27"/>
  </r>
  <r>
    <x v="3595"/>
    <s v="Нижнеисетский"/>
    <n v="45325.4"/>
    <n v="45325.4"/>
    <n v="41042.959999999999"/>
  </r>
  <r>
    <x v="219"/>
    <s v="ЭЛЬМАШ"/>
    <n v="68527.44"/>
    <n v="68527.44"/>
    <n v="62052.82"/>
  </r>
  <r>
    <x v="3596"/>
    <s v="ГОРНЫЙ ЩИТ"/>
    <n v="50617.09"/>
    <n v="50617.09"/>
    <n v="45834.68"/>
  </r>
  <r>
    <x v="3597"/>
    <s v="ХИММАШ"/>
    <n v="60047.16"/>
    <n v="60047.16"/>
    <n v="54373.78"/>
  </r>
  <r>
    <x v="135"/>
    <s v="УРАЛМАШ"/>
    <n v="67842.240000000005"/>
    <n v="67842.240000000005"/>
    <n v="61432.36"/>
  </r>
  <r>
    <x v="1017"/>
    <s v="АВТОВОКЗАЛ"/>
    <n v="81132.53"/>
    <n v="81132.53"/>
    <n v="73466.960000000006"/>
  </r>
  <r>
    <x v="3598"/>
    <s v="КОЛЬЦОВО"/>
    <n v="53174.74"/>
    <n v="53174.74"/>
    <n v="48150.68"/>
  </r>
  <r>
    <x v="3599"/>
    <s v="Ю-З"/>
    <n v="74239.759999999995"/>
    <n v="74239.759999999995"/>
    <n v="67225.429999999993"/>
  </r>
  <r>
    <x v="3600"/>
    <s v="Нижнеисетский"/>
    <n v="45325.4"/>
    <n v="45325.4"/>
    <n v="41042.959999999999"/>
  </r>
  <r>
    <x v="66"/>
    <s v="Старая сортировка"/>
    <n v="57516.65"/>
    <n v="57516.65"/>
    <n v="52082.35"/>
  </r>
  <r>
    <x v="3601"/>
    <s v="КОЛЬЦОВО"/>
    <n v="53174.74"/>
    <n v="53174.74"/>
    <n v="48150.68"/>
  </r>
  <r>
    <x v="521"/>
    <s v="УРАЛМАШ"/>
    <n v="67842.240000000005"/>
    <n v="67842.240000000005"/>
    <n v="61432.36"/>
  </r>
  <r>
    <x v="3602"/>
    <s v="УКТУС"/>
    <n v="61655.02"/>
    <n v="61655.02"/>
    <n v="55829.73"/>
  </r>
  <r>
    <x v="3603"/>
    <s v="Старая сортировка"/>
    <n v="57516.65"/>
    <n v="57516.65"/>
    <n v="52082.35"/>
  </r>
  <r>
    <x v="3604"/>
    <s v="Исток"/>
    <n v="51831.47"/>
    <n v="51831.47"/>
    <n v="46934.32"/>
  </r>
  <r>
    <x v="324"/>
    <s v="ХИММАШ"/>
    <n v="60047.16"/>
    <n v="60047.16"/>
    <n v="54373.78"/>
  </r>
  <r>
    <x v="3605"/>
    <s v="ШИРОКАЯ РЕЧКА"/>
    <n v="61207.26"/>
    <n v="61207.26"/>
    <n v="55424.27"/>
  </r>
  <r>
    <x v="3606"/>
    <s v="ШИРОКАЯ РЕЧКА"/>
    <n v="61207.26"/>
    <n v="61207.26"/>
    <n v="55424.27"/>
  </r>
  <r>
    <x v="3607"/>
    <s v="УНЦ"/>
    <n v="62774.42"/>
    <n v="62774.42"/>
    <n v="56843.360000000001"/>
  </r>
  <r>
    <x v="3608"/>
    <s v="ЕЛИЗАВЕТ"/>
    <n v="59056.67"/>
    <n v="59056.67"/>
    <n v="53476.87"/>
  </r>
  <r>
    <x v="3609"/>
    <s v="ГОРНЫЙ ЩИТ"/>
    <n v="50617.09"/>
    <n v="50617.09"/>
    <n v="45834.68"/>
  </r>
  <r>
    <x v="3610"/>
    <s v="ШИРОКАЯ РЕЧКА"/>
    <n v="61207.26"/>
    <n v="61207.26"/>
    <n v="55424.27"/>
  </r>
  <r>
    <x v="68"/>
    <s v="Центр"/>
    <n v="91057.85"/>
    <n v="91057.85"/>
    <n v="82454.509999999995"/>
  </r>
  <r>
    <x v="903"/>
    <s v="ИЗОПЛИТ"/>
    <n v="51994.29"/>
    <n v="51994.29"/>
    <n v="47081.760000000002"/>
  </r>
  <r>
    <x v="3611"/>
    <s v="ГОРНЫЙ ЩИТ"/>
    <n v="50617.09"/>
    <n v="50617.09"/>
    <n v="45834.68"/>
  </r>
  <r>
    <x v="1106"/>
    <s v="КАЛИНОВСКИЙ"/>
    <n v="54782.6"/>
    <n v="54782.6"/>
    <n v="49606.63"/>
  </r>
  <r>
    <x v="3612"/>
    <s v="Нижнеисетский"/>
    <n v="45325.4"/>
    <n v="45325.4"/>
    <n v="41042.959999999999"/>
  </r>
  <r>
    <x v="642"/>
    <s v="ПАРКОВЫЙ"/>
    <n v="78853.03"/>
    <n v="78853.03"/>
    <n v="71402.83"/>
  </r>
  <r>
    <x v="3613"/>
    <s v="Старая сортировка"/>
    <n v="57516.65"/>
    <n v="57516.65"/>
    <n v="52082.35"/>
  </r>
  <r>
    <x v="3614"/>
    <s v="ПИОНЕРСКИЙ"/>
    <n v="75318.45"/>
    <n v="75318.45"/>
    <n v="68202.2"/>
  </r>
  <r>
    <x v="990"/>
    <s v="ВИЗ"/>
    <n v="81668.479999999996"/>
    <n v="81668.479999999996"/>
    <n v="73952.27"/>
  </r>
  <r>
    <x v="3615"/>
    <s v="МЕДНЫЙ"/>
    <n v="49741.93"/>
    <n v="49741.93"/>
    <n v="45042.2"/>
  </r>
  <r>
    <x v="3616"/>
    <s v="Чусовское озеро"/>
    <n v="48229.05"/>
    <n v="48229.05"/>
    <n v="43672.26"/>
  </r>
  <r>
    <x v="1103"/>
    <s v="ПИОНЕРСКИЙ"/>
    <n v="75318.45"/>
    <n v="75318.45"/>
    <n v="68202.2"/>
  </r>
  <r>
    <x v="3617"/>
    <s v="МЕДНЫЙ"/>
    <n v="49741.93"/>
    <n v="49741.93"/>
    <n v="45042.2"/>
  </r>
  <r>
    <x v="1093"/>
    <s v="АВТОВОКЗАЛ"/>
    <n v="81132.53"/>
    <n v="81132.53"/>
    <n v="73466.960000000006"/>
  </r>
  <r>
    <x v="506"/>
    <s v="КОЛЬЦОВО"/>
    <n v="53174.74"/>
    <n v="53174.74"/>
    <n v="48150.68"/>
  </r>
  <r>
    <x v="3618"/>
    <s v="ШАРТАШ"/>
    <n v="66003.710000000006"/>
    <n v="66003.710000000006"/>
    <n v="59767.54"/>
  </r>
  <r>
    <x v="3619"/>
    <s v="АВТОВОКЗАЛ"/>
    <n v="81132.53"/>
    <n v="81132.53"/>
    <n v="73466.960000000006"/>
  </r>
  <r>
    <x v="45"/>
    <s v="УРАЛМАШ"/>
    <n v="67842.240000000005"/>
    <n v="67842.240000000005"/>
    <n v="61432.36"/>
  </r>
  <r>
    <x v="1071"/>
    <s v="Центр"/>
    <n v="91057.85"/>
    <n v="91057.85"/>
    <n v="82454.509999999995"/>
  </r>
  <r>
    <x v="356"/>
    <s v="Ю-З"/>
    <n v="74239.759999999995"/>
    <n v="74239.759999999995"/>
    <n v="67225.429999999993"/>
  </r>
  <r>
    <x v="2"/>
    <s v="ЭЛЬМАШ"/>
    <n v="68527.44"/>
    <n v="68527.44"/>
    <n v="62052.82"/>
  </r>
  <r>
    <x v="3620"/>
    <s v="ЧЕРМЕТ"/>
    <n v="60698.45"/>
    <n v="60698.45"/>
    <n v="54963.53"/>
  </r>
  <r>
    <x v="3621"/>
    <s v="ВИЗ"/>
    <n v="81668.479999999996"/>
    <n v="81668.479999999996"/>
    <n v="73952.27"/>
  </r>
  <r>
    <x v="3622"/>
    <s v="ЭЛЬМАШ"/>
    <n v="68527.44"/>
    <n v="68527.44"/>
    <n v="62052.82"/>
  </r>
  <r>
    <x v="3623"/>
    <s v="ЧЕРМЕТ"/>
    <n v="60698.45"/>
    <n v="60698.45"/>
    <n v="54963.53"/>
  </r>
  <r>
    <x v="1015"/>
    <s v="КОМПРЕССОРНЫЙ"/>
    <n v="54633.35"/>
    <n v="54633.35"/>
    <n v="49471.48"/>
  </r>
  <r>
    <x v="3624"/>
    <s v="ВИЗ"/>
    <n v="81668.479999999996"/>
    <n v="81668.479999999996"/>
    <n v="73952.27"/>
  </r>
  <r>
    <x v="109"/>
    <s v="ЧЕРМЕТ"/>
    <n v="60698.45"/>
    <n v="60698.45"/>
    <n v="54963.53"/>
  </r>
  <r>
    <x v="847"/>
    <s v="Центр"/>
    <n v="91057.85"/>
    <n v="91057.85"/>
    <n v="82454.509999999995"/>
  </r>
  <r>
    <x v="3625"/>
    <s v="УРАЛМАШ"/>
    <n v="67842.240000000005"/>
    <n v="67842.240000000005"/>
    <n v="61432.36"/>
  </r>
  <r>
    <x v="3626"/>
    <s v="ЧЕРМЕТ"/>
    <n v="60698.45"/>
    <n v="60698.45"/>
    <n v="54963.53"/>
  </r>
  <r>
    <x v="3627"/>
    <s v="ШИРОКАЯ РЕЧКА"/>
    <n v="61207.26"/>
    <n v="61207.26"/>
    <n v="55424.27"/>
  </r>
  <r>
    <x v="403"/>
    <s v="УРАЛМАШ"/>
    <n v="67842.240000000005"/>
    <n v="67842.240000000005"/>
    <n v="61432.36"/>
  </r>
  <r>
    <x v="3628"/>
    <s v="УКТУС"/>
    <n v="61655.02"/>
    <n v="61655.02"/>
    <n v="55829.73"/>
  </r>
  <r>
    <x v="95"/>
    <s v="ШАБРОВСКИЙ"/>
    <n v="36417.71"/>
    <n v="36417.71"/>
    <n v="32976.89"/>
  </r>
  <r>
    <x v="3629"/>
    <s v="ШАРТАШ"/>
    <n v="66003.710000000006"/>
    <n v="66003.710000000006"/>
    <n v="59767.54"/>
  </r>
  <r>
    <x v="3630"/>
    <s v="Ю-З"/>
    <n v="74239.759999999995"/>
    <n v="74239.759999999995"/>
    <n v="67225.429999999993"/>
  </r>
  <r>
    <x v="3631"/>
    <s v="ЛЕЧЕБНЫЙ"/>
    <n v="55990.2"/>
    <n v="55990.2"/>
    <n v="50700.12"/>
  </r>
  <r>
    <x v="3632"/>
    <s v="ГОРНЫЙ ЩИТ"/>
    <n v="50617.09"/>
    <n v="50617.09"/>
    <n v="45834.68"/>
  </r>
  <r>
    <x v="650"/>
    <s v="ЛЕЧЕБНЫЙ"/>
    <n v="55990.2"/>
    <n v="55990.2"/>
    <n v="50700.12"/>
  </r>
  <r>
    <x v="282"/>
    <s v="ПИОНЕРСКИЙ"/>
    <n v="75318.45"/>
    <n v="75318.45"/>
    <n v="68202.2"/>
  </r>
  <r>
    <x v="3633"/>
    <s v="ШИРОКАЯ РЕЧКА"/>
    <n v="61207.26"/>
    <n v="61207.26"/>
    <n v="55424.27"/>
  </r>
  <r>
    <x v="468"/>
    <s v="Ю-З"/>
    <n v="74239.759999999995"/>
    <n v="74239.759999999995"/>
    <n v="67225.429999999993"/>
  </r>
  <r>
    <x v="1049"/>
    <s v="ВИЗ"/>
    <n v="81668.479999999996"/>
    <n v="81668.479999999996"/>
    <n v="73952.27"/>
  </r>
  <r>
    <x v="65"/>
    <s v="АВТОВОКЗАЛ"/>
    <n v="81132.53"/>
    <n v="81132.53"/>
    <n v="73466.960000000006"/>
  </r>
  <r>
    <x v="3634"/>
    <s v="ЕЛИЗАВЕТ"/>
    <n v="59056.67"/>
    <n v="59056.67"/>
    <n v="53476.87"/>
  </r>
  <r>
    <x v="427"/>
    <s v="Центр"/>
    <n v="91057.85"/>
    <n v="91057.85"/>
    <n v="82454.509999999995"/>
  </r>
  <r>
    <x v="443"/>
    <s v="ВТУЗГОРОДОК"/>
    <n v="74667.16"/>
    <n v="74667.16"/>
    <n v="67612.45"/>
  </r>
  <r>
    <x v="3635"/>
    <s v="ГОРНЫЙ ЩИТ"/>
    <n v="50617.09"/>
    <n v="50617.09"/>
    <n v="45834.68"/>
  </r>
  <r>
    <x v="3636"/>
    <s v="САДОВЫЙ"/>
    <n v="51600.800000000003"/>
    <n v="51600.800000000003"/>
    <n v="46725.45"/>
  </r>
  <r>
    <x v="480"/>
    <s v="УРАЛМАШ"/>
    <n v="67842.240000000005"/>
    <n v="67842.240000000005"/>
    <n v="61432.36"/>
  </r>
  <r>
    <x v="3637"/>
    <s v="ВИЗ"/>
    <n v="81668.479999999996"/>
    <n v="81668.479999999996"/>
    <n v="73952.27"/>
  </r>
  <r>
    <x v="3638"/>
    <s v="ВИЗ"/>
    <n v="81668.479999999996"/>
    <n v="81668.479999999996"/>
    <n v="73952.27"/>
  </r>
  <r>
    <x v="3639"/>
    <s v="Старая сортировка"/>
    <n v="57516.65"/>
    <n v="57516.65"/>
    <n v="52082.35"/>
  </r>
  <r>
    <x v="287"/>
    <s v="Старая сортировка"/>
    <n v="57516.65"/>
    <n v="57516.65"/>
    <n v="52082.35"/>
  </r>
  <r>
    <x v="3640"/>
    <s v="ЗАРЕЧНЫЙ"/>
    <n v="68887.009999999995"/>
    <n v="68887.009999999995"/>
    <n v="62378.42"/>
  </r>
  <r>
    <x v="264"/>
    <s v="УКТУС"/>
    <n v="61655.02"/>
    <n v="61655.02"/>
    <n v="55829.73"/>
  </r>
  <r>
    <x v="267"/>
    <s v="ПАРКОВЫЙ"/>
    <n v="78853.03"/>
    <n v="78853.03"/>
    <n v="71402.83"/>
  </r>
  <r>
    <x v="281"/>
    <s v="ГОРНЫЙ ЩИТ"/>
    <n v="50617.09"/>
    <n v="50617.09"/>
    <n v="45834.68"/>
  </r>
  <r>
    <x v="1030"/>
    <s v="ХИММАШ"/>
    <n v="60047.16"/>
    <n v="60047.16"/>
    <n v="54373.78"/>
  </r>
  <r>
    <x v="764"/>
    <s v="ЧЕРМЕТ"/>
    <n v="60698.45"/>
    <n v="60698.45"/>
    <n v="54963.53"/>
  </r>
  <r>
    <x v="727"/>
    <s v="ЭЛЬМАШ"/>
    <n v="68527.44"/>
    <n v="68527.44"/>
    <n v="62052.82"/>
  </r>
  <r>
    <x v="3641"/>
    <s v="САДОВЫЙ"/>
    <n v="51600.800000000003"/>
    <n v="51600.800000000003"/>
    <n v="46725.45"/>
  </r>
  <r>
    <x v="3642"/>
    <s v="Ю-З"/>
    <n v="74239.759999999995"/>
    <n v="74239.759999999995"/>
    <n v="67225.429999999993"/>
  </r>
  <r>
    <x v="3643"/>
    <s v="СОВХОЗ"/>
    <n v="57883"/>
    <n v="57883"/>
    <n v="52414.09"/>
  </r>
  <r>
    <x v="3644"/>
    <s v="ЭЛЬМАШ"/>
    <n v="68527.44"/>
    <n v="68527.44"/>
    <n v="62052.82"/>
  </r>
  <r>
    <x v="3645"/>
    <s v="ХИММАШ"/>
    <n v="60047.16"/>
    <n v="60047.16"/>
    <n v="54373.78"/>
  </r>
  <r>
    <x v="293"/>
    <s v="ВТУЗГОРОДОК"/>
    <n v="74667.16"/>
    <n v="74667.16"/>
    <n v="67612.45"/>
  </r>
  <r>
    <x v="3646"/>
    <s v="Старая сортировка"/>
    <n v="57516.65"/>
    <n v="57516.65"/>
    <n v="52082.35"/>
  </r>
  <r>
    <x v="3647"/>
    <s v="Ю-З"/>
    <n v="74239.759999999995"/>
    <n v="74239.759999999995"/>
    <n v="67225.429999999993"/>
  </r>
  <r>
    <x v="3648"/>
    <s v="Старая сортировка"/>
    <n v="57516.65"/>
    <n v="57516.65"/>
    <n v="52082.35"/>
  </r>
  <r>
    <x v="845"/>
    <s v="ЭЛЬМАШ"/>
    <n v="68527.44"/>
    <n v="68527.44"/>
    <n v="62052.82"/>
  </r>
  <r>
    <x v="3649"/>
    <s v="ШИРОКАЯ РЕЧКА"/>
    <n v="61207.26"/>
    <n v="61207.26"/>
    <n v="55424.27"/>
  </r>
  <r>
    <x v="3650"/>
    <s v="УКТУС"/>
    <n v="61655.02"/>
    <n v="61655.02"/>
    <n v="55829.73"/>
  </r>
  <r>
    <x v="3651"/>
    <s v="Старая сортировка"/>
    <n v="57516.65"/>
    <n v="57516.65"/>
    <n v="52082.35"/>
  </r>
  <r>
    <x v="876"/>
    <s v="ЭЛЬМАШ"/>
    <n v="68527.44"/>
    <n v="68527.44"/>
    <n v="62052.82"/>
  </r>
  <r>
    <x v="3652"/>
    <s v="Центр"/>
    <n v="91057.85"/>
    <n v="91057.85"/>
    <n v="82454.509999999995"/>
  </r>
  <r>
    <x v="3653"/>
    <s v="Старая сортировка"/>
    <n v="57516.65"/>
    <n v="57516.65"/>
    <n v="52082.35"/>
  </r>
  <r>
    <x v="3654"/>
    <s v="ВИЗ"/>
    <n v="81668.479999999996"/>
    <n v="81668.479999999996"/>
    <n v="73952.27"/>
  </r>
  <r>
    <x v="3655"/>
    <s v="ЧЕРМЕТ"/>
    <n v="60698.45"/>
    <n v="60698.45"/>
    <n v="54963.53"/>
  </r>
  <r>
    <x v="3656"/>
    <s v="ШАБРОВСКИЙ"/>
    <n v="36417.71"/>
    <n v="36417.71"/>
    <n v="32976.89"/>
  </r>
  <r>
    <x v="3657"/>
    <s v="ЧУСОВСКОЕ ОЗЕРО"/>
    <n v="48229.05"/>
    <n v="48229.05"/>
    <n v="43672.26"/>
  </r>
  <r>
    <x v="153"/>
    <s v="ЗАВОКЗАЛЬНЫЙ"/>
    <n v="54389.120000000003"/>
    <n v="54389.120000000003"/>
    <n v="49250.32"/>
  </r>
  <r>
    <x v="3658"/>
    <s v="КОЛЬЦОВО"/>
    <n v="53174.74"/>
    <n v="53174.74"/>
    <n v="48150.68"/>
  </r>
  <r>
    <x v="56"/>
    <s v="ХИММАШ"/>
    <n v="60047.16"/>
    <n v="60047.16"/>
    <n v="54373.78"/>
  </r>
  <r>
    <x v="261"/>
    <s v="ХИММАШ"/>
    <n v="60047.16"/>
    <n v="60047.16"/>
    <n v="54373.78"/>
  </r>
  <r>
    <x v="730"/>
    <s v="АВТОВОКЗАЛ"/>
    <n v="81132.53"/>
    <n v="81132.53"/>
    <n v="73466.960000000006"/>
  </r>
  <r>
    <x v="469"/>
    <s v="АВТОВОКЗАЛ"/>
    <n v="81132.53"/>
    <n v="81132.53"/>
    <n v="73466.960000000006"/>
  </r>
  <r>
    <x v="3659"/>
    <s v="УРАЛМАШ"/>
    <n v="67842.240000000005"/>
    <n v="67842.240000000005"/>
    <n v="61432.36"/>
  </r>
  <r>
    <x v="1038"/>
    <s v="ВИЗ"/>
    <n v="81668.479999999996"/>
    <n v="81668.479999999996"/>
    <n v="73952.27"/>
  </r>
  <r>
    <x v="3660"/>
    <s v="ЕЛИЗАВЕТ"/>
    <n v="59056.67"/>
    <n v="59056.67"/>
    <n v="53476.87"/>
  </r>
  <r>
    <x v="3661"/>
    <s v="Ю-З"/>
    <n v="74239.759999999995"/>
    <n v="74239.759999999995"/>
    <n v="67225.429999999993"/>
  </r>
  <r>
    <x v="3662"/>
    <s v="Ю-З"/>
    <n v="74239.759999999995"/>
    <n v="74239.759999999995"/>
    <n v="67225.429999999993"/>
  </r>
  <r>
    <x v="631"/>
    <s v="УРАЛМАШ"/>
    <n v="67842.240000000005"/>
    <n v="67842.240000000005"/>
    <n v="61432.36"/>
  </r>
  <r>
    <x v="3663"/>
    <s v="ЗАРЕЧНЫЙ"/>
    <n v="68887.009999999995"/>
    <n v="68887.009999999995"/>
    <n v="62378.42"/>
  </r>
  <r>
    <x v="3664"/>
    <s v="Ю-З"/>
    <n v="74239.759999999995"/>
    <n v="74239.759999999995"/>
    <n v="67225.429999999993"/>
  </r>
  <r>
    <x v="3665"/>
    <s v="ЧЕРМЕТ"/>
    <n v="60698.45"/>
    <n v="60698.45"/>
    <n v="54963.53"/>
  </r>
  <r>
    <x v="3666"/>
    <s v="ШАБРОВСКИЙ"/>
    <n v="36417.71"/>
    <n v="36417.71"/>
    <n v="32976.89"/>
  </r>
  <r>
    <x v="3667"/>
    <s v="СОВХОЗ"/>
    <n v="57883"/>
    <n v="57883"/>
    <n v="52414.09"/>
  </r>
  <r>
    <x v="3668"/>
    <s v="ГОРНЫЙ ЩИТ"/>
    <n v="50617.09"/>
    <n v="50617.09"/>
    <n v="45834.68"/>
  </r>
  <r>
    <x v="3669"/>
    <s v="ВОКЗАЛЬНЫЙ"/>
    <n v="76180.05"/>
    <n v="76180.05"/>
    <n v="68982.39"/>
  </r>
  <r>
    <x v="113"/>
    <s v="ЧЕРМЕТ"/>
    <n v="60698.45"/>
    <n v="60698.45"/>
    <n v="54963.53"/>
  </r>
  <r>
    <x v="1035"/>
    <s v="УНЦ"/>
    <n v="62774.42"/>
    <n v="62774.42"/>
    <n v="56843.360000000001"/>
  </r>
  <r>
    <x v="3670"/>
    <s v="ВИЗ"/>
    <n v="81668.479999999996"/>
    <n v="81668.479999999996"/>
    <n v="73952.27"/>
  </r>
  <r>
    <x v="3671"/>
    <s v="ПИОНЕРСКИЙ"/>
    <n v="75318.45"/>
    <n v="75318.45"/>
    <n v="68202.2"/>
  </r>
  <r>
    <x v="3672"/>
    <s v="УКТУС"/>
    <n v="61655.02"/>
    <n v="61655.02"/>
    <n v="55829.73"/>
  </r>
  <r>
    <x v="3673"/>
    <s v="УКТУС"/>
    <n v="61655.02"/>
    <n v="61655.02"/>
    <n v="55829.73"/>
  </r>
  <r>
    <x v="71"/>
    <s v="ВТУЗГОРОДОК"/>
    <n v="74667.16"/>
    <n v="74667.16"/>
    <n v="67612.45"/>
  </r>
  <r>
    <x v="58"/>
    <s v="ВТУЗГОРОДОК"/>
    <n v="74667.16"/>
    <n v="74667.16"/>
    <n v="67612.45"/>
  </r>
  <r>
    <x v="3674"/>
    <s v="ЭЛЬМАШ"/>
    <n v="68527.44"/>
    <n v="68527.44"/>
    <n v="62052.82"/>
  </r>
  <r>
    <x v="257"/>
    <s v="ШАРТАШ"/>
    <n v="66003.710000000006"/>
    <n v="66003.710000000006"/>
    <n v="59767.54"/>
  </r>
  <r>
    <x v="3675"/>
    <s v="ГОРНЫЙ ЩИТ"/>
    <n v="50617.09"/>
    <n v="50617.09"/>
    <n v="45834.68"/>
  </r>
  <r>
    <x v="425"/>
    <s v="Центр"/>
    <n v="91057.85"/>
    <n v="91057.85"/>
    <n v="82454.509999999995"/>
  </r>
  <r>
    <x v="3676"/>
    <s v="СОВХОЗ"/>
    <n v="57883"/>
    <n v="57883"/>
    <n v="52414.09"/>
  </r>
  <r>
    <x v="186"/>
    <s v="ЧЕРМЕТ"/>
    <n v="60698.45"/>
    <n v="60698.45"/>
    <n v="54963.53"/>
  </r>
  <r>
    <x v="3677"/>
    <s v="Ю-З"/>
    <n v="74239.759999999995"/>
    <n v="74239.759999999995"/>
    <n v="67225.429999999993"/>
  </r>
  <r>
    <x v="3678"/>
    <s v="ЗАРЕЧНЫЙ"/>
    <n v="68887.009999999995"/>
    <n v="68887.009999999995"/>
    <n v="62378.42"/>
  </r>
  <r>
    <x v="3679"/>
    <s v="ЧЕРМЕТ"/>
    <n v="60698.45"/>
    <n v="60698.45"/>
    <n v="54963.53"/>
  </r>
  <r>
    <x v="3680"/>
    <s v="Новая сортировка"/>
    <n v="62889.75"/>
    <n v="62889.75"/>
    <n v="56947.8"/>
  </r>
  <r>
    <x v="3681"/>
    <s v="Нижнеисетский"/>
    <n v="45325.4"/>
    <n v="45325.4"/>
    <n v="41042.959999999999"/>
  </r>
  <r>
    <x v="3682"/>
    <s v="КОЛЬЦОВО"/>
    <n v="53174.74"/>
    <n v="53174.74"/>
    <n v="48150.68"/>
  </r>
  <r>
    <x v="179"/>
    <s v="Центр"/>
    <n v="91057.85"/>
    <n v="91057.85"/>
    <n v="82454.509999999995"/>
  </r>
  <r>
    <x v="221"/>
    <s v="Ю-З"/>
    <n v="74239.759999999995"/>
    <n v="74239.759999999995"/>
    <n v="67225.429999999993"/>
  </r>
  <r>
    <x v="3683"/>
    <s v="ЖБИ"/>
    <n v="67218.09"/>
    <n v="67218.09"/>
    <n v="60867.18"/>
  </r>
  <r>
    <x v="34"/>
    <s v="Центр"/>
    <n v="91057.85"/>
    <n v="91057.85"/>
    <n v="82454.509999999995"/>
  </r>
  <r>
    <x v="822"/>
    <s v="ПИОНЕРСКИЙ"/>
    <n v="75318.45"/>
    <n v="75318.45"/>
    <n v="68202.2"/>
  </r>
  <r>
    <x v="11"/>
    <s v="ЧЕРМЕТ"/>
    <n v="60698.45"/>
    <n v="60698.45"/>
    <n v="54963.53"/>
  </r>
  <r>
    <x v="439"/>
    <s v="ЭЛЬМАШ"/>
    <n v="68527.44"/>
    <n v="68527.44"/>
    <n v="62052.82"/>
  </r>
  <r>
    <x v="3684"/>
    <s v="ЕЛИЗАВЕТ"/>
    <n v="59056.67"/>
    <n v="59056.67"/>
    <n v="53476.87"/>
  </r>
  <r>
    <x v="3685"/>
    <s v="ПАРКОВЫЙ"/>
    <n v="78853.03"/>
    <n v="78853.03"/>
    <n v="71402.83"/>
  </r>
  <r>
    <x v="3686"/>
    <s v="Старая сортировка"/>
    <n v="57516.65"/>
    <n v="57516.65"/>
    <n v="52082.35"/>
  </r>
  <r>
    <x v="963"/>
    <s v="ИЗОПЛИТ"/>
    <n v="51994.29"/>
    <n v="51994.29"/>
    <n v="47081.760000000002"/>
  </r>
  <r>
    <x v="3687"/>
    <s v="УРАЛМАШ"/>
    <n v="67842.240000000005"/>
    <n v="67842.240000000005"/>
    <n v="61432.36"/>
  </r>
  <r>
    <x v="3688"/>
    <s v="СОВХОЗ"/>
    <n v="57883"/>
    <n v="57883"/>
    <n v="52414.09"/>
  </r>
  <r>
    <x v="3689"/>
    <s v="Нижнеисетский"/>
    <n v="45325.4"/>
    <n v="45325.4"/>
    <n v="41042.959999999999"/>
  </r>
  <r>
    <x v="3690"/>
    <s v="ГОРНЫЙ ЩИТ"/>
    <n v="50617.09"/>
    <n v="50617.09"/>
    <n v="45834.68"/>
  </r>
  <r>
    <x v="939"/>
    <s v="ЗАРЕЧНЫЙ"/>
    <n v="68887.009999999995"/>
    <n v="68887.009999999995"/>
    <n v="62378.42"/>
  </r>
  <r>
    <x v="3691"/>
    <s v="ЖБИ"/>
    <n v="67218.09"/>
    <n v="67218.09"/>
    <n v="60867.18"/>
  </r>
  <r>
    <x v="3692"/>
    <s v="УРАЛМАШ"/>
    <n v="67842.240000000005"/>
    <n v="67842.240000000005"/>
    <n v="61432.36"/>
  </r>
  <r>
    <x v="3693"/>
    <s v="ВИЗ"/>
    <n v="81668.479999999996"/>
    <n v="81668.479999999996"/>
    <n v="73952.27"/>
  </r>
  <r>
    <x v="3694"/>
    <s v="УНЦ"/>
    <n v="62774.42"/>
    <n v="62774.42"/>
    <n v="56843.360000000001"/>
  </r>
  <r>
    <x v="3695"/>
    <s v="ШАРТАШ"/>
    <n v="66003.710000000006"/>
    <n v="66003.710000000006"/>
    <n v="59767.54"/>
  </r>
  <r>
    <x v="3696"/>
    <s v="САДОВЫЙ"/>
    <n v="51600.800000000003"/>
    <n v="51600.800000000003"/>
    <n v="46725.45"/>
  </r>
  <r>
    <x v="3697"/>
    <s v="ГОРНЫЙ ЩИТ"/>
    <n v="50617.09"/>
    <n v="50617.09"/>
    <n v="45834.68"/>
  </r>
  <r>
    <x v="3698"/>
    <s v="Ю-З"/>
    <n v="74239.759999999995"/>
    <n v="74239.759999999995"/>
    <n v="67225.429999999993"/>
  </r>
  <r>
    <x v="3699"/>
    <s v="СЕВЕРКА"/>
    <n v="49579.11"/>
    <n v="49579.11"/>
    <n v="44894.77"/>
  </r>
  <r>
    <x v="3700"/>
    <s v="ВИЗ"/>
    <n v="81668.479999999996"/>
    <n v="81668.479999999996"/>
    <n v="73952.27"/>
  </r>
  <r>
    <x v="3701"/>
    <s v="Старая сортировка"/>
    <n v="57516.65"/>
    <n v="57516.65"/>
    <n v="52082.35"/>
  </r>
  <r>
    <x v="3702"/>
    <s v="Нижнеисетский"/>
    <n v="45325.4"/>
    <n v="45325.4"/>
    <n v="41042.959999999999"/>
  </r>
  <r>
    <x v="721"/>
    <s v="УРАЛМАШ"/>
    <n v="67842.240000000005"/>
    <n v="67842.240000000005"/>
    <n v="61432.36"/>
  </r>
  <r>
    <x v="3703"/>
    <s v="Чусовское озеро"/>
    <n v="48229.05"/>
    <n v="48229.05"/>
    <n v="43672.26"/>
  </r>
  <r>
    <x v="3704"/>
    <s v="Северка"/>
    <n v="49579.11"/>
    <n v="49579.11"/>
    <n v="44894.77"/>
  </r>
  <r>
    <x v="3705"/>
    <s v="ЗАРЕЧНЫЙ"/>
    <n v="68887.009999999995"/>
    <n v="68887.009999999995"/>
    <n v="62378.42"/>
  </r>
  <r>
    <x v="1014"/>
    <s v="КОМПРЕССОРНЫЙ"/>
    <n v="54633.35"/>
    <n v="54633.35"/>
    <n v="49471.48"/>
  </r>
  <r>
    <x v="3706"/>
    <s v="МЕДНЫЙ"/>
    <n v="49741.93"/>
    <n v="49741.93"/>
    <n v="45042.2"/>
  </r>
  <r>
    <x v="3707"/>
    <s v="Нижнеисетский"/>
    <n v="45325.4"/>
    <n v="45325.4"/>
    <n v="41042.959999999999"/>
  </r>
  <r>
    <x v="3708"/>
    <s v="СИБИРСКИЙ"/>
    <n v="61573.61"/>
    <n v="61573.61"/>
    <n v="55756.01"/>
  </r>
  <r>
    <x v="3709"/>
    <s v="ЧЕРМЕТ"/>
    <n v="60698.45"/>
    <n v="60698.45"/>
    <n v="54963.53"/>
  </r>
  <r>
    <x v="3710"/>
    <s v="УРАЛМАШ"/>
    <n v="67842.240000000005"/>
    <n v="67842.240000000005"/>
    <n v="61432.36"/>
  </r>
  <r>
    <x v="873"/>
    <s v="ХИММАШ"/>
    <n v="60047.16"/>
    <n v="60047.16"/>
    <n v="54373.78"/>
  </r>
  <r>
    <x v="203"/>
    <s v="АВТОВОКЗАЛ"/>
    <n v="81132.53"/>
    <n v="81132.53"/>
    <n v="73466.960000000006"/>
  </r>
  <r>
    <x v="3711"/>
    <s v="ЧЕРМЕТ"/>
    <n v="60698.45"/>
    <n v="60698.45"/>
    <n v="54963.53"/>
  </r>
  <r>
    <x v="3712"/>
    <s v="ЛЕЧЕБНЫЙ"/>
    <n v="55990.2"/>
    <n v="55990.2"/>
    <n v="50700.12"/>
  </r>
  <r>
    <x v="3713"/>
    <s v="ВИЗ"/>
    <n v="81668.479999999996"/>
    <n v="81668.479999999996"/>
    <n v="73952.27"/>
  </r>
  <r>
    <x v="3714"/>
    <s v="ХИММАШ"/>
    <n v="60047.16"/>
    <n v="60047.16"/>
    <n v="54373.78"/>
  </r>
  <r>
    <x v="3715"/>
    <s v="ЕЛИЗАВЕТ"/>
    <n v="59056.67"/>
    <n v="59056.67"/>
    <n v="53476.87"/>
  </r>
  <r>
    <x v="3716"/>
    <s v="Новая сортировка"/>
    <n v="62889.75"/>
    <n v="62889.75"/>
    <n v="56947.8"/>
  </r>
  <r>
    <x v="3717"/>
    <s v="ШАРТАШ"/>
    <n v="66003.710000000006"/>
    <n v="66003.710000000006"/>
    <n v="59767.54"/>
  </r>
  <r>
    <x v="265"/>
    <s v="Центр"/>
    <n v="91057.85"/>
    <n v="91057.85"/>
    <n v="82454.509999999995"/>
  </r>
  <r>
    <x v="3718"/>
    <s v="УРАЛМАШ"/>
    <n v="67842.240000000005"/>
    <n v="67842.240000000005"/>
    <n v="61432.36"/>
  </r>
  <r>
    <x v="3719"/>
    <s v="Ю-З"/>
    <n v="74239.759999999995"/>
    <n v="74239.759999999995"/>
    <n v="67225.429999999993"/>
  </r>
  <r>
    <x v="548"/>
    <s v="ЧЕРМЕТ"/>
    <n v="60698.45"/>
    <n v="60698.45"/>
    <n v="54963.53"/>
  </r>
  <r>
    <x v="655"/>
    <s v="ГОРНЫЙ ЩИТ"/>
    <n v="50617.09"/>
    <n v="50617.09"/>
    <n v="45834.68"/>
  </r>
  <r>
    <x v="3720"/>
    <s v="Старая сортировка"/>
    <n v="57516.65"/>
    <n v="57516.65"/>
    <n v="52082.35"/>
  </r>
  <r>
    <x v="1085"/>
    <s v="УКТУС"/>
    <n v="61655.02"/>
    <n v="61655.02"/>
    <n v="55829.73"/>
  </r>
  <r>
    <x v="3721"/>
    <s v="ШАРТАШ"/>
    <n v="66003.710000000006"/>
    <n v="66003.710000000006"/>
    <n v="59767.54"/>
  </r>
  <r>
    <x v="3722"/>
    <s v="СИБИРСКИЙ"/>
    <n v="61573.61"/>
    <n v="61573.61"/>
    <n v="55756.01"/>
  </r>
  <r>
    <x v="906"/>
    <s v="Центр"/>
    <n v="91057.85"/>
    <n v="91057.85"/>
    <n v="82454.509999999995"/>
  </r>
  <r>
    <x v="3723"/>
    <s v="ИЗОПЛИТ"/>
    <n v="51994.29"/>
    <n v="51994.29"/>
    <n v="47081.760000000002"/>
  </r>
  <r>
    <x v="3724"/>
    <s v="УКТУС"/>
    <n v="61655.02"/>
    <n v="61655.02"/>
    <n v="55829.73"/>
  </r>
  <r>
    <x v="3725"/>
    <s v="КОМПРЕССОРНЫЙ"/>
    <n v="54633.35"/>
    <n v="54633.35"/>
    <n v="49471.48"/>
  </r>
  <r>
    <x v="3726"/>
    <s v="УНЦ"/>
    <n v="62774.42"/>
    <n v="62774.42"/>
    <n v="56843.360000000001"/>
  </r>
  <r>
    <x v="198"/>
    <s v="ВИЗ"/>
    <n v="81668.479999999996"/>
    <n v="81668.479999999996"/>
    <n v="73952.27"/>
  </r>
  <r>
    <x v="3727"/>
    <s v="Чусовское озеро"/>
    <n v="48229.05"/>
    <n v="48229.05"/>
    <n v="43672.26"/>
  </r>
  <r>
    <x v="3728"/>
    <s v="ЛЕЧЕБНЫЙ"/>
    <n v="55990.2"/>
    <n v="55990.2"/>
    <n v="50700.12"/>
  </r>
  <r>
    <x v="3729"/>
    <s v="ЛЕЧЕБНЫЙ"/>
    <n v="55990.2"/>
    <n v="55990.2"/>
    <n v="50700.12"/>
  </r>
  <r>
    <x v="3730"/>
    <s v="ИЗОПЛИТ"/>
    <n v="51994.29"/>
    <n v="51994.29"/>
    <n v="47081.760000000002"/>
  </r>
  <r>
    <x v="3731"/>
    <s v="УРАЛМАШ"/>
    <n v="67842.240000000005"/>
    <n v="67842.240000000005"/>
    <n v="61432.36"/>
  </r>
  <r>
    <x v="3732"/>
    <s v="ШИРОКАЯ РЕЧКА"/>
    <n v="61207.26"/>
    <n v="61207.26"/>
    <n v="55424.27"/>
  </r>
  <r>
    <x v="3733"/>
    <s v="АВТОВОКЗАЛ"/>
    <n v="81132.53"/>
    <n v="81132.53"/>
    <n v="73466.960000000006"/>
  </r>
  <r>
    <x v="3734"/>
    <s v="ШАРТАШ"/>
    <n v="66003.710000000006"/>
    <n v="66003.710000000006"/>
    <n v="59767.54"/>
  </r>
  <r>
    <x v="3735"/>
    <s v="УРАЛМАШ"/>
    <n v="67842.240000000005"/>
    <n v="67842.240000000005"/>
    <n v="61432.36"/>
  </r>
  <r>
    <x v="3736"/>
    <s v="ШАРТАШ"/>
    <n v="66003.710000000006"/>
    <n v="66003.710000000006"/>
    <n v="59767.54"/>
  </r>
  <r>
    <x v="3737"/>
    <s v="Нижнеисетский"/>
    <n v="45325.4"/>
    <n v="45325.4"/>
    <n v="41042.959999999999"/>
  </r>
  <r>
    <x v="256"/>
    <s v="ВИЗ"/>
    <n v="81668.479999999996"/>
    <n v="81668.479999999996"/>
    <n v="73952.27"/>
  </r>
  <r>
    <x v="229"/>
    <s v="АВТОВОКЗАЛ"/>
    <n v="81132.53"/>
    <n v="81132.53"/>
    <n v="73466.960000000006"/>
  </r>
  <r>
    <x v="3738"/>
    <s v="Новая сортировка"/>
    <n v="62889.75"/>
    <n v="62889.75"/>
    <n v="56947.8"/>
  </r>
  <r>
    <x v="3739"/>
    <s v="ШАРТАШ"/>
    <n v="66003.710000000006"/>
    <n v="66003.710000000006"/>
    <n v="59767.54"/>
  </r>
  <r>
    <x v="3740"/>
    <s v="УКТУС"/>
    <n v="61655.02"/>
    <n v="61655.02"/>
    <n v="55829.73"/>
  </r>
  <r>
    <x v="3741"/>
    <s v="ШАРТАШ"/>
    <n v="66003.710000000006"/>
    <n v="66003.710000000006"/>
    <n v="59767.54"/>
  </r>
  <r>
    <x v="3742"/>
    <s v="Шарташский рынок"/>
    <n v="77197.679999999993"/>
    <n v="77197.679999999993"/>
    <n v="69903.88"/>
  </r>
  <r>
    <x v="3743"/>
    <s v="ЛЕЧЕБНЫЙ"/>
    <n v="55990.2"/>
    <n v="55990.2"/>
    <n v="50700.12"/>
  </r>
  <r>
    <x v="3744"/>
    <s v="ШИРОКАЯ РЕЧКА"/>
    <n v="61207.26"/>
    <n v="61207.26"/>
    <n v="55424.27"/>
  </r>
  <r>
    <x v="140"/>
    <s v="ЭЛЬМАШ"/>
    <n v="68527.44"/>
    <n v="68527.44"/>
    <n v="62052.82"/>
  </r>
  <r>
    <x v="628"/>
    <s v="ПОЛЕВОДСТВО"/>
    <n v="53954.93"/>
    <n v="53954.93"/>
    <n v="48857.15"/>
  </r>
  <r>
    <x v="3745"/>
    <s v="СОВХОЗ"/>
    <n v="57883"/>
    <n v="57883"/>
    <n v="52414.09"/>
  </r>
  <r>
    <x v="3746"/>
    <s v="ШИРОКАЯ РЕЧКА"/>
    <n v="61207.26"/>
    <n v="61207.26"/>
    <n v="55424.27"/>
  </r>
  <r>
    <x v="3747"/>
    <s v="Шарташский рынок"/>
    <n v="77197.679999999993"/>
    <n v="77197.679999999993"/>
    <n v="69903.88"/>
  </r>
  <r>
    <x v="994"/>
    <s v="Старая сортировка"/>
    <n v="57516.65"/>
    <n v="57516.65"/>
    <n v="52082.35"/>
  </r>
  <r>
    <x v="3748"/>
    <s v="Ю-З"/>
    <n v="74239.759999999995"/>
    <n v="74239.759999999995"/>
    <n v="67225.429999999993"/>
  </r>
  <r>
    <x v="3749"/>
    <s v="ВИЗ"/>
    <n v="81668.479999999996"/>
    <n v="81668.479999999996"/>
    <n v="73952.27"/>
  </r>
  <r>
    <x v="3750"/>
    <s v="ХИММАШ"/>
    <n v="60047.16"/>
    <n v="60047.16"/>
    <n v="54373.78"/>
  </r>
  <r>
    <x v="405"/>
    <s v="Центр"/>
    <n v="91057.85"/>
    <n v="91057.85"/>
    <n v="82454.509999999995"/>
  </r>
  <r>
    <x v="3751"/>
    <s v="ЛЕЧЕБНЫЙ"/>
    <n v="55990.2"/>
    <n v="55990.2"/>
    <n v="50700.12"/>
  </r>
  <r>
    <x v="979"/>
    <s v="ЧЕРМЕТ"/>
    <n v="60698.45"/>
    <n v="60698.45"/>
    <n v="54963.53"/>
  </r>
  <r>
    <x v="3752"/>
    <s v="САДОВЫЙ"/>
    <n v="51600.800000000003"/>
    <n v="51600.800000000003"/>
    <n v="46725.45"/>
  </r>
  <r>
    <x v="357"/>
    <s v="ПАРКОВЫЙ"/>
    <n v="78853.03"/>
    <n v="78853.03"/>
    <n v="71402.83"/>
  </r>
  <r>
    <x v="3753"/>
    <s v="ГОРНЫЙ ЩИТ"/>
    <n v="50617.09"/>
    <n v="50617.09"/>
    <n v="45834.68"/>
  </r>
  <r>
    <x v="1097"/>
    <s v="Ю-З"/>
    <n v="74239.759999999995"/>
    <n v="74239.759999999995"/>
    <n v="67225.429999999993"/>
  </r>
  <r>
    <x v="271"/>
    <s v="ХИММАШ"/>
    <n v="60047.16"/>
    <n v="60047.16"/>
    <n v="54373.78"/>
  </r>
  <r>
    <x v="3754"/>
    <s v="ГОРНЫЙ ЩИТ"/>
    <n v="50617.09"/>
    <n v="50617.09"/>
    <n v="45834.68"/>
  </r>
  <r>
    <x v="1099"/>
    <s v="ВИЗ"/>
    <n v="81668.479999999996"/>
    <n v="81668.479999999996"/>
    <n v="73952.27"/>
  </r>
  <r>
    <x v="3755"/>
    <s v="ПИОНЕРСКИЙ"/>
    <n v="75318.45"/>
    <n v="75318.45"/>
    <n v="68202.2"/>
  </r>
  <r>
    <x v="3756"/>
    <s v="Старая сортировка"/>
    <n v="57516.65"/>
    <n v="57516.65"/>
    <n v="52082.35"/>
  </r>
  <r>
    <x v="3757"/>
    <s v="САДОВЫЙ"/>
    <n v="51600.800000000003"/>
    <n v="51600.800000000003"/>
    <n v="46725.45"/>
  </r>
  <r>
    <x v="3758"/>
    <s v="КОМПРЕССОРНЫЙ"/>
    <n v="54633.35"/>
    <n v="54633.35"/>
    <n v="49471.48"/>
  </r>
  <r>
    <x v="3759"/>
    <s v="ЭЛЬМАШ"/>
    <n v="68527.44"/>
    <n v="68527.44"/>
    <n v="62052.82"/>
  </r>
  <r>
    <x v="593"/>
    <s v="ШАБРОВСКИЙ"/>
    <n v="36417.71"/>
    <n v="36417.71"/>
    <n v="32976.89"/>
  </r>
  <r>
    <x v="508"/>
    <s v="УРАЛМАШ"/>
    <n v="67842.240000000005"/>
    <n v="67842.240000000005"/>
    <n v="61432.36"/>
  </r>
  <r>
    <x v="3760"/>
    <s v="ВИЗ"/>
    <n v="81668.479999999996"/>
    <n v="81668.479999999996"/>
    <n v="73952.27"/>
  </r>
  <r>
    <x v="3761"/>
    <s v="ВИЗ"/>
    <n v="81668.479999999996"/>
    <n v="81668.479999999996"/>
    <n v="73952.27"/>
  </r>
  <r>
    <x v="3762"/>
    <s v="МЕДНЫЙ"/>
    <n v="49741.93"/>
    <n v="49741.93"/>
    <n v="45042.2"/>
  </r>
  <r>
    <x v="111"/>
    <s v="ЧЕРМЕТ"/>
    <n v="60698.45"/>
    <n v="60698.45"/>
    <n v="54963.53"/>
  </r>
  <r>
    <x v="862"/>
    <s v="ВТУЗГОРОДОК"/>
    <n v="74667.16"/>
    <n v="74667.16"/>
    <n v="67612.45"/>
  </r>
  <r>
    <x v="3763"/>
    <s v="Нижнеисетский"/>
    <n v="45325.4"/>
    <n v="45325.4"/>
    <n v="41042.959999999999"/>
  </r>
  <r>
    <x v="3764"/>
    <s v="УРАЛМАШ"/>
    <n v="67842.240000000005"/>
    <n v="67842.240000000005"/>
    <n v="61432.36"/>
  </r>
  <r>
    <x v="3765"/>
    <s v="ШИРОКАЯ РЕЧКА"/>
    <n v="61207.26"/>
    <n v="61207.26"/>
    <n v="55424.27"/>
  </r>
  <r>
    <x v="3766"/>
    <s v="ВИЗ"/>
    <n v="81668.479999999996"/>
    <n v="81668.479999999996"/>
    <n v="73952.27"/>
  </r>
  <r>
    <x v="983"/>
    <s v="ХИММАШ"/>
    <n v="60047.16"/>
    <n v="60047.16"/>
    <n v="54373.78"/>
  </r>
  <r>
    <x v="3767"/>
    <s v="ИСТОК"/>
    <n v="51831.47"/>
    <n v="51831.47"/>
    <n v="46934.32"/>
  </r>
  <r>
    <x v="3768"/>
    <s v="КОЛЬЦОВО"/>
    <n v="53174.74"/>
    <n v="53174.74"/>
    <n v="48150.68"/>
  </r>
  <r>
    <x v="3769"/>
    <s v="ЧЕРМЕТ"/>
    <n v="60698.45"/>
    <n v="60698.45"/>
    <n v="54963.53"/>
  </r>
  <r>
    <x v="3770"/>
    <s v="УРАЛМАШ"/>
    <n v="67842.240000000005"/>
    <n v="67842.240000000005"/>
    <n v="61432.36"/>
  </r>
  <r>
    <x v="413"/>
    <s v="ЗАВОКЗАЛЬНЫЙ"/>
    <n v="54389.120000000003"/>
    <n v="54389.120000000003"/>
    <n v="49250.32"/>
  </r>
  <r>
    <x v="3771"/>
    <s v="ЧУСОВСКОЕ ОЗЕРО"/>
    <n v="48229.05"/>
    <n v="48229.05"/>
    <n v="43672.26"/>
  </r>
  <r>
    <x v="3772"/>
    <s v="Сулим.Торфянник"/>
    <n v="45325.4"/>
    <n v="45325.4"/>
    <n v="41042.959999999999"/>
  </r>
  <r>
    <x v="3773"/>
    <s v="САДОВЫЙ"/>
    <n v="51600.800000000003"/>
    <n v="51600.800000000003"/>
    <n v="46725.45"/>
  </r>
  <r>
    <x v="3774"/>
    <s v="Центр"/>
    <n v="91057.85"/>
    <n v="91057.85"/>
    <n v="82454.509999999995"/>
  </r>
  <r>
    <x v="3775"/>
    <s v="УРАЛМАШ"/>
    <n v="67842.240000000005"/>
    <n v="67842.240000000005"/>
    <n v="61432.36"/>
  </r>
  <r>
    <x v="3776"/>
    <s v="УНЦ"/>
    <n v="62774.42"/>
    <n v="62774.42"/>
    <n v="56843.360000000001"/>
  </r>
  <r>
    <x v="597"/>
    <s v="УКТУС"/>
    <n v="61655.02"/>
    <n v="61655.02"/>
    <n v="55829.73"/>
  </r>
  <r>
    <x v="288"/>
    <s v="ЗАВОКЗАЛЬНЫЙ"/>
    <n v="54389.120000000003"/>
    <n v="54389.120000000003"/>
    <n v="49250.32"/>
  </r>
  <r>
    <x v="975"/>
    <s v="СОВХОЗ"/>
    <n v="57883"/>
    <n v="57883"/>
    <n v="52414.09"/>
  </r>
  <r>
    <x v="3777"/>
    <s v="Нижнеисетский"/>
    <n v="45325.4"/>
    <n v="45325.4"/>
    <n v="41042.959999999999"/>
  </r>
  <r>
    <x v="3778"/>
    <s v="ВИЗ"/>
    <n v="81668.479999999996"/>
    <n v="81668.479999999996"/>
    <n v="73952.27"/>
  </r>
  <r>
    <x v="3779"/>
    <s v="ПТИЦЕФАБРИКА"/>
    <n v="55074.33"/>
    <n v="55074.33"/>
    <n v="49870.79"/>
  </r>
  <r>
    <x v="3780"/>
    <s v="ЛЕЧЕБНЫЙ"/>
    <n v="55990.2"/>
    <n v="55990.2"/>
    <n v="50700.12"/>
  </r>
  <r>
    <x v="3781"/>
    <s v="ЧЕРМЕТ"/>
    <n v="60698.45"/>
    <n v="60698.45"/>
    <n v="54963.53"/>
  </r>
  <r>
    <x v="166"/>
    <s v="ЭЛЬМАШ"/>
    <n v="68527.44"/>
    <n v="68527.44"/>
    <n v="62052.82"/>
  </r>
  <r>
    <x v="3782"/>
    <s v="ВИЗ"/>
    <n v="81668.479999999996"/>
    <n v="81668.479999999996"/>
    <n v="73952.27"/>
  </r>
  <r>
    <x v="3783"/>
    <s v="ШАБРОВСКИЙ"/>
    <n v="36417.71"/>
    <n v="36417.71"/>
    <n v="32976.89"/>
  </r>
  <r>
    <x v="1073"/>
    <s v="ШАРТАШ"/>
    <n v="66003.710000000006"/>
    <n v="66003.710000000006"/>
    <n v="59767.54"/>
  </r>
  <r>
    <x v="3784"/>
    <s v="ВИЗ"/>
    <n v="81668.479999999996"/>
    <n v="81668.479999999996"/>
    <n v="73952.27"/>
  </r>
  <r>
    <x v="3785"/>
    <s v="УКТУС"/>
    <n v="61655.02"/>
    <n v="61655.02"/>
    <n v="55829.73"/>
  </r>
  <r>
    <x v="746"/>
    <s v="ГОРНЫЙ ЩИТ"/>
    <n v="50617.09"/>
    <n v="50617.09"/>
    <n v="45834.68"/>
  </r>
  <r>
    <x v="3786"/>
    <s v="ЭЛЬМАШ"/>
    <n v="68527.44"/>
    <n v="68527.44"/>
    <n v="62052.82"/>
  </r>
  <r>
    <x v="3787"/>
    <s v="Старая сортировка"/>
    <n v="57516.65"/>
    <n v="57516.65"/>
    <n v="52082.35"/>
  </r>
  <r>
    <x v="3788"/>
    <s v="Ю-З"/>
    <n v="74239.759999999995"/>
    <n v="74239.759999999995"/>
    <n v="67225.429999999993"/>
  </r>
  <r>
    <x v="3789"/>
    <s v="Старая сортировка"/>
    <n v="57516.65"/>
    <n v="57516.65"/>
    <n v="52082.35"/>
  </r>
  <r>
    <x v="710"/>
    <s v="Шарташский рынок"/>
    <n v="77197.679999999993"/>
    <n v="77197.679999999993"/>
    <n v="69903.88"/>
  </r>
  <r>
    <x v="982"/>
    <s v="СОВХОЗ"/>
    <n v="57883"/>
    <n v="57883"/>
    <n v="52414.09"/>
  </r>
  <r>
    <x v="3790"/>
    <s v="Ю-З"/>
    <n v="74239.759999999995"/>
    <n v="74239.759999999995"/>
    <n v="67225.429999999993"/>
  </r>
  <r>
    <x v="3791"/>
    <s v="ЕЛИЗАВЕТ"/>
    <n v="59056.67"/>
    <n v="59056.67"/>
    <n v="53476.87"/>
  </r>
  <r>
    <x v="3792"/>
    <s v="ЛЕЧЕБНЫЙ"/>
    <n v="55990.2"/>
    <n v="55990.2"/>
    <n v="50700.12"/>
  </r>
  <r>
    <x v="966"/>
    <s v="ЛЕЧЕБНЫЙ"/>
    <n v="55990.2"/>
    <n v="55990.2"/>
    <n v="50700.12"/>
  </r>
  <r>
    <x v="3793"/>
    <s v="ХИММАШ"/>
    <n v="60047.16"/>
    <n v="60047.16"/>
    <n v="54373.78"/>
  </r>
  <r>
    <x v="3794"/>
    <s v="ГОРНЫЙ ЩИТ"/>
    <n v="50617.09"/>
    <n v="50617.09"/>
    <n v="45834.68"/>
  </r>
  <r>
    <x v="3795"/>
    <s v="СОВХОЗ"/>
    <n v="57883"/>
    <n v="57883"/>
    <n v="52414.09"/>
  </r>
  <r>
    <x v="3796"/>
    <s v="МЕДНЫЙ"/>
    <n v="49741.93"/>
    <n v="49741.93"/>
    <n v="45042.2"/>
  </r>
  <r>
    <x v="3797"/>
    <s v="САДОВЫЙ"/>
    <n v="51600.800000000003"/>
    <n v="51600.800000000003"/>
    <n v="46725.45"/>
  </r>
  <r>
    <x v="3798"/>
    <s v="ВИЗ"/>
    <n v="81668.479999999996"/>
    <n v="81668.479999999996"/>
    <n v="73952.27"/>
  </r>
  <r>
    <x v="136"/>
    <s v="Центр"/>
    <n v="91057.85"/>
    <n v="91057.85"/>
    <n v="82454.509999999995"/>
  </r>
  <r>
    <x v="3799"/>
    <s v="ЧУСОВСКОЕ ОЗЕРО"/>
    <n v="48229.05"/>
    <n v="48229.05"/>
    <n v="43672.26"/>
  </r>
  <r>
    <x v="3800"/>
    <s v="ЕЛИЗАВЕТ"/>
    <n v="59056.67"/>
    <n v="59056.67"/>
    <n v="53476.87"/>
  </r>
  <r>
    <x v="783"/>
    <s v="Старая сортировка"/>
    <n v="57516.65"/>
    <n v="57516.65"/>
    <n v="52082.35"/>
  </r>
  <r>
    <x v="374"/>
    <s v="ПОЛЕВОДСТВО"/>
    <n v="53954.93"/>
    <n v="53954.93"/>
    <n v="48857.15"/>
  </r>
  <r>
    <x v="3801"/>
    <s v="ГОРНЫЙ ЩИТ"/>
    <n v="50617.09"/>
    <n v="50617.09"/>
    <n v="45834.68"/>
  </r>
  <r>
    <x v="3802"/>
    <s v="Старая сортировка"/>
    <n v="57516.65"/>
    <n v="57516.65"/>
    <n v="52082.35"/>
  </r>
  <r>
    <x v="366"/>
    <s v="ХИММАШ"/>
    <n v="60047.16"/>
    <n v="60047.16"/>
    <n v="54373.78"/>
  </r>
  <r>
    <x v="3803"/>
    <s v="ПИОНЕРСКИЙ"/>
    <n v="75318.45"/>
    <n v="75318.45"/>
    <n v="68202.2"/>
  </r>
  <r>
    <x v="3804"/>
    <s v="КОМПРЕССОРНЫЙ"/>
    <n v="54633.35"/>
    <n v="54633.35"/>
    <n v="49471.48"/>
  </r>
  <r>
    <x v="162"/>
    <s v="АВТОВОКЗАЛ"/>
    <n v="81132.53"/>
    <n v="81132.53"/>
    <n v="73466.960000000006"/>
  </r>
  <r>
    <x v="570"/>
    <s v="УРАЛМАШ"/>
    <n v="67842.240000000005"/>
    <n v="67842.240000000005"/>
    <n v="61432.36"/>
  </r>
  <r>
    <x v="3805"/>
    <s v="Ю-З"/>
    <n v="74239.759999999995"/>
    <n v="74239.759999999995"/>
    <n v="67225.429999999993"/>
  </r>
  <r>
    <x v="3806"/>
    <s v="ШАБРОВСКИЙ"/>
    <n v="36417.71"/>
    <n v="36417.71"/>
    <n v="32976.89"/>
  </r>
  <r>
    <x v="3807"/>
    <s v="Исток"/>
    <n v="51831.47"/>
    <n v="51831.47"/>
    <n v="46934.32"/>
  </r>
  <r>
    <x v="3808"/>
    <s v="МАЛЫЙ ИСТОК"/>
    <n v="58296.83"/>
    <n v="58296.83"/>
    <n v="52788.83"/>
  </r>
  <r>
    <x v="3809"/>
    <s v="Нижнеисетский"/>
    <n v="45325.4"/>
    <n v="45325.4"/>
    <n v="41042.959999999999"/>
  </r>
  <r>
    <x v="3810"/>
    <s v="Старая сортировка"/>
    <n v="57516.65"/>
    <n v="57516.65"/>
    <n v="52082.35"/>
  </r>
  <r>
    <x v="94"/>
    <s v="Центр"/>
    <n v="91057.85"/>
    <n v="91057.85"/>
    <n v="82454.509999999995"/>
  </r>
  <r>
    <x v="334"/>
    <s v="Центр"/>
    <n v="91057.85"/>
    <n v="91057.85"/>
    <n v="82454.509999999995"/>
  </r>
  <r>
    <x v="651"/>
    <s v="УРАЛМАШ"/>
    <n v="67842.240000000005"/>
    <n v="67842.240000000005"/>
    <n v="61432.36"/>
  </r>
  <r>
    <x v="3811"/>
    <s v="УРАЛМАШ"/>
    <n v="67842.240000000005"/>
    <n v="67842.240000000005"/>
    <n v="61432.36"/>
  </r>
  <r>
    <x v="3812"/>
    <s v="КОЛЬЦОВО"/>
    <n v="53174.74"/>
    <n v="53174.74"/>
    <n v="48150.68"/>
  </r>
  <r>
    <x v="571"/>
    <s v="ЗАРЕЧНЫЙ"/>
    <n v="68887.009999999995"/>
    <n v="68887.009999999995"/>
    <n v="62378.42"/>
  </r>
  <r>
    <x v="1113"/>
    <s v="ВИЗ"/>
    <n v="81668.479999999996"/>
    <n v="81668.479999999996"/>
    <n v="73952.27"/>
  </r>
  <r>
    <x v="3813"/>
    <s v="ВИЗ"/>
    <n v="81668.479999999996"/>
    <n v="81668.479999999996"/>
    <n v="73952.27"/>
  </r>
  <r>
    <x v="3814"/>
    <s v="СОВХОЗ"/>
    <n v="57883"/>
    <n v="57883"/>
    <n v="52414.09"/>
  </r>
  <r>
    <x v="239"/>
    <s v="Центр"/>
    <n v="91057.85"/>
    <n v="91057.85"/>
    <n v="82454.509999999995"/>
  </r>
  <r>
    <x v="679"/>
    <s v="Ю-З"/>
    <n v="74239.759999999995"/>
    <n v="74239.759999999995"/>
    <n v="67225.429999999993"/>
  </r>
  <r>
    <x v="3815"/>
    <s v="МЕДНЫЙ"/>
    <n v="49741.93"/>
    <n v="49741.93"/>
    <n v="45042.2"/>
  </r>
  <r>
    <x v="703"/>
    <s v="Старая сортировка"/>
    <n v="57516.65"/>
    <n v="57516.65"/>
    <n v="52082.35"/>
  </r>
  <r>
    <x v="1105"/>
    <s v="КАЛИНОВСКИЙ"/>
    <n v="54782.6"/>
    <n v="54782.6"/>
    <n v="49606.63"/>
  </r>
  <r>
    <x v="3816"/>
    <s v="Нижнеисетский"/>
    <n v="45325.4"/>
    <n v="45325.4"/>
    <n v="41042.959999999999"/>
  </r>
  <r>
    <x v="3817"/>
    <s v="СИБИРСКИЙ"/>
    <n v="61573.61"/>
    <n v="61573.61"/>
    <n v="55756.01"/>
  </r>
  <r>
    <x v="804"/>
    <s v="УКТУС"/>
    <n v="61655.02"/>
    <n v="61655.02"/>
    <n v="55829.73"/>
  </r>
  <r>
    <x v="3818"/>
    <s v="ШИРОКАЯ РЕЧКА"/>
    <n v="61207.26"/>
    <n v="61207.26"/>
    <n v="55424.27"/>
  </r>
  <r>
    <x v="3819"/>
    <s v="ЕЛИЗАВЕТ"/>
    <n v="59056.67"/>
    <n v="59056.67"/>
    <n v="53476.87"/>
  </r>
  <r>
    <x v="3820"/>
    <s v="ЭЛЬМАШ"/>
    <n v="68527.44"/>
    <n v="68527.44"/>
    <n v="62052.82"/>
  </r>
  <r>
    <x v="3821"/>
    <s v="Центр"/>
    <n v="91057.85"/>
    <n v="91057.85"/>
    <n v="82454.509999999995"/>
  </r>
  <r>
    <x v="3822"/>
    <s v="ЕЛИЗАВЕТ"/>
    <n v="59056.67"/>
    <n v="59056.67"/>
    <n v="53476.87"/>
  </r>
  <r>
    <x v="3823"/>
    <s v="ЗАРЕЧНЫЙ"/>
    <n v="68887.009999999995"/>
    <n v="68887.009999999995"/>
    <n v="62378.42"/>
  </r>
  <r>
    <x v="3824"/>
    <s v="Старая сортировка"/>
    <n v="57516.65"/>
    <n v="57516.65"/>
    <n v="52082.35"/>
  </r>
  <r>
    <x v="3825"/>
    <s v="ЧЕРМЕТ"/>
    <n v="60698.45"/>
    <n v="60698.45"/>
    <n v="54963.53"/>
  </r>
  <r>
    <x v="854"/>
    <s v="Ю-З"/>
    <n v="74239.759999999995"/>
    <n v="74239.759999999995"/>
    <n v="67225.429999999993"/>
  </r>
  <r>
    <x v="3826"/>
    <s v="САДОВЫЙ"/>
    <n v="51600.800000000003"/>
    <n v="51600.800000000003"/>
    <n v="46725.45"/>
  </r>
  <r>
    <x v="3827"/>
    <s v="ЖБИ"/>
    <n v="67218.09"/>
    <n v="67218.09"/>
    <n v="60867.18"/>
  </r>
  <r>
    <x v="739"/>
    <s v="АВТОВОКЗАЛ"/>
    <n v="81132.53"/>
    <n v="81132.53"/>
    <n v="73466.960000000006"/>
  </r>
  <r>
    <x v="3828"/>
    <s v="Нижнеисетский"/>
    <n v="45325.4"/>
    <n v="45325.4"/>
    <n v="41042.959999999999"/>
  </r>
  <r>
    <x v="3829"/>
    <s v="ВИЗ"/>
    <n v="81668.479999999996"/>
    <n v="81668.479999999996"/>
    <n v="73952.27"/>
  </r>
  <r>
    <x v="3830"/>
    <s v="КОЛЬЦОВО"/>
    <n v="53174.74"/>
    <n v="53174.74"/>
    <n v="48150.68"/>
  </r>
  <r>
    <x v="3831"/>
    <s v="ЭЛЬМАШ"/>
    <n v="68527.44"/>
    <n v="68527.44"/>
    <n v="62052.82"/>
  </r>
  <r>
    <x v="3832"/>
    <s v="Старая сортировка"/>
    <n v="57516.65"/>
    <n v="57516.65"/>
    <n v="52082.35"/>
  </r>
  <r>
    <x v="3833"/>
    <s v="УНЦ"/>
    <n v="62774.42"/>
    <n v="62774.42"/>
    <n v="56843.360000000001"/>
  </r>
  <r>
    <x v="3834"/>
    <s v="УРАЛМАШ"/>
    <n v="67842.240000000005"/>
    <n v="67842.240000000005"/>
    <n v="61432.36"/>
  </r>
  <r>
    <x v="3835"/>
    <s v="СЕВЕРКА"/>
    <n v="49579.11"/>
    <n v="49579.11"/>
    <n v="44894.77"/>
  </r>
  <r>
    <x v="3836"/>
    <s v="ПТИЦЕФАБРИКА"/>
    <n v="55074.33"/>
    <n v="55074.33"/>
    <n v="49870.79"/>
  </r>
  <r>
    <x v="999"/>
    <s v="ПИОНЕРСКИЙ"/>
    <n v="75318.45"/>
    <n v="75318.45"/>
    <n v="68202.2"/>
  </r>
  <r>
    <x v="3837"/>
    <s v="Сулим.Торфянник"/>
    <n v="45325.4"/>
    <n v="45325.4"/>
    <n v="41042.959999999999"/>
  </r>
  <r>
    <x v="46"/>
    <s v="УКТУС"/>
    <n v="61655.02"/>
    <n v="61655.02"/>
    <n v="55829.73"/>
  </r>
  <r>
    <x v="467"/>
    <s v="ПИОНЕРСКИЙ"/>
    <n v="75318.45"/>
    <n v="75318.45"/>
    <n v="68202.2"/>
  </r>
  <r>
    <x v="699"/>
    <s v="ПТИЦЕФАБРИКА"/>
    <n v="55074.33"/>
    <n v="55074.33"/>
    <n v="49870.79"/>
  </r>
  <r>
    <x v="3838"/>
    <s v="Ю-З"/>
    <n v="74239.759999999995"/>
    <n v="74239.759999999995"/>
    <n v="67225.429999999993"/>
  </r>
  <r>
    <x v="41"/>
    <s v="ЭЛЬМАШ"/>
    <n v="68527.44"/>
    <n v="68527.44"/>
    <n v="62052.82"/>
  </r>
  <r>
    <x v="3839"/>
    <s v="Старая сортировка"/>
    <n v="57516.65"/>
    <n v="57516.65"/>
    <n v="52082.35"/>
  </r>
  <r>
    <x v="3840"/>
    <s v="ЧЕРМЕТ"/>
    <n v="60698.45"/>
    <n v="60698.45"/>
    <n v="54963.53"/>
  </r>
  <r>
    <x v="734"/>
    <s v="УКТУС"/>
    <n v="61655.02"/>
    <n v="61655.02"/>
    <n v="55829.73"/>
  </r>
  <r>
    <x v="3841"/>
    <s v="ПИОНЕРСКИЙ"/>
    <n v="75318.45"/>
    <n v="75318.45"/>
    <n v="68202.2"/>
  </r>
  <r>
    <x v="3842"/>
    <s v="Центр"/>
    <n v="91057.85"/>
    <n v="91057.85"/>
    <n v="82454.509999999995"/>
  </r>
  <r>
    <x v="3843"/>
    <s v="АВТОВОКЗАЛ"/>
    <n v="81132.53"/>
    <n v="81132.53"/>
    <n v="73466.960000000006"/>
  </r>
  <r>
    <x v="3844"/>
    <s v="ШИРОКАЯ РЕЧКА"/>
    <n v="61207.26"/>
    <n v="61207.26"/>
    <n v="55424.27"/>
  </r>
  <r>
    <x v="3845"/>
    <s v="УРАЛМАШ"/>
    <n v="67842.240000000005"/>
    <n v="67842.240000000005"/>
    <n v="61432.36"/>
  </r>
  <r>
    <x v="3846"/>
    <s v="ГОРНЫЙ ЩИТ"/>
    <n v="50617.09"/>
    <n v="50617.09"/>
    <n v="45834.68"/>
  </r>
  <r>
    <x v="825"/>
    <s v="Центр"/>
    <n v="91057.85"/>
    <n v="91057.85"/>
    <n v="82454.509999999995"/>
  </r>
  <r>
    <x v="3847"/>
    <s v="УРАЛМАШ"/>
    <n v="67842.240000000005"/>
    <n v="67842.240000000005"/>
    <n v="61432.36"/>
  </r>
  <r>
    <x v="3848"/>
    <s v="ПИОНЕРСКИЙ"/>
    <n v="75318.45"/>
    <n v="75318.45"/>
    <n v="68202.2"/>
  </r>
  <r>
    <x v="1060"/>
    <s v="Центр"/>
    <n v="91057.85"/>
    <n v="91057.85"/>
    <n v="82454.509999999995"/>
  </r>
  <r>
    <x v="3849"/>
    <s v="АВТОВОКЗАЛ"/>
    <n v="81132.53"/>
    <n v="81132.53"/>
    <n v="73466.960000000006"/>
  </r>
  <r>
    <x v="3850"/>
    <s v="ШАРТАШ"/>
    <n v="66003.710000000006"/>
    <n v="66003.710000000006"/>
    <n v="59767.54"/>
  </r>
  <r>
    <x v="36"/>
    <s v="ЭЛЬМАШ"/>
    <n v="68527.44"/>
    <n v="68527.44"/>
    <n v="62052.82"/>
  </r>
  <r>
    <x v="3851"/>
    <s v="ШИРОКАЯ РЕЧКА"/>
    <n v="61207.26"/>
    <n v="61207.26"/>
    <n v="55424.27"/>
  </r>
  <r>
    <x v="673"/>
    <s v="УРАЛМАШ"/>
    <n v="67842.240000000005"/>
    <n v="67842.240000000005"/>
    <n v="61432.36"/>
  </r>
  <r>
    <x v="3852"/>
    <s v="Центр"/>
    <n v="91057.85"/>
    <n v="91057.85"/>
    <n v="82454.509999999995"/>
  </r>
  <r>
    <x v="1107"/>
    <s v="ВИЗ"/>
    <n v="81668.479999999996"/>
    <n v="81668.479999999996"/>
    <n v="73952.27"/>
  </r>
  <r>
    <x v="3853"/>
    <s v="ЗАРЕЧНЫЙ"/>
    <n v="68887.009999999995"/>
    <n v="68887.009999999995"/>
    <n v="62378.42"/>
  </r>
  <r>
    <x v="3854"/>
    <s v="Ю-З"/>
    <n v="74239.759999999995"/>
    <n v="74239.759999999995"/>
    <n v="67225.429999999993"/>
  </r>
  <r>
    <x v="3855"/>
    <s v="ХИММАШ"/>
    <n v="60047.16"/>
    <n v="60047.16"/>
    <n v="54373.78"/>
  </r>
  <r>
    <x v="344"/>
    <s v="ВТУЗГОРОДОК"/>
    <n v="74667.16"/>
    <n v="74667.16"/>
    <n v="67612.45"/>
  </r>
  <r>
    <x v="3856"/>
    <s v="УРАЛМАШ"/>
    <n v="67842.240000000005"/>
    <n v="67842.240000000005"/>
    <n v="61432.36"/>
  </r>
  <r>
    <x v="163"/>
    <s v="УКТУС"/>
    <n v="61655.02"/>
    <n v="61655.02"/>
    <n v="55829.73"/>
  </r>
  <r>
    <x v="3857"/>
    <s v="ГОРНЫЙ ЩИТ"/>
    <n v="50617.09"/>
    <n v="50617.09"/>
    <n v="45834.68"/>
  </r>
  <r>
    <x v="752"/>
    <s v="АВТОВОКЗАЛ"/>
    <n v="81132.53"/>
    <n v="81132.53"/>
    <n v="73466.960000000006"/>
  </r>
  <r>
    <x v="3858"/>
    <s v="СИБИРСКИЙ"/>
    <n v="61573.61"/>
    <n v="61573.61"/>
    <n v="55756.01"/>
  </r>
  <r>
    <x v="1051"/>
    <s v="СИБИРСКИЙ"/>
    <n v="61573.61"/>
    <n v="61573.61"/>
    <n v="55756.01"/>
  </r>
  <r>
    <x v="3859"/>
    <s v="УКТУС"/>
    <n v="61655.02"/>
    <n v="61655.02"/>
    <n v="55829.73"/>
  </r>
  <r>
    <x v="3860"/>
    <s v="СОВХОЗ"/>
    <n v="57883"/>
    <n v="57883"/>
    <n v="52414.09"/>
  </r>
  <r>
    <x v="3861"/>
    <s v="Исток"/>
    <n v="51831.47"/>
    <n v="51831.47"/>
    <n v="46934.32"/>
  </r>
  <r>
    <x v="880"/>
    <s v="ЭЛЬМАШ"/>
    <n v="68527.44"/>
    <n v="68527.44"/>
    <n v="62052.82"/>
  </r>
  <r>
    <x v="788"/>
    <s v="Центр"/>
    <n v="91057.85"/>
    <n v="91057.85"/>
    <n v="82454.509999999995"/>
  </r>
  <r>
    <x v="564"/>
    <s v="Ю-З"/>
    <n v="74239.759999999995"/>
    <n v="74239.759999999995"/>
    <n v="67225.429999999993"/>
  </r>
  <r>
    <x v="3862"/>
    <s v="Старая сортировка"/>
    <n v="57516.65"/>
    <n v="57516.65"/>
    <n v="52082.35"/>
  </r>
  <r>
    <x v="598"/>
    <s v="ХИММАШ"/>
    <n v="60047.16"/>
    <n v="60047.16"/>
    <n v="54373.78"/>
  </r>
  <r>
    <x v="3863"/>
    <s v="Центр"/>
    <n v="91057.85"/>
    <n v="91057.85"/>
    <n v="82454.509999999995"/>
  </r>
  <r>
    <x v="3864"/>
    <s v="ЖБИ"/>
    <n v="67218.09"/>
    <n v="67218.09"/>
    <n v="60867.18"/>
  </r>
  <r>
    <x v="3865"/>
    <s v="ШАРТАШ"/>
    <n v="66003.710000000006"/>
    <n v="66003.710000000006"/>
    <n v="59767.54"/>
  </r>
  <r>
    <x v="3866"/>
    <s v="ИСТОК"/>
    <n v="51831.47"/>
    <n v="51831.47"/>
    <n v="46934.32"/>
  </r>
  <r>
    <x v="3867"/>
    <s v="ШИРОКАЯ РЕЧКА"/>
    <n v="61207.26"/>
    <n v="61207.26"/>
    <n v="55424.27"/>
  </r>
  <r>
    <x v="3868"/>
    <s v="ВИЗ"/>
    <n v="81668.479999999996"/>
    <n v="81668.479999999996"/>
    <n v="73952.27"/>
  </r>
  <r>
    <x v="3869"/>
    <s v="САДОВЫЙ"/>
    <n v="51600.800000000003"/>
    <n v="51600.800000000003"/>
    <n v="46725.45"/>
  </r>
  <r>
    <x v="3870"/>
    <s v="КАЛИНОВСКИЙ"/>
    <n v="54782.6"/>
    <n v="54782.6"/>
    <n v="49606.63"/>
  </r>
  <r>
    <x v="3871"/>
    <s v="САДОВЫЙ"/>
    <n v="51600.800000000003"/>
    <n v="51600.800000000003"/>
    <n v="46725.45"/>
  </r>
  <r>
    <x v="3872"/>
    <s v="МАЛЫЙ ИСТОК"/>
    <n v="58296.83"/>
    <n v="58296.83"/>
    <n v="52788.83"/>
  </r>
  <r>
    <x v="1009"/>
    <s v="ШАРТАШ"/>
    <n v="66003.710000000006"/>
    <n v="66003.710000000006"/>
    <n v="59767.54"/>
  </r>
  <r>
    <x v="580"/>
    <s v="Старая сортировка"/>
    <n v="57516.65"/>
    <n v="57516.65"/>
    <n v="52082.35"/>
  </r>
  <r>
    <x v="3873"/>
    <s v="ШИРОКАЯ РЕЧКА"/>
    <n v="61207.26"/>
    <n v="61207.26"/>
    <n v="55424.27"/>
  </r>
  <r>
    <x v="3874"/>
    <s v="ХИММАШ"/>
    <n v="60047.16"/>
    <n v="60047.16"/>
    <n v="54373.78"/>
  </r>
  <r>
    <x v="3875"/>
    <s v="ВИЗ"/>
    <n v="81668.479999999996"/>
    <n v="81668.479999999996"/>
    <n v="73952.27"/>
  </r>
  <r>
    <x v="451"/>
    <s v="ЗАВОКЗАЛЬНЫЙ"/>
    <n v="54389.120000000003"/>
    <n v="54389.120000000003"/>
    <n v="49250.32"/>
  </r>
  <r>
    <x v="3876"/>
    <s v="ПТИЦЕФАБРИКА"/>
    <n v="55074.33"/>
    <n v="55074.33"/>
    <n v="49870.79"/>
  </r>
  <r>
    <x v="971"/>
    <s v="ВИЗ"/>
    <n v="81668.479999999996"/>
    <n v="81668.479999999996"/>
    <n v="73952.27"/>
  </r>
  <r>
    <x v="3877"/>
    <s v="Нижнеисетский"/>
    <n v="45325.4"/>
    <n v="45325.4"/>
    <n v="41042.959999999999"/>
  </r>
  <r>
    <x v="251"/>
    <s v="ХИММАШ"/>
    <n v="60047.16"/>
    <n v="60047.16"/>
    <n v="54373.78"/>
  </r>
  <r>
    <x v="3878"/>
    <s v="ЭЛЬМАШ"/>
    <n v="68527.44"/>
    <n v="68527.44"/>
    <n v="62052.82"/>
  </r>
  <r>
    <x v="3879"/>
    <s v="Ю-З"/>
    <n v="74239.759999999995"/>
    <n v="74239.759999999995"/>
    <n v="67225.429999999993"/>
  </r>
  <r>
    <x v="3880"/>
    <s v="КОЛЬЦОВО"/>
    <n v="53174.74"/>
    <n v="53174.74"/>
    <n v="48150.68"/>
  </r>
  <r>
    <x v="1089"/>
    <s v="Нижнеисетский"/>
    <n v="45325.4"/>
    <n v="45325.4"/>
    <n v="41042.959999999999"/>
  </r>
  <r>
    <x v="116"/>
    <s v="ЭЛЬМАШ"/>
    <n v="68527.44"/>
    <n v="68527.44"/>
    <n v="62052.82"/>
  </r>
  <r>
    <x v="3881"/>
    <s v="УКТУС"/>
    <n v="61655.02"/>
    <n v="61655.02"/>
    <n v="55829.73"/>
  </r>
  <r>
    <x v="3882"/>
    <s v="ШАРТАШ"/>
    <n v="66003.710000000006"/>
    <n v="66003.710000000006"/>
    <n v="59767.54"/>
  </r>
  <r>
    <x v="546"/>
    <s v="ЧЕРМЕТ"/>
    <n v="60698.45"/>
    <n v="60698.45"/>
    <n v="54963.53"/>
  </r>
  <r>
    <x v="3883"/>
    <s v="ВИЗ"/>
    <n v="81668.479999999996"/>
    <n v="81668.479999999996"/>
    <n v="73952.27"/>
  </r>
  <r>
    <x v="3884"/>
    <s v="УНЦ"/>
    <n v="62774.42"/>
    <n v="62774.42"/>
    <n v="56843.360000000001"/>
  </r>
  <r>
    <x v="861"/>
    <s v="УРАЛМАШ"/>
    <n v="67842.240000000005"/>
    <n v="67842.240000000005"/>
    <n v="61432.36"/>
  </r>
  <r>
    <x v="3885"/>
    <s v="ЛЕЧЕБНЫЙ"/>
    <n v="55990.2"/>
    <n v="55990.2"/>
    <n v="50700.12"/>
  </r>
  <r>
    <x v="3886"/>
    <s v="МЕДНЫЙ"/>
    <n v="49741.93"/>
    <n v="49741.93"/>
    <n v="45042.2"/>
  </r>
  <r>
    <x v="556"/>
    <s v="АВТОВОКЗАЛ"/>
    <n v="81132.53"/>
    <n v="81132.53"/>
    <n v="73466.960000000006"/>
  </r>
  <r>
    <x v="3887"/>
    <s v="УРАЛМАШ"/>
    <n v="67842.240000000005"/>
    <n v="67842.240000000005"/>
    <n v="61432.36"/>
  </r>
  <r>
    <x v="93"/>
    <s v="ШАБРОВСКИЙ"/>
    <n v="36417.71"/>
    <n v="36417.71"/>
    <n v="32976.89"/>
  </r>
  <r>
    <x v="3888"/>
    <s v="Сулим.Торфянник"/>
    <n v="45325.4"/>
    <n v="45325.4"/>
    <n v="41042.959999999999"/>
  </r>
  <r>
    <x v="3889"/>
    <s v="Центр"/>
    <n v="91057.85"/>
    <n v="91057.85"/>
    <n v="82454.509999999995"/>
  </r>
  <r>
    <x v="3890"/>
    <s v="ВИЗ"/>
    <n v="81668.479999999996"/>
    <n v="81668.479999999996"/>
    <n v="73952.27"/>
  </r>
  <r>
    <x v="3891"/>
    <s v="ЧЕРМЕТ"/>
    <n v="60698.45"/>
    <n v="60698.45"/>
    <n v="54963.53"/>
  </r>
  <r>
    <x v="3892"/>
    <s v="УНЦ"/>
    <n v="62774.42"/>
    <n v="62774.42"/>
    <n v="56843.360000000001"/>
  </r>
  <r>
    <x v="31"/>
    <s v="ГОРНЫЙ ЩИТ"/>
    <n v="50617.09"/>
    <n v="50617.09"/>
    <n v="45834.68"/>
  </r>
  <r>
    <x v="808"/>
    <s v="ЭЛЬМАШ"/>
    <n v="68527.44"/>
    <n v="68527.44"/>
    <n v="62052.82"/>
  </r>
  <r>
    <x v="479"/>
    <s v="ЭЛЬМАШ"/>
    <n v="68527.44"/>
    <n v="68527.44"/>
    <n v="62052.82"/>
  </r>
  <r>
    <x v="3893"/>
    <s v="ШАРТАШ"/>
    <n v="66003.710000000006"/>
    <n v="66003.710000000006"/>
    <n v="59767.54"/>
  </r>
  <r>
    <x v="3894"/>
    <s v="ЛЕЧЕБНЫЙ"/>
    <n v="55990.2"/>
    <n v="55990.2"/>
    <n v="50700.12"/>
  </r>
  <r>
    <x v="947"/>
    <s v="ЭЛЬМАШ"/>
    <n v="68527.44"/>
    <n v="68527.44"/>
    <n v="62052.82"/>
  </r>
  <r>
    <x v="3895"/>
    <s v="Старая сортировка"/>
    <n v="57516.65"/>
    <n v="57516.65"/>
    <n v="52082.35"/>
  </r>
  <r>
    <x v="3896"/>
    <s v="ВИЗ"/>
    <n v="81668.479999999996"/>
    <n v="81668.479999999996"/>
    <n v="73952.27"/>
  </r>
  <r>
    <x v="3897"/>
    <s v="Исток"/>
    <n v="51831.47"/>
    <n v="51831.47"/>
    <n v="46934.32"/>
  </r>
  <r>
    <x v="3898"/>
    <s v="ШИРОКАЯ РЕЧКА"/>
    <n v="61207.26"/>
    <n v="61207.26"/>
    <n v="55424.27"/>
  </r>
  <r>
    <x v="3899"/>
    <s v="ШИРОКАЯ РЕЧКА"/>
    <n v="61207.26"/>
    <n v="61207.26"/>
    <n v="55424.27"/>
  </r>
  <r>
    <x v="3900"/>
    <s v="ЭЛЬМАШ"/>
    <n v="68527.44"/>
    <n v="68527.44"/>
    <n v="62052.82"/>
  </r>
  <r>
    <x v="430"/>
    <s v="АВТОВОКЗАЛ"/>
    <n v="81132.53"/>
    <n v="81132.53"/>
    <n v="73466.960000000006"/>
  </r>
  <r>
    <x v="82"/>
    <s v="ЖБИ"/>
    <n v="67218.09"/>
    <n v="67218.09"/>
    <n v="60867.18"/>
  </r>
  <r>
    <x v="3901"/>
    <s v="КОЛЬЦОВО"/>
    <n v="53174.74"/>
    <n v="53174.74"/>
    <n v="48150.68"/>
  </r>
  <r>
    <x v="926"/>
    <s v="Ю-З"/>
    <n v="74239.759999999995"/>
    <n v="74239.759999999995"/>
    <n v="67225.429999999993"/>
  </r>
  <r>
    <x v="3902"/>
    <s v="Ю-З"/>
    <n v="74239.759999999995"/>
    <n v="74239.759999999995"/>
    <n v="67225.429999999993"/>
  </r>
  <r>
    <x v="3903"/>
    <s v="ВИЗ"/>
    <n v="81668.479999999996"/>
    <n v="81668.479999999996"/>
    <n v="73952.27"/>
  </r>
  <r>
    <x v="756"/>
    <s v="Центр"/>
    <n v="91057.85"/>
    <n v="91057.85"/>
    <n v="82454.509999999995"/>
  </r>
  <r>
    <x v="3904"/>
    <s v="МЕДНЫЙ"/>
    <n v="49741.93"/>
    <n v="49741.93"/>
    <n v="45042.2"/>
  </r>
  <r>
    <x v="3905"/>
    <s v="УРАЛМАШ"/>
    <n v="67842.240000000005"/>
    <n v="67842.240000000005"/>
    <n v="61432.36"/>
  </r>
  <r>
    <x v="818"/>
    <s v="ПТИЦЕФАБРИКА"/>
    <n v="55074.33"/>
    <n v="55074.33"/>
    <n v="49870.79"/>
  </r>
  <r>
    <x v="3906"/>
    <s v="Старая сортировка"/>
    <n v="57516.65"/>
    <n v="57516.65"/>
    <n v="52082.35"/>
  </r>
  <r>
    <x v="3907"/>
    <s v="Сулим.Торфянник"/>
    <n v="45325.4"/>
    <n v="45325.4"/>
    <n v="41042.959999999999"/>
  </r>
  <r>
    <x v="3908"/>
    <s v="ШАРТАШ"/>
    <n v="66003.710000000006"/>
    <n v="66003.710000000006"/>
    <n v="59767.54"/>
  </r>
  <r>
    <x v="823"/>
    <s v="Сулим.Торфянник"/>
    <n v="45325.4"/>
    <n v="45325.4"/>
    <n v="41042.959999999999"/>
  </r>
  <r>
    <x v="3909"/>
    <s v="ШАРТАШ"/>
    <n v="66003.710000000006"/>
    <n v="66003.710000000006"/>
    <n v="59767.54"/>
  </r>
  <r>
    <x v="10"/>
    <s v="КОМПРЕССОРНЫЙ"/>
    <n v="54633.35"/>
    <n v="54633.35"/>
    <n v="49471.48"/>
  </r>
  <r>
    <x v="3910"/>
    <s v="ЭЛЬМАШ"/>
    <n v="68527.44"/>
    <n v="68527.44"/>
    <n v="62052.82"/>
  </r>
  <r>
    <x v="811"/>
    <s v="ЧЕРМЕТ"/>
    <n v="60698.45"/>
    <n v="60698.45"/>
    <n v="54963.53"/>
  </r>
  <r>
    <x v="3911"/>
    <s v="ГОРНЫЙ ЩИТ"/>
    <n v="50617.09"/>
    <n v="50617.09"/>
    <n v="45834.68"/>
  </r>
  <r>
    <x v="577"/>
    <s v="ГОРНЫЙ ЩИТ"/>
    <n v="50617.09"/>
    <n v="50617.09"/>
    <n v="45834.68"/>
  </r>
  <r>
    <x v="3912"/>
    <s v="ШИРОКАЯ РЕЧКА"/>
    <n v="61207.26"/>
    <n v="61207.26"/>
    <n v="55424.27"/>
  </r>
  <r>
    <x v="3913"/>
    <s v="Старая сортировка"/>
    <n v="57516.65"/>
    <n v="57516.65"/>
    <n v="52082.35"/>
  </r>
  <r>
    <x v="3914"/>
    <s v="ГОРНЫЙ ЩИТ"/>
    <n v="50617.09"/>
    <n v="50617.09"/>
    <n v="45834.68"/>
  </r>
  <r>
    <x v="3915"/>
    <s v="ШАРТАШ"/>
    <n v="66003.710000000006"/>
    <n v="66003.710000000006"/>
    <n v="59767.54"/>
  </r>
  <r>
    <x v="777"/>
    <s v="УКТУС"/>
    <n v="61655.02"/>
    <n v="61655.02"/>
    <n v="55829.73"/>
  </r>
  <r>
    <x v="3916"/>
    <s v="САДОВЫЙ"/>
    <n v="51600.800000000003"/>
    <n v="51600.800000000003"/>
    <n v="46725.45"/>
  </r>
  <r>
    <x v="581"/>
    <s v="УКТУС"/>
    <n v="61655.02"/>
    <n v="61655.02"/>
    <n v="55829.73"/>
  </r>
  <r>
    <x v="3917"/>
    <s v="ХИММАШ"/>
    <n v="60047.16"/>
    <n v="60047.16"/>
    <n v="54373.78"/>
  </r>
  <r>
    <x v="3918"/>
    <s v="УКТУС"/>
    <n v="61655.02"/>
    <n v="61655.02"/>
    <n v="55829.73"/>
  </r>
  <r>
    <x v="3919"/>
    <s v="РУДНЫЙ"/>
    <n v="45325.4"/>
    <n v="45325.4"/>
    <n v="41042.959999999999"/>
  </r>
  <r>
    <x v="3920"/>
    <s v="ВОКЗАЛЬНЫЙ"/>
    <n v="76180.05"/>
    <n v="76180.05"/>
    <n v="68982.39"/>
  </r>
  <r>
    <x v="3921"/>
    <s v="СОВХОЗ"/>
    <n v="57883"/>
    <n v="57883"/>
    <n v="52414.09"/>
  </r>
  <r>
    <x v="3922"/>
    <s v="СИБИРСКИЙ"/>
    <n v="61573.61"/>
    <n v="61573.61"/>
    <n v="55756.01"/>
  </r>
  <r>
    <x v="393"/>
    <s v="ШИРОКАЯ РЕЧКА"/>
    <n v="61207.26"/>
    <n v="61207.26"/>
    <n v="55424.27"/>
  </r>
  <r>
    <x v="803"/>
    <s v="ГОРНЫЙ ЩИТ"/>
    <n v="50617.09"/>
    <n v="50617.09"/>
    <n v="45834.68"/>
  </r>
  <r>
    <x v="3923"/>
    <s v="Старая сортировка"/>
    <n v="57516.65"/>
    <n v="57516.65"/>
    <n v="52082.35"/>
  </r>
  <r>
    <x v="949"/>
    <s v="ГОРНЫЙ ЩИТ"/>
    <n v="50617.09"/>
    <n v="50617.09"/>
    <n v="45834.68"/>
  </r>
  <r>
    <x v="3924"/>
    <s v="СОВХОЗ"/>
    <n v="57883"/>
    <n v="57883"/>
    <n v="52414.09"/>
  </r>
  <r>
    <x v="3925"/>
    <s v="УРАЛМАШ"/>
    <n v="67842.240000000005"/>
    <n v="67842.240000000005"/>
    <n v="61432.36"/>
  </r>
  <r>
    <x v="3926"/>
    <s v="УНЦ"/>
    <n v="62774.42"/>
    <n v="62774.42"/>
    <n v="56843.360000000001"/>
  </r>
  <r>
    <x v="3927"/>
    <s v="Исток"/>
    <n v="51831.47"/>
    <n v="51831.47"/>
    <n v="46934.32"/>
  </r>
  <r>
    <x v="3928"/>
    <s v="ВИЗ"/>
    <n v="81668.479999999996"/>
    <n v="81668.479999999996"/>
    <n v="73952.27"/>
  </r>
  <r>
    <x v="3929"/>
    <s v="ЧЕРМЕТ"/>
    <n v="60698.45"/>
    <n v="60698.45"/>
    <n v="54963.53"/>
  </r>
  <r>
    <x v="605"/>
    <s v="ВИЗ"/>
    <n v="81668.479999999996"/>
    <n v="81668.479999999996"/>
    <n v="73952.27"/>
  </r>
  <r>
    <x v="3930"/>
    <s v="Старая сортировка"/>
    <n v="57516.65"/>
    <n v="57516.65"/>
    <n v="52082.35"/>
  </r>
  <r>
    <x v="3931"/>
    <s v="Сулим.Торфянник"/>
    <n v="45325.4"/>
    <n v="45325.4"/>
    <n v="41042.959999999999"/>
  </r>
  <r>
    <x v="411"/>
    <s v="СИНИЕ КАМНИ"/>
    <n v="66505.740000000005"/>
    <n v="66505.740000000005"/>
    <n v="60222.14"/>
  </r>
  <r>
    <x v="3932"/>
    <s v="ПТИЦЕФАБРИКА"/>
    <n v="55074.33"/>
    <n v="55074.33"/>
    <n v="49870.79"/>
  </r>
  <r>
    <x v="3933"/>
    <s v="ХИММАШ"/>
    <n v="60047.16"/>
    <n v="60047.16"/>
    <n v="54373.78"/>
  </r>
  <r>
    <x v="3934"/>
    <s v="Старая сортировка"/>
    <n v="57516.65"/>
    <n v="57516.65"/>
    <n v="52082.35"/>
  </r>
  <r>
    <x v="3935"/>
    <s v="МЕДНЫЙ"/>
    <n v="49741.93"/>
    <n v="49741.93"/>
    <n v="45042.2"/>
  </r>
  <r>
    <x v="3936"/>
    <s v="Старая сортировка"/>
    <n v="57516.65"/>
    <n v="57516.65"/>
    <n v="52082.35"/>
  </r>
  <r>
    <x v="76"/>
    <s v="АВТОВОКЗАЛ"/>
    <n v="81132.53"/>
    <n v="81132.53"/>
    <n v="73466.960000000006"/>
  </r>
  <r>
    <x v="3937"/>
    <s v="КОЛЬЦОВО"/>
    <n v="53174.74"/>
    <n v="53174.74"/>
    <n v="48150.68"/>
  </r>
  <r>
    <x v="3938"/>
    <s v="СОВХОЗ"/>
    <n v="57883"/>
    <n v="57883"/>
    <n v="52414.09"/>
  </r>
  <r>
    <x v="554"/>
    <s v="ЭЛЬМАШ"/>
    <n v="68527.44"/>
    <n v="68527.44"/>
    <n v="62052.82"/>
  </r>
  <r>
    <x v="1004"/>
    <s v="ЧЕРМЕТ"/>
    <n v="60698.45"/>
    <n v="60698.45"/>
    <n v="54963.53"/>
  </r>
  <r>
    <x v="3939"/>
    <s v="СОВХОЗ"/>
    <n v="57883"/>
    <n v="57883"/>
    <n v="52414.09"/>
  </r>
  <r>
    <x v="3940"/>
    <s v="СОВХОЗ"/>
    <n v="57883"/>
    <n v="57883"/>
    <n v="52414.09"/>
  </r>
  <r>
    <x v="3941"/>
    <s v="ГОРНЫЙ ЩИТ"/>
    <n v="50617.09"/>
    <n v="50617.09"/>
    <n v="45834.68"/>
  </r>
  <r>
    <x v="992"/>
    <s v="ЛЕЧЕБНЫЙ"/>
    <n v="55990.2"/>
    <n v="55990.2"/>
    <n v="50700.12"/>
  </r>
  <r>
    <x v="890"/>
    <s v="УРАЛМАШ"/>
    <n v="67842.240000000005"/>
    <n v="67842.240000000005"/>
    <n v="61432.36"/>
  </r>
  <r>
    <x v="3942"/>
    <s v="ХИММАШ"/>
    <n v="60047.16"/>
    <n v="60047.16"/>
    <n v="54373.78"/>
  </r>
  <r>
    <x v="3943"/>
    <s v="Центр"/>
    <n v="91057.85"/>
    <n v="91057.85"/>
    <n v="82454.509999999995"/>
  </r>
  <r>
    <x v="3944"/>
    <s v="САДОВЫЙ"/>
    <n v="51600.800000000003"/>
    <n v="51600.800000000003"/>
    <n v="46725.45"/>
  </r>
  <r>
    <x v="961"/>
    <s v="ЗАВОКЗАЛЬНЫЙ"/>
    <n v="54389.120000000003"/>
    <n v="54389.120000000003"/>
    <n v="49250.32"/>
  </r>
  <r>
    <x v="3945"/>
    <s v="ВИЗ"/>
    <n v="81668.479999999996"/>
    <n v="81668.479999999996"/>
    <n v="73952.27"/>
  </r>
  <r>
    <x v="3946"/>
    <s v="СОВХОЗ"/>
    <n v="57883"/>
    <n v="57883"/>
    <n v="52414.09"/>
  </r>
  <r>
    <x v="3947"/>
    <s v="ГОРНЫЙ ЩИТ"/>
    <n v="50617.09"/>
    <n v="50617.09"/>
    <n v="45834.68"/>
  </r>
  <r>
    <x v="3948"/>
    <s v="МЕДНЫЙ"/>
    <n v="49741.93"/>
    <n v="49741.93"/>
    <n v="45042.2"/>
  </r>
  <r>
    <x v="1012"/>
    <s v="Ю-З"/>
    <n v="74239.759999999995"/>
    <n v="74239.759999999995"/>
    <n v="67225.429999999993"/>
  </r>
  <r>
    <x v="3949"/>
    <s v="ЧУСОВСКОЕ ОЗЕРО"/>
    <n v="48229.05"/>
    <n v="48229.05"/>
    <n v="43672.26"/>
  </r>
  <r>
    <x v="3950"/>
    <s v="КАЛИНОВСКИЙ"/>
    <n v="54782.6"/>
    <n v="54782.6"/>
    <n v="49606.63"/>
  </r>
  <r>
    <x v="3951"/>
    <s v="УРАЛМАШ"/>
    <n v="67842.240000000005"/>
    <n v="67842.240000000005"/>
    <n v="61432.36"/>
  </r>
  <r>
    <x v="3952"/>
    <s v="ВИЗ"/>
    <n v="81668.479999999996"/>
    <n v="81668.479999999996"/>
    <n v="73952.27"/>
  </r>
  <r>
    <x v="3953"/>
    <s v="САДОВЫЙ"/>
    <n v="51600.800000000003"/>
    <n v="51600.800000000003"/>
    <n v="46725.45"/>
  </r>
  <r>
    <x v="626"/>
    <s v="ШИРОКАЯ РЕЧКА"/>
    <n v="61207.26"/>
    <n v="61207.26"/>
    <n v="55424.27"/>
  </r>
  <r>
    <x v="709"/>
    <s v="АВТОВОКЗАЛ"/>
    <n v="81132.53"/>
    <n v="81132.53"/>
    <n v="73466.960000000006"/>
  </r>
  <r>
    <x v="3954"/>
    <s v="Старая сортировка"/>
    <n v="57516.65"/>
    <n v="57516.65"/>
    <n v="52082.35"/>
  </r>
  <r>
    <x v="1059"/>
    <s v="Ю-З"/>
    <n v="74239.759999999995"/>
    <n v="74239.759999999995"/>
    <n v="67225.429999999993"/>
  </r>
  <r>
    <x v="625"/>
    <s v="ШИРОКАЯ РЕЧКА"/>
    <n v="61207.26"/>
    <n v="61207.26"/>
    <n v="55424.27"/>
  </r>
  <r>
    <x v="3955"/>
    <s v="ЛЕЧЕБНЫЙ"/>
    <n v="55990.2"/>
    <n v="55990.2"/>
    <n v="50700.12"/>
  </r>
  <r>
    <x v="3956"/>
    <s v="ГОРНЫЙ ЩИТ"/>
    <n v="50617.09"/>
    <n v="50617.09"/>
    <n v="45834.68"/>
  </r>
  <r>
    <x v="3957"/>
    <s v="ШАРТАШ"/>
    <n v="66003.710000000006"/>
    <n v="66003.710000000006"/>
    <n v="59767.54"/>
  </r>
  <r>
    <x v="375"/>
    <s v="ШАБРОВСКИЙ"/>
    <n v="36417.71"/>
    <n v="36417.71"/>
    <n v="32976.89"/>
  </r>
  <r>
    <x v="696"/>
    <s v="ПТИЦЕФАБРИКА"/>
    <n v="55074.33"/>
    <n v="55074.33"/>
    <n v="49870.79"/>
  </r>
  <r>
    <x v="545"/>
    <s v="ЕЛИЗАВЕТ"/>
    <n v="59056.67"/>
    <n v="59056.67"/>
    <n v="53476.87"/>
  </r>
  <r>
    <x v="3958"/>
    <s v="ШИРОКАЯ РЕЧКА"/>
    <n v="61207.26"/>
    <n v="61207.26"/>
    <n v="55424.27"/>
  </r>
  <r>
    <x v="755"/>
    <s v="УРАЛМАШ"/>
    <n v="67842.240000000005"/>
    <n v="67842.240000000005"/>
    <n v="61432.36"/>
  </r>
  <r>
    <x v="3959"/>
    <s v="СОВХОЗ"/>
    <n v="57883"/>
    <n v="57883"/>
    <n v="52414.09"/>
  </r>
  <r>
    <x v="3960"/>
    <s v="КОЛЬЦОВО"/>
    <n v="53174.74"/>
    <n v="53174.74"/>
    <n v="48150.68"/>
  </r>
  <r>
    <x v="3961"/>
    <s v="ЛЕЧЕБНЫЙ"/>
    <n v="55990.2"/>
    <n v="55990.2"/>
    <n v="50700.12"/>
  </r>
  <r>
    <x v="3962"/>
    <s v="Центр"/>
    <n v="91057.85"/>
    <n v="91057.85"/>
    <n v="82454.509999999995"/>
  </r>
  <r>
    <x v="3963"/>
    <s v="УРАЛМАШ"/>
    <n v="67842.240000000005"/>
    <n v="67842.240000000005"/>
    <n v="61432.36"/>
  </r>
  <r>
    <x v="3964"/>
    <s v="ГОРНЫЙ ЩИТ"/>
    <n v="50617.09"/>
    <n v="50617.09"/>
    <n v="45834.68"/>
  </r>
  <r>
    <x v="3965"/>
    <s v="ЭЛЬМАШ"/>
    <n v="68527.44"/>
    <n v="68527.44"/>
    <n v="62052.82"/>
  </r>
  <r>
    <x v="3966"/>
    <s v="Старая сортировка"/>
    <n v="57516.65"/>
    <n v="57516.65"/>
    <n v="52082.35"/>
  </r>
  <r>
    <x v="886"/>
    <s v="Ю-З"/>
    <n v="74239.759999999995"/>
    <n v="74239.759999999995"/>
    <n v="67225.429999999993"/>
  </r>
  <r>
    <x v="850"/>
    <s v="ГОРНЫЙ ЩИТ"/>
    <n v="50617.09"/>
    <n v="50617.09"/>
    <n v="45834.68"/>
  </r>
  <r>
    <x v="3967"/>
    <s v="Ю-З"/>
    <n v="74239.759999999995"/>
    <n v="74239.759999999995"/>
    <n v="67225.429999999993"/>
  </r>
  <r>
    <x v="3968"/>
    <s v="УРАЛМАШ"/>
    <n v="67842.240000000005"/>
    <n v="67842.240000000005"/>
    <n v="61432.36"/>
  </r>
  <r>
    <x v="3969"/>
    <s v="УРАЛМАШ"/>
    <n v="67842.240000000005"/>
    <n v="67842.240000000005"/>
    <n v="61432.36"/>
  </r>
  <r>
    <x v="3970"/>
    <s v="УРАЛМАШ"/>
    <n v="67842.240000000005"/>
    <n v="67842.240000000005"/>
    <n v="61432.36"/>
  </r>
  <r>
    <x v="3971"/>
    <s v="ШИРОКАЯ РЕЧКА"/>
    <n v="61207.26"/>
    <n v="61207.26"/>
    <n v="55424.27"/>
  </r>
  <r>
    <x v="236"/>
    <s v="АВТОВОКЗАЛ"/>
    <n v="81132.53"/>
    <n v="81132.53"/>
    <n v="73466.960000000006"/>
  </r>
  <r>
    <x v="3972"/>
    <s v="ЕЛИЗАВЕТ"/>
    <n v="59056.67"/>
    <n v="59056.67"/>
    <n v="53476.87"/>
  </r>
  <r>
    <x v="367"/>
    <s v="ВТУЗГОРОДОК"/>
    <n v="74667.16"/>
    <n v="74667.16"/>
    <n v="67612.45"/>
  </r>
  <r>
    <x v="3973"/>
    <s v="ЛЕЧЕБНЫЙ"/>
    <n v="55990.2"/>
    <n v="55990.2"/>
    <n v="50700.12"/>
  </r>
  <r>
    <x v="544"/>
    <s v="ЧЕРМЕТ"/>
    <n v="60698.45"/>
    <n v="60698.45"/>
    <n v="54963.53"/>
  </r>
  <r>
    <x v="977"/>
    <s v="СЕВЕРКА"/>
    <n v="49579.11"/>
    <n v="49579.11"/>
    <n v="44894.77"/>
  </r>
  <r>
    <x v="848"/>
    <s v="КОЛЬЦОВО"/>
    <n v="53174.74"/>
    <n v="53174.74"/>
    <n v="48150.68"/>
  </r>
  <r>
    <x v="345"/>
    <s v="ШАБРОВСКИЙ"/>
    <n v="36417.71"/>
    <n v="36417.71"/>
    <n v="32976.89"/>
  </r>
  <r>
    <x v="3974"/>
    <s v="МЕДНЫЙ"/>
    <n v="49741.93"/>
    <n v="49741.93"/>
    <n v="45042.2"/>
  </r>
  <r>
    <x v="1079"/>
    <s v="Старая сортировка"/>
    <n v="57516.65"/>
    <n v="57516.65"/>
    <n v="52082.35"/>
  </r>
  <r>
    <x v="3975"/>
    <s v="Старая сортировка"/>
    <n v="57516.65"/>
    <n v="57516.65"/>
    <n v="52082.35"/>
  </r>
  <r>
    <x v="395"/>
    <s v="ПАРКОВЫЙ"/>
    <n v="78853.03"/>
    <n v="78853.03"/>
    <n v="71402.83"/>
  </r>
  <r>
    <x v="802"/>
    <s v="ШИРОКАЯ РЕЧКА"/>
    <n v="61207.26"/>
    <n v="61207.26"/>
    <n v="55424.27"/>
  </r>
  <r>
    <x v="1021"/>
    <s v="ЛЕЧЕБНЫЙ"/>
    <n v="55990.2"/>
    <n v="55990.2"/>
    <n v="50700.12"/>
  </r>
  <r>
    <x v="3976"/>
    <s v="ВИЗ"/>
    <n v="81668.479999999996"/>
    <n v="81668.479999999996"/>
    <n v="73952.27"/>
  </r>
  <r>
    <x v="3977"/>
    <s v="СОВХОЗ"/>
    <n v="57883"/>
    <n v="57883"/>
    <n v="52414.09"/>
  </r>
  <r>
    <x v="3978"/>
    <s v="Старая сортировка"/>
    <n v="57516.65"/>
    <n v="57516.65"/>
    <n v="52082.35"/>
  </r>
  <r>
    <x v="680"/>
    <s v="ЕЛИЗАВЕТ"/>
    <n v="59056.67"/>
    <n v="59056.67"/>
    <n v="53476.87"/>
  </r>
  <r>
    <x v="559"/>
    <s v="УРАЛМАШ"/>
    <n v="67842.240000000005"/>
    <n v="67842.240000000005"/>
    <n v="61432.36"/>
  </r>
  <r>
    <x v="3979"/>
    <s v="АВТОВОКЗАЛ"/>
    <n v="81132.53"/>
    <n v="81132.53"/>
    <n v="73466.960000000006"/>
  </r>
  <r>
    <x v="3980"/>
    <s v="Сулим.Торфянник"/>
    <n v="45325.4"/>
    <n v="45325.4"/>
    <n v="41042.959999999999"/>
  </r>
  <r>
    <x v="980"/>
    <s v="СОВХОЗ"/>
    <n v="57883"/>
    <n v="57883"/>
    <n v="52414.09"/>
  </r>
  <r>
    <x v="3981"/>
    <s v="ВИЗ"/>
    <n v="81668.479999999996"/>
    <n v="81668.479999999996"/>
    <n v="73952.27"/>
  </r>
  <r>
    <x v="3982"/>
    <s v="УКТУС"/>
    <n v="61655.02"/>
    <n v="61655.02"/>
    <n v="55829.73"/>
  </r>
  <r>
    <x v="3983"/>
    <s v="ГОРНЫЙ ЩИТ"/>
    <n v="50617.09"/>
    <n v="50617.09"/>
    <n v="45834.68"/>
  </r>
  <r>
    <x v="3984"/>
    <s v="ШИРОКАЯ РЕЧКА"/>
    <n v="61207.26"/>
    <n v="61207.26"/>
    <n v="55424.27"/>
  </r>
  <r>
    <x v="3985"/>
    <s v="УРАЛМАШ"/>
    <n v="67842.240000000005"/>
    <n v="67842.240000000005"/>
    <n v="61432.36"/>
  </r>
  <r>
    <x v="335"/>
    <s v="ШАРТАШ"/>
    <n v="66003.710000000006"/>
    <n v="66003.710000000006"/>
    <n v="59767.54"/>
  </r>
  <r>
    <x v="573"/>
    <s v="АВТОВОКЗАЛ"/>
    <n v="81132.53"/>
    <n v="81132.53"/>
    <n v="73466.960000000006"/>
  </r>
  <r>
    <x v="3986"/>
    <s v="Нижнеисетский"/>
    <n v="45325.4"/>
    <n v="45325.4"/>
    <n v="41042.959999999999"/>
  </r>
  <r>
    <x v="3987"/>
    <s v="УНЦ"/>
    <n v="62774.42"/>
    <n v="62774.42"/>
    <n v="56843.360000000001"/>
  </r>
  <r>
    <x v="957"/>
    <s v="Нижнеисетский"/>
    <n v="45325.4"/>
    <n v="45325.4"/>
    <n v="41042.959999999999"/>
  </r>
  <r>
    <x v="3988"/>
    <s v="ЧЕРМЕТ"/>
    <n v="60698.45"/>
    <n v="60698.45"/>
    <n v="54963.53"/>
  </r>
  <r>
    <x v="1023"/>
    <s v="Ю-З"/>
    <n v="74239.759999999995"/>
    <n v="74239.759999999995"/>
    <n v="67225.429999999993"/>
  </r>
  <r>
    <x v="3989"/>
    <s v="Старая сортировка"/>
    <n v="57516.65"/>
    <n v="57516.65"/>
    <n v="52082.35"/>
  </r>
  <r>
    <x v="3990"/>
    <s v="САДОВЫЙ"/>
    <n v="51600.800000000003"/>
    <n v="51600.800000000003"/>
    <n v="46725.45"/>
  </r>
  <r>
    <x v="3991"/>
    <s v="КАЛИНОВСКИЙ"/>
    <n v="54782.6"/>
    <n v="54782.6"/>
    <n v="49606.63"/>
  </r>
  <r>
    <x v="3992"/>
    <s v="ВИЗ"/>
    <n v="81668.479999999996"/>
    <n v="81668.479999999996"/>
    <n v="73952.27"/>
  </r>
  <r>
    <x v="3993"/>
    <s v="УРАЛМАШ"/>
    <n v="67842.240000000005"/>
    <n v="67842.240000000005"/>
    <n v="61432.36"/>
  </r>
  <r>
    <x v="3994"/>
    <s v="УКТУС"/>
    <n v="61655.02"/>
    <n v="61655.02"/>
    <n v="55829.73"/>
  </r>
  <r>
    <x v="3995"/>
    <s v="УРАЛМАШ"/>
    <n v="67842.240000000005"/>
    <n v="67842.240000000005"/>
    <n v="61432.36"/>
  </r>
  <r>
    <x v="3996"/>
    <s v="ПИОНЕРСКИЙ"/>
    <n v="75318.45"/>
    <n v="75318.45"/>
    <n v="68202.2"/>
  </r>
  <r>
    <x v="3997"/>
    <s v="ЧЕРМЕТ"/>
    <n v="60698.45"/>
    <n v="60698.45"/>
    <n v="54963.53"/>
  </r>
  <r>
    <x v="954"/>
    <s v="Новая сортировка"/>
    <n v="62889.75"/>
    <n v="62889.75"/>
    <n v="56947.8"/>
  </r>
  <r>
    <x v="940"/>
    <s v="СОВХОЗ"/>
    <n v="57883"/>
    <n v="57883"/>
    <n v="52414.09"/>
  </r>
  <r>
    <x v="3998"/>
    <s v="ЛЕЧЕБНЫЙ"/>
    <n v="55990.2"/>
    <n v="55990.2"/>
    <n v="50700.12"/>
  </r>
  <r>
    <x v="846"/>
    <s v="Центр"/>
    <n v="91057.85"/>
    <n v="91057.85"/>
    <n v="82454.509999999995"/>
  </r>
  <r>
    <x v="77"/>
    <s v="УКТУС"/>
    <n v="61655.02"/>
    <n v="61655.02"/>
    <n v="55829.73"/>
  </r>
  <r>
    <x v="273"/>
    <s v="ЧЕРМЕТ"/>
    <n v="60698.45"/>
    <n v="60698.45"/>
    <n v="54963.53"/>
  </r>
  <r>
    <x v="3999"/>
    <s v="ВИЗ"/>
    <n v="81668.479999999996"/>
    <n v="81668.479999999996"/>
    <n v="73952.27"/>
  </r>
  <r>
    <x v="4000"/>
    <s v="ШАРТАШ"/>
    <n v="66003.710000000006"/>
    <n v="66003.710000000006"/>
    <n v="59767.54"/>
  </r>
  <r>
    <x v="4001"/>
    <s v="ШАБРОВСКИЙ"/>
    <n v="36417.71"/>
    <n v="36417.71"/>
    <n v="32976.89"/>
  </r>
  <r>
    <x v="4002"/>
    <s v="ШИРОКАЯ РЕЧКА"/>
    <n v="61207.26"/>
    <n v="61207.26"/>
    <n v="55424.27"/>
  </r>
  <r>
    <x v="941"/>
    <s v="ЧЕРМЕТ"/>
    <n v="60698.45"/>
    <n v="60698.45"/>
    <n v="54963.53"/>
  </r>
  <r>
    <x v="714"/>
    <s v="Центр"/>
    <n v="91057.85"/>
    <n v="91057.85"/>
    <n v="82454.509999999995"/>
  </r>
  <r>
    <x v="4003"/>
    <s v="МЕДНЫЙ"/>
    <n v="49741.93"/>
    <n v="49741.93"/>
    <n v="45042.2"/>
  </r>
  <r>
    <x v="565"/>
    <s v="ХИММАШ"/>
    <n v="60047.16"/>
    <n v="60047.16"/>
    <n v="54373.78"/>
  </r>
  <r>
    <x v="4004"/>
    <s v="ШИРОКАЯ РЕЧКА"/>
    <n v="61207.26"/>
    <n v="61207.26"/>
    <n v="55424.27"/>
  </r>
  <r>
    <x v="4005"/>
    <s v="ХИММАШ"/>
    <n v="60047.16"/>
    <n v="60047.16"/>
    <n v="54373.78"/>
  </r>
  <r>
    <x v="4006"/>
    <s v="ЧЕРМЕТ"/>
    <n v="60698.45"/>
    <n v="60698.45"/>
    <n v="54963.53"/>
  </r>
  <r>
    <x v="4007"/>
    <s v="ШАРТАШ"/>
    <n v="66003.710000000006"/>
    <n v="66003.710000000006"/>
    <n v="59767.54"/>
  </r>
  <r>
    <x v="775"/>
    <s v="ШАБРОВСКИЙ"/>
    <n v="36417.71"/>
    <n v="36417.71"/>
    <n v="32976.89"/>
  </r>
  <r>
    <x v="4008"/>
    <s v="ПТИЦЕФАБРИКА"/>
    <n v="55074.33"/>
    <n v="55074.33"/>
    <n v="49870.79"/>
  </r>
  <r>
    <x v="1026"/>
    <s v="ШАРТАШ"/>
    <n v="66003.710000000006"/>
    <n v="66003.710000000006"/>
    <n v="59767.54"/>
  </r>
  <r>
    <x v="4009"/>
    <s v="КОЛЬЦОВО"/>
    <n v="53174.74"/>
    <n v="53174.74"/>
    <n v="48150.68"/>
  </r>
  <r>
    <x v="4010"/>
    <s v="РУДНЫЙ"/>
    <n v="45325.4"/>
    <n v="45325.4"/>
    <n v="41042.959999999999"/>
  </r>
  <r>
    <x v="758"/>
    <s v="УРАЛМАШ"/>
    <n v="67842.240000000005"/>
    <n v="67842.240000000005"/>
    <n v="61432.36"/>
  </r>
  <r>
    <x v="967"/>
    <s v="Новая сортировка"/>
    <n v="62889.75"/>
    <n v="62889.75"/>
    <n v="56947.8"/>
  </r>
  <r>
    <x v="213"/>
    <s v="УРАЛМАШ"/>
    <n v="67842.240000000005"/>
    <n v="67842.240000000005"/>
    <n v="61432.36"/>
  </r>
  <r>
    <x v="4011"/>
    <s v="ГОРНЫЙ ЩИТ"/>
    <n v="50617.09"/>
    <n v="50617.09"/>
    <n v="45834.68"/>
  </r>
  <r>
    <x v="4012"/>
    <s v="ШИРОКАЯ РЕЧКА"/>
    <n v="61207.26"/>
    <n v="61207.26"/>
    <n v="55424.27"/>
  </r>
  <r>
    <x v="4013"/>
    <s v="Нижнеисетский"/>
    <n v="45325.4"/>
    <n v="45325.4"/>
    <n v="41042.959999999999"/>
  </r>
  <r>
    <x v="4014"/>
    <s v="ЧЕРМЕТ"/>
    <n v="60698.45"/>
    <n v="60698.45"/>
    <n v="54963.53"/>
  </r>
  <r>
    <x v="4015"/>
    <s v="СЕВЕРКА"/>
    <n v="49579.11"/>
    <n v="49579.11"/>
    <n v="44894.77"/>
  </r>
  <r>
    <x v="477"/>
    <s v="ХИММАШ"/>
    <n v="60047.16"/>
    <n v="60047.16"/>
    <n v="54373.78"/>
  </r>
  <r>
    <x v="4016"/>
    <s v="Ю-З"/>
    <n v="74239.759999999995"/>
    <n v="74239.759999999995"/>
    <n v="67225.429999999993"/>
  </r>
  <r>
    <x v="4017"/>
    <s v="ШИРОКАЯ РЕЧКА"/>
    <n v="61207.26"/>
    <n v="61207.26"/>
    <n v="55424.27"/>
  </r>
  <r>
    <x v="4018"/>
    <s v="ВИЗ"/>
    <n v="81668.479999999996"/>
    <n v="81668.479999999996"/>
    <n v="73952.27"/>
  </r>
  <r>
    <x v="4019"/>
    <s v="ИЗОПЛИТ"/>
    <n v="51994.29"/>
    <n v="51994.29"/>
    <n v="47081.760000000002"/>
  </r>
  <r>
    <x v="450"/>
    <s v="ЗАРЕЧНЫЙ"/>
    <n v="68887.009999999995"/>
    <n v="68887.009999999995"/>
    <n v="62378.42"/>
  </r>
  <r>
    <x v="4020"/>
    <s v="Сулим.Торфянник"/>
    <n v="45325.4"/>
    <n v="45325.4"/>
    <n v="41042.959999999999"/>
  </r>
  <r>
    <x v="370"/>
    <s v="ИЗОПЛИТ"/>
    <n v="51994.29"/>
    <n v="51994.29"/>
    <n v="47081.760000000002"/>
  </r>
  <r>
    <x v="4021"/>
    <s v="ЭЛЬМАШ"/>
    <n v="68527.44"/>
    <n v="68527.44"/>
    <n v="62052.82"/>
  </r>
  <r>
    <x v="4022"/>
    <s v="УНЦ"/>
    <n v="62774.42"/>
    <n v="62774.42"/>
    <n v="56843.360000000001"/>
  </r>
  <r>
    <x v="603"/>
    <s v="ЧЕРМЕТ"/>
    <n v="60698.45"/>
    <n v="60698.45"/>
    <n v="54963.53"/>
  </r>
  <r>
    <x v="819"/>
    <s v="Шарташский рынок"/>
    <n v="77197.679999999993"/>
    <n v="77197.679999999993"/>
    <n v="69903.88"/>
  </r>
  <r>
    <x v="4023"/>
    <s v="ПТИЦЕФАБРИКА"/>
    <n v="55074.33"/>
    <n v="55074.33"/>
    <n v="49870.79"/>
  </r>
  <r>
    <x v="167"/>
    <s v="ЗАВОКЗАЛЬНЫЙ"/>
    <n v="54389.120000000003"/>
    <n v="54389.120000000003"/>
    <n v="49250.32"/>
  </r>
  <r>
    <x v="4024"/>
    <s v="ХИММАШ"/>
    <n v="60047.16"/>
    <n v="60047.16"/>
    <n v="54373.78"/>
  </r>
  <r>
    <x v="1002"/>
    <s v="ЖБИ"/>
    <n v="67218.09"/>
    <n v="67218.09"/>
    <n v="60867.18"/>
  </r>
  <r>
    <x v="4025"/>
    <s v="Нижнеисетский"/>
    <n v="45325.4"/>
    <n v="45325.4"/>
    <n v="41042.959999999999"/>
  </r>
  <r>
    <x v="4026"/>
    <s v="ПОЛЕВОДСТВО"/>
    <n v="53954.93"/>
    <n v="53954.93"/>
    <n v="48857.15"/>
  </r>
  <r>
    <x v="4027"/>
    <s v="ЛЕЧЕБНЫЙ"/>
    <n v="55990.2"/>
    <n v="55990.2"/>
    <n v="50700.12"/>
  </r>
  <r>
    <x v="4028"/>
    <s v="Центр"/>
    <n v="91057.85"/>
    <n v="91057.85"/>
    <n v="82454.509999999995"/>
  </r>
  <r>
    <x v="4029"/>
    <s v="СОВХОЗ"/>
    <n v="57883"/>
    <n v="57883"/>
    <n v="52414.09"/>
  </r>
  <r>
    <x v="4030"/>
    <s v="МЕДНЫЙ"/>
    <n v="49741.93"/>
    <n v="49741.93"/>
    <n v="45042.2"/>
  </r>
  <r>
    <x v="4031"/>
    <s v="Ю-З"/>
    <n v="74239.759999999995"/>
    <n v="74239.759999999995"/>
    <n v="67225.429999999993"/>
  </r>
  <r>
    <x v="4032"/>
    <s v="КОЛЬЦОВО"/>
    <n v="53174.74"/>
    <n v="53174.74"/>
    <n v="48150.68"/>
  </r>
  <r>
    <x v="4033"/>
    <s v="ЖБИ"/>
    <n v="67218.09"/>
    <n v="67218.09"/>
    <n v="60867.18"/>
  </r>
  <r>
    <x v="4034"/>
    <s v="ГОРНЫЙ ЩИТ"/>
    <n v="50617.09"/>
    <n v="50617.09"/>
    <n v="45834.68"/>
  </r>
  <r>
    <x v="986"/>
    <s v="Старая сортировка"/>
    <n v="57516.65"/>
    <n v="57516.65"/>
    <n v="52082.35"/>
  </r>
  <r>
    <x v="4035"/>
    <s v="КОЛЬЦОВО"/>
    <n v="53174.74"/>
    <n v="53174.74"/>
    <n v="48150.68"/>
  </r>
  <r>
    <x v="283"/>
    <s v="КОЛЬЦОВО"/>
    <n v="53174.74"/>
    <n v="53174.74"/>
    <n v="48150.68"/>
  </r>
  <r>
    <x v="4036"/>
    <s v="ЕЛИЗАВЕТ"/>
    <n v="59056.67"/>
    <n v="59056.67"/>
    <n v="53476.87"/>
  </r>
  <r>
    <x v="4037"/>
    <s v="МАЛЫЙ ИСТОК"/>
    <n v="58296.83"/>
    <n v="58296.83"/>
    <n v="52788.83"/>
  </r>
  <r>
    <x v="4038"/>
    <s v="Старая сортировка"/>
    <n v="57516.65"/>
    <n v="57516.65"/>
    <n v="52082.35"/>
  </r>
  <r>
    <x v="426"/>
    <s v="Ю-З"/>
    <n v="74239.759999999995"/>
    <n v="74239.759999999995"/>
    <n v="67225.429999999993"/>
  </r>
  <r>
    <x v="4039"/>
    <s v="ШАБРОВСКИЙ"/>
    <n v="36417.71"/>
    <n v="36417.71"/>
    <n v="32976.89"/>
  </r>
  <r>
    <x v="4040"/>
    <s v="КОЛЬЦОВО"/>
    <n v="53174.74"/>
    <n v="53174.74"/>
    <n v="48150.68"/>
  </r>
  <r>
    <x v="371"/>
    <s v="ЭЛЬМАШ"/>
    <n v="68527.44"/>
    <n v="68527.44"/>
    <n v="62052.82"/>
  </r>
  <r>
    <x v="445"/>
    <s v="УРАЛМАШ"/>
    <n v="67842.240000000005"/>
    <n v="67842.240000000005"/>
    <n v="61432.36"/>
  </r>
  <r>
    <x v="67"/>
    <s v="ВИЗ"/>
    <n v="81668.479999999996"/>
    <n v="81668.479999999996"/>
    <n v="73952.27"/>
  </r>
  <r>
    <x v="4041"/>
    <s v="ЕЛИЗАВЕТ"/>
    <n v="59056.67"/>
    <n v="59056.67"/>
    <n v="53476.87"/>
  </r>
  <r>
    <x v="4042"/>
    <s v="ШИРОКАЯ РЕЧКА"/>
    <n v="61207.26"/>
    <n v="61207.26"/>
    <n v="55424.27"/>
  </r>
  <r>
    <x v="4043"/>
    <s v="ЭЛЬМАШ"/>
    <n v="68527.44"/>
    <n v="68527.44"/>
    <n v="62052.82"/>
  </r>
  <r>
    <x v="4044"/>
    <s v="ШИРОКАЯ РЕЧКА"/>
    <n v="61207.26"/>
    <n v="61207.26"/>
    <n v="55424.27"/>
  </r>
  <r>
    <x v="4045"/>
    <s v="ХИММАШ"/>
    <n v="60047.16"/>
    <n v="60047.16"/>
    <n v="54373.78"/>
  </r>
  <r>
    <x v="1045"/>
    <s v="РУДНЫЙ"/>
    <n v="45325.4"/>
    <n v="45325.4"/>
    <n v="41042.959999999999"/>
  </r>
  <r>
    <x v="4046"/>
    <s v="СЕВЕРКА"/>
    <n v="49579.11"/>
    <n v="49579.11"/>
    <n v="44894.77"/>
  </r>
  <r>
    <x v="828"/>
    <s v="УРАЛМАШ"/>
    <n v="67842.240000000005"/>
    <n v="67842.240000000005"/>
    <n v="61432.36"/>
  </r>
  <r>
    <x v="4047"/>
    <s v="ВИЗ"/>
    <n v="81668.479999999996"/>
    <n v="81668.479999999996"/>
    <n v="73952.27"/>
  </r>
  <r>
    <x v="464"/>
    <s v="УНЦ"/>
    <n v="62774.42"/>
    <n v="62774.42"/>
    <n v="56843.360000000001"/>
  </r>
  <r>
    <x v="4048"/>
    <s v="Центр"/>
    <n v="91057.85"/>
    <n v="91057.85"/>
    <n v="82454.509999999995"/>
  </r>
  <r>
    <x v="4049"/>
    <s v="Старая сортировка"/>
    <n v="57516.65"/>
    <n v="57516.65"/>
    <n v="52082.35"/>
  </r>
  <r>
    <x v="4050"/>
    <s v="ВИЗ"/>
    <n v="81668.479999999996"/>
    <n v="81668.479999999996"/>
    <n v="73952.27"/>
  </r>
  <r>
    <x v="4051"/>
    <s v="СЕВЕРКА"/>
    <n v="49579.11"/>
    <n v="49579.11"/>
    <n v="44894.77"/>
  </r>
  <r>
    <x v="1003"/>
    <s v="ЗАВОКЗАЛЬНЫЙ"/>
    <n v="54389.120000000003"/>
    <n v="54389.120000000003"/>
    <n v="49250.32"/>
  </r>
  <r>
    <x v="4052"/>
    <s v="ШИРОКАЯ РЕЧКА"/>
    <n v="61207.26"/>
    <n v="61207.26"/>
    <n v="55424.27"/>
  </r>
  <r>
    <x v="4053"/>
    <s v="ШАРТАШ"/>
    <n v="66003.710000000006"/>
    <n v="66003.710000000006"/>
    <n v="59767.54"/>
  </r>
  <r>
    <x v="4054"/>
    <s v="ШАРТАШ"/>
    <n v="66003.710000000006"/>
    <n v="66003.710000000006"/>
    <n v="59767.54"/>
  </r>
  <r>
    <x v="454"/>
    <s v="СЕВЕРКА"/>
    <n v="49579.11"/>
    <n v="49579.11"/>
    <n v="44894.77"/>
  </r>
  <r>
    <x v="4055"/>
    <s v="САДОВЫЙ"/>
    <n v="51600.800000000003"/>
    <n v="51600.800000000003"/>
    <n v="46725.45"/>
  </r>
  <r>
    <x v="4056"/>
    <s v="ЭЛЬМАШ"/>
    <n v="68527.44"/>
    <n v="68527.44"/>
    <n v="62052.82"/>
  </r>
  <r>
    <x v="4057"/>
    <s v="АВТОВОКЗАЛ"/>
    <n v="81132.53"/>
    <n v="81132.53"/>
    <n v="73466.960000000006"/>
  </r>
  <r>
    <x v="4058"/>
    <s v="ГОРНЫЙ ЩИТ"/>
    <n v="50617.09"/>
    <n v="50617.09"/>
    <n v="45834.68"/>
  </r>
  <r>
    <x v="4059"/>
    <s v="ШИРОКАЯ РЕЧКА"/>
    <n v="61207.26"/>
    <n v="61207.26"/>
    <n v="55424.27"/>
  </r>
  <r>
    <x v="4060"/>
    <s v="Нижнеисетский"/>
    <n v="45325.4"/>
    <n v="45325.4"/>
    <n v="41042.959999999999"/>
  </r>
  <r>
    <x v="4061"/>
    <s v="ЕЛИЗАВЕТ"/>
    <n v="59056.67"/>
    <n v="59056.67"/>
    <n v="53476.87"/>
  </r>
  <r>
    <x v="4062"/>
    <s v="ЖБИ"/>
    <n v="67218.09"/>
    <n v="67218.09"/>
    <n v="60867.18"/>
  </r>
  <r>
    <x v="24"/>
    <s v="ВИЗ"/>
    <n v="81668.479999999996"/>
    <n v="81668.479999999996"/>
    <n v="73952.27"/>
  </r>
  <r>
    <x v="244"/>
    <s v="ЧЕРМЕТ"/>
    <n v="60698.45"/>
    <n v="60698.45"/>
    <n v="54963.53"/>
  </r>
  <r>
    <x v="4063"/>
    <s v="УРАЛМАШ"/>
    <n v="67842.240000000005"/>
    <n v="67842.240000000005"/>
    <n v="61432.36"/>
  </r>
  <r>
    <x v="309"/>
    <s v="Новая сортировка"/>
    <n v="62889.75"/>
    <n v="62889.75"/>
    <n v="56947.8"/>
  </r>
  <r>
    <x v="4064"/>
    <s v="РУДНЫЙ"/>
    <n v="45325.4"/>
    <n v="45325.4"/>
    <n v="41042.959999999999"/>
  </r>
  <r>
    <x v="165"/>
    <s v="ГОРНЫЙ ЩИТ"/>
    <n v="50617.09"/>
    <n v="50617.09"/>
    <n v="45834.68"/>
  </r>
  <r>
    <x v="4065"/>
    <s v="ШИРОКАЯ РЕЧКА"/>
    <n v="61207.26"/>
    <n v="61207.26"/>
    <n v="55424.27"/>
  </r>
  <r>
    <x v="4066"/>
    <s v="ЧЕРМЕТ"/>
    <n v="60698.45"/>
    <n v="60698.45"/>
    <n v="54963.53"/>
  </r>
  <r>
    <x v="4067"/>
    <s v="ГОРНЫЙ ЩИТ"/>
    <n v="50617.09"/>
    <n v="50617.09"/>
    <n v="45834.68"/>
  </r>
  <r>
    <x v="4068"/>
    <s v="ГОРНЫЙ ЩИТ"/>
    <n v="50617.09"/>
    <n v="50617.09"/>
    <n v="45834.68"/>
  </r>
  <r>
    <x v="4069"/>
    <s v="УРАЛМАШ"/>
    <n v="67842.240000000005"/>
    <n v="67842.240000000005"/>
    <n v="61432.36"/>
  </r>
  <r>
    <x v="4070"/>
    <s v="УКТУС"/>
    <n v="61655.02"/>
    <n v="61655.02"/>
    <n v="55829.73"/>
  </r>
  <r>
    <x v="4071"/>
    <s v="ПАРКОВЫЙ"/>
    <n v="78853.03"/>
    <n v="78853.03"/>
    <n v="71402.83"/>
  </r>
  <r>
    <x v="4072"/>
    <s v="Старая сортировка"/>
    <n v="57516.65"/>
    <n v="57516.65"/>
    <n v="52082.35"/>
  </r>
  <r>
    <x v="4073"/>
    <s v="ШИРОКАЯ РЕЧКА"/>
    <n v="61207.26"/>
    <n v="61207.26"/>
    <n v="55424.27"/>
  </r>
  <r>
    <x v="4074"/>
    <s v="ИЗОПЛИТ"/>
    <n v="51994.29"/>
    <n v="51994.29"/>
    <n v="47081.760000000002"/>
  </r>
  <r>
    <x v="4075"/>
    <s v="ЭЛЬМАШ"/>
    <n v="68527.44"/>
    <n v="68527.44"/>
    <n v="62052.82"/>
  </r>
  <r>
    <x v="4076"/>
    <s v="ИЗОПЛИТ"/>
    <n v="51994.29"/>
    <n v="51994.29"/>
    <n v="47081.760000000002"/>
  </r>
  <r>
    <x v="4077"/>
    <s v="Сулим.Торфянник"/>
    <n v="45325.4"/>
    <n v="45325.4"/>
    <n v="41042.959999999999"/>
  </r>
  <r>
    <x v="4078"/>
    <s v="ВИЗ"/>
    <n v="81668.479999999996"/>
    <n v="81668.479999999996"/>
    <n v="73952.27"/>
  </r>
  <r>
    <x v="4079"/>
    <s v="УКТУС"/>
    <n v="61655.02"/>
    <n v="61655.02"/>
    <n v="55829.73"/>
  </r>
  <r>
    <x v="606"/>
    <s v="АВТОВОКЗАЛ"/>
    <n v="81132.53"/>
    <n v="81132.53"/>
    <n v="73466.960000000006"/>
  </r>
  <r>
    <x v="4080"/>
    <s v="ШИРОКАЯ РЕЧКА"/>
    <n v="61207.26"/>
    <n v="61207.26"/>
    <n v="55424.27"/>
  </r>
  <r>
    <x v="4081"/>
    <s v="Старая сортировка"/>
    <n v="57516.65"/>
    <n v="57516.65"/>
    <n v="52082.35"/>
  </r>
  <r>
    <x v="4082"/>
    <s v="ЛЕЧЕБНЫЙ"/>
    <n v="55990.2"/>
    <n v="55990.2"/>
    <n v="50700.12"/>
  </r>
  <r>
    <x v="4083"/>
    <s v="Старая сортировка"/>
    <n v="57516.65"/>
    <n v="57516.65"/>
    <n v="52082.35"/>
  </r>
  <r>
    <x v="456"/>
    <s v="УРАЛМАШ"/>
    <n v="67842.240000000005"/>
    <n v="67842.240000000005"/>
    <n v="61432.36"/>
  </r>
  <r>
    <x v="4084"/>
    <s v="ЧЕРМЕТ"/>
    <n v="60698.45"/>
    <n v="60698.45"/>
    <n v="54963.53"/>
  </r>
  <r>
    <x v="4085"/>
    <s v="ГОРНЫЙ ЩИТ"/>
    <n v="50617.09"/>
    <n v="50617.09"/>
    <n v="45834.68"/>
  </r>
  <r>
    <x v="517"/>
    <s v="Ю-З"/>
    <n v="74239.759999999995"/>
    <n v="74239.759999999995"/>
    <n v="67225.429999999993"/>
  </r>
  <r>
    <x v="4086"/>
    <s v="Сулим.Торфянник"/>
    <n v="45325.4"/>
    <n v="45325.4"/>
    <n v="41042.959999999999"/>
  </r>
  <r>
    <x v="4087"/>
    <s v="АВТОВОКЗАЛ"/>
    <n v="81132.53"/>
    <n v="81132.53"/>
    <n v="73466.960000000006"/>
  </r>
  <r>
    <x v="4088"/>
    <s v="Старая сортировка"/>
    <n v="57516.65"/>
    <n v="57516.65"/>
    <n v="52082.35"/>
  </r>
  <r>
    <x v="4089"/>
    <s v="ПИОНЕРСКИЙ"/>
    <n v="75318.45"/>
    <n v="75318.45"/>
    <n v="68202.2"/>
  </r>
  <r>
    <x v="748"/>
    <s v="АВТОВОКЗАЛ"/>
    <n v="81132.53"/>
    <n v="81132.53"/>
    <n v="73466.960000000006"/>
  </r>
  <r>
    <x v="4090"/>
    <s v="ЧЕРМЕТ"/>
    <n v="60698.45"/>
    <n v="60698.45"/>
    <n v="54963.53"/>
  </r>
  <r>
    <x v="4091"/>
    <s v="ПИОНЕРСКИЙ"/>
    <n v="75318.45"/>
    <n v="75318.45"/>
    <n v="68202.2"/>
  </r>
  <r>
    <x v="4092"/>
    <s v="ГОРНЫЙ ЩИТ"/>
    <n v="50617.09"/>
    <n v="50617.09"/>
    <n v="45834.68"/>
  </r>
  <r>
    <x v="460"/>
    <s v="ВИЗ"/>
    <n v="81668.479999999996"/>
    <n v="81668.479999999996"/>
    <n v="73952.27"/>
  </r>
  <r>
    <x v="4093"/>
    <s v="ВИЗ"/>
    <n v="81668.479999999996"/>
    <n v="81668.479999999996"/>
    <n v="73952.27"/>
  </r>
  <r>
    <x v="4094"/>
    <s v="ИЗОПЛИТ"/>
    <n v="51994.29"/>
    <n v="51994.29"/>
    <n v="47081.760000000002"/>
  </r>
  <r>
    <x v="4095"/>
    <s v="УКТУС"/>
    <n v="61655.02"/>
    <n v="61655.02"/>
    <n v="55829.73"/>
  </r>
  <r>
    <x v="4096"/>
    <s v="ШИРОКАЯ РЕЧКА"/>
    <n v="61207.26"/>
    <n v="61207.26"/>
    <n v="55424.27"/>
  </r>
  <r>
    <x v="4097"/>
    <s v="Старая сортировка"/>
    <n v="57516.65"/>
    <n v="57516.65"/>
    <n v="52082.35"/>
  </r>
  <r>
    <x v="4098"/>
    <s v="ЛЕЧЕБНЫЙ"/>
    <n v="55990.2"/>
    <n v="55990.2"/>
    <n v="50700.12"/>
  </r>
  <r>
    <x v="25"/>
    <s v="УРАЛМАШ"/>
    <n v="67842.240000000005"/>
    <n v="67842.240000000005"/>
    <n v="61432.36"/>
  </r>
  <r>
    <x v="4099"/>
    <s v="ШИРОКАЯ РЕЧКА"/>
    <n v="61207.26"/>
    <n v="61207.26"/>
    <n v="55424.27"/>
  </r>
  <r>
    <x v="4100"/>
    <s v="УРАЛМАШ"/>
    <n v="67842.240000000005"/>
    <n v="67842.240000000005"/>
    <n v="61432.36"/>
  </r>
  <r>
    <x v="4101"/>
    <s v="Нижнеисетский"/>
    <n v="45325.4"/>
    <n v="45325.4"/>
    <n v="41042.959999999999"/>
  </r>
  <r>
    <x v="4102"/>
    <s v="ВИЗ"/>
    <n v="81668.479999999996"/>
    <n v="81668.479999999996"/>
    <n v="73952.27"/>
  </r>
  <r>
    <x v="4103"/>
    <s v="ЧЕРМЕТ"/>
    <n v="60698.45"/>
    <n v="60698.45"/>
    <n v="54963.53"/>
  </r>
  <r>
    <x v="4104"/>
    <s v="САДОВЫЙ"/>
    <n v="51600.800000000003"/>
    <n v="51600.800000000003"/>
    <n v="46725.45"/>
  </r>
  <r>
    <x v="4105"/>
    <s v="ГОРНЫЙ ЩИТ"/>
    <n v="50617.09"/>
    <n v="50617.09"/>
    <n v="45834.68"/>
  </r>
  <r>
    <x v="4106"/>
    <s v="ИЗОПЛИТ"/>
    <n v="51994.29"/>
    <n v="51994.29"/>
    <n v="47081.760000000002"/>
  </r>
  <r>
    <x v="4107"/>
    <s v="ХИММАШ"/>
    <n v="60047.16"/>
    <n v="60047.16"/>
    <n v="54373.78"/>
  </r>
  <r>
    <x v="4108"/>
    <s v="Северка"/>
    <n v="49579.11"/>
    <n v="49579.11"/>
    <n v="44894.77"/>
  </r>
  <r>
    <x v="4109"/>
    <s v="Сулим.Торфянник"/>
    <n v="45325.4"/>
    <n v="45325.4"/>
    <n v="41042.959999999999"/>
  </r>
  <r>
    <x v="4110"/>
    <s v="ЭЛЬМАШ"/>
    <n v="68527.44"/>
    <n v="68527.44"/>
    <n v="62052.82"/>
  </r>
  <r>
    <x v="800"/>
    <s v="УКТУС"/>
    <n v="61655.02"/>
    <n v="61655.02"/>
    <n v="55829.73"/>
  </r>
  <r>
    <x v="4111"/>
    <s v="ХИММАШ"/>
    <n v="60047.16"/>
    <n v="60047.16"/>
    <n v="54373.78"/>
  </r>
  <r>
    <x v="4112"/>
    <s v="ЧЕРМЕТ"/>
    <n v="60698.45"/>
    <n v="60698.45"/>
    <n v="54963.53"/>
  </r>
  <r>
    <x v="4113"/>
    <s v="СОВХОЗ"/>
    <n v="57883"/>
    <n v="57883"/>
    <n v="52414.09"/>
  </r>
  <r>
    <x v="4114"/>
    <s v="КОЛЬЦОВО"/>
    <n v="53174.74"/>
    <n v="53174.74"/>
    <n v="48150.68"/>
  </r>
  <r>
    <x v="4115"/>
    <s v="ГОРНЫЙ ЩИТ"/>
    <n v="50617.09"/>
    <n v="50617.09"/>
    <n v="45834.68"/>
  </r>
  <r>
    <x v="4116"/>
    <s v="ЖБИ"/>
    <n v="67218.09"/>
    <n v="67218.09"/>
    <n v="60867.18"/>
  </r>
  <r>
    <x v="159"/>
    <s v="ВОКЗАЛЬНЫЙ"/>
    <n v="76180.05"/>
    <n v="76180.05"/>
    <n v="68982.39"/>
  </r>
  <r>
    <x v="4117"/>
    <s v="МАЛЫЙ ИСТОК"/>
    <n v="58296.83"/>
    <n v="58296.83"/>
    <n v="52788.83"/>
  </r>
  <r>
    <x v="4118"/>
    <s v="УРАЛМАШ"/>
    <n v="67842.240000000005"/>
    <n v="67842.240000000005"/>
    <n v="61432.36"/>
  </r>
  <r>
    <x v="238"/>
    <s v="КОМПРЕССОРНЫЙ"/>
    <n v="54633.35"/>
    <n v="54633.35"/>
    <n v="49471.48"/>
  </r>
  <r>
    <x v="4119"/>
    <s v="ХИММАШ"/>
    <n v="60047.16"/>
    <n v="60047.16"/>
    <n v="54373.78"/>
  </r>
  <r>
    <x v="4120"/>
    <s v="ЧУСОВСКОЕ ОЗЕРО"/>
    <n v="48229.05"/>
    <n v="48229.05"/>
    <n v="43672.26"/>
  </r>
  <r>
    <x v="4121"/>
    <s v="РУДНЫЙ"/>
    <n v="45325.4"/>
    <n v="45325.4"/>
    <n v="41042.959999999999"/>
  </r>
  <r>
    <x v="987"/>
    <s v="ВИЗ"/>
    <n v="81668.479999999996"/>
    <n v="81668.479999999996"/>
    <n v="73952.27"/>
  </r>
  <r>
    <x v="246"/>
    <s v="Центр"/>
    <n v="91057.85"/>
    <n v="91057.85"/>
    <n v="82454.509999999995"/>
  </r>
  <r>
    <x v="115"/>
    <s v="ПИОНЕРСКИЙ"/>
    <n v="75318.45"/>
    <n v="75318.45"/>
    <n v="68202.2"/>
  </r>
  <r>
    <x v="915"/>
    <s v="УКТУС"/>
    <n v="61655.02"/>
    <n v="61655.02"/>
    <n v="55829.73"/>
  </r>
  <r>
    <x v="4122"/>
    <s v="ЧЕРМЕТ"/>
    <n v="60698.45"/>
    <n v="60698.45"/>
    <n v="54963.53"/>
  </r>
  <r>
    <x v="4123"/>
    <s v="ЧЕРМЕТ"/>
    <n v="60698.45"/>
    <n v="60698.45"/>
    <n v="54963.53"/>
  </r>
  <r>
    <x v="4124"/>
    <s v="Старая сортировка"/>
    <n v="57516.65"/>
    <n v="57516.65"/>
    <n v="52082.35"/>
  </r>
  <r>
    <x v="4125"/>
    <s v="УРАЛМАШ"/>
    <n v="67842.240000000005"/>
    <n v="67842.240000000005"/>
    <n v="61432.36"/>
  </r>
  <r>
    <x v="4126"/>
    <s v="УНЦ"/>
    <n v="62774.42"/>
    <n v="62774.42"/>
    <n v="56843.360000000001"/>
  </r>
  <r>
    <x v="4127"/>
    <s v="ВИЗ"/>
    <n v="81668.479999999996"/>
    <n v="81668.479999999996"/>
    <n v="73952.27"/>
  </r>
  <r>
    <x v="685"/>
    <s v="ЧЕРМЕТ"/>
    <n v="60698.45"/>
    <n v="60698.45"/>
    <n v="54963.53"/>
  </r>
  <r>
    <x v="4128"/>
    <s v="ХИММАШ"/>
    <n v="60047.16"/>
    <n v="60047.16"/>
    <n v="54373.78"/>
  </r>
  <r>
    <x v="4129"/>
    <s v="ЖБИ"/>
    <n v="67218.09"/>
    <n v="67218.09"/>
    <n v="60867.18"/>
  </r>
  <r>
    <x v="4130"/>
    <s v="ШИРОКАЯ РЕЧКА"/>
    <n v="61207.26"/>
    <n v="61207.26"/>
    <n v="55424.27"/>
  </r>
  <r>
    <x v="4131"/>
    <s v="ХИММАШ"/>
    <n v="60047.16"/>
    <n v="60047.16"/>
    <n v="54373.78"/>
  </r>
  <r>
    <x v="551"/>
    <s v="ХИММАШ"/>
    <n v="60047.16"/>
    <n v="60047.16"/>
    <n v="54373.78"/>
  </r>
  <r>
    <x v="183"/>
    <s v="ЭЛЬМАШ"/>
    <n v="68527.44"/>
    <n v="68527.44"/>
    <n v="62052.82"/>
  </r>
  <r>
    <x v="4132"/>
    <s v="ИЗОПЛИТ"/>
    <n v="51994.29"/>
    <n v="51994.29"/>
    <n v="47081.760000000002"/>
  </r>
  <r>
    <x v="4133"/>
    <s v="ВИЗ"/>
    <n v="81668.479999999996"/>
    <n v="81668.479999999996"/>
    <n v="73952.27"/>
  </r>
  <r>
    <x v="4134"/>
    <s v="ШУВАКИШ"/>
    <n v="42862.720000000001"/>
    <n v="42862.720000000001"/>
    <n v="38812.959999999999"/>
  </r>
  <r>
    <x v="4135"/>
    <s v="УРАЛМАШ"/>
    <n v="67842.240000000005"/>
    <n v="67842.240000000005"/>
    <n v="61432.36"/>
  </r>
  <r>
    <x v="4136"/>
    <s v="ПОЛЕВОДСТВО"/>
    <n v="53954.93"/>
    <n v="53954.93"/>
    <n v="48857.15"/>
  </r>
  <r>
    <x v="4137"/>
    <s v="ВИЗ"/>
    <n v="81668.479999999996"/>
    <n v="81668.479999999996"/>
    <n v="73952.27"/>
  </r>
  <r>
    <x v="4138"/>
    <s v="ХИММАШ"/>
    <n v="60047.16"/>
    <n v="60047.16"/>
    <n v="54373.78"/>
  </r>
  <r>
    <x v="4139"/>
    <s v="АВТОВОКЗАЛ"/>
    <n v="81132.53"/>
    <n v="81132.53"/>
    <n v="73466.960000000006"/>
  </r>
  <r>
    <x v="4140"/>
    <s v="КАЛИНОВСКИЙ"/>
    <n v="54782.6"/>
    <n v="54782.6"/>
    <n v="49606.63"/>
  </r>
  <r>
    <x v="190"/>
    <s v="ЧЕРМЕТ"/>
    <n v="60698.45"/>
    <n v="60698.45"/>
    <n v="54963.53"/>
  </r>
  <r>
    <x v="666"/>
    <s v="ГОРНЫЙ ЩИТ"/>
    <n v="50617.09"/>
    <n v="50617.09"/>
    <n v="45834.68"/>
  </r>
  <r>
    <x v="4141"/>
    <s v="ШИРОКАЯ РЕЧКА"/>
    <n v="61207.26"/>
    <n v="61207.26"/>
    <n v="55424.27"/>
  </r>
  <r>
    <x v="4142"/>
    <s v="КОЛЬЦОВО"/>
    <n v="53174.74"/>
    <n v="53174.74"/>
    <n v="48150.68"/>
  </r>
  <r>
    <x v="4143"/>
    <s v="ЧЕРМЕТ"/>
    <n v="60698.45"/>
    <n v="60698.45"/>
    <n v="54963.53"/>
  </r>
  <r>
    <x v="4144"/>
    <s v="ХИММАШ"/>
    <n v="60047.16"/>
    <n v="60047.16"/>
    <n v="54373.78"/>
  </r>
  <r>
    <x v="4145"/>
    <s v="СЕВЕРКА"/>
    <n v="49579.11"/>
    <n v="49579.11"/>
    <n v="44894.77"/>
  </r>
  <r>
    <x v="4146"/>
    <s v="АКАДЕМИЧЕСКИЙ"/>
    <n v="59836.85"/>
    <n v="59836.85"/>
    <n v="54183.34"/>
  </r>
  <r>
    <x v="917"/>
    <s v="ЧЕРМЕТ"/>
    <n v="60698.45"/>
    <n v="60698.45"/>
    <n v="54963.53"/>
  </r>
  <r>
    <x v="4147"/>
    <s v="УРАЛМАШ"/>
    <n v="67842.240000000005"/>
    <n v="67842.240000000005"/>
    <n v="61432.36"/>
  </r>
  <r>
    <x v="4148"/>
    <s v="УРАЛМАШ"/>
    <n v="67842.240000000005"/>
    <n v="67842.240000000005"/>
    <n v="61432.36"/>
  </r>
  <r>
    <x v="4149"/>
    <s v="УРАЛМАШ"/>
    <n v="67842.240000000005"/>
    <n v="67842.240000000005"/>
    <n v="61432.36"/>
  </r>
  <r>
    <x v="4150"/>
    <s v="ЖБИ"/>
    <n v="67218.09"/>
    <n v="67218.09"/>
    <n v="60867.18"/>
  </r>
  <r>
    <x v="4151"/>
    <s v="Нижнеисетский"/>
    <n v="45325.4"/>
    <n v="45325.4"/>
    <n v="41042.959999999999"/>
  </r>
  <r>
    <x v="4152"/>
    <s v="АВТОВОКЗАЛ"/>
    <n v="81132.53"/>
    <n v="81132.53"/>
    <n v="73466.960000000006"/>
  </r>
  <r>
    <x v="4153"/>
    <s v="КОМПРЕССОРНЫЙ"/>
    <n v="54633.35"/>
    <n v="54633.35"/>
    <n v="49471.48"/>
  </r>
  <r>
    <x v="4154"/>
    <s v="АВТОВОКЗАЛ"/>
    <n v="81132.53"/>
    <n v="81132.53"/>
    <n v="73466.960000000006"/>
  </r>
  <r>
    <x v="4155"/>
    <s v="ХИММАШ"/>
    <n v="60047.16"/>
    <n v="60047.16"/>
    <n v="54373.78"/>
  </r>
  <r>
    <x v="4156"/>
    <s v="ШАБРОВСКИЙ"/>
    <n v="36417.71"/>
    <n v="36417.71"/>
    <n v="32976.89"/>
  </r>
  <r>
    <x v="4157"/>
    <s v="Ю-З"/>
    <n v="74239.759999999995"/>
    <n v="74239.759999999995"/>
    <n v="67225.429999999993"/>
  </r>
  <r>
    <x v="4158"/>
    <s v="ЕЛИЗАВЕТ"/>
    <n v="59056.67"/>
    <n v="59056.67"/>
    <n v="53476.87"/>
  </r>
  <r>
    <x v="4159"/>
    <s v="Центр"/>
    <n v="91057.85"/>
    <n v="91057.85"/>
    <n v="82454.509999999995"/>
  </r>
  <r>
    <x v="4160"/>
    <s v="ШАБРОВСКИЙ"/>
    <n v="36417.71"/>
    <n v="36417.71"/>
    <n v="32976.89"/>
  </r>
  <r>
    <x v="4161"/>
    <s v="УРАЛМАШ"/>
    <n v="67842.240000000005"/>
    <n v="67842.240000000005"/>
    <n v="61432.36"/>
  </r>
  <r>
    <x v="4162"/>
    <s v="ВИЗ"/>
    <n v="81668.479999999996"/>
    <n v="81668.479999999996"/>
    <n v="73952.27"/>
  </r>
  <r>
    <x v="210"/>
    <s v="КОЛЬЦОВО"/>
    <n v="53174.74"/>
    <n v="53174.74"/>
    <n v="48150.68"/>
  </r>
  <r>
    <x v="985"/>
    <s v="Ю-З"/>
    <n v="74239.759999999995"/>
    <n v="74239.759999999995"/>
    <n v="67225.429999999993"/>
  </r>
  <r>
    <x v="4163"/>
    <s v="МЕДНЫЙ"/>
    <n v="49741.93"/>
    <n v="49741.93"/>
    <n v="45042.2"/>
  </r>
  <r>
    <x v="4164"/>
    <s v="ХИММАШ"/>
    <n v="60047.16"/>
    <n v="60047.16"/>
    <n v="54373.78"/>
  </r>
  <r>
    <x v="4165"/>
    <s v="ШИРОКАЯ РЕЧКА"/>
    <n v="61207.26"/>
    <n v="61207.26"/>
    <n v="55424.27"/>
  </r>
  <r>
    <x v="4166"/>
    <s v="ШАБРОВСКИЙ"/>
    <n v="36417.71"/>
    <n v="36417.71"/>
    <n v="32976.89"/>
  </r>
  <r>
    <x v="4167"/>
    <s v="ГОРНЫЙ ЩИТ"/>
    <n v="50617.09"/>
    <n v="50617.09"/>
    <n v="45834.68"/>
  </r>
  <r>
    <x v="4168"/>
    <s v="ВИЗ"/>
    <n v="81668.479999999996"/>
    <n v="81668.479999999996"/>
    <n v="73952.27"/>
  </r>
  <r>
    <x v="4169"/>
    <s v="ПИОНЕРСКИЙ"/>
    <n v="75318.45"/>
    <n v="75318.45"/>
    <n v="68202.2"/>
  </r>
  <r>
    <x v="4170"/>
    <s v="ГОРНЫЙ ЩИТ"/>
    <n v="50617.09"/>
    <n v="50617.09"/>
    <n v="45834.68"/>
  </r>
  <r>
    <x v="4171"/>
    <s v="КОЛЬЦОВО"/>
    <n v="53174.74"/>
    <n v="53174.74"/>
    <n v="48150.68"/>
  </r>
  <r>
    <x v="4172"/>
    <s v="УРАЛМАШ"/>
    <n v="67842.240000000005"/>
    <n v="67842.240000000005"/>
    <n v="61432.36"/>
  </r>
  <r>
    <x v="4173"/>
    <s v="УРАЛМАШ"/>
    <n v="67842.240000000005"/>
    <n v="67842.240000000005"/>
    <n v="61432.36"/>
  </r>
  <r>
    <x v="712"/>
    <s v="ХИММАШ"/>
    <n v="60047.16"/>
    <n v="60047.16"/>
    <n v="54373.78"/>
  </r>
  <r>
    <x v="4174"/>
    <s v="УНЦ"/>
    <n v="62774.42"/>
    <n v="62774.42"/>
    <n v="56843.360000000001"/>
  </r>
  <r>
    <x v="4175"/>
    <s v="ГОРНЫЙ ЩИТ"/>
    <n v="50617.09"/>
    <n v="50617.09"/>
    <n v="45834.68"/>
  </r>
  <r>
    <x v="4176"/>
    <s v="ЧЕРМЕТ"/>
    <n v="60698.45"/>
    <n v="60698.45"/>
    <n v="54963.53"/>
  </r>
  <r>
    <x v="4177"/>
    <s v="ЖБИ"/>
    <n v="67218.09"/>
    <n v="67218.09"/>
    <n v="60867.18"/>
  </r>
  <r>
    <x v="4178"/>
    <s v="ХИММАШ"/>
    <n v="60047.16"/>
    <n v="60047.16"/>
    <n v="54373.78"/>
  </r>
  <r>
    <x v="4179"/>
    <s v="ЖБИ"/>
    <n v="67218.09"/>
    <n v="67218.09"/>
    <n v="60867.18"/>
  </r>
  <r>
    <x v="4180"/>
    <s v="МАЛЫЙ ИСТОК"/>
    <n v="58296.83"/>
    <n v="58296.83"/>
    <n v="52788.83"/>
  </r>
  <r>
    <x v="83"/>
    <s v="ХИММАШ"/>
    <n v="60047.16"/>
    <n v="60047.16"/>
    <n v="54373.78"/>
  </r>
  <r>
    <x v="4181"/>
    <s v="Нижнеисетский"/>
    <n v="45325.4"/>
    <n v="45325.4"/>
    <n v="41042.959999999999"/>
  </r>
  <r>
    <x v="4182"/>
    <s v="САДОВЫЙ"/>
    <n v="51600.800000000003"/>
    <n v="51600.800000000003"/>
    <n v="46725.45"/>
  </r>
  <r>
    <x v="4183"/>
    <s v="ПТИЦЕФАБРИКА"/>
    <n v="55074.33"/>
    <n v="55074.33"/>
    <n v="49870.79"/>
  </r>
  <r>
    <x v="4184"/>
    <s v="ШИРОКАЯ РЕЧКА"/>
    <n v="61207.26"/>
    <n v="61207.26"/>
    <n v="55424.27"/>
  </r>
  <r>
    <x v="4185"/>
    <s v="МАЛЫЙ ИСТОК"/>
    <n v="58296.83"/>
    <n v="58296.83"/>
    <n v="52788.83"/>
  </r>
  <r>
    <x v="4186"/>
    <s v="ЭЛЬМАШ"/>
    <n v="68527.44"/>
    <n v="68527.44"/>
    <n v="62052.82"/>
  </r>
  <r>
    <x v="4187"/>
    <s v="Нижнеисетский"/>
    <n v="45325.4"/>
    <n v="45325.4"/>
    <n v="41042.959999999999"/>
  </r>
  <r>
    <x v="4188"/>
    <s v="ЕЛИЗАВЕТ"/>
    <n v="59056.67"/>
    <n v="59056.67"/>
    <n v="53476.87"/>
  </r>
  <r>
    <x v="4189"/>
    <s v="Старая сортировка"/>
    <n v="57516.65"/>
    <n v="57516.65"/>
    <n v="52082.35"/>
  </r>
  <r>
    <x v="4190"/>
    <s v="ХИММАШ"/>
    <n v="60047.16"/>
    <n v="60047.16"/>
    <n v="54373.78"/>
  </r>
  <r>
    <x v="4191"/>
    <s v="Северка"/>
    <n v="49579.11"/>
    <n v="49579.11"/>
    <n v="44894.77"/>
  </r>
  <r>
    <x v="4192"/>
    <s v="ПОЛЕВОДСТВО"/>
    <n v="53954.93"/>
    <n v="53954.93"/>
    <n v="48857.15"/>
  </r>
  <r>
    <x v="4193"/>
    <s v="ХИММАШ"/>
    <n v="60047.16"/>
    <n v="60047.16"/>
    <n v="54373.78"/>
  </r>
  <r>
    <x v="4194"/>
    <s v="ШАБРОВСКИЙ"/>
    <n v="36417.71"/>
    <n v="36417.71"/>
    <n v="32976.89"/>
  </r>
  <r>
    <x v="4195"/>
    <s v="ИСТОК"/>
    <n v="51831.47"/>
    <n v="51831.47"/>
    <n v="46934.32"/>
  </r>
  <r>
    <x v="4196"/>
    <s v="Нижнеисетский"/>
    <n v="45325.4"/>
    <n v="45325.4"/>
    <n v="41042.959999999999"/>
  </r>
  <r>
    <x v="4197"/>
    <s v="ПИОНЕРСКИЙ"/>
    <n v="75318.45"/>
    <n v="75318.45"/>
    <n v="68202.2"/>
  </r>
  <r>
    <x v="4198"/>
    <s v="Нижнеисетский"/>
    <n v="45325.4"/>
    <n v="45325.4"/>
    <n v="41042.959999999999"/>
  </r>
  <r>
    <x v="4199"/>
    <s v="УРАЛМАШ"/>
    <n v="67842.240000000005"/>
    <n v="67842.240000000005"/>
    <n v="61432.36"/>
  </r>
  <r>
    <x v="252"/>
    <s v="ГОРНЫЙ ЩИТ"/>
    <n v="50617.09"/>
    <n v="50617.09"/>
    <n v="45834.68"/>
  </r>
  <r>
    <x v="4200"/>
    <s v="ШАРТАШ"/>
    <n v="66003.710000000006"/>
    <n v="66003.710000000006"/>
    <n v="59767.54"/>
  </r>
  <r>
    <x v="4201"/>
    <s v="УРАЛМАШ"/>
    <n v="67842.240000000005"/>
    <n v="67842.240000000005"/>
    <n v="61432.36"/>
  </r>
  <r>
    <x v="4202"/>
    <s v="ГОРНЫЙ ЩИТ"/>
    <n v="50617.09"/>
    <n v="50617.09"/>
    <n v="45834.68"/>
  </r>
  <r>
    <x v="4203"/>
    <s v="ХИММАШ"/>
    <n v="60047.16"/>
    <n v="60047.16"/>
    <n v="54373.78"/>
  </r>
  <r>
    <x v="4204"/>
    <s v="СЕВЕРКА"/>
    <n v="49579.11"/>
    <n v="49579.11"/>
    <n v="44894.77"/>
  </r>
  <r>
    <x v="4205"/>
    <s v="ХИММАШ"/>
    <n v="60047.16"/>
    <n v="60047.16"/>
    <n v="54373.78"/>
  </r>
  <r>
    <x v="8"/>
    <s v="ЧЕРМЕТ"/>
    <n v="60698.45"/>
    <n v="60698.45"/>
    <n v="54963.53"/>
  </r>
  <r>
    <x v="4206"/>
    <s v="ШИРОКАЯ РЕЧКА"/>
    <n v="61207.26"/>
    <n v="61207.26"/>
    <n v="55424.27"/>
  </r>
  <r>
    <x v="4207"/>
    <s v="Нижнеисетский"/>
    <n v="45325.4"/>
    <n v="45325.4"/>
    <n v="41042.959999999999"/>
  </r>
  <r>
    <x v="4208"/>
    <s v="РУДНЫЙ"/>
    <n v="45325.4"/>
    <n v="45325.4"/>
    <n v="41042.959999999999"/>
  </r>
  <r>
    <x v="4209"/>
    <s v="САДОВЫЙ"/>
    <n v="51600.800000000003"/>
    <n v="51600.800000000003"/>
    <n v="46725.45"/>
  </r>
  <r>
    <x v="654"/>
    <s v="КОЛЬЦОВО"/>
    <n v="53174.74"/>
    <n v="53174.74"/>
    <n v="48150.68"/>
  </r>
  <r>
    <x v="4210"/>
    <s v="УРАЛМАШ"/>
    <n v="67842.240000000005"/>
    <n v="67842.240000000005"/>
    <n v="61432.36"/>
  </r>
  <r>
    <x v="4211"/>
    <s v="ХИММАШ"/>
    <n v="60047.16"/>
    <n v="60047.16"/>
    <n v="54373.78"/>
  </r>
  <r>
    <x v="4212"/>
    <s v="СОВХОЗ"/>
    <n v="57883"/>
    <n v="57883"/>
    <n v="52414.09"/>
  </r>
  <r>
    <x v="489"/>
    <s v="СОВХОЗ"/>
    <n v="57883"/>
    <n v="57883"/>
    <n v="52414.09"/>
  </r>
  <r>
    <x v="4213"/>
    <s v="Старая сортировка"/>
    <n v="57516.65"/>
    <n v="57516.65"/>
    <n v="52082.35"/>
  </r>
  <r>
    <x v="944"/>
    <s v="МАЛЫЙ ИСТОК"/>
    <n v="58296.83"/>
    <n v="58296.83"/>
    <n v="52788.83"/>
  </r>
  <r>
    <x v="4214"/>
    <s v="ГОРНЫЙ ЩИТ"/>
    <n v="50617.09"/>
    <n v="50617.09"/>
    <n v="45834.68"/>
  </r>
  <r>
    <x v="4215"/>
    <s v="УРАЛМАШ"/>
    <n v="67842.240000000005"/>
    <n v="67842.240000000005"/>
    <n v="61432.36"/>
  </r>
  <r>
    <x v="4216"/>
    <s v="Старая сортировка"/>
    <n v="57516.65"/>
    <n v="57516.65"/>
    <n v="52082.35"/>
  </r>
  <r>
    <x v="4217"/>
    <s v="САДОВЫЙ"/>
    <n v="51600.800000000003"/>
    <n v="51600.800000000003"/>
    <n v="46725.45"/>
  </r>
  <r>
    <x v="4218"/>
    <s v="ШАБРОВСКИЙ"/>
    <n v="36417.71"/>
    <n v="36417.71"/>
    <n v="32976.89"/>
  </r>
  <r>
    <x v="4219"/>
    <s v="ГОРНЫЙ ЩИТ"/>
    <n v="50617.09"/>
    <n v="50617.09"/>
    <n v="45834.68"/>
  </r>
  <r>
    <x v="4220"/>
    <s v="ХИММАШ"/>
    <n v="60047.16"/>
    <n v="60047.16"/>
    <n v="54373.78"/>
  </r>
  <r>
    <x v="4221"/>
    <s v="ГОРНЫЙ ЩИТ"/>
    <n v="50617.09"/>
    <n v="50617.09"/>
    <n v="45834.68"/>
  </r>
  <r>
    <x v="4222"/>
    <s v="ЭЛЬМАШ"/>
    <n v="68527.44"/>
    <n v="68527.44"/>
    <n v="62052.82"/>
  </r>
  <r>
    <x v="4223"/>
    <s v="СЕВЕРКА"/>
    <n v="49579.11"/>
    <n v="49579.11"/>
    <n v="44894.77"/>
  </r>
  <r>
    <x v="4224"/>
    <s v="ГОРНЫЙ ЩИТ"/>
    <n v="50617.09"/>
    <n v="50617.09"/>
    <n v="45834.68"/>
  </r>
  <r>
    <x v="4225"/>
    <s v="МЕДНЫЙ"/>
    <n v="49741.93"/>
    <n v="49741.93"/>
    <n v="45042.2"/>
  </r>
  <r>
    <x v="1020"/>
    <s v="Чусовское озеро"/>
    <n v="48229.05"/>
    <n v="48229.05"/>
    <n v="43672.26"/>
  </r>
  <r>
    <x v="4226"/>
    <s v="ВИЗ"/>
    <n v="81668.479999999996"/>
    <n v="81668.479999999996"/>
    <n v="73952.27"/>
  </r>
  <r>
    <x v="4227"/>
    <s v="УРАЛМАШ"/>
    <n v="67842.240000000005"/>
    <n v="67842.240000000005"/>
    <n v="61432.36"/>
  </r>
  <r>
    <x v="4228"/>
    <s v="ЧЕРМЕТ"/>
    <n v="60698.45"/>
    <n v="60698.45"/>
    <n v="54963.53"/>
  </r>
  <r>
    <x v="1019"/>
    <s v="УРАЛМАШ"/>
    <n v="67842.240000000005"/>
    <n v="67842.240000000005"/>
    <n v="61432.36"/>
  </r>
  <r>
    <x v="4229"/>
    <s v="ХИММАШ"/>
    <n v="60047.16"/>
    <n v="60047.16"/>
    <n v="54373.78"/>
  </r>
  <r>
    <x v="4230"/>
    <s v="ВТУЗГОРОДОК"/>
    <n v="74667.16"/>
    <n v="74667.16"/>
    <n v="67612.45"/>
  </r>
  <r>
    <x v="523"/>
    <s v="АВТОВОКЗАЛ"/>
    <n v="81132.53"/>
    <n v="81132.53"/>
    <n v="73466.960000000006"/>
  </r>
  <r>
    <x v="4231"/>
    <s v="ШИРОКАЯ РЕЧКА"/>
    <n v="61207.26"/>
    <n v="61207.26"/>
    <n v="55424.27"/>
  </r>
  <r>
    <x v="953"/>
    <s v="КОЛЬЦОВО"/>
    <n v="53174.74"/>
    <n v="53174.74"/>
    <n v="48150.68"/>
  </r>
  <r>
    <x v="4232"/>
    <s v="РУДНЫЙ"/>
    <n v="45325.4"/>
    <n v="45325.4"/>
    <n v="41042.959999999999"/>
  </r>
  <r>
    <x v="1005"/>
    <s v="ИЗОПЛИТ"/>
    <n v="51994.29"/>
    <n v="51994.29"/>
    <n v="47081.760000000002"/>
  </r>
  <r>
    <x v="4233"/>
    <s v="МЕДНЫЙ"/>
    <n v="49741.93"/>
    <n v="49741.93"/>
    <n v="45042.2"/>
  </r>
  <r>
    <x v="4234"/>
    <s v="ШАРТАШ"/>
    <n v="66003.710000000006"/>
    <n v="66003.710000000006"/>
    <n v="59767.54"/>
  </r>
  <r>
    <x v="4235"/>
    <s v="ЭЛЬМАШ"/>
    <n v="68527.44"/>
    <n v="68527.44"/>
    <n v="62052.82"/>
  </r>
  <r>
    <x v="276"/>
    <s v="Центр"/>
    <n v="91057.85"/>
    <n v="91057.85"/>
    <n v="82454.509999999995"/>
  </r>
  <r>
    <x v="4236"/>
    <s v="ЭЛЬМАШ"/>
    <n v="68527.44"/>
    <n v="68527.44"/>
    <n v="62052.82"/>
  </r>
  <r>
    <x v="4237"/>
    <s v="УРАЛМАШ"/>
    <n v="67842.240000000005"/>
    <n v="67842.240000000005"/>
    <n v="61432.36"/>
  </r>
  <r>
    <x v="4238"/>
    <s v="АВТОВОКЗАЛ"/>
    <n v="81132.53"/>
    <n v="81132.53"/>
    <n v="73466.960000000006"/>
  </r>
  <r>
    <x v="4239"/>
    <s v="ШИРОКАЯ РЕЧКА"/>
    <n v="61207.26"/>
    <n v="61207.26"/>
    <n v="55424.27"/>
  </r>
  <r>
    <x v="4240"/>
    <s v="СЕВЕРКА"/>
    <n v="49579.11"/>
    <n v="49579.11"/>
    <n v="44894.77"/>
  </r>
  <r>
    <x v="4241"/>
    <s v="ПТИЦЕФАБРИКА"/>
    <n v="55074.33"/>
    <n v="55074.33"/>
    <n v="49870.79"/>
  </r>
  <r>
    <x v="4242"/>
    <s v="УРАЛМАШ"/>
    <n v="67842.240000000005"/>
    <n v="67842.240000000005"/>
    <n v="61432.36"/>
  </r>
  <r>
    <x v="4243"/>
    <s v="УКТУС"/>
    <n v="61655.02"/>
    <n v="61655.02"/>
    <n v="55829.73"/>
  </r>
  <r>
    <x v="4244"/>
    <s v="ПОЛЕВОДСТВО"/>
    <n v="53954.93"/>
    <n v="53954.93"/>
    <n v="48857.15"/>
  </r>
  <r>
    <x v="4245"/>
    <s v="ВИЗ"/>
    <n v="81668.479999999996"/>
    <n v="81668.479999999996"/>
    <n v="73952.27"/>
  </r>
  <r>
    <x v="4246"/>
    <s v="ХИММАШ"/>
    <n v="60047.16"/>
    <n v="60047.16"/>
    <n v="54373.78"/>
  </r>
  <r>
    <x v="4247"/>
    <s v="МЕДНЫЙ"/>
    <n v="49741.93"/>
    <n v="49741.93"/>
    <n v="45042.2"/>
  </r>
  <r>
    <x v="4248"/>
    <s v="СЕВЕРКА"/>
    <n v="49579.11"/>
    <n v="49579.11"/>
    <n v="44894.77"/>
  </r>
  <r>
    <x v="4249"/>
    <s v="ВИЗ"/>
    <n v="81668.479999999996"/>
    <n v="81668.479999999996"/>
    <n v="73952.27"/>
  </r>
  <r>
    <x v="4250"/>
    <s v="АВТОВОКЗАЛ"/>
    <n v="81132.53"/>
    <n v="81132.53"/>
    <n v="73466.960000000006"/>
  </r>
  <r>
    <x v="4251"/>
    <s v="ГОРНЫЙ ЩИТ"/>
    <n v="50617.09"/>
    <n v="50617.09"/>
    <n v="45834.68"/>
  </r>
  <r>
    <x v="4252"/>
    <s v="ЭЛЬМАШ"/>
    <n v="68527.44"/>
    <n v="68527.44"/>
    <n v="62052.82"/>
  </r>
  <r>
    <x v="4253"/>
    <s v="ШАРТАШ"/>
    <n v="66003.710000000006"/>
    <n v="66003.710000000006"/>
    <n v="59767.54"/>
  </r>
  <r>
    <x v="842"/>
    <s v="АВТОВОКЗАЛ"/>
    <n v="81132.53"/>
    <n v="81132.53"/>
    <n v="73466.960000000006"/>
  </r>
  <r>
    <x v="4254"/>
    <s v="ВИЗ"/>
    <n v="81668.479999999996"/>
    <n v="81668.479999999996"/>
    <n v="73952.27"/>
  </r>
  <r>
    <x v="882"/>
    <s v="ИСТОК"/>
    <n v="51831.47"/>
    <n v="51831.47"/>
    <n v="46934.32"/>
  </r>
  <r>
    <x v="4255"/>
    <s v="ЛЕЧЕБНЫЙ"/>
    <n v="55990.2"/>
    <n v="55990.2"/>
    <n v="50700.12"/>
  </r>
  <r>
    <x v="4256"/>
    <s v="ЭЛЬМАШ"/>
    <n v="68527.44"/>
    <n v="68527.44"/>
    <n v="62052.82"/>
  </r>
  <r>
    <x v="4257"/>
    <s v="Исток"/>
    <n v="51831.47"/>
    <n v="51831.47"/>
    <n v="46934.32"/>
  </r>
  <r>
    <x v="4258"/>
    <s v="ПИОНЕРСКИЙ"/>
    <n v="75318.45"/>
    <n v="75318.45"/>
    <n v="68202.2"/>
  </r>
  <r>
    <x v="429"/>
    <s v="ХИММАШ"/>
    <n v="60047.16"/>
    <n v="60047.16"/>
    <n v="54373.78"/>
  </r>
  <r>
    <x v="383"/>
    <s v="ИСТОК"/>
    <n v="51831.47"/>
    <n v="51831.47"/>
    <n v="46934.32"/>
  </r>
  <r>
    <x v="4259"/>
    <s v="ЭЛЬМАШ"/>
    <n v="68527.44"/>
    <n v="68527.44"/>
    <n v="62052.82"/>
  </r>
  <r>
    <x v="4260"/>
    <s v="Нижнеисетский"/>
    <n v="45325.4"/>
    <n v="45325.4"/>
    <n v="41042.959999999999"/>
  </r>
  <r>
    <x v="4261"/>
    <s v="ЧЕРМЕТ"/>
    <n v="60698.45"/>
    <n v="60698.45"/>
    <n v="54963.53"/>
  </r>
  <r>
    <x v="4262"/>
    <s v="ВИЗ"/>
    <n v="81668.479999999996"/>
    <n v="81668.479999999996"/>
    <n v="73952.27"/>
  </r>
  <r>
    <x v="4263"/>
    <s v="ЕЛИЗАВЕТ"/>
    <n v="59056.67"/>
    <n v="59056.67"/>
    <n v="53476.87"/>
  </r>
  <r>
    <x v="4264"/>
    <s v="ИСТОК"/>
    <n v="51831.47"/>
    <n v="51831.47"/>
    <n v="46934.32"/>
  </r>
  <r>
    <x v="4265"/>
    <s v="ШАРТАШ"/>
    <n v="66003.710000000006"/>
    <n v="66003.710000000006"/>
    <n v="59767.54"/>
  </r>
  <r>
    <x v="4266"/>
    <s v="СЕВЕРКА"/>
    <n v="49579.11"/>
    <n v="49579.11"/>
    <n v="44894.77"/>
  </r>
  <r>
    <x v="4267"/>
    <s v="ШАБРОВСКИЙ"/>
    <n v="36417.71"/>
    <n v="36417.71"/>
    <n v="32976.89"/>
  </r>
  <r>
    <x v="4268"/>
    <s v="АВТОВОКЗАЛ"/>
    <n v="81132.53"/>
    <n v="81132.53"/>
    <n v="73466.960000000006"/>
  </r>
  <r>
    <x v="4269"/>
    <s v="ХИММАШ"/>
    <n v="60047.16"/>
    <n v="60047.16"/>
    <n v="54373.78"/>
  </r>
  <r>
    <x v="835"/>
    <s v="КОЛЬЦОВО"/>
    <n v="53174.74"/>
    <n v="53174.74"/>
    <n v="48150.68"/>
  </r>
  <r>
    <x v="4270"/>
    <s v="КАЛИНОВСКИЙ"/>
    <n v="54782.6"/>
    <n v="54782.6"/>
    <n v="49606.63"/>
  </r>
  <r>
    <x v="4271"/>
    <s v="ГОРНЫЙ ЩИТ"/>
    <n v="50617.09"/>
    <n v="50617.09"/>
    <n v="45834.68"/>
  </r>
  <r>
    <x v="4272"/>
    <s v="ЛЕЧЕБНЫЙ"/>
    <n v="55990.2"/>
    <n v="55990.2"/>
    <n v="50700.12"/>
  </r>
  <r>
    <x v="4273"/>
    <s v="ВИЗ"/>
    <n v="81668.479999999996"/>
    <n v="81668.479999999996"/>
    <n v="73952.27"/>
  </r>
  <r>
    <x v="4274"/>
    <s v="КОЛЬЦОВО"/>
    <n v="53174.74"/>
    <n v="53174.74"/>
    <n v="48150.68"/>
  </r>
  <r>
    <x v="4275"/>
    <s v="САДОВЫЙ"/>
    <n v="51600.800000000003"/>
    <n v="51600.800000000003"/>
    <n v="46725.45"/>
  </r>
  <r>
    <x v="4276"/>
    <s v="ПИОНЕРСКИЙ"/>
    <n v="75318.45"/>
    <n v="75318.45"/>
    <n v="68202.2"/>
  </r>
  <r>
    <x v="4277"/>
    <s v="ШИРОКАЯ РЕЧКА"/>
    <n v="61207.26"/>
    <n v="61207.26"/>
    <n v="55424.27"/>
  </r>
  <r>
    <x v="4278"/>
    <s v="ГОРНЫЙ ЩИТ"/>
    <n v="50617.09"/>
    <n v="50617.09"/>
    <n v="45834.68"/>
  </r>
  <r>
    <x v="4279"/>
    <s v="ВИЗ"/>
    <n v="81668.479999999996"/>
    <n v="81668.479999999996"/>
    <n v="73952.27"/>
  </r>
  <r>
    <x v="4280"/>
    <s v="ГОРНЫЙ ЩИТ"/>
    <n v="50617.09"/>
    <n v="50617.09"/>
    <n v="45834.68"/>
  </r>
  <r>
    <x v="4281"/>
    <s v="ПИОНЕРСКИЙ"/>
    <n v="75318.45"/>
    <n v="75318.45"/>
    <n v="68202.2"/>
  </r>
  <r>
    <x v="4282"/>
    <s v="Старая сортировка"/>
    <n v="57516.65"/>
    <n v="57516.65"/>
    <n v="52082.35"/>
  </r>
  <r>
    <x v="4283"/>
    <s v="АВТОВОКЗАЛ"/>
    <n v="81132.53"/>
    <n v="81132.53"/>
    <n v="73466.960000000006"/>
  </r>
  <r>
    <x v="4284"/>
    <s v="МЕДНЫЙ"/>
    <n v="49741.93"/>
    <n v="49741.93"/>
    <n v="45042.2"/>
  </r>
  <r>
    <x v="4285"/>
    <s v="ЧЕРМЕТ"/>
    <n v="60698.45"/>
    <n v="60698.45"/>
    <n v="54963.53"/>
  </r>
  <r>
    <x v="4286"/>
    <s v="ГОРНЫЙ ЩИТ"/>
    <n v="50617.09"/>
    <n v="50617.09"/>
    <n v="45834.68"/>
  </r>
  <r>
    <x v="243"/>
    <s v="ШАБРОВСКИЙ"/>
    <n v="36417.71"/>
    <n v="36417.71"/>
    <n v="32976.89"/>
  </r>
  <r>
    <x v="4287"/>
    <s v="Исток"/>
    <n v="51831.47"/>
    <n v="51831.47"/>
    <n v="46934.32"/>
  </r>
  <r>
    <x v="4288"/>
    <s v="УКТУС"/>
    <n v="61655.02"/>
    <n v="61655.02"/>
    <n v="55829.73"/>
  </r>
  <r>
    <x v="4289"/>
    <s v="ШИРОКАЯ РЕЧКА"/>
    <n v="61207.26"/>
    <n v="61207.26"/>
    <n v="55424.27"/>
  </r>
  <r>
    <x v="4290"/>
    <s v="ЧЕРМЕТ"/>
    <n v="60698.45"/>
    <n v="60698.45"/>
    <n v="54963.53"/>
  </r>
  <r>
    <x v="4291"/>
    <s v="ШИРОКАЯ РЕЧКА"/>
    <n v="61207.26"/>
    <n v="61207.26"/>
    <n v="55424.27"/>
  </r>
  <r>
    <x v="4292"/>
    <s v="ШАРТАШ"/>
    <n v="66003.710000000006"/>
    <n v="66003.710000000006"/>
    <n v="59767.54"/>
  </r>
  <r>
    <x v="759"/>
    <s v="КОЛЬЦОВО"/>
    <n v="53174.74"/>
    <n v="53174.74"/>
    <n v="48150.68"/>
  </r>
  <r>
    <x v="4293"/>
    <s v="ГОРНЫЙ ЩИТ"/>
    <n v="50617.09"/>
    <n v="50617.09"/>
    <n v="45834.68"/>
  </r>
  <r>
    <x v="4294"/>
    <s v="Старая сортировка"/>
    <n v="57516.65"/>
    <n v="57516.65"/>
    <n v="52082.35"/>
  </r>
  <r>
    <x v="4295"/>
    <s v="СОВХОЗ"/>
    <n v="57883"/>
    <n v="57883"/>
    <n v="52414.09"/>
  </r>
  <r>
    <x v="4296"/>
    <s v="РУДНЫЙ"/>
    <n v="45325.4"/>
    <n v="45325.4"/>
    <n v="41042.959999999999"/>
  </r>
  <r>
    <x v="4297"/>
    <s v="УРАЛМАШ"/>
    <n v="67842.240000000005"/>
    <n v="67842.240000000005"/>
    <n v="61432.36"/>
  </r>
  <r>
    <x v="1092"/>
    <s v="ПОЛЕВОДСТВО"/>
    <n v="53954.93"/>
    <n v="53954.93"/>
    <n v="48857.15"/>
  </r>
  <r>
    <x v="4298"/>
    <s v="Северка"/>
    <n v="49579.11"/>
    <n v="49579.11"/>
    <n v="44894.77"/>
  </r>
  <r>
    <x v="4299"/>
    <s v="ЕЛИЗАВЕТ"/>
    <n v="59056.67"/>
    <n v="59056.67"/>
    <n v="53476.87"/>
  </r>
  <r>
    <x v="4300"/>
    <s v="Сулим.Торфянник"/>
    <n v="45325.4"/>
    <n v="45325.4"/>
    <n v="41042.959999999999"/>
  </r>
  <r>
    <x v="4301"/>
    <s v="ЧУСОВСКОЕ ОЗЕРО"/>
    <n v="48229.05"/>
    <n v="48229.05"/>
    <n v="43672.26"/>
  </r>
  <r>
    <x v="4302"/>
    <s v="МАЛЫЙ ИСТОК"/>
    <n v="58296.83"/>
    <n v="58296.83"/>
    <n v="52788.83"/>
  </r>
  <r>
    <x v="4303"/>
    <s v="Чусовское озеро"/>
    <n v="48229.05"/>
    <n v="48229.05"/>
    <n v="43672.26"/>
  </r>
  <r>
    <x v="4304"/>
    <s v="ПТИЦЕФАБРИКА"/>
    <n v="55074.33"/>
    <n v="55074.33"/>
    <n v="49870.79"/>
  </r>
  <r>
    <x v="576"/>
    <s v="ГОРНЫЙ ЩИТ"/>
    <n v="50617.09"/>
    <n v="50617.09"/>
    <n v="45834.68"/>
  </r>
  <r>
    <x v="4305"/>
    <s v="МЕДНЫЙ"/>
    <n v="49741.93"/>
    <n v="49741.93"/>
    <n v="45042.2"/>
  </r>
  <r>
    <x v="4306"/>
    <s v="Нижнеисетский"/>
    <n v="45325.4"/>
    <n v="45325.4"/>
    <n v="41042.959999999999"/>
  </r>
  <r>
    <x v="4307"/>
    <s v="ШИРОКАЯ РЕЧКА"/>
    <n v="61207.26"/>
    <n v="61207.26"/>
    <n v="55424.27"/>
  </r>
  <r>
    <x v="4308"/>
    <s v="СЕВЕРКА"/>
    <n v="49579.11"/>
    <n v="49579.11"/>
    <n v="44894.77"/>
  </r>
  <r>
    <x v="4309"/>
    <s v="ШАРТАШ"/>
    <n v="66003.710000000006"/>
    <n v="66003.710000000006"/>
    <n v="59767.54"/>
  </r>
  <r>
    <x v="4310"/>
    <s v="ПОЛЕВОДСТВО"/>
    <n v="53954.93"/>
    <n v="53954.93"/>
    <n v="48857.15"/>
  </r>
  <r>
    <x v="4311"/>
    <s v="ВИЗ"/>
    <n v="81668.479999999996"/>
    <n v="81668.479999999996"/>
    <n v="73952.27"/>
  </r>
  <r>
    <x v="4312"/>
    <s v="МАЛЫЙ ИСТОК"/>
    <n v="58296.83"/>
    <n v="58296.83"/>
    <n v="52788.83"/>
  </r>
  <r>
    <x v="795"/>
    <s v="ХИММАШ"/>
    <n v="60047.16"/>
    <n v="60047.16"/>
    <n v="54373.78"/>
  </r>
  <r>
    <x v="4313"/>
    <s v="ШАБРОВСКИЙ"/>
    <n v="36417.71"/>
    <n v="36417.71"/>
    <n v="32976.89"/>
  </r>
  <r>
    <x v="4314"/>
    <s v="Нижнеисетский"/>
    <n v="45325.4"/>
    <n v="45325.4"/>
    <n v="41042.959999999999"/>
  </r>
  <r>
    <x v="4315"/>
    <s v="Нижнеисетский"/>
    <n v="45325.4"/>
    <n v="45325.4"/>
    <n v="41042.959999999999"/>
  </r>
  <r>
    <x v="4316"/>
    <s v="УКТУС"/>
    <n v="61655.02"/>
    <n v="61655.02"/>
    <n v="55829.73"/>
  </r>
  <r>
    <x v="914"/>
    <s v="ГОРНЫЙ ЩИТ"/>
    <n v="50617.09"/>
    <n v="50617.09"/>
    <n v="45834.68"/>
  </r>
  <r>
    <x v="4317"/>
    <s v="ЧУСОВСКОЕ ОЗЕРО"/>
    <n v="48229.05"/>
    <n v="48229.05"/>
    <n v="43672.26"/>
  </r>
  <r>
    <x v="4318"/>
    <s v="ВИЗ"/>
    <n v="81668.479999999996"/>
    <n v="81668.479999999996"/>
    <n v="73952.27"/>
  </r>
  <r>
    <x v="4319"/>
    <s v="ПОЛЕВОДСТВО"/>
    <n v="53954.93"/>
    <n v="53954.93"/>
    <n v="48857.15"/>
  </r>
  <r>
    <x v="4320"/>
    <s v="МЕДНЫЙ"/>
    <n v="49741.93"/>
    <n v="49741.93"/>
    <n v="45042.2"/>
  </r>
  <r>
    <x v="4321"/>
    <s v="ХИММАШ"/>
    <n v="60047.16"/>
    <n v="60047.16"/>
    <n v="54373.78"/>
  </r>
  <r>
    <x v="4322"/>
    <s v="ЭЛЬМАШ"/>
    <n v="68527.44"/>
    <n v="68527.44"/>
    <n v="62052.82"/>
  </r>
  <r>
    <x v="272"/>
    <s v="ХИММАШ"/>
    <n v="60047.16"/>
    <n v="60047.16"/>
    <n v="54373.78"/>
  </r>
  <r>
    <x v="4323"/>
    <s v="ШАБРОВСКИЙ"/>
    <n v="36417.71"/>
    <n v="36417.71"/>
    <n v="32976.89"/>
  </r>
  <r>
    <x v="4324"/>
    <s v="ШИРОКАЯ РЕЧКА"/>
    <n v="61207.26"/>
    <n v="61207.26"/>
    <n v="55424.27"/>
  </r>
  <r>
    <x v="4325"/>
    <s v="ЕЛИЗАВЕТ"/>
    <n v="59056.67"/>
    <n v="59056.67"/>
    <n v="53476.87"/>
  </r>
  <r>
    <x v="4326"/>
    <s v="ШИРОКАЯ РЕЧКА"/>
    <n v="61207.26"/>
    <n v="61207.26"/>
    <n v="55424.27"/>
  </r>
  <r>
    <x v="4327"/>
    <s v="ХИММАШ"/>
    <n v="60047.16"/>
    <n v="60047.16"/>
    <n v="54373.78"/>
  </r>
  <r>
    <x v="4328"/>
    <s v="ПОЛЕВОДСТВО"/>
    <n v="53954.93"/>
    <n v="53954.93"/>
    <n v="48857.15"/>
  </r>
  <r>
    <x v="681"/>
    <s v="ГОРНЫЙ ЩИТ"/>
    <n v="50617.09"/>
    <n v="50617.09"/>
    <n v="45834.68"/>
  </r>
  <r>
    <x v="4329"/>
    <s v="УКТУС"/>
    <n v="61655.02"/>
    <n v="61655.02"/>
    <n v="55829.73"/>
  </r>
  <r>
    <x v="4330"/>
    <s v="ШИРОКАЯ РЕЧКА"/>
    <n v="61207.26"/>
    <n v="61207.26"/>
    <n v="55424.27"/>
  </r>
  <r>
    <x v="4331"/>
    <s v="ШИРОКАЯ РЕЧКА"/>
    <n v="61207.26"/>
    <n v="61207.26"/>
    <n v="55424.27"/>
  </r>
  <r>
    <x v="4332"/>
    <s v="ШИРОКАЯ РЕЧКА"/>
    <n v="61207.26"/>
    <n v="61207.26"/>
    <n v="55424.27"/>
  </r>
  <r>
    <x v="1027"/>
    <s v="Нижнеисетский"/>
    <n v="45325.4"/>
    <n v="45325.4"/>
    <n v="41042.959999999999"/>
  </r>
  <r>
    <x v="4333"/>
    <s v="Сулим.Торфянник"/>
    <n v="45325.4"/>
    <n v="45325.4"/>
    <n v="41042.959999999999"/>
  </r>
  <r>
    <x v="4334"/>
    <s v="ЭЛЬМАШ"/>
    <n v="68527.44"/>
    <n v="68527.44"/>
    <n v="62052.82"/>
  </r>
  <r>
    <x v="4335"/>
    <s v="ВИЗ"/>
    <n v="81668.479999999996"/>
    <n v="81668.479999999996"/>
    <n v="73952.27"/>
  </r>
  <r>
    <x v="4336"/>
    <s v="МЕДНЫЙ"/>
    <n v="49741.93"/>
    <n v="49741.93"/>
    <n v="45042.2"/>
  </r>
  <r>
    <x v="4337"/>
    <s v="КАЛИНОВСКИЙ"/>
    <n v="54782.6"/>
    <n v="54782.6"/>
    <n v="49606.63"/>
  </r>
  <r>
    <x v="4338"/>
    <s v="КОЛЬЦОВО"/>
    <n v="53174.74"/>
    <n v="53174.74"/>
    <n v="48150.68"/>
  </r>
  <r>
    <x v="4339"/>
    <s v="ЛЕЧЕБНЫЙ"/>
    <n v="55990.2"/>
    <n v="55990.2"/>
    <n v="50700.12"/>
  </r>
  <r>
    <x v="4340"/>
    <s v="ГОРНЫЙ ЩИТ"/>
    <n v="50617.09"/>
    <n v="50617.09"/>
    <n v="45834.68"/>
  </r>
  <r>
    <x v="4341"/>
    <s v="ХИММАШ"/>
    <n v="60047.16"/>
    <n v="60047.16"/>
    <n v="54373.78"/>
  </r>
  <r>
    <x v="333"/>
    <s v="ШАБРОВСКИЙ"/>
    <n v="36417.71"/>
    <n v="36417.71"/>
    <n v="32976.89"/>
  </r>
  <r>
    <x v="4342"/>
    <s v="Нижнеисетский"/>
    <n v="45325.4"/>
    <n v="45325.4"/>
    <n v="41042.959999999999"/>
  </r>
  <r>
    <x v="4343"/>
    <s v="МЕДНЫЙ"/>
    <n v="49741.93"/>
    <n v="49741.93"/>
    <n v="45042.2"/>
  </r>
  <r>
    <x v="972"/>
    <s v="ЧЕРМЕТ"/>
    <n v="60698.45"/>
    <n v="60698.45"/>
    <n v="54963.53"/>
  </r>
  <r>
    <x v="4344"/>
    <s v="ЭЛЬМАШ"/>
    <n v="68527.44"/>
    <n v="68527.44"/>
    <n v="62052.82"/>
  </r>
  <r>
    <x v="400"/>
    <s v="ШАБРОВСКИЙ"/>
    <n v="36417.71"/>
    <n v="36417.71"/>
    <n v="32976.89"/>
  </r>
  <r>
    <x v="4345"/>
    <s v="Нижнеисетский"/>
    <n v="45325.4"/>
    <n v="45325.4"/>
    <n v="41042.959999999999"/>
  </r>
  <r>
    <x v="688"/>
    <s v="ГОРНЫЙ ЩИТ"/>
    <n v="50617.09"/>
    <n v="50617.09"/>
    <n v="45834.68"/>
  </r>
  <r>
    <x v="4346"/>
    <s v="УРАЛМАШ"/>
    <n v="67842.240000000005"/>
    <n v="67842.240000000005"/>
    <n v="61432.36"/>
  </r>
  <r>
    <x v="4347"/>
    <s v="ЕЛИЗАВЕТ"/>
    <n v="59056.67"/>
    <n v="59056.67"/>
    <n v="53476.87"/>
  </r>
  <r>
    <x v="4348"/>
    <s v="Северка"/>
    <n v="49579.11"/>
    <n v="49579.11"/>
    <n v="44894.77"/>
  </r>
  <r>
    <x v="4349"/>
    <s v="Чусовское озеро"/>
    <n v="48229.05"/>
    <n v="48229.05"/>
    <n v="43672.26"/>
  </r>
  <r>
    <x v="4350"/>
    <s v="ЧЕРМЕТ"/>
    <n v="60698.45"/>
    <n v="60698.45"/>
    <n v="54963.53"/>
  </r>
  <r>
    <x v="4351"/>
    <s v="ХИММАШ"/>
    <n v="60047.16"/>
    <n v="60047.16"/>
    <n v="54373.78"/>
  </r>
  <r>
    <x v="4352"/>
    <s v="ШИРОКАЯ РЕЧКА"/>
    <n v="61207.26"/>
    <n v="61207.26"/>
    <n v="55424.27"/>
  </r>
  <r>
    <x v="4353"/>
    <s v="ГОРНЫЙ ЩИТ"/>
    <n v="50617.09"/>
    <n v="50617.09"/>
    <n v="45834.68"/>
  </r>
  <r>
    <x v="4354"/>
    <s v="ИЗОПЛИТ"/>
    <n v="51994.29"/>
    <n v="51994.29"/>
    <n v="47081.760000000002"/>
  </r>
  <r>
    <x v="4355"/>
    <s v="ЕЛИЗАВЕТ"/>
    <n v="59056.67"/>
    <n v="59056.67"/>
    <n v="53476.87"/>
  </r>
  <r>
    <x v="905"/>
    <s v="ЕЛИЗАВЕТ"/>
    <n v="59056.67"/>
    <n v="59056.67"/>
    <n v="53476.87"/>
  </r>
  <r>
    <x v="4356"/>
    <s v="ШИРОКАЯ РЕЧКА"/>
    <n v="61207.26"/>
    <n v="61207.26"/>
    <n v="55424.27"/>
  </r>
  <r>
    <x v="1050"/>
    <s v="УРАЛМАШ"/>
    <n v="67842.240000000005"/>
    <n v="67842.240000000005"/>
    <n v="61432.36"/>
  </r>
  <r>
    <x v="934"/>
    <s v="ЧЕРМЕТ"/>
    <n v="60698.45"/>
    <n v="60698.45"/>
    <n v="54963.53"/>
  </r>
  <r>
    <x v="4357"/>
    <s v="ХИММАШ"/>
    <n v="60047.16"/>
    <n v="60047.16"/>
    <n v="54373.78"/>
  </r>
  <r>
    <x v="4358"/>
    <s v="ПИОНЕРСКИЙ"/>
    <n v="75318.45"/>
    <n v="75318.45"/>
    <n v="68202.2"/>
  </r>
  <r>
    <x v="4359"/>
    <s v="ЛЕЧЕБНЫЙ"/>
    <n v="55990.2"/>
    <n v="55990.2"/>
    <n v="50700.12"/>
  </r>
  <r>
    <x v="4360"/>
    <s v="ГОРНЫЙ ЩИТ"/>
    <n v="50617.09"/>
    <n v="50617.09"/>
    <n v="45834.68"/>
  </r>
  <r>
    <x v="4361"/>
    <s v="Новая сортировка"/>
    <n v="62889.75"/>
    <n v="62889.75"/>
    <n v="56947.8"/>
  </r>
  <r>
    <x v="789"/>
    <s v="ГОРНЫЙ ЩИТ"/>
    <n v="50617.09"/>
    <n v="50617.09"/>
    <n v="45834.68"/>
  </r>
  <r>
    <x v="4362"/>
    <s v="ШИРОКАЯ РЕЧКА"/>
    <n v="61207.26"/>
    <n v="61207.26"/>
    <n v="55424.27"/>
  </r>
  <r>
    <x v="1022"/>
    <s v="АВТОВОКЗАЛ"/>
    <n v="81132.53"/>
    <n v="81132.53"/>
    <n v="73466.960000000006"/>
  </r>
  <r>
    <x v="4363"/>
    <s v="МАЛЫЙ ИСТОК"/>
    <n v="58296.83"/>
    <n v="58296.83"/>
    <n v="52788.83"/>
  </r>
  <r>
    <x v="4364"/>
    <s v="УРАЛМАШ"/>
    <n v="67842.240000000005"/>
    <n v="67842.240000000005"/>
    <n v="61432.36"/>
  </r>
  <r>
    <x v="4365"/>
    <s v="Ю-З"/>
    <n v="74239.759999999995"/>
    <n v="74239.759999999995"/>
    <n v="67225.429999999993"/>
  </r>
  <r>
    <x v="4366"/>
    <s v="ГОРНЫЙ ЩИТ"/>
    <n v="50617.09"/>
    <n v="50617.09"/>
    <n v="45834.68"/>
  </r>
  <r>
    <x v="622"/>
    <s v="ШАБРОВСКИЙ"/>
    <n v="36417.71"/>
    <n v="36417.71"/>
    <n v="32976.89"/>
  </r>
  <r>
    <x v="4367"/>
    <s v="ГОРНЫЙ ЩИТ"/>
    <n v="50617.09"/>
    <n v="50617.09"/>
    <n v="45834.68"/>
  </r>
  <r>
    <x v="4368"/>
    <s v="ЛЕЧЕБНЫЙ"/>
    <n v="55990.2"/>
    <n v="55990.2"/>
    <n v="50700.12"/>
  </r>
  <r>
    <x v="4369"/>
    <s v="АВТОВОКЗАЛ"/>
    <n v="81132.53"/>
    <n v="81132.53"/>
    <n v="73466.960000000006"/>
  </r>
  <r>
    <x v="4370"/>
    <s v="ШАБРОВСКИЙ"/>
    <n v="36417.71"/>
    <n v="36417.71"/>
    <n v="32976.89"/>
  </r>
  <r>
    <x v="4371"/>
    <s v="САДОВЫЙ"/>
    <n v="51600.800000000003"/>
    <n v="51600.800000000003"/>
    <n v="46725.45"/>
  </r>
  <r>
    <x v="4372"/>
    <s v="ЕЛИЗАВЕТ"/>
    <n v="59056.67"/>
    <n v="59056.67"/>
    <n v="53476.87"/>
  </r>
  <r>
    <x v="4373"/>
    <s v="УРАЛМАШ"/>
    <n v="67842.240000000005"/>
    <n v="67842.240000000005"/>
    <n v="61432.36"/>
  </r>
  <r>
    <x v="922"/>
    <s v="ШАБРОВСКИЙ"/>
    <n v="36417.71"/>
    <n v="36417.71"/>
    <n v="32976.89"/>
  </r>
  <r>
    <x v="4374"/>
    <s v="ШАРТАШ"/>
    <n v="66003.710000000006"/>
    <n v="66003.710000000006"/>
    <n v="59767.54"/>
  </r>
  <r>
    <x v="4375"/>
    <s v="ЧЕРМЕТ"/>
    <n v="60698.45"/>
    <n v="60698.45"/>
    <n v="54963.53"/>
  </r>
  <r>
    <x v="4376"/>
    <s v="УРАЛМАШ"/>
    <n v="67842.240000000005"/>
    <n v="67842.240000000005"/>
    <n v="61432.36"/>
  </r>
  <r>
    <x v="4377"/>
    <s v="УРАЛМАШ"/>
    <n v="67842.240000000005"/>
    <n v="67842.240000000005"/>
    <n v="61432.36"/>
  </r>
  <r>
    <x v="4378"/>
    <s v="ВИЗ"/>
    <n v="81668.479999999996"/>
    <n v="81668.479999999996"/>
    <n v="73952.27"/>
  </r>
  <r>
    <x v="4379"/>
    <s v="МЕДНЫЙ"/>
    <n v="49741.93"/>
    <n v="49741.93"/>
    <n v="45042.2"/>
  </r>
  <r>
    <x v="4380"/>
    <s v="ШИРОКАЯ РЕЧКА"/>
    <n v="61207.26"/>
    <n v="61207.26"/>
    <n v="55424.27"/>
  </r>
  <r>
    <x v="4381"/>
    <s v="УКТУС"/>
    <n v="61655.02"/>
    <n v="61655.02"/>
    <n v="55829.73"/>
  </r>
  <r>
    <x v="4382"/>
    <s v="УКТУС"/>
    <n v="61655.02"/>
    <n v="61655.02"/>
    <n v="55829.73"/>
  </r>
  <r>
    <x v="4383"/>
    <s v="СОВХОЗ"/>
    <n v="57883"/>
    <n v="57883"/>
    <n v="52414.09"/>
  </r>
  <r>
    <x v="566"/>
    <s v="СЕВЕРКА"/>
    <n v="49579.11"/>
    <n v="49579.11"/>
    <n v="44894.77"/>
  </r>
  <r>
    <x v="392"/>
    <s v="ШАБРОВСКИЙ"/>
    <n v="36417.71"/>
    <n v="36417.71"/>
    <n v="32976.89"/>
  </r>
  <r>
    <x v="4384"/>
    <s v="ЛЕЧЕБНЫЙ"/>
    <n v="55990.2"/>
    <n v="55990.2"/>
    <n v="50700.12"/>
  </r>
  <r>
    <x v="4385"/>
    <s v="ЭЛЬМАШ"/>
    <n v="68527.44"/>
    <n v="68527.44"/>
    <n v="62052.82"/>
  </r>
  <r>
    <x v="4386"/>
    <s v="ШИРОКАЯ РЕЧКА"/>
    <n v="61207.26"/>
    <n v="61207.26"/>
    <n v="55424.27"/>
  </r>
  <r>
    <x v="4387"/>
    <s v="Исток"/>
    <n v="51831.47"/>
    <n v="51831.47"/>
    <n v="46934.32"/>
  </r>
  <r>
    <x v="4388"/>
    <s v="ЛЕЧЕБНЫЙ"/>
    <n v="55990.2"/>
    <n v="55990.2"/>
    <n v="50700.12"/>
  </r>
  <r>
    <x v="4389"/>
    <s v="ВИЗ"/>
    <n v="81668.479999999996"/>
    <n v="81668.479999999996"/>
    <n v="73952.27"/>
  </r>
  <r>
    <x v="4390"/>
    <s v="МАЛЫЙ ИСТОК"/>
    <n v="58296.83"/>
    <n v="58296.83"/>
    <n v="52788.83"/>
  </r>
  <r>
    <x v="4391"/>
    <s v="УРАЛМАШ"/>
    <n v="67842.240000000005"/>
    <n v="67842.240000000005"/>
    <n v="61432.36"/>
  </r>
  <r>
    <x v="4392"/>
    <s v="Сулим.Торфянник"/>
    <n v="45325.4"/>
    <n v="45325.4"/>
    <n v="41042.959999999999"/>
  </r>
  <r>
    <x v="4393"/>
    <s v="МЕДНЫЙ"/>
    <n v="49741.93"/>
    <n v="49741.93"/>
    <n v="45042.2"/>
  </r>
  <r>
    <x v="4394"/>
    <s v="ЭЛЬМАШ"/>
    <n v="68527.44"/>
    <n v="68527.44"/>
    <n v="62052.82"/>
  </r>
  <r>
    <x v="4395"/>
    <s v="ЭЛЬМАШ"/>
    <n v="68527.44"/>
    <n v="68527.44"/>
    <n v="62052.82"/>
  </r>
  <r>
    <x v="4396"/>
    <s v="ЕЛИЗАВЕТ"/>
    <n v="59056.67"/>
    <n v="59056.67"/>
    <n v="53476.87"/>
  </r>
  <r>
    <x v="4397"/>
    <s v="Нижнеисетский"/>
    <n v="45325.4"/>
    <n v="45325.4"/>
    <n v="41042.959999999999"/>
  </r>
  <r>
    <x v="4398"/>
    <s v="ВИЗ"/>
    <n v="81668.479999999996"/>
    <n v="81668.479999999996"/>
    <n v="73952.27"/>
  </r>
  <r>
    <x v="4399"/>
    <s v="ЕЛИЗАВЕТ"/>
    <n v="59056.67"/>
    <n v="59056.67"/>
    <n v="53476.87"/>
  </r>
  <r>
    <x v="4400"/>
    <s v="Старая сортировка"/>
    <n v="57516.65"/>
    <n v="57516.65"/>
    <n v="52082.35"/>
  </r>
  <r>
    <x v="4401"/>
    <s v="ШИРОКАЯ РЕЧКА"/>
    <n v="61207.26"/>
    <n v="61207.26"/>
    <n v="55424.27"/>
  </r>
  <r>
    <x v="4402"/>
    <s v="ШИРОКАЯ РЕЧКА"/>
    <n v="61207.26"/>
    <n v="61207.26"/>
    <n v="55424.27"/>
  </r>
  <r>
    <x v="4403"/>
    <s v="ВИЗ"/>
    <n v="81668.479999999996"/>
    <n v="81668.479999999996"/>
    <n v="73952.27"/>
  </r>
  <r>
    <x v="4404"/>
    <s v="ГОРНЫЙ ЩИТ"/>
    <n v="50617.09"/>
    <n v="50617.09"/>
    <n v="45834.68"/>
  </r>
  <r>
    <x v="4405"/>
    <s v="УРАЛМАШ"/>
    <n v="67842.240000000005"/>
    <n v="67842.240000000005"/>
    <n v="61432.36"/>
  </r>
  <r>
    <x v="4406"/>
    <s v="ВИЗ"/>
    <n v="81668.479999999996"/>
    <n v="81668.479999999996"/>
    <n v="73952.27"/>
  </r>
  <r>
    <x v="4407"/>
    <s v="СОВХОЗ"/>
    <n v="57883"/>
    <n v="57883"/>
    <n v="52414.09"/>
  </r>
  <r>
    <x v="4408"/>
    <s v="МЕДНЫЙ"/>
    <n v="49741.93"/>
    <n v="49741.93"/>
    <n v="45042.2"/>
  </r>
  <r>
    <x v="978"/>
    <s v="ГОРНЫЙ ЩИТ"/>
    <n v="50617.09"/>
    <n v="50617.09"/>
    <n v="45834.68"/>
  </r>
  <r>
    <x v="4409"/>
    <s v="ЛЕЧЕБНЫЙ"/>
    <n v="55990.2"/>
    <n v="55990.2"/>
    <n v="50700.12"/>
  </r>
  <r>
    <x v="4410"/>
    <s v="МЕДНЫЙ"/>
    <n v="49741.93"/>
    <n v="49741.93"/>
    <n v="45042.2"/>
  </r>
  <r>
    <x v="4411"/>
    <s v="ИСТОК"/>
    <n v="51831.47"/>
    <n v="51831.47"/>
    <n v="46934.32"/>
  </r>
  <r>
    <x v="4412"/>
    <s v="УРАЛМАШ"/>
    <n v="67842.240000000005"/>
    <n v="67842.240000000005"/>
    <n v="61432.36"/>
  </r>
  <r>
    <x v="4413"/>
    <s v="ИСТОК"/>
    <n v="51831.47"/>
    <n v="51831.47"/>
    <n v="46934.32"/>
  </r>
  <r>
    <x v="4414"/>
    <s v="Исток"/>
    <n v="51831.47"/>
    <n v="51831.47"/>
    <n v="46934.32"/>
  </r>
  <r>
    <x v="4415"/>
    <s v="МЕДНЫЙ"/>
    <n v="49741.93"/>
    <n v="49741.93"/>
    <n v="45042.2"/>
  </r>
  <r>
    <x v="4416"/>
    <s v="САДОВЫЙ"/>
    <n v="51600.800000000003"/>
    <n v="51600.800000000003"/>
    <n v="46725.45"/>
  </r>
  <r>
    <x v="4417"/>
    <s v="Старая сортировка"/>
    <n v="57516.65"/>
    <n v="57516.65"/>
    <n v="52082.35"/>
  </r>
  <r>
    <x v="4418"/>
    <s v="СОВХОЗ"/>
    <n v="57883"/>
    <n v="57883"/>
    <n v="52414.09"/>
  </r>
  <r>
    <x v="322"/>
    <s v="КОЛЬЦОВО"/>
    <n v="53174.74"/>
    <n v="53174.74"/>
    <n v="48150.68"/>
  </r>
  <r>
    <x v="4419"/>
    <s v="СЕВЕРКА"/>
    <n v="49579.11"/>
    <n v="49579.11"/>
    <n v="44894.77"/>
  </r>
  <r>
    <x v="4420"/>
    <s v="Нижнеисетский"/>
    <n v="45325.4"/>
    <n v="45325.4"/>
    <n v="41042.959999999999"/>
  </r>
  <r>
    <x v="4421"/>
    <s v="ЭЛЬМАШ"/>
    <n v="68527.44"/>
    <n v="68527.44"/>
    <n v="62052.82"/>
  </r>
  <r>
    <x v="4422"/>
    <s v="ЭЛЬМАШ"/>
    <n v="68527.44"/>
    <n v="68527.44"/>
    <n v="62052.82"/>
  </r>
  <r>
    <x v="4423"/>
    <s v="ШИРОКАЯ РЕЧКА"/>
    <n v="61207.26"/>
    <n v="61207.26"/>
    <n v="55424.27"/>
  </r>
  <r>
    <x v="4424"/>
    <s v="ЛЕЧЕБНЫЙ"/>
    <n v="55990.2"/>
    <n v="55990.2"/>
    <n v="50700.12"/>
  </r>
  <r>
    <x v="4425"/>
    <s v="ИСТОК"/>
    <n v="51831.47"/>
    <n v="51831.47"/>
    <n v="46934.32"/>
  </r>
  <r>
    <x v="4426"/>
    <s v="ВИЗ"/>
    <n v="81668.479999999996"/>
    <n v="81668.479999999996"/>
    <n v="73952.27"/>
  </r>
  <r>
    <x v="4427"/>
    <s v="ЛЕЧЕБНЫЙ"/>
    <n v="55990.2"/>
    <n v="55990.2"/>
    <n v="50700.12"/>
  </r>
  <r>
    <x v="4428"/>
    <s v="ШАБРОВСКИЙ"/>
    <n v="36417.71"/>
    <n v="36417.71"/>
    <n v="32976.89"/>
  </r>
  <r>
    <x v="4429"/>
    <s v="ШАБРОВСКИЙ"/>
    <n v="36417.71"/>
    <n v="36417.71"/>
    <n v="32976.89"/>
  </r>
  <r>
    <x v="4430"/>
    <s v="ВИЗ"/>
    <n v="81668.479999999996"/>
    <n v="81668.479999999996"/>
    <n v="73952.27"/>
  </r>
  <r>
    <x v="4431"/>
    <s v="МАЛЫЙ ИСТОК"/>
    <n v="58296.83"/>
    <n v="58296.83"/>
    <n v="52788.83"/>
  </r>
  <r>
    <x v="4432"/>
    <s v="ШИРОКАЯ РЕЧКА"/>
    <n v="61207.26"/>
    <n v="61207.26"/>
    <n v="55424.27"/>
  </r>
  <r>
    <x v="4433"/>
    <s v="ПТИЦЕФАБРИКА"/>
    <n v="55074.33"/>
    <n v="55074.33"/>
    <n v="49870.79"/>
  </r>
  <r>
    <x v="629"/>
    <s v="КАЛИНОВСКИЙ"/>
    <n v="54782.6"/>
    <n v="54782.6"/>
    <n v="49606.63"/>
  </r>
  <r>
    <x v="4434"/>
    <s v="МАЛЫЙ ИСТОК"/>
    <n v="58296.83"/>
    <n v="58296.83"/>
    <n v="52788.83"/>
  </r>
  <r>
    <x v="923"/>
    <s v="ШАБРОВСКИЙ"/>
    <n v="36417.71"/>
    <n v="36417.71"/>
    <n v="32976.89"/>
  </r>
  <r>
    <x v="4435"/>
    <s v="Сулим.Торфянник"/>
    <n v="45325.4"/>
    <n v="45325.4"/>
    <n v="41042.959999999999"/>
  </r>
  <r>
    <x v="4436"/>
    <s v="ЧЕРМЕТ"/>
    <n v="60698.45"/>
    <n v="60698.45"/>
    <n v="54963.53"/>
  </r>
  <r>
    <x v="4437"/>
    <s v="Нижнеисетский"/>
    <n v="45325.4"/>
    <n v="45325.4"/>
    <n v="41042.959999999999"/>
  </r>
  <r>
    <x v="4438"/>
    <s v="ИЗОПЛИТ"/>
    <n v="51994.29"/>
    <n v="51994.29"/>
    <n v="47081.760000000002"/>
  </r>
  <r>
    <x v="4439"/>
    <s v="ШАРТАШ"/>
    <n v="66003.710000000006"/>
    <n v="66003.710000000006"/>
    <n v="59767.54"/>
  </r>
  <r>
    <x v="4440"/>
    <s v="МАЛЫЙ ИСТОК"/>
    <n v="58296.83"/>
    <n v="58296.83"/>
    <n v="52788.83"/>
  </r>
  <r>
    <x v="4441"/>
    <s v="ЭЛЬМАШ"/>
    <n v="68527.44"/>
    <n v="68527.44"/>
    <n v="62052.82"/>
  </r>
  <r>
    <x v="4442"/>
    <s v="ХИММАШ"/>
    <n v="60047.16"/>
    <n v="60047.16"/>
    <n v="54373.78"/>
  </r>
  <r>
    <x v="4443"/>
    <s v="ШИРОКАЯ РЕЧКА"/>
    <n v="61207.26"/>
    <n v="61207.26"/>
    <n v="55424.27"/>
  </r>
  <r>
    <x v="4444"/>
    <s v="ЛЕЧЕБНЫЙ"/>
    <n v="55990.2"/>
    <n v="55990.2"/>
    <n v="50700.12"/>
  </r>
  <r>
    <x v="4445"/>
    <s v="ЧЕРМЕТ"/>
    <n v="60698.45"/>
    <n v="60698.45"/>
    <n v="54963.53"/>
  </r>
  <r>
    <x v="4446"/>
    <s v="Исток"/>
    <n v="51831.47"/>
    <n v="51831.47"/>
    <n v="46934.32"/>
  </r>
  <r>
    <x v="4447"/>
    <s v="ШАРТАШ"/>
    <n v="66003.710000000006"/>
    <n v="66003.710000000006"/>
    <n v="59767.54"/>
  </r>
  <r>
    <x v="4448"/>
    <s v="ШИРОКАЯ РЕЧКА"/>
    <n v="61207.26"/>
    <n v="61207.26"/>
    <n v="55424.27"/>
  </r>
  <r>
    <x v="889"/>
    <s v="АВТОВОКЗАЛ"/>
    <n v="81132.53"/>
    <n v="81132.53"/>
    <n v="73466.960000000006"/>
  </r>
  <r>
    <x v="4449"/>
    <s v="УКТУС"/>
    <n v="61655.02"/>
    <n v="61655.02"/>
    <n v="55829.73"/>
  </r>
  <r>
    <x v="409"/>
    <s v="ГОРНЫЙ ЩИТ"/>
    <n v="50617.09"/>
    <n v="50617.09"/>
    <n v="45834.68"/>
  </r>
  <r>
    <x v="417"/>
    <s v="ХИММАШ"/>
    <n v="60047.16"/>
    <n v="60047.16"/>
    <n v="54373.78"/>
  </r>
  <r>
    <x v="4450"/>
    <s v="ГОРНЫЙ ЩИТ"/>
    <n v="50617.09"/>
    <n v="50617.09"/>
    <n v="45834.68"/>
  </r>
  <r>
    <x v="511"/>
    <s v="ГОРНЫЙ ЩИТ"/>
    <n v="50617.09"/>
    <n v="50617.09"/>
    <n v="45834.68"/>
  </r>
  <r>
    <x v="1016"/>
    <s v="ГОРНЫЙ ЩИТ"/>
    <n v="50617.09"/>
    <n v="50617.09"/>
    <n v="45834.68"/>
  </r>
  <r>
    <x v="4451"/>
    <s v="ШАБРОВСКИЙ"/>
    <n v="36417.71"/>
    <n v="36417.71"/>
    <n v="32976.89"/>
  </r>
  <r>
    <x v="4452"/>
    <s v="ШИРОКАЯ РЕЧКА"/>
    <n v="61207.26"/>
    <n v="61207.26"/>
    <n v="55424.27"/>
  </r>
  <r>
    <x v="4453"/>
    <s v="ХИММАШ"/>
    <n v="60047.16"/>
    <n v="60047.16"/>
    <n v="54373.78"/>
  </r>
  <r>
    <x v="719"/>
    <s v="ИЗОПЛИТ"/>
    <n v="51994.29"/>
    <n v="51994.29"/>
    <n v="47081.760000000002"/>
  </r>
  <r>
    <x v="4454"/>
    <s v="ХИММАШ"/>
    <n v="60047.16"/>
    <n v="60047.16"/>
    <n v="54373.78"/>
  </r>
  <r>
    <x v="4455"/>
    <s v="ИСТОК"/>
    <n v="51831.47"/>
    <n v="51831.47"/>
    <n v="46934.32"/>
  </r>
  <r>
    <x v="4456"/>
    <s v="ГОРНЫЙ ЩИТ"/>
    <n v="50617.09"/>
    <n v="50617.09"/>
    <n v="45834.68"/>
  </r>
  <r>
    <x v="4457"/>
    <s v="Исток"/>
    <n v="51831.47"/>
    <n v="51831.47"/>
    <n v="46934.32"/>
  </r>
  <r>
    <x v="4458"/>
    <s v="ГОРНЫЙ ЩИТ"/>
    <n v="50617.09"/>
    <n v="50617.09"/>
    <n v="45834.68"/>
  </r>
  <r>
    <x v="4459"/>
    <s v="ХИММАШ"/>
    <n v="60047.16"/>
    <n v="60047.16"/>
    <n v="54373.78"/>
  </r>
  <r>
    <x v="4460"/>
    <s v="ПТИЦЕФАБРИКА"/>
    <n v="55074.33"/>
    <n v="55074.33"/>
    <n v="49870.79"/>
  </r>
  <r>
    <x v="4461"/>
    <s v="ШАБРОВСКИЙ"/>
    <n v="36417.71"/>
    <n v="36417.71"/>
    <n v="32976.89"/>
  </r>
  <r>
    <x v="4462"/>
    <s v="ШИРОКАЯ РЕЧКА"/>
    <n v="61207.26"/>
    <n v="61207.26"/>
    <n v="55424.27"/>
  </r>
  <r>
    <x v="964"/>
    <s v="ИСТОК"/>
    <n v="51831.47"/>
    <n v="51831.47"/>
    <n v="46934.32"/>
  </r>
  <r>
    <x v="4463"/>
    <s v="ЭЛЬМАШ"/>
    <n v="68527.44"/>
    <n v="68527.44"/>
    <n v="62052.82"/>
  </r>
  <r>
    <x v="4464"/>
    <s v="ШИРОКАЯ РЕЧКА"/>
    <n v="61207.26"/>
    <n v="61207.26"/>
    <n v="55424.27"/>
  </r>
  <r>
    <x v="4465"/>
    <s v="ШИРОКАЯ РЕЧКА"/>
    <n v="61207.26"/>
    <n v="61207.26"/>
    <n v="55424.27"/>
  </r>
  <r>
    <x v="4466"/>
    <s v="МЕДНЫЙ"/>
    <n v="49741.93"/>
    <n v="49741.93"/>
    <n v="45042.2"/>
  </r>
  <r>
    <x v="929"/>
    <s v="ГОРНЫЙ ЩИТ"/>
    <n v="50617.09"/>
    <n v="50617.09"/>
    <n v="45834.68"/>
  </r>
  <r>
    <x v="4467"/>
    <s v="ЧУСОВСКОЕ ОЗЕРО"/>
    <n v="48229.05"/>
    <n v="48229.05"/>
    <n v="43672.26"/>
  </r>
  <r>
    <x v="4468"/>
    <s v="МЕДНЫЙ"/>
    <n v="49741.93"/>
    <n v="49741.93"/>
    <n v="45042.2"/>
  </r>
  <r>
    <x v="101"/>
    <s v="ГОРНЫЙ ЩИТ"/>
    <n v="50617.09"/>
    <n v="50617.09"/>
    <n v="45834.68"/>
  </r>
  <r>
    <x v="4469"/>
    <s v="УКТУС"/>
    <n v="61655.02"/>
    <n v="61655.02"/>
    <n v="55829.73"/>
  </r>
  <r>
    <x v="4470"/>
    <s v="Новая сортировка"/>
    <n v="62889.75"/>
    <n v="62889.75"/>
    <n v="56947.8"/>
  </r>
  <r>
    <x v="4471"/>
    <s v="ВИЗ"/>
    <n v="81668.479999999996"/>
    <n v="81668.479999999996"/>
    <n v="73952.27"/>
  </r>
  <r>
    <x v="4472"/>
    <s v="ШИРОКАЯ РЕЧКА"/>
    <n v="61207.26"/>
    <n v="61207.26"/>
    <n v="55424.27"/>
  </r>
  <r>
    <x v="4473"/>
    <s v="ГОРНЫЙ ЩИТ"/>
    <n v="50617.09"/>
    <n v="50617.09"/>
    <n v="45834.68"/>
  </r>
  <r>
    <x v="4474"/>
    <s v="ВИЗ"/>
    <n v="81668.479999999996"/>
    <n v="81668.479999999996"/>
    <n v="73952.27"/>
  </r>
  <r>
    <x v="4475"/>
    <s v="ЗАРЕЧНЫЙ"/>
    <n v="68887.009999999995"/>
    <n v="68887.009999999995"/>
    <n v="62378.42"/>
  </r>
  <r>
    <x v="4476"/>
    <s v="ШАБРОВСКИЙ"/>
    <n v="36417.71"/>
    <n v="36417.71"/>
    <n v="32976.89"/>
  </r>
  <r>
    <x v="4477"/>
    <s v="ЧЕРМЕТ"/>
    <n v="60698.45"/>
    <n v="60698.45"/>
    <n v="54963.53"/>
  </r>
  <r>
    <x v="1042"/>
    <s v="ШАБРОВСКИЙ"/>
    <n v="36417.71"/>
    <n v="36417.71"/>
    <n v="32976.89"/>
  </r>
  <r>
    <x v="742"/>
    <s v="РУДНЫЙ"/>
    <n v="45325.4"/>
    <n v="45325.4"/>
    <n v="41042.959999999999"/>
  </r>
  <r>
    <x v="4478"/>
    <s v="Исток"/>
    <n v="51831.47"/>
    <n v="51831.47"/>
    <n v="46934.32"/>
  </r>
  <r>
    <x v="4479"/>
    <s v="КОЛЬЦОВО"/>
    <n v="53174.74"/>
    <n v="53174.74"/>
    <n v="48150.68"/>
  </r>
  <r>
    <x v="4480"/>
    <s v="ЛЕЧЕБНЫЙ"/>
    <n v="55990.2"/>
    <n v="55990.2"/>
    <n v="50700.12"/>
  </r>
  <r>
    <x v="4481"/>
    <s v="ШИРОКАЯ РЕЧКА"/>
    <n v="61207.26"/>
    <n v="61207.26"/>
    <n v="55424.27"/>
  </r>
  <r>
    <x v="4482"/>
    <s v="ШАБРОВСКИЙ"/>
    <n v="36417.71"/>
    <n v="36417.71"/>
    <n v="32976.89"/>
  </r>
  <r>
    <x v="4483"/>
    <s v="Северка"/>
    <n v="49579.11"/>
    <n v="49579.11"/>
    <n v="44894.77"/>
  </r>
  <r>
    <x v="4484"/>
    <s v="МЕДНЫЙ"/>
    <n v="49741.93"/>
    <n v="49741.93"/>
    <n v="45042.2"/>
  </r>
  <r>
    <x v="4485"/>
    <s v="ЭЛЬМАШ"/>
    <n v="68527.44"/>
    <n v="68527.44"/>
    <n v="62052.82"/>
  </r>
  <r>
    <x v="4486"/>
    <s v="ШИРОКАЯ РЕЧКА"/>
    <n v="61207.26"/>
    <n v="61207.26"/>
    <n v="55424.27"/>
  </r>
  <r>
    <x v="466"/>
    <s v="ГОРНЫЙ ЩИТ"/>
    <n v="50617.09"/>
    <n v="50617.09"/>
    <n v="45834.68"/>
  </r>
  <r>
    <x v="4487"/>
    <s v="ШИРОКАЯ РЕЧКА"/>
    <n v="61207.26"/>
    <n v="61207.26"/>
    <n v="55424.27"/>
  </r>
  <r>
    <x v="4488"/>
    <s v="ИЗОПЛИТ"/>
    <n v="51994.29"/>
    <n v="51994.29"/>
    <n v="47081.760000000002"/>
  </r>
  <r>
    <x v="4489"/>
    <s v="Северка"/>
    <n v="49579.11"/>
    <n v="49579.11"/>
    <n v="44894.77"/>
  </r>
  <r>
    <x v="4490"/>
    <s v="ШУВАКИШ"/>
    <n v="42862.720000000001"/>
    <n v="42862.720000000001"/>
    <n v="38812.959999999999"/>
  </r>
  <r>
    <x v="4491"/>
    <s v="ХИММАШ"/>
    <n v="60047.16"/>
    <n v="60047.16"/>
    <n v="54373.78"/>
  </r>
  <r>
    <x v="4492"/>
    <s v="Исток"/>
    <n v="51831.47"/>
    <n v="51831.47"/>
    <n v="46934.32"/>
  </r>
  <r>
    <x v="928"/>
    <s v="ШАБРОВСКИЙ"/>
    <n v="36417.71"/>
    <n v="36417.71"/>
    <n v="32976.89"/>
  </r>
  <r>
    <x v="4493"/>
    <s v="Сулим.Торфянник"/>
    <n v="45325.4"/>
    <n v="45325.4"/>
    <n v="41042.959999999999"/>
  </r>
  <r>
    <x v="4494"/>
    <s v="ШИРОКАЯ РЕЧКА"/>
    <n v="61207.26"/>
    <n v="61207.26"/>
    <n v="55424.27"/>
  </r>
  <r>
    <x v="4495"/>
    <s v="ШАРТАШ"/>
    <n v="66003.710000000006"/>
    <n v="66003.710000000006"/>
    <n v="59767.54"/>
  </r>
  <r>
    <x v="4496"/>
    <s v="ГОРНЫЙ ЩИТ"/>
    <n v="50617.09"/>
    <n v="50617.09"/>
    <n v="45834.68"/>
  </r>
  <r>
    <x v="4497"/>
    <s v="ШИРОКАЯ РЕЧКА"/>
    <n v="61207.26"/>
    <n v="61207.26"/>
    <n v="55424.27"/>
  </r>
  <r>
    <x v="4498"/>
    <s v="ЭЛЬМАШ"/>
    <n v="68527.44"/>
    <n v="68527.44"/>
    <n v="62052.82"/>
  </r>
  <r>
    <x v="4499"/>
    <s v="ХИММАШ"/>
    <n v="60047.16"/>
    <n v="60047.16"/>
    <n v="54373.78"/>
  </r>
  <r>
    <x v="4500"/>
    <s v="УРАЛМАШ"/>
    <n v="67842.240000000005"/>
    <n v="67842.240000000005"/>
    <n v="61432.36"/>
  </r>
  <r>
    <x v="4501"/>
    <s v="МЕДНЫЙ"/>
    <n v="49741.93"/>
    <n v="49741.93"/>
    <n v="45042.2"/>
  </r>
  <r>
    <x v="4502"/>
    <s v="ГОРНЫЙ ЩИТ"/>
    <n v="50617.09"/>
    <n v="50617.09"/>
    <n v="45834.68"/>
  </r>
  <r>
    <x v="4503"/>
    <s v="ШИРОКАЯ РЕЧКА"/>
    <n v="61207.26"/>
    <n v="61207.26"/>
    <n v="55424.27"/>
  </r>
  <r>
    <x v="4504"/>
    <s v="ПТИЦЕФАБРИКА"/>
    <n v="55074.33"/>
    <n v="55074.33"/>
    <n v="49870.79"/>
  </r>
  <r>
    <x v="4505"/>
    <s v="МЕДНЫЙ"/>
    <n v="49741.93"/>
    <n v="49741.93"/>
    <n v="45042.2"/>
  </r>
  <r>
    <x v="4506"/>
    <s v="СЕВЕРКА"/>
    <n v="49579.11"/>
    <n v="49579.11"/>
    <n v="44894.77"/>
  </r>
  <r>
    <x v="4507"/>
    <s v="Старая сортировка"/>
    <n v="57516.65"/>
    <n v="57516.65"/>
    <n v="52082.35"/>
  </r>
  <r>
    <x v="677"/>
    <s v="ШАБРОВСКИЙ"/>
    <n v="36417.71"/>
    <n v="36417.71"/>
    <n v="32976.89"/>
  </r>
  <r>
    <x v="4508"/>
    <s v="СЕВЕРКА"/>
    <n v="49579.11"/>
    <n v="49579.11"/>
    <n v="44894.77"/>
  </r>
  <r>
    <x v="4509"/>
    <s v="КОЛЬЦОВО"/>
    <n v="53174.74"/>
    <n v="53174.74"/>
    <n v="48150.68"/>
  </r>
  <r>
    <x v="4510"/>
    <s v="ХИММАШ"/>
    <n v="60047.16"/>
    <n v="60047.16"/>
    <n v="54373.78"/>
  </r>
  <r>
    <x v="4511"/>
    <s v="ШИРОКАЯ РЕЧКА"/>
    <n v="61207.26"/>
    <n v="61207.26"/>
    <n v="55424.27"/>
  </r>
  <r>
    <x v="4512"/>
    <s v="МАЛЫЙ ИСТОК"/>
    <n v="58296.83"/>
    <n v="58296.83"/>
    <n v="52788.83"/>
  </r>
  <r>
    <x v="4513"/>
    <s v="СЕВЕРКА"/>
    <n v="49579.11"/>
    <n v="49579.11"/>
    <n v="44894.77"/>
  </r>
  <r>
    <x v="4514"/>
    <s v="СЕВЕРКА"/>
    <n v="49579.11"/>
    <n v="49579.11"/>
    <n v="44894.77"/>
  </r>
  <r>
    <x v="4515"/>
    <s v="ГОРНЫЙ ЩИТ"/>
    <n v="50617.09"/>
    <n v="50617.09"/>
    <n v="45834.68"/>
  </r>
  <r>
    <x v="4516"/>
    <s v="РУДНЫЙ"/>
    <n v="45325.4"/>
    <n v="45325.4"/>
    <n v="41042.959999999999"/>
  </r>
  <r>
    <x v="4517"/>
    <s v="ШИРОКАЯ РЕЧКА"/>
    <n v="61207.26"/>
    <n v="61207.26"/>
    <n v="55424.27"/>
  </r>
  <r>
    <x v="4518"/>
    <s v="ГОРНЫЙ ЩИТ"/>
    <n v="50617.09"/>
    <n v="50617.09"/>
    <n v="45834.68"/>
  </r>
  <r>
    <x v="832"/>
    <s v="ХИММАШ"/>
    <n v="60047.16"/>
    <n v="60047.16"/>
    <n v="54373.78"/>
  </r>
  <r>
    <x v="1095"/>
    <s v="ШИРОКАЯ РЕЧКА"/>
    <n v="61207.26"/>
    <n v="61207.26"/>
    <n v="55424.27"/>
  </r>
  <r>
    <x v="4519"/>
    <s v="ШИРОКАЯ РЕЧКА"/>
    <n v="61207.26"/>
    <n v="61207.26"/>
    <n v="55424.27"/>
  </r>
  <r>
    <x v="4520"/>
    <s v="МЕДНЫЙ"/>
    <n v="49741.93"/>
    <n v="49741.93"/>
    <n v="45042.2"/>
  </r>
  <r>
    <x v="4521"/>
    <s v="СЕВЕРКА"/>
    <n v="49579.11"/>
    <n v="49579.11"/>
    <n v="44894.77"/>
  </r>
  <r>
    <x v="4522"/>
    <s v="МЕДНЫЙ"/>
    <n v="49741.93"/>
    <n v="49741.93"/>
    <n v="45042.2"/>
  </r>
  <r>
    <x v="4523"/>
    <s v="ВИЗ"/>
    <n v="81668.479999999996"/>
    <n v="81668.479999999996"/>
    <n v="73952.27"/>
  </r>
  <r>
    <x v="4524"/>
    <s v="ШИРОКАЯ РЕЧКА"/>
    <n v="61207.26"/>
    <n v="61207.26"/>
    <n v="55424.27"/>
  </r>
  <r>
    <x v="4525"/>
    <s v="ШИРОКАЯ РЕЧКА"/>
    <n v="61207.26"/>
    <n v="61207.26"/>
    <n v="55424.27"/>
  </r>
  <r>
    <x v="4526"/>
    <s v="МЕДНЫЙ"/>
    <n v="49741.93"/>
    <n v="49741.93"/>
    <n v="45042.2"/>
  </r>
  <r>
    <x v="4527"/>
    <s v="УКТУС"/>
    <n v="61655.02"/>
    <n v="61655.02"/>
    <n v="55829.73"/>
  </r>
  <r>
    <x v="4528"/>
    <s v="ГОРНЫЙ ЩИТ"/>
    <n v="50617.09"/>
    <n v="50617.09"/>
    <n v="45834.68"/>
  </r>
  <r>
    <x v="4529"/>
    <s v="ШАБРОВСКИЙ"/>
    <n v="36417.71"/>
    <n v="36417.71"/>
    <n v="32976.89"/>
  </r>
  <r>
    <x v="4530"/>
    <s v="ЛЕЧЕБНЫЙ"/>
    <n v="55990.2"/>
    <n v="55990.2"/>
    <n v="50700.12"/>
  </r>
  <r>
    <x v="4531"/>
    <s v="МЕДНЫЙ"/>
    <n v="49741.93"/>
    <n v="49741.93"/>
    <n v="45042.2"/>
  </r>
  <r>
    <x v="4532"/>
    <s v="ШИРОКАЯ РЕЧКА"/>
    <n v="61207.26"/>
    <n v="61207.26"/>
    <n v="55424.27"/>
  </r>
  <r>
    <x v="4533"/>
    <s v="ЧУСОВСКОЕ ОЗЕРО"/>
    <n v="48229.05"/>
    <n v="48229.05"/>
    <n v="43672.26"/>
  </r>
  <r>
    <x v="376"/>
    <s v="ШАБРОВСКИЙ"/>
    <n v="36417.71"/>
    <n v="36417.71"/>
    <n v="32976.89"/>
  </r>
  <r>
    <x v="1086"/>
    <s v="СЕВЕРКА"/>
    <n v="49579.11"/>
    <n v="49579.11"/>
    <n v="44894.77"/>
  </r>
  <r>
    <x v="4534"/>
    <s v="МАЛЫЙ ИСТОК"/>
    <n v="58296.83"/>
    <n v="58296.83"/>
    <n v="52788.83"/>
  </r>
  <r>
    <x v="4535"/>
    <s v="ГОРНЫЙ ЩИТ"/>
    <n v="50617.09"/>
    <n v="50617.09"/>
    <n v="45834.68"/>
  </r>
  <r>
    <x v="550"/>
    <s v="ИСТОК"/>
    <n v="51831.47"/>
    <n v="51831.47"/>
    <n v="46934.32"/>
  </r>
  <r>
    <x v="4536"/>
    <s v="ШИРОКАЯ РЕЧКА"/>
    <n v="61207.26"/>
    <n v="61207.26"/>
    <n v="55424.27"/>
  </r>
  <r>
    <x v="4537"/>
    <s v="ГОРНЫЙ ЩИТ"/>
    <n v="50617.09"/>
    <n v="50617.09"/>
    <n v="45834.68"/>
  </r>
  <r>
    <x v="4538"/>
    <s v="ВИЗ"/>
    <n v="81668.479999999996"/>
    <n v="81668.479999999996"/>
    <n v="73952.27"/>
  </r>
  <r>
    <x v="4539"/>
    <s v="ХИММАШ"/>
    <n v="60047.16"/>
    <n v="60047.16"/>
    <n v="54373.78"/>
  </r>
  <r>
    <x v="617"/>
    <s v="ЭЛЬМАШ"/>
    <n v="68527.44"/>
    <n v="68527.44"/>
    <n v="62052.82"/>
  </r>
  <r>
    <x v="4540"/>
    <s v="ХИММАШ"/>
    <n v="60047.16"/>
    <n v="60047.16"/>
    <n v="54373.78"/>
  </r>
  <r>
    <x v="4541"/>
    <s v="ШУВАКИШ"/>
    <n v="42862.720000000001"/>
    <n v="42862.720000000001"/>
    <n v="38812.959999999999"/>
  </r>
  <r>
    <x v="4542"/>
    <s v="ИЗОПЛИТ"/>
    <n v="51994.29"/>
    <n v="51994.29"/>
    <n v="47081.760000000002"/>
  </r>
  <r>
    <x v="4543"/>
    <s v="МЕДНЫЙ"/>
    <n v="49741.93"/>
    <n v="49741.93"/>
    <n v="45042.2"/>
  </r>
  <r>
    <x v="4544"/>
    <s v="ЛЕЧЕБНЫЙ"/>
    <n v="55990.2"/>
    <n v="55990.2"/>
    <n v="50700.12"/>
  </r>
  <r>
    <x v="4545"/>
    <s v="Нижнеисетский"/>
    <n v="45325.4"/>
    <n v="45325.4"/>
    <n v="41042.959999999999"/>
  </r>
  <r>
    <x v="4546"/>
    <s v="ШИРОКАЯ РЕЧКА"/>
    <n v="61207.26"/>
    <n v="61207.26"/>
    <n v="55424.27"/>
  </r>
  <r>
    <x v="4547"/>
    <s v="ШУВАКИШ"/>
    <n v="42862.720000000001"/>
    <n v="42862.720000000001"/>
    <n v="38812.959999999999"/>
  </r>
  <r>
    <x v="4548"/>
    <s v="МЕДНЫЙ"/>
    <n v="49741.93"/>
    <n v="49741.93"/>
    <n v="45042.2"/>
  </r>
  <r>
    <x v="806"/>
    <s v="ПОЛЕВОДСТВО"/>
    <n v="53954.93"/>
    <n v="53954.93"/>
    <n v="48857.15"/>
  </r>
  <r>
    <x v="4549"/>
    <s v="ШУВАКИШ"/>
    <n v="42862.720000000001"/>
    <n v="42862.720000000001"/>
    <n v="38812.959999999999"/>
  </r>
  <r>
    <x v="4550"/>
    <s v="Северка"/>
    <n v="49579.11"/>
    <n v="49579.11"/>
    <n v="44894.77"/>
  </r>
  <r>
    <x v="4551"/>
    <s v="ЕЛИЗАВЕТ"/>
    <n v="59056.67"/>
    <n v="59056.67"/>
    <n v="53476.87"/>
  </r>
  <r>
    <x v="4552"/>
    <s v="ШУВАКИШ"/>
    <n v="42862.720000000001"/>
    <n v="42862.720000000001"/>
    <n v="38812.959999999999"/>
  </r>
  <r>
    <x v="4553"/>
    <s v="МЕДНЫЙ"/>
    <n v="49741.93"/>
    <n v="49741.93"/>
    <n v="45042.2"/>
  </r>
  <r>
    <x v="4554"/>
    <s v="ШИРОКАЯ РЕЧКА"/>
    <n v="61207.26"/>
    <n v="61207.26"/>
    <n v="55424.27"/>
  </r>
  <r>
    <x v="4555"/>
    <s v="ШИРОКАЯ РЕЧКА"/>
    <n v="61207.26"/>
    <n v="61207.26"/>
    <n v="55424.27"/>
  </r>
  <r>
    <x v="4556"/>
    <s v="МАЛЫЙ ИСТОК"/>
    <n v="58296.83"/>
    <n v="58296.83"/>
    <n v="52788.83"/>
  </r>
  <r>
    <x v="4557"/>
    <s v="ШАРТАШ"/>
    <n v="66003.710000000006"/>
    <n v="66003.710000000006"/>
    <n v="59767.54"/>
  </r>
  <r>
    <x v="4558"/>
    <s v="МАЛЫЙ ИСТОК"/>
    <n v="58296.83"/>
    <n v="58296.83"/>
    <n v="52788.83"/>
  </r>
  <r>
    <x v="4559"/>
    <s v="ШИРОКАЯ РЕЧКА"/>
    <n v="61207.26"/>
    <n v="61207.26"/>
    <n v="55424.27"/>
  </r>
  <r>
    <x v="4560"/>
    <s v="МЕДНЫЙ"/>
    <n v="49741.93"/>
    <n v="49741.93"/>
    <n v="45042.2"/>
  </r>
  <r>
    <x v="4561"/>
    <s v="ЕЛИЗАВЕТ"/>
    <n v="59056.67"/>
    <n v="59056.67"/>
    <n v="53476.87"/>
  </r>
  <r>
    <x v="4562"/>
    <s v="Северка"/>
    <n v="49579.11"/>
    <n v="49579.11"/>
    <n v="44894.77"/>
  </r>
  <r>
    <x v="4563"/>
    <s v="МЕДНЫЙ"/>
    <n v="49741.93"/>
    <n v="49741.93"/>
    <n v="45042.2"/>
  </r>
  <r>
    <x v="4564"/>
    <s v="МЕДНЫЙ"/>
    <n v="49741.93"/>
    <n v="49741.93"/>
    <n v="45042.2"/>
  </r>
  <r>
    <x v="4565"/>
    <s v="ИСТОК"/>
    <n v="51831.47"/>
    <n v="51831.47"/>
    <n v="46934.32"/>
  </r>
  <r>
    <x v="372"/>
    <s v="ШАБРОВСКИЙ"/>
    <n v="36417.71"/>
    <n v="36417.71"/>
    <n v="32976.89"/>
  </r>
  <r>
    <x v="4566"/>
    <s v="УКТУС"/>
    <n v="61655.02"/>
    <n v="61655.02"/>
    <n v="55829.73"/>
  </r>
  <r>
    <x v="4567"/>
    <s v="САДОВЫЙ"/>
    <n v="51600.800000000003"/>
    <n v="51600.800000000003"/>
    <n v="46725.45"/>
  </r>
  <r>
    <x v="4568"/>
    <s v="ШАБРОВСКИЙ"/>
    <n v="36417.71"/>
    <n v="36417.71"/>
    <n v="32976.89"/>
  </r>
  <r>
    <x v="4569"/>
    <s v="СЕВЕРКА"/>
    <n v="49579.11"/>
    <n v="49579.11"/>
    <n v="44894.77"/>
  </r>
  <r>
    <x v="4570"/>
    <s v="Чусовское озеро"/>
    <n v="48229.05"/>
    <n v="48229.05"/>
    <n v="43672.26"/>
  </r>
  <r>
    <x v="4571"/>
    <s v="Исток"/>
    <n v="51831.47"/>
    <n v="51831.47"/>
    <n v="46934.32"/>
  </r>
  <r>
    <x v="4572"/>
    <s v="ЛЕЧЕБНЫЙ"/>
    <n v="55990.2"/>
    <n v="55990.2"/>
    <n v="50700.12"/>
  </r>
  <r>
    <x v="4573"/>
    <s v="ШАБРОВСКИЙ"/>
    <n v="36417.71"/>
    <n v="36417.71"/>
    <n v="32976.89"/>
  </r>
  <r>
    <x v="4574"/>
    <s v="СЕВЕРКА"/>
    <n v="49579.11"/>
    <n v="49579.11"/>
    <n v="44894.77"/>
  </r>
  <r>
    <x v="4575"/>
    <s v="ШУВАКИШ"/>
    <n v="42862.720000000001"/>
    <n v="42862.720000000001"/>
    <n v="38812.959999999999"/>
  </r>
  <r>
    <x v="4576"/>
    <s v="ИСТОК"/>
    <n v="51831.47"/>
    <n v="51831.47"/>
    <n v="46934.32"/>
  </r>
  <r>
    <x v="4577"/>
    <s v="Чусовское озеро"/>
    <n v="48229.05"/>
    <n v="48229.05"/>
    <n v="43672.26"/>
  </r>
  <r>
    <x v="4578"/>
    <s v="ПОЛЕВОДСТВО"/>
    <n v="53954.93"/>
    <n v="53954.93"/>
    <n v="48857.15"/>
  </r>
  <r>
    <x v="4579"/>
    <s v="УРАЛМАШ"/>
    <n v="67842.240000000005"/>
    <n v="67842.240000000005"/>
    <n v="61432.36"/>
  </r>
  <r>
    <x v="4580"/>
    <s v="Чусовское озеро"/>
    <n v="48229.05"/>
    <n v="48229.05"/>
    <n v="43672.26"/>
  </r>
  <r>
    <x v="4581"/>
    <s v="ШИРОКАЯ РЕЧКА"/>
    <n v="61207.26"/>
    <n v="61207.26"/>
    <n v="55424.27"/>
  </r>
  <r>
    <x v="4582"/>
    <s v="ХИММАШ"/>
    <n v="60047.16"/>
    <n v="60047.16"/>
    <n v="54373.78"/>
  </r>
  <r>
    <x v="4583"/>
    <s v="Нижнеисетский"/>
    <n v="45325.4"/>
    <n v="45325.4"/>
    <n v="41042.959999999999"/>
  </r>
  <r>
    <x v="4584"/>
    <s v="ХИММАШ"/>
    <n v="60047.16"/>
    <n v="60047.16"/>
    <n v="54373.78"/>
  </r>
  <r>
    <x v="4585"/>
    <s v="ШИРОКАЯ РЕЧКА"/>
    <n v="61207.26"/>
    <n v="61207.26"/>
    <n v="55424.27"/>
  </r>
  <r>
    <x v="4586"/>
    <s v="УРАЛМАШ"/>
    <n v="67842.240000000005"/>
    <n v="67842.240000000005"/>
    <n v="61432.36"/>
  </r>
  <r>
    <x v="4587"/>
    <s v="ШИРОКАЯ РЕЧКА"/>
    <n v="61207.26"/>
    <n v="61207.26"/>
    <n v="55424.27"/>
  </r>
  <r>
    <x v="4588"/>
    <s v="ГОРНЫЙ ЩИТ"/>
    <n v="50617.09"/>
    <n v="50617.09"/>
    <n v="45834.68"/>
  </r>
  <r>
    <x v="4589"/>
    <s v="ГОРНЫЙ ЩИТ"/>
    <n v="50617.09"/>
    <n v="50617.09"/>
    <n v="45834.68"/>
  </r>
  <r>
    <x v="4590"/>
    <s v="Старая сортировка"/>
    <n v="57516.65"/>
    <n v="57516.65"/>
    <n v="52082.35"/>
  </r>
  <r>
    <x v="4591"/>
    <s v="ШАБРОВСКИЙ"/>
    <n v="36417.71"/>
    <n v="36417.71"/>
    <n v="32976.89"/>
  </r>
  <r>
    <x v="4592"/>
    <s v="СЕВЕРКА"/>
    <n v="49579.11"/>
    <n v="49579.11"/>
    <n v="44894.77"/>
  </r>
  <r>
    <x v="4593"/>
    <s v="ГОРНЫЙ ЩИТ"/>
    <n v="50617.09"/>
    <n v="50617.09"/>
    <n v="45834.68"/>
  </r>
  <r>
    <x v="4594"/>
    <s v="ПОЛЕВОДСТВО"/>
    <n v="53954.93"/>
    <n v="53954.93"/>
    <n v="48857.15"/>
  </r>
  <r>
    <x v="4595"/>
    <s v="Северка"/>
    <n v="49579.11"/>
    <n v="49579.11"/>
    <n v="44894.77"/>
  </r>
  <r>
    <x v="4596"/>
    <s v="Чусовское озеро"/>
    <n v="48229.05"/>
    <n v="48229.05"/>
    <n v="43672.26"/>
  </r>
  <r>
    <x v="4597"/>
    <s v="ШИРОКАЯ РЕЧКА"/>
    <n v="61207.26"/>
    <n v="61207.26"/>
    <n v="55424.27"/>
  </r>
  <r>
    <x v="4598"/>
    <s v="ЧЕРМЕТ"/>
    <n v="60698.45"/>
    <n v="60698.45"/>
    <n v="54963.53"/>
  </r>
  <r>
    <x v="4599"/>
    <s v="ЭЛЬМАШ"/>
    <n v="68527.44"/>
    <n v="68527.44"/>
    <n v="62052.82"/>
  </r>
  <r>
    <x v="4600"/>
    <s v="ЛЕЧЕБНЫЙ"/>
    <n v="55990.2"/>
    <n v="55990.2"/>
    <n v="50700.12"/>
  </r>
  <r>
    <x v="4601"/>
    <s v="МАЛЫЙ ИСТОК"/>
    <n v="58296.83"/>
    <n v="58296.83"/>
    <n v="52788.83"/>
  </r>
  <r>
    <x v="4602"/>
    <s v="ШИРОКАЯ РЕЧКА"/>
    <n v="61207.26"/>
    <n v="61207.26"/>
    <n v="55424.27"/>
  </r>
  <r>
    <x v="4603"/>
    <s v="УРАЛМАШ"/>
    <n v="67842.240000000005"/>
    <n v="67842.240000000005"/>
    <n v="61432.36"/>
  </r>
  <r>
    <x v="4604"/>
    <s v="СЕВЕРКА"/>
    <n v="49579.11"/>
    <n v="49579.11"/>
    <n v="44894.77"/>
  </r>
  <r>
    <x v="4605"/>
    <s v="УКТУС"/>
    <n v="61655.02"/>
    <n v="61655.02"/>
    <n v="55829.73"/>
  </r>
  <r>
    <x v="4606"/>
    <s v="Северка"/>
    <n v="49579.11"/>
    <n v="49579.11"/>
    <n v="44894.77"/>
  </r>
  <r>
    <x v="4607"/>
    <s v="ЛЕЧЕБНЫЙ"/>
    <n v="55990.2"/>
    <n v="55990.2"/>
    <n v="50700.12"/>
  </r>
  <r>
    <x v="4608"/>
    <s v="СЕВЕРКА"/>
    <n v="49579.11"/>
    <n v="49579.11"/>
    <n v="44894.77"/>
  </r>
  <r>
    <x v="4609"/>
    <s v="Северка"/>
    <n v="49579.11"/>
    <n v="49579.11"/>
    <n v="44894.77"/>
  </r>
  <r>
    <x v="4610"/>
    <s v="ПТИЦЕФАБРИКА"/>
    <n v="55074.33"/>
    <n v="55074.33"/>
    <n v="49870.79"/>
  </r>
  <r>
    <x v="4611"/>
    <s v="КОЛЬЦОВО"/>
    <n v="53174.74"/>
    <n v="53174.74"/>
    <n v="48150.68"/>
  </r>
  <r>
    <x v="4612"/>
    <s v="ЕЛИЗАВЕТ"/>
    <n v="59056.67"/>
    <n v="59056.67"/>
    <n v="53476.87"/>
  </r>
  <r>
    <x v="4613"/>
    <s v="СЕВЕРКА"/>
    <n v="49579.11"/>
    <n v="49579.11"/>
    <n v="44894.77"/>
  </r>
  <r>
    <x v="4614"/>
    <s v="УРАЛМАШ"/>
    <n v="67842.240000000005"/>
    <n v="67842.240000000005"/>
    <n v="61432.36"/>
  </r>
  <r>
    <x v="4615"/>
    <s v="ИСТОК"/>
    <n v="51831.47"/>
    <n v="51831.47"/>
    <n v="46934.32"/>
  </r>
  <r>
    <x v="4616"/>
    <s v="ШУВАКИШ"/>
    <n v="42862.720000000001"/>
    <n v="42862.720000000001"/>
    <n v="38812.959999999999"/>
  </r>
  <r>
    <x v="4617"/>
    <s v="ШИРОКАЯ РЕЧКА"/>
    <n v="61207.26"/>
    <n v="61207.26"/>
    <n v="55424.27"/>
  </r>
  <r>
    <x v="4618"/>
    <s v="МЕДНЫЙ"/>
    <n v="49741.93"/>
    <n v="49741.93"/>
    <n v="45042.2"/>
  </r>
  <r>
    <x v="4619"/>
    <s v="САДОВЫЙ"/>
    <n v="51600.800000000003"/>
    <n v="51600.800000000003"/>
    <n v="46725.45"/>
  </r>
  <r>
    <x v="4620"/>
    <s v="ШАБРОВСКИЙ"/>
    <n v="36417.71"/>
    <n v="36417.71"/>
    <n v="32976.89"/>
  </r>
  <r>
    <x v="875"/>
    <s v="ГОРНЫЙ ЩИТ"/>
    <n v="50617.09"/>
    <n v="50617.09"/>
    <n v="45834.68"/>
  </r>
  <r>
    <x v="4621"/>
    <s v="ЕЛИЗАВЕТ"/>
    <n v="59056.67"/>
    <n v="59056.67"/>
    <n v="53476.87"/>
  </r>
  <r>
    <x v="4622"/>
    <s v="ЕЛИЗАВЕТ"/>
    <n v="59056.67"/>
    <n v="59056.67"/>
    <n v="53476.87"/>
  </r>
  <r>
    <x v="4623"/>
    <s v="САДОВЫЙ"/>
    <n v="51600.800000000003"/>
    <n v="51600.800000000003"/>
    <n v="46725.45"/>
  </r>
  <r>
    <x v="4624"/>
    <s v="ГОРНЫЙ ЩИТ"/>
    <n v="50617.09"/>
    <n v="50617.09"/>
    <n v="45834.68"/>
  </r>
  <r>
    <x v="4625"/>
    <s v="ШАБРОВСКИЙ"/>
    <n v="36417.71"/>
    <n v="36417.71"/>
    <n v="32976.89"/>
  </r>
  <r>
    <x v="751"/>
    <s v="ШАБРОВСКИЙ"/>
    <n v="36417.71"/>
    <n v="36417.71"/>
    <n v="32976.89"/>
  </r>
  <r>
    <x v="4626"/>
    <s v="ШИРОКАЯ РЕЧКА"/>
    <n v="61207.26"/>
    <n v="61207.26"/>
    <n v="55424.27"/>
  </r>
  <r>
    <x v="4627"/>
    <s v="ШАБРОВСКИЙ"/>
    <n v="36417.71"/>
    <n v="36417.71"/>
    <n v="32976.89"/>
  </r>
  <r>
    <x v="4628"/>
    <s v="УРАЛМАШ"/>
    <n v="67842.240000000005"/>
    <n v="67842.240000000005"/>
    <n v="61432.36"/>
  </r>
  <r>
    <x v="4629"/>
    <s v="ГОРНЫЙ ЩИТ"/>
    <n v="50617.09"/>
    <n v="50617.09"/>
    <n v="45834.68"/>
  </r>
  <r>
    <x v="4630"/>
    <s v="САДОВЫЙ"/>
    <n v="51600.800000000003"/>
    <n v="51600.800000000003"/>
    <n v="46725.45"/>
  </r>
  <r>
    <x v="4631"/>
    <s v="ИСТОК"/>
    <n v="51831.47"/>
    <n v="51831.47"/>
    <n v="46934.32"/>
  </r>
  <r>
    <x v="4632"/>
    <s v="ЕЛИЗАВЕТ"/>
    <n v="59056.67"/>
    <n v="59056.67"/>
    <n v="53476.87"/>
  </r>
  <r>
    <x v="4633"/>
    <s v="МЕДНЫЙ"/>
    <n v="49741.93"/>
    <n v="49741.93"/>
    <n v="45042.2"/>
  </r>
  <r>
    <x v="925"/>
    <s v="ШАБРОВСКИЙ"/>
    <n v="36417.71"/>
    <n v="36417.71"/>
    <n v="32976.89"/>
  </r>
  <r>
    <x v="4634"/>
    <s v="МЕДНЫЙ"/>
    <n v="49741.93"/>
    <n v="49741.93"/>
    <n v="45042.2"/>
  </r>
  <r>
    <x v="4635"/>
    <s v="ЛЕЧЕБНЫЙ"/>
    <n v="55990.2"/>
    <n v="55990.2"/>
    <n v="50700.12"/>
  </r>
  <r>
    <x v="4636"/>
    <s v="ГОРНЫЙ ЩИТ"/>
    <n v="50617.09"/>
    <n v="50617.09"/>
    <n v="45834.68"/>
  </r>
  <r>
    <x v="4637"/>
    <s v="ШИРОКАЯ РЕЧКА"/>
    <n v="61207.26"/>
    <n v="61207.26"/>
    <n v="55424.27"/>
  </r>
  <r>
    <x v="4638"/>
    <s v="ПТИЦЕФАБРИКА"/>
    <n v="55074.33"/>
    <n v="55074.33"/>
    <n v="49870.79"/>
  </r>
  <r>
    <x v="4639"/>
    <s v="МЕДНЫЙ"/>
    <n v="49741.93"/>
    <n v="49741.93"/>
    <n v="45042.2"/>
  </r>
  <r>
    <x v="4640"/>
    <s v="ГОРНЫЙ ЩИТ"/>
    <n v="50617.09"/>
    <n v="50617.09"/>
    <n v="45834.68"/>
  </r>
  <r>
    <x v="1010"/>
    <s v="МАЛЫЙ ИСТОК"/>
    <n v="58296.83"/>
    <n v="58296.83"/>
    <n v="52788.83"/>
  </r>
  <r>
    <x v="4641"/>
    <s v="Нижнеисетский"/>
    <n v="45325.4"/>
    <n v="45325.4"/>
    <n v="41042.959999999999"/>
  </r>
  <r>
    <x v="4642"/>
    <s v="КАЛИНОВСКИЙ"/>
    <n v="54782.6"/>
    <n v="54782.6"/>
    <n v="49606.63"/>
  </r>
  <r>
    <x v="4643"/>
    <s v="САДОВЫЙ"/>
    <n v="51600.800000000003"/>
    <n v="51600.800000000003"/>
    <n v="46725.45"/>
  </r>
  <r>
    <x v="4644"/>
    <s v="МАЛЫЙ ИСТОК"/>
    <n v="58296.83"/>
    <n v="58296.83"/>
    <n v="52788.83"/>
  </r>
  <r>
    <x v="4645"/>
    <s v="ХИММАШ"/>
    <n v="60047.16"/>
    <n v="60047.16"/>
    <n v="54373.78"/>
  </r>
  <r>
    <x v="4646"/>
    <s v="МЕДНЫЙ"/>
    <n v="49741.93"/>
    <n v="49741.93"/>
    <n v="45042.2"/>
  </r>
  <r>
    <x v="4647"/>
    <s v="САДОВЫЙ"/>
    <n v="51600.800000000003"/>
    <n v="51600.800000000003"/>
    <n v="46725.45"/>
  </r>
  <r>
    <x v="4648"/>
    <s v="ПТИЦЕФАБРИКА"/>
    <n v="55074.33"/>
    <n v="55074.33"/>
    <n v="49870.79"/>
  </r>
  <r>
    <x v="4649"/>
    <s v="Северка"/>
    <n v="49579.11"/>
    <n v="49579.11"/>
    <n v="44894.77"/>
  </r>
  <r>
    <x v="4650"/>
    <s v="ШАБРОВСКИЙ"/>
    <n v="36417.71"/>
    <n v="36417.71"/>
    <n v="32976.89"/>
  </r>
  <r>
    <x v="4651"/>
    <s v="УРАЛМАШ"/>
    <n v="67842.240000000005"/>
    <n v="67842.240000000005"/>
    <n v="61432.36"/>
  </r>
  <r>
    <x v="621"/>
    <s v="ШИРОКАЯ РЕЧКА"/>
    <n v="61207.26"/>
    <n v="61207.26"/>
    <n v="55424.27"/>
  </r>
  <r>
    <x v="4652"/>
    <s v="ЕЛИЗАВЕТ"/>
    <n v="59056.67"/>
    <n v="59056.67"/>
    <n v="53476.87"/>
  </r>
  <r>
    <x v="4653"/>
    <s v="МЕДНЫЙ"/>
    <n v="49741.93"/>
    <n v="49741.93"/>
    <n v="45042.2"/>
  </r>
  <r>
    <x v="4654"/>
    <s v="УРАЛМАШ"/>
    <n v="67842.240000000005"/>
    <n v="67842.240000000005"/>
    <n v="61432.36"/>
  </r>
  <r>
    <x v="4655"/>
    <s v="ЧУСОВСКОЕ ОЗЕРО"/>
    <n v="48229.05"/>
    <n v="48229.05"/>
    <n v="43672.26"/>
  </r>
  <r>
    <x v="4656"/>
    <s v="САДОВЫЙ"/>
    <n v="51600.800000000003"/>
    <n v="51600.800000000003"/>
    <n v="46725.45"/>
  </r>
  <r>
    <x v="4657"/>
    <s v="ПОЛЕВОДСТВО"/>
    <n v="53954.93"/>
    <n v="53954.93"/>
    <n v="48857.15"/>
  </r>
  <r>
    <x v="549"/>
    <s v="ШАБРОВСКИЙ"/>
    <n v="36417.71"/>
    <n v="36417.71"/>
    <n v="32976.89"/>
  </r>
  <r>
    <x v="4658"/>
    <s v="ШУВАКИШ"/>
    <n v="42862.720000000001"/>
    <n v="42862.720000000001"/>
    <n v="38812.959999999999"/>
  </r>
  <r>
    <x v="4659"/>
    <s v="Северка"/>
    <n v="49579.11"/>
    <n v="49579.11"/>
    <n v="44894.77"/>
  </r>
  <r>
    <x v="4660"/>
    <s v="МАЛЫЙ ИСТОК"/>
    <n v="58296.83"/>
    <n v="58296.83"/>
    <n v="52788.83"/>
  </r>
  <r>
    <x v="4661"/>
    <s v="УКТУС"/>
    <n v="61655.02"/>
    <n v="61655.02"/>
    <n v="55829.73"/>
  </r>
  <r>
    <x v="4662"/>
    <s v="САДОВЫЙ"/>
    <n v="51600.800000000003"/>
    <n v="51600.800000000003"/>
    <n v="46725.45"/>
  </r>
  <r>
    <x v="4663"/>
    <s v="СЕВЕРКА"/>
    <n v="49579.11"/>
    <n v="49579.11"/>
    <n v="44894.77"/>
  </r>
  <r>
    <x v="4664"/>
    <s v="ГОРНЫЙ ЩИТ"/>
    <n v="50617.09"/>
    <n v="50617.09"/>
    <n v="45834.68"/>
  </r>
  <r>
    <x v="4665"/>
    <s v="СЕВЕРКА"/>
    <n v="49579.11"/>
    <n v="49579.11"/>
    <n v="44894.77"/>
  </r>
  <r>
    <x v="4666"/>
    <s v="ШИРОКАЯ РЕЧКА"/>
    <n v="61207.26"/>
    <n v="61207.26"/>
    <n v="55424.27"/>
  </r>
  <r>
    <x v="4667"/>
    <s v="ПОЛЕВОДСТВО"/>
    <n v="53954.93"/>
    <n v="53954.93"/>
    <n v="48857.15"/>
  </r>
  <r>
    <x v="4668"/>
    <s v="СЕВЕРКА"/>
    <n v="49579.11"/>
    <n v="49579.11"/>
    <n v="44894.77"/>
  </r>
  <r>
    <x v="4669"/>
    <s v="ЭЛЬМАШ"/>
    <n v="68527.44"/>
    <n v="68527.44"/>
    <n v="62052.82"/>
  </r>
  <r>
    <x v="1040"/>
    <s v="ИСТОК"/>
    <n v="51831.47"/>
    <n v="51831.47"/>
    <n v="46934.32"/>
  </r>
  <r>
    <x v="4670"/>
    <s v="ШИРОКАЯ РЕЧКА"/>
    <n v="61207.26"/>
    <n v="61207.26"/>
    <n v="55424.27"/>
  </r>
  <r>
    <x v="4671"/>
    <s v="ЕЛИЗАВЕТ"/>
    <n v="59056.67"/>
    <n v="59056.67"/>
    <n v="53476.87"/>
  </r>
  <r>
    <x v="4672"/>
    <s v="СЕВЕРКА"/>
    <n v="49579.11"/>
    <n v="49579.11"/>
    <n v="44894.77"/>
  </r>
  <r>
    <x v="4673"/>
    <s v="ШУВАКИШ"/>
    <n v="42862.720000000001"/>
    <n v="42862.720000000001"/>
    <n v="38812.959999999999"/>
  </r>
  <r>
    <x v="465"/>
    <s v="ГОРНЫЙ ЩИТ"/>
    <n v="50617.09"/>
    <n v="50617.09"/>
    <n v="45834.68"/>
  </r>
  <r>
    <x v="4674"/>
    <s v="Северка"/>
    <n v="49579.11"/>
    <n v="49579.11"/>
    <n v="44894.77"/>
  </r>
  <r>
    <x v="4675"/>
    <s v="МЕДНЫЙ"/>
    <n v="49741.93"/>
    <n v="49741.93"/>
    <n v="45042.2"/>
  </r>
  <r>
    <x v="4676"/>
    <s v="ЭЛЬМАШ"/>
    <n v="68527.44"/>
    <n v="68527.44"/>
    <n v="62052.82"/>
  </r>
  <r>
    <x v="4677"/>
    <s v="ШАБРОВСКИЙ"/>
    <n v="36417.71"/>
    <n v="36417.71"/>
    <n v="32976.89"/>
  </r>
  <r>
    <x v="4678"/>
    <s v="ШИРОКАЯ РЕЧКА"/>
    <n v="61207.26"/>
    <n v="61207.26"/>
    <n v="55424.27"/>
  </r>
  <r>
    <x v="4679"/>
    <s v="УРАЛМАШ"/>
    <n v="67842.240000000005"/>
    <n v="67842.240000000005"/>
    <n v="61432.36"/>
  </r>
  <r>
    <x v="4680"/>
    <s v="ПОЛЕВОДСТВО"/>
    <n v="53954.93"/>
    <n v="53954.93"/>
    <n v="48857.15"/>
  </r>
  <r>
    <x v="4681"/>
    <s v="ЕЛИЗАВЕТ"/>
    <n v="59056.67"/>
    <n v="59056.67"/>
    <n v="53476.87"/>
  </r>
  <r>
    <x v="4682"/>
    <s v="ЕЛИЗАВЕТ"/>
    <n v="59056.67"/>
    <n v="59056.67"/>
    <n v="53476.87"/>
  </r>
  <r>
    <x v="4683"/>
    <s v="ШУВАКИШ"/>
    <n v="42862.720000000001"/>
    <n v="42862.720000000001"/>
    <n v="38812.959999999999"/>
  </r>
  <r>
    <x v="4684"/>
    <s v="ШАБРОВСКИЙ"/>
    <n v="36417.71"/>
    <n v="36417.71"/>
    <n v="32976.89"/>
  </r>
  <r>
    <x v="4685"/>
    <s v="ХИММАШ"/>
    <n v="60047.16"/>
    <n v="60047.16"/>
    <n v="54373.78"/>
  </r>
  <r>
    <x v="4686"/>
    <s v="ШАБРОВСКИЙ"/>
    <n v="36417.71"/>
    <n v="36417.71"/>
    <n v="32976.89"/>
  </r>
  <r>
    <x v="4687"/>
    <s v="ЕЛИЗАВЕТ"/>
    <n v="59056.67"/>
    <n v="59056.67"/>
    <n v="53476.87"/>
  </r>
  <r>
    <x v="4688"/>
    <s v="УРАЛМАШ"/>
    <n v="67842.240000000005"/>
    <n v="67842.240000000005"/>
    <n v="61432.36"/>
  </r>
  <r>
    <x v="4689"/>
    <s v="ШИРОКАЯ РЕЧКА"/>
    <n v="61207.26"/>
    <n v="61207.26"/>
    <n v="55424.27"/>
  </r>
  <r>
    <x v="4690"/>
    <s v="ИСТОК"/>
    <n v="51831.47"/>
    <n v="51831.47"/>
    <n v="46934.32"/>
  </r>
  <r>
    <x v="4691"/>
    <s v="СЕВЕРКА"/>
    <n v="49579.11"/>
    <n v="49579.11"/>
    <n v="44894.77"/>
  </r>
  <r>
    <x v="4692"/>
    <s v="ЕЛИЗАВЕТ"/>
    <n v="59056.67"/>
    <n v="59056.67"/>
    <n v="53476.87"/>
  </r>
  <r>
    <x v="4693"/>
    <s v="СЕВЕРКА"/>
    <n v="49579.11"/>
    <n v="49579.11"/>
    <n v="44894.77"/>
  </r>
  <r>
    <x v="4694"/>
    <s v="ШИРОКАЯ РЕЧКА"/>
    <n v="61207.26"/>
    <n v="61207.26"/>
    <n v="55424.27"/>
  </r>
  <r>
    <x v="4695"/>
    <s v="ВИЗ"/>
    <n v="81668.479999999996"/>
    <n v="81668.479999999996"/>
    <n v="73952.27"/>
  </r>
  <r>
    <x v="4696"/>
    <s v="ПОЛЕВОДСТВО"/>
    <n v="53954.93"/>
    <n v="53954.93"/>
    <n v="48857.15"/>
  </r>
  <r>
    <x v="4697"/>
    <s v="ИЗОПЛИТ"/>
    <n v="51994.29"/>
    <n v="51994.29"/>
    <n v="47081.760000000002"/>
  </r>
  <r>
    <x v="4698"/>
    <s v="ШИРОКАЯ РЕЧКА"/>
    <n v="61207.26"/>
    <n v="61207.26"/>
    <n v="55424.27"/>
  </r>
  <r>
    <x v="4699"/>
    <s v="Северка"/>
    <n v="49579.11"/>
    <n v="49579.11"/>
    <n v="44894.77"/>
  </r>
  <r>
    <x v="4700"/>
    <s v="ЕЛИЗАВЕТ"/>
    <n v="59056.67"/>
    <n v="59056.67"/>
    <n v="53476.87"/>
  </r>
  <r>
    <x v="4701"/>
    <s v="Северка"/>
    <n v="49579.11"/>
    <n v="49579.11"/>
    <n v="44894.77"/>
  </r>
  <r>
    <x v="4702"/>
    <s v="Северка"/>
    <n v="49579.11"/>
    <n v="49579.11"/>
    <n v="44894.77"/>
  </r>
  <r>
    <x v="4703"/>
    <s v="ЭЛЬМАШ"/>
    <n v="68527.44"/>
    <n v="68527.44"/>
    <n v="62052.82"/>
  </r>
  <r>
    <x v="4704"/>
    <s v="МЕДНЫЙ"/>
    <n v="49741.93"/>
    <n v="49741.93"/>
    <n v="45042.2"/>
  </r>
  <r>
    <x v="4705"/>
    <s v="ШАРТАШ"/>
    <n v="66003.710000000006"/>
    <n v="66003.710000000006"/>
    <n v="59767.54"/>
  </r>
  <r>
    <x v="4706"/>
    <s v="Северка"/>
    <n v="49579.11"/>
    <n v="49579.11"/>
    <n v="44894.77"/>
  </r>
  <r>
    <x v="4707"/>
    <s v="ХИММАШ"/>
    <n v="60047.16"/>
    <n v="60047.16"/>
    <n v="54373.78"/>
  </r>
  <r>
    <x v="4708"/>
    <s v="ГОРНЫЙ ЩИТ"/>
    <n v="50617.09"/>
    <n v="50617.09"/>
    <n v="45834.68"/>
  </r>
  <r>
    <x v="4709"/>
    <s v="МЕДНЫЙ"/>
    <n v="49741.93"/>
    <n v="49741.93"/>
    <n v="45042.2"/>
  </r>
  <r>
    <x v="4710"/>
    <s v="ШИРОКАЯ РЕЧКА"/>
    <n v="61207.26"/>
    <n v="61207.26"/>
    <n v="55424.27"/>
  </r>
  <r>
    <x v="4711"/>
    <s v="ШИРОКАЯ РЕЧКА"/>
    <n v="61207.26"/>
    <n v="61207.26"/>
    <n v="55424.27"/>
  </r>
  <r>
    <x v="4712"/>
    <s v="ЕЛИЗАВЕТ"/>
    <n v="59056.67"/>
    <n v="59056.67"/>
    <n v="53476.87"/>
  </r>
  <r>
    <x v="4713"/>
    <s v="ЛЕЧЕБНЫЙ"/>
    <n v="55990.2"/>
    <n v="55990.2"/>
    <n v="50700.12"/>
  </r>
  <r>
    <x v="4714"/>
    <s v="ШИРОКАЯ РЕЧКА"/>
    <n v="61207.26"/>
    <n v="61207.26"/>
    <n v="55424.27"/>
  </r>
  <r>
    <x v="4715"/>
    <s v="Старая сортировка"/>
    <n v="57516.65"/>
    <n v="57516.65"/>
    <n v="52082.35"/>
  </r>
  <r>
    <x v="4716"/>
    <s v="СЕВЕРКА"/>
    <n v="49579.11"/>
    <n v="49579.11"/>
    <n v="44894.77"/>
  </r>
  <r>
    <x v="4717"/>
    <s v="МЕДНЫЙ"/>
    <n v="49741.93"/>
    <n v="49741.93"/>
    <n v="45042.2"/>
  </r>
  <r>
    <x v="4718"/>
    <s v="ЛЕЧЕБНЫЙ"/>
    <n v="55990.2"/>
    <n v="55990.2"/>
    <n v="50700.12"/>
  </r>
  <r>
    <x v="4719"/>
    <s v="ШИРОКАЯ РЕЧКА"/>
    <n v="61207.26"/>
    <n v="61207.26"/>
    <n v="55424.27"/>
  </r>
  <r>
    <x v="4720"/>
    <s v="СЕВЕРКА"/>
    <n v="49579.11"/>
    <n v="49579.11"/>
    <n v="44894.77"/>
  </r>
  <r>
    <x v="4721"/>
    <s v="ШИРОКАЯ РЕЧКА"/>
    <n v="61207.26"/>
    <n v="61207.26"/>
    <n v="55424.27"/>
  </r>
  <r>
    <x v="4722"/>
    <s v="ЕЛИЗАВЕТ"/>
    <n v="59056.67"/>
    <n v="59056.67"/>
    <n v="53476.87"/>
  </r>
  <r>
    <x v="4723"/>
    <s v="ШИРОКАЯ РЕЧКА"/>
    <n v="61207.26"/>
    <n v="61207.26"/>
    <n v="55424.27"/>
  </r>
  <r>
    <x v="4724"/>
    <s v="УРАЛМАШ"/>
    <n v="67842.240000000005"/>
    <n v="67842.240000000005"/>
    <n v="61432.36"/>
  </r>
  <r>
    <x v="4725"/>
    <s v="ГОРНЫЙ ЩИТ"/>
    <n v="50617.09"/>
    <n v="50617.09"/>
    <n v="45834.68"/>
  </r>
  <r>
    <x v="4726"/>
    <s v="МЕДНЫЙ"/>
    <n v="49741.93"/>
    <n v="49741.93"/>
    <n v="45042.2"/>
  </r>
  <r>
    <x v="4727"/>
    <s v="ГОРНЫЙ ЩИТ"/>
    <n v="50617.09"/>
    <n v="50617.09"/>
    <n v="45834.68"/>
  </r>
  <r>
    <x v="4728"/>
    <s v="УРАЛМАШ"/>
    <n v="67842.240000000005"/>
    <n v="67842.240000000005"/>
    <n v="61432.36"/>
  </r>
  <r>
    <x v="4729"/>
    <s v="ХИММАШ"/>
    <n v="60047.16"/>
    <n v="60047.16"/>
    <n v="54373.78"/>
  </r>
  <r>
    <x v="4730"/>
    <s v="ГОРНЫЙ ЩИТ"/>
    <n v="50617.09"/>
    <n v="50617.09"/>
    <n v="45834.68"/>
  </r>
  <r>
    <x v="4731"/>
    <s v="ЕЛИЗАВЕТ"/>
    <n v="59056.67"/>
    <n v="59056.67"/>
    <n v="53476.87"/>
  </r>
  <r>
    <x v="4732"/>
    <s v="ЕЛИЗАВЕТ"/>
    <n v="59056.67"/>
    <n v="59056.67"/>
    <n v="53476.87"/>
  </r>
  <r>
    <x v="4733"/>
    <s v="Северка"/>
    <n v="49579.11"/>
    <n v="49579.11"/>
    <n v="44894.77"/>
  </r>
  <r>
    <x v="4734"/>
    <s v="ЕЛИЗАВЕТ"/>
    <n v="59056.67"/>
    <n v="59056.67"/>
    <n v="53476.87"/>
  </r>
  <r>
    <x v="962"/>
    <s v="КОЛЬЦОВО"/>
    <n v="53174.74"/>
    <n v="53174.74"/>
    <n v="48150.68"/>
  </r>
  <r>
    <x v="4735"/>
    <s v="ИЗОПЛИТ"/>
    <n v="51994.29"/>
    <n v="51994.29"/>
    <n v="47081.760000000002"/>
  </r>
  <r>
    <x v="4736"/>
    <s v="Северка"/>
    <n v="49579.11"/>
    <n v="49579.11"/>
    <n v="44894.77"/>
  </r>
  <r>
    <x v="4737"/>
    <s v="ШУВАКИШ"/>
    <n v="42862.720000000001"/>
    <n v="42862.720000000001"/>
    <n v="38812.959999999999"/>
  </r>
  <r>
    <x v="4738"/>
    <s v="СЕВЕРКА"/>
    <n v="49579.11"/>
    <n v="49579.11"/>
    <n v="44894.77"/>
  </r>
  <r>
    <x v="4739"/>
    <s v="Северка"/>
    <n v="49579.11"/>
    <n v="49579.11"/>
    <n v="44894.77"/>
  </r>
  <r>
    <x v="4740"/>
    <s v="СЕВЕРКА"/>
    <n v="49579.11"/>
    <n v="49579.11"/>
    <n v="44894.77"/>
  </r>
  <r>
    <x v="4741"/>
    <s v="ГОРНЫЙ ЩИТ"/>
    <n v="50617.09"/>
    <n v="50617.09"/>
    <n v="45834.68"/>
  </r>
  <r>
    <x v="4742"/>
    <s v="УРАЛМАШ"/>
    <n v="67842.240000000005"/>
    <n v="67842.240000000005"/>
    <n v="61432.36"/>
  </r>
  <r>
    <x v="4743"/>
    <s v="ШУВАКИШ"/>
    <n v="42862.720000000001"/>
    <n v="42862.720000000001"/>
    <n v="38812.959999999999"/>
  </r>
  <r>
    <x v="4744"/>
    <s v="ШИРОКАЯ РЕЧКА"/>
    <n v="61207.26"/>
    <n v="61207.26"/>
    <n v="55424.27"/>
  </r>
  <r>
    <x v="4745"/>
    <s v="МЕДНЫЙ"/>
    <n v="49741.93"/>
    <n v="49741.93"/>
    <n v="45042.2"/>
  </r>
  <r>
    <x v="4746"/>
    <s v="ГОРНЫЙ ЩИТ"/>
    <n v="50617.09"/>
    <n v="50617.09"/>
    <n v="45834.68"/>
  </r>
  <r>
    <x v="4747"/>
    <s v="ШИРОКАЯ РЕЧКА"/>
    <n v="61207.26"/>
    <n v="61207.26"/>
    <n v="55424.27"/>
  </r>
  <r>
    <x v="4748"/>
    <s v="ГОРНЫЙ ЩИТ"/>
    <n v="50617.09"/>
    <n v="50617.09"/>
    <n v="45834.68"/>
  </r>
  <r>
    <x v="4749"/>
    <s v="ШИРОКАЯ РЕЧКА"/>
    <n v="61207.26"/>
    <n v="61207.26"/>
    <n v="55424.27"/>
  </r>
  <r>
    <x v="4750"/>
    <s v="ГОРНЫЙ ЩИТ"/>
    <n v="50617.09"/>
    <n v="50617.09"/>
    <n v="45834.68"/>
  </r>
  <r>
    <x v="4751"/>
    <s v="ГОРНЫЙ ЩИТ"/>
    <n v="50617.09"/>
    <n v="50617.09"/>
    <n v="45834.68"/>
  </r>
  <r>
    <x v="4752"/>
    <s v="МЕДНЫЙ"/>
    <n v="49741.93"/>
    <n v="49741.93"/>
    <n v="45042.2"/>
  </r>
  <r>
    <x v="4753"/>
    <s v="Северка"/>
    <n v="49579.11"/>
    <n v="49579.11"/>
    <n v="44894.77"/>
  </r>
  <r>
    <x v="4754"/>
    <s v="Северка"/>
    <n v="49579.11"/>
    <n v="49579.11"/>
    <n v="44894.77"/>
  </r>
  <r>
    <x v="4755"/>
    <s v="ШУВАКИШ"/>
    <n v="42862.720000000001"/>
    <n v="42862.720000000001"/>
    <n v="38812.959999999999"/>
  </r>
  <r>
    <x v="4756"/>
    <s v="ШИРОКАЯ РЕЧКА"/>
    <n v="61207.26"/>
    <n v="61207.26"/>
    <n v="55424.27"/>
  </r>
  <r>
    <x v="4757"/>
    <s v="ЧУСОВСКОЕ ОЗЕРО"/>
    <n v="48229.05"/>
    <n v="48229.05"/>
    <n v="43672.26"/>
  </r>
  <r>
    <x v="4758"/>
    <s v="ЕЛИЗАВЕТ"/>
    <n v="59056.67"/>
    <n v="59056.67"/>
    <n v="53476.87"/>
  </r>
  <r>
    <x v="4759"/>
    <s v="ШИРОКАЯ РЕЧКА"/>
    <n v="61207.26"/>
    <n v="61207.26"/>
    <n v="55424.27"/>
  </r>
  <r>
    <x v="4760"/>
    <s v="Северка"/>
    <n v="49579.11"/>
    <n v="49579.11"/>
    <n v="44894.77"/>
  </r>
  <r>
    <x v="4761"/>
    <s v="ШУВАКИШ"/>
    <n v="42862.720000000001"/>
    <n v="42862.720000000001"/>
    <n v="38812.959999999999"/>
  </r>
  <r>
    <x v="4762"/>
    <s v="ШУВАКИШ"/>
    <n v="42862.720000000001"/>
    <n v="42862.720000000001"/>
    <n v="38812.959999999999"/>
  </r>
  <r>
    <x v="4763"/>
    <s v="КОЛЬЦОВО"/>
    <n v="53174.74"/>
    <n v="53174.74"/>
    <n v="48150.68"/>
  </r>
  <r>
    <x v="4764"/>
    <s v="ГОРНЫЙ ЩИТ"/>
    <n v="50617.09"/>
    <n v="50617.09"/>
    <n v="45834.68"/>
  </r>
  <r>
    <x v="4765"/>
    <s v="МЕДНЫЙ"/>
    <n v="49741.93"/>
    <n v="49741.93"/>
    <n v="45042.2"/>
  </r>
  <r>
    <x v="4766"/>
    <s v="ЕЛИЗАВЕТ"/>
    <n v="59056.67"/>
    <n v="59056.67"/>
    <n v="53476.87"/>
  </r>
  <r>
    <x v="4767"/>
    <s v="РУДНЫЙ"/>
    <n v="45325.4"/>
    <n v="45325.4"/>
    <n v="41042.959999999999"/>
  </r>
  <r>
    <x v="4768"/>
    <s v="УРАЛМАШ"/>
    <n v="67842.240000000005"/>
    <n v="67842.240000000005"/>
    <n v="61432.36"/>
  </r>
  <r>
    <x v="4769"/>
    <s v="ШИРОКАЯ РЕЧКА"/>
    <n v="61207.26"/>
    <n v="61207.26"/>
    <n v="55424.27"/>
  </r>
  <r>
    <x v="4770"/>
    <s v="ЭЛЬМАШ"/>
    <n v="68527.44"/>
    <n v="68527.44"/>
    <n v="62052.82"/>
  </r>
  <r>
    <x v="4771"/>
    <s v="СЕВЕРКА"/>
    <n v="49579.11"/>
    <n v="49579.11"/>
    <n v="44894.77"/>
  </r>
  <r>
    <x v="4772"/>
    <s v="Северка"/>
    <n v="49579.11"/>
    <n v="49579.11"/>
    <n v="44894.77"/>
  </r>
  <r>
    <x v="4773"/>
    <s v="СЕВЕРКА"/>
    <n v="49579.11"/>
    <n v="49579.11"/>
    <n v="44894.77"/>
  </r>
  <r>
    <x v="4774"/>
    <s v="СЕВЕРКА"/>
    <n v="49579.11"/>
    <n v="49579.11"/>
    <n v="44894.77"/>
  </r>
  <r>
    <x v="4775"/>
    <s v="ВИЗ"/>
    <n v="81668.479999999996"/>
    <n v="81668.479999999996"/>
    <n v="73952.27"/>
  </r>
  <r>
    <x v="4776"/>
    <s v="Исток"/>
    <n v="51831.47"/>
    <n v="51831.47"/>
    <n v="46934.32"/>
  </r>
  <r>
    <x v="4777"/>
    <s v="ЕЛИЗАВЕТ"/>
    <n v="59056.67"/>
    <n v="59056.67"/>
    <n v="53476.87"/>
  </r>
  <r>
    <x v="4778"/>
    <s v="ГОРНЫЙ ЩИТ"/>
    <n v="50617.09"/>
    <n v="50617.09"/>
    <n v="45834.68"/>
  </r>
  <r>
    <x v="4779"/>
    <s v="ШИРОКАЯ РЕЧКА"/>
    <n v="61207.26"/>
    <n v="61207.26"/>
    <n v="55424.27"/>
  </r>
  <r>
    <x v="4780"/>
    <s v="ШАБРОВСКИЙ"/>
    <n v="36417.71"/>
    <n v="36417.71"/>
    <n v="32976.89"/>
  </r>
  <r>
    <x v="4781"/>
    <s v="ЕЛИЗАВЕТ"/>
    <n v="59056.67"/>
    <n v="59056.67"/>
    <n v="53476.87"/>
  </r>
  <r>
    <x v="4782"/>
    <s v="ЧУСОВСКОЕ ОЗЕРО"/>
    <n v="48229.05"/>
    <n v="48229.05"/>
    <n v="43672.26"/>
  </r>
  <r>
    <x v="4783"/>
    <s v="Северка"/>
    <n v="49579.11"/>
    <n v="49579.11"/>
    <n v="44894.77"/>
  </r>
  <r>
    <x v="4784"/>
    <s v="Северка"/>
    <n v="49579.11"/>
    <n v="49579.11"/>
    <n v="44894.77"/>
  </r>
  <r>
    <x v="4785"/>
    <s v="УРАЛМАШ"/>
    <n v="67842.240000000005"/>
    <n v="67842.240000000005"/>
    <n v="61432.36"/>
  </r>
  <r>
    <x v="4786"/>
    <s v="УРАЛМАШ"/>
    <n v="67842.240000000005"/>
    <n v="67842.240000000005"/>
    <n v="61432.36"/>
  </r>
  <r>
    <x v="4787"/>
    <s v="ШУВАКИШ"/>
    <n v="42862.720000000001"/>
    <n v="42862.720000000001"/>
    <n v="38812.959999999999"/>
  </r>
  <r>
    <x v="4788"/>
    <s v="ШИРОКАЯ РЕЧКА"/>
    <n v="61207.26"/>
    <n v="61207.26"/>
    <n v="55424.27"/>
  </r>
  <r>
    <x v="4789"/>
    <s v="САДОВЫЙ"/>
    <n v="51600.800000000003"/>
    <n v="51600.800000000003"/>
    <n v="46725.45"/>
  </r>
  <r>
    <x v="4790"/>
    <s v="СЕВЕРКА"/>
    <n v="49579.11"/>
    <n v="49579.11"/>
    <n v="44894.77"/>
  </r>
  <r>
    <x v="4791"/>
    <s v="ШУВАКИШ"/>
    <n v="42862.720000000001"/>
    <n v="42862.720000000001"/>
    <n v="38812.959999999999"/>
  </r>
  <r>
    <x v="4792"/>
    <s v="Старая сортировка"/>
    <n v="57516.65"/>
    <n v="57516.65"/>
    <n v="52082.35"/>
  </r>
  <r>
    <x v="4793"/>
    <s v="ЕЛИЗАВЕТ"/>
    <n v="59056.67"/>
    <n v="59056.67"/>
    <n v="53476.87"/>
  </r>
  <r>
    <x v="4794"/>
    <s v="ШУВАКИШ"/>
    <n v="42862.720000000001"/>
    <n v="42862.720000000001"/>
    <n v="38812.959999999999"/>
  </r>
  <r>
    <x v="4795"/>
    <s v="РУДНЫЙ"/>
    <n v="45325.4"/>
    <n v="45325.4"/>
    <n v="41042.959999999999"/>
  </r>
  <r>
    <x v="4796"/>
    <s v="ЕЛИЗАВЕТ"/>
    <n v="59056.67"/>
    <n v="59056.67"/>
    <n v="53476.87"/>
  </r>
  <r>
    <x v="4797"/>
    <s v="УРАЛМАШ"/>
    <n v="67842.240000000005"/>
    <n v="67842.240000000005"/>
    <n v="61432.36"/>
  </r>
  <r>
    <x v="4798"/>
    <s v="ЛЕЧЕБНЫЙ"/>
    <n v="55990.2"/>
    <n v="55990.2"/>
    <n v="50700.12"/>
  </r>
  <r>
    <x v="4799"/>
    <s v="УРАЛМАШ"/>
    <n v="67842.240000000005"/>
    <n v="67842.240000000005"/>
    <n v="61432.36"/>
  </r>
  <r>
    <x v="4800"/>
    <s v="ГОРНЫЙ ЩИТ"/>
    <n v="50617.09"/>
    <n v="50617.09"/>
    <n v="45834.68"/>
  </r>
  <r>
    <x v="4801"/>
    <s v="Северка"/>
    <n v="49579.11"/>
    <n v="49579.11"/>
    <n v="44894.77"/>
  </r>
  <r>
    <x v="4802"/>
    <s v="ЕЛИЗАВЕТ"/>
    <n v="59056.67"/>
    <n v="59056.67"/>
    <n v="53476.87"/>
  </r>
  <r>
    <x v="4803"/>
    <s v="Исток"/>
    <n v="51831.47"/>
    <n v="51831.47"/>
    <n v="46934.32"/>
  </r>
  <r>
    <x v="4804"/>
    <s v="ШИРОКАЯ РЕЧКА"/>
    <n v="61207.26"/>
    <n v="61207.26"/>
    <n v="55424.27"/>
  </r>
  <r>
    <x v="4805"/>
    <s v="ГОРНЫЙ ЩИТ"/>
    <n v="50617.09"/>
    <n v="50617.09"/>
    <n v="45834.68"/>
  </r>
  <r>
    <x v="4806"/>
    <s v="ШИРОКАЯ РЕЧКА"/>
    <n v="61207.26"/>
    <n v="61207.26"/>
    <n v="55424.27"/>
  </r>
  <r>
    <x v="4807"/>
    <s v="МЕДНЫЙ"/>
    <n v="49741.93"/>
    <n v="49741.93"/>
    <n v="45042.2"/>
  </r>
  <r>
    <x v="4808"/>
    <s v="СЕВЕРКА"/>
    <n v="49579.11"/>
    <n v="49579.11"/>
    <n v="44894.77"/>
  </r>
  <r>
    <x v="4809"/>
    <s v="МЕДНЫЙ"/>
    <n v="49741.93"/>
    <n v="49741.93"/>
    <n v="45042.2"/>
  </r>
  <r>
    <x v="4810"/>
    <s v="ШИРОКАЯ РЕЧКА"/>
    <n v="61207.26"/>
    <n v="61207.26"/>
    <n v="55424.27"/>
  </r>
  <r>
    <x v="4811"/>
    <s v="ШАРТАШ"/>
    <n v="66003.710000000006"/>
    <n v="66003.710000000006"/>
    <n v="59767.54"/>
  </r>
  <r>
    <x v="4812"/>
    <s v="Северка"/>
    <n v="49579.11"/>
    <n v="49579.11"/>
    <n v="44894.77"/>
  </r>
  <r>
    <x v="4813"/>
    <s v="ШУВАКИШ"/>
    <n v="42862.720000000001"/>
    <n v="42862.720000000001"/>
    <n v="38812.959999999999"/>
  </r>
  <r>
    <x v="360"/>
    <s v="ШУВАКИШ"/>
    <n v="42862.720000000001"/>
    <n v="42862.720000000001"/>
    <n v="38812.959999999999"/>
  </r>
  <r>
    <x v="4814"/>
    <s v="Исток"/>
    <n v="51831.47"/>
    <n v="51831.47"/>
    <n v="46934.32"/>
  </r>
  <r>
    <x v="4815"/>
    <s v="ШИРОКАЯ РЕЧКА"/>
    <n v="61207.26"/>
    <n v="61207.26"/>
    <n v="55424.27"/>
  </r>
  <r>
    <x v="4816"/>
    <s v="МЕДНЫЙ"/>
    <n v="49741.93"/>
    <n v="49741.93"/>
    <n v="45042.2"/>
  </r>
  <r>
    <x v="4817"/>
    <s v="САДОВЫЙ"/>
    <n v="51600.800000000003"/>
    <n v="51600.800000000003"/>
    <n v="46725.45"/>
  </r>
  <r>
    <x v="4818"/>
    <s v="ЕЛИЗАВЕТ"/>
    <n v="59056.67"/>
    <n v="59056.67"/>
    <n v="53476.87"/>
  </r>
  <r>
    <x v="4819"/>
    <s v="ГОРНЫЙ ЩИТ"/>
    <n v="50617.09"/>
    <n v="50617.09"/>
    <n v="45834.68"/>
  </r>
  <r>
    <x v="4820"/>
    <s v="УРАЛМАШ"/>
    <n v="67842.240000000005"/>
    <n v="67842.240000000005"/>
    <n v="61432.36"/>
  </r>
  <r>
    <x v="1036"/>
    <s v="ИСТОК"/>
    <n v="51831.47"/>
    <n v="51831.47"/>
    <n v="46934.32"/>
  </r>
  <r>
    <x v="4821"/>
    <s v="УРАЛМАШ"/>
    <n v="67842.240000000005"/>
    <n v="67842.240000000005"/>
    <n v="61432.36"/>
  </r>
  <r>
    <x v="4822"/>
    <s v="ШУВАКИШ"/>
    <n v="42862.720000000001"/>
    <n v="42862.720000000001"/>
    <n v="38812.959999999999"/>
  </r>
  <r>
    <x v="4823"/>
    <s v="ГОРНЫЙ ЩИТ"/>
    <n v="50617.09"/>
    <n v="50617.09"/>
    <n v="45834.68"/>
  </r>
  <r>
    <x v="4824"/>
    <s v="Северка"/>
    <n v="49579.11"/>
    <n v="49579.11"/>
    <n v="44894.77"/>
  </r>
  <r>
    <x v="4825"/>
    <s v="Старая сортировка"/>
    <n v="57516.65"/>
    <n v="57516.65"/>
    <n v="52082.35"/>
  </r>
  <r>
    <x v="4826"/>
    <s v="ГОРНЫЙ ЩИТ"/>
    <n v="50617.09"/>
    <n v="50617.09"/>
    <n v="45834.68"/>
  </r>
  <r>
    <x v="4827"/>
    <s v="САДОВЫЙ"/>
    <n v="51600.800000000003"/>
    <n v="51600.800000000003"/>
    <n v="46725.45"/>
  </r>
  <r>
    <x v="4828"/>
    <s v="МЕДНЫЙ"/>
    <n v="49741.93"/>
    <n v="49741.93"/>
    <n v="45042.2"/>
  </r>
  <r>
    <x v="4829"/>
    <s v="ПОЛЕВОДСТВО"/>
    <n v="53954.93"/>
    <n v="53954.93"/>
    <n v="48857.15"/>
  </r>
  <r>
    <x v="4830"/>
    <s v="СЕВЕРКА"/>
    <n v="49579.11"/>
    <n v="49579.11"/>
    <n v="44894.77"/>
  </r>
  <r>
    <x v="4831"/>
    <s v="УРАЛМАШ"/>
    <n v="67842.240000000005"/>
    <n v="67842.240000000005"/>
    <n v="61432.36"/>
  </r>
  <r>
    <x v="4832"/>
    <s v="ШУВАКИШ"/>
    <n v="42862.720000000001"/>
    <n v="42862.720000000001"/>
    <n v="38812.959999999999"/>
  </r>
  <r>
    <x v="4833"/>
    <s v="ШУВАКИШ"/>
    <n v="42862.720000000001"/>
    <n v="42862.720000000001"/>
    <n v="38812.959999999999"/>
  </r>
  <r>
    <x v="4834"/>
    <s v="УРАЛМАШ"/>
    <n v="67842.240000000005"/>
    <n v="67842.240000000005"/>
    <n v="61432.36"/>
  </r>
  <r>
    <x v="4835"/>
    <s v="СЕВЕРКА"/>
    <n v="49579.11"/>
    <n v="49579.11"/>
    <n v="44894.77"/>
  </r>
  <r>
    <x v="4836"/>
    <s v="МАЛЫЙ ИСТОК"/>
    <n v="58296.83"/>
    <n v="58296.83"/>
    <n v="52788.83"/>
  </r>
  <r>
    <x v="4837"/>
    <s v="Старая сортировка"/>
    <n v="57516.65"/>
    <n v="57516.65"/>
    <n v="52082.35"/>
  </r>
  <r>
    <x v="4838"/>
    <s v="СЕВЕРКА"/>
    <n v="49579.11"/>
    <n v="49579.11"/>
    <n v="44894.77"/>
  </r>
  <r>
    <x v="4839"/>
    <s v="ГОРНЫЙ ЩИТ"/>
    <n v="50617.09"/>
    <n v="50617.09"/>
    <n v="45834.68"/>
  </r>
  <r>
    <x v="4840"/>
    <s v="ШУВАКИШ"/>
    <n v="42862.720000000001"/>
    <n v="42862.720000000001"/>
    <n v="38812.959999999999"/>
  </r>
  <r>
    <x v="4841"/>
    <s v="САДОВЫЙ"/>
    <n v="51600.800000000003"/>
    <n v="51600.800000000003"/>
    <n v="46725.45"/>
  </r>
  <r>
    <x v="4842"/>
    <s v="Нижнеисетский"/>
    <n v="45325.4"/>
    <n v="45325.4"/>
    <n v="41042.959999999999"/>
  </r>
  <r>
    <x v="4843"/>
    <s v="МАЛЫЙ ИСТОК"/>
    <n v="58296.83"/>
    <n v="58296.83"/>
    <n v="52788.83"/>
  </r>
  <r>
    <x v="4844"/>
    <s v="СЕВЕРКА"/>
    <n v="49579.11"/>
    <n v="49579.11"/>
    <n v="44894.77"/>
  </r>
  <r>
    <x v="4845"/>
    <s v="Северка"/>
    <n v="49579.11"/>
    <n v="49579.11"/>
    <n v="44894.77"/>
  </r>
  <r>
    <x v="4846"/>
    <s v="СЕВЕРКА"/>
    <n v="49579.11"/>
    <n v="49579.11"/>
    <n v="44894.77"/>
  </r>
  <r>
    <x v="4847"/>
    <s v="Северка"/>
    <n v="49579.11"/>
    <n v="49579.11"/>
    <n v="44894.77"/>
  </r>
  <r>
    <x v="4848"/>
    <s v="СЕВЕРКА"/>
    <n v="49579.11"/>
    <n v="49579.11"/>
    <n v="44894.77"/>
  </r>
  <r>
    <x v="4849"/>
    <s v="ГОРНЫЙ ЩИТ"/>
    <n v="50617.09"/>
    <n v="50617.09"/>
    <n v="45834.68"/>
  </r>
  <r>
    <x v="4850"/>
    <s v="Северка"/>
    <n v="49579.11"/>
    <n v="49579.11"/>
    <n v="44894.77"/>
  </r>
  <r>
    <x v="4851"/>
    <s v="СЕВЕРКА"/>
    <n v="49579.11"/>
    <n v="49579.11"/>
    <n v="44894.77"/>
  </r>
  <r>
    <x v="4852"/>
    <s v="Северка"/>
    <n v="49579.11"/>
    <n v="49579.11"/>
    <n v="44894.77"/>
  </r>
  <r>
    <x v="4853"/>
    <s v="ГОРНЫЙ ЩИТ"/>
    <n v="50617.09"/>
    <n v="50617.09"/>
    <n v="45834.68"/>
  </r>
  <r>
    <x v="4854"/>
    <s v="САДОВЫЙ"/>
    <n v="51600.800000000003"/>
    <n v="51600.800000000003"/>
    <n v="46725.45"/>
  </r>
  <r>
    <x v="4855"/>
    <s v="УРАЛМАШ"/>
    <n v="67842.240000000005"/>
    <n v="67842.240000000005"/>
    <n v="61432.36"/>
  </r>
  <r>
    <x v="4856"/>
    <s v="Шувакиш"/>
    <n v="42862.720000000001"/>
    <n v="42862.720000000001"/>
    <n v="38812.959999999999"/>
  </r>
  <r>
    <x v="4857"/>
    <s v="ВИЗ"/>
    <n v="81668.479999999996"/>
    <n v="81668.479999999996"/>
    <n v="73952.27"/>
  </r>
  <r>
    <x v="4858"/>
    <s v="Северка"/>
    <n v="49579.11"/>
    <n v="49579.11"/>
    <n v="44894.77"/>
  </r>
  <r>
    <x v="4859"/>
    <s v="СЕВЕРКА"/>
    <n v="49579.11"/>
    <n v="49579.11"/>
    <n v="44894.77"/>
  </r>
  <r>
    <x v="4860"/>
    <s v="Северка"/>
    <n v="49579.11"/>
    <n v="49579.11"/>
    <n v="44894.77"/>
  </r>
  <r>
    <x v="4861"/>
    <s v="МАЛЫЙ ИСТОК"/>
    <n v="58296.83"/>
    <n v="58296.83"/>
    <n v="52788.83"/>
  </r>
  <r>
    <x v="4862"/>
    <s v="СЕВЕРКА"/>
    <n v="49579.11"/>
    <n v="49579.11"/>
    <n v="44894.77"/>
  </r>
  <r>
    <x v="4863"/>
    <s v="Шувакиш"/>
    <n v="42862.720000000001"/>
    <n v="42862.720000000001"/>
    <n v="38812.959999999999"/>
  </r>
  <r>
    <x v="4864"/>
    <s v="ВИЗ"/>
    <n v="81668.479999999996"/>
    <n v="81668.479999999996"/>
    <n v="73952.27"/>
  </r>
  <r>
    <x v="4865"/>
    <s v="АКАДЕМИЧЕСКИЙ"/>
    <n v="59836.85"/>
    <n v="59836.85"/>
    <n v="54183.34"/>
  </r>
  <r>
    <x v="4866"/>
    <s v="Шувакиш"/>
    <n v="42862.720000000001"/>
    <n v="42862.720000000001"/>
    <n v="38812.959999999999"/>
  </r>
  <r>
    <x v="4867"/>
    <s v="ЕЛИЗАВЕТ"/>
    <n v="59056.67"/>
    <n v="59056.67"/>
    <n v="53476.87"/>
  </r>
  <r>
    <x v="4868"/>
    <s v="Чусовское озеро"/>
    <n v="48229.05"/>
    <n v="48229.05"/>
    <n v="43672.26"/>
  </r>
  <r>
    <x v="4869"/>
    <s v="ШУВАКИШ"/>
    <n v="42862.720000000001"/>
    <n v="42862.720000000001"/>
    <n v="38812.959999999999"/>
  </r>
  <r>
    <x v="4870"/>
    <s v="ГОРНЫЙ ЩИТ"/>
    <n v="50617.09"/>
    <n v="50617.09"/>
    <n v="45834.68"/>
  </r>
  <r>
    <x v="4871"/>
    <s v="ШУВАКИШ"/>
    <n v="42862.720000000001"/>
    <n v="42862.720000000001"/>
    <n v="38812.959999999999"/>
  </r>
  <r>
    <x v="4872"/>
    <s v="Шувакиш"/>
    <n v="42862.720000000001"/>
    <n v="42862.720000000001"/>
    <n v="38812.959999999999"/>
  </r>
  <r>
    <x v="4873"/>
    <s v="СОЛНЕЧНЫЙ"/>
    <n v="58724.24"/>
    <n v="58724.24"/>
    <n v="53175.85"/>
  </r>
  <r>
    <x v="4874"/>
    <s v="СЕВЕРКА"/>
    <n v="49579.11"/>
    <n v="49579.11"/>
    <n v="44894.77"/>
  </r>
  <r>
    <x v="4875"/>
    <s v="Северка"/>
    <n v="49579.11"/>
    <n v="49579.11"/>
    <n v="44894.77"/>
  </r>
  <r>
    <x v="4876"/>
    <s v="СЕВЕРКА"/>
    <n v="49579.11"/>
    <n v="49579.11"/>
    <n v="44894.77"/>
  </r>
  <r>
    <x v="4877"/>
    <s v="ИСТОК"/>
    <n v="51831.47"/>
    <n v="51831.47"/>
    <n v="46934.32"/>
  </r>
  <r>
    <x v="4878"/>
    <s v="Северка"/>
    <n v="49579.11"/>
    <n v="49579.11"/>
    <n v="44894.77"/>
  </r>
  <r>
    <x v="4879"/>
    <s v="Шувакиш"/>
    <n v="42862.720000000001"/>
    <n v="42862.720000000001"/>
    <n v="38812.959999999999"/>
  </r>
  <r>
    <x v="4880"/>
    <s v="ГОРНЫЙ ЩИТ"/>
    <n v="50617.09"/>
    <n v="50617.09"/>
    <n v="45834.68"/>
  </r>
  <r>
    <x v="4881"/>
    <s v="ШИРОКАЯ РЕЧКА"/>
    <n v="61207.26"/>
    <n v="61207.26"/>
    <n v="55424.27"/>
  </r>
  <r>
    <x v="931"/>
    <s v="ШУВАКИШ"/>
    <n v="42862.720000000001"/>
    <n v="42862.720000000001"/>
    <n v="38812.959999999999"/>
  </r>
  <r>
    <x v="4882"/>
    <s v="СОВХОЗ"/>
    <n v="57883"/>
    <n v="57883"/>
    <n v="52414.09"/>
  </r>
  <r>
    <x v="4883"/>
    <s v="СЕВЕРКА"/>
    <n v="49579.11"/>
    <n v="49579.11"/>
    <n v="44894.77"/>
  </r>
  <r>
    <x v="4884"/>
    <s v="УРАЛМАШ"/>
    <n v="67842.240000000005"/>
    <n v="67842.240000000005"/>
    <n v="61432.36"/>
  </r>
  <r>
    <x v="4885"/>
    <s v="Старая сортировка"/>
    <n v="57516.65"/>
    <n v="57516.65"/>
    <n v="52082.35"/>
  </r>
  <r>
    <x v="4886"/>
    <s v="Исток"/>
    <n v="51831.47"/>
    <n v="51831.47"/>
    <n v="46934.32"/>
  </r>
  <r>
    <x v="4887"/>
    <s v="МАЛЫЙ ИСТОК"/>
    <n v="58296.83"/>
    <n v="58296.83"/>
    <n v="52788.83"/>
  </r>
  <r>
    <x v="4888"/>
    <s v="ШУВАКИШ"/>
    <n v="42862.720000000001"/>
    <n v="42862.720000000001"/>
    <n v="38812.959999999999"/>
  </r>
  <r>
    <x v="4889"/>
    <s v="Северка"/>
    <n v="49579.11"/>
    <n v="49579.11"/>
    <n v="44894.77"/>
  </r>
  <r>
    <x v="4890"/>
    <s v="ШУВАКИШ"/>
    <n v="42862.720000000001"/>
    <n v="42862.720000000001"/>
    <n v="38812.959999999999"/>
  </r>
  <r>
    <x v="4891"/>
    <s v="ШАБРОВСКИЙ"/>
    <n v="36417.71"/>
    <n v="36417.71"/>
    <n v="32976.89"/>
  </r>
  <r>
    <x v="4892"/>
    <s v="Шувакиш"/>
    <n v="42862.720000000001"/>
    <n v="42862.720000000001"/>
    <n v="38812.959999999999"/>
  </r>
  <r>
    <x v="4893"/>
    <s v="ВИЗ"/>
    <n v="81668.479999999996"/>
    <n v="81668.479999999996"/>
    <n v="73952.27"/>
  </r>
  <r>
    <x v="4894"/>
    <s v="УРАЛМАШ"/>
    <n v="67842.240000000005"/>
    <n v="67842.240000000005"/>
    <n v="61432.36"/>
  </r>
  <r>
    <x v="4895"/>
    <s v="АКАДЕМИЧЕСКИЙ"/>
    <n v="59836.85"/>
    <n v="59836.85"/>
    <n v="54183.34"/>
  </r>
  <r>
    <x v="4896"/>
    <s v="ЕЛИЗАВЕТ"/>
    <n v="59056.67"/>
    <n v="59056.67"/>
    <n v="53476.87"/>
  </r>
  <r>
    <x v="4897"/>
    <s v="ГОРНЫЙ ЩИТ"/>
    <n v="50617.09"/>
    <n v="50617.09"/>
    <n v="45834.68"/>
  </r>
  <r>
    <x v="4898"/>
    <s v="ГОРНЫЙ ЩИТ"/>
    <n v="50617.09"/>
    <n v="50617.09"/>
    <n v="45834.68"/>
  </r>
  <r>
    <x v="4899"/>
    <s v="УРАЛМАШ"/>
    <n v="67842.240000000005"/>
    <n v="67842.240000000005"/>
    <n v="61432.36"/>
  </r>
  <r>
    <x v="4900"/>
    <s v="ИСТОК"/>
    <n v="51831.47"/>
    <n v="51831.47"/>
    <n v="46934.32"/>
  </r>
  <r>
    <x v="4901"/>
    <s v="УРАЛМАШ"/>
    <n v="67842.240000000005"/>
    <n v="67842.240000000005"/>
    <n v="61432.36"/>
  </r>
  <r>
    <x v="4902"/>
    <s v="ГОРНЫЙ ЩИТ"/>
    <n v="50617.09"/>
    <n v="50617.09"/>
    <n v="45834.68"/>
  </r>
  <r>
    <x v="4903"/>
    <s v="ГОРНЫЙ ЩИТ"/>
    <n v="50617.09"/>
    <n v="50617.09"/>
    <n v="45834.68"/>
  </r>
  <r>
    <x v="4904"/>
    <s v="ШУВАКИШ"/>
    <n v="42862.720000000001"/>
    <n v="42862.720000000001"/>
    <n v="38812.959999999999"/>
  </r>
  <r>
    <x v="4905"/>
    <s v="ИСТОК"/>
    <n v="51831.47"/>
    <n v="51831.47"/>
    <n v="46934.32"/>
  </r>
  <r>
    <x v="4906"/>
    <s v="ВИЗ"/>
    <n v="81668.479999999996"/>
    <n v="81668.479999999996"/>
    <n v="73952.27"/>
  </r>
  <r>
    <x v="4907"/>
    <s v="ГОРНЫЙ ЩИТ"/>
    <n v="50617.09"/>
    <n v="50617.09"/>
    <n v="45834.68"/>
  </r>
  <r>
    <x v="4908"/>
    <s v="Северка"/>
    <n v="49579.11"/>
    <n v="49579.11"/>
    <n v="44894.77"/>
  </r>
  <r>
    <x v="4909"/>
    <s v="ЕЛИЗАВЕТ"/>
    <n v="59056.67"/>
    <n v="59056.67"/>
    <n v="53476.87"/>
  </r>
  <r>
    <x v="4910"/>
    <s v="ВИЗ"/>
    <n v="81668.479999999996"/>
    <n v="81668.479999999996"/>
    <n v="73952.27"/>
  </r>
  <r>
    <x v="4911"/>
    <s v="Северка"/>
    <n v="49579.11"/>
    <n v="49579.11"/>
    <n v="44894.77"/>
  </r>
  <r>
    <x v="4912"/>
    <s v="Шувакиш"/>
    <n v="42862.720000000001"/>
    <n v="42862.720000000001"/>
    <n v="38812.959999999999"/>
  </r>
  <r>
    <x v="4913"/>
    <s v="Исток"/>
    <n v="51831.47"/>
    <n v="51831.47"/>
    <n v="46934.32"/>
  </r>
  <r>
    <x v="4914"/>
    <s v="СЕВЕРКА"/>
    <n v="49579.11"/>
    <n v="49579.11"/>
    <n v="44894.77"/>
  </r>
  <r>
    <x v="4915"/>
    <s v="ГОРНЫЙ ЩИТ"/>
    <n v="50617.09"/>
    <n v="50617.09"/>
    <n v="45834.68"/>
  </r>
  <r>
    <x v="4916"/>
    <s v="Северка"/>
    <n v="49579.11"/>
    <n v="49579.11"/>
    <n v="44894.77"/>
  </r>
  <r>
    <x v="4917"/>
    <s v="ИСТОК"/>
    <n v="51831.47"/>
    <n v="51831.47"/>
    <n v="46934.32"/>
  </r>
  <r>
    <x v="4918"/>
    <s v="ИЗОПЛИТ"/>
    <n v="51994.29"/>
    <n v="51994.29"/>
    <n v="47081.760000000002"/>
  </r>
  <r>
    <x v="4919"/>
    <s v="СЕВЕРКА"/>
    <n v="49579.11"/>
    <n v="49579.11"/>
    <n v="44894.77"/>
  </r>
  <r>
    <x v="4920"/>
    <s v="Шувакиш"/>
    <n v="42862.720000000001"/>
    <n v="42862.720000000001"/>
    <n v="38812.959999999999"/>
  </r>
  <r>
    <x v="4921"/>
    <s v="Шувакиш"/>
    <n v="42862.720000000001"/>
    <n v="42862.720000000001"/>
    <n v="38812.959999999999"/>
  </r>
  <r>
    <x v="4922"/>
    <s v="РУДНЫЙ"/>
    <n v="45325.4"/>
    <n v="45325.4"/>
    <n v="41042.959999999999"/>
  </r>
  <r>
    <x v="4923"/>
    <s v="ГОРНЫЙ ЩИТ"/>
    <n v="50617.09"/>
    <n v="50617.09"/>
    <n v="45834.68"/>
  </r>
  <r>
    <x v="4924"/>
    <s v="ГОРНЫЙ ЩИТ"/>
    <n v="50617.09"/>
    <n v="50617.09"/>
    <n v="45834.68"/>
  </r>
  <r>
    <x v="4925"/>
    <s v="Исток"/>
    <n v="51831.47"/>
    <n v="51831.47"/>
    <n v="46934.32"/>
  </r>
  <r>
    <x v="4926"/>
    <s v="ИСТОК"/>
    <n v="51831.47"/>
    <n v="51831.47"/>
    <n v="46934.32"/>
  </r>
  <r>
    <x v="4927"/>
    <s v="Шувакиш"/>
    <n v="42862.720000000001"/>
    <n v="42862.720000000001"/>
    <n v="38812.959999999999"/>
  </r>
  <r>
    <x v="4928"/>
    <s v="КАЛИНОВСКИЙ"/>
    <n v="54782.6"/>
    <n v="54782.6"/>
    <n v="49606.63"/>
  </r>
  <r>
    <x v="4929"/>
    <s v="ГОРНЫЙ ЩИТ"/>
    <n v="50617.09"/>
    <n v="50617.09"/>
    <n v="45834.68"/>
  </r>
  <r>
    <x v="4930"/>
    <s v="СЕВЕРКА"/>
    <n v="49579.11"/>
    <n v="49579.11"/>
    <n v="44894.77"/>
  </r>
  <r>
    <x v="4931"/>
    <s v="Северка"/>
    <n v="49579.11"/>
    <n v="49579.11"/>
    <n v="44894.77"/>
  </r>
  <r>
    <x v="4932"/>
    <s v="ШАБРОВСКИЙ"/>
    <n v="36417.71"/>
    <n v="36417.71"/>
    <n v="32976.89"/>
  </r>
  <r>
    <x v="4933"/>
    <s v="Шувакиш"/>
    <n v="42862.720000000001"/>
    <n v="42862.720000000001"/>
    <n v="38812.959999999999"/>
  </r>
  <r>
    <x v="4934"/>
    <s v="Исток"/>
    <n v="51831.47"/>
    <n v="51831.47"/>
    <n v="46934.32"/>
  </r>
  <r>
    <x v="4935"/>
    <s v="ШАБРОВСКИЙ"/>
    <n v="36417.71"/>
    <n v="36417.71"/>
    <n v="32976.89"/>
  </r>
  <r>
    <x v="4936"/>
    <s v="СЕВЕРКА"/>
    <n v="49579.11"/>
    <n v="49579.11"/>
    <n v="44894.77"/>
  </r>
  <r>
    <x v="4937"/>
    <s v="ШАБРОВСКИЙ"/>
    <n v="36417.71"/>
    <n v="36417.71"/>
    <n v="32976.89"/>
  </r>
  <r>
    <x v="4938"/>
    <s v="ШАБРОВСКИЙ"/>
    <n v="36417.71"/>
    <n v="36417.71"/>
    <n v="32976.89"/>
  </r>
  <r>
    <x v="4939"/>
    <s v="Исток"/>
    <n v="51831.47"/>
    <n v="51831.47"/>
    <n v="46934.32"/>
  </r>
  <r>
    <x v="4940"/>
    <s v="ГОРНЫЙ ЩИТ"/>
    <n v="50617.09"/>
    <n v="50617.09"/>
    <n v="45834.68"/>
  </r>
  <r>
    <x v="4941"/>
    <s v="СЕВЕРКА"/>
    <n v="49579.11"/>
    <n v="49579.11"/>
    <n v="44894.77"/>
  </r>
  <r>
    <x v="4942"/>
    <s v="Исток"/>
    <n v="51831.47"/>
    <n v="51831.47"/>
    <n v="46934.32"/>
  </r>
  <r>
    <x v="4943"/>
    <s v="Чусовское озеро"/>
    <n v="48229.05"/>
    <n v="48229.05"/>
    <n v="43672.26"/>
  </r>
  <r>
    <x v="4944"/>
    <s v="ВИЗ"/>
    <n v="81668.479999999996"/>
    <n v="81668.479999999996"/>
    <n v="73952.27"/>
  </r>
  <r>
    <x v="4945"/>
    <s v="ШАБРОВСКИЙ"/>
    <n v="36417.71"/>
    <n v="36417.71"/>
    <n v="32976.89"/>
  </r>
  <r>
    <x v="4946"/>
    <s v="ГОРНЫЙ ЩИТ"/>
    <n v="50617.09"/>
    <n v="50617.09"/>
    <n v="45834.68"/>
  </r>
  <r>
    <x v="4947"/>
    <s v="ГОРНЫЙ ЩИТ"/>
    <n v="50617.09"/>
    <n v="50617.09"/>
    <n v="45834.68"/>
  </r>
  <r>
    <x v="4948"/>
    <s v="ИСТОК"/>
    <n v="51831.47"/>
    <n v="51831.47"/>
    <n v="46934.32"/>
  </r>
  <r>
    <x v="4949"/>
    <s v="Шувакиш"/>
    <n v="42862.720000000001"/>
    <n v="42862.720000000001"/>
    <n v="38812.959999999999"/>
  </r>
  <r>
    <x v="4950"/>
    <s v="ШАБРОВСКИЙ"/>
    <n v="36417.71"/>
    <n v="36417.71"/>
    <n v="32976.89"/>
  </r>
  <r>
    <x v="4951"/>
    <s v="Северка"/>
    <n v="49579.11"/>
    <n v="49579.11"/>
    <n v="44894.77"/>
  </r>
  <r>
    <x v="4952"/>
    <s v="СЕВЕРКА"/>
    <n v="49579.11"/>
    <n v="49579.11"/>
    <n v="44894.77"/>
  </r>
  <r>
    <x v="4953"/>
    <s v="СЕВЕРКА"/>
    <n v="49579.11"/>
    <n v="49579.11"/>
    <n v="44894.77"/>
  </r>
  <r>
    <x v="4954"/>
    <s v="ШАБРОВСКИЙ"/>
    <n v="36417.71"/>
    <n v="36417.71"/>
    <n v="32976.89"/>
  </r>
  <r>
    <x v="4955"/>
    <s v="Шувакиш"/>
    <n v="42862.720000000001"/>
    <n v="42862.720000000001"/>
    <n v="38812.959999999999"/>
  </r>
  <r>
    <x v="4956"/>
    <s v="ШАБРОВСКИЙ"/>
    <n v="36417.71"/>
    <n v="36417.71"/>
    <n v="32976.89"/>
  </r>
  <r>
    <x v="4957"/>
    <s v="Шувакиш"/>
    <n v="42862.720000000001"/>
    <n v="42862.720000000001"/>
    <n v="38812.959999999999"/>
  </r>
  <r>
    <x v="228"/>
    <s v="Шувакиш"/>
    <n v="42862.720000000001"/>
    <n v="42862.720000000001"/>
    <n v="38812.959999999999"/>
  </r>
  <r>
    <x v="4958"/>
    <s v="ГОРНЫЙ ЩИТ"/>
    <n v="50617.09"/>
    <n v="50617.09"/>
    <n v="45834.68"/>
  </r>
  <r>
    <x v="4959"/>
    <s v="Исток"/>
    <n v="51831.47"/>
    <n v="51831.47"/>
    <n v="46934.32"/>
  </r>
  <r>
    <x v="4960"/>
    <s v="ШАБРОВСКИЙ"/>
    <n v="36417.71"/>
    <n v="36417.71"/>
    <n v="32976.89"/>
  </r>
  <r>
    <x v="4961"/>
    <s v="ШАБРОВСКИЙ"/>
    <n v="36417.71"/>
    <n v="36417.71"/>
    <n v="32976.89"/>
  </r>
  <r>
    <x v="4962"/>
    <s v="ШАБРОВСКИЙ"/>
    <n v="36417.71"/>
    <n v="36417.71"/>
    <n v="32976.89"/>
  </r>
  <r>
    <x v="4963"/>
    <s v="ШАБРОВСКИЙ"/>
    <n v="36417.71"/>
    <n v="36417.71"/>
    <n v="32976.89"/>
  </r>
  <r>
    <x v="4964"/>
    <s v="Шувакиш"/>
    <n v="42862.720000000001"/>
    <n v="42862.720000000001"/>
    <n v="38812.959999999999"/>
  </r>
  <r>
    <x v="4965"/>
    <s v="Шувакиш"/>
    <n v="42862.720000000001"/>
    <n v="42862.720000000001"/>
    <n v="38812.959999999999"/>
  </r>
  <r>
    <x v="4966"/>
    <s v="ШАБРОВСКИЙ"/>
    <n v="36417.71"/>
    <n v="36417.71"/>
    <n v="32976.89"/>
  </r>
  <r>
    <x v="4967"/>
    <s v="ИСТОК"/>
    <n v="51831.47"/>
    <n v="51831.47"/>
    <n v="46934.32"/>
  </r>
  <r>
    <x v="4968"/>
    <s v="ИСТОК"/>
    <n v="51831.47"/>
    <n v="51831.47"/>
    <n v="46934.32"/>
  </r>
  <r>
    <x v="4969"/>
    <s v="ШАБРОВСКИЙ"/>
    <n v="36417.71"/>
    <n v="36417.71"/>
    <n v="32976.89"/>
  </r>
  <r>
    <x v="4970"/>
    <s v="Шувакиш"/>
    <n v="42862.720000000001"/>
    <n v="42862.720000000001"/>
    <n v="38812.959999999999"/>
  </r>
  <r>
    <x v="4971"/>
    <s v="ШАБРОВСКИЙ"/>
    <n v="36417.71"/>
    <n v="36417.71"/>
    <n v="32976.89"/>
  </r>
  <r>
    <x v="4972"/>
    <s v="Шувакиш"/>
    <n v="42862.720000000001"/>
    <n v="42862.720000000001"/>
    <n v="38812.959999999999"/>
  </r>
  <r>
    <x v="4973"/>
    <s v="Шувакиш"/>
    <n v="42862.720000000001"/>
    <n v="42862.720000000001"/>
    <n v="38812.959999999999"/>
  </r>
  <r>
    <x v="4974"/>
    <s v="СЕВЕРКА"/>
    <n v="49579.11"/>
    <n v="49579.11"/>
    <n v="44894.77"/>
  </r>
  <r>
    <x v="4975"/>
    <s v="ШАБРОВСКИЙ"/>
    <n v="36417.71"/>
    <n v="36417.71"/>
    <n v="32976.89"/>
  </r>
  <r>
    <x v="4976"/>
    <s v="Исток"/>
    <n v="51831.47"/>
    <n v="51831.47"/>
    <n v="46934.32"/>
  </r>
  <r>
    <x v="4977"/>
    <s v="СЕВЕРКА"/>
    <n v="49579.11"/>
    <n v="49579.11"/>
    <n v="44894.77"/>
  </r>
  <r>
    <x v="4978"/>
    <s v="Шувакиш"/>
    <n v="42862.720000000001"/>
    <n v="42862.720000000001"/>
    <n v="38812.959999999999"/>
  </r>
  <r>
    <x v="4979"/>
    <s v="ШАБРОВСКИЙ"/>
    <n v="36417.71"/>
    <n v="36417.71"/>
    <n v="32976.89"/>
  </r>
  <r>
    <x v="4980"/>
    <s v="Исток"/>
    <n v="51831.47"/>
    <n v="51831.47"/>
    <n v="46934.32"/>
  </r>
  <r>
    <x v="4981"/>
    <s v="Исток"/>
    <n v="51831.47"/>
    <n v="51831.47"/>
    <n v="46934.32"/>
  </r>
  <r>
    <x v="4982"/>
    <s v="Шувакиш"/>
    <n v="42862.720000000001"/>
    <n v="42862.720000000001"/>
    <n v="38812.959999999999"/>
  </r>
  <r>
    <x v="4983"/>
    <s v="Шувакиш"/>
    <n v="42862.720000000001"/>
    <n v="42862.720000000001"/>
    <n v="38812.959999999999"/>
  </r>
  <r>
    <x v="4984"/>
    <s v="ШАБРОВСКИЙ"/>
    <n v="36417.71"/>
    <n v="36417.71"/>
    <n v="32976.89"/>
  </r>
  <r>
    <x v="4985"/>
    <s v="Шувакиш"/>
    <n v="42862.720000000001"/>
    <n v="42862.720000000001"/>
    <n v="38812.959999999999"/>
  </r>
  <r>
    <x v="4986"/>
    <s v="Шувакиш"/>
    <n v="42862.720000000001"/>
    <n v="42862.720000000001"/>
    <n v="38812.959999999999"/>
  </r>
  <r>
    <x v="4987"/>
    <s v="Шувакиш"/>
    <n v="42862.720000000001"/>
    <n v="42862.720000000001"/>
    <n v="38812.959999999999"/>
  </r>
  <r>
    <x v="4988"/>
    <s v="Исток"/>
    <n v="51831.47"/>
    <n v="51831.47"/>
    <n v="46934.32"/>
  </r>
  <r>
    <x v="4989"/>
    <s v="ШАБРОВСКИЙ"/>
    <n v="36417.71"/>
    <n v="36417.71"/>
    <n v="32976.89"/>
  </r>
  <r>
    <x v="4990"/>
    <s v="ШАБРОВСКИЙ"/>
    <n v="36417.71"/>
    <n v="36417.71"/>
    <n v="32976.89"/>
  </r>
  <r>
    <x v="4991"/>
    <s v="Шувакиш"/>
    <n v="42862.720000000001"/>
    <n v="42862.720000000001"/>
    <n v="38812.959999999999"/>
  </r>
  <r>
    <x v="4992"/>
    <s v="Шувакиш"/>
    <n v="42862.720000000001"/>
    <n v="42862.720000000001"/>
    <n v="38812.959999999999"/>
  </r>
  <r>
    <x v="4993"/>
    <s v="ШАБРОВСКИЙ"/>
    <n v="36417.71"/>
    <n v="36417.71"/>
    <n v="32976.89"/>
  </r>
  <r>
    <x v="4994"/>
    <s v="Шувакиш"/>
    <n v="42862.720000000001"/>
    <n v="42862.720000000001"/>
    <n v="38812.959999999999"/>
  </r>
  <r>
    <x v="4995"/>
    <s v="ШАБРОВСКИЙ"/>
    <n v="36417.71"/>
    <n v="36417.71"/>
    <n v="32976.89"/>
  </r>
  <r>
    <x v="4996"/>
    <s v="Шувакиш"/>
    <n v="42862.720000000001"/>
    <n v="42862.720000000001"/>
    <n v="38812.959999999999"/>
  </r>
  <r>
    <x v="4997"/>
    <s v="СЕВЕРКА"/>
    <n v="49579.11"/>
    <n v="49579.11"/>
    <n v="44894.77"/>
  </r>
  <r>
    <x v="4998"/>
    <s v="ИСТОК"/>
    <n v="51831.47"/>
    <n v="51831.47"/>
    <n v="46934.32"/>
  </r>
  <r>
    <x v="4999"/>
    <s v="ШАБРОВСКИЙ"/>
    <n v="36417.71"/>
    <n v="36417.71"/>
    <n v="32976.89"/>
  </r>
  <r>
    <x v="5000"/>
    <s v="Исток"/>
    <n v="51831.47"/>
    <n v="51831.47"/>
    <n v="46934.32"/>
  </r>
  <r>
    <x v="5001"/>
    <s v="Шувакиш"/>
    <n v="42862.720000000001"/>
    <n v="42862.720000000001"/>
    <n v="38812.959999999999"/>
  </r>
  <r>
    <x v="5002"/>
    <s v="ШАБРОВСКИЙ"/>
    <n v="36417.71"/>
    <n v="36417.71"/>
    <n v="32976.89"/>
  </r>
  <r>
    <x v="5003"/>
    <s v="ГОРНЫЙ ЩИТ"/>
    <n v="50617.09"/>
    <n v="50617.09"/>
    <n v="45834.68"/>
  </r>
  <r>
    <x v="5004"/>
    <s v="ГОРНЫЙ ЩИТ"/>
    <n v="50617.09"/>
    <n v="50617.09"/>
    <n v="45834.68"/>
  </r>
  <r>
    <x v="5005"/>
    <s v="СЕВЕРКА"/>
    <n v="49579.11"/>
    <n v="49579.11"/>
    <n v="44894.77"/>
  </r>
  <r>
    <x v="5006"/>
    <s v="ШАБРОВСКИЙ"/>
    <n v="36417.71"/>
    <n v="36417.71"/>
    <n v="32976.89"/>
  </r>
  <r>
    <x v="5007"/>
    <s v="ШАБРОВСКИЙ"/>
    <n v="36417.71"/>
    <n v="36417.71"/>
    <n v="32976.89"/>
  </r>
  <r>
    <x v="5008"/>
    <s v="САДОВЫЙ"/>
    <n v="51600.800000000003"/>
    <n v="51600.800000000003"/>
    <n v="46725.45"/>
  </r>
  <r>
    <x v="5009"/>
    <s v="КОЛЬЦОВО"/>
    <n v="53174.74"/>
    <n v="53174.74"/>
    <n v="48150.68"/>
  </r>
  <r>
    <x v="5010"/>
    <s v="СЕВЕРКА"/>
    <n v="49579.11"/>
    <n v="49579.11"/>
    <n v="44894.77"/>
  </r>
  <r>
    <x v="5011"/>
    <s v="ГОРНЫЙ ЩИТ"/>
    <n v="50617.09"/>
    <n v="50617.09"/>
    <n v="45834.68"/>
  </r>
  <r>
    <x v="5012"/>
    <s v="ГОРНЫЙ ЩИТ"/>
    <n v="50617.09"/>
    <n v="50617.09"/>
    <n v="45834.68"/>
  </r>
  <r>
    <x v="5013"/>
    <s v="ШАБРОВСКИЙ"/>
    <n v="36417.71"/>
    <n v="36417.71"/>
    <n v="32976.89"/>
  </r>
  <r>
    <x v="5014"/>
    <s v="ШАБРОВСКИЙ"/>
    <n v="36417.71"/>
    <n v="36417.71"/>
    <n v="32976.89"/>
  </r>
  <r>
    <x v="5015"/>
    <s v="ШАБРОВСКИЙ"/>
    <n v="36417.71"/>
    <n v="36417.71"/>
    <n v="32976.89"/>
  </r>
  <r>
    <x v="5016"/>
    <s v="Чусовское озеро"/>
    <n v="48229.05"/>
    <n v="48229.05"/>
    <n v="43672.26"/>
  </r>
  <r>
    <x v="5017"/>
    <s v="Чусовское озеро"/>
    <n v="48229.05"/>
    <n v="48229.05"/>
    <n v="43672.26"/>
  </r>
  <r>
    <x v="5018"/>
    <s v="ГОРНЫЙ ЩИТ"/>
    <n v="50617.09"/>
    <n v="50617.09"/>
    <n v="45834.68"/>
  </r>
  <r>
    <x v="5019"/>
    <s v="Исток"/>
    <n v="51831.47"/>
    <n v="51831.47"/>
    <n v="46934.32"/>
  </r>
  <r>
    <x v="5020"/>
    <s v="Шувакиш"/>
    <n v="42862.720000000001"/>
    <n v="42862.720000000001"/>
    <n v="38812.959999999999"/>
  </r>
  <r>
    <x v="5021"/>
    <s v="Чусовское озеро"/>
    <n v="48229.05"/>
    <n v="48229.05"/>
    <n v="43672.26"/>
  </r>
  <r>
    <x v="5022"/>
    <s v="Чусовское озеро"/>
    <n v="48229.05"/>
    <n v="48229.05"/>
    <n v="43672.26"/>
  </r>
  <r>
    <x v="5023"/>
    <s v="САДОВЫЙ"/>
    <n v="51600.800000000003"/>
    <n v="51600.800000000003"/>
    <n v="46725.45"/>
  </r>
  <r>
    <x v="5024"/>
    <s v="САДОВЫЙ"/>
    <n v="51600.800000000003"/>
    <n v="51600.800000000003"/>
    <n v="46725.45"/>
  </r>
  <r>
    <x v="5025"/>
    <s v="ГОРНЫЙ ЩИТ"/>
    <n v="50617.09"/>
    <n v="50617.09"/>
    <n v="45834.68"/>
  </r>
  <r>
    <x v="5026"/>
    <s v="ГОРНЫЙ ЩИТ"/>
    <n v="50617.09"/>
    <n v="50617.09"/>
    <n v="45834.68"/>
  </r>
  <r>
    <x v="5027"/>
    <s v="ГОРНЫЙ ЩИТ"/>
    <n v="50617.09"/>
    <n v="50617.09"/>
    <n v="45834.68"/>
  </r>
  <r>
    <x v="5028"/>
    <s v="Чусовское озеро"/>
    <n v="48229.05"/>
    <n v="48229.05"/>
    <n v="43672.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4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5033" firstHeaderRow="1" firstDataRow="1" firstDataCol="1"/>
  <pivotFields count="5">
    <pivotField axis="axisRow" showAll="0">
      <items count="5030">
        <item x="2942"/>
        <item x="2996"/>
        <item x="2992"/>
        <item x="2972"/>
        <item x="1553"/>
        <item x="1610"/>
        <item x="1612"/>
        <item x="1540"/>
        <item x="1532"/>
        <item x="1585"/>
        <item x="1559"/>
        <item x="2381"/>
        <item x="1820"/>
        <item x="2308"/>
        <item x="1986"/>
        <item x="2707"/>
        <item x="2261"/>
        <item x="1817"/>
        <item x="1953"/>
        <item x="2303"/>
        <item x="2026"/>
        <item x="1818"/>
        <item x="1821"/>
        <item x="2535"/>
        <item x="2978"/>
        <item x="1816"/>
        <item x="1572"/>
        <item x="2406"/>
        <item x="2994"/>
        <item x="1772"/>
        <item x="1900"/>
        <item x="2120"/>
        <item x="1910"/>
        <item x="1901"/>
        <item x="1633"/>
        <item x="1980"/>
        <item x="3060"/>
        <item x="1905"/>
        <item x="1912"/>
        <item x="1678"/>
        <item x="1383"/>
        <item x="2000"/>
        <item x="1567"/>
        <item x="1615"/>
        <item x="1571"/>
        <item x="2966"/>
        <item x="1589"/>
        <item x="1556"/>
        <item x="1533"/>
        <item x="1835"/>
        <item x="1822"/>
        <item x="2918"/>
        <item x="1590"/>
        <item x="1586"/>
        <item x="1534"/>
        <item x="1536"/>
        <item x="1541"/>
        <item x="1823"/>
        <item x="2977"/>
        <item x="2786"/>
        <item x="1826"/>
        <item x="3061"/>
        <item x="3015"/>
        <item x="2938"/>
        <item x="3020"/>
        <item x="2690"/>
        <item x="2246"/>
        <item x="1119"/>
        <item x="697"/>
        <item x="3080"/>
        <item x="3071"/>
        <item x="5024"/>
        <item x="2625"/>
        <item x="4623"/>
        <item x="4817"/>
        <item x="1530"/>
        <item x="5008"/>
        <item x="2757"/>
        <item x="5023"/>
        <item x="2683"/>
        <item x="4619"/>
        <item x="4421"/>
        <item x="3027"/>
        <item x="1907"/>
        <item x="240"/>
        <item x="3797"/>
        <item x="4055"/>
        <item x="3757"/>
        <item x="3636"/>
        <item x="3222"/>
        <item x="3953"/>
        <item x="879"/>
        <item x="2640"/>
        <item x="3253"/>
        <item x="2710"/>
        <item x="616"/>
        <item x="647"/>
        <item x="182"/>
        <item x="3005"/>
        <item x="3696"/>
        <item x="3641"/>
        <item x="2979"/>
        <item x="3556"/>
        <item x="2851"/>
        <item x="948"/>
        <item x="4209"/>
        <item x="3773"/>
        <item x="3752"/>
        <item x="3869"/>
        <item x="2604"/>
        <item x="2637"/>
        <item x="4217"/>
        <item x="3916"/>
        <item x="3565"/>
        <item x="3944"/>
        <item x="2831"/>
        <item x="2376"/>
        <item x="2933"/>
        <item x="4630"/>
        <item x="4656"/>
        <item x="3990"/>
        <item x="2778"/>
        <item x="4662"/>
        <item x="4567"/>
        <item x="3485"/>
        <item x="2729"/>
        <item x="4371"/>
        <item x="4275"/>
        <item x="2868"/>
        <item x="4182"/>
        <item x="4416"/>
        <item x="4104"/>
        <item x="4643"/>
        <item x="2605"/>
        <item x="4647"/>
        <item x="3871"/>
        <item x="4899"/>
        <item x="4831"/>
        <item x="4728"/>
        <item x="4547"/>
        <item x="4654"/>
        <item x="4614"/>
        <item x="4743"/>
        <item x="4628"/>
        <item x="4507"/>
        <item x="3381"/>
        <item x="4417"/>
        <item x="3212"/>
        <item x="4500"/>
        <item x="4364"/>
        <item x="2190"/>
        <item x="4373"/>
        <item x="3568"/>
        <item x="4737"/>
        <item x="2646"/>
        <item x="2720"/>
        <item x="4799"/>
        <item x="4679"/>
        <item x="3764"/>
        <item x="4586"/>
        <item x="3519"/>
        <item x="4405"/>
        <item x="4855"/>
        <item x="849"/>
        <item x="147"/>
        <item x="2654"/>
        <item x="3265"/>
        <item x="3233"/>
        <item x="1080"/>
        <item x="3570"/>
        <item x="528"/>
        <item x="4215"/>
        <item x="3770"/>
        <item x="3170"/>
        <item x="3350"/>
        <item x="4173"/>
        <item x="3029"/>
        <item x="2782"/>
        <item x="117"/>
        <item x="20"/>
        <item x="292"/>
        <item x="45"/>
        <item x="25"/>
        <item x="3905"/>
        <item x="3847"/>
        <item x="445"/>
        <item x="758"/>
        <item x="4210"/>
        <item x="3968"/>
        <item x="4172"/>
        <item x="686"/>
        <item x="745"/>
        <item x="306"/>
        <item x="49"/>
        <item x="295"/>
        <item x="604"/>
        <item x="47"/>
        <item x="536"/>
        <item x="532"/>
        <item x="588"/>
        <item x="29"/>
        <item x="290"/>
        <item x="3185"/>
        <item x="4063"/>
        <item x="2556"/>
        <item x="3951"/>
        <item x="508"/>
        <item x="4376"/>
        <item x="456"/>
        <item x="245"/>
        <item x="568"/>
        <item x="3925"/>
        <item x="757"/>
        <item x="2568"/>
        <item x="3710"/>
        <item x="4135"/>
        <item x="3045"/>
        <item x="836"/>
        <item x="673"/>
        <item x="78"/>
        <item x="2987"/>
        <item x="1082"/>
        <item x="1050"/>
        <item x="4227"/>
        <item x="4100"/>
        <item x="3380"/>
        <item x="4346"/>
        <item x="4149"/>
        <item x="770"/>
        <item x="3017"/>
        <item x="4125"/>
        <item x="4201"/>
        <item x="828"/>
        <item x="3856"/>
        <item x="2957"/>
        <item x="796"/>
        <item x="3659"/>
        <item x="3970"/>
        <item x="1019"/>
        <item x="4118"/>
        <item x="2280"/>
        <item x="1077"/>
        <item x="1111"/>
        <item x="721"/>
        <item x="462"/>
        <item x="3508"/>
        <item x="486"/>
        <item x="640"/>
        <item x="670"/>
        <item x="724"/>
        <item x="270"/>
        <item x="15"/>
        <item x="232"/>
        <item x="816"/>
        <item x="755"/>
        <item x="17"/>
        <item x="833"/>
        <item x="521"/>
        <item x="483"/>
        <item x="570"/>
        <item x="559"/>
        <item x="102"/>
        <item x="916"/>
        <item x="493"/>
        <item x="403"/>
        <item x="993"/>
        <item x="213"/>
        <item x="652"/>
        <item x="913"/>
        <item x="249"/>
        <item x="18"/>
        <item x="72"/>
        <item x="520"/>
        <item x="773"/>
        <item x="527"/>
        <item x="3475"/>
        <item x="3834"/>
        <item x="810"/>
        <item x="421"/>
        <item x="135"/>
        <item x="728"/>
        <item x="480"/>
        <item x="639"/>
        <item x="481"/>
        <item x="484"/>
        <item x="2944"/>
        <item x="133"/>
        <item x="1025"/>
        <item x="500"/>
        <item x="492"/>
        <item x="444"/>
        <item x="129"/>
        <item x="4242"/>
        <item x="3687"/>
        <item x="3279"/>
        <item x="1116"/>
        <item x="3985"/>
        <item x="2573"/>
        <item x="3718"/>
        <item x="2569"/>
        <item x="35"/>
        <item x="3775"/>
        <item x="4147"/>
        <item x="3969"/>
        <item x="4148"/>
        <item x="890"/>
        <item x="3625"/>
        <item x="648"/>
        <item x="4199"/>
        <item x="3963"/>
        <item x="631"/>
        <item x="3232"/>
        <item x="705"/>
        <item x="4161"/>
        <item x="3993"/>
        <item x="3887"/>
        <item x="3363"/>
        <item x="3731"/>
        <item x="3995"/>
        <item x="2549"/>
        <item x="711"/>
        <item x="4395"/>
        <item x="4485"/>
        <item x="4854"/>
        <item x="4703"/>
        <item x="4789"/>
        <item x="4669"/>
        <item x="325"/>
        <item x="4252"/>
        <item x="4043"/>
        <item x="3786"/>
        <item x="4235"/>
        <item x="2962"/>
        <item x="2903"/>
        <item x="12"/>
        <item x="808"/>
        <item x="168"/>
        <item x="3339"/>
        <item x="4344"/>
        <item x="4394"/>
        <item x="4186"/>
        <item x="4334"/>
        <item x="3965"/>
        <item x="2927"/>
        <item x="112"/>
        <item x="487"/>
        <item x="4236"/>
        <item x="41"/>
        <item x="4222"/>
        <item x="769"/>
        <item x="781"/>
        <item x="901"/>
        <item x="362"/>
        <item x="485"/>
        <item x="554"/>
        <item x="337"/>
        <item x="880"/>
        <item x="439"/>
        <item x="183"/>
        <item x="702"/>
        <item x="665"/>
        <item x="876"/>
        <item x="715"/>
        <item x="1056"/>
        <item x="3278"/>
        <item x="3878"/>
        <item x="4110"/>
        <item x="3831"/>
        <item x="947"/>
        <item x="727"/>
        <item x="839"/>
        <item x="364"/>
        <item x="475"/>
        <item x="567"/>
        <item x="479"/>
        <item x="140"/>
        <item x="278"/>
        <item x="3674"/>
        <item x="116"/>
        <item x="284"/>
        <item x="269"/>
        <item x="13"/>
        <item x="3454"/>
        <item x="241"/>
        <item x="624"/>
        <item x="212"/>
        <item x="350"/>
        <item x="596"/>
        <item x="365"/>
        <item x="301"/>
        <item x="23"/>
        <item x="219"/>
        <item x="4385"/>
        <item x="14"/>
        <item x="3397"/>
        <item x="723"/>
        <item x="166"/>
        <item x="516"/>
        <item x="3622"/>
        <item x="378"/>
        <item x="280"/>
        <item x="449"/>
        <item x="669"/>
        <item x="692"/>
        <item x="9"/>
        <item x="36"/>
        <item x="845"/>
        <item x="7"/>
        <item x="860"/>
        <item x="433"/>
        <item x="4056"/>
        <item x="371"/>
        <item x="689"/>
        <item x="3066"/>
        <item x="4901"/>
        <item x="4884"/>
        <item x="998"/>
        <item x="2838"/>
        <item x="4894"/>
        <item x="4785"/>
        <item x="4820"/>
        <item x="4834"/>
        <item x="4786"/>
        <item x="4821"/>
        <item x="2955"/>
        <item x="4688"/>
        <item x="4768"/>
        <item x="4603"/>
        <item x="4797"/>
        <item x="4742"/>
        <item x="2534"/>
        <item x="2705"/>
        <item x="4579"/>
        <item x="3811"/>
        <item x="3692"/>
        <item x="2768"/>
        <item x="4377"/>
        <item x="2854"/>
        <item x="3735"/>
        <item x="2189"/>
        <item x="4021"/>
        <item x="4724"/>
        <item x="3294"/>
        <item x="2197"/>
        <item x="1034"/>
        <item x="4297"/>
        <item x="3210"/>
        <item x="2377"/>
        <item x="3845"/>
        <item x="4651"/>
        <item x="4391"/>
        <item x="4770"/>
        <item x="2784"/>
        <item x="3900"/>
        <item x="4599"/>
        <item x="4422"/>
        <item x="4676"/>
        <item x="2356"/>
        <item x="4498"/>
        <item x="4322"/>
        <item x="617"/>
        <item x="4441"/>
        <item x="3486"/>
        <item x="1052"/>
        <item x="4237"/>
        <item x="861"/>
        <item x="4069"/>
        <item x="231"/>
        <item x="4256"/>
        <item x="3910"/>
        <item x="3396"/>
        <item x="4259"/>
        <item x="3269"/>
        <item x="4075"/>
        <item x="3291"/>
        <item x="340"/>
        <item x="3759"/>
        <item x="3644"/>
        <item x="651"/>
        <item x="3140"/>
        <item x="3424"/>
        <item x="3214"/>
        <item x="782"/>
        <item x="2"/>
        <item x="3196"/>
        <item x="3171"/>
        <item x="3820"/>
        <item x="3428"/>
        <item x="3100"/>
        <item x="4197"/>
        <item x="535"/>
        <item x="4088"/>
        <item x="4189"/>
        <item x="3103"/>
        <item x="2956"/>
        <item x="2841"/>
        <item x="3848"/>
        <item x="2607"/>
        <item x="4276"/>
        <item x="3433"/>
        <item x="2796"/>
        <item x="89"/>
        <item x="90"/>
        <item x="4412"/>
        <item x="4463"/>
        <item x="3077"/>
        <item x="3367"/>
        <item x="3398"/>
        <item x="4841"/>
        <item x="4827"/>
        <item x="2606"/>
        <item x="3545"/>
        <item x="3826"/>
        <item x="4872"/>
        <item x="4987"/>
        <item x="2358"/>
        <item x="4973"/>
        <item x="4985"/>
        <item x="3014"/>
        <item x="4996"/>
        <item x="2770"/>
        <item x="4970"/>
        <item x="4965"/>
        <item x="2969"/>
        <item x="228"/>
        <item x="4920"/>
        <item x="840"/>
        <item x="4892"/>
        <item x="4879"/>
        <item x="4912"/>
        <item x="4927"/>
        <item x="4972"/>
        <item x="4994"/>
        <item x="4590"/>
        <item x="4124"/>
        <item x="3467"/>
        <item x="4792"/>
        <item x="2341"/>
        <item x="4400"/>
        <item x="1117"/>
        <item x="3648"/>
        <item x="3336"/>
        <item x="3613"/>
        <item x="3088"/>
        <item x="3406"/>
        <item x="3989"/>
        <item x="3720"/>
        <item x="3076"/>
        <item x="3173"/>
        <item x="996"/>
        <item x="3079"/>
        <item x="1011"/>
        <item x="3913"/>
        <item x="4213"/>
        <item x="4294"/>
        <item x="703"/>
        <item x="4049"/>
        <item x="1039"/>
        <item x="1084"/>
        <item x="3488"/>
        <item x="4072"/>
        <item x="3571"/>
        <item x="2721"/>
        <item x="3281"/>
        <item x="3567"/>
        <item x="3091"/>
        <item x="3368"/>
        <item x="3787"/>
        <item x="2818"/>
        <item x="4038"/>
        <item x="3978"/>
        <item x="3686"/>
        <item x="3462"/>
        <item x="899"/>
        <item x="3603"/>
        <item x="3277"/>
        <item x="3230"/>
        <item x="3832"/>
        <item x="4216"/>
        <item x="3934"/>
        <item x="3954"/>
        <item x="3810"/>
        <item x="3586"/>
        <item x="3789"/>
        <item x="4282"/>
        <item x="3756"/>
        <item x="3839"/>
        <item x="331"/>
        <item x="884"/>
        <item x="2652"/>
        <item x="4097"/>
        <item x="3651"/>
        <item x="3024"/>
        <item x="3258"/>
        <item x="3906"/>
        <item x="3895"/>
        <item x="1031"/>
        <item x="3089"/>
        <item x="3584"/>
        <item x="986"/>
        <item x="2884"/>
        <item x="3498"/>
        <item x="3930"/>
        <item x="4081"/>
        <item x="1079"/>
        <item x="3460"/>
        <item x="3923"/>
        <item x="3470"/>
        <item x="3975"/>
        <item x="3639"/>
        <item x="3966"/>
        <item x="3824"/>
        <item x="3936"/>
        <item x="2047"/>
        <item x="4083"/>
        <item x="3653"/>
        <item x="2164"/>
        <item x="2859"/>
        <item x="2754"/>
        <item x="3701"/>
        <item x="3802"/>
        <item x="3421"/>
        <item x="3157"/>
        <item x="3318"/>
        <item x="286"/>
        <item x="537"/>
        <item x="3365"/>
        <item x="853"/>
        <item x="310"/>
        <item x="233"/>
        <item x="52"/>
        <item x="436"/>
        <item x="3538"/>
        <item x="583"/>
        <item x="539"/>
        <item x="107"/>
        <item x="3530"/>
        <item x="3862"/>
        <item x="783"/>
        <item x="3255"/>
        <item x="287"/>
        <item x="66"/>
        <item x="684"/>
        <item x="44"/>
        <item x="461"/>
        <item x="3177"/>
        <item x="476"/>
        <item x="453"/>
        <item x="3738"/>
        <item x="220"/>
        <item x="1063"/>
        <item x="3356"/>
        <item x="954"/>
        <item x="54"/>
        <item x="396"/>
        <item x="4361"/>
        <item x="586"/>
        <item x="377"/>
        <item x="3646"/>
        <item x="720"/>
        <item x="678"/>
        <item x="291"/>
        <item x="994"/>
        <item x="1115"/>
        <item x="3680"/>
        <item x="309"/>
        <item x="3479"/>
        <item x="50"/>
        <item x="772"/>
        <item x="308"/>
        <item x="3299"/>
        <item x="37"/>
        <item x="675"/>
        <item x="580"/>
        <item x="843"/>
        <item x="3146"/>
        <item x="784"/>
        <item x="967"/>
        <item x="3716"/>
        <item x="659"/>
        <item x="1033"/>
        <item x="167"/>
        <item x="347"/>
        <item x="218"/>
        <item x="3130"/>
        <item x="919"/>
        <item x="543"/>
        <item x="275"/>
        <item x="451"/>
        <item x="3207"/>
        <item x="1003"/>
        <item x="118"/>
        <item x="961"/>
        <item x="153"/>
        <item x="864"/>
        <item x="397"/>
        <item x="3242"/>
        <item x="700"/>
        <item x="288"/>
        <item x="664"/>
        <item x="413"/>
        <item x="4470"/>
        <item x="3116"/>
        <item x="663"/>
        <item x="3669"/>
        <item x="3466"/>
        <item x="701"/>
        <item x="716"/>
        <item x="180"/>
        <item x="289"/>
        <item x="3400"/>
        <item x="414"/>
        <item x="127"/>
        <item x="3531"/>
        <item x="3502"/>
        <item x="3614"/>
        <item x="3"/>
        <item x="159"/>
        <item x="88"/>
        <item x="84"/>
        <item x="838"/>
        <item x="418"/>
        <item x="412"/>
        <item x="756"/>
        <item x="1078"/>
        <item x="667"/>
        <item x="3920"/>
        <item x="179"/>
        <item x="138"/>
        <item x="450"/>
        <item x="571"/>
        <item x="405"/>
        <item x="970"/>
        <item x="338"/>
        <item x="40"/>
        <item x="3064"/>
        <item x="4832"/>
        <item x="4813"/>
        <item x="4762"/>
        <item x="260"/>
        <item x="4683"/>
        <item x="561"/>
        <item x="360"/>
        <item x="4541"/>
        <item x="4869"/>
        <item x="4791"/>
        <item x="4673"/>
        <item x="4787"/>
        <item x="2908"/>
        <item x="4794"/>
        <item x="4552"/>
        <item x="4490"/>
        <item x="4904"/>
        <item x="4890"/>
        <item x="4822"/>
        <item x="4658"/>
        <item x="4833"/>
        <item x="4888"/>
        <item x="4871"/>
        <item x="2515"/>
        <item x="931"/>
        <item x="3003"/>
        <item x="4840"/>
        <item x="4761"/>
        <item x="4575"/>
        <item x="4549"/>
        <item x="2390"/>
        <item x="4616"/>
        <item x="2836"/>
        <item x="3028"/>
        <item x="4964"/>
        <item x="4863"/>
        <item x="4983"/>
        <item x="4978"/>
        <item x="3572"/>
        <item x="4715"/>
        <item x="2339"/>
        <item x="4955"/>
        <item x="4885"/>
        <item x="4134"/>
        <item x="4755"/>
        <item x="2528"/>
        <item x="2448"/>
        <item x="2371"/>
        <item x="4957"/>
        <item x="2795"/>
        <item x="3007"/>
        <item x="2983"/>
        <item x="4825"/>
        <item x="4933"/>
        <item x="4856"/>
        <item x="5010"/>
        <item x="4866"/>
        <item x="4952"/>
        <item x="4837"/>
        <item x="5005"/>
        <item x="5001"/>
        <item x="2964"/>
        <item x="4992"/>
        <item x="4991"/>
        <item x="4982"/>
        <item x="4977"/>
        <item x="4986"/>
        <item x="4883"/>
        <item x="4838"/>
        <item x="2824"/>
        <item x="4844"/>
        <item x="4997"/>
        <item x="5020"/>
        <item x="4974"/>
        <item x="2686"/>
        <item x="4874"/>
        <item x="4145"/>
        <item x="4604"/>
        <item x="2817"/>
        <item x="4266"/>
        <item x="4308"/>
        <item x="4015"/>
        <item x="3450"/>
        <item x="3835"/>
        <item x="704"/>
        <item x="560"/>
        <item x="4051"/>
        <item x="566"/>
        <item x="4574"/>
        <item x="4716"/>
        <item x="510"/>
        <item x="977"/>
        <item x="4665"/>
        <item x="454"/>
        <item x="4521"/>
        <item x="4919"/>
        <item x="3262"/>
        <item x="1086"/>
        <item x="4223"/>
        <item x="4513"/>
        <item x="4740"/>
        <item x="713"/>
        <item x="4240"/>
        <item x="4506"/>
        <item x="3699"/>
        <item x="2943"/>
        <item x="4514"/>
        <item x="4720"/>
        <item x="4790"/>
        <item x="2911"/>
        <item x="4851"/>
        <item x="2662"/>
        <item x="4204"/>
        <item x="2567"/>
        <item x="2661"/>
        <item x="4846"/>
        <item x="2537"/>
        <item x="4848"/>
        <item x="4808"/>
        <item x="4835"/>
        <item x="4941"/>
        <item x="4046"/>
        <item x="2773"/>
        <item x="4419"/>
        <item x="2800"/>
        <item x="760"/>
        <item x="4693"/>
        <item x="4830"/>
        <item x="4914"/>
        <item x="4613"/>
        <item x="4592"/>
        <item x="196"/>
        <item x="4668"/>
        <item x="4774"/>
        <item x="4773"/>
        <item x="4663"/>
        <item x="4738"/>
        <item x="4691"/>
        <item x="4876"/>
        <item x="4936"/>
        <item x="4862"/>
        <item x="4672"/>
        <item x="4930"/>
        <item x="4953"/>
        <item x="4608"/>
        <item x="4508"/>
        <item x="2698"/>
        <item x="4248"/>
        <item x="2748"/>
        <item x="4859"/>
        <item x="3322"/>
        <item x="3151"/>
        <item x="3465"/>
        <item x="676"/>
        <item x="847"/>
        <item x="557"/>
        <item x="937"/>
        <item x="612"/>
        <item x="507"/>
        <item x="68"/>
        <item x="1037"/>
        <item x="3361"/>
        <item x="868"/>
        <item x="3240"/>
        <item x="424"/>
        <item x="3490"/>
        <item x="4028"/>
        <item x="2294"/>
        <item x="3493"/>
        <item x="4475"/>
        <item x="1072"/>
        <item x="3144"/>
        <item x="3108"/>
        <item x="3102"/>
        <item x="3078"/>
        <item x="3248"/>
        <item x="3285"/>
        <item x="3075"/>
        <item x="225"/>
        <item x="224"/>
        <item x="106"/>
        <item x="592"/>
        <item x="691"/>
        <item x="3324"/>
        <item x="2909"/>
        <item x="939"/>
        <item x="3853"/>
        <item x="3823"/>
        <item x="3663"/>
        <item x="3640"/>
        <item x="3678"/>
        <item x="2191"/>
        <item x="3705"/>
        <item x="460"/>
        <item x="605"/>
        <item x="4378"/>
        <item x="38"/>
        <item x="459"/>
        <item x="448"/>
        <item x="3237"/>
        <item x="3638"/>
        <item x="160"/>
        <item x="3348"/>
        <item x="3700"/>
        <item x="3039"/>
        <item x="3713"/>
        <item x="3086"/>
        <item x="91"/>
        <item x="3213"/>
        <item x="3145"/>
        <item x="779"/>
        <item x="3798"/>
        <item x="3546"/>
        <item x="67"/>
        <item x="1048"/>
        <item x="3337"/>
        <item x="1024"/>
        <item x="3162"/>
        <item x="437"/>
        <item x="1049"/>
        <item x="3981"/>
        <item x="3218"/>
        <item x="319"/>
        <item x="3295"/>
        <item x="214"/>
        <item x="130"/>
        <item x="303"/>
        <item x="809"/>
        <item x="442"/>
        <item x="3305"/>
        <item x="3160"/>
        <item x="2855"/>
        <item x="3117"/>
        <item x="3449"/>
        <item x="3114"/>
        <item x="971"/>
        <item x="3514"/>
        <item x="3358"/>
        <item x="1067"/>
        <item x="3749"/>
        <item x="3415"/>
        <item x="3330"/>
        <item x="3875"/>
        <item x="3186"/>
        <item x="110"/>
        <item x="57"/>
        <item x="740"/>
        <item x="348"/>
        <item x="145"/>
        <item x="1061"/>
        <item x="3903"/>
        <item x="968"/>
        <item x="718"/>
        <item x="125"/>
        <item x="16"/>
        <item x="1046"/>
        <item x="938"/>
        <item x="706"/>
        <item x="3654"/>
        <item x="3784"/>
        <item x="3522"/>
        <item x="3159"/>
        <item x="390"/>
        <item x="336"/>
        <item x="4"/>
        <item x="420"/>
        <item x="3138"/>
        <item x="3760"/>
        <item x="3271"/>
        <item x="3883"/>
        <item x="747"/>
        <item x="1107"/>
        <item x="24"/>
        <item x="3032"/>
        <item x="198"/>
        <item x="3928"/>
        <item x="3952"/>
        <item x="4133"/>
        <item x="4279"/>
        <item x="4389"/>
        <item x="4162"/>
        <item x="4226"/>
        <item x="3890"/>
        <item x="3782"/>
        <item x="2441"/>
        <item x="2676"/>
        <item x="3059"/>
        <item x="3637"/>
        <item x="3945"/>
        <item x="1881"/>
        <item x="4047"/>
        <item x="3594"/>
        <item x="3058"/>
        <item x="3099"/>
        <item x="2423"/>
        <item x="3251"/>
        <item x="1112"/>
        <item x="3532"/>
        <item x="4168"/>
        <item x="4245"/>
        <item x="3302"/>
        <item x="3310"/>
        <item x="3126"/>
        <item x="3382"/>
        <item x="3483"/>
        <item x="608"/>
        <item x="1065"/>
        <item x="990"/>
        <item x="1099"/>
        <item x="3446"/>
        <item x="216"/>
        <item x="3035"/>
        <item x="3813"/>
        <item x="872"/>
        <item x="2449"/>
        <item x="2597"/>
        <item x="3392"/>
        <item x="1038"/>
        <item x="3239"/>
        <item x="3228"/>
        <item x="817"/>
        <item x="55"/>
        <item x="771"/>
        <item x="208"/>
        <item x="3552"/>
        <item x="936"/>
        <item x="458"/>
        <item x="194"/>
        <item x="3664"/>
        <item x="600"/>
        <item x="638"/>
        <item x="683"/>
        <item x="3662"/>
        <item x="3854"/>
        <item x="1113"/>
        <item x="468"/>
        <item x="3247"/>
        <item x="69"/>
        <item x="857"/>
        <item x="185"/>
        <item x="277"/>
        <item x="191"/>
        <item x="305"/>
        <item x="120"/>
        <item x="1108"/>
        <item x="637"/>
        <item x="3192"/>
        <item x="814"/>
        <item x="831"/>
        <item x="193"/>
        <item x="223"/>
        <item x="2674"/>
        <item x="1066"/>
        <item x="4050"/>
        <item x="4137"/>
        <item x="4538"/>
        <item x="2678"/>
        <item x="2913"/>
        <item x="2055"/>
        <item x="4426"/>
        <item x="4430"/>
        <item x="2846"/>
        <item x="3999"/>
        <item x="2749"/>
        <item x="2715"/>
        <item x="870"/>
        <item x="4093"/>
        <item x="2243"/>
        <item x="4127"/>
        <item x="3387"/>
        <item x="3065"/>
        <item x="3829"/>
        <item x="3111"/>
        <item x="4332"/>
        <item x="3670"/>
        <item x="3778"/>
        <item x="3732"/>
        <item x="3323"/>
        <item x="3761"/>
        <item x="4602"/>
        <item x="4018"/>
        <item x="4406"/>
        <item x="987"/>
        <item x="3234"/>
        <item x="2275"/>
        <item x="256"/>
        <item x="930"/>
        <item x="4597"/>
        <item x="3992"/>
        <item x="2899"/>
        <item x="3633"/>
        <item x="2247"/>
        <item x="2929"/>
        <item x="3181"/>
        <item x="3585"/>
        <item x="227"/>
        <item x="4486"/>
        <item x="4587"/>
        <item x="2941"/>
        <item x="4581"/>
        <item x="4585"/>
        <item x="4254"/>
        <item x="4352"/>
        <item x="4130"/>
        <item x="4331"/>
        <item x="4065"/>
        <item x="3606"/>
        <item x="3477"/>
        <item x="3499"/>
        <item x="4503"/>
        <item x="3187"/>
        <item x="4326"/>
        <item x="2895"/>
        <item x="2719"/>
        <item x="3312"/>
        <item x="4206"/>
        <item x="3984"/>
        <item x="4059"/>
        <item x="262"/>
        <item x="1007"/>
        <item x="4494"/>
        <item x="3420"/>
        <item x="2743"/>
        <item x="3094"/>
        <item x="3411"/>
        <item x="3873"/>
        <item x="4694"/>
        <item x="3386"/>
        <item x="2442"/>
        <item x="4487"/>
        <item x="3867"/>
        <item x="3765"/>
        <item x="2593"/>
        <item x="4002"/>
        <item x="2572"/>
        <item x="4289"/>
        <item x="3152"/>
        <item x="3044"/>
        <item x="4080"/>
        <item x="3435"/>
        <item x="3378"/>
        <item x="4012"/>
        <item x="3746"/>
        <item x="3548"/>
        <item x="3912"/>
        <item x="3272"/>
        <item x="626"/>
        <item x="3453"/>
        <item x="4311"/>
        <item x="3649"/>
        <item x="3744"/>
        <item x="625"/>
        <item x="4073"/>
        <item x="2801"/>
        <item x="2452"/>
        <item x="2930"/>
        <item x="2461"/>
        <item x="253"/>
        <item x="4042"/>
        <item x="912"/>
        <item x="393"/>
        <item x="674"/>
        <item x="636"/>
        <item x="3844"/>
        <item x="3156"/>
        <item x="4004"/>
        <item x="79"/>
        <item x="3149"/>
        <item x="3693"/>
        <item x="3352"/>
        <item x="4324"/>
        <item x="3303"/>
        <item x="3472"/>
        <item x="3112"/>
        <item x="274"/>
        <item x="3184"/>
        <item x="1062"/>
        <item x="802"/>
        <item x="2808"/>
        <item x="2948"/>
        <item x="3395"/>
        <item x="4517"/>
        <item x="3851"/>
        <item x="2833"/>
        <item x="4184"/>
        <item x="695"/>
        <item x="3899"/>
        <item x="3971"/>
        <item x="761"/>
        <item x="4523"/>
        <item x="3107"/>
        <item x="4771"/>
        <item x="4911"/>
        <item x="2755"/>
        <item x="4951"/>
        <item x="2578"/>
        <item x="4850"/>
        <item x="3521"/>
        <item x="4845"/>
        <item x="4916"/>
        <item x="4908"/>
        <item x="2340"/>
        <item x="2905"/>
        <item x="2386"/>
        <item x="2781"/>
        <item x="2916"/>
        <item x="4191"/>
        <item x="2904"/>
        <item x="4108"/>
        <item x="2527"/>
        <item x="2794"/>
        <item x="4569"/>
        <item x="2751"/>
        <item x="3300"/>
        <item x="2821"/>
        <item x="3427"/>
        <item x="2533"/>
        <item x="1955"/>
        <item x="2819"/>
        <item x="4562"/>
        <item x="4609"/>
        <item x="3183"/>
        <item x="2893"/>
        <item x="4674"/>
        <item x="2680"/>
        <item x="3868"/>
        <item x="3018"/>
        <item x="3464"/>
        <item x="4702"/>
        <item x="4824"/>
        <item x="4921"/>
        <item x="4949"/>
        <item x="4889"/>
        <item x="4944"/>
        <item x="4775"/>
        <item x="4403"/>
        <item x="4857"/>
        <item x="4864"/>
        <item x="4398"/>
        <item x="3008"/>
        <item x="4318"/>
        <item x="2832"/>
        <item x="2741"/>
        <item x="4102"/>
        <item x="2320"/>
        <item x="1100"/>
        <item x="3896"/>
        <item x="4471"/>
        <item x="3621"/>
        <item x="3766"/>
        <item x="3580"/>
        <item x="3385"/>
        <item x="4595"/>
        <item x="4706"/>
        <item x="4858"/>
        <item x="4733"/>
        <item x="4847"/>
        <item x="4489"/>
        <item x="4550"/>
        <item x="4875"/>
        <item x="4483"/>
        <item x="4878"/>
        <item x="4298"/>
        <item x="4860"/>
        <item x="2342"/>
        <item x="2576"/>
        <item x="2462"/>
        <item x="3046"/>
        <item x="4736"/>
        <item x="4812"/>
        <item x="2842"/>
        <item x="4753"/>
        <item x="4801"/>
        <item x="4760"/>
        <item x="4754"/>
        <item x="4659"/>
        <item x="2561"/>
        <item x="4783"/>
        <item x="4699"/>
        <item x="4739"/>
        <item x="4784"/>
        <item x="4649"/>
        <item x="4701"/>
        <item x="2463"/>
        <item x="4772"/>
        <item x="3704"/>
        <item x="4348"/>
        <item x="2279"/>
        <item x="4606"/>
        <item x="4931"/>
        <item x="4906"/>
        <item x="4695"/>
        <item x="4910"/>
        <item x="4893"/>
        <item x="4017"/>
        <item x="4380"/>
        <item x="155"/>
        <item x="2862"/>
        <item x="4852"/>
        <item x="4711"/>
        <item x="2241"/>
        <item x="4815"/>
        <item x="2579"/>
        <item x="2679"/>
        <item x="4497"/>
        <item x="4141"/>
        <item x="4828"/>
        <item x="4806"/>
        <item x="3443"/>
        <item x="3121"/>
        <item x="1917"/>
        <item x="4639"/>
        <item x="2665"/>
        <item x="4165"/>
        <item x="4386"/>
        <item x="3534"/>
        <item x="3511"/>
        <item x="2460"/>
        <item x="4052"/>
        <item x="4096"/>
        <item x="4239"/>
        <item x="3610"/>
        <item x="2558"/>
        <item x="2482"/>
        <item x="2774"/>
        <item x="1798"/>
        <item x="2481"/>
        <item x="4273"/>
        <item x="4536"/>
        <item x="4747"/>
        <item x="3022"/>
        <item x="2514"/>
        <item x="3624"/>
        <item x="4335"/>
        <item x="3976"/>
        <item x="4078"/>
        <item x="4474"/>
        <item x="4249"/>
        <item x="4262"/>
        <item x="4462"/>
        <item x="4769"/>
        <item x="3036"/>
        <item x="3031"/>
        <item x="2539"/>
        <item x="3178"/>
        <item x="2114"/>
        <item x="2998"/>
        <item x="2355"/>
        <item x="3010"/>
        <item x="4666"/>
        <item x="4402"/>
        <item x="4330"/>
        <item x="3525"/>
        <item x="4511"/>
        <item x="3898"/>
        <item x="4481"/>
        <item x="4472"/>
        <item x="2898"/>
        <item x="3404"/>
        <item x="4670"/>
        <item x="2850"/>
        <item x="4231"/>
        <item x="4554"/>
        <item x="2907"/>
        <item x="2238"/>
        <item x="2728"/>
        <item x="4291"/>
        <item x="4362"/>
        <item x="4099"/>
        <item x="4723"/>
        <item x="4637"/>
        <item x="3412"/>
        <item x="4452"/>
        <item x="2953"/>
        <item x="4307"/>
        <item x="4559"/>
        <item x="4543"/>
        <item x="2392"/>
        <item x="4756"/>
        <item x="4678"/>
        <item x="3886"/>
        <item x="2416"/>
        <item x="4546"/>
        <item x="4555"/>
        <item x="2984"/>
        <item x="2610"/>
        <item x="4277"/>
        <item x="3627"/>
        <item x="2931"/>
        <item x="3306"/>
        <item x="3706"/>
        <item x="3106"/>
        <item x="3448"/>
        <item x="3948"/>
        <item x="3011"/>
        <item x="4432"/>
        <item x="3082"/>
        <item x="1982"/>
        <item x="2468"/>
        <item x="4807"/>
        <item x="1734"/>
        <item x="4809"/>
        <item x="2660"/>
        <item x="2706"/>
        <item x="3935"/>
        <item x="2954"/>
        <item x="2809"/>
        <item x="2616"/>
        <item x="3617"/>
        <item x="4247"/>
        <item x="4646"/>
        <item x="3815"/>
        <item x="4030"/>
        <item x="4003"/>
        <item x="4653"/>
        <item x="4698"/>
        <item x="4717"/>
        <item x="2170"/>
        <item x="3009"/>
        <item x="4305"/>
        <item x="4410"/>
        <item x="4752"/>
        <item x="2560"/>
        <item x="3799"/>
        <item x="4317"/>
        <item x="2727"/>
        <item x="2853"/>
        <item x="4553"/>
        <item x="2502"/>
        <item x="4563"/>
        <item x="2717"/>
        <item x="3043"/>
        <item x="4301"/>
        <item x="4709"/>
        <item x="4468"/>
        <item x="4816"/>
        <item x="4467"/>
        <item x="4560"/>
        <item x="2777"/>
        <item x="4745"/>
        <item x="2415"/>
        <item x="3657"/>
        <item x="4466"/>
        <item x="4320"/>
        <item x="4233"/>
        <item x="4726"/>
        <item x="4710"/>
        <item x="4522"/>
        <item x="4393"/>
        <item x="4520"/>
        <item x="4415"/>
        <item x="4408"/>
        <item x="4675"/>
        <item x="2951"/>
        <item x="4336"/>
        <item x="4531"/>
        <item x="4526"/>
        <item x="4634"/>
        <item x="4044"/>
        <item x="4626"/>
        <item x="4505"/>
        <item x="4548"/>
        <item x="4633"/>
        <item x="4484"/>
        <item x="3518"/>
        <item x="920"/>
        <item x="4704"/>
        <item x="4618"/>
        <item x="3796"/>
        <item x="558"/>
        <item x="1041"/>
        <item x="3097"/>
        <item x="2999"/>
        <item x="2684"/>
        <item x="3904"/>
        <item x="3974"/>
        <item x="2453"/>
        <item x="4501"/>
        <item x="3422"/>
        <item x="3762"/>
        <item x="4225"/>
        <item x="3507"/>
        <item x="4163"/>
        <item x="4343"/>
        <item x="3771"/>
        <item x="722"/>
        <item x="4655"/>
        <item x="2631"/>
        <item x="4782"/>
        <item x="3359"/>
        <item x="3254"/>
        <item x="3445"/>
        <item x="3949"/>
        <item x="3405"/>
        <item x="2860"/>
        <item x="3582"/>
        <item x="3605"/>
        <item x="614"/>
        <item x="207"/>
        <item x="217"/>
        <item x="215"/>
        <item x="391"/>
        <item x="75"/>
        <item x="4865"/>
        <item x="3958"/>
        <item x="2873"/>
        <item x="3245"/>
        <item x="2483"/>
        <item x="2752"/>
        <item x="3072"/>
        <item x="3341"/>
        <item x="2742"/>
        <item x="4895"/>
        <item x="2835"/>
        <item x="4903"/>
        <item x="4898"/>
        <item x="4880"/>
        <item x="4882"/>
        <item x="3615"/>
        <item x="4757"/>
        <item x="4120"/>
        <item x="4379"/>
        <item x="4564"/>
        <item x="4533"/>
        <item x="2759"/>
        <item x="4765"/>
        <item x="3439"/>
        <item x="3175"/>
        <item x="3304"/>
        <item x="4744"/>
        <item x="4617"/>
        <item x="4284"/>
        <item x="2659"/>
        <item x="3694"/>
        <item x="3926"/>
        <item x="3987"/>
        <item x="3607"/>
        <item x="3432"/>
        <item x="3372"/>
        <item x="3227"/>
        <item x="3776"/>
        <item x="5004"/>
        <item x="154"/>
        <item x="4146"/>
        <item x="4519"/>
        <item x="4525"/>
        <item x="4464"/>
        <item x="1095"/>
        <item x="4465"/>
        <item x="3818"/>
        <item x="4423"/>
        <item x="4356"/>
        <item x="4401"/>
        <item x="4448"/>
        <item x="2939"/>
        <item x="4719"/>
        <item x="4524"/>
        <item x="621"/>
        <item x="4721"/>
        <item x="2917"/>
        <item x="4788"/>
        <item x="2523"/>
        <item x="4714"/>
        <item x="4689"/>
        <item x="4443"/>
        <item x="4749"/>
        <item x="2925"/>
        <item x="4779"/>
        <item x="4810"/>
        <item x="4759"/>
        <item x="4532"/>
        <item x="339"/>
        <item x="885"/>
        <item x="732"/>
        <item x="834"/>
        <item x="623"/>
        <item x="935"/>
        <item x="494"/>
        <item x="103"/>
        <item x="3652"/>
        <item x="918"/>
        <item x="3889"/>
        <item x="661"/>
        <item x="3219"/>
        <item x="569"/>
        <item x="1114"/>
        <item x="878"/>
        <item x="427"/>
        <item x="921"/>
        <item x="3153"/>
        <item x="579"/>
        <item x="4048"/>
        <item x="3583"/>
        <item x="552"/>
        <item x="200"/>
        <item x="3842"/>
        <item x="906"/>
        <item x="974"/>
        <item x="594"/>
        <item x="136"/>
        <item x="529"/>
        <item x="172"/>
        <item x="820"/>
        <item x="3476"/>
        <item x="3863"/>
        <item x="714"/>
        <item x="1060"/>
        <item x="671"/>
        <item x="0"/>
        <item x="788"/>
        <item x="785"/>
        <item x="3198"/>
        <item x="865"/>
        <item x="3369"/>
        <item x="237"/>
        <item x="175"/>
        <item x="869"/>
        <item x="3447"/>
        <item x="3430"/>
        <item x="584"/>
        <item x="156"/>
        <item x="3402"/>
        <item x="2965"/>
        <item x="3293"/>
        <item x="534"/>
        <item x="2971"/>
        <item x="3287"/>
        <item x="28"/>
        <item x="1093"/>
        <item x="709"/>
        <item x="143"/>
        <item x="668"/>
        <item x="519"/>
        <item x="137"/>
        <item x="736"/>
        <item x="3468"/>
        <item x="64"/>
        <item x="76"/>
        <item x="85"/>
        <item x="298"/>
        <item x="346"/>
        <item x="148"/>
        <item x="513"/>
        <item x="888"/>
        <item x="3104"/>
        <item x="21"/>
        <item x="229"/>
        <item x="211"/>
        <item x="3943"/>
        <item x="236"/>
        <item x="518"/>
        <item x="355"/>
        <item x="259"/>
        <item x="170"/>
        <item x="533"/>
        <item x="739"/>
        <item x="2783"/>
        <item x="1017"/>
        <item x="896"/>
        <item x="3431"/>
        <item x="3849"/>
        <item x="2354"/>
        <item x="3733"/>
        <item x="573"/>
        <item x="3979"/>
        <item x="4139"/>
        <item x="4154"/>
        <item x="4268"/>
        <item x="4250"/>
        <item x="3023"/>
        <item x="3246"/>
        <item x="341"/>
        <item x="2845"/>
        <item x="342"/>
        <item x="128"/>
        <item x="989"/>
        <item x="563"/>
        <item x="1047"/>
        <item x="1076"/>
        <item x="221"/>
        <item x="2612"/>
        <item x="3513"/>
        <item x="1053"/>
        <item x="356"/>
        <item x="3419"/>
        <item x="945"/>
        <item x="969"/>
        <item x="3967"/>
        <item x="3790"/>
        <item x="985"/>
        <item x="1057"/>
        <item x="883"/>
        <item x="235"/>
        <item x="3838"/>
        <item x="4016"/>
        <item x="1012"/>
        <item x="3630"/>
        <item x="854"/>
        <item x="564"/>
        <item x="2970"/>
        <item x="874"/>
        <item x="926"/>
        <item x="793"/>
        <item x="3473"/>
        <item x="1098"/>
        <item x="895"/>
        <item x="3748"/>
        <item x="1097"/>
        <item x="3719"/>
        <item x="3788"/>
        <item x="3090"/>
        <item x="3275"/>
        <item x="1104"/>
        <item x="3589"/>
        <item x="146"/>
        <item x="3249"/>
        <item x="3205"/>
        <item x="3316"/>
        <item x="3209"/>
        <item x="3325"/>
        <item x="3503"/>
        <item x="3599"/>
        <item x="3408"/>
        <item x="1059"/>
        <item x="3677"/>
        <item x="3698"/>
        <item x="3805"/>
        <item x="886"/>
        <item x="4365"/>
        <item x="4157"/>
        <item x="426"/>
        <item x="3647"/>
        <item x="3879"/>
        <item x="3642"/>
        <item x="3902"/>
        <item x="1023"/>
        <item x="3661"/>
        <item x="501"/>
        <item x="234"/>
        <item x="250"/>
        <item x="679"/>
        <item x="266"/>
        <item x="3500"/>
        <item x="435"/>
        <item x="184"/>
        <item x="3558"/>
        <item x="4031"/>
        <item x="1018"/>
        <item x="4022"/>
        <item x="4143"/>
        <item x="2872"/>
        <item x="3884"/>
        <item x="495"/>
        <item x="517"/>
        <item x="4174"/>
        <item x="3575"/>
        <item x="19"/>
        <item x="3543"/>
        <item x="3286"/>
        <item x="428"/>
        <item x="3726"/>
        <item x="3274"/>
        <item x="1075"/>
        <item x="3833"/>
        <item x="3193"/>
        <item x="3591"/>
        <item x="469"/>
        <item x="3321"/>
        <item x="3013"/>
        <item x="3333"/>
        <item x="263"/>
        <item x="92"/>
        <item x="725"/>
        <item x="3131"/>
        <item x="3215"/>
        <item x="842"/>
        <item x="523"/>
        <item x="3619"/>
        <item x="3569"/>
        <item x="63"/>
        <item x="693"/>
        <item x="787"/>
        <item x="65"/>
        <item x="748"/>
        <item x="4283"/>
        <item x="4152"/>
        <item x="4087"/>
        <item x="4369"/>
        <item x="4238"/>
        <item x="4057"/>
        <item x="87"/>
        <item x="3843"/>
        <item x="42"/>
        <item x="447"/>
        <item x="181"/>
        <item x="1022"/>
        <item x="2829"/>
        <item x="821"/>
        <item x="3224"/>
        <item x="177"/>
        <item x="630"/>
        <item x="311"/>
        <item x="26"/>
        <item x="307"/>
        <item x="3266"/>
        <item x="3563"/>
        <item x="471"/>
        <item x="634"/>
        <item x="3650"/>
        <item x="4469"/>
        <item x="3994"/>
        <item x="1070"/>
        <item x="915"/>
        <item x="4329"/>
        <item x="4243"/>
        <item x="2644"/>
        <item x="3881"/>
        <item x="3672"/>
        <item x="3154"/>
        <item x="3561"/>
        <item x="2214"/>
        <item x="3602"/>
        <item x="1085"/>
        <item x="522"/>
        <item x="3163"/>
        <item x="3480"/>
        <item x="3628"/>
        <item x="3113"/>
        <item x="3673"/>
        <item x="3226"/>
        <item x="3167"/>
        <item x="3373"/>
        <item x="2681"/>
        <item x="3417"/>
        <item x="3208"/>
        <item x="3134"/>
        <item x="446"/>
        <item x="3319"/>
        <item x="942"/>
        <item x="892"/>
        <item x="2466"/>
        <item x="871"/>
        <item x="1094"/>
        <item x="729"/>
        <item x="3188"/>
        <item x="597"/>
        <item x="734"/>
        <item x="384"/>
        <item x="385"/>
        <item x="904"/>
        <item x="2864"/>
        <item x="3451"/>
        <item x="3119"/>
        <item x="514"/>
        <item x="805"/>
        <item x="296"/>
        <item x="3982"/>
        <item x="2858"/>
        <item x="660"/>
        <item x="77"/>
        <item x="351"/>
        <item x="264"/>
        <item x="3510"/>
        <item x="254"/>
        <item x="1090"/>
        <item x="524"/>
        <item x="431"/>
        <item x="195"/>
        <item x="46"/>
        <item x="327"/>
        <item x="804"/>
        <item x="119"/>
        <item x="777"/>
        <item x="744"/>
        <item x="800"/>
        <item x="354"/>
        <item x="2608"/>
        <item x="379"/>
        <item x="3724"/>
        <item x="613"/>
        <item x="142"/>
        <item x="3081"/>
        <item x="731"/>
        <item x="4605"/>
        <item x="3164"/>
        <item x="3189"/>
        <item x="3236"/>
        <item x="3355"/>
        <item x="3296"/>
        <item x="3095"/>
        <item x="618"/>
        <item x="562"/>
        <item x="619"/>
        <item x="3203"/>
        <item x="4079"/>
        <item x="717"/>
        <item x="911"/>
        <item x="581"/>
        <item x="3176"/>
        <item x="163"/>
        <item x="199"/>
        <item x="3093"/>
        <item x="3068"/>
        <item x="3067"/>
        <item x="4661"/>
        <item x="4480"/>
        <item x="682"/>
        <item x="908"/>
        <item x="4027"/>
        <item x="2701"/>
        <item x="4648"/>
        <item x="2649"/>
        <item x="4638"/>
        <item x="4241"/>
        <item x="3855"/>
        <item x="4321"/>
        <item x="2613"/>
        <item x="2324"/>
        <item x="4190"/>
        <item x="3211"/>
        <item x="4155"/>
        <item x="2990"/>
        <item x="2840"/>
        <item x="4269"/>
        <item x="4357"/>
        <item x="4183"/>
        <item x="4341"/>
        <item x="3779"/>
        <item x="4095"/>
        <item x="3125"/>
        <item x="4103"/>
        <item x="190"/>
        <item x="27"/>
        <item x="694"/>
        <item x="152"/>
        <item x="244"/>
        <item x="74"/>
        <item x="11"/>
        <item x="3349"/>
        <item x="111"/>
        <item x="646"/>
        <item x="829"/>
        <item x="505"/>
        <item x="3769"/>
        <item x="3711"/>
        <item x="3288"/>
        <item x="3118"/>
        <item x="3665"/>
        <item x="186"/>
        <item x="3282"/>
        <item x="553"/>
        <item x="932"/>
        <item x="113"/>
        <item x="472"/>
        <item x="201"/>
        <item x="830"/>
        <item x="3623"/>
        <item x="3709"/>
        <item x="32"/>
        <item x="3174"/>
        <item x="3542"/>
        <item x="470"/>
        <item x="408"/>
        <item x="8"/>
        <item x="685"/>
        <item x="109"/>
        <item x="941"/>
        <item x="273"/>
        <item x="73"/>
        <item x="3679"/>
        <item x="197"/>
        <item x="3338"/>
        <item x="3360"/>
        <item x="3574"/>
        <item x="1004"/>
        <item x="546"/>
        <item x="764"/>
        <item x="4228"/>
        <item x="86"/>
        <item x="3997"/>
        <item x="4112"/>
        <item x="4261"/>
        <item x="811"/>
        <item x="3540"/>
        <item x="3456"/>
        <item x="3539"/>
        <item x="867"/>
        <item x="643"/>
        <item x="3840"/>
        <item x="3576"/>
        <item x="3544"/>
        <item x="3620"/>
        <item x="4123"/>
        <item x="3988"/>
        <item x="4285"/>
        <item x="4122"/>
        <item x="4084"/>
        <item x="917"/>
        <item x="934"/>
        <item x="591"/>
        <item x="2672"/>
        <item x="3626"/>
        <item x="3307"/>
        <item x="2703"/>
        <item x="3579"/>
        <item x="4014"/>
        <item x="4375"/>
        <item x="972"/>
        <item x="544"/>
        <item x="548"/>
        <item x="707"/>
        <item x="3655"/>
        <item x="3057"/>
        <item x="4436"/>
        <item x="4350"/>
        <item x="4477"/>
        <item x="4290"/>
        <item x="3929"/>
        <item x="603"/>
        <item x="768"/>
        <item x="645"/>
        <item x="3891"/>
        <item x="3781"/>
        <item x="3201"/>
        <item x="3070"/>
        <item x="3216"/>
        <item x="530"/>
        <item x="104"/>
        <item x="3231"/>
        <item x="3825"/>
        <item x="3194"/>
        <item x="3124"/>
        <item x="299"/>
        <item x="767"/>
        <item x="504"/>
        <item x="3822"/>
        <item x="3268"/>
        <item x="3471"/>
        <item x="4090"/>
        <item x="226"/>
        <item x="3366"/>
        <item x="70"/>
        <item x="4006"/>
        <item x="979"/>
        <item x="2945"/>
        <item x="4176"/>
        <item x="3062"/>
        <item x="3351"/>
        <item x="3180"/>
        <item x="3608"/>
        <item x="3264"/>
        <item x="2347"/>
        <item x="680"/>
        <item x="3560"/>
        <item x="60"/>
        <item x="3526"/>
        <item x="4188"/>
        <item x="545"/>
        <item x="542"/>
        <item x="2997"/>
        <item x="3491"/>
        <item x="3168"/>
        <item x="3634"/>
        <item x="3791"/>
        <item x="763"/>
        <item x="3040"/>
        <item x="3223"/>
        <item x="3660"/>
        <item x="3972"/>
        <item x="3458"/>
        <item x="3362"/>
        <item x="924"/>
        <item x="4066"/>
        <item x="826"/>
        <item x="3819"/>
        <item x="995"/>
        <item x="3165"/>
        <item x="515"/>
        <item x="894"/>
        <item x="4061"/>
        <item x="3800"/>
        <item x="905"/>
        <item x="258"/>
        <item x="3859"/>
        <item x="4316"/>
        <item x="4396"/>
        <item x="4527"/>
        <item x="4681"/>
        <item x="2914"/>
        <item x="2667"/>
        <item x="2380"/>
        <item x="4621"/>
        <item x="4700"/>
        <item x="4551"/>
        <item x="4036"/>
        <item x="2718"/>
        <item x="2772"/>
        <item x="3413"/>
        <item x="2169"/>
        <item x="4583"/>
        <item x="3371"/>
        <item x="4299"/>
        <item x="2736"/>
        <item x="4041"/>
        <item x="2443"/>
        <item x="4935"/>
        <item x="3524"/>
        <item x="4347"/>
        <item x="2407"/>
        <item x="3809"/>
        <item x="4938"/>
        <item x="4151"/>
        <item x="2696"/>
        <item x="3243"/>
        <item x="2695"/>
        <item x="2879"/>
        <item x="4355"/>
        <item x="4325"/>
        <item x="3919"/>
        <item x="3463"/>
        <item x="3334"/>
        <item x="4372"/>
        <item x="4010"/>
        <item x="4795"/>
        <item x="3041"/>
        <item x="4842"/>
        <item x="2408"/>
        <item x="4922"/>
        <item x="1942"/>
        <item x="2638"/>
        <item x="2234"/>
        <item x="3150"/>
        <item x="4370"/>
        <item x="4429"/>
        <item x="4671"/>
        <item x="2446"/>
        <item x="3030"/>
        <item x="4767"/>
        <item x="2963"/>
        <item x="2807"/>
        <item x="2562"/>
        <item x="2293"/>
        <item x="4732"/>
        <item x="3793"/>
        <item x="473"/>
        <item x="4891"/>
        <item x="973"/>
        <item x="3681"/>
        <item x="792"/>
        <item x="2881"/>
        <item x="4493"/>
        <item x="4263"/>
        <item x="958"/>
        <item x="2581"/>
        <item x="3600"/>
        <item x="3595"/>
        <item x="1029"/>
        <item x="3290"/>
        <item x="3702"/>
        <item x="4260"/>
        <item x="4060"/>
        <item x="4306"/>
        <item x="4397"/>
        <item x="2422"/>
        <item x="3191"/>
        <item x="4101"/>
        <item x="4545"/>
        <item x="3828"/>
        <item x="3383"/>
        <item x="3109"/>
        <item x="3409"/>
        <item x="3763"/>
        <item x="3504"/>
        <item x="855"/>
        <item x="1027"/>
        <item x="3225"/>
        <item x="2447"/>
        <item x="1089"/>
        <item x="3877"/>
        <item x="4198"/>
        <item x="4045"/>
        <item x="4345"/>
        <item x="4437"/>
        <item x="4314"/>
        <item x="4196"/>
        <item x="3313"/>
        <item x="3148"/>
        <item x="3689"/>
        <item x="3707"/>
        <item x="3816"/>
        <item x="965"/>
        <item x="3376"/>
        <item x="893"/>
        <item x="3737"/>
        <item x="632"/>
        <item x="4187"/>
        <item x="4420"/>
        <item x="457"/>
        <item x="3263"/>
        <item x="3110"/>
        <item x="3179"/>
        <item x="3528"/>
        <item x="4025"/>
        <item x="3986"/>
        <item x="4342"/>
        <item x="957"/>
        <item x="3549"/>
        <item x="3597"/>
        <item x="815"/>
        <item x="3612"/>
        <item x="4005"/>
        <item x="4107"/>
        <item x="2360"/>
        <item x="4220"/>
        <item x="83"/>
        <item x="4246"/>
        <item x="4203"/>
        <item x="4499"/>
        <item x="4211"/>
        <item x="3917"/>
        <item x="4013"/>
        <item x="598"/>
        <item x="4181"/>
        <item x="4207"/>
        <item x="574"/>
        <item x="4193"/>
        <item x="222"/>
        <item x="3777"/>
        <item x="881"/>
        <item x="795"/>
        <item x="4454"/>
        <item x="2901"/>
        <item x="4540"/>
        <item x="4582"/>
        <item x="2910"/>
        <item x="4459"/>
        <item x="4442"/>
        <item x="873"/>
        <item x="4178"/>
        <item x="3370"/>
        <item x="3487"/>
        <item x="4205"/>
        <item x="4641"/>
        <item x="4539"/>
        <item x="3874"/>
        <item x="4315"/>
        <item x="3084"/>
        <item x="3393"/>
        <item x="56"/>
        <item x="4685"/>
        <item x="491"/>
        <item x="3301"/>
        <item x="3645"/>
        <item x="4327"/>
        <item x="3354"/>
        <item x="477"/>
        <item x="3750"/>
        <item x="4119"/>
        <item x="3933"/>
        <item x="4584"/>
        <item x="4138"/>
        <item x="188"/>
        <item x="1030"/>
        <item x="251"/>
        <item x="983"/>
        <item x="455"/>
        <item x="261"/>
        <item x="601"/>
        <item x="328"/>
        <item x="4128"/>
        <item x="672"/>
        <item x="352"/>
        <item x="551"/>
        <item x="526"/>
        <item x="946"/>
        <item x="512"/>
        <item x="741"/>
        <item x="321"/>
        <item x="662"/>
        <item x="402"/>
        <item x="4229"/>
        <item x="326"/>
        <item x="733"/>
        <item x="4024"/>
        <item x="4645"/>
        <item x="313"/>
        <item x="314"/>
        <item x="324"/>
        <item x="271"/>
        <item x="366"/>
        <item x="4144"/>
        <item x="712"/>
        <item x="417"/>
        <item x="4491"/>
        <item x="429"/>
        <item x="565"/>
        <item x="272"/>
        <item x="832"/>
        <item x="3048"/>
        <item x="2639"/>
        <item x="3123"/>
        <item x="2886"/>
        <item x="3074"/>
        <item x="3892"/>
        <item x="464"/>
        <item x="4126"/>
        <item x="1035"/>
        <item x="1000"/>
        <item x="1013"/>
        <item x="852"/>
        <item x="649"/>
        <item x="2776"/>
        <item x="463"/>
        <item x="4407"/>
        <item x="3169"/>
        <item x="3320"/>
        <item x="4029"/>
        <item x="975"/>
        <item x="2412"/>
        <item x="3939"/>
        <item x="1083"/>
        <item x="575"/>
        <item x="3795"/>
        <item x="982"/>
        <item x="3940"/>
        <item x="980"/>
        <item x="955"/>
        <item x="178"/>
        <item x="3959"/>
        <item x="891"/>
        <item x="2313"/>
        <item x="778"/>
        <item x="766"/>
        <item x="2961"/>
        <item x="3667"/>
        <item x="3676"/>
        <item x="488"/>
        <item x="3921"/>
        <item x="489"/>
        <item x="940"/>
        <item x="189"/>
        <item x="503"/>
        <item x="4383"/>
        <item x="3938"/>
        <item x="3536"/>
        <item x="3814"/>
        <item x="3860"/>
        <item x="4418"/>
        <item x="3092"/>
        <item x="1058"/>
        <item x="2926"/>
        <item x="3357"/>
        <item x="907"/>
        <item x="4113"/>
        <item x="743"/>
        <item x="582"/>
        <item x="3946"/>
        <item x="866"/>
        <item x="3235"/>
        <item x="490"/>
        <item x="3292"/>
        <item x="3924"/>
        <item x="3238"/>
        <item x="3977"/>
        <item x="4295"/>
        <item x="943"/>
        <item x="3643"/>
        <item x="3688"/>
        <item x="3745"/>
        <item x="3484"/>
        <item x="4092"/>
        <item x="3426"/>
        <item x="2799"/>
        <item x="2694"/>
        <item x="2641"/>
        <item x="3276"/>
        <item x="2687"/>
        <item x="4881"/>
        <item x="4804"/>
        <item x="4929"/>
        <item x="4214"/>
        <item x="3220"/>
        <item x="4805"/>
        <item x="4746"/>
        <item x="4870"/>
        <item x="3105"/>
        <item x="358"/>
        <item x="2385"/>
        <item x="4873"/>
        <item x="2985"/>
        <item x="2212"/>
        <item x="4598"/>
        <item x="2623"/>
        <item x="4940"/>
        <item x="2543"/>
        <item x="765"/>
        <item x="4730"/>
        <item x="4445"/>
        <item x="4727"/>
        <item x="4212"/>
        <item x="2577"/>
        <item x="4868"/>
        <item x="4943"/>
        <item x="2980"/>
        <item x="5016"/>
        <item x="5011"/>
        <item x="5017"/>
        <item x="5021"/>
        <item x="5025"/>
        <item x="5026"/>
        <item x="5027"/>
        <item x="5022"/>
        <item x="5028"/>
        <item x="5018"/>
        <item x="2924"/>
        <item x="4915"/>
        <item x="4924"/>
        <item x="4897"/>
        <item x="1695"/>
        <item x="2758"/>
        <item x="2887"/>
        <item x="3051"/>
        <item x="1726"/>
        <item x="3256"/>
        <item x="2375"/>
        <item x="1028"/>
        <item x="3857"/>
        <item x="4764"/>
        <item x="4664"/>
        <item x="4624"/>
        <item x="2134"/>
        <item x="4907"/>
        <item x="4708"/>
        <item x="4323"/>
        <item x="4360"/>
        <item x="2571"/>
        <item x="4725"/>
        <item x="5003"/>
        <item x="5012"/>
        <item x="2793"/>
        <item x="4960"/>
        <item x="4945"/>
        <item x="4932"/>
        <item x="4946"/>
        <item x="1938"/>
        <item x="4947"/>
        <item x="4979"/>
        <item x="5007"/>
        <item x="4961"/>
        <item x="4993"/>
        <item x="2636"/>
        <item x="5006"/>
        <item x="2081"/>
        <item x="5013"/>
        <item x="2692"/>
        <item x="4995"/>
        <item x="4966"/>
        <item x="1920"/>
        <item x="4975"/>
        <item x="2286"/>
        <item x="2262"/>
        <item x="1914"/>
        <item x="2505"/>
        <item x="2669"/>
        <item x="2693"/>
        <item x="4990"/>
        <item x="2554"/>
        <item x="4999"/>
        <item x="5002"/>
        <item x="4902"/>
        <item x="1913"/>
        <item x="4958"/>
        <item x="3983"/>
        <item x="4923"/>
        <item x="4989"/>
        <item x="4682"/>
        <item x="3684"/>
        <item x="2199"/>
        <item x="2027"/>
        <item x="4399"/>
        <item x="2889"/>
        <item x="4158"/>
        <item x="2937"/>
        <item x="1915"/>
        <item x="3715"/>
        <item x="4896"/>
        <item x="1919"/>
        <item x="2458"/>
        <item x="2769"/>
        <item x="4867"/>
        <item x="4909"/>
        <item x="3033"/>
        <item x="4591"/>
        <item x="4627"/>
        <item x="2310"/>
        <item x="4622"/>
        <item x="4625"/>
        <item x="4156"/>
        <item x="4428"/>
        <item x="4780"/>
        <item x="4039"/>
        <item x="1091"/>
        <item x="4686"/>
        <item x="4984"/>
        <item x="2734"/>
        <item x="1627"/>
        <item x="5014"/>
        <item x="2981"/>
        <item x="2236"/>
        <item x="2103"/>
        <item x="5015"/>
        <item x="4722"/>
        <item x="4781"/>
        <item x="300"/>
        <item x="93"/>
        <item x="4620"/>
        <item x="392"/>
        <item x="3666"/>
        <item x="2008"/>
        <item x="922"/>
        <item x="1064"/>
        <item x="4650"/>
        <item x="549"/>
        <item x="4529"/>
        <item x="4267"/>
        <item x="4166"/>
        <item x="593"/>
        <item x="923"/>
        <item x="3783"/>
        <item x="4218"/>
        <item x="3452"/>
        <item x="387"/>
        <item x="801"/>
        <item x="976"/>
        <item x="4461"/>
        <item x="4451"/>
        <item x="2857"/>
        <item x="345"/>
        <item x="95"/>
        <item x="3436"/>
        <item x="859"/>
        <item x="243"/>
        <item x="794"/>
        <item x="3267"/>
        <item x="176"/>
        <item x="925"/>
        <item x="775"/>
        <item x="373"/>
        <item x="4194"/>
        <item x="4573"/>
        <item x="333"/>
        <item x="376"/>
        <item x="677"/>
        <item x="4482"/>
        <item x="2952"/>
        <item x="3055"/>
        <item x="4568"/>
        <item x="4476"/>
        <item x="3087"/>
        <item x="4677"/>
        <item x="3270"/>
        <item x="952"/>
        <item x="3554"/>
        <item x="1042"/>
        <item x="400"/>
        <item x="4313"/>
        <item x="2865"/>
        <item x="4001"/>
        <item x="401"/>
        <item x="80"/>
        <item x="3425"/>
        <item x="3440"/>
        <item x="3037"/>
        <item x="3727"/>
        <item x="3494"/>
        <item x="3096"/>
        <item x="4570"/>
        <item x="4596"/>
        <item x="3434"/>
        <item x="3616"/>
        <item x="4349"/>
        <item x="4580"/>
        <item x="3019"/>
        <item x="4577"/>
        <item x="3590"/>
        <item x="4303"/>
        <item x="3703"/>
        <item x="1020"/>
        <item x="3481"/>
        <item x="3527"/>
        <item x="4202"/>
        <item x="577"/>
        <item x="746"/>
        <item x="3394"/>
        <item x="3250"/>
        <item x="3257"/>
        <item x="3635"/>
        <item x="3801"/>
        <item x="4353"/>
        <item x="4280"/>
        <item x="2744"/>
        <item x="2852"/>
        <item x="4657"/>
        <item x="4192"/>
        <item x="4244"/>
        <item x="4310"/>
        <item x="1092"/>
        <item x="578"/>
        <item x="4319"/>
        <item x="4328"/>
        <item x="628"/>
        <item x="4136"/>
        <item x="374"/>
        <item x="2888"/>
        <item x="806"/>
        <item x="4680"/>
        <item x="4578"/>
        <item x="4829"/>
        <item x="4696"/>
        <item x="4667"/>
        <item x="2974"/>
        <item x="2771"/>
        <item x="4594"/>
        <item x="4026"/>
        <item x="4034"/>
        <item x="949"/>
        <item x="803"/>
        <item x="409"/>
        <item x="2912"/>
        <item x="3609"/>
        <item x="3611"/>
        <item x="4496"/>
        <item x="900"/>
        <item x="165"/>
        <item x="4404"/>
        <item x="4058"/>
        <item x="3690"/>
        <item x="3340"/>
        <item x="960"/>
        <item x="101"/>
        <item x="1016"/>
        <item x="576"/>
        <item x="2878"/>
        <item x="3083"/>
        <item x="3142"/>
        <item x="3311"/>
        <item x="3697"/>
        <item x="466"/>
        <item x="666"/>
        <item x="2815"/>
        <item x="3166"/>
        <item x="3195"/>
        <item x="3596"/>
        <item x="4278"/>
        <item x="4293"/>
        <item x="3956"/>
        <item x="2600"/>
        <item x="3259"/>
        <item x="4473"/>
        <item x="3668"/>
        <item x="3911"/>
        <item x="4839"/>
        <item x="465"/>
        <item x="688"/>
        <item x="281"/>
        <item x="3457"/>
        <item x="3441"/>
        <item x="3517"/>
        <item x="4068"/>
        <item x="2691"/>
        <item x="511"/>
        <item x="31"/>
        <item x="4286"/>
        <item x="3947"/>
        <item x="3753"/>
        <item x="3675"/>
        <item x="4115"/>
        <item x="4011"/>
        <item x="3073"/>
        <item x="4589"/>
        <item x="2940"/>
        <item x="4271"/>
        <item x="4105"/>
        <item x="641"/>
        <item x="4367"/>
        <item x="2825"/>
        <item x="4456"/>
        <item x="4221"/>
        <item x="2787"/>
        <item x="3229"/>
        <item x="369"/>
        <item x="875"/>
        <item x="927"/>
        <item x="850"/>
        <item x="4819"/>
        <item x="2866"/>
        <item x="4741"/>
        <item x="2822"/>
        <item x="4515"/>
        <item x="4175"/>
        <item x="3794"/>
        <item x="3553"/>
        <item x="3964"/>
        <item x="789"/>
        <item x="2368"/>
        <item x="4823"/>
        <item x="4800"/>
        <item x="4751"/>
        <item x="4518"/>
        <item x="4826"/>
        <item x="2591"/>
        <item x="4636"/>
        <item x="4067"/>
        <item x="4085"/>
        <item x="3846"/>
        <item x="3914"/>
        <item x="4593"/>
        <item x="4219"/>
        <item x="478"/>
        <item x="252"/>
        <item x="4502"/>
        <item x="2928"/>
        <item x="4535"/>
        <item x="2387"/>
        <item x="3941"/>
        <item x="2995"/>
        <item x="4340"/>
        <item x="4537"/>
        <item x="798"/>
        <item x="978"/>
        <item x="4450"/>
        <item x="4170"/>
        <item x="2711"/>
        <item x="780"/>
        <item x="531"/>
        <item x="929"/>
        <item x="914"/>
        <item x="4366"/>
        <item x="4588"/>
        <item x="1068"/>
        <item x="681"/>
        <item x="4750"/>
        <item x="4629"/>
        <item x="4778"/>
        <item x="655"/>
        <item x="3806"/>
        <item x="956"/>
        <item x="3656"/>
        <item x="4160"/>
        <item x="4684"/>
        <item x="928"/>
        <item x="372"/>
        <item x="751"/>
        <item x="622"/>
        <item x="375"/>
        <item x="3137"/>
        <item x="858"/>
        <item x="3437"/>
        <item x="776"/>
        <item x="2976"/>
        <item x="3416"/>
        <item x="4164"/>
        <item x="4086"/>
        <item x="3942"/>
        <item x="2806"/>
        <item x="2622"/>
        <item x="2915"/>
        <item x="2828"/>
        <item x="3714"/>
        <item x="4111"/>
        <item x="3034"/>
        <item x="2651"/>
        <item x="2724"/>
        <item x="2171"/>
        <item x="3161"/>
        <item x="2650"/>
        <item x="4300"/>
        <item x="4435"/>
        <item x="3006"/>
        <item x="2439"/>
        <item x="4510"/>
        <item x="2740"/>
        <item x="2713"/>
        <item x="4392"/>
        <item x="4020"/>
        <item x="2875"/>
        <item x="2811"/>
        <item x="3049"/>
        <item x="1916"/>
        <item x="2609"/>
        <item x="2704"/>
        <item x="3772"/>
        <item x="3888"/>
        <item x="3298"/>
        <item x="419"/>
        <item x="3837"/>
        <item x="4131"/>
        <item x="823"/>
        <item x="4109"/>
        <item x="3931"/>
        <item x="4333"/>
        <item x="4077"/>
        <item x="3326"/>
        <item x="2902"/>
        <item x="1969"/>
        <item x="3907"/>
        <item x="3280"/>
        <item x="2409"/>
        <item x="4707"/>
        <item x="3391"/>
        <item x="3980"/>
        <item x="3052"/>
        <item x="3918"/>
        <item x="3785"/>
        <item x="3740"/>
        <item x="474"/>
        <item x="4224"/>
        <item x="4251"/>
        <item x="2434"/>
        <item x="4167"/>
        <item x="3754"/>
        <item x="3501"/>
        <item x="3632"/>
        <item x="3399"/>
        <item x="3550"/>
        <item x="4528"/>
        <item x="4853"/>
        <item x="4458"/>
        <item x="4748"/>
        <item x="4849"/>
        <item x="4640"/>
        <item x="607"/>
        <item x="4064"/>
        <item x="1045"/>
        <item x="204"/>
        <item x="497"/>
        <item x="4208"/>
        <item x="4121"/>
        <item x="1069"/>
        <item x="620"/>
        <item x="3314"/>
        <item x="4516"/>
        <item x="4232"/>
        <item x="4296"/>
        <item x="742"/>
        <item x="2823"/>
        <item x="4652"/>
        <item x="4687"/>
        <item x="4712"/>
        <item x="4734"/>
        <item x="4777"/>
        <item x="4766"/>
        <item x="4793"/>
        <item x="4802"/>
        <item x="4561"/>
        <item x="4692"/>
        <item x="4731"/>
        <item x="2949"/>
        <item x="4758"/>
        <item x="2709"/>
        <item x="4632"/>
        <item x="4818"/>
        <item x="2803"/>
        <item x="4796"/>
        <item x="4612"/>
        <item x="2348"/>
        <item x="3047"/>
        <item x="4969"/>
        <item x="4962"/>
        <item x="4954"/>
        <item x="4971"/>
        <item x="4963"/>
        <item x="4937"/>
        <item x="4956"/>
        <item x="4950"/>
        <item x="4566"/>
        <item x="4449"/>
        <item x="4070"/>
        <item x="2922"/>
        <item x="4381"/>
        <item x="2814"/>
        <item x="4288"/>
        <item x="2947"/>
        <item x="750"/>
        <item x="3384"/>
        <item x="3098"/>
        <item x="132"/>
        <item x="174"/>
        <item x="813"/>
        <item x="39"/>
        <item x="585"/>
        <item x="315"/>
        <item x="157"/>
        <item x="34"/>
        <item x="846"/>
        <item x="1109"/>
        <item x="434"/>
        <item x="425"/>
        <item x="3535"/>
        <item x="897"/>
        <item x="825"/>
        <item x="353"/>
        <item x="1054"/>
        <item x="791"/>
        <item x="334"/>
        <item x="786"/>
        <item x="248"/>
        <item x="687"/>
        <item x="656"/>
        <item x="482"/>
        <item x="3388"/>
        <item x="131"/>
        <item x="3115"/>
        <item x="509"/>
        <item x="909"/>
        <item x="246"/>
        <item x="502"/>
        <item x="2530"/>
        <item x="991"/>
        <item x="5"/>
        <item x="398"/>
        <item x="357"/>
        <item x="53"/>
        <item x="3774"/>
        <item x="3515"/>
        <item x="3685"/>
        <item x="877"/>
        <item x="642"/>
        <item x="395"/>
        <item x="267"/>
        <item x="134"/>
        <item x="1101"/>
        <item x="4071"/>
        <item x="3506"/>
        <item x="3085"/>
        <item x="3442"/>
        <item x="4230"/>
        <item x="173"/>
        <item x="407"/>
        <item x="3555"/>
        <item x="410"/>
        <item x="411"/>
        <item x="3407"/>
        <item x="3577"/>
        <item x="381"/>
        <item x="819"/>
        <item x="122"/>
        <item x="807"/>
        <item x="610"/>
        <item x="126"/>
        <item x="690"/>
        <item x="710"/>
        <item x="3742"/>
        <item x="3747"/>
        <item x="1110"/>
        <item x="51"/>
        <item x="3817"/>
        <item x="753"/>
        <item x="3444"/>
        <item x="3922"/>
        <item x="3423"/>
        <item x="3252"/>
        <item x="2504"/>
        <item x="3389"/>
        <item x="4384"/>
        <item x="4339"/>
        <item x="4444"/>
        <item x="4424"/>
        <item x="3559"/>
        <item x="3780"/>
        <item x="3722"/>
        <item x="4388"/>
        <item x="4082"/>
        <item x="4409"/>
        <item x="3489"/>
        <item x="230"/>
        <item x="2629"/>
        <item x="404"/>
        <item x="752"/>
        <item x="162"/>
        <item x="61"/>
        <item x="556"/>
        <item x="606"/>
        <item x="382"/>
        <item x="525"/>
        <item x="203"/>
        <item x="730"/>
        <item x="430"/>
        <item x="889"/>
        <item x="59"/>
        <item x="657"/>
        <item x="762"/>
        <item x="863"/>
        <item x="3328"/>
        <item x="3587"/>
        <item x="887"/>
        <item x="3581"/>
        <item x="3955"/>
        <item x="3708"/>
        <item x="1051"/>
        <item x="4382"/>
        <item x="3858"/>
        <item x="3894"/>
        <item x="3012"/>
        <item x="4368"/>
        <item x="3492"/>
        <item x="3998"/>
        <item x="4544"/>
        <item x="4607"/>
        <item x="1711"/>
        <item x="4427"/>
        <item x="4600"/>
        <item x="4272"/>
        <item x="4530"/>
        <item x="4572"/>
        <item x="4798"/>
        <item x="4098"/>
        <item x="4718"/>
        <item x="3551"/>
        <item x="3729"/>
        <item x="3241"/>
        <item x="4446"/>
        <item x="4917"/>
        <item x="2839"/>
        <item x="4913"/>
        <item x="4635"/>
        <item x="4387"/>
        <item x="4287"/>
        <item x="4414"/>
        <item x="4939"/>
        <item x="2732"/>
        <item x="5019"/>
        <item x="4976"/>
        <item x="4942"/>
        <item x="3050"/>
        <item x="4934"/>
        <item x="4926"/>
        <item x="4948"/>
        <item x="2503"/>
        <item x="3497"/>
        <item x="4390"/>
        <item x="4534"/>
        <item x="4631"/>
        <item x="2861"/>
        <item x="2848"/>
        <item x="2843"/>
        <item x="4988"/>
        <item x="4959"/>
        <item x="2820"/>
        <item x="3807"/>
        <item x="4980"/>
        <item x="1081"/>
        <item x="4425"/>
        <item x="4411"/>
        <item x="4565"/>
        <item x="882"/>
        <item x="3026"/>
        <item x="158"/>
        <item x="48"/>
        <item x="550"/>
        <item x="4195"/>
        <item x="4690"/>
        <item x="383"/>
        <item x="3866"/>
        <item x="3429"/>
        <item x="202"/>
        <item x="1087"/>
        <item x="496"/>
        <item x="2374"/>
        <item x="4264"/>
        <item x="3001"/>
        <item x="2739"/>
        <item x="4615"/>
        <item x="2126"/>
        <item x="2630"/>
        <item x="2699"/>
        <item x="3364"/>
        <item x="1040"/>
        <item x="2869"/>
        <item x="4455"/>
        <item x="964"/>
        <item x="4413"/>
        <item x="3562"/>
        <item x="2495"/>
        <item x="3712"/>
        <item x="3961"/>
        <item x="3728"/>
        <item x="4255"/>
        <item x="3885"/>
        <item x="4359"/>
        <item x="3403"/>
        <item x="2550"/>
        <item x="3260"/>
        <item x="30"/>
        <item x="1021"/>
        <item x="650"/>
        <item x="2950"/>
        <item x="590"/>
        <item x="992"/>
        <item x="627"/>
        <item x="3743"/>
        <item x="3135"/>
        <item x="1032"/>
        <item x="3973"/>
        <item x="3401"/>
        <item x="966"/>
        <item x="3631"/>
        <item x="3751"/>
        <item x="3375"/>
        <item x="359"/>
        <item x="3244"/>
        <item x="3792"/>
        <item x="3329"/>
        <item x="4431"/>
        <item x="4713"/>
        <item x="205"/>
        <item x="394"/>
        <item x="388"/>
        <item x="589"/>
        <item x="698"/>
        <item x="33"/>
        <item x="1"/>
        <item x="10"/>
        <item x="1014"/>
        <item x="416"/>
        <item x="329"/>
        <item x="238"/>
        <item x="1102"/>
        <item x="4153"/>
        <item x="3758"/>
        <item x="3804"/>
        <item x="902"/>
        <item x="1015"/>
        <item x="452"/>
        <item x="3308"/>
        <item x="3872"/>
        <item x="4363"/>
        <item x="944"/>
        <item x="4185"/>
        <item x="4117"/>
        <item x="2975"/>
        <item x="2837"/>
        <item x="4434"/>
        <item x="4302"/>
        <item x="3725"/>
        <item x="4180"/>
        <item x="3566"/>
        <item x="3495"/>
        <item x="4504"/>
        <item x="108"/>
        <item x="4351"/>
        <item x="2934"/>
        <item x="3932"/>
        <item x="3876"/>
        <item x="3129"/>
        <item x="3505"/>
        <item x="3132"/>
        <item x="4023"/>
        <item x="3133"/>
        <item x="2804"/>
        <item x="3345"/>
        <item x="2856"/>
        <item x="4008"/>
        <item x="981"/>
        <item x="2935"/>
        <item x="2494"/>
        <item x="2208"/>
        <item x="4433"/>
        <item x="2826"/>
        <item x="3768"/>
        <item x="2682"/>
        <item x="3390"/>
        <item x="4460"/>
        <item x="4729"/>
        <item x="644"/>
        <item x="818"/>
        <item x="696"/>
        <item x="2936"/>
        <item x="699"/>
        <item x="4610"/>
        <item x="4304"/>
        <item x="4453"/>
        <item x="4968"/>
        <item x="2747"/>
        <item x="3808"/>
        <item x="3593"/>
        <item x="4037"/>
        <item x="3317"/>
        <item x="856"/>
        <item x="3598"/>
        <item x="3523"/>
        <item x="4338"/>
        <item x="1074"/>
        <item x="3937"/>
        <item x="3960"/>
        <item x="3812"/>
        <item x="2465"/>
        <item x="2619"/>
        <item x="587"/>
        <item x="602"/>
        <item x="3682"/>
        <item x="2827"/>
        <item x="835"/>
        <item x="754"/>
        <item x="3122"/>
        <item x="2361"/>
        <item x="3016"/>
        <item x="4274"/>
        <item x="797"/>
        <item x="2812"/>
        <item x="3880"/>
        <item x="774"/>
        <item x="3414"/>
        <item x="848"/>
        <item x="953"/>
        <item x="2805"/>
        <item x="4312"/>
        <item x="4142"/>
        <item x="2920"/>
        <item x="2871"/>
        <item x="2813"/>
        <item x="2663"/>
        <item x="2498"/>
        <item x="851"/>
        <item x="3482"/>
        <item x="4040"/>
        <item x="4009"/>
        <item x="2587"/>
        <item x="3578"/>
        <item x="2602"/>
        <item x="841"/>
        <item x="4035"/>
        <item x="294"/>
        <item x="4611"/>
        <item x="4114"/>
        <item x="506"/>
        <item x="1008"/>
        <item x="654"/>
        <item x="283"/>
        <item x="322"/>
        <item x="962"/>
        <item x="3658"/>
        <item x="3206"/>
        <item x="3309"/>
        <item x="3347"/>
        <item x="498"/>
        <item x="4032"/>
        <item x="4171"/>
        <item x="572"/>
        <item x="759"/>
        <item x="3901"/>
        <item x="735"/>
        <item x="210"/>
        <item x="3601"/>
        <item x="169"/>
        <item x="2411"/>
        <item x="4509"/>
        <item x="386"/>
        <item x="2880"/>
        <item x="3830"/>
        <item x="2767"/>
        <item x="2877"/>
        <item x="4967"/>
        <item x="4479"/>
        <item x="1118"/>
        <item x="2207"/>
        <item x="2775"/>
        <item x="4998"/>
        <item x="4512"/>
        <item x="4440"/>
        <item x="2689"/>
        <item x="151"/>
        <item x="2618"/>
        <item x="2798"/>
        <item x="2761"/>
        <item x="4763"/>
        <item x="5009"/>
        <item x="4556"/>
        <item x="4877"/>
        <item x="1036"/>
        <item x="2632"/>
        <item x="3054"/>
        <item x="4836"/>
        <item x="4843"/>
        <item x="2365"/>
        <item x="4803"/>
        <item x="4861"/>
        <item x="4887"/>
        <item x="2867"/>
        <item x="4905"/>
        <item x="2788"/>
        <item x="3056"/>
        <item x="2844"/>
        <item x="96"/>
        <item x="4900"/>
        <item x="4576"/>
        <item x="3767"/>
        <item x="1010"/>
        <item x="4660"/>
        <item x="4644"/>
        <item x="4601"/>
        <item x="4558"/>
        <item x="3836"/>
        <item x="4159"/>
        <item x="3852"/>
        <item x="3512"/>
        <item x="615"/>
        <item x="255"/>
        <item x="139"/>
        <item x="276"/>
        <item x="94"/>
        <item x="3962"/>
        <item x="3821"/>
        <item x="3120"/>
        <item x="1088"/>
        <item x="239"/>
        <item x="3204"/>
        <item x="423"/>
        <item x="265"/>
        <item x="3469"/>
        <item x="3529"/>
        <item x="1043"/>
        <item x="737"/>
        <item x="363"/>
        <item x="635"/>
        <item x="105"/>
        <item x="898"/>
        <item x="1071"/>
        <item x="361"/>
        <item x="349"/>
        <item x="2967"/>
        <item x="3671"/>
        <item x="2750"/>
        <item x="2211"/>
        <item x="282"/>
        <item x="950"/>
        <item x="4091"/>
        <item x="3996"/>
        <item x="999"/>
        <item x="3127"/>
        <item x="547"/>
        <item x="3289"/>
        <item x="2312"/>
        <item x="4358"/>
        <item x="4258"/>
        <item x="4089"/>
        <item x="2982"/>
        <item x="3379"/>
        <item x="438"/>
        <item x="304"/>
        <item x="1966"/>
        <item x="3547"/>
        <item x="653"/>
        <item x="1103"/>
        <item x="3755"/>
        <item x="3841"/>
        <item x="538"/>
        <item x="824"/>
        <item x="555"/>
        <item x="206"/>
        <item x="164"/>
        <item x="6"/>
        <item x="368"/>
        <item x="247"/>
        <item x="2451"/>
        <item x="799"/>
        <item x="3478"/>
        <item x="822"/>
        <item x="187"/>
        <item x="658"/>
        <item x="62"/>
        <item x="3190"/>
        <item x="3803"/>
        <item x="268"/>
        <item x="3509"/>
        <item x="343"/>
        <item x="192"/>
        <item x="441"/>
        <item x="837"/>
        <item x="432"/>
        <item x="380"/>
        <item x="317"/>
        <item x="4169"/>
        <item x="115"/>
        <item x="114"/>
        <item x="827"/>
        <item x="43"/>
        <item x="149"/>
        <item x="4281"/>
        <item x="144"/>
        <item x="3202"/>
        <item x="467"/>
        <item x="389"/>
        <item x="933"/>
        <item x="3459"/>
        <item x="1096"/>
        <item x="3331"/>
        <item x="3155"/>
        <item x="2263"/>
        <item x="3461"/>
        <item x="150"/>
        <item x="124"/>
        <item x="443"/>
        <item x="2657"/>
        <item x="790"/>
        <item x="367"/>
        <item x="279"/>
        <item x="81"/>
        <item x="3410"/>
        <item x="285"/>
        <item x="98"/>
        <item x="399"/>
        <item x="406"/>
        <item x="316"/>
        <item x="951"/>
        <item x="297"/>
        <item x="749"/>
        <item x="3343"/>
        <item x="595"/>
        <item x="415"/>
        <item x="22"/>
        <item x="1006"/>
        <item x="984"/>
        <item x="738"/>
        <item x="726"/>
        <item x="862"/>
        <item x="440"/>
        <item x="71"/>
        <item x="611"/>
        <item x="3377"/>
        <item x="3200"/>
        <item x="541"/>
        <item x="1044"/>
        <item x="332"/>
        <item x="242"/>
        <item x="599"/>
        <item x="344"/>
        <item x="293"/>
        <item x="58"/>
        <item x="141"/>
        <item x="209"/>
        <item x="312"/>
        <item x="2163"/>
        <item x="123"/>
        <item x="121"/>
        <item x="97"/>
        <item x="302"/>
        <item x="3069"/>
        <item x="997"/>
        <item x="4062"/>
        <item x="4179"/>
        <item x="82"/>
        <item x="3683"/>
        <item x="988"/>
        <item x="2148"/>
        <item x="3691"/>
        <item x="335"/>
        <item x="4177"/>
        <item x="4116"/>
        <item x="2250"/>
        <item x="1002"/>
        <item x="171"/>
        <item x="3199"/>
        <item x="2497"/>
        <item x="3197"/>
        <item x="4557"/>
        <item x="4705"/>
        <item x="4811"/>
        <item x="3353"/>
        <item x="629"/>
        <item x="4337"/>
        <item x="4140"/>
        <item x="1105"/>
        <item x="2762"/>
        <item x="3950"/>
        <item x="1106"/>
        <item x="3283"/>
        <item x="4928"/>
        <item x="4292"/>
        <item x="540"/>
        <item x="3991"/>
        <item x="609"/>
        <item x="161"/>
        <item x="3870"/>
        <item x="3739"/>
        <item x="4253"/>
        <item x="4270"/>
        <item x="4642"/>
        <item x="3741"/>
        <item x="2393"/>
        <item x="3297"/>
        <item x="3864"/>
        <item x="3025"/>
        <item x="3342"/>
        <item x="4033"/>
        <item x="3827"/>
        <item x="4150"/>
        <item x="4129"/>
        <item x="2492"/>
        <item x="499"/>
        <item x="3346"/>
        <item x="370"/>
        <item x="4542"/>
        <item x="1005"/>
        <item x="4488"/>
        <item x="4132"/>
        <item x="3730"/>
        <item x="959"/>
        <item x="903"/>
        <item x="3438"/>
        <item x="3723"/>
        <item x="4094"/>
        <item x="719"/>
        <item x="4438"/>
        <item x="4074"/>
        <item x="963"/>
        <item x="4106"/>
        <item x="318"/>
        <item x="3284"/>
        <item x="4354"/>
        <item x="4076"/>
        <item x="422"/>
        <item x="2882"/>
        <item x="3588"/>
        <item x="3147"/>
        <item x="3557"/>
        <item x="4019"/>
        <item x="4234"/>
        <item x="3063"/>
        <item x="4054"/>
        <item x="4000"/>
        <item x="100"/>
        <item x="3136"/>
        <item x="4309"/>
        <item x="3273"/>
        <item x="3172"/>
        <item x="3520"/>
        <item x="3002"/>
        <item x="3516"/>
        <item x="3101"/>
        <item x="3128"/>
        <item x="3327"/>
        <item x="3143"/>
        <item x="4053"/>
        <item x="3139"/>
        <item x="3332"/>
        <item x="2919"/>
        <item x="708"/>
        <item x="3221"/>
        <item x="3315"/>
        <item x="3455"/>
        <item x="3592"/>
        <item x="3418"/>
        <item x="3618"/>
        <item x="3533"/>
        <item x="1001"/>
        <item x="3736"/>
        <item x="3629"/>
        <item x="3957"/>
        <item x="320"/>
        <item x="633"/>
        <item x="3734"/>
        <item x="4200"/>
        <item x="4495"/>
        <item x="4447"/>
        <item x="3261"/>
        <item x="4265"/>
        <item x="3141"/>
        <item x="4007"/>
        <item x="1026"/>
        <item x="3909"/>
        <item x="3882"/>
        <item x="3915"/>
        <item x="3717"/>
        <item x="3564"/>
        <item x="3541"/>
        <item x="910"/>
        <item x="3865"/>
        <item x="3893"/>
        <item x="3496"/>
        <item x="3158"/>
        <item x="3721"/>
        <item x="257"/>
        <item x="4374"/>
        <item x="323"/>
        <item x="3335"/>
        <item x="3537"/>
        <item x="99"/>
        <item x="330"/>
        <item x="3573"/>
        <item x="1055"/>
        <item x="2876"/>
        <item x="3850"/>
        <item x="4439"/>
        <item x="3908"/>
        <item x="3695"/>
        <item x="1009"/>
        <item x="844"/>
        <item x="3217"/>
        <item x="3374"/>
        <item x="812"/>
        <item x="1073"/>
        <item x="2627"/>
        <item x="2464"/>
        <item x="4697"/>
        <item x="4492"/>
        <item x="4457"/>
        <item x="4478"/>
        <item x="4257"/>
        <item x="2763"/>
        <item x="3344"/>
        <item x="4925"/>
        <item x="4981"/>
        <item x="5000"/>
        <item x="3861"/>
        <item x="3897"/>
        <item x="3474"/>
        <item x="4571"/>
        <item x="4814"/>
        <item x="3927"/>
        <item x="3604"/>
        <item x="3182"/>
        <item x="4886"/>
        <item x="2716"/>
        <item x="4735"/>
        <item x="4918"/>
        <item x="4776"/>
        <item x="1745"/>
        <item x="2389"/>
        <item x="2599"/>
        <item x="2501"/>
        <item x="1859"/>
        <item x="1274"/>
        <item x="1275"/>
        <item x="2182"/>
        <item x="2251"/>
        <item x="1181"/>
        <item x="1267"/>
        <item x="2121"/>
        <item x="1318"/>
        <item x="2697"/>
        <item x="1854"/>
        <item x="2181"/>
        <item x="1276"/>
        <item x="2472"/>
        <item x="1182"/>
        <item x="1183"/>
        <item x="1277"/>
        <item x="2890"/>
        <item x="2080"/>
        <item x="1184"/>
        <item x="1185"/>
        <item x="2470"/>
        <item x="1154"/>
        <item x="1319"/>
        <item x="1700"/>
        <item x="2052"/>
        <item x="2206"/>
        <item x="1699"/>
        <item x="2273"/>
        <item x="2298"/>
        <item x="1948"/>
        <item x="1776"/>
        <item x="2223"/>
        <item x="1961"/>
        <item x="2050"/>
        <item x="2053"/>
        <item x="1631"/>
        <item x="1759"/>
        <item x="2184"/>
        <item x="1939"/>
        <item x="1632"/>
        <item x="1643"/>
        <item x="1789"/>
        <item x="2070"/>
        <item x="1813"/>
        <item x="1731"/>
        <item x="1648"/>
        <item x="1869"/>
        <item x="2007"/>
        <item x="1809"/>
        <item x="2125"/>
        <item x="1744"/>
        <item x="2179"/>
        <item x="1628"/>
        <item x="2221"/>
        <item x="2075"/>
        <item x="2245"/>
        <item x="2180"/>
        <item x="1964"/>
        <item x="2252"/>
        <item x="2413"/>
        <item x="1893"/>
        <item x="2187"/>
        <item x="2058"/>
        <item x="2071"/>
        <item x="1984"/>
        <item x="2510"/>
        <item x="2388"/>
        <item x="2588"/>
        <item x="1675"/>
        <item x="1944"/>
        <item x="2022"/>
        <item x="1887"/>
        <item x="1968"/>
        <item x="2746"/>
        <item x="2072"/>
        <item x="1763"/>
        <item x="1768"/>
        <item x="2220"/>
        <item x="1155"/>
        <item x="1657"/>
        <item x="1687"/>
        <item x="1956"/>
        <item x="1667"/>
        <item x="1739"/>
        <item x="1899"/>
        <item x="2780"/>
        <item x="1320"/>
        <item x="2281"/>
        <item x="1668"/>
        <item x="1865"/>
        <item x="2051"/>
        <item x="2074"/>
        <item x="2073"/>
        <item x="2200"/>
        <item x="2511"/>
        <item x="2330"/>
        <item x="1957"/>
        <item x="1670"/>
        <item x="1321"/>
        <item x="2564"/>
        <item x="1322"/>
        <item x="2129"/>
        <item x="1902"/>
        <item x="1791"/>
        <item x="1247"/>
        <item x="2548"/>
        <item x="2274"/>
        <item x="2282"/>
        <item x="2624"/>
        <item x="2258"/>
        <item x="2589"/>
        <item x="2253"/>
        <item x="2076"/>
        <item x="2319"/>
        <item x="2512"/>
        <item x="1130"/>
        <item x="2257"/>
        <item x="2513"/>
        <item x="1860"/>
        <item x="2077"/>
        <item x="2066"/>
        <item x="2414"/>
        <item x="1131"/>
        <item x="1132"/>
        <item x="1133"/>
        <item x="1134"/>
        <item x="1135"/>
        <item x="2006"/>
        <item x="1136"/>
        <item x="1323"/>
        <item x="1137"/>
        <item x="1278"/>
        <item x="1138"/>
        <item x="1139"/>
        <item x="1140"/>
        <item x="2521"/>
        <item x="1156"/>
        <item x="1157"/>
        <item x="1141"/>
        <item x="1142"/>
        <item x="1143"/>
        <item x="2357"/>
        <item x="1144"/>
        <item x="2336"/>
        <item x="2563"/>
        <item x="1145"/>
        <item x="1786"/>
        <item x="2480"/>
        <item x="1895"/>
        <item x="1158"/>
        <item x="1279"/>
        <item x="1787"/>
        <item x="1640"/>
        <item x="2334"/>
        <item x="2582"/>
        <item x="2269"/>
        <item x="2478"/>
        <item x="2583"/>
        <item x="2522"/>
        <item x="2525"/>
        <item x="2590"/>
        <item x="2849"/>
        <item x="2620"/>
        <item x="1280"/>
        <item x="2445"/>
        <item x="1281"/>
        <item x="1282"/>
        <item x="2438"/>
        <item x="1283"/>
        <item x="1284"/>
        <item x="1285"/>
        <item x="1286"/>
        <item x="1287"/>
        <item x="1288"/>
        <item x="2553"/>
        <item x="2287"/>
        <item x="2327"/>
        <item x="1146"/>
        <item x="2122"/>
        <item x="2500"/>
        <item x="1147"/>
        <item x="1148"/>
        <item x="2108"/>
        <item x="1762"/>
        <item x="2897"/>
        <item x="2968"/>
        <item x="1149"/>
        <item x="1150"/>
        <item x="2517"/>
        <item x="1894"/>
        <item x="1159"/>
        <item x="1324"/>
        <item x="2291"/>
        <item x="2542"/>
        <item x="2477"/>
        <item x="2218"/>
        <item x="1160"/>
        <item x="1161"/>
        <item x="2685"/>
        <item x="1162"/>
        <item x="2141"/>
        <item x="2229"/>
        <item x="1163"/>
        <item x="1325"/>
        <item x="2677"/>
        <item x="2333"/>
        <item x="1326"/>
        <item x="1327"/>
        <item x="1328"/>
        <item x="1329"/>
        <item x="1330"/>
        <item x="1331"/>
        <item x="2323"/>
        <item x="1332"/>
        <item x="1333"/>
        <item x="1334"/>
        <item x="2379"/>
        <item x="2544"/>
        <item x="1335"/>
        <item x="2545"/>
        <item x="2546"/>
        <item x="2296"/>
        <item x="1336"/>
        <item x="2367"/>
        <item x="1337"/>
        <item x="1954"/>
        <item x="2023"/>
        <item x="1994"/>
        <item x="2435"/>
        <item x="2359"/>
        <item x="1338"/>
        <item x="1164"/>
        <item x="1752"/>
        <item x="1165"/>
        <item x="2038"/>
        <item x="2350"/>
        <item x="2351"/>
        <item x="2555"/>
        <item x="2267"/>
        <item x="2111"/>
        <item x="2516"/>
        <item x="1339"/>
        <item x="2444"/>
        <item x="2526"/>
        <item x="2048"/>
        <item x="1166"/>
        <item x="2730"/>
        <item x="1340"/>
        <item x="2653"/>
        <item x="1341"/>
        <item x="1342"/>
        <item x="2723"/>
        <item x="1167"/>
        <item x="1168"/>
        <item x="1248"/>
        <item x="1151"/>
        <item x="1249"/>
        <item x="1169"/>
        <item x="2633"/>
        <item x="1343"/>
        <item x="2410"/>
        <item x="2383"/>
        <item x="2384"/>
        <item x="1978"/>
        <item x="2575"/>
        <item x="1250"/>
        <item x="1251"/>
        <item x="2233"/>
        <item x="1252"/>
        <item x="1253"/>
        <item x="1254"/>
        <item x="1255"/>
        <item x="2473"/>
        <item x="2307"/>
        <item x="2894"/>
        <item x="2547"/>
        <item x="1170"/>
        <item x="2671"/>
        <item x="1794"/>
        <item x="1965"/>
        <item x="1256"/>
        <item x="2488"/>
        <item x="2459"/>
        <item x="1257"/>
        <item x="2232"/>
        <item x="1258"/>
        <item x="2673"/>
        <item x="2271"/>
        <item x="1259"/>
        <item x="1260"/>
        <item x="1867"/>
        <item x="2702"/>
        <item x="1753"/>
        <item x="1946"/>
        <item x="2176"/>
        <item x="1171"/>
        <item x="1317"/>
        <item x="1261"/>
        <item x="1263"/>
        <item x="2647"/>
        <item x="2566"/>
        <item x="1264"/>
        <item x="1265"/>
        <item x="2146"/>
        <item x="1749"/>
        <item x="1853"/>
        <item x="2089"/>
        <item x="2475"/>
        <item x="2404"/>
        <item x="2372"/>
        <item x="2541"/>
        <item x="2082"/>
        <item x="2484"/>
        <item x="2559"/>
        <item x="2335"/>
        <item x="1741"/>
        <item x="2369"/>
        <item x="1801"/>
        <item x="2100"/>
        <item x="2186"/>
        <item x="2063"/>
        <item x="2216"/>
        <item x="2175"/>
        <item x="1788"/>
        <item x="2506"/>
        <item x="2352"/>
        <item x="1268"/>
        <item x="1180"/>
        <item x="1269"/>
        <item x="2132"/>
        <item x="2174"/>
        <item x="1344"/>
        <item x="2753"/>
        <item x="2536"/>
        <item x="1691"/>
        <item x="1262"/>
        <item x="1266"/>
        <item x="1943"/>
        <item x="1172"/>
        <item x="1862"/>
        <item x="2272"/>
        <item x="2797"/>
        <item x="2440"/>
        <item x="1918"/>
        <item x="1270"/>
        <item x="1152"/>
        <item x="1153"/>
        <item x="1828"/>
        <item x="2923"/>
        <item x="2344"/>
        <item x="1345"/>
        <item x="2834"/>
        <item x="1697"/>
        <item x="2574"/>
        <item x="1974"/>
        <item x="1653"/>
        <item x="1271"/>
        <item x="1346"/>
        <item x="2489"/>
        <item x="1272"/>
        <item x="1186"/>
        <item x="2598"/>
        <item x="2921"/>
        <item x="2725"/>
        <item x="1273"/>
        <item x="1347"/>
        <item x="1743"/>
        <item x="2297"/>
        <item x="1348"/>
        <item x="1950"/>
        <item x="3053"/>
        <item x="1188"/>
        <item x="2391"/>
        <item x="2932"/>
        <item x="2002"/>
        <item x="1289"/>
        <item x="2668"/>
        <item x="2499"/>
        <item x="1173"/>
        <item x="1290"/>
        <item x="1291"/>
        <item x="1349"/>
        <item x="1947"/>
        <item x="2064"/>
        <item x="1187"/>
        <item x="2003"/>
        <item x="2364"/>
        <item x="1810"/>
        <item x="2107"/>
        <item x="2065"/>
        <item x="2158"/>
        <item x="1766"/>
        <item x="1897"/>
        <item x="1738"/>
        <item x="1767"/>
        <item x="1756"/>
        <item x="1727"/>
        <item x="1874"/>
        <item x="1709"/>
        <item x="2337"/>
        <item x="1698"/>
        <item x="1683"/>
        <item x="1864"/>
        <item x="1708"/>
        <item x="1812"/>
        <item x="1656"/>
        <item x="1694"/>
        <item x="1856"/>
        <item x="1645"/>
        <item x="2712"/>
        <item x="1951"/>
        <item x="2096"/>
        <item x="1704"/>
        <item x="1804"/>
        <item x="2035"/>
        <item x="1795"/>
        <item x="1665"/>
        <item x="1350"/>
        <item x="2529"/>
        <item x="1178"/>
        <item x="2688"/>
        <item x="2485"/>
        <item x="2486"/>
        <item x="2487"/>
        <item x="2230"/>
        <item x="2098"/>
        <item x="1210"/>
        <item x="1211"/>
        <item x="2520"/>
        <item x="2231"/>
        <item x="2270"/>
        <item x="2112"/>
        <item x="2565"/>
        <item x="2540"/>
        <item x="2603"/>
        <item x="1908"/>
        <item x="2658"/>
        <item x="2479"/>
        <item x="1189"/>
        <item x="1190"/>
        <item x="2004"/>
        <item x="2144"/>
        <item x="2228"/>
        <item x="1292"/>
        <item x="2648"/>
        <item x="1293"/>
        <item x="2318"/>
        <item x="2145"/>
        <item x="1294"/>
        <item x="1295"/>
        <item x="2670"/>
        <item x="2643"/>
        <item x="2628"/>
        <item x="2476"/>
        <item x="2285"/>
        <item x="2455"/>
        <item x="2585"/>
        <item x="2557"/>
        <item x="2874"/>
        <item x="2284"/>
        <item x="2093"/>
        <item x="1296"/>
        <item x="1297"/>
        <item x="1298"/>
        <item x="2760"/>
        <item x="1299"/>
        <item x="1300"/>
        <item x="2615"/>
        <item x="1301"/>
        <item x="1302"/>
        <item x="1303"/>
        <item x="2370"/>
        <item x="2551"/>
        <item x="2283"/>
        <item x="2237"/>
        <item x="2417"/>
        <item x="2418"/>
        <item x="1304"/>
        <item x="2160"/>
        <item x="1305"/>
        <item x="1306"/>
        <item x="1307"/>
        <item x="2109"/>
        <item x="2095"/>
        <item x="2714"/>
        <item x="2161"/>
        <item x="2531"/>
        <item x="2396"/>
        <item x="1750"/>
        <item x="1639"/>
        <item x="2656"/>
        <item x="1692"/>
        <item x="2756"/>
        <item x="1233"/>
        <item x="1679"/>
        <item x="1879"/>
        <item x="1904"/>
        <item x="2518"/>
        <item x="2802"/>
        <item x="2025"/>
        <item x="2519"/>
        <item x="2457"/>
        <item x="1662"/>
        <item x="2295"/>
        <item x="2353"/>
        <item x="2110"/>
        <item x="1724"/>
        <item x="1806"/>
        <item x="2343"/>
        <item x="2885"/>
        <item x="1308"/>
        <item x="2430"/>
        <item x="2538"/>
        <item x="2764"/>
        <item x="2765"/>
        <item x="2532"/>
        <item x="2431"/>
        <item x="3021"/>
        <item x="1735"/>
        <item x="2097"/>
        <item x="2147"/>
        <item x="2266"/>
        <item x="3038"/>
        <item x="2420"/>
        <item x="2617"/>
        <item x="2726"/>
        <item x="2645"/>
        <item x="2664"/>
        <item x="2580"/>
        <item x="2099"/>
        <item x="2260"/>
        <item x="2210"/>
        <item x="2362"/>
        <item x="2101"/>
        <item x="2188"/>
        <item x="2426"/>
        <item x="2427"/>
        <item x="2738"/>
        <item x="2735"/>
        <item x="1234"/>
        <item x="1177"/>
        <item x="2700"/>
        <item x="2722"/>
        <item x="2601"/>
        <item x="1663"/>
        <item x="1174"/>
        <item x="2345"/>
        <item x="1175"/>
        <item x="1309"/>
        <item x="2397"/>
        <item x="1975"/>
        <item x="2634"/>
        <item x="2085"/>
        <item x="2398"/>
        <item x="2366"/>
        <item x="2315"/>
        <item x="2399"/>
        <item x="2039"/>
        <item x="2403"/>
        <item x="1310"/>
        <item x="2400"/>
        <item x="2209"/>
        <item x="1120"/>
        <item x="1710"/>
        <item x="1179"/>
        <item x="1235"/>
        <item x="1236"/>
        <item x="1237"/>
        <item x="1238"/>
        <item x="2424"/>
        <item x="2467"/>
        <item x="2436"/>
        <item x="2349"/>
        <item x="2094"/>
        <item x="2437"/>
        <item x="2450"/>
        <item x="2395"/>
        <item x="1239"/>
        <item x="2316"/>
        <item x="1121"/>
        <item x="2401"/>
        <item x="2001"/>
        <item x="2552"/>
        <item x="2586"/>
        <item x="1815"/>
        <item x="2177"/>
        <item x="2635"/>
        <item x="1122"/>
        <item x="2240"/>
        <item x="2329"/>
        <item x="2570"/>
        <item x="1981"/>
        <item x="2152"/>
        <item x="1792"/>
        <item x="1123"/>
        <item x="1124"/>
        <item x="1125"/>
        <item x="1732"/>
        <item x="1126"/>
        <item x="1983"/>
        <item x="2402"/>
        <item x="2119"/>
        <item x="1240"/>
        <item x="1241"/>
        <item x="1212"/>
        <item x="2429"/>
        <item x="1242"/>
        <item x="1243"/>
        <item x="1213"/>
        <item x="2288"/>
        <item x="1214"/>
        <item x="1777"/>
        <item x="1215"/>
        <item x="1216"/>
        <item x="1217"/>
        <item x="1218"/>
        <item x="1219"/>
        <item x="2792"/>
        <item x="2900"/>
        <item x="1191"/>
        <item x="1192"/>
        <item x="1193"/>
        <item x="2496"/>
        <item x="2896"/>
        <item x="1911"/>
        <item x="2305"/>
        <item x="1194"/>
        <item x="2626"/>
        <item x="1195"/>
        <item x="1196"/>
        <item x="1197"/>
        <item x="1198"/>
        <item x="1199"/>
        <item x="1200"/>
        <item x="1201"/>
        <item x="2611"/>
        <item x="2779"/>
        <item x="1202"/>
        <item x="1203"/>
        <item x="1204"/>
        <item x="1205"/>
        <item x="1206"/>
        <item x="1207"/>
        <item x="1208"/>
        <item x="2791"/>
        <item x="2378"/>
        <item x="1220"/>
        <item x="1221"/>
        <item x="1222"/>
        <item x="1223"/>
        <item x="1224"/>
        <item x="1225"/>
        <item x="2227"/>
        <item x="2142"/>
        <item x="2135"/>
        <item x="2614"/>
        <item x="1940"/>
        <item x="2292"/>
        <item x="2642"/>
        <item x="1226"/>
        <item x="1227"/>
        <item x="1228"/>
        <item x="1229"/>
        <item x="1230"/>
        <item x="2419"/>
        <item x="1129"/>
        <item x="2204"/>
        <item x="2810"/>
        <item x="1669"/>
        <item x="2863"/>
        <item x="2733"/>
        <item x="2655"/>
        <item x="2363"/>
        <item x="2425"/>
        <item x="2456"/>
        <item x="2326"/>
        <item x="2675"/>
        <item x="1896"/>
        <item x="2382"/>
        <item x="2666"/>
        <item x="1231"/>
        <item x="2143"/>
        <item x="2159"/>
        <item x="2592"/>
        <item x="2816"/>
        <item x="2172"/>
        <item x="2491"/>
        <item x="2621"/>
        <item x="1128"/>
        <item x="2130"/>
        <item x="1176"/>
        <item x="2005"/>
        <item x="1311"/>
        <item x="2490"/>
        <item x="2394"/>
        <item x="3042"/>
        <item x="2215"/>
        <item x="2242"/>
        <item x="1312"/>
        <item x="1313"/>
        <item x="2454"/>
        <item x="2198"/>
        <item x="1232"/>
        <item x="2584"/>
        <item x="2847"/>
        <item x="1877"/>
        <item x="2265"/>
        <item x="1314"/>
        <item x="2524"/>
        <item x="1829"/>
        <item x="1127"/>
        <item x="1764"/>
        <item x="1244"/>
        <item x="1245"/>
        <item x="2474"/>
        <item x="2708"/>
        <item x="2469"/>
        <item x="1315"/>
        <item x="1209"/>
        <item x="2428"/>
        <item x="2508"/>
        <item x="2745"/>
        <item x="2737"/>
        <item x="2024"/>
        <item x="1316"/>
        <item x="1246"/>
        <item x="2883"/>
        <item x="2346"/>
        <item x="1802"/>
        <item x="2373"/>
        <item x="1928"/>
        <item x="2067"/>
        <item x="1674"/>
        <item x="1903"/>
        <item x="1638"/>
        <item x="2137"/>
        <item x="1985"/>
        <item x="2154"/>
        <item x="2203"/>
        <item x="2044"/>
        <item x="1814"/>
        <item x="1433"/>
        <item x="2041"/>
        <item x="2224"/>
        <item x="1924"/>
        <item x="1655"/>
        <item x="1949"/>
        <item x="2244"/>
        <item x="1468"/>
        <item x="1445"/>
        <item x="2248"/>
        <item x="1626"/>
        <item x="2239"/>
        <item x="2083"/>
        <item x="2136"/>
        <item x="2061"/>
        <item x="1469"/>
        <item x="1676"/>
        <item x="1470"/>
        <item x="1471"/>
        <item x="1962"/>
        <item x="1781"/>
        <item x="2254"/>
        <item x="1993"/>
        <item x="2225"/>
        <item x="1952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782"/>
        <item x="1421"/>
        <item x="2309"/>
        <item x="1793"/>
        <item x="1482"/>
        <item x="1483"/>
        <item x="1484"/>
        <item x="1485"/>
        <item x="1486"/>
        <item x="1487"/>
        <item x="1488"/>
        <item x="1489"/>
        <item x="1972"/>
        <item x="1490"/>
        <item x="1491"/>
        <item x="1492"/>
        <item x="1493"/>
        <item x="1494"/>
        <item x="1495"/>
        <item x="1723"/>
        <item x="2155"/>
        <item x="1925"/>
        <item x="2289"/>
        <item x="1742"/>
        <item x="2226"/>
        <item x="1351"/>
        <item x="2202"/>
        <item x="1770"/>
        <item x="1641"/>
        <item x="2124"/>
        <item x="1941"/>
        <item x="2043"/>
        <item x="1352"/>
        <item x="1796"/>
        <item x="2059"/>
        <item x="1852"/>
        <item x="2256"/>
        <item x="1677"/>
        <item x="2086"/>
        <item x="2173"/>
        <item x="2278"/>
        <item x="2219"/>
        <item x="1779"/>
        <item x="1353"/>
        <item x="2131"/>
        <item x="1769"/>
        <item x="1354"/>
        <item x="1658"/>
        <item x="1355"/>
        <item x="1921"/>
        <item x="2183"/>
        <item x="2325"/>
        <item x="1693"/>
        <item x="2153"/>
        <item x="1446"/>
        <item x="2185"/>
        <item x="2255"/>
        <item x="2249"/>
        <item x="2328"/>
        <item x="1855"/>
        <item x="1636"/>
        <item x="2042"/>
        <item x="1923"/>
        <item x="1649"/>
        <item x="2046"/>
        <item x="1929"/>
        <item x="1706"/>
        <item x="2276"/>
        <item x="1936"/>
        <item x="2178"/>
        <item x="1714"/>
        <item x="2322"/>
        <item x="1666"/>
        <item x="1757"/>
        <item x="1431"/>
        <item x="1805"/>
        <item x="1432"/>
        <item x="2830"/>
        <item x="1447"/>
        <item x="1448"/>
        <item x="1646"/>
        <item x="1930"/>
        <item x="1637"/>
        <item x="2123"/>
        <item x="2060"/>
        <item x="1783"/>
        <item x="1650"/>
        <item x="1926"/>
        <item x="2277"/>
        <item x="1937"/>
        <item x="1672"/>
        <item x="1434"/>
        <item x="2471"/>
        <item x="2870"/>
        <item x="2331"/>
        <item x="1876"/>
        <item x="1472"/>
        <item x="1659"/>
        <item x="1890"/>
        <item x="1449"/>
        <item x="1880"/>
        <item x="1450"/>
        <item x="1451"/>
        <item x="1452"/>
        <item x="1453"/>
        <item x="1454"/>
        <item x="1933"/>
        <item x="1455"/>
        <item x="1456"/>
        <item x="1457"/>
        <item x="1458"/>
        <item x="1459"/>
        <item x="1460"/>
        <item x="1461"/>
        <item x="1356"/>
        <item x="1357"/>
        <item x="1358"/>
        <item x="1359"/>
        <item x="1360"/>
        <item x="1361"/>
        <item x="1362"/>
        <item x="1422"/>
        <item x="1423"/>
        <item x="1424"/>
        <item x="1425"/>
        <item x="1426"/>
        <item x="1427"/>
        <item x="1496"/>
        <item x="1497"/>
        <item x="1428"/>
        <item x="1429"/>
        <item x="1473"/>
        <item x="1474"/>
        <item x="1475"/>
        <item x="1476"/>
        <item x="1477"/>
        <item x="1478"/>
        <item x="1479"/>
        <item x="1480"/>
        <item x="1435"/>
        <item x="1436"/>
        <item x="1437"/>
        <item x="2133"/>
        <item x="1438"/>
        <item x="1481"/>
        <item x="1439"/>
        <item x="1440"/>
        <item x="1441"/>
        <item x="1987"/>
        <item x="1850"/>
        <item x="1442"/>
        <item x="1443"/>
        <item x="1444"/>
        <item x="1664"/>
        <item x="1971"/>
        <item x="1701"/>
        <item x="1775"/>
        <item x="1931"/>
        <item x="1713"/>
        <item x="1719"/>
        <item x="1384"/>
        <item x="1922"/>
        <item x="1385"/>
        <item x="1927"/>
        <item x="1386"/>
        <item x="1387"/>
        <item x="1388"/>
        <item x="1644"/>
        <item x="1389"/>
        <item x="1390"/>
        <item x="1391"/>
        <item x="1392"/>
        <item x="1393"/>
        <item x="1394"/>
        <item x="1395"/>
        <item x="1396"/>
        <item x="1689"/>
        <item x="1397"/>
        <item x="1398"/>
        <item x="1363"/>
        <item x="1364"/>
        <item x="1365"/>
        <item x="1366"/>
        <item x="1367"/>
        <item x="1368"/>
        <item x="1399"/>
        <item x="1462"/>
        <item x="2311"/>
        <item x="2213"/>
        <item x="1934"/>
        <item x="1673"/>
        <item x="2259"/>
        <item x="1751"/>
        <item x="1369"/>
        <item x="1463"/>
        <item x="1464"/>
        <item x="2290"/>
        <item x="2264"/>
        <item x="1465"/>
        <item x="2217"/>
        <item x="1733"/>
        <item x="1886"/>
        <item x="1935"/>
        <item x="2045"/>
        <item x="1400"/>
        <item x="2338"/>
        <item x="2162"/>
        <item x="1401"/>
        <item x="1784"/>
        <item x="2068"/>
        <item x="1808"/>
        <item x="1402"/>
        <item x="1403"/>
        <item x="1466"/>
        <item x="1467"/>
        <item x="1736"/>
        <item x="2040"/>
        <item x="1370"/>
        <item x="1371"/>
        <item x="1372"/>
        <item x="2087"/>
        <item x="1373"/>
        <item x="1374"/>
        <item x="1375"/>
        <item x="1376"/>
        <item x="1377"/>
        <item x="1378"/>
        <item x="1430"/>
        <item x="1379"/>
        <item x="1380"/>
        <item x="1381"/>
        <item x="1382"/>
        <item x="1681"/>
        <item x="2012"/>
        <item x="1702"/>
        <item x="1682"/>
        <item x="1522"/>
        <item x="1997"/>
        <item x="1995"/>
        <item x="2014"/>
        <item x="2165"/>
        <item x="1685"/>
        <item x="1996"/>
        <item x="1932"/>
        <item x="2139"/>
        <item x="1523"/>
        <item x="1872"/>
        <item x="2069"/>
        <item x="1755"/>
        <item x="1635"/>
        <item x="1524"/>
        <item x="1976"/>
        <item x="1858"/>
        <item x="1774"/>
        <item x="2017"/>
        <item x="1729"/>
        <item x="2140"/>
        <item x="2078"/>
        <item x="1797"/>
        <item x="2079"/>
        <item x="1988"/>
        <item x="1498"/>
        <item x="2015"/>
        <item x="2509"/>
        <item x="1998"/>
        <item x="2156"/>
        <item x="1722"/>
        <item x="1525"/>
        <item x="2013"/>
        <item x="2332"/>
        <item x="1696"/>
        <item x="1898"/>
        <item x="1499"/>
        <item x="1999"/>
        <item x="1500"/>
        <item x="1960"/>
        <item x="1680"/>
        <item x="1526"/>
        <item x="2235"/>
        <item x="1973"/>
        <item x="1884"/>
        <item x="1748"/>
        <item x="2018"/>
        <item x="1501"/>
        <item x="2168"/>
        <item x="2157"/>
        <item x="1502"/>
        <item x="1503"/>
        <item x="1760"/>
        <item x="1870"/>
        <item x="2049"/>
        <item x="2088"/>
        <item x="2201"/>
        <item x="2016"/>
        <item x="1712"/>
        <item x="1504"/>
        <item x="1873"/>
        <item x="1505"/>
        <item x="1506"/>
        <item x="1507"/>
        <item x="1737"/>
        <item x="1508"/>
        <item x="2037"/>
        <item x="1882"/>
        <item x="1509"/>
        <item x="2020"/>
        <item x="2021"/>
        <item x="2138"/>
        <item x="1875"/>
        <item x="1857"/>
        <item x="2019"/>
        <item x="1515"/>
        <item x="1521"/>
        <item x="1519"/>
        <item x="1715"/>
        <item x="1520"/>
        <item x="2405"/>
        <item x="1716"/>
        <item x="1778"/>
        <item x="1705"/>
        <item x="1629"/>
        <item x="1861"/>
        <item x="1516"/>
        <item x="1992"/>
        <item x="1765"/>
        <item x="2192"/>
        <item x="2104"/>
        <item x="1754"/>
        <item x="2321"/>
        <item x="1684"/>
        <item x="2196"/>
        <item x="1707"/>
        <item x="1514"/>
        <item x="1642"/>
        <item x="2057"/>
        <item x="2167"/>
        <item x="2194"/>
        <item x="1811"/>
        <item x="2306"/>
        <item x="2030"/>
        <item x="2222"/>
        <item x="1517"/>
        <item x="1654"/>
        <item x="1518"/>
        <item x="1785"/>
        <item x="1963"/>
        <item x="1878"/>
        <item x="1510"/>
        <item x="1883"/>
        <item x="2034"/>
        <item x="1660"/>
        <item x="1511"/>
        <item x="1512"/>
        <item x="1513"/>
        <item x="2091"/>
        <item x="2092"/>
        <item x="1651"/>
        <item x="2507"/>
        <item x="2032"/>
        <item x="1725"/>
        <item x="1721"/>
        <item x="1807"/>
        <item x="1740"/>
        <item x="1866"/>
        <item x="2115"/>
        <item x="1868"/>
        <item x="2268"/>
        <item x="2493"/>
        <item x="1959"/>
        <item x="1803"/>
        <item x="2116"/>
        <item x="1990"/>
        <item x="1771"/>
        <item x="2054"/>
        <item x="1761"/>
        <item x="1690"/>
        <item x="1688"/>
        <item x="2090"/>
        <item x="2193"/>
        <item x="2102"/>
        <item x="1661"/>
        <item x="2009"/>
        <item x="2128"/>
        <item x="1958"/>
        <item x="1773"/>
        <item x="1906"/>
        <item x="1863"/>
        <item x="2205"/>
        <item x="1634"/>
        <item x="1851"/>
        <item x="2031"/>
        <item x="2314"/>
        <item x="1647"/>
        <item x="2056"/>
        <item x="1799"/>
        <item x="1977"/>
        <item x="2105"/>
        <item x="1800"/>
        <item x="2117"/>
        <item x="2151"/>
        <item x="1989"/>
        <item x="1686"/>
        <item x="1717"/>
        <item x="2317"/>
        <item x="1718"/>
        <item x="1790"/>
        <item x="1747"/>
        <item x="1652"/>
        <item x="2084"/>
        <item x="2011"/>
        <item x="2113"/>
        <item x="1780"/>
        <item x="1888"/>
        <item x="1885"/>
        <item x="2127"/>
        <item x="2946"/>
        <item x="2106"/>
        <item x="2421"/>
        <item x="1889"/>
        <item x="1892"/>
        <item x="1720"/>
        <item x="2195"/>
        <item x="2118"/>
        <item x="1871"/>
        <item x="1730"/>
        <item x="1703"/>
        <item x="2029"/>
        <item x="1891"/>
        <item x="2036"/>
        <item x="1970"/>
        <item x="1630"/>
        <item x="1967"/>
        <item x="1728"/>
        <item x="1758"/>
        <item x="1991"/>
        <item x="2062"/>
        <item x="2010"/>
        <item x="1909"/>
        <item x="1945"/>
        <item x="2166"/>
        <item x="2033"/>
        <item x="1979"/>
        <item x="2149"/>
        <item x="1831"/>
        <item x="1529"/>
        <item x="2299"/>
        <item x="2595"/>
        <item x="2958"/>
        <item x="1531"/>
        <item x="1570"/>
        <item x="1591"/>
        <item x="1623"/>
        <item x="1827"/>
        <item x="1834"/>
        <item x="1625"/>
        <item x="1819"/>
        <item x="1562"/>
        <item x="2892"/>
        <item x="2988"/>
        <item x="2891"/>
        <item x="1609"/>
        <item x="2991"/>
        <item x="1624"/>
        <item x="3000"/>
        <item x="1845"/>
        <item x="2150"/>
        <item x="1549"/>
        <item x="1555"/>
        <item x="1600"/>
        <item x="2989"/>
        <item x="2973"/>
        <item x="1621"/>
        <item x="3004"/>
        <item x="1583"/>
        <item x="2993"/>
        <item x="2960"/>
        <item x="2906"/>
        <item x="2766"/>
        <item x="1618"/>
        <item x="1846"/>
        <item x="1528"/>
        <item x="1527"/>
        <item x="1841"/>
        <item x="1575"/>
        <item x="2959"/>
        <item x="2304"/>
        <item x="1601"/>
        <item x="2433"/>
        <item x="1593"/>
        <item x="1576"/>
        <item x="1604"/>
        <item x="1548"/>
        <item x="1558"/>
        <item x="1617"/>
        <item x="1560"/>
        <item x="1542"/>
        <item x="1565"/>
        <item x="1568"/>
        <item x="2302"/>
        <item x="1840"/>
        <item x="1566"/>
        <item x="1535"/>
        <item x="1588"/>
        <item x="1594"/>
        <item x="1605"/>
        <item x="1849"/>
        <item x="1606"/>
        <item x="2301"/>
        <item x="1603"/>
        <item x="1537"/>
        <item x="2790"/>
        <item x="2986"/>
        <item x="1554"/>
        <item x="1830"/>
        <item x="1545"/>
        <item x="1598"/>
        <item x="1544"/>
        <item x="1616"/>
        <item x="1602"/>
        <item x="1833"/>
        <item x="1582"/>
        <item x="2596"/>
        <item x="1561"/>
        <item x="1671"/>
        <item x="1847"/>
        <item x="1539"/>
        <item x="1844"/>
        <item x="1546"/>
        <item x="2432"/>
        <item x="1836"/>
        <item x="1550"/>
        <item x="1842"/>
        <item x="1547"/>
        <item x="1538"/>
        <item x="1619"/>
        <item x="1563"/>
        <item x="1564"/>
        <item x="1557"/>
        <item x="1839"/>
        <item x="1552"/>
        <item x="1551"/>
        <item x="1832"/>
        <item x="2300"/>
        <item x="1595"/>
        <item x="1599"/>
        <item x="1838"/>
        <item x="1843"/>
        <item x="1597"/>
        <item x="1578"/>
        <item x="2731"/>
        <item x="1543"/>
        <item x="1607"/>
        <item x="1848"/>
        <item x="1569"/>
        <item x="2594"/>
        <item x="1613"/>
        <item x="1608"/>
        <item x="1577"/>
        <item x="1592"/>
        <item x="1596"/>
        <item x="2785"/>
        <item x="1581"/>
        <item x="1584"/>
        <item x="1622"/>
        <item x="1837"/>
        <item x="1573"/>
        <item x="1620"/>
        <item x="1611"/>
        <item x="1614"/>
        <item x="1587"/>
        <item x="1579"/>
        <item x="1574"/>
        <item x="1580"/>
        <item x="1824"/>
        <item x="1825"/>
        <item x="1746"/>
        <item x="2028"/>
        <item x="2789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0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 t="grand">
      <x/>
    </i>
  </rowItems>
  <colItems count="1">
    <i/>
  </colItems>
  <dataFields count="1">
    <dataField name="Среднее по полю Удельник для Малоэтажного-02:014" fld="4" subtotal="average" baseField="0" baseItem="9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R10"/>
  <sheetViews>
    <sheetView tabSelected="1" zoomScaleNormal="100" workbookViewId="0">
      <selection activeCell="F1" sqref="F1"/>
    </sheetView>
  </sheetViews>
  <sheetFormatPr defaultColWidth="9.140625" defaultRowHeight="12.75" x14ac:dyDescent="0.25"/>
  <cols>
    <col min="1" max="12" width="9.140625" style="1"/>
    <col min="13" max="13" width="11" style="1" customWidth="1"/>
    <col min="14" max="14" width="9.140625" style="1"/>
    <col min="15" max="15" width="14.5703125" style="1" customWidth="1"/>
    <col min="16" max="16" width="16.85546875" style="1" customWidth="1"/>
    <col min="17" max="40" width="9.140625" style="1"/>
    <col min="41" max="41" width="11.5703125" style="56" customWidth="1"/>
    <col min="42" max="42" width="9.140625" style="56"/>
    <col min="43" max="44" width="9.140625" style="71"/>
    <col min="45" max="45" width="9.140625" style="94"/>
    <col min="46" max="46" width="9.7109375" style="94" customWidth="1"/>
    <col min="47" max="47" width="16.28515625" style="1" customWidth="1"/>
    <col min="48" max="48" width="19.7109375" style="1" customWidth="1"/>
    <col min="49" max="49" width="9.140625" style="1"/>
    <col min="50" max="50" width="10.28515625" style="1" customWidth="1"/>
    <col min="51" max="51" width="10.28515625" style="73" customWidth="1"/>
    <col min="52" max="52" width="10.85546875" style="1" customWidth="1"/>
    <col min="53" max="53" width="10.85546875" style="73" customWidth="1"/>
    <col min="54" max="54" width="9.140625" style="1"/>
    <col min="55" max="55" width="9.140625" style="73"/>
    <col min="56" max="56" width="9.140625" style="1"/>
    <col min="57" max="57" width="12.5703125" style="49" bestFit="1" customWidth="1"/>
    <col min="58" max="58" width="16.5703125" style="49" bestFit="1" customWidth="1"/>
    <col min="59" max="59" width="13.28515625" style="1" customWidth="1"/>
    <col min="60" max="60" width="10.7109375" style="1" customWidth="1"/>
    <col min="61" max="61" width="11" style="73" customWidth="1"/>
    <col min="62" max="62" width="9.140625" style="85"/>
    <col min="63" max="63" width="32.85546875" style="1" customWidth="1"/>
    <col min="64" max="64" width="16.28515625" style="1" bestFit="1" customWidth="1"/>
    <col min="65" max="65" width="10" style="1" customWidth="1"/>
    <col min="66" max="66" width="10" style="94" customWidth="1"/>
    <col min="67" max="67" width="9.140625" style="1"/>
    <col min="68" max="68" width="14.42578125" style="1" customWidth="1"/>
    <col min="69" max="69" width="9.140625" style="1"/>
    <col min="70" max="70" width="9.140625" style="57"/>
    <col min="71" max="71" width="9.140625" style="1"/>
    <col min="72" max="72" width="9.140625" style="57"/>
    <col min="73" max="73" width="9.140625" style="1"/>
    <col min="74" max="74" width="9.140625" style="57"/>
    <col min="75" max="75" width="14.42578125" style="1" customWidth="1"/>
    <col min="76" max="76" width="17.140625" style="1" customWidth="1"/>
    <col min="77" max="77" width="9.140625" style="1"/>
    <col min="78" max="78" width="16.28515625" style="1" customWidth="1"/>
    <col min="79" max="79" width="10.28515625" style="1" bestFit="1" customWidth="1"/>
    <col min="80" max="80" width="9.140625" style="1"/>
    <col min="81" max="81" width="11" style="1" customWidth="1"/>
    <col min="82" max="82" width="11" style="73" customWidth="1"/>
    <col min="83" max="83" width="11.85546875" style="88" customWidth="1"/>
    <col min="84" max="84" width="11.7109375" style="88" customWidth="1"/>
    <col min="85" max="85" width="21.140625" style="1" customWidth="1"/>
    <col min="86" max="86" width="19" style="94" customWidth="1"/>
    <col min="87" max="87" width="25.42578125" style="94" customWidth="1"/>
    <col min="88" max="88" width="13.42578125" style="1" customWidth="1"/>
    <col min="89" max="90" width="9.140625" style="1"/>
    <col min="91" max="91" width="14.42578125" style="1" customWidth="1"/>
    <col min="92" max="94" width="9.140625" style="1"/>
    <col min="95" max="95" width="18.28515625" style="1" customWidth="1"/>
    <col min="96" max="16384" width="9.140625" style="1"/>
  </cols>
  <sheetData>
    <row r="1" spans="1:96" s="57" customFormat="1" ht="78.599999999999994" customHeight="1" x14ac:dyDescent="0.25">
      <c r="A1" s="95" t="s">
        <v>0</v>
      </c>
      <c r="B1" s="95" t="s">
        <v>1</v>
      </c>
      <c r="C1" s="95" t="s">
        <v>2</v>
      </c>
      <c r="D1" s="95" t="s">
        <v>7306</v>
      </c>
      <c r="E1" s="95" t="s">
        <v>7307</v>
      </c>
      <c r="F1" s="95" t="s">
        <v>7308</v>
      </c>
      <c r="G1" s="95" t="s">
        <v>7309</v>
      </c>
      <c r="H1" s="95" t="s">
        <v>7327</v>
      </c>
      <c r="I1" s="95" t="s">
        <v>7310</v>
      </c>
      <c r="J1" s="95" t="s">
        <v>7325</v>
      </c>
      <c r="K1" s="95" t="s">
        <v>7326</v>
      </c>
      <c r="L1" s="95" t="s">
        <v>7311</v>
      </c>
      <c r="M1" s="95" t="s">
        <v>7341</v>
      </c>
      <c r="N1" s="95" t="s">
        <v>7312</v>
      </c>
      <c r="O1" s="95" t="s">
        <v>7313</v>
      </c>
      <c r="P1" s="95" t="s">
        <v>7314</v>
      </c>
      <c r="Q1" s="95" t="s">
        <v>3</v>
      </c>
      <c r="R1" s="95" t="s">
        <v>4</v>
      </c>
      <c r="S1" s="95" t="s">
        <v>7</v>
      </c>
      <c r="T1" s="95" t="s">
        <v>8</v>
      </c>
      <c r="U1" s="95" t="s">
        <v>9</v>
      </c>
      <c r="V1" s="95" t="s">
        <v>10</v>
      </c>
      <c r="W1" s="95" t="s">
        <v>7315</v>
      </c>
      <c r="X1" s="95" t="s">
        <v>7316</v>
      </c>
      <c r="Y1" s="95" t="s">
        <v>7317</v>
      </c>
      <c r="Z1" s="95" t="s">
        <v>7318</v>
      </c>
      <c r="AA1" s="95" t="s">
        <v>7319</v>
      </c>
      <c r="AB1" s="95" t="s">
        <v>7320</v>
      </c>
      <c r="AC1" s="95" t="s">
        <v>7321</v>
      </c>
      <c r="AD1" s="95" t="s">
        <v>7322</v>
      </c>
      <c r="AE1" s="95" t="s">
        <v>7323</v>
      </c>
      <c r="AF1" s="95" t="s">
        <v>7299</v>
      </c>
      <c r="AG1" s="95" t="s">
        <v>7300</v>
      </c>
      <c r="AH1" s="95" t="s">
        <v>7301</v>
      </c>
      <c r="AI1" s="95" t="s">
        <v>7302</v>
      </c>
      <c r="AJ1" s="95" t="s">
        <v>7303</v>
      </c>
      <c r="AK1" s="95" t="s">
        <v>7304</v>
      </c>
      <c r="AL1" s="95" t="s">
        <v>5</v>
      </c>
      <c r="AM1" s="95" t="s">
        <v>7342</v>
      </c>
      <c r="AN1" s="95" t="s">
        <v>7305</v>
      </c>
      <c r="AO1" s="97" t="s">
        <v>7945</v>
      </c>
      <c r="AP1" s="97" t="s">
        <v>7951</v>
      </c>
      <c r="AQ1" s="127" t="s">
        <v>7949</v>
      </c>
      <c r="AR1" s="127" t="s">
        <v>7931</v>
      </c>
      <c r="AS1" s="98" t="s">
        <v>7932</v>
      </c>
      <c r="AT1" s="98" t="s">
        <v>7952</v>
      </c>
      <c r="AU1" s="107" t="s">
        <v>7954</v>
      </c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28" t="s">
        <v>7328</v>
      </c>
      <c r="BH1" s="128"/>
      <c r="BI1" s="75"/>
      <c r="BJ1" s="75"/>
      <c r="BK1" s="108" t="s">
        <v>7338</v>
      </c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80"/>
      <c r="CE1" s="86"/>
      <c r="CF1" s="92" t="s">
        <v>7950</v>
      </c>
      <c r="CG1" s="106" t="s">
        <v>7339</v>
      </c>
      <c r="CH1" s="106"/>
      <c r="CI1" s="106"/>
      <c r="CJ1" s="106"/>
      <c r="CK1" s="106"/>
      <c r="CL1" s="106"/>
      <c r="CM1" s="106"/>
      <c r="CN1" s="106"/>
      <c r="CO1" s="106"/>
      <c r="CP1" s="106"/>
      <c r="CQ1" s="72" t="s">
        <v>7343</v>
      </c>
      <c r="CR1" s="72" t="s">
        <v>7337</v>
      </c>
    </row>
    <row r="2" spans="1:96" ht="69.75" customHeight="1" x14ac:dyDescent="0.25">
      <c r="A2" s="95" t="s">
        <v>7895</v>
      </c>
      <c r="B2" s="95" t="s">
        <v>7345</v>
      </c>
      <c r="C2" s="95" t="s">
        <v>7896</v>
      </c>
      <c r="D2" s="95" t="s">
        <v>7353</v>
      </c>
      <c r="E2" s="95" t="s">
        <v>7897</v>
      </c>
      <c r="F2" s="95" t="s">
        <v>7898</v>
      </c>
      <c r="G2" s="95" t="s">
        <v>7899</v>
      </c>
      <c r="H2" s="95" t="s">
        <v>7900</v>
      </c>
      <c r="I2" s="95" t="s">
        <v>7901</v>
      </c>
      <c r="J2" s="95" t="s">
        <v>7902</v>
      </c>
      <c r="K2" s="95" t="s">
        <v>7903</v>
      </c>
      <c r="L2" s="95" t="s">
        <v>7904</v>
      </c>
      <c r="M2" s="95" t="s">
        <v>7905</v>
      </c>
      <c r="N2" s="95" t="s">
        <v>7329</v>
      </c>
      <c r="O2" s="95" t="s">
        <v>7330</v>
      </c>
      <c r="P2" s="95" t="s">
        <v>7296</v>
      </c>
      <c r="Q2" s="95" t="s">
        <v>7906</v>
      </c>
      <c r="R2" s="95" t="s">
        <v>7907</v>
      </c>
      <c r="S2" s="95" t="s">
        <v>7908</v>
      </c>
      <c r="T2" s="95" t="s">
        <v>7909</v>
      </c>
      <c r="U2" s="95" t="s">
        <v>7910</v>
      </c>
      <c r="V2" s="95" t="s">
        <v>7911</v>
      </c>
      <c r="W2" s="95" t="s">
        <v>7912</v>
      </c>
      <c r="X2" s="95" t="s">
        <v>7913</v>
      </c>
      <c r="Y2" s="95" t="s">
        <v>7914</v>
      </c>
      <c r="Z2" s="95" t="s">
        <v>7915</v>
      </c>
      <c r="AA2" s="95" t="s">
        <v>7916</v>
      </c>
      <c r="AB2" s="95" t="s">
        <v>7334</v>
      </c>
      <c r="AC2" s="95" t="s">
        <v>7917</v>
      </c>
      <c r="AD2" s="95" t="s">
        <v>7918</v>
      </c>
      <c r="AE2" s="95" t="s">
        <v>7919</v>
      </c>
      <c r="AF2" s="95" t="s">
        <v>7920</v>
      </c>
      <c r="AG2" s="95" t="s">
        <v>7921</v>
      </c>
      <c r="AH2" s="95" t="s">
        <v>7922</v>
      </c>
      <c r="AI2" s="95" t="s">
        <v>7923</v>
      </c>
      <c r="AJ2" s="95" t="s">
        <v>7924</v>
      </c>
      <c r="AK2" s="95" t="s">
        <v>7925</v>
      </c>
      <c r="AL2" s="95" t="s">
        <v>7926</v>
      </c>
      <c r="AM2" s="95" t="s">
        <v>7346</v>
      </c>
      <c r="AN2" s="95" t="s">
        <v>7927</v>
      </c>
      <c r="AO2" s="95" t="s">
        <v>7928</v>
      </c>
      <c r="AP2" s="95" t="s">
        <v>7929</v>
      </c>
      <c r="AQ2" s="95" t="s">
        <v>7335</v>
      </c>
      <c r="AR2" s="95" t="s">
        <v>7893</v>
      </c>
      <c r="AS2" s="98" t="s">
        <v>7933</v>
      </c>
      <c r="AT2" s="98" t="s">
        <v>7934</v>
      </c>
      <c r="AU2" s="30"/>
      <c r="AV2" s="30"/>
      <c r="AW2" s="66"/>
      <c r="AX2" s="30"/>
      <c r="AY2" s="30"/>
      <c r="AZ2" s="30"/>
      <c r="BA2" s="30"/>
      <c r="BB2" s="30"/>
      <c r="BC2" s="30"/>
      <c r="BD2" s="30"/>
      <c r="BE2" s="67"/>
      <c r="BF2" s="67"/>
      <c r="BG2" s="128"/>
      <c r="BH2" s="128"/>
      <c r="BI2" s="82" t="s">
        <v>7345</v>
      </c>
      <c r="BJ2" s="82" t="s">
        <v>7353</v>
      </c>
      <c r="BK2" s="54"/>
      <c r="BL2" s="30" t="s">
        <v>7251</v>
      </c>
      <c r="BM2" s="30" t="s">
        <v>7252</v>
      </c>
      <c r="BN2" s="66"/>
      <c r="BO2" s="66"/>
      <c r="BP2" s="30" t="s">
        <v>7253</v>
      </c>
      <c r="BQ2" s="30" t="s">
        <v>7254</v>
      </c>
      <c r="BR2" s="30"/>
      <c r="BS2" s="30" t="s">
        <v>7255</v>
      </c>
      <c r="BT2" s="30"/>
      <c r="BU2" s="30" t="s">
        <v>7256</v>
      </c>
      <c r="BV2" s="30"/>
      <c r="BW2" s="68" t="s">
        <v>7329</v>
      </c>
      <c r="BX2" s="69" t="s">
        <v>7330</v>
      </c>
      <c r="BY2" s="30" t="s">
        <v>7257</v>
      </c>
      <c r="BZ2" s="53" t="s">
        <v>7296</v>
      </c>
      <c r="CA2" s="130" t="s">
        <v>7334</v>
      </c>
      <c r="CB2" s="4" t="s">
        <v>7335</v>
      </c>
      <c r="CC2" s="4" t="s">
        <v>7336</v>
      </c>
      <c r="CD2" s="83" t="s">
        <v>7348</v>
      </c>
      <c r="CE2" s="89" t="s">
        <v>7620</v>
      </c>
      <c r="CF2" s="93" t="s">
        <v>7893</v>
      </c>
      <c r="CG2" s="63"/>
      <c r="CH2" s="63"/>
      <c r="CI2" s="96" t="s">
        <v>7942</v>
      </c>
      <c r="CJ2" s="63"/>
      <c r="CK2" s="63"/>
      <c r="CL2" s="63"/>
      <c r="CM2" s="63" t="s">
        <v>7344</v>
      </c>
      <c r="CN2" s="63"/>
      <c r="CO2" s="63"/>
      <c r="CQ2" s="1">
        <v>13</v>
      </c>
      <c r="CR2" s="1">
        <v>2</v>
      </c>
    </row>
    <row r="3" spans="1:96" ht="113.25" customHeight="1" x14ac:dyDescent="0.25">
      <c r="A3" s="95" t="s">
        <v>7930</v>
      </c>
      <c r="B3" s="95" t="s">
        <v>7930</v>
      </c>
      <c r="C3" s="95" t="s">
        <v>7930</v>
      </c>
      <c r="D3" s="95" t="s">
        <v>7930</v>
      </c>
      <c r="E3" s="95" t="s">
        <v>7930</v>
      </c>
      <c r="F3" s="95" t="s">
        <v>7930</v>
      </c>
      <c r="G3" s="95" t="s">
        <v>7930</v>
      </c>
      <c r="H3" s="95" t="s">
        <v>7930</v>
      </c>
      <c r="I3" s="95" t="s">
        <v>7930</v>
      </c>
      <c r="J3" s="95" t="s">
        <v>7930</v>
      </c>
      <c r="K3" s="95" t="s">
        <v>7930</v>
      </c>
      <c r="L3" s="95" t="s">
        <v>7930</v>
      </c>
      <c r="M3" s="95" t="s">
        <v>7930</v>
      </c>
      <c r="N3" s="95" t="s">
        <v>7930</v>
      </c>
      <c r="O3" s="95" t="s">
        <v>7930</v>
      </c>
      <c r="P3" s="95" t="s">
        <v>7930</v>
      </c>
      <c r="Q3" s="95" t="s">
        <v>7930</v>
      </c>
      <c r="R3" s="95" t="s">
        <v>7930</v>
      </c>
      <c r="S3" s="95" t="s">
        <v>7930</v>
      </c>
      <c r="T3" s="95" t="s">
        <v>7930</v>
      </c>
      <c r="U3" s="95" t="s">
        <v>7930</v>
      </c>
      <c r="V3" s="95" t="s">
        <v>7930</v>
      </c>
      <c r="W3" s="95" t="s">
        <v>7930</v>
      </c>
      <c r="X3" s="95" t="s">
        <v>7930</v>
      </c>
      <c r="Y3" s="95" t="s">
        <v>7930</v>
      </c>
      <c r="Z3" s="95" t="s">
        <v>7930</v>
      </c>
      <c r="AA3" s="95" t="s">
        <v>7930</v>
      </c>
      <c r="AB3" s="95" t="s">
        <v>7930</v>
      </c>
      <c r="AC3" s="95" t="s">
        <v>7930</v>
      </c>
      <c r="AD3" s="95" t="s">
        <v>7930</v>
      </c>
      <c r="AE3" s="95" t="s">
        <v>7930</v>
      </c>
      <c r="AF3" s="95" t="s">
        <v>7930</v>
      </c>
      <c r="AG3" s="95" t="s">
        <v>7930</v>
      </c>
      <c r="AH3" s="95" t="s">
        <v>7930</v>
      </c>
      <c r="AI3" s="95" t="s">
        <v>7930</v>
      </c>
      <c r="AJ3" s="95" t="s">
        <v>7930</v>
      </c>
      <c r="AK3" s="95" t="s">
        <v>7930</v>
      </c>
      <c r="AL3" s="95" t="s">
        <v>7930</v>
      </c>
      <c r="AM3" s="95" t="s">
        <v>7930</v>
      </c>
      <c r="AN3" s="95" t="s">
        <v>7930</v>
      </c>
      <c r="AO3" s="95" t="s">
        <v>7930</v>
      </c>
      <c r="AP3" s="95" t="s">
        <v>7930</v>
      </c>
      <c r="AQ3" s="95" t="s">
        <v>7930</v>
      </c>
      <c r="AR3" s="95" t="s">
        <v>7930</v>
      </c>
      <c r="AS3" s="98" t="s">
        <v>7930</v>
      </c>
      <c r="AT3" s="98" t="s">
        <v>7930</v>
      </c>
      <c r="AU3" s="59" t="s">
        <v>7272</v>
      </c>
      <c r="AV3" s="59" t="s">
        <v>7258</v>
      </c>
      <c r="AW3" s="59" t="s">
        <v>7259</v>
      </c>
      <c r="AX3" s="59" t="s">
        <v>7260</v>
      </c>
      <c r="AY3" s="59" t="s">
        <v>7261</v>
      </c>
      <c r="AZ3" s="59" t="s">
        <v>7261</v>
      </c>
      <c r="BA3" s="59" t="s">
        <v>7262</v>
      </c>
      <c r="BB3" s="59" t="s">
        <v>7262</v>
      </c>
      <c r="BC3" s="59" t="s">
        <v>7263</v>
      </c>
      <c r="BD3" s="59" t="s">
        <v>7263</v>
      </c>
      <c r="BE3" s="60" t="s">
        <v>7264</v>
      </c>
      <c r="BF3" s="60" t="s">
        <v>7265</v>
      </c>
      <c r="BG3" s="129" t="s">
        <v>7946</v>
      </c>
      <c r="BH3" s="129" t="s">
        <v>7953</v>
      </c>
      <c r="BI3" s="63" t="s">
        <v>1</v>
      </c>
      <c r="BJ3" s="63" t="s">
        <v>7333</v>
      </c>
      <c r="BK3" s="70" t="s">
        <v>7297</v>
      </c>
      <c r="BL3" s="59" t="s">
        <v>7272</v>
      </c>
      <c r="BM3" s="59" t="s">
        <v>7258</v>
      </c>
      <c r="BN3" s="59" t="s">
        <v>7259</v>
      </c>
      <c r="BO3" s="59" t="s">
        <v>7947</v>
      </c>
      <c r="BP3" s="59" t="s">
        <v>7260</v>
      </c>
      <c r="BQ3" s="59" t="s">
        <v>7261</v>
      </c>
      <c r="BR3" s="59" t="s">
        <v>7261</v>
      </c>
      <c r="BS3" s="59" t="s">
        <v>7262</v>
      </c>
      <c r="BT3" s="59" t="s">
        <v>7262</v>
      </c>
      <c r="BU3" s="59" t="s">
        <v>7263</v>
      </c>
      <c r="BV3" s="59" t="s">
        <v>7263</v>
      </c>
      <c r="BW3" s="60" t="s">
        <v>7264</v>
      </c>
      <c r="BX3" s="60" t="s">
        <v>7265</v>
      </c>
      <c r="BY3" s="55"/>
      <c r="BZ3" s="55"/>
      <c r="CA3" s="102" t="s">
        <v>7320</v>
      </c>
      <c r="CB3" s="103" t="s">
        <v>7331</v>
      </c>
      <c r="CC3" s="104" t="s">
        <v>7332</v>
      </c>
      <c r="CD3" s="104" t="s">
        <v>7347</v>
      </c>
      <c r="CE3" s="105" t="s">
        <v>7891</v>
      </c>
      <c r="CF3" s="105" t="s">
        <v>7894</v>
      </c>
      <c r="CG3" s="61" t="s">
        <v>7943</v>
      </c>
      <c r="CH3" s="61" t="s">
        <v>7944</v>
      </c>
      <c r="CI3" s="61" t="s">
        <v>7941</v>
      </c>
      <c r="CJ3" s="100" t="s">
        <v>7272</v>
      </c>
      <c r="CK3" s="101" t="s">
        <v>7262</v>
      </c>
      <c r="CL3" s="101" t="s">
        <v>7261</v>
      </c>
      <c r="CM3" s="101" t="s">
        <v>7333</v>
      </c>
      <c r="CN3" s="101" t="s">
        <v>7260</v>
      </c>
      <c r="CO3" s="101" t="s">
        <v>7258</v>
      </c>
      <c r="CP3" s="100" t="s">
        <v>7340</v>
      </c>
      <c r="CQ3" s="99" t="s">
        <v>7948</v>
      </c>
      <c r="CR3" s="99" t="s">
        <v>7892</v>
      </c>
    </row>
    <row r="4" spans="1:96" ht="81.75" customHeight="1" x14ac:dyDescent="0.25">
      <c r="A4" s="126"/>
      <c r="B4" s="20"/>
      <c r="C4" s="20"/>
      <c r="D4" s="126"/>
      <c r="E4" s="126"/>
      <c r="F4" s="126"/>
      <c r="G4" s="126"/>
      <c r="H4" s="126"/>
      <c r="I4" s="126"/>
      <c r="J4" s="126"/>
      <c r="K4" s="126"/>
      <c r="L4" s="20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20"/>
      <c r="AQ4" s="20"/>
      <c r="AR4" s="126"/>
      <c r="AS4" s="126"/>
      <c r="AT4" s="126"/>
      <c r="AU4" s="64">
        <f t="shared" ref="AU4" si="0">I4</f>
        <v>0</v>
      </c>
      <c r="AV4" s="73">
        <f t="shared" ref="AV4" si="1">K4</f>
        <v>0</v>
      </c>
      <c r="AW4" s="73" t="e">
        <f>VLOOKUP(AV4,коэф.модели!$F$6:$G$11,2,0)</f>
        <v>#N/A</v>
      </c>
      <c r="AX4" s="73">
        <f t="shared" ref="AX4" si="2">J4</f>
        <v>0</v>
      </c>
      <c r="AY4" s="73">
        <f t="shared" ref="AY4" si="3">H4</f>
        <v>0</v>
      </c>
      <c r="AZ4" s="31" t="e">
        <f>IF(AY4="","ОШИБКА",VLOOKUP(AY4,коэф.модели!$F$12:$G$17,2,0))</f>
        <v>#N/A</v>
      </c>
      <c r="BA4" s="31">
        <f t="shared" ref="BA4" si="4">F4</f>
        <v>0</v>
      </c>
      <c r="BB4" s="31" t="e">
        <f>IF(BA4="","ОШИБКА",VLOOKUP(BA4,коэф.модели!$F$12:$G$17,2,0))</f>
        <v>#N/A</v>
      </c>
      <c r="BC4" s="31">
        <f t="shared" ref="BC4" si="5">G4</f>
        <v>0</v>
      </c>
      <c r="BD4" s="31" t="e">
        <f>IF(BC4="","ОШИБКА",VLOOKUP(BC4,коэф.модели!$F$12:$G$17,2,0))</f>
        <v>#N/A</v>
      </c>
      <c r="BE4" s="50" t="e">
        <f t="shared" ref="BE4" si="6">ROUND(PRODUCT(AU4,AW4,AX4,AZ4,BD4,BB4),2)</f>
        <v>#N/A</v>
      </c>
      <c r="BF4" s="49" t="e">
        <f t="shared" ref="BF4" si="7">MROUND(BE4*D4,2)</f>
        <v>#N/A</v>
      </c>
      <c r="BG4" s="58" t="str">
        <f t="shared" ref="BG4" si="8">IF(N4="","Новый объект",IF(AN4=AL4,BF4-O4,"Объект пришел из другой модели"))</f>
        <v>Новый объект</v>
      </c>
      <c r="BH4" s="58" t="str">
        <f>IF(AM4="",IF(AC4&lt;&gt;"","ОСПАРИВАНИЕ",IF(AS4&lt;&gt;"","СУД",IF(W4="","",W4))),AM4)</f>
        <v/>
      </c>
      <c r="BI4" s="76">
        <f t="shared" ref="BI4" si="9">B4</f>
        <v>0</v>
      </c>
      <c r="BJ4" s="76">
        <f>Q4</f>
        <v>0</v>
      </c>
      <c r="BK4" s="52" t="b">
        <f>IFERROR(IF(AP4="02:060",VLOOKUP(C4,'КК и удельник'!$A$3:$E$6521,2,0),IF(расчеты!AP4="02:050",VLOOKUP(расчеты!C4,'КК и удельник'!$A$3:$E$6521,2,0),IF(расчеты!AP4="02:014",VLOOKUP(расчеты!C4,'КК и удельник'!$A$3:$E$6521,2,0)))),IF(AP4="02:060",IF(M4="",VLOOKUP(L4,'КК и удельник'!$AG$3:$AK$1928,2,0),VLOOKUP(M4,'КК и удельник'!$AG$3:$AK$1928,2,0)),IF(расчеты!AP4="02:050",IF(M4="",VLOOKUP(расчеты!L4,'КК и удельник'!$AG$3:$AK$1928,2,0),VLOOKUP(расчеты!M4,'КК и удельник'!$AG$3:$AK$1928,2,0)),IF(расчеты!AP4="02:014",IF(M4="",VLOOKUP(расчеты!L4,'КК и удельник'!$AG$3:$AK$1928,2,0),VLOOKUP(расчеты!M4,'КК и удельник'!$AG$3:$AK$1928,2,0)),"ОШИБКА"))))</f>
        <v>0</v>
      </c>
      <c r="BL4" s="65">
        <f>IF(AQ4=AP4,I4,IFERROR(IF(AP4="02:060",VLOOKUP(C4,'КК и удельник'!$A$3:$E$6521,4,0),IF(расчеты!AP4="02:050",VLOOKUP(расчеты!C4,'КК и удельник'!$A$3:$E$6521,3,0),IF(расчеты!AP4="02:014",VLOOKUP(расчеты!C4,'КК и удельник'!$A$3:$E$6521,5,0)))),IF(AP4="02:060",IF(M4="",VLOOKUP(L4,'КК и удельник'!$AG$3:$AK$1928,4,0),VLOOKUP(M4,'КК и удельник'!$AG$3:$AK$1928,4,0)),IF(расчеты!AP4="02:050",IF(M4="",VLOOKUP(расчеты!L4,'КК и удельник'!$AG$3:$AK$1928,3,0),VLOOKUP(расчеты!M4,'КК и удельник'!$AG$3:$AK$1928,3,0)),IF(расчеты!AP4="02:014",IF(M4="",VLOOKUP(расчеты!L4,'КК и удельник'!$AG$3:$AK$1928,5,0),VLOOKUP(расчеты!M4,'КК и удельник'!$AG$3:$AK$1928,5,0)))))))</f>
        <v>0</v>
      </c>
      <c r="BM4" s="73" t="e">
        <f>VLOOKUP(AP4,коэф.модели!$J$5:$K$7,2,0)</f>
        <v>#N/A</v>
      </c>
      <c r="BN4" s="73" t="e">
        <f>VLOOKUP(BM4,коэф.модели!$F$6:$G$11,2,0)</f>
        <v>#N/A</v>
      </c>
      <c r="BO4" s="51" t="e">
        <f>IF(M4="",IF(L4="47:004:1:1:1",IF(BM4="многоэтажный",9,VLOOKUP(BM4,коэф.модели!$K$5:$L$7,2,0)),VLOOKUP(BM4,коэф.модели!$K$5:$L$7,2,0)),IF(M4="47:004:1:1:1",IF(BM4="многоэтажный",9,VLOOKUP(BM4,коэф.модели!$K$5:$L$7,2,0)),VLOOKUP(BM4,коэф.модели!$K$5:$L$7,2,0)))</f>
        <v>#N/A</v>
      </c>
      <c r="BP4" s="73">
        <f>IF(AQ4=AP4,J4,ROUND(0.6329*LN(BO4)+0.0442,4))</f>
        <v>0</v>
      </c>
      <c r="BQ4" s="31" t="str">
        <f t="shared" ref="BQ4" si="10">IF(AN4=AL4,IF(H4="отсутствие теплоснабжения","отсутствие теплоснабжения","наличие теплоснабжения"),"наличие теплоснабжения")</f>
        <v>наличие теплоснабжения</v>
      </c>
      <c r="BR4" s="31">
        <f>VLOOKUP(BQ4,коэф.модели!$F$12:$G$17,2,0)</f>
        <v>1</v>
      </c>
      <c r="BS4" s="31" t="str">
        <f t="shared" ref="BS4" si="11">IF(AN4=AL4,IF(F4="отсутствие электроснабжения","отсутствие электроснабжения","наличие электроснабжения"),"наличие электроснабжения")</f>
        <v>наличие электроснабжения</v>
      </c>
      <c r="BT4" s="31">
        <f>VLOOKUP(BS4,коэф.модели!$F$12:$G$17,2,0)</f>
        <v>1</v>
      </c>
      <c r="BU4" s="31" t="str">
        <f t="shared" ref="BU4" si="12">IF(AN4=AL4,IF(G4="отсутствие водоотведения","отсутствие водоотведения","наличие водоотведения"),"наличие водоотведения")</f>
        <v>наличие водоотведения</v>
      </c>
      <c r="BV4" s="31">
        <f>VLOOKUP(BU4,коэф.модели!$F$12:$G$17,2,0)</f>
        <v>1</v>
      </c>
      <c r="BW4" s="50" t="e">
        <f t="shared" ref="BW4" si="13">ROUND(PRODUCT(BL4,BN4,BP4,BR4,BT4,BV4),2)</f>
        <v>#N/A</v>
      </c>
      <c r="BX4" s="49" t="e">
        <f t="shared" ref="BX4" si="14">ROUND(BW4*Q4,2)</f>
        <v>#N/A</v>
      </c>
      <c r="BY4" s="77">
        <f>8002</f>
        <v>8002</v>
      </c>
      <c r="BZ4" s="74" t="s">
        <v>7940</v>
      </c>
      <c r="CA4" s="90" t="e">
        <f>IF(OR(BX4&lt;0,BX4=0),"ОТРИЦАТЕЛЬНОЕ ЗНАЧЕНИЕ",IF(OR(CG4=0,CG4&lt;1),"Пересчет не требуется","Готов"))</f>
        <v>#N/A</v>
      </c>
      <c r="CB4" s="77">
        <f t="shared" ref="CB4" si="15">AP4</f>
        <v>0</v>
      </c>
      <c r="CC4" s="77" t="str">
        <f t="shared" ref="CC4" si="16">IF(CB4="02:014",$CQ$1,$CR$1)</f>
        <v>2. СЕГМЕНТ "Жилая застройка (среднеэтажная и многоэтажная)"</v>
      </c>
      <c r="CD4" s="77">
        <f t="shared" ref="CD4" si="17">IF(CB4="02:014",$CQ$2,$CR$2)</f>
        <v>2</v>
      </c>
      <c r="CE4" s="87" t="e">
        <f>VLOOKUP(CB4,'справочник ВРИ'!$A$3:$B$271,2,0)</f>
        <v>#N/A</v>
      </c>
      <c r="CF4" s="90">
        <f t="shared" ref="CF4" si="18">AO4</f>
        <v>0</v>
      </c>
      <c r="CG4" s="58" t="str">
        <f t="shared" ref="CG4" si="19">IF(ISBLANK(N4),"Новый объект",IF(AL4=AN4,ABS(BX4-O4),"Объект из другой модели"))</f>
        <v>Новый объект</v>
      </c>
      <c r="CH4" s="58" t="e">
        <f t="shared" ref="CH4" si="20">IF(AN4=AL4,BW4-N4,IF(OR(BW4&lt;866,BW4&gt;17260),"Отклонение УПКС","УПКС объекта в допустимом интервале"))</f>
        <v>#N/A</v>
      </c>
      <c r="CI4" s="58" t="str">
        <f>IF(CG4="Объект из другой модели",CG4,IF(CG4="Новый объект",CG4,IF(CG4&gt;50000000,"Внимание!Изменение стоимости","Изменение менее 50 млн")))</f>
        <v>Новый объект</v>
      </c>
      <c r="CJ4" s="62" t="str">
        <f t="shared" ref="CJ4" si="21">IF(I4="","Новое значение",IF(I4=BL4,"Осталось предыдущее значение ЦФ","ИЗМЕНЕНИЕ"))</f>
        <v>Новое значение</v>
      </c>
      <c r="CK4" s="62" t="str">
        <f t="shared" ref="CK4" si="22">IF(F4="","Новое значение",IF(BS4=F4,"Осталось предыдущее значение ЦФ","ИЗМЕНЕНИЕ"))</f>
        <v>Новое значение</v>
      </c>
      <c r="CL4" s="62" t="str">
        <f t="shared" ref="CL4" si="23">IF(H4="","Новое значение",IF(BQ4=H4,"Осталось предыдущее значение ЦФ","ИЗМЕНЕНИЕ"))</f>
        <v>Новое значение</v>
      </c>
      <c r="CM4" s="62" t="str">
        <f t="shared" ref="CM4" si="24">IF(N4="","Объект новый",IF(AG4="не готов","ИЗМЕНЕНИЕ","Осталось предыдущее значение ЦФ"))</f>
        <v>Объект новый</v>
      </c>
      <c r="CN4" s="62" t="str">
        <f t="shared" ref="CN4" si="25">IF(J4="","Новое значение",IF(BP4=J4,"Осталось предыдущее значение ЦФ","ИЗМЕНЕНИЕ"))</f>
        <v>Новое значение</v>
      </c>
      <c r="CO4" s="62" t="str">
        <f t="shared" ref="CO4" si="26">IF(K4="","Новое значение",IF(BM4=K4,"Осталось предыдущее значение ЦФ","ИЗМЕНЕНИЕ"))</f>
        <v>Новое значение</v>
      </c>
      <c r="CP4" s="62" t="str">
        <f t="shared" ref="CP4" si="27">IF(AP4=AQ4,"Осталось предыдущее значение ЦФ","ИЗМЕНЕНИЕ")</f>
        <v>Осталось предыдущее значение ЦФ</v>
      </c>
      <c r="CQ4" s="1" t="e">
        <f>IFERROR(IFERROR(IFERROR(VLOOKUP(BL4,'КК и удельник'!$E$3:$G$6521,3,0),VLOOKUP(BL4,'КК и удельник'!$D$3:$G$6521,4,0)),VLOOKUP(BL4,'КК и удельник'!$AI$3:$AL$1928,4,0)),VLOOKUP(BL4,'КК и удельник'!$AK$3:$AL$1928,2,0))</f>
        <v>#N/A</v>
      </c>
      <c r="CR4" s="1" t="e">
        <f t="shared" ref="CR4" si="28">CQ4=BK4</f>
        <v>#N/A</v>
      </c>
    </row>
    <row r="5" spans="1:96" s="131" customFormat="1" ht="76.5" x14ac:dyDescent="0.25">
      <c r="A5" s="131">
        <v>1644014</v>
      </c>
      <c r="B5" s="132" t="s">
        <v>7937</v>
      </c>
      <c r="C5" s="132" t="s">
        <v>80</v>
      </c>
      <c r="D5" s="131">
        <v>4191</v>
      </c>
      <c r="F5" s="131" t="s">
        <v>7268</v>
      </c>
      <c r="G5" s="131" t="s">
        <v>7269</v>
      </c>
      <c r="H5" s="131" t="s">
        <v>7267</v>
      </c>
      <c r="I5" s="131">
        <v>77071.442599999995</v>
      </c>
      <c r="J5" s="131">
        <v>1.0628</v>
      </c>
      <c r="K5" s="131" t="s">
        <v>7270</v>
      </c>
      <c r="L5" s="132" t="s">
        <v>7935</v>
      </c>
      <c r="N5" s="131">
        <v>6806.85</v>
      </c>
      <c r="O5" s="131">
        <v>28527508</v>
      </c>
      <c r="P5" s="131" t="s">
        <v>7349</v>
      </c>
      <c r="Q5" s="131">
        <v>3296</v>
      </c>
      <c r="R5" s="131" t="s">
        <v>12</v>
      </c>
      <c r="S5" s="131" t="s">
        <v>7350</v>
      </c>
      <c r="T5" s="131" t="s">
        <v>7350</v>
      </c>
      <c r="U5" s="131" t="s">
        <v>7350</v>
      </c>
      <c r="V5" s="131" t="s">
        <v>7350</v>
      </c>
      <c r="Z5" s="131">
        <v>10</v>
      </c>
      <c r="AA5" s="131" t="s">
        <v>7938</v>
      </c>
      <c r="AB5" s="131" t="s">
        <v>7324</v>
      </c>
      <c r="AE5" s="131" t="s">
        <v>7352</v>
      </c>
      <c r="AF5" s="131" t="s">
        <v>7351</v>
      </c>
      <c r="AG5" s="131" t="s">
        <v>7352</v>
      </c>
      <c r="AH5" s="131" t="s">
        <v>7351</v>
      </c>
      <c r="AI5" s="131" t="s">
        <v>7351</v>
      </c>
      <c r="AJ5" s="131" t="s">
        <v>7351</v>
      </c>
      <c r="AK5" s="131" t="s">
        <v>7939</v>
      </c>
      <c r="AL5" s="131">
        <v>8002</v>
      </c>
      <c r="AN5" s="131">
        <v>8002</v>
      </c>
      <c r="AO5" s="131" t="s">
        <v>7936</v>
      </c>
      <c r="AP5" s="132" t="s">
        <v>16</v>
      </c>
      <c r="AQ5" s="132" t="s">
        <v>16</v>
      </c>
      <c r="AR5" s="131" t="s">
        <v>7936</v>
      </c>
      <c r="AU5" s="133">
        <f t="shared" ref="AU5:AU10" si="29">I5</f>
        <v>77071.442599999995</v>
      </c>
      <c r="AV5" s="131" t="str">
        <f t="shared" ref="AV5:AV10" si="30">K5</f>
        <v>среднеэтажный</v>
      </c>
      <c r="AW5" s="131">
        <f>VLOOKUP(AV5,коэф.модели!$F$6:$G$11,2,0)</f>
        <v>8.3099999999999993E-2</v>
      </c>
      <c r="AX5" s="131">
        <f t="shared" ref="AX5:AX10" si="31">J5</f>
        <v>1.0628</v>
      </c>
      <c r="AY5" s="131" t="str">
        <f t="shared" ref="AY5:AY10" si="32">H5</f>
        <v>наличие теплоснабжения</v>
      </c>
      <c r="AZ5" s="134">
        <f>IF(AY5="","ОШИБКА",VLOOKUP(AY5,коэф.модели!$F$12:$G$17,2,0))</f>
        <v>1</v>
      </c>
      <c r="BA5" s="134" t="str">
        <f t="shared" ref="BA5:BA10" si="33">F5</f>
        <v>наличие электроснабжения</v>
      </c>
      <c r="BB5" s="134">
        <f>IF(BA5="","ОШИБКА",VLOOKUP(BA5,коэф.модели!$F$12:$G$17,2,0))</f>
        <v>1</v>
      </c>
      <c r="BC5" s="134" t="str">
        <f t="shared" ref="BC5:BC10" si="34">G5</f>
        <v>наличие водоотведения</v>
      </c>
      <c r="BD5" s="134">
        <f>IF(BC5="","ОШИБКА",VLOOKUP(BC5,коэф.модели!$F$12:$G$17,2,0))</f>
        <v>1</v>
      </c>
      <c r="BE5" s="135">
        <f t="shared" ref="BE5:BE10" si="35">ROUND(PRODUCT(AU5,AW5,AX5,AZ5,BD5,BB5),2)</f>
        <v>6806.85</v>
      </c>
      <c r="BF5" s="136">
        <f t="shared" ref="BF5:BF10" si="36">MROUND(BE5*D5,2)</f>
        <v>28527508</v>
      </c>
      <c r="BG5" s="137">
        <f t="shared" ref="BG5:BG10" si="37">IF(N5="","Новый объект",IF(AN5=AL5,BF5-O5,"Объект пришел из другой модели"))</f>
        <v>0</v>
      </c>
      <c r="BH5" s="137" t="str">
        <f t="shared" ref="BH5:BH10" si="38">IF(AM5="",IF(AC5&lt;&gt;"","ОСПАРИВАНИЕ",IF(AS5&lt;&gt;"","СУД",IF(W5="","",W5))),AM5)</f>
        <v/>
      </c>
      <c r="BI5" s="138" t="str">
        <f t="shared" ref="BI5:BI10" si="39">B5</f>
        <v>66:41:0704041:7</v>
      </c>
      <c r="BJ5" s="138">
        <f t="shared" ref="BJ5:BJ10" si="40">Q5</f>
        <v>3296</v>
      </c>
      <c r="BK5" s="139" t="str">
        <f>IFERROR(IF(AP5="02:060",VLOOKUP(C5,'КК и удельник'!$A$3:$E$6521,2,0),IF(расчеты!AP5="02:050",VLOOKUP(расчеты!C5,'КК и удельник'!$A$3:$E$6521,2,0),IF(расчеты!AP5="02:014",VLOOKUP(расчеты!C5,'КК и удельник'!$A$3:$E$6521,2,0)))),IF(AP5="02:060",IF(M5="",VLOOKUP(L5,'КК и удельник'!$AG$3:$AK$1928,2,0),VLOOKUP(M5,'КК и удельник'!$AG$3:$AK$1928,2,0)),IF(расчеты!AP5="02:050",IF(M5="",VLOOKUP(расчеты!L5,'КК и удельник'!$AG$3:$AK$1928,2,0),VLOOKUP(расчеты!M5,'КК и удельник'!$AG$3:$AK$1928,2,0)),IF(расчеты!AP5="02:014",IF(M5="",VLOOKUP(расчеты!L5,'КК и удельник'!$AG$3:$AK$1928,2,0),VLOOKUP(расчеты!M5,'КК и удельник'!$AG$3:$AK$1928,2,0)),"ОШИБКА"))))</f>
        <v>АКАДЕМИЧЕСКИЙ</v>
      </c>
      <c r="BL5" s="140">
        <f>IF(AQ5=AP5,I5,IFERROR(IF(AP5="02:060",VLOOKUP(C5,'КК и удельник'!$A$3:$E$6521,4,0),IF(расчеты!AP5="02:050",VLOOKUP(расчеты!C5,'КК и удельник'!$A$3:$E$6521,3,0),IF(расчеты!AP5="02:014",VLOOKUP(расчеты!C5,'КК и удельник'!$A$3:$E$6521,5,0)))),IF(AP5="02:060",IF(M5="",VLOOKUP(L5,'КК и удельник'!$AG$3:$AK$1928,4,0),VLOOKUP(M5,'КК и удельник'!$AG$3:$AK$1928,4,0)),IF(расчеты!AP5="02:050",IF(M5="",VLOOKUP(расчеты!L5,'КК и удельник'!$AG$3:$AK$1928,3,0),VLOOKUP(расчеты!M5,'КК и удельник'!$AG$3:$AK$1928,3,0)),IF(расчеты!AP5="02:014",IF(M5="",VLOOKUP(расчеты!L5,'КК и удельник'!$AG$3:$AK$1928,5,0),VLOOKUP(расчеты!M5,'КК и удельник'!$AG$3:$AK$1928,5,0)))))))</f>
        <v>77071.442599999995</v>
      </c>
      <c r="BM5" s="131" t="str">
        <f>VLOOKUP(AP5,коэф.модели!$J$5:$K$7,2,0)</f>
        <v>среднеэтажный</v>
      </c>
      <c r="BN5" s="131">
        <f>VLOOKUP(BM5,коэф.модели!$F$6:$G$11,2,0)</f>
        <v>8.3099999999999993E-2</v>
      </c>
      <c r="BO5" s="131">
        <f>IF(M5="",IF(L5="47:004:1:1:1",IF(BM5="многоэтажный",9,VLOOKUP(BM5,коэф.модели!$K$5:$L$7,2,0)),VLOOKUP(BM5,коэф.модели!$K$5:$L$7,2,0)),IF(M5="47:004:1:1:1",IF(BM5="многоэтажный",9,VLOOKUP(BM5,коэф.модели!$K$5:$L$7,2,0)),VLOOKUP(BM5,коэф.модели!$K$5:$L$7,2,0)))</f>
        <v>5</v>
      </c>
      <c r="BP5" s="131">
        <f t="shared" ref="BP5:BP10" si="41">IF(AQ5=AP5,J5,ROUND(0.6329*LN(BO5)+0.0442,4))</f>
        <v>1.0628</v>
      </c>
      <c r="BQ5" s="134" t="str">
        <f t="shared" ref="BQ5:BQ10" si="42">IF(AN5=AL5,IF(H5="отсутствие теплоснабжения","отсутствие теплоснабжения","наличие теплоснабжения"),"наличие теплоснабжения")</f>
        <v>наличие теплоснабжения</v>
      </c>
      <c r="BR5" s="134">
        <f>VLOOKUP(BQ5,коэф.модели!$F$12:$G$17,2,0)</f>
        <v>1</v>
      </c>
      <c r="BS5" s="134" t="str">
        <f t="shared" ref="BS5:BS10" si="43">IF(AN5=AL5,IF(F5="отсутствие электроснабжения","отсутствие электроснабжения","наличие электроснабжения"),"наличие электроснабжения")</f>
        <v>наличие электроснабжения</v>
      </c>
      <c r="BT5" s="134">
        <f>VLOOKUP(BS5,коэф.модели!$F$12:$G$17,2,0)</f>
        <v>1</v>
      </c>
      <c r="BU5" s="134" t="str">
        <f t="shared" ref="BU5:BU10" si="44">IF(AN5=AL5,IF(G5="отсутствие водоотведения","отсутствие водоотведения","наличие водоотведения"),"наличие водоотведения")</f>
        <v>наличие водоотведения</v>
      </c>
      <c r="BV5" s="134">
        <f>VLOOKUP(BU5,коэф.модели!$F$12:$G$17,2,0)</f>
        <v>1</v>
      </c>
      <c r="BW5" s="135">
        <f t="shared" ref="BW5:BW10" si="45">ROUND(PRODUCT(BL5,BN5,BP5,BR5,BT5,BV5),2)</f>
        <v>6806.85</v>
      </c>
      <c r="BX5" s="136">
        <f t="shared" ref="BX5:BX10" si="46">ROUND(BW5*Q5,2)</f>
        <v>22435377.600000001</v>
      </c>
      <c r="BY5" s="141">
        <f>8002</f>
        <v>8002</v>
      </c>
      <c r="BZ5" s="142" t="s">
        <v>7940</v>
      </c>
      <c r="CA5" s="141" t="str">
        <f t="shared" ref="CA5:CA10" si="47">IF(OR(BX5&lt;0,BX5=0),"ОТРИЦАТЕЛЬНОЕ ЗНАЧЕНИЕ",IF(OR(CG5=0,CG5&lt;1),"Пересчет не требуется","Готов"))</f>
        <v>Готов</v>
      </c>
      <c r="CB5" s="141" t="str">
        <f t="shared" ref="CB5:CB10" si="48">AP5</f>
        <v>02:050</v>
      </c>
      <c r="CC5" s="141" t="str">
        <f t="shared" ref="CC5:CC10" si="49">IF(CB5="02:014",$CQ$1,$CR$1)</f>
        <v>2. СЕГМЕНТ "Жилая застройка (среднеэтажная и многоэтажная)"</v>
      </c>
      <c r="CD5" s="141">
        <f t="shared" ref="CD5:CD10" si="50">IF(CB5="02:014",$CQ$2,$CR$2)</f>
        <v>2</v>
      </c>
      <c r="CE5" s="141" t="str">
        <f>VLOOKUP(CB5,'справочник ВРИ'!$A$3:$B$271,2,0)</f>
        <v>Среднеэтажная жилая застройка в целом</v>
      </c>
      <c r="CF5" s="141" t="str">
        <f t="shared" ref="CF5:CF10" si="51">AO5</f>
        <v>земли жилой застройки (для жилищных нужд)</v>
      </c>
      <c r="CG5" s="137">
        <f t="shared" ref="CG5:CG10" si="52">IF(ISBLANK(N5),"Новый объект",IF(AL5=AN5,ABS(BX5-O5),"Объект из другой модели"))</f>
        <v>6092130.3999999985</v>
      </c>
      <c r="CH5" s="137">
        <f t="shared" ref="CH5:CH10" si="53">IF(AN5=AL5,BW5-N5,IF(OR(BW5&lt;866,BW5&gt;17260),"Отклонение УПКС","УПКС объекта в допустимом интервале"))</f>
        <v>0</v>
      </c>
      <c r="CI5" s="137" t="str">
        <f t="shared" ref="CI5:CI10" si="54">IF(CG5="Объект из другой модели",CG5,IF(CG5="Новый объект",CG5,IF(CG5&gt;50000000,"Внимание!Изменение стоимости","Изменение менее 50 млн")))</f>
        <v>Изменение менее 50 млн</v>
      </c>
      <c r="CJ5" s="143" t="str">
        <f t="shared" ref="CJ5:CJ10" si="55">IF(I5="","Новое значение",IF(I5=BL5,"Осталось предыдущее значение ЦФ","ИЗМЕНЕНИЕ"))</f>
        <v>Осталось предыдущее значение ЦФ</v>
      </c>
      <c r="CK5" s="143" t="str">
        <f t="shared" ref="CK5:CK10" si="56">IF(F5="","Новое значение",IF(BS5=F5,"Осталось предыдущее значение ЦФ","ИЗМЕНЕНИЕ"))</f>
        <v>Осталось предыдущее значение ЦФ</v>
      </c>
      <c r="CL5" s="143" t="str">
        <f t="shared" ref="CL5:CL10" si="57">IF(H5="","Новое значение",IF(BQ5=H5,"Осталось предыдущее значение ЦФ","ИЗМЕНЕНИЕ"))</f>
        <v>Осталось предыдущее значение ЦФ</v>
      </c>
      <c r="CM5" s="143" t="str">
        <f t="shared" ref="CM5:CM10" si="58">IF(N5="","Объект новый",IF(AG5="не готов","ИЗМЕНЕНИЕ","Осталось предыдущее значение ЦФ"))</f>
        <v>ИЗМЕНЕНИЕ</v>
      </c>
      <c r="CN5" s="143" t="str">
        <f t="shared" ref="CN5:CN10" si="59">IF(J5="","Новое значение",IF(BP5=J5,"Осталось предыдущее значение ЦФ","ИЗМЕНЕНИЕ"))</f>
        <v>Осталось предыдущее значение ЦФ</v>
      </c>
      <c r="CO5" s="143" t="str">
        <f t="shared" ref="CO5:CO10" si="60">IF(K5="","Новое значение",IF(BM5=K5,"Осталось предыдущее значение ЦФ","ИЗМЕНЕНИЕ"))</f>
        <v>Осталось предыдущее значение ЦФ</v>
      </c>
      <c r="CP5" s="143" t="str">
        <f t="shared" ref="CP5:CP10" si="61">IF(AP5=AQ5,"Осталось предыдущее значение ЦФ","ИЗМЕНЕНИЕ")</f>
        <v>Осталось предыдущее значение ЦФ</v>
      </c>
      <c r="CQ5" s="131" t="str">
        <f>IFERROR(IFERROR(IFERROR(VLOOKUP(BL5,'КК и удельник'!$E$3:$G$6521,3,0),VLOOKUP(BL5,'КК и удельник'!$D$3:$G$6521,4,0)),VLOOKUP(BL5,'КК и удельник'!$AI$3:$AL$1928,4,0)),VLOOKUP(BL5,'КК и удельник'!$AK$3:$AL$1928,2,0))</f>
        <v>ВТУЗГОРОДОК</v>
      </c>
      <c r="CR5" s="131" t="b">
        <f t="shared" ref="CR5:CR10" si="62">CQ5=BK5</f>
        <v>0</v>
      </c>
    </row>
    <row r="6" spans="1:96" ht="409.5" x14ac:dyDescent="0.25">
      <c r="A6" s="94" t="s">
        <v>7955</v>
      </c>
      <c r="AU6" s="64">
        <f t="shared" si="29"/>
        <v>0</v>
      </c>
      <c r="AV6" s="94">
        <f t="shared" si="30"/>
        <v>0</v>
      </c>
      <c r="AW6" s="94" t="e">
        <f>VLOOKUP(AV6,коэф.модели!$F$6:$G$11,2,0)</f>
        <v>#N/A</v>
      </c>
      <c r="AX6" s="94">
        <f t="shared" si="31"/>
        <v>0</v>
      </c>
      <c r="AY6" s="94">
        <f t="shared" si="32"/>
        <v>0</v>
      </c>
      <c r="AZ6" s="31" t="e">
        <f>IF(AY6="","ОШИБКА",VLOOKUP(AY6,коэф.модели!$F$12:$G$17,2,0))</f>
        <v>#N/A</v>
      </c>
      <c r="BA6" s="31">
        <f t="shared" si="33"/>
        <v>0</v>
      </c>
      <c r="BB6" s="31" t="e">
        <f>IF(BA6="","ОШИБКА",VLOOKUP(BA6,коэф.модели!$F$12:$G$17,2,0))</f>
        <v>#N/A</v>
      </c>
      <c r="BC6" s="31">
        <f t="shared" si="34"/>
        <v>0</v>
      </c>
      <c r="BD6" s="31" t="e">
        <f>IF(BC6="","ОШИБКА",VLOOKUP(BC6,коэф.модели!$F$12:$G$17,2,0))</f>
        <v>#N/A</v>
      </c>
      <c r="BE6" s="50" t="e">
        <f t="shared" si="35"/>
        <v>#N/A</v>
      </c>
      <c r="BF6" s="49" t="e">
        <f t="shared" si="36"/>
        <v>#N/A</v>
      </c>
      <c r="BG6" s="58" t="str">
        <f t="shared" si="37"/>
        <v>Новый объект</v>
      </c>
      <c r="BH6" s="58" t="str">
        <f t="shared" si="38"/>
        <v/>
      </c>
      <c r="BI6" s="76">
        <f t="shared" si="39"/>
        <v>0</v>
      </c>
      <c r="BJ6" s="76">
        <f t="shared" si="40"/>
        <v>0</v>
      </c>
      <c r="BK6" s="52" t="b">
        <f>IFERROR(IF(AP6="02:060",VLOOKUP(C6,'КК и удельник'!$A$3:$E$6521,2,0),IF(расчеты!AP6="02:050",VLOOKUP(расчеты!C6,'КК и удельник'!$A$3:$E$6521,2,0),IF(расчеты!AP6="02:014",VLOOKUP(расчеты!C6,'КК и удельник'!$A$3:$E$6521,2,0)))),IF(AP6="02:060",IF(M6="",VLOOKUP(L6,'КК и удельник'!$AG$3:$AK$1928,2,0),VLOOKUP(M6,'КК и удельник'!$AG$3:$AK$1928,2,0)),IF(расчеты!AP6="02:050",IF(M6="",VLOOKUP(расчеты!L6,'КК и удельник'!$AG$3:$AK$1928,2,0),VLOOKUP(расчеты!M6,'КК и удельник'!$AG$3:$AK$1928,2,0)),IF(расчеты!AP6="02:014",IF(M6="",VLOOKUP(расчеты!L6,'КК и удельник'!$AG$3:$AK$1928,2,0),VLOOKUP(расчеты!M6,'КК и удельник'!$AG$3:$AK$1928,2,0)),"ОШИБКА"))))</f>
        <v>0</v>
      </c>
      <c r="BL6" s="65">
        <f>IF(AQ6=AP6,I6,IFERROR(IF(AP6="02:060",VLOOKUP(C6,'КК и удельник'!$A$3:$E$6521,4,0),IF(расчеты!AP6="02:050",VLOOKUP(расчеты!C6,'КК и удельник'!$A$3:$E$6521,3,0),IF(расчеты!AP6="02:014",VLOOKUP(расчеты!C6,'КК и удельник'!$A$3:$E$6521,5,0)))),IF(AP6="02:060",IF(M6="",VLOOKUP(L6,'КК и удельник'!$AG$3:$AK$1928,4,0),VLOOKUP(M6,'КК и удельник'!$AG$3:$AK$1928,4,0)),IF(расчеты!AP6="02:050",IF(M6="",VLOOKUP(расчеты!L6,'КК и удельник'!$AG$3:$AK$1928,3,0),VLOOKUP(расчеты!M6,'КК и удельник'!$AG$3:$AK$1928,3,0)),IF(расчеты!AP6="02:014",IF(M6="",VLOOKUP(расчеты!L6,'КК и удельник'!$AG$3:$AK$1928,5,0),VLOOKUP(расчеты!M6,'КК и удельник'!$AG$3:$AK$1928,5,0)))))))</f>
        <v>0</v>
      </c>
      <c r="BM6" s="94" t="e">
        <f>VLOOKUP(AP6,коэф.модели!$J$5:$K$7,2,0)</f>
        <v>#N/A</v>
      </c>
      <c r="BN6" s="94" t="e">
        <f>VLOOKUP(BM6,коэф.модели!$F$6:$G$11,2,0)</f>
        <v>#N/A</v>
      </c>
      <c r="BO6" s="51" t="e">
        <f>IF(M6="",IF(L6="47:004:1:1:1",IF(BM6="многоэтажный",9,VLOOKUP(BM6,коэф.модели!$K$5:$L$7,2,0)),VLOOKUP(BM6,коэф.модели!$K$5:$L$7,2,0)),IF(M6="47:004:1:1:1",IF(BM6="многоэтажный",9,VLOOKUP(BM6,коэф.модели!$K$5:$L$7,2,0)),VLOOKUP(BM6,коэф.модели!$K$5:$L$7,2,0)))</f>
        <v>#N/A</v>
      </c>
      <c r="BP6" s="94">
        <f t="shared" si="41"/>
        <v>0</v>
      </c>
      <c r="BQ6" s="31" t="str">
        <f t="shared" si="42"/>
        <v>наличие теплоснабжения</v>
      </c>
      <c r="BR6" s="31">
        <f>VLOOKUP(BQ6,коэф.модели!$F$12:$G$17,2,0)</f>
        <v>1</v>
      </c>
      <c r="BS6" s="31" t="str">
        <f t="shared" si="43"/>
        <v>наличие электроснабжения</v>
      </c>
      <c r="BT6" s="31">
        <f>VLOOKUP(BS6,коэф.модели!$F$12:$G$17,2,0)</f>
        <v>1</v>
      </c>
      <c r="BU6" s="31" t="str">
        <f t="shared" si="44"/>
        <v>наличие водоотведения</v>
      </c>
      <c r="BV6" s="31">
        <f>VLOOKUP(BU6,коэф.модели!$F$12:$G$17,2,0)</f>
        <v>1</v>
      </c>
      <c r="BW6" s="50" t="e">
        <f t="shared" si="45"/>
        <v>#N/A</v>
      </c>
      <c r="BX6" s="49" t="e">
        <f t="shared" si="46"/>
        <v>#N/A</v>
      </c>
      <c r="BY6" s="90">
        <f>8002</f>
        <v>8002</v>
      </c>
      <c r="BZ6" s="74" t="s">
        <v>7940</v>
      </c>
      <c r="CA6" s="90" t="e">
        <f t="shared" si="47"/>
        <v>#N/A</v>
      </c>
      <c r="CB6" s="90">
        <f t="shared" si="48"/>
        <v>0</v>
      </c>
      <c r="CC6" s="90" t="str">
        <f t="shared" si="49"/>
        <v>2. СЕГМЕНТ "Жилая застройка (среднеэтажная и многоэтажная)"</v>
      </c>
      <c r="CD6" s="90">
        <f t="shared" si="50"/>
        <v>2</v>
      </c>
      <c r="CE6" s="90" t="e">
        <f>VLOOKUP(CB6,'справочник ВРИ'!$A$3:$B$271,2,0)</f>
        <v>#N/A</v>
      </c>
      <c r="CF6" s="90">
        <f t="shared" si="51"/>
        <v>0</v>
      </c>
      <c r="CG6" s="58" t="str">
        <f t="shared" si="52"/>
        <v>Новый объект</v>
      </c>
      <c r="CH6" s="58" t="e">
        <f t="shared" si="53"/>
        <v>#N/A</v>
      </c>
      <c r="CI6" s="58" t="str">
        <f t="shared" si="54"/>
        <v>Новый объект</v>
      </c>
      <c r="CJ6" s="62" t="str">
        <f t="shared" si="55"/>
        <v>Новое значение</v>
      </c>
      <c r="CK6" s="62" t="str">
        <f t="shared" si="56"/>
        <v>Новое значение</v>
      </c>
      <c r="CL6" s="62" t="str">
        <f t="shared" si="57"/>
        <v>Новое значение</v>
      </c>
      <c r="CM6" s="62" t="str">
        <f t="shared" si="58"/>
        <v>Объект новый</v>
      </c>
      <c r="CN6" s="62" t="str">
        <f t="shared" si="59"/>
        <v>Новое значение</v>
      </c>
      <c r="CO6" s="62" t="str">
        <f t="shared" si="60"/>
        <v>Новое значение</v>
      </c>
      <c r="CP6" s="62" t="str">
        <f t="shared" si="61"/>
        <v>Осталось предыдущее значение ЦФ</v>
      </c>
      <c r="CQ6" s="94" t="e">
        <f>IFERROR(IFERROR(IFERROR(VLOOKUP(BL6,'КК и удельник'!$E$3:$G$6521,3,0),VLOOKUP(BL6,'КК и удельник'!$D$3:$G$6521,4,0)),VLOOKUP(BL6,'КК и удельник'!$AI$3:$AL$1928,4,0)),VLOOKUP(BL6,'КК и удельник'!$AK$3:$AL$1928,2,0))</f>
        <v>#N/A</v>
      </c>
      <c r="CR6" s="94" t="e">
        <f t="shared" si="62"/>
        <v>#N/A</v>
      </c>
    </row>
    <row r="7" spans="1:96" ht="64.5" x14ac:dyDescent="0.25">
      <c r="AU7" s="64">
        <f t="shared" si="29"/>
        <v>0</v>
      </c>
      <c r="AV7" s="94">
        <f t="shared" si="30"/>
        <v>0</v>
      </c>
      <c r="AW7" s="94" t="e">
        <f>VLOOKUP(AV7,коэф.модели!$F$6:$G$11,2,0)</f>
        <v>#N/A</v>
      </c>
      <c r="AX7" s="94">
        <f t="shared" si="31"/>
        <v>0</v>
      </c>
      <c r="AY7" s="94">
        <f t="shared" si="32"/>
        <v>0</v>
      </c>
      <c r="AZ7" s="31" t="e">
        <f>IF(AY7="","ОШИБКА",VLOOKUP(AY7,коэф.модели!$F$12:$G$17,2,0))</f>
        <v>#N/A</v>
      </c>
      <c r="BA7" s="31">
        <f t="shared" si="33"/>
        <v>0</v>
      </c>
      <c r="BB7" s="31" t="e">
        <f>IF(BA7="","ОШИБКА",VLOOKUP(BA7,коэф.модели!$F$12:$G$17,2,0))</f>
        <v>#N/A</v>
      </c>
      <c r="BC7" s="31">
        <f t="shared" si="34"/>
        <v>0</v>
      </c>
      <c r="BD7" s="31" t="e">
        <f>IF(BC7="","ОШИБКА",VLOOKUP(BC7,коэф.модели!$F$12:$G$17,2,0))</f>
        <v>#N/A</v>
      </c>
      <c r="BE7" s="50" t="e">
        <f t="shared" si="35"/>
        <v>#N/A</v>
      </c>
      <c r="BF7" s="49" t="e">
        <f t="shared" si="36"/>
        <v>#N/A</v>
      </c>
      <c r="BG7" s="58" t="str">
        <f t="shared" si="37"/>
        <v>Новый объект</v>
      </c>
      <c r="BH7" s="58" t="str">
        <f t="shared" si="38"/>
        <v/>
      </c>
      <c r="BI7" s="76">
        <f t="shared" si="39"/>
        <v>0</v>
      </c>
      <c r="BJ7" s="76">
        <f t="shared" si="40"/>
        <v>0</v>
      </c>
      <c r="BK7" s="52" t="b">
        <f>IFERROR(IF(AP7="02:060",VLOOKUP(C7,'КК и удельник'!$A$3:$E$6521,2,0),IF(расчеты!AP7="02:050",VLOOKUP(расчеты!C7,'КК и удельник'!$A$3:$E$6521,2,0),IF(расчеты!AP7="02:014",VLOOKUP(расчеты!C7,'КК и удельник'!$A$3:$E$6521,2,0)))),IF(AP7="02:060",IF(M7="",VLOOKUP(L7,'КК и удельник'!$AG$3:$AK$1928,2,0),VLOOKUP(M7,'КК и удельник'!$AG$3:$AK$1928,2,0)),IF(расчеты!AP7="02:050",IF(M7="",VLOOKUP(расчеты!L7,'КК и удельник'!$AG$3:$AK$1928,2,0),VLOOKUP(расчеты!M7,'КК и удельник'!$AG$3:$AK$1928,2,0)),IF(расчеты!AP7="02:014",IF(M7="",VLOOKUP(расчеты!L7,'КК и удельник'!$AG$3:$AK$1928,2,0),VLOOKUP(расчеты!M7,'КК и удельник'!$AG$3:$AK$1928,2,0)),"ОШИБКА"))))</f>
        <v>0</v>
      </c>
      <c r="BL7" s="65">
        <f>IF(AQ7=AP7,I7,IFERROR(IF(AP7="02:060",VLOOKUP(C7,'КК и удельник'!$A$3:$E$6521,4,0),IF(расчеты!AP7="02:050",VLOOKUP(расчеты!C7,'КК и удельник'!$A$3:$E$6521,3,0),IF(расчеты!AP7="02:014",VLOOKUP(расчеты!C7,'КК и удельник'!$A$3:$E$6521,5,0)))),IF(AP7="02:060",IF(M7="",VLOOKUP(L7,'КК и удельник'!$AG$3:$AK$1928,4,0),VLOOKUP(M7,'КК и удельник'!$AG$3:$AK$1928,4,0)),IF(расчеты!AP7="02:050",IF(M7="",VLOOKUP(расчеты!L7,'КК и удельник'!$AG$3:$AK$1928,3,0),VLOOKUP(расчеты!M7,'КК и удельник'!$AG$3:$AK$1928,3,0)),IF(расчеты!AP7="02:014",IF(M7="",VLOOKUP(расчеты!L7,'КК и удельник'!$AG$3:$AK$1928,5,0),VLOOKUP(расчеты!M7,'КК и удельник'!$AG$3:$AK$1928,5,0)))))))</f>
        <v>0</v>
      </c>
      <c r="BM7" s="94" t="e">
        <f>VLOOKUP(AP7,коэф.модели!$J$5:$K$7,2,0)</f>
        <v>#N/A</v>
      </c>
      <c r="BN7" s="94" t="e">
        <f>VLOOKUP(BM7,коэф.модели!$F$6:$G$11,2,0)</f>
        <v>#N/A</v>
      </c>
      <c r="BO7" s="51" t="e">
        <f>IF(M7="",IF(L7="47:004:1:1:1",IF(BM7="многоэтажный",9,VLOOKUP(BM7,коэф.модели!$K$5:$L$7,2,0)),VLOOKUP(BM7,коэф.модели!$K$5:$L$7,2,0)),IF(M7="47:004:1:1:1",IF(BM7="многоэтажный",9,VLOOKUP(BM7,коэф.модели!$K$5:$L$7,2,0)),VLOOKUP(BM7,коэф.модели!$K$5:$L$7,2,0)))</f>
        <v>#N/A</v>
      </c>
      <c r="BP7" s="94">
        <f t="shared" si="41"/>
        <v>0</v>
      </c>
      <c r="BQ7" s="31" t="str">
        <f t="shared" si="42"/>
        <v>наличие теплоснабжения</v>
      </c>
      <c r="BR7" s="31">
        <f>VLOOKUP(BQ7,коэф.модели!$F$12:$G$17,2,0)</f>
        <v>1</v>
      </c>
      <c r="BS7" s="31" t="str">
        <f t="shared" si="43"/>
        <v>наличие электроснабжения</v>
      </c>
      <c r="BT7" s="31">
        <f>VLOOKUP(BS7,коэф.модели!$F$12:$G$17,2,0)</f>
        <v>1</v>
      </c>
      <c r="BU7" s="31" t="str">
        <f t="shared" si="44"/>
        <v>наличие водоотведения</v>
      </c>
      <c r="BV7" s="31">
        <f>VLOOKUP(BU7,коэф.модели!$F$12:$G$17,2,0)</f>
        <v>1</v>
      </c>
      <c r="BW7" s="50" t="e">
        <f t="shared" si="45"/>
        <v>#N/A</v>
      </c>
      <c r="BX7" s="49" t="e">
        <f t="shared" si="46"/>
        <v>#N/A</v>
      </c>
      <c r="BY7" s="90">
        <f>8002</f>
        <v>8002</v>
      </c>
      <c r="BZ7" s="74" t="s">
        <v>7940</v>
      </c>
      <c r="CA7" s="90" t="e">
        <f t="shared" si="47"/>
        <v>#N/A</v>
      </c>
      <c r="CB7" s="90">
        <f t="shared" si="48"/>
        <v>0</v>
      </c>
      <c r="CC7" s="90" t="str">
        <f t="shared" si="49"/>
        <v>2. СЕГМЕНТ "Жилая застройка (среднеэтажная и многоэтажная)"</v>
      </c>
      <c r="CD7" s="90">
        <f t="shared" si="50"/>
        <v>2</v>
      </c>
      <c r="CE7" s="90" t="e">
        <f>VLOOKUP(CB7,'справочник ВРИ'!$A$3:$B$271,2,0)</f>
        <v>#N/A</v>
      </c>
      <c r="CF7" s="90">
        <f t="shared" si="51"/>
        <v>0</v>
      </c>
      <c r="CG7" s="58" t="str">
        <f t="shared" si="52"/>
        <v>Новый объект</v>
      </c>
      <c r="CH7" s="58" t="e">
        <f t="shared" si="53"/>
        <v>#N/A</v>
      </c>
      <c r="CI7" s="58" t="str">
        <f t="shared" si="54"/>
        <v>Новый объект</v>
      </c>
      <c r="CJ7" s="62" t="str">
        <f t="shared" si="55"/>
        <v>Новое значение</v>
      </c>
      <c r="CK7" s="62" t="str">
        <f t="shared" si="56"/>
        <v>Новое значение</v>
      </c>
      <c r="CL7" s="62" t="str">
        <f t="shared" si="57"/>
        <v>Новое значение</v>
      </c>
      <c r="CM7" s="62" t="str">
        <f t="shared" si="58"/>
        <v>Объект новый</v>
      </c>
      <c r="CN7" s="62" t="str">
        <f t="shared" si="59"/>
        <v>Новое значение</v>
      </c>
      <c r="CO7" s="62" t="str">
        <f t="shared" si="60"/>
        <v>Новое значение</v>
      </c>
      <c r="CP7" s="62" t="str">
        <f t="shared" si="61"/>
        <v>Осталось предыдущее значение ЦФ</v>
      </c>
      <c r="CQ7" s="94" t="e">
        <f>IFERROR(IFERROR(IFERROR(VLOOKUP(BL7,'КК и удельник'!$E$3:$G$6521,3,0),VLOOKUP(BL7,'КК и удельник'!$D$3:$G$6521,4,0)),VLOOKUP(BL7,'КК и удельник'!$AI$3:$AL$1928,4,0)),VLOOKUP(BL7,'КК и удельник'!$AK$3:$AL$1928,2,0))</f>
        <v>#N/A</v>
      </c>
      <c r="CR7" s="94" t="e">
        <f t="shared" si="62"/>
        <v>#N/A</v>
      </c>
    </row>
    <row r="8" spans="1:96" ht="64.5" x14ac:dyDescent="0.25">
      <c r="AU8" s="64">
        <f t="shared" si="29"/>
        <v>0</v>
      </c>
      <c r="AV8" s="94">
        <f t="shared" si="30"/>
        <v>0</v>
      </c>
      <c r="AW8" s="94" t="e">
        <f>VLOOKUP(AV8,коэф.модели!$F$6:$G$11,2,0)</f>
        <v>#N/A</v>
      </c>
      <c r="AX8" s="94">
        <f t="shared" si="31"/>
        <v>0</v>
      </c>
      <c r="AY8" s="94">
        <f t="shared" si="32"/>
        <v>0</v>
      </c>
      <c r="AZ8" s="31" t="e">
        <f>IF(AY8="","ОШИБКА",VLOOKUP(AY8,коэф.модели!$F$12:$G$17,2,0))</f>
        <v>#N/A</v>
      </c>
      <c r="BA8" s="31">
        <f t="shared" si="33"/>
        <v>0</v>
      </c>
      <c r="BB8" s="31" t="e">
        <f>IF(BA8="","ОШИБКА",VLOOKUP(BA8,коэф.модели!$F$12:$G$17,2,0))</f>
        <v>#N/A</v>
      </c>
      <c r="BC8" s="31">
        <f t="shared" si="34"/>
        <v>0</v>
      </c>
      <c r="BD8" s="31" t="e">
        <f>IF(BC8="","ОШИБКА",VLOOKUP(BC8,коэф.модели!$F$12:$G$17,2,0))</f>
        <v>#N/A</v>
      </c>
      <c r="BE8" s="50" t="e">
        <f t="shared" si="35"/>
        <v>#N/A</v>
      </c>
      <c r="BF8" s="49" t="e">
        <f t="shared" si="36"/>
        <v>#N/A</v>
      </c>
      <c r="BG8" s="58" t="str">
        <f t="shared" si="37"/>
        <v>Новый объект</v>
      </c>
      <c r="BH8" s="58" t="str">
        <f t="shared" si="38"/>
        <v/>
      </c>
      <c r="BI8" s="76">
        <f t="shared" si="39"/>
        <v>0</v>
      </c>
      <c r="BJ8" s="76">
        <f t="shared" si="40"/>
        <v>0</v>
      </c>
      <c r="BK8" s="52" t="b">
        <f>IFERROR(IF(AP8="02:060",VLOOKUP(C8,'КК и удельник'!$A$3:$E$6521,2,0),IF(расчеты!AP8="02:050",VLOOKUP(расчеты!C8,'КК и удельник'!$A$3:$E$6521,2,0),IF(расчеты!AP8="02:014",VLOOKUP(расчеты!C8,'КК и удельник'!$A$3:$E$6521,2,0)))),IF(AP8="02:060",IF(M8="",VLOOKUP(L8,'КК и удельник'!$AG$3:$AK$1928,2,0),VLOOKUP(M8,'КК и удельник'!$AG$3:$AK$1928,2,0)),IF(расчеты!AP8="02:050",IF(M8="",VLOOKUP(расчеты!L8,'КК и удельник'!$AG$3:$AK$1928,2,0),VLOOKUP(расчеты!M8,'КК и удельник'!$AG$3:$AK$1928,2,0)),IF(расчеты!AP8="02:014",IF(M8="",VLOOKUP(расчеты!L8,'КК и удельник'!$AG$3:$AK$1928,2,0),VLOOKUP(расчеты!M8,'КК и удельник'!$AG$3:$AK$1928,2,0)),"ОШИБКА"))))</f>
        <v>0</v>
      </c>
      <c r="BL8" s="65">
        <f>IF(AQ8=AP8,I8,IFERROR(IF(AP8="02:060",VLOOKUP(C8,'КК и удельник'!$A$3:$E$6521,4,0),IF(расчеты!AP8="02:050",VLOOKUP(расчеты!C8,'КК и удельник'!$A$3:$E$6521,3,0),IF(расчеты!AP8="02:014",VLOOKUP(расчеты!C8,'КК и удельник'!$A$3:$E$6521,5,0)))),IF(AP8="02:060",IF(M8="",VLOOKUP(L8,'КК и удельник'!$AG$3:$AK$1928,4,0),VLOOKUP(M8,'КК и удельник'!$AG$3:$AK$1928,4,0)),IF(расчеты!AP8="02:050",IF(M8="",VLOOKUP(расчеты!L8,'КК и удельник'!$AG$3:$AK$1928,3,0),VLOOKUP(расчеты!M8,'КК и удельник'!$AG$3:$AK$1928,3,0)),IF(расчеты!AP8="02:014",IF(M8="",VLOOKUP(расчеты!L8,'КК и удельник'!$AG$3:$AK$1928,5,0),VLOOKUP(расчеты!M8,'КК и удельник'!$AG$3:$AK$1928,5,0)))))))</f>
        <v>0</v>
      </c>
      <c r="BM8" s="94" t="e">
        <f>VLOOKUP(AP8,коэф.модели!$J$5:$K$7,2,0)</f>
        <v>#N/A</v>
      </c>
      <c r="BN8" s="94" t="e">
        <f>VLOOKUP(BM8,коэф.модели!$F$6:$G$11,2,0)</f>
        <v>#N/A</v>
      </c>
      <c r="BO8" s="51" t="e">
        <f>IF(M8="",IF(L8="47:004:1:1:1",IF(BM8="многоэтажный",9,VLOOKUP(BM8,коэф.модели!$K$5:$L$7,2,0)),VLOOKUP(BM8,коэф.модели!$K$5:$L$7,2,0)),IF(M8="47:004:1:1:1",IF(BM8="многоэтажный",9,VLOOKUP(BM8,коэф.модели!$K$5:$L$7,2,0)),VLOOKUP(BM8,коэф.модели!$K$5:$L$7,2,0)))</f>
        <v>#N/A</v>
      </c>
      <c r="BP8" s="94">
        <f t="shared" si="41"/>
        <v>0</v>
      </c>
      <c r="BQ8" s="31" t="str">
        <f t="shared" si="42"/>
        <v>наличие теплоснабжения</v>
      </c>
      <c r="BR8" s="31">
        <f>VLOOKUP(BQ8,коэф.модели!$F$12:$G$17,2,0)</f>
        <v>1</v>
      </c>
      <c r="BS8" s="31" t="str">
        <f t="shared" si="43"/>
        <v>наличие электроснабжения</v>
      </c>
      <c r="BT8" s="31">
        <f>VLOOKUP(BS8,коэф.модели!$F$12:$G$17,2,0)</f>
        <v>1</v>
      </c>
      <c r="BU8" s="31" t="str">
        <f t="shared" si="44"/>
        <v>наличие водоотведения</v>
      </c>
      <c r="BV8" s="31">
        <f>VLOOKUP(BU8,коэф.модели!$F$12:$G$17,2,0)</f>
        <v>1</v>
      </c>
      <c r="BW8" s="50" t="e">
        <f t="shared" si="45"/>
        <v>#N/A</v>
      </c>
      <c r="BX8" s="49" t="e">
        <f t="shared" si="46"/>
        <v>#N/A</v>
      </c>
      <c r="BY8" s="90">
        <f>8002</f>
        <v>8002</v>
      </c>
      <c r="BZ8" s="74" t="s">
        <v>7940</v>
      </c>
      <c r="CA8" s="90" t="e">
        <f t="shared" si="47"/>
        <v>#N/A</v>
      </c>
      <c r="CB8" s="90">
        <f t="shared" si="48"/>
        <v>0</v>
      </c>
      <c r="CC8" s="90" t="str">
        <f t="shared" si="49"/>
        <v>2. СЕГМЕНТ "Жилая застройка (среднеэтажная и многоэтажная)"</v>
      </c>
      <c r="CD8" s="90">
        <f t="shared" si="50"/>
        <v>2</v>
      </c>
      <c r="CE8" s="90" t="e">
        <f>VLOOKUP(CB8,'справочник ВРИ'!$A$3:$B$271,2,0)</f>
        <v>#N/A</v>
      </c>
      <c r="CF8" s="90">
        <f t="shared" si="51"/>
        <v>0</v>
      </c>
      <c r="CG8" s="58" t="str">
        <f t="shared" si="52"/>
        <v>Новый объект</v>
      </c>
      <c r="CH8" s="58" t="e">
        <f t="shared" si="53"/>
        <v>#N/A</v>
      </c>
      <c r="CI8" s="58" t="str">
        <f t="shared" si="54"/>
        <v>Новый объект</v>
      </c>
      <c r="CJ8" s="62" t="str">
        <f t="shared" si="55"/>
        <v>Новое значение</v>
      </c>
      <c r="CK8" s="62" t="str">
        <f t="shared" si="56"/>
        <v>Новое значение</v>
      </c>
      <c r="CL8" s="62" t="str">
        <f t="shared" si="57"/>
        <v>Новое значение</v>
      </c>
      <c r="CM8" s="62" t="str">
        <f t="shared" si="58"/>
        <v>Объект новый</v>
      </c>
      <c r="CN8" s="62" t="str">
        <f t="shared" si="59"/>
        <v>Новое значение</v>
      </c>
      <c r="CO8" s="62" t="str">
        <f t="shared" si="60"/>
        <v>Новое значение</v>
      </c>
      <c r="CP8" s="62" t="str">
        <f t="shared" si="61"/>
        <v>Осталось предыдущее значение ЦФ</v>
      </c>
      <c r="CQ8" s="94" t="e">
        <f>IFERROR(IFERROR(IFERROR(VLOOKUP(BL8,'КК и удельник'!$E$3:$G$6521,3,0),VLOOKUP(BL8,'КК и удельник'!$D$3:$G$6521,4,0)),VLOOKUP(BL8,'КК и удельник'!$AI$3:$AL$1928,4,0)),VLOOKUP(BL8,'КК и удельник'!$AK$3:$AL$1928,2,0))</f>
        <v>#N/A</v>
      </c>
      <c r="CR8" s="94" t="e">
        <f t="shared" si="62"/>
        <v>#N/A</v>
      </c>
    </row>
    <row r="9" spans="1:96" ht="64.5" x14ac:dyDescent="0.25">
      <c r="AU9" s="64">
        <f t="shared" si="29"/>
        <v>0</v>
      </c>
      <c r="AV9" s="94">
        <f t="shared" si="30"/>
        <v>0</v>
      </c>
      <c r="AW9" s="94" t="e">
        <f>VLOOKUP(AV9,коэф.модели!$F$6:$G$11,2,0)</f>
        <v>#N/A</v>
      </c>
      <c r="AX9" s="94">
        <f t="shared" si="31"/>
        <v>0</v>
      </c>
      <c r="AY9" s="94">
        <f t="shared" si="32"/>
        <v>0</v>
      </c>
      <c r="AZ9" s="31" t="e">
        <f>IF(AY9="","ОШИБКА",VLOOKUP(AY9,коэф.модели!$F$12:$G$17,2,0))</f>
        <v>#N/A</v>
      </c>
      <c r="BA9" s="31">
        <f t="shared" si="33"/>
        <v>0</v>
      </c>
      <c r="BB9" s="31" t="e">
        <f>IF(BA9="","ОШИБКА",VLOOKUP(BA9,коэф.модели!$F$12:$G$17,2,0))</f>
        <v>#N/A</v>
      </c>
      <c r="BC9" s="31">
        <f t="shared" si="34"/>
        <v>0</v>
      </c>
      <c r="BD9" s="31" t="e">
        <f>IF(BC9="","ОШИБКА",VLOOKUP(BC9,коэф.модели!$F$12:$G$17,2,0))</f>
        <v>#N/A</v>
      </c>
      <c r="BE9" s="50" t="e">
        <f t="shared" si="35"/>
        <v>#N/A</v>
      </c>
      <c r="BF9" s="49" t="e">
        <f t="shared" si="36"/>
        <v>#N/A</v>
      </c>
      <c r="BG9" s="58" t="str">
        <f t="shared" si="37"/>
        <v>Новый объект</v>
      </c>
      <c r="BH9" s="58" t="str">
        <f t="shared" si="38"/>
        <v/>
      </c>
      <c r="BI9" s="76">
        <f t="shared" si="39"/>
        <v>0</v>
      </c>
      <c r="BJ9" s="76">
        <f t="shared" si="40"/>
        <v>0</v>
      </c>
      <c r="BK9" s="52" t="b">
        <f>IFERROR(IF(AP9="02:060",VLOOKUP(C9,'КК и удельник'!$A$3:$E$6521,2,0),IF(расчеты!AP9="02:050",VLOOKUP(расчеты!C9,'КК и удельник'!$A$3:$E$6521,2,0),IF(расчеты!AP9="02:014",VLOOKUP(расчеты!C9,'КК и удельник'!$A$3:$E$6521,2,0)))),IF(AP9="02:060",IF(M9="",VLOOKUP(L9,'КК и удельник'!$AG$3:$AK$1928,2,0),VLOOKUP(M9,'КК и удельник'!$AG$3:$AK$1928,2,0)),IF(расчеты!AP9="02:050",IF(M9="",VLOOKUP(расчеты!L9,'КК и удельник'!$AG$3:$AK$1928,2,0),VLOOKUP(расчеты!M9,'КК и удельник'!$AG$3:$AK$1928,2,0)),IF(расчеты!AP9="02:014",IF(M9="",VLOOKUP(расчеты!L9,'КК и удельник'!$AG$3:$AK$1928,2,0),VLOOKUP(расчеты!M9,'КК и удельник'!$AG$3:$AK$1928,2,0)),"ОШИБКА"))))</f>
        <v>0</v>
      </c>
      <c r="BL9" s="65">
        <f>IF(AQ9=AP9,I9,IFERROR(IF(AP9="02:060",VLOOKUP(C9,'КК и удельник'!$A$3:$E$6521,4,0),IF(расчеты!AP9="02:050",VLOOKUP(расчеты!C9,'КК и удельник'!$A$3:$E$6521,3,0),IF(расчеты!AP9="02:014",VLOOKUP(расчеты!C9,'КК и удельник'!$A$3:$E$6521,5,0)))),IF(AP9="02:060",IF(M9="",VLOOKUP(L9,'КК и удельник'!$AG$3:$AK$1928,4,0),VLOOKUP(M9,'КК и удельник'!$AG$3:$AK$1928,4,0)),IF(расчеты!AP9="02:050",IF(M9="",VLOOKUP(расчеты!L9,'КК и удельник'!$AG$3:$AK$1928,3,0),VLOOKUP(расчеты!M9,'КК и удельник'!$AG$3:$AK$1928,3,0)),IF(расчеты!AP9="02:014",IF(M9="",VLOOKUP(расчеты!L9,'КК и удельник'!$AG$3:$AK$1928,5,0),VLOOKUP(расчеты!M9,'КК и удельник'!$AG$3:$AK$1928,5,0)))))))</f>
        <v>0</v>
      </c>
      <c r="BM9" s="94" t="e">
        <f>VLOOKUP(AP9,коэф.модели!$J$5:$K$7,2,0)</f>
        <v>#N/A</v>
      </c>
      <c r="BN9" s="94" t="e">
        <f>VLOOKUP(BM9,коэф.модели!$F$6:$G$11,2,0)</f>
        <v>#N/A</v>
      </c>
      <c r="BO9" s="51" t="e">
        <f>IF(M9="",IF(L9="47:004:1:1:1",IF(BM9="многоэтажный",9,VLOOKUP(BM9,коэф.модели!$K$5:$L$7,2,0)),VLOOKUP(BM9,коэф.модели!$K$5:$L$7,2,0)),IF(M9="47:004:1:1:1",IF(BM9="многоэтажный",9,VLOOKUP(BM9,коэф.модели!$K$5:$L$7,2,0)),VLOOKUP(BM9,коэф.модели!$K$5:$L$7,2,0)))</f>
        <v>#N/A</v>
      </c>
      <c r="BP9" s="94">
        <f t="shared" si="41"/>
        <v>0</v>
      </c>
      <c r="BQ9" s="31" t="str">
        <f t="shared" si="42"/>
        <v>наличие теплоснабжения</v>
      </c>
      <c r="BR9" s="31">
        <f>VLOOKUP(BQ9,коэф.модели!$F$12:$G$17,2,0)</f>
        <v>1</v>
      </c>
      <c r="BS9" s="31" t="str">
        <f t="shared" si="43"/>
        <v>наличие электроснабжения</v>
      </c>
      <c r="BT9" s="31">
        <f>VLOOKUP(BS9,коэф.модели!$F$12:$G$17,2,0)</f>
        <v>1</v>
      </c>
      <c r="BU9" s="31" t="str">
        <f t="shared" si="44"/>
        <v>наличие водоотведения</v>
      </c>
      <c r="BV9" s="31">
        <f>VLOOKUP(BU9,коэф.модели!$F$12:$G$17,2,0)</f>
        <v>1</v>
      </c>
      <c r="BW9" s="50" t="e">
        <f t="shared" si="45"/>
        <v>#N/A</v>
      </c>
      <c r="BX9" s="49" t="e">
        <f t="shared" si="46"/>
        <v>#N/A</v>
      </c>
      <c r="BY9" s="90">
        <f>8002</f>
        <v>8002</v>
      </c>
      <c r="BZ9" s="74" t="s">
        <v>7940</v>
      </c>
      <c r="CA9" s="90" t="e">
        <f t="shared" si="47"/>
        <v>#N/A</v>
      </c>
      <c r="CB9" s="90">
        <f t="shared" si="48"/>
        <v>0</v>
      </c>
      <c r="CC9" s="90" t="str">
        <f t="shared" si="49"/>
        <v>2. СЕГМЕНТ "Жилая застройка (среднеэтажная и многоэтажная)"</v>
      </c>
      <c r="CD9" s="90">
        <f t="shared" si="50"/>
        <v>2</v>
      </c>
      <c r="CE9" s="90" t="e">
        <f>VLOOKUP(CB9,'справочник ВРИ'!$A$3:$B$271,2,0)</f>
        <v>#N/A</v>
      </c>
      <c r="CF9" s="90">
        <f t="shared" si="51"/>
        <v>0</v>
      </c>
      <c r="CG9" s="58" t="str">
        <f t="shared" si="52"/>
        <v>Новый объект</v>
      </c>
      <c r="CH9" s="58" t="e">
        <f t="shared" si="53"/>
        <v>#N/A</v>
      </c>
      <c r="CI9" s="58" t="str">
        <f t="shared" si="54"/>
        <v>Новый объект</v>
      </c>
      <c r="CJ9" s="62" t="str">
        <f t="shared" si="55"/>
        <v>Новое значение</v>
      </c>
      <c r="CK9" s="62" t="str">
        <f t="shared" si="56"/>
        <v>Новое значение</v>
      </c>
      <c r="CL9" s="62" t="str">
        <f t="shared" si="57"/>
        <v>Новое значение</v>
      </c>
      <c r="CM9" s="62" t="str">
        <f t="shared" si="58"/>
        <v>Объект новый</v>
      </c>
      <c r="CN9" s="62" t="str">
        <f t="shared" si="59"/>
        <v>Новое значение</v>
      </c>
      <c r="CO9" s="62" t="str">
        <f t="shared" si="60"/>
        <v>Новое значение</v>
      </c>
      <c r="CP9" s="62" t="str">
        <f t="shared" si="61"/>
        <v>Осталось предыдущее значение ЦФ</v>
      </c>
      <c r="CQ9" s="94" t="e">
        <f>IFERROR(IFERROR(IFERROR(VLOOKUP(BL9,'КК и удельник'!$E$3:$G$6521,3,0),VLOOKUP(BL9,'КК и удельник'!$D$3:$G$6521,4,0)),VLOOKUP(BL9,'КК и удельник'!$AI$3:$AL$1928,4,0)),VLOOKUP(BL9,'КК и удельник'!$AK$3:$AL$1928,2,0))</f>
        <v>#N/A</v>
      </c>
      <c r="CR9" s="94" t="e">
        <f t="shared" si="62"/>
        <v>#N/A</v>
      </c>
    </row>
    <row r="10" spans="1:96" ht="64.5" x14ac:dyDescent="0.25">
      <c r="AU10" s="64">
        <f t="shared" si="29"/>
        <v>0</v>
      </c>
      <c r="AV10" s="94">
        <f t="shared" si="30"/>
        <v>0</v>
      </c>
      <c r="AW10" s="94" t="e">
        <f>VLOOKUP(AV10,коэф.модели!$F$6:$G$11,2,0)</f>
        <v>#N/A</v>
      </c>
      <c r="AX10" s="94">
        <f t="shared" si="31"/>
        <v>0</v>
      </c>
      <c r="AY10" s="94">
        <f t="shared" si="32"/>
        <v>0</v>
      </c>
      <c r="AZ10" s="31" t="e">
        <f>IF(AY10="","ОШИБКА",VLOOKUP(AY10,коэф.модели!$F$12:$G$17,2,0))</f>
        <v>#N/A</v>
      </c>
      <c r="BA10" s="31">
        <f t="shared" si="33"/>
        <v>0</v>
      </c>
      <c r="BB10" s="31" t="e">
        <f>IF(BA10="","ОШИБКА",VLOOKUP(BA10,коэф.модели!$F$12:$G$17,2,0))</f>
        <v>#N/A</v>
      </c>
      <c r="BC10" s="31">
        <f t="shared" si="34"/>
        <v>0</v>
      </c>
      <c r="BD10" s="31" t="e">
        <f>IF(BC10="","ОШИБКА",VLOOKUP(BC10,коэф.модели!$F$12:$G$17,2,0))</f>
        <v>#N/A</v>
      </c>
      <c r="BE10" s="50" t="e">
        <f t="shared" si="35"/>
        <v>#N/A</v>
      </c>
      <c r="BF10" s="49" t="e">
        <f t="shared" si="36"/>
        <v>#N/A</v>
      </c>
      <c r="BG10" s="58" t="str">
        <f t="shared" si="37"/>
        <v>Новый объект</v>
      </c>
      <c r="BH10" s="58" t="str">
        <f t="shared" si="38"/>
        <v/>
      </c>
      <c r="BI10" s="76">
        <f t="shared" si="39"/>
        <v>0</v>
      </c>
      <c r="BJ10" s="76">
        <f t="shared" si="40"/>
        <v>0</v>
      </c>
      <c r="BK10" s="52" t="b">
        <f>IFERROR(IF(AP10="02:060",VLOOKUP(C10,'КК и удельник'!$A$3:$E$6521,2,0),IF(расчеты!AP10="02:050",VLOOKUP(расчеты!C10,'КК и удельник'!$A$3:$E$6521,2,0),IF(расчеты!AP10="02:014",VLOOKUP(расчеты!C10,'КК и удельник'!$A$3:$E$6521,2,0)))),IF(AP10="02:060",IF(M10="",VLOOKUP(L10,'КК и удельник'!$AG$3:$AK$1928,2,0),VLOOKUP(M10,'КК и удельник'!$AG$3:$AK$1928,2,0)),IF(расчеты!AP10="02:050",IF(M10="",VLOOKUP(расчеты!L10,'КК и удельник'!$AG$3:$AK$1928,2,0),VLOOKUP(расчеты!M10,'КК и удельник'!$AG$3:$AK$1928,2,0)),IF(расчеты!AP10="02:014",IF(M10="",VLOOKUP(расчеты!L10,'КК и удельник'!$AG$3:$AK$1928,2,0),VLOOKUP(расчеты!M10,'КК и удельник'!$AG$3:$AK$1928,2,0)),"ОШИБКА"))))</f>
        <v>0</v>
      </c>
      <c r="BL10" s="65">
        <f>IF(AQ10=AP10,I10,IFERROR(IF(AP10="02:060",VLOOKUP(C10,'КК и удельник'!$A$3:$E$6521,4,0),IF(расчеты!AP10="02:050",VLOOKUP(расчеты!C10,'КК и удельник'!$A$3:$E$6521,3,0),IF(расчеты!AP10="02:014",VLOOKUP(расчеты!C10,'КК и удельник'!$A$3:$E$6521,5,0)))),IF(AP10="02:060",IF(M10="",VLOOKUP(L10,'КК и удельник'!$AG$3:$AK$1928,4,0),VLOOKUP(M10,'КК и удельник'!$AG$3:$AK$1928,4,0)),IF(расчеты!AP10="02:050",IF(M10="",VLOOKUP(расчеты!L10,'КК и удельник'!$AG$3:$AK$1928,3,0),VLOOKUP(расчеты!M10,'КК и удельник'!$AG$3:$AK$1928,3,0)),IF(расчеты!AP10="02:014",IF(M10="",VLOOKUP(расчеты!L10,'КК и удельник'!$AG$3:$AK$1928,5,0),VLOOKUP(расчеты!M10,'КК и удельник'!$AG$3:$AK$1928,5,0)))))))</f>
        <v>0</v>
      </c>
      <c r="BM10" s="94" t="e">
        <f>VLOOKUP(AP10,коэф.модели!$J$5:$K$7,2,0)</f>
        <v>#N/A</v>
      </c>
      <c r="BN10" s="94" t="e">
        <f>VLOOKUP(BM10,коэф.модели!$F$6:$G$11,2,0)</f>
        <v>#N/A</v>
      </c>
      <c r="BO10" s="51" t="e">
        <f>IF(M10="",IF(L10="47:004:1:1:1",IF(BM10="многоэтажный",9,VLOOKUP(BM10,коэф.модели!$K$5:$L$7,2,0)),VLOOKUP(BM10,коэф.модели!$K$5:$L$7,2,0)),IF(M10="47:004:1:1:1",IF(BM10="многоэтажный",9,VLOOKUP(BM10,коэф.модели!$K$5:$L$7,2,0)),VLOOKUP(BM10,коэф.модели!$K$5:$L$7,2,0)))</f>
        <v>#N/A</v>
      </c>
      <c r="BP10" s="94">
        <f t="shared" si="41"/>
        <v>0</v>
      </c>
      <c r="BQ10" s="31" t="str">
        <f t="shared" si="42"/>
        <v>наличие теплоснабжения</v>
      </c>
      <c r="BR10" s="31">
        <f>VLOOKUP(BQ10,коэф.модели!$F$12:$G$17,2,0)</f>
        <v>1</v>
      </c>
      <c r="BS10" s="31" t="str">
        <f t="shared" si="43"/>
        <v>наличие электроснабжения</v>
      </c>
      <c r="BT10" s="31">
        <f>VLOOKUP(BS10,коэф.модели!$F$12:$G$17,2,0)</f>
        <v>1</v>
      </c>
      <c r="BU10" s="31" t="str">
        <f t="shared" si="44"/>
        <v>наличие водоотведения</v>
      </c>
      <c r="BV10" s="31">
        <f>VLOOKUP(BU10,коэф.модели!$F$12:$G$17,2,0)</f>
        <v>1</v>
      </c>
      <c r="BW10" s="50" t="e">
        <f t="shared" si="45"/>
        <v>#N/A</v>
      </c>
      <c r="BX10" s="49" t="e">
        <f t="shared" si="46"/>
        <v>#N/A</v>
      </c>
      <c r="BY10" s="90">
        <f>8002</f>
        <v>8002</v>
      </c>
      <c r="BZ10" s="74" t="s">
        <v>7940</v>
      </c>
      <c r="CA10" s="90" t="e">
        <f t="shared" si="47"/>
        <v>#N/A</v>
      </c>
      <c r="CB10" s="90">
        <f t="shared" si="48"/>
        <v>0</v>
      </c>
      <c r="CC10" s="90" t="str">
        <f t="shared" si="49"/>
        <v>2. СЕГМЕНТ "Жилая застройка (среднеэтажная и многоэтажная)"</v>
      </c>
      <c r="CD10" s="90">
        <f t="shared" si="50"/>
        <v>2</v>
      </c>
      <c r="CE10" s="90" t="e">
        <f>VLOOKUP(CB10,'справочник ВРИ'!$A$3:$B$271,2,0)</f>
        <v>#N/A</v>
      </c>
      <c r="CF10" s="90">
        <f t="shared" si="51"/>
        <v>0</v>
      </c>
      <c r="CG10" s="58" t="str">
        <f t="shared" si="52"/>
        <v>Новый объект</v>
      </c>
      <c r="CH10" s="58" t="e">
        <f t="shared" si="53"/>
        <v>#N/A</v>
      </c>
      <c r="CI10" s="58" t="str">
        <f t="shared" si="54"/>
        <v>Новый объект</v>
      </c>
      <c r="CJ10" s="62" t="str">
        <f t="shared" si="55"/>
        <v>Новое значение</v>
      </c>
      <c r="CK10" s="62" t="str">
        <f t="shared" si="56"/>
        <v>Новое значение</v>
      </c>
      <c r="CL10" s="62" t="str">
        <f t="shared" si="57"/>
        <v>Новое значение</v>
      </c>
      <c r="CM10" s="62" t="str">
        <f t="shared" si="58"/>
        <v>Объект новый</v>
      </c>
      <c r="CN10" s="62" t="str">
        <f t="shared" si="59"/>
        <v>Новое значение</v>
      </c>
      <c r="CO10" s="62" t="str">
        <f t="shared" si="60"/>
        <v>Новое значение</v>
      </c>
      <c r="CP10" s="62" t="str">
        <f t="shared" si="61"/>
        <v>Осталось предыдущее значение ЦФ</v>
      </c>
      <c r="CQ10" s="94" t="e">
        <f>IFERROR(IFERROR(IFERROR(VLOOKUP(BL10,'КК и удельник'!$E$3:$G$6521,3,0),VLOOKUP(BL10,'КК и удельник'!$D$3:$G$6521,4,0)),VLOOKUP(BL10,'КК и удельник'!$AI$3:$AL$1928,4,0)),VLOOKUP(BL10,'КК и удельник'!$AK$3:$AL$1928,2,0))</f>
        <v>#N/A</v>
      </c>
      <c r="CR10" s="94" t="e">
        <f t="shared" si="62"/>
        <v>#N/A</v>
      </c>
    </row>
  </sheetData>
  <mergeCells count="4">
    <mergeCell ref="CG1:CP1"/>
    <mergeCell ref="AU1:BF1"/>
    <mergeCell ref="BK1:CC1"/>
    <mergeCell ref="BG1:BH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X1"/>
  <sheetViews>
    <sheetView topLeftCell="B1" workbookViewId="0">
      <selection activeCell="B2" sqref="A2:XFD19"/>
    </sheetView>
  </sheetViews>
  <sheetFormatPr defaultRowHeight="15" x14ac:dyDescent="0.25"/>
  <cols>
    <col min="1" max="1" width="29.5703125" customWidth="1"/>
    <col min="2" max="2" width="9.140625" style="84"/>
    <col min="3" max="3" width="31.85546875" bestFit="1" customWidth="1"/>
  </cols>
  <sheetData>
    <row r="1" spans="1:24" ht="33" customHeight="1" x14ac:dyDescent="0.25">
      <c r="A1" s="81" t="s">
        <v>7345</v>
      </c>
      <c r="B1" s="82" t="s">
        <v>7353</v>
      </c>
      <c r="C1" s="54"/>
      <c r="D1" s="30" t="s">
        <v>7251</v>
      </c>
      <c r="E1" s="30" t="s">
        <v>7252</v>
      </c>
      <c r="F1" s="66"/>
      <c r="G1" s="66"/>
      <c r="H1" s="30" t="s">
        <v>7253</v>
      </c>
      <c r="I1" s="30" t="s">
        <v>7254</v>
      </c>
      <c r="J1" s="30"/>
      <c r="K1" s="30" t="s">
        <v>7255</v>
      </c>
      <c r="L1" s="30"/>
      <c r="M1" s="30" t="s">
        <v>7256</v>
      </c>
      <c r="N1" s="30"/>
      <c r="O1" s="68" t="s">
        <v>7329</v>
      </c>
      <c r="P1" s="69" t="s">
        <v>7330</v>
      </c>
      <c r="Q1" s="30" t="s">
        <v>7257</v>
      </c>
      <c r="R1" s="53" t="s">
        <v>7296</v>
      </c>
      <c r="S1" s="4" t="s">
        <v>7334</v>
      </c>
      <c r="T1" s="4" t="s">
        <v>7335</v>
      </c>
      <c r="U1" s="4" t="s">
        <v>7336</v>
      </c>
      <c r="V1" t="s">
        <v>7348</v>
      </c>
      <c r="W1" s="89" t="s">
        <v>7620</v>
      </c>
      <c r="X1" s="93" t="s">
        <v>7893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G1"/>
  <sheetViews>
    <sheetView workbookViewId="0">
      <selection activeCell="A2" sqref="A2:XFD2"/>
    </sheetView>
  </sheetViews>
  <sheetFormatPr defaultRowHeight="15" x14ac:dyDescent="0.25"/>
  <cols>
    <col min="6" max="6" width="9.140625" style="87"/>
  </cols>
  <sheetData>
    <row r="1" spans="1:7" ht="26.25" x14ac:dyDescent="0.25">
      <c r="A1" s="79" t="s">
        <v>7345</v>
      </c>
      <c r="B1" s="4" t="s">
        <v>7334</v>
      </c>
      <c r="C1" s="4" t="s">
        <v>7335</v>
      </c>
      <c r="D1" s="4" t="s">
        <v>7336</v>
      </c>
      <c r="E1" s="83" t="s">
        <v>7348</v>
      </c>
      <c r="F1" s="91" t="s">
        <v>7620</v>
      </c>
      <c r="G1" s="93" t="s">
        <v>7893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B2"/>
  <sheetViews>
    <sheetView workbookViewId="0">
      <selection activeCell="A2" sqref="A2:B2"/>
    </sheetView>
  </sheetViews>
  <sheetFormatPr defaultRowHeight="15" x14ac:dyDescent="0.25"/>
  <sheetData>
    <row r="1" spans="1:2" ht="25.5" x14ac:dyDescent="0.25">
      <c r="A1" s="78" t="s">
        <v>7345</v>
      </c>
      <c r="B1" s="78" t="s">
        <v>7346</v>
      </c>
    </row>
    <row r="2" spans="1:2" x14ac:dyDescent="0.25">
      <c r="B2" s="5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271"/>
  <sheetViews>
    <sheetView topLeftCell="A238" workbookViewId="0">
      <selection activeCell="B2" sqref="B2"/>
    </sheetView>
  </sheetViews>
  <sheetFormatPr defaultRowHeight="15" x14ac:dyDescent="0.25"/>
  <sheetData>
    <row r="1" spans="1:2" x14ac:dyDescent="0.25">
      <c r="A1" t="s">
        <v>7335</v>
      </c>
      <c r="B1" t="s">
        <v>7620</v>
      </c>
    </row>
    <row r="2" spans="1:2" x14ac:dyDescent="0.25">
      <c r="A2" t="s">
        <v>6</v>
      </c>
      <c r="B2" t="s">
        <v>7621</v>
      </c>
    </row>
    <row r="3" spans="1:2" x14ac:dyDescent="0.25">
      <c r="A3" t="s">
        <v>7354</v>
      </c>
      <c r="B3" t="s">
        <v>7622</v>
      </c>
    </row>
    <row r="4" spans="1:2" x14ac:dyDescent="0.25">
      <c r="A4" t="s">
        <v>7355</v>
      </c>
      <c r="B4" t="s">
        <v>7623</v>
      </c>
    </row>
    <row r="5" spans="1:2" x14ac:dyDescent="0.25">
      <c r="A5" t="s">
        <v>7356</v>
      </c>
      <c r="B5" t="s">
        <v>7624</v>
      </c>
    </row>
    <row r="6" spans="1:2" x14ac:dyDescent="0.25">
      <c r="A6" t="s">
        <v>7357</v>
      </c>
      <c r="B6" t="s">
        <v>7625</v>
      </c>
    </row>
    <row r="7" spans="1:2" x14ac:dyDescent="0.25">
      <c r="A7" t="s">
        <v>7358</v>
      </c>
      <c r="B7" t="s">
        <v>7626</v>
      </c>
    </row>
    <row r="8" spans="1:2" x14ac:dyDescent="0.25">
      <c r="A8" t="s">
        <v>7359</v>
      </c>
      <c r="B8" t="s">
        <v>7627</v>
      </c>
    </row>
    <row r="9" spans="1:2" x14ac:dyDescent="0.25">
      <c r="A9" t="s">
        <v>7360</v>
      </c>
      <c r="B9" t="s">
        <v>7628</v>
      </c>
    </row>
    <row r="10" spans="1:2" x14ac:dyDescent="0.25">
      <c r="A10" t="s">
        <v>7361</v>
      </c>
      <c r="B10" t="s">
        <v>7629</v>
      </c>
    </row>
    <row r="11" spans="1:2" x14ac:dyDescent="0.25">
      <c r="A11" t="s">
        <v>7362</v>
      </c>
      <c r="B11" t="s">
        <v>7630</v>
      </c>
    </row>
    <row r="12" spans="1:2" x14ac:dyDescent="0.25">
      <c r="A12" t="s">
        <v>7363</v>
      </c>
      <c r="B12" t="s">
        <v>7631</v>
      </c>
    </row>
    <row r="13" spans="1:2" x14ac:dyDescent="0.25">
      <c r="A13" t="s">
        <v>7364</v>
      </c>
      <c r="B13" t="s">
        <v>7632</v>
      </c>
    </row>
    <row r="14" spans="1:2" x14ac:dyDescent="0.25">
      <c r="A14" t="s">
        <v>7365</v>
      </c>
      <c r="B14" t="s">
        <v>7633</v>
      </c>
    </row>
    <row r="15" spans="1:2" x14ac:dyDescent="0.25">
      <c r="A15" t="s">
        <v>7366</v>
      </c>
      <c r="B15" t="s">
        <v>7634</v>
      </c>
    </row>
    <row r="16" spans="1:2" x14ac:dyDescent="0.25">
      <c r="A16" t="s">
        <v>7367</v>
      </c>
      <c r="B16" t="s">
        <v>7635</v>
      </c>
    </row>
    <row r="17" spans="1:2" x14ac:dyDescent="0.25">
      <c r="A17" t="s">
        <v>7368</v>
      </c>
      <c r="B17" t="s">
        <v>7636</v>
      </c>
    </row>
    <row r="18" spans="1:2" x14ac:dyDescent="0.25">
      <c r="A18" t="s">
        <v>7369</v>
      </c>
      <c r="B18" t="s">
        <v>7637</v>
      </c>
    </row>
    <row r="19" spans="1:2" x14ac:dyDescent="0.25">
      <c r="A19" t="s">
        <v>7370</v>
      </c>
      <c r="B19" t="s">
        <v>7638</v>
      </c>
    </row>
    <row r="20" spans="1:2" x14ac:dyDescent="0.25">
      <c r="A20" t="s">
        <v>7371</v>
      </c>
      <c r="B20" t="s">
        <v>7639</v>
      </c>
    </row>
    <row r="21" spans="1:2" x14ac:dyDescent="0.25">
      <c r="A21" t="s">
        <v>7372</v>
      </c>
      <c r="B21" t="s">
        <v>7640</v>
      </c>
    </row>
    <row r="22" spans="1:2" x14ac:dyDescent="0.25">
      <c r="A22" t="s">
        <v>7373</v>
      </c>
      <c r="B22" t="s">
        <v>7641</v>
      </c>
    </row>
    <row r="23" spans="1:2" x14ac:dyDescent="0.25">
      <c r="A23" t="s">
        <v>7374</v>
      </c>
      <c r="B23" t="s">
        <v>7642</v>
      </c>
    </row>
    <row r="24" spans="1:2" x14ac:dyDescent="0.25">
      <c r="A24" t="s">
        <v>7375</v>
      </c>
      <c r="B24" t="s">
        <v>7643</v>
      </c>
    </row>
    <row r="25" spans="1:2" x14ac:dyDescent="0.25">
      <c r="A25" t="s">
        <v>7376</v>
      </c>
      <c r="B25" t="s">
        <v>7644</v>
      </c>
    </row>
    <row r="26" spans="1:2" x14ac:dyDescent="0.25">
      <c r="A26" t="s">
        <v>7377</v>
      </c>
      <c r="B26" t="s">
        <v>7645</v>
      </c>
    </row>
    <row r="27" spans="1:2" x14ac:dyDescent="0.25">
      <c r="A27" t="s">
        <v>7378</v>
      </c>
      <c r="B27" t="s">
        <v>7646</v>
      </c>
    </row>
    <row r="28" spans="1:2" x14ac:dyDescent="0.25">
      <c r="A28" t="s">
        <v>7379</v>
      </c>
      <c r="B28" t="s">
        <v>7647</v>
      </c>
    </row>
    <row r="29" spans="1:2" x14ac:dyDescent="0.25">
      <c r="A29" t="s">
        <v>7380</v>
      </c>
      <c r="B29" t="s">
        <v>7648</v>
      </c>
    </row>
    <row r="30" spans="1:2" x14ac:dyDescent="0.25">
      <c r="A30" t="s">
        <v>7381</v>
      </c>
      <c r="B30" t="s">
        <v>7649</v>
      </c>
    </row>
    <row r="31" spans="1:2" x14ac:dyDescent="0.25">
      <c r="A31" t="s">
        <v>7382</v>
      </c>
      <c r="B31" t="s">
        <v>7650</v>
      </c>
    </row>
    <row r="32" spans="1:2" x14ac:dyDescent="0.25">
      <c r="A32" t="s">
        <v>7383</v>
      </c>
      <c r="B32" t="s">
        <v>7651</v>
      </c>
    </row>
    <row r="33" spans="1:2" x14ac:dyDescent="0.25">
      <c r="A33" t="s">
        <v>7384</v>
      </c>
      <c r="B33" t="s">
        <v>7652</v>
      </c>
    </row>
    <row r="34" spans="1:2" x14ac:dyDescent="0.25">
      <c r="A34" t="s">
        <v>7385</v>
      </c>
      <c r="B34" t="s">
        <v>7653</v>
      </c>
    </row>
    <row r="35" spans="1:2" x14ac:dyDescent="0.25">
      <c r="A35" t="s">
        <v>7386</v>
      </c>
      <c r="B35" t="s">
        <v>7654</v>
      </c>
    </row>
    <row r="36" spans="1:2" x14ac:dyDescent="0.25">
      <c r="A36" t="s">
        <v>7387</v>
      </c>
      <c r="B36" t="s">
        <v>7655</v>
      </c>
    </row>
    <row r="37" spans="1:2" x14ac:dyDescent="0.25">
      <c r="A37" t="s">
        <v>7388</v>
      </c>
      <c r="B37" t="s">
        <v>7656</v>
      </c>
    </row>
    <row r="38" spans="1:2" x14ac:dyDescent="0.25">
      <c r="A38" t="s">
        <v>7389</v>
      </c>
      <c r="B38" t="s">
        <v>7657</v>
      </c>
    </row>
    <row r="39" spans="1:2" x14ac:dyDescent="0.25">
      <c r="A39" t="s">
        <v>7390</v>
      </c>
      <c r="B39" t="s">
        <v>7658</v>
      </c>
    </row>
    <row r="40" spans="1:2" x14ac:dyDescent="0.25">
      <c r="A40" t="s">
        <v>7391</v>
      </c>
      <c r="B40" t="s">
        <v>7659</v>
      </c>
    </row>
    <row r="41" spans="1:2" x14ac:dyDescent="0.25">
      <c r="A41" t="s">
        <v>7392</v>
      </c>
      <c r="B41" t="s">
        <v>7660</v>
      </c>
    </row>
    <row r="42" spans="1:2" x14ac:dyDescent="0.25">
      <c r="A42" t="s">
        <v>7393</v>
      </c>
      <c r="B42" t="s">
        <v>7661</v>
      </c>
    </row>
    <row r="43" spans="1:2" x14ac:dyDescent="0.25">
      <c r="A43" t="s">
        <v>7394</v>
      </c>
      <c r="B43" t="s">
        <v>7662</v>
      </c>
    </row>
    <row r="44" spans="1:2" x14ac:dyDescent="0.25">
      <c r="A44" t="s">
        <v>7395</v>
      </c>
      <c r="B44" t="s">
        <v>7663</v>
      </c>
    </row>
    <row r="45" spans="1:2" x14ac:dyDescent="0.25">
      <c r="A45" t="s">
        <v>16</v>
      </c>
      <c r="B45" t="s">
        <v>7664</v>
      </c>
    </row>
    <row r="46" spans="1:2" x14ac:dyDescent="0.25">
      <c r="A46" t="s">
        <v>7396</v>
      </c>
      <c r="B46" t="s">
        <v>7665</v>
      </c>
    </row>
    <row r="47" spans="1:2" x14ac:dyDescent="0.25">
      <c r="A47" t="s">
        <v>13</v>
      </c>
      <c r="B47" t="s">
        <v>7666</v>
      </c>
    </row>
    <row r="48" spans="1:2" x14ac:dyDescent="0.25">
      <c r="A48" t="s">
        <v>7397</v>
      </c>
      <c r="B48" t="s">
        <v>7667</v>
      </c>
    </row>
    <row r="49" spans="1:2" x14ac:dyDescent="0.25">
      <c r="A49" t="s">
        <v>7398</v>
      </c>
      <c r="B49" t="s">
        <v>7668</v>
      </c>
    </row>
    <row r="50" spans="1:2" x14ac:dyDescent="0.25">
      <c r="A50" t="s">
        <v>7399</v>
      </c>
      <c r="B50" t="s">
        <v>7669</v>
      </c>
    </row>
    <row r="51" spans="1:2" x14ac:dyDescent="0.25">
      <c r="A51" t="s">
        <v>7400</v>
      </c>
      <c r="B51" t="s">
        <v>7670</v>
      </c>
    </row>
    <row r="52" spans="1:2" x14ac:dyDescent="0.25">
      <c r="A52" t="s">
        <v>7401</v>
      </c>
      <c r="B52" t="s">
        <v>7671</v>
      </c>
    </row>
    <row r="53" spans="1:2" x14ac:dyDescent="0.25">
      <c r="A53" t="s">
        <v>7402</v>
      </c>
      <c r="B53" t="s">
        <v>7672</v>
      </c>
    </row>
    <row r="54" spans="1:2" x14ac:dyDescent="0.25">
      <c r="A54" t="s">
        <v>7403</v>
      </c>
      <c r="B54" t="s">
        <v>7673</v>
      </c>
    </row>
    <row r="55" spans="1:2" x14ac:dyDescent="0.25">
      <c r="A55" t="s">
        <v>7404</v>
      </c>
      <c r="B55" t="s">
        <v>7674</v>
      </c>
    </row>
    <row r="56" spans="1:2" x14ac:dyDescent="0.25">
      <c r="A56" t="s">
        <v>7405</v>
      </c>
      <c r="B56" t="s">
        <v>7675</v>
      </c>
    </row>
    <row r="57" spans="1:2" x14ac:dyDescent="0.25">
      <c r="A57" t="s">
        <v>7406</v>
      </c>
      <c r="B57" t="s">
        <v>7676</v>
      </c>
    </row>
    <row r="58" spans="1:2" x14ac:dyDescent="0.25">
      <c r="A58" t="s">
        <v>7407</v>
      </c>
      <c r="B58" t="s">
        <v>7677</v>
      </c>
    </row>
    <row r="59" spans="1:2" x14ac:dyDescent="0.25">
      <c r="A59" t="s">
        <v>7408</v>
      </c>
      <c r="B59" t="s">
        <v>7678</v>
      </c>
    </row>
    <row r="60" spans="1:2" x14ac:dyDescent="0.25">
      <c r="A60" t="s">
        <v>7409</v>
      </c>
      <c r="B60" t="s">
        <v>7679</v>
      </c>
    </row>
    <row r="61" spans="1:2" x14ac:dyDescent="0.25">
      <c r="A61" t="s">
        <v>7410</v>
      </c>
      <c r="B61" t="s">
        <v>7680</v>
      </c>
    </row>
    <row r="62" spans="1:2" x14ac:dyDescent="0.25">
      <c r="A62" t="s">
        <v>7411</v>
      </c>
      <c r="B62" t="s">
        <v>7681</v>
      </c>
    </row>
    <row r="63" spans="1:2" x14ac:dyDescent="0.25">
      <c r="A63" t="s">
        <v>7412</v>
      </c>
      <c r="B63" t="s">
        <v>7682</v>
      </c>
    </row>
    <row r="64" spans="1:2" x14ac:dyDescent="0.25">
      <c r="A64" t="s">
        <v>7413</v>
      </c>
      <c r="B64" t="s">
        <v>7683</v>
      </c>
    </row>
    <row r="65" spans="1:2" x14ac:dyDescent="0.25">
      <c r="A65" t="s">
        <v>7414</v>
      </c>
      <c r="B65" t="s">
        <v>7684</v>
      </c>
    </row>
    <row r="66" spans="1:2" x14ac:dyDescent="0.25">
      <c r="A66" t="s">
        <v>7415</v>
      </c>
      <c r="B66" t="s">
        <v>7685</v>
      </c>
    </row>
    <row r="67" spans="1:2" x14ac:dyDescent="0.25">
      <c r="A67" t="s">
        <v>7416</v>
      </c>
      <c r="B67" t="s">
        <v>7686</v>
      </c>
    </row>
    <row r="68" spans="1:2" x14ac:dyDescent="0.25">
      <c r="A68" t="s">
        <v>7417</v>
      </c>
      <c r="B68" t="s">
        <v>7687</v>
      </c>
    </row>
    <row r="69" spans="1:2" x14ac:dyDescent="0.25">
      <c r="A69" t="s">
        <v>7418</v>
      </c>
      <c r="B69" t="s">
        <v>7688</v>
      </c>
    </row>
    <row r="70" spans="1:2" x14ac:dyDescent="0.25">
      <c r="A70" t="s">
        <v>7419</v>
      </c>
      <c r="B70" t="s">
        <v>7689</v>
      </c>
    </row>
    <row r="71" spans="1:2" x14ac:dyDescent="0.25">
      <c r="A71" t="s">
        <v>7420</v>
      </c>
      <c r="B71" t="s">
        <v>7690</v>
      </c>
    </row>
    <row r="72" spans="1:2" x14ac:dyDescent="0.25">
      <c r="A72" t="s">
        <v>7421</v>
      </c>
      <c r="B72" t="s">
        <v>7691</v>
      </c>
    </row>
    <row r="73" spans="1:2" x14ac:dyDescent="0.25">
      <c r="A73" t="s">
        <v>7422</v>
      </c>
      <c r="B73" t="s">
        <v>7692</v>
      </c>
    </row>
    <row r="74" spans="1:2" x14ac:dyDescent="0.25">
      <c r="A74" t="s">
        <v>7423</v>
      </c>
      <c r="B74" t="s">
        <v>7693</v>
      </c>
    </row>
    <row r="75" spans="1:2" x14ac:dyDescent="0.25">
      <c r="A75" t="s">
        <v>7424</v>
      </c>
      <c r="B75" t="s">
        <v>7694</v>
      </c>
    </row>
    <row r="76" spans="1:2" x14ac:dyDescent="0.25">
      <c r="A76" t="s">
        <v>7425</v>
      </c>
      <c r="B76" t="s">
        <v>7695</v>
      </c>
    </row>
    <row r="77" spans="1:2" x14ac:dyDescent="0.25">
      <c r="A77" t="s">
        <v>7426</v>
      </c>
      <c r="B77" t="s">
        <v>7696</v>
      </c>
    </row>
    <row r="78" spans="1:2" x14ac:dyDescent="0.25">
      <c r="A78" t="s">
        <v>7427</v>
      </c>
      <c r="B78" t="s">
        <v>7697</v>
      </c>
    </row>
    <row r="79" spans="1:2" x14ac:dyDescent="0.25">
      <c r="A79" t="s">
        <v>7428</v>
      </c>
      <c r="B79" t="s">
        <v>7698</v>
      </c>
    </row>
    <row r="80" spans="1:2" x14ac:dyDescent="0.25">
      <c r="A80" t="s">
        <v>7429</v>
      </c>
      <c r="B80" t="s">
        <v>7699</v>
      </c>
    </row>
    <row r="81" spans="1:2" x14ac:dyDescent="0.25">
      <c r="A81" t="s">
        <v>7430</v>
      </c>
      <c r="B81" t="s">
        <v>7700</v>
      </c>
    </row>
    <row r="82" spans="1:2" x14ac:dyDescent="0.25">
      <c r="A82" t="s">
        <v>7431</v>
      </c>
      <c r="B82" t="s">
        <v>7701</v>
      </c>
    </row>
    <row r="83" spans="1:2" x14ac:dyDescent="0.25">
      <c r="A83" t="s">
        <v>7432</v>
      </c>
      <c r="B83" t="s">
        <v>7702</v>
      </c>
    </row>
    <row r="84" spans="1:2" x14ac:dyDescent="0.25">
      <c r="A84" t="s">
        <v>7433</v>
      </c>
      <c r="B84" t="s">
        <v>7703</v>
      </c>
    </row>
    <row r="85" spans="1:2" x14ac:dyDescent="0.25">
      <c r="A85" t="s">
        <v>7434</v>
      </c>
      <c r="B85" t="s">
        <v>7704</v>
      </c>
    </row>
    <row r="86" spans="1:2" x14ac:dyDescent="0.25">
      <c r="A86" t="s">
        <v>7435</v>
      </c>
      <c r="B86" t="s">
        <v>7705</v>
      </c>
    </row>
    <row r="87" spans="1:2" x14ac:dyDescent="0.25">
      <c r="A87" t="s">
        <v>7436</v>
      </c>
      <c r="B87" t="s">
        <v>7706</v>
      </c>
    </row>
    <row r="88" spans="1:2" x14ac:dyDescent="0.25">
      <c r="A88" t="s">
        <v>7437</v>
      </c>
      <c r="B88" t="s">
        <v>7707</v>
      </c>
    </row>
    <row r="89" spans="1:2" x14ac:dyDescent="0.25">
      <c r="A89" t="s">
        <v>7438</v>
      </c>
      <c r="B89" t="s">
        <v>7708</v>
      </c>
    </row>
    <row r="90" spans="1:2" x14ac:dyDescent="0.25">
      <c r="A90" t="s">
        <v>7439</v>
      </c>
      <c r="B90" t="s">
        <v>7709</v>
      </c>
    </row>
    <row r="91" spans="1:2" x14ac:dyDescent="0.25">
      <c r="A91" t="s">
        <v>7440</v>
      </c>
      <c r="B91" t="s">
        <v>7710</v>
      </c>
    </row>
    <row r="92" spans="1:2" x14ac:dyDescent="0.25">
      <c r="A92" t="s">
        <v>7441</v>
      </c>
      <c r="B92" t="s">
        <v>7711</v>
      </c>
    </row>
    <row r="93" spans="1:2" x14ac:dyDescent="0.25">
      <c r="A93" t="s">
        <v>7442</v>
      </c>
      <c r="B93" t="s">
        <v>7712</v>
      </c>
    </row>
    <row r="94" spans="1:2" x14ac:dyDescent="0.25">
      <c r="A94" t="s">
        <v>7443</v>
      </c>
      <c r="B94" t="s">
        <v>7713</v>
      </c>
    </row>
    <row r="95" spans="1:2" x14ac:dyDescent="0.25">
      <c r="A95" t="s">
        <v>7444</v>
      </c>
      <c r="B95" t="s">
        <v>7714</v>
      </c>
    </row>
    <row r="96" spans="1:2" x14ac:dyDescent="0.25">
      <c r="A96" t="s">
        <v>7445</v>
      </c>
      <c r="B96" t="s">
        <v>7715</v>
      </c>
    </row>
    <row r="97" spans="1:2" x14ac:dyDescent="0.25">
      <c r="A97" t="s">
        <v>7446</v>
      </c>
      <c r="B97" t="s">
        <v>7716</v>
      </c>
    </row>
    <row r="98" spans="1:2" x14ac:dyDescent="0.25">
      <c r="A98" t="s">
        <v>7447</v>
      </c>
      <c r="B98" t="s">
        <v>7717</v>
      </c>
    </row>
    <row r="99" spans="1:2" x14ac:dyDescent="0.25">
      <c r="A99" t="s">
        <v>7448</v>
      </c>
      <c r="B99" t="s">
        <v>7718</v>
      </c>
    </row>
    <row r="100" spans="1:2" x14ac:dyDescent="0.25">
      <c r="A100" t="s">
        <v>7449</v>
      </c>
      <c r="B100" t="s">
        <v>7719</v>
      </c>
    </row>
    <row r="101" spans="1:2" x14ac:dyDescent="0.25">
      <c r="A101" t="s">
        <v>7450</v>
      </c>
      <c r="B101" t="s">
        <v>7720</v>
      </c>
    </row>
    <row r="102" spans="1:2" x14ac:dyDescent="0.25">
      <c r="A102" t="s">
        <v>7451</v>
      </c>
      <c r="B102" t="s">
        <v>7721</v>
      </c>
    </row>
    <row r="103" spans="1:2" x14ac:dyDescent="0.25">
      <c r="A103" t="s">
        <v>7452</v>
      </c>
      <c r="B103" t="s">
        <v>7722</v>
      </c>
    </row>
    <row r="104" spans="1:2" x14ac:dyDescent="0.25">
      <c r="A104" t="s">
        <v>7453</v>
      </c>
      <c r="B104" t="s">
        <v>7723</v>
      </c>
    </row>
    <row r="105" spans="1:2" x14ac:dyDescent="0.25">
      <c r="A105" t="s">
        <v>7454</v>
      </c>
      <c r="B105" t="s">
        <v>7724</v>
      </c>
    </row>
    <row r="106" spans="1:2" x14ac:dyDescent="0.25">
      <c r="A106" t="s">
        <v>7455</v>
      </c>
      <c r="B106" t="s">
        <v>7725</v>
      </c>
    </row>
    <row r="107" spans="1:2" x14ac:dyDescent="0.25">
      <c r="A107" t="s">
        <v>7456</v>
      </c>
      <c r="B107" t="s">
        <v>7726</v>
      </c>
    </row>
    <row r="108" spans="1:2" x14ac:dyDescent="0.25">
      <c r="A108" t="s">
        <v>7457</v>
      </c>
      <c r="B108" t="s">
        <v>7727</v>
      </c>
    </row>
    <row r="109" spans="1:2" x14ac:dyDescent="0.25">
      <c r="A109" t="s">
        <v>7458</v>
      </c>
      <c r="B109" t="s">
        <v>7728</v>
      </c>
    </row>
    <row r="110" spans="1:2" x14ac:dyDescent="0.25">
      <c r="A110" t="s">
        <v>7459</v>
      </c>
      <c r="B110" t="s">
        <v>7729</v>
      </c>
    </row>
    <row r="111" spans="1:2" x14ac:dyDescent="0.25">
      <c r="A111" t="s">
        <v>7460</v>
      </c>
      <c r="B111" t="s">
        <v>7730</v>
      </c>
    </row>
    <row r="112" spans="1:2" x14ac:dyDescent="0.25">
      <c r="A112" t="s">
        <v>7461</v>
      </c>
      <c r="B112" t="s">
        <v>7731</v>
      </c>
    </row>
    <row r="113" spans="1:2" x14ac:dyDescent="0.25">
      <c r="A113" t="s">
        <v>7462</v>
      </c>
      <c r="B113" t="s">
        <v>7732</v>
      </c>
    </row>
    <row r="114" spans="1:2" x14ac:dyDescent="0.25">
      <c r="A114" t="s">
        <v>7463</v>
      </c>
      <c r="B114" t="s">
        <v>7733</v>
      </c>
    </row>
    <row r="115" spans="1:2" x14ac:dyDescent="0.25">
      <c r="A115" t="s">
        <v>7464</v>
      </c>
      <c r="B115" t="s">
        <v>7734</v>
      </c>
    </row>
    <row r="116" spans="1:2" x14ac:dyDescent="0.25">
      <c r="A116" t="s">
        <v>7465</v>
      </c>
      <c r="B116" t="s">
        <v>7735</v>
      </c>
    </row>
    <row r="117" spans="1:2" x14ac:dyDescent="0.25">
      <c r="A117" t="s">
        <v>7466</v>
      </c>
      <c r="B117" t="s">
        <v>7736</v>
      </c>
    </row>
    <row r="118" spans="1:2" x14ac:dyDescent="0.25">
      <c r="A118" t="s">
        <v>7467</v>
      </c>
      <c r="B118" t="s">
        <v>7737</v>
      </c>
    </row>
    <row r="119" spans="1:2" x14ac:dyDescent="0.25">
      <c r="A119" t="s">
        <v>7468</v>
      </c>
      <c r="B119" t="s">
        <v>7738</v>
      </c>
    </row>
    <row r="120" spans="1:2" x14ac:dyDescent="0.25">
      <c r="A120" t="s">
        <v>7469</v>
      </c>
      <c r="B120" t="s">
        <v>7739</v>
      </c>
    </row>
    <row r="121" spans="1:2" x14ac:dyDescent="0.25">
      <c r="A121" t="s">
        <v>7470</v>
      </c>
      <c r="B121" t="s">
        <v>7740</v>
      </c>
    </row>
    <row r="122" spans="1:2" x14ac:dyDescent="0.25">
      <c r="A122" t="s">
        <v>7471</v>
      </c>
      <c r="B122" t="s">
        <v>7741</v>
      </c>
    </row>
    <row r="123" spans="1:2" x14ac:dyDescent="0.25">
      <c r="A123" t="s">
        <v>7472</v>
      </c>
      <c r="B123" t="s">
        <v>7742</v>
      </c>
    </row>
    <row r="124" spans="1:2" x14ac:dyDescent="0.25">
      <c r="A124" t="s">
        <v>7473</v>
      </c>
      <c r="B124" t="s">
        <v>7743</v>
      </c>
    </row>
    <row r="125" spans="1:2" x14ac:dyDescent="0.25">
      <c r="A125" t="s">
        <v>7474</v>
      </c>
      <c r="B125" t="s">
        <v>7744</v>
      </c>
    </row>
    <row r="126" spans="1:2" x14ac:dyDescent="0.25">
      <c r="A126" t="s">
        <v>7475</v>
      </c>
      <c r="B126" t="s">
        <v>7745</v>
      </c>
    </row>
    <row r="127" spans="1:2" x14ac:dyDescent="0.25">
      <c r="A127" t="s">
        <v>7476</v>
      </c>
      <c r="B127" t="s">
        <v>7746</v>
      </c>
    </row>
    <row r="128" spans="1:2" x14ac:dyDescent="0.25">
      <c r="A128" t="s">
        <v>7477</v>
      </c>
      <c r="B128" t="s">
        <v>7747</v>
      </c>
    </row>
    <row r="129" spans="1:2" x14ac:dyDescent="0.25">
      <c r="A129" t="s">
        <v>7478</v>
      </c>
      <c r="B129" t="s">
        <v>7748</v>
      </c>
    </row>
    <row r="130" spans="1:2" x14ac:dyDescent="0.25">
      <c r="A130" t="s">
        <v>7479</v>
      </c>
      <c r="B130" t="s">
        <v>7749</v>
      </c>
    </row>
    <row r="131" spans="1:2" x14ac:dyDescent="0.25">
      <c r="A131" t="s">
        <v>7480</v>
      </c>
      <c r="B131" t="s">
        <v>7750</v>
      </c>
    </row>
    <row r="132" spans="1:2" x14ac:dyDescent="0.25">
      <c r="A132" t="s">
        <v>7481</v>
      </c>
      <c r="B132" t="s">
        <v>7751</v>
      </c>
    </row>
    <row r="133" spans="1:2" x14ac:dyDescent="0.25">
      <c r="A133" t="s">
        <v>7482</v>
      </c>
      <c r="B133" t="s">
        <v>7752</v>
      </c>
    </row>
    <row r="134" spans="1:2" x14ac:dyDescent="0.25">
      <c r="A134" t="s">
        <v>7483</v>
      </c>
      <c r="B134" t="s">
        <v>7753</v>
      </c>
    </row>
    <row r="135" spans="1:2" x14ac:dyDescent="0.25">
      <c r="A135" t="s">
        <v>7484</v>
      </c>
      <c r="B135" t="s">
        <v>7754</v>
      </c>
    </row>
    <row r="136" spans="1:2" x14ac:dyDescent="0.25">
      <c r="A136" t="s">
        <v>7485</v>
      </c>
      <c r="B136" t="s">
        <v>7755</v>
      </c>
    </row>
    <row r="137" spans="1:2" x14ac:dyDescent="0.25">
      <c r="A137" t="s">
        <v>7486</v>
      </c>
      <c r="B137" t="s">
        <v>7756</v>
      </c>
    </row>
    <row r="138" spans="1:2" x14ac:dyDescent="0.25">
      <c r="A138" t="s">
        <v>7487</v>
      </c>
      <c r="B138" t="s">
        <v>7757</v>
      </c>
    </row>
    <row r="139" spans="1:2" x14ac:dyDescent="0.25">
      <c r="A139" t="s">
        <v>7488</v>
      </c>
      <c r="B139" t="s">
        <v>7758</v>
      </c>
    </row>
    <row r="140" spans="1:2" x14ac:dyDescent="0.25">
      <c r="A140" t="s">
        <v>7489</v>
      </c>
      <c r="B140" t="s">
        <v>7759</v>
      </c>
    </row>
    <row r="141" spans="1:2" x14ac:dyDescent="0.25">
      <c r="A141" t="s">
        <v>7490</v>
      </c>
      <c r="B141" t="s">
        <v>7760</v>
      </c>
    </row>
    <row r="142" spans="1:2" x14ac:dyDescent="0.25">
      <c r="A142" t="s">
        <v>7491</v>
      </c>
      <c r="B142" t="s">
        <v>7761</v>
      </c>
    </row>
    <row r="143" spans="1:2" x14ac:dyDescent="0.25">
      <c r="A143" t="s">
        <v>7492</v>
      </c>
      <c r="B143" t="s">
        <v>7762</v>
      </c>
    </row>
    <row r="144" spans="1:2" x14ac:dyDescent="0.25">
      <c r="A144" t="s">
        <v>7493</v>
      </c>
      <c r="B144" t="s">
        <v>7763</v>
      </c>
    </row>
    <row r="145" spans="1:2" x14ac:dyDescent="0.25">
      <c r="A145" t="s">
        <v>7494</v>
      </c>
      <c r="B145" t="s">
        <v>7764</v>
      </c>
    </row>
    <row r="146" spans="1:2" x14ac:dyDescent="0.25">
      <c r="A146" t="s">
        <v>7495</v>
      </c>
      <c r="B146" t="s">
        <v>7765</v>
      </c>
    </row>
    <row r="147" spans="1:2" x14ac:dyDescent="0.25">
      <c r="A147" t="s">
        <v>7496</v>
      </c>
      <c r="B147" t="s">
        <v>7766</v>
      </c>
    </row>
    <row r="148" spans="1:2" x14ac:dyDescent="0.25">
      <c r="A148" t="s">
        <v>7497</v>
      </c>
      <c r="B148" t="s">
        <v>7767</v>
      </c>
    </row>
    <row r="149" spans="1:2" x14ac:dyDescent="0.25">
      <c r="A149" t="s">
        <v>7498</v>
      </c>
      <c r="B149" t="s">
        <v>7768</v>
      </c>
    </row>
    <row r="150" spans="1:2" x14ac:dyDescent="0.25">
      <c r="A150" t="s">
        <v>7499</v>
      </c>
      <c r="B150" t="s">
        <v>7769</v>
      </c>
    </row>
    <row r="151" spans="1:2" x14ac:dyDescent="0.25">
      <c r="A151" t="s">
        <v>7500</v>
      </c>
      <c r="B151" t="s">
        <v>7770</v>
      </c>
    </row>
    <row r="152" spans="1:2" x14ac:dyDescent="0.25">
      <c r="A152" t="s">
        <v>7501</v>
      </c>
      <c r="B152" t="s">
        <v>7771</v>
      </c>
    </row>
    <row r="153" spans="1:2" x14ac:dyDescent="0.25">
      <c r="A153" t="s">
        <v>7502</v>
      </c>
      <c r="B153" t="s">
        <v>7772</v>
      </c>
    </row>
    <row r="154" spans="1:2" x14ac:dyDescent="0.25">
      <c r="A154" t="s">
        <v>7503</v>
      </c>
      <c r="B154" t="s">
        <v>7773</v>
      </c>
    </row>
    <row r="155" spans="1:2" x14ac:dyDescent="0.25">
      <c r="A155" t="s">
        <v>7504</v>
      </c>
      <c r="B155" t="s">
        <v>7774</v>
      </c>
    </row>
    <row r="156" spans="1:2" x14ac:dyDescent="0.25">
      <c r="A156" t="s">
        <v>7505</v>
      </c>
      <c r="B156" t="s">
        <v>7775</v>
      </c>
    </row>
    <row r="157" spans="1:2" x14ac:dyDescent="0.25">
      <c r="A157" t="s">
        <v>7506</v>
      </c>
      <c r="B157" t="s">
        <v>7776</v>
      </c>
    </row>
    <row r="158" spans="1:2" x14ac:dyDescent="0.25">
      <c r="A158" t="s">
        <v>7507</v>
      </c>
      <c r="B158" t="s">
        <v>7777</v>
      </c>
    </row>
    <row r="159" spans="1:2" x14ac:dyDescent="0.25">
      <c r="A159" t="s">
        <v>7508</v>
      </c>
      <c r="B159" t="s">
        <v>7778</v>
      </c>
    </row>
    <row r="160" spans="1:2" x14ac:dyDescent="0.25">
      <c r="A160" t="s">
        <v>7509</v>
      </c>
      <c r="B160" t="s">
        <v>7779</v>
      </c>
    </row>
    <row r="161" spans="1:2" x14ac:dyDescent="0.25">
      <c r="A161" t="s">
        <v>7510</v>
      </c>
      <c r="B161" t="s">
        <v>7780</v>
      </c>
    </row>
    <row r="162" spans="1:2" x14ac:dyDescent="0.25">
      <c r="A162" t="s">
        <v>7511</v>
      </c>
      <c r="B162" t="s">
        <v>7781</v>
      </c>
    </row>
    <row r="163" spans="1:2" x14ac:dyDescent="0.25">
      <c r="A163" t="s">
        <v>7512</v>
      </c>
      <c r="B163" t="s">
        <v>7782</v>
      </c>
    </row>
    <row r="164" spans="1:2" x14ac:dyDescent="0.25">
      <c r="A164" t="s">
        <v>7513</v>
      </c>
      <c r="B164" t="s">
        <v>7783</v>
      </c>
    </row>
    <row r="165" spans="1:2" x14ac:dyDescent="0.25">
      <c r="A165" t="s">
        <v>7514</v>
      </c>
      <c r="B165" t="s">
        <v>7784</v>
      </c>
    </row>
    <row r="166" spans="1:2" x14ac:dyDescent="0.25">
      <c r="A166" t="s">
        <v>7515</v>
      </c>
      <c r="B166" t="s">
        <v>7785</v>
      </c>
    </row>
    <row r="167" spans="1:2" x14ac:dyDescent="0.25">
      <c r="A167" t="s">
        <v>7516</v>
      </c>
      <c r="B167" t="s">
        <v>7786</v>
      </c>
    </row>
    <row r="168" spans="1:2" x14ac:dyDescent="0.25">
      <c r="A168" t="s">
        <v>7517</v>
      </c>
      <c r="B168" t="s">
        <v>7787</v>
      </c>
    </row>
    <row r="169" spans="1:2" x14ac:dyDescent="0.25">
      <c r="A169" t="s">
        <v>7518</v>
      </c>
      <c r="B169" t="s">
        <v>7788</v>
      </c>
    </row>
    <row r="170" spans="1:2" x14ac:dyDescent="0.25">
      <c r="A170" t="s">
        <v>7519</v>
      </c>
      <c r="B170" t="s">
        <v>7789</v>
      </c>
    </row>
    <row r="171" spans="1:2" x14ac:dyDescent="0.25">
      <c r="A171" t="s">
        <v>7520</v>
      </c>
      <c r="B171" t="s">
        <v>7790</v>
      </c>
    </row>
    <row r="172" spans="1:2" x14ac:dyDescent="0.25">
      <c r="A172" t="s">
        <v>7521</v>
      </c>
      <c r="B172" t="s">
        <v>7791</v>
      </c>
    </row>
    <row r="173" spans="1:2" x14ac:dyDescent="0.25">
      <c r="A173" t="s">
        <v>7522</v>
      </c>
      <c r="B173" t="s">
        <v>7792</v>
      </c>
    </row>
    <row r="174" spans="1:2" x14ac:dyDescent="0.25">
      <c r="A174" t="s">
        <v>7523</v>
      </c>
      <c r="B174" t="s">
        <v>7793</v>
      </c>
    </row>
    <row r="175" spans="1:2" x14ac:dyDescent="0.25">
      <c r="A175" t="s">
        <v>7524</v>
      </c>
      <c r="B175" t="s">
        <v>7794</v>
      </c>
    </row>
    <row r="176" spans="1:2" x14ac:dyDescent="0.25">
      <c r="A176" t="s">
        <v>7525</v>
      </c>
      <c r="B176" t="s">
        <v>7795</v>
      </c>
    </row>
    <row r="177" spans="1:2" x14ac:dyDescent="0.25">
      <c r="A177" t="s">
        <v>7526</v>
      </c>
      <c r="B177" t="s">
        <v>7796</v>
      </c>
    </row>
    <row r="178" spans="1:2" x14ac:dyDescent="0.25">
      <c r="A178" t="s">
        <v>7527</v>
      </c>
      <c r="B178" t="s">
        <v>7797</v>
      </c>
    </row>
    <row r="179" spans="1:2" x14ac:dyDescent="0.25">
      <c r="A179" t="s">
        <v>7528</v>
      </c>
      <c r="B179" t="s">
        <v>7798</v>
      </c>
    </row>
    <row r="180" spans="1:2" x14ac:dyDescent="0.25">
      <c r="A180" t="s">
        <v>7529</v>
      </c>
      <c r="B180" t="s">
        <v>7890</v>
      </c>
    </row>
    <row r="181" spans="1:2" x14ac:dyDescent="0.25">
      <c r="A181" t="s">
        <v>7530</v>
      </c>
      <c r="B181" t="s">
        <v>7799</v>
      </c>
    </row>
    <row r="182" spans="1:2" x14ac:dyDescent="0.25">
      <c r="A182" t="s">
        <v>7531</v>
      </c>
      <c r="B182" t="s">
        <v>7800</v>
      </c>
    </row>
    <row r="183" spans="1:2" x14ac:dyDescent="0.25">
      <c r="A183" t="s">
        <v>7532</v>
      </c>
      <c r="B183" t="s">
        <v>7801</v>
      </c>
    </row>
    <row r="184" spans="1:2" x14ac:dyDescent="0.25">
      <c r="A184" t="s">
        <v>7533</v>
      </c>
      <c r="B184" t="s">
        <v>7802</v>
      </c>
    </row>
    <row r="185" spans="1:2" x14ac:dyDescent="0.25">
      <c r="A185" t="s">
        <v>7534</v>
      </c>
      <c r="B185" t="s">
        <v>7803</v>
      </c>
    </row>
    <row r="186" spans="1:2" x14ac:dyDescent="0.25">
      <c r="A186" t="s">
        <v>7535</v>
      </c>
      <c r="B186" t="s">
        <v>7804</v>
      </c>
    </row>
    <row r="187" spans="1:2" x14ac:dyDescent="0.25">
      <c r="A187" t="s">
        <v>7536</v>
      </c>
      <c r="B187" t="s">
        <v>7805</v>
      </c>
    </row>
    <row r="188" spans="1:2" x14ac:dyDescent="0.25">
      <c r="A188" t="s">
        <v>7537</v>
      </c>
      <c r="B188" t="s">
        <v>7806</v>
      </c>
    </row>
    <row r="189" spans="1:2" x14ac:dyDescent="0.25">
      <c r="A189" t="s">
        <v>7538</v>
      </c>
      <c r="B189" t="s">
        <v>7807</v>
      </c>
    </row>
    <row r="190" spans="1:2" x14ac:dyDescent="0.25">
      <c r="A190" t="s">
        <v>7539</v>
      </c>
      <c r="B190" t="s">
        <v>7808</v>
      </c>
    </row>
    <row r="191" spans="1:2" x14ac:dyDescent="0.25">
      <c r="A191" t="s">
        <v>7540</v>
      </c>
      <c r="B191" t="s">
        <v>7809</v>
      </c>
    </row>
    <row r="192" spans="1:2" x14ac:dyDescent="0.25">
      <c r="A192" t="s">
        <v>7541</v>
      </c>
      <c r="B192" t="s">
        <v>7810</v>
      </c>
    </row>
    <row r="193" spans="1:2" x14ac:dyDescent="0.25">
      <c r="A193" t="s">
        <v>7542</v>
      </c>
      <c r="B193" t="s">
        <v>7811</v>
      </c>
    </row>
    <row r="194" spans="1:2" x14ac:dyDescent="0.25">
      <c r="A194" t="s">
        <v>7543</v>
      </c>
      <c r="B194" t="s">
        <v>7812</v>
      </c>
    </row>
    <row r="195" spans="1:2" x14ac:dyDescent="0.25">
      <c r="A195" t="s">
        <v>7544</v>
      </c>
      <c r="B195" t="s">
        <v>7813</v>
      </c>
    </row>
    <row r="196" spans="1:2" x14ac:dyDescent="0.25">
      <c r="A196" t="s">
        <v>7545</v>
      </c>
      <c r="B196" t="s">
        <v>7814</v>
      </c>
    </row>
    <row r="197" spans="1:2" x14ac:dyDescent="0.25">
      <c r="A197" t="s">
        <v>7546</v>
      </c>
      <c r="B197" t="s">
        <v>7815</v>
      </c>
    </row>
    <row r="198" spans="1:2" x14ac:dyDescent="0.25">
      <c r="A198" t="s">
        <v>7547</v>
      </c>
      <c r="B198" t="s">
        <v>7816</v>
      </c>
    </row>
    <row r="199" spans="1:2" x14ac:dyDescent="0.25">
      <c r="A199" t="s">
        <v>7548</v>
      </c>
      <c r="B199" t="s">
        <v>7817</v>
      </c>
    </row>
    <row r="200" spans="1:2" x14ac:dyDescent="0.25">
      <c r="A200" t="s">
        <v>7549</v>
      </c>
      <c r="B200" t="s">
        <v>7818</v>
      </c>
    </row>
    <row r="201" spans="1:2" x14ac:dyDescent="0.25">
      <c r="A201" t="s">
        <v>7550</v>
      </c>
      <c r="B201" t="s">
        <v>7819</v>
      </c>
    </row>
    <row r="202" spans="1:2" x14ac:dyDescent="0.25">
      <c r="A202" t="s">
        <v>7551</v>
      </c>
      <c r="B202" t="s">
        <v>7820</v>
      </c>
    </row>
    <row r="203" spans="1:2" x14ac:dyDescent="0.25">
      <c r="A203" t="s">
        <v>7552</v>
      </c>
      <c r="B203" t="s">
        <v>7821</v>
      </c>
    </row>
    <row r="204" spans="1:2" x14ac:dyDescent="0.25">
      <c r="A204" t="s">
        <v>7553</v>
      </c>
      <c r="B204" t="s">
        <v>7822</v>
      </c>
    </row>
    <row r="205" spans="1:2" x14ac:dyDescent="0.25">
      <c r="A205" t="s">
        <v>7554</v>
      </c>
      <c r="B205" t="s">
        <v>7823</v>
      </c>
    </row>
    <row r="206" spans="1:2" x14ac:dyDescent="0.25">
      <c r="A206" t="s">
        <v>7555</v>
      </c>
      <c r="B206" t="s">
        <v>7824</v>
      </c>
    </row>
    <row r="207" spans="1:2" x14ac:dyDescent="0.25">
      <c r="A207" t="s">
        <v>7556</v>
      </c>
      <c r="B207" t="s">
        <v>7825</v>
      </c>
    </row>
    <row r="208" spans="1:2" x14ac:dyDescent="0.25">
      <c r="A208" t="s">
        <v>7557</v>
      </c>
      <c r="B208" t="s">
        <v>7826</v>
      </c>
    </row>
    <row r="209" spans="1:2" x14ac:dyDescent="0.25">
      <c r="A209" t="s">
        <v>7558</v>
      </c>
      <c r="B209" t="s">
        <v>7827</v>
      </c>
    </row>
    <row r="210" spans="1:2" x14ac:dyDescent="0.25">
      <c r="A210" t="s">
        <v>7559</v>
      </c>
      <c r="B210" t="s">
        <v>7828</v>
      </c>
    </row>
    <row r="211" spans="1:2" x14ac:dyDescent="0.25">
      <c r="A211" t="s">
        <v>7560</v>
      </c>
      <c r="B211" t="s">
        <v>7829</v>
      </c>
    </row>
    <row r="212" spans="1:2" x14ac:dyDescent="0.25">
      <c r="A212" t="s">
        <v>7561</v>
      </c>
      <c r="B212" t="s">
        <v>7830</v>
      </c>
    </row>
    <row r="213" spans="1:2" x14ac:dyDescent="0.25">
      <c r="A213" t="s">
        <v>7562</v>
      </c>
      <c r="B213" t="s">
        <v>7831</v>
      </c>
    </row>
    <row r="214" spans="1:2" x14ac:dyDescent="0.25">
      <c r="A214" t="s">
        <v>7563</v>
      </c>
      <c r="B214" t="s">
        <v>7832</v>
      </c>
    </row>
    <row r="215" spans="1:2" x14ac:dyDescent="0.25">
      <c r="A215" t="s">
        <v>7564</v>
      </c>
      <c r="B215" t="s">
        <v>7833</v>
      </c>
    </row>
    <row r="216" spans="1:2" x14ac:dyDescent="0.25">
      <c r="A216" t="s">
        <v>7565</v>
      </c>
      <c r="B216" t="s">
        <v>7834</v>
      </c>
    </row>
    <row r="217" spans="1:2" x14ac:dyDescent="0.25">
      <c r="A217" t="s">
        <v>7566</v>
      </c>
      <c r="B217" t="s">
        <v>7835</v>
      </c>
    </row>
    <row r="218" spans="1:2" x14ac:dyDescent="0.25">
      <c r="A218" t="s">
        <v>7567</v>
      </c>
      <c r="B218" t="s">
        <v>7836</v>
      </c>
    </row>
    <row r="219" spans="1:2" x14ac:dyDescent="0.25">
      <c r="A219" t="s">
        <v>7568</v>
      </c>
      <c r="B219" t="s">
        <v>7837</v>
      </c>
    </row>
    <row r="220" spans="1:2" x14ac:dyDescent="0.25">
      <c r="A220" t="s">
        <v>7569</v>
      </c>
      <c r="B220" t="s">
        <v>7838</v>
      </c>
    </row>
    <row r="221" spans="1:2" x14ac:dyDescent="0.25">
      <c r="A221" t="s">
        <v>7570</v>
      </c>
      <c r="B221" t="s">
        <v>7839</v>
      </c>
    </row>
    <row r="222" spans="1:2" x14ac:dyDescent="0.25">
      <c r="A222" t="s">
        <v>7571</v>
      </c>
      <c r="B222" t="s">
        <v>7840</v>
      </c>
    </row>
    <row r="223" spans="1:2" x14ac:dyDescent="0.25">
      <c r="A223" t="s">
        <v>7572</v>
      </c>
      <c r="B223" t="s">
        <v>7841</v>
      </c>
    </row>
    <row r="224" spans="1:2" x14ac:dyDescent="0.25">
      <c r="A224" t="s">
        <v>7573</v>
      </c>
      <c r="B224" t="s">
        <v>7842</v>
      </c>
    </row>
    <row r="225" spans="1:2" x14ac:dyDescent="0.25">
      <c r="A225" t="s">
        <v>7574</v>
      </c>
      <c r="B225" t="s">
        <v>7843</v>
      </c>
    </row>
    <row r="226" spans="1:2" x14ac:dyDescent="0.25">
      <c r="A226" t="s">
        <v>7575</v>
      </c>
      <c r="B226" t="s">
        <v>7844</v>
      </c>
    </row>
    <row r="227" spans="1:2" x14ac:dyDescent="0.25">
      <c r="A227" t="s">
        <v>7576</v>
      </c>
      <c r="B227" t="s">
        <v>7845</v>
      </c>
    </row>
    <row r="228" spans="1:2" x14ac:dyDescent="0.25">
      <c r="A228" t="s">
        <v>7577</v>
      </c>
      <c r="B228" t="s">
        <v>7846</v>
      </c>
    </row>
    <row r="229" spans="1:2" x14ac:dyDescent="0.25">
      <c r="A229" t="s">
        <v>7578</v>
      </c>
      <c r="B229" t="s">
        <v>7847</v>
      </c>
    </row>
    <row r="230" spans="1:2" x14ac:dyDescent="0.25">
      <c r="A230" t="s">
        <v>7579</v>
      </c>
      <c r="B230" t="s">
        <v>7848</v>
      </c>
    </row>
    <row r="231" spans="1:2" x14ac:dyDescent="0.25">
      <c r="A231" t="s">
        <v>7580</v>
      </c>
      <c r="B231" t="s">
        <v>7849</v>
      </c>
    </row>
    <row r="232" spans="1:2" x14ac:dyDescent="0.25">
      <c r="A232" t="s">
        <v>7581</v>
      </c>
      <c r="B232" t="s">
        <v>7850</v>
      </c>
    </row>
    <row r="233" spans="1:2" x14ac:dyDescent="0.25">
      <c r="A233" t="s">
        <v>7582</v>
      </c>
      <c r="B233" t="s">
        <v>7851</v>
      </c>
    </row>
    <row r="234" spans="1:2" x14ac:dyDescent="0.25">
      <c r="A234" t="s">
        <v>7583</v>
      </c>
      <c r="B234" t="s">
        <v>7852</v>
      </c>
    </row>
    <row r="235" spans="1:2" x14ac:dyDescent="0.25">
      <c r="A235" t="s">
        <v>7584</v>
      </c>
      <c r="B235" t="s">
        <v>7853</v>
      </c>
    </row>
    <row r="236" spans="1:2" x14ac:dyDescent="0.25">
      <c r="A236" t="s">
        <v>7585</v>
      </c>
      <c r="B236" t="s">
        <v>7854</v>
      </c>
    </row>
    <row r="237" spans="1:2" x14ac:dyDescent="0.25">
      <c r="A237" t="s">
        <v>7586</v>
      </c>
      <c r="B237" t="s">
        <v>7855</v>
      </c>
    </row>
    <row r="238" spans="1:2" x14ac:dyDescent="0.25">
      <c r="A238" t="s">
        <v>7587</v>
      </c>
      <c r="B238" t="s">
        <v>7856</v>
      </c>
    </row>
    <row r="239" spans="1:2" x14ac:dyDescent="0.25">
      <c r="A239" t="s">
        <v>7588</v>
      </c>
      <c r="B239" t="s">
        <v>7857</v>
      </c>
    </row>
    <row r="240" spans="1:2" x14ac:dyDescent="0.25">
      <c r="A240" t="s">
        <v>7589</v>
      </c>
      <c r="B240" t="s">
        <v>7858</v>
      </c>
    </row>
    <row r="241" spans="1:2" x14ac:dyDescent="0.25">
      <c r="A241" t="s">
        <v>7590</v>
      </c>
      <c r="B241" t="s">
        <v>7859</v>
      </c>
    </row>
    <row r="242" spans="1:2" x14ac:dyDescent="0.25">
      <c r="A242" t="s">
        <v>7591</v>
      </c>
      <c r="B242" t="s">
        <v>7860</v>
      </c>
    </row>
    <row r="243" spans="1:2" x14ac:dyDescent="0.25">
      <c r="A243" t="s">
        <v>7592</v>
      </c>
      <c r="B243" t="s">
        <v>7861</v>
      </c>
    </row>
    <row r="244" spans="1:2" x14ac:dyDescent="0.25">
      <c r="A244" t="s">
        <v>7593</v>
      </c>
      <c r="B244" t="s">
        <v>7862</v>
      </c>
    </row>
    <row r="245" spans="1:2" x14ac:dyDescent="0.25">
      <c r="A245" t="s">
        <v>7594</v>
      </c>
      <c r="B245" t="s">
        <v>7863</v>
      </c>
    </row>
    <row r="246" spans="1:2" x14ac:dyDescent="0.25">
      <c r="A246" t="s">
        <v>7595</v>
      </c>
      <c r="B246" t="s">
        <v>7864</v>
      </c>
    </row>
    <row r="247" spans="1:2" x14ac:dyDescent="0.25">
      <c r="A247" t="s">
        <v>7596</v>
      </c>
      <c r="B247" t="s">
        <v>7865</v>
      </c>
    </row>
    <row r="248" spans="1:2" x14ac:dyDescent="0.25">
      <c r="A248" t="s">
        <v>7597</v>
      </c>
      <c r="B248" t="s">
        <v>7866</v>
      </c>
    </row>
    <row r="249" spans="1:2" x14ac:dyDescent="0.25">
      <c r="A249" t="s">
        <v>7598</v>
      </c>
      <c r="B249" t="s">
        <v>7867</v>
      </c>
    </row>
    <row r="250" spans="1:2" x14ac:dyDescent="0.25">
      <c r="A250" t="s">
        <v>7599</v>
      </c>
      <c r="B250" t="s">
        <v>7868</v>
      </c>
    </row>
    <row r="251" spans="1:2" x14ac:dyDescent="0.25">
      <c r="A251" t="s">
        <v>7600</v>
      </c>
      <c r="B251" t="s">
        <v>7869</v>
      </c>
    </row>
    <row r="252" spans="1:2" x14ac:dyDescent="0.25">
      <c r="A252" t="s">
        <v>7601</v>
      </c>
      <c r="B252" t="s">
        <v>7870</v>
      </c>
    </row>
    <row r="253" spans="1:2" x14ac:dyDescent="0.25">
      <c r="A253" t="s">
        <v>7602</v>
      </c>
      <c r="B253" t="s">
        <v>7871</v>
      </c>
    </row>
    <row r="254" spans="1:2" x14ac:dyDescent="0.25">
      <c r="A254" t="s">
        <v>7603</v>
      </c>
      <c r="B254" t="s">
        <v>7872</v>
      </c>
    </row>
    <row r="255" spans="1:2" x14ac:dyDescent="0.25">
      <c r="A255" t="s">
        <v>7604</v>
      </c>
      <c r="B255" t="s">
        <v>7873</v>
      </c>
    </row>
    <row r="256" spans="1:2" x14ac:dyDescent="0.25">
      <c r="A256" t="s">
        <v>7605</v>
      </c>
      <c r="B256" t="s">
        <v>7874</v>
      </c>
    </row>
    <row r="257" spans="1:2" x14ac:dyDescent="0.25">
      <c r="A257" t="s">
        <v>7606</v>
      </c>
      <c r="B257" t="s">
        <v>7875</v>
      </c>
    </row>
    <row r="258" spans="1:2" x14ac:dyDescent="0.25">
      <c r="A258" t="s">
        <v>7607</v>
      </c>
      <c r="B258" t="s">
        <v>7876</v>
      </c>
    </row>
    <row r="259" spans="1:2" x14ac:dyDescent="0.25">
      <c r="A259" t="s">
        <v>17</v>
      </c>
      <c r="B259" t="s">
        <v>7877</v>
      </c>
    </row>
    <row r="260" spans="1:2" x14ac:dyDescent="0.25">
      <c r="A260" t="s">
        <v>7608</v>
      </c>
      <c r="B260" t="s">
        <v>7878</v>
      </c>
    </row>
    <row r="261" spans="1:2" x14ac:dyDescent="0.25">
      <c r="A261" t="s">
        <v>7609</v>
      </c>
      <c r="B261" t="s">
        <v>7879</v>
      </c>
    </row>
    <row r="262" spans="1:2" x14ac:dyDescent="0.25">
      <c r="A262" t="s">
        <v>7610</v>
      </c>
      <c r="B262" t="s">
        <v>7880</v>
      </c>
    </row>
    <row r="263" spans="1:2" x14ac:dyDescent="0.25">
      <c r="A263" t="s">
        <v>7611</v>
      </c>
      <c r="B263" t="s">
        <v>7881</v>
      </c>
    </row>
    <row r="264" spans="1:2" x14ac:dyDescent="0.25">
      <c r="A264" t="s">
        <v>7612</v>
      </c>
      <c r="B264" t="s">
        <v>7882</v>
      </c>
    </row>
    <row r="265" spans="1:2" x14ac:dyDescent="0.25">
      <c r="A265" t="s">
        <v>7613</v>
      </c>
      <c r="B265" t="s">
        <v>7883</v>
      </c>
    </row>
    <row r="266" spans="1:2" x14ac:dyDescent="0.25">
      <c r="A266" t="s">
        <v>7614</v>
      </c>
      <c r="B266" t="s">
        <v>7884</v>
      </c>
    </row>
    <row r="267" spans="1:2" x14ac:dyDescent="0.25">
      <c r="A267" t="s">
        <v>7615</v>
      </c>
      <c r="B267" t="s">
        <v>7885</v>
      </c>
    </row>
    <row r="268" spans="1:2" x14ac:dyDescent="0.25">
      <c r="A268" t="s">
        <v>7616</v>
      </c>
      <c r="B268" t="s">
        <v>7886</v>
      </c>
    </row>
    <row r="269" spans="1:2" x14ac:dyDescent="0.25">
      <c r="A269" t="s">
        <v>7617</v>
      </c>
      <c r="B269" t="s">
        <v>7887</v>
      </c>
    </row>
    <row r="270" spans="1:2" x14ac:dyDescent="0.25">
      <c r="A270" t="s">
        <v>7618</v>
      </c>
      <c r="B270" t="s">
        <v>7888</v>
      </c>
    </row>
    <row r="271" spans="1:2" x14ac:dyDescent="0.25">
      <c r="A271" t="s">
        <v>7619</v>
      </c>
      <c r="B271" t="s">
        <v>7889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B2:L17"/>
  <sheetViews>
    <sheetView workbookViewId="0">
      <selection activeCell="F15" sqref="F15"/>
    </sheetView>
  </sheetViews>
  <sheetFormatPr defaultRowHeight="15" x14ac:dyDescent="0.25"/>
  <cols>
    <col min="2" max="2" width="27" customWidth="1"/>
    <col min="3" max="3" width="36" customWidth="1"/>
    <col min="4" max="4" width="29.85546875" customWidth="1"/>
    <col min="5" max="5" width="21.42578125" customWidth="1"/>
    <col min="6" max="6" width="21.7109375" customWidth="1"/>
    <col min="7" max="7" width="29.42578125" customWidth="1"/>
  </cols>
  <sheetData>
    <row r="2" spans="2:12" x14ac:dyDescent="0.25">
      <c r="B2" s="5" t="s">
        <v>7273</v>
      </c>
      <c r="C2" s="5"/>
      <c r="D2" s="117" t="s">
        <v>7274</v>
      </c>
      <c r="E2" s="117"/>
      <c r="F2" s="32"/>
      <c r="G2" s="32"/>
    </row>
    <row r="3" spans="2:12" ht="30" customHeight="1" thickBot="1" x14ac:dyDescent="0.3">
      <c r="B3" s="33" t="s">
        <v>7275</v>
      </c>
      <c r="C3" s="34" t="s">
        <v>7276</v>
      </c>
      <c r="D3" s="34" t="s">
        <v>7277</v>
      </c>
      <c r="E3" s="34" t="s">
        <v>7278</v>
      </c>
      <c r="F3" s="34" t="s">
        <v>7279</v>
      </c>
      <c r="G3" s="34" t="s">
        <v>7280</v>
      </c>
    </row>
    <row r="4" spans="2:12" ht="30" customHeight="1" thickBot="1" x14ac:dyDescent="0.3">
      <c r="B4" s="35" t="s">
        <v>7281</v>
      </c>
      <c r="C4" s="36" t="s">
        <v>7282</v>
      </c>
      <c r="D4" s="37">
        <v>8002</v>
      </c>
      <c r="E4" s="38" t="str">
        <f>B4</f>
        <v>Рыночная стоимость квартиры</v>
      </c>
      <c r="F4" s="36" t="s">
        <v>7283</v>
      </c>
      <c r="G4" s="39" t="s">
        <v>7284</v>
      </c>
      <c r="K4" t="s">
        <v>7294</v>
      </c>
      <c r="L4" t="s">
        <v>7295</v>
      </c>
    </row>
    <row r="5" spans="2:12" ht="30" customHeight="1" thickBot="1" x14ac:dyDescent="0.3">
      <c r="B5" s="40" t="s">
        <v>7260</v>
      </c>
      <c r="C5" s="41" t="s">
        <v>7285</v>
      </c>
      <c r="D5" s="37">
        <v>8002</v>
      </c>
      <c r="E5" s="42" t="s">
        <v>7260</v>
      </c>
      <c r="F5" s="43" t="s">
        <v>7283</v>
      </c>
      <c r="G5" s="44" t="s">
        <v>7286</v>
      </c>
      <c r="J5" t="s">
        <v>13</v>
      </c>
      <c r="K5" t="s">
        <v>7266</v>
      </c>
      <c r="L5">
        <v>9</v>
      </c>
    </row>
    <row r="6" spans="2:12" ht="30" customHeight="1" x14ac:dyDescent="0.25">
      <c r="B6" s="118" t="s">
        <v>7258</v>
      </c>
      <c r="C6" s="120" t="s">
        <v>7287</v>
      </c>
      <c r="D6" s="121">
        <v>8002</v>
      </c>
      <c r="E6" s="122" t="s">
        <v>7258</v>
      </c>
      <c r="F6" s="43" t="s">
        <v>7271</v>
      </c>
      <c r="G6" s="45">
        <v>0.12280000000000001</v>
      </c>
      <c r="J6" t="s">
        <v>16</v>
      </c>
      <c r="K6" t="s">
        <v>7270</v>
      </c>
      <c r="L6">
        <v>5</v>
      </c>
    </row>
    <row r="7" spans="2:12" ht="30" customHeight="1" x14ac:dyDescent="0.25">
      <c r="B7" s="119"/>
      <c r="C7" s="120"/>
      <c r="D7" s="121"/>
      <c r="E7" s="123"/>
      <c r="F7" s="46" t="s">
        <v>7271</v>
      </c>
      <c r="G7" s="45">
        <v>0.12280000000000001</v>
      </c>
      <c r="J7" t="s">
        <v>17</v>
      </c>
      <c r="K7" t="s">
        <v>7271</v>
      </c>
      <c r="L7">
        <v>3</v>
      </c>
    </row>
    <row r="8" spans="2:12" ht="30" customHeight="1" x14ac:dyDescent="0.25">
      <c r="B8" s="119"/>
      <c r="C8" s="120"/>
      <c r="D8" s="121"/>
      <c r="E8" s="123"/>
      <c r="F8" s="47" t="s">
        <v>7270</v>
      </c>
      <c r="G8" s="45">
        <v>8.3099999999999993E-2</v>
      </c>
    </row>
    <row r="9" spans="2:12" ht="30" customHeight="1" x14ac:dyDescent="0.25">
      <c r="B9" s="119"/>
      <c r="C9" s="120"/>
      <c r="D9" s="121"/>
      <c r="E9" s="123"/>
      <c r="F9" s="47" t="s">
        <v>7270</v>
      </c>
      <c r="G9" s="45">
        <v>8.3099999999999993E-2</v>
      </c>
    </row>
    <row r="10" spans="2:12" ht="30" customHeight="1" x14ac:dyDescent="0.25">
      <c r="B10" s="119"/>
      <c r="C10" s="120"/>
      <c r="D10" s="121"/>
      <c r="E10" s="123"/>
      <c r="F10" s="48" t="s">
        <v>7266</v>
      </c>
      <c r="G10" s="45">
        <v>7.6200000000000004E-2</v>
      </c>
    </row>
    <row r="11" spans="2:12" ht="30" customHeight="1" x14ac:dyDescent="0.25">
      <c r="B11" s="119"/>
      <c r="C11" s="120"/>
      <c r="D11" s="121"/>
      <c r="E11" s="123"/>
      <c r="F11" s="48" t="s">
        <v>7266</v>
      </c>
      <c r="G11" s="45">
        <v>7.6200000000000004E-2</v>
      </c>
    </row>
    <row r="12" spans="2:12" ht="30" customHeight="1" x14ac:dyDescent="0.25">
      <c r="B12" s="109" t="s">
        <v>7261</v>
      </c>
      <c r="C12" s="111" t="s">
        <v>7288</v>
      </c>
      <c r="D12" s="113">
        <v>8002</v>
      </c>
      <c r="E12" s="115" t="s">
        <v>7261</v>
      </c>
      <c r="F12" s="43" t="s">
        <v>7267</v>
      </c>
      <c r="G12" s="45">
        <v>1</v>
      </c>
    </row>
    <row r="13" spans="2:12" ht="30" customHeight="1" x14ac:dyDescent="0.25">
      <c r="B13" s="110"/>
      <c r="C13" s="112"/>
      <c r="D13" s="114"/>
      <c r="E13" s="116"/>
      <c r="F13" s="43" t="s">
        <v>7289</v>
      </c>
      <c r="G13" s="45">
        <v>0.92</v>
      </c>
    </row>
    <row r="14" spans="2:12" ht="30" customHeight="1" x14ac:dyDescent="0.25">
      <c r="B14" s="109" t="s">
        <v>7262</v>
      </c>
      <c r="C14" s="111" t="s">
        <v>7290</v>
      </c>
      <c r="D14" s="113">
        <v>8002</v>
      </c>
      <c r="E14" s="115" t="s">
        <v>7262</v>
      </c>
      <c r="F14" s="43" t="s">
        <v>7268</v>
      </c>
      <c r="G14" s="45">
        <v>1</v>
      </c>
    </row>
    <row r="15" spans="2:12" ht="30" customHeight="1" x14ac:dyDescent="0.25">
      <c r="B15" s="110"/>
      <c r="C15" s="112"/>
      <c r="D15" s="114"/>
      <c r="E15" s="116"/>
      <c r="F15" s="43" t="s">
        <v>7291</v>
      </c>
      <c r="G15" s="45">
        <v>0.92</v>
      </c>
    </row>
    <row r="16" spans="2:12" ht="30" customHeight="1" x14ac:dyDescent="0.25">
      <c r="B16" s="109" t="s">
        <v>7263</v>
      </c>
      <c r="C16" s="111" t="s">
        <v>7292</v>
      </c>
      <c r="D16" s="113">
        <v>8002</v>
      </c>
      <c r="E16" s="115" t="s">
        <v>7263</v>
      </c>
      <c r="F16" s="43" t="s">
        <v>7269</v>
      </c>
      <c r="G16" s="45">
        <v>1</v>
      </c>
    </row>
    <row r="17" spans="2:7" ht="30" customHeight="1" x14ac:dyDescent="0.25">
      <c r="B17" s="110"/>
      <c r="C17" s="112"/>
      <c r="D17" s="114"/>
      <c r="E17" s="116"/>
      <c r="F17" s="43" t="s">
        <v>7293</v>
      </c>
      <c r="G17" s="45">
        <v>0.95</v>
      </c>
    </row>
  </sheetData>
  <mergeCells count="17">
    <mergeCell ref="B14:B15"/>
    <mergeCell ref="C14:C15"/>
    <mergeCell ref="D14:D15"/>
    <mergeCell ref="E14:E15"/>
    <mergeCell ref="B16:B17"/>
    <mergeCell ref="C16:C17"/>
    <mergeCell ref="D16:D17"/>
    <mergeCell ref="E16:E17"/>
    <mergeCell ref="B12:B13"/>
    <mergeCell ref="C12:C13"/>
    <mergeCell ref="D12:D13"/>
    <mergeCell ref="E12:E13"/>
    <mergeCell ref="D2:E2"/>
    <mergeCell ref="B6:B11"/>
    <mergeCell ref="C6:C11"/>
    <mergeCell ref="D6:D11"/>
    <mergeCell ref="E6:E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 filterMode="1"/>
  <dimension ref="A3:G5033"/>
  <sheetViews>
    <sheetView workbookViewId="0">
      <selection activeCell="A88" sqref="A88"/>
    </sheetView>
  </sheetViews>
  <sheetFormatPr defaultRowHeight="15" x14ac:dyDescent="0.25"/>
  <cols>
    <col min="1" max="1" width="17.28515625" bestFit="1" customWidth="1"/>
    <col min="2" max="2" width="52.42578125" bestFit="1" customWidth="1"/>
  </cols>
  <sheetData>
    <row r="3" spans="1:7" x14ac:dyDescent="0.25">
      <c r="A3" s="27" t="s">
        <v>7245</v>
      </c>
      <c r="B3" t="s">
        <v>7248</v>
      </c>
      <c r="F3" t="s">
        <v>7245</v>
      </c>
      <c r="G3" t="s">
        <v>7247</v>
      </c>
    </row>
    <row r="4" spans="1:7" hidden="1" x14ac:dyDescent="0.25">
      <c r="A4" s="28" t="s">
        <v>3079</v>
      </c>
      <c r="B4" s="29">
        <v>28935.146499999999</v>
      </c>
      <c r="F4" t="s">
        <v>3079</v>
      </c>
      <c r="G4">
        <v>1</v>
      </c>
    </row>
    <row r="5" spans="1:7" hidden="1" x14ac:dyDescent="0.25">
      <c r="A5" s="28" t="s">
        <v>3133</v>
      </c>
      <c r="B5" s="29">
        <v>25951.933700000001</v>
      </c>
      <c r="F5" t="s">
        <v>3133</v>
      </c>
      <c r="G5">
        <v>1</v>
      </c>
    </row>
    <row r="6" spans="1:7" hidden="1" x14ac:dyDescent="0.25">
      <c r="A6" s="28" t="s">
        <v>3129</v>
      </c>
      <c r="B6" s="29">
        <v>31984.905299999999</v>
      </c>
      <c r="F6" t="s">
        <v>3129</v>
      </c>
      <c r="G6">
        <v>1</v>
      </c>
    </row>
    <row r="7" spans="1:7" hidden="1" x14ac:dyDescent="0.25">
      <c r="A7" s="28" t="s">
        <v>3109</v>
      </c>
      <c r="B7" s="29">
        <v>25946.143</v>
      </c>
      <c r="F7" t="s">
        <v>3109</v>
      </c>
      <c r="G7">
        <v>1</v>
      </c>
    </row>
    <row r="8" spans="1:7" hidden="1" x14ac:dyDescent="0.25">
      <c r="A8" s="28" t="s">
        <v>1619</v>
      </c>
      <c r="B8" s="29">
        <v>20837.465199999999</v>
      </c>
      <c r="F8" t="s">
        <v>1619</v>
      </c>
      <c r="G8">
        <v>1</v>
      </c>
    </row>
    <row r="9" spans="1:7" hidden="1" x14ac:dyDescent="0.25">
      <c r="A9" s="28" t="s">
        <v>1781</v>
      </c>
      <c r="B9" s="29">
        <v>26241.207699999999</v>
      </c>
      <c r="F9" t="s">
        <v>1781</v>
      </c>
      <c r="G9">
        <v>1</v>
      </c>
    </row>
    <row r="10" spans="1:7" hidden="1" x14ac:dyDescent="0.25">
      <c r="A10" s="28" t="s">
        <v>1783</v>
      </c>
      <c r="B10" s="29">
        <v>26241.207699999999</v>
      </c>
      <c r="F10" t="s">
        <v>1783</v>
      </c>
      <c r="G10">
        <v>1</v>
      </c>
    </row>
    <row r="11" spans="1:7" hidden="1" x14ac:dyDescent="0.25">
      <c r="A11" s="28" t="s">
        <v>1713</v>
      </c>
      <c r="B11" s="29">
        <v>26241.207699999999</v>
      </c>
      <c r="F11" t="s">
        <v>1713</v>
      </c>
      <c r="G11">
        <v>1</v>
      </c>
    </row>
    <row r="12" spans="1:7" hidden="1" x14ac:dyDescent="0.25">
      <c r="A12" s="28" t="s">
        <v>1705</v>
      </c>
      <c r="B12" s="29">
        <v>26241.207699999999</v>
      </c>
      <c r="F12" t="s">
        <v>1705</v>
      </c>
      <c r="G12">
        <v>1</v>
      </c>
    </row>
    <row r="13" spans="1:7" hidden="1" x14ac:dyDescent="0.25">
      <c r="A13" s="28" t="s">
        <v>1756</v>
      </c>
      <c r="B13" s="29">
        <v>32052.276999999998</v>
      </c>
      <c r="F13" t="s">
        <v>1756</v>
      </c>
      <c r="G13">
        <v>1</v>
      </c>
    </row>
    <row r="14" spans="1:7" hidden="1" x14ac:dyDescent="0.25">
      <c r="A14" s="28" t="s">
        <v>1730</v>
      </c>
      <c r="B14" s="29">
        <v>32052.276999999998</v>
      </c>
      <c r="F14" t="s">
        <v>1730</v>
      </c>
      <c r="G14">
        <v>1</v>
      </c>
    </row>
    <row r="15" spans="1:7" hidden="1" x14ac:dyDescent="0.25">
      <c r="A15" s="28" t="s">
        <v>2518</v>
      </c>
      <c r="B15" s="29">
        <v>32052.276999999998</v>
      </c>
      <c r="F15" t="s">
        <v>2518</v>
      </c>
      <c r="G15">
        <v>1</v>
      </c>
    </row>
    <row r="16" spans="1:7" hidden="1" x14ac:dyDescent="0.25">
      <c r="A16" s="28" t="s">
        <v>1976</v>
      </c>
      <c r="B16" s="29">
        <v>26241.207699999999</v>
      </c>
      <c r="F16" t="s">
        <v>1976</v>
      </c>
      <c r="G16">
        <v>1</v>
      </c>
    </row>
    <row r="17" spans="1:7" hidden="1" x14ac:dyDescent="0.25">
      <c r="A17" s="28" t="s">
        <v>2446</v>
      </c>
      <c r="B17" s="29">
        <v>26241.207699999999</v>
      </c>
      <c r="F17" t="s">
        <v>2446</v>
      </c>
      <c r="G17">
        <v>1</v>
      </c>
    </row>
    <row r="18" spans="1:7" hidden="1" x14ac:dyDescent="0.25">
      <c r="A18" s="28" t="s">
        <v>2132</v>
      </c>
      <c r="B18" s="29">
        <v>32052.276999999998</v>
      </c>
      <c r="F18" t="s">
        <v>2132</v>
      </c>
      <c r="G18">
        <v>1</v>
      </c>
    </row>
    <row r="19" spans="1:7" hidden="1" x14ac:dyDescent="0.25">
      <c r="A19" s="28" t="s">
        <v>2844</v>
      </c>
      <c r="B19" s="29">
        <v>26241.207699999999</v>
      </c>
      <c r="F19" t="s">
        <v>2844</v>
      </c>
      <c r="G19">
        <v>1</v>
      </c>
    </row>
    <row r="20" spans="1:7" hidden="1" x14ac:dyDescent="0.25">
      <c r="A20" s="28" t="s">
        <v>2399</v>
      </c>
      <c r="B20" s="29">
        <v>26241.207699999999</v>
      </c>
      <c r="F20" t="s">
        <v>2399</v>
      </c>
      <c r="G20">
        <v>1</v>
      </c>
    </row>
    <row r="21" spans="1:7" hidden="1" x14ac:dyDescent="0.25">
      <c r="A21" s="28" t="s">
        <v>1973</v>
      </c>
      <c r="B21" s="29">
        <v>32052.276999999998</v>
      </c>
      <c r="F21" t="s">
        <v>1973</v>
      </c>
      <c r="G21">
        <v>1</v>
      </c>
    </row>
    <row r="22" spans="1:7" hidden="1" x14ac:dyDescent="0.25">
      <c r="A22" s="28" t="s">
        <v>2101</v>
      </c>
      <c r="B22" s="29">
        <v>32052.276999999998</v>
      </c>
      <c r="F22" t="s">
        <v>2101</v>
      </c>
      <c r="G22">
        <v>1</v>
      </c>
    </row>
    <row r="23" spans="1:7" hidden="1" x14ac:dyDescent="0.25">
      <c r="A23" s="28" t="s">
        <v>2441</v>
      </c>
      <c r="B23" s="29">
        <v>32052.276999999998</v>
      </c>
      <c r="F23" t="s">
        <v>2441</v>
      </c>
      <c r="G23">
        <v>1</v>
      </c>
    </row>
    <row r="24" spans="1:7" hidden="1" x14ac:dyDescent="0.25">
      <c r="A24" s="28" t="s">
        <v>2170</v>
      </c>
      <c r="B24" s="29">
        <v>32052.276999999998</v>
      </c>
      <c r="F24" t="s">
        <v>2170</v>
      </c>
      <c r="G24">
        <v>1</v>
      </c>
    </row>
    <row r="25" spans="1:7" hidden="1" x14ac:dyDescent="0.25">
      <c r="A25" s="28" t="s">
        <v>1974</v>
      </c>
      <c r="B25" s="29">
        <v>32052.276999999998</v>
      </c>
      <c r="F25" t="s">
        <v>1974</v>
      </c>
      <c r="G25">
        <v>1</v>
      </c>
    </row>
    <row r="26" spans="1:7" hidden="1" x14ac:dyDescent="0.25">
      <c r="A26" s="28" t="s">
        <v>1977</v>
      </c>
      <c r="B26" s="29">
        <v>32052.276999999998</v>
      </c>
      <c r="F26" t="s">
        <v>1977</v>
      </c>
      <c r="G26">
        <v>1</v>
      </c>
    </row>
    <row r="27" spans="1:7" hidden="1" x14ac:dyDescent="0.25">
      <c r="A27" s="28" t="s">
        <v>2672</v>
      </c>
      <c r="B27" s="29">
        <v>32052.276999999998</v>
      </c>
      <c r="F27" t="s">
        <v>2672</v>
      </c>
      <c r="G27">
        <v>1</v>
      </c>
    </row>
    <row r="28" spans="1:7" hidden="1" x14ac:dyDescent="0.25">
      <c r="A28" s="28" t="s">
        <v>3115</v>
      </c>
      <c r="B28" s="29">
        <v>32052.276999999998</v>
      </c>
      <c r="F28" t="s">
        <v>3115</v>
      </c>
      <c r="G28">
        <v>1</v>
      </c>
    </row>
    <row r="29" spans="1:7" hidden="1" x14ac:dyDescent="0.25">
      <c r="A29" s="28" t="s">
        <v>1972</v>
      </c>
      <c r="B29" s="29">
        <v>35661.364300000001</v>
      </c>
      <c r="F29" t="s">
        <v>1972</v>
      </c>
      <c r="G29">
        <v>1</v>
      </c>
    </row>
    <row r="30" spans="1:7" hidden="1" x14ac:dyDescent="0.25">
      <c r="A30" s="28" t="s">
        <v>1743</v>
      </c>
      <c r="B30" s="29">
        <v>32052.276999999998</v>
      </c>
      <c r="F30" t="s">
        <v>1743</v>
      </c>
      <c r="G30">
        <v>1</v>
      </c>
    </row>
    <row r="31" spans="1:7" hidden="1" x14ac:dyDescent="0.25">
      <c r="A31" s="28" t="s">
        <v>2543</v>
      </c>
      <c r="B31" s="29">
        <v>32052.276999999998</v>
      </c>
      <c r="F31" t="s">
        <v>2543</v>
      </c>
      <c r="G31">
        <v>1</v>
      </c>
    </row>
    <row r="32" spans="1:7" hidden="1" x14ac:dyDescent="0.25">
      <c r="A32" s="28" t="s">
        <v>3131</v>
      </c>
      <c r="B32" s="29">
        <v>32052.276999999998</v>
      </c>
      <c r="F32" t="s">
        <v>3131</v>
      </c>
      <c r="G32">
        <v>1</v>
      </c>
    </row>
    <row r="33" spans="1:7" hidden="1" x14ac:dyDescent="0.25">
      <c r="A33" s="28" t="s">
        <v>1931</v>
      </c>
      <c r="B33" s="29">
        <v>32052.276999999998</v>
      </c>
      <c r="F33" t="s">
        <v>1931</v>
      </c>
      <c r="G33">
        <v>1</v>
      </c>
    </row>
    <row r="34" spans="1:7" hidden="1" x14ac:dyDescent="0.25">
      <c r="A34" s="28" t="s">
        <v>664</v>
      </c>
      <c r="B34" s="29">
        <v>20837.465199999999</v>
      </c>
      <c r="F34" t="s">
        <v>664</v>
      </c>
      <c r="G34">
        <v>1</v>
      </c>
    </row>
    <row r="35" spans="1:7" hidden="1" x14ac:dyDescent="0.25">
      <c r="A35" s="28" t="s">
        <v>579</v>
      </c>
      <c r="B35" s="29">
        <v>20837.465199999999</v>
      </c>
      <c r="F35" t="s">
        <v>579</v>
      </c>
      <c r="G35">
        <v>1</v>
      </c>
    </row>
    <row r="36" spans="1:7" hidden="1" x14ac:dyDescent="0.25">
      <c r="A36" s="28" t="s">
        <v>2060</v>
      </c>
      <c r="B36" s="29">
        <v>32052.276999999998</v>
      </c>
      <c r="F36" t="s">
        <v>2060</v>
      </c>
      <c r="G36">
        <v>1</v>
      </c>
    </row>
    <row r="37" spans="1:7" hidden="1" x14ac:dyDescent="0.25">
      <c r="A37" s="28" t="s">
        <v>1499</v>
      </c>
      <c r="B37" s="29">
        <v>20837.465199999999</v>
      </c>
      <c r="F37" t="s">
        <v>1499</v>
      </c>
      <c r="G37">
        <v>1</v>
      </c>
    </row>
    <row r="38" spans="1:7" hidden="1" x14ac:dyDescent="0.25">
      <c r="A38" s="28" t="s">
        <v>1620</v>
      </c>
      <c r="B38" s="29">
        <v>20837.465199999999</v>
      </c>
      <c r="F38" t="s">
        <v>1620</v>
      </c>
      <c r="G38">
        <v>1</v>
      </c>
    </row>
    <row r="39" spans="1:7" hidden="1" x14ac:dyDescent="0.25">
      <c r="A39" s="28" t="s">
        <v>2126</v>
      </c>
      <c r="B39" s="29">
        <v>32052.276999999998</v>
      </c>
      <c r="F39" t="s">
        <v>2126</v>
      </c>
      <c r="G39">
        <v>1</v>
      </c>
    </row>
    <row r="40" spans="1:7" hidden="1" x14ac:dyDescent="0.25">
      <c r="A40" s="28" t="s">
        <v>3196</v>
      </c>
      <c r="B40" s="29">
        <v>32052.276999999998</v>
      </c>
      <c r="F40" t="s">
        <v>3196</v>
      </c>
      <c r="G40">
        <v>1</v>
      </c>
    </row>
    <row r="41" spans="1:7" hidden="1" x14ac:dyDescent="0.25">
      <c r="A41" s="28" t="s">
        <v>555</v>
      </c>
      <c r="B41" s="29">
        <v>20837.465199999999</v>
      </c>
      <c r="F41" t="s">
        <v>555</v>
      </c>
      <c r="G41">
        <v>1</v>
      </c>
    </row>
    <row r="42" spans="1:7" hidden="1" x14ac:dyDescent="0.25">
      <c r="A42" s="28" t="s">
        <v>433</v>
      </c>
      <c r="B42" s="29">
        <v>20837.465199999999</v>
      </c>
      <c r="F42" t="s">
        <v>433</v>
      </c>
      <c r="G42">
        <v>1</v>
      </c>
    </row>
    <row r="43" spans="1:7" hidden="1" x14ac:dyDescent="0.25">
      <c r="A43" s="28" t="s">
        <v>1150</v>
      </c>
      <c r="B43" s="29">
        <v>20837.465199999999</v>
      </c>
      <c r="F43" t="s">
        <v>1150</v>
      </c>
      <c r="G43">
        <v>1</v>
      </c>
    </row>
    <row r="44" spans="1:7" x14ac:dyDescent="0.25">
      <c r="A44" s="28" t="s">
        <v>191</v>
      </c>
      <c r="B44" s="29">
        <v>35661.364300000001</v>
      </c>
      <c r="F44" t="s">
        <v>191</v>
      </c>
      <c r="G44">
        <v>2</v>
      </c>
    </row>
    <row r="45" spans="1:7" hidden="1" x14ac:dyDescent="0.25">
      <c r="A45" s="28" t="s">
        <v>2145</v>
      </c>
      <c r="B45" s="29">
        <v>35661.364300000001</v>
      </c>
      <c r="F45" t="s">
        <v>2145</v>
      </c>
      <c r="G45">
        <v>1</v>
      </c>
    </row>
    <row r="46" spans="1:7" hidden="1" x14ac:dyDescent="0.25">
      <c r="A46" s="28" t="s">
        <v>1738</v>
      </c>
      <c r="B46" s="29">
        <v>26853.405500000001</v>
      </c>
      <c r="F46" t="s">
        <v>1738</v>
      </c>
      <c r="G46">
        <v>1</v>
      </c>
    </row>
    <row r="47" spans="1:7" hidden="1" x14ac:dyDescent="0.25">
      <c r="A47" s="28" t="s">
        <v>1786</v>
      </c>
      <c r="B47" s="29">
        <v>26853.405500000001</v>
      </c>
      <c r="F47" t="s">
        <v>1786</v>
      </c>
      <c r="G47">
        <v>1</v>
      </c>
    </row>
    <row r="48" spans="1:7" hidden="1" x14ac:dyDescent="0.25">
      <c r="A48" s="28" t="s">
        <v>1742</v>
      </c>
      <c r="B48" s="29">
        <v>26853.405500000001</v>
      </c>
      <c r="F48" t="s">
        <v>1742</v>
      </c>
      <c r="G48">
        <v>1</v>
      </c>
    </row>
    <row r="49" spans="1:7" hidden="1" x14ac:dyDescent="0.25">
      <c r="A49" s="28" t="s">
        <v>3103</v>
      </c>
      <c r="B49" s="29">
        <v>26853.405500000001</v>
      </c>
      <c r="F49" t="s">
        <v>3103</v>
      </c>
      <c r="G49">
        <v>1</v>
      </c>
    </row>
    <row r="50" spans="1:7" hidden="1" x14ac:dyDescent="0.25">
      <c r="A50" s="28" t="s">
        <v>1760</v>
      </c>
      <c r="B50" s="29">
        <v>32052.276999999998</v>
      </c>
      <c r="F50" t="s">
        <v>1760</v>
      </c>
      <c r="G50">
        <v>1</v>
      </c>
    </row>
    <row r="51" spans="1:7" hidden="1" x14ac:dyDescent="0.25">
      <c r="A51" s="28" t="s">
        <v>1727</v>
      </c>
      <c r="B51" s="29">
        <v>32052.276999999998</v>
      </c>
      <c r="F51" t="s">
        <v>1727</v>
      </c>
      <c r="G51">
        <v>1</v>
      </c>
    </row>
    <row r="52" spans="1:7" hidden="1" x14ac:dyDescent="0.25">
      <c r="A52" s="28" t="s">
        <v>1706</v>
      </c>
      <c r="B52" s="29">
        <v>35661.364300000001</v>
      </c>
      <c r="F52" t="s">
        <v>1706</v>
      </c>
      <c r="G52">
        <v>1</v>
      </c>
    </row>
    <row r="53" spans="1:7" hidden="1" x14ac:dyDescent="0.25">
      <c r="A53" s="28" t="s">
        <v>1991</v>
      </c>
      <c r="B53" s="29">
        <v>35661.364300000001</v>
      </c>
      <c r="F53" t="s">
        <v>1991</v>
      </c>
      <c r="G53">
        <v>1</v>
      </c>
    </row>
    <row r="54" spans="1:7" hidden="1" x14ac:dyDescent="0.25">
      <c r="A54" s="28" t="s">
        <v>1978</v>
      </c>
      <c r="B54" s="29">
        <v>35661.364300000001</v>
      </c>
      <c r="F54" t="s">
        <v>1978</v>
      </c>
      <c r="G54">
        <v>1</v>
      </c>
    </row>
    <row r="55" spans="1:7" hidden="1" x14ac:dyDescent="0.25">
      <c r="A55" s="28" t="s">
        <v>3055</v>
      </c>
      <c r="B55" s="29">
        <v>35661.364300000001</v>
      </c>
      <c r="F55" t="s">
        <v>3055</v>
      </c>
      <c r="G55">
        <v>1</v>
      </c>
    </row>
    <row r="56" spans="1:7" hidden="1" x14ac:dyDescent="0.25">
      <c r="A56" s="28" t="s">
        <v>1761</v>
      </c>
      <c r="B56" s="29">
        <v>35661.364300000001</v>
      </c>
      <c r="F56" t="s">
        <v>1761</v>
      </c>
      <c r="G56">
        <v>1</v>
      </c>
    </row>
    <row r="57" spans="1:7" hidden="1" x14ac:dyDescent="0.25">
      <c r="A57" s="28" t="s">
        <v>1757</v>
      </c>
      <c r="B57" s="29">
        <v>35661.364300000001</v>
      </c>
      <c r="F57" t="s">
        <v>1757</v>
      </c>
      <c r="G57">
        <v>1</v>
      </c>
    </row>
    <row r="58" spans="1:7" hidden="1" x14ac:dyDescent="0.25">
      <c r="A58" s="28" t="s">
        <v>1707</v>
      </c>
      <c r="B58" s="29">
        <v>35661.364300000001</v>
      </c>
      <c r="F58" t="s">
        <v>1707</v>
      </c>
      <c r="G58">
        <v>1</v>
      </c>
    </row>
    <row r="59" spans="1:7" hidden="1" x14ac:dyDescent="0.25">
      <c r="A59" s="28" t="s">
        <v>1709</v>
      </c>
      <c r="B59" s="29">
        <v>35661.364300000001</v>
      </c>
      <c r="F59" t="s">
        <v>1709</v>
      </c>
      <c r="G59">
        <v>1</v>
      </c>
    </row>
    <row r="60" spans="1:7" hidden="1" x14ac:dyDescent="0.25">
      <c r="A60" s="28" t="s">
        <v>1714</v>
      </c>
      <c r="B60" s="29">
        <v>35661.364300000001</v>
      </c>
      <c r="F60" t="s">
        <v>1714</v>
      </c>
      <c r="G60">
        <v>1</v>
      </c>
    </row>
    <row r="61" spans="1:7" hidden="1" x14ac:dyDescent="0.25">
      <c r="A61" s="28" t="s">
        <v>1979</v>
      </c>
      <c r="B61" s="29">
        <v>35661.364300000001</v>
      </c>
      <c r="F61" t="s">
        <v>1979</v>
      </c>
      <c r="G61">
        <v>1</v>
      </c>
    </row>
    <row r="62" spans="1:7" hidden="1" x14ac:dyDescent="0.25">
      <c r="A62" s="28" t="s">
        <v>3114</v>
      </c>
      <c r="B62" s="29">
        <v>35661.364300000001</v>
      </c>
      <c r="F62" t="s">
        <v>3114</v>
      </c>
      <c r="G62">
        <v>1</v>
      </c>
    </row>
    <row r="63" spans="1:7" hidden="1" x14ac:dyDescent="0.25">
      <c r="A63" s="28" t="s">
        <v>2923</v>
      </c>
      <c r="B63" s="29">
        <v>35661.364300000001</v>
      </c>
      <c r="F63" t="s">
        <v>2923</v>
      </c>
      <c r="G63">
        <v>1</v>
      </c>
    </row>
    <row r="64" spans="1:7" hidden="1" x14ac:dyDescent="0.25">
      <c r="A64" s="28" t="s">
        <v>1982</v>
      </c>
      <c r="B64" s="29">
        <v>35661.364300000001</v>
      </c>
      <c r="F64" t="s">
        <v>1982</v>
      </c>
      <c r="G64">
        <v>1</v>
      </c>
    </row>
    <row r="65" spans="1:7" hidden="1" x14ac:dyDescent="0.25">
      <c r="A65" s="28" t="s">
        <v>3197</v>
      </c>
      <c r="B65" s="29">
        <v>35661.364300000001</v>
      </c>
      <c r="F65" t="s">
        <v>3197</v>
      </c>
      <c r="G65">
        <v>1</v>
      </c>
    </row>
    <row r="66" spans="1:7" hidden="1" x14ac:dyDescent="0.25">
      <c r="A66" s="28" t="s">
        <v>3152</v>
      </c>
      <c r="B66" s="29">
        <v>41042.959999999999</v>
      </c>
      <c r="F66" t="s">
        <v>3152</v>
      </c>
      <c r="G66">
        <v>1</v>
      </c>
    </row>
    <row r="67" spans="1:7" hidden="1" x14ac:dyDescent="0.25">
      <c r="A67" s="28" t="s">
        <v>3075</v>
      </c>
      <c r="B67" s="29">
        <v>41042.959999999999</v>
      </c>
      <c r="F67" t="s">
        <v>3075</v>
      </c>
      <c r="G67">
        <v>1</v>
      </c>
    </row>
    <row r="68" spans="1:7" hidden="1" x14ac:dyDescent="0.25">
      <c r="A68" s="28" t="s">
        <v>683</v>
      </c>
      <c r="B68" s="29">
        <v>32976.89</v>
      </c>
      <c r="F68" t="s">
        <v>683</v>
      </c>
      <c r="G68">
        <v>1</v>
      </c>
    </row>
    <row r="69" spans="1:7" hidden="1" x14ac:dyDescent="0.25">
      <c r="A69" s="28" t="s">
        <v>2827</v>
      </c>
      <c r="B69" s="29">
        <v>46725.45</v>
      </c>
      <c r="F69" t="s">
        <v>2827</v>
      </c>
      <c r="G69">
        <v>1</v>
      </c>
    </row>
    <row r="70" spans="1:7" hidden="1" x14ac:dyDescent="0.25">
      <c r="A70" s="28" t="s">
        <v>2384</v>
      </c>
      <c r="B70" s="29">
        <v>38812.959999999999</v>
      </c>
      <c r="F70" t="s">
        <v>2384</v>
      </c>
      <c r="G70">
        <v>1</v>
      </c>
    </row>
    <row r="71" spans="1:7" x14ac:dyDescent="0.25">
      <c r="A71" s="28" t="s">
        <v>80</v>
      </c>
      <c r="B71" s="29">
        <v>55055.691749999998</v>
      </c>
      <c r="F71" t="s">
        <v>80</v>
      </c>
      <c r="G71">
        <v>2</v>
      </c>
    </row>
    <row r="72" spans="1:7" x14ac:dyDescent="0.25">
      <c r="A72" s="28" t="s">
        <v>1089</v>
      </c>
      <c r="B72" s="29">
        <v>56728.588650000005</v>
      </c>
      <c r="F72" t="s">
        <v>1089</v>
      </c>
      <c r="G72">
        <v>2</v>
      </c>
    </row>
    <row r="73" spans="1:7" hidden="1" x14ac:dyDescent="0.25">
      <c r="A73" s="28" t="s">
        <v>3216</v>
      </c>
      <c r="B73" s="29">
        <v>73952.27</v>
      </c>
      <c r="F73" t="s">
        <v>3216</v>
      </c>
      <c r="G73">
        <v>1</v>
      </c>
    </row>
    <row r="74" spans="1:7" hidden="1" x14ac:dyDescent="0.25">
      <c r="A74" s="28" t="s">
        <v>3207</v>
      </c>
      <c r="B74" s="29">
        <v>60867.18</v>
      </c>
      <c r="F74" t="s">
        <v>3207</v>
      </c>
      <c r="G74">
        <v>1</v>
      </c>
    </row>
    <row r="75" spans="1:7" hidden="1" x14ac:dyDescent="0.25">
      <c r="A75" s="28" t="s">
        <v>5160</v>
      </c>
      <c r="B75" s="29">
        <v>46725.45</v>
      </c>
      <c r="F75" t="s">
        <v>5160</v>
      </c>
      <c r="G75">
        <v>1</v>
      </c>
    </row>
    <row r="76" spans="1:7" hidden="1" x14ac:dyDescent="0.25">
      <c r="A76" s="28" t="s">
        <v>2762</v>
      </c>
      <c r="B76" s="29">
        <v>46725.45</v>
      </c>
      <c r="F76" t="s">
        <v>2762</v>
      </c>
      <c r="G76">
        <v>1</v>
      </c>
    </row>
    <row r="77" spans="1:7" hidden="1" x14ac:dyDescent="0.25">
      <c r="A77" s="28" t="s">
        <v>4759</v>
      </c>
      <c r="B77" s="29">
        <v>46725.45</v>
      </c>
      <c r="F77" t="s">
        <v>4759</v>
      </c>
      <c r="G77">
        <v>1</v>
      </c>
    </row>
    <row r="78" spans="1:7" hidden="1" x14ac:dyDescent="0.25">
      <c r="A78" s="28" t="s">
        <v>4953</v>
      </c>
      <c r="B78" s="29">
        <v>46725.45</v>
      </c>
      <c r="F78" t="s">
        <v>4953</v>
      </c>
      <c r="G78">
        <v>1</v>
      </c>
    </row>
    <row r="79" spans="1:7" hidden="1" x14ac:dyDescent="0.25">
      <c r="A79" s="28" t="s">
        <v>1703</v>
      </c>
      <c r="B79" s="29">
        <v>46725.45</v>
      </c>
      <c r="F79" t="s">
        <v>1703</v>
      </c>
      <c r="G79">
        <v>1</v>
      </c>
    </row>
    <row r="80" spans="1:7" hidden="1" x14ac:dyDescent="0.25">
      <c r="A80" s="28" t="s">
        <v>5144</v>
      </c>
      <c r="B80" s="29">
        <v>46725.45</v>
      </c>
      <c r="F80" t="s">
        <v>5144</v>
      </c>
      <c r="G80">
        <v>1</v>
      </c>
    </row>
    <row r="81" spans="1:7" hidden="1" x14ac:dyDescent="0.25">
      <c r="A81" s="28" t="s">
        <v>2894</v>
      </c>
      <c r="B81" s="29">
        <v>46725.45</v>
      </c>
      <c r="F81" t="s">
        <v>2894</v>
      </c>
      <c r="G81">
        <v>1</v>
      </c>
    </row>
    <row r="82" spans="1:7" hidden="1" x14ac:dyDescent="0.25">
      <c r="A82" s="28" t="s">
        <v>5159</v>
      </c>
      <c r="B82" s="29">
        <v>46725.45</v>
      </c>
      <c r="F82" t="s">
        <v>5159</v>
      </c>
      <c r="G82">
        <v>1</v>
      </c>
    </row>
    <row r="83" spans="1:7" hidden="1" x14ac:dyDescent="0.25">
      <c r="A83" s="28" t="s">
        <v>2820</v>
      </c>
      <c r="B83" s="29">
        <v>46725.45</v>
      </c>
      <c r="F83" t="s">
        <v>2820</v>
      </c>
      <c r="G83">
        <v>1</v>
      </c>
    </row>
    <row r="84" spans="1:7" hidden="1" x14ac:dyDescent="0.25">
      <c r="A84" s="28" t="s">
        <v>4755</v>
      </c>
      <c r="B84" s="29">
        <v>46725.45</v>
      </c>
      <c r="F84" t="s">
        <v>4755</v>
      </c>
      <c r="G84">
        <v>1</v>
      </c>
    </row>
    <row r="85" spans="1:7" hidden="1" x14ac:dyDescent="0.25">
      <c r="A85" s="28" t="s">
        <v>4557</v>
      </c>
      <c r="B85" s="29">
        <v>62052.82</v>
      </c>
      <c r="F85" t="s">
        <v>4557</v>
      </c>
      <c r="G85">
        <v>1</v>
      </c>
    </row>
    <row r="86" spans="1:7" hidden="1" x14ac:dyDescent="0.25">
      <c r="A86" s="28" t="s">
        <v>3163</v>
      </c>
      <c r="B86" s="29">
        <v>46725.45</v>
      </c>
      <c r="F86" t="s">
        <v>3163</v>
      </c>
      <c r="G86">
        <v>1</v>
      </c>
    </row>
    <row r="87" spans="1:7" hidden="1" x14ac:dyDescent="0.25">
      <c r="A87" s="28" t="s">
        <v>2057</v>
      </c>
      <c r="B87" s="29">
        <v>46725.45</v>
      </c>
      <c r="F87" t="s">
        <v>2057</v>
      </c>
      <c r="G87">
        <v>1</v>
      </c>
    </row>
    <row r="88" spans="1:7" x14ac:dyDescent="0.25">
      <c r="A88" s="28" t="s">
        <v>461</v>
      </c>
      <c r="B88" s="29">
        <v>47477.729749999999</v>
      </c>
      <c r="F88" t="s">
        <v>461</v>
      </c>
      <c r="G88">
        <v>2</v>
      </c>
    </row>
    <row r="89" spans="1:7" hidden="1" x14ac:dyDescent="0.25">
      <c r="A89" s="28" t="s">
        <v>3933</v>
      </c>
      <c r="B89" s="29">
        <v>46725.45</v>
      </c>
      <c r="F89" t="s">
        <v>3933</v>
      </c>
      <c r="G89">
        <v>1</v>
      </c>
    </row>
    <row r="90" spans="1:7" hidden="1" x14ac:dyDescent="0.25">
      <c r="A90" s="28" t="s">
        <v>4191</v>
      </c>
      <c r="B90" s="29">
        <v>46725.45</v>
      </c>
      <c r="F90" t="s">
        <v>4191</v>
      </c>
      <c r="G90">
        <v>1</v>
      </c>
    </row>
    <row r="91" spans="1:7" hidden="1" x14ac:dyDescent="0.25">
      <c r="A91" s="28" t="s">
        <v>3893</v>
      </c>
      <c r="B91" s="29">
        <v>46725.45</v>
      </c>
      <c r="F91" t="s">
        <v>3893</v>
      </c>
      <c r="G91">
        <v>1</v>
      </c>
    </row>
    <row r="92" spans="1:7" hidden="1" x14ac:dyDescent="0.25">
      <c r="A92" s="28" t="s">
        <v>3772</v>
      </c>
      <c r="B92" s="29">
        <v>46725.45</v>
      </c>
      <c r="F92" t="s">
        <v>3772</v>
      </c>
      <c r="G92">
        <v>1</v>
      </c>
    </row>
    <row r="93" spans="1:7" hidden="1" x14ac:dyDescent="0.25">
      <c r="A93" s="28" t="s">
        <v>3358</v>
      </c>
      <c r="B93" s="29">
        <v>46725.45</v>
      </c>
      <c r="F93" t="s">
        <v>3358</v>
      </c>
      <c r="G93">
        <v>1</v>
      </c>
    </row>
    <row r="94" spans="1:7" hidden="1" x14ac:dyDescent="0.25">
      <c r="A94" s="28" t="s">
        <v>4089</v>
      </c>
      <c r="B94" s="29">
        <v>46725.45</v>
      </c>
      <c r="F94" t="s">
        <v>4089</v>
      </c>
      <c r="G94">
        <v>1</v>
      </c>
    </row>
    <row r="95" spans="1:7" x14ac:dyDescent="0.25">
      <c r="A95" s="28" t="s">
        <v>1309</v>
      </c>
      <c r="B95" s="29">
        <v>47477.729749999999</v>
      </c>
      <c r="F95" t="s">
        <v>1309</v>
      </c>
      <c r="G95">
        <v>2</v>
      </c>
    </row>
    <row r="96" spans="1:7" hidden="1" x14ac:dyDescent="0.25">
      <c r="A96" s="28" t="s">
        <v>2777</v>
      </c>
      <c r="B96" s="29">
        <v>46725.45</v>
      </c>
      <c r="F96" t="s">
        <v>2777</v>
      </c>
      <c r="G96">
        <v>1</v>
      </c>
    </row>
    <row r="97" spans="1:7" hidden="1" x14ac:dyDescent="0.25">
      <c r="A97" s="28" t="s">
        <v>3389</v>
      </c>
      <c r="B97" s="29">
        <v>46725.45</v>
      </c>
      <c r="F97" t="s">
        <v>3389</v>
      </c>
      <c r="G97">
        <v>1</v>
      </c>
    </row>
    <row r="98" spans="1:7" hidden="1" x14ac:dyDescent="0.25">
      <c r="A98" s="28" t="s">
        <v>2847</v>
      </c>
      <c r="B98" s="29">
        <v>46725.45</v>
      </c>
      <c r="F98" t="s">
        <v>2847</v>
      </c>
      <c r="G98">
        <v>1</v>
      </c>
    </row>
    <row r="99" spans="1:7" x14ac:dyDescent="0.25">
      <c r="A99" s="28" t="s">
        <v>989</v>
      </c>
      <c r="B99" s="29">
        <v>47477.729749999999</v>
      </c>
      <c r="F99" t="s">
        <v>989</v>
      </c>
      <c r="G99">
        <v>2</v>
      </c>
    </row>
    <row r="100" spans="1:7" x14ac:dyDescent="0.25">
      <c r="A100" s="28" t="s">
        <v>1030</v>
      </c>
      <c r="B100" s="29">
        <v>47477.729749999999</v>
      </c>
      <c r="F100" t="s">
        <v>1030</v>
      </c>
      <c r="G100">
        <v>2</v>
      </c>
    </row>
    <row r="101" spans="1:7" x14ac:dyDescent="0.25">
      <c r="A101" s="28" t="s">
        <v>362</v>
      </c>
      <c r="B101" s="29">
        <v>47477.729749999999</v>
      </c>
      <c r="F101" t="s">
        <v>362</v>
      </c>
      <c r="G101">
        <v>2</v>
      </c>
    </row>
    <row r="102" spans="1:7" hidden="1" x14ac:dyDescent="0.25">
      <c r="A102" s="28" t="s">
        <v>3142</v>
      </c>
      <c r="B102" s="29">
        <v>46725.45</v>
      </c>
      <c r="F102" t="s">
        <v>3142</v>
      </c>
      <c r="G102">
        <v>1</v>
      </c>
    </row>
    <row r="103" spans="1:7" hidden="1" x14ac:dyDescent="0.25">
      <c r="A103" s="28" t="s">
        <v>3832</v>
      </c>
      <c r="B103" s="29">
        <v>46725.45</v>
      </c>
      <c r="F103" t="s">
        <v>3832</v>
      </c>
      <c r="G103">
        <v>1</v>
      </c>
    </row>
    <row r="104" spans="1:7" hidden="1" x14ac:dyDescent="0.25">
      <c r="A104" s="28" t="s">
        <v>3777</v>
      </c>
      <c r="B104" s="29">
        <v>46725.45</v>
      </c>
      <c r="F104" t="s">
        <v>3777</v>
      </c>
      <c r="G104">
        <v>1</v>
      </c>
    </row>
    <row r="105" spans="1:7" hidden="1" x14ac:dyDescent="0.25">
      <c r="A105" s="28" t="s">
        <v>3116</v>
      </c>
      <c r="B105" s="29">
        <v>46725.45</v>
      </c>
      <c r="F105" t="s">
        <v>3116</v>
      </c>
      <c r="G105">
        <v>1</v>
      </c>
    </row>
    <row r="106" spans="1:7" hidden="1" x14ac:dyDescent="0.25">
      <c r="A106" s="28" t="s">
        <v>3692</v>
      </c>
      <c r="B106" s="29">
        <v>46725.45</v>
      </c>
      <c r="F106" t="s">
        <v>3692</v>
      </c>
      <c r="G106">
        <v>1</v>
      </c>
    </row>
    <row r="107" spans="1:7" hidden="1" x14ac:dyDescent="0.25">
      <c r="A107" s="28" t="s">
        <v>2988</v>
      </c>
      <c r="B107" s="29">
        <v>46725.45</v>
      </c>
      <c r="F107" t="s">
        <v>2988</v>
      </c>
      <c r="G107">
        <v>1</v>
      </c>
    </row>
    <row r="108" spans="1:7" x14ac:dyDescent="0.25">
      <c r="A108" s="28" t="s">
        <v>1406</v>
      </c>
      <c r="B108" s="29">
        <v>47477.729749999999</v>
      </c>
      <c r="F108" t="s">
        <v>1406</v>
      </c>
      <c r="G108">
        <v>2</v>
      </c>
    </row>
    <row r="109" spans="1:7" hidden="1" x14ac:dyDescent="0.25">
      <c r="A109" s="28" t="s">
        <v>4345</v>
      </c>
      <c r="B109" s="29">
        <v>46725.45</v>
      </c>
      <c r="F109" t="s">
        <v>4345</v>
      </c>
      <c r="G109">
        <v>1</v>
      </c>
    </row>
    <row r="110" spans="1:7" hidden="1" x14ac:dyDescent="0.25">
      <c r="A110" s="28" t="s">
        <v>3909</v>
      </c>
      <c r="B110" s="29">
        <v>46725.45</v>
      </c>
      <c r="F110" t="s">
        <v>3909</v>
      </c>
      <c r="G110">
        <v>1</v>
      </c>
    </row>
    <row r="111" spans="1:7" hidden="1" x14ac:dyDescent="0.25">
      <c r="A111" s="28" t="s">
        <v>3888</v>
      </c>
      <c r="B111" s="29">
        <v>46725.45</v>
      </c>
      <c r="F111" t="s">
        <v>3888</v>
      </c>
      <c r="G111">
        <v>1</v>
      </c>
    </row>
    <row r="112" spans="1:7" hidden="1" x14ac:dyDescent="0.25">
      <c r="A112" s="28" t="s">
        <v>4005</v>
      </c>
      <c r="B112" s="29">
        <v>46725.45</v>
      </c>
      <c r="F112" t="s">
        <v>4005</v>
      </c>
      <c r="G112">
        <v>1</v>
      </c>
    </row>
    <row r="113" spans="1:7" hidden="1" x14ac:dyDescent="0.25">
      <c r="A113" s="28" t="s">
        <v>2741</v>
      </c>
      <c r="B113" s="29">
        <v>46725.45</v>
      </c>
      <c r="F113" t="s">
        <v>2741</v>
      </c>
      <c r="G113">
        <v>1</v>
      </c>
    </row>
    <row r="114" spans="1:7" hidden="1" x14ac:dyDescent="0.25">
      <c r="A114" s="28" t="s">
        <v>2774</v>
      </c>
      <c r="B114" s="29">
        <v>46725.45</v>
      </c>
      <c r="F114" t="s">
        <v>2774</v>
      </c>
      <c r="G114">
        <v>1</v>
      </c>
    </row>
    <row r="115" spans="1:7" hidden="1" x14ac:dyDescent="0.25">
      <c r="A115" s="28" t="s">
        <v>4353</v>
      </c>
      <c r="B115" s="29">
        <v>46725.45</v>
      </c>
      <c r="F115" t="s">
        <v>4353</v>
      </c>
      <c r="G115">
        <v>1</v>
      </c>
    </row>
    <row r="116" spans="1:7" hidden="1" x14ac:dyDescent="0.25">
      <c r="A116" s="28" t="s">
        <v>4052</v>
      </c>
      <c r="B116" s="29">
        <v>46725.45</v>
      </c>
      <c r="F116" t="s">
        <v>4052</v>
      </c>
      <c r="G116">
        <v>1</v>
      </c>
    </row>
    <row r="117" spans="1:7" hidden="1" x14ac:dyDescent="0.25">
      <c r="A117" s="28" t="s">
        <v>3701</v>
      </c>
      <c r="B117" s="29">
        <v>46725.45</v>
      </c>
      <c r="F117" t="s">
        <v>3701</v>
      </c>
      <c r="G117">
        <v>1</v>
      </c>
    </row>
    <row r="118" spans="1:7" hidden="1" x14ac:dyDescent="0.25">
      <c r="A118" s="28" t="s">
        <v>4080</v>
      </c>
      <c r="B118" s="29">
        <v>46725.45</v>
      </c>
      <c r="F118" t="s">
        <v>4080</v>
      </c>
      <c r="G118">
        <v>1</v>
      </c>
    </row>
    <row r="119" spans="1:7" hidden="1" x14ac:dyDescent="0.25">
      <c r="A119" s="28" t="s">
        <v>2968</v>
      </c>
      <c r="B119" s="29">
        <v>46725.45</v>
      </c>
      <c r="F119" t="s">
        <v>2968</v>
      </c>
      <c r="G119">
        <v>1</v>
      </c>
    </row>
    <row r="120" spans="1:7" hidden="1" x14ac:dyDescent="0.25">
      <c r="A120" s="28" t="s">
        <v>2513</v>
      </c>
      <c r="B120" s="29">
        <v>46725.45</v>
      </c>
      <c r="F120" t="s">
        <v>2513</v>
      </c>
      <c r="G120">
        <v>1</v>
      </c>
    </row>
    <row r="121" spans="1:7" hidden="1" x14ac:dyDescent="0.25">
      <c r="A121" s="28" t="s">
        <v>3070</v>
      </c>
      <c r="B121" s="29">
        <v>46725.45</v>
      </c>
      <c r="F121" t="s">
        <v>3070</v>
      </c>
      <c r="G121">
        <v>1</v>
      </c>
    </row>
    <row r="122" spans="1:7" hidden="1" x14ac:dyDescent="0.25">
      <c r="A122" s="28" t="s">
        <v>4766</v>
      </c>
      <c r="B122" s="29">
        <v>46725.45</v>
      </c>
      <c r="F122" t="s">
        <v>4766</v>
      </c>
      <c r="G122">
        <v>1</v>
      </c>
    </row>
    <row r="123" spans="1:7" hidden="1" x14ac:dyDescent="0.25">
      <c r="A123" s="28" t="s">
        <v>4792</v>
      </c>
      <c r="B123" s="29">
        <v>46725.45</v>
      </c>
      <c r="F123" t="s">
        <v>4792</v>
      </c>
      <c r="G123">
        <v>1</v>
      </c>
    </row>
    <row r="124" spans="1:7" hidden="1" x14ac:dyDescent="0.25">
      <c r="A124" s="28" t="s">
        <v>4126</v>
      </c>
      <c r="B124" s="29">
        <v>46725.45</v>
      </c>
      <c r="F124" t="s">
        <v>4126</v>
      </c>
      <c r="G124">
        <v>1</v>
      </c>
    </row>
    <row r="125" spans="1:7" hidden="1" x14ac:dyDescent="0.25">
      <c r="A125" s="28" t="s">
        <v>2915</v>
      </c>
      <c r="B125" s="29">
        <v>46725.45</v>
      </c>
      <c r="F125" t="s">
        <v>2915</v>
      </c>
      <c r="G125">
        <v>1</v>
      </c>
    </row>
    <row r="126" spans="1:7" hidden="1" x14ac:dyDescent="0.25">
      <c r="A126" s="28" t="s">
        <v>4798</v>
      </c>
      <c r="B126" s="29">
        <v>46725.45</v>
      </c>
      <c r="F126" t="s">
        <v>4798</v>
      </c>
      <c r="G126">
        <v>1</v>
      </c>
    </row>
    <row r="127" spans="1:7" hidden="1" x14ac:dyDescent="0.25">
      <c r="A127" s="28" t="s">
        <v>4703</v>
      </c>
      <c r="B127" s="29">
        <v>46725.45</v>
      </c>
      <c r="F127" t="s">
        <v>4703</v>
      </c>
      <c r="G127">
        <v>1</v>
      </c>
    </row>
    <row r="128" spans="1:7" hidden="1" x14ac:dyDescent="0.25">
      <c r="A128" s="28" t="s">
        <v>3621</v>
      </c>
      <c r="B128" s="29">
        <v>46725.45</v>
      </c>
      <c r="F128" t="s">
        <v>3621</v>
      </c>
      <c r="G128">
        <v>1</v>
      </c>
    </row>
    <row r="129" spans="1:7" hidden="1" x14ac:dyDescent="0.25">
      <c r="A129" s="28" t="s">
        <v>2866</v>
      </c>
      <c r="B129" s="29">
        <v>46725.45</v>
      </c>
      <c r="F129" t="s">
        <v>2866</v>
      </c>
      <c r="G129">
        <v>1</v>
      </c>
    </row>
    <row r="130" spans="1:7" hidden="1" x14ac:dyDescent="0.25">
      <c r="A130" s="28" t="s">
        <v>4507</v>
      </c>
      <c r="B130" s="29">
        <v>46725.45</v>
      </c>
      <c r="F130" t="s">
        <v>4507</v>
      </c>
      <c r="G130">
        <v>1</v>
      </c>
    </row>
    <row r="131" spans="1:7" hidden="1" x14ac:dyDescent="0.25">
      <c r="A131" s="28" t="s">
        <v>4411</v>
      </c>
      <c r="B131" s="29">
        <v>46725.45</v>
      </c>
      <c r="F131" t="s">
        <v>4411</v>
      </c>
      <c r="G131">
        <v>1</v>
      </c>
    </row>
    <row r="132" spans="1:7" hidden="1" x14ac:dyDescent="0.25">
      <c r="A132" s="28" t="s">
        <v>3005</v>
      </c>
      <c r="B132" s="29">
        <v>46725.45</v>
      </c>
      <c r="F132" t="s">
        <v>3005</v>
      </c>
      <c r="G132">
        <v>1</v>
      </c>
    </row>
    <row r="133" spans="1:7" hidden="1" x14ac:dyDescent="0.25">
      <c r="A133" s="28" t="s">
        <v>4318</v>
      </c>
      <c r="B133" s="29">
        <v>46725.45</v>
      </c>
      <c r="F133" t="s">
        <v>4318</v>
      </c>
      <c r="G133">
        <v>1</v>
      </c>
    </row>
    <row r="134" spans="1:7" hidden="1" x14ac:dyDescent="0.25">
      <c r="A134" s="28" t="s">
        <v>4552</v>
      </c>
      <c r="B134" s="29">
        <v>46725.45</v>
      </c>
      <c r="F134" t="s">
        <v>4552</v>
      </c>
      <c r="G134">
        <v>1</v>
      </c>
    </row>
    <row r="135" spans="1:7" hidden="1" x14ac:dyDescent="0.25">
      <c r="A135" s="28" t="s">
        <v>4240</v>
      </c>
      <c r="B135" s="29">
        <v>46725.45</v>
      </c>
      <c r="F135" t="s">
        <v>4240</v>
      </c>
      <c r="G135">
        <v>1</v>
      </c>
    </row>
    <row r="136" spans="1:7" hidden="1" x14ac:dyDescent="0.25">
      <c r="A136" s="28" t="s">
        <v>4779</v>
      </c>
      <c r="B136" s="29">
        <v>46725.45</v>
      </c>
      <c r="F136" t="s">
        <v>4779</v>
      </c>
      <c r="G136">
        <v>1</v>
      </c>
    </row>
    <row r="137" spans="1:7" hidden="1" x14ac:dyDescent="0.25">
      <c r="A137" s="28" t="s">
        <v>2742</v>
      </c>
      <c r="B137" s="29">
        <v>46725.45</v>
      </c>
      <c r="F137" t="s">
        <v>2742</v>
      </c>
      <c r="G137">
        <v>1</v>
      </c>
    </row>
    <row r="138" spans="1:7" hidden="1" x14ac:dyDescent="0.25">
      <c r="A138" s="28" t="s">
        <v>4783</v>
      </c>
      <c r="B138" s="29">
        <v>46725.45</v>
      </c>
      <c r="F138" t="s">
        <v>4783</v>
      </c>
      <c r="G138">
        <v>1</v>
      </c>
    </row>
    <row r="139" spans="1:7" hidden="1" x14ac:dyDescent="0.25">
      <c r="A139" s="28" t="s">
        <v>4007</v>
      </c>
      <c r="B139" s="29">
        <v>46725.45</v>
      </c>
      <c r="F139" t="s">
        <v>4007</v>
      </c>
      <c r="G139">
        <v>1</v>
      </c>
    </row>
    <row r="140" spans="1:7" hidden="1" x14ac:dyDescent="0.25">
      <c r="A140" s="28" t="s">
        <v>5035</v>
      </c>
      <c r="B140" s="29">
        <v>61432.36</v>
      </c>
      <c r="F140" t="s">
        <v>5035</v>
      </c>
      <c r="G140">
        <v>1</v>
      </c>
    </row>
    <row r="141" spans="1:7" hidden="1" x14ac:dyDescent="0.25">
      <c r="A141" s="28" t="s">
        <v>4967</v>
      </c>
      <c r="B141" s="29">
        <v>61432.36</v>
      </c>
      <c r="F141" t="s">
        <v>4967</v>
      </c>
      <c r="G141">
        <v>1</v>
      </c>
    </row>
    <row r="142" spans="1:7" hidden="1" x14ac:dyDescent="0.25">
      <c r="A142" s="28" t="s">
        <v>4864</v>
      </c>
      <c r="B142" s="29">
        <v>61432.36</v>
      </c>
      <c r="F142" t="s">
        <v>4864</v>
      </c>
      <c r="G142">
        <v>1</v>
      </c>
    </row>
    <row r="143" spans="1:7" hidden="1" x14ac:dyDescent="0.25">
      <c r="A143" s="28" t="s">
        <v>4683</v>
      </c>
      <c r="B143" s="29">
        <v>38812.959999999999</v>
      </c>
      <c r="F143" t="s">
        <v>4683</v>
      </c>
      <c r="G143">
        <v>1</v>
      </c>
    </row>
    <row r="144" spans="1:7" hidden="1" x14ac:dyDescent="0.25">
      <c r="A144" s="28" t="s">
        <v>4790</v>
      </c>
      <c r="B144" s="29">
        <v>61432.36</v>
      </c>
      <c r="F144" t="s">
        <v>4790</v>
      </c>
      <c r="G144">
        <v>1</v>
      </c>
    </row>
    <row r="145" spans="1:7" hidden="1" x14ac:dyDescent="0.25">
      <c r="A145" s="28" t="s">
        <v>4750</v>
      </c>
      <c r="B145" s="29">
        <v>61432.36</v>
      </c>
      <c r="F145" t="s">
        <v>4750</v>
      </c>
      <c r="G145">
        <v>1</v>
      </c>
    </row>
    <row r="146" spans="1:7" hidden="1" x14ac:dyDescent="0.25">
      <c r="A146" s="28" t="s">
        <v>4879</v>
      </c>
      <c r="B146" s="29">
        <v>38812.959999999999</v>
      </c>
      <c r="F146" t="s">
        <v>4879</v>
      </c>
      <c r="G146">
        <v>1</v>
      </c>
    </row>
    <row r="147" spans="1:7" hidden="1" x14ac:dyDescent="0.25">
      <c r="A147" s="28" t="s">
        <v>4764</v>
      </c>
      <c r="B147" s="29">
        <v>61432.36</v>
      </c>
      <c r="F147" t="s">
        <v>4764</v>
      </c>
      <c r="G147">
        <v>1</v>
      </c>
    </row>
    <row r="148" spans="1:7" hidden="1" x14ac:dyDescent="0.25">
      <c r="A148" s="28" t="s">
        <v>4643</v>
      </c>
      <c r="B148" s="29">
        <v>52082.35</v>
      </c>
      <c r="F148" t="s">
        <v>4643</v>
      </c>
      <c r="G148">
        <v>1</v>
      </c>
    </row>
    <row r="149" spans="1:7" hidden="1" x14ac:dyDescent="0.25">
      <c r="A149" s="28" t="s">
        <v>3517</v>
      </c>
      <c r="B149" s="29">
        <v>52082.35</v>
      </c>
      <c r="F149" t="s">
        <v>3517</v>
      </c>
      <c r="G149">
        <v>1</v>
      </c>
    </row>
    <row r="150" spans="1:7" hidden="1" x14ac:dyDescent="0.25">
      <c r="A150" s="28" t="s">
        <v>4553</v>
      </c>
      <c r="B150" s="29">
        <v>52082.35</v>
      </c>
      <c r="F150" t="s">
        <v>4553</v>
      </c>
      <c r="G150">
        <v>1</v>
      </c>
    </row>
    <row r="151" spans="1:7" hidden="1" x14ac:dyDescent="0.25">
      <c r="A151" s="28" t="s">
        <v>3348</v>
      </c>
      <c r="B151" s="29">
        <v>61432.36</v>
      </c>
      <c r="F151" t="s">
        <v>3348</v>
      </c>
      <c r="G151">
        <v>1</v>
      </c>
    </row>
    <row r="152" spans="1:7" hidden="1" x14ac:dyDescent="0.25">
      <c r="A152" s="28" t="s">
        <v>4636</v>
      </c>
      <c r="B152" s="29">
        <v>61432.36</v>
      </c>
      <c r="F152" t="s">
        <v>4636</v>
      </c>
      <c r="G152">
        <v>1</v>
      </c>
    </row>
    <row r="153" spans="1:7" hidden="1" x14ac:dyDescent="0.25">
      <c r="A153" s="28" t="s">
        <v>4500</v>
      </c>
      <c r="B153" s="29">
        <v>61432.36</v>
      </c>
      <c r="F153" t="s">
        <v>4500</v>
      </c>
      <c r="G153">
        <v>1</v>
      </c>
    </row>
    <row r="154" spans="1:7" hidden="1" x14ac:dyDescent="0.25">
      <c r="A154" s="28" t="s">
        <v>2328</v>
      </c>
      <c r="B154" s="29">
        <v>61432.36</v>
      </c>
      <c r="F154" t="s">
        <v>2328</v>
      </c>
      <c r="G154">
        <v>1</v>
      </c>
    </row>
    <row r="155" spans="1:7" hidden="1" x14ac:dyDescent="0.25">
      <c r="A155" s="28" t="s">
        <v>4509</v>
      </c>
      <c r="B155" s="29">
        <v>61432.36</v>
      </c>
      <c r="F155" t="s">
        <v>4509</v>
      </c>
      <c r="G155">
        <v>1</v>
      </c>
    </row>
    <row r="156" spans="1:7" hidden="1" x14ac:dyDescent="0.25">
      <c r="A156" s="28" t="s">
        <v>3704</v>
      </c>
      <c r="B156" s="29">
        <v>61432.36</v>
      </c>
      <c r="F156" t="s">
        <v>3704</v>
      </c>
      <c r="G156">
        <v>1</v>
      </c>
    </row>
    <row r="157" spans="1:7" hidden="1" x14ac:dyDescent="0.25">
      <c r="A157" s="28" t="s">
        <v>4873</v>
      </c>
      <c r="B157" s="29">
        <v>38812.959999999999</v>
      </c>
      <c r="F157" t="s">
        <v>4873</v>
      </c>
      <c r="G157">
        <v>1</v>
      </c>
    </row>
    <row r="158" spans="1:7" hidden="1" x14ac:dyDescent="0.25">
      <c r="A158" s="28" t="s">
        <v>2783</v>
      </c>
      <c r="B158" s="29">
        <v>61432.36</v>
      </c>
      <c r="F158" t="s">
        <v>2783</v>
      </c>
      <c r="G158">
        <v>1</v>
      </c>
    </row>
    <row r="159" spans="1:7" hidden="1" x14ac:dyDescent="0.25">
      <c r="A159" s="28" t="s">
        <v>2857</v>
      </c>
      <c r="B159" s="29">
        <v>61432.36</v>
      </c>
      <c r="F159" t="s">
        <v>2857</v>
      </c>
      <c r="G159">
        <v>1</v>
      </c>
    </row>
    <row r="160" spans="1:7" hidden="1" x14ac:dyDescent="0.25">
      <c r="A160" s="28" t="s">
        <v>4935</v>
      </c>
      <c r="B160" s="29">
        <v>61432.36</v>
      </c>
      <c r="F160" t="s">
        <v>4935</v>
      </c>
      <c r="G160">
        <v>1</v>
      </c>
    </row>
    <row r="161" spans="1:7" hidden="1" x14ac:dyDescent="0.25">
      <c r="A161" s="28" t="s">
        <v>4815</v>
      </c>
      <c r="B161" s="29">
        <v>61432.36</v>
      </c>
      <c r="F161" t="s">
        <v>4815</v>
      </c>
      <c r="G161">
        <v>1</v>
      </c>
    </row>
    <row r="162" spans="1:7" hidden="1" x14ac:dyDescent="0.25">
      <c r="A162" s="28" t="s">
        <v>3900</v>
      </c>
      <c r="B162" s="29">
        <v>61432.36</v>
      </c>
      <c r="F162" t="s">
        <v>3900</v>
      </c>
      <c r="G162">
        <v>1</v>
      </c>
    </row>
    <row r="163" spans="1:7" hidden="1" x14ac:dyDescent="0.25">
      <c r="A163" s="28" t="s">
        <v>4722</v>
      </c>
      <c r="B163" s="29">
        <v>61432.36</v>
      </c>
      <c r="F163" t="s">
        <v>4722</v>
      </c>
      <c r="G163">
        <v>1</v>
      </c>
    </row>
    <row r="164" spans="1:7" hidden="1" x14ac:dyDescent="0.25">
      <c r="A164" s="28" t="s">
        <v>3655</v>
      </c>
      <c r="B164" s="29">
        <v>61432.36</v>
      </c>
      <c r="F164" t="s">
        <v>3655</v>
      </c>
      <c r="G164">
        <v>1</v>
      </c>
    </row>
    <row r="165" spans="1:7" hidden="1" x14ac:dyDescent="0.25">
      <c r="A165" s="28" t="s">
        <v>4541</v>
      </c>
      <c r="B165" s="29">
        <v>61432.36</v>
      </c>
      <c r="F165" t="s">
        <v>4541</v>
      </c>
      <c r="G165">
        <v>1</v>
      </c>
    </row>
    <row r="166" spans="1:7" hidden="1" x14ac:dyDescent="0.25">
      <c r="A166" s="28" t="s">
        <v>4991</v>
      </c>
      <c r="B166" s="29">
        <v>61432.36</v>
      </c>
      <c r="F166" t="s">
        <v>4991</v>
      </c>
      <c r="G166">
        <v>1</v>
      </c>
    </row>
    <row r="167" spans="1:7" x14ac:dyDescent="0.25">
      <c r="A167" s="28" t="s">
        <v>1274</v>
      </c>
      <c r="B167" s="29">
        <v>62421.421000000002</v>
      </c>
      <c r="F167" t="s">
        <v>1274</v>
      </c>
      <c r="G167">
        <v>2</v>
      </c>
    </row>
    <row r="168" spans="1:7" x14ac:dyDescent="0.25">
      <c r="A168" s="28" t="s">
        <v>302</v>
      </c>
      <c r="B168" s="29">
        <v>62421.421000000002</v>
      </c>
      <c r="F168" t="s">
        <v>302</v>
      </c>
      <c r="G168">
        <v>2</v>
      </c>
    </row>
    <row r="169" spans="1:7" hidden="1" x14ac:dyDescent="0.25">
      <c r="A169" s="28" t="s">
        <v>2791</v>
      </c>
      <c r="B169" s="29">
        <v>61432.36</v>
      </c>
      <c r="F169" t="s">
        <v>2791</v>
      </c>
      <c r="G169">
        <v>1</v>
      </c>
    </row>
    <row r="170" spans="1:7" hidden="1" x14ac:dyDescent="0.25">
      <c r="A170" s="28" t="s">
        <v>3401</v>
      </c>
      <c r="B170" s="29">
        <v>61432.36</v>
      </c>
      <c r="F170" t="s">
        <v>3401</v>
      </c>
      <c r="G170">
        <v>1</v>
      </c>
    </row>
    <row r="171" spans="1:7" hidden="1" x14ac:dyDescent="0.25">
      <c r="A171" s="28" t="s">
        <v>3369</v>
      </c>
      <c r="B171" s="29">
        <v>61432.36</v>
      </c>
      <c r="F171" t="s">
        <v>3369</v>
      </c>
      <c r="G171">
        <v>1</v>
      </c>
    </row>
    <row r="172" spans="1:7" x14ac:dyDescent="0.25">
      <c r="A172" s="28" t="s">
        <v>1577</v>
      </c>
      <c r="B172" s="29">
        <v>62421.421000000002</v>
      </c>
      <c r="F172" t="s">
        <v>1577</v>
      </c>
      <c r="G172">
        <v>2</v>
      </c>
    </row>
    <row r="173" spans="1:7" hidden="1" x14ac:dyDescent="0.25">
      <c r="A173" s="28" t="s">
        <v>3706</v>
      </c>
      <c r="B173" s="29">
        <v>61432.36</v>
      </c>
      <c r="F173" t="s">
        <v>3706</v>
      </c>
      <c r="G173">
        <v>1</v>
      </c>
    </row>
    <row r="174" spans="1:7" x14ac:dyDescent="0.25">
      <c r="A174" s="28" t="s">
        <v>879</v>
      </c>
      <c r="B174" s="29">
        <v>62421.421000000002</v>
      </c>
      <c r="F174" t="s">
        <v>879</v>
      </c>
      <c r="G174">
        <v>2</v>
      </c>
    </row>
    <row r="175" spans="1:7" hidden="1" x14ac:dyDescent="0.25">
      <c r="A175" s="28" t="s">
        <v>4351</v>
      </c>
      <c r="B175" s="29">
        <v>61432.36</v>
      </c>
      <c r="F175" t="s">
        <v>4351</v>
      </c>
      <c r="G175">
        <v>1</v>
      </c>
    </row>
    <row r="176" spans="1:7" hidden="1" x14ac:dyDescent="0.25">
      <c r="A176" s="28" t="s">
        <v>3906</v>
      </c>
      <c r="B176" s="29">
        <v>61432.36</v>
      </c>
      <c r="F176" t="s">
        <v>3906</v>
      </c>
      <c r="G176">
        <v>1</v>
      </c>
    </row>
    <row r="177" spans="1:7" hidden="1" x14ac:dyDescent="0.25">
      <c r="A177" s="28" t="s">
        <v>3306</v>
      </c>
      <c r="B177" s="29">
        <v>61432.36</v>
      </c>
      <c r="F177" t="s">
        <v>3306</v>
      </c>
      <c r="G177">
        <v>1</v>
      </c>
    </row>
    <row r="178" spans="1:7" hidden="1" x14ac:dyDescent="0.25">
      <c r="A178" s="28" t="s">
        <v>3486</v>
      </c>
      <c r="B178" s="29">
        <v>61432.36</v>
      </c>
      <c r="F178" t="s">
        <v>3486</v>
      </c>
      <c r="G178">
        <v>1</v>
      </c>
    </row>
    <row r="179" spans="1:7" hidden="1" x14ac:dyDescent="0.25">
      <c r="A179" s="28" t="s">
        <v>4309</v>
      </c>
      <c r="B179" s="29">
        <v>61432.36</v>
      </c>
      <c r="F179" t="s">
        <v>4309</v>
      </c>
      <c r="G179">
        <v>1</v>
      </c>
    </row>
    <row r="180" spans="1:7" hidden="1" x14ac:dyDescent="0.25">
      <c r="A180" s="28" t="s">
        <v>3165</v>
      </c>
      <c r="B180" s="29">
        <v>61432.36</v>
      </c>
      <c r="F180" t="s">
        <v>3165</v>
      </c>
      <c r="G180">
        <v>1</v>
      </c>
    </row>
    <row r="181" spans="1:7" hidden="1" x14ac:dyDescent="0.25">
      <c r="A181" s="28" t="s">
        <v>2919</v>
      </c>
      <c r="B181" s="29">
        <v>61432.36</v>
      </c>
      <c r="F181" t="s">
        <v>2919</v>
      </c>
      <c r="G181">
        <v>1</v>
      </c>
    </row>
    <row r="182" spans="1:7" x14ac:dyDescent="0.25">
      <c r="A182" s="28" t="s">
        <v>258</v>
      </c>
      <c r="B182" s="29">
        <v>62421.421000000002</v>
      </c>
      <c r="F182" t="s">
        <v>258</v>
      </c>
      <c r="G182">
        <v>2</v>
      </c>
    </row>
    <row r="183" spans="1:7" x14ac:dyDescent="0.25">
      <c r="A183" s="28" t="s">
        <v>67</v>
      </c>
      <c r="B183" s="29">
        <v>62421.421000000002</v>
      </c>
      <c r="F183" t="s">
        <v>67</v>
      </c>
      <c r="G183">
        <v>2</v>
      </c>
    </row>
    <row r="184" spans="1:7" x14ac:dyDescent="0.25">
      <c r="A184" s="28" t="s">
        <v>529</v>
      </c>
      <c r="B184" s="29">
        <v>62421.421000000002</v>
      </c>
      <c r="F184" t="s">
        <v>529</v>
      </c>
      <c r="G184">
        <v>2</v>
      </c>
    </row>
    <row r="185" spans="1:7" x14ac:dyDescent="0.25">
      <c r="A185" s="28" t="s">
        <v>111</v>
      </c>
      <c r="B185" s="29">
        <v>62421.421000000002</v>
      </c>
      <c r="F185" t="s">
        <v>111</v>
      </c>
      <c r="G185">
        <v>2</v>
      </c>
    </row>
    <row r="186" spans="1:7" x14ac:dyDescent="0.25">
      <c r="A186" s="28" t="s">
        <v>84</v>
      </c>
      <c r="B186" s="29">
        <v>62421.421000000002</v>
      </c>
      <c r="F186" t="s">
        <v>84</v>
      </c>
      <c r="G186">
        <v>2</v>
      </c>
    </row>
    <row r="187" spans="1:7" hidden="1" x14ac:dyDescent="0.25">
      <c r="A187" s="28" t="s">
        <v>4041</v>
      </c>
      <c r="B187" s="29">
        <v>61432.36</v>
      </c>
      <c r="F187" t="s">
        <v>4041</v>
      </c>
      <c r="G187">
        <v>1</v>
      </c>
    </row>
    <row r="188" spans="1:7" hidden="1" x14ac:dyDescent="0.25">
      <c r="A188" s="28" t="s">
        <v>3983</v>
      </c>
      <c r="B188" s="29">
        <v>61432.36</v>
      </c>
      <c r="F188" t="s">
        <v>3983</v>
      </c>
      <c r="G188">
        <v>1</v>
      </c>
    </row>
    <row r="189" spans="1:7" x14ac:dyDescent="0.25">
      <c r="A189" s="28" t="s">
        <v>756</v>
      </c>
      <c r="B189" s="29">
        <v>62421.421000000002</v>
      </c>
      <c r="F189" t="s">
        <v>756</v>
      </c>
      <c r="G189">
        <v>2</v>
      </c>
    </row>
    <row r="190" spans="1:7" x14ac:dyDescent="0.25">
      <c r="A190" s="28" t="s">
        <v>1163</v>
      </c>
      <c r="B190" s="29">
        <v>62421.421000000002</v>
      </c>
      <c r="F190" t="s">
        <v>1163</v>
      </c>
      <c r="G190">
        <v>2</v>
      </c>
    </row>
    <row r="191" spans="1:7" hidden="1" x14ac:dyDescent="0.25">
      <c r="A191" s="28" t="s">
        <v>4346</v>
      </c>
      <c r="B191" s="29">
        <v>61432.36</v>
      </c>
      <c r="F191" t="s">
        <v>4346</v>
      </c>
      <c r="G191">
        <v>1</v>
      </c>
    </row>
    <row r="192" spans="1:7" hidden="1" x14ac:dyDescent="0.25">
      <c r="A192" s="28" t="s">
        <v>4104</v>
      </c>
      <c r="B192" s="29">
        <v>61432.36</v>
      </c>
      <c r="F192" t="s">
        <v>4104</v>
      </c>
      <c r="G192">
        <v>1</v>
      </c>
    </row>
    <row r="193" spans="1:7" hidden="1" x14ac:dyDescent="0.25">
      <c r="A193" s="28" t="s">
        <v>4308</v>
      </c>
      <c r="B193" s="29">
        <v>61432.36</v>
      </c>
      <c r="F193" t="s">
        <v>4308</v>
      </c>
      <c r="G193">
        <v>1</v>
      </c>
    </row>
    <row r="194" spans="1:7" x14ac:dyDescent="0.25">
      <c r="A194" s="28" t="s">
        <v>1078</v>
      </c>
      <c r="B194" s="29">
        <v>62421.421000000002</v>
      </c>
      <c r="F194" t="s">
        <v>1078</v>
      </c>
      <c r="G194">
        <v>2</v>
      </c>
    </row>
    <row r="195" spans="1:7" x14ac:dyDescent="0.25">
      <c r="A195" s="28" t="s">
        <v>1145</v>
      </c>
      <c r="B195" s="29">
        <v>62421.421000000002</v>
      </c>
      <c r="F195" t="s">
        <v>1145</v>
      </c>
      <c r="G195">
        <v>2</v>
      </c>
    </row>
    <row r="196" spans="1:7" x14ac:dyDescent="0.25">
      <c r="A196" s="28" t="s">
        <v>549</v>
      </c>
      <c r="B196" s="29">
        <v>62421.421000000002</v>
      </c>
      <c r="F196" t="s">
        <v>549</v>
      </c>
      <c r="G196">
        <v>2</v>
      </c>
    </row>
    <row r="197" spans="1:7" x14ac:dyDescent="0.25">
      <c r="A197" s="28" t="s">
        <v>119</v>
      </c>
      <c r="B197" s="29">
        <v>62421.421000000002</v>
      </c>
      <c r="F197" t="s">
        <v>119</v>
      </c>
      <c r="G197">
        <v>2</v>
      </c>
    </row>
    <row r="198" spans="1:7" x14ac:dyDescent="0.25">
      <c r="A198" s="28" t="s">
        <v>532</v>
      </c>
      <c r="B198" s="29">
        <v>62421.421000000002</v>
      </c>
      <c r="F198" t="s">
        <v>532</v>
      </c>
      <c r="G198">
        <v>2</v>
      </c>
    </row>
    <row r="199" spans="1:7" x14ac:dyDescent="0.25">
      <c r="A199" s="28" t="s">
        <v>975</v>
      </c>
      <c r="B199" s="29">
        <v>62421.421000000002</v>
      </c>
      <c r="F199" t="s">
        <v>975</v>
      </c>
      <c r="G199">
        <v>2</v>
      </c>
    </row>
    <row r="200" spans="1:7" x14ac:dyDescent="0.25">
      <c r="A200" s="28" t="s">
        <v>116</v>
      </c>
      <c r="B200" s="29">
        <v>62421.421000000002</v>
      </c>
      <c r="F200" t="s">
        <v>116</v>
      </c>
      <c r="G200">
        <v>2</v>
      </c>
    </row>
    <row r="201" spans="1:7" x14ac:dyDescent="0.25">
      <c r="A201" s="28" t="s">
        <v>888</v>
      </c>
      <c r="B201" s="29">
        <v>62421.421000000002</v>
      </c>
      <c r="F201" t="s">
        <v>888</v>
      </c>
      <c r="G201">
        <v>2</v>
      </c>
    </row>
    <row r="202" spans="1:7" x14ac:dyDescent="0.25">
      <c r="A202" s="28" t="s">
        <v>884</v>
      </c>
      <c r="B202" s="29">
        <v>62421.421000000002</v>
      </c>
      <c r="F202" t="s">
        <v>884</v>
      </c>
      <c r="G202">
        <v>2</v>
      </c>
    </row>
    <row r="203" spans="1:7" x14ac:dyDescent="0.25">
      <c r="A203" s="28" t="s">
        <v>955</v>
      </c>
      <c r="B203" s="29">
        <v>62421.421000000002</v>
      </c>
      <c r="F203" t="s">
        <v>955</v>
      </c>
      <c r="G203">
        <v>2</v>
      </c>
    </row>
    <row r="204" spans="1:7" x14ac:dyDescent="0.25">
      <c r="A204" s="28" t="s">
        <v>92</v>
      </c>
      <c r="B204" s="29">
        <v>62421.421000000002</v>
      </c>
      <c r="F204" t="s">
        <v>92</v>
      </c>
      <c r="G204">
        <v>2</v>
      </c>
    </row>
    <row r="205" spans="1:7" x14ac:dyDescent="0.25">
      <c r="A205" s="28" t="s">
        <v>526</v>
      </c>
      <c r="B205" s="29">
        <v>62421.421000000002</v>
      </c>
      <c r="F205" t="s">
        <v>526</v>
      </c>
      <c r="G205">
        <v>2</v>
      </c>
    </row>
    <row r="206" spans="1:7" hidden="1" x14ac:dyDescent="0.25">
      <c r="A206" s="28" t="s">
        <v>3321</v>
      </c>
      <c r="B206" s="29">
        <v>61432.36</v>
      </c>
      <c r="F206" t="s">
        <v>3321</v>
      </c>
      <c r="G206">
        <v>1</v>
      </c>
    </row>
    <row r="207" spans="1:7" hidden="1" x14ac:dyDescent="0.25">
      <c r="A207" s="28" t="s">
        <v>4199</v>
      </c>
      <c r="B207" s="29">
        <v>61432.36</v>
      </c>
      <c r="F207" t="s">
        <v>4199</v>
      </c>
      <c r="G207">
        <v>1</v>
      </c>
    </row>
    <row r="208" spans="1:7" hidden="1" x14ac:dyDescent="0.25">
      <c r="A208" s="28" t="s">
        <v>2693</v>
      </c>
      <c r="B208" s="29">
        <v>61432.36</v>
      </c>
      <c r="F208" t="s">
        <v>2693</v>
      </c>
      <c r="G208">
        <v>1</v>
      </c>
    </row>
    <row r="209" spans="1:7" hidden="1" x14ac:dyDescent="0.25">
      <c r="A209" s="28" t="s">
        <v>4087</v>
      </c>
      <c r="B209" s="29">
        <v>61432.36</v>
      </c>
      <c r="F209" t="s">
        <v>4087</v>
      </c>
      <c r="G209">
        <v>1</v>
      </c>
    </row>
    <row r="210" spans="1:7" x14ac:dyDescent="0.25">
      <c r="A210" s="28" t="s">
        <v>853</v>
      </c>
      <c r="B210" s="29">
        <v>62421.421000000002</v>
      </c>
      <c r="F210" t="s">
        <v>853</v>
      </c>
      <c r="G210">
        <v>2</v>
      </c>
    </row>
    <row r="211" spans="1:7" hidden="1" x14ac:dyDescent="0.25">
      <c r="A211" s="28" t="s">
        <v>4512</v>
      </c>
      <c r="B211" s="29">
        <v>61432.36</v>
      </c>
      <c r="F211" t="s">
        <v>4512</v>
      </c>
      <c r="G211">
        <v>1</v>
      </c>
    </row>
    <row r="212" spans="1:7" x14ac:dyDescent="0.25">
      <c r="A212" s="28" t="s">
        <v>777</v>
      </c>
      <c r="B212" s="29">
        <v>62421.421000000002</v>
      </c>
      <c r="F212" t="s">
        <v>777</v>
      </c>
      <c r="G212">
        <v>2</v>
      </c>
    </row>
    <row r="213" spans="1:7" x14ac:dyDescent="0.25">
      <c r="A213" s="28" t="s">
        <v>467</v>
      </c>
      <c r="B213" s="29">
        <v>62421.421000000002</v>
      </c>
      <c r="F213" t="s">
        <v>467</v>
      </c>
      <c r="G213">
        <v>2</v>
      </c>
    </row>
    <row r="214" spans="1:7" x14ac:dyDescent="0.25">
      <c r="A214" s="28" t="s">
        <v>924</v>
      </c>
      <c r="B214" s="29">
        <v>62421.421000000002</v>
      </c>
      <c r="F214" t="s">
        <v>924</v>
      </c>
      <c r="G214">
        <v>2</v>
      </c>
    </row>
    <row r="215" spans="1:7" hidden="1" x14ac:dyDescent="0.25">
      <c r="A215" s="28" t="s">
        <v>4061</v>
      </c>
      <c r="B215" s="29">
        <v>61432.36</v>
      </c>
      <c r="F215" t="s">
        <v>4061</v>
      </c>
      <c r="G215">
        <v>1</v>
      </c>
    </row>
    <row r="216" spans="1:7" hidden="1" x14ac:dyDescent="0.25">
      <c r="A216" s="28" t="s">
        <v>1162</v>
      </c>
      <c r="B216" s="29">
        <v>63410.482000000004</v>
      </c>
      <c r="F216" t="s">
        <v>1162</v>
      </c>
      <c r="G216">
        <v>1</v>
      </c>
    </row>
    <row r="217" spans="1:7" hidden="1" x14ac:dyDescent="0.25">
      <c r="A217" s="28" t="s">
        <v>2705</v>
      </c>
      <c r="B217" s="29">
        <v>61432.36</v>
      </c>
      <c r="F217" t="s">
        <v>2705</v>
      </c>
      <c r="G217">
        <v>1</v>
      </c>
    </row>
    <row r="218" spans="1:7" hidden="1" x14ac:dyDescent="0.25">
      <c r="A218" s="28" t="s">
        <v>3846</v>
      </c>
      <c r="B218" s="29">
        <v>61432.36</v>
      </c>
      <c r="F218" t="s">
        <v>3846</v>
      </c>
      <c r="G218">
        <v>1</v>
      </c>
    </row>
    <row r="219" spans="1:7" hidden="1" x14ac:dyDescent="0.25">
      <c r="A219" s="28" t="s">
        <v>4271</v>
      </c>
      <c r="B219" s="29">
        <v>61432.36</v>
      </c>
      <c r="F219" t="s">
        <v>4271</v>
      </c>
      <c r="G219">
        <v>1</v>
      </c>
    </row>
    <row r="220" spans="1:7" hidden="1" x14ac:dyDescent="0.25">
      <c r="A220" s="28" t="s">
        <v>3181</v>
      </c>
      <c r="B220" s="29">
        <v>61432.36</v>
      </c>
      <c r="F220" t="s">
        <v>3181</v>
      </c>
      <c r="G220">
        <v>1</v>
      </c>
    </row>
    <row r="221" spans="1:7" x14ac:dyDescent="0.25">
      <c r="A221" s="28" t="s">
        <v>1260</v>
      </c>
      <c r="B221" s="29">
        <v>62421.421000000002</v>
      </c>
      <c r="F221" t="s">
        <v>1260</v>
      </c>
      <c r="G221">
        <v>2</v>
      </c>
    </row>
    <row r="222" spans="1:7" x14ac:dyDescent="0.25">
      <c r="A222" s="28" t="s">
        <v>1065</v>
      </c>
      <c r="B222" s="29">
        <v>62421.421000000002</v>
      </c>
      <c r="F222" t="s">
        <v>1065</v>
      </c>
      <c r="G222">
        <v>2</v>
      </c>
    </row>
    <row r="223" spans="1:7" x14ac:dyDescent="0.25">
      <c r="A223" s="28" t="s">
        <v>190</v>
      </c>
      <c r="B223" s="29">
        <v>62421.421000000002</v>
      </c>
      <c r="F223" t="s">
        <v>190</v>
      </c>
      <c r="G223">
        <v>2</v>
      </c>
    </row>
    <row r="224" spans="1:7" hidden="1" x14ac:dyDescent="0.25">
      <c r="A224" s="28" t="s">
        <v>3124</v>
      </c>
      <c r="B224" s="29">
        <v>61432.36</v>
      </c>
      <c r="F224" t="s">
        <v>3124</v>
      </c>
      <c r="G224">
        <v>1</v>
      </c>
    </row>
    <row r="225" spans="1:7" x14ac:dyDescent="0.25">
      <c r="A225" s="28" t="s">
        <v>1579</v>
      </c>
      <c r="B225" s="29">
        <v>62421.421000000002</v>
      </c>
      <c r="F225" t="s">
        <v>1579</v>
      </c>
      <c r="G225">
        <v>2</v>
      </c>
    </row>
    <row r="226" spans="1:7" x14ac:dyDescent="0.25">
      <c r="A226" s="28" t="s">
        <v>1539</v>
      </c>
      <c r="B226" s="29">
        <v>62421.421000000002</v>
      </c>
      <c r="F226" t="s">
        <v>1539</v>
      </c>
      <c r="G226">
        <v>2</v>
      </c>
    </row>
    <row r="227" spans="1:7" hidden="1" x14ac:dyDescent="0.25">
      <c r="A227" s="28" t="s">
        <v>4363</v>
      </c>
      <c r="B227" s="29">
        <v>61432.36</v>
      </c>
      <c r="F227" t="s">
        <v>4363</v>
      </c>
      <c r="G227">
        <v>1</v>
      </c>
    </row>
    <row r="228" spans="1:7" hidden="1" x14ac:dyDescent="0.25">
      <c r="A228" s="28" t="s">
        <v>4236</v>
      </c>
      <c r="B228" s="29">
        <v>61432.36</v>
      </c>
      <c r="F228" t="s">
        <v>4236</v>
      </c>
      <c r="G228">
        <v>1</v>
      </c>
    </row>
    <row r="229" spans="1:7" hidden="1" x14ac:dyDescent="0.25">
      <c r="A229" s="28" t="s">
        <v>3516</v>
      </c>
      <c r="B229" s="29">
        <v>61432.36</v>
      </c>
      <c r="F229" t="s">
        <v>3516</v>
      </c>
      <c r="G229">
        <v>1</v>
      </c>
    </row>
    <row r="230" spans="1:7" hidden="1" x14ac:dyDescent="0.25">
      <c r="A230" s="28" t="s">
        <v>4482</v>
      </c>
      <c r="B230" s="29">
        <v>61432.36</v>
      </c>
      <c r="F230" t="s">
        <v>4482</v>
      </c>
      <c r="G230">
        <v>1</v>
      </c>
    </row>
    <row r="231" spans="1:7" hidden="1" x14ac:dyDescent="0.25">
      <c r="A231" s="28" t="s">
        <v>4285</v>
      </c>
      <c r="B231" s="29">
        <v>61432.36</v>
      </c>
      <c r="F231" t="s">
        <v>4285</v>
      </c>
      <c r="G231">
        <v>1</v>
      </c>
    </row>
    <row r="232" spans="1:7" x14ac:dyDescent="0.25">
      <c r="A232" s="28" t="s">
        <v>1178</v>
      </c>
      <c r="B232" s="29">
        <v>62421.421000000002</v>
      </c>
      <c r="F232" t="s">
        <v>1178</v>
      </c>
      <c r="G232">
        <v>2</v>
      </c>
    </row>
    <row r="233" spans="1:7" hidden="1" x14ac:dyDescent="0.25">
      <c r="A233" s="28" t="s">
        <v>3154</v>
      </c>
      <c r="B233" s="29">
        <v>61432.36</v>
      </c>
      <c r="F233" t="s">
        <v>3154</v>
      </c>
      <c r="G233">
        <v>1</v>
      </c>
    </row>
    <row r="234" spans="1:7" hidden="1" x14ac:dyDescent="0.25">
      <c r="A234" s="28" t="s">
        <v>4261</v>
      </c>
      <c r="B234" s="29">
        <v>61432.36</v>
      </c>
      <c r="F234" t="s">
        <v>4261</v>
      </c>
      <c r="G234">
        <v>1</v>
      </c>
    </row>
    <row r="235" spans="1:7" hidden="1" x14ac:dyDescent="0.25">
      <c r="A235" s="28" t="s">
        <v>4337</v>
      </c>
      <c r="B235" s="29">
        <v>61432.36</v>
      </c>
      <c r="F235" t="s">
        <v>4337</v>
      </c>
      <c r="G235">
        <v>1</v>
      </c>
    </row>
    <row r="236" spans="1:7" x14ac:dyDescent="0.25">
      <c r="A236" s="28" t="s">
        <v>1248</v>
      </c>
      <c r="B236" s="29">
        <v>62421.421000000002</v>
      </c>
      <c r="F236" t="s">
        <v>1248</v>
      </c>
      <c r="G236">
        <v>2</v>
      </c>
    </row>
    <row r="237" spans="1:7" hidden="1" x14ac:dyDescent="0.25">
      <c r="A237" s="28" t="s">
        <v>3992</v>
      </c>
      <c r="B237" s="29">
        <v>61432.36</v>
      </c>
      <c r="F237" t="s">
        <v>3992</v>
      </c>
      <c r="G237">
        <v>1</v>
      </c>
    </row>
    <row r="238" spans="1:7" hidden="1" x14ac:dyDescent="0.25">
      <c r="A238" s="28" t="s">
        <v>3094</v>
      </c>
      <c r="B238" s="29">
        <v>61432.36</v>
      </c>
      <c r="F238" t="s">
        <v>3094</v>
      </c>
      <c r="G238">
        <v>1</v>
      </c>
    </row>
    <row r="239" spans="1:7" x14ac:dyDescent="0.25">
      <c r="A239" s="28" t="s">
        <v>1208</v>
      </c>
      <c r="B239" s="29">
        <v>62421.421000000002</v>
      </c>
      <c r="F239" t="s">
        <v>1208</v>
      </c>
      <c r="G239">
        <v>2</v>
      </c>
    </row>
    <row r="240" spans="1:7" hidden="1" x14ac:dyDescent="0.25">
      <c r="A240" s="28" t="s">
        <v>3795</v>
      </c>
      <c r="B240" s="29">
        <v>61432.36</v>
      </c>
      <c r="F240" t="s">
        <v>3795</v>
      </c>
      <c r="G240">
        <v>1</v>
      </c>
    </row>
    <row r="241" spans="1:7" hidden="1" x14ac:dyDescent="0.25">
      <c r="A241" s="28" t="s">
        <v>4106</v>
      </c>
      <c r="B241" s="29">
        <v>61432.36</v>
      </c>
      <c r="F241" t="s">
        <v>4106</v>
      </c>
      <c r="G241">
        <v>1</v>
      </c>
    </row>
    <row r="242" spans="1:7" x14ac:dyDescent="0.25">
      <c r="A242" s="28" t="s">
        <v>1503</v>
      </c>
      <c r="B242" s="29">
        <v>62421.421000000002</v>
      </c>
      <c r="F242" t="s">
        <v>1503</v>
      </c>
      <c r="G242">
        <v>2</v>
      </c>
    </row>
    <row r="243" spans="1:7" hidden="1" x14ac:dyDescent="0.25">
      <c r="A243" s="28" t="s">
        <v>4254</v>
      </c>
      <c r="B243" s="29">
        <v>61432.36</v>
      </c>
      <c r="F243" t="s">
        <v>4254</v>
      </c>
      <c r="G243">
        <v>1</v>
      </c>
    </row>
    <row r="244" spans="1:7" hidden="1" x14ac:dyDescent="0.25">
      <c r="A244" s="28" t="s">
        <v>2418</v>
      </c>
      <c r="B244" s="29">
        <v>61432.36</v>
      </c>
      <c r="F244" t="s">
        <v>2418</v>
      </c>
      <c r="G244">
        <v>1</v>
      </c>
    </row>
    <row r="245" spans="1:7" x14ac:dyDescent="0.25">
      <c r="A245" s="28" t="s">
        <v>1574</v>
      </c>
      <c r="B245" s="29">
        <v>62421.421000000002</v>
      </c>
      <c r="F245" t="s">
        <v>1574</v>
      </c>
      <c r="G245">
        <v>2</v>
      </c>
    </row>
    <row r="246" spans="1:7" x14ac:dyDescent="0.25">
      <c r="A246" s="28" t="s">
        <v>1612</v>
      </c>
      <c r="B246" s="29">
        <v>62421.421000000002</v>
      </c>
      <c r="F246" t="s">
        <v>1612</v>
      </c>
      <c r="G246">
        <v>2</v>
      </c>
    </row>
    <row r="247" spans="1:7" x14ac:dyDescent="0.25">
      <c r="A247" s="28" t="s">
        <v>1118</v>
      </c>
      <c r="B247" s="29">
        <v>62421.421000000002</v>
      </c>
      <c r="F247" t="s">
        <v>1118</v>
      </c>
      <c r="G247">
        <v>2</v>
      </c>
    </row>
    <row r="248" spans="1:7" x14ac:dyDescent="0.25">
      <c r="A248" s="28" t="s">
        <v>784</v>
      </c>
      <c r="B248" s="29">
        <v>62421.421000000002</v>
      </c>
      <c r="F248" t="s">
        <v>784</v>
      </c>
      <c r="G248">
        <v>2</v>
      </c>
    </row>
    <row r="249" spans="1:7" hidden="1" x14ac:dyDescent="0.25">
      <c r="A249" s="28" t="s">
        <v>3644</v>
      </c>
      <c r="B249" s="29">
        <v>61432.36</v>
      </c>
      <c r="F249" t="s">
        <v>3644</v>
      </c>
      <c r="G249">
        <v>1</v>
      </c>
    </row>
    <row r="250" spans="1:7" x14ac:dyDescent="0.25">
      <c r="A250" s="28" t="s">
        <v>818</v>
      </c>
      <c r="B250" s="29">
        <v>62421.421000000002</v>
      </c>
      <c r="F250" t="s">
        <v>818</v>
      </c>
      <c r="G250">
        <v>2</v>
      </c>
    </row>
    <row r="251" spans="1:7" x14ac:dyDescent="0.25">
      <c r="A251" s="28" t="s">
        <v>1020</v>
      </c>
      <c r="B251" s="29">
        <v>62421.421000000002</v>
      </c>
      <c r="F251" t="s">
        <v>1020</v>
      </c>
      <c r="G251">
        <v>2</v>
      </c>
    </row>
    <row r="252" spans="1:7" x14ac:dyDescent="0.25">
      <c r="A252" s="28" t="s">
        <v>1061</v>
      </c>
      <c r="B252" s="29">
        <v>62421.421000000002</v>
      </c>
      <c r="F252" t="s">
        <v>1061</v>
      </c>
      <c r="G252">
        <v>2</v>
      </c>
    </row>
    <row r="253" spans="1:7" x14ac:dyDescent="0.25">
      <c r="A253" s="28" t="s">
        <v>1121</v>
      </c>
      <c r="B253" s="29">
        <v>62421.421000000002</v>
      </c>
      <c r="F253" t="s">
        <v>1121</v>
      </c>
      <c r="G253">
        <v>2</v>
      </c>
    </row>
    <row r="254" spans="1:7" x14ac:dyDescent="0.25">
      <c r="A254" s="28" t="s">
        <v>495</v>
      </c>
      <c r="B254" s="29">
        <v>62421.421000000002</v>
      </c>
      <c r="F254" t="s">
        <v>495</v>
      </c>
      <c r="G254">
        <v>2</v>
      </c>
    </row>
    <row r="255" spans="1:7" x14ac:dyDescent="0.25">
      <c r="A255" s="28" t="s">
        <v>58</v>
      </c>
      <c r="B255" s="29">
        <v>62421.421000000002</v>
      </c>
      <c r="F255" t="s">
        <v>58</v>
      </c>
      <c r="G255">
        <v>2</v>
      </c>
    </row>
    <row r="256" spans="1:7" hidden="1" x14ac:dyDescent="0.25">
      <c r="A256" s="28" t="s">
        <v>450</v>
      </c>
      <c r="B256" s="29">
        <v>63410.482000000004</v>
      </c>
      <c r="F256" t="s">
        <v>450</v>
      </c>
      <c r="G256">
        <v>1</v>
      </c>
    </row>
    <row r="257" spans="1:7" x14ac:dyDescent="0.25">
      <c r="A257" s="28" t="s">
        <v>1235</v>
      </c>
      <c r="B257" s="29">
        <v>62421.421000000002</v>
      </c>
      <c r="F257" t="s">
        <v>1235</v>
      </c>
      <c r="G257">
        <v>2</v>
      </c>
    </row>
    <row r="258" spans="1:7" x14ac:dyDescent="0.25">
      <c r="A258" s="28" t="s">
        <v>1159</v>
      </c>
      <c r="B258" s="29">
        <v>62421.421000000002</v>
      </c>
      <c r="F258" t="s">
        <v>1159</v>
      </c>
      <c r="G258">
        <v>2</v>
      </c>
    </row>
    <row r="259" spans="1:7" x14ac:dyDescent="0.25">
      <c r="A259" s="28" t="s">
        <v>62</v>
      </c>
      <c r="B259" s="29">
        <v>62421.421000000002</v>
      </c>
      <c r="F259" t="s">
        <v>62</v>
      </c>
      <c r="G259">
        <v>2</v>
      </c>
    </row>
    <row r="260" spans="1:7" x14ac:dyDescent="0.25">
      <c r="A260" s="28" t="s">
        <v>1256</v>
      </c>
      <c r="B260" s="29">
        <v>62421.421000000002</v>
      </c>
      <c r="F260" t="s">
        <v>1256</v>
      </c>
      <c r="G260">
        <v>2</v>
      </c>
    </row>
    <row r="261" spans="1:7" x14ac:dyDescent="0.25">
      <c r="A261" s="28" t="s">
        <v>870</v>
      </c>
      <c r="B261" s="29">
        <v>62421.421000000002</v>
      </c>
      <c r="F261" t="s">
        <v>870</v>
      </c>
      <c r="G261">
        <v>2</v>
      </c>
    </row>
    <row r="262" spans="1:7" x14ac:dyDescent="0.25">
      <c r="A262" s="28" t="s">
        <v>815</v>
      </c>
      <c r="B262" s="29">
        <v>62421.421000000002</v>
      </c>
      <c r="F262" t="s">
        <v>815</v>
      </c>
      <c r="G262">
        <v>2</v>
      </c>
    </row>
    <row r="263" spans="1:7" x14ac:dyDescent="0.25">
      <c r="A263" s="28" t="s">
        <v>926</v>
      </c>
      <c r="B263" s="29">
        <v>62421.421000000002</v>
      </c>
      <c r="F263" t="s">
        <v>926</v>
      </c>
      <c r="G263">
        <v>2</v>
      </c>
    </row>
    <row r="264" spans="1:7" x14ac:dyDescent="0.25">
      <c r="A264" s="28" t="s">
        <v>912</v>
      </c>
      <c r="B264" s="29">
        <v>62421.421000000002</v>
      </c>
      <c r="F264" t="s">
        <v>912</v>
      </c>
      <c r="G264">
        <v>2</v>
      </c>
    </row>
    <row r="265" spans="1:7" x14ac:dyDescent="0.25">
      <c r="A265" s="28" t="s">
        <v>234</v>
      </c>
      <c r="B265" s="29">
        <v>62421.421000000002</v>
      </c>
      <c r="F265" t="s">
        <v>234</v>
      </c>
      <c r="G265">
        <v>2</v>
      </c>
    </row>
    <row r="266" spans="1:7" x14ac:dyDescent="0.25">
      <c r="A266" s="28" t="s">
        <v>1363</v>
      </c>
      <c r="B266" s="29">
        <v>62421.421000000002</v>
      </c>
      <c r="F266" t="s">
        <v>1363</v>
      </c>
      <c r="G266">
        <v>2</v>
      </c>
    </row>
    <row r="267" spans="1:7" x14ac:dyDescent="0.25">
      <c r="A267" s="28" t="s">
        <v>827</v>
      </c>
      <c r="B267" s="29">
        <v>62421.421000000002</v>
      </c>
      <c r="F267" t="s">
        <v>827</v>
      </c>
      <c r="G267">
        <v>2</v>
      </c>
    </row>
    <row r="268" spans="1:7" x14ac:dyDescent="0.25">
      <c r="A268" s="28" t="s">
        <v>699</v>
      </c>
      <c r="B268" s="29">
        <v>62421.421000000002</v>
      </c>
      <c r="F268" t="s">
        <v>699</v>
      </c>
      <c r="G268">
        <v>2</v>
      </c>
    </row>
    <row r="269" spans="1:7" x14ac:dyDescent="0.25">
      <c r="A269" s="28" t="s">
        <v>1460</v>
      </c>
      <c r="B269" s="29">
        <v>62421.421000000002</v>
      </c>
      <c r="F269" t="s">
        <v>1460</v>
      </c>
      <c r="G269">
        <v>2</v>
      </c>
    </row>
    <row r="270" spans="1:7" x14ac:dyDescent="0.25">
      <c r="A270" s="28" t="s">
        <v>412</v>
      </c>
      <c r="B270" s="29">
        <v>62421.421000000002</v>
      </c>
      <c r="F270" t="s">
        <v>412</v>
      </c>
      <c r="G270">
        <v>2</v>
      </c>
    </row>
    <row r="271" spans="1:7" x14ac:dyDescent="0.25">
      <c r="A271" s="28" t="s">
        <v>1037</v>
      </c>
      <c r="B271" s="29">
        <v>62421.421000000002</v>
      </c>
      <c r="F271" t="s">
        <v>1037</v>
      </c>
      <c r="G271">
        <v>2</v>
      </c>
    </row>
    <row r="272" spans="1:7" x14ac:dyDescent="0.25">
      <c r="A272" s="28" t="s">
        <v>1359</v>
      </c>
      <c r="B272" s="29">
        <v>62421.421000000002</v>
      </c>
      <c r="F272" t="s">
        <v>1359</v>
      </c>
      <c r="G272">
        <v>2</v>
      </c>
    </row>
    <row r="273" spans="1:7" x14ac:dyDescent="0.25">
      <c r="A273" s="28" t="s">
        <v>471</v>
      </c>
      <c r="B273" s="29">
        <v>62421.421000000002</v>
      </c>
      <c r="F273" t="s">
        <v>471</v>
      </c>
      <c r="G273">
        <v>2</v>
      </c>
    </row>
    <row r="274" spans="1:7" x14ac:dyDescent="0.25">
      <c r="A274" s="28" t="s">
        <v>63</v>
      </c>
      <c r="B274" s="29">
        <v>62421.421000000002</v>
      </c>
      <c r="F274" t="s">
        <v>63</v>
      </c>
      <c r="G274">
        <v>2</v>
      </c>
    </row>
    <row r="275" spans="1:7" x14ac:dyDescent="0.25">
      <c r="A275" s="28" t="s">
        <v>180</v>
      </c>
      <c r="B275" s="29">
        <v>62421.421000000002</v>
      </c>
      <c r="F275" t="s">
        <v>180</v>
      </c>
      <c r="G275">
        <v>2</v>
      </c>
    </row>
    <row r="276" spans="1:7" x14ac:dyDescent="0.25">
      <c r="A276" s="28" t="s">
        <v>869</v>
      </c>
      <c r="B276" s="29">
        <v>62421.421000000002</v>
      </c>
      <c r="F276" t="s">
        <v>869</v>
      </c>
      <c r="G276">
        <v>2</v>
      </c>
    </row>
    <row r="277" spans="1:7" x14ac:dyDescent="0.25">
      <c r="A277" s="28" t="s">
        <v>1181</v>
      </c>
      <c r="B277" s="29">
        <v>62421.421000000002</v>
      </c>
      <c r="F277" t="s">
        <v>1181</v>
      </c>
      <c r="G277">
        <v>2</v>
      </c>
    </row>
    <row r="278" spans="1:7" hidden="1" x14ac:dyDescent="0.25">
      <c r="A278" s="28" t="s">
        <v>878</v>
      </c>
      <c r="B278" s="29">
        <v>63410.482000000004</v>
      </c>
      <c r="F278" t="s">
        <v>878</v>
      </c>
      <c r="G278">
        <v>1</v>
      </c>
    </row>
    <row r="279" spans="1:7" hidden="1" x14ac:dyDescent="0.25">
      <c r="A279" s="28" t="s">
        <v>3611</v>
      </c>
      <c r="B279" s="29">
        <v>61432.36</v>
      </c>
      <c r="F279" t="s">
        <v>3611</v>
      </c>
      <c r="G279">
        <v>1</v>
      </c>
    </row>
    <row r="280" spans="1:7" hidden="1" x14ac:dyDescent="0.25">
      <c r="A280" s="28" t="s">
        <v>3970</v>
      </c>
      <c r="B280" s="29">
        <v>61432.36</v>
      </c>
      <c r="F280" t="s">
        <v>3970</v>
      </c>
      <c r="G280">
        <v>1</v>
      </c>
    </row>
    <row r="281" spans="1:7" x14ac:dyDescent="0.25">
      <c r="A281" s="28" t="s">
        <v>1225</v>
      </c>
      <c r="B281" s="29">
        <v>62421.421000000002</v>
      </c>
      <c r="F281" t="s">
        <v>1225</v>
      </c>
      <c r="G281">
        <v>2</v>
      </c>
    </row>
    <row r="282" spans="1:7" x14ac:dyDescent="0.25">
      <c r="A282" s="28" t="s">
        <v>721</v>
      </c>
      <c r="B282" s="29">
        <v>62421.421000000002</v>
      </c>
      <c r="F282" t="s">
        <v>721</v>
      </c>
      <c r="G282">
        <v>2</v>
      </c>
    </row>
    <row r="283" spans="1:7" x14ac:dyDescent="0.25">
      <c r="A283" s="28" t="s">
        <v>283</v>
      </c>
      <c r="B283" s="29">
        <v>62421.421000000002</v>
      </c>
      <c r="F283" t="s">
        <v>283</v>
      </c>
      <c r="G283">
        <v>2</v>
      </c>
    </row>
    <row r="284" spans="1:7" x14ac:dyDescent="0.25">
      <c r="A284" s="28" t="s">
        <v>1126</v>
      </c>
      <c r="B284" s="29">
        <v>62421.421000000002</v>
      </c>
      <c r="F284" t="s">
        <v>1126</v>
      </c>
      <c r="G284">
        <v>2</v>
      </c>
    </row>
    <row r="285" spans="1:7" x14ac:dyDescent="0.25">
      <c r="A285" s="28" t="s">
        <v>812</v>
      </c>
      <c r="B285" s="29">
        <v>62421.421000000002</v>
      </c>
      <c r="F285" t="s">
        <v>812</v>
      </c>
      <c r="G285">
        <v>2</v>
      </c>
    </row>
    <row r="286" spans="1:7" x14ac:dyDescent="0.25">
      <c r="A286" s="28" t="s">
        <v>1019</v>
      </c>
      <c r="B286" s="29">
        <v>62421.421000000002</v>
      </c>
      <c r="F286" t="s">
        <v>1019</v>
      </c>
      <c r="G286">
        <v>2</v>
      </c>
    </row>
    <row r="287" spans="1:7" x14ac:dyDescent="0.25">
      <c r="A287" s="28" t="s">
        <v>813</v>
      </c>
      <c r="B287" s="29">
        <v>62421.421000000002</v>
      </c>
      <c r="F287" t="s">
        <v>813</v>
      </c>
      <c r="G287">
        <v>2</v>
      </c>
    </row>
    <row r="288" spans="1:7" x14ac:dyDescent="0.25">
      <c r="A288" s="28" t="s">
        <v>816</v>
      </c>
      <c r="B288" s="29">
        <v>62421.421000000002</v>
      </c>
      <c r="F288" t="s">
        <v>816</v>
      </c>
      <c r="G288">
        <v>2</v>
      </c>
    </row>
    <row r="289" spans="1:7" hidden="1" x14ac:dyDescent="0.25">
      <c r="A289" s="28" t="s">
        <v>3081</v>
      </c>
      <c r="B289" s="29">
        <v>61432.36</v>
      </c>
      <c r="F289" t="s">
        <v>3081</v>
      </c>
      <c r="G289">
        <v>1</v>
      </c>
    </row>
    <row r="290" spans="1:7" x14ac:dyDescent="0.25">
      <c r="A290" s="28" t="s">
        <v>277</v>
      </c>
      <c r="B290" s="29">
        <v>62421.421000000002</v>
      </c>
      <c r="F290" t="s">
        <v>277</v>
      </c>
      <c r="G290">
        <v>2</v>
      </c>
    </row>
    <row r="291" spans="1:7" x14ac:dyDescent="0.25">
      <c r="A291" s="28" t="s">
        <v>1509</v>
      </c>
      <c r="B291" s="29">
        <v>62421.421000000002</v>
      </c>
      <c r="F291" t="s">
        <v>1509</v>
      </c>
      <c r="G291">
        <v>2</v>
      </c>
    </row>
    <row r="292" spans="1:7" x14ac:dyDescent="0.25">
      <c r="A292" s="28" t="s">
        <v>838</v>
      </c>
      <c r="B292" s="29">
        <v>62421.421000000002</v>
      </c>
      <c r="F292" t="s">
        <v>838</v>
      </c>
      <c r="G292">
        <v>2</v>
      </c>
    </row>
    <row r="293" spans="1:7" x14ac:dyDescent="0.25">
      <c r="A293" s="28" t="s">
        <v>826</v>
      </c>
      <c r="B293" s="29">
        <v>62421.421000000002</v>
      </c>
      <c r="F293" t="s">
        <v>826</v>
      </c>
      <c r="G293">
        <v>2</v>
      </c>
    </row>
    <row r="294" spans="1:7" x14ac:dyDescent="0.25">
      <c r="A294" s="28" t="s">
        <v>755</v>
      </c>
      <c r="B294" s="29">
        <v>62421.421000000002</v>
      </c>
      <c r="F294" t="s">
        <v>755</v>
      </c>
      <c r="G294">
        <v>2</v>
      </c>
    </row>
    <row r="295" spans="1:7" x14ac:dyDescent="0.25">
      <c r="A295" s="28" t="s">
        <v>272</v>
      </c>
      <c r="B295" s="29">
        <v>62421.421000000002</v>
      </c>
      <c r="F295" t="s">
        <v>272</v>
      </c>
      <c r="G295">
        <v>2</v>
      </c>
    </row>
    <row r="296" spans="1:7" hidden="1" x14ac:dyDescent="0.25">
      <c r="A296" s="28" t="s">
        <v>4378</v>
      </c>
      <c r="B296" s="29">
        <v>61432.36</v>
      </c>
      <c r="F296" t="s">
        <v>4378</v>
      </c>
      <c r="G296">
        <v>1</v>
      </c>
    </row>
    <row r="297" spans="1:7" hidden="1" x14ac:dyDescent="0.25">
      <c r="A297" s="28" t="s">
        <v>3823</v>
      </c>
      <c r="B297" s="29">
        <v>61432.36</v>
      </c>
      <c r="F297" t="s">
        <v>3823</v>
      </c>
      <c r="G297">
        <v>1</v>
      </c>
    </row>
    <row r="298" spans="1:7" hidden="1" x14ac:dyDescent="0.25">
      <c r="A298" s="28" t="s">
        <v>3415</v>
      </c>
      <c r="B298" s="29">
        <v>61432.36</v>
      </c>
      <c r="F298" t="s">
        <v>3415</v>
      </c>
      <c r="G298">
        <v>1</v>
      </c>
    </row>
    <row r="299" spans="1:7" x14ac:dyDescent="0.25">
      <c r="A299" s="28" t="s">
        <v>1621</v>
      </c>
      <c r="B299" s="29">
        <v>62421.421000000002</v>
      </c>
      <c r="F299" t="s">
        <v>1621</v>
      </c>
      <c r="G299">
        <v>2</v>
      </c>
    </row>
    <row r="300" spans="1:7" hidden="1" x14ac:dyDescent="0.25">
      <c r="A300" s="28" t="s">
        <v>4121</v>
      </c>
      <c r="B300" s="29">
        <v>61432.36</v>
      </c>
      <c r="F300" t="s">
        <v>4121</v>
      </c>
      <c r="G300">
        <v>1</v>
      </c>
    </row>
    <row r="301" spans="1:7" hidden="1" x14ac:dyDescent="0.25">
      <c r="A301" s="28" t="s">
        <v>2710</v>
      </c>
      <c r="B301" s="29">
        <v>61432.36</v>
      </c>
      <c r="F301" t="s">
        <v>2710</v>
      </c>
      <c r="G301">
        <v>1</v>
      </c>
    </row>
    <row r="302" spans="1:7" hidden="1" x14ac:dyDescent="0.25">
      <c r="A302" s="28" t="s">
        <v>3854</v>
      </c>
      <c r="B302" s="29">
        <v>61432.36</v>
      </c>
      <c r="F302" t="s">
        <v>3854</v>
      </c>
      <c r="G302">
        <v>1</v>
      </c>
    </row>
    <row r="303" spans="1:7" hidden="1" x14ac:dyDescent="0.25">
      <c r="A303" s="28" t="s">
        <v>2706</v>
      </c>
      <c r="B303" s="29">
        <v>61432.36</v>
      </c>
      <c r="F303" t="s">
        <v>2706</v>
      </c>
      <c r="G303">
        <v>1</v>
      </c>
    </row>
    <row r="304" spans="1:7" x14ac:dyDescent="0.25">
      <c r="A304" s="28" t="s">
        <v>99</v>
      </c>
      <c r="B304" s="29">
        <v>62421.421000000002</v>
      </c>
      <c r="F304" t="s">
        <v>99</v>
      </c>
      <c r="G304">
        <v>2</v>
      </c>
    </row>
    <row r="305" spans="1:7" hidden="1" x14ac:dyDescent="0.25">
      <c r="A305" s="28" t="s">
        <v>3911</v>
      </c>
      <c r="B305" s="29">
        <v>61432.36</v>
      </c>
      <c r="F305" t="s">
        <v>3911</v>
      </c>
      <c r="G305">
        <v>1</v>
      </c>
    </row>
    <row r="306" spans="1:7" hidden="1" x14ac:dyDescent="0.25">
      <c r="A306" s="28" t="s">
        <v>4283</v>
      </c>
      <c r="B306" s="29">
        <v>61432.36</v>
      </c>
      <c r="F306" t="s">
        <v>4283</v>
      </c>
      <c r="G306">
        <v>1</v>
      </c>
    </row>
    <row r="307" spans="1:7" hidden="1" x14ac:dyDescent="0.25">
      <c r="A307" s="28" t="s">
        <v>4105</v>
      </c>
      <c r="B307" s="29">
        <v>61432.36</v>
      </c>
      <c r="F307" t="s">
        <v>4105</v>
      </c>
      <c r="G307">
        <v>1</v>
      </c>
    </row>
    <row r="308" spans="1:7" hidden="1" x14ac:dyDescent="0.25">
      <c r="A308" s="28" t="s">
        <v>4284</v>
      </c>
      <c r="B308" s="29">
        <v>61432.36</v>
      </c>
      <c r="F308" t="s">
        <v>4284</v>
      </c>
      <c r="G308">
        <v>1</v>
      </c>
    </row>
    <row r="309" spans="1:7" x14ac:dyDescent="0.25">
      <c r="A309" s="28" t="s">
        <v>1323</v>
      </c>
      <c r="B309" s="29">
        <v>62421.421000000002</v>
      </c>
      <c r="F309" t="s">
        <v>1323</v>
      </c>
      <c r="G309">
        <v>2</v>
      </c>
    </row>
    <row r="310" spans="1:7" hidden="1" x14ac:dyDescent="0.25">
      <c r="A310" s="28" t="s">
        <v>3761</v>
      </c>
      <c r="B310" s="29">
        <v>61432.36</v>
      </c>
      <c r="F310" t="s">
        <v>3761</v>
      </c>
      <c r="G310">
        <v>1</v>
      </c>
    </row>
    <row r="311" spans="1:7" x14ac:dyDescent="0.25">
      <c r="A311" s="28" t="s">
        <v>1031</v>
      </c>
      <c r="B311" s="29">
        <v>62421.421000000002</v>
      </c>
      <c r="F311" t="s">
        <v>1031</v>
      </c>
      <c r="G311">
        <v>2</v>
      </c>
    </row>
    <row r="312" spans="1:7" hidden="1" x14ac:dyDescent="0.25">
      <c r="A312" s="28" t="s">
        <v>4335</v>
      </c>
      <c r="B312" s="29">
        <v>61432.36</v>
      </c>
      <c r="F312" t="s">
        <v>4335</v>
      </c>
      <c r="G312">
        <v>1</v>
      </c>
    </row>
    <row r="313" spans="1:7" hidden="1" x14ac:dyDescent="0.25">
      <c r="A313" s="28" t="s">
        <v>4099</v>
      </c>
      <c r="B313" s="29">
        <v>61432.36</v>
      </c>
      <c r="F313" t="s">
        <v>4099</v>
      </c>
      <c r="G313">
        <v>1</v>
      </c>
    </row>
    <row r="314" spans="1:7" x14ac:dyDescent="0.25">
      <c r="A314" s="28" t="s">
        <v>1009</v>
      </c>
      <c r="B314" s="29">
        <v>62421.421000000002</v>
      </c>
      <c r="F314" t="s">
        <v>1009</v>
      </c>
      <c r="G314">
        <v>2</v>
      </c>
    </row>
    <row r="315" spans="1:7" hidden="1" x14ac:dyDescent="0.25">
      <c r="A315" s="28" t="s">
        <v>3368</v>
      </c>
      <c r="B315" s="29">
        <v>61432.36</v>
      </c>
      <c r="F315" t="s">
        <v>3368</v>
      </c>
      <c r="G315">
        <v>1</v>
      </c>
    </row>
    <row r="316" spans="1:7" x14ac:dyDescent="0.25">
      <c r="A316" s="28" t="s">
        <v>1099</v>
      </c>
      <c r="B316" s="29">
        <v>62421.421000000002</v>
      </c>
      <c r="F316" t="s">
        <v>1099</v>
      </c>
      <c r="G316">
        <v>2</v>
      </c>
    </row>
    <row r="317" spans="1:7" hidden="1" x14ac:dyDescent="0.25">
      <c r="A317" s="28" t="s">
        <v>4297</v>
      </c>
      <c r="B317" s="29">
        <v>61432.36</v>
      </c>
      <c r="F317" t="s">
        <v>4297</v>
      </c>
      <c r="G317">
        <v>1</v>
      </c>
    </row>
    <row r="318" spans="1:7" hidden="1" x14ac:dyDescent="0.25">
      <c r="A318" s="28" t="s">
        <v>4129</v>
      </c>
      <c r="B318" s="29">
        <v>61432.36</v>
      </c>
      <c r="F318" t="s">
        <v>4129</v>
      </c>
      <c r="G318">
        <v>1</v>
      </c>
    </row>
    <row r="319" spans="1:7" hidden="1" x14ac:dyDescent="0.25">
      <c r="A319" s="28" t="s">
        <v>4023</v>
      </c>
      <c r="B319" s="29">
        <v>61432.36</v>
      </c>
      <c r="F319" t="s">
        <v>4023</v>
      </c>
      <c r="G319">
        <v>1</v>
      </c>
    </row>
    <row r="320" spans="1:7" hidden="1" x14ac:dyDescent="0.25">
      <c r="A320" s="28" t="s">
        <v>3499</v>
      </c>
      <c r="B320" s="29">
        <v>61432.36</v>
      </c>
      <c r="F320" t="s">
        <v>3499</v>
      </c>
      <c r="G320">
        <v>1</v>
      </c>
    </row>
    <row r="321" spans="1:7" hidden="1" x14ac:dyDescent="0.25">
      <c r="A321" s="28" t="s">
        <v>3867</v>
      </c>
      <c r="B321" s="29">
        <v>61432.36</v>
      </c>
      <c r="F321" t="s">
        <v>3867</v>
      </c>
      <c r="G321">
        <v>1</v>
      </c>
    </row>
    <row r="322" spans="1:7" hidden="1" x14ac:dyDescent="0.25">
      <c r="A322" s="28" t="s">
        <v>4131</v>
      </c>
      <c r="B322" s="29">
        <v>61432.36</v>
      </c>
      <c r="F322" t="s">
        <v>4131</v>
      </c>
      <c r="G322">
        <v>1</v>
      </c>
    </row>
    <row r="323" spans="1:7" hidden="1" x14ac:dyDescent="0.25">
      <c r="A323" s="28" t="s">
        <v>2686</v>
      </c>
      <c r="B323" s="29">
        <v>61432.36</v>
      </c>
      <c r="F323" t="s">
        <v>2686</v>
      </c>
      <c r="G323">
        <v>1</v>
      </c>
    </row>
    <row r="324" spans="1:7" x14ac:dyDescent="0.25">
      <c r="A324" s="28" t="s">
        <v>1108</v>
      </c>
      <c r="B324" s="29">
        <v>62421.421000000002</v>
      </c>
      <c r="F324" t="s">
        <v>1108</v>
      </c>
      <c r="G324">
        <v>2</v>
      </c>
    </row>
    <row r="325" spans="1:7" hidden="1" x14ac:dyDescent="0.25">
      <c r="A325" s="28" t="s">
        <v>4531</v>
      </c>
      <c r="B325" s="29">
        <v>62052.82</v>
      </c>
      <c r="F325" t="s">
        <v>4531</v>
      </c>
      <c r="G325">
        <v>1</v>
      </c>
    </row>
    <row r="326" spans="1:7" hidden="1" x14ac:dyDescent="0.25">
      <c r="A326" s="28" t="s">
        <v>4621</v>
      </c>
      <c r="B326" s="29">
        <v>62052.82</v>
      </c>
      <c r="F326" t="s">
        <v>4621</v>
      </c>
      <c r="G326">
        <v>1</v>
      </c>
    </row>
    <row r="327" spans="1:7" hidden="1" x14ac:dyDescent="0.25">
      <c r="A327" s="28" t="s">
        <v>4990</v>
      </c>
      <c r="B327" s="29">
        <v>46725.45</v>
      </c>
      <c r="F327" t="s">
        <v>4990</v>
      </c>
      <c r="G327">
        <v>1</v>
      </c>
    </row>
    <row r="328" spans="1:7" hidden="1" x14ac:dyDescent="0.25">
      <c r="A328" s="28" t="s">
        <v>4839</v>
      </c>
      <c r="B328" s="29">
        <v>62052.82</v>
      </c>
      <c r="F328" t="s">
        <v>4839</v>
      </c>
      <c r="G328">
        <v>1</v>
      </c>
    </row>
    <row r="329" spans="1:7" hidden="1" x14ac:dyDescent="0.25">
      <c r="A329" s="28" t="s">
        <v>4925</v>
      </c>
      <c r="B329" s="29">
        <v>46725.45</v>
      </c>
      <c r="F329" t="s">
        <v>4925</v>
      </c>
      <c r="G329">
        <v>1</v>
      </c>
    </row>
    <row r="330" spans="1:7" hidden="1" x14ac:dyDescent="0.25">
      <c r="A330" s="28" t="s">
        <v>4805</v>
      </c>
      <c r="B330" s="29">
        <v>62052.82</v>
      </c>
      <c r="F330" t="s">
        <v>4805</v>
      </c>
      <c r="G330">
        <v>1</v>
      </c>
    </row>
    <row r="331" spans="1:7" x14ac:dyDescent="0.25">
      <c r="A331" s="28" t="s">
        <v>575</v>
      </c>
      <c r="B331" s="29">
        <v>63051.8704</v>
      </c>
      <c r="F331" t="s">
        <v>575</v>
      </c>
      <c r="G331">
        <v>2</v>
      </c>
    </row>
    <row r="332" spans="1:7" hidden="1" x14ac:dyDescent="0.25">
      <c r="A332" s="28" t="s">
        <v>4388</v>
      </c>
      <c r="B332" s="29">
        <v>62052.82</v>
      </c>
      <c r="F332" t="s">
        <v>4388</v>
      </c>
      <c r="G332">
        <v>1</v>
      </c>
    </row>
    <row r="333" spans="1:7" hidden="1" x14ac:dyDescent="0.25">
      <c r="A333" s="28" t="s">
        <v>4179</v>
      </c>
      <c r="B333" s="29">
        <v>62052.82</v>
      </c>
      <c r="F333" t="s">
        <v>4179</v>
      </c>
      <c r="G333">
        <v>1</v>
      </c>
    </row>
    <row r="334" spans="1:7" hidden="1" x14ac:dyDescent="0.25">
      <c r="A334" s="28" t="s">
        <v>3922</v>
      </c>
      <c r="B334" s="29">
        <v>62052.82</v>
      </c>
      <c r="F334" t="s">
        <v>3922</v>
      </c>
      <c r="G334">
        <v>1</v>
      </c>
    </row>
    <row r="335" spans="1:7" hidden="1" x14ac:dyDescent="0.25">
      <c r="A335" s="28" t="s">
        <v>4371</v>
      </c>
      <c r="B335" s="29">
        <v>62052.82</v>
      </c>
      <c r="F335" t="s">
        <v>4371</v>
      </c>
      <c r="G335">
        <v>1</v>
      </c>
    </row>
    <row r="336" spans="1:7" hidden="1" x14ac:dyDescent="0.25">
      <c r="A336" s="28" t="s">
        <v>3099</v>
      </c>
      <c r="B336" s="29">
        <v>62052.82</v>
      </c>
      <c r="F336" t="s">
        <v>3099</v>
      </c>
      <c r="G336">
        <v>1</v>
      </c>
    </row>
    <row r="337" spans="1:7" hidden="1" x14ac:dyDescent="0.25">
      <c r="A337" s="28" t="s">
        <v>3040</v>
      </c>
      <c r="B337" s="29">
        <v>62052.82</v>
      </c>
      <c r="F337" t="s">
        <v>3040</v>
      </c>
      <c r="G337">
        <v>1</v>
      </c>
    </row>
    <row r="338" spans="1:7" x14ac:dyDescent="0.25">
      <c r="A338" s="28" t="s">
        <v>46</v>
      </c>
      <c r="B338" s="29">
        <v>63051.8704</v>
      </c>
      <c r="F338" t="s">
        <v>46</v>
      </c>
      <c r="G338">
        <v>2</v>
      </c>
    </row>
    <row r="339" spans="1:7" x14ac:dyDescent="0.25">
      <c r="A339" s="28" t="s">
        <v>1223</v>
      </c>
      <c r="B339" s="29">
        <v>63051.8704</v>
      </c>
      <c r="F339" t="s">
        <v>1223</v>
      </c>
      <c r="G339">
        <v>2</v>
      </c>
    </row>
    <row r="340" spans="1:7" x14ac:dyDescent="0.25">
      <c r="A340" s="28" t="s">
        <v>342</v>
      </c>
      <c r="B340" s="29">
        <v>63051.8704</v>
      </c>
      <c r="F340" t="s">
        <v>342</v>
      </c>
      <c r="G340">
        <v>2</v>
      </c>
    </row>
    <row r="341" spans="1:7" hidden="1" x14ac:dyDescent="0.25">
      <c r="A341" s="28" t="s">
        <v>3475</v>
      </c>
      <c r="B341" s="29">
        <v>62052.82</v>
      </c>
      <c r="F341" t="s">
        <v>3475</v>
      </c>
      <c r="G341">
        <v>1</v>
      </c>
    </row>
    <row r="342" spans="1:7" hidden="1" x14ac:dyDescent="0.25">
      <c r="A342" s="28" t="s">
        <v>4480</v>
      </c>
      <c r="B342" s="29">
        <v>62052.82</v>
      </c>
      <c r="F342" t="s">
        <v>4480</v>
      </c>
      <c r="G342">
        <v>1</v>
      </c>
    </row>
    <row r="343" spans="1:7" hidden="1" x14ac:dyDescent="0.25">
      <c r="A343" s="28" t="s">
        <v>4530</v>
      </c>
      <c r="B343" s="29">
        <v>62052.82</v>
      </c>
      <c r="F343" t="s">
        <v>4530</v>
      </c>
      <c r="G343">
        <v>1</v>
      </c>
    </row>
    <row r="344" spans="1:7" hidden="1" x14ac:dyDescent="0.25">
      <c r="A344" s="28" t="s">
        <v>4322</v>
      </c>
      <c r="B344" s="29">
        <v>62052.82</v>
      </c>
      <c r="F344" t="s">
        <v>4322</v>
      </c>
      <c r="G344">
        <v>1</v>
      </c>
    </row>
    <row r="345" spans="1:7" hidden="1" x14ac:dyDescent="0.25">
      <c r="A345" s="28" t="s">
        <v>4470</v>
      </c>
      <c r="B345" s="29">
        <v>62052.82</v>
      </c>
      <c r="F345" t="s">
        <v>4470</v>
      </c>
      <c r="G345">
        <v>1</v>
      </c>
    </row>
    <row r="346" spans="1:7" hidden="1" x14ac:dyDescent="0.25">
      <c r="A346" s="28" t="s">
        <v>4101</v>
      </c>
      <c r="B346" s="29">
        <v>62052.82</v>
      </c>
      <c r="F346" t="s">
        <v>4101</v>
      </c>
      <c r="G346">
        <v>1</v>
      </c>
    </row>
    <row r="347" spans="1:7" hidden="1" x14ac:dyDescent="0.25">
      <c r="A347" s="28" t="s">
        <v>3064</v>
      </c>
      <c r="B347" s="29">
        <v>62052.82</v>
      </c>
      <c r="F347" t="s">
        <v>3064</v>
      </c>
      <c r="G347">
        <v>1</v>
      </c>
    </row>
    <row r="348" spans="1:7" x14ac:dyDescent="0.25">
      <c r="A348" s="28" t="s">
        <v>253</v>
      </c>
      <c r="B348" s="29">
        <v>63051.8704</v>
      </c>
      <c r="F348" t="s">
        <v>253</v>
      </c>
      <c r="G348">
        <v>2</v>
      </c>
    </row>
    <row r="349" spans="1:7" x14ac:dyDescent="0.25">
      <c r="A349" s="28" t="s">
        <v>819</v>
      </c>
      <c r="B349" s="29">
        <v>63051.8704</v>
      </c>
      <c r="F349" t="s">
        <v>819</v>
      </c>
      <c r="G349">
        <v>2</v>
      </c>
    </row>
    <row r="350" spans="1:7" hidden="1" x14ac:dyDescent="0.25">
      <c r="A350" s="28" t="s">
        <v>4372</v>
      </c>
      <c r="B350" s="29">
        <v>62052.82</v>
      </c>
      <c r="F350" t="s">
        <v>4372</v>
      </c>
      <c r="G350">
        <v>1</v>
      </c>
    </row>
    <row r="351" spans="1:7" x14ac:dyDescent="0.25">
      <c r="A351" s="28" t="s">
        <v>105</v>
      </c>
      <c r="B351" s="29">
        <v>63051.8704</v>
      </c>
      <c r="F351" t="s">
        <v>105</v>
      </c>
      <c r="G351">
        <v>2</v>
      </c>
    </row>
    <row r="352" spans="1:7" hidden="1" x14ac:dyDescent="0.25">
      <c r="A352" s="28" t="s">
        <v>4358</v>
      </c>
      <c r="B352" s="29">
        <v>62052.82</v>
      </c>
      <c r="F352" t="s">
        <v>4358</v>
      </c>
      <c r="G352">
        <v>1</v>
      </c>
    </row>
    <row r="353" spans="1:7" x14ac:dyDescent="0.25">
      <c r="A353" s="28" t="s">
        <v>1177</v>
      </c>
      <c r="B353" s="29">
        <v>63051.8704</v>
      </c>
      <c r="F353" t="s">
        <v>1177</v>
      </c>
      <c r="G353">
        <v>2</v>
      </c>
    </row>
    <row r="354" spans="1:7" x14ac:dyDescent="0.25">
      <c r="A354" s="28" t="s">
        <v>1190</v>
      </c>
      <c r="B354" s="29">
        <v>63051.8704</v>
      </c>
      <c r="F354" t="s">
        <v>1190</v>
      </c>
      <c r="G354">
        <v>2</v>
      </c>
    </row>
    <row r="355" spans="1:7" x14ac:dyDescent="0.25">
      <c r="A355" s="28" t="s">
        <v>1343</v>
      </c>
      <c r="B355" s="29">
        <v>63051.8704</v>
      </c>
      <c r="F355" t="s">
        <v>1343</v>
      </c>
      <c r="G355">
        <v>2</v>
      </c>
    </row>
    <row r="356" spans="1:7" x14ac:dyDescent="0.25">
      <c r="A356" s="28" t="s">
        <v>628</v>
      </c>
      <c r="B356" s="29">
        <v>63051.8704</v>
      </c>
      <c r="F356" t="s">
        <v>628</v>
      </c>
      <c r="G356">
        <v>2</v>
      </c>
    </row>
    <row r="357" spans="1:7" x14ac:dyDescent="0.25">
      <c r="A357" s="28" t="s">
        <v>817</v>
      </c>
      <c r="B357" s="29">
        <v>63051.8704</v>
      </c>
      <c r="F357" t="s">
        <v>817</v>
      </c>
      <c r="G357">
        <v>2</v>
      </c>
    </row>
    <row r="358" spans="1:7" x14ac:dyDescent="0.25">
      <c r="A358" s="28" t="s">
        <v>906</v>
      </c>
      <c r="B358" s="29">
        <v>63051.8704</v>
      </c>
      <c r="F358" t="s">
        <v>906</v>
      </c>
      <c r="G358">
        <v>2</v>
      </c>
    </row>
    <row r="359" spans="1:7" x14ac:dyDescent="0.25">
      <c r="A359" s="28" t="s">
        <v>588</v>
      </c>
      <c r="B359" s="29">
        <v>63051.8704</v>
      </c>
      <c r="F359" t="s">
        <v>588</v>
      </c>
      <c r="G359">
        <v>2</v>
      </c>
    </row>
    <row r="360" spans="1:7" x14ac:dyDescent="0.25">
      <c r="A360" s="28" t="s">
        <v>1310</v>
      </c>
      <c r="B360" s="29">
        <v>63051.8704</v>
      </c>
      <c r="F360" t="s">
        <v>1310</v>
      </c>
      <c r="G360">
        <v>2</v>
      </c>
    </row>
    <row r="361" spans="1:7" x14ac:dyDescent="0.25">
      <c r="A361" s="28" t="s">
        <v>750</v>
      </c>
      <c r="B361" s="29">
        <v>63051.8704</v>
      </c>
      <c r="F361" t="s">
        <v>750</v>
      </c>
      <c r="G361">
        <v>2</v>
      </c>
    </row>
    <row r="362" spans="1:7" x14ac:dyDescent="0.25">
      <c r="A362" s="28" t="s">
        <v>363</v>
      </c>
      <c r="B362" s="29">
        <v>63051.8704</v>
      </c>
      <c r="F362" t="s">
        <v>363</v>
      </c>
      <c r="G362">
        <v>2</v>
      </c>
    </row>
    <row r="363" spans="1:7" x14ac:dyDescent="0.25">
      <c r="A363" s="28" t="s">
        <v>1094</v>
      </c>
      <c r="B363" s="29">
        <v>63051.8704</v>
      </c>
      <c r="F363" t="s">
        <v>1094</v>
      </c>
      <c r="G363">
        <v>2</v>
      </c>
    </row>
    <row r="364" spans="1:7" x14ac:dyDescent="0.25">
      <c r="A364" s="28" t="s">
        <v>1054</v>
      </c>
      <c r="B364" s="29">
        <v>63051.8704</v>
      </c>
      <c r="F364" t="s">
        <v>1054</v>
      </c>
      <c r="G364">
        <v>2</v>
      </c>
    </row>
    <row r="365" spans="1:7" x14ac:dyDescent="0.25">
      <c r="A365" s="28" t="s">
        <v>1305</v>
      </c>
      <c r="B365" s="29">
        <v>63051.8704</v>
      </c>
      <c r="F365" t="s">
        <v>1305</v>
      </c>
      <c r="G365">
        <v>2</v>
      </c>
    </row>
    <row r="366" spans="1:7" x14ac:dyDescent="0.25">
      <c r="A366" s="28" t="s">
        <v>1112</v>
      </c>
      <c r="B366" s="29">
        <v>63051.8704</v>
      </c>
      <c r="F366" t="s">
        <v>1112</v>
      </c>
      <c r="G366">
        <v>2</v>
      </c>
    </row>
    <row r="367" spans="1:7" x14ac:dyDescent="0.25">
      <c r="A367" s="28" t="s">
        <v>1549</v>
      </c>
      <c r="B367" s="29">
        <v>63051.8704</v>
      </c>
      <c r="F367" t="s">
        <v>1549</v>
      </c>
      <c r="G367">
        <v>2</v>
      </c>
    </row>
    <row r="368" spans="1:7" hidden="1" x14ac:dyDescent="0.25">
      <c r="A368" s="28" t="s">
        <v>3414</v>
      </c>
      <c r="B368" s="29">
        <v>62052.82</v>
      </c>
      <c r="F368" t="s">
        <v>3414</v>
      </c>
      <c r="G368">
        <v>1</v>
      </c>
    </row>
    <row r="369" spans="1:7" hidden="1" x14ac:dyDescent="0.25">
      <c r="A369" s="28" t="s">
        <v>4014</v>
      </c>
      <c r="B369" s="29">
        <v>62052.82</v>
      </c>
      <c r="F369" t="s">
        <v>4014</v>
      </c>
      <c r="G369">
        <v>1</v>
      </c>
    </row>
    <row r="370" spans="1:7" hidden="1" x14ac:dyDescent="0.25">
      <c r="A370" s="28" t="s">
        <v>4246</v>
      </c>
      <c r="B370" s="29">
        <v>62052.82</v>
      </c>
      <c r="F370" t="s">
        <v>4246</v>
      </c>
      <c r="G370">
        <v>1</v>
      </c>
    </row>
    <row r="371" spans="1:7" hidden="1" x14ac:dyDescent="0.25">
      <c r="A371" s="28" t="s">
        <v>3967</v>
      </c>
      <c r="B371" s="29">
        <v>62052.82</v>
      </c>
      <c r="F371" t="s">
        <v>3967</v>
      </c>
      <c r="G371">
        <v>1</v>
      </c>
    </row>
    <row r="372" spans="1:7" x14ac:dyDescent="0.25">
      <c r="A372" s="28" t="s">
        <v>1405</v>
      </c>
      <c r="B372" s="29">
        <v>63051.8704</v>
      </c>
      <c r="F372" t="s">
        <v>1405</v>
      </c>
      <c r="G372">
        <v>2</v>
      </c>
    </row>
    <row r="373" spans="1:7" x14ac:dyDescent="0.25">
      <c r="A373" s="28" t="s">
        <v>1124</v>
      </c>
      <c r="B373" s="29">
        <v>63051.8704</v>
      </c>
      <c r="F373" t="s">
        <v>1124</v>
      </c>
      <c r="G373">
        <v>2</v>
      </c>
    </row>
    <row r="374" spans="1:7" x14ac:dyDescent="0.25">
      <c r="A374" s="28" t="s">
        <v>1264</v>
      </c>
      <c r="B374" s="29">
        <v>63051.8704</v>
      </c>
      <c r="F374" t="s">
        <v>1264</v>
      </c>
      <c r="G374">
        <v>2</v>
      </c>
    </row>
    <row r="375" spans="1:7" x14ac:dyDescent="0.25">
      <c r="A375" s="28" t="s">
        <v>633</v>
      </c>
      <c r="B375" s="29">
        <v>63051.8704</v>
      </c>
      <c r="F375" t="s">
        <v>633</v>
      </c>
      <c r="G375">
        <v>2</v>
      </c>
    </row>
    <row r="376" spans="1:7" x14ac:dyDescent="0.25">
      <c r="A376" s="28" t="s">
        <v>807</v>
      </c>
      <c r="B376" s="29">
        <v>63051.8704</v>
      </c>
      <c r="F376" t="s">
        <v>807</v>
      </c>
      <c r="G376">
        <v>2</v>
      </c>
    </row>
    <row r="377" spans="1:7" x14ac:dyDescent="0.25">
      <c r="A377" s="28" t="s">
        <v>923</v>
      </c>
      <c r="B377" s="29">
        <v>63051.8704</v>
      </c>
      <c r="F377" t="s">
        <v>923</v>
      </c>
      <c r="G377">
        <v>2</v>
      </c>
    </row>
    <row r="378" spans="1:7" x14ac:dyDescent="0.25">
      <c r="A378" s="28" t="s">
        <v>811</v>
      </c>
      <c r="B378" s="29">
        <v>63051.8704</v>
      </c>
      <c r="F378" t="s">
        <v>811</v>
      </c>
      <c r="G378">
        <v>2</v>
      </c>
    </row>
    <row r="379" spans="1:7" x14ac:dyDescent="0.25">
      <c r="A379" s="28" t="s">
        <v>292</v>
      </c>
      <c r="B379" s="29">
        <v>63051.8704</v>
      </c>
      <c r="F379" t="s">
        <v>292</v>
      </c>
      <c r="G379">
        <v>2</v>
      </c>
    </row>
    <row r="380" spans="1:7" x14ac:dyDescent="0.25">
      <c r="A380" s="28" t="s">
        <v>508</v>
      </c>
      <c r="B380" s="29">
        <v>63051.8704</v>
      </c>
      <c r="F380" t="s">
        <v>508</v>
      </c>
      <c r="G380">
        <v>2</v>
      </c>
    </row>
    <row r="381" spans="1:7" hidden="1" x14ac:dyDescent="0.25">
      <c r="A381" s="28" t="s">
        <v>3810</v>
      </c>
      <c r="B381" s="29">
        <v>62052.82</v>
      </c>
      <c r="F381" t="s">
        <v>3810</v>
      </c>
      <c r="G381">
        <v>1</v>
      </c>
    </row>
    <row r="382" spans="1:7" x14ac:dyDescent="0.25">
      <c r="A382" s="28" t="s">
        <v>257</v>
      </c>
      <c r="B382" s="29">
        <v>63051.8704</v>
      </c>
      <c r="F382" t="s">
        <v>257</v>
      </c>
      <c r="G382">
        <v>2</v>
      </c>
    </row>
    <row r="383" spans="1:7" x14ac:dyDescent="0.25">
      <c r="A383" s="28" t="s">
        <v>517</v>
      </c>
      <c r="B383" s="29">
        <v>63051.8704</v>
      </c>
      <c r="F383" t="s">
        <v>517</v>
      </c>
      <c r="G383">
        <v>2</v>
      </c>
    </row>
    <row r="384" spans="1:7" x14ac:dyDescent="0.25">
      <c r="A384" s="28" t="s">
        <v>494</v>
      </c>
      <c r="B384" s="29">
        <v>63051.8704</v>
      </c>
      <c r="F384" t="s">
        <v>494</v>
      </c>
      <c r="G384">
        <v>2</v>
      </c>
    </row>
    <row r="385" spans="1:7" x14ac:dyDescent="0.25">
      <c r="A385" s="28" t="s">
        <v>49</v>
      </c>
      <c r="B385" s="29">
        <v>63051.8704</v>
      </c>
      <c r="F385" t="s">
        <v>49</v>
      </c>
      <c r="G385">
        <v>2</v>
      </c>
    </row>
    <row r="386" spans="1:7" hidden="1" x14ac:dyDescent="0.25">
      <c r="A386" s="28" t="s">
        <v>3590</v>
      </c>
      <c r="B386" s="29">
        <v>62052.82</v>
      </c>
      <c r="F386" t="s">
        <v>3590</v>
      </c>
      <c r="G386">
        <v>1</v>
      </c>
    </row>
    <row r="387" spans="1:7" x14ac:dyDescent="0.25">
      <c r="A387" s="28" t="s">
        <v>462</v>
      </c>
      <c r="B387" s="29">
        <v>63051.8704</v>
      </c>
      <c r="F387" t="s">
        <v>462</v>
      </c>
      <c r="G387">
        <v>2</v>
      </c>
    </row>
    <row r="388" spans="1:7" x14ac:dyDescent="0.25">
      <c r="A388" s="28" t="s">
        <v>998</v>
      </c>
      <c r="B388" s="29">
        <v>63051.8704</v>
      </c>
      <c r="F388" t="s">
        <v>998</v>
      </c>
      <c r="G388">
        <v>2</v>
      </c>
    </row>
    <row r="389" spans="1:7" x14ac:dyDescent="0.25">
      <c r="A389" s="28" t="s">
        <v>411</v>
      </c>
      <c r="B389" s="29">
        <v>63051.8704</v>
      </c>
      <c r="F389" t="s">
        <v>411</v>
      </c>
      <c r="G389">
        <v>2</v>
      </c>
    </row>
    <row r="390" spans="1:7" x14ac:dyDescent="0.25">
      <c r="A390" s="28" t="s">
        <v>610</v>
      </c>
      <c r="B390" s="29">
        <v>63051.8704</v>
      </c>
      <c r="F390" t="s">
        <v>610</v>
      </c>
      <c r="G390">
        <v>2</v>
      </c>
    </row>
    <row r="391" spans="1:7" x14ac:dyDescent="0.25">
      <c r="A391" s="28" t="s">
        <v>964</v>
      </c>
      <c r="B391" s="29">
        <v>63051.8704</v>
      </c>
      <c r="F391" t="s">
        <v>964</v>
      </c>
      <c r="G391">
        <v>2</v>
      </c>
    </row>
    <row r="392" spans="1:7" x14ac:dyDescent="0.25">
      <c r="A392" s="28" t="s">
        <v>634</v>
      </c>
      <c r="B392" s="29">
        <v>63051.8704</v>
      </c>
      <c r="F392" t="s">
        <v>634</v>
      </c>
      <c r="G392">
        <v>2</v>
      </c>
    </row>
    <row r="393" spans="1:7" x14ac:dyDescent="0.25">
      <c r="A393" s="28" t="s">
        <v>544</v>
      </c>
      <c r="B393" s="29">
        <v>63051.8704</v>
      </c>
      <c r="F393" t="s">
        <v>544</v>
      </c>
      <c r="G393">
        <v>2</v>
      </c>
    </row>
    <row r="394" spans="1:7" x14ac:dyDescent="0.25">
      <c r="A394" s="28" t="s">
        <v>81</v>
      </c>
      <c r="B394" s="29">
        <v>63051.8704</v>
      </c>
      <c r="F394" t="s">
        <v>81</v>
      </c>
      <c r="G394">
        <v>2</v>
      </c>
    </row>
    <row r="395" spans="1:7" x14ac:dyDescent="0.25">
      <c r="A395" s="28" t="s">
        <v>421</v>
      </c>
      <c r="B395" s="29">
        <v>63051.8704</v>
      </c>
      <c r="F395" t="s">
        <v>421</v>
      </c>
      <c r="G395">
        <v>2</v>
      </c>
    </row>
    <row r="396" spans="1:7" hidden="1" x14ac:dyDescent="0.25">
      <c r="A396" s="28" t="s">
        <v>4521</v>
      </c>
      <c r="B396" s="29">
        <v>62052.82</v>
      </c>
      <c r="F396" t="s">
        <v>4521</v>
      </c>
      <c r="G396">
        <v>1</v>
      </c>
    </row>
    <row r="397" spans="1:7" x14ac:dyDescent="0.25">
      <c r="A397" s="28" t="s">
        <v>57</v>
      </c>
      <c r="B397" s="29">
        <v>63051.8704</v>
      </c>
      <c r="F397" t="s">
        <v>57</v>
      </c>
      <c r="G397">
        <v>2</v>
      </c>
    </row>
    <row r="398" spans="1:7" hidden="1" x14ac:dyDescent="0.25">
      <c r="A398" s="28" t="s">
        <v>3533</v>
      </c>
      <c r="B398" s="29">
        <v>62052.82</v>
      </c>
      <c r="F398" t="s">
        <v>3533</v>
      </c>
      <c r="G398">
        <v>1</v>
      </c>
    </row>
    <row r="399" spans="1:7" x14ac:dyDescent="0.25">
      <c r="A399" s="28" t="s">
        <v>1120</v>
      </c>
      <c r="B399" s="29">
        <v>63051.8704</v>
      </c>
      <c r="F399" t="s">
        <v>1120</v>
      </c>
      <c r="G399">
        <v>2</v>
      </c>
    </row>
    <row r="400" spans="1:7" x14ac:dyDescent="0.25">
      <c r="A400" s="28" t="s">
        <v>340</v>
      </c>
      <c r="B400" s="29">
        <v>63051.8704</v>
      </c>
      <c r="F400" t="s">
        <v>340</v>
      </c>
      <c r="G400">
        <v>2</v>
      </c>
    </row>
    <row r="401" spans="1:7" x14ac:dyDescent="0.25">
      <c r="A401" s="28" t="s">
        <v>865</v>
      </c>
      <c r="B401" s="29">
        <v>63051.8704</v>
      </c>
      <c r="F401" t="s">
        <v>865</v>
      </c>
      <c r="G401">
        <v>2</v>
      </c>
    </row>
    <row r="402" spans="1:7" hidden="1" x14ac:dyDescent="0.25">
      <c r="A402" s="28" t="s">
        <v>3758</v>
      </c>
      <c r="B402" s="29">
        <v>62052.82</v>
      </c>
      <c r="F402" t="s">
        <v>3758</v>
      </c>
      <c r="G402">
        <v>1</v>
      </c>
    </row>
    <row r="403" spans="1:7" x14ac:dyDescent="0.25">
      <c r="A403" s="28" t="s">
        <v>665</v>
      </c>
      <c r="B403" s="29">
        <v>63051.8704</v>
      </c>
      <c r="F403" t="s">
        <v>665</v>
      </c>
      <c r="G403">
        <v>2</v>
      </c>
    </row>
    <row r="404" spans="1:7" x14ac:dyDescent="0.25">
      <c r="A404" s="28" t="s">
        <v>510</v>
      </c>
      <c r="B404" s="29">
        <v>63051.8704</v>
      </c>
      <c r="F404" t="s">
        <v>510</v>
      </c>
      <c r="G404">
        <v>2</v>
      </c>
    </row>
    <row r="405" spans="1:7" x14ac:dyDescent="0.25">
      <c r="A405" s="28" t="s">
        <v>761</v>
      </c>
      <c r="B405" s="29">
        <v>63051.8704</v>
      </c>
      <c r="F405" t="s">
        <v>761</v>
      </c>
      <c r="G405">
        <v>2</v>
      </c>
    </row>
    <row r="406" spans="1:7" hidden="1" x14ac:dyDescent="0.25">
      <c r="A406" s="28" t="s">
        <v>1059</v>
      </c>
      <c r="B406" s="29">
        <v>64050.9208</v>
      </c>
      <c r="F406" t="s">
        <v>1059</v>
      </c>
      <c r="G406">
        <v>1</v>
      </c>
    </row>
    <row r="407" spans="1:7" x14ac:dyDescent="0.25">
      <c r="A407" s="28" t="s">
        <v>1084</v>
      </c>
      <c r="B407" s="29">
        <v>63051.8704</v>
      </c>
      <c r="F407" t="s">
        <v>1084</v>
      </c>
      <c r="G407">
        <v>2</v>
      </c>
    </row>
    <row r="408" spans="1:7" x14ac:dyDescent="0.25">
      <c r="A408" s="28" t="s">
        <v>39</v>
      </c>
      <c r="B408" s="29">
        <v>63051.8704</v>
      </c>
      <c r="F408" t="s">
        <v>39</v>
      </c>
      <c r="G408">
        <v>2</v>
      </c>
    </row>
    <row r="409" spans="1:7" x14ac:dyDescent="0.25">
      <c r="A409" s="28" t="s">
        <v>100</v>
      </c>
      <c r="B409" s="29">
        <v>63051.8704</v>
      </c>
      <c r="F409" t="s">
        <v>100</v>
      </c>
      <c r="G409">
        <v>2</v>
      </c>
    </row>
    <row r="410" spans="1:7" x14ac:dyDescent="0.25">
      <c r="A410" s="28" t="s">
        <v>1270</v>
      </c>
      <c r="B410" s="29">
        <v>63051.8704</v>
      </c>
      <c r="F410" t="s">
        <v>1270</v>
      </c>
      <c r="G410">
        <v>2</v>
      </c>
    </row>
    <row r="411" spans="1:7" x14ac:dyDescent="0.25">
      <c r="A411" s="28" t="s">
        <v>36</v>
      </c>
      <c r="B411" s="29">
        <v>63051.8704</v>
      </c>
      <c r="F411" t="s">
        <v>36</v>
      </c>
      <c r="G411">
        <v>2</v>
      </c>
    </row>
    <row r="412" spans="1:7" x14ac:dyDescent="0.25">
      <c r="A412" s="28" t="s">
        <v>1288</v>
      </c>
      <c r="B412" s="29">
        <v>63051.8704</v>
      </c>
      <c r="F412" t="s">
        <v>1288</v>
      </c>
      <c r="G412">
        <v>2</v>
      </c>
    </row>
    <row r="413" spans="1:7" x14ac:dyDescent="0.25">
      <c r="A413" s="28" t="s">
        <v>740</v>
      </c>
      <c r="B413" s="29">
        <v>63051.8704</v>
      </c>
      <c r="F413" t="s">
        <v>740</v>
      </c>
      <c r="G413">
        <v>2</v>
      </c>
    </row>
    <row r="414" spans="1:7" hidden="1" x14ac:dyDescent="0.25">
      <c r="A414" s="28" t="s">
        <v>4192</v>
      </c>
      <c r="B414" s="29">
        <v>62052.82</v>
      </c>
      <c r="F414" t="s">
        <v>4192</v>
      </c>
      <c r="G414">
        <v>1</v>
      </c>
    </row>
    <row r="415" spans="1:7" x14ac:dyDescent="0.25">
      <c r="A415" s="28" t="s">
        <v>653</v>
      </c>
      <c r="B415" s="29">
        <v>63051.8704</v>
      </c>
      <c r="F415" t="s">
        <v>653</v>
      </c>
      <c r="G415">
        <v>2</v>
      </c>
    </row>
    <row r="416" spans="1:7" x14ac:dyDescent="0.25">
      <c r="A416" s="28" t="s">
        <v>1081</v>
      </c>
      <c r="B416" s="29">
        <v>63051.8704</v>
      </c>
      <c r="F416" t="s">
        <v>1081</v>
      </c>
      <c r="G416">
        <v>2</v>
      </c>
    </row>
    <row r="417" spans="1:7" hidden="1" x14ac:dyDescent="0.25">
      <c r="A417" s="28" t="s">
        <v>3202</v>
      </c>
      <c r="B417" s="29">
        <v>62052.82</v>
      </c>
      <c r="F417" t="s">
        <v>3202</v>
      </c>
      <c r="G417">
        <v>1</v>
      </c>
    </row>
    <row r="418" spans="1:7" hidden="1" x14ac:dyDescent="0.25">
      <c r="A418" s="28" t="s">
        <v>5037</v>
      </c>
      <c r="B418" s="29">
        <v>61432.36</v>
      </c>
      <c r="F418" t="s">
        <v>5037</v>
      </c>
      <c r="G418">
        <v>1</v>
      </c>
    </row>
    <row r="419" spans="1:7" hidden="1" x14ac:dyDescent="0.25">
      <c r="A419" s="28" t="s">
        <v>5020</v>
      </c>
      <c r="B419" s="29">
        <v>61432.36</v>
      </c>
      <c r="F419" t="s">
        <v>5020</v>
      </c>
      <c r="G419">
        <v>1</v>
      </c>
    </row>
    <row r="420" spans="1:7" x14ac:dyDescent="0.25">
      <c r="A420" s="28" t="s">
        <v>1467</v>
      </c>
      <c r="B420" s="29">
        <v>62421.421000000002</v>
      </c>
      <c r="F420" t="s">
        <v>1467</v>
      </c>
      <c r="G420">
        <v>2</v>
      </c>
    </row>
    <row r="421" spans="1:7" hidden="1" x14ac:dyDescent="0.25">
      <c r="A421" s="28" t="s">
        <v>2975</v>
      </c>
      <c r="B421" s="29">
        <v>61432.36</v>
      </c>
      <c r="F421" t="s">
        <v>2975</v>
      </c>
      <c r="G421">
        <v>1</v>
      </c>
    </row>
    <row r="422" spans="1:7" hidden="1" x14ac:dyDescent="0.25">
      <c r="A422" s="28" t="s">
        <v>5030</v>
      </c>
      <c r="B422" s="29">
        <v>61432.36</v>
      </c>
      <c r="F422" t="s">
        <v>5030</v>
      </c>
      <c r="G422">
        <v>1</v>
      </c>
    </row>
    <row r="423" spans="1:7" hidden="1" x14ac:dyDescent="0.25">
      <c r="A423" s="28" t="s">
        <v>4921</v>
      </c>
      <c r="B423" s="29">
        <v>61432.36</v>
      </c>
      <c r="F423" t="s">
        <v>4921</v>
      </c>
      <c r="G423">
        <v>1</v>
      </c>
    </row>
    <row r="424" spans="1:7" hidden="1" x14ac:dyDescent="0.25">
      <c r="A424" s="28" t="s">
        <v>4956</v>
      </c>
      <c r="B424" s="29">
        <v>61432.36</v>
      </c>
      <c r="F424" t="s">
        <v>4956</v>
      </c>
      <c r="G424">
        <v>1</v>
      </c>
    </row>
    <row r="425" spans="1:7" hidden="1" x14ac:dyDescent="0.25">
      <c r="A425" s="28" t="s">
        <v>4970</v>
      </c>
      <c r="B425" s="29">
        <v>61432.36</v>
      </c>
      <c r="F425" t="s">
        <v>4970</v>
      </c>
      <c r="G425">
        <v>1</v>
      </c>
    </row>
    <row r="426" spans="1:7" hidden="1" x14ac:dyDescent="0.25">
      <c r="A426" s="28" t="s">
        <v>4922</v>
      </c>
      <c r="B426" s="29">
        <v>61432.36</v>
      </c>
      <c r="F426" t="s">
        <v>4922</v>
      </c>
      <c r="G426">
        <v>1</v>
      </c>
    </row>
    <row r="427" spans="1:7" hidden="1" x14ac:dyDescent="0.25">
      <c r="A427" s="28" t="s">
        <v>4957</v>
      </c>
      <c r="B427" s="29">
        <v>61432.36</v>
      </c>
      <c r="F427" t="s">
        <v>4957</v>
      </c>
      <c r="G427">
        <v>1</v>
      </c>
    </row>
    <row r="428" spans="1:7" hidden="1" x14ac:dyDescent="0.25">
      <c r="A428" s="28" t="s">
        <v>3092</v>
      </c>
      <c r="B428" s="29">
        <v>61432.36</v>
      </c>
      <c r="F428" t="s">
        <v>3092</v>
      </c>
      <c r="G428">
        <v>1</v>
      </c>
    </row>
    <row r="429" spans="1:7" hidden="1" x14ac:dyDescent="0.25">
      <c r="A429" s="28" t="s">
        <v>4824</v>
      </c>
      <c r="B429" s="29">
        <v>61432.36</v>
      </c>
      <c r="F429" t="s">
        <v>4824</v>
      </c>
      <c r="G429">
        <v>1</v>
      </c>
    </row>
    <row r="430" spans="1:7" hidden="1" x14ac:dyDescent="0.25">
      <c r="A430" s="28" t="s">
        <v>4904</v>
      </c>
      <c r="B430" s="29">
        <v>61432.36</v>
      </c>
      <c r="F430" t="s">
        <v>4904</v>
      </c>
      <c r="G430">
        <v>1</v>
      </c>
    </row>
    <row r="431" spans="1:7" hidden="1" x14ac:dyDescent="0.25">
      <c r="A431" s="28" t="s">
        <v>4739</v>
      </c>
      <c r="B431" s="29">
        <v>61432.36</v>
      </c>
      <c r="F431" t="s">
        <v>4739</v>
      </c>
      <c r="G431">
        <v>1</v>
      </c>
    </row>
    <row r="432" spans="1:7" hidden="1" x14ac:dyDescent="0.25">
      <c r="A432" s="28" t="s">
        <v>4933</v>
      </c>
      <c r="B432" s="29">
        <v>61432.36</v>
      </c>
      <c r="F432" t="s">
        <v>4933</v>
      </c>
      <c r="G432">
        <v>1</v>
      </c>
    </row>
    <row r="433" spans="1:7" hidden="1" x14ac:dyDescent="0.25">
      <c r="A433" s="28" t="s">
        <v>4878</v>
      </c>
      <c r="B433" s="29">
        <v>61432.36</v>
      </c>
      <c r="F433" t="s">
        <v>4878</v>
      </c>
      <c r="G433">
        <v>1</v>
      </c>
    </row>
    <row r="434" spans="1:7" hidden="1" x14ac:dyDescent="0.25">
      <c r="A434" s="28" t="s">
        <v>2671</v>
      </c>
      <c r="B434" s="29">
        <v>61432.36</v>
      </c>
      <c r="F434" t="s">
        <v>2671</v>
      </c>
      <c r="G434">
        <v>1</v>
      </c>
    </row>
    <row r="435" spans="1:7" hidden="1" x14ac:dyDescent="0.25">
      <c r="A435" s="28" t="s">
        <v>2842</v>
      </c>
      <c r="B435" s="29">
        <v>61432.36</v>
      </c>
      <c r="F435" t="s">
        <v>2842</v>
      </c>
      <c r="G435">
        <v>1</v>
      </c>
    </row>
    <row r="436" spans="1:7" hidden="1" x14ac:dyDescent="0.25">
      <c r="A436" s="28" t="s">
        <v>4715</v>
      </c>
      <c r="B436" s="29">
        <v>61432.36</v>
      </c>
      <c r="F436" t="s">
        <v>4715</v>
      </c>
      <c r="G436">
        <v>1</v>
      </c>
    </row>
    <row r="437" spans="1:7" hidden="1" x14ac:dyDescent="0.25">
      <c r="A437" s="28" t="s">
        <v>3947</v>
      </c>
      <c r="B437" s="29">
        <v>61432.36</v>
      </c>
      <c r="F437" t="s">
        <v>3947</v>
      </c>
      <c r="G437">
        <v>1</v>
      </c>
    </row>
    <row r="438" spans="1:7" hidden="1" x14ac:dyDescent="0.25">
      <c r="A438" s="28" t="s">
        <v>3828</v>
      </c>
      <c r="B438" s="29">
        <v>61432.36</v>
      </c>
      <c r="F438" t="s">
        <v>3828</v>
      </c>
      <c r="G438">
        <v>1</v>
      </c>
    </row>
    <row r="439" spans="1:7" hidden="1" x14ac:dyDescent="0.25">
      <c r="A439" s="28" t="s">
        <v>2905</v>
      </c>
      <c r="B439" s="29">
        <v>61432.36</v>
      </c>
      <c r="F439" t="s">
        <v>2905</v>
      </c>
      <c r="G439">
        <v>1</v>
      </c>
    </row>
    <row r="440" spans="1:7" hidden="1" x14ac:dyDescent="0.25">
      <c r="A440" s="28" t="s">
        <v>4513</v>
      </c>
      <c r="B440" s="29">
        <v>61432.36</v>
      </c>
      <c r="F440" t="s">
        <v>4513</v>
      </c>
      <c r="G440">
        <v>1</v>
      </c>
    </row>
    <row r="441" spans="1:7" hidden="1" x14ac:dyDescent="0.25">
      <c r="A441" s="28" t="s">
        <v>2991</v>
      </c>
      <c r="B441" s="29">
        <v>61432.36</v>
      </c>
      <c r="F441" t="s">
        <v>2991</v>
      </c>
      <c r="G441">
        <v>1</v>
      </c>
    </row>
    <row r="442" spans="1:7" hidden="1" x14ac:dyDescent="0.25">
      <c r="A442" s="28" t="s">
        <v>3871</v>
      </c>
      <c r="B442" s="29">
        <v>61432.36</v>
      </c>
      <c r="F442" t="s">
        <v>3871</v>
      </c>
      <c r="G442">
        <v>1</v>
      </c>
    </row>
    <row r="443" spans="1:7" hidden="1" x14ac:dyDescent="0.25">
      <c r="A443" s="28" t="s">
        <v>2327</v>
      </c>
      <c r="B443" s="29">
        <v>61432.36</v>
      </c>
      <c r="F443" t="s">
        <v>2327</v>
      </c>
      <c r="G443">
        <v>1</v>
      </c>
    </row>
    <row r="444" spans="1:7" hidden="1" x14ac:dyDescent="0.25">
      <c r="A444" s="28" t="s">
        <v>4157</v>
      </c>
      <c r="B444" s="29">
        <v>62052.82</v>
      </c>
      <c r="F444" t="s">
        <v>4157</v>
      </c>
      <c r="G444">
        <v>1</v>
      </c>
    </row>
    <row r="445" spans="1:7" hidden="1" x14ac:dyDescent="0.25">
      <c r="A445" s="28" t="s">
        <v>4860</v>
      </c>
      <c r="B445" s="29">
        <v>61432.36</v>
      </c>
      <c r="F445" t="s">
        <v>4860</v>
      </c>
      <c r="G445">
        <v>1</v>
      </c>
    </row>
    <row r="446" spans="1:7" hidden="1" x14ac:dyDescent="0.25">
      <c r="A446" s="28" t="s">
        <v>3430</v>
      </c>
      <c r="B446" s="29">
        <v>61432.36</v>
      </c>
      <c r="F446" t="s">
        <v>3430</v>
      </c>
      <c r="G446">
        <v>1</v>
      </c>
    </row>
    <row r="447" spans="1:7" hidden="1" x14ac:dyDescent="0.25">
      <c r="A447" s="28" t="s">
        <v>2335</v>
      </c>
      <c r="B447" s="29">
        <v>61432.36</v>
      </c>
      <c r="F447" t="s">
        <v>2335</v>
      </c>
      <c r="G447">
        <v>1</v>
      </c>
    </row>
    <row r="448" spans="1:7" x14ac:dyDescent="0.25">
      <c r="A448" s="28" t="s">
        <v>1521</v>
      </c>
      <c r="B448" s="29">
        <v>62421.421000000002</v>
      </c>
      <c r="F448" t="s">
        <v>1521</v>
      </c>
      <c r="G448">
        <v>2</v>
      </c>
    </row>
    <row r="449" spans="1:7" hidden="1" x14ac:dyDescent="0.25">
      <c r="A449" s="28" t="s">
        <v>4433</v>
      </c>
      <c r="B449" s="29">
        <v>61432.36</v>
      </c>
      <c r="F449" t="s">
        <v>4433</v>
      </c>
      <c r="G449">
        <v>1</v>
      </c>
    </row>
    <row r="450" spans="1:7" hidden="1" x14ac:dyDescent="0.25">
      <c r="A450" s="28" t="s">
        <v>3346</v>
      </c>
      <c r="B450" s="29">
        <v>61432.36</v>
      </c>
      <c r="F450" t="s">
        <v>3346</v>
      </c>
      <c r="G450">
        <v>1</v>
      </c>
    </row>
    <row r="451" spans="1:7" hidden="1" x14ac:dyDescent="0.25">
      <c r="A451" s="28" t="s">
        <v>2514</v>
      </c>
      <c r="B451" s="29">
        <v>61432.36</v>
      </c>
      <c r="F451" t="s">
        <v>2514</v>
      </c>
      <c r="G451">
        <v>1</v>
      </c>
    </row>
    <row r="452" spans="1:7" hidden="1" x14ac:dyDescent="0.25">
      <c r="A452" s="28" t="s">
        <v>3981</v>
      </c>
      <c r="B452" s="29">
        <v>61432.36</v>
      </c>
      <c r="F452" t="s">
        <v>3981</v>
      </c>
      <c r="G452">
        <v>1</v>
      </c>
    </row>
    <row r="453" spans="1:7" hidden="1" x14ac:dyDescent="0.25">
      <c r="A453" s="28" t="s">
        <v>4787</v>
      </c>
      <c r="B453" s="29">
        <v>61432.36</v>
      </c>
      <c r="F453" t="s">
        <v>4787</v>
      </c>
      <c r="G453">
        <v>1</v>
      </c>
    </row>
    <row r="454" spans="1:7" hidden="1" x14ac:dyDescent="0.25">
      <c r="A454" s="28" t="s">
        <v>4527</v>
      </c>
      <c r="B454" s="29">
        <v>61432.36</v>
      </c>
      <c r="F454" t="s">
        <v>4527</v>
      </c>
      <c r="G454">
        <v>1</v>
      </c>
    </row>
    <row r="455" spans="1:7" hidden="1" x14ac:dyDescent="0.25">
      <c r="A455" s="28" t="s">
        <v>4906</v>
      </c>
      <c r="B455" s="29">
        <v>62052.82</v>
      </c>
      <c r="F455" t="s">
        <v>4906</v>
      </c>
      <c r="G455">
        <v>1</v>
      </c>
    </row>
    <row r="456" spans="1:7" hidden="1" x14ac:dyDescent="0.25">
      <c r="A456" s="28" t="s">
        <v>2921</v>
      </c>
      <c r="B456" s="29">
        <v>62052.82</v>
      </c>
      <c r="F456" t="s">
        <v>2921</v>
      </c>
      <c r="G456">
        <v>1</v>
      </c>
    </row>
    <row r="457" spans="1:7" hidden="1" x14ac:dyDescent="0.25">
      <c r="A457" s="28" t="s">
        <v>4036</v>
      </c>
      <c r="B457" s="29">
        <v>62052.82</v>
      </c>
      <c r="F457" t="s">
        <v>4036</v>
      </c>
      <c r="G457">
        <v>1</v>
      </c>
    </row>
    <row r="458" spans="1:7" hidden="1" x14ac:dyDescent="0.25">
      <c r="A458" s="28" t="s">
        <v>4735</v>
      </c>
      <c r="B458" s="29">
        <v>62052.82</v>
      </c>
      <c r="F458" t="s">
        <v>4735</v>
      </c>
      <c r="G458">
        <v>1</v>
      </c>
    </row>
    <row r="459" spans="1:7" hidden="1" x14ac:dyDescent="0.25">
      <c r="A459" s="28" t="s">
        <v>4558</v>
      </c>
      <c r="B459" s="29">
        <v>62052.82</v>
      </c>
      <c r="F459" t="s">
        <v>4558</v>
      </c>
      <c r="G459">
        <v>1</v>
      </c>
    </row>
    <row r="460" spans="1:7" hidden="1" x14ac:dyDescent="0.25">
      <c r="A460" s="28" t="s">
        <v>4812</v>
      </c>
      <c r="B460" s="29">
        <v>62052.82</v>
      </c>
      <c r="F460" t="s">
        <v>4812</v>
      </c>
      <c r="G460">
        <v>1</v>
      </c>
    </row>
    <row r="461" spans="1:7" hidden="1" x14ac:dyDescent="0.25">
      <c r="A461" s="28" t="s">
        <v>2494</v>
      </c>
      <c r="B461" s="29">
        <v>62052.82</v>
      </c>
      <c r="F461" t="s">
        <v>2494</v>
      </c>
      <c r="G461">
        <v>1</v>
      </c>
    </row>
    <row r="462" spans="1:7" hidden="1" x14ac:dyDescent="0.25">
      <c r="A462" s="28" t="s">
        <v>4634</v>
      </c>
      <c r="B462" s="29">
        <v>62052.82</v>
      </c>
      <c r="F462" t="s">
        <v>4634</v>
      </c>
      <c r="G462">
        <v>1</v>
      </c>
    </row>
    <row r="463" spans="1:7" hidden="1" x14ac:dyDescent="0.25">
      <c r="A463" s="28" t="s">
        <v>4458</v>
      </c>
      <c r="B463" s="29">
        <v>62052.82</v>
      </c>
      <c r="F463" t="s">
        <v>4458</v>
      </c>
      <c r="G463">
        <v>1</v>
      </c>
    </row>
    <row r="464" spans="1:7" x14ac:dyDescent="0.25">
      <c r="A464" s="28" t="s">
        <v>990</v>
      </c>
      <c r="B464" s="29">
        <v>63051.8704</v>
      </c>
      <c r="F464" t="s">
        <v>990</v>
      </c>
      <c r="G464">
        <v>2</v>
      </c>
    </row>
    <row r="465" spans="1:7" hidden="1" x14ac:dyDescent="0.25">
      <c r="A465" s="28" t="s">
        <v>4577</v>
      </c>
      <c r="B465" s="29">
        <v>62052.82</v>
      </c>
      <c r="F465" t="s">
        <v>4577</v>
      </c>
      <c r="G465">
        <v>1</v>
      </c>
    </row>
    <row r="466" spans="1:7" hidden="1" x14ac:dyDescent="0.25">
      <c r="A466" s="28" t="s">
        <v>3622</v>
      </c>
      <c r="B466" s="29">
        <v>62052.82</v>
      </c>
      <c r="F466" t="s">
        <v>3622</v>
      </c>
      <c r="G466">
        <v>1</v>
      </c>
    </row>
    <row r="467" spans="1:7" x14ac:dyDescent="0.25">
      <c r="A467" s="28" t="s">
        <v>1542</v>
      </c>
      <c r="B467" s="29">
        <v>62421.421000000002</v>
      </c>
      <c r="F467" t="s">
        <v>1542</v>
      </c>
      <c r="G467">
        <v>2</v>
      </c>
    </row>
    <row r="468" spans="1:7" hidden="1" x14ac:dyDescent="0.25">
      <c r="A468" s="28" t="s">
        <v>4373</v>
      </c>
      <c r="B468" s="29">
        <v>61432.36</v>
      </c>
      <c r="F468" t="s">
        <v>4373</v>
      </c>
      <c r="G468">
        <v>1</v>
      </c>
    </row>
    <row r="469" spans="1:7" x14ac:dyDescent="0.25">
      <c r="A469" s="28" t="s">
        <v>1289</v>
      </c>
      <c r="B469" s="29">
        <v>62421.421000000002</v>
      </c>
      <c r="F469" t="s">
        <v>1289</v>
      </c>
      <c r="G469">
        <v>2</v>
      </c>
    </row>
    <row r="470" spans="1:7" hidden="1" x14ac:dyDescent="0.25">
      <c r="A470" s="28" t="s">
        <v>4205</v>
      </c>
      <c r="B470" s="29">
        <v>61432.36</v>
      </c>
      <c r="F470" t="s">
        <v>4205</v>
      </c>
      <c r="G470">
        <v>1</v>
      </c>
    </row>
    <row r="471" spans="1:7" x14ac:dyDescent="0.25">
      <c r="A471" s="28" t="s">
        <v>449</v>
      </c>
      <c r="B471" s="29">
        <v>62421.421000000002</v>
      </c>
      <c r="F471" t="s">
        <v>449</v>
      </c>
      <c r="G471">
        <v>2</v>
      </c>
    </row>
    <row r="472" spans="1:7" hidden="1" x14ac:dyDescent="0.25">
      <c r="A472" s="28" t="s">
        <v>4392</v>
      </c>
      <c r="B472" s="29">
        <v>62052.82</v>
      </c>
      <c r="F472" t="s">
        <v>4392</v>
      </c>
      <c r="G472">
        <v>1</v>
      </c>
    </row>
    <row r="473" spans="1:7" hidden="1" x14ac:dyDescent="0.25">
      <c r="A473" s="28" t="s">
        <v>4046</v>
      </c>
      <c r="B473" s="29">
        <v>62052.82</v>
      </c>
      <c r="F473" t="s">
        <v>4046</v>
      </c>
      <c r="G473">
        <v>1</v>
      </c>
    </row>
    <row r="474" spans="1:7" hidden="1" x14ac:dyDescent="0.25">
      <c r="A474" s="28" t="s">
        <v>3532</v>
      </c>
      <c r="B474" s="29">
        <v>62052.82</v>
      </c>
      <c r="F474" t="s">
        <v>3532</v>
      </c>
      <c r="G474">
        <v>1</v>
      </c>
    </row>
    <row r="475" spans="1:7" hidden="1" x14ac:dyDescent="0.25">
      <c r="A475" s="28" t="s">
        <v>4395</v>
      </c>
      <c r="B475" s="29">
        <v>62052.82</v>
      </c>
      <c r="F475" t="s">
        <v>4395</v>
      </c>
      <c r="G475">
        <v>1</v>
      </c>
    </row>
    <row r="476" spans="1:7" hidden="1" x14ac:dyDescent="0.25">
      <c r="A476" s="28" t="s">
        <v>3405</v>
      </c>
      <c r="B476" s="29">
        <v>62052.82</v>
      </c>
      <c r="F476" t="s">
        <v>3405</v>
      </c>
      <c r="G476">
        <v>1</v>
      </c>
    </row>
    <row r="477" spans="1:7" hidden="1" x14ac:dyDescent="0.25">
      <c r="A477" s="28" t="s">
        <v>4211</v>
      </c>
      <c r="B477" s="29">
        <v>62052.82</v>
      </c>
      <c r="F477" t="s">
        <v>4211</v>
      </c>
      <c r="G477">
        <v>1</v>
      </c>
    </row>
    <row r="478" spans="1:7" hidden="1" x14ac:dyDescent="0.25">
      <c r="A478" s="28" t="s">
        <v>3427</v>
      </c>
      <c r="B478" s="29">
        <v>62052.82</v>
      </c>
      <c r="F478" t="s">
        <v>3427</v>
      </c>
      <c r="G478">
        <v>1</v>
      </c>
    </row>
    <row r="479" spans="1:7" x14ac:dyDescent="0.25">
      <c r="A479" s="28" t="s">
        <v>592</v>
      </c>
      <c r="B479" s="29">
        <v>63051.8704</v>
      </c>
      <c r="F479" t="s">
        <v>592</v>
      </c>
      <c r="G479">
        <v>2</v>
      </c>
    </row>
    <row r="480" spans="1:7" hidden="1" x14ac:dyDescent="0.25">
      <c r="A480" s="28" t="s">
        <v>3895</v>
      </c>
      <c r="B480" s="29">
        <v>62052.82</v>
      </c>
      <c r="F480" t="s">
        <v>3895</v>
      </c>
      <c r="G480">
        <v>1</v>
      </c>
    </row>
    <row r="481" spans="1:7" hidden="1" x14ac:dyDescent="0.25">
      <c r="A481" s="28" t="s">
        <v>3780</v>
      </c>
      <c r="B481" s="29">
        <v>62052.82</v>
      </c>
      <c r="F481" t="s">
        <v>3780</v>
      </c>
      <c r="G481">
        <v>1</v>
      </c>
    </row>
    <row r="482" spans="1:7" x14ac:dyDescent="0.25">
      <c r="A482" s="28" t="s">
        <v>1036</v>
      </c>
      <c r="B482" s="29">
        <v>62421.421000000002</v>
      </c>
      <c r="F482" t="s">
        <v>1036</v>
      </c>
      <c r="G482">
        <v>2</v>
      </c>
    </row>
    <row r="483" spans="1:7" hidden="1" x14ac:dyDescent="0.25">
      <c r="A483" s="28" t="s">
        <v>3276</v>
      </c>
      <c r="B483" s="29">
        <v>62052.82</v>
      </c>
      <c r="F483" t="s">
        <v>3276</v>
      </c>
      <c r="G483">
        <v>1</v>
      </c>
    </row>
    <row r="484" spans="1:7" hidden="1" x14ac:dyDescent="0.25">
      <c r="A484" s="28" t="s">
        <v>3560</v>
      </c>
      <c r="B484" s="29">
        <v>61432.36</v>
      </c>
      <c r="F484" t="s">
        <v>3560</v>
      </c>
      <c r="G484">
        <v>1</v>
      </c>
    </row>
    <row r="485" spans="1:7" hidden="1" x14ac:dyDescent="0.25">
      <c r="A485" s="28" t="s">
        <v>3350</v>
      </c>
      <c r="B485" s="29">
        <v>62052.82</v>
      </c>
      <c r="F485" t="s">
        <v>3350</v>
      </c>
      <c r="G485">
        <v>1</v>
      </c>
    </row>
    <row r="486" spans="1:7" x14ac:dyDescent="0.25">
      <c r="A486" s="28" t="s">
        <v>1191</v>
      </c>
      <c r="B486" s="29">
        <v>63051.8704</v>
      </c>
      <c r="F486" t="s">
        <v>1191</v>
      </c>
      <c r="G486">
        <v>2</v>
      </c>
    </row>
    <row r="487" spans="1:7" x14ac:dyDescent="0.25">
      <c r="A487" s="28" t="s">
        <v>30</v>
      </c>
      <c r="B487" s="29">
        <v>63051.8704</v>
      </c>
      <c r="F487" t="s">
        <v>30</v>
      </c>
      <c r="G487">
        <v>2</v>
      </c>
    </row>
    <row r="488" spans="1:7" hidden="1" x14ac:dyDescent="0.25">
      <c r="A488" s="28" t="s">
        <v>3332</v>
      </c>
      <c r="B488" s="29">
        <v>62052.82</v>
      </c>
      <c r="F488" t="s">
        <v>3332</v>
      </c>
      <c r="G488">
        <v>1</v>
      </c>
    </row>
    <row r="489" spans="1:7" hidden="1" x14ac:dyDescent="0.25">
      <c r="A489" s="28" t="s">
        <v>3307</v>
      </c>
      <c r="B489" s="29">
        <v>62052.82</v>
      </c>
      <c r="F489" t="s">
        <v>3307</v>
      </c>
      <c r="G489">
        <v>1</v>
      </c>
    </row>
    <row r="490" spans="1:7" hidden="1" x14ac:dyDescent="0.25">
      <c r="A490" s="28" t="s">
        <v>3956</v>
      </c>
      <c r="B490" s="29">
        <v>62052.82</v>
      </c>
      <c r="F490" t="s">
        <v>3956</v>
      </c>
      <c r="G490">
        <v>1</v>
      </c>
    </row>
    <row r="491" spans="1:7" hidden="1" x14ac:dyDescent="0.25">
      <c r="A491" s="28" t="s">
        <v>3564</v>
      </c>
      <c r="B491" s="29">
        <v>62052.82</v>
      </c>
      <c r="F491" t="s">
        <v>3564</v>
      </c>
      <c r="G491">
        <v>1</v>
      </c>
    </row>
    <row r="492" spans="1:7" hidden="1" x14ac:dyDescent="0.25">
      <c r="A492" s="28" t="s">
        <v>3236</v>
      </c>
      <c r="B492" s="29">
        <v>62052.82</v>
      </c>
      <c r="F492" t="s">
        <v>3236</v>
      </c>
      <c r="G492">
        <v>1</v>
      </c>
    </row>
    <row r="493" spans="1:7" hidden="1" x14ac:dyDescent="0.25">
      <c r="A493" s="28" t="s">
        <v>4333</v>
      </c>
      <c r="B493" s="29">
        <v>68202.2</v>
      </c>
      <c r="F493" t="s">
        <v>4333</v>
      </c>
      <c r="G493">
        <v>1</v>
      </c>
    </row>
    <row r="494" spans="1:7" x14ac:dyDescent="0.25">
      <c r="A494" s="28" t="s">
        <v>887</v>
      </c>
      <c r="B494" s="29">
        <v>63051.8704</v>
      </c>
      <c r="F494" t="s">
        <v>887</v>
      </c>
      <c r="G494">
        <v>2</v>
      </c>
    </row>
    <row r="495" spans="1:7" hidden="1" x14ac:dyDescent="0.25">
      <c r="A495" s="28" t="s">
        <v>4224</v>
      </c>
      <c r="B495" s="29">
        <v>52082.35</v>
      </c>
      <c r="F495" t="s">
        <v>4224</v>
      </c>
      <c r="G495">
        <v>1</v>
      </c>
    </row>
    <row r="496" spans="1:7" hidden="1" x14ac:dyDescent="0.25">
      <c r="A496" s="28" t="s">
        <v>4325</v>
      </c>
      <c r="B496" s="29">
        <v>52082.35</v>
      </c>
      <c r="F496" t="s">
        <v>4325</v>
      </c>
      <c r="G496">
        <v>1</v>
      </c>
    </row>
    <row r="497" spans="1:7" hidden="1" x14ac:dyDescent="0.25">
      <c r="A497" s="28" t="s">
        <v>3239</v>
      </c>
      <c r="B497" s="29">
        <v>61432.36</v>
      </c>
      <c r="F497" t="s">
        <v>3239</v>
      </c>
      <c r="G497">
        <v>1</v>
      </c>
    </row>
    <row r="498" spans="1:7" hidden="1" x14ac:dyDescent="0.25">
      <c r="A498" s="28" t="s">
        <v>3093</v>
      </c>
      <c r="B498" s="29">
        <v>61432.36</v>
      </c>
      <c r="F498" t="s">
        <v>3093</v>
      </c>
      <c r="G498">
        <v>1</v>
      </c>
    </row>
    <row r="499" spans="1:7" hidden="1" x14ac:dyDescent="0.25">
      <c r="A499" s="28" t="s">
        <v>2978</v>
      </c>
      <c r="B499" s="29">
        <v>68202.2</v>
      </c>
      <c r="F499" t="s">
        <v>2978</v>
      </c>
      <c r="G499">
        <v>1</v>
      </c>
    </row>
    <row r="500" spans="1:7" hidden="1" x14ac:dyDescent="0.25">
      <c r="A500" s="28" t="s">
        <v>3984</v>
      </c>
      <c r="B500" s="29">
        <v>68202.2</v>
      </c>
      <c r="F500" t="s">
        <v>3984</v>
      </c>
      <c r="G500">
        <v>1</v>
      </c>
    </row>
    <row r="501" spans="1:7" hidden="1" x14ac:dyDescent="0.25">
      <c r="A501" s="28" t="s">
        <v>2744</v>
      </c>
      <c r="B501" s="29">
        <v>68202.2</v>
      </c>
      <c r="F501" t="s">
        <v>2744</v>
      </c>
      <c r="G501">
        <v>1</v>
      </c>
    </row>
    <row r="502" spans="1:7" hidden="1" x14ac:dyDescent="0.25">
      <c r="A502" s="28" t="s">
        <v>4412</v>
      </c>
      <c r="B502" s="29">
        <v>68202.2</v>
      </c>
      <c r="F502" t="s">
        <v>4412</v>
      </c>
      <c r="G502">
        <v>1</v>
      </c>
    </row>
    <row r="503" spans="1:7" hidden="1" x14ac:dyDescent="0.25">
      <c r="A503" s="28" t="s">
        <v>3569</v>
      </c>
      <c r="B503" s="29">
        <v>68202.2</v>
      </c>
      <c r="F503" t="s">
        <v>3569</v>
      </c>
      <c r="G503">
        <v>1</v>
      </c>
    </row>
    <row r="504" spans="1:7" hidden="1" x14ac:dyDescent="0.25">
      <c r="A504" s="28" t="s">
        <v>2933</v>
      </c>
      <c r="B504" s="29">
        <v>62052.82</v>
      </c>
      <c r="F504" t="s">
        <v>2933</v>
      </c>
      <c r="G504">
        <v>1</v>
      </c>
    </row>
    <row r="505" spans="1:7" x14ac:dyDescent="0.25">
      <c r="A505" s="28" t="s">
        <v>217</v>
      </c>
      <c r="B505" s="29">
        <v>62421.421000000002</v>
      </c>
      <c r="F505" t="s">
        <v>217</v>
      </c>
      <c r="G505">
        <v>2</v>
      </c>
    </row>
    <row r="506" spans="1:7" x14ac:dyDescent="0.25">
      <c r="A506" s="28" t="s">
        <v>218</v>
      </c>
      <c r="B506" s="29">
        <v>62421.421000000002</v>
      </c>
      <c r="F506" t="s">
        <v>218</v>
      </c>
      <c r="G506">
        <v>2</v>
      </c>
    </row>
    <row r="507" spans="1:7" hidden="1" x14ac:dyDescent="0.25">
      <c r="A507" s="28" t="s">
        <v>4548</v>
      </c>
      <c r="B507" s="29">
        <v>61432.36</v>
      </c>
      <c r="F507" t="s">
        <v>4548</v>
      </c>
      <c r="G507">
        <v>1</v>
      </c>
    </row>
    <row r="508" spans="1:7" hidden="1" x14ac:dyDescent="0.25">
      <c r="A508" s="28" t="s">
        <v>4599</v>
      </c>
      <c r="B508" s="29">
        <v>62052.82</v>
      </c>
      <c r="F508" t="s">
        <v>4599</v>
      </c>
      <c r="G508">
        <v>1</v>
      </c>
    </row>
    <row r="509" spans="1:7" hidden="1" x14ac:dyDescent="0.25">
      <c r="A509" s="28" t="s">
        <v>3213</v>
      </c>
      <c r="B509" s="29">
        <v>62052.82</v>
      </c>
      <c r="F509" t="s">
        <v>3213</v>
      </c>
      <c r="G509">
        <v>1</v>
      </c>
    </row>
    <row r="510" spans="1:7" hidden="1" x14ac:dyDescent="0.25">
      <c r="A510" s="28" t="s">
        <v>3503</v>
      </c>
      <c r="B510" s="29">
        <v>62052.82</v>
      </c>
      <c r="F510" t="s">
        <v>3503</v>
      </c>
      <c r="G510">
        <v>1</v>
      </c>
    </row>
    <row r="511" spans="1:7" hidden="1" x14ac:dyDescent="0.25">
      <c r="A511" s="28" t="s">
        <v>3534</v>
      </c>
      <c r="B511" s="29">
        <v>62052.82</v>
      </c>
      <c r="F511" t="s">
        <v>3534</v>
      </c>
      <c r="G511">
        <v>1</v>
      </c>
    </row>
    <row r="512" spans="1:7" hidden="1" x14ac:dyDescent="0.25">
      <c r="A512" s="28" t="s">
        <v>4977</v>
      </c>
      <c r="B512" s="29">
        <v>46725.45</v>
      </c>
      <c r="F512" t="s">
        <v>4977</v>
      </c>
      <c r="G512">
        <v>1</v>
      </c>
    </row>
    <row r="513" spans="1:7" hidden="1" x14ac:dyDescent="0.25">
      <c r="A513" s="28" t="s">
        <v>4963</v>
      </c>
      <c r="B513" s="29">
        <v>46725.45</v>
      </c>
      <c r="F513" t="s">
        <v>4963</v>
      </c>
      <c r="G513">
        <v>1</v>
      </c>
    </row>
    <row r="514" spans="1:7" hidden="1" x14ac:dyDescent="0.25">
      <c r="A514" s="28" t="s">
        <v>2743</v>
      </c>
      <c r="B514" s="29">
        <v>46725.45</v>
      </c>
      <c r="F514" t="s">
        <v>2743</v>
      </c>
      <c r="G514">
        <v>1</v>
      </c>
    </row>
    <row r="515" spans="1:7" hidden="1" x14ac:dyDescent="0.25">
      <c r="A515" s="28" t="s">
        <v>3681</v>
      </c>
      <c r="B515" s="29">
        <v>46725.45</v>
      </c>
      <c r="F515" t="s">
        <v>3681</v>
      </c>
      <c r="G515">
        <v>1</v>
      </c>
    </row>
    <row r="516" spans="1:7" hidden="1" x14ac:dyDescent="0.25">
      <c r="A516" s="28" t="s">
        <v>3962</v>
      </c>
      <c r="B516" s="29">
        <v>46725.45</v>
      </c>
      <c r="F516" t="s">
        <v>3962</v>
      </c>
      <c r="G516">
        <v>1</v>
      </c>
    </row>
    <row r="517" spans="1:7" hidden="1" x14ac:dyDescent="0.25">
      <c r="A517" s="28" t="s">
        <v>5008</v>
      </c>
      <c r="B517" s="29">
        <v>38812.959999999999</v>
      </c>
      <c r="F517" t="s">
        <v>5008</v>
      </c>
      <c r="G517">
        <v>1</v>
      </c>
    </row>
    <row r="518" spans="1:7" hidden="1" x14ac:dyDescent="0.25">
      <c r="A518" s="28" t="s">
        <v>5123</v>
      </c>
      <c r="B518" s="29">
        <v>38812.959999999999</v>
      </c>
      <c r="F518" t="s">
        <v>5123</v>
      </c>
      <c r="G518">
        <v>1</v>
      </c>
    </row>
    <row r="519" spans="1:7" hidden="1" x14ac:dyDescent="0.25">
      <c r="A519" s="28" t="s">
        <v>2496</v>
      </c>
      <c r="B519" s="29">
        <v>38812.959999999999</v>
      </c>
      <c r="F519" t="s">
        <v>2496</v>
      </c>
      <c r="G519">
        <v>1</v>
      </c>
    </row>
    <row r="520" spans="1:7" hidden="1" x14ac:dyDescent="0.25">
      <c r="A520" s="28" t="s">
        <v>5109</v>
      </c>
      <c r="B520" s="29">
        <v>38812.959999999999</v>
      </c>
      <c r="F520" t="s">
        <v>5109</v>
      </c>
      <c r="G520">
        <v>1</v>
      </c>
    </row>
    <row r="521" spans="1:7" hidden="1" x14ac:dyDescent="0.25">
      <c r="A521" s="28" t="s">
        <v>5121</v>
      </c>
      <c r="B521" s="29">
        <v>38812.959999999999</v>
      </c>
      <c r="F521" t="s">
        <v>5121</v>
      </c>
      <c r="G521">
        <v>1</v>
      </c>
    </row>
    <row r="522" spans="1:7" hidden="1" x14ac:dyDescent="0.25">
      <c r="A522" s="28" t="s">
        <v>3151</v>
      </c>
      <c r="B522" s="29">
        <v>38812.959999999999</v>
      </c>
      <c r="F522" t="s">
        <v>3151</v>
      </c>
      <c r="G522">
        <v>1</v>
      </c>
    </row>
    <row r="523" spans="1:7" hidden="1" x14ac:dyDescent="0.25">
      <c r="A523" s="28" t="s">
        <v>5132</v>
      </c>
      <c r="B523" s="29">
        <v>38812.959999999999</v>
      </c>
      <c r="F523" t="s">
        <v>5132</v>
      </c>
      <c r="G523">
        <v>1</v>
      </c>
    </row>
    <row r="524" spans="1:7" hidden="1" x14ac:dyDescent="0.25">
      <c r="A524" s="28" t="s">
        <v>2907</v>
      </c>
      <c r="B524" s="29">
        <v>38812.959999999999</v>
      </c>
      <c r="F524" t="s">
        <v>2907</v>
      </c>
      <c r="G524">
        <v>1</v>
      </c>
    </row>
    <row r="525" spans="1:7" hidden="1" x14ac:dyDescent="0.25">
      <c r="A525" s="28" t="s">
        <v>5106</v>
      </c>
      <c r="B525" s="29">
        <v>38812.959999999999</v>
      </c>
      <c r="F525" t="s">
        <v>5106</v>
      </c>
      <c r="G525">
        <v>1</v>
      </c>
    </row>
    <row r="526" spans="1:7" hidden="1" x14ac:dyDescent="0.25">
      <c r="A526" s="28" t="s">
        <v>5101</v>
      </c>
      <c r="B526" s="29">
        <v>38812.959999999999</v>
      </c>
      <c r="F526" t="s">
        <v>5101</v>
      </c>
      <c r="G526">
        <v>1</v>
      </c>
    </row>
    <row r="527" spans="1:7" hidden="1" x14ac:dyDescent="0.25">
      <c r="A527" s="28" t="s">
        <v>3106</v>
      </c>
      <c r="B527" s="29">
        <v>38812.959999999999</v>
      </c>
      <c r="F527" t="s">
        <v>3106</v>
      </c>
      <c r="G527">
        <v>1</v>
      </c>
    </row>
    <row r="528" spans="1:7" x14ac:dyDescent="0.25">
      <c r="A528" s="28" t="s">
        <v>436</v>
      </c>
      <c r="B528" s="29">
        <v>39437.84865</v>
      </c>
      <c r="F528" t="s">
        <v>436</v>
      </c>
      <c r="G528">
        <v>2</v>
      </c>
    </row>
    <row r="529" spans="1:7" hidden="1" x14ac:dyDescent="0.25">
      <c r="A529" s="28" t="s">
        <v>5056</v>
      </c>
      <c r="B529" s="29">
        <v>38812.959999999999</v>
      </c>
      <c r="F529" t="s">
        <v>5056</v>
      </c>
      <c r="G529">
        <v>1</v>
      </c>
    </row>
    <row r="530" spans="1:7" x14ac:dyDescent="0.25">
      <c r="A530" s="28" t="s">
        <v>1265</v>
      </c>
      <c r="B530" s="29">
        <v>39437.84865</v>
      </c>
      <c r="F530" t="s">
        <v>1265</v>
      </c>
      <c r="G530">
        <v>2</v>
      </c>
    </row>
    <row r="531" spans="1:7" hidden="1" x14ac:dyDescent="0.25">
      <c r="A531" s="28" t="s">
        <v>5028</v>
      </c>
      <c r="B531" s="29">
        <v>38812.959999999999</v>
      </c>
      <c r="F531" t="s">
        <v>5028</v>
      </c>
      <c r="G531">
        <v>1</v>
      </c>
    </row>
    <row r="532" spans="1:7" hidden="1" x14ac:dyDescent="0.25">
      <c r="A532" s="28" t="s">
        <v>5015</v>
      </c>
      <c r="B532" s="29">
        <v>38812.959999999999</v>
      </c>
      <c r="F532" t="s">
        <v>5015</v>
      </c>
      <c r="G532">
        <v>1</v>
      </c>
    </row>
    <row r="533" spans="1:7" hidden="1" x14ac:dyDescent="0.25">
      <c r="A533" s="28" t="s">
        <v>5048</v>
      </c>
      <c r="B533" s="29">
        <v>38812.959999999999</v>
      </c>
      <c r="F533" t="s">
        <v>5048</v>
      </c>
      <c r="G533">
        <v>1</v>
      </c>
    </row>
    <row r="534" spans="1:7" hidden="1" x14ac:dyDescent="0.25">
      <c r="A534" s="28" t="s">
        <v>5063</v>
      </c>
      <c r="B534" s="29">
        <v>38812.959999999999</v>
      </c>
      <c r="F534" t="s">
        <v>5063</v>
      </c>
      <c r="G534">
        <v>1</v>
      </c>
    </row>
    <row r="535" spans="1:7" hidden="1" x14ac:dyDescent="0.25">
      <c r="A535" s="28" t="s">
        <v>5108</v>
      </c>
      <c r="B535" s="29">
        <v>38812.959999999999</v>
      </c>
      <c r="F535" t="s">
        <v>5108</v>
      </c>
      <c r="G535">
        <v>1</v>
      </c>
    </row>
    <row r="536" spans="1:7" hidden="1" x14ac:dyDescent="0.25">
      <c r="A536" s="28" t="s">
        <v>5130</v>
      </c>
      <c r="B536" s="29">
        <v>38812.959999999999</v>
      </c>
      <c r="F536" t="s">
        <v>5130</v>
      </c>
      <c r="G536">
        <v>1</v>
      </c>
    </row>
    <row r="537" spans="1:7" hidden="1" x14ac:dyDescent="0.25">
      <c r="A537" s="28" t="s">
        <v>4726</v>
      </c>
      <c r="B537" s="29">
        <v>52082.35</v>
      </c>
      <c r="F537" t="s">
        <v>4726</v>
      </c>
      <c r="G537">
        <v>1</v>
      </c>
    </row>
    <row r="538" spans="1:7" hidden="1" x14ac:dyDescent="0.25">
      <c r="A538" s="28" t="s">
        <v>4260</v>
      </c>
      <c r="B538" s="29">
        <v>52082.35</v>
      </c>
      <c r="F538" t="s">
        <v>4260</v>
      </c>
      <c r="G538">
        <v>1</v>
      </c>
    </row>
    <row r="539" spans="1:7" hidden="1" x14ac:dyDescent="0.25">
      <c r="A539" s="28" t="s">
        <v>3603</v>
      </c>
      <c r="B539" s="29">
        <v>52082.35</v>
      </c>
      <c r="F539" t="s">
        <v>3603</v>
      </c>
      <c r="G539">
        <v>1</v>
      </c>
    </row>
    <row r="540" spans="1:7" hidden="1" x14ac:dyDescent="0.25">
      <c r="A540" s="28" t="s">
        <v>4928</v>
      </c>
      <c r="B540" s="29">
        <v>52082.35</v>
      </c>
      <c r="F540" t="s">
        <v>4928</v>
      </c>
      <c r="G540">
        <v>1</v>
      </c>
    </row>
    <row r="541" spans="1:7" hidden="1" x14ac:dyDescent="0.25">
      <c r="A541" s="28" t="s">
        <v>2479</v>
      </c>
      <c r="B541" s="29">
        <v>52082.35</v>
      </c>
      <c r="F541" t="s">
        <v>2479</v>
      </c>
      <c r="G541">
        <v>1</v>
      </c>
    </row>
    <row r="542" spans="1:7" hidden="1" x14ac:dyDescent="0.25">
      <c r="A542" s="28" t="s">
        <v>4536</v>
      </c>
      <c r="B542" s="29">
        <v>52082.35</v>
      </c>
      <c r="F542" t="s">
        <v>4536</v>
      </c>
      <c r="G542">
        <v>1</v>
      </c>
    </row>
    <row r="543" spans="1:7" x14ac:dyDescent="0.25">
      <c r="A543" s="28" t="s">
        <v>1670</v>
      </c>
      <c r="B543" s="29">
        <v>52920.875849999997</v>
      </c>
      <c r="F543" t="s">
        <v>1670</v>
      </c>
      <c r="G543">
        <v>2</v>
      </c>
    </row>
    <row r="544" spans="1:7" hidden="1" x14ac:dyDescent="0.25">
      <c r="A544" s="28" t="s">
        <v>3784</v>
      </c>
      <c r="B544" s="29">
        <v>52082.35</v>
      </c>
      <c r="F544" t="s">
        <v>3784</v>
      </c>
      <c r="G544">
        <v>1</v>
      </c>
    </row>
    <row r="545" spans="1:7" hidden="1" x14ac:dyDescent="0.25">
      <c r="A545" s="28" t="s">
        <v>3472</v>
      </c>
      <c r="B545" s="29">
        <v>52082.35</v>
      </c>
      <c r="F545" t="s">
        <v>3472</v>
      </c>
      <c r="G545">
        <v>1</v>
      </c>
    </row>
    <row r="546" spans="1:7" hidden="1" x14ac:dyDescent="0.25">
      <c r="A546" s="28" t="s">
        <v>3749</v>
      </c>
      <c r="B546" s="29">
        <v>52082.35</v>
      </c>
      <c r="F546" t="s">
        <v>3749</v>
      </c>
      <c r="G546">
        <v>1</v>
      </c>
    </row>
    <row r="547" spans="1:7" hidden="1" x14ac:dyDescent="0.25">
      <c r="A547" s="28" t="s">
        <v>3224</v>
      </c>
      <c r="B547" s="29">
        <v>52082.35</v>
      </c>
      <c r="F547" t="s">
        <v>3224</v>
      </c>
      <c r="G547">
        <v>1</v>
      </c>
    </row>
    <row r="548" spans="1:7" hidden="1" x14ac:dyDescent="0.25">
      <c r="A548" s="28" t="s">
        <v>3542</v>
      </c>
      <c r="B548" s="29">
        <v>52082.35</v>
      </c>
      <c r="F548" t="s">
        <v>3542</v>
      </c>
      <c r="G548">
        <v>1</v>
      </c>
    </row>
    <row r="549" spans="1:7" hidden="1" x14ac:dyDescent="0.25">
      <c r="A549" s="28" t="s">
        <v>4125</v>
      </c>
      <c r="B549" s="29">
        <v>52082.35</v>
      </c>
      <c r="F549" t="s">
        <v>4125</v>
      </c>
      <c r="G549">
        <v>1</v>
      </c>
    </row>
    <row r="550" spans="1:7" hidden="1" x14ac:dyDescent="0.25">
      <c r="A550" s="28" t="s">
        <v>3856</v>
      </c>
      <c r="B550" s="29">
        <v>52082.35</v>
      </c>
      <c r="F550" t="s">
        <v>3856</v>
      </c>
      <c r="G550">
        <v>1</v>
      </c>
    </row>
    <row r="551" spans="1:7" hidden="1" x14ac:dyDescent="0.25">
      <c r="A551" s="28" t="s">
        <v>3212</v>
      </c>
      <c r="B551" s="29">
        <v>52082.35</v>
      </c>
      <c r="F551" t="s">
        <v>3212</v>
      </c>
      <c r="G551">
        <v>1</v>
      </c>
    </row>
    <row r="552" spans="1:7" hidden="1" x14ac:dyDescent="0.25">
      <c r="A552" s="28" t="s">
        <v>3309</v>
      </c>
      <c r="B552" s="29">
        <v>52082.35</v>
      </c>
      <c r="F552" t="s">
        <v>3309</v>
      </c>
      <c r="G552">
        <v>1</v>
      </c>
    </row>
    <row r="553" spans="1:7" x14ac:dyDescent="0.25">
      <c r="A553" s="28" t="s">
        <v>1464</v>
      </c>
      <c r="B553" s="29">
        <v>52920.875849999997</v>
      </c>
      <c r="F553" t="s">
        <v>1464</v>
      </c>
      <c r="G553">
        <v>2</v>
      </c>
    </row>
    <row r="554" spans="1:7" hidden="1" x14ac:dyDescent="0.25">
      <c r="A554" s="28" t="s">
        <v>3215</v>
      </c>
      <c r="B554" s="29">
        <v>52082.35</v>
      </c>
      <c r="F554" t="s">
        <v>3215</v>
      </c>
      <c r="G554">
        <v>1</v>
      </c>
    </row>
    <row r="555" spans="1:7" x14ac:dyDescent="0.25">
      <c r="A555" s="28" t="s">
        <v>1491</v>
      </c>
      <c r="B555" s="29">
        <v>52920.875849999997</v>
      </c>
      <c r="F555" t="s">
        <v>1491</v>
      </c>
      <c r="G555">
        <v>2</v>
      </c>
    </row>
    <row r="556" spans="1:7" hidden="1" x14ac:dyDescent="0.25">
      <c r="A556" s="28" t="s">
        <v>4049</v>
      </c>
      <c r="B556" s="29">
        <v>52082.35</v>
      </c>
      <c r="F556" t="s">
        <v>4049</v>
      </c>
      <c r="G556">
        <v>1</v>
      </c>
    </row>
    <row r="557" spans="1:7" hidden="1" x14ac:dyDescent="0.25">
      <c r="A557" s="28" t="s">
        <v>4349</v>
      </c>
      <c r="B557" s="29">
        <v>52082.35</v>
      </c>
      <c r="F557" t="s">
        <v>4349</v>
      </c>
      <c r="G557">
        <v>1</v>
      </c>
    </row>
    <row r="558" spans="1:7" hidden="1" x14ac:dyDescent="0.25">
      <c r="A558" s="28" t="s">
        <v>4430</v>
      </c>
      <c r="B558" s="29">
        <v>52082.35</v>
      </c>
      <c r="F558" t="s">
        <v>4430</v>
      </c>
      <c r="G558">
        <v>1</v>
      </c>
    </row>
    <row r="559" spans="1:7" x14ac:dyDescent="0.25">
      <c r="A559" s="28" t="s">
        <v>1097</v>
      </c>
      <c r="B559" s="29">
        <v>52920.875849999997</v>
      </c>
      <c r="F559" t="s">
        <v>1097</v>
      </c>
      <c r="G559">
        <v>2</v>
      </c>
    </row>
    <row r="560" spans="1:7" hidden="1" x14ac:dyDescent="0.25">
      <c r="A560" s="28" t="s">
        <v>4185</v>
      </c>
      <c r="B560" s="29">
        <v>52082.35</v>
      </c>
      <c r="F560" t="s">
        <v>4185</v>
      </c>
      <c r="G560">
        <v>1</v>
      </c>
    </row>
    <row r="561" spans="1:7" x14ac:dyDescent="0.25">
      <c r="A561" s="28" t="s">
        <v>1527</v>
      </c>
      <c r="B561" s="29">
        <v>52920.875849999997</v>
      </c>
      <c r="F561" t="s">
        <v>1527</v>
      </c>
      <c r="G561">
        <v>2</v>
      </c>
    </row>
    <row r="562" spans="1:7" x14ac:dyDescent="0.25">
      <c r="A562" s="28" t="s">
        <v>1581</v>
      </c>
      <c r="B562" s="29">
        <v>52920.875849999997</v>
      </c>
      <c r="F562" t="s">
        <v>1581</v>
      </c>
      <c r="G562">
        <v>2</v>
      </c>
    </row>
    <row r="563" spans="1:7" hidden="1" x14ac:dyDescent="0.25">
      <c r="A563" s="28" t="s">
        <v>3624</v>
      </c>
      <c r="B563" s="29">
        <v>52082.35</v>
      </c>
      <c r="F563" t="s">
        <v>3624</v>
      </c>
      <c r="G563">
        <v>1</v>
      </c>
    </row>
    <row r="564" spans="1:7" hidden="1" x14ac:dyDescent="0.25">
      <c r="A564" s="28" t="s">
        <v>4208</v>
      </c>
      <c r="B564" s="29">
        <v>52082.35</v>
      </c>
      <c r="F564" t="s">
        <v>4208</v>
      </c>
      <c r="G564">
        <v>1</v>
      </c>
    </row>
    <row r="565" spans="1:7" hidden="1" x14ac:dyDescent="0.25">
      <c r="A565" s="28" t="s">
        <v>3707</v>
      </c>
      <c r="B565" s="29">
        <v>52082.35</v>
      </c>
      <c r="F565" t="s">
        <v>3707</v>
      </c>
      <c r="G565">
        <v>1</v>
      </c>
    </row>
    <row r="566" spans="1:7" hidden="1" x14ac:dyDescent="0.25">
      <c r="A566" s="28" t="s">
        <v>2858</v>
      </c>
      <c r="B566" s="29">
        <v>52082.35</v>
      </c>
      <c r="F566" t="s">
        <v>2858</v>
      </c>
      <c r="G566">
        <v>1</v>
      </c>
    </row>
    <row r="567" spans="1:7" hidden="1" x14ac:dyDescent="0.25">
      <c r="A567" s="28" t="s">
        <v>3417</v>
      </c>
      <c r="B567" s="29">
        <v>52082.35</v>
      </c>
      <c r="F567" t="s">
        <v>3417</v>
      </c>
      <c r="G567">
        <v>1</v>
      </c>
    </row>
    <row r="568" spans="1:7" hidden="1" x14ac:dyDescent="0.25">
      <c r="A568" s="28" t="s">
        <v>3703</v>
      </c>
      <c r="B568" s="29">
        <v>52082.35</v>
      </c>
      <c r="F568" t="s">
        <v>3703</v>
      </c>
      <c r="G568">
        <v>1</v>
      </c>
    </row>
    <row r="569" spans="1:7" hidden="1" x14ac:dyDescent="0.25">
      <c r="A569" s="28" t="s">
        <v>3227</v>
      </c>
      <c r="B569" s="29">
        <v>52082.35</v>
      </c>
      <c r="F569" t="s">
        <v>3227</v>
      </c>
      <c r="G569">
        <v>1</v>
      </c>
    </row>
    <row r="570" spans="1:7" hidden="1" x14ac:dyDescent="0.25">
      <c r="A570" s="28" t="s">
        <v>3504</v>
      </c>
      <c r="B570" s="29">
        <v>52082.35</v>
      </c>
      <c r="F570" t="s">
        <v>3504</v>
      </c>
      <c r="G570">
        <v>1</v>
      </c>
    </row>
    <row r="571" spans="1:7" hidden="1" x14ac:dyDescent="0.25">
      <c r="A571" s="28" t="s">
        <v>3923</v>
      </c>
      <c r="B571" s="29">
        <v>52082.35</v>
      </c>
      <c r="F571" t="s">
        <v>3923</v>
      </c>
      <c r="G571">
        <v>1</v>
      </c>
    </row>
    <row r="572" spans="1:7" hidden="1" x14ac:dyDescent="0.25">
      <c r="A572" s="28" t="s">
        <v>2955</v>
      </c>
      <c r="B572" s="29">
        <v>52082.35</v>
      </c>
      <c r="F572" t="s">
        <v>2955</v>
      </c>
      <c r="G572">
        <v>1</v>
      </c>
    </row>
    <row r="573" spans="1:7" hidden="1" x14ac:dyDescent="0.25">
      <c r="A573" s="28" t="s">
        <v>4174</v>
      </c>
      <c r="B573" s="29">
        <v>52082.35</v>
      </c>
      <c r="F573" t="s">
        <v>4174</v>
      </c>
      <c r="G573">
        <v>1</v>
      </c>
    </row>
    <row r="574" spans="1:7" hidden="1" x14ac:dyDescent="0.25">
      <c r="A574" s="28" t="s">
        <v>4114</v>
      </c>
      <c r="B574" s="29">
        <v>52082.35</v>
      </c>
      <c r="F574" t="s">
        <v>4114</v>
      </c>
      <c r="G574">
        <v>1</v>
      </c>
    </row>
    <row r="575" spans="1:7" hidden="1" x14ac:dyDescent="0.25">
      <c r="A575" s="28" t="s">
        <v>3822</v>
      </c>
      <c r="B575" s="29">
        <v>52082.35</v>
      </c>
      <c r="F575" t="s">
        <v>3822</v>
      </c>
      <c r="G575">
        <v>1</v>
      </c>
    </row>
    <row r="576" spans="1:7" hidden="1" x14ac:dyDescent="0.25">
      <c r="A576" s="28" t="s">
        <v>3598</v>
      </c>
      <c r="B576" s="29">
        <v>52082.35</v>
      </c>
      <c r="F576" t="s">
        <v>3598</v>
      </c>
      <c r="G576">
        <v>1</v>
      </c>
    </row>
    <row r="577" spans="1:7" x14ac:dyDescent="0.25">
      <c r="A577" s="28" t="s">
        <v>1340</v>
      </c>
      <c r="B577" s="29">
        <v>52920.875849999997</v>
      </c>
      <c r="F577" t="s">
        <v>1340</v>
      </c>
      <c r="G577">
        <v>2</v>
      </c>
    </row>
    <row r="578" spans="1:7" hidden="1" x14ac:dyDescent="0.25">
      <c r="A578" s="28" t="s">
        <v>3739</v>
      </c>
      <c r="B578" s="29">
        <v>52082.35</v>
      </c>
      <c r="F578" t="s">
        <v>3739</v>
      </c>
      <c r="G578">
        <v>1</v>
      </c>
    </row>
    <row r="579" spans="1:7" hidden="1" x14ac:dyDescent="0.25">
      <c r="A579" s="28" t="s">
        <v>3413</v>
      </c>
      <c r="B579" s="29">
        <v>52082.35</v>
      </c>
      <c r="F579" t="s">
        <v>3413</v>
      </c>
      <c r="G579">
        <v>1</v>
      </c>
    </row>
    <row r="580" spans="1:7" hidden="1" x14ac:dyDescent="0.25">
      <c r="A580" s="28" t="s">
        <v>3366</v>
      </c>
      <c r="B580" s="29">
        <v>52082.35</v>
      </c>
      <c r="F580" t="s">
        <v>3366</v>
      </c>
      <c r="G580">
        <v>1</v>
      </c>
    </row>
    <row r="581" spans="1:7" hidden="1" x14ac:dyDescent="0.25">
      <c r="A581" s="28" t="s">
        <v>3968</v>
      </c>
      <c r="B581" s="29">
        <v>52082.35</v>
      </c>
      <c r="F581" t="s">
        <v>3968</v>
      </c>
      <c r="G581">
        <v>1</v>
      </c>
    </row>
    <row r="582" spans="1:7" hidden="1" x14ac:dyDescent="0.25">
      <c r="A582" s="28" t="s">
        <v>4352</v>
      </c>
      <c r="B582" s="29">
        <v>52082.35</v>
      </c>
      <c r="F582" t="s">
        <v>4352</v>
      </c>
      <c r="G582">
        <v>1</v>
      </c>
    </row>
    <row r="583" spans="1:7" hidden="1" x14ac:dyDescent="0.25">
      <c r="A583" s="28" t="s">
        <v>4070</v>
      </c>
      <c r="B583" s="29">
        <v>52082.35</v>
      </c>
      <c r="F583" t="s">
        <v>4070</v>
      </c>
      <c r="G583">
        <v>1</v>
      </c>
    </row>
    <row r="584" spans="1:7" hidden="1" x14ac:dyDescent="0.25">
      <c r="A584" s="28" t="s">
        <v>4090</v>
      </c>
      <c r="B584" s="29">
        <v>52082.35</v>
      </c>
      <c r="F584" t="s">
        <v>4090</v>
      </c>
      <c r="G584">
        <v>1</v>
      </c>
    </row>
    <row r="585" spans="1:7" hidden="1" x14ac:dyDescent="0.25">
      <c r="A585" s="28" t="s">
        <v>3946</v>
      </c>
      <c r="B585" s="29">
        <v>52082.35</v>
      </c>
      <c r="F585" t="s">
        <v>3946</v>
      </c>
      <c r="G585">
        <v>1</v>
      </c>
    </row>
    <row r="586" spans="1:7" hidden="1" x14ac:dyDescent="0.25">
      <c r="A586" s="28" t="s">
        <v>3722</v>
      </c>
      <c r="B586" s="29">
        <v>52082.35</v>
      </c>
      <c r="F586" t="s">
        <v>3722</v>
      </c>
      <c r="G586">
        <v>1</v>
      </c>
    </row>
    <row r="587" spans="1:7" hidden="1" x14ac:dyDescent="0.25">
      <c r="A587" s="28" t="s">
        <v>3925</v>
      </c>
      <c r="B587" s="29">
        <v>52082.35</v>
      </c>
      <c r="F587" t="s">
        <v>3925</v>
      </c>
      <c r="G587">
        <v>1</v>
      </c>
    </row>
    <row r="588" spans="1:7" hidden="1" x14ac:dyDescent="0.25">
      <c r="A588" s="28" t="s">
        <v>4418</v>
      </c>
      <c r="B588" s="29">
        <v>52082.35</v>
      </c>
      <c r="F588" t="s">
        <v>4418</v>
      </c>
      <c r="G588">
        <v>1</v>
      </c>
    </row>
    <row r="589" spans="1:7" hidden="1" x14ac:dyDescent="0.25">
      <c r="A589" s="28" t="s">
        <v>3892</v>
      </c>
      <c r="B589" s="29">
        <v>52082.35</v>
      </c>
      <c r="F589" t="s">
        <v>3892</v>
      </c>
      <c r="G589">
        <v>1</v>
      </c>
    </row>
    <row r="590" spans="1:7" hidden="1" x14ac:dyDescent="0.25">
      <c r="A590" s="28" t="s">
        <v>3975</v>
      </c>
      <c r="B590" s="29">
        <v>52082.35</v>
      </c>
      <c r="F590" t="s">
        <v>3975</v>
      </c>
      <c r="G590">
        <v>1</v>
      </c>
    </row>
    <row r="591" spans="1:7" x14ac:dyDescent="0.25">
      <c r="A591" s="28" t="s">
        <v>582</v>
      </c>
      <c r="B591" s="29">
        <v>52920.875849999997</v>
      </c>
      <c r="F591" t="s">
        <v>582</v>
      </c>
      <c r="G591">
        <v>2</v>
      </c>
    </row>
    <row r="592" spans="1:7" x14ac:dyDescent="0.25">
      <c r="A592" s="28" t="s">
        <v>1315</v>
      </c>
      <c r="B592" s="29">
        <v>52920.875849999997</v>
      </c>
      <c r="F592" t="s">
        <v>1315</v>
      </c>
      <c r="G592">
        <v>2</v>
      </c>
    </row>
    <row r="593" spans="1:7" hidden="1" x14ac:dyDescent="0.25">
      <c r="A593" s="28" t="s">
        <v>2789</v>
      </c>
      <c r="B593" s="29">
        <v>52082.35</v>
      </c>
      <c r="F593" t="s">
        <v>2789</v>
      </c>
      <c r="G593">
        <v>1</v>
      </c>
    </row>
    <row r="594" spans="1:7" hidden="1" x14ac:dyDescent="0.25">
      <c r="A594" s="28" t="s">
        <v>4233</v>
      </c>
      <c r="B594" s="29">
        <v>52082.35</v>
      </c>
      <c r="F594" t="s">
        <v>4233</v>
      </c>
      <c r="G594">
        <v>1</v>
      </c>
    </row>
    <row r="595" spans="1:7" hidden="1" x14ac:dyDescent="0.25">
      <c r="A595" s="28" t="s">
        <v>3787</v>
      </c>
      <c r="B595" s="29">
        <v>52082.35</v>
      </c>
      <c r="F595" t="s">
        <v>3787</v>
      </c>
      <c r="G595">
        <v>1</v>
      </c>
    </row>
    <row r="596" spans="1:7" hidden="1" x14ac:dyDescent="0.25">
      <c r="A596" s="28" t="s">
        <v>3160</v>
      </c>
      <c r="B596" s="29">
        <v>52082.35</v>
      </c>
      <c r="F596" t="s">
        <v>3160</v>
      </c>
      <c r="G596">
        <v>1</v>
      </c>
    </row>
    <row r="597" spans="1:7" hidden="1" x14ac:dyDescent="0.25">
      <c r="A597" s="28" t="s">
        <v>3394</v>
      </c>
      <c r="B597" s="29">
        <v>52082.35</v>
      </c>
      <c r="F597" t="s">
        <v>3394</v>
      </c>
      <c r="G597">
        <v>1</v>
      </c>
    </row>
    <row r="598" spans="1:7" hidden="1" x14ac:dyDescent="0.25">
      <c r="A598" s="28" t="s">
        <v>4042</v>
      </c>
      <c r="B598" s="29">
        <v>52082.35</v>
      </c>
      <c r="F598" t="s">
        <v>4042</v>
      </c>
      <c r="G598">
        <v>1</v>
      </c>
    </row>
    <row r="599" spans="1:7" hidden="1" x14ac:dyDescent="0.25">
      <c r="A599" s="28" t="s">
        <v>4031</v>
      </c>
      <c r="B599" s="29">
        <v>52082.35</v>
      </c>
      <c r="F599" t="s">
        <v>4031</v>
      </c>
      <c r="G599">
        <v>1</v>
      </c>
    </row>
    <row r="600" spans="1:7" x14ac:dyDescent="0.25">
      <c r="A600" s="28" t="s">
        <v>1516</v>
      </c>
      <c r="B600" s="29">
        <v>52920.875849999997</v>
      </c>
      <c r="F600" t="s">
        <v>1516</v>
      </c>
      <c r="G600">
        <v>2</v>
      </c>
    </row>
    <row r="601" spans="1:7" hidden="1" x14ac:dyDescent="0.25">
      <c r="A601" s="28" t="s">
        <v>3225</v>
      </c>
      <c r="B601" s="29">
        <v>52082.35</v>
      </c>
      <c r="F601" t="s">
        <v>3225</v>
      </c>
      <c r="G601">
        <v>1</v>
      </c>
    </row>
    <row r="602" spans="1:7" hidden="1" x14ac:dyDescent="0.25">
      <c r="A602" s="28" t="s">
        <v>3720</v>
      </c>
      <c r="B602" s="29">
        <v>52082.35</v>
      </c>
      <c r="F602" t="s">
        <v>3720</v>
      </c>
      <c r="G602">
        <v>1</v>
      </c>
    </row>
    <row r="603" spans="1:7" x14ac:dyDescent="0.25">
      <c r="A603" s="28" t="s">
        <v>1453</v>
      </c>
      <c r="B603" s="29">
        <v>52920.875849999997</v>
      </c>
      <c r="F603" t="s">
        <v>1453</v>
      </c>
      <c r="G603">
        <v>2</v>
      </c>
    </row>
    <row r="604" spans="1:7" hidden="1" x14ac:dyDescent="0.25">
      <c r="A604" s="28" t="s">
        <v>3021</v>
      </c>
      <c r="B604" s="29">
        <v>52082.35</v>
      </c>
      <c r="F604" t="s">
        <v>3021</v>
      </c>
      <c r="G604">
        <v>1</v>
      </c>
    </row>
    <row r="605" spans="1:7" hidden="1" x14ac:dyDescent="0.25">
      <c r="A605" s="28" t="s">
        <v>3634</v>
      </c>
      <c r="B605" s="29">
        <v>52082.35</v>
      </c>
      <c r="F605" t="s">
        <v>3634</v>
      </c>
      <c r="G605">
        <v>1</v>
      </c>
    </row>
    <row r="606" spans="1:7" hidden="1" x14ac:dyDescent="0.25">
      <c r="A606" s="28" t="s">
        <v>4066</v>
      </c>
      <c r="B606" s="29">
        <v>52082.35</v>
      </c>
      <c r="F606" t="s">
        <v>4066</v>
      </c>
      <c r="G606">
        <v>1</v>
      </c>
    </row>
    <row r="607" spans="1:7" hidden="1" x14ac:dyDescent="0.25">
      <c r="A607" s="28" t="s">
        <v>4217</v>
      </c>
      <c r="B607" s="29">
        <v>52082.35</v>
      </c>
      <c r="F607" t="s">
        <v>4217</v>
      </c>
      <c r="G607">
        <v>1</v>
      </c>
    </row>
    <row r="608" spans="1:7" x14ac:dyDescent="0.25">
      <c r="A608" s="28" t="s">
        <v>1576</v>
      </c>
      <c r="B608" s="29">
        <v>52920.875849999997</v>
      </c>
      <c r="F608" t="s">
        <v>1576</v>
      </c>
      <c r="G608">
        <v>2</v>
      </c>
    </row>
    <row r="609" spans="1:7" hidden="1" x14ac:dyDescent="0.25">
      <c r="A609" s="28" t="s">
        <v>3596</v>
      </c>
      <c r="B609" s="29">
        <v>52082.35</v>
      </c>
      <c r="F609" t="s">
        <v>3596</v>
      </c>
      <c r="G609">
        <v>1</v>
      </c>
    </row>
    <row r="610" spans="1:7" hidden="1" x14ac:dyDescent="0.25">
      <c r="A610" s="28" t="s">
        <v>4059</v>
      </c>
      <c r="B610" s="29">
        <v>52082.35</v>
      </c>
      <c r="F610" t="s">
        <v>4059</v>
      </c>
      <c r="G610">
        <v>1</v>
      </c>
    </row>
    <row r="611" spans="1:7" hidden="1" x14ac:dyDescent="0.25">
      <c r="A611" s="28" t="s">
        <v>3606</v>
      </c>
      <c r="B611" s="29">
        <v>52082.35</v>
      </c>
      <c r="F611" t="s">
        <v>3606</v>
      </c>
      <c r="G611">
        <v>1</v>
      </c>
    </row>
    <row r="612" spans="1:7" hidden="1" x14ac:dyDescent="0.25">
      <c r="A612" s="28" t="s">
        <v>4111</v>
      </c>
      <c r="B612" s="29">
        <v>52082.35</v>
      </c>
      <c r="F612" t="s">
        <v>4111</v>
      </c>
      <c r="G612">
        <v>1</v>
      </c>
    </row>
    <row r="613" spans="1:7" hidden="1" x14ac:dyDescent="0.25">
      <c r="A613" s="28" t="s">
        <v>3775</v>
      </c>
      <c r="B613" s="29">
        <v>52082.35</v>
      </c>
      <c r="F613" t="s">
        <v>3775</v>
      </c>
      <c r="G613">
        <v>1</v>
      </c>
    </row>
    <row r="614" spans="1:7" hidden="1" x14ac:dyDescent="0.25">
      <c r="A614" s="28" t="s">
        <v>4102</v>
      </c>
      <c r="B614" s="29">
        <v>52082.35</v>
      </c>
      <c r="F614" t="s">
        <v>4102</v>
      </c>
      <c r="G614">
        <v>1</v>
      </c>
    </row>
    <row r="615" spans="1:7" hidden="1" x14ac:dyDescent="0.25">
      <c r="A615" s="28" t="s">
        <v>3960</v>
      </c>
      <c r="B615" s="29">
        <v>52082.35</v>
      </c>
      <c r="F615" t="s">
        <v>3960</v>
      </c>
      <c r="G615">
        <v>1</v>
      </c>
    </row>
    <row r="616" spans="1:7" hidden="1" x14ac:dyDescent="0.25">
      <c r="A616" s="28" t="s">
        <v>4072</v>
      </c>
      <c r="B616" s="29">
        <v>52082.35</v>
      </c>
      <c r="F616" t="s">
        <v>4072</v>
      </c>
      <c r="G616">
        <v>1</v>
      </c>
    </row>
    <row r="617" spans="1:7" hidden="1" x14ac:dyDescent="0.25">
      <c r="A617" s="28" t="s">
        <v>2191</v>
      </c>
      <c r="B617" s="29">
        <v>52082.35</v>
      </c>
      <c r="F617" t="s">
        <v>2191</v>
      </c>
      <c r="G617">
        <v>1</v>
      </c>
    </row>
    <row r="618" spans="1:7" hidden="1" x14ac:dyDescent="0.25">
      <c r="A618" s="28" t="s">
        <v>4219</v>
      </c>
      <c r="B618" s="29">
        <v>52082.35</v>
      </c>
      <c r="F618" t="s">
        <v>4219</v>
      </c>
      <c r="G618">
        <v>1</v>
      </c>
    </row>
    <row r="619" spans="1:7" hidden="1" x14ac:dyDescent="0.25">
      <c r="A619" s="28" t="s">
        <v>3789</v>
      </c>
      <c r="B619" s="29">
        <v>52082.35</v>
      </c>
      <c r="F619" t="s">
        <v>3789</v>
      </c>
      <c r="G619">
        <v>1</v>
      </c>
    </row>
    <row r="620" spans="1:7" hidden="1" x14ac:dyDescent="0.25">
      <c r="A620" s="28" t="s">
        <v>2302</v>
      </c>
      <c r="B620" s="29">
        <v>52082.35</v>
      </c>
      <c r="F620" t="s">
        <v>2302</v>
      </c>
      <c r="G620">
        <v>1</v>
      </c>
    </row>
    <row r="621" spans="1:7" hidden="1" x14ac:dyDescent="0.25">
      <c r="A621" s="28" t="s">
        <v>2996</v>
      </c>
      <c r="B621" s="29">
        <v>52082.35</v>
      </c>
      <c r="F621" t="s">
        <v>2996</v>
      </c>
      <c r="G621">
        <v>1</v>
      </c>
    </row>
    <row r="622" spans="1:7" hidden="1" x14ac:dyDescent="0.25">
      <c r="A622" s="28" t="s">
        <v>2891</v>
      </c>
      <c r="B622" s="29">
        <v>52082.35</v>
      </c>
      <c r="F622" t="s">
        <v>2891</v>
      </c>
      <c r="G622">
        <v>1</v>
      </c>
    </row>
    <row r="623" spans="1:7" hidden="1" x14ac:dyDescent="0.25">
      <c r="A623" s="28" t="s">
        <v>3837</v>
      </c>
      <c r="B623" s="29">
        <v>52082.35</v>
      </c>
      <c r="F623" t="s">
        <v>3837</v>
      </c>
      <c r="G623">
        <v>1</v>
      </c>
    </row>
    <row r="624" spans="1:7" hidden="1" x14ac:dyDescent="0.25">
      <c r="A624" s="28" t="s">
        <v>3938</v>
      </c>
      <c r="B624" s="29">
        <v>52082.35</v>
      </c>
      <c r="F624" t="s">
        <v>3938</v>
      </c>
      <c r="G624">
        <v>1</v>
      </c>
    </row>
    <row r="625" spans="1:7" hidden="1" x14ac:dyDescent="0.25">
      <c r="A625" s="28" t="s">
        <v>3557</v>
      </c>
      <c r="B625" s="29">
        <v>52082.35</v>
      </c>
      <c r="F625" t="s">
        <v>3557</v>
      </c>
      <c r="G625">
        <v>1</v>
      </c>
    </row>
    <row r="626" spans="1:7" hidden="1" x14ac:dyDescent="0.25">
      <c r="A626" s="28" t="s">
        <v>3293</v>
      </c>
      <c r="B626" s="29">
        <v>52082.35</v>
      </c>
      <c r="F626" t="s">
        <v>3293</v>
      </c>
      <c r="G626">
        <v>1</v>
      </c>
    </row>
    <row r="627" spans="1:7" hidden="1" x14ac:dyDescent="0.25">
      <c r="A627" s="28" t="s">
        <v>3454</v>
      </c>
      <c r="B627" s="29">
        <v>52082.35</v>
      </c>
      <c r="F627" t="s">
        <v>3454</v>
      </c>
      <c r="G627">
        <v>1</v>
      </c>
    </row>
    <row r="628" spans="1:7" x14ac:dyDescent="0.25">
      <c r="A628" s="28" t="s">
        <v>522</v>
      </c>
      <c r="B628" s="29">
        <v>52920.875849999997</v>
      </c>
      <c r="F628" t="s">
        <v>522</v>
      </c>
      <c r="G628">
        <v>2</v>
      </c>
    </row>
    <row r="629" spans="1:7" x14ac:dyDescent="0.25">
      <c r="A629" s="28" t="s">
        <v>889</v>
      </c>
      <c r="B629" s="29">
        <v>52920.875849999997</v>
      </c>
      <c r="F629" t="s">
        <v>889</v>
      </c>
      <c r="G629">
        <v>2</v>
      </c>
    </row>
    <row r="630" spans="1:7" hidden="1" x14ac:dyDescent="0.25">
      <c r="A630" s="28" t="s">
        <v>3501</v>
      </c>
      <c r="B630" s="29">
        <v>52082.35</v>
      </c>
      <c r="F630" t="s">
        <v>3501</v>
      </c>
      <c r="G630">
        <v>1</v>
      </c>
    </row>
    <row r="631" spans="1:7" x14ac:dyDescent="0.25">
      <c r="A631" s="28" t="s">
        <v>1279</v>
      </c>
      <c r="B631" s="29">
        <v>52920.875849999997</v>
      </c>
      <c r="F631" t="s">
        <v>1279</v>
      </c>
      <c r="G631">
        <v>2</v>
      </c>
    </row>
    <row r="632" spans="1:7" x14ac:dyDescent="0.25">
      <c r="A632" s="28" t="s">
        <v>556</v>
      </c>
      <c r="B632" s="29">
        <v>52920.875849999997</v>
      </c>
      <c r="F632" t="s">
        <v>556</v>
      </c>
      <c r="G632">
        <v>2</v>
      </c>
    </row>
    <row r="633" spans="1:7" x14ac:dyDescent="0.25">
      <c r="A633" s="28" t="s">
        <v>451</v>
      </c>
      <c r="B633" s="29">
        <v>52920.875849999997</v>
      </c>
      <c r="F633" t="s">
        <v>451</v>
      </c>
      <c r="G633">
        <v>2</v>
      </c>
    </row>
    <row r="634" spans="1:7" x14ac:dyDescent="0.25">
      <c r="A634" s="28" t="s">
        <v>123</v>
      </c>
      <c r="B634" s="29">
        <v>52920.875849999997</v>
      </c>
      <c r="F634" t="s">
        <v>123</v>
      </c>
      <c r="G634">
        <v>2</v>
      </c>
    </row>
    <row r="635" spans="1:7" x14ac:dyDescent="0.25">
      <c r="A635" s="28" t="s">
        <v>743</v>
      </c>
      <c r="B635" s="29">
        <v>52920.875849999997</v>
      </c>
      <c r="F635" t="s">
        <v>743</v>
      </c>
      <c r="G635">
        <v>2</v>
      </c>
    </row>
    <row r="636" spans="1:7" hidden="1" x14ac:dyDescent="0.25">
      <c r="A636" s="28" t="s">
        <v>3674</v>
      </c>
      <c r="B636" s="29">
        <v>52082.35</v>
      </c>
      <c r="F636" t="s">
        <v>3674</v>
      </c>
      <c r="G636">
        <v>1</v>
      </c>
    </row>
    <row r="637" spans="1:7" x14ac:dyDescent="0.25">
      <c r="A637" s="28" t="s">
        <v>947</v>
      </c>
      <c r="B637" s="29">
        <v>52920.875849999997</v>
      </c>
      <c r="F637" t="s">
        <v>947</v>
      </c>
      <c r="G637">
        <v>2</v>
      </c>
    </row>
    <row r="638" spans="1:7" x14ac:dyDescent="0.25">
      <c r="A638" s="28" t="s">
        <v>891</v>
      </c>
      <c r="B638" s="29">
        <v>52920.875849999997</v>
      </c>
      <c r="F638" t="s">
        <v>891</v>
      </c>
      <c r="G638">
        <v>2</v>
      </c>
    </row>
    <row r="639" spans="1:7" x14ac:dyDescent="0.25">
      <c r="A639" s="28" t="s">
        <v>245</v>
      </c>
      <c r="B639" s="29">
        <v>52920.875849999997</v>
      </c>
      <c r="F639" t="s">
        <v>245</v>
      </c>
      <c r="G639">
        <v>2</v>
      </c>
    </row>
    <row r="640" spans="1:7" hidden="1" x14ac:dyDescent="0.25">
      <c r="A640" s="28" t="s">
        <v>3666</v>
      </c>
      <c r="B640" s="29">
        <v>56947.8</v>
      </c>
      <c r="F640" t="s">
        <v>3666</v>
      </c>
      <c r="G640">
        <v>1</v>
      </c>
    </row>
    <row r="641" spans="1:7" hidden="1" x14ac:dyDescent="0.25">
      <c r="A641" s="28" t="s">
        <v>3998</v>
      </c>
      <c r="B641" s="29">
        <v>52082.35</v>
      </c>
      <c r="F641" t="s">
        <v>3998</v>
      </c>
      <c r="G641">
        <v>1</v>
      </c>
    </row>
    <row r="642" spans="1:7" x14ac:dyDescent="0.25">
      <c r="A642" s="28" t="s">
        <v>1192</v>
      </c>
      <c r="B642" s="29">
        <v>52920.875849999997</v>
      </c>
      <c r="F642" t="s">
        <v>1192</v>
      </c>
      <c r="G642">
        <v>2</v>
      </c>
    </row>
    <row r="643" spans="1:7" hidden="1" x14ac:dyDescent="0.25">
      <c r="A643" s="28" t="s">
        <v>3391</v>
      </c>
      <c r="B643" s="29">
        <v>56947.8</v>
      </c>
      <c r="F643" t="s">
        <v>3391</v>
      </c>
      <c r="G643">
        <v>1</v>
      </c>
    </row>
    <row r="644" spans="1:7" x14ac:dyDescent="0.25">
      <c r="A644" s="28" t="s">
        <v>523</v>
      </c>
      <c r="B644" s="29">
        <v>52920.875849999997</v>
      </c>
      <c r="F644" t="s">
        <v>523</v>
      </c>
      <c r="G644">
        <v>2</v>
      </c>
    </row>
    <row r="645" spans="1:7" x14ac:dyDescent="0.25">
      <c r="A645" s="28" t="s">
        <v>169</v>
      </c>
      <c r="B645" s="29">
        <v>52920.875849999997</v>
      </c>
      <c r="F645" t="s">
        <v>169</v>
      </c>
      <c r="G645">
        <v>2</v>
      </c>
    </row>
    <row r="646" spans="1:7" x14ac:dyDescent="0.25">
      <c r="A646" s="28" t="s">
        <v>1076</v>
      </c>
      <c r="B646" s="29">
        <v>52920.875849999997</v>
      </c>
      <c r="F646" t="s">
        <v>1076</v>
      </c>
      <c r="G646">
        <v>2</v>
      </c>
    </row>
    <row r="647" spans="1:7" x14ac:dyDescent="0.25">
      <c r="A647" s="28" t="s">
        <v>110</v>
      </c>
      <c r="B647" s="29">
        <v>52920.875849999997</v>
      </c>
      <c r="F647" t="s">
        <v>110</v>
      </c>
      <c r="G647">
        <v>2</v>
      </c>
    </row>
    <row r="648" spans="1:7" x14ac:dyDescent="0.25">
      <c r="A648" s="28" t="s">
        <v>783</v>
      </c>
      <c r="B648" s="29">
        <v>57864.659599999999</v>
      </c>
      <c r="F648" t="s">
        <v>783</v>
      </c>
      <c r="G648">
        <v>2</v>
      </c>
    </row>
    <row r="649" spans="1:7" hidden="1" x14ac:dyDescent="0.25">
      <c r="A649" s="28" t="s">
        <v>3313</v>
      </c>
      <c r="B649" s="29">
        <v>56947.8</v>
      </c>
      <c r="F649" t="s">
        <v>3313</v>
      </c>
      <c r="G649">
        <v>1</v>
      </c>
    </row>
    <row r="650" spans="1:7" x14ac:dyDescent="0.25">
      <c r="A650" s="28" t="s">
        <v>808</v>
      </c>
      <c r="B650" s="29">
        <v>57864.659599999999</v>
      </c>
      <c r="F650" t="s">
        <v>808</v>
      </c>
      <c r="G650">
        <v>2</v>
      </c>
    </row>
    <row r="651" spans="1:7" x14ac:dyDescent="0.25">
      <c r="A651" s="28" t="s">
        <v>772</v>
      </c>
      <c r="B651" s="29">
        <v>57864.659599999999</v>
      </c>
      <c r="F651" t="s">
        <v>772</v>
      </c>
      <c r="G651">
        <v>2</v>
      </c>
    </row>
    <row r="652" spans="1:7" hidden="1" x14ac:dyDescent="0.25">
      <c r="A652" s="28" t="s">
        <v>3874</v>
      </c>
      <c r="B652" s="29">
        <v>56947.8</v>
      </c>
      <c r="F652" t="s">
        <v>3874</v>
      </c>
      <c r="G652">
        <v>1</v>
      </c>
    </row>
    <row r="653" spans="1:7" x14ac:dyDescent="0.25">
      <c r="A653" s="28" t="s">
        <v>422</v>
      </c>
      <c r="B653" s="29">
        <v>57864.659599999999</v>
      </c>
      <c r="F653" t="s">
        <v>422</v>
      </c>
      <c r="G653">
        <v>2</v>
      </c>
    </row>
    <row r="654" spans="1:7" x14ac:dyDescent="0.25">
      <c r="A654" s="28" t="s">
        <v>1558</v>
      </c>
      <c r="B654" s="29">
        <v>57864.659599999999</v>
      </c>
      <c r="F654" t="s">
        <v>1558</v>
      </c>
      <c r="G654">
        <v>2</v>
      </c>
    </row>
    <row r="655" spans="1:7" hidden="1" x14ac:dyDescent="0.25">
      <c r="A655" s="28" t="s">
        <v>3492</v>
      </c>
      <c r="B655" s="29">
        <v>56947.8</v>
      </c>
      <c r="F655" t="s">
        <v>3492</v>
      </c>
      <c r="G655">
        <v>1</v>
      </c>
    </row>
    <row r="656" spans="1:7" x14ac:dyDescent="0.25">
      <c r="A656" s="28" t="s">
        <v>1413</v>
      </c>
      <c r="B656" s="29">
        <v>57864.659599999999</v>
      </c>
      <c r="F656" t="s">
        <v>1413</v>
      </c>
      <c r="G656">
        <v>2</v>
      </c>
    </row>
    <row r="657" spans="1:7" x14ac:dyDescent="0.25">
      <c r="A657" s="28" t="s">
        <v>129</v>
      </c>
      <c r="B657" s="29">
        <v>57864.659599999999</v>
      </c>
      <c r="F657" t="s">
        <v>129</v>
      </c>
      <c r="G657">
        <v>2</v>
      </c>
    </row>
    <row r="658" spans="1:7" x14ac:dyDescent="0.25">
      <c r="A658" s="28" t="s">
        <v>688</v>
      </c>
      <c r="B658" s="29">
        <v>57864.659599999999</v>
      </c>
      <c r="F658" t="s">
        <v>688</v>
      </c>
      <c r="G658">
        <v>2</v>
      </c>
    </row>
    <row r="659" spans="1:7" hidden="1" x14ac:dyDescent="0.25">
      <c r="A659" s="28" t="s">
        <v>4497</v>
      </c>
      <c r="B659" s="29">
        <v>56947.8</v>
      </c>
      <c r="F659" t="s">
        <v>4497</v>
      </c>
      <c r="G659">
        <v>1</v>
      </c>
    </row>
    <row r="660" spans="1:7" x14ac:dyDescent="0.25">
      <c r="A660" s="28" t="s">
        <v>952</v>
      </c>
      <c r="B660" s="29">
        <v>57864.659599999999</v>
      </c>
      <c r="F660" t="s">
        <v>952</v>
      </c>
      <c r="G660">
        <v>2</v>
      </c>
    </row>
    <row r="661" spans="1:7" x14ac:dyDescent="0.25">
      <c r="A661" s="28" t="s">
        <v>663</v>
      </c>
      <c r="B661" s="29">
        <v>57864.659599999999</v>
      </c>
      <c r="F661" t="s">
        <v>663</v>
      </c>
      <c r="G661">
        <v>2</v>
      </c>
    </row>
    <row r="662" spans="1:7" hidden="1" x14ac:dyDescent="0.25">
      <c r="A662" s="28" t="s">
        <v>3782</v>
      </c>
      <c r="B662" s="29">
        <v>52082.35</v>
      </c>
      <c r="F662" t="s">
        <v>3782</v>
      </c>
      <c r="G662">
        <v>1</v>
      </c>
    </row>
    <row r="663" spans="1:7" x14ac:dyDescent="0.25">
      <c r="A663" s="28" t="s">
        <v>1117</v>
      </c>
      <c r="B663" s="29">
        <v>52920.875849999997</v>
      </c>
      <c r="F663" t="s">
        <v>1117</v>
      </c>
      <c r="G663">
        <v>2</v>
      </c>
    </row>
    <row r="664" spans="1:7" x14ac:dyDescent="0.25">
      <c r="A664" s="28" t="s">
        <v>1070</v>
      </c>
      <c r="B664" s="29">
        <v>52920.875849999997</v>
      </c>
      <c r="F664" t="s">
        <v>1070</v>
      </c>
      <c r="G664">
        <v>2</v>
      </c>
    </row>
    <row r="665" spans="1:7" x14ac:dyDescent="0.25">
      <c r="A665" s="28" t="s">
        <v>528</v>
      </c>
      <c r="B665" s="29">
        <v>57864.659599999999</v>
      </c>
      <c r="F665" t="s">
        <v>528</v>
      </c>
      <c r="G665">
        <v>2</v>
      </c>
    </row>
    <row r="666" spans="1:7" x14ac:dyDescent="0.25">
      <c r="A666" s="28" t="s">
        <v>1461</v>
      </c>
      <c r="B666" s="29">
        <v>52920.875849999997</v>
      </c>
      <c r="F666" t="s">
        <v>1461</v>
      </c>
      <c r="G666">
        <v>2</v>
      </c>
    </row>
    <row r="667" spans="1:7" x14ac:dyDescent="0.25">
      <c r="A667" s="28" t="s">
        <v>1618</v>
      </c>
      <c r="B667" s="29">
        <v>57864.659599999999</v>
      </c>
      <c r="F667" t="s">
        <v>1618</v>
      </c>
      <c r="G667">
        <v>2</v>
      </c>
    </row>
    <row r="668" spans="1:7" hidden="1" x14ac:dyDescent="0.25">
      <c r="A668" s="28" t="s">
        <v>3816</v>
      </c>
      <c r="B668" s="29">
        <v>56947.8</v>
      </c>
      <c r="F668" t="s">
        <v>3816</v>
      </c>
      <c r="G668">
        <v>1</v>
      </c>
    </row>
    <row r="669" spans="1:7" x14ac:dyDescent="0.25">
      <c r="A669" s="28" t="s">
        <v>554</v>
      </c>
      <c r="B669" s="29">
        <v>57864.659599999999</v>
      </c>
      <c r="F669" t="s">
        <v>554</v>
      </c>
      <c r="G669">
        <v>2</v>
      </c>
    </row>
    <row r="670" spans="1:7" hidden="1" x14ac:dyDescent="0.25">
      <c r="A670" s="28" t="s">
        <v>3615</v>
      </c>
      <c r="B670" s="29">
        <v>56947.8</v>
      </c>
      <c r="F670" t="s">
        <v>3615</v>
      </c>
      <c r="G670">
        <v>1</v>
      </c>
    </row>
    <row r="671" spans="1:7" x14ac:dyDescent="0.25">
      <c r="A671" s="28" t="s">
        <v>120</v>
      </c>
      <c r="B671" s="29">
        <v>57864.659599999999</v>
      </c>
      <c r="F671" t="s">
        <v>120</v>
      </c>
      <c r="G671">
        <v>2</v>
      </c>
    </row>
    <row r="672" spans="1:7" x14ac:dyDescent="0.25">
      <c r="A672" s="28" t="s">
        <v>1180</v>
      </c>
      <c r="B672" s="29">
        <v>52920.875849999997</v>
      </c>
      <c r="F672" t="s">
        <v>1180</v>
      </c>
      <c r="G672">
        <v>2</v>
      </c>
    </row>
    <row r="673" spans="1:7" x14ac:dyDescent="0.25">
      <c r="A673" s="28" t="s">
        <v>553</v>
      </c>
      <c r="B673" s="29">
        <v>52920.875849999997</v>
      </c>
      <c r="F673" t="s">
        <v>553</v>
      </c>
      <c r="G673">
        <v>2</v>
      </c>
    </row>
    <row r="674" spans="1:7" hidden="1" x14ac:dyDescent="0.25">
      <c r="A674" s="28" t="s">
        <v>3435</v>
      </c>
      <c r="B674" s="29">
        <v>52082.35</v>
      </c>
      <c r="F674" t="s">
        <v>3435</v>
      </c>
      <c r="G674">
        <v>1</v>
      </c>
    </row>
    <row r="675" spans="1:7" x14ac:dyDescent="0.25">
      <c r="A675" s="28" t="s">
        <v>101</v>
      </c>
      <c r="B675" s="29">
        <v>52920.875849999997</v>
      </c>
      <c r="F675" t="s">
        <v>101</v>
      </c>
      <c r="G675">
        <v>2</v>
      </c>
    </row>
    <row r="676" spans="1:7" x14ac:dyDescent="0.25">
      <c r="A676" s="28" t="s">
        <v>1067</v>
      </c>
      <c r="B676" s="29">
        <v>52920.875849999997</v>
      </c>
      <c r="F676" t="s">
        <v>1067</v>
      </c>
      <c r="G676">
        <v>2</v>
      </c>
    </row>
    <row r="677" spans="1:7" x14ac:dyDescent="0.25">
      <c r="A677" s="28" t="s">
        <v>942</v>
      </c>
      <c r="B677" s="29">
        <v>52920.875849999997</v>
      </c>
      <c r="F677" t="s">
        <v>942</v>
      </c>
      <c r="G677">
        <v>2</v>
      </c>
    </row>
    <row r="678" spans="1:7" x14ac:dyDescent="0.25">
      <c r="A678" s="28" t="s">
        <v>1268</v>
      </c>
      <c r="B678" s="29">
        <v>52920.875849999997</v>
      </c>
      <c r="F678" t="s">
        <v>1268</v>
      </c>
      <c r="G678">
        <v>2</v>
      </c>
    </row>
    <row r="679" spans="1:7" hidden="1" x14ac:dyDescent="0.25">
      <c r="A679" s="28" t="s">
        <v>3282</v>
      </c>
      <c r="B679" s="29">
        <v>52082.35</v>
      </c>
      <c r="F679" t="s">
        <v>3282</v>
      </c>
      <c r="G679">
        <v>1</v>
      </c>
    </row>
    <row r="680" spans="1:7" x14ac:dyDescent="0.25">
      <c r="A680" s="28" t="s">
        <v>1193</v>
      </c>
      <c r="B680" s="29">
        <v>52920.875849999997</v>
      </c>
      <c r="F680" t="s">
        <v>1193</v>
      </c>
      <c r="G680">
        <v>2</v>
      </c>
    </row>
    <row r="681" spans="1:7" x14ac:dyDescent="0.25">
      <c r="A681" s="28" t="s">
        <v>1430</v>
      </c>
      <c r="B681" s="29">
        <v>57864.659599999999</v>
      </c>
      <c r="F681" t="s">
        <v>1430</v>
      </c>
      <c r="G681">
        <v>2</v>
      </c>
    </row>
    <row r="682" spans="1:7" hidden="1" x14ac:dyDescent="0.25">
      <c r="A682" s="28" t="s">
        <v>3852</v>
      </c>
      <c r="B682" s="29">
        <v>56947.8</v>
      </c>
      <c r="F682" t="s">
        <v>3852</v>
      </c>
      <c r="G682">
        <v>1</v>
      </c>
    </row>
    <row r="683" spans="1:7" x14ac:dyDescent="0.25">
      <c r="A683" s="28" t="s">
        <v>1045</v>
      </c>
      <c r="B683" s="29">
        <v>52920.875849999997</v>
      </c>
      <c r="F683" t="s">
        <v>1045</v>
      </c>
      <c r="G683">
        <v>2</v>
      </c>
    </row>
    <row r="684" spans="1:7" x14ac:dyDescent="0.25">
      <c r="A684" s="28" t="s">
        <v>1518</v>
      </c>
      <c r="B684" s="29">
        <v>50043.25015</v>
      </c>
      <c r="F684" t="s">
        <v>1518</v>
      </c>
      <c r="G684">
        <v>2</v>
      </c>
    </row>
    <row r="685" spans="1:7" x14ac:dyDescent="0.25">
      <c r="A685" s="28" t="s">
        <v>341</v>
      </c>
      <c r="B685" s="29">
        <v>50043.25015</v>
      </c>
      <c r="F685" t="s">
        <v>341</v>
      </c>
      <c r="G685">
        <v>2</v>
      </c>
    </row>
    <row r="686" spans="1:7" x14ac:dyDescent="0.25">
      <c r="A686" s="28" t="s">
        <v>604</v>
      </c>
      <c r="B686" s="29">
        <v>50043.25015</v>
      </c>
      <c r="F686" t="s">
        <v>604</v>
      </c>
      <c r="G686">
        <v>2</v>
      </c>
    </row>
    <row r="687" spans="1:7" x14ac:dyDescent="0.25">
      <c r="A687" s="28" t="s">
        <v>420</v>
      </c>
      <c r="B687" s="29">
        <v>50043.25015</v>
      </c>
      <c r="F687" t="s">
        <v>420</v>
      </c>
      <c r="G687">
        <v>2</v>
      </c>
    </row>
    <row r="688" spans="1:7" hidden="1" x14ac:dyDescent="0.25">
      <c r="A688" s="28" t="s">
        <v>3266</v>
      </c>
      <c r="B688" s="29">
        <v>49250.32</v>
      </c>
      <c r="F688" t="s">
        <v>3266</v>
      </c>
      <c r="G688">
        <v>1</v>
      </c>
    </row>
    <row r="689" spans="1:7" x14ac:dyDescent="0.25">
      <c r="A689" s="28" t="s">
        <v>1367</v>
      </c>
      <c r="B689" s="29">
        <v>50043.25015</v>
      </c>
      <c r="F689" t="s">
        <v>1367</v>
      </c>
      <c r="G689">
        <v>2</v>
      </c>
    </row>
    <row r="690" spans="1:7" x14ac:dyDescent="0.25">
      <c r="A690" s="28" t="s">
        <v>895</v>
      </c>
      <c r="B690" s="29">
        <v>50043.25015</v>
      </c>
      <c r="F690" t="s">
        <v>895</v>
      </c>
      <c r="G690">
        <v>2</v>
      </c>
    </row>
    <row r="691" spans="1:7" x14ac:dyDescent="0.25">
      <c r="A691" s="28" t="s">
        <v>505</v>
      </c>
      <c r="B691" s="29">
        <v>50043.25015</v>
      </c>
      <c r="F691" t="s">
        <v>505</v>
      </c>
      <c r="G691">
        <v>2</v>
      </c>
    </row>
    <row r="692" spans="1:7" x14ac:dyDescent="0.25">
      <c r="A692" s="28" t="s">
        <v>763</v>
      </c>
      <c r="B692" s="29">
        <v>50043.25015</v>
      </c>
      <c r="F692" t="s">
        <v>763</v>
      </c>
      <c r="G692">
        <v>2</v>
      </c>
    </row>
    <row r="693" spans="1:7" hidden="1" x14ac:dyDescent="0.25">
      <c r="A693" s="28" t="s">
        <v>3343</v>
      </c>
      <c r="B693" s="29">
        <v>49250.32</v>
      </c>
      <c r="F693" t="s">
        <v>3343</v>
      </c>
      <c r="G693">
        <v>1</v>
      </c>
    </row>
    <row r="694" spans="1:7" x14ac:dyDescent="0.25">
      <c r="A694" s="28" t="s">
        <v>1477</v>
      </c>
      <c r="B694" s="29">
        <v>50043.25015</v>
      </c>
      <c r="F694" t="s">
        <v>1477</v>
      </c>
      <c r="G694">
        <v>2</v>
      </c>
    </row>
    <row r="695" spans="1:7" x14ac:dyDescent="0.25">
      <c r="A695" s="28" t="s">
        <v>259</v>
      </c>
      <c r="B695" s="29">
        <v>50043.25015</v>
      </c>
      <c r="F695" t="s">
        <v>259</v>
      </c>
      <c r="G695">
        <v>2</v>
      </c>
    </row>
    <row r="696" spans="1:7" x14ac:dyDescent="0.25">
      <c r="A696" s="28" t="s">
        <v>1421</v>
      </c>
      <c r="B696" s="29">
        <v>50043.25015</v>
      </c>
      <c r="F696" t="s">
        <v>1421</v>
      </c>
      <c r="G696">
        <v>2</v>
      </c>
    </row>
    <row r="697" spans="1:7" x14ac:dyDescent="0.25">
      <c r="A697" s="28" t="s">
        <v>317</v>
      </c>
      <c r="B697" s="29">
        <v>50043.25015</v>
      </c>
      <c r="F697" t="s">
        <v>317</v>
      </c>
      <c r="G697">
        <v>2</v>
      </c>
    </row>
    <row r="698" spans="1:7" x14ac:dyDescent="0.25">
      <c r="A698" s="28" t="s">
        <v>1292</v>
      </c>
      <c r="B698" s="29">
        <v>50043.25015</v>
      </c>
      <c r="F698" t="s">
        <v>1292</v>
      </c>
      <c r="G698">
        <v>2</v>
      </c>
    </row>
    <row r="699" spans="1:7" x14ac:dyDescent="0.25">
      <c r="A699" s="28" t="s">
        <v>689</v>
      </c>
      <c r="B699" s="29">
        <v>50043.25015</v>
      </c>
      <c r="F699" t="s">
        <v>689</v>
      </c>
      <c r="G699">
        <v>2</v>
      </c>
    </row>
    <row r="700" spans="1:7" hidden="1" x14ac:dyDescent="0.25">
      <c r="A700" s="28" t="s">
        <v>3378</v>
      </c>
      <c r="B700" s="29">
        <v>49250.32</v>
      </c>
      <c r="F700" t="s">
        <v>3378</v>
      </c>
      <c r="G700">
        <v>1</v>
      </c>
    </row>
    <row r="701" spans="1:7" x14ac:dyDescent="0.25">
      <c r="A701" s="28" t="s">
        <v>1092</v>
      </c>
      <c r="B701" s="29">
        <v>69300.255399999995</v>
      </c>
      <c r="F701" t="s">
        <v>1092</v>
      </c>
      <c r="G701">
        <v>2</v>
      </c>
    </row>
    <row r="702" spans="1:7" x14ac:dyDescent="0.25">
      <c r="A702" s="28" t="s">
        <v>524</v>
      </c>
      <c r="B702" s="29">
        <v>50043.25015</v>
      </c>
      <c r="F702" t="s">
        <v>524</v>
      </c>
      <c r="G702">
        <v>2</v>
      </c>
    </row>
    <row r="703" spans="1:7" x14ac:dyDescent="0.25">
      <c r="A703" s="28" t="s">
        <v>1053</v>
      </c>
      <c r="B703" s="29">
        <v>50043.25015</v>
      </c>
      <c r="F703" t="s">
        <v>1053</v>
      </c>
      <c r="G703">
        <v>2</v>
      </c>
    </row>
    <row r="704" spans="1:7" x14ac:dyDescent="0.25">
      <c r="A704" s="28" t="s">
        <v>709</v>
      </c>
      <c r="B704" s="29">
        <v>50043.25015</v>
      </c>
      <c r="F704" t="s">
        <v>709</v>
      </c>
      <c r="G704">
        <v>2</v>
      </c>
    </row>
    <row r="705" spans="1:7" hidden="1" x14ac:dyDescent="0.25">
      <c r="A705" s="28" t="s">
        <v>4606</v>
      </c>
      <c r="B705" s="29">
        <v>56947.8</v>
      </c>
      <c r="F705" t="s">
        <v>4606</v>
      </c>
      <c r="G705">
        <v>1</v>
      </c>
    </row>
    <row r="706" spans="1:7" hidden="1" x14ac:dyDescent="0.25">
      <c r="A706" s="28" t="s">
        <v>3252</v>
      </c>
      <c r="B706" s="29">
        <v>49250.32</v>
      </c>
      <c r="F706" t="s">
        <v>3252</v>
      </c>
      <c r="G706">
        <v>1</v>
      </c>
    </row>
    <row r="707" spans="1:7" x14ac:dyDescent="0.25">
      <c r="A707" s="28" t="s">
        <v>1052</v>
      </c>
      <c r="B707" s="29">
        <v>70093.006500000003</v>
      </c>
      <c r="F707" t="s">
        <v>1052</v>
      </c>
      <c r="G707">
        <v>2</v>
      </c>
    </row>
    <row r="708" spans="1:7" hidden="1" x14ac:dyDescent="0.25">
      <c r="A708" s="28" t="s">
        <v>3805</v>
      </c>
      <c r="B708" s="29">
        <v>68982.39</v>
      </c>
      <c r="F708" t="s">
        <v>3805</v>
      </c>
      <c r="G708">
        <v>1</v>
      </c>
    </row>
    <row r="709" spans="1:7" hidden="1" x14ac:dyDescent="0.25">
      <c r="A709" s="28" t="s">
        <v>3602</v>
      </c>
      <c r="B709" s="29">
        <v>68982.39</v>
      </c>
      <c r="F709" t="s">
        <v>3602</v>
      </c>
      <c r="G709">
        <v>1</v>
      </c>
    </row>
    <row r="710" spans="1:7" x14ac:dyDescent="0.25">
      <c r="A710" s="28" t="s">
        <v>1093</v>
      </c>
      <c r="B710" s="29">
        <v>70093.006500000003</v>
      </c>
      <c r="F710" t="s">
        <v>1093</v>
      </c>
      <c r="G710">
        <v>2</v>
      </c>
    </row>
    <row r="711" spans="1:7" x14ac:dyDescent="0.25">
      <c r="A711" s="28" t="s">
        <v>1113</v>
      </c>
      <c r="B711" s="29">
        <v>83782.027600000001</v>
      </c>
      <c r="F711" t="s">
        <v>1113</v>
      </c>
      <c r="G711">
        <v>2</v>
      </c>
    </row>
    <row r="712" spans="1:7" x14ac:dyDescent="0.25">
      <c r="A712" s="28" t="s">
        <v>360</v>
      </c>
      <c r="B712" s="29">
        <v>83782.027600000001</v>
      </c>
      <c r="F712" t="s">
        <v>360</v>
      </c>
      <c r="G712">
        <v>2</v>
      </c>
    </row>
    <row r="713" spans="1:7" x14ac:dyDescent="0.25">
      <c r="A713" s="28" t="s">
        <v>525</v>
      </c>
      <c r="B713" s="29">
        <v>70093.006500000003</v>
      </c>
      <c r="F713" t="s">
        <v>525</v>
      </c>
      <c r="G713">
        <v>2</v>
      </c>
    </row>
    <row r="714" spans="1:7" hidden="1" x14ac:dyDescent="0.25">
      <c r="A714" s="28" t="s">
        <v>3536</v>
      </c>
      <c r="B714" s="29">
        <v>68202.2</v>
      </c>
      <c r="F714" t="s">
        <v>3536</v>
      </c>
      <c r="G714">
        <v>1</v>
      </c>
    </row>
    <row r="715" spans="1:7" x14ac:dyDescent="0.25">
      <c r="A715" s="28" t="s">
        <v>710</v>
      </c>
      <c r="B715" s="29">
        <v>70093.006500000003</v>
      </c>
      <c r="F715" t="s">
        <v>710</v>
      </c>
      <c r="G715">
        <v>2</v>
      </c>
    </row>
    <row r="716" spans="1:7" x14ac:dyDescent="0.25">
      <c r="A716" s="28" t="s">
        <v>269</v>
      </c>
      <c r="B716" s="29">
        <v>83782.027600000001</v>
      </c>
      <c r="F716" t="s">
        <v>269</v>
      </c>
      <c r="G716">
        <v>2</v>
      </c>
    </row>
    <row r="717" spans="1:7" hidden="1" x14ac:dyDescent="0.25">
      <c r="A717" s="28" t="s">
        <v>3667</v>
      </c>
      <c r="B717" s="29">
        <v>68982.39</v>
      </c>
      <c r="F717" t="s">
        <v>3667</v>
      </c>
      <c r="G717">
        <v>1</v>
      </c>
    </row>
    <row r="718" spans="1:7" hidden="1" x14ac:dyDescent="0.25">
      <c r="A718" s="28" t="s">
        <v>3638</v>
      </c>
      <c r="B718" s="29">
        <v>82454.509999999995</v>
      </c>
      <c r="F718" t="s">
        <v>3638</v>
      </c>
      <c r="G718">
        <v>1</v>
      </c>
    </row>
    <row r="719" spans="1:7" hidden="1" x14ac:dyDescent="0.25">
      <c r="A719" s="28" t="s">
        <v>3750</v>
      </c>
      <c r="B719" s="29">
        <v>68202.2</v>
      </c>
      <c r="F719" t="s">
        <v>3750</v>
      </c>
      <c r="G719">
        <v>1</v>
      </c>
    </row>
    <row r="720" spans="1:7" x14ac:dyDescent="0.25">
      <c r="A720" s="28" t="s">
        <v>31</v>
      </c>
      <c r="B720" s="29">
        <v>83782.027600000001</v>
      </c>
      <c r="F720" t="s">
        <v>31</v>
      </c>
      <c r="G720">
        <v>2</v>
      </c>
    </row>
    <row r="721" spans="1:7" x14ac:dyDescent="0.25">
      <c r="A721" s="28" t="s">
        <v>328</v>
      </c>
      <c r="B721" s="29">
        <v>70093.006500000003</v>
      </c>
      <c r="F721" t="s">
        <v>328</v>
      </c>
      <c r="G721">
        <v>2</v>
      </c>
    </row>
    <row r="722" spans="1:7" x14ac:dyDescent="0.25">
      <c r="A722" s="28" t="s">
        <v>216</v>
      </c>
      <c r="B722" s="29">
        <v>83782.027600000001</v>
      </c>
      <c r="F722" t="s">
        <v>216</v>
      </c>
      <c r="G722">
        <v>2</v>
      </c>
    </row>
    <row r="723" spans="1:7" x14ac:dyDescent="0.25">
      <c r="A723" s="28" t="s">
        <v>211</v>
      </c>
      <c r="B723" s="29">
        <v>70093.006500000003</v>
      </c>
      <c r="F723" t="s">
        <v>211</v>
      </c>
      <c r="G723">
        <v>2</v>
      </c>
    </row>
    <row r="724" spans="1:7" x14ac:dyDescent="0.25">
      <c r="A724" s="28" t="s">
        <v>1263</v>
      </c>
      <c r="B724" s="29">
        <v>83782.027600000001</v>
      </c>
      <c r="F724" t="s">
        <v>1263</v>
      </c>
      <c r="G724">
        <v>2</v>
      </c>
    </row>
    <row r="725" spans="1:7" x14ac:dyDescent="0.25">
      <c r="A725" s="28" t="s">
        <v>717</v>
      </c>
      <c r="B725" s="29">
        <v>70093.006500000003</v>
      </c>
      <c r="F725" t="s">
        <v>717</v>
      </c>
      <c r="G725">
        <v>2</v>
      </c>
    </row>
    <row r="726" spans="1:7" x14ac:dyDescent="0.25">
      <c r="A726" s="28" t="s">
        <v>708</v>
      </c>
      <c r="B726" s="29">
        <v>83782.027600000001</v>
      </c>
      <c r="F726" t="s">
        <v>708</v>
      </c>
      <c r="G726">
        <v>2</v>
      </c>
    </row>
    <row r="727" spans="1:7" x14ac:dyDescent="0.25">
      <c r="A727" s="28" t="s">
        <v>1160</v>
      </c>
      <c r="B727" s="29">
        <v>83782.027600000001</v>
      </c>
      <c r="F727" t="s">
        <v>1160</v>
      </c>
      <c r="G727">
        <v>2</v>
      </c>
    </row>
    <row r="728" spans="1:7" x14ac:dyDescent="0.25">
      <c r="A728" s="28" t="s">
        <v>1575</v>
      </c>
      <c r="B728" s="29">
        <v>83782.027600000001</v>
      </c>
      <c r="F728" t="s">
        <v>1575</v>
      </c>
      <c r="G728">
        <v>2</v>
      </c>
    </row>
    <row r="729" spans="1:7" x14ac:dyDescent="0.25">
      <c r="A729" s="28" t="s">
        <v>1056</v>
      </c>
      <c r="B729" s="29">
        <v>83782.027600000001</v>
      </c>
      <c r="F729" t="s">
        <v>1056</v>
      </c>
      <c r="G729">
        <v>2</v>
      </c>
    </row>
    <row r="730" spans="1:7" hidden="1" x14ac:dyDescent="0.25">
      <c r="A730" s="28" t="s">
        <v>4056</v>
      </c>
      <c r="B730" s="29">
        <v>68982.39</v>
      </c>
      <c r="F730" t="s">
        <v>4056</v>
      </c>
      <c r="G730">
        <v>1</v>
      </c>
    </row>
    <row r="731" spans="1:7" x14ac:dyDescent="0.25">
      <c r="A731" s="28" t="s">
        <v>359</v>
      </c>
      <c r="B731" s="29">
        <v>83782.027600000001</v>
      </c>
      <c r="F731" t="s">
        <v>359</v>
      </c>
      <c r="G731">
        <v>2</v>
      </c>
    </row>
    <row r="732" spans="1:7" x14ac:dyDescent="0.25">
      <c r="A732" s="28" t="s">
        <v>287</v>
      </c>
      <c r="B732" s="29">
        <v>83782.027600000001</v>
      </c>
      <c r="F732" t="s">
        <v>287</v>
      </c>
      <c r="G732">
        <v>2</v>
      </c>
    </row>
    <row r="733" spans="1:7" x14ac:dyDescent="0.25">
      <c r="A733" s="28" t="s">
        <v>762</v>
      </c>
      <c r="B733" s="29">
        <v>63382.712549999997</v>
      </c>
      <c r="F733" t="s">
        <v>762</v>
      </c>
      <c r="G733">
        <v>2</v>
      </c>
    </row>
    <row r="734" spans="1:7" x14ac:dyDescent="0.25">
      <c r="A734" s="28" t="s">
        <v>931</v>
      </c>
      <c r="B734" s="29">
        <v>63382.712549999997</v>
      </c>
      <c r="F734" t="s">
        <v>931</v>
      </c>
      <c r="G734">
        <v>2</v>
      </c>
    </row>
    <row r="735" spans="1:7" x14ac:dyDescent="0.25">
      <c r="A735" s="28" t="s">
        <v>701</v>
      </c>
      <c r="B735" s="29">
        <v>83782.027600000001</v>
      </c>
      <c r="F735" t="s">
        <v>701</v>
      </c>
      <c r="G735">
        <v>2</v>
      </c>
    </row>
    <row r="736" spans="1:7" x14ac:dyDescent="0.25">
      <c r="A736" s="28" t="s">
        <v>1433</v>
      </c>
      <c r="B736" s="29">
        <v>83782.027600000001</v>
      </c>
      <c r="F736" t="s">
        <v>1433</v>
      </c>
      <c r="G736">
        <v>2</v>
      </c>
    </row>
    <row r="737" spans="1:7" x14ac:dyDescent="0.25">
      <c r="A737" s="28" t="s">
        <v>589</v>
      </c>
      <c r="B737" s="29">
        <v>70093.006500000003</v>
      </c>
      <c r="F737" t="s">
        <v>589</v>
      </c>
      <c r="G737">
        <v>2</v>
      </c>
    </row>
    <row r="738" spans="1:7" x14ac:dyDescent="0.25">
      <c r="A738" s="28" t="s">
        <v>104</v>
      </c>
      <c r="B738" s="29">
        <v>83782.027600000001</v>
      </c>
      <c r="F738" t="s">
        <v>104</v>
      </c>
      <c r="G738">
        <v>2</v>
      </c>
    </row>
    <row r="739" spans="1:7" hidden="1" x14ac:dyDescent="0.25">
      <c r="A739" s="28" t="s">
        <v>3200</v>
      </c>
      <c r="B739" s="29">
        <v>82454.509999999995</v>
      </c>
      <c r="F739" t="s">
        <v>3200</v>
      </c>
      <c r="G739">
        <v>1</v>
      </c>
    </row>
    <row r="740" spans="1:7" hidden="1" x14ac:dyDescent="0.25">
      <c r="A740" s="28" t="s">
        <v>4968</v>
      </c>
      <c r="B740" s="29">
        <v>38812.959999999999</v>
      </c>
      <c r="F740" t="s">
        <v>4968</v>
      </c>
      <c r="G740">
        <v>1</v>
      </c>
    </row>
    <row r="741" spans="1:7" hidden="1" x14ac:dyDescent="0.25">
      <c r="A741" s="28" t="s">
        <v>4949</v>
      </c>
      <c r="B741" s="29">
        <v>38812.959999999999</v>
      </c>
      <c r="F741" t="s">
        <v>4949</v>
      </c>
      <c r="G741">
        <v>1</v>
      </c>
    </row>
    <row r="742" spans="1:7" hidden="1" x14ac:dyDescent="0.25">
      <c r="A742" s="28" t="s">
        <v>4898</v>
      </c>
      <c r="B742" s="29">
        <v>38812.959999999999</v>
      </c>
      <c r="F742" t="s">
        <v>4898</v>
      </c>
      <c r="G742">
        <v>1</v>
      </c>
    </row>
    <row r="743" spans="1:7" x14ac:dyDescent="0.25">
      <c r="A743" s="28" t="s">
        <v>482</v>
      </c>
      <c r="B743" s="29">
        <v>39437.84865</v>
      </c>
      <c r="F743" t="s">
        <v>482</v>
      </c>
      <c r="G743">
        <v>2</v>
      </c>
    </row>
    <row r="744" spans="1:7" hidden="1" x14ac:dyDescent="0.25">
      <c r="A744" s="28" t="s">
        <v>4819</v>
      </c>
      <c r="B744" s="29">
        <v>38812.959999999999</v>
      </c>
      <c r="F744" t="s">
        <v>4819</v>
      </c>
      <c r="G744">
        <v>1</v>
      </c>
    </row>
    <row r="745" spans="1:7" x14ac:dyDescent="0.25">
      <c r="A745" s="28" t="s">
        <v>914</v>
      </c>
      <c r="B745" s="29">
        <v>39437.84865</v>
      </c>
      <c r="F745" t="s">
        <v>914</v>
      </c>
      <c r="G745">
        <v>2</v>
      </c>
    </row>
    <row r="746" spans="1:7" x14ac:dyDescent="0.25">
      <c r="A746" s="28" t="s">
        <v>626</v>
      </c>
      <c r="B746" s="29">
        <v>39437.84865</v>
      </c>
      <c r="F746" t="s">
        <v>626</v>
      </c>
      <c r="G746">
        <v>2</v>
      </c>
    </row>
    <row r="747" spans="1:7" hidden="1" x14ac:dyDescent="0.25">
      <c r="A747" s="28" t="s">
        <v>4677</v>
      </c>
      <c r="B747" s="29">
        <v>38812.959999999999</v>
      </c>
      <c r="F747" t="s">
        <v>4677</v>
      </c>
      <c r="G747">
        <v>1</v>
      </c>
    </row>
    <row r="748" spans="1:7" hidden="1" x14ac:dyDescent="0.25">
      <c r="A748" s="28" t="s">
        <v>5005</v>
      </c>
      <c r="B748" s="29">
        <v>38812.959999999999</v>
      </c>
      <c r="F748" t="s">
        <v>5005</v>
      </c>
      <c r="G748">
        <v>1</v>
      </c>
    </row>
    <row r="749" spans="1:7" hidden="1" x14ac:dyDescent="0.25">
      <c r="A749" s="28" t="s">
        <v>4927</v>
      </c>
      <c r="B749" s="29">
        <v>38812.959999999999</v>
      </c>
      <c r="F749" t="s">
        <v>4927</v>
      </c>
      <c r="G749">
        <v>1</v>
      </c>
    </row>
    <row r="750" spans="1:7" hidden="1" x14ac:dyDescent="0.25">
      <c r="A750" s="28" t="s">
        <v>4809</v>
      </c>
      <c r="B750" s="29">
        <v>38812.959999999999</v>
      </c>
      <c r="F750" t="s">
        <v>4809</v>
      </c>
      <c r="G750">
        <v>1</v>
      </c>
    </row>
    <row r="751" spans="1:7" hidden="1" x14ac:dyDescent="0.25">
      <c r="A751" s="28" t="s">
        <v>4923</v>
      </c>
      <c r="B751" s="29">
        <v>38812.959999999999</v>
      </c>
      <c r="F751" t="s">
        <v>4923</v>
      </c>
      <c r="G751">
        <v>1</v>
      </c>
    </row>
    <row r="752" spans="1:7" hidden="1" x14ac:dyDescent="0.25">
      <c r="A752" s="28" t="s">
        <v>3045</v>
      </c>
      <c r="B752" s="29">
        <v>38812.959999999999</v>
      </c>
      <c r="F752" t="s">
        <v>3045</v>
      </c>
      <c r="G752">
        <v>1</v>
      </c>
    </row>
    <row r="753" spans="1:7" hidden="1" x14ac:dyDescent="0.25">
      <c r="A753" s="28" t="s">
        <v>4930</v>
      </c>
      <c r="B753" s="29">
        <v>38812.959999999999</v>
      </c>
      <c r="F753" t="s">
        <v>4930</v>
      </c>
      <c r="G753">
        <v>1</v>
      </c>
    </row>
    <row r="754" spans="1:7" hidden="1" x14ac:dyDescent="0.25">
      <c r="A754" s="28" t="s">
        <v>4688</v>
      </c>
      <c r="B754" s="29">
        <v>38812.959999999999</v>
      </c>
      <c r="F754" t="s">
        <v>4688</v>
      </c>
      <c r="G754">
        <v>1</v>
      </c>
    </row>
    <row r="755" spans="1:7" hidden="1" x14ac:dyDescent="0.25">
      <c r="A755" s="28" t="s">
        <v>4626</v>
      </c>
      <c r="B755" s="29">
        <v>38812.959999999999</v>
      </c>
      <c r="F755" t="s">
        <v>4626</v>
      </c>
      <c r="G755">
        <v>1</v>
      </c>
    </row>
    <row r="756" spans="1:7" hidden="1" x14ac:dyDescent="0.25">
      <c r="A756" s="28" t="s">
        <v>5040</v>
      </c>
      <c r="B756" s="29">
        <v>38812.959999999999</v>
      </c>
      <c r="F756" t="s">
        <v>5040</v>
      </c>
      <c r="G756">
        <v>1</v>
      </c>
    </row>
    <row r="757" spans="1:7" hidden="1" x14ac:dyDescent="0.25">
      <c r="A757" s="28" t="s">
        <v>5026</v>
      </c>
      <c r="B757" s="29">
        <v>38812.959999999999</v>
      </c>
      <c r="F757" t="s">
        <v>5026</v>
      </c>
      <c r="G757">
        <v>1</v>
      </c>
    </row>
    <row r="758" spans="1:7" hidden="1" x14ac:dyDescent="0.25">
      <c r="A758" s="28" t="s">
        <v>4958</v>
      </c>
      <c r="B758" s="29">
        <v>38812.959999999999</v>
      </c>
      <c r="F758" t="s">
        <v>4958</v>
      </c>
      <c r="G758">
        <v>1</v>
      </c>
    </row>
    <row r="759" spans="1:7" hidden="1" x14ac:dyDescent="0.25">
      <c r="A759" s="28" t="s">
        <v>4794</v>
      </c>
      <c r="B759" s="29">
        <v>38812.959999999999</v>
      </c>
      <c r="F759" t="s">
        <v>4794</v>
      </c>
      <c r="G759">
        <v>1</v>
      </c>
    </row>
    <row r="760" spans="1:7" hidden="1" x14ac:dyDescent="0.25">
      <c r="A760" s="28" t="s">
        <v>4969</v>
      </c>
      <c r="B760" s="29">
        <v>38812.959999999999</v>
      </c>
      <c r="F760" t="s">
        <v>4969</v>
      </c>
      <c r="G760">
        <v>1</v>
      </c>
    </row>
    <row r="761" spans="1:7" hidden="1" x14ac:dyDescent="0.25">
      <c r="A761" s="28" t="s">
        <v>5024</v>
      </c>
      <c r="B761" s="29">
        <v>38812.959999999999</v>
      </c>
      <c r="F761" t="s">
        <v>5024</v>
      </c>
      <c r="G761">
        <v>1</v>
      </c>
    </row>
    <row r="762" spans="1:7" hidden="1" x14ac:dyDescent="0.25">
      <c r="A762" s="28" t="s">
        <v>5007</v>
      </c>
      <c r="B762" s="29">
        <v>38812.959999999999</v>
      </c>
      <c r="F762" t="s">
        <v>5007</v>
      </c>
      <c r="G762">
        <v>1</v>
      </c>
    </row>
    <row r="763" spans="1:7" hidden="1" x14ac:dyDescent="0.25">
      <c r="A763" s="28" t="s">
        <v>2652</v>
      </c>
      <c r="B763" s="29">
        <v>38812.959999999999</v>
      </c>
      <c r="F763" t="s">
        <v>2652</v>
      </c>
      <c r="G763">
        <v>1</v>
      </c>
    </row>
    <row r="764" spans="1:7" x14ac:dyDescent="0.25">
      <c r="A764" s="28" t="s">
        <v>1384</v>
      </c>
      <c r="B764" s="29">
        <v>39437.84865</v>
      </c>
      <c r="F764" t="s">
        <v>1384</v>
      </c>
      <c r="G764">
        <v>2</v>
      </c>
    </row>
    <row r="765" spans="1:7" hidden="1" x14ac:dyDescent="0.25">
      <c r="A765" s="28" t="s">
        <v>3140</v>
      </c>
      <c r="B765" s="29">
        <v>38812.959999999999</v>
      </c>
      <c r="F765" t="s">
        <v>3140</v>
      </c>
      <c r="G765">
        <v>1</v>
      </c>
    </row>
    <row r="766" spans="1:7" hidden="1" x14ac:dyDescent="0.25">
      <c r="A766" s="28" t="s">
        <v>4976</v>
      </c>
      <c r="B766" s="29">
        <v>38812.959999999999</v>
      </c>
      <c r="F766" t="s">
        <v>4976</v>
      </c>
      <c r="G766">
        <v>1</v>
      </c>
    </row>
    <row r="767" spans="1:7" hidden="1" x14ac:dyDescent="0.25">
      <c r="A767" s="28" t="s">
        <v>4897</v>
      </c>
      <c r="B767" s="29">
        <v>38812.959999999999</v>
      </c>
      <c r="F767" t="s">
        <v>4897</v>
      </c>
      <c r="G767">
        <v>1</v>
      </c>
    </row>
    <row r="768" spans="1:7" hidden="1" x14ac:dyDescent="0.25">
      <c r="A768" s="28" t="s">
        <v>4711</v>
      </c>
      <c r="B768" s="29">
        <v>38812.959999999999</v>
      </c>
      <c r="F768" t="s">
        <v>4711</v>
      </c>
      <c r="G768">
        <v>1</v>
      </c>
    </row>
    <row r="769" spans="1:7" hidden="1" x14ac:dyDescent="0.25">
      <c r="A769" s="28" t="s">
        <v>4685</v>
      </c>
      <c r="B769" s="29">
        <v>38812.959999999999</v>
      </c>
      <c r="F769" t="s">
        <v>4685</v>
      </c>
      <c r="G769">
        <v>1</v>
      </c>
    </row>
    <row r="770" spans="1:7" hidden="1" x14ac:dyDescent="0.25">
      <c r="A770" s="28" t="s">
        <v>2527</v>
      </c>
      <c r="B770" s="29">
        <v>38812.959999999999</v>
      </c>
      <c r="F770" t="s">
        <v>2527</v>
      </c>
      <c r="G770">
        <v>1</v>
      </c>
    </row>
    <row r="771" spans="1:7" hidden="1" x14ac:dyDescent="0.25">
      <c r="A771" s="28" t="s">
        <v>4752</v>
      </c>
      <c r="B771" s="29">
        <v>38812.959999999999</v>
      </c>
      <c r="F771" t="s">
        <v>4752</v>
      </c>
      <c r="G771">
        <v>1</v>
      </c>
    </row>
    <row r="772" spans="1:7" hidden="1" x14ac:dyDescent="0.25">
      <c r="A772" s="28" t="s">
        <v>2973</v>
      </c>
      <c r="B772" s="29">
        <v>38812.959999999999</v>
      </c>
      <c r="F772" t="s">
        <v>2973</v>
      </c>
      <c r="G772">
        <v>1</v>
      </c>
    </row>
    <row r="773" spans="1:7" hidden="1" x14ac:dyDescent="0.25">
      <c r="A773" s="28" t="s">
        <v>3164</v>
      </c>
      <c r="B773" s="29">
        <v>38812.959999999999</v>
      </c>
      <c r="F773" t="s">
        <v>3164</v>
      </c>
      <c r="G773">
        <v>1</v>
      </c>
    </row>
    <row r="774" spans="1:7" hidden="1" x14ac:dyDescent="0.25">
      <c r="A774" s="28" t="s">
        <v>5100</v>
      </c>
      <c r="B774" s="29">
        <v>38812.959999999999</v>
      </c>
      <c r="F774" t="s">
        <v>5100</v>
      </c>
      <c r="G774">
        <v>1</v>
      </c>
    </row>
    <row r="775" spans="1:7" hidden="1" x14ac:dyDescent="0.25">
      <c r="A775" s="28" t="s">
        <v>4999</v>
      </c>
      <c r="B775" s="29">
        <v>38812.959999999999</v>
      </c>
      <c r="F775" t="s">
        <v>4999</v>
      </c>
      <c r="G775">
        <v>1</v>
      </c>
    </row>
    <row r="776" spans="1:7" hidden="1" x14ac:dyDescent="0.25">
      <c r="A776" s="28" t="s">
        <v>5119</v>
      </c>
      <c r="B776" s="29">
        <v>38812.959999999999</v>
      </c>
      <c r="F776" t="s">
        <v>5119</v>
      </c>
      <c r="G776">
        <v>1</v>
      </c>
    </row>
    <row r="777" spans="1:7" hidden="1" x14ac:dyDescent="0.25">
      <c r="A777" s="28" t="s">
        <v>5114</v>
      </c>
      <c r="B777" s="29">
        <v>38812.959999999999</v>
      </c>
      <c r="F777" t="s">
        <v>5114</v>
      </c>
      <c r="G777">
        <v>1</v>
      </c>
    </row>
    <row r="778" spans="1:7" hidden="1" x14ac:dyDescent="0.25">
      <c r="A778" s="28" t="s">
        <v>3708</v>
      </c>
      <c r="B778" s="29">
        <v>52082.35</v>
      </c>
      <c r="F778" t="s">
        <v>3708</v>
      </c>
      <c r="G778">
        <v>1</v>
      </c>
    </row>
    <row r="779" spans="1:7" hidden="1" x14ac:dyDescent="0.25">
      <c r="A779" s="28" t="s">
        <v>4851</v>
      </c>
      <c r="B779" s="29">
        <v>52082.35</v>
      </c>
      <c r="F779" t="s">
        <v>4851</v>
      </c>
      <c r="G779">
        <v>1</v>
      </c>
    </row>
    <row r="780" spans="1:7" hidden="1" x14ac:dyDescent="0.25">
      <c r="A780" s="28" t="s">
        <v>2477</v>
      </c>
      <c r="B780" s="29">
        <v>52082.35</v>
      </c>
      <c r="F780" t="s">
        <v>2477</v>
      </c>
      <c r="G780">
        <v>1</v>
      </c>
    </row>
    <row r="781" spans="1:7" hidden="1" x14ac:dyDescent="0.25">
      <c r="A781" s="28" t="s">
        <v>5091</v>
      </c>
      <c r="B781" s="29">
        <v>38812.959999999999</v>
      </c>
      <c r="F781" t="s">
        <v>5091</v>
      </c>
      <c r="G781">
        <v>1</v>
      </c>
    </row>
    <row r="782" spans="1:7" hidden="1" x14ac:dyDescent="0.25">
      <c r="A782" s="28" t="s">
        <v>5021</v>
      </c>
      <c r="B782" s="29">
        <v>52082.35</v>
      </c>
      <c r="F782" t="s">
        <v>5021</v>
      </c>
      <c r="G782">
        <v>1</v>
      </c>
    </row>
    <row r="783" spans="1:7" hidden="1" x14ac:dyDescent="0.25">
      <c r="A783" s="28" t="s">
        <v>4270</v>
      </c>
      <c r="B783" s="29">
        <v>38812.959999999999</v>
      </c>
      <c r="F783" t="s">
        <v>4270</v>
      </c>
      <c r="G783">
        <v>1</v>
      </c>
    </row>
    <row r="784" spans="1:7" hidden="1" x14ac:dyDescent="0.25">
      <c r="A784" s="28" t="s">
        <v>4891</v>
      </c>
      <c r="B784" s="29">
        <v>38812.959999999999</v>
      </c>
      <c r="F784" t="s">
        <v>4891</v>
      </c>
      <c r="G784">
        <v>1</v>
      </c>
    </row>
    <row r="785" spans="1:7" hidden="1" x14ac:dyDescent="0.25">
      <c r="A785" s="28" t="s">
        <v>2665</v>
      </c>
      <c r="B785" s="29">
        <v>38812.959999999999</v>
      </c>
      <c r="F785" t="s">
        <v>2665</v>
      </c>
      <c r="G785">
        <v>1</v>
      </c>
    </row>
    <row r="786" spans="1:7" hidden="1" x14ac:dyDescent="0.25">
      <c r="A786" s="28" t="s">
        <v>2585</v>
      </c>
      <c r="B786" s="29">
        <v>38812.959999999999</v>
      </c>
      <c r="F786" t="s">
        <v>2585</v>
      </c>
      <c r="G786">
        <v>1</v>
      </c>
    </row>
    <row r="787" spans="1:7" hidden="1" x14ac:dyDescent="0.25">
      <c r="A787" s="28" t="s">
        <v>2509</v>
      </c>
      <c r="B787" s="29">
        <v>44894.77</v>
      </c>
      <c r="F787" t="s">
        <v>2509</v>
      </c>
      <c r="G787">
        <v>1</v>
      </c>
    </row>
    <row r="788" spans="1:7" hidden="1" x14ac:dyDescent="0.25">
      <c r="A788" s="28" t="s">
        <v>5093</v>
      </c>
      <c r="B788" s="29">
        <v>38812.959999999999</v>
      </c>
      <c r="F788" t="s">
        <v>5093</v>
      </c>
      <c r="G788">
        <v>1</v>
      </c>
    </row>
    <row r="789" spans="1:7" hidden="1" x14ac:dyDescent="0.25">
      <c r="A789" s="28" t="s">
        <v>2932</v>
      </c>
      <c r="B789" s="29">
        <v>38812.959999999999</v>
      </c>
      <c r="F789" t="s">
        <v>2932</v>
      </c>
      <c r="G789">
        <v>1</v>
      </c>
    </row>
    <row r="790" spans="1:7" hidden="1" x14ac:dyDescent="0.25">
      <c r="A790" s="28" t="s">
        <v>3144</v>
      </c>
      <c r="B790" s="29">
        <v>52082.35</v>
      </c>
      <c r="F790" t="s">
        <v>3144</v>
      </c>
      <c r="G790">
        <v>1</v>
      </c>
    </row>
    <row r="791" spans="1:7" hidden="1" x14ac:dyDescent="0.25">
      <c r="A791" s="28" t="s">
        <v>3120</v>
      </c>
      <c r="B791" s="29">
        <v>38812.959999999999</v>
      </c>
      <c r="F791" t="s">
        <v>3120</v>
      </c>
      <c r="G791">
        <v>1</v>
      </c>
    </row>
    <row r="792" spans="1:7" hidden="1" x14ac:dyDescent="0.25">
      <c r="A792" s="28" t="s">
        <v>4961</v>
      </c>
      <c r="B792" s="29">
        <v>52082.35</v>
      </c>
      <c r="F792" t="s">
        <v>4961</v>
      </c>
      <c r="G792">
        <v>1</v>
      </c>
    </row>
    <row r="793" spans="1:7" hidden="1" x14ac:dyDescent="0.25">
      <c r="A793" s="28" t="s">
        <v>5069</v>
      </c>
      <c r="B793" s="29">
        <v>38812.959999999999</v>
      </c>
      <c r="F793" t="s">
        <v>5069</v>
      </c>
      <c r="G793">
        <v>1</v>
      </c>
    </row>
    <row r="794" spans="1:7" hidden="1" x14ac:dyDescent="0.25">
      <c r="A794" s="28" t="s">
        <v>4992</v>
      </c>
      <c r="B794" s="29">
        <v>38812.959999999999</v>
      </c>
      <c r="F794" t="s">
        <v>4992</v>
      </c>
      <c r="G794">
        <v>1</v>
      </c>
    </row>
    <row r="795" spans="1:7" hidden="1" x14ac:dyDescent="0.25">
      <c r="A795" s="28" t="s">
        <v>5146</v>
      </c>
      <c r="B795" s="29">
        <v>44894.77</v>
      </c>
      <c r="F795" t="s">
        <v>5146</v>
      </c>
      <c r="G795">
        <v>1</v>
      </c>
    </row>
    <row r="796" spans="1:7" hidden="1" x14ac:dyDescent="0.25">
      <c r="A796" s="28" t="s">
        <v>5002</v>
      </c>
      <c r="B796" s="29">
        <v>38812.959999999999</v>
      </c>
      <c r="F796" t="s">
        <v>5002</v>
      </c>
      <c r="G796">
        <v>1</v>
      </c>
    </row>
    <row r="797" spans="1:7" hidden="1" x14ac:dyDescent="0.25">
      <c r="A797" s="28" t="s">
        <v>5088</v>
      </c>
      <c r="B797" s="29">
        <v>44894.77</v>
      </c>
      <c r="F797" t="s">
        <v>5088</v>
      </c>
      <c r="G797">
        <v>1</v>
      </c>
    </row>
    <row r="798" spans="1:7" hidden="1" x14ac:dyDescent="0.25">
      <c r="A798" s="28" t="s">
        <v>4973</v>
      </c>
      <c r="B798" s="29">
        <v>52082.35</v>
      </c>
      <c r="F798" t="s">
        <v>4973</v>
      </c>
      <c r="G798">
        <v>1</v>
      </c>
    </row>
    <row r="799" spans="1:7" hidden="1" x14ac:dyDescent="0.25">
      <c r="A799" s="28" t="s">
        <v>5141</v>
      </c>
      <c r="B799" s="29">
        <v>44894.77</v>
      </c>
      <c r="F799" t="s">
        <v>5141</v>
      </c>
      <c r="G799">
        <v>1</v>
      </c>
    </row>
    <row r="800" spans="1:7" hidden="1" x14ac:dyDescent="0.25">
      <c r="A800" s="28" t="s">
        <v>5137</v>
      </c>
      <c r="B800" s="29">
        <v>38812.959999999999</v>
      </c>
      <c r="F800" t="s">
        <v>5137</v>
      </c>
      <c r="G800">
        <v>1</v>
      </c>
    </row>
    <row r="801" spans="1:7" hidden="1" x14ac:dyDescent="0.25">
      <c r="A801" s="28" t="s">
        <v>3101</v>
      </c>
      <c r="B801" s="29">
        <v>38812.959999999999</v>
      </c>
      <c r="F801" t="s">
        <v>3101</v>
      </c>
      <c r="G801">
        <v>1</v>
      </c>
    </row>
    <row r="802" spans="1:7" hidden="1" x14ac:dyDescent="0.25">
      <c r="A802" s="28" t="s">
        <v>5128</v>
      </c>
      <c r="B802" s="29">
        <v>38812.959999999999</v>
      </c>
      <c r="F802" t="s">
        <v>5128</v>
      </c>
      <c r="G802">
        <v>1</v>
      </c>
    </row>
    <row r="803" spans="1:7" hidden="1" x14ac:dyDescent="0.25">
      <c r="A803" s="28" t="s">
        <v>5127</v>
      </c>
      <c r="B803" s="29">
        <v>38812.959999999999</v>
      </c>
      <c r="F803" t="s">
        <v>5127</v>
      </c>
      <c r="G803">
        <v>1</v>
      </c>
    </row>
    <row r="804" spans="1:7" hidden="1" x14ac:dyDescent="0.25">
      <c r="A804" s="28" t="s">
        <v>5118</v>
      </c>
      <c r="B804" s="29">
        <v>38812.959999999999</v>
      </c>
      <c r="F804" t="s">
        <v>5118</v>
      </c>
      <c r="G804">
        <v>1</v>
      </c>
    </row>
    <row r="805" spans="1:7" hidden="1" x14ac:dyDescent="0.25">
      <c r="A805" s="28" t="s">
        <v>5113</v>
      </c>
      <c r="B805" s="29">
        <v>44894.77</v>
      </c>
      <c r="F805" t="s">
        <v>5113</v>
      </c>
      <c r="G805">
        <v>1</v>
      </c>
    </row>
    <row r="806" spans="1:7" hidden="1" x14ac:dyDescent="0.25">
      <c r="A806" s="28" t="s">
        <v>5122</v>
      </c>
      <c r="B806" s="29">
        <v>38812.959999999999</v>
      </c>
      <c r="F806" t="s">
        <v>5122</v>
      </c>
      <c r="G806">
        <v>1</v>
      </c>
    </row>
    <row r="807" spans="1:7" hidden="1" x14ac:dyDescent="0.25">
      <c r="A807" s="28" t="s">
        <v>5019</v>
      </c>
      <c r="B807" s="29">
        <v>44894.77</v>
      </c>
      <c r="F807" t="s">
        <v>5019</v>
      </c>
      <c r="G807">
        <v>1</v>
      </c>
    </row>
    <row r="808" spans="1:7" hidden="1" x14ac:dyDescent="0.25">
      <c r="A808" s="28" t="s">
        <v>4974</v>
      </c>
      <c r="B808" s="29">
        <v>44894.77</v>
      </c>
      <c r="F808" t="s">
        <v>4974</v>
      </c>
      <c r="G808">
        <v>1</v>
      </c>
    </row>
    <row r="809" spans="1:7" hidden="1" x14ac:dyDescent="0.25">
      <c r="A809" s="28" t="s">
        <v>2961</v>
      </c>
      <c r="B809" s="29">
        <v>44894.77</v>
      </c>
      <c r="F809" t="s">
        <v>2961</v>
      </c>
      <c r="G809">
        <v>1</v>
      </c>
    </row>
    <row r="810" spans="1:7" hidden="1" x14ac:dyDescent="0.25">
      <c r="A810" s="28" t="s">
        <v>4980</v>
      </c>
      <c r="B810" s="29">
        <v>44894.77</v>
      </c>
      <c r="F810" t="s">
        <v>4980</v>
      </c>
      <c r="G810">
        <v>1</v>
      </c>
    </row>
    <row r="811" spans="1:7" hidden="1" x14ac:dyDescent="0.25">
      <c r="A811" s="28" t="s">
        <v>5133</v>
      </c>
      <c r="B811" s="29">
        <v>44894.77</v>
      </c>
      <c r="F811" t="s">
        <v>5133</v>
      </c>
      <c r="G811">
        <v>1</v>
      </c>
    </row>
    <row r="812" spans="1:7" hidden="1" x14ac:dyDescent="0.25">
      <c r="A812" s="28" t="s">
        <v>5156</v>
      </c>
      <c r="B812" s="29">
        <v>38812.959999999999</v>
      </c>
      <c r="F812" t="s">
        <v>5156</v>
      </c>
      <c r="G812">
        <v>1</v>
      </c>
    </row>
    <row r="813" spans="1:7" hidden="1" x14ac:dyDescent="0.25">
      <c r="A813" s="28" t="s">
        <v>5110</v>
      </c>
      <c r="B813" s="29">
        <v>44894.77</v>
      </c>
      <c r="F813" t="s">
        <v>5110</v>
      </c>
      <c r="G813">
        <v>1</v>
      </c>
    </row>
    <row r="814" spans="1:7" hidden="1" x14ac:dyDescent="0.25">
      <c r="A814" s="28" t="s">
        <v>2823</v>
      </c>
      <c r="B814" s="29">
        <v>44894.77</v>
      </c>
      <c r="F814" t="s">
        <v>2823</v>
      </c>
      <c r="G814">
        <v>1</v>
      </c>
    </row>
    <row r="815" spans="1:7" hidden="1" x14ac:dyDescent="0.25">
      <c r="A815" s="28" t="s">
        <v>5010</v>
      </c>
      <c r="B815" s="29">
        <v>44894.77</v>
      </c>
      <c r="F815" t="s">
        <v>5010</v>
      </c>
      <c r="G815">
        <v>1</v>
      </c>
    </row>
    <row r="816" spans="1:7" hidden="1" x14ac:dyDescent="0.25">
      <c r="A816" s="28" t="s">
        <v>4281</v>
      </c>
      <c r="B816" s="29">
        <v>44894.77</v>
      </c>
      <c r="F816" t="s">
        <v>4281</v>
      </c>
      <c r="G816">
        <v>1</v>
      </c>
    </row>
    <row r="817" spans="1:7" hidden="1" x14ac:dyDescent="0.25">
      <c r="A817" s="28" t="s">
        <v>4740</v>
      </c>
      <c r="B817" s="29">
        <v>44894.77</v>
      </c>
      <c r="F817" t="s">
        <v>4740</v>
      </c>
      <c r="G817">
        <v>1</v>
      </c>
    </row>
    <row r="818" spans="1:7" hidden="1" x14ac:dyDescent="0.25">
      <c r="A818" s="28" t="s">
        <v>2954</v>
      </c>
      <c r="B818" s="29">
        <v>44894.77</v>
      </c>
      <c r="F818" t="s">
        <v>2954</v>
      </c>
      <c r="G818">
        <v>1</v>
      </c>
    </row>
    <row r="819" spans="1:7" hidden="1" x14ac:dyDescent="0.25">
      <c r="A819" s="28" t="s">
        <v>4402</v>
      </c>
      <c r="B819" s="29">
        <v>44894.77</v>
      </c>
      <c r="F819" t="s">
        <v>4402</v>
      </c>
      <c r="G819">
        <v>1</v>
      </c>
    </row>
    <row r="820" spans="1:7" hidden="1" x14ac:dyDescent="0.25">
      <c r="A820" s="28" t="s">
        <v>4444</v>
      </c>
      <c r="B820" s="29">
        <v>44894.77</v>
      </c>
      <c r="F820" t="s">
        <v>4444</v>
      </c>
      <c r="G820">
        <v>1</v>
      </c>
    </row>
    <row r="821" spans="1:7" hidden="1" x14ac:dyDescent="0.25">
      <c r="A821" s="28" t="s">
        <v>4151</v>
      </c>
      <c r="B821" s="29">
        <v>44894.77</v>
      </c>
      <c r="F821" t="s">
        <v>4151</v>
      </c>
      <c r="G821">
        <v>1</v>
      </c>
    </row>
    <row r="822" spans="1:7" hidden="1" x14ac:dyDescent="0.25">
      <c r="A822" s="28" t="s">
        <v>3586</v>
      </c>
      <c r="B822" s="29">
        <v>44894.77</v>
      </c>
      <c r="F822" t="s">
        <v>3586</v>
      </c>
      <c r="G822">
        <v>1</v>
      </c>
    </row>
    <row r="823" spans="1:7" hidden="1" x14ac:dyDescent="0.25">
      <c r="A823" s="28" t="s">
        <v>3971</v>
      </c>
      <c r="B823" s="29">
        <v>44894.77</v>
      </c>
      <c r="F823" t="s">
        <v>3971</v>
      </c>
      <c r="G823">
        <v>1</v>
      </c>
    </row>
    <row r="824" spans="1:7" x14ac:dyDescent="0.25">
      <c r="A824" s="28" t="s">
        <v>1098</v>
      </c>
      <c r="B824" s="29">
        <v>45617.575799999999</v>
      </c>
      <c r="F824" t="s">
        <v>1098</v>
      </c>
      <c r="G824">
        <v>2</v>
      </c>
    </row>
    <row r="825" spans="1:7" x14ac:dyDescent="0.25">
      <c r="A825" s="28" t="s">
        <v>913</v>
      </c>
      <c r="B825" s="29">
        <v>45617.575799999999</v>
      </c>
      <c r="F825" t="s">
        <v>913</v>
      </c>
      <c r="G825">
        <v>2</v>
      </c>
    </row>
    <row r="826" spans="1:7" hidden="1" x14ac:dyDescent="0.25">
      <c r="A826" s="28" t="s">
        <v>4187</v>
      </c>
      <c r="B826" s="29">
        <v>44894.77</v>
      </c>
      <c r="F826" t="s">
        <v>4187</v>
      </c>
      <c r="G826">
        <v>1</v>
      </c>
    </row>
    <row r="827" spans="1:7" x14ac:dyDescent="0.25">
      <c r="A827" s="28" t="s">
        <v>919</v>
      </c>
      <c r="B827" s="29">
        <v>45617.575799999999</v>
      </c>
      <c r="F827" t="s">
        <v>919</v>
      </c>
      <c r="G827">
        <v>2</v>
      </c>
    </row>
    <row r="828" spans="1:7" hidden="1" x14ac:dyDescent="0.25">
      <c r="A828" s="28" t="s">
        <v>4710</v>
      </c>
      <c r="B828" s="29">
        <v>44894.77</v>
      </c>
      <c r="F828" t="s">
        <v>4710</v>
      </c>
      <c r="G828">
        <v>1</v>
      </c>
    </row>
    <row r="829" spans="1:7" hidden="1" x14ac:dyDescent="0.25">
      <c r="A829" s="28" t="s">
        <v>4852</v>
      </c>
      <c r="B829" s="29">
        <v>44894.77</v>
      </c>
      <c r="F829" t="s">
        <v>4852</v>
      </c>
      <c r="G829">
        <v>1</v>
      </c>
    </row>
    <row r="830" spans="1:7" x14ac:dyDescent="0.25">
      <c r="A830" s="28" t="s">
        <v>857</v>
      </c>
      <c r="B830" s="29">
        <v>45617.575799999999</v>
      </c>
      <c r="F830" t="s">
        <v>857</v>
      </c>
      <c r="G830">
        <v>2</v>
      </c>
    </row>
    <row r="831" spans="1:7" x14ac:dyDescent="0.25">
      <c r="A831" s="28" t="s">
        <v>1441</v>
      </c>
      <c r="B831" s="29">
        <v>45617.575799999999</v>
      </c>
      <c r="F831" t="s">
        <v>1441</v>
      </c>
      <c r="G831">
        <v>2</v>
      </c>
    </row>
    <row r="832" spans="1:7" hidden="1" x14ac:dyDescent="0.25">
      <c r="A832" s="28" t="s">
        <v>4801</v>
      </c>
      <c r="B832" s="29">
        <v>44894.77</v>
      </c>
      <c r="F832" t="s">
        <v>4801</v>
      </c>
      <c r="G832">
        <v>1</v>
      </c>
    </row>
    <row r="833" spans="1:7" x14ac:dyDescent="0.25">
      <c r="A833" s="28" t="s">
        <v>775</v>
      </c>
      <c r="B833" s="29">
        <v>45617.575799999999</v>
      </c>
      <c r="F833" t="s">
        <v>775</v>
      </c>
      <c r="G833">
        <v>2</v>
      </c>
    </row>
    <row r="834" spans="1:7" hidden="1" x14ac:dyDescent="0.25">
      <c r="A834" s="28" t="s">
        <v>4657</v>
      </c>
      <c r="B834" s="29">
        <v>44894.77</v>
      </c>
      <c r="F834" t="s">
        <v>4657</v>
      </c>
      <c r="G834">
        <v>1</v>
      </c>
    </row>
    <row r="835" spans="1:7" hidden="1" x14ac:dyDescent="0.25">
      <c r="A835" s="28" t="s">
        <v>5055</v>
      </c>
      <c r="B835" s="29">
        <v>44894.77</v>
      </c>
      <c r="F835" t="s">
        <v>5055</v>
      </c>
      <c r="G835">
        <v>1</v>
      </c>
    </row>
    <row r="836" spans="1:7" hidden="1" x14ac:dyDescent="0.25">
      <c r="A836" s="28" t="s">
        <v>3398</v>
      </c>
      <c r="B836" s="29">
        <v>44894.77</v>
      </c>
      <c r="F836" t="s">
        <v>3398</v>
      </c>
      <c r="G836">
        <v>1</v>
      </c>
    </row>
    <row r="837" spans="1:7" x14ac:dyDescent="0.25">
      <c r="A837" s="28" t="s">
        <v>1583</v>
      </c>
      <c r="B837" s="29">
        <v>45617.575799999999</v>
      </c>
      <c r="F837" t="s">
        <v>1583</v>
      </c>
      <c r="G837">
        <v>2</v>
      </c>
    </row>
    <row r="838" spans="1:7" hidden="1" x14ac:dyDescent="0.25">
      <c r="A838" s="28" t="s">
        <v>4359</v>
      </c>
      <c r="B838" s="29">
        <v>44894.77</v>
      </c>
      <c r="F838" t="s">
        <v>4359</v>
      </c>
      <c r="G838">
        <v>1</v>
      </c>
    </row>
    <row r="839" spans="1:7" hidden="1" x14ac:dyDescent="0.25">
      <c r="A839" s="28" t="s">
        <v>4649</v>
      </c>
      <c r="B839" s="29">
        <v>44894.77</v>
      </c>
      <c r="F839" t="s">
        <v>4649</v>
      </c>
      <c r="G839">
        <v>1</v>
      </c>
    </row>
    <row r="840" spans="1:7" hidden="1" x14ac:dyDescent="0.25">
      <c r="A840" s="28" t="s">
        <v>4876</v>
      </c>
      <c r="B840" s="29">
        <v>44894.77</v>
      </c>
      <c r="F840" t="s">
        <v>4876</v>
      </c>
      <c r="G840">
        <v>1</v>
      </c>
    </row>
    <row r="841" spans="1:7" x14ac:dyDescent="0.25">
      <c r="A841" s="28" t="s">
        <v>1110</v>
      </c>
      <c r="B841" s="29">
        <v>45617.575799999999</v>
      </c>
      <c r="F841" t="s">
        <v>1110</v>
      </c>
      <c r="G841">
        <v>2</v>
      </c>
    </row>
    <row r="842" spans="1:7" hidden="1" x14ac:dyDescent="0.25">
      <c r="A842" s="28" t="s">
        <v>4376</v>
      </c>
      <c r="B842" s="29">
        <v>44894.77</v>
      </c>
      <c r="F842" t="s">
        <v>4376</v>
      </c>
      <c r="G842">
        <v>1</v>
      </c>
    </row>
    <row r="843" spans="1:7" hidden="1" x14ac:dyDescent="0.25">
      <c r="A843" s="28" t="s">
        <v>4642</v>
      </c>
      <c r="B843" s="29">
        <v>44894.77</v>
      </c>
      <c r="F843" t="s">
        <v>4642</v>
      </c>
      <c r="G843">
        <v>1</v>
      </c>
    </row>
    <row r="844" spans="1:7" hidden="1" x14ac:dyDescent="0.25">
      <c r="A844" s="28" t="s">
        <v>3835</v>
      </c>
      <c r="B844" s="29">
        <v>44894.77</v>
      </c>
      <c r="F844" t="s">
        <v>3835</v>
      </c>
      <c r="G844">
        <v>1</v>
      </c>
    </row>
    <row r="845" spans="1:7" hidden="1" x14ac:dyDescent="0.25">
      <c r="A845" s="28" t="s">
        <v>3080</v>
      </c>
      <c r="B845" s="29">
        <v>44894.77</v>
      </c>
      <c r="F845" t="s">
        <v>3080</v>
      </c>
      <c r="G845">
        <v>1</v>
      </c>
    </row>
    <row r="846" spans="1:7" hidden="1" x14ac:dyDescent="0.25">
      <c r="A846" s="28" t="s">
        <v>4650</v>
      </c>
      <c r="B846" s="29">
        <v>44894.77</v>
      </c>
      <c r="F846" t="s">
        <v>4650</v>
      </c>
      <c r="G846">
        <v>1</v>
      </c>
    </row>
    <row r="847" spans="1:7" hidden="1" x14ac:dyDescent="0.25">
      <c r="A847" s="28" t="s">
        <v>4856</v>
      </c>
      <c r="B847" s="29">
        <v>44894.77</v>
      </c>
      <c r="F847" t="s">
        <v>4856</v>
      </c>
      <c r="G847">
        <v>1</v>
      </c>
    </row>
    <row r="848" spans="1:7" hidden="1" x14ac:dyDescent="0.25">
      <c r="A848" s="28" t="s">
        <v>4926</v>
      </c>
      <c r="B848" s="29">
        <v>44894.77</v>
      </c>
      <c r="F848" t="s">
        <v>4926</v>
      </c>
      <c r="G848">
        <v>1</v>
      </c>
    </row>
    <row r="849" spans="1:7" hidden="1" x14ac:dyDescent="0.25">
      <c r="A849" s="28" t="s">
        <v>3048</v>
      </c>
      <c r="B849" s="29">
        <v>44894.77</v>
      </c>
      <c r="F849" t="s">
        <v>3048</v>
      </c>
      <c r="G849">
        <v>1</v>
      </c>
    </row>
    <row r="850" spans="1:7" hidden="1" x14ac:dyDescent="0.25">
      <c r="A850" s="28" t="s">
        <v>4987</v>
      </c>
      <c r="B850" s="29">
        <v>44894.77</v>
      </c>
      <c r="F850" t="s">
        <v>4987</v>
      </c>
      <c r="G850">
        <v>1</v>
      </c>
    </row>
    <row r="851" spans="1:7" hidden="1" x14ac:dyDescent="0.25">
      <c r="A851" s="28" t="s">
        <v>2799</v>
      </c>
      <c r="B851" s="29">
        <v>44894.77</v>
      </c>
      <c r="F851" t="s">
        <v>2799</v>
      </c>
      <c r="G851">
        <v>1</v>
      </c>
    </row>
    <row r="852" spans="1:7" hidden="1" x14ac:dyDescent="0.25">
      <c r="A852" s="28" t="s">
        <v>4340</v>
      </c>
      <c r="B852" s="29">
        <v>44894.77</v>
      </c>
      <c r="F852" t="s">
        <v>4340</v>
      </c>
      <c r="G852">
        <v>1</v>
      </c>
    </row>
    <row r="853" spans="1:7" hidden="1" x14ac:dyDescent="0.25">
      <c r="A853" s="28" t="s">
        <v>2704</v>
      </c>
      <c r="B853" s="29">
        <v>44894.77</v>
      </c>
      <c r="F853" t="s">
        <v>2704</v>
      </c>
      <c r="G853">
        <v>1</v>
      </c>
    </row>
    <row r="854" spans="1:7" hidden="1" x14ac:dyDescent="0.25">
      <c r="A854" s="28" t="s">
        <v>2798</v>
      </c>
      <c r="B854" s="29">
        <v>44894.77</v>
      </c>
      <c r="F854" t="s">
        <v>2798</v>
      </c>
      <c r="G854">
        <v>1</v>
      </c>
    </row>
    <row r="855" spans="1:7" hidden="1" x14ac:dyDescent="0.25">
      <c r="A855" s="28" t="s">
        <v>4982</v>
      </c>
      <c r="B855" s="29">
        <v>44894.77</v>
      </c>
      <c r="F855" t="s">
        <v>4982</v>
      </c>
      <c r="G855">
        <v>1</v>
      </c>
    </row>
    <row r="856" spans="1:7" hidden="1" x14ac:dyDescent="0.25">
      <c r="A856" s="28" t="s">
        <v>2674</v>
      </c>
      <c r="B856" s="29">
        <v>44894.77</v>
      </c>
      <c r="F856" t="s">
        <v>2674</v>
      </c>
      <c r="G856">
        <v>1</v>
      </c>
    </row>
    <row r="857" spans="1:7" hidden="1" x14ac:dyDescent="0.25">
      <c r="A857" s="28" t="s">
        <v>4984</v>
      </c>
      <c r="B857" s="29">
        <v>44894.77</v>
      </c>
      <c r="F857" t="s">
        <v>4984</v>
      </c>
      <c r="G857">
        <v>1</v>
      </c>
    </row>
    <row r="858" spans="1:7" hidden="1" x14ac:dyDescent="0.25">
      <c r="A858" s="28" t="s">
        <v>4944</v>
      </c>
      <c r="B858" s="29">
        <v>44894.77</v>
      </c>
      <c r="F858" t="s">
        <v>4944</v>
      </c>
      <c r="G858">
        <v>1</v>
      </c>
    </row>
    <row r="859" spans="1:7" hidden="1" x14ac:dyDescent="0.25">
      <c r="A859" s="28" t="s">
        <v>4971</v>
      </c>
      <c r="B859" s="29">
        <v>44894.77</v>
      </c>
      <c r="F859" t="s">
        <v>4971</v>
      </c>
      <c r="G859">
        <v>1</v>
      </c>
    </row>
    <row r="860" spans="1:7" hidden="1" x14ac:dyDescent="0.25">
      <c r="A860" s="28" t="s">
        <v>5077</v>
      </c>
      <c r="B860" s="29">
        <v>44894.77</v>
      </c>
      <c r="F860" t="s">
        <v>5077</v>
      </c>
      <c r="G860">
        <v>1</v>
      </c>
    </row>
    <row r="861" spans="1:7" hidden="1" x14ac:dyDescent="0.25">
      <c r="A861" s="28" t="s">
        <v>4182</v>
      </c>
      <c r="B861" s="29">
        <v>44894.77</v>
      </c>
      <c r="F861" t="s">
        <v>4182</v>
      </c>
      <c r="G861">
        <v>1</v>
      </c>
    </row>
    <row r="862" spans="1:7" hidden="1" x14ac:dyDescent="0.25">
      <c r="A862" s="28" t="s">
        <v>2910</v>
      </c>
      <c r="B862" s="29">
        <v>44894.77</v>
      </c>
      <c r="F862" t="s">
        <v>2910</v>
      </c>
      <c r="G862">
        <v>1</v>
      </c>
    </row>
    <row r="863" spans="1:7" hidden="1" x14ac:dyDescent="0.25">
      <c r="A863" s="28" t="s">
        <v>4555</v>
      </c>
      <c r="B863" s="29">
        <v>44894.77</v>
      </c>
      <c r="F863" t="s">
        <v>4555</v>
      </c>
      <c r="G863">
        <v>1</v>
      </c>
    </row>
    <row r="864" spans="1:7" hidden="1" x14ac:dyDescent="0.25">
      <c r="A864" s="28" t="s">
        <v>2937</v>
      </c>
      <c r="B864" s="29">
        <v>44894.77</v>
      </c>
      <c r="F864" t="s">
        <v>2937</v>
      </c>
      <c r="G864">
        <v>1</v>
      </c>
    </row>
    <row r="865" spans="1:7" x14ac:dyDescent="0.25">
      <c r="A865" s="28" t="s">
        <v>1165</v>
      </c>
      <c r="B865" s="29">
        <v>45617.575799999999</v>
      </c>
      <c r="F865" t="s">
        <v>1165</v>
      </c>
      <c r="G865">
        <v>2</v>
      </c>
    </row>
    <row r="866" spans="1:7" hidden="1" x14ac:dyDescent="0.25">
      <c r="A866" s="28" t="s">
        <v>4829</v>
      </c>
      <c r="B866" s="29">
        <v>44894.77</v>
      </c>
      <c r="F866" t="s">
        <v>4829</v>
      </c>
      <c r="G866">
        <v>1</v>
      </c>
    </row>
    <row r="867" spans="1:7" hidden="1" x14ac:dyDescent="0.25">
      <c r="A867" s="28" t="s">
        <v>4966</v>
      </c>
      <c r="B867" s="29">
        <v>44894.77</v>
      </c>
      <c r="F867" t="s">
        <v>4966</v>
      </c>
      <c r="G867">
        <v>1</v>
      </c>
    </row>
    <row r="868" spans="1:7" hidden="1" x14ac:dyDescent="0.25">
      <c r="A868" s="28" t="s">
        <v>5050</v>
      </c>
      <c r="B868" s="29">
        <v>44894.77</v>
      </c>
      <c r="F868" t="s">
        <v>5050</v>
      </c>
      <c r="G868">
        <v>1</v>
      </c>
    </row>
    <row r="869" spans="1:7" hidden="1" x14ac:dyDescent="0.25">
      <c r="A869" s="28" t="s">
        <v>4749</v>
      </c>
      <c r="B869" s="29">
        <v>44894.77</v>
      </c>
      <c r="F869" t="s">
        <v>4749</v>
      </c>
      <c r="G869">
        <v>1</v>
      </c>
    </row>
    <row r="870" spans="1:7" hidden="1" x14ac:dyDescent="0.25">
      <c r="A870" s="28" t="s">
        <v>4728</v>
      </c>
      <c r="B870" s="29">
        <v>44894.77</v>
      </c>
      <c r="F870" t="s">
        <v>4728</v>
      </c>
      <c r="G870">
        <v>1</v>
      </c>
    </row>
    <row r="871" spans="1:7" x14ac:dyDescent="0.25">
      <c r="A871" s="28" t="s">
        <v>388</v>
      </c>
      <c r="B871" s="29">
        <v>45617.575799999999</v>
      </c>
      <c r="F871" t="s">
        <v>388</v>
      </c>
      <c r="G871">
        <v>2</v>
      </c>
    </row>
    <row r="872" spans="1:7" hidden="1" x14ac:dyDescent="0.25">
      <c r="A872" s="28" t="s">
        <v>4804</v>
      </c>
      <c r="B872" s="29">
        <v>44894.77</v>
      </c>
      <c r="F872" t="s">
        <v>4804</v>
      </c>
      <c r="G872">
        <v>1</v>
      </c>
    </row>
    <row r="873" spans="1:7" hidden="1" x14ac:dyDescent="0.25">
      <c r="A873" s="28" t="s">
        <v>4910</v>
      </c>
      <c r="B873" s="29">
        <v>44894.77</v>
      </c>
      <c r="F873" t="s">
        <v>4910</v>
      </c>
      <c r="G873">
        <v>1</v>
      </c>
    </row>
    <row r="874" spans="1:7" hidden="1" x14ac:dyDescent="0.25">
      <c r="A874" s="28" t="s">
        <v>4909</v>
      </c>
      <c r="B874" s="29">
        <v>44894.77</v>
      </c>
      <c r="F874" t="s">
        <v>4909</v>
      </c>
      <c r="G874">
        <v>1</v>
      </c>
    </row>
    <row r="875" spans="1:7" hidden="1" x14ac:dyDescent="0.25">
      <c r="A875" s="28" t="s">
        <v>4799</v>
      </c>
      <c r="B875" s="29">
        <v>44894.77</v>
      </c>
      <c r="F875" t="s">
        <v>4799</v>
      </c>
      <c r="G875">
        <v>1</v>
      </c>
    </row>
    <row r="876" spans="1:7" hidden="1" x14ac:dyDescent="0.25">
      <c r="A876" s="28" t="s">
        <v>4874</v>
      </c>
      <c r="B876" s="29">
        <v>44894.77</v>
      </c>
      <c r="F876" t="s">
        <v>4874</v>
      </c>
      <c r="G876">
        <v>1</v>
      </c>
    </row>
    <row r="877" spans="1:7" hidden="1" x14ac:dyDescent="0.25">
      <c r="A877" s="28" t="s">
        <v>4827</v>
      </c>
      <c r="B877" s="29">
        <v>44894.77</v>
      </c>
      <c r="F877" t="s">
        <v>4827</v>
      </c>
      <c r="G877">
        <v>1</v>
      </c>
    </row>
    <row r="878" spans="1:7" hidden="1" x14ac:dyDescent="0.25">
      <c r="A878" s="28" t="s">
        <v>5012</v>
      </c>
      <c r="B878" s="29">
        <v>44894.77</v>
      </c>
      <c r="F878" t="s">
        <v>5012</v>
      </c>
      <c r="G878">
        <v>1</v>
      </c>
    </row>
    <row r="879" spans="1:7" hidden="1" x14ac:dyDescent="0.25">
      <c r="A879" s="28" t="s">
        <v>5072</v>
      </c>
      <c r="B879" s="29">
        <v>44894.77</v>
      </c>
      <c r="F879" t="s">
        <v>5072</v>
      </c>
      <c r="G879">
        <v>1</v>
      </c>
    </row>
    <row r="880" spans="1:7" hidden="1" x14ac:dyDescent="0.25">
      <c r="A880" s="28" t="s">
        <v>4998</v>
      </c>
      <c r="B880" s="29">
        <v>44894.77</v>
      </c>
      <c r="F880" t="s">
        <v>4998</v>
      </c>
      <c r="G880">
        <v>1</v>
      </c>
    </row>
    <row r="881" spans="1:7" hidden="1" x14ac:dyDescent="0.25">
      <c r="A881" s="28" t="s">
        <v>4808</v>
      </c>
      <c r="B881" s="29">
        <v>44894.77</v>
      </c>
      <c r="F881" t="s">
        <v>4808</v>
      </c>
      <c r="G881">
        <v>1</v>
      </c>
    </row>
    <row r="882" spans="1:7" hidden="1" x14ac:dyDescent="0.25">
      <c r="A882" s="28" t="s">
        <v>5066</v>
      </c>
      <c r="B882" s="29">
        <v>44894.77</v>
      </c>
      <c r="F882" t="s">
        <v>5066</v>
      </c>
      <c r="G882">
        <v>1</v>
      </c>
    </row>
    <row r="883" spans="1:7" hidden="1" x14ac:dyDescent="0.25">
      <c r="A883" s="28" t="s">
        <v>5089</v>
      </c>
      <c r="B883" s="29">
        <v>44894.77</v>
      </c>
      <c r="F883" t="s">
        <v>5089</v>
      </c>
      <c r="G883">
        <v>1</v>
      </c>
    </row>
    <row r="884" spans="1:7" hidden="1" x14ac:dyDescent="0.25">
      <c r="A884" s="28" t="s">
        <v>4744</v>
      </c>
      <c r="B884" s="29">
        <v>44894.77</v>
      </c>
      <c r="F884" t="s">
        <v>4744</v>
      </c>
      <c r="G884">
        <v>1</v>
      </c>
    </row>
    <row r="885" spans="1:7" hidden="1" x14ac:dyDescent="0.25">
      <c r="A885" s="28" t="s">
        <v>4644</v>
      </c>
      <c r="B885" s="29">
        <v>44894.77</v>
      </c>
      <c r="F885" t="s">
        <v>4644</v>
      </c>
      <c r="G885">
        <v>1</v>
      </c>
    </row>
    <row r="886" spans="1:7" hidden="1" x14ac:dyDescent="0.25">
      <c r="A886" s="28" t="s">
        <v>2835</v>
      </c>
      <c r="B886" s="29">
        <v>44894.77</v>
      </c>
      <c r="F886" t="s">
        <v>2835</v>
      </c>
      <c r="G886">
        <v>1</v>
      </c>
    </row>
    <row r="887" spans="1:7" hidden="1" x14ac:dyDescent="0.25">
      <c r="A887" s="28" t="s">
        <v>4384</v>
      </c>
      <c r="B887" s="29">
        <v>44894.77</v>
      </c>
      <c r="F887" t="s">
        <v>4384</v>
      </c>
      <c r="G887">
        <v>1</v>
      </c>
    </row>
    <row r="888" spans="1:7" hidden="1" x14ac:dyDescent="0.25">
      <c r="A888" s="28" t="s">
        <v>2885</v>
      </c>
      <c r="B888" s="29">
        <v>44894.77</v>
      </c>
      <c r="F888" t="s">
        <v>2885</v>
      </c>
      <c r="G888">
        <v>1</v>
      </c>
    </row>
    <row r="889" spans="1:7" hidden="1" x14ac:dyDescent="0.25">
      <c r="A889" s="28" t="s">
        <v>4995</v>
      </c>
      <c r="B889" s="29">
        <v>44894.77</v>
      </c>
      <c r="F889" t="s">
        <v>4995</v>
      </c>
      <c r="G889">
        <v>1</v>
      </c>
    </row>
    <row r="890" spans="1:7" hidden="1" x14ac:dyDescent="0.25">
      <c r="A890" s="28" t="s">
        <v>3458</v>
      </c>
      <c r="B890" s="29">
        <v>82454.509999999995</v>
      </c>
      <c r="F890" t="s">
        <v>3458</v>
      </c>
      <c r="G890">
        <v>1</v>
      </c>
    </row>
    <row r="891" spans="1:7" hidden="1" x14ac:dyDescent="0.25">
      <c r="A891" s="28" t="s">
        <v>3287</v>
      </c>
      <c r="B891" s="29">
        <v>82454.509999999995</v>
      </c>
      <c r="F891" t="s">
        <v>3287</v>
      </c>
      <c r="G891">
        <v>1</v>
      </c>
    </row>
    <row r="892" spans="1:7" hidden="1" x14ac:dyDescent="0.25">
      <c r="A892" s="28" t="s">
        <v>3601</v>
      </c>
      <c r="B892" s="29">
        <v>82454.509999999995</v>
      </c>
      <c r="F892" t="s">
        <v>3601</v>
      </c>
      <c r="G892">
        <v>1</v>
      </c>
    </row>
    <row r="893" spans="1:7" x14ac:dyDescent="0.25">
      <c r="A893" s="28" t="s">
        <v>1068</v>
      </c>
      <c r="B893" s="29">
        <v>83782.027600000001</v>
      </c>
      <c r="F893" t="s">
        <v>1068</v>
      </c>
      <c r="G893">
        <v>2</v>
      </c>
    </row>
    <row r="894" spans="1:7" x14ac:dyDescent="0.25">
      <c r="A894" s="28" t="s">
        <v>1272</v>
      </c>
      <c r="B894" s="29">
        <v>83782.027600000001</v>
      </c>
      <c r="F894" t="s">
        <v>1272</v>
      </c>
      <c r="G894">
        <v>2</v>
      </c>
    </row>
    <row r="895" spans="1:7" x14ac:dyDescent="0.25">
      <c r="A895" s="28" t="s">
        <v>910</v>
      </c>
      <c r="B895" s="29">
        <v>83782.027600000001</v>
      </c>
      <c r="F895" t="s">
        <v>910</v>
      </c>
      <c r="G895">
        <v>2</v>
      </c>
    </row>
    <row r="896" spans="1:7" x14ac:dyDescent="0.25">
      <c r="A896" s="28" t="s">
        <v>1392</v>
      </c>
      <c r="B896" s="29">
        <v>83782.027600000001</v>
      </c>
      <c r="F896" t="s">
        <v>1392</v>
      </c>
      <c r="G896">
        <v>2</v>
      </c>
    </row>
    <row r="897" spans="1:7" x14ac:dyDescent="0.25">
      <c r="A897" s="28" t="s">
        <v>984</v>
      </c>
      <c r="B897" s="29">
        <v>83782.027600000001</v>
      </c>
      <c r="F897" t="s">
        <v>984</v>
      </c>
      <c r="G897">
        <v>2</v>
      </c>
    </row>
    <row r="898" spans="1:7" x14ac:dyDescent="0.25">
      <c r="A898" s="28" t="s">
        <v>852</v>
      </c>
      <c r="B898" s="29">
        <v>83782.027600000001</v>
      </c>
      <c r="F898" t="s">
        <v>852</v>
      </c>
      <c r="G898">
        <v>2</v>
      </c>
    </row>
    <row r="899" spans="1:7" x14ac:dyDescent="0.25">
      <c r="A899" s="28" t="s">
        <v>171</v>
      </c>
      <c r="B899" s="29">
        <v>83782.027600000001</v>
      </c>
      <c r="F899" t="s">
        <v>171</v>
      </c>
      <c r="G899">
        <v>2</v>
      </c>
    </row>
    <row r="900" spans="1:7" x14ac:dyDescent="0.25">
      <c r="A900" s="28" t="s">
        <v>1525</v>
      </c>
      <c r="B900" s="29">
        <v>83782.027600000001</v>
      </c>
      <c r="F900" t="s">
        <v>1525</v>
      </c>
      <c r="G900">
        <v>2</v>
      </c>
    </row>
    <row r="901" spans="1:7" hidden="1" x14ac:dyDescent="0.25">
      <c r="A901" s="28" t="s">
        <v>3497</v>
      </c>
      <c r="B901" s="29">
        <v>82454.509999999995</v>
      </c>
      <c r="F901" t="s">
        <v>3497</v>
      </c>
      <c r="G901">
        <v>1</v>
      </c>
    </row>
    <row r="902" spans="1:7" x14ac:dyDescent="0.25">
      <c r="A902" s="28" t="s">
        <v>1296</v>
      </c>
      <c r="B902" s="29">
        <v>83782.027600000001</v>
      </c>
      <c r="F902" t="s">
        <v>1296</v>
      </c>
      <c r="G902">
        <v>2</v>
      </c>
    </row>
    <row r="903" spans="1:7" hidden="1" x14ac:dyDescent="0.25">
      <c r="A903" s="28" t="s">
        <v>3376</v>
      </c>
      <c r="B903" s="29">
        <v>82454.509999999995</v>
      </c>
      <c r="F903" t="s">
        <v>3376</v>
      </c>
      <c r="G903">
        <v>1</v>
      </c>
    </row>
    <row r="904" spans="1:7" x14ac:dyDescent="0.25">
      <c r="A904" s="28" t="s">
        <v>727</v>
      </c>
      <c r="B904" s="29">
        <v>83782.027600000001</v>
      </c>
      <c r="F904" t="s">
        <v>727</v>
      </c>
      <c r="G904">
        <v>2</v>
      </c>
    </row>
    <row r="905" spans="1:7" hidden="1" x14ac:dyDescent="0.25">
      <c r="A905" s="28" t="s">
        <v>3626</v>
      </c>
      <c r="B905" s="29">
        <v>82454.509999999995</v>
      </c>
      <c r="F905" t="s">
        <v>3626</v>
      </c>
      <c r="G905">
        <v>1</v>
      </c>
    </row>
    <row r="906" spans="1:7" hidden="1" x14ac:dyDescent="0.25">
      <c r="A906" s="28" t="s">
        <v>4164</v>
      </c>
      <c r="B906" s="29">
        <v>82454.509999999995</v>
      </c>
      <c r="F906" t="s">
        <v>4164</v>
      </c>
      <c r="G906">
        <v>1</v>
      </c>
    </row>
    <row r="907" spans="1:7" hidden="1" x14ac:dyDescent="0.25">
      <c r="A907" s="28" t="s">
        <v>2432</v>
      </c>
      <c r="B907" s="29">
        <v>67225.429999999993</v>
      </c>
      <c r="F907" t="s">
        <v>2432</v>
      </c>
      <c r="G907">
        <v>1</v>
      </c>
    </row>
    <row r="908" spans="1:7" hidden="1" x14ac:dyDescent="0.25">
      <c r="A908" s="28" t="s">
        <v>3629</v>
      </c>
      <c r="B908" s="29">
        <v>62378.42</v>
      </c>
      <c r="F908" t="s">
        <v>3629</v>
      </c>
      <c r="G908">
        <v>1</v>
      </c>
    </row>
    <row r="909" spans="1:7" hidden="1" x14ac:dyDescent="0.25">
      <c r="A909" s="28" t="s">
        <v>4611</v>
      </c>
      <c r="B909" s="29">
        <v>62378.42</v>
      </c>
      <c r="F909" t="s">
        <v>4611</v>
      </c>
      <c r="G909">
        <v>1</v>
      </c>
    </row>
    <row r="910" spans="1:7" x14ac:dyDescent="0.25">
      <c r="A910" s="28" t="s">
        <v>1568</v>
      </c>
      <c r="B910" s="29">
        <v>75142.90155000001</v>
      </c>
      <c r="F910" t="s">
        <v>1568</v>
      </c>
      <c r="G910">
        <v>2</v>
      </c>
    </row>
    <row r="911" spans="1:7" hidden="1" x14ac:dyDescent="0.25">
      <c r="A911" s="28" t="s">
        <v>3280</v>
      </c>
      <c r="B911" s="29">
        <v>62378.42</v>
      </c>
      <c r="F911" t="s">
        <v>3280</v>
      </c>
      <c r="G911">
        <v>1</v>
      </c>
    </row>
    <row r="912" spans="1:7" hidden="1" x14ac:dyDescent="0.25">
      <c r="A912" s="28" t="s">
        <v>3244</v>
      </c>
      <c r="B912" s="29">
        <v>62378.42</v>
      </c>
      <c r="F912" t="s">
        <v>3244</v>
      </c>
      <c r="G912">
        <v>1</v>
      </c>
    </row>
    <row r="913" spans="1:7" hidden="1" x14ac:dyDescent="0.25">
      <c r="A913" s="28" t="s">
        <v>3238</v>
      </c>
      <c r="B913" s="29">
        <v>62378.42</v>
      </c>
      <c r="F913" t="s">
        <v>3238</v>
      </c>
      <c r="G913">
        <v>1</v>
      </c>
    </row>
    <row r="914" spans="1:7" hidden="1" x14ac:dyDescent="0.25">
      <c r="A914" s="28" t="s">
        <v>3214</v>
      </c>
      <c r="B914" s="29">
        <v>62378.42</v>
      </c>
      <c r="F914" t="s">
        <v>3214</v>
      </c>
      <c r="G914">
        <v>1</v>
      </c>
    </row>
    <row r="915" spans="1:7" hidden="1" x14ac:dyDescent="0.25">
      <c r="A915" s="28" t="s">
        <v>3384</v>
      </c>
      <c r="B915" s="29">
        <v>62378.42</v>
      </c>
      <c r="F915" t="s">
        <v>3384</v>
      </c>
      <c r="G915">
        <v>1</v>
      </c>
    </row>
    <row r="916" spans="1:7" hidden="1" x14ac:dyDescent="0.25">
      <c r="A916" s="28" t="s">
        <v>3421</v>
      </c>
      <c r="B916" s="29">
        <v>62378.42</v>
      </c>
      <c r="F916" t="s">
        <v>3421</v>
      </c>
      <c r="G916">
        <v>1</v>
      </c>
    </row>
    <row r="917" spans="1:7" hidden="1" x14ac:dyDescent="0.25">
      <c r="A917" s="28" t="s">
        <v>3211</v>
      </c>
      <c r="B917" s="29">
        <v>62378.42</v>
      </c>
      <c r="F917" t="s">
        <v>3211</v>
      </c>
      <c r="G917">
        <v>1</v>
      </c>
    </row>
    <row r="918" spans="1:7" x14ac:dyDescent="0.25">
      <c r="A918" s="28" t="s">
        <v>428</v>
      </c>
      <c r="B918" s="29">
        <v>63382.712549999997</v>
      </c>
      <c r="F918" t="s">
        <v>428</v>
      </c>
      <c r="G918">
        <v>2</v>
      </c>
    </row>
    <row r="919" spans="1:7" x14ac:dyDescent="0.25">
      <c r="A919" s="28" t="s">
        <v>427</v>
      </c>
      <c r="B919" s="29">
        <v>63382.712549999997</v>
      </c>
      <c r="F919" t="s">
        <v>427</v>
      </c>
      <c r="G919">
        <v>2</v>
      </c>
    </row>
    <row r="920" spans="1:7" x14ac:dyDescent="0.25">
      <c r="A920" s="28" t="s">
        <v>244</v>
      </c>
      <c r="B920" s="29">
        <v>63382.712549999997</v>
      </c>
      <c r="F920" t="s">
        <v>244</v>
      </c>
      <c r="G920">
        <v>2</v>
      </c>
    </row>
    <row r="921" spans="1:7" x14ac:dyDescent="0.25">
      <c r="A921" s="28" t="s">
        <v>959</v>
      </c>
      <c r="B921" s="29">
        <v>63382.712549999997</v>
      </c>
      <c r="F921" t="s">
        <v>959</v>
      </c>
      <c r="G921">
        <v>2</v>
      </c>
    </row>
    <row r="922" spans="1:7" x14ac:dyDescent="0.25">
      <c r="A922" s="28" t="s">
        <v>1083</v>
      </c>
      <c r="B922" s="29">
        <v>63382.712549999997</v>
      </c>
      <c r="F922" t="s">
        <v>1083</v>
      </c>
      <c r="G922">
        <v>2</v>
      </c>
    </row>
    <row r="923" spans="1:7" hidden="1" x14ac:dyDescent="0.25">
      <c r="A923" s="28" t="s">
        <v>3460</v>
      </c>
      <c r="B923" s="29">
        <v>62378.42</v>
      </c>
      <c r="F923" t="s">
        <v>3460</v>
      </c>
      <c r="G923">
        <v>1</v>
      </c>
    </row>
    <row r="924" spans="1:7" hidden="1" x14ac:dyDescent="0.25">
      <c r="A924" s="28" t="s">
        <v>3046</v>
      </c>
      <c r="B924" s="29">
        <v>62378.42</v>
      </c>
      <c r="F924" t="s">
        <v>3046</v>
      </c>
      <c r="G924">
        <v>1</v>
      </c>
    </row>
    <row r="925" spans="1:7" x14ac:dyDescent="0.25">
      <c r="A925" s="28" t="s">
        <v>1394</v>
      </c>
      <c r="B925" s="29">
        <v>63382.712549999997</v>
      </c>
      <c r="F925" t="s">
        <v>1394</v>
      </c>
      <c r="G925">
        <v>2</v>
      </c>
    </row>
    <row r="926" spans="1:7" hidden="1" x14ac:dyDescent="0.25">
      <c r="A926" s="28" t="s">
        <v>3989</v>
      </c>
      <c r="B926" s="29">
        <v>62378.42</v>
      </c>
      <c r="F926" t="s">
        <v>3989</v>
      </c>
      <c r="G926">
        <v>1</v>
      </c>
    </row>
    <row r="927" spans="1:7" hidden="1" x14ac:dyDescent="0.25">
      <c r="A927" s="28" t="s">
        <v>3959</v>
      </c>
      <c r="B927" s="29">
        <v>62378.42</v>
      </c>
      <c r="F927" t="s">
        <v>3959</v>
      </c>
      <c r="G927">
        <v>1</v>
      </c>
    </row>
    <row r="928" spans="1:7" hidden="1" x14ac:dyDescent="0.25">
      <c r="A928" s="28" t="s">
        <v>3799</v>
      </c>
      <c r="B928" s="29">
        <v>62378.42</v>
      </c>
      <c r="F928" t="s">
        <v>3799</v>
      </c>
      <c r="G928">
        <v>1</v>
      </c>
    </row>
    <row r="929" spans="1:7" hidden="1" x14ac:dyDescent="0.25">
      <c r="A929" s="28" t="s">
        <v>3776</v>
      </c>
      <c r="B929" s="29">
        <v>62378.42</v>
      </c>
      <c r="F929" t="s">
        <v>3776</v>
      </c>
      <c r="G929">
        <v>1</v>
      </c>
    </row>
    <row r="930" spans="1:7" hidden="1" x14ac:dyDescent="0.25">
      <c r="A930" s="28" t="s">
        <v>3814</v>
      </c>
      <c r="B930" s="29">
        <v>62378.42</v>
      </c>
      <c r="F930" t="s">
        <v>3814</v>
      </c>
      <c r="G930">
        <v>1</v>
      </c>
    </row>
    <row r="931" spans="1:7" hidden="1" x14ac:dyDescent="0.25">
      <c r="A931" s="28" t="s">
        <v>2329</v>
      </c>
      <c r="B931" s="29">
        <v>62378.42</v>
      </c>
      <c r="F931" t="s">
        <v>2329</v>
      </c>
      <c r="G931">
        <v>1</v>
      </c>
    </row>
    <row r="932" spans="1:7" hidden="1" x14ac:dyDescent="0.25">
      <c r="A932" s="28" t="s">
        <v>3841</v>
      </c>
      <c r="B932" s="29">
        <v>62378.42</v>
      </c>
      <c r="F932" t="s">
        <v>3841</v>
      </c>
      <c r="G932">
        <v>1</v>
      </c>
    </row>
    <row r="933" spans="1:7" x14ac:dyDescent="0.25">
      <c r="A933" s="28" t="s">
        <v>782</v>
      </c>
      <c r="B933" s="29">
        <v>75142.90155000001</v>
      </c>
      <c r="F933" t="s">
        <v>782</v>
      </c>
      <c r="G933">
        <v>2</v>
      </c>
    </row>
    <row r="934" spans="1:7" x14ac:dyDescent="0.25">
      <c r="A934" s="28" t="s">
        <v>976</v>
      </c>
      <c r="B934" s="29">
        <v>75142.90155000001</v>
      </c>
      <c r="F934" t="s">
        <v>976</v>
      </c>
      <c r="G934">
        <v>2</v>
      </c>
    </row>
    <row r="935" spans="1:7" hidden="1" x14ac:dyDescent="0.25">
      <c r="A935" s="28" t="s">
        <v>4514</v>
      </c>
      <c r="B935" s="29">
        <v>73952.27</v>
      </c>
      <c r="F935" t="s">
        <v>4514</v>
      </c>
      <c r="G935">
        <v>1</v>
      </c>
    </row>
    <row r="936" spans="1:7" x14ac:dyDescent="0.25">
      <c r="A936" s="28" t="s">
        <v>102</v>
      </c>
      <c r="B936" s="29">
        <v>75142.90155000001</v>
      </c>
      <c r="F936" t="s">
        <v>102</v>
      </c>
      <c r="G936">
        <v>2</v>
      </c>
    </row>
    <row r="937" spans="1:7" x14ac:dyDescent="0.25">
      <c r="A937" s="28" t="s">
        <v>781</v>
      </c>
      <c r="B937" s="29">
        <v>75142.90155000001</v>
      </c>
      <c r="F937" t="s">
        <v>781</v>
      </c>
      <c r="G937">
        <v>2</v>
      </c>
    </row>
    <row r="938" spans="1:7" x14ac:dyDescent="0.25">
      <c r="A938" s="28" t="s">
        <v>760</v>
      </c>
      <c r="B938" s="29">
        <v>75142.90155000001</v>
      </c>
      <c r="F938" t="s">
        <v>760</v>
      </c>
      <c r="G938">
        <v>2</v>
      </c>
    </row>
    <row r="939" spans="1:7" hidden="1" x14ac:dyDescent="0.25">
      <c r="A939" s="28" t="s">
        <v>3373</v>
      </c>
      <c r="B939" s="29">
        <v>73952.27</v>
      </c>
      <c r="F939" t="s">
        <v>3373</v>
      </c>
      <c r="G939">
        <v>1</v>
      </c>
    </row>
    <row r="940" spans="1:7" hidden="1" x14ac:dyDescent="0.25">
      <c r="A940" s="28" t="s">
        <v>3774</v>
      </c>
      <c r="B940" s="29">
        <v>73952.27</v>
      </c>
      <c r="F940" t="s">
        <v>3774</v>
      </c>
      <c r="G940">
        <v>1</v>
      </c>
    </row>
    <row r="941" spans="1:7" x14ac:dyDescent="0.25">
      <c r="A941" s="28" t="s">
        <v>329</v>
      </c>
      <c r="B941" s="29">
        <v>75142.90155000001</v>
      </c>
      <c r="F941" t="s">
        <v>329</v>
      </c>
      <c r="G941">
        <v>2</v>
      </c>
    </row>
    <row r="942" spans="1:7" hidden="1" x14ac:dyDescent="0.25">
      <c r="A942" s="28" t="s">
        <v>3484</v>
      </c>
      <c r="B942" s="29">
        <v>73952.27</v>
      </c>
      <c r="F942" t="s">
        <v>3484</v>
      </c>
      <c r="G942">
        <v>1</v>
      </c>
    </row>
    <row r="943" spans="1:7" hidden="1" x14ac:dyDescent="0.25">
      <c r="A943" s="28" t="s">
        <v>3836</v>
      </c>
      <c r="B943" s="29">
        <v>73952.27</v>
      </c>
      <c r="F943" t="s">
        <v>3836</v>
      </c>
      <c r="G943">
        <v>1</v>
      </c>
    </row>
    <row r="944" spans="1:7" hidden="1" x14ac:dyDescent="0.25">
      <c r="A944" s="28" t="s">
        <v>3175</v>
      </c>
      <c r="B944" s="29">
        <v>73952.27</v>
      </c>
      <c r="F944" t="s">
        <v>3175</v>
      </c>
      <c r="G944">
        <v>1</v>
      </c>
    </row>
    <row r="945" spans="1:7" hidden="1" x14ac:dyDescent="0.25">
      <c r="A945" s="28" t="s">
        <v>3849</v>
      </c>
      <c r="B945" s="29">
        <v>73952.27</v>
      </c>
      <c r="F945" t="s">
        <v>3849</v>
      </c>
      <c r="G945">
        <v>1</v>
      </c>
    </row>
    <row r="946" spans="1:7" hidden="1" x14ac:dyDescent="0.25">
      <c r="A946" s="28" t="s">
        <v>3222</v>
      </c>
      <c r="B946" s="29">
        <v>73952.27</v>
      </c>
      <c r="F946" t="s">
        <v>3222</v>
      </c>
      <c r="G946">
        <v>1</v>
      </c>
    </row>
    <row r="947" spans="1:7" x14ac:dyDescent="0.25">
      <c r="A947" s="28" t="s">
        <v>220</v>
      </c>
      <c r="B947" s="29">
        <v>75142.90155000001</v>
      </c>
      <c r="F947" t="s">
        <v>220</v>
      </c>
      <c r="G947">
        <v>2</v>
      </c>
    </row>
    <row r="948" spans="1:7" hidden="1" x14ac:dyDescent="0.25">
      <c r="A948" s="28" t="s">
        <v>3349</v>
      </c>
      <c r="B948" s="29">
        <v>73952.27</v>
      </c>
      <c r="F948" t="s">
        <v>3349</v>
      </c>
      <c r="G948">
        <v>1</v>
      </c>
    </row>
    <row r="949" spans="1:7" hidden="1" x14ac:dyDescent="0.25">
      <c r="A949" s="28" t="s">
        <v>3281</v>
      </c>
      <c r="B949" s="29">
        <v>73952.27</v>
      </c>
      <c r="F949" t="s">
        <v>3281</v>
      </c>
      <c r="G949">
        <v>1</v>
      </c>
    </row>
    <row r="950" spans="1:7" x14ac:dyDescent="0.25">
      <c r="A950" s="28" t="s">
        <v>1188</v>
      </c>
      <c r="B950" s="29">
        <v>75142.90155000001</v>
      </c>
      <c r="F950" t="s">
        <v>1188</v>
      </c>
      <c r="G950">
        <v>2</v>
      </c>
    </row>
    <row r="951" spans="1:7" hidden="1" x14ac:dyDescent="0.25">
      <c r="A951" s="28" t="s">
        <v>3934</v>
      </c>
      <c r="B951" s="29">
        <v>73952.27</v>
      </c>
      <c r="F951" t="s">
        <v>3934</v>
      </c>
      <c r="G951">
        <v>1</v>
      </c>
    </row>
    <row r="952" spans="1:7" hidden="1" x14ac:dyDescent="0.25">
      <c r="A952" s="28" t="s">
        <v>3682</v>
      </c>
      <c r="B952" s="29">
        <v>73952.27</v>
      </c>
      <c r="F952" t="s">
        <v>3682</v>
      </c>
      <c r="G952">
        <v>1</v>
      </c>
    </row>
    <row r="953" spans="1:7" x14ac:dyDescent="0.25">
      <c r="A953" s="28" t="s">
        <v>170</v>
      </c>
      <c r="B953" s="29">
        <v>75142.90155000001</v>
      </c>
      <c r="F953" t="s">
        <v>170</v>
      </c>
      <c r="G953">
        <v>2</v>
      </c>
    </row>
    <row r="954" spans="1:7" x14ac:dyDescent="0.25">
      <c r="A954" s="28" t="s">
        <v>1536</v>
      </c>
      <c r="B954" s="29">
        <v>75142.90155000001</v>
      </c>
      <c r="F954" t="s">
        <v>1536</v>
      </c>
      <c r="G954">
        <v>2</v>
      </c>
    </row>
    <row r="955" spans="1:7" hidden="1" x14ac:dyDescent="0.25">
      <c r="A955" s="28" t="s">
        <v>3473</v>
      </c>
      <c r="B955" s="29">
        <v>73952.27</v>
      </c>
      <c r="F955" t="s">
        <v>3473</v>
      </c>
      <c r="G955">
        <v>1</v>
      </c>
    </row>
    <row r="956" spans="1:7" x14ac:dyDescent="0.25">
      <c r="A956" s="28" t="s">
        <v>1508</v>
      </c>
      <c r="B956" s="29">
        <v>75142.90155000001</v>
      </c>
      <c r="F956" t="s">
        <v>1508</v>
      </c>
      <c r="G956">
        <v>2</v>
      </c>
    </row>
    <row r="957" spans="1:7" hidden="1" x14ac:dyDescent="0.25">
      <c r="A957" s="28" t="s">
        <v>3298</v>
      </c>
      <c r="B957" s="29">
        <v>73952.27</v>
      </c>
      <c r="F957" t="s">
        <v>3298</v>
      </c>
      <c r="G957">
        <v>1</v>
      </c>
    </row>
    <row r="958" spans="1:7" x14ac:dyDescent="0.25">
      <c r="A958" s="28" t="s">
        <v>744</v>
      </c>
      <c r="B958" s="29">
        <v>75142.90155000001</v>
      </c>
      <c r="F958" t="s">
        <v>744</v>
      </c>
      <c r="G958">
        <v>2</v>
      </c>
    </row>
    <row r="959" spans="1:7" x14ac:dyDescent="0.25">
      <c r="A959" s="28" t="s">
        <v>1537</v>
      </c>
      <c r="B959" s="29">
        <v>75142.90155000001</v>
      </c>
      <c r="F959" t="s">
        <v>1537</v>
      </c>
      <c r="G959">
        <v>2</v>
      </c>
    </row>
    <row r="960" spans="1:7" hidden="1" x14ac:dyDescent="0.25">
      <c r="A960" s="28" t="s">
        <v>4117</v>
      </c>
      <c r="B960" s="29">
        <v>73952.27</v>
      </c>
      <c r="F960" t="s">
        <v>4117</v>
      </c>
      <c r="G960">
        <v>1</v>
      </c>
    </row>
    <row r="961" spans="1:7" hidden="1" x14ac:dyDescent="0.25">
      <c r="A961" s="28" t="s">
        <v>3354</v>
      </c>
      <c r="B961" s="29">
        <v>73952.27</v>
      </c>
      <c r="F961" t="s">
        <v>3354</v>
      </c>
      <c r="G961">
        <v>1</v>
      </c>
    </row>
    <row r="962" spans="1:7" x14ac:dyDescent="0.25">
      <c r="A962" s="28" t="s">
        <v>567</v>
      </c>
      <c r="B962" s="29">
        <v>75142.90155000001</v>
      </c>
      <c r="F962" t="s">
        <v>567</v>
      </c>
      <c r="G962">
        <v>2</v>
      </c>
    </row>
    <row r="963" spans="1:7" hidden="1" x14ac:dyDescent="0.25">
      <c r="A963" s="28" t="s">
        <v>3431</v>
      </c>
      <c r="B963" s="29">
        <v>73952.27</v>
      </c>
      <c r="F963" t="s">
        <v>3431</v>
      </c>
      <c r="G963">
        <v>1</v>
      </c>
    </row>
    <row r="964" spans="1:7" x14ac:dyDescent="0.25">
      <c r="A964" s="28" t="s">
        <v>413</v>
      </c>
      <c r="B964" s="29">
        <v>75142.90155000001</v>
      </c>
      <c r="F964" t="s">
        <v>413</v>
      </c>
      <c r="G964">
        <v>2</v>
      </c>
    </row>
    <row r="965" spans="1:7" x14ac:dyDescent="0.25">
      <c r="A965" s="28" t="s">
        <v>273</v>
      </c>
      <c r="B965" s="29">
        <v>75142.90155000001</v>
      </c>
      <c r="F965" t="s">
        <v>273</v>
      </c>
      <c r="G965">
        <v>2</v>
      </c>
    </row>
    <row r="966" spans="1:7" x14ac:dyDescent="0.25">
      <c r="A966" s="28" t="s">
        <v>546</v>
      </c>
      <c r="B966" s="29">
        <v>75142.90155000001</v>
      </c>
      <c r="F966" t="s">
        <v>546</v>
      </c>
      <c r="G966">
        <v>2</v>
      </c>
    </row>
    <row r="967" spans="1:7" hidden="1" x14ac:dyDescent="0.25">
      <c r="A967" s="28" t="s">
        <v>1224</v>
      </c>
      <c r="B967" s="29">
        <v>76333.533100000001</v>
      </c>
      <c r="F967" t="s">
        <v>1224</v>
      </c>
      <c r="G967">
        <v>1</v>
      </c>
    </row>
    <row r="968" spans="1:7" x14ac:dyDescent="0.25">
      <c r="A968" s="28" t="s">
        <v>753</v>
      </c>
      <c r="B968" s="29">
        <v>75142.90155000001</v>
      </c>
      <c r="F968" t="s">
        <v>753</v>
      </c>
      <c r="G968">
        <v>2</v>
      </c>
    </row>
    <row r="969" spans="1:7" hidden="1" x14ac:dyDescent="0.25">
      <c r="A969" s="28" t="s">
        <v>3441</v>
      </c>
      <c r="B969" s="29">
        <v>73952.27</v>
      </c>
      <c r="F969" t="s">
        <v>3441</v>
      </c>
      <c r="G969">
        <v>1</v>
      </c>
    </row>
    <row r="970" spans="1:7" hidden="1" x14ac:dyDescent="0.25">
      <c r="A970" s="28" t="s">
        <v>3296</v>
      </c>
      <c r="B970" s="29">
        <v>73952.27</v>
      </c>
      <c r="F970" t="s">
        <v>3296</v>
      </c>
      <c r="G970">
        <v>1</v>
      </c>
    </row>
    <row r="971" spans="1:7" hidden="1" x14ac:dyDescent="0.25">
      <c r="A971" s="28" t="s">
        <v>2992</v>
      </c>
      <c r="B971" s="29">
        <v>73952.27</v>
      </c>
      <c r="F971" t="s">
        <v>2992</v>
      </c>
      <c r="G971">
        <v>1</v>
      </c>
    </row>
    <row r="972" spans="1:7" hidden="1" x14ac:dyDescent="0.25">
      <c r="A972" s="28" t="s">
        <v>3253</v>
      </c>
      <c r="B972" s="29">
        <v>73952.27</v>
      </c>
      <c r="F972" t="s">
        <v>3253</v>
      </c>
      <c r="G972">
        <v>1</v>
      </c>
    </row>
    <row r="973" spans="1:7" hidden="1" x14ac:dyDescent="0.25">
      <c r="A973" s="28" t="s">
        <v>3585</v>
      </c>
      <c r="B973" s="29">
        <v>73952.27</v>
      </c>
      <c r="F973" t="s">
        <v>3585</v>
      </c>
      <c r="G973">
        <v>1</v>
      </c>
    </row>
    <row r="974" spans="1:7" hidden="1" x14ac:dyDescent="0.25">
      <c r="A974" s="28" t="s">
        <v>3250</v>
      </c>
      <c r="B974" s="29">
        <v>73952.27</v>
      </c>
      <c r="F974" t="s">
        <v>3250</v>
      </c>
      <c r="G974">
        <v>1</v>
      </c>
    </row>
    <row r="975" spans="1:7" x14ac:dyDescent="0.25">
      <c r="A975" s="28" t="s">
        <v>1434</v>
      </c>
      <c r="B975" s="29">
        <v>75142.90155000001</v>
      </c>
      <c r="F975" t="s">
        <v>1434</v>
      </c>
      <c r="G975">
        <v>2</v>
      </c>
    </row>
    <row r="976" spans="1:7" hidden="1" x14ac:dyDescent="0.25">
      <c r="A976" s="28" t="s">
        <v>3650</v>
      </c>
      <c r="B976" s="29">
        <v>73952.27</v>
      </c>
      <c r="F976" t="s">
        <v>3650</v>
      </c>
      <c r="G976">
        <v>1</v>
      </c>
    </row>
    <row r="977" spans="1:7" hidden="1" x14ac:dyDescent="0.25">
      <c r="A977" s="28" t="s">
        <v>3494</v>
      </c>
      <c r="B977" s="29">
        <v>73952.27</v>
      </c>
      <c r="F977" t="s">
        <v>3494</v>
      </c>
      <c r="G977">
        <v>1</v>
      </c>
    </row>
    <row r="978" spans="1:7" x14ac:dyDescent="0.25">
      <c r="A978" s="28" t="s">
        <v>1562</v>
      </c>
      <c r="B978" s="29">
        <v>75142.90155000001</v>
      </c>
      <c r="F978" t="s">
        <v>1562</v>
      </c>
      <c r="G978">
        <v>2</v>
      </c>
    </row>
    <row r="979" spans="1:7" hidden="1" x14ac:dyDescent="0.25">
      <c r="A979" s="28" t="s">
        <v>3885</v>
      </c>
      <c r="B979" s="29">
        <v>73952.27</v>
      </c>
      <c r="F979" t="s">
        <v>3885</v>
      </c>
      <c r="G979">
        <v>1</v>
      </c>
    </row>
    <row r="980" spans="1:7" hidden="1" x14ac:dyDescent="0.25">
      <c r="A980" s="28" t="s">
        <v>3551</v>
      </c>
      <c r="B980" s="29">
        <v>73952.27</v>
      </c>
      <c r="F980" t="s">
        <v>3551</v>
      </c>
      <c r="G980">
        <v>1</v>
      </c>
    </row>
    <row r="981" spans="1:7" hidden="1" x14ac:dyDescent="0.25">
      <c r="A981" s="28" t="s">
        <v>3466</v>
      </c>
      <c r="B981" s="29">
        <v>73952.27</v>
      </c>
      <c r="F981" t="s">
        <v>3466</v>
      </c>
      <c r="G981">
        <v>1</v>
      </c>
    </row>
    <row r="982" spans="1:7" hidden="1" x14ac:dyDescent="0.25">
      <c r="A982" s="28" t="s">
        <v>4011</v>
      </c>
      <c r="B982" s="29">
        <v>73952.27</v>
      </c>
      <c r="F982" t="s">
        <v>4011</v>
      </c>
      <c r="G982">
        <v>1</v>
      </c>
    </row>
    <row r="983" spans="1:7" hidden="1" x14ac:dyDescent="0.25">
      <c r="A983" s="28" t="s">
        <v>3322</v>
      </c>
      <c r="B983" s="29">
        <v>73952.27</v>
      </c>
      <c r="F983" t="s">
        <v>3322</v>
      </c>
      <c r="G983">
        <v>1</v>
      </c>
    </row>
    <row r="984" spans="1:7" x14ac:dyDescent="0.25">
      <c r="A984" s="28" t="s">
        <v>249</v>
      </c>
      <c r="B984" s="29">
        <v>75142.90155000001</v>
      </c>
      <c r="F984" t="s">
        <v>249</v>
      </c>
      <c r="G984">
        <v>2</v>
      </c>
    </row>
    <row r="985" spans="1:7" x14ac:dyDescent="0.25">
      <c r="A985" s="28" t="s">
        <v>140</v>
      </c>
      <c r="B985" s="29">
        <v>75142.90155000001</v>
      </c>
      <c r="F985" t="s">
        <v>140</v>
      </c>
      <c r="G985">
        <v>2</v>
      </c>
    </row>
    <row r="986" spans="1:7" x14ac:dyDescent="0.25">
      <c r="A986" s="28" t="s">
        <v>1138</v>
      </c>
      <c r="B986" s="29">
        <v>75142.90155000001</v>
      </c>
      <c r="F986" t="s">
        <v>1138</v>
      </c>
      <c r="G986">
        <v>2</v>
      </c>
    </row>
    <row r="987" spans="1:7" x14ac:dyDescent="0.25">
      <c r="A987" s="28" t="s">
        <v>607</v>
      </c>
      <c r="B987" s="29">
        <v>75142.90155000001</v>
      </c>
      <c r="F987" t="s">
        <v>607</v>
      </c>
      <c r="G987">
        <v>2</v>
      </c>
    </row>
    <row r="988" spans="1:7" x14ac:dyDescent="0.25">
      <c r="A988" s="28" t="s">
        <v>300</v>
      </c>
      <c r="B988" s="29">
        <v>75142.90155000001</v>
      </c>
      <c r="F988" t="s">
        <v>300</v>
      </c>
      <c r="G988">
        <v>2</v>
      </c>
    </row>
    <row r="989" spans="1:7" x14ac:dyDescent="0.25">
      <c r="A989" s="28" t="s">
        <v>1556</v>
      </c>
      <c r="B989" s="29">
        <v>75142.90155000001</v>
      </c>
      <c r="F989" t="s">
        <v>1556</v>
      </c>
      <c r="G989">
        <v>2</v>
      </c>
    </row>
    <row r="990" spans="1:7" hidden="1" x14ac:dyDescent="0.25">
      <c r="A990" s="28" t="s">
        <v>4039</v>
      </c>
      <c r="B990" s="29">
        <v>73952.27</v>
      </c>
      <c r="F990" t="s">
        <v>4039</v>
      </c>
      <c r="G990">
        <v>1</v>
      </c>
    </row>
    <row r="991" spans="1:7" hidden="1" x14ac:dyDescent="0.25">
      <c r="A991" s="28" t="s">
        <v>1431</v>
      </c>
      <c r="B991" s="29">
        <v>76333.533100000001</v>
      </c>
      <c r="F991" t="s">
        <v>1431</v>
      </c>
      <c r="G991">
        <v>1</v>
      </c>
    </row>
    <row r="992" spans="1:7" x14ac:dyDescent="0.25">
      <c r="A992" s="28" t="s">
        <v>1115</v>
      </c>
      <c r="B992" s="29">
        <v>75142.90155000001</v>
      </c>
      <c r="F992" t="s">
        <v>1115</v>
      </c>
      <c r="G992">
        <v>2</v>
      </c>
    </row>
    <row r="993" spans="1:7" x14ac:dyDescent="0.25">
      <c r="A993" s="28" t="s">
        <v>267</v>
      </c>
      <c r="B993" s="29">
        <v>75142.90155000001</v>
      </c>
      <c r="F993" t="s">
        <v>267</v>
      </c>
      <c r="G993">
        <v>2</v>
      </c>
    </row>
    <row r="994" spans="1:7" x14ac:dyDescent="0.25">
      <c r="A994" s="28" t="s">
        <v>60</v>
      </c>
      <c r="B994" s="29">
        <v>75142.90155000001</v>
      </c>
      <c r="F994" t="s">
        <v>60</v>
      </c>
      <c r="G994">
        <v>2</v>
      </c>
    </row>
    <row r="995" spans="1:7" x14ac:dyDescent="0.25">
      <c r="A995" s="28" t="s">
        <v>1534</v>
      </c>
      <c r="B995" s="29">
        <v>75142.90155000001</v>
      </c>
      <c r="F995" t="s">
        <v>1534</v>
      </c>
      <c r="G995">
        <v>2</v>
      </c>
    </row>
    <row r="996" spans="1:7" x14ac:dyDescent="0.25">
      <c r="A996" s="28" t="s">
        <v>1393</v>
      </c>
      <c r="B996" s="29">
        <v>75142.90155000001</v>
      </c>
      <c r="F996" t="s">
        <v>1393</v>
      </c>
      <c r="G996">
        <v>2</v>
      </c>
    </row>
    <row r="997" spans="1:7" x14ac:dyDescent="0.25">
      <c r="A997" s="28" t="s">
        <v>1100</v>
      </c>
      <c r="B997" s="29">
        <v>75142.90155000001</v>
      </c>
      <c r="F997" t="s">
        <v>1100</v>
      </c>
      <c r="G997">
        <v>2</v>
      </c>
    </row>
    <row r="998" spans="1:7" hidden="1" x14ac:dyDescent="0.25">
      <c r="A998" s="28" t="s">
        <v>3790</v>
      </c>
      <c r="B998" s="29">
        <v>73952.27</v>
      </c>
      <c r="F998" t="s">
        <v>3790</v>
      </c>
      <c r="G998">
        <v>1</v>
      </c>
    </row>
    <row r="999" spans="1:7" hidden="1" x14ac:dyDescent="0.25">
      <c r="A999" s="28" t="s">
        <v>3920</v>
      </c>
      <c r="B999" s="29">
        <v>73952.27</v>
      </c>
      <c r="F999" t="s">
        <v>3920</v>
      </c>
      <c r="G999">
        <v>1</v>
      </c>
    </row>
    <row r="1000" spans="1:7" hidden="1" x14ac:dyDescent="0.25">
      <c r="A1000" s="28" t="s">
        <v>3658</v>
      </c>
      <c r="B1000" s="29">
        <v>73952.27</v>
      </c>
      <c r="F1000" t="s">
        <v>3658</v>
      </c>
      <c r="G1000">
        <v>1</v>
      </c>
    </row>
    <row r="1001" spans="1:7" hidden="1" x14ac:dyDescent="0.25">
      <c r="A1001" s="28" t="s">
        <v>3295</v>
      </c>
      <c r="B1001" s="29">
        <v>73952.27</v>
      </c>
      <c r="F1001" t="s">
        <v>3295</v>
      </c>
      <c r="G1001">
        <v>1</v>
      </c>
    </row>
    <row r="1002" spans="1:7" x14ac:dyDescent="0.25">
      <c r="A1002" s="28" t="s">
        <v>680</v>
      </c>
      <c r="B1002" s="29">
        <v>75142.90155000001</v>
      </c>
      <c r="F1002" t="s">
        <v>680</v>
      </c>
      <c r="G1002">
        <v>2</v>
      </c>
    </row>
    <row r="1003" spans="1:7" x14ac:dyDescent="0.25">
      <c r="A1003" s="28" t="s">
        <v>587</v>
      </c>
      <c r="B1003" s="29">
        <v>75142.90155000001</v>
      </c>
      <c r="F1003" t="s">
        <v>587</v>
      </c>
      <c r="G1003">
        <v>2</v>
      </c>
    </row>
    <row r="1004" spans="1:7" x14ac:dyDescent="0.25">
      <c r="A1004" s="28" t="s">
        <v>32</v>
      </c>
      <c r="B1004" s="29">
        <v>75142.90155000001</v>
      </c>
      <c r="F1004" t="s">
        <v>32</v>
      </c>
      <c r="G1004">
        <v>2</v>
      </c>
    </row>
    <row r="1005" spans="1:7" x14ac:dyDescent="0.25">
      <c r="A1005" s="28" t="s">
        <v>720</v>
      </c>
      <c r="B1005" s="29">
        <v>75142.90155000001</v>
      </c>
      <c r="F1005" t="s">
        <v>720</v>
      </c>
      <c r="G1005">
        <v>2</v>
      </c>
    </row>
    <row r="1006" spans="1:7" hidden="1" x14ac:dyDescent="0.25">
      <c r="A1006" s="28" t="s">
        <v>3274</v>
      </c>
      <c r="B1006" s="29">
        <v>73952.27</v>
      </c>
      <c r="F1006" t="s">
        <v>3274</v>
      </c>
      <c r="G1006">
        <v>1</v>
      </c>
    </row>
    <row r="1007" spans="1:7" hidden="1" x14ac:dyDescent="0.25">
      <c r="A1007" s="28" t="s">
        <v>3896</v>
      </c>
      <c r="B1007" s="29">
        <v>73952.27</v>
      </c>
      <c r="F1007" t="s">
        <v>3896</v>
      </c>
      <c r="G1007">
        <v>1</v>
      </c>
    </row>
    <row r="1008" spans="1:7" hidden="1" x14ac:dyDescent="0.25">
      <c r="A1008" s="28" t="s">
        <v>3407</v>
      </c>
      <c r="B1008" s="29">
        <v>73952.27</v>
      </c>
      <c r="F1008" t="s">
        <v>3407</v>
      </c>
      <c r="G1008">
        <v>1</v>
      </c>
    </row>
    <row r="1009" spans="1:7" hidden="1" x14ac:dyDescent="0.25">
      <c r="A1009" s="28" t="s">
        <v>4019</v>
      </c>
      <c r="B1009" s="29">
        <v>73952.27</v>
      </c>
      <c r="F1009" t="s">
        <v>4019</v>
      </c>
      <c r="G1009">
        <v>1</v>
      </c>
    </row>
    <row r="1010" spans="1:7" x14ac:dyDescent="0.25">
      <c r="A1010" s="28" t="s">
        <v>1147</v>
      </c>
      <c r="B1010" s="29">
        <v>75142.90155000001</v>
      </c>
      <c r="F1010" t="s">
        <v>1147</v>
      </c>
      <c r="G1010">
        <v>2</v>
      </c>
    </row>
    <row r="1011" spans="1:7" x14ac:dyDescent="0.25">
      <c r="A1011" s="28" t="s">
        <v>1607</v>
      </c>
      <c r="B1011" s="29">
        <v>75142.90155000001</v>
      </c>
      <c r="F1011" t="s">
        <v>1607</v>
      </c>
      <c r="G1011">
        <v>2</v>
      </c>
    </row>
    <row r="1012" spans="1:7" x14ac:dyDescent="0.25">
      <c r="A1012" s="28" t="s">
        <v>83</v>
      </c>
      <c r="B1012" s="29">
        <v>75142.90155000001</v>
      </c>
      <c r="F1012" t="s">
        <v>83</v>
      </c>
      <c r="G1012">
        <v>2</v>
      </c>
    </row>
    <row r="1013" spans="1:7" hidden="1" x14ac:dyDescent="0.25">
      <c r="A1013" s="28" t="s">
        <v>3168</v>
      </c>
      <c r="B1013" s="29">
        <v>73952.27</v>
      </c>
      <c r="F1013" t="s">
        <v>3168</v>
      </c>
      <c r="G1013">
        <v>1</v>
      </c>
    </row>
    <row r="1014" spans="1:7" x14ac:dyDescent="0.25">
      <c r="A1014" s="28" t="s">
        <v>392</v>
      </c>
      <c r="B1014" s="29">
        <v>75142.90155000001</v>
      </c>
      <c r="F1014" t="s">
        <v>392</v>
      </c>
      <c r="G1014">
        <v>2</v>
      </c>
    </row>
    <row r="1015" spans="1:7" hidden="1" x14ac:dyDescent="0.25">
      <c r="A1015" s="28" t="s">
        <v>4064</v>
      </c>
      <c r="B1015" s="29">
        <v>73952.27</v>
      </c>
      <c r="F1015" t="s">
        <v>4064</v>
      </c>
      <c r="G1015">
        <v>1</v>
      </c>
    </row>
    <row r="1016" spans="1:7" hidden="1" x14ac:dyDescent="0.25">
      <c r="A1016" s="28" t="s">
        <v>4088</v>
      </c>
      <c r="B1016" s="29">
        <v>73952.27</v>
      </c>
      <c r="F1016" t="s">
        <v>4088</v>
      </c>
      <c r="G1016">
        <v>1</v>
      </c>
    </row>
    <row r="1017" spans="1:7" hidden="1" x14ac:dyDescent="0.25">
      <c r="A1017" s="28" t="s">
        <v>4269</v>
      </c>
      <c r="B1017" s="29">
        <v>73952.27</v>
      </c>
      <c r="F1017" t="s">
        <v>4269</v>
      </c>
      <c r="G1017">
        <v>1</v>
      </c>
    </row>
    <row r="1018" spans="1:7" hidden="1" x14ac:dyDescent="0.25">
      <c r="A1018" s="28" t="s">
        <v>4415</v>
      </c>
      <c r="B1018" s="29">
        <v>73952.27</v>
      </c>
      <c r="F1018" t="s">
        <v>4415</v>
      </c>
      <c r="G1018">
        <v>1</v>
      </c>
    </row>
    <row r="1019" spans="1:7" hidden="1" x14ac:dyDescent="0.25">
      <c r="A1019" s="28" t="s">
        <v>4525</v>
      </c>
      <c r="B1019" s="29">
        <v>73952.27</v>
      </c>
      <c r="F1019" t="s">
        <v>4525</v>
      </c>
      <c r="G1019">
        <v>1</v>
      </c>
    </row>
    <row r="1020" spans="1:7" hidden="1" x14ac:dyDescent="0.25">
      <c r="A1020" s="28" t="s">
        <v>4298</v>
      </c>
      <c r="B1020" s="29">
        <v>73952.27</v>
      </c>
      <c r="F1020" t="s">
        <v>4298</v>
      </c>
      <c r="G1020">
        <v>1</v>
      </c>
    </row>
    <row r="1021" spans="1:7" hidden="1" x14ac:dyDescent="0.25">
      <c r="A1021" s="28" t="s">
        <v>4362</v>
      </c>
      <c r="B1021" s="29">
        <v>73952.27</v>
      </c>
      <c r="F1021" t="s">
        <v>4362</v>
      </c>
      <c r="G1021">
        <v>1</v>
      </c>
    </row>
    <row r="1022" spans="1:7" hidden="1" x14ac:dyDescent="0.25">
      <c r="A1022" s="28" t="s">
        <v>4026</v>
      </c>
      <c r="B1022" s="29">
        <v>73952.27</v>
      </c>
      <c r="F1022" t="s">
        <v>4026</v>
      </c>
      <c r="G1022">
        <v>1</v>
      </c>
    </row>
    <row r="1023" spans="1:7" hidden="1" x14ac:dyDescent="0.25">
      <c r="A1023" s="28" t="s">
        <v>3918</v>
      </c>
      <c r="B1023" s="29">
        <v>73952.27</v>
      </c>
      <c r="F1023" t="s">
        <v>3918</v>
      </c>
      <c r="G1023">
        <v>1</v>
      </c>
    </row>
    <row r="1024" spans="1:7" hidden="1" x14ac:dyDescent="0.25">
      <c r="A1024" s="28" t="s">
        <v>2578</v>
      </c>
      <c r="B1024" s="29">
        <v>73952.27</v>
      </c>
      <c r="F1024" t="s">
        <v>2578</v>
      </c>
      <c r="G1024">
        <v>1</v>
      </c>
    </row>
    <row r="1025" spans="1:7" hidden="1" x14ac:dyDescent="0.25">
      <c r="A1025" s="28" t="s">
        <v>2813</v>
      </c>
      <c r="B1025" s="29">
        <v>73952.27</v>
      </c>
      <c r="F1025" t="s">
        <v>2813</v>
      </c>
      <c r="G1025">
        <v>1</v>
      </c>
    </row>
    <row r="1026" spans="1:7" hidden="1" x14ac:dyDescent="0.25">
      <c r="A1026" s="28" t="s">
        <v>3195</v>
      </c>
      <c r="B1026" s="29">
        <v>73952.27</v>
      </c>
      <c r="F1026" t="s">
        <v>3195</v>
      </c>
      <c r="G1026">
        <v>1</v>
      </c>
    </row>
    <row r="1027" spans="1:7" hidden="1" x14ac:dyDescent="0.25">
      <c r="A1027" s="28" t="s">
        <v>3773</v>
      </c>
      <c r="B1027" s="29">
        <v>73952.27</v>
      </c>
      <c r="F1027" t="s">
        <v>3773</v>
      </c>
      <c r="G1027">
        <v>1</v>
      </c>
    </row>
    <row r="1028" spans="1:7" hidden="1" x14ac:dyDescent="0.25">
      <c r="A1028" s="28" t="s">
        <v>4081</v>
      </c>
      <c r="B1028" s="29">
        <v>73952.27</v>
      </c>
      <c r="F1028" t="s">
        <v>4081</v>
      </c>
      <c r="G1028">
        <v>1</v>
      </c>
    </row>
    <row r="1029" spans="1:7" hidden="1" x14ac:dyDescent="0.25">
      <c r="A1029" s="28" t="s">
        <v>2035</v>
      </c>
      <c r="B1029" s="29">
        <v>73952.27</v>
      </c>
      <c r="F1029" t="s">
        <v>2035</v>
      </c>
      <c r="G1029">
        <v>1</v>
      </c>
    </row>
    <row r="1030" spans="1:7" hidden="1" x14ac:dyDescent="0.25">
      <c r="A1030" s="28" t="s">
        <v>4183</v>
      </c>
      <c r="B1030" s="29">
        <v>73952.27</v>
      </c>
      <c r="F1030" t="s">
        <v>4183</v>
      </c>
      <c r="G1030">
        <v>1</v>
      </c>
    </row>
    <row r="1031" spans="1:7" hidden="1" x14ac:dyDescent="0.25">
      <c r="A1031" s="28" t="s">
        <v>3730</v>
      </c>
      <c r="B1031" s="29">
        <v>73952.27</v>
      </c>
      <c r="F1031" t="s">
        <v>3730</v>
      </c>
      <c r="G1031">
        <v>1</v>
      </c>
    </row>
    <row r="1032" spans="1:7" hidden="1" x14ac:dyDescent="0.25">
      <c r="A1032" s="28" t="s">
        <v>3194</v>
      </c>
      <c r="B1032" s="29">
        <v>73952.27</v>
      </c>
      <c r="F1032" t="s">
        <v>3194</v>
      </c>
      <c r="G1032">
        <v>1</v>
      </c>
    </row>
    <row r="1033" spans="1:7" hidden="1" x14ac:dyDescent="0.25">
      <c r="A1033" s="28" t="s">
        <v>3235</v>
      </c>
      <c r="B1033" s="29">
        <v>73952.27</v>
      </c>
      <c r="F1033" t="s">
        <v>3235</v>
      </c>
      <c r="G1033">
        <v>1</v>
      </c>
    </row>
    <row r="1034" spans="1:7" hidden="1" x14ac:dyDescent="0.25">
      <c r="A1034" s="28" t="s">
        <v>2560</v>
      </c>
      <c r="B1034" s="29">
        <v>73952.27</v>
      </c>
      <c r="F1034" t="s">
        <v>2560</v>
      </c>
      <c r="G1034">
        <v>1</v>
      </c>
    </row>
    <row r="1035" spans="1:7" hidden="1" x14ac:dyDescent="0.25">
      <c r="A1035" s="28" t="s">
        <v>3387</v>
      </c>
      <c r="B1035" s="29">
        <v>73952.27</v>
      </c>
      <c r="F1035" t="s">
        <v>3387</v>
      </c>
      <c r="G1035">
        <v>1</v>
      </c>
    </row>
    <row r="1036" spans="1:7" x14ac:dyDescent="0.25">
      <c r="A1036" s="28" t="s">
        <v>1614</v>
      </c>
      <c r="B1036" s="29">
        <v>75142.90155000001</v>
      </c>
      <c r="F1036" t="s">
        <v>1614</v>
      </c>
      <c r="G1036">
        <v>2</v>
      </c>
    </row>
    <row r="1037" spans="1:7" hidden="1" x14ac:dyDescent="0.25">
      <c r="A1037" s="28" t="s">
        <v>3668</v>
      </c>
      <c r="B1037" s="29">
        <v>73952.27</v>
      </c>
      <c r="F1037" t="s">
        <v>3668</v>
      </c>
      <c r="G1037">
        <v>1</v>
      </c>
    </row>
    <row r="1038" spans="1:7" hidden="1" x14ac:dyDescent="0.25">
      <c r="A1038" s="28" t="s">
        <v>4304</v>
      </c>
      <c r="B1038" s="29">
        <v>73952.27</v>
      </c>
      <c r="F1038" t="s">
        <v>4304</v>
      </c>
      <c r="G1038">
        <v>1</v>
      </c>
    </row>
    <row r="1039" spans="1:7" hidden="1" x14ac:dyDescent="0.25">
      <c r="A1039" s="28" t="s">
        <v>4381</v>
      </c>
      <c r="B1039" s="29">
        <v>73952.27</v>
      </c>
      <c r="F1039" t="s">
        <v>4381</v>
      </c>
      <c r="G1039">
        <v>1</v>
      </c>
    </row>
    <row r="1040" spans="1:7" hidden="1" x14ac:dyDescent="0.25">
      <c r="A1040" s="28" t="s">
        <v>3438</v>
      </c>
      <c r="B1040" s="29">
        <v>73952.27</v>
      </c>
      <c r="F1040" t="s">
        <v>3438</v>
      </c>
      <c r="G1040">
        <v>1</v>
      </c>
    </row>
    <row r="1041" spans="1:7" hidden="1" x14ac:dyDescent="0.25">
      <c r="A1041" s="28" t="s">
        <v>3446</v>
      </c>
      <c r="B1041" s="29">
        <v>73952.27</v>
      </c>
      <c r="F1041" t="s">
        <v>3446</v>
      </c>
      <c r="G1041">
        <v>1</v>
      </c>
    </row>
    <row r="1042" spans="1:7" hidden="1" x14ac:dyDescent="0.25">
      <c r="A1042" s="28" t="s">
        <v>3262</v>
      </c>
      <c r="B1042" s="29">
        <v>73952.27</v>
      </c>
      <c r="F1042" t="s">
        <v>3262</v>
      </c>
      <c r="G1042">
        <v>1</v>
      </c>
    </row>
    <row r="1043" spans="1:7" hidden="1" x14ac:dyDescent="0.25">
      <c r="A1043" s="28" t="s">
        <v>3518</v>
      </c>
      <c r="B1043" s="29">
        <v>73952.27</v>
      </c>
      <c r="F1043" t="s">
        <v>3518</v>
      </c>
      <c r="G1043">
        <v>1</v>
      </c>
    </row>
    <row r="1044" spans="1:7" hidden="1" x14ac:dyDescent="0.25">
      <c r="A1044" s="28" t="s">
        <v>3619</v>
      </c>
      <c r="B1044" s="29">
        <v>73952.27</v>
      </c>
      <c r="F1044" t="s">
        <v>3619</v>
      </c>
      <c r="G1044">
        <v>1</v>
      </c>
    </row>
    <row r="1045" spans="1:7" x14ac:dyDescent="0.25">
      <c r="A1045" s="28" t="s">
        <v>980</v>
      </c>
      <c r="B1045" s="29">
        <v>75142.90155000001</v>
      </c>
      <c r="F1045" t="s">
        <v>980</v>
      </c>
      <c r="G1045">
        <v>2</v>
      </c>
    </row>
    <row r="1046" spans="1:7" x14ac:dyDescent="0.25">
      <c r="A1046" s="28" t="s">
        <v>1560</v>
      </c>
      <c r="B1046" s="29">
        <v>75142.90155000001</v>
      </c>
      <c r="F1046" t="s">
        <v>1560</v>
      </c>
      <c r="G1046">
        <v>2</v>
      </c>
    </row>
    <row r="1047" spans="1:7" x14ac:dyDescent="0.25">
      <c r="A1047" s="28" t="s">
        <v>1457</v>
      </c>
      <c r="B1047" s="29">
        <v>75142.90155000001</v>
      </c>
      <c r="F1047" t="s">
        <v>1457</v>
      </c>
      <c r="G1047">
        <v>2</v>
      </c>
    </row>
    <row r="1048" spans="1:7" x14ac:dyDescent="0.25">
      <c r="A1048" s="28" t="s">
        <v>1596</v>
      </c>
      <c r="B1048" s="29">
        <v>75142.90155000001</v>
      </c>
      <c r="F1048" t="s">
        <v>1596</v>
      </c>
      <c r="G1048">
        <v>2</v>
      </c>
    </row>
    <row r="1049" spans="1:7" hidden="1" x14ac:dyDescent="0.25">
      <c r="A1049" s="28" t="s">
        <v>3582</v>
      </c>
      <c r="B1049" s="29">
        <v>73952.27</v>
      </c>
      <c r="F1049" t="s">
        <v>3582</v>
      </c>
      <c r="G1049">
        <v>1</v>
      </c>
    </row>
    <row r="1050" spans="1:7" x14ac:dyDescent="0.25">
      <c r="A1050" s="28" t="s">
        <v>415</v>
      </c>
      <c r="B1050" s="29">
        <v>75142.90155000001</v>
      </c>
      <c r="F1050" t="s">
        <v>415</v>
      </c>
      <c r="G1050">
        <v>2</v>
      </c>
    </row>
    <row r="1051" spans="1:7" hidden="1" x14ac:dyDescent="0.25">
      <c r="A1051" s="28" t="s">
        <v>3171</v>
      </c>
      <c r="B1051" s="29">
        <v>73952.27</v>
      </c>
      <c r="F1051" t="s">
        <v>3171</v>
      </c>
      <c r="G1051">
        <v>1</v>
      </c>
    </row>
    <row r="1052" spans="1:7" hidden="1" x14ac:dyDescent="0.25">
      <c r="A1052" s="28" t="s">
        <v>3949</v>
      </c>
      <c r="B1052" s="29">
        <v>73952.27</v>
      </c>
      <c r="F1052" t="s">
        <v>3949</v>
      </c>
      <c r="G1052">
        <v>1</v>
      </c>
    </row>
    <row r="1053" spans="1:7" x14ac:dyDescent="0.25">
      <c r="A1053" s="28" t="s">
        <v>1300</v>
      </c>
      <c r="B1053" s="29">
        <v>75142.90155000001</v>
      </c>
      <c r="F1053" t="s">
        <v>1300</v>
      </c>
      <c r="G1053">
        <v>2</v>
      </c>
    </row>
    <row r="1054" spans="1:7" hidden="1" x14ac:dyDescent="0.25">
      <c r="A1054" s="28" t="s">
        <v>2586</v>
      </c>
      <c r="B1054" s="29">
        <v>73952.27</v>
      </c>
      <c r="F1054" t="s">
        <v>2586</v>
      </c>
      <c r="G1054">
        <v>1</v>
      </c>
    </row>
    <row r="1055" spans="1:7" hidden="1" x14ac:dyDescent="0.25">
      <c r="A1055" s="28" t="s">
        <v>2734</v>
      </c>
      <c r="B1055" s="29">
        <v>73952.27</v>
      </c>
      <c r="F1055" t="s">
        <v>2734</v>
      </c>
      <c r="G1055">
        <v>1</v>
      </c>
    </row>
    <row r="1056" spans="1:7" hidden="1" x14ac:dyDescent="0.25">
      <c r="A1056" s="28" t="s">
        <v>3528</v>
      </c>
      <c r="B1056" s="29">
        <v>73952.27</v>
      </c>
      <c r="F1056" t="s">
        <v>3528</v>
      </c>
      <c r="G1056">
        <v>1</v>
      </c>
    </row>
    <row r="1057" spans="1:7" x14ac:dyDescent="0.25">
      <c r="A1057" s="28" t="s">
        <v>1526</v>
      </c>
      <c r="B1057" s="29">
        <v>75142.90155000001</v>
      </c>
      <c r="F1057" t="s">
        <v>1526</v>
      </c>
      <c r="G1057">
        <v>2</v>
      </c>
    </row>
    <row r="1058" spans="1:7" hidden="1" x14ac:dyDescent="0.25">
      <c r="A1058" s="28" t="s">
        <v>3375</v>
      </c>
      <c r="B1058" s="29">
        <v>73952.27</v>
      </c>
      <c r="F1058" t="s">
        <v>3375</v>
      </c>
      <c r="G1058">
        <v>1</v>
      </c>
    </row>
    <row r="1059" spans="1:7" hidden="1" x14ac:dyDescent="0.25">
      <c r="A1059" s="28" t="s">
        <v>3364</v>
      </c>
      <c r="B1059" s="29">
        <v>67225.429999999993</v>
      </c>
      <c r="F1059" t="s">
        <v>3364</v>
      </c>
      <c r="G1059">
        <v>1</v>
      </c>
    </row>
    <row r="1060" spans="1:7" x14ac:dyDescent="0.25">
      <c r="A1060" s="28" t="s">
        <v>1236</v>
      </c>
      <c r="B1060" s="29">
        <v>75142.90155000001</v>
      </c>
      <c r="F1060" t="s">
        <v>1236</v>
      </c>
      <c r="G1060">
        <v>2</v>
      </c>
    </row>
    <row r="1061" spans="1:7" x14ac:dyDescent="0.25">
      <c r="A1061" s="28" t="s">
        <v>133</v>
      </c>
      <c r="B1061" s="29">
        <v>68307.759399999995</v>
      </c>
      <c r="F1061" t="s">
        <v>133</v>
      </c>
      <c r="G1061">
        <v>2</v>
      </c>
    </row>
    <row r="1062" spans="1:7" x14ac:dyDescent="0.25">
      <c r="A1062" s="28" t="s">
        <v>1179</v>
      </c>
      <c r="B1062" s="29">
        <v>75142.90155000001</v>
      </c>
      <c r="F1062" t="s">
        <v>1179</v>
      </c>
      <c r="G1062">
        <v>2</v>
      </c>
    </row>
    <row r="1063" spans="1:7" x14ac:dyDescent="0.25">
      <c r="A1063" s="28" t="s">
        <v>406</v>
      </c>
      <c r="B1063" s="29">
        <v>68307.759399999995</v>
      </c>
      <c r="F1063" t="s">
        <v>406</v>
      </c>
      <c r="G1063">
        <v>2</v>
      </c>
    </row>
    <row r="1064" spans="1:7" hidden="1" x14ac:dyDescent="0.25">
      <c r="A1064" s="28" t="s">
        <v>3688</v>
      </c>
      <c r="B1064" s="29">
        <v>67225.429999999993</v>
      </c>
      <c r="F1064" t="s">
        <v>3688</v>
      </c>
      <c r="G1064">
        <v>1</v>
      </c>
    </row>
    <row r="1065" spans="1:7" x14ac:dyDescent="0.25">
      <c r="A1065" s="28" t="s">
        <v>1390</v>
      </c>
      <c r="B1065" s="29">
        <v>68307.759399999995</v>
      </c>
      <c r="F1065" t="s">
        <v>1390</v>
      </c>
      <c r="G1065">
        <v>2</v>
      </c>
    </row>
    <row r="1066" spans="1:7" x14ac:dyDescent="0.25">
      <c r="A1066" s="28" t="s">
        <v>780</v>
      </c>
      <c r="B1066" s="29">
        <v>68307.759399999995</v>
      </c>
      <c r="F1066" t="s">
        <v>780</v>
      </c>
      <c r="G1066">
        <v>2</v>
      </c>
    </row>
    <row r="1067" spans="1:7" x14ac:dyDescent="0.25">
      <c r="A1067" s="28" t="s">
        <v>385</v>
      </c>
      <c r="B1067" s="29">
        <v>68307.759399999995</v>
      </c>
      <c r="F1067" t="s">
        <v>385</v>
      </c>
      <c r="G1067">
        <v>2</v>
      </c>
    </row>
    <row r="1068" spans="1:7" hidden="1" x14ac:dyDescent="0.25">
      <c r="A1068" s="28" t="s">
        <v>3800</v>
      </c>
      <c r="B1068" s="29">
        <v>67225.429999999993</v>
      </c>
      <c r="F1068" t="s">
        <v>3800</v>
      </c>
      <c r="G1068">
        <v>1</v>
      </c>
    </row>
    <row r="1069" spans="1:7" hidden="1" x14ac:dyDescent="0.25">
      <c r="A1069" s="28" t="s">
        <v>971</v>
      </c>
      <c r="B1069" s="29">
        <v>69390.088799999998</v>
      </c>
      <c r="F1069" t="s">
        <v>971</v>
      </c>
      <c r="G1069">
        <v>1</v>
      </c>
    </row>
    <row r="1070" spans="1:7" x14ac:dyDescent="0.25">
      <c r="A1070" s="28" t="s">
        <v>1018</v>
      </c>
      <c r="B1070" s="29">
        <v>68307.759399999995</v>
      </c>
      <c r="F1070" t="s">
        <v>1018</v>
      </c>
      <c r="G1070">
        <v>2</v>
      </c>
    </row>
    <row r="1071" spans="1:7" x14ac:dyDescent="0.25">
      <c r="A1071" s="28" t="s">
        <v>1075</v>
      </c>
      <c r="B1071" s="29">
        <v>68307.759399999995</v>
      </c>
      <c r="F1071" t="s">
        <v>1075</v>
      </c>
      <c r="G1071">
        <v>2</v>
      </c>
    </row>
    <row r="1072" spans="1:7" hidden="1" x14ac:dyDescent="0.25">
      <c r="A1072" s="28" t="s">
        <v>3798</v>
      </c>
      <c r="B1072" s="29">
        <v>67225.429999999993</v>
      </c>
      <c r="F1072" t="s">
        <v>3798</v>
      </c>
      <c r="G1072">
        <v>1</v>
      </c>
    </row>
    <row r="1073" spans="1:7" hidden="1" x14ac:dyDescent="0.25">
      <c r="A1073" s="28" t="s">
        <v>3990</v>
      </c>
      <c r="B1073" s="29">
        <v>67225.429999999993</v>
      </c>
      <c r="F1073" t="s">
        <v>3990</v>
      </c>
      <c r="G1073">
        <v>1</v>
      </c>
    </row>
    <row r="1074" spans="1:7" x14ac:dyDescent="0.25">
      <c r="A1074" s="28" t="s">
        <v>1616</v>
      </c>
      <c r="B1074" s="29">
        <v>75142.90155000001</v>
      </c>
      <c r="F1074" t="s">
        <v>1616</v>
      </c>
      <c r="G1074">
        <v>2</v>
      </c>
    </row>
    <row r="1075" spans="1:7" x14ac:dyDescent="0.25">
      <c r="A1075" s="28" t="s">
        <v>796</v>
      </c>
      <c r="B1075" s="29">
        <v>68307.759399999995</v>
      </c>
      <c r="F1075" t="s">
        <v>796</v>
      </c>
      <c r="G1075">
        <v>2</v>
      </c>
    </row>
    <row r="1076" spans="1:7" hidden="1" x14ac:dyDescent="0.25">
      <c r="A1076" s="28" t="s">
        <v>3383</v>
      </c>
      <c r="B1076" s="29">
        <v>67225.429999999993</v>
      </c>
      <c r="F1076" t="s">
        <v>3383</v>
      </c>
      <c r="G1076">
        <v>1</v>
      </c>
    </row>
    <row r="1077" spans="1:7" x14ac:dyDescent="0.25">
      <c r="A1077" s="28" t="s">
        <v>172</v>
      </c>
      <c r="B1077" s="29">
        <v>68307.759399999995</v>
      </c>
      <c r="F1077" t="s">
        <v>172</v>
      </c>
      <c r="G1077">
        <v>2</v>
      </c>
    </row>
    <row r="1078" spans="1:7" x14ac:dyDescent="0.25">
      <c r="A1078" s="28" t="s">
        <v>1283</v>
      </c>
      <c r="B1078" s="29">
        <v>68307.759399999995</v>
      </c>
      <c r="F1078" t="s">
        <v>1283</v>
      </c>
      <c r="G1078">
        <v>2</v>
      </c>
    </row>
    <row r="1079" spans="1:7" x14ac:dyDescent="0.25">
      <c r="A1079" s="28" t="s">
        <v>371</v>
      </c>
      <c r="B1079" s="29">
        <v>68307.759399999995</v>
      </c>
      <c r="F1079" t="s">
        <v>371</v>
      </c>
      <c r="G1079">
        <v>2</v>
      </c>
    </row>
    <row r="1080" spans="1:7" x14ac:dyDescent="0.25">
      <c r="A1080" s="28" t="s">
        <v>507</v>
      </c>
      <c r="B1080" s="29">
        <v>68307.759399999995</v>
      </c>
      <c r="F1080" t="s">
        <v>507</v>
      </c>
      <c r="G1080">
        <v>2</v>
      </c>
    </row>
    <row r="1081" spans="1:7" x14ac:dyDescent="0.25">
      <c r="A1081" s="28" t="s">
        <v>378</v>
      </c>
      <c r="B1081" s="29">
        <v>68307.759399999995</v>
      </c>
      <c r="F1081" t="s">
        <v>378</v>
      </c>
      <c r="G1081">
        <v>2</v>
      </c>
    </row>
    <row r="1082" spans="1:7" x14ac:dyDescent="0.25">
      <c r="A1082" s="28" t="s">
        <v>548</v>
      </c>
      <c r="B1082" s="29">
        <v>68307.759399999995</v>
      </c>
      <c r="F1082" t="s">
        <v>548</v>
      </c>
      <c r="G1082">
        <v>2</v>
      </c>
    </row>
    <row r="1083" spans="1:7" x14ac:dyDescent="0.25">
      <c r="A1083" s="28" t="s">
        <v>261</v>
      </c>
      <c r="B1083" s="29">
        <v>68307.759399999995</v>
      </c>
      <c r="F1083" t="s">
        <v>261</v>
      </c>
      <c r="G1083">
        <v>2</v>
      </c>
    </row>
    <row r="1084" spans="1:7" x14ac:dyDescent="0.25">
      <c r="A1084" s="28" t="s">
        <v>1609</v>
      </c>
      <c r="B1084" s="29">
        <v>68307.759399999995</v>
      </c>
      <c r="F1084" t="s">
        <v>1609</v>
      </c>
      <c r="G1084">
        <v>2</v>
      </c>
    </row>
    <row r="1085" spans="1:7" x14ac:dyDescent="0.25">
      <c r="A1085" s="28" t="s">
        <v>1017</v>
      </c>
      <c r="B1085" s="29">
        <v>68307.759399999995</v>
      </c>
      <c r="F1085" t="s">
        <v>1017</v>
      </c>
      <c r="G1085">
        <v>2</v>
      </c>
    </row>
    <row r="1086" spans="1:7" hidden="1" x14ac:dyDescent="0.25">
      <c r="A1086" s="28" t="s">
        <v>3328</v>
      </c>
      <c r="B1086" s="29">
        <v>67225.429999999993</v>
      </c>
      <c r="F1086" t="s">
        <v>3328</v>
      </c>
      <c r="G1086">
        <v>1</v>
      </c>
    </row>
    <row r="1087" spans="1:7" x14ac:dyDescent="0.25">
      <c r="A1087" s="28" t="s">
        <v>1232</v>
      </c>
      <c r="B1087" s="29">
        <v>68307.759399999995</v>
      </c>
      <c r="F1087" t="s">
        <v>1232</v>
      </c>
      <c r="G1087">
        <v>2</v>
      </c>
    </row>
    <row r="1088" spans="1:7" x14ac:dyDescent="0.25">
      <c r="A1088" s="28" t="s">
        <v>1254</v>
      </c>
      <c r="B1088" s="29">
        <v>68307.759399999995</v>
      </c>
      <c r="F1088" t="s">
        <v>1254</v>
      </c>
      <c r="G1088">
        <v>2</v>
      </c>
    </row>
    <row r="1089" spans="1:7" x14ac:dyDescent="0.25">
      <c r="A1089" s="28" t="s">
        <v>383</v>
      </c>
      <c r="B1089" s="29">
        <v>75142.90155000001</v>
      </c>
      <c r="F1089" t="s">
        <v>383</v>
      </c>
      <c r="G1089">
        <v>2</v>
      </c>
    </row>
    <row r="1090" spans="1:7" x14ac:dyDescent="0.25">
      <c r="A1090" s="28" t="s">
        <v>425</v>
      </c>
      <c r="B1090" s="29">
        <v>75142.90155000001</v>
      </c>
      <c r="F1090" t="s">
        <v>425</v>
      </c>
      <c r="G1090">
        <v>2</v>
      </c>
    </row>
    <row r="1091" spans="1:7" hidden="1" x14ac:dyDescent="0.25">
      <c r="A1091" s="28" t="s">
        <v>2811</v>
      </c>
      <c r="B1091" s="29">
        <v>73952.27</v>
      </c>
      <c r="F1091" t="s">
        <v>2811</v>
      </c>
      <c r="G1091">
        <v>1</v>
      </c>
    </row>
    <row r="1092" spans="1:7" hidden="1" x14ac:dyDescent="0.25">
      <c r="A1092" s="28" t="s">
        <v>1561</v>
      </c>
      <c r="B1092" s="29">
        <v>76333.533100000001</v>
      </c>
      <c r="F1092" t="s">
        <v>1561</v>
      </c>
      <c r="G1092">
        <v>1</v>
      </c>
    </row>
    <row r="1093" spans="1:7" hidden="1" x14ac:dyDescent="0.25">
      <c r="A1093" s="28" t="s">
        <v>4186</v>
      </c>
      <c r="B1093" s="29">
        <v>73952.27</v>
      </c>
      <c r="F1093" t="s">
        <v>4186</v>
      </c>
      <c r="G1093">
        <v>1</v>
      </c>
    </row>
    <row r="1094" spans="1:7" hidden="1" x14ac:dyDescent="0.25">
      <c r="A1094" s="28" t="s">
        <v>4273</v>
      </c>
      <c r="B1094" s="29">
        <v>73952.27</v>
      </c>
      <c r="F1094" t="s">
        <v>4273</v>
      </c>
      <c r="G1094">
        <v>1</v>
      </c>
    </row>
    <row r="1095" spans="1:7" hidden="1" x14ac:dyDescent="0.25">
      <c r="A1095" s="28" t="s">
        <v>4674</v>
      </c>
      <c r="B1095" s="29">
        <v>73952.27</v>
      </c>
      <c r="F1095" t="s">
        <v>4674</v>
      </c>
      <c r="G1095">
        <v>1</v>
      </c>
    </row>
    <row r="1096" spans="1:7" hidden="1" x14ac:dyDescent="0.25">
      <c r="A1096" s="28" t="s">
        <v>2815</v>
      </c>
      <c r="B1096" s="29">
        <v>73952.27</v>
      </c>
      <c r="F1096" t="s">
        <v>2815</v>
      </c>
      <c r="G1096">
        <v>1</v>
      </c>
    </row>
    <row r="1097" spans="1:7" hidden="1" x14ac:dyDescent="0.25">
      <c r="A1097" s="28" t="s">
        <v>3050</v>
      </c>
      <c r="B1097" s="29">
        <v>73952.27</v>
      </c>
      <c r="F1097" t="s">
        <v>3050</v>
      </c>
      <c r="G1097">
        <v>1</v>
      </c>
    </row>
    <row r="1098" spans="1:7" hidden="1" x14ac:dyDescent="0.25">
      <c r="A1098" s="28" t="s">
        <v>2199</v>
      </c>
      <c r="B1098" s="29">
        <v>73952.27</v>
      </c>
      <c r="F1098" t="s">
        <v>2199</v>
      </c>
      <c r="G1098">
        <v>1</v>
      </c>
    </row>
    <row r="1099" spans="1:7" hidden="1" x14ac:dyDescent="0.25">
      <c r="A1099" s="28" t="s">
        <v>4562</v>
      </c>
      <c r="B1099" s="29">
        <v>73952.27</v>
      </c>
      <c r="F1099" t="s">
        <v>4562</v>
      </c>
      <c r="G1099">
        <v>1</v>
      </c>
    </row>
    <row r="1100" spans="1:7" hidden="1" x14ac:dyDescent="0.25">
      <c r="A1100" s="28" t="s">
        <v>4566</v>
      </c>
      <c r="B1100" s="29">
        <v>73952.27</v>
      </c>
      <c r="F1100" t="s">
        <v>4566</v>
      </c>
      <c r="G1100">
        <v>1</v>
      </c>
    </row>
    <row r="1101" spans="1:7" hidden="1" x14ac:dyDescent="0.25">
      <c r="A1101" s="28" t="s">
        <v>2983</v>
      </c>
      <c r="B1101" s="29">
        <v>73952.27</v>
      </c>
      <c r="F1101" t="s">
        <v>2983</v>
      </c>
      <c r="G1101">
        <v>1</v>
      </c>
    </row>
    <row r="1102" spans="1:7" hidden="1" x14ac:dyDescent="0.25">
      <c r="A1102" s="28" t="s">
        <v>4135</v>
      </c>
      <c r="B1102" s="29">
        <v>73952.27</v>
      </c>
      <c r="F1102" t="s">
        <v>4135</v>
      </c>
      <c r="G1102">
        <v>1</v>
      </c>
    </row>
    <row r="1103" spans="1:7" hidden="1" x14ac:dyDescent="0.25">
      <c r="A1103" s="28" t="s">
        <v>2886</v>
      </c>
      <c r="B1103" s="29">
        <v>73952.27</v>
      </c>
      <c r="F1103" t="s">
        <v>2886</v>
      </c>
      <c r="G1103">
        <v>1</v>
      </c>
    </row>
    <row r="1104" spans="1:7" hidden="1" x14ac:dyDescent="0.25">
      <c r="A1104" s="28" t="s">
        <v>2852</v>
      </c>
      <c r="B1104" s="29">
        <v>73952.27</v>
      </c>
      <c r="F1104" t="s">
        <v>2852</v>
      </c>
      <c r="G1104">
        <v>1</v>
      </c>
    </row>
    <row r="1105" spans="1:7" x14ac:dyDescent="0.25">
      <c r="A1105" s="28" t="s">
        <v>1298</v>
      </c>
      <c r="B1105" s="29">
        <v>75142.90155000001</v>
      </c>
      <c r="F1105" t="s">
        <v>1298</v>
      </c>
      <c r="G1105">
        <v>2</v>
      </c>
    </row>
    <row r="1106" spans="1:7" hidden="1" x14ac:dyDescent="0.25">
      <c r="A1106" s="28" t="s">
        <v>4229</v>
      </c>
      <c r="B1106" s="29">
        <v>73952.27</v>
      </c>
      <c r="F1106" t="s">
        <v>4229</v>
      </c>
      <c r="G1106">
        <v>1</v>
      </c>
    </row>
    <row r="1107" spans="1:7" hidden="1" x14ac:dyDescent="0.25">
      <c r="A1107" s="28" t="s">
        <v>2381</v>
      </c>
      <c r="B1107" s="29">
        <v>73952.27</v>
      </c>
      <c r="F1107" t="s">
        <v>2381</v>
      </c>
      <c r="G1107">
        <v>1</v>
      </c>
    </row>
    <row r="1108" spans="1:7" hidden="1" x14ac:dyDescent="0.25">
      <c r="A1108" s="28" t="s">
        <v>4263</v>
      </c>
      <c r="B1108" s="29">
        <v>73952.27</v>
      </c>
      <c r="F1108" t="s">
        <v>4263</v>
      </c>
      <c r="G1108">
        <v>1</v>
      </c>
    </row>
    <row r="1109" spans="1:7" hidden="1" x14ac:dyDescent="0.25">
      <c r="A1109" s="28" t="s">
        <v>3523</v>
      </c>
      <c r="B1109" s="29">
        <v>73952.27</v>
      </c>
      <c r="F1109" t="s">
        <v>3523</v>
      </c>
      <c r="G1109">
        <v>1</v>
      </c>
    </row>
    <row r="1110" spans="1:7" hidden="1" x14ac:dyDescent="0.25">
      <c r="A1110" s="28" t="s">
        <v>3201</v>
      </c>
      <c r="B1110" s="29">
        <v>73952.27</v>
      </c>
      <c r="F1110" t="s">
        <v>3201</v>
      </c>
      <c r="G1110">
        <v>1</v>
      </c>
    </row>
    <row r="1111" spans="1:7" hidden="1" x14ac:dyDescent="0.25">
      <c r="A1111" s="28" t="s">
        <v>3965</v>
      </c>
      <c r="B1111" s="29">
        <v>73952.27</v>
      </c>
      <c r="F1111" t="s">
        <v>3965</v>
      </c>
      <c r="G1111">
        <v>1</v>
      </c>
    </row>
    <row r="1112" spans="1:7" hidden="1" x14ac:dyDescent="0.25">
      <c r="A1112" s="28" t="s">
        <v>3247</v>
      </c>
      <c r="B1112" s="29">
        <v>73952.27</v>
      </c>
      <c r="F1112" t="s">
        <v>3247</v>
      </c>
      <c r="G1112">
        <v>1</v>
      </c>
    </row>
    <row r="1113" spans="1:7" hidden="1" x14ac:dyDescent="0.25">
      <c r="A1113" s="28" t="s">
        <v>4468</v>
      </c>
      <c r="B1113" s="29">
        <v>55424.27</v>
      </c>
      <c r="F1113" t="s">
        <v>4468</v>
      </c>
      <c r="G1113">
        <v>1</v>
      </c>
    </row>
    <row r="1114" spans="1:7" hidden="1" x14ac:dyDescent="0.25">
      <c r="A1114" s="28" t="s">
        <v>3806</v>
      </c>
      <c r="B1114" s="29">
        <v>73952.27</v>
      </c>
      <c r="F1114" t="s">
        <v>3806</v>
      </c>
      <c r="G1114">
        <v>1</v>
      </c>
    </row>
    <row r="1115" spans="1:7" hidden="1" x14ac:dyDescent="0.25">
      <c r="A1115" s="28" t="s">
        <v>3914</v>
      </c>
      <c r="B1115" s="29">
        <v>73952.27</v>
      </c>
      <c r="F1115" t="s">
        <v>3914</v>
      </c>
      <c r="G1115">
        <v>1</v>
      </c>
    </row>
    <row r="1116" spans="1:7" hidden="1" x14ac:dyDescent="0.25">
      <c r="A1116" s="28" t="s">
        <v>3868</v>
      </c>
      <c r="B1116" s="29">
        <v>55424.27</v>
      </c>
      <c r="F1116" t="s">
        <v>3868</v>
      </c>
      <c r="G1116">
        <v>1</v>
      </c>
    </row>
    <row r="1117" spans="1:7" hidden="1" x14ac:dyDescent="0.25">
      <c r="A1117" s="28" t="s">
        <v>3459</v>
      </c>
      <c r="B1117" s="29">
        <v>73952.27</v>
      </c>
      <c r="F1117" t="s">
        <v>3459</v>
      </c>
      <c r="G1117">
        <v>1</v>
      </c>
    </row>
    <row r="1118" spans="1:7" hidden="1" x14ac:dyDescent="0.25">
      <c r="A1118" s="28" t="s">
        <v>3897</v>
      </c>
      <c r="B1118" s="29">
        <v>73952.27</v>
      </c>
      <c r="F1118" t="s">
        <v>3897</v>
      </c>
      <c r="G1118">
        <v>1</v>
      </c>
    </row>
    <row r="1119" spans="1:7" hidden="1" x14ac:dyDescent="0.25">
      <c r="A1119" s="28" t="s">
        <v>4738</v>
      </c>
      <c r="B1119" s="29">
        <v>55424.27</v>
      </c>
      <c r="F1119" t="s">
        <v>4738</v>
      </c>
      <c r="G1119">
        <v>1</v>
      </c>
    </row>
    <row r="1120" spans="1:7" hidden="1" x14ac:dyDescent="0.25">
      <c r="A1120" s="28" t="s">
        <v>4154</v>
      </c>
      <c r="B1120" s="29">
        <v>73952.27</v>
      </c>
      <c r="F1120" t="s">
        <v>4154</v>
      </c>
      <c r="G1120">
        <v>1</v>
      </c>
    </row>
    <row r="1121" spans="1:7" hidden="1" x14ac:dyDescent="0.25">
      <c r="A1121" s="28" t="s">
        <v>4542</v>
      </c>
      <c r="B1121" s="29">
        <v>73952.27</v>
      </c>
      <c r="F1121" t="s">
        <v>4542</v>
      </c>
      <c r="G1121">
        <v>1</v>
      </c>
    </row>
    <row r="1122" spans="1:7" x14ac:dyDescent="0.25">
      <c r="A1122" s="28" t="s">
        <v>1454</v>
      </c>
      <c r="B1122" s="29">
        <v>75142.90155000001</v>
      </c>
      <c r="F1122" t="s">
        <v>1454</v>
      </c>
      <c r="G1122">
        <v>2</v>
      </c>
    </row>
    <row r="1123" spans="1:7" hidden="1" x14ac:dyDescent="0.25">
      <c r="A1123" s="28" t="s">
        <v>3370</v>
      </c>
      <c r="B1123" s="29">
        <v>73952.27</v>
      </c>
      <c r="F1123" t="s">
        <v>3370</v>
      </c>
      <c r="G1123">
        <v>1</v>
      </c>
    </row>
    <row r="1124" spans="1:7" hidden="1" x14ac:dyDescent="0.25">
      <c r="A1124" s="28" t="s">
        <v>2413</v>
      </c>
      <c r="B1124" s="29">
        <v>73952.27</v>
      </c>
      <c r="F1124" t="s">
        <v>2413</v>
      </c>
      <c r="G1124">
        <v>1</v>
      </c>
    </row>
    <row r="1125" spans="1:7" x14ac:dyDescent="0.25">
      <c r="A1125" s="28" t="s">
        <v>478</v>
      </c>
      <c r="B1125" s="29">
        <v>75142.90155000001</v>
      </c>
      <c r="F1125" t="s">
        <v>478</v>
      </c>
      <c r="G1125">
        <v>2</v>
      </c>
    </row>
    <row r="1126" spans="1:7" x14ac:dyDescent="0.25">
      <c r="A1126" s="28" t="s">
        <v>1383</v>
      </c>
      <c r="B1126" s="29">
        <v>75142.90155000001</v>
      </c>
      <c r="F1126" t="s">
        <v>1383</v>
      </c>
      <c r="G1126">
        <v>2</v>
      </c>
    </row>
    <row r="1127" spans="1:7" hidden="1" x14ac:dyDescent="0.25">
      <c r="A1127" s="28" t="s">
        <v>4733</v>
      </c>
      <c r="B1127" s="29">
        <v>55424.27</v>
      </c>
      <c r="F1127" t="s">
        <v>4733</v>
      </c>
      <c r="G1127">
        <v>1</v>
      </c>
    </row>
    <row r="1128" spans="1:7" hidden="1" x14ac:dyDescent="0.25">
      <c r="A1128" s="28" t="s">
        <v>4128</v>
      </c>
      <c r="B1128" s="29">
        <v>73952.27</v>
      </c>
      <c r="F1128" t="s">
        <v>4128</v>
      </c>
      <c r="G1128">
        <v>1</v>
      </c>
    </row>
    <row r="1129" spans="1:7" hidden="1" x14ac:dyDescent="0.25">
      <c r="A1129" s="28" t="s">
        <v>3036</v>
      </c>
      <c r="B1129" s="29">
        <v>73952.27</v>
      </c>
      <c r="F1129" t="s">
        <v>3036</v>
      </c>
      <c r="G1129">
        <v>1</v>
      </c>
    </row>
    <row r="1130" spans="1:7" hidden="1" x14ac:dyDescent="0.25">
      <c r="A1130" s="28" t="s">
        <v>3769</v>
      </c>
      <c r="B1130" s="29">
        <v>55424.27</v>
      </c>
      <c r="F1130" t="s">
        <v>3769</v>
      </c>
      <c r="G1130">
        <v>1</v>
      </c>
    </row>
    <row r="1131" spans="1:7" hidden="1" x14ac:dyDescent="0.25">
      <c r="A1131" s="28" t="s">
        <v>2385</v>
      </c>
      <c r="B1131" s="29">
        <v>55424.27</v>
      </c>
      <c r="F1131" t="s">
        <v>2385</v>
      </c>
      <c r="G1131">
        <v>1</v>
      </c>
    </row>
    <row r="1132" spans="1:7" hidden="1" x14ac:dyDescent="0.25">
      <c r="A1132" s="28" t="s">
        <v>3066</v>
      </c>
      <c r="B1132" s="29">
        <v>55424.27</v>
      </c>
      <c r="F1132" t="s">
        <v>3066</v>
      </c>
      <c r="G1132">
        <v>1</v>
      </c>
    </row>
    <row r="1133" spans="1:7" hidden="1" x14ac:dyDescent="0.25">
      <c r="A1133" s="28" t="s">
        <v>3317</v>
      </c>
      <c r="B1133" s="29">
        <v>55424.27</v>
      </c>
      <c r="F1133" t="s">
        <v>3317</v>
      </c>
      <c r="G1133">
        <v>1</v>
      </c>
    </row>
    <row r="1134" spans="1:7" hidden="1" x14ac:dyDescent="0.25">
      <c r="A1134" s="28" t="s">
        <v>3721</v>
      </c>
      <c r="B1134" s="29">
        <v>55424.27</v>
      </c>
      <c r="F1134" t="s">
        <v>3721</v>
      </c>
      <c r="G1134">
        <v>1</v>
      </c>
    </row>
    <row r="1135" spans="1:7" x14ac:dyDescent="0.25">
      <c r="A1135" s="28" t="s">
        <v>432</v>
      </c>
      <c r="B1135" s="29">
        <v>56316.600749999998</v>
      </c>
      <c r="F1135" t="s">
        <v>432</v>
      </c>
      <c r="G1135">
        <v>2</v>
      </c>
    </row>
    <row r="1136" spans="1:7" hidden="1" x14ac:dyDescent="0.25">
      <c r="A1136" s="28" t="s">
        <v>4622</v>
      </c>
      <c r="B1136" s="29">
        <v>55424.27</v>
      </c>
      <c r="F1136" t="s">
        <v>4622</v>
      </c>
      <c r="G1136">
        <v>1</v>
      </c>
    </row>
    <row r="1137" spans="1:7" hidden="1" x14ac:dyDescent="0.25">
      <c r="A1137" s="28" t="s">
        <v>4723</v>
      </c>
      <c r="B1137" s="29">
        <v>55424.27</v>
      </c>
      <c r="F1137" t="s">
        <v>4723</v>
      </c>
      <c r="G1137">
        <v>1</v>
      </c>
    </row>
    <row r="1138" spans="1:7" hidden="1" x14ac:dyDescent="0.25">
      <c r="A1138" s="28" t="s">
        <v>3078</v>
      </c>
      <c r="B1138" s="29">
        <v>55424.27</v>
      </c>
      <c r="F1138" t="s">
        <v>3078</v>
      </c>
      <c r="G1138">
        <v>1</v>
      </c>
    </row>
    <row r="1139" spans="1:7" hidden="1" x14ac:dyDescent="0.25">
      <c r="A1139" s="28" t="s">
        <v>4717</v>
      </c>
      <c r="B1139" s="29">
        <v>55424.27</v>
      </c>
      <c r="F1139" t="s">
        <v>4717</v>
      </c>
      <c r="G1139">
        <v>1</v>
      </c>
    </row>
    <row r="1140" spans="1:7" hidden="1" x14ac:dyDescent="0.25">
      <c r="A1140" s="28" t="s">
        <v>4721</v>
      </c>
      <c r="B1140" s="29">
        <v>55424.27</v>
      </c>
      <c r="F1140" t="s">
        <v>4721</v>
      </c>
      <c r="G1140">
        <v>1</v>
      </c>
    </row>
    <row r="1141" spans="1:7" hidden="1" x14ac:dyDescent="0.25">
      <c r="A1141" s="28" t="s">
        <v>4390</v>
      </c>
      <c r="B1141" s="29">
        <v>73952.27</v>
      </c>
      <c r="F1141" t="s">
        <v>4390</v>
      </c>
      <c r="G1141">
        <v>1</v>
      </c>
    </row>
    <row r="1142" spans="1:7" hidden="1" x14ac:dyDescent="0.25">
      <c r="A1142" s="28" t="s">
        <v>4488</v>
      </c>
      <c r="B1142" s="29">
        <v>55424.27</v>
      </c>
      <c r="F1142" t="s">
        <v>4488</v>
      </c>
      <c r="G1142">
        <v>1</v>
      </c>
    </row>
    <row r="1143" spans="1:7" hidden="1" x14ac:dyDescent="0.25">
      <c r="A1143" s="28" t="s">
        <v>4266</v>
      </c>
      <c r="B1143" s="29">
        <v>55424.27</v>
      </c>
      <c r="F1143" t="s">
        <v>4266</v>
      </c>
      <c r="G1143">
        <v>1</v>
      </c>
    </row>
    <row r="1144" spans="1:7" hidden="1" x14ac:dyDescent="0.25">
      <c r="A1144" s="28" t="s">
        <v>4467</v>
      </c>
      <c r="B1144" s="29">
        <v>55424.27</v>
      </c>
      <c r="F1144" t="s">
        <v>4467</v>
      </c>
      <c r="G1144">
        <v>1</v>
      </c>
    </row>
    <row r="1145" spans="1:7" hidden="1" x14ac:dyDescent="0.25">
      <c r="A1145" s="28" t="s">
        <v>4201</v>
      </c>
      <c r="B1145" s="29">
        <v>55424.27</v>
      </c>
      <c r="F1145" t="s">
        <v>4201</v>
      </c>
      <c r="G1145">
        <v>1</v>
      </c>
    </row>
    <row r="1146" spans="1:7" hidden="1" x14ac:dyDescent="0.25">
      <c r="A1146" s="28" t="s">
        <v>3742</v>
      </c>
      <c r="B1146" s="29">
        <v>55424.27</v>
      </c>
      <c r="F1146" t="s">
        <v>3742</v>
      </c>
      <c r="G1146">
        <v>1</v>
      </c>
    </row>
    <row r="1147" spans="1:7" hidden="1" x14ac:dyDescent="0.25">
      <c r="A1147" s="28" t="s">
        <v>3613</v>
      </c>
      <c r="B1147" s="29">
        <v>55424.27</v>
      </c>
      <c r="F1147" t="s">
        <v>3613</v>
      </c>
      <c r="G1147">
        <v>1</v>
      </c>
    </row>
    <row r="1148" spans="1:7" hidden="1" x14ac:dyDescent="0.25">
      <c r="A1148" s="28" t="s">
        <v>3635</v>
      </c>
      <c r="B1148" s="29">
        <v>55424.27</v>
      </c>
      <c r="F1148" t="s">
        <v>3635</v>
      </c>
      <c r="G1148">
        <v>1</v>
      </c>
    </row>
    <row r="1149" spans="1:7" hidden="1" x14ac:dyDescent="0.25">
      <c r="A1149" s="28" t="s">
        <v>4639</v>
      </c>
      <c r="B1149" s="29">
        <v>55424.27</v>
      </c>
      <c r="F1149" t="s">
        <v>4639</v>
      </c>
      <c r="G1149">
        <v>1</v>
      </c>
    </row>
    <row r="1150" spans="1:7" hidden="1" x14ac:dyDescent="0.25">
      <c r="A1150" s="28" t="s">
        <v>3323</v>
      </c>
      <c r="B1150" s="29">
        <v>55424.27</v>
      </c>
      <c r="F1150" t="s">
        <v>3323</v>
      </c>
      <c r="G1150">
        <v>1</v>
      </c>
    </row>
    <row r="1151" spans="1:7" hidden="1" x14ac:dyDescent="0.25">
      <c r="A1151" s="28" t="s">
        <v>4462</v>
      </c>
      <c r="B1151" s="29">
        <v>55424.27</v>
      </c>
      <c r="F1151" t="s">
        <v>4462</v>
      </c>
      <c r="G1151">
        <v>1</v>
      </c>
    </row>
    <row r="1152" spans="1:7" hidden="1" x14ac:dyDescent="0.25">
      <c r="A1152" s="28" t="s">
        <v>3032</v>
      </c>
      <c r="B1152" s="29">
        <v>55424.27</v>
      </c>
      <c r="F1152" t="s">
        <v>3032</v>
      </c>
      <c r="G1152">
        <v>1</v>
      </c>
    </row>
    <row r="1153" spans="1:7" hidden="1" x14ac:dyDescent="0.25">
      <c r="A1153" s="28" t="s">
        <v>2856</v>
      </c>
      <c r="B1153" s="29">
        <v>55424.27</v>
      </c>
      <c r="F1153" t="s">
        <v>2856</v>
      </c>
      <c r="G1153">
        <v>1</v>
      </c>
    </row>
    <row r="1154" spans="1:7" hidden="1" x14ac:dyDescent="0.25">
      <c r="A1154" s="28" t="s">
        <v>3448</v>
      </c>
      <c r="B1154" s="29">
        <v>55424.27</v>
      </c>
      <c r="F1154" t="s">
        <v>3448</v>
      </c>
      <c r="G1154">
        <v>1</v>
      </c>
    </row>
    <row r="1155" spans="1:7" hidden="1" x14ac:dyDescent="0.25">
      <c r="A1155" s="28" t="s">
        <v>4342</v>
      </c>
      <c r="B1155" s="29">
        <v>55424.27</v>
      </c>
      <c r="F1155" t="s">
        <v>4342</v>
      </c>
      <c r="G1155">
        <v>1</v>
      </c>
    </row>
    <row r="1156" spans="1:7" hidden="1" x14ac:dyDescent="0.25">
      <c r="A1156" s="28" t="s">
        <v>4120</v>
      </c>
      <c r="B1156" s="29">
        <v>55424.27</v>
      </c>
      <c r="F1156" t="s">
        <v>4120</v>
      </c>
      <c r="G1156">
        <v>1</v>
      </c>
    </row>
    <row r="1157" spans="1:7" hidden="1" x14ac:dyDescent="0.25">
      <c r="A1157" s="28" t="s">
        <v>4195</v>
      </c>
      <c r="B1157" s="29">
        <v>55424.27</v>
      </c>
      <c r="F1157" t="s">
        <v>4195</v>
      </c>
      <c r="G1157">
        <v>1</v>
      </c>
    </row>
    <row r="1158" spans="1:7" x14ac:dyDescent="0.25">
      <c r="A1158" s="28" t="s">
        <v>486</v>
      </c>
      <c r="B1158" s="29">
        <v>56316.600749999998</v>
      </c>
      <c r="F1158" t="s">
        <v>486</v>
      </c>
      <c r="G1158">
        <v>2</v>
      </c>
    </row>
    <row r="1159" spans="1:7" x14ac:dyDescent="0.25">
      <c r="A1159" s="28" t="s">
        <v>1483</v>
      </c>
      <c r="B1159" s="29">
        <v>56316.600749999998</v>
      </c>
      <c r="F1159" t="s">
        <v>1483</v>
      </c>
      <c r="G1159">
        <v>2</v>
      </c>
    </row>
    <row r="1160" spans="1:7" hidden="1" x14ac:dyDescent="0.25">
      <c r="A1160" s="28" t="s">
        <v>4630</v>
      </c>
      <c r="B1160" s="29">
        <v>55424.27</v>
      </c>
      <c r="F1160" t="s">
        <v>4630</v>
      </c>
      <c r="G1160">
        <v>1</v>
      </c>
    </row>
    <row r="1161" spans="1:7" hidden="1" x14ac:dyDescent="0.25">
      <c r="A1161" s="28" t="s">
        <v>3556</v>
      </c>
      <c r="B1161" s="29">
        <v>55424.27</v>
      </c>
      <c r="F1161" t="s">
        <v>3556</v>
      </c>
      <c r="G1161">
        <v>1</v>
      </c>
    </row>
    <row r="1162" spans="1:7" hidden="1" x14ac:dyDescent="0.25">
      <c r="A1162" s="28" t="s">
        <v>2880</v>
      </c>
      <c r="B1162" s="29">
        <v>55424.27</v>
      </c>
      <c r="F1162" t="s">
        <v>2880</v>
      </c>
      <c r="G1162">
        <v>1</v>
      </c>
    </row>
    <row r="1163" spans="1:7" hidden="1" x14ac:dyDescent="0.25">
      <c r="A1163" s="28" t="s">
        <v>3230</v>
      </c>
      <c r="B1163" s="29">
        <v>55424.27</v>
      </c>
      <c r="F1163" t="s">
        <v>3230</v>
      </c>
      <c r="G1163">
        <v>1</v>
      </c>
    </row>
    <row r="1164" spans="1:7" hidden="1" x14ac:dyDescent="0.25">
      <c r="A1164" s="28" t="s">
        <v>3547</v>
      </c>
      <c r="B1164" s="29">
        <v>55424.27</v>
      </c>
      <c r="F1164" t="s">
        <v>3547</v>
      </c>
      <c r="G1164">
        <v>1</v>
      </c>
    </row>
    <row r="1165" spans="1:7" hidden="1" x14ac:dyDescent="0.25">
      <c r="A1165" s="28" t="s">
        <v>4009</v>
      </c>
      <c r="B1165" s="29">
        <v>55424.27</v>
      </c>
      <c r="F1165" t="s">
        <v>4009</v>
      </c>
      <c r="G1165">
        <v>1</v>
      </c>
    </row>
    <row r="1166" spans="1:7" hidden="1" x14ac:dyDescent="0.25">
      <c r="A1166" s="28" t="s">
        <v>4830</v>
      </c>
      <c r="B1166" s="29">
        <v>55424.27</v>
      </c>
      <c r="F1166" t="s">
        <v>4830</v>
      </c>
      <c r="G1166">
        <v>1</v>
      </c>
    </row>
    <row r="1167" spans="1:7" hidden="1" x14ac:dyDescent="0.25">
      <c r="A1167" s="28" t="s">
        <v>3522</v>
      </c>
      <c r="B1167" s="29">
        <v>55424.27</v>
      </c>
      <c r="F1167" t="s">
        <v>3522</v>
      </c>
      <c r="G1167">
        <v>1</v>
      </c>
    </row>
    <row r="1168" spans="1:7" hidden="1" x14ac:dyDescent="0.25">
      <c r="A1168" s="28" t="s">
        <v>2579</v>
      </c>
      <c r="B1168" s="29">
        <v>55424.27</v>
      </c>
      <c r="F1168" t="s">
        <v>2579</v>
      </c>
      <c r="G1168">
        <v>1</v>
      </c>
    </row>
    <row r="1169" spans="1:7" hidden="1" x14ac:dyDescent="0.25">
      <c r="A1169" s="28" t="s">
        <v>4623</v>
      </c>
      <c r="B1169" s="29">
        <v>55424.27</v>
      </c>
      <c r="F1169" t="s">
        <v>4623</v>
      </c>
      <c r="G1169">
        <v>1</v>
      </c>
    </row>
    <row r="1170" spans="1:7" hidden="1" x14ac:dyDescent="0.25">
      <c r="A1170" s="28" t="s">
        <v>4003</v>
      </c>
      <c r="B1170" s="29">
        <v>55424.27</v>
      </c>
      <c r="F1170" t="s">
        <v>4003</v>
      </c>
      <c r="G1170">
        <v>1</v>
      </c>
    </row>
    <row r="1171" spans="1:7" hidden="1" x14ac:dyDescent="0.25">
      <c r="A1171" s="28" t="s">
        <v>3901</v>
      </c>
      <c r="B1171" s="29">
        <v>55424.27</v>
      </c>
      <c r="F1171" t="s">
        <v>3901</v>
      </c>
      <c r="G1171">
        <v>1</v>
      </c>
    </row>
    <row r="1172" spans="1:7" hidden="1" x14ac:dyDescent="0.25">
      <c r="A1172" s="28" t="s">
        <v>2730</v>
      </c>
      <c r="B1172" s="29">
        <v>55424.27</v>
      </c>
      <c r="F1172" t="s">
        <v>2730</v>
      </c>
      <c r="G1172">
        <v>1</v>
      </c>
    </row>
    <row r="1173" spans="1:7" hidden="1" x14ac:dyDescent="0.25">
      <c r="A1173" s="28" t="s">
        <v>4138</v>
      </c>
      <c r="B1173" s="29">
        <v>55424.27</v>
      </c>
      <c r="F1173" t="s">
        <v>4138</v>
      </c>
      <c r="G1173">
        <v>1</v>
      </c>
    </row>
    <row r="1174" spans="1:7" hidden="1" x14ac:dyDescent="0.25">
      <c r="A1174" s="28" t="s">
        <v>2709</v>
      </c>
      <c r="B1174" s="29">
        <v>55424.27</v>
      </c>
      <c r="F1174" t="s">
        <v>2709</v>
      </c>
      <c r="G1174">
        <v>1</v>
      </c>
    </row>
    <row r="1175" spans="1:7" hidden="1" x14ac:dyDescent="0.25">
      <c r="A1175" s="28" t="s">
        <v>4425</v>
      </c>
      <c r="B1175" s="29">
        <v>55424.27</v>
      </c>
      <c r="F1175" t="s">
        <v>4425</v>
      </c>
      <c r="G1175">
        <v>1</v>
      </c>
    </row>
    <row r="1176" spans="1:7" hidden="1" x14ac:dyDescent="0.25">
      <c r="A1176" s="28" t="s">
        <v>3288</v>
      </c>
      <c r="B1176" s="29">
        <v>55424.27</v>
      </c>
      <c r="F1176" t="s">
        <v>3288</v>
      </c>
      <c r="G1176">
        <v>1</v>
      </c>
    </row>
    <row r="1177" spans="1:7" hidden="1" x14ac:dyDescent="0.25">
      <c r="A1177" s="28" t="s">
        <v>3180</v>
      </c>
      <c r="B1177" s="29">
        <v>55424.27</v>
      </c>
      <c r="F1177" t="s">
        <v>3180</v>
      </c>
      <c r="G1177">
        <v>1</v>
      </c>
    </row>
    <row r="1178" spans="1:7" hidden="1" x14ac:dyDescent="0.25">
      <c r="A1178" s="28" t="s">
        <v>4216</v>
      </c>
      <c r="B1178" s="29">
        <v>55424.27</v>
      </c>
      <c r="F1178" t="s">
        <v>4216</v>
      </c>
      <c r="G1178">
        <v>1</v>
      </c>
    </row>
    <row r="1179" spans="1:7" hidden="1" x14ac:dyDescent="0.25">
      <c r="A1179" s="28" t="s">
        <v>3571</v>
      </c>
      <c r="B1179" s="29">
        <v>55424.27</v>
      </c>
      <c r="F1179" t="s">
        <v>3571</v>
      </c>
      <c r="G1179">
        <v>1</v>
      </c>
    </row>
    <row r="1180" spans="1:7" hidden="1" x14ac:dyDescent="0.25">
      <c r="A1180" s="28" t="s">
        <v>3514</v>
      </c>
      <c r="B1180" s="29">
        <v>55424.27</v>
      </c>
      <c r="F1180" t="s">
        <v>3514</v>
      </c>
      <c r="G1180">
        <v>1</v>
      </c>
    </row>
    <row r="1181" spans="1:7" hidden="1" x14ac:dyDescent="0.25">
      <c r="A1181" s="28" t="s">
        <v>4148</v>
      </c>
      <c r="B1181" s="29">
        <v>55424.27</v>
      </c>
      <c r="F1181" t="s">
        <v>4148</v>
      </c>
      <c r="G1181">
        <v>1</v>
      </c>
    </row>
    <row r="1182" spans="1:7" hidden="1" x14ac:dyDescent="0.25">
      <c r="A1182" s="28" t="s">
        <v>3882</v>
      </c>
      <c r="B1182" s="29">
        <v>55424.27</v>
      </c>
      <c r="F1182" t="s">
        <v>3882</v>
      </c>
      <c r="G1182">
        <v>1</v>
      </c>
    </row>
    <row r="1183" spans="1:7" hidden="1" x14ac:dyDescent="0.25">
      <c r="A1183" s="28" t="s">
        <v>3684</v>
      </c>
      <c r="B1183" s="29">
        <v>55424.27</v>
      </c>
      <c r="F1183" t="s">
        <v>3684</v>
      </c>
      <c r="G1183">
        <v>1</v>
      </c>
    </row>
    <row r="1184" spans="1:7" hidden="1" x14ac:dyDescent="0.25">
      <c r="A1184" s="28" t="s">
        <v>4048</v>
      </c>
      <c r="B1184" s="29">
        <v>55424.27</v>
      </c>
      <c r="F1184" t="s">
        <v>4048</v>
      </c>
      <c r="G1184">
        <v>1</v>
      </c>
    </row>
    <row r="1185" spans="1:7" hidden="1" x14ac:dyDescent="0.25">
      <c r="A1185" s="28" t="s">
        <v>3408</v>
      </c>
      <c r="B1185" s="29">
        <v>55424.27</v>
      </c>
      <c r="F1185" t="s">
        <v>3408</v>
      </c>
      <c r="G1185">
        <v>1</v>
      </c>
    </row>
    <row r="1186" spans="1:7" x14ac:dyDescent="0.25">
      <c r="A1186" s="28" t="s">
        <v>1001</v>
      </c>
      <c r="B1186" s="29">
        <v>56316.600749999998</v>
      </c>
      <c r="F1186" t="s">
        <v>1001</v>
      </c>
      <c r="G1186">
        <v>2</v>
      </c>
    </row>
    <row r="1187" spans="1:7" hidden="1" x14ac:dyDescent="0.25">
      <c r="A1187" s="28" t="s">
        <v>3589</v>
      </c>
      <c r="B1187" s="29">
        <v>55424.27</v>
      </c>
      <c r="F1187" t="s">
        <v>3589</v>
      </c>
      <c r="G1187">
        <v>1</v>
      </c>
    </row>
    <row r="1188" spans="1:7" hidden="1" x14ac:dyDescent="0.25">
      <c r="A1188" s="28" t="s">
        <v>4447</v>
      </c>
      <c r="B1188" s="29">
        <v>73952.27</v>
      </c>
      <c r="F1188" t="s">
        <v>4447</v>
      </c>
      <c r="G1188">
        <v>1</v>
      </c>
    </row>
    <row r="1189" spans="1:7" hidden="1" x14ac:dyDescent="0.25">
      <c r="A1189" s="28" t="s">
        <v>3785</v>
      </c>
      <c r="B1189" s="29">
        <v>55424.27</v>
      </c>
      <c r="F1189" t="s">
        <v>3785</v>
      </c>
      <c r="G1189">
        <v>1</v>
      </c>
    </row>
    <row r="1190" spans="1:7" hidden="1" x14ac:dyDescent="0.25">
      <c r="A1190" s="28" t="s">
        <v>3880</v>
      </c>
      <c r="B1190" s="29">
        <v>55424.27</v>
      </c>
      <c r="F1190" t="s">
        <v>3880</v>
      </c>
      <c r="G1190">
        <v>1</v>
      </c>
    </row>
    <row r="1191" spans="1:7" x14ac:dyDescent="0.25">
      <c r="A1191" s="28" t="s">
        <v>999</v>
      </c>
      <c r="B1191" s="29">
        <v>56316.600749999998</v>
      </c>
      <c r="F1191" t="s">
        <v>999</v>
      </c>
      <c r="G1191">
        <v>2</v>
      </c>
    </row>
    <row r="1192" spans="1:7" hidden="1" x14ac:dyDescent="0.25">
      <c r="A1192" s="28" t="s">
        <v>4209</v>
      </c>
      <c r="B1192" s="29">
        <v>55424.27</v>
      </c>
      <c r="F1192" t="s">
        <v>4209</v>
      </c>
      <c r="G1192">
        <v>1</v>
      </c>
    </row>
    <row r="1193" spans="1:7" hidden="1" x14ac:dyDescent="0.25">
      <c r="A1193" s="28" t="s">
        <v>2938</v>
      </c>
      <c r="B1193" s="29">
        <v>55424.27</v>
      </c>
      <c r="F1193" t="s">
        <v>2938</v>
      </c>
      <c r="G1193">
        <v>1</v>
      </c>
    </row>
    <row r="1194" spans="1:7" hidden="1" x14ac:dyDescent="0.25">
      <c r="A1194" s="28" t="s">
        <v>2589</v>
      </c>
      <c r="B1194" s="29">
        <v>55424.27</v>
      </c>
      <c r="F1194" t="s">
        <v>2589</v>
      </c>
      <c r="G1194">
        <v>1</v>
      </c>
    </row>
    <row r="1195" spans="1:7" hidden="1" x14ac:dyDescent="0.25">
      <c r="A1195" s="28" t="s">
        <v>3067</v>
      </c>
      <c r="B1195" s="29">
        <v>55424.27</v>
      </c>
      <c r="F1195" t="s">
        <v>3067</v>
      </c>
      <c r="G1195">
        <v>1</v>
      </c>
    </row>
    <row r="1196" spans="1:7" hidden="1" x14ac:dyDescent="0.25">
      <c r="A1196" s="28" t="s">
        <v>2598</v>
      </c>
      <c r="B1196" s="29">
        <v>55424.27</v>
      </c>
      <c r="F1196" t="s">
        <v>2598</v>
      </c>
      <c r="G1196">
        <v>1</v>
      </c>
    </row>
    <row r="1197" spans="1:7" x14ac:dyDescent="0.25">
      <c r="A1197" s="28" t="s">
        <v>475</v>
      </c>
      <c r="B1197" s="29">
        <v>56316.600749999998</v>
      </c>
      <c r="F1197" t="s">
        <v>475</v>
      </c>
      <c r="G1197">
        <v>2</v>
      </c>
    </row>
    <row r="1198" spans="1:7" hidden="1" x14ac:dyDescent="0.25">
      <c r="A1198" s="28" t="s">
        <v>4178</v>
      </c>
      <c r="B1198" s="29">
        <v>55424.27</v>
      </c>
      <c r="F1198" t="s">
        <v>4178</v>
      </c>
      <c r="G1198">
        <v>1</v>
      </c>
    </row>
    <row r="1199" spans="1:7" x14ac:dyDescent="0.25">
      <c r="A1199" s="28" t="s">
        <v>1358</v>
      </c>
      <c r="B1199" s="29">
        <v>56316.600749999998</v>
      </c>
      <c r="F1199" t="s">
        <v>1358</v>
      </c>
      <c r="G1199">
        <v>2</v>
      </c>
    </row>
    <row r="1200" spans="1:7" x14ac:dyDescent="0.25">
      <c r="A1200" s="28" t="s">
        <v>685</v>
      </c>
      <c r="B1200" s="29">
        <v>56316.600749999998</v>
      </c>
      <c r="F1200" t="s">
        <v>685</v>
      </c>
      <c r="G1200">
        <v>2</v>
      </c>
    </row>
    <row r="1201" spans="1:7" x14ac:dyDescent="0.25">
      <c r="A1201" s="28" t="s">
        <v>1066</v>
      </c>
      <c r="B1201" s="29">
        <v>56316.600749999998</v>
      </c>
      <c r="F1201" t="s">
        <v>1066</v>
      </c>
      <c r="G1201">
        <v>2</v>
      </c>
    </row>
    <row r="1202" spans="1:7" x14ac:dyDescent="0.25">
      <c r="A1202" s="28" t="s">
        <v>1016</v>
      </c>
      <c r="B1202" s="29">
        <v>56316.600749999998</v>
      </c>
      <c r="F1202" t="s">
        <v>1016</v>
      </c>
      <c r="G1202">
        <v>2</v>
      </c>
    </row>
    <row r="1203" spans="1:7" hidden="1" x14ac:dyDescent="0.25">
      <c r="A1203" s="28" t="s">
        <v>3980</v>
      </c>
      <c r="B1203" s="29">
        <v>55424.27</v>
      </c>
      <c r="F1203" t="s">
        <v>3980</v>
      </c>
      <c r="G1203">
        <v>1</v>
      </c>
    </row>
    <row r="1204" spans="1:7" hidden="1" x14ac:dyDescent="0.25">
      <c r="A1204" s="28" t="s">
        <v>3292</v>
      </c>
      <c r="B1204" s="29">
        <v>55424.27</v>
      </c>
      <c r="F1204" t="s">
        <v>3292</v>
      </c>
      <c r="G1204">
        <v>1</v>
      </c>
    </row>
    <row r="1205" spans="1:7" hidden="1" x14ac:dyDescent="0.25">
      <c r="A1205" s="28" t="s">
        <v>4140</v>
      </c>
      <c r="B1205" s="29">
        <v>55424.27</v>
      </c>
      <c r="F1205" t="s">
        <v>4140</v>
      </c>
      <c r="G1205">
        <v>1</v>
      </c>
    </row>
    <row r="1206" spans="1:7" x14ac:dyDescent="0.25">
      <c r="A1206" s="28" t="s">
        <v>192</v>
      </c>
      <c r="B1206" s="29">
        <v>56316.600749999998</v>
      </c>
      <c r="F1206" t="s">
        <v>192</v>
      </c>
      <c r="G1206">
        <v>2</v>
      </c>
    </row>
    <row r="1207" spans="1:7" hidden="1" x14ac:dyDescent="0.25">
      <c r="A1207" s="28" t="s">
        <v>3285</v>
      </c>
      <c r="B1207" s="29">
        <v>55424.27</v>
      </c>
      <c r="F1207" t="s">
        <v>3285</v>
      </c>
      <c r="G1207">
        <v>1</v>
      </c>
    </row>
    <row r="1208" spans="1:7" hidden="1" x14ac:dyDescent="0.25">
      <c r="A1208" s="28" t="s">
        <v>3829</v>
      </c>
      <c r="B1208" s="29">
        <v>73952.27</v>
      </c>
      <c r="F1208" t="s">
        <v>3829</v>
      </c>
      <c r="G1208">
        <v>1</v>
      </c>
    </row>
    <row r="1209" spans="1:7" hidden="1" x14ac:dyDescent="0.25">
      <c r="A1209" s="28" t="s">
        <v>3488</v>
      </c>
      <c r="B1209" s="29">
        <v>55424.27</v>
      </c>
      <c r="F1209" t="s">
        <v>3488</v>
      </c>
      <c r="G1209">
        <v>1</v>
      </c>
    </row>
    <row r="1210" spans="1:7" hidden="1" x14ac:dyDescent="0.25">
      <c r="A1210" s="28" t="s">
        <v>4460</v>
      </c>
      <c r="B1210" s="29">
        <v>55424.27</v>
      </c>
      <c r="F1210" t="s">
        <v>4460</v>
      </c>
      <c r="G1210">
        <v>1</v>
      </c>
    </row>
    <row r="1211" spans="1:7" hidden="1" x14ac:dyDescent="0.25">
      <c r="A1211" s="28" t="s">
        <v>3439</v>
      </c>
      <c r="B1211" s="29">
        <v>55424.27</v>
      </c>
      <c r="F1211" t="s">
        <v>3439</v>
      </c>
      <c r="G1211">
        <v>1</v>
      </c>
    </row>
    <row r="1212" spans="1:7" hidden="1" x14ac:dyDescent="0.25">
      <c r="A1212" s="28" t="s">
        <v>3608</v>
      </c>
      <c r="B1212" s="29">
        <v>55424.27</v>
      </c>
      <c r="F1212" t="s">
        <v>3608</v>
      </c>
      <c r="G1212">
        <v>1</v>
      </c>
    </row>
    <row r="1213" spans="1:7" hidden="1" x14ac:dyDescent="0.25">
      <c r="A1213" s="28" t="s">
        <v>3248</v>
      </c>
      <c r="B1213" s="29">
        <v>55424.27</v>
      </c>
      <c r="F1213" t="s">
        <v>3248</v>
      </c>
      <c r="G1213">
        <v>1</v>
      </c>
    </row>
    <row r="1214" spans="1:7" x14ac:dyDescent="0.25">
      <c r="A1214" s="28" t="s">
        <v>500</v>
      </c>
      <c r="B1214" s="29">
        <v>56316.600749999998</v>
      </c>
      <c r="F1214" t="s">
        <v>500</v>
      </c>
      <c r="G1214">
        <v>2</v>
      </c>
    </row>
    <row r="1215" spans="1:7" hidden="1" x14ac:dyDescent="0.25">
      <c r="A1215" s="28" t="s">
        <v>3320</v>
      </c>
      <c r="B1215" s="29">
        <v>55424.27</v>
      </c>
      <c r="F1215" t="s">
        <v>3320</v>
      </c>
      <c r="G1215">
        <v>1</v>
      </c>
    </row>
    <row r="1216" spans="1:7" x14ac:dyDescent="0.25">
      <c r="A1216" s="28" t="s">
        <v>1557</v>
      </c>
      <c r="B1216" s="29">
        <v>56316.600749999998</v>
      </c>
      <c r="F1216" t="s">
        <v>1557</v>
      </c>
      <c r="G1216">
        <v>2</v>
      </c>
    </row>
    <row r="1217" spans="1:7" x14ac:dyDescent="0.25">
      <c r="A1217" s="28" t="s">
        <v>1217</v>
      </c>
      <c r="B1217" s="29">
        <v>56316.600749999998</v>
      </c>
      <c r="F1217" t="s">
        <v>1217</v>
      </c>
      <c r="G1217">
        <v>2</v>
      </c>
    </row>
    <row r="1218" spans="1:7" hidden="1" x14ac:dyDescent="0.25">
      <c r="A1218" s="28" t="s">
        <v>2945</v>
      </c>
      <c r="B1218" s="29">
        <v>55424.27</v>
      </c>
      <c r="F1218" t="s">
        <v>2945</v>
      </c>
      <c r="G1218">
        <v>1</v>
      </c>
    </row>
    <row r="1219" spans="1:7" hidden="1" x14ac:dyDescent="0.25">
      <c r="A1219" s="28" t="s">
        <v>3085</v>
      </c>
      <c r="B1219" s="29">
        <v>55424.27</v>
      </c>
      <c r="F1219" t="s">
        <v>3085</v>
      </c>
      <c r="G1219">
        <v>1</v>
      </c>
    </row>
    <row r="1220" spans="1:7" hidden="1" x14ac:dyDescent="0.25">
      <c r="A1220" s="28" t="s">
        <v>3531</v>
      </c>
      <c r="B1220" s="29">
        <v>55424.27</v>
      </c>
      <c r="F1220" t="s">
        <v>3531</v>
      </c>
      <c r="G1220">
        <v>1</v>
      </c>
    </row>
    <row r="1221" spans="1:7" hidden="1" x14ac:dyDescent="0.25">
      <c r="A1221" s="28" t="s">
        <v>4653</v>
      </c>
      <c r="B1221" s="29">
        <v>55424.27</v>
      </c>
      <c r="F1221" t="s">
        <v>4653</v>
      </c>
      <c r="G1221">
        <v>1</v>
      </c>
    </row>
    <row r="1222" spans="1:7" hidden="1" x14ac:dyDescent="0.25">
      <c r="A1222" s="28" t="s">
        <v>3987</v>
      </c>
      <c r="B1222" s="29">
        <v>55424.27</v>
      </c>
      <c r="F1222" t="s">
        <v>3987</v>
      </c>
      <c r="G1222">
        <v>1</v>
      </c>
    </row>
    <row r="1223" spans="1:7" hidden="1" x14ac:dyDescent="0.25">
      <c r="A1223" s="28" t="s">
        <v>2970</v>
      </c>
      <c r="B1223" s="29">
        <v>55424.27</v>
      </c>
      <c r="F1223" t="s">
        <v>2970</v>
      </c>
      <c r="G1223">
        <v>1</v>
      </c>
    </row>
    <row r="1224" spans="1:7" hidden="1" x14ac:dyDescent="0.25">
      <c r="A1224" s="28" t="s">
        <v>4320</v>
      </c>
      <c r="B1224" s="29">
        <v>55424.27</v>
      </c>
      <c r="F1224" t="s">
        <v>4320</v>
      </c>
      <c r="G1224">
        <v>1</v>
      </c>
    </row>
    <row r="1225" spans="1:7" x14ac:dyDescent="0.25">
      <c r="A1225" s="28" t="s">
        <v>1087</v>
      </c>
      <c r="B1225" s="29">
        <v>56316.600749999998</v>
      </c>
      <c r="F1225" t="s">
        <v>1087</v>
      </c>
      <c r="G1225">
        <v>2</v>
      </c>
    </row>
    <row r="1226" spans="1:7" hidden="1" x14ac:dyDescent="0.25">
      <c r="A1226" s="28" t="s">
        <v>4035</v>
      </c>
      <c r="B1226" s="29">
        <v>55424.27</v>
      </c>
      <c r="F1226" t="s">
        <v>4035</v>
      </c>
      <c r="G1226">
        <v>1</v>
      </c>
    </row>
    <row r="1227" spans="1:7" hidden="1" x14ac:dyDescent="0.25">
      <c r="A1227" s="28" t="s">
        <v>4107</v>
      </c>
      <c r="B1227" s="29">
        <v>55424.27</v>
      </c>
      <c r="F1227" t="s">
        <v>4107</v>
      </c>
      <c r="G1227">
        <v>1</v>
      </c>
    </row>
    <row r="1228" spans="1:7" x14ac:dyDescent="0.25">
      <c r="A1228" s="28" t="s">
        <v>1166</v>
      </c>
      <c r="B1228" s="29">
        <v>56316.600749999998</v>
      </c>
      <c r="F1228" t="s">
        <v>1166</v>
      </c>
      <c r="G1228">
        <v>2</v>
      </c>
    </row>
    <row r="1229" spans="1:7" hidden="1" x14ac:dyDescent="0.25">
      <c r="A1229" s="28" t="s">
        <v>4659</v>
      </c>
      <c r="B1229" s="29">
        <v>73952.27</v>
      </c>
      <c r="F1229" t="s">
        <v>4659</v>
      </c>
      <c r="G1229">
        <v>1</v>
      </c>
    </row>
    <row r="1230" spans="1:7" hidden="1" x14ac:dyDescent="0.25">
      <c r="A1230" s="28" t="s">
        <v>3243</v>
      </c>
      <c r="B1230" s="29">
        <v>55424.27</v>
      </c>
      <c r="F1230" t="s">
        <v>3243</v>
      </c>
      <c r="G1230">
        <v>1</v>
      </c>
    </row>
    <row r="1231" spans="1:7" hidden="1" x14ac:dyDescent="0.25">
      <c r="A1231" s="28" t="s">
        <v>4907</v>
      </c>
      <c r="B1231" s="29">
        <v>44894.77</v>
      </c>
      <c r="F1231" t="s">
        <v>4907</v>
      </c>
      <c r="G1231">
        <v>1</v>
      </c>
    </row>
    <row r="1232" spans="1:7" hidden="1" x14ac:dyDescent="0.25">
      <c r="A1232" s="28" t="s">
        <v>5047</v>
      </c>
      <c r="B1232" s="29">
        <v>44894.77</v>
      </c>
      <c r="F1232" t="s">
        <v>5047</v>
      </c>
      <c r="G1232">
        <v>1</v>
      </c>
    </row>
    <row r="1233" spans="1:7" hidden="1" x14ac:dyDescent="0.25">
      <c r="A1233" s="28" t="s">
        <v>2892</v>
      </c>
      <c r="B1233" s="29">
        <v>44894.77</v>
      </c>
      <c r="F1233" t="s">
        <v>2892</v>
      </c>
      <c r="G1233">
        <v>1</v>
      </c>
    </row>
    <row r="1234" spans="1:7" hidden="1" x14ac:dyDescent="0.25">
      <c r="A1234" s="28" t="s">
        <v>5087</v>
      </c>
      <c r="B1234" s="29">
        <v>44894.77</v>
      </c>
      <c r="F1234" t="s">
        <v>5087</v>
      </c>
      <c r="G1234">
        <v>1</v>
      </c>
    </row>
    <row r="1235" spans="1:7" hidden="1" x14ac:dyDescent="0.25">
      <c r="A1235" s="28" t="s">
        <v>2715</v>
      </c>
      <c r="B1235" s="29">
        <v>44894.77</v>
      </c>
      <c r="F1235" t="s">
        <v>2715</v>
      </c>
      <c r="G1235">
        <v>1</v>
      </c>
    </row>
    <row r="1236" spans="1:7" hidden="1" x14ac:dyDescent="0.25">
      <c r="A1236" s="28" t="s">
        <v>4986</v>
      </c>
      <c r="B1236" s="29">
        <v>44894.77</v>
      </c>
      <c r="F1236" t="s">
        <v>4986</v>
      </c>
      <c r="G1236">
        <v>1</v>
      </c>
    </row>
    <row r="1237" spans="1:7" hidden="1" x14ac:dyDescent="0.25">
      <c r="A1237" s="28" t="s">
        <v>3657</v>
      </c>
      <c r="B1237" s="29">
        <v>73952.27</v>
      </c>
      <c r="F1237" t="s">
        <v>3657</v>
      </c>
      <c r="G1237">
        <v>1</v>
      </c>
    </row>
    <row r="1238" spans="1:7" hidden="1" x14ac:dyDescent="0.25">
      <c r="A1238" s="28" t="s">
        <v>4981</v>
      </c>
      <c r="B1238" s="29">
        <v>44894.77</v>
      </c>
      <c r="F1238" t="s">
        <v>4981</v>
      </c>
      <c r="G1238">
        <v>1</v>
      </c>
    </row>
    <row r="1239" spans="1:7" hidden="1" x14ac:dyDescent="0.25">
      <c r="A1239" s="28" t="s">
        <v>5052</v>
      </c>
      <c r="B1239" s="29">
        <v>44894.77</v>
      </c>
      <c r="F1239" t="s">
        <v>5052</v>
      </c>
      <c r="G1239">
        <v>1</v>
      </c>
    </row>
    <row r="1240" spans="1:7" hidden="1" x14ac:dyDescent="0.25">
      <c r="A1240" s="28" t="s">
        <v>5044</v>
      </c>
      <c r="B1240" s="29">
        <v>44894.77</v>
      </c>
      <c r="F1240" t="s">
        <v>5044</v>
      </c>
      <c r="G1240">
        <v>1</v>
      </c>
    </row>
    <row r="1241" spans="1:7" hidden="1" x14ac:dyDescent="0.25">
      <c r="A1241" s="28" t="s">
        <v>2478</v>
      </c>
      <c r="B1241" s="29">
        <v>44894.77</v>
      </c>
      <c r="F1241" t="s">
        <v>2478</v>
      </c>
      <c r="G1241">
        <v>1</v>
      </c>
    </row>
    <row r="1242" spans="1:7" hidden="1" x14ac:dyDescent="0.25">
      <c r="A1242" s="28" t="s">
        <v>3042</v>
      </c>
      <c r="B1242" s="29">
        <v>44894.77</v>
      </c>
      <c r="F1242" t="s">
        <v>3042</v>
      </c>
      <c r="G1242">
        <v>1</v>
      </c>
    </row>
    <row r="1243" spans="1:7" hidden="1" x14ac:dyDescent="0.25">
      <c r="A1243" s="28" t="s">
        <v>2523</v>
      </c>
      <c r="B1243" s="29">
        <v>44894.77</v>
      </c>
      <c r="F1243" t="s">
        <v>2523</v>
      </c>
      <c r="G1243">
        <v>1</v>
      </c>
    </row>
    <row r="1244" spans="1:7" hidden="1" x14ac:dyDescent="0.25">
      <c r="A1244" s="28" t="s">
        <v>2918</v>
      </c>
      <c r="B1244" s="29">
        <v>44894.77</v>
      </c>
      <c r="F1244" t="s">
        <v>2918</v>
      </c>
      <c r="G1244">
        <v>1</v>
      </c>
    </row>
    <row r="1245" spans="1:7" hidden="1" x14ac:dyDescent="0.25">
      <c r="A1245" s="28" t="s">
        <v>3053</v>
      </c>
      <c r="B1245" s="29">
        <v>44894.77</v>
      </c>
      <c r="F1245" t="s">
        <v>3053</v>
      </c>
      <c r="G1245">
        <v>1</v>
      </c>
    </row>
    <row r="1246" spans="1:7" hidden="1" x14ac:dyDescent="0.25">
      <c r="A1246" s="28" t="s">
        <v>4327</v>
      </c>
      <c r="B1246" s="29">
        <v>44894.77</v>
      </c>
      <c r="F1246" t="s">
        <v>4327</v>
      </c>
      <c r="G1246">
        <v>1</v>
      </c>
    </row>
    <row r="1247" spans="1:7" hidden="1" x14ac:dyDescent="0.25">
      <c r="A1247" s="28" t="s">
        <v>3041</v>
      </c>
      <c r="B1247" s="29">
        <v>44894.77</v>
      </c>
      <c r="F1247" t="s">
        <v>3041</v>
      </c>
      <c r="G1247">
        <v>1</v>
      </c>
    </row>
    <row r="1248" spans="1:7" hidden="1" x14ac:dyDescent="0.25">
      <c r="A1248" s="28" t="s">
        <v>4244</v>
      </c>
      <c r="B1248" s="29">
        <v>44894.77</v>
      </c>
      <c r="F1248" t="s">
        <v>4244</v>
      </c>
      <c r="G1248">
        <v>1</v>
      </c>
    </row>
    <row r="1249" spans="1:7" hidden="1" x14ac:dyDescent="0.25">
      <c r="A1249" s="28" t="s">
        <v>2664</v>
      </c>
      <c r="B1249" s="29">
        <v>44894.77</v>
      </c>
      <c r="F1249" t="s">
        <v>2664</v>
      </c>
      <c r="G1249">
        <v>1</v>
      </c>
    </row>
    <row r="1250" spans="1:7" hidden="1" x14ac:dyDescent="0.25">
      <c r="A1250" s="28" t="s">
        <v>2931</v>
      </c>
      <c r="B1250" s="29">
        <v>44894.77</v>
      </c>
      <c r="F1250" t="s">
        <v>2931</v>
      </c>
      <c r="G1250">
        <v>1</v>
      </c>
    </row>
    <row r="1251" spans="1:7" hidden="1" x14ac:dyDescent="0.25">
      <c r="A1251" s="28" t="s">
        <v>4705</v>
      </c>
      <c r="B1251" s="29">
        <v>44894.77</v>
      </c>
      <c r="F1251" t="s">
        <v>4705</v>
      </c>
      <c r="G1251">
        <v>1</v>
      </c>
    </row>
    <row r="1252" spans="1:7" hidden="1" x14ac:dyDescent="0.25">
      <c r="A1252" s="28" t="s">
        <v>2888</v>
      </c>
      <c r="B1252" s="29">
        <v>44894.77</v>
      </c>
      <c r="F1252" t="s">
        <v>2888</v>
      </c>
      <c r="G1252">
        <v>1</v>
      </c>
    </row>
    <row r="1253" spans="1:7" hidden="1" x14ac:dyDescent="0.25">
      <c r="A1253" s="28" t="s">
        <v>3436</v>
      </c>
      <c r="B1253" s="29">
        <v>44894.77</v>
      </c>
      <c r="F1253" t="s">
        <v>3436</v>
      </c>
      <c r="G1253">
        <v>1</v>
      </c>
    </row>
    <row r="1254" spans="1:7" hidden="1" x14ac:dyDescent="0.25">
      <c r="A1254" s="28" t="s">
        <v>2958</v>
      </c>
      <c r="B1254" s="29">
        <v>44894.77</v>
      </c>
      <c r="F1254" t="s">
        <v>2958</v>
      </c>
      <c r="G1254">
        <v>1</v>
      </c>
    </row>
    <row r="1255" spans="1:7" hidden="1" x14ac:dyDescent="0.25">
      <c r="A1255" s="28" t="s">
        <v>3563</v>
      </c>
      <c r="B1255" s="29">
        <v>44894.77</v>
      </c>
      <c r="F1255" t="s">
        <v>3563</v>
      </c>
      <c r="G1255">
        <v>1</v>
      </c>
    </row>
    <row r="1256" spans="1:7" hidden="1" x14ac:dyDescent="0.25">
      <c r="A1256" s="28" t="s">
        <v>2670</v>
      </c>
      <c r="B1256" s="29">
        <v>44894.77</v>
      </c>
      <c r="F1256" t="s">
        <v>2670</v>
      </c>
      <c r="G1256">
        <v>1</v>
      </c>
    </row>
    <row r="1257" spans="1:7" hidden="1" x14ac:dyDescent="0.25">
      <c r="A1257" s="28" t="s">
        <v>2103</v>
      </c>
      <c r="B1257" s="29">
        <v>44894.77</v>
      </c>
      <c r="F1257" t="s">
        <v>2103</v>
      </c>
      <c r="G1257">
        <v>1</v>
      </c>
    </row>
    <row r="1258" spans="1:7" hidden="1" x14ac:dyDescent="0.25">
      <c r="A1258" s="28" t="s">
        <v>2956</v>
      </c>
      <c r="B1258" s="29">
        <v>44894.77</v>
      </c>
      <c r="F1258" t="s">
        <v>2956</v>
      </c>
      <c r="G1258">
        <v>1</v>
      </c>
    </row>
    <row r="1259" spans="1:7" hidden="1" x14ac:dyDescent="0.25">
      <c r="A1259" s="28" t="s">
        <v>4698</v>
      </c>
      <c r="B1259" s="29">
        <v>44894.77</v>
      </c>
      <c r="F1259" t="s">
        <v>4698</v>
      </c>
      <c r="G1259">
        <v>1</v>
      </c>
    </row>
    <row r="1260" spans="1:7" hidden="1" x14ac:dyDescent="0.25">
      <c r="A1260" s="28" t="s">
        <v>4745</v>
      </c>
      <c r="B1260" s="29">
        <v>44894.77</v>
      </c>
      <c r="F1260" t="s">
        <v>4745</v>
      </c>
      <c r="G1260">
        <v>1</v>
      </c>
    </row>
    <row r="1261" spans="1:7" hidden="1" x14ac:dyDescent="0.25">
      <c r="A1261" s="28" t="s">
        <v>3319</v>
      </c>
      <c r="B1261" s="29">
        <v>44894.77</v>
      </c>
      <c r="F1261" t="s">
        <v>3319</v>
      </c>
      <c r="G1261">
        <v>1</v>
      </c>
    </row>
    <row r="1262" spans="1:7" hidden="1" x14ac:dyDescent="0.25">
      <c r="A1262" s="28" t="s">
        <v>3030</v>
      </c>
      <c r="B1262" s="29">
        <v>44894.77</v>
      </c>
      <c r="F1262" t="s">
        <v>3030</v>
      </c>
      <c r="G1262">
        <v>1</v>
      </c>
    </row>
    <row r="1263" spans="1:7" hidden="1" x14ac:dyDescent="0.25">
      <c r="A1263" s="28" t="s">
        <v>4810</v>
      </c>
      <c r="B1263" s="29">
        <v>44894.77</v>
      </c>
      <c r="F1263" t="s">
        <v>4810</v>
      </c>
      <c r="G1263">
        <v>1</v>
      </c>
    </row>
    <row r="1264" spans="1:7" hidden="1" x14ac:dyDescent="0.25">
      <c r="A1264" s="28" t="s">
        <v>2817</v>
      </c>
      <c r="B1264" s="29">
        <v>44894.77</v>
      </c>
      <c r="F1264" t="s">
        <v>2817</v>
      </c>
      <c r="G1264">
        <v>1</v>
      </c>
    </row>
    <row r="1265" spans="1:7" hidden="1" x14ac:dyDescent="0.25">
      <c r="A1265" s="28" t="s">
        <v>4004</v>
      </c>
      <c r="B1265" s="29">
        <v>73952.27</v>
      </c>
      <c r="F1265" t="s">
        <v>4004</v>
      </c>
      <c r="G1265">
        <v>1</v>
      </c>
    </row>
    <row r="1266" spans="1:7" hidden="1" x14ac:dyDescent="0.25">
      <c r="A1266" s="28" t="s">
        <v>3155</v>
      </c>
      <c r="B1266" s="29">
        <v>44894.77</v>
      </c>
      <c r="F1266" t="s">
        <v>3155</v>
      </c>
      <c r="G1266">
        <v>1</v>
      </c>
    </row>
    <row r="1267" spans="1:7" hidden="1" x14ac:dyDescent="0.25">
      <c r="A1267" s="28" t="s">
        <v>3600</v>
      </c>
      <c r="B1267" s="29">
        <v>44894.77</v>
      </c>
      <c r="F1267" t="s">
        <v>3600</v>
      </c>
      <c r="G1267">
        <v>1</v>
      </c>
    </row>
    <row r="1268" spans="1:7" hidden="1" x14ac:dyDescent="0.25">
      <c r="A1268" s="28" t="s">
        <v>4838</v>
      </c>
      <c r="B1268" s="29">
        <v>44894.77</v>
      </c>
      <c r="F1268" t="s">
        <v>4838</v>
      </c>
      <c r="G1268">
        <v>1</v>
      </c>
    </row>
    <row r="1269" spans="1:7" hidden="1" x14ac:dyDescent="0.25">
      <c r="A1269" s="28" t="s">
        <v>4960</v>
      </c>
      <c r="B1269" s="29">
        <v>44894.77</v>
      </c>
      <c r="F1269" t="s">
        <v>4960</v>
      </c>
      <c r="G1269">
        <v>1</v>
      </c>
    </row>
    <row r="1270" spans="1:7" hidden="1" x14ac:dyDescent="0.25">
      <c r="A1270" s="28" t="s">
        <v>5057</v>
      </c>
      <c r="B1270" s="29">
        <v>38812.959999999999</v>
      </c>
      <c r="F1270" t="s">
        <v>5057</v>
      </c>
      <c r="G1270">
        <v>1</v>
      </c>
    </row>
    <row r="1271" spans="1:7" hidden="1" x14ac:dyDescent="0.25">
      <c r="A1271" s="28" t="s">
        <v>5085</v>
      </c>
      <c r="B1271" s="29">
        <v>38812.959999999999</v>
      </c>
      <c r="F1271" t="s">
        <v>5085</v>
      </c>
      <c r="G1271">
        <v>1</v>
      </c>
    </row>
    <row r="1272" spans="1:7" hidden="1" x14ac:dyDescent="0.25">
      <c r="A1272" s="28" t="s">
        <v>5025</v>
      </c>
      <c r="B1272" s="29">
        <v>44894.77</v>
      </c>
      <c r="F1272" t="s">
        <v>5025</v>
      </c>
      <c r="G1272">
        <v>1</v>
      </c>
    </row>
    <row r="1273" spans="1:7" hidden="1" x14ac:dyDescent="0.25">
      <c r="A1273" s="28" t="s">
        <v>5080</v>
      </c>
      <c r="B1273" s="29">
        <v>73952.27</v>
      </c>
      <c r="F1273" t="s">
        <v>5080</v>
      </c>
      <c r="G1273">
        <v>1</v>
      </c>
    </row>
    <row r="1274" spans="1:7" hidden="1" x14ac:dyDescent="0.25">
      <c r="A1274" s="28" t="s">
        <v>4911</v>
      </c>
      <c r="B1274" s="29">
        <v>73952.27</v>
      </c>
      <c r="F1274" t="s">
        <v>4911</v>
      </c>
      <c r="G1274">
        <v>1</v>
      </c>
    </row>
    <row r="1275" spans="1:7" hidden="1" x14ac:dyDescent="0.25">
      <c r="A1275" s="28" t="s">
        <v>4539</v>
      </c>
      <c r="B1275" s="29">
        <v>73952.27</v>
      </c>
      <c r="F1275" t="s">
        <v>4539</v>
      </c>
      <c r="G1275">
        <v>1</v>
      </c>
    </row>
    <row r="1276" spans="1:7" hidden="1" x14ac:dyDescent="0.25">
      <c r="A1276" s="28" t="s">
        <v>4993</v>
      </c>
      <c r="B1276" s="29">
        <v>73952.27</v>
      </c>
      <c r="F1276" t="s">
        <v>4993</v>
      </c>
      <c r="G1276">
        <v>1</v>
      </c>
    </row>
    <row r="1277" spans="1:7" hidden="1" x14ac:dyDescent="0.25">
      <c r="A1277" s="28" t="s">
        <v>5000</v>
      </c>
      <c r="B1277" s="29">
        <v>73952.27</v>
      </c>
      <c r="F1277" t="s">
        <v>5000</v>
      </c>
      <c r="G1277">
        <v>1</v>
      </c>
    </row>
    <row r="1278" spans="1:7" hidden="1" x14ac:dyDescent="0.25">
      <c r="A1278" s="28" t="s">
        <v>4534</v>
      </c>
      <c r="B1278" s="29">
        <v>73952.27</v>
      </c>
      <c r="F1278" t="s">
        <v>4534</v>
      </c>
      <c r="G1278">
        <v>1</v>
      </c>
    </row>
    <row r="1279" spans="1:7" hidden="1" x14ac:dyDescent="0.25">
      <c r="A1279" s="28" t="s">
        <v>3145</v>
      </c>
      <c r="B1279" s="29">
        <v>73952.27</v>
      </c>
      <c r="F1279" t="s">
        <v>3145</v>
      </c>
      <c r="G1279">
        <v>1</v>
      </c>
    </row>
    <row r="1280" spans="1:7" hidden="1" x14ac:dyDescent="0.25">
      <c r="A1280" s="28" t="s">
        <v>4454</v>
      </c>
      <c r="B1280" s="29">
        <v>73952.27</v>
      </c>
      <c r="F1280" t="s">
        <v>4454</v>
      </c>
      <c r="G1280">
        <v>1</v>
      </c>
    </row>
    <row r="1281" spans="1:7" hidden="1" x14ac:dyDescent="0.25">
      <c r="A1281" s="28" t="s">
        <v>2969</v>
      </c>
      <c r="B1281" s="29">
        <v>73952.27</v>
      </c>
      <c r="F1281" t="s">
        <v>2969</v>
      </c>
      <c r="G1281">
        <v>1</v>
      </c>
    </row>
    <row r="1282" spans="1:7" hidden="1" x14ac:dyDescent="0.25">
      <c r="A1282" s="28" t="s">
        <v>2878</v>
      </c>
      <c r="B1282" s="29">
        <v>73952.27</v>
      </c>
      <c r="F1282" t="s">
        <v>2878</v>
      </c>
      <c r="G1282">
        <v>1</v>
      </c>
    </row>
    <row r="1283" spans="1:7" hidden="1" x14ac:dyDescent="0.25">
      <c r="A1283" s="28" t="s">
        <v>4238</v>
      </c>
      <c r="B1283" s="29">
        <v>73952.27</v>
      </c>
      <c r="F1283" t="s">
        <v>4238</v>
      </c>
      <c r="G1283">
        <v>1</v>
      </c>
    </row>
    <row r="1284" spans="1:7" hidden="1" x14ac:dyDescent="0.25">
      <c r="A1284" s="28" t="s">
        <v>2458</v>
      </c>
      <c r="B1284" s="29">
        <v>73952.27</v>
      </c>
      <c r="F1284" t="s">
        <v>2458</v>
      </c>
      <c r="G1284">
        <v>1</v>
      </c>
    </row>
    <row r="1285" spans="1:7" x14ac:dyDescent="0.25">
      <c r="A1285" s="28" t="s">
        <v>1598</v>
      </c>
      <c r="B1285" s="29">
        <v>75142.90155000001</v>
      </c>
      <c r="F1285" t="s">
        <v>1598</v>
      </c>
      <c r="G1285">
        <v>2</v>
      </c>
    </row>
    <row r="1286" spans="1:7" hidden="1" x14ac:dyDescent="0.25">
      <c r="A1286" s="28" t="s">
        <v>4032</v>
      </c>
      <c r="B1286" s="29">
        <v>73952.27</v>
      </c>
      <c r="F1286" t="s">
        <v>4032</v>
      </c>
      <c r="G1286">
        <v>1</v>
      </c>
    </row>
    <row r="1287" spans="1:7" hidden="1" x14ac:dyDescent="0.25">
      <c r="A1287" s="28" t="s">
        <v>4607</v>
      </c>
      <c r="B1287" s="29">
        <v>73952.27</v>
      </c>
      <c r="F1287" t="s">
        <v>4607</v>
      </c>
      <c r="G1287">
        <v>1</v>
      </c>
    </row>
    <row r="1288" spans="1:7" hidden="1" x14ac:dyDescent="0.25">
      <c r="A1288" s="28" t="s">
        <v>3757</v>
      </c>
      <c r="B1288" s="29">
        <v>73952.27</v>
      </c>
      <c r="F1288" t="s">
        <v>3757</v>
      </c>
      <c r="G1288">
        <v>1</v>
      </c>
    </row>
    <row r="1289" spans="1:7" hidden="1" x14ac:dyDescent="0.25">
      <c r="A1289" s="28" t="s">
        <v>3902</v>
      </c>
      <c r="B1289" s="29">
        <v>73952.27</v>
      </c>
      <c r="F1289" t="s">
        <v>3902</v>
      </c>
      <c r="G1289">
        <v>1</v>
      </c>
    </row>
    <row r="1290" spans="1:7" hidden="1" x14ac:dyDescent="0.25">
      <c r="A1290" s="28" t="s">
        <v>3716</v>
      </c>
      <c r="B1290" s="29">
        <v>73952.27</v>
      </c>
      <c r="F1290" t="s">
        <v>3716</v>
      </c>
      <c r="G1290">
        <v>1</v>
      </c>
    </row>
    <row r="1291" spans="1:7" hidden="1" x14ac:dyDescent="0.25">
      <c r="A1291" s="28" t="s">
        <v>3521</v>
      </c>
      <c r="B1291" s="29">
        <v>73952.27</v>
      </c>
      <c r="F1291" t="s">
        <v>3521</v>
      </c>
      <c r="G1291">
        <v>1</v>
      </c>
    </row>
    <row r="1292" spans="1:7" hidden="1" x14ac:dyDescent="0.25">
      <c r="A1292" s="28" t="s">
        <v>4731</v>
      </c>
      <c r="B1292" s="29">
        <v>44894.77</v>
      </c>
      <c r="F1292" t="s">
        <v>4731</v>
      </c>
      <c r="G1292">
        <v>1</v>
      </c>
    </row>
    <row r="1293" spans="1:7" hidden="1" x14ac:dyDescent="0.25">
      <c r="A1293" s="28" t="s">
        <v>4842</v>
      </c>
      <c r="B1293" s="29">
        <v>44894.77</v>
      </c>
      <c r="F1293" t="s">
        <v>4842</v>
      </c>
      <c r="G1293">
        <v>1</v>
      </c>
    </row>
    <row r="1294" spans="1:7" hidden="1" x14ac:dyDescent="0.25">
      <c r="A1294" s="28" t="s">
        <v>4994</v>
      </c>
      <c r="B1294" s="29">
        <v>44894.77</v>
      </c>
      <c r="F1294" t="s">
        <v>4994</v>
      </c>
      <c r="G1294">
        <v>1</v>
      </c>
    </row>
    <row r="1295" spans="1:7" hidden="1" x14ac:dyDescent="0.25">
      <c r="A1295" s="28" t="s">
        <v>4869</v>
      </c>
      <c r="B1295" s="29">
        <v>44894.77</v>
      </c>
      <c r="F1295" t="s">
        <v>4869</v>
      </c>
      <c r="G1295">
        <v>1</v>
      </c>
    </row>
    <row r="1296" spans="1:7" hidden="1" x14ac:dyDescent="0.25">
      <c r="A1296" s="28" t="s">
        <v>4983</v>
      </c>
      <c r="B1296" s="29">
        <v>44894.77</v>
      </c>
      <c r="F1296" t="s">
        <v>4983</v>
      </c>
      <c r="G1296">
        <v>1</v>
      </c>
    </row>
    <row r="1297" spans="1:7" hidden="1" x14ac:dyDescent="0.25">
      <c r="A1297" s="28" t="s">
        <v>4625</v>
      </c>
      <c r="B1297" s="29">
        <v>44894.77</v>
      </c>
      <c r="F1297" t="s">
        <v>4625</v>
      </c>
      <c r="G1297">
        <v>1</v>
      </c>
    </row>
    <row r="1298" spans="1:7" hidden="1" x14ac:dyDescent="0.25">
      <c r="A1298" s="28" t="s">
        <v>4686</v>
      </c>
      <c r="B1298" s="29">
        <v>44894.77</v>
      </c>
      <c r="F1298" t="s">
        <v>4686</v>
      </c>
      <c r="G1298">
        <v>1</v>
      </c>
    </row>
    <row r="1299" spans="1:7" hidden="1" x14ac:dyDescent="0.25">
      <c r="A1299" s="28" t="s">
        <v>5011</v>
      </c>
      <c r="B1299" s="29">
        <v>44894.77</v>
      </c>
      <c r="F1299" t="s">
        <v>5011</v>
      </c>
      <c r="G1299">
        <v>1</v>
      </c>
    </row>
    <row r="1300" spans="1:7" hidden="1" x14ac:dyDescent="0.25">
      <c r="A1300" s="28" t="s">
        <v>4619</v>
      </c>
      <c r="B1300" s="29">
        <v>44894.77</v>
      </c>
      <c r="F1300" t="s">
        <v>4619</v>
      </c>
      <c r="G1300">
        <v>1</v>
      </c>
    </row>
    <row r="1301" spans="1:7" hidden="1" x14ac:dyDescent="0.25">
      <c r="A1301" s="28" t="s">
        <v>5014</v>
      </c>
      <c r="B1301" s="29">
        <v>44894.77</v>
      </c>
      <c r="F1301" t="s">
        <v>5014</v>
      </c>
      <c r="G1301">
        <v>1</v>
      </c>
    </row>
    <row r="1302" spans="1:7" hidden="1" x14ac:dyDescent="0.25">
      <c r="A1302" s="28" t="s">
        <v>4434</v>
      </c>
      <c r="B1302" s="29">
        <v>44894.77</v>
      </c>
      <c r="F1302" t="s">
        <v>4434</v>
      </c>
      <c r="G1302">
        <v>1</v>
      </c>
    </row>
    <row r="1303" spans="1:7" hidden="1" x14ac:dyDescent="0.25">
      <c r="A1303" s="28" t="s">
        <v>4996</v>
      </c>
      <c r="B1303" s="29">
        <v>44894.77</v>
      </c>
      <c r="F1303" t="s">
        <v>4996</v>
      </c>
      <c r="G1303">
        <v>1</v>
      </c>
    </row>
    <row r="1304" spans="1:7" hidden="1" x14ac:dyDescent="0.25">
      <c r="A1304" s="28" t="s">
        <v>2480</v>
      </c>
      <c r="B1304" s="29">
        <v>44894.77</v>
      </c>
      <c r="F1304" t="s">
        <v>2480</v>
      </c>
      <c r="G1304">
        <v>1</v>
      </c>
    </row>
    <row r="1305" spans="1:7" hidden="1" x14ac:dyDescent="0.25">
      <c r="A1305" s="28" t="s">
        <v>2713</v>
      </c>
      <c r="B1305" s="29">
        <v>44894.77</v>
      </c>
      <c r="F1305" t="s">
        <v>2713</v>
      </c>
      <c r="G1305">
        <v>1</v>
      </c>
    </row>
    <row r="1306" spans="1:7" hidden="1" x14ac:dyDescent="0.25">
      <c r="A1306" s="28" t="s">
        <v>2599</v>
      </c>
      <c r="B1306" s="29">
        <v>44894.77</v>
      </c>
      <c r="F1306" t="s">
        <v>2599</v>
      </c>
      <c r="G1306">
        <v>1</v>
      </c>
    </row>
    <row r="1307" spans="1:7" hidden="1" x14ac:dyDescent="0.25">
      <c r="A1307" s="28" t="s">
        <v>3182</v>
      </c>
      <c r="B1307" s="29">
        <v>44894.77</v>
      </c>
      <c r="F1307" t="s">
        <v>3182</v>
      </c>
      <c r="G1307">
        <v>1</v>
      </c>
    </row>
    <row r="1308" spans="1:7" hidden="1" x14ac:dyDescent="0.25">
      <c r="A1308" s="28" t="s">
        <v>4872</v>
      </c>
      <c r="B1308" s="29">
        <v>44894.77</v>
      </c>
      <c r="F1308" t="s">
        <v>4872</v>
      </c>
      <c r="G1308">
        <v>1</v>
      </c>
    </row>
    <row r="1309" spans="1:7" hidden="1" x14ac:dyDescent="0.25">
      <c r="A1309" s="28" t="s">
        <v>4948</v>
      </c>
      <c r="B1309" s="29">
        <v>44894.77</v>
      </c>
      <c r="F1309" t="s">
        <v>4948</v>
      </c>
      <c r="G1309">
        <v>1</v>
      </c>
    </row>
    <row r="1310" spans="1:7" hidden="1" x14ac:dyDescent="0.25">
      <c r="A1310" s="28" t="s">
        <v>2979</v>
      </c>
      <c r="B1310" s="29">
        <v>44894.77</v>
      </c>
      <c r="F1310" t="s">
        <v>2979</v>
      </c>
      <c r="G1310">
        <v>1</v>
      </c>
    </row>
    <row r="1311" spans="1:7" hidden="1" x14ac:dyDescent="0.25">
      <c r="A1311" s="28" t="s">
        <v>4889</v>
      </c>
      <c r="B1311" s="29">
        <v>44894.77</v>
      </c>
      <c r="F1311" t="s">
        <v>4889</v>
      </c>
      <c r="G1311">
        <v>1</v>
      </c>
    </row>
    <row r="1312" spans="1:7" hidden="1" x14ac:dyDescent="0.25">
      <c r="A1312" s="28" t="s">
        <v>4937</v>
      </c>
      <c r="B1312" s="29">
        <v>44894.77</v>
      </c>
      <c r="F1312" t="s">
        <v>4937</v>
      </c>
      <c r="G1312">
        <v>1</v>
      </c>
    </row>
    <row r="1313" spans="1:7" hidden="1" x14ac:dyDescent="0.25">
      <c r="A1313" s="28" t="s">
        <v>4896</v>
      </c>
      <c r="B1313" s="29">
        <v>44894.77</v>
      </c>
      <c r="F1313" t="s">
        <v>4896</v>
      </c>
      <c r="G1313">
        <v>1</v>
      </c>
    </row>
    <row r="1314" spans="1:7" hidden="1" x14ac:dyDescent="0.25">
      <c r="A1314" s="28" t="s">
        <v>4890</v>
      </c>
      <c r="B1314" s="29">
        <v>44894.77</v>
      </c>
      <c r="F1314" t="s">
        <v>4890</v>
      </c>
      <c r="G1314">
        <v>1</v>
      </c>
    </row>
    <row r="1315" spans="1:7" hidden="1" x14ac:dyDescent="0.25">
      <c r="A1315" s="28" t="s">
        <v>4795</v>
      </c>
      <c r="B1315" s="29">
        <v>44894.77</v>
      </c>
      <c r="F1315" t="s">
        <v>4795</v>
      </c>
      <c r="G1315">
        <v>1</v>
      </c>
    </row>
    <row r="1316" spans="1:7" hidden="1" x14ac:dyDescent="0.25">
      <c r="A1316" s="28" t="s">
        <v>2698</v>
      </c>
      <c r="B1316" s="29">
        <v>44894.77</v>
      </c>
      <c r="F1316" t="s">
        <v>2698</v>
      </c>
      <c r="G1316">
        <v>1</v>
      </c>
    </row>
    <row r="1317" spans="1:7" hidden="1" x14ac:dyDescent="0.25">
      <c r="A1317" s="28" t="s">
        <v>4919</v>
      </c>
      <c r="B1317" s="29">
        <v>44894.77</v>
      </c>
      <c r="F1317" t="s">
        <v>4919</v>
      </c>
      <c r="G1317">
        <v>1</v>
      </c>
    </row>
    <row r="1318" spans="1:7" hidden="1" x14ac:dyDescent="0.25">
      <c r="A1318" s="28" t="s">
        <v>4835</v>
      </c>
      <c r="B1318" s="29">
        <v>44894.77</v>
      </c>
      <c r="F1318" t="s">
        <v>4835</v>
      </c>
      <c r="G1318">
        <v>1</v>
      </c>
    </row>
    <row r="1319" spans="1:7" hidden="1" x14ac:dyDescent="0.25">
      <c r="A1319" s="28" t="s">
        <v>4875</v>
      </c>
      <c r="B1319" s="29">
        <v>44894.77</v>
      </c>
      <c r="F1319" t="s">
        <v>4875</v>
      </c>
      <c r="G1319">
        <v>1</v>
      </c>
    </row>
    <row r="1320" spans="1:7" hidden="1" x14ac:dyDescent="0.25">
      <c r="A1320" s="28" t="s">
        <v>4920</v>
      </c>
      <c r="B1320" s="29">
        <v>44894.77</v>
      </c>
      <c r="F1320" t="s">
        <v>4920</v>
      </c>
      <c r="G1320">
        <v>1</v>
      </c>
    </row>
    <row r="1321" spans="1:7" hidden="1" x14ac:dyDescent="0.25">
      <c r="A1321" s="28" t="s">
        <v>4785</v>
      </c>
      <c r="B1321" s="29">
        <v>44894.77</v>
      </c>
      <c r="F1321" t="s">
        <v>4785</v>
      </c>
      <c r="G1321">
        <v>1</v>
      </c>
    </row>
    <row r="1322" spans="1:7" hidden="1" x14ac:dyDescent="0.25">
      <c r="A1322" s="28" t="s">
        <v>4837</v>
      </c>
      <c r="B1322" s="29">
        <v>44894.77</v>
      </c>
      <c r="F1322" t="s">
        <v>4837</v>
      </c>
      <c r="G1322">
        <v>1</v>
      </c>
    </row>
    <row r="1323" spans="1:7" hidden="1" x14ac:dyDescent="0.25">
      <c r="A1323" s="28" t="s">
        <v>2600</v>
      </c>
      <c r="B1323" s="29">
        <v>44894.77</v>
      </c>
      <c r="F1323" t="s">
        <v>2600</v>
      </c>
      <c r="G1323">
        <v>1</v>
      </c>
    </row>
    <row r="1324" spans="1:7" hidden="1" x14ac:dyDescent="0.25">
      <c r="A1324" s="28" t="s">
        <v>4908</v>
      </c>
      <c r="B1324" s="29">
        <v>44894.77</v>
      </c>
      <c r="F1324" t="s">
        <v>4908</v>
      </c>
      <c r="G1324">
        <v>1</v>
      </c>
    </row>
    <row r="1325" spans="1:7" hidden="1" x14ac:dyDescent="0.25">
      <c r="A1325" s="28" t="s">
        <v>3840</v>
      </c>
      <c r="B1325" s="29">
        <v>44894.77</v>
      </c>
      <c r="F1325" t="s">
        <v>3840</v>
      </c>
      <c r="G1325">
        <v>1</v>
      </c>
    </row>
    <row r="1326" spans="1:7" hidden="1" x14ac:dyDescent="0.25">
      <c r="A1326" s="28" t="s">
        <v>4484</v>
      </c>
      <c r="B1326" s="29">
        <v>44894.77</v>
      </c>
      <c r="F1326" t="s">
        <v>4484</v>
      </c>
      <c r="G1326">
        <v>1</v>
      </c>
    </row>
    <row r="1327" spans="1:7" hidden="1" x14ac:dyDescent="0.25">
      <c r="A1327" s="28" t="s">
        <v>2417</v>
      </c>
      <c r="B1327" s="29">
        <v>44894.77</v>
      </c>
      <c r="F1327" t="s">
        <v>2417</v>
      </c>
      <c r="G1327">
        <v>1</v>
      </c>
    </row>
    <row r="1328" spans="1:7" hidden="1" x14ac:dyDescent="0.25">
      <c r="A1328" s="28" t="s">
        <v>4742</v>
      </c>
      <c r="B1328" s="29">
        <v>44894.77</v>
      </c>
      <c r="F1328" t="s">
        <v>4742</v>
      </c>
      <c r="G1328">
        <v>1</v>
      </c>
    </row>
    <row r="1329" spans="1:7" hidden="1" x14ac:dyDescent="0.25">
      <c r="A1329" s="28" t="s">
        <v>5067</v>
      </c>
      <c r="B1329" s="29">
        <v>44894.77</v>
      </c>
      <c r="F1329" t="s">
        <v>5067</v>
      </c>
      <c r="G1329">
        <v>1</v>
      </c>
    </row>
    <row r="1330" spans="1:7" hidden="1" x14ac:dyDescent="0.25">
      <c r="A1330" s="28" t="s">
        <v>5042</v>
      </c>
      <c r="B1330" s="29">
        <v>73952.27</v>
      </c>
      <c r="F1330" t="s">
        <v>5042</v>
      </c>
      <c r="G1330">
        <v>1</v>
      </c>
    </row>
    <row r="1331" spans="1:7" hidden="1" x14ac:dyDescent="0.25">
      <c r="A1331" s="28" t="s">
        <v>4831</v>
      </c>
      <c r="B1331" s="29">
        <v>73952.27</v>
      </c>
      <c r="F1331" t="s">
        <v>4831</v>
      </c>
      <c r="G1331">
        <v>1</v>
      </c>
    </row>
    <row r="1332" spans="1:7" hidden="1" x14ac:dyDescent="0.25">
      <c r="A1332" s="28" t="s">
        <v>5046</v>
      </c>
      <c r="B1332" s="29">
        <v>73952.27</v>
      </c>
      <c r="F1332" t="s">
        <v>5046</v>
      </c>
      <c r="G1332">
        <v>1</v>
      </c>
    </row>
    <row r="1333" spans="1:7" hidden="1" x14ac:dyDescent="0.25">
      <c r="A1333" s="28" t="s">
        <v>5029</v>
      </c>
      <c r="B1333" s="29">
        <v>73952.27</v>
      </c>
      <c r="F1333" t="s">
        <v>5029</v>
      </c>
      <c r="G1333">
        <v>1</v>
      </c>
    </row>
    <row r="1334" spans="1:7" hidden="1" x14ac:dyDescent="0.25">
      <c r="A1334" s="28" t="s">
        <v>4153</v>
      </c>
      <c r="B1334" s="29">
        <v>55424.27</v>
      </c>
      <c r="F1334" t="s">
        <v>4153</v>
      </c>
      <c r="G1334">
        <v>1</v>
      </c>
    </row>
    <row r="1335" spans="1:7" hidden="1" x14ac:dyDescent="0.25">
      <c r="A1335" s="28" t="s">
        <v>4516</v>
      </c>
      <c r="B1335" s="29">
        <v>55424.27</v>
      </c>
      <c r="F1335" t="s">
        <v>4516</v>
      </c>
      <c r="G1335">
        <v>1</v>
      </c>
    </row>
    <row r="1336" spans="1:7" x14ac:dyDescent="0.25">
      <c r="A1336" s="28" t="s">
        <v>322</v>
      </c>
      <c r="B1336" s="29">
        <v>56316.600749999998</v>
      </c>
      <c r="F1336" t="s">
        <v>322</v>
      </c>
      <c r="G1336">
        <v>2</v>
      </c>
    </row>
    <row r="1337" spans="1:7" hidden="1" x14ac:dyDescent="0.25">
      <c r="A1337" s="28" t="s">
        <v>2999</v>
      </c>
      <c r="B1337" s="29">
        <v>55424.27</v>
      </c>
      <c r="F1337" t="s">
        <v>2999</v>
      </c>
      <c r="G1337">
        <v>1</v>
      </c>
    </row>
    <row r="1338" spans="1:7" hidden="1" x14ac:dyDescent="0.25">
      <c r="A1338" s="28" t="s">
        <v>4988</v>
      </c>
      <c r="B1338" s="29">
        <v>44894.77</v>
      </c>
      <c r="F1338" t="s">
        <v>4988</v>
      </c>
      <c r="G1338">
        <v>1</v>
      </c>
    </row>
    <row r="1339" spans="1:7" hidden="1" x14ac:dyDescent="0.25">
      <c r="A1339" s="28" t="s">
        <v>4847</v>
      </c>
      <c r="B1339" s="29">
        <v>55424.27</v>
      </c>
      <c r="F1339" t="s">
        <v>4847</v>
      </c>
      <c r="G1339">
        <v>1</v>
      </c>
    </row>
    <row r="1340" spans="1:7" hidden="1" x14ac:dyDescent="0.25">
      <c r="A1340" s="28" t="s">
        <v>2379</v>
      </c>
      <c r="B1340" s="29">
        <v>44894.77</v>
      </c>
      <c r="F1340" t="s">
        <v>2379</v>
      </c>
      <c r="G1340">
        <v>1</v>
      </c>
    </row>
    <row r="1341" spans="1:7" hidden="1" x14ac:dyDescent="0.25">
      <c r="A1341" s="28" t="s">
        <v>4951</v>
      </c>
      <c r="B1341" s="29">
        <v>55424.27</v>
      </c>
      <c r="F1341" t="s">
        <v>4951</v>
      </c>
      <c r="G1341">
        <v>1</v>
      </c>
    </row>
    <row r="1342" spans="1:7" hidden="1" x14ac:dyDescent="0.25">
      <c r="A1342" s="28" t="s">
        <v>2716</v>
      </c>
      <c r="B1342" s="29">
        <v>55424.27</v>
      </c>
      <c r="F1342" t="s">
        <v>2716</v>
      </c>
      <c r="G1342">
        <v>1</v>
      </c>
    </row>
    <row r="1343" spans="1:7" hidden="1" x14ac:dyDescent="0.25">
      <c r="A1343" s="28" t="s">
        <v>2816</v>
      </c>
      <c r="B1343" s="29">
        <v>55424.27</v>
      </c>
      <c r="F1343" t="s">
        <v>2816</v>
      </c>
      <c r="G1343">
        <v>1</v>
      </c>
    </row>
    <row r="1344" spans="1:7" hidden="1" x14ac:dyDescent="0.25">
      <c r="A1344" s="28" t="s">
        <v>4633</v>
      </c>
      <c r="B1344" s="29">
        <v>55424.27</v>
      </c>
      <c r="F1344" t="s">
        <v>4633</v>
      </c>
      <c r="G1344">
        <v>1</v>
      </c>
    </row>
    <row r="1345" spans="1:7" hidden="1" x14ac:dyDescent="0.25">
      <c r="A1345" s="28" t="s">
        <v>4277</v>
      </c>
      <c r="B1345" s="29">
        <v>55424.27</v>
      </c>
      <c r="F1345" t="s">
        <v>4277</v>
      </c>
      <c r="G1345">
        <v>1</v>
      </c>
    </row>
    <row r="1346" spans="1:7" hidden="1" x14ac:dyDescent="0.25">
      <c r="A1346" s="28" t="s">
        <v>4964</v>
      </c>
      <c r="B1346" s="29">
        <v>45042.2</v>
      </c>
      <c r="F1346" t="s">
        <v>4964</v>
      </c>
      <c r="G1346">
        <v>1</v>
      </c>
    </row>
    <row r="1347" spans="1:7" hidden="1" x14ac:dyDescent="0.25">
      <c r="A1347" s="28" t="s">
        <v>4942</v>
      </c>
      <c r="B1347" s="29">
        <v>55424.27</v>
      </c>
      <c r="F1347" t="s">
        <v>4942</v>
      </c>
      <c r="G1347">
        <v>1</v>
      </c>
    </row>
    <row r="1348" spans="1:7" hidden="1" x14ac:dyDescent="0.25">
      <c r="A1348" s="28" t="s">
        <v>3579</v>
      </c>
      <c r="B1348" s="29">
        <v>45042.2</v>
      </c>
      <c r="F1348" t="s">
        <v>3579</v>
      </c>
      <c r="G1348">
        <v>1</v>
      </c>
    </row>
    <row r="1349" spans="1:7" hidden="1" x14ac:dyDescent="0.25">
      <c r="A1349" s="28" t="s">
        <v>3257</v>
      </c>
      <c r="B1349" s="29">
        <v>55424.27</v>
      </c>
      <c r="F1349" t="s">
        <v>3257</v>
      </c>
      <c r="G1349">
        <v>1</v>
      </c>
    </row>
    <row r="1350" spans="1:7" hidden="1" x14ac:dyDescent="0.25">
      <c r="A1350" s="28" t="s">
        <v>2066</v>
      </c>
      <c r="B1350" s="29">
        <v>45042.2</v>
      </c>
      <c r="F1350" t="s">
        <v>2066</v>
      </c>
      <c r="G1350">
        <v>1</v>
      </c>
    </row>
    <row r="1351" spans="1:7" hidden="1" x14ac:dyDescent="0.25">
      <c r="A1351" s="28" t="s">
        <v>4775</v>
      </c>
      <c r="B1351" s="29">
        <v>45042.2</v>
      </c>
      <c r="F1351" t="s">
        <v>4775</v>
      </c>
      <c r="G1351">
        <v>1</v>
      </c>
    </row>
    <row r="1352" spans="1:7" hidden="1" x14ac:dyDescent="0.25">
      <c r="A1352" s="28" t="s">
        <v>2802</v>
      </c>
      <c r="B1352" s="29">
        <v>45042.2</v>
      </c>
      <c r="F1352" t="s">
        <v>2802</v>
      </c>
      <c r="G1352">
        <v>1</v>
      </c>
    </row>
    <row r="1353" spans="1:7" hidden="1" x14ac:dyDescent="0.25">
      <c r="A1353" s="28" t="s">
        <v>4301</v>
      </c>
      <c r="B1353" s="29">
        <v>55424.27</v>
      </c>
      <c r="F1353" t="s">
        <v>4301</v>
      </c>
      <c r="G1353">
        <v>1</v>
      </c>
    </row>
    <row r="1354" spans="1:7" hidden="1" x14ac:dyDescent="0.25">
      <c r="A1354" s="28" t="s">
        <v>4522</v>
      </c>
      <c r="B1354" s="29">
        <v>55424.27</v>
      </c>
      <c r="F1354" t="s">
        <v>4522</v>
      </c>
      <c r="G1354">
        <v>1</v>
      </c>
    </row>
    <row r="1355" spans="1:7" hidden="1" x14ac:dyDescent="0.25">
      <c r="A1355" s="28" t="s">
        <v>3670</v>
      </c>
      <c r="B1355" s="29">
        <v>55424.27</v>
      </c>
      <c r="F1355" t="s">
        <v>3670</v>
      </c>
      <c r="G1355">
        <v>1</v>
      </c>
    </row>
    <row r="1356" spans="1:7" hidden="1" x14ac:dyDescent="0.25">
      <c r="A1356" s="28" t="s">
        <v>3647</v>
      </c>
      <c r="B1356" s="29">
        <v>55424.27</v>
      </c>
      <c r="F1356" t="s">
        <v>3647</v>
      </c>
      <c r="G1356">
        <v>1</v>
      </c>
    </row>
    <row r="1357" spans="1:7" hidden="1" x14ac:dyDescent="0.25">
      <c r="A1357" s="28" t="s">
        <v>2597</v>
      </c>
      <c r="B1357" s="29">
        <v>55424.27</v>
      </c>
      <c r="F1357" t="s">
        <v>2597</v>
      </c>
      <c r="G1357">
        <v>1</v>
      </c>
    </row>
    <row r="1358" spans="1:7" hidden="1" x14ac:dyDescent="0.25">
      <c r="A1358" s="28" t="s">
        <v>4188</v>
      </c>
      <c r="B1358" s="29">
        <v>55424.27</v>
      </c>
      <c r="F1358" t="s">
        <v>4188</v>
      </c>
      <c r="G1358">
        <v>1</v>
      </c>
    </row>
    <row r="1359" spans="1:7" hidden="1" x14ac:dyDescent="0.25">
      <c r="A1359" s="28" t="s">
        <v>4232</v>
      </c>
      <c r="B1359" s="29">
        <v>55424.27</v>
      </c>
      <c r="F1359" t="s">
        <v>4232</v>
      </c>
      <c r="G1359">
        <v>1</v>
      </c>
    </row>
    <row r="1360" spans="1:7" hidden="1" x14ac:dyDescent="0.25">
      <c r="A1360" s="28" t="s">
        <v>4375</v>
      </c>
      <c r="B1360" s="29">
        <v>55424.27</v>
      </c>
      <c r="F1360" t="s">
        <v>4375</v>
      </c>
      <c r="G1360">
        <v>1</v>
      </c>
    </row>
    <row r="1361" spans="1:7" hidden="1" x14ac:dyDescent="0.25">
      <c r="A1361" s="28" t="s">
        <v>3746</v>
      </c>
      <c r="B1361" s="29">
        <v>55424.27</v>
      </c>
      <c r="F1361" t="s">
        <v>3746</v>
      </c>
      <c r="G1361">
        <v>1</v>
      </c>
    </row>
    <row r="1362" spans="1:7" hidden="1" x14ac:dyDescent="0.25">
      <c r="A1362" s="28" t="s">
        <v>2695</v>
      </c>
      <c r="B1362" s="29">
        <v>55424.27</v>
      </c>
      <c r="F1362" t="s">
        <v>2695</v>
      </c>
      <c r="G1362">
        <v>1</v>
      </c>
    </row>
    <row r="1363" spans="1:7" hidden="1" x14ac:dyDescent="0.25">
      <c r="A1363" s="28" t="s">
        <v>2619</v>
      </c>
      <c r="B1363" s="29">
        <v>55424.27</v>
      </c>
      <c r="F1363" t="s">
        <v>2619</v>
      </c>
      <c r="G1363">
        <v>1</v>
      </c>
    </row>
    <row r="1364" spans="1:7" hidden="1" x14ac:dyDescent="0.25">
      <c r="A1364" s="28" t="s">
        <v>2911</v>
      </c>
      <c r="B1364" s="29">
        <v>55424.27</v>
      </c>
      <c r="F1364" t="s">
        <v>2911</v>
      </c>
      <c r="G1364">
        <v>1</v>
      </c>
    </row>
    <row r="1365" spans="1:7" hidden="1" x14ac:dyDescent="0.25">
      <c r="A1365" s="28" t="s">
        <v>1956</v>
      </c>
      <c r="B1365" s="29">
        <v>55424.27</v>
      </c>
      <c r="F1365" t="s">
        <v>1956</v>
      </c>
      <c r="G1365">
        <v>1</v>
      </c>
    </row>
    <row r="1366" spans="1:7" hidden="1" x14ac:dyDescent="0.25">
      <c r="A1366" s="28" t="s">
        <v>2618</v>
      </c>
      <c r="B1366" s="29">
        <v>55424.27</v>
      </c>
      <c r="F1366" t="s">
        <v>2618</v>
      </c>
      <c r="G1366">
        <v>1</v>
      </c>
    </row>
    <row r="1367" spans="1:7" hidden="1" x14ac:dyDescent="0.25">
      <c r="A1367" s="28" t="s">
        <v>4409</v>
      </c>
      <c r="B1367" s="29">
        <v>73952.27</v>
      </c>
      <c r="F1367" t="s">
        <v>4409</v>
      </c>
      <c r="G1367">
        <v>1</v>
      </c>
    </row>
    <row r="1368" spans="1:7" hidden="1" x14ac:dyDescent="0.25">
      <c r="A1368" s="28" t="s">
        <v>4672</v>
      </c>
      <c r="B1368" s="29">
        <v>55424.27</v>
      </c>
      <c r="F1368" t="s">
        <v>4672</v>
      </c>
      <c r="G1368">
        <v>1</v>
      </c>
    </row>
    <row r="1369" spans="1:7" hidden="1" x14ac:dyDescent="0.25">
      <c r="A1369" s="28" t="s">
        <v>4883</v>
      </c>
      <c r="B1369" s="29">
        <v>55424.27</v>
      </c>
      <c r="F1369" t="s">
        <v>4883</v>
      </c>
      <c r="G1369">
        <v>1</v>
      </c>
    </row>
    <row r="1370" spans="1:7" hidden="1" x14ac:dyDescent="0.25">
      <c r="A1370" s="28" t="s">
        <v>3158</v>
      </c>
      <c r="B1370" s="29">
        <v>55424.27</v>
      </c>
      <c r="F1370" t="s">
        <v>3158</v>
      </c>
      <c r="G1370">
        <v>1</v>
      </c>
    </row>
    <row r="1371" spans="1:7" hidden="1" x14ac:dyDescent="0.25">
      <c r="A1371" s="28" t="s">
        <v>2651</v>
      </c>
      <c r="B1371" s="29">
        <v>73952.27</v>
      </c>
      <c r="F1371" t="s">
        <v>2651</v>
      </c>
      <c r="G1371">
        <v>1</v>
      </c>
    </row>
    <row r="1372" spans="1:7" hidden="1" x14ac:dyDescent="0.25">
      <c r="A1372" s="28" t="s">
        <v>3760</v>
      </c>
      <c r="B1372" s="29">
        <v>73952.27</v>
      </c>
      <c r="F1372" t="s">
        <v>3760</v>
      </c>
      <c r="G1372">
        <v>1</v>
      </c>
    </row>
    <row r="1373" spans="1:7" hidden="1" x14ac:dyDescent="0.25">
      <c r="A1373" s="28" t="s">
        <v>4471</v>
      </c>
      <c r="B1373" s="29">
        <v>73952.27</v>
      </c>
      <c r="F1373" t="s">
        <v>4471</v>
      </c>
      <c r="G1373">
        <v>1</v>
      </c>
    </row>
    <row r="1374" spans="1:7" hidden="1" x14ac:dyDescent="0.25">
      <c r="A1374" s="28" t="s">
        <v>4112</v>
      </c>
      <c r="B1374" s="29">
        <v>73952.27</v>
      </c>
      <c r="F1374" t="s">
        <v>4112</v>
      </c>
      <c r="G1374">
        <v>1</v>
      </c>
    </row>
    <row r="1375" spans="1:7" hidden="1" x14ac:dyDescent="0.25">
      <c r="A1375" s="28" t="s">
        <v>4214</v>
      </c>
      <c r="B1375" s="29">
        <v>73952.27</v>
      </c>
      <c r="F1375" t="s">
        <v>4214</v>
      </c>
      <c r="G1375">
        <v>1</v>
      </c>
    </row>
    <row r="1376" spans="1:7" hidden="1" x14ac:dyDescent="0.25">
      <c r="A1376" s="28" t="s">
        <v>4610</v>
      </c>
      <c r="B1376" s="29">
        <v>73952.27</v>
      </c>
      <c r="F1376" t="s">
        <v>4610</v>
      </c>
      <c r="G1376">
        <v>1</v>
      </c>
    </row>
    <row r="1377" spans="1:7" hidden="1" x14ac:dyDescent="0.25">
      <c r="A1377" s="28" t="s">
        <v>4385</v>
      </c>
      <c r="B1377" s="29">
        <v>73952.27</v>
      </c>
      <c r="F1377" t="s">
        <v>4385</v>
      </c>
      <c r="G1377">
        <v>1</v>
      </c>
    </row>
    <row r="1378" spans="1:7" hidden="1" x14ac:dyDescent="0.25">
      <c r="A1378" s="28" t="s">
        <v>4398</v>
      </c>
      <c r="B1378" s="29">
        <v>73952.27</v>
      </c>
      <c r="F1378" t="s">
        <v>4398</v>
      </c>
      <c r="G1378">
        <v>1</v>
      </c>
    </row>
    <row r="1379" spans="1:7" hidden="1" x14ac:dyDescent="0.25">
      <c r="A1379" s="28" t="s">
        <v>4598</v>
      </c>
      <c r="B1379" s="29">
        <v>55424.27</v>
      </c>
      <c r="F1379" t="s">
        <v>4598</v>
      </c>
      <c r="G1379">
        <v>1</v>
      </c>
    </row>
    <row r="1380" spans="1:7" hidden="1" x14ac:dyDescent="0.25">
      <c r="A1380" s="28" t="s">
        <v>4905</v>
      </c>
      <c r="B1380" s="29">
        <v>55424.27</v>
      </c>
      <c r="F1380" t="s">
        <v>4905</v>
      </c>
      <c r="G1380">
        <v>1</v>
      </c>
    </row>
    <row r="1381" spans="1:7" hidden="1" x14ac:dyDescent="0.25">
      <c r="A1381" s="28" t="s">
        <v>3172</v>
      </c>
      <c r="B1381" s="29">
        <v>55424.27</v>
      </c>
      <c r="F1381" t="s">
        <v>3172</v>
      </c>
      <c r="G1381">
        <v>1</v>
      </c>
    </row>
    <row r="1382" spans="1:7" hidden="1" x14ac:dyDescent="0.25">
      <c r="A1382" s="28" t="s">
        <v>3167</v>
      </c>
      <c r="B1382" s="29">
        <v>55424.27</v>
      </c>
      <c r="F1382" t="s">
        <v>3167</v>
      </c>
      <c r="G1382">
        <v>1</v>
      </c>
    </row>
    <row r="1383" spans="1:7" hidden="1" x14ac:dyDescent="0.25">
      <c r="A1383" s="28" t="s">
        <v>2676</v>
      </c>
      <c r="B1383" s="29">
        <v>55424.27</v>
      </c>
      <c r="F1383" t="s">
        <v>2676</v>
      </c>
      <c r="G1383">
        <v>1</v>
      </c>
    </row>
    <row r="1384" spans="1:7" hidden="1" x14ac:dyDescent="0.25">
      <c r="A1384" s="28" t="s">
        <v>3314</v>
      </c>
      <c r="B1384" s="29">
        <v>73952.27</v>
      </c>
      <c r="F1384" t="s">
        <v>3314</v>
      </c>
      <c r="G1384">
        <v>1</v>
      </c>
    </row>
    <row r="1385" spans="1:7" hidden="1" x14ac:dyDescent="0.25">
      <c r="A1385" s="28" t="s">
        <v>2255</v>
      </c>
      <c r="B1385" s="29">
        <v>55424.27</v>
      </c>
      <c r="F1385" t="s">
        <v>2255</v>
      </c>
      <c r="G1385">
        <v>1</v>
      </c>
    </row>
    <row r="1386" spans="1:7" hidden="1" x14ac:dyDescent="0.25">
      <c r="A1386" s="28" t="s">
        <v>3135</v>
      </c>
      <c r="B1386" s="29">
        <v>44894.77</v>
      </c>
      <c r="F1386" t="s">
        <v>3135</v>
      </c>
      <c r="G1386">
        <v>1</v>
      </c>
    </row>
    <row r="1387" spans="1:7" hidden="1" x14ac:dyDescent="0.25">
      <c r="A1387" s="28" t="s">
        <v>2493</v>
      </c>
      <c r="B1387" s="29">
        <v>55424.27</v>
      </c>
      <c r="F1387" t="s">
        <v>2493</v>
      </c>
      <c r="G1387">
        <v>1</v>
      </c>
    </row>
    <row r="1388" spans="1:7" hidden="1" x14ac:dyDescent="0.25">
      <c r="A1388" s="28" t="s">
        <v>3147</v>
      </c>
      <c r="B1388" s="29">
        <v>55424.27</v>
      </c>
      <c r="F1388" t="s">
        <v>3147</v>
      </c>
      <c r="G1388">
        <v>1</v>
      </c>
    </row>
    <row r="1389" spans="1:7" hidden="1" x14ac:dyDescent="0.25">
      <c r="A1389" s="28" t="s">
        <v>4802</v>
      </c>
      <c r="B1389" s="29">
        <v>55424.27</v>
      </c>
      <c r="F1389" t="s">
        <v>4802</v>
      </c>
      <c r="G1389">
        <v>1</v>
      </c>
    </row>
    <row r="1390" spans="1:7" hidden="1" x14ac:dyDescent="0.25">
      <c r="A1390" s="28" t="s">
        <v>4538</v>
      </c>
      <c r="B1390" s="29">
        <v>55424.27</v>
      </c>
      <c r="F1390" t="s">
        <v>4538</v>
      </c>
      <c r="G1390">
        <v>1</v>
      </c>
    </row>
    <row r="1391" spans="1:7" hidden="1" x14ac:dyDescent="0.25">
      <c r="A1391" s="28" t="s">
        <v>4466</v>
      </c>
      <c r="B1391" s="29">
        <v>55424.27</v>
      </c>
      <c r="F1391" t="s">
        <v>4466</v>
      </c>
      <c r="G1391">
        <v>1</v>
      </c>
    </row>
    <row r="1392" spans="1:7" hidden="1" x14ac:dyDescent="0.25">
      <c r="A1392" s="28" t="s">
        <v>3661</v>
      </c>
      <c r="B1392" s="29">
        <v>55424.27</v>
      </c>
      <c r="F1392" t="s">
        <v>3661</v>
      </c>
      <c r="G1392">
        <v>1</v>
      </c>
    </row>
    <row r="1393" spans="1:7" hidden="1" x14ac:dyDescent="0.25">
      <c r="A1393" s="28" t="s">
        <v>4647</v>
      </c>
      <c r="B1393" s="29">
        <v>55424.27</v>
      </c>
      <c r="F1393" t="s">
        <v>4647</v>
      </c>
      <c r="G1393">
        <v>1</v>
      </c>
    </row>
    <row r="1394" spans="1:7" hidden="1" x14ac:dyDescent="0.25">
      <c r="A1394" s="28" t="s">
        <v>4034</v>
      </c>
      <c r="B1394" s="29">
        <v>55424.27</v>
      </c>
      <c r="F1394" t="s">
        <v>4034</v>
      </c>
      <c r="G1394">
        <v>1</v>
      </c>
    </row>
    <row r="1395" spans="1:7" hidden="1" x14ac:dyDescent="0.25">
      <c r="A1395" s="28" t="s">
        <v>4617</v>
      </c>
      <c r="B1395" s="29">
        <v>55424.27</v>
      </c>
      <c r="F1395" t="s">
        <v>4617</v>
      </c>
      <c r="G1395">
        <v>1</v>
      </c>
    </row>
    <row r="1396" spans="1:7" hidden="1" x14ac:dyDescent="0.25">
      <c r="A1396" s="28" t="s">
        <v>4608</v>
      </c>
      <c r="B1396" s="29">
        <v>55424.27</v>
      </c>
      <c r="F1396" t="s">
        <v>4608</v>
      </c>
      <c r="G1396">
        <v>1</v>
      </c>
    </row>
    <row r="1397" spans="1:7" hidden="1" x14ac:dyDescent="0.25">
      <c r="A1397" s="28" t="s">
        <v>3035</v>
      </c>
      <c r="B1397" s="29">
        <v>55424.27</v>
      </c>
      <c r="F1397" t="s">
        <v>3035</v>
      </c>
      <c r="G1397">
        <v>1</v>
      </c>
    </row>
    <row r="1398" spans="1:7" hidden="1" x14ac:dyDescent="0.25">
      <c r="A1398" s="28" t="s">
        <v>3540</v>
      </c>
      <c r="B1398" s="29">
        <v>55424.27</v>
      </c>
      <c r="F1398" t="s">
        <v>3540</v>
      </c>
      <c r="G1398">
        <v>1</v>
      </c>
    </row>
    <row r="1399" spans="1:7" hidden="1" x14ac:dyDescent="0.25">
      <c r="A1399" s="28" t="s">
        <v>4806</v>
      </c>
      <c r="B1399" s="29">
        <v>55424.27</v>
      </c>
      <c r="F1399" t="s">
        <v>4806</v>
      </c>
      <c r="G1399">
        <v>1</v>
      </c>
    </row>
    <row r="1400" spans="1:7" hidden="1" x14ac:dyDescent="0.25">
      <c r="A1400" s="28" t="s">
        <v>2987</v>
      </c>
      <c r="B1400" s="29">
        <v>55424.27</v>
      </c>
      <c r="F1400" t="s">
        <v>2987</v>
      </c>
      <c r="G1400">
        <v>1</v>
      </c>
    </row>
    <row r="1401" spans="1:7" hidden="1" x14ac:dyDescent="0.25">
      <c r="A1401" s="28" t="s">
        <v>4367</v>
      </c>
      <c r="B1401" s="29">
        <v>55424.27</v>
      </c>
      <c r="F1401" t="s">
        <v>4367</v>
      </c>
      <c r="G1401">
        <v>1</v>
      </c>
    </row>
    <row r="1402" spans="1:7" hidden="1" x14ac:dyDescent="0.25">
      <c r="A1402" s="28" t="s">
        <v>4690</v>
      </c>
      <c r="B1402" s="29">
        <v>55424.27</v>
      </c>
      <c r="F1402" t="s">
        <v>4690</v>
      </c>
      <c r="G1402">
        <v>1</v>
      </c>
    </row>
    <row r="1403" spans="1:7" hidden="1" x14ac:dyDescent="0.25">
      <c r="A1403" s="28" t="s">
        <v>3044</v>
      </c>
      <c r="B1403" s="29">
        <v>55424.27</v>
      </c>
      <c r="F1403" t="s">
        <v>3044</v>
      </c>
      <c r="G1403">
        <v>1</v>
      </c>
    </row>
    <row r="1404" spans="1:7" hidden="1" x14ac:dyDescent="0.25">
      <c r="A1404" s="28" t="s">
        <v>2376</v>
      </c>
      <c r="B1404" s="29">
        <v>55424.27</v>
      </c>
      <c r="F1404" t="s">
        <v>2376</v>
      </c>
      <c r="G1404">
        <v>1</v>
      </c>
    </row>
    <row r="1405" spans="1:7" hidden="1" x14ac:dyDescent="0.25">
      <c r="A1405" s="28" t="s">
        <v>2865</v>
      </c>
      <c r="B1405" s="29">
        <v>55424.27</v>
      </c>
      <c r="F1405" t="s">
        <v>2865</v>
      </c>
      <c r="G1405">
        <v>1</v>
      </c>
    </row>
    <row r="1406" spans="1:7" hidden="1" x14ac:dyDescent="0.25">
      <c r="A1406" s="28" t="s">
        <v>4427</v>
      </c>
      <c r="B1406" s="29">
        <v>55424.27</v>
      </c>
      <c r="F1406" t="s">
        <v>4427</v>
      </c>
      <c r="G1406">
        <v>1</v>
      </c>
    </row>
    <row r="1407" spans="1:7" hidden="1" x14ac:dyDescent="0.25">
      <c r="A1407" s="28" t="s">
        <v>4498</v>
      </c>
      <c r="B1407" s="29">
        <v>55424.27</v>
      </c>
      <c r="F1407" t="s">
        <v>4498</v>
      </c>
      <c r="G1407">
        <v>1</v>
      </c>
    </row>
    <row r="1408" spans="1:7" hidden="1" x14ac:dyDescent="0.25">
      <c r="A1408" s="28" t="s">
        <v>4235</v>
      </c>
      <c r="B1408" s="29">
        <v>55424.27</v>
      </c>
      <c r="F1408" t="s">
        <v>4235</v>
      </c>
      <c r="G1408">
        <v>1</v>
      </c>
    </row>
    <row r="1409" spans="1:7" hidden="1" x14ac:dyDescent="0.25">
      <c r="A1409" s="28" t="s">
        <v>4859</v>
      </c>
      <c r="B1409" s="29">
        <v>55424.27</v>
      </c>
      <c r="F1409" t="s">
        <v>4859</v>
      </c>
      <c r="G1409">
        <v>1</v>
      </c>
    </row>
    <row r="1410" spans="1:7" hidden="1" x14ac:dyDescent="0.25">
      <c r="A1410" s="28" t="s">
        <v>4773</v>
      </c>
      <c r="B1410" s="29">
        <v>55424.27</v>
      </c>
      <c r="F1410" t="s">
        <v>4773</v>
      </c>
      <c r="G1410">
        <v>1</v>
      </c>
    </row>
    <row r="1411" spans="1:7" hidden="1" x14ac:dyDescent="0.25">
      <c r="A1411" s="28" t="s">
        <v>3548</v>
      </c>
      <c r="B1411" s="29">
        <v>55424.27</v>
      </c>
      <c r="F1411" t="s">
        <v>3548</v>
      </c>
      <c r="G1411">
        <v>1</v>
      </c>
    </row>
    <row r="1412" spans="1:7" hidden="1" x14ac:dyDescent="0.25">
      <c r="A1412" s="28" t="s">
        <v>4588</v>
      </c>
      <c r="B1412" s="29">
        <v>55424.27</v>
      </c>
      <c r="F1412" t="s">
        <v>4588</v>
      </c>
      <c r="G1412">
        <v>1</v>
      </c>
    </row>
    <row r="1413" spans="1:7" hidden="1" x14ac:dyDescent="0.25">
      <c r="A1413" s="28" t="s">
        <v>3090</v>
      </c>
      <c r="B1413" s="29">
        <v>55424.27</v>
      </c>
      <c r="F1413" t="s">
        <v>3090</v>
      </c>
      <c r="G1413">
        <v>1</v>
      </c>
    </row>
    <row r="1414" spans="1:7" hidden="1" x14ac:dyDescent="0.25">
      <c r="A1414" s="28" t="s">
        <v>4443</v>
      </c>
      <c r="B1414" s="29">
        <v>55424.27</v>
      </c>
      <c r="F1414" t="s">
        <v>4443</v>
      </c>
      <c r="G1414">
        <v>1</v>
      </c>
    </row>
    <row r="1415" spans="1:7" hidden="1" x14ac:dyDescent="0.25">
      <c r="A1415" s="28" t="s">
        <v>4695</v>
      </c>
      <c r="B1415" s="29">
        <v>55424.27</v>
      </c>
      <c r="F1415" t="s">
        <v>4695</v>
      </c>
      <c r="G1415">
        <v>1</v>
      </c>
    </row>
    <row r="1416" spans="1:7" hidden="1" x14ac:dyDescent="0.25">
      <c r="A1416" s="28" t="s">
        <v>4679</v>
      </c>
      <c r="B1416" s="29">
        <v>45042.2</v>
      </c>
      <c r="F1416" t="s">
        <v>4679</v>
      </c>
      <c r="G1416">
        <v>1</v>
      </c>
    </row>
    <row r="1417" spans="1:7" hidden="1" x14ac:dyDescent="0.25">
      <c r="A1417" s="28" t="s">
        <v>2529</v>
      </c>
      <c r="B1417" s="29">
        <v>55424.27</v>
      </c>
      <c r="F1417" t="s">
        <v>2529</v>
      </c>
      <c r="G1417">
        <v>1</v>
      </c>
    </row>
    <row r="1418" spans="1:7" hidden="1" x14ac:dyDescent="0.25">
      <c r="A1418" s="28" t="s">
        <v>4892</v>
      </c>
      <c r="B1418" s="29">
        <v>55424.27</v>
      </c>
      <c r="F1418" t="s">
        <v>4892</v>
      </c>
      <c r="G1418">
        <v>1</v>
      </c>
    </row>
    <row r="1419" spans="1:7" hidden="1" x14ac:dyDescent="0.25">
      <c r="A1419" s="28" t="s">
        <v>4814</v>
      </c>
      <c r="B1419" s="29">
        <v>55424.27</v>
      </c>
      <c r="F1419" t="s">
        <v>4814</v>
      </c>
      <c r="G1419">
        <v>1</v>
      </c>
    </row>
    <row r="1420" spans="1:7" hidden="1" x14ac:dyDescent="0.25">
      <c r="A1420" s="28" t="s">
        <v>4022</v>
      </c>
      <c r="B1420" s="29">
        <v>45042.2</v>
      </c>
      <c r="F1420" t="s">
        <v>4022</v>
      </c>
      <c r="G1420">
        <v>1</v>
      </c>
    </row>
    <row r="1421" spans="1:7" hidden="1" x14ac:dyDescent="0.25">
      <c r="A1421" s="28" t="s">
        <v>2553</v>
      </c>
      <c r="B1421" s="29">
        <v>55424.27</v>
      </c>
      <c r="F1421" t="s">
        <v>2553</v>
      </c>
      <c r="G1421">
        <v>1</v>
      </c>
    </row>
    <row r="1422" spans="1:7" hidden="1" x14ac:dyDescent="0.25">
      <c r="A1422" s="28" t="s">
        <v>4682</v>
      </c>
      <c r="B1422" s="29">
        <v>55424.27</v>
      </c>
      <c r="F1422" t="s">
        <v>4682</v>
      </c>
      <c r="G1422">
        <v>1</v>
      </c>
    </row>
    <row r="1423" spans="1:7" hidden="1" x14ac:dyDescent="0.25">
      <c r="A1423" s="28" t="s">
        <v>4691</v>
      </c>
      <c r="B1423" s="29">
        <v>55424.27</v>
      </c>
      <c r="F1423" t="s">
        <v>4691</v>
      </c>
      <c r="G1423">
        <v>1</v>
      </c>
    </row>
    <row r="1424" spans="1:7" hidden="1" x14ac:dyDescent="0.25">
      <c r="A1424" s="28" t="s">
        <v>3121</v>
      </c>
      <c r="B1424" s="29">
        <v>55424.27</v>
      </c>
      <c r="F1424" t="s">
        <v>3121</v>
      </c>
      <c r="G1424">
        <v>1</v>
      </c>
    </row>
    <row r="1425" spans="1:7" hidden="1" x14ac:dyDescent="0.25">
      <c r="A1425" s="28" t="s">
        <v>2747</v>
      </c>
      <c r="B1425" s="29">
        <v>55424.27</v>
      </c>
      <c r="F1425" t="s">
        <v>2747</v>
      </c>
      <c r="G1425">
        <v>1</v>
      </c>
    </row>
    <row r="1426" spans="1:7" hidden="1" x14ac:dyDescent="0.25">
      <c r="A1426" s="28" t="s">
        <v>4413</v>
      </c>
      <c r="B1426" s="29">
        <v>55424.27</v>
      </c>
      <c r="F1426" t="s">
        <v>4413</v>
      </c>
      <c r="G1426">
        <v>1</v>
      </c>
    </row>
    <row r="1427" spans="1:7" hidden="1" x14ac:dyDescent="0.25">
      <c r="A1427" s="28" t="s">
        <v>3763</v>
      </c>
      <c r="B1427" s="29">
        <v>55424.27</v>
      </c>
      <c r="F1427" t="s">
        <v>3763</v>
      </c>
      <c r="G1427">
        <v>1</v>
      </c>
    </row>
    <row r="1428" spans="1:7" hidden="1" x14ac:dyDescent="0.25">
      <c r="A1428" s="28" t="s">
        <v>3068</v>
      </c>
      <c r="B1428" s="29">
        <v>55424.27</v>
      </c>
      <c r="F1428" t="s">
        <v>3068</v>
      </c>
      <c r="G1428">
        <v>1</v>
      </c>
    </row>
    <row r="1429" spans="1:7" hidden="1" x14ac:dyDescent="0.25">
      <c r="A1429" s="28" t="s">
        <v>3442</v>
      </c>
      <c r="B1429" s="29">
        <v>55424.27</v>
      </c>
      <c r="F1429" t="s">
        <v>3442</v>
      </c>
      <c r="G1429">
        <v>1</v>
      </c>
    </row>
    <row r="1430" spans="1:7" hidden="1" x14ac:dyDescent="0.25">
      <c r="A1430" s="28" t="s">
        <v>3842</v>
      </c>
      <c r="B1430" s="29">
        <v>45042.2</v>
      </c>
      <c r="F1430" t="s">
        <v>3842</v>
      </c>
      <c r="G1430">
        <v>1</v>
      </c>
    </row>
    <row r="1431" spans="1:7" hidden="1" x14ac:dyDescent="0.25">
      <c r="A1431" s="28" t="s">
        <v>3242</v>
      </c>
      <c r="B1431" s="29">
        <v>45042.2</v>
      </c>
      <c r="F1431" t="s">
        <v>3242</v>
      </c>
      <c r="G1431">
        <v>1</v>
      </c>
    </row>
    <row r="1432" spans="1:7" hidden="1" x14ac:dyDescent="0.25">
      <c r="A1432" s="28" t="s">
        <v>3584</v>
      </c>
      <c r="B1432" s="29">
        <v>45042.2</v>
      </c>
      <c r="F1432" t="s">
        <v>3584</v>
      </c>
      <c r="G1432">
        <v>1</v>
      </c>
    </row>
    <row r="1433" spans="1:7" hidden="1" x14ac:dyDescent="0.25">
      <c r="A1433" s="28" t="s">
        <v>4084</v>
      </c>
      <c r="B1433" s="29">
        <v>45042.2</v>
      </c>
      <c r="F1433" t="s">
        <v>4084</v>
      </c>
      <c r="G1433">
        <v>1</v>
      </c>
    </row>
    <row r="1434" spans="1:7" hidden="1" x14ac:dyDescent="0.25">
      <c r="A1434" s="28" t="s">
        <v>3148</v>
      </c>
      <c r="B1434" s="29">
        <v>45042.2</v>
      </c>
      <c r="F1434" t="s">
        <v>3148</v>
      </c>
      <c r="G1434">
        <v>1</v>
      </c>
    </row>
    <row r="1435" spans="1:7" hidden="1" x14ac:dyDescent="0.25">
      <c r="A1435" s="28" t="s">
        <v>4568</v>
      </c>
      <c r="B1435" s="29">
        <v>55424.27</v>
      </c>
      <c r="F1435" t="s">
        <v>4568</v>
      </c>
      <c r="G1435">
        <v>1</v>
      </c>
    </row>
    <row r="1436" spans="1:7" hidden="1" x14ac:dyDescent="0.25">
      <c r="A1436" s="28" t="s">
        <v>3218</v>
      </c>
      <c r="B1436" s="29">
        <v>45042.2</v>
      </c>
      <c r="F1436" t="s">
        <v>3218</v>
      </c>
      <c r="G1436">
        <v>1</v>
      </c>
    </row>
    <row r="1437" spans="1:7" hidden="1" x14ac:dyDescent="0.25">
      <c r="A1437" s="28" t="s">
        <v>2128</v>
      </c>
      <c r="B1437" s="29">
        <v>45042.2</v>
      </c>
      <c r="F1437" t="s">
        <v>2128</v>
      </c>
      <c r="G1437">
        <v>1</v>
      </c>
    </row>
    <row r="1438" spans="1:7" hidden="1" x14ac:dyDescent="0.25">
      <c r="A1438" s="28" t="s">
        <v>2605</v>
      </c>
      <c r="B1438" s="29">
        <v>45042.2</v>
      </c>
      <c r="F1438" t="s">
        <v>2605</v>
      </c>
      <c r="G1438">
        <v>1</v>
      </c>
    </row>
    <row r="1439" spans="1:7" hidden="1" x14ac:dyDescent="0.25">
      <c r="A1439" s="28" t="s">
        <v>4943</v>
      </c>
      <c r="B1439" s="29">
        <v>45042.2</v>
      </c>
      <c r="F1439" t="s">
        <v>4943</v>
      </c>
      <c r="G1439">
        <v>1</v>
      </c>
    </row>
    <row r="1440" spans="1:7" hidden="1" x14ac:dyDescent="0.25">
      <c r="A1440" s="28" t="s">
        <v>1896</v>
      </c>
      <c r="B1440" s="29">
        <v>45042.2</v>
      </c>
      <c r="F1440" t="s">
        <v>1896</v>
      </c>
      <c r="G1440">
        <v>1</v>
      </c>
    </row>
    <row r="1441" spans="1:7" hidden="1" x14ac:dyDescent="0.25">
      <c r="A1441" s="28" t="s">
        <v>4945</v>
      </c>
      <c r="B1441" s="29">
        <v>45042.2</v>
      </c>
      <c r="F1441" t="s">
        <v>4945</v>
      </c>
      <c r="G1441">
        <v>1</v>
      </c>
    </row>
    <row r="1442" spans="1:7" hidden="1" x14ac:dyDescent="0.25">
      <c r="A1442" s="28" t="s">
        <v>2797</v>
      </c>
      <c r="B1442" s="29">
        <v>45042.2</v>
      </c>
      <c r="F1442" t="s">
        <v>2797</v>
      </c>
      <c r="G1442">
        <v>1</v>
      </c>
    </row>
    <row r="1443" spans="1:7" hidden="1" x14ac:dyDescent="0.25">
      <c r="A1443" s="28" t="s">
        <v>2843</v>
      </c>
      <c r="B1443" s="29">
        <v>45042.2</v>
      </c>
      <c r="F1443" t="s">
        <v>2843</v>
      </c>
      <c r="G1443">
        <v>1</v>
      </c>
    </row>
    <row r="1444" spans="1:7" hidden="1" x14ac:dyDescent="0.25">
      <c r="A1444" s="28" t="s">
        <v>4071</v>
      </c>
      <c r="B1444" s="29">
        <v>45042.2</v>
      </c>
      <c r="F1444" t="s">
        <v>4071</v>
      </c>
      <c r="G1444">
        <v>1</v>
      </c>
    </row>
    <row r="1445" spans="1:7" hidden="1" x14ac:dyDescent="0.25">
      <c r="A1445" s="28" t="s">
        <v>3091</v>
      </c>
      <c r="B1445" s="29">
        <v>45042.2</v>
      </c>
      <c r="F1445" t="s">
        <v>3091</v>
      </c>
      <c r="G1445">
        <v>1</v>
      </c>
    </row>
    <row r="1446" spans="1:7" hidden="1" x14ac:dyDescent="0.25">
      <c r="A1446" s="28" t="s">
        <v>2946</v>
      </c>
      <c r="B1446" s="29">
        <v>45042.2</v>
      </c>
      <c r="F1446" t="s">
        <v>2946</v>
      </c>
      <c r="G1446">
        <v>1</v>
      </c>
    </row>
    <row r="1447" spans="1:7" hidden="1" x14ac:dyDescent="0.25">
      <c r="A1447" s="28" t="s">
        <v>2753</v>
      </c>
      <c r="B1447" s="29">
        <v>45042.2</v>
      </c>
      <c r="F1447" t="s">
        <v>2753</v>
      </c>
      <c r="G1447">
        <v>1</v>
      </c>
    </row>
    <row r="1448" spans="1:7" hidden="1" x14ac:dyDescent="0.25">
      <c r="A1448" s="28" t="s">
        <v>3753</v>
      </c>
      <c r="B1448" s="29">
        <v>45042.2</v>
      </c>
      <c r="F1448" t="s">
        <v>3753</v>
      </c>
      <c r="G1448">
        <v>1</v>
      </c>
    </row>
    <row r="1449" spans="1:7" hidden="1" x14ac:dyDescent="0.25">
      <c r="A1449" s="28" t="s">
        <v>4383</v>
      </c>
      <c r="B1449" s="29">
        <v>45042.2</v>
      </c>
      <c r="F1449" t="s">
        <v>4383</v>
      </c>
      <c r="G1449">
        <v>1</v>
      </c>
    </row>
    <row r="1450" spans="1:7" hidden="1" x14ac:dyDescent="0.25">
      <c r="A1450" s="28" t="s">
        <v>4782</v>
      </c>
      <c r="B1450" s="29">
        <v>45042.2</v>
      </c>
      <c r="F1450" t="s">
        <v>4782</v>
      </c>
      <c r="G1450">
        <v>1</v>
      </c>
    </row>
    <row r="1451" spans="1:7" hidden="1" x14ac:dyDescent="0.25">
      <c r="A1451" s="28" t="s">
        <v>3951</v>
      </c>
      <c r="B1451" s="29">
        <v>45042.2</v>
      </c>
      <c r="F1451" t="s">
        <v>3951</v>
      </c>
      <c r="G1451">
        <v>1</v>
      </c>
    </row>
    <row r="1452" spans="1:7" hidden="1" x14ac:dyDescent="0.25">
      <c r="A1452" s="28" t="s">
        <v>4166</v>
      </c>
      <c r="B1452" s="29">
        <v>45042.2</v>
      </c>
      <c r="F1452" t="s">
        <v>4166</v>
      </c>
      <c r="G1452">
        <v>1</v>
      </c>
    </row>
    <row r="1453" spans="1:7" hidden="1" x14ac:dyDescent="0.25">
      <c r="A1453" s="28" t="s">
        <v>4139</v>
      </c>
      <c r="B1453" s="29">
        <v>45042.2</v>
      </c>
      <c r="F1453" t="s">
        <v>4139</v>
      </c>
      <c r="G1453">
        <v>1</v>
      </c>
    </row>
    <row r="1454" spans="1:7" hidden="1" x14ac:dyDescent="0.25">
      <c r="A1454" s="28" t="s">
        <v>4789</v>
      </c>
      <c r="B1454" s="29">
        <v>45042.2</v>
      </c>
      <c r="F1454" t="s">
        <v>4789</v>
      </c>
      <c r="G1454">
        <v>1</v>
      </c>
    </row>
    <row r="1455" spans="1:7" hidden="1" x14ac:dyDescent="0.25">
      <c r="A1455" s="28" t="s">
        <v>4834</v>
      </c>
      <c r="B1455" s="29">
        <v>55424.27</v>
      </c>
      <c r="F1455" t="s">
        <v>4834</v>
      </c>
      <c r="G1455">
        <v>1</v>
      </c>
    </row>
    <row r="1456" spans="1:7" hidden="1" x14ac:dyDescent="0.25">
      <c r="A1456" s="28" t="s">
        <v>4853</v>
      </c>
      <c r="B1456" s="29">
        <v>45042.2</v>
      </c>
      <c r="F1456" t="s">
        <v>4853</v>
      </c>
      <c r="G1456">
        <v>1</v>
      </c>
    </row>
    <row r="1457" spans="1:7" hidden="1" x14ac:dyDescent="0.25">
      <c r="A1457" s="28" t="s">
        <v>2308</v>
      </c>
      <c r="B1457" s="29">
        <v>45042.2</v>
      </c>
      <c r="F1457" t="s">
        <v>2308</v>
      </c>
      <c r="G1457">
        <v>1</v>
      </c>
    </row>
    <row r="1458" spans="1:7" hidden="1" x14ac:dyDescent="0.25">
      <c r="A1458" s="28" t="s">
        <v>3146</v>
      </c>
      <c r="B1458" s="29">
        <v>45042.2</v>
      </c>
      <c r="F1458" t="s">
        <v>3146</v>
      </c>
      <c r="G1458">
        <v>1</v>
      </c>
    </row>
    <row r="1459" spans="1:7" hidden="1" x14ac:dyDescent="0.25">
      <c r="A1459" s="28" t="s">
        <v>4441</v>
      </c>
      <c r="B1459" s="29">
        <v>45042.2</v>
      </c>
      <c r="F1459" t="s">
        <v>4441</v>
      </c>
      <c r="G1459">
        <v>1</v>
      </c>
    </row>
    <row r="1460" spans="1:7" hidden="1" x14ac:dyDescent="0.25">
      <c r="A1460" s="28" t="s">
        <v>4546</v>
      </c>
      <c r="B1460" s="29">
        <v>45042.2</v>
      </c>
      <c r="F1460" t="s">
        <v>4546</v>
      </c>
      <c r="G1460">
        <v>1</v>
      </c>
    </row>
    <row r="1461" spans="1:7" hidden="1" x14ac:dyDescent="0.25">
      <c r="A1461" s="28" t="s">
        <v>4888</v>
      </c>
      <c r="B1461" s="29">
        <v>45042.2</v>
      </c>
      <c r="F1461" t="s">
        <v>4888</v>
      </c>
      <c r="G1461">
        <v>1</v>
      </c>
    </row>
    <row r="1462" spans="1:7" hidden="1" x14ac:dyDescent="0.25">
      <c r="A1462" s="28" t="s">
        <v>2697</v>
      </c>
      <c r="B1462" s="29">
        <v>43672.26</v>
      </c>
      <c r="F1462" t="s">
        <v>2697</v>
      </c>
      <c r="G1462">
        <v>1</v>
      </c>
    </row>
    <row r="1463" spans="1:7" hidden="1" x14ac:dyDescent="0.25">
      <c r="A1463" s="28" t="s">
        <v>3935</v>
      </c>
      <c r="B1463" s="29">
        <v>43672.26</v>
      </c>
      <c r="F1463" t="s">
        <v>3935</v>
      </c>
      <c r="G1463">
        <v>1</v>
      </c>
    </row>
    <row r="1464" spans="1:7" hidden="1" x14ac:dyDescent="0.25">
      <c r="A1464" s="28" t="s">
        <v>4453</v>
      </c>
      <c r="B1464" s="29">
        <v>43672.26</v>
      </c>
      <c r="F1464" t="s">
        <v>4453</v>
      </c>
      <c r="G1464">
        <v>1</v>
      </c>
    </row>
    <row r="1465" spans="1:7" hidden="1" x14ac:dyDescent="0.25">
      <c r="A1465" s="28" t="s">
        <v>2864</v>
      </c>
      <c r="B1465" s="29">
        <v>45042.2</v>
      </c>
      <c r="F1465" t="s">
        <v>2864</v>
      </c>
      <c r="G1465">
        <v>1</v>
      </c>
    </row>
    <row r="1466" spans="1:7" hidden="1" x14ac:dyDescent="0.25">
      <c r="A1466" s="28" t="s">
        <v>2990</v>
      </c>
      <c r="B1466" s="29">
        <v>45042.2</v>
      </c>
      <c r="F1466" t="s">
        <v>2990</v>
      </c>
      <c r="G1466">
        <v>1</v>
      </c>
    </row>
    <row r="1467" spans="1:7" hidden="1" x14ac:dyDescent="0.25">
      <c r="A1467" s="28" t="s">
        <v>4689</v>
      </c>
      <c r="B1467" s="29">
        <v>45042.2</v>
      </c>
      <c r="F1467" t="s">
        <v>4689</v>
      </c>
      <c r="G1467">
        <v>1</v>
      </c>
    </row>
    <row r="1468" spans="1:7" hidden="1" x14ac:dyDescent="0.25">
      <c r="A1468" s="28" t="s">
        <v>2639</v>
      </c>
      <c r="B1468" s="29">
        <v>45042.2</v>
      </c>
      <c r="F1468" t="s">
        <v>2639</v>
      </c>
      <c r="G1468">
        <v>1</v>
      </c>
    </row>
    <row r="1469" spans="1:7" hidden="1" x14ac:dyDescent="0.25">
      <c r="A1469" s="28" t="s">
        <v>4699</v>
      </c>
      <c r="B1469" s="29">
        <v>45042.2</v>
      </c>
      <c r="F1469" t="s">
        <v>4699</v>
      </c>
      <c r="G1469">
        <v>1</v>
      </c>
    </row>
    <row r="1470" spans="1:7" hidden="1" x14ac:dyDescent="0.25">
      <c r="A1470" s="28" t="s">
        <v>2854</v>
      </c>
      <c r="B1470" s="29">
        <v>43672.26</v>
      </c>
      <c r="F1470" t="s">
        <v>2854</v>
      </c>
      <c r="G1470">
        <v>1</v>
      </c>
    </row>
    <row r="1471" spans="1:7" hidden="1" x14ac:dyDescent="0.25">
      <c r="A1471" s="28" t="s">
        <v>3179</v>
      </c>
      <c r="B1471" s="29">
        <v>43672.26</v>
      </c>
      <c r="F1471" t="s">
        <v>3179</v>
      </c>
      <c r="G1471">
        <v>1</v>
      </c>
    </row>
    <row r="1472" spans="1:7" hidden="1" x14ac:dyDescent="0.25">
      <c r="A1472" s="28" t="s">
        <v>4437</v>
      </c>
      <c r="B1472" s="29">
        <v>43672.26</v>
      </c>
      <c r="F1472" t="s">
        <v>4437</v>
      </c>
      <c r="G1472">
        <v>1</v>
      </c>
    </row>
    <row r="1473" spans="1:7" hidden="1" x14ac:dyDescent="0.25">
      <c r="A1473" s="28" t="s">
        <v>4845</v>
      </c>
      <c r="B1473" s="29">
        <v>45042.2</v>
      </c>
      <c r="F1473" t="s">
        <v>4845</v>
      </c>
      <c r="G1473">
        <v>1</v>
      </c>
    </row>
    <row r="1474" spans="1:7" hidden="1" x14ac:dyDescent="0.25">
      <c r="A1474" s="28" t="s">
        <v>4604</v>
      </c>
      <c r="B1474" s="29">
        <v>45042.2</v>
      </c>
      <c r="F1474" t="s">
        <v>4604</v>
      </c>
      <c r="G1474">
        <v>1</v>
      </c>
    </row>
    <row r="1475" spans="1:7" hidden="1" x14ac:dyDescent="0.25">
      <c r="A1475" s="28" t="s">
        <v>4952</v>
      </c>
      <c r="B1475" s="29">
        <v>45042.2</v>
      </c>
      <c r="F1475" t="s">
        <v>4952</v>
      </c>
      <c r="G1475">
        <v>1</v>
      </c>
    </row>
    <row r="1476" spans="1:7" hidden="1" x14ac:dyDescent="0.25">
      <c r="A1476" s="28" t="s">
        <v>4603</v>
      </c>
      <c r="B1476" s="29">
        <v>43672.26</v>
      </c>
      <c r="F1476" t="s">
        <v>4603</v>
      </c>
      <c r="G1476">
        <v>1</v>
      </c>
    </row>
    <row r="1477" spans="1:7" hidden="1" x14ac:dyDescent="0.25">
      <c r="A1477" s="28" t="s">
        <v>4696</v>
      </c>
      <c r="B1477" s="29">
        <v>45042.2</v>
      </c>
      <c r="F1477" t="s">
        <v>4696</v>
      </c>
      <c r="G1477">
        <v>1</v>
      </c>
    </row>
    <row r="1478" spans="1:7" hidden="1" x14ac:dyDescent="0.25">
      <c r="A1478" s="28" t="s">
        <v>2914</v>
      </c>
      <c r="B1478" s="29">
        <v>45042.2</v>
      </c>
      <c r="F1478" t="s">
        <v>2914</v>
      </c>
      <c r="G1478">
        <v>1</v>
      </c>
    </row>
    <row r="1479" spans="1:7" hidden="1" x14ac:dyDescent="0.25">
      <c r="A1479" s="28" t="s">
        <v>4881</v>
      </c>
      <c r="B1479" s="29">
        <v>45042.2</v>
      </c>
      <c r="F1479" t="s">
        <v>4881</v>
      </c>
      <c r="G1479">
        <v>1</v>
      </c>
    </row>
    <row r="1480" spans="1:7" hidden="1" x14ac:dyDescent="0.25">
      <c r="A1480" s="28" t="s">
        <v>2552</v>
      </c>
      <c r="B1480" s="29">
        <v>45042.2</v>
      </c>
      <c r="F1480" t="s">
        <v>2552</v>
      </c>
      <c r="G1480">
        <v>1</v>
      </c>
    </row>
    <row r="1481" spans="1:7" hidden="1" x14ac:dyDescent="0.25">
      <c r="A1481" s="28" t="s">
        <v>3793</v>
      </c>
      <c r="B1481" s="29">
        <v>43672.26</v>
      </c>
      <c r="F1481" t="s">
        <v>3793</v>
      </c>
      <c r="G1481">
        <v>1</v>
      </c>
    </row>
    <row r="1482" spans="1:7" hidden="1" x14ac:dyDescent="0.25">
      <c r="A1482" s="28" t="s">
        <v>4602</v>
      </c>
      <c r="B1482" s="29">
        <v>45042.2</v>
      </c>
      <c r="F1482" t="s">
        <v>4602</v>
      </c>
      <c r="G1482">
        <v>1</v>
      </c>
    </row>
    <row r="1483" spans="1:7" hidden="1" x14ac:dyDescent="0.25">
      <c r="A1483" s="28" t="s">
        <v>4456</v>
      </c>
      <c r="B1483" s="29">
        <v>45042.2</v>
      </c>
      <c r="F1483" t="s">
        <v>4456</v>
      </c>
      <c r="G1483">
        <v>1</v>
      </c>
    </row>
    <row r="1484" spans="1:7" hidden="1" x14ac:dyDescent="0.25">
      <c r="A1484" s="28" t="s">
        <v>4369</v>
      </c>
      <c r="B1484" s="29">
        <v>45042.2</v>
      </c>
      <c r="F1484" t="s">
        <v>4369</v>
      </c>
      <c r="G1484">
        <v>1</v>
      </c>
    </row>
    <row r="1485" spans="1:7" hidden="1" x14ac:dyDescent="0.25">
      <c r="A1485" s="28" t="s">
        <v>4862</v>
      </c>
      <c r="B1485" s="29">
        <v>45042.2</v>
      </c>
      <c r="F1485" t="s">
        <v>4862</v>
      </c>
      <c r="G1485">
        <v>1</v>
      </c>
    </row>
    <row r="1486" spans="1:7" hidden="1" x14ac:dyDescent="0.25">
      <c r="A1486" s="28" t="s">
        <v>4846</v>
      </c>
      <c r="B1486" s="29">
        <v>55424.27</v>
      </c>
      <c r="F1486" t="s">
        <v>4846</v>
      </c>
      <c r="G1486">
        <v>1</v>
      </c>
    </row>
    <row r="1487" spans="1:7" hidden="1" x14ac:dyDescent="0.25">
      <c r="A1487" s="28" t="s">
        <v>4658</v>
      </c>
      <c r="B1487" s="29">
        <v>45042.2</v>
      </c>
      <c r="F1487" t="s">
        <v>4658</v>
      </c>
      <c r="G1487">
        <v>1</v>
      </c>
    </row>
    <row r="1488" spans="1:7" hidden="1" x14ac:dyDescent="0.25">
      <c r="A1488" s="28" t="s">
        <v>4529</v>
      </c>
      <c r="B1488" s="29">
        <v>45042.2</v>
      </c>
      <c r="F1488" t="s">
        <v>4529</v>
      </c>
      <c r="G1488">
        <v>1</v>
      </c>
    </row>
    <row r="1489" spans="1:7" hidden="1" x14ac:dyDescent="0.25">
      <c r="A1489" s="28" t="s">
        <v>4656</v>
      </c>
      <c r="B1489" s="29">
        <v>45042.2</v>
      </c>
      <c r="F1489" t="s">
        <v>4656</v>
      </c>
      <c r="G1489">
        <v>1</v>
      </c>
    </row>
    <row r="1490" spans="1:7" hidden="1" x14ac:dyDescent="0.25">
      <c r="A1490" s="28" t="s">
        <v>4551</v>
      </c>
      <c r="B1490" s="29">
        <v>45042.2</v>
      </c>
      <c r="F1490" t="s">
        <v>4551</v>
      </c>
      <c r="G1490">
        <v>1</v>
      </c>
    </row>
    <row r="1491" spans="1:7" hidden="1" x14ac:dyDescent="0.25">
      <c r="A1491" s="28" t="s">
        <v>4544</v>
      </c>
      <c r="B1491" s="29">
        <v>45042.2</v>
      </c>
      <c r="F1491" t="s">
        <v>4544</v>
      </c>
      <c r="G1491">
        <v>1</v>
      </c>
    </row>
    <row r="1492" spans="1:7" hidden="1" x14ac:dyDescent="0.25">
      <c r="A1492" s="28" t="s">
        <v>4811</v>
      </c>
      <c r="B1492" s="29">
        <v>45042.2</v>
      </c>
      <c r="F1492" t="s">
        <v>4811</v>
      </c>
      <c r="G1492">
        <v>1</v>
      </c>
    </row>
    <row r="1493" spans="1:7" hidden="1" x14ac:dyDescent="0.25">
      <c r="A1493" s="28" t="s">
        <v>3088</v>
      </c>
      <c r="B1493" s="29">
        <v>45042.2</v>
      </c>
      <c r="F1493" t="s">
        <v>3088</v>
      </c>
      <c r="G1493">
        <v>1</v>
      </c>
    </row>
    <row r="1494" spans="1:7" hidden="1" x14ac:dyDescent="0.25">
      <c r="A1494" s="28" t="s">
        <v>4472</v>
      </c>
      <c r="B1494" s="29">
        <v>45042.2</v>
      </c>
      <c r="F1494" t="s">
        <v>4472</v>
      </c>
      <c r="G1494">
        <v>1</v>
      </c>
    </row>
    <row r="1495" spans="1:7" hidden="1" x14ac:dyDescent="0.25">
      <c r="A1495" s="28" t="s">
        <v>4667</v>
      </c>
      <c r="B1495" s="29">
        <v>45042.2</v>
      </c>
      <c r="F1495" t="s">
        <v>4667</v>
      </c>
      <c r="G1495">
        <v>1</v>
      </c>
    </row>
    <row r="1496" spans="1:7" hidden="1" x14ac:dyDescent="0.25">
      <c r="A1496" s="28" t="s">
        <v>4662</v>
      </c>
      <c r="B1496" s="29">
        <v>45042.2</v>
      </c>
      <c r="F1496" t="s">
        <v>4662</v>
      </c>
      <c r="G1496">
        <v>1</v>
      </c>
    </row>
    <row r="1497" spans="1:7" hidden="1" x14ac:dyDescent="0.25">
      <c r="A1497" s="28" t="s">
        <v>4770</v>
      </c>
      <c r="B1497" s="29">
        <v>45042.2</v>
      </c>
      <c r="F1497" t="s">
        <v>4770</v>
      </c>
      <c r="G1497">
        <v>1</v>
      </c>
    </row>
    <row r="1498" spans="1:7" hidden="1" x14ac:dyDescent="0.25">
      <c r="A1498" s="28" t="s">
        <v>4180</v>
      </c>
      <c r="B1498" s="29">
        <v>55424.27</v>
      </c>
      <c r="F1498" t="s">
        <v>4180</v>
      </c>
      <c r="G1498">
        <v>1</v>
      </c>
    </row>
    <row r="1499" spans="1:7" hidden="1" x14ac:dyDescent="0.25">
      <c r="A1499" s="28" t="s">
        <v>4762</v>
      </c>
      <c r="B1499" s="29">
        <v>55424.27</v>
      </c>
      <c r="F1499" t="s">
        <v>4762</v>
      </c>
      <c r="G1499">
        <v>1</v>
      </c>
    </row>
    <row r="1500" spans="1:7" hidden="1" x14ac:dyDescent="0.25">
      <c r="A1500" s="28" t="s">
        <v>4641</v>
      </c>
      <c r="B1500" s="29">
        <v>45042.2</v>
      </c>
      <c r="F1500" t="s">
        <v>4641</v>
      </c>
      <c r="G1500">
        <v>1</v>
      </c>
    </row>
    <row r="1501" spans="1:7" hidden="1" x14ac:dyDescent="0.25">
      <c r="A1501" s="28" t="s">
        <v>4684</v>
      </c>
      <c r="B1501" s="29">
        <v>45042.2</v>
      </c>
      <c r="F1501" t="s">
        <v>4684</v>
      </c>
      <c r="G1501">
        <v>1</v>
      </c>
    </row>
    <row r="1502" spans="1:7" hidden="1" x14ac:dyDescent="0.25">
      <c r="A1502" s="28" t="s">
        <v>4769</v>
      </c>
      <c r="B1502" s="29">
        <v>45042.2</v>
      </c>
      <c r="F1502" t="s">
        <v>4769</v>
      </c>
      <c r="G1502">
        <v>1</v>
      </c>
    </row>
    <row r="1503" spans="1:7" hidden="1" x14ac:dyDescent="0.25">
      <c r="A1503" s="28" t="s">
        <v>4620</v>
      </c>
      <c r="B1503" s="29">
        <v>45042.2</v>
      </c>
      <c r="F1503" t="s">
        <v>4620</v>
      </c>
      <c r="G1503">
        <v>1</v>
      </c>
    </row>
    <row r="1504" spans="1:7" hidden="1" x14ac:dyDescent="0.25">
      <c r="A1504" s="28" t="s">
        <v>3654</v>
      </c>
      <c r="B1504" s="29">
        <v>45042.2</v>
      </c>
      <c r="F1504" t="s">
        <v>3654</v>
      </c>
      <c r="G1504">
        <v>1</v>
      </c>
    </row>
    <row r="1505" spans="1:7" x14ac:dyDescent="0.25">
      <c r="A1505" s="28" t="s">
        <v>1368</v>
      </c>
      <c r="B1505" s="29">
        <v>45767.379399999998</v>
      </c>
      <c r="F1505" t="s">
        <v>1368</v>
      </c>
      <c r="G1505">
        <v>2</v>
      </c>
    </row>
    <row r="1506" spans="1:7" hidden="1" x14ac:dyDescent="0.25">
      <c r="A1506" s="28" t="s">
        <v>4840</v>
      </c>
      <c r="B1506" s="29">
        <v>45042.2</v>
      </c>
      <c r="F1506" t="s">
        <v>4840</v>
      </c>
      <c r="G1506">
        <v>1</v>
      </c>
    </row>
    <row r="1507" spans="1:7" hidden="1" x14ac:dyDescent="0.25">
      <c r="A1507" s="28" t="s">
        <v>4754</v>
      </c>
      <c r="B1507" s="29">
        <v>45042.2</v>
      </c>
      <c r="F1507" t="s">
        <v>4754</v>
      </c>
      <c r="G1507">
        <v>1</v>
      </c>
    </row>
    <row r="1508" spans="1:7" hidden="1" x14ac:dyDescent="0.25">
      <c r="A1508" s="28" t="s">
        <v>3932</v>
      </c>
      <c r="B1508" s="29">
        <v>45042.2</v>
      </c>
      <c r="F1508" t="s">
        <v>3932</v>
      </c>
      <c r="G1508">
        <v>1</v>
      </c>
    </row>
    <row r="1509" spans="1:7" x14ac:dyDescent="0.25">
      <c r="A1509" s="28" t="s">
        <v>911</v>
      </c>
      <c r="B1509" s="29">
        <v>45767.379399999998</v>
      </c>
      <c r="F1509" t="s">
        <v>911</v>
      </c>
      <c r="G1509">
        <v>2</v>
      </c>
    </row>
    <row r="1510" spans="1:7" hidden="1" x14ac:dyDescent="0.25">
      <c r="A1510" s="28" t="s">
        <v>1529</v>
      </c>
      <c r="B1510" s="29">
        <v>46492.558799999999</v>
      </c>
      <c r="F1510" t="s">
        <v>1529</v>
      </c>
      <c r="G1510">
        <v>1</v>
      </c>
    </row>
    <row r="1511" spans="1:7" hidden="1" x14ac:dyDescent="0.25">
      <c r="A1511" s="28" t="s">
        <v>3233</v>
      </c>
      <c r="B1511" s="29">
        <v>45042.2</v>
      </c>
      <c r="F1511" t="s">
        <v>3233</v>
      </c>
      <c r="G1511">
        <v>1</v>
      </c>
    </row>
    <row r="1512" spans="1:7" hidden="1" x14ac:dyDescent="0.25">
      <c r="A1512" s="28" t="s">
        <v>3136</v>
      </c>
      <c r="B1512" s="29">
        <v>45042.2</v>
      </c>
      <c r="F1512" t="s">
        <v>3136</v>
      </c>
      <c r="G1512">
        <v>1</v>
      </c>
    </row>
    <row r="1513" spans="1:7" hidden="1" x14ac:dyDescent="0.25">
      <c r="A1513" s="28" t="s">
        <v>2821</v>
      </c>
      <c r="B1513" s="29">
        <v>45042.2</v>
      </c>
      <c r="F1513" t="s">
        <v>2821</v>
      </c>
      <c r="G1513">
        <v>1</v>
      </c>
    </row>
    <row r="1514" spans="1:7" hidden="1" x14ac:dyDescent="0.25">
      <c r="A1514" s="28" t="s">
        <v>4040</v>
      </c>
      <c r="B1514" s="29">
        <v>45042.2</v>
      </c>
      <c r="F1514" t="s">
        <v>4040</v>
      </c>
      <c r="G1514">
        <v>1</v>
      </c>
    </row>
    <row r="1515" spans="1:7" hidden="1" x14ac:dyDescent="0.25">
      <c r="A1515" s="28" t="s">
        <v>4110</v>
      </c>
      <c r="B1515" s="29">
        <v>45042.2</v>
      </c>
      <c r="F1515" t="s">
        <v>4110</v>
      </c>
      <c r="G1515">
        <v>1</v>
      </c>
    </row>
    <row r="1516" spans="1:7" hidden="1" x14ac:dyDescent="0.25">
      <c r="A1516" s="28" t="s">
        <v>2590</v>
      </c>
      <c r="B1516" s="29">
        <v>45042.2</v>
      </c>
      <c r="F1516" t="s">
        <v>2590</v>
      </c>
      <c r="G1516">
        <v>1</v>
      </c>
    </row>
    <row r="1517" spans="1:7" hidden="1" x14ac:dyDescent="0.25">
      <c r="A1517" s="28" t="s">
        <v>4637</v>
      </c>
      <c r="B1517" s="29">
        <v>45042.2</v>
      </c>
      <c r="F1517" t="s">
        <v>4637</v>
      </c>
      <c r="G1517">
        <v>1</v>
      </c>
    </row>
    <row r="1518" spans="1:7" hidden="1" x14ac:dyDescent="0.25">
      <c r="A1518" s="28" t="s">
        <v>3558</v>
      </c>
      <c r="B1518" s="29">
        <v>45042.2</v>
      </c>
      <c r="F1518" t="s">
        <v>3558</v>
      </c>
      <c r="G1518">
        <v>1</v>
      </c>
    </row>
    <row r="1519" spans="1:7" hidden="1" x14ac:dyDescent="0.25">
      <c r="A1519" s="28" t="s">
        <v>3898</v>
      </c>
      <c r="B1519" s="29">
        <v>45042.2</v>
      </c>
      <c r="F1519" t="s">
        <v>3898</v>
      </c>
      <c r="G1519">
        <v>1</v>
      </c>
    </row>
    <row r="1520" spans="1:7" hidden="1" x14ac:dyDescent="0.25">
      <c r="A1520" s="28" t="s">
        <v>4361</v>
      </c>
      <c r="B1520" s="29">
        <v>45042.2</v>
      </c>
      <c r="F1520" t="s">
        <v>4361</v>
      </c>
      <c r="G1520">
        <v>1</v>
      </c>
    </row>
    <row r="1521" spans="1:7" hidden="1" x14ac:dyDescent="0.25">
      <c r="A1521" s="28" t="s">
        <v>3643</v>
      </c>
      <c r="B1521" s="29">
        <v>45042.2</v>
      </c>
      <c r="F1521" t="s">
        <v>3643</v>
      </c>
      <c r="G1521">
        <v>1</v>
      </c>
    </row>
    <row r="1522" spans="1:7" hidden="1" x14ac:dyDescent="0.25">
      <c r="A1522" s="28" t="s">
        <v>4299</v>
      </c>
      <c r="B1522" s="29">
        <v>45042.2</v>
      </c>
      <c r="F1522" t="s">
        <v>4299</v>
      </c>
      <c r="G1522">
        <v>1</v>
      </c>
    </row>
    <row r="1523" spans="1:7" hidden="1" x14ac:dyDescent="0.25">
      <c r="A1523" s="28" t="s">
        <v>4479</v>
      </c>
      <c r="B1523" s="29">
        <v>45042.2</v>
      </c>
      <c r="F1523" t="s">
        <v>4479</v>
      </c>
      <c r="G1523">
        <v>1</v>
      </c>
    </row>
    <row r="1524" spans="1:7" hidden="1" x14ac:dyDescent="0.25">
      <c r="A1524" s="28" t="s">
        <v>3907</v>
      </c>
      <c r="B1524" s="29">
        <v>43672.26</v>
      </c>
      <c r="F1524" t="s">
        <v>3907</v>
      </c>
      <c r="G1524">
        <v>1</v>
      </c>
    </row>
    <row r="1525" spans="1:7" x14ac:dyDescent="0.25">
      <c r="A1525" s="28" t="s">
        <v>1119</v>
      </c>
      <c r="B1525" s="29">
        <v>44375.383400000006</v>
      </c>
      <c r="F1525" t="s">
        <v>1119</v>
      </c>
      <c r="G1525">
        <v>2</v>
      </c>
    </row>
    <row r="1526" spans="1:7" hidden="1" x14ac:dyDescent="0.25">
      <c r="A1526" s="28" t="s">
        <v>4791</v>
      </c>
      <c r="B1526" s="29">
        <v>43672.26</v>
      </c>
      <c r="F1526" t="s">
        <v>4791</v>
      </c>
      <c r="G1526">
        <v>1</v>
      </c>
    </row>
    <row r="1527" spans="1:7" hidden="1" x14ac:dyDescent="0.25">
      <c r="A1527" s="28" t="s">
        <v>2768</v>
      </c>
      <c r="B1527" s="29">
        <v>43672.26</v>
      </c>
      <c r="F1527" t="s">
        <v>2768</v>
      </c>
      <c r="G1527">
        <v>1</v>
      </c>
    </row>
    <row r="1528" spans="1:7" hidden="1" x14ac:dyDescent="0.25">
      <c r="A1528" s="28" t="s">
        <v>4918</v>
      </c>
      <c r="B1528" s="29">
        <v>43672.26</v>
      </c>
      <c r="F1528" t="s">
        <v>4918</v>
      </c>
      <c r="G1528">
        <v>1</v>
      </c>
    </row>
    <row r="1529" spans="1:7" hidden="1" x14ac:dyDescent="0.25">
      <c r="A1529" s="28" t="s">
        <v>3495</v>
      </c>
      <c r="B1529" s="29">
        <v>43672.26</v>
      </c>
      <c r="F1529" t="s">
        <v>3495</v>
      </c>
      <c r="G1529">
        <v>1</v>
      </c>
    </row>
    <row r="1530" spans="1:7" hidden="1" x14ac:dyDescent="0.25">
      <c r="A1530" s="28" t="s">
        <v>3390</v>
      </c>
      <c r="B1530" s="29">
        <v>43672.26</v>
      </c>
      <c r="F1530" t="s">
        <v>3390</v>
      </c>
      <c r="G1530">
        <v>1</v>
      </c>
    </row>
    <row r="1531" spans="1:7" hidden="1" x14ac:dyDescent="0.25">
      <c r="A1531" s="28" t="s">
        <v>3581</v>
      </c>
      <c r="B1531" s="29">
        <v>43672.26</v>
      </c>
      <c r="F1531" t="s">
        <v>3581</v>
      </c>
      <c r="G1531">
        <v>1</v>
      </c>
    </row>
    <row r="1532" spans="1:7" hidden="1" x14ac:dyDescent="0.25">
      <c r="A1532" s="28" t="s">
        <v>4085</v>
      </c>
      <c r="B1532" s="29">
        <v>43672.26</v>
      </c>
      <c r="F1532" t="s">
        <v>4085</v>
      </c>
      <c r="G1532">
        <v>1</v>
      </c>
    </row>
    <row r="1533" spans="1:7" hidden="1" x14ac:dyDescent="0.25">
      <c r="A1533" s="28" t="s">
        <v>3541</v>
      </c>
      <c r="B1533" s="29">
        <v>43672.26</v>
      </c>
      <c r="F1533" t="s">
        <v>3541</v>
      </c>
      <c r="G1533">
        <v>1</v>
      </c>
    </row>
    <row r="1534" spans="1:7" hidden="1" x14ac:dyDescent="0.25">
      <c r="A1534" s="28" t="s">
        <v>2997</v>
      </c>
      <c r="B1534" s="29">
        <v>55424.27</v>
      </c>
      <c r="F1534" t="s">
        <v>2997</v>
      </c>
      <c r="G1534">
        <v>1</v>
      </c>
    </row>
    <row r="1535" spans="1:7" hidden="1" x14ac:dyDescent="0.25">
      <c r="A1535" s="28" t="s">
        <v>3718</v>
      </c>
      <c r="B1535" s="29">
        <v>55424.27</v>
      </c>
      <c r="F1535" t="s">
        <v>3718</v>
      </c>
      <c r="G1535">
        <v>1</v>
      </c>
    </row>
    <row r="1536" spans="1:7" hidden="1" x14ac:dyDescent="0.25">
      <c r="A1536" s="28" t="s">
        <v>3741</v>
      </c>
      <c r="B1536" s="29">
        <v>55424.27</v>
      </c>
      <c r="F1536" t="s">
        <v>3741</v>
      </c>
      <c r="G1536">
        <v>1</v>
      </c>
    </row>
    <row r="1537" spans="1:7" x14ac:dyDescent="0.25">
      <c r="A1537" s="28" t="s">
        <v>986</v>
      </c>
      <c r="B1537" s="29">
        <v>55055.691749999998</v>
      </c>
      <c r="F1537" t="s">
        <v>986</v>
      </c>
      <c r="G1537">
        <v>2</v>
      </c>
    </row>
    <row r="1538" spans="1:7" x14ac:dyDescent="0.25">
      <c r="A1538" s="28" t="s">
        <v>403</v>
      </c>
      <c r="B1538" s="29">
        <v>55055.691749999998</v>
      </c>
      <c r="F1538" t="s">
        <v>403</v>
      </c>
      <c r="G1538">
        <v>2</v>
      </c>
    </row>
    <row r="1539" spans="1:7" hidden="1" x14ac:dyDescent="0.25">
      <c r="A1539" s="28" t="s">
        <v>416</v>
      </c>
      <c r="B1539" s="29">
        <v>58673.716200000003</v>
      </c>
      <c r="F1539" t="s">
        <v>416</v>
      </c>
      <c r="G1539">
        <v>1</v>
      </c>
    </row>
    <row r="1540" spans="1:7" x14ac:dyDescent="0.25">
      <c r="A1540" s="28" t="s">
        <v>414</v>
      </c>
      <c r="B1540" s="29">
        <v>57758.538100000005</v>
      </c>
      <c r="F1540" t="s">
        <v>414</v>
      </c>
      <c r="G1540">
        <v>2</v>
      </c>
    </row>
    <row r="1541" spans="1:7" x14ac:dyDescent="0.25">
      <c r="A1541" s="28" t="s">
        <v>681</v>
      </c>
      <c r="B1541" s="29">
        <v>56316.600749999998</v>
      </c>
      <c r="F1541" t="s">
        <v>681</v>
      </c>
      <c r="G1541">
        <v>2</v>
      </c>
    </row>
    <row r="1542" spans="1:7" x14ac:dyDescent="0.25">
      <c r="A1542" s="28" t="s">
        <v>186</v>
      </c>
      <c r="B1542" s="29">
        <v>55055.691749999998</v>
      </c>
      <c r="F1542" t="s">
        <v>186</v>
      </c>
      <c r="G1542">
        <v>2</v>
      </c>
    </row>
    <row r="1543" spans="1:7" hidden="1" x14ac:dyDescent="0.25">
      <c r="A1543" s="28" t="s">
        <v>5001</v>
      </c>
      <c r="B1543" s="29">
        <v>54183.34</v>
      </c>
      <c r="F1543" t="s">
        <v>5001</v>
      </c>
      <c r="G1543">
        <v>1</v>
      </c>
    </row>
    <row r="1544" spans="1:7" hidden="1" x14ac:dyDescent="0.25">
      <c r="A1544" s="28" t="s">
        <v>4094</v>
      </c>
      <c r="B1544" s="29">
        <v>55424.27</v>
      </c>
      <c r="F1544" t="s">
        <v>4094</v>
      </c>
      <c r="G1544">
        <v>1</v>
      </c>
    </row>
    <row r="1545" spans="1:7" hidden="1" x14ac:dyDescent="0.25">
      <c r="A1545" s="28" t="s">
        <v>3010</v>
      </c>
      <c r="B1545" s="29">
        <v>55424.27</v>
      </c>
      <c r="F1545" t="s">
        <v>3010</v>
      </c>
      <c r="G1545">
        <v>1</v>
      </c>
    </row>
    <row r="1546" spans="1:7" hidden="1" x14ac:dyDescent="0.25">
      <c r="A1546" s="28" t="s">
        <v>3381</v>
      </c>
      <c r="B1546" s="29">
        <v>55424.27</v>
      </c>
      <c r="F1546" t="s">
        <v>3381</v>
      </c>
      <c r="G1546">
        <v>1</v>
      </c>
    </row>
    <row r="1547" spans="1:7" hidden="1" x14ac:dyDescent="0.25">
      <c r="A1547" s="28" t="s">
        <v>2620</v>
      </c>
      <c r="B1547" s="29">
        <v>55424.27</v>
      </c>
      <c r="F1547" t="s">
        <v>2620</v>
      </c>
      <c r="G1547">
        <v>1</v>
      </c>
    </row>
    <row r="1548" spans="1:7" hidden="1" x14ac:dyDescent="0.25">
      <c r="A1548" s="28" t="s">
        <v>2889</v>
      </c>
      <c r="B1548" s="29">
        <v>55424.27</v>
      </c>
      <c r="F1548" t="s">
        <v>2889</v>
      </c>
      <c r="G1548">
        <v>1</v>
      </c>
    </row>
    <row r="1549" spans="1:7" hidden="1" x14ac:dyDescent="0.25">
      <c r="A1549" s="28" t="s">
        <v>3208</v>
      </c>
      <c r="B1549" s="29">
        <v>55424.27</v>
      </c>
      <c r="F1549" t="s">
        <v>3208</v>
      </c>
      <c r="G1549">
        <v>1</v>
      </c>
    </row>
    <row r="1550" spans="1:7" hidden="1" x14ac:dyDescent="0.25">
      <c r="A1550" s="28" t="s">
        <v>3477</v>
      </c>
      <c r="B1550" s="29">
        <v>55424.27</v>
      </c>
      <c r="F1550" t="s">
        <v>3477</v>
      </c>
      <c r="G1550">
        <v>1</v>
      </c>
    </row>
    <row r="1551" spans="1:7" hidden="1" x14ac:dyDescent="0.25">
      <c r="A1551" s="28" t="s">
        <v>2879</v>
      </c>
      <c r="B1551" s="29">
        <v>55424.27</v>
      </c>
      <c r="F1551" t="s">
        <v>2879</v>
      </c>
      <c r="G1551">
        <v>1</v>
      </c>
    </row>
    <row r="1552" spans="1:7" hidden="1" x14ac:dyDescent="0.25">
      <c r="A1552" s="28" t="s">
        <v>5031</v>
      </c>
      <c r="B1552" s="29">
        <v>54183.34</v>
      </c>
      <c r="F1552" t="s">
        <v>5031</v>
      </c>
      <c r="G1552">
        <v>1</v>
      </c>
    </row>
    <row r="1553" spans="1:7" hidden="1" x14ac:dyDescent="0.25">
      <c r="A1553" s="28" t="s">
        <v>2972</v>
      </c>
      <c r="B1553" s="29">
        <v>45834.68</v>
      </c>
      <c r="F1553" t="s">
        <v>2972</v>
      </c>
      <c r="G1553">
        <v>1</v>
      </c>
    </row>
    <row r="1554" spans="1:7" hidden="1" x14ac:dyDescent="0.25">
      <c r="A1554" s="28" t="s">
        <v>5039</v>
      </c>
      <c r="B1554" s="29">
        <v>45834.68</v>
      </c>
      <c r="F1554" t="s">
        <v>5039</v>
      </c>
      <c r="G1554">
        <v>1</v>
      </c>
    </row>
    <row r="1555" spans="1:7" hidden="1" x14ac:dyDescent="0.25">
      <c r="A1555" s="28" t="s">
        <v>5034</v>
      </c>
      <c r="B1555" s="29">
        <v>45834.68</v>
      </c>
      <c r="F1555" t="s">
        <v>5034</v>
      </c>
      <c r="G1555">
        <v>1</v>
      </c>
    </row>
    <row r="1556" spans="1:7" hidden="1" x14ac:dyDescent="0.25">
      <c r="A1556" s="28" t="s">
        <v>5016</v>
      </c>
      <c r="B1556" s="29">
        <v>45834.68</v>
      </c>
      <c r="F1556" t="s">
        <v>5016</v>
      </c>
      <c r="G1556">
        <v>1</v>
      </c>
    </row>
    <row r="1557" spans="1:7" hidden="1" x14ac:dyDescent="0.25">
      <c r="A1557" s="28" t="s">
        <v>5018</v>
      </c>
      <c r="B1557" s="29">
        <v>52414.09</v>
      </c>
      <c r="F1557" t="s">
        <v>5018</v>
      </c>
      <c r="G1557">
        <v>1</v>
      </c>
    </row>
    <row r="1558" spans="1:7" hidden="1" x14ac:dyDescent="0.25">
      <c r="A1558" s="28" t="s">
        <v>3751</v>
      </c>
      <c r="B1558" s="29">
        <v>45042.2</v>
      </c>
      <c r="F1558" t="s">
        <v>3751</v>
      </c>
      <c r="G1558">
        <v>1</v>
      </c>
    </row>
    <row r="1559" spans="1:7" hidden="1" x14ac:dyDescent="0.25">
      <c r="A1559" s="28" t="s">
        <v>4893</v>
      </c>
      <c r="B1559" s="29">
        <v>43672.26</v>
      </c>
      <c r="F1559" t="s">
        <v>4893</v>
      </c>
      <c r="G1559">
        <v>1</v>
      </c>
    </row>
    <row r="1560" spans="1:7" hidden="1" x14ac:dyDescent="0.25">
      <c r="A1560" s="28" t="s">
        <v>4256</v>
      </c>
      <c r="B1560" s="29">
        <v>43672.26</v>
      </c>
      <c r="F1560" t="s">
        <v>4256</v>
      </c>
      <c r="G1560">
        <v>1</v>
      </c>
    </row>
    <row r="1561" spans="1:7" hidden="1" x14ac:dyDescent="0.25">
      <c r="A1561" s="28" t="s">
        <v>4515</v>
      </c>
      <c r="B1561" s="29">
        <v>45042.2</v>
      </c>
      <c r="F1561" t="s">
        <v>4515</v>
      </c>
      <c r="G1561">
        <v>1</v>
      </c>
    </row>
    <row r="1562" spans="1:7" hidden="1" x14ac:dyDescent="0.25">
      <c r="A1562" s="28" t="s">
        <v>4700</v>
      </c>
      <c r="B1562" s="29">
        <v>45042.2</v>
      </c>
      <c r="F1562" t="s">
        <v>4700</v>
      </c>
      <c r="G1562">
        <v>1</v>
      </c>
    </row>
    <row r="1563" spans="1:7" hidden="1" x14ac:dyDescent="0.25">
      <c r="A1563" s="28" t="s">
        <v>4669</v>
      </c>
      <c r="B1563" s="29">
        <v>43672.26</v>
      </c>
      <c r="F1563" t="s">
        <v>4669</v>
      </c>
      <c r="G1563">
        <v>1</v>
      </c>
    </row>
    <row r="1564" spans="1:7" hidden="1" x14ac:dyDescent="0.25">
      <c r="A1564" s="28" t="s">
        <v>2896</v>
      </c>
      <c r="B1564" s="29">
        <v>43672.26</v>
      </c>
      <c r="F1564" t="s">
        <v>2896</v>
      </c>
      <c r="G1564">
        <v>1</v>
      </c>
    </row>
    <row r="1565" spans="1:7" hidden="1" x14ac:dyDescent="0.25">
      <c r="A1565" s="28" t="s">
        <v>4901</v>
      </c>
      <c r="B1565" s="29">
        <v>45042.2</v>
      </c>
      <c r="F1565" t="s">
        <v>4901</v>
      </c>
      <c r="G1565">
        <v>1</v>
      </c>
    </row>
    <row r="1566" spans="1:7" hidden="1" x14ac:dyDescent="0.25">
      <c r="A1566" s="28" t="s">
        <v>3575</v>
      </c>
      <c r="B1566" s="29">
        <v>55424.27</v>
      </c>
      <c r="F1566" t="s">
        <v>3575</v>
      </c>
      <c r="G1566">
        <v>1</v>
      </c>
    </row>
    <row r="1567" spans="1:7" hidden="1" x14ac:dyDescent="0.25">
      <c r="A1567" s="28" t="s">
        <v>3311</v>
      </c>
      <c r="B1567" s="29">
        <v>55424.27</v>
      </c>
      <c r="F1567" t="s">
        <v>3311</v>
      </c>
      <c r="G1567">
        <v>1</v>
      </c>
    </row>
    <row r="1568" spans="1:7" hidden="1" x14ac:dyDescent="0.25">
      <c r="A1568" s="28" t="s">
        <v>3440</v>
      </c>
      <c r="B1568" s="29">
        <v>55424.27</v>
      </c>
      <c r="F1568" t="s">
        <v>3440</v>
      </c>
      <c r="G1568">
        <v>1</v>
      </c>
    </row>
    <row r="1569" spans="1:7" hidden="1" x14ac:dyDescent="0.25">
      <c r="A1569" s="28" t="s">
        <v>4880</v>
      </c>
      <c r="B1569" s="29">
        <v>55424.27</v>
      </c>
      <c r="F1569" t="s">
        <v>4880</v>
      </c>
      <c r="G1569">
        <v>1</v>
      </c>
    </row>
    <row r="1570" spans="1:7" hidden="1" x14ac:dyDescent="0.25">
      <c r="A1570" s="28" t="s">
        <v>4753</v>
      </c>
      <c r="B1570" s="29">
        <v>55424.27</v>
      </c>
      <c r="F1570" t="s">
        <v>4753</v>
      </c>
      <c r="G1570">
        <v>1</v>
      </c>
    </row>
    <row r="1571" spans="1:7" hidden="1" x14ac:dyDescent="0.25">
      <c r="A1571" s="28" t="s">
        <v>4420</v>
      </c>
      <c r="B1571" s="29">
        <v>45042.2</v>
      </c>
      <c r="F1571" t="s">
        <v>4420</v>
      </c>
      <c r="G1571">
        <v>1</v>
      </c>
    </row>
    <row r="1572" spans="1:7" hidden="1" x14ac:dyDescent="0.25">
      <c r="A1572" s="28" t="s">
        <v>2796</v>
      </c>
      <c r="B1572" s="29">
        <v>45042.2</v>
      </c>
      <c r="F1572" t="s">
        <v>2796</v>
      </c>
      <c r="G1572">
        <v>1</v>
      </c>
    </row>
    <row r="1573" spans="1:7" hidden="1" x14ac:dyDescent="0.25">
      <c r="A1573" s="28" t="s">
        <v>3830</v>
      </c>
      <c r="B1573" s="29">
        <v>56843.360000000001</v>
      </c>
      <c r="F1573" t="s">
        <v>3830</v>
      </c>
      <c r="G1573">
        <v>1</v>
      </c>
    </row>
    <row r="1574" spans="1:7" hidden="1" x14ac:dyDescent="0.25">
      <c r="A1574" s="28" t="s">
        <v>4062</v>
      </c>
      <c r="B1574" s="29">
        <v>56843.360000000001</v>
      </c>
      <c r="F1574" t="s">
        <v>4062</v>
      </c>
      <c r="G1574">
        <v>1</v>
      </c>
    </row>
    <row r="1575" spans="1:7" hidden="1" x14ac:dyDescent="0.25">
      <c r="A1575" s="28" t="s">
        <v>4123</v>
      </c>
      <c r="B1575" s="29">
        <v>56843.360000000001</v>
      </c>
      <c r="F1575" t="s">
        <v>4123</v>
      </c>
      <c r="G1575">
        <v>1</v>
      </c>
    </row>
    <row r="1576" spans="1:7" hidden="1" x14ac:dyDescent="0.25">
      <c r="A1576" s="28" t="s">
        <v>3743</v>
      </c>
      <c r="B1576" s="29">
        <v>56843.360000000001</v>
      </c>
      <c r="F1576" t="s">
        <v>3743</v>
      </c>
      <c r="G1576">
        <v>1</v>
      </c>
    </row>
    <row r="1577" spans="1:7" hidden="1" x14ac:dyDescent="0.25">
      <c r="A1577" s="28" t="s">
        <v>3568</v>
      </c>
      <c r="B1577" s="29">
        <v>56843.360000000001</v>
      </c>
      <c r="F1577" t="s">
        <v>3568</v>
      </c>
      <c r="G1577">
        <v>1</v>
      </c>
    </row>
    <row r="1578" spans="1:7" hidden="1" x14ac:dyDescent="0.25">
      <c r="A1578" s="28" t="s">
        <v>3508</v>
      </c>
      <c r="B1578" s="29">
        <v>56843.360000000001</v>
      </c>
      <c r="F1578" t="s">
        <v>3508</v>
      </c>
      <c r="G1578">
        <v>1</v>
      </c>
    </row>
    <row r="1579" spans="1:7" hidden="1" x14ac:dyDescent="0.25">
      <c r="A1579" s="28" t="s">
        <v>3363</v>
      </c>
      <c r="B1579" s="29">
        <v>56843.360000000001</v>
      </c>
      <c r="F1579" t="s">
        <v>3363</v>
      </c>
      <c r="G1579">
        <v>1</v>
      </c>
    </row>
    <row r="1580" spans="1:7" hidden="1" x14ac:dyDescent="0.25">
      <c r="A1580" s="28" t="s">
        <v>3912</v>
      </c>
      <c r="B1580" s="29">
        <v>56843.360000000001</v>
      </c>
      <c r="F1580" t="s">
        <v>3912</v>
      </c>
      <c r="G1580">
        <v>1</v>
      </c>
    </row>
    <row r="1581" spans="1:7" hidden="1" x14ac:dyDescent="0.25">
      <c r="A1581" s="28" t="s">
        <v>5140</v>
      </c>
      <c r="B1581" s="29">
        <v>45834.68</v>
      </c>
      <c r="F1581" t="s">
        <v>5140</v>
      </c>
      <c r="G1581">
        <v>1</v>
      </c>
    </row>
    <row r="1582" spans="1:7" x14ac:dyDescent="0.25">
      <c r="A1582" s="28" t="s">
        <v>321</v>
      </c>
      <c r="B1582" s="29">
        <v>56316.600749999998</v>
      </c>
      <c r="F1582" t="s">
        <v>321</v>
      </c>
      <c r="G1582">
        <v>2</v>
      </c>
    </row>
    <row r="1583" spans="1:7" hidden="1" x14ac:dyDescent="0.25">
      <c r="A1583" s="28" t="s">
        <v>4282</v>
      </c>
      <c r="B1583" s="29">
        <v>54183.34</v>
      </c>
      <c r="F1583" t="s">
        <v>4282</v>
      </c>
      <c r="G1583">
        <v>1</v>
      </c>
    </row>
    <row r="1584" spans="1:7" hidden="1" x14ac:dyDescent="0.25">
      <c r="A1584" s="28" t="s">
        <v>4655</v>
      </c>
      <c r="B1584" s="29">
        <v>55424.27</v>
      </c>
      <c r="F1584" t="s">
        <v>4655</v>
      </c>
      <c r="G1584">
        <v>1</v>
      </c>
    </row>
    <row r="1585" spans="1:7" hidden="1" x14ac:dyDescent="0.25">
      <c r="A1585" s="28" t="s">
        <v>4661</v>
      </c>
      <c r="B1585" s="29">
        <v>55424.27</v>
      </c>
      <c r="F1585" t="s">
        <v>4661</v>
      </c>
      <c r="G1585">
        <v>1</v>
      </c>
    </row>
    <row r="1586" spans="1:7" hidden="1" x14ac:dyDescent="0.25">
      <c r="A1586" s="28" t="s">
        <v>4600</v>
      </c>
      <c r="B1586" s="29">
        <v>55424.27</v>
      </c>
      <c r="F1586" t="s">
        <v>4600</v>
      </c>
      <c r="G1586">
        <v>1</v>
      </c>
    </row>
    <row r="1587" spans="1:7" x14ac:dyDescent="0.25">
      <c r="A1587" s="28" t="s">
        <v>1592</v>
      </c>
      <c r="B1587" s="29">
        <v>56316.600749999998</v>
      </c>
      <c r="F1587" t="s">
        <v>1592</v>
      </c>
      <c r="G1587">
        <v>2</v>
      </c>
    </row>
    <row r="1588" spans="1:7" hidden="1" x14ac:dyDescent="0.25">
      <c r="A1588" s="28" t="s">
        <v>4601</v>
      </c>
      <c r="B1588" s="29">
        <v>55424.27</v>
      </c>
      <c r="F1588" t="s">
        <v>4601</v>
      </c>
      <c r="G1588">
        <v>1</v>
      </c>
    </row>
    <row r="1589" spans="1:7" hidden="1" x14ac:dyDescent="0.25">
      <c r="A1589" s="28" t="s">
        <v>3954</v>
      </c>
      <c r="B1589" s="29">
        <v>55424.27</v>
      </c>
      <c r="F1589" t="s">
        <v>3954</v>
      </c>
      <c r="G1589">
        <v>1</v>
      </c>
    </row>
    <row r="1590" spans="1:7" hidden="1" x14ac:dyDescent="0.25">
      <c r="A1590" s="28" t="s">
        <v>4559</v>
      </c>
      <c r="B1590" s="29">
        <v>55424.27</v>
      </c>
      <c r="F1590" t="s">
        <v>4559</v>
      </c>
      <c r="G1590">
        <v>1</v>
      </c>
    </row>
    <row r="1591" spans="1:7" hidden="1" x14ac:dyDescent="0.25">
      <c r="A1591" s="28" t="s">
        <v>4492</v>
      </c>
      <c r="B1591" s="29">
        <v>55424.27</v>
      </c>
      <c r="F1591" t="s">
        <v>4492</v>
      </c>
      <c r="G1591">
        <v>1</v>
      </c>
    </row>
    <row r="1592" spans="1:7" hidden="1" x14ac:dyDescent="0.25">
      <c r="A1592" s="28" t="s">
        <v>4537</v>
      </c>
      <c r="B1592" s="29">
        <v>55424.27</v>
      </c>
      <c r="F1592" t="s">
        <v>4537</v>
      </c>
      <c r="G1592">
        <v>1</v>
      </c>
    </row>
    <row r="1593" spans="1:7" hidden="1" x14ac:dyDescent="0.25">
      <c r="A1593" s="28" t="s">
        <v>4584</v>
      </c>
      <c r="B1593" s="29">
        <v>55424.27</v>
      </c>
      <c r="F1593" t="s">
        <v>4584</v>
      </c>
      <c r="G1593">
        <v>1</v>
      </c>
    </row>
    <row r="1594" spans="1:7" hidden="1" x14ac:dyDescent="0.25">
      <c r="A1594" s="28" t="s">
        <v>3076</v>
      </c>
      <c r="B1594" s="29">
        <v>55424.27</v>
      </c>
      <c r="F1594" t="s">
        <v>3076</v>
      </c>
      <c r="G1594">
        <v>1</v>
      </c>
    </row>
    <row r="1595" spans="1:7" hidden="1" x14ac:dyDescent="0.25">
      <c r="A1595" s="28" t="s">
        <v>4855</v>
      </c>
      <c r="B1595" s="29">
        <v>55424.27</v>
      </c>
      <c r="F1595" t="s">
        <v>4855</v>
      </c>
      <c r="G1595">
        <v>1</v>
      </c>
    </row>
    <row r="1596" spans="1:7" hidden="1" x14ac:dyDescent="0.25">
      <c r="A1596" s="28" t="s">
        <v>4660</v>
      </c>
      <c r="B1596" s="29">
        <v>55424.27</v>
      </c>
      <c r="F1596" t="s">
        <v>4660</v>
      </c>
      <c r="G1596">
        <v>1</v>
      </c>
    </row>
    <row r="1597" spans="1:7" x14ac:dyDescent="0.25">
      <c r="A1597" s="28" t="s">
        <v>995</v>
      </c>
      <c r="B1597" s="29">
        <v>56316.600749999998</v>
      </c>
      <c r="F1597" t="s">
        <v>995</v>
      </c>
      <c r="G1597">
        <v>2</v>
      </c>
    </row>
    <row r="1598" spans="1:7" hidden="1" x14ac:dyDescent="0.25">
      <c r="A1598" s="28" t="s">
        <v>4857</v>
      </c>
      <c r="B1598" s="29">
        <v>55424.27</v>
      </c>
      <c r="F1598" t="s">
        <v>4857</v>
      </c>
      <c r="G1598">
        <v>1</v>
      </c>
    </row>
    <row r="1599" spans="1:7" hidden="1" x14ac:dyDescent="0.25">
      <c r="A1599" s="28" t="s">
        <v>3054</v>
      </c>
      <c r="B1599" s="29">
        <v>55424.27</v>
      </c>
      <c r="F1599" t="s">
        <v>3054</v>
      </c>
      <c r="G1599">
        <v>1</v>
      </c>
    </row>
    <row r="1600" spans="1:7" hidden="1" x14ac:dyDescent="0.25">
      <c r="A1600" s="28" t="s">
        <v>4924</v>
      </c>
      <c r="B1600" s="29">
        <v>55424.27</v>
      </c>
      <c r="F1600" t="s">
        <v>4924</v>
      </c>
      <c r="G1600">
        <v>1</v>
      </c>
    </row>
    <row r="1601" spans="1:7" hidden="1" x14ac:dyDescent="0.25">
      <c r="A1601" s="28" t="s">
        <v>2660</v>
      </c>
      <c r="B1601" s="29">
        <v>55424.27</v>
      </c>
      <c r="F1601" t="s">
        <v>2660</v>
      </c>
      <c r="G1601">
        <v>1</v>
      </c>
    </row>
    <row r="1602" spans="1:7" hidden="1" x14ac:dyDescent="0.25">
      <c r="A1602" s="28" t="s">
        <v>4850</v>
      </c>
      <c r="B1602" s="29">
        <v>55424.27</v>
      </c>
      <c r="F1602" t="s">
        <v>4850</v>
      </c>
      <c r="G1602">
        <v>1</v>
      </c>
    </row>
    <row r="1603" spans="1:7" hidden="1" x14ac:dyDescent="0.25">
      <c r="A1603" s="28" t="s">
        <v>4825</v>
      </c>
      <c r="B1603" s="29">
        <v>55424.27</v>
      </c>
      <c r="F1603" t="s">
        <v>4825</v>
      </c>
      <c r="G1603">
        <v>1</v>
      </c>
    </row>
    <row r="1604" spans="1:7" hidden="1" x14ac:dyDescent="0.25">
      <c r="A1604" s="28" t="s">
        <v>4579</v>
      </c>
      <c r="B1604" s="29">
        <v>55424.27</v>
      </c>
      <c r="F1604" t="s">
        <v>4579</v>
      </c>
      <c r="G1604">
        <v>1</v>
      </c>
    </row>
    <row r="1605" spans="1:7" hidden="1" x14ac:dyDescent="0.25">
      <c r="A1605" s="28" t="s">
        <v>4885</v>
      </c>
      <c r="B1605" s="29">
        <v>55424.27</v>
      </c>
      <c r="F1605" t="s">
        <v>4885</v>
      </c>
      <c r="G1605">
        <v>1</v>
      </c>
    </row>
    <row r="1606" spans="1:7" hidden="1" x14ac:dyDescent="0.25">
      <c r="A1606" s="28" t="s">
        <v>3062</v>
      </c>
      <c r="B1606" s="29">
        <v>55424.27</v>
      </c>
      <c r="F1606" t="s">
        <v>3062</v>
      </c>
      <c r="G1606">
        <v>1</v>
      </c>
    </row>
    <row r="1607" spans="1:7" hidden="1" x14ac:dyDescent="0.25">
      <c r="A1607" s="28" t="s">
        <v>4915</v>
      </c>
      <c r="B1607" s="29">
        <v>55424.27</v>
      </c>
      <c r="F1607" t="s">
        <v>4915</v>
      </c>
      <c r="G1607">
        <v>1</v>
      </c>
    </row>
    <row r="1608" spans="1:7" hidden="1" x14ac:dyDescent="0.25">
      <c r="A1608" s="28" t="s">
        <v>4946</v>
      </c>
      <c r="B1608" s="29">
        <v>55424.27</v>
      </c>
      <c r="F1608" t="s">
        <v>4946</v>
      </c>
      <c r="G1608">
        <v>1</v>
      </c>
    </row>
    <row r="1609" spans="1:7" hidden="1" x14ac:dyDescent="0.25">
      <c r="A1609" s="28" t="s">
        <v>4895</v>
      </c>
      <c r="B1609" s="29">
        <v>55424.27</v>
      </c>
      <c r="F1609" t="s">
        <v>4895</v>
      </c>
      <c r="G1609">
        <v>1</v>
      </c>
    </row>
    <row r="1610" spans="1:7" hidden="1" x14ac:dyDescent="0.25">
      <c r="A1610" s="28" t="s">
        <v>4668</v>
      </c>
      <c r="B1610" s="29">
        <v>55424.27</v>
      </c>
      <c r="F1610" t="s">
        <v>4668</v>
      </c>
      <c r="G1610">
        <v>1</v>
      </c>
    </row>
    <row r="1611" spans="1:7" x14ac:dyDescent="0.25">
      <c r="A1611" s="28" t="s">
        <v>590</v>
      </c>
      <c r="B1611" s="29">
        <v>83782.027600000001</v>
      </c>
      <c r="F1611" t="s">
        <v>590</v>
      </c>
      <c r="G1611">
        <v>2</v>
      </c>
    </row>
    <row r="1612" spans="1:7" x14ac:dyDescent="0.25">
      <c r="A1612" s="28" t="s">
        <v>1316</v>
      </c>
      <c r="B1612" s="29">
        <v>83782.027600000001</v>
      </c>
      <c r="F1612" t="s">
        <v>1316</v>
      </c>
      <c r="G1612">
        <v>2</v>
      </c>
    </row>
    <row r="1613" spans="1:7" x14ac:dyDescent="0.25">
      <c r="A1613" s="28" t="s">
        <v>1130</v>
      </c>
      <c r="B1613" s="29">
        <v>83782.027600000001</v>
      </c>
      <c r="F1613" t="s">
        <v>1130</v>
      </c>
      <c r="G1613">
        <v>2</v>
      </c>
    </row>
    <row r="1614" spans="1:7" x14ac:dyDescent="0.25">
      <c r="A1614" s="28" t="s">
        <v>1257</v>
      </c>
      <c r="B1614" s="29">
        <v>83782.027600000001</v>
      </c>
      <c r="F1614" t="s">
        <v>1257</v>
      </c>
      <c r="G1614">
        <v>2</v>
      </c>
    </row>
    <row r="1615" spans="1:7" x14ac:dyDescent="0.25">
      <c r="A1615" s="28" t="s">
        <v>997</v>
      </c>
      <c r="B1615" s="29">
        <v>83782.027600000001</v>
      </c>
      <c r="F1615" t="s">
        <v>997</v>
      </c>
      <c r="G1615">
        <v>2</v>
      </c>
    </row>
    <row r="1616" spans="1:7" x14ac:dyDescent="0.25">
      <c r="A1616" s="28" t="s">
        <v>1389</v>
      </c>
      <c r="B1616" s="29">
        <v>83782.027600000001</v>
      </c>
      <c r="F1616" t="s">
        <v>1389</v>
      </c>
      <c r="G1616">
        <v>2</v>
      </c>
    </row>
    <row r="1617" spans="1:7" x14ac:dyDescent="0.25">
      <c r="A1617" s="28" t="s">
        <v>828</v>
      </c>
      <c r="B1617" s="29">
        <v>83782.027600000001</v>
      </c>
      <c r="F1617" t="s">
        <v>828</v>
      </c>
      <c r="G1617">
        <v>2</v>
      </c>
    </row>
    <row r="1618" spans="1:7" x14ac:dyDescent="0.25">
      <c r="A1618" s="28" t="s">
        <v>235</v>
      </c>
      <c r="B1618" s="29">
        <v>83782.027600000001</v>
      </c>
      <c r="F1618" t="s">
        <v>235</v>
      </c>
      <c r="G1618">
        <v>2</v>
      </c>
    </row>
    <row r="1619" spans="1:7" hidden="1" x14ac:dyDescent="0.25">
      <c r="A1619" s="28" t="s">
        <v>3788</v>
      </c>
      <c r="B1619" s="29">
        <v>82454.509999999995</v>
      </c>
      <c r="F1619" t="s">
        <v>3788</v>
      </c>
      <c r="G1619">
        <v>1</v>
      </c>
    </row>
    <row r="1620" spans="1:7" x14ac:dyDescent="0.25">
      <c r="A1620" s="28" t="s">
        <v>1365</v>
      </c>
      <c r="B1620" s="29">
        <v>83782.027600000001</v>
      </c>
      <c r="F1620" t="s">
        <v>1365</v>
      </c>
      <c r="G1620">
        <v>2</v>
      </c>
    </row>
    <row r="1621" spans="1:7" hidden="1" x14ac:dyDescent="0.25">
      <c r="A1621" s="28" t="s">
        <v>4025</v>
      </c>
      <c r="B1621" s="29">
        <v>82454.509999999995</v>
      </c>
      <c r="F1621" t="s">
        <v>4025</v>
      </c>
      <c r="G1621">
        <v>1</v>
      </c>
    </row>
    <row r="1622" spans="1:7" x14ac:dyDescent="0.25">
      <c r="A1622" s="28" t="s">
        <v>1050</v>
      </c>
      <c r="B1622" s="29">
        <v>83782.027600000001</v>
      </c>
      <c r="F1622" t="s">
        <v>1050</v>
      </c>
      <c r="G1622">
        <v>2</v>
      </c>
    </row>
    <row r="1623" spans="1:7" hidden="1" x14ac:dyDescent="0.25">
      <c r="A1623" s="28" t="s">
        <v>3355</v>
      </c>
      <c r="B1623" s="29">
        <v>82454.509999999995</v>
      </c>
      <c r="F1623" t="s">
        <v>3355</v>
      </c>
      <c r="G1623">
        <v>1</v>
      </c>
    </row>
    <row r="1624" spans="1:7" x14ac:dyDescent="0.25">
      <c r="A1624" s="28" t="s">
        <v>925</v>
      </c>
      <c r="B1624" s="29">
        <v>83782.027600000001</v>
      </c>
      <c r="F1624" t="s">
        <v>925</v>
      </c>
      <c r="G1624">
        <v>2</v>
      </c>
    </row>
    <row r="1625" spans="1:7" x14ac:dyDescent="0.25">
      <c r="A1625" s="28" t="s">
        <v>1617</v>
      </c>
      <c r="B1625" s="29">
        <v>83782.027600000001</v>
      </c>
      <c r="F1625" t="s">
        <v>1617</v>
      </c>
      <c r="G1625">
        <v>2</v>
      </c>
    </row>
    <row r="1626" spans="1:7" x14ac:dyDescent="0.25">
      <c r="A1626" s="28" t="s">
        <v>1307</v>
      </c>
      <c r="B1626" s="29">
        <v>83782.027600000001</v>
      </c>
      <c r="F1626" t="s">
        <v>1307</v>
      </c>
      <c r="G1626">
        <v>2</v>
      </c>
    </row>
    <row r="1627" spans="1:7" x14ac:dyDescent="0.25">
      <c r="A1627" s="28" t="s">
        <v>731</v>
      </c>
      <c r="B1627" s="29">
        <v>83782.027600000001</v>
      </c>
      <c r="F1627" t="s">
        <v>731</v>
      </c>
      <c r="G1627">
        <v>2</v>
      </c>
    </row>
    <row r="1628" spans="1:7" x14ac:dyDescent="0.25">
      <c r="A1628" s="28" t="s">
        <v>1369</v>
      </c>
      <c r="B1628" s="29">
        <v>83782.027600000001</v>
      </c>
      <c r="F1628" t="s">
        <v>1369</v>
      </c>
      <c r="G1628">
        <v>2</v>
      </c>
    </row>
    <row r="1629" spans="1:7" hidden="1" x14ac:dyDescent="0.25">
      <c r="A1629" s="28" t="s">
        <v>3289</v>
      </c>
      <c r="B1629" s="29">
        <v>82454.509999999995</v>
      </c>
      <c r="F1629" t="s">
        <v>3289</v>
      </c>
      <c r="G1629">
        <v>1</v>
      </c>
    </row>
    <row r="1630" spans="1:7" x14ac:dyDescent="0.25">
      <c r="A1630" s="28" t="s">
        <v>940</v>
      </c>
      <c r="B1630" s="29">
        <v>83782.027600000001</v>
      </c>
      <c r="F1630" t="s">
        <v>940</v>
      </c>
      <c r="G1630">
        <v>2</v>
      </c>
    </row>
    <row r="1631" spans="1:7" hidden="1" x14ac:dyDescent="0.25">
      <c r="A1631" s="28" t="s">
        <v>4184</v>
      </c>
      <c r="B1631" s="29">
        <v>82454.509999999995</v>
      </c>
      <c r="F1631" t="s">
        <v>4184</v>
      </c>
      <c r="G1631">
        <v>1</v>
      </c>
    </row>
    <row r="1632" spans="1:7" hidden="1" x14ac:dyDescent="0.25">
      <c r="A1632" s="28" t="s">
        <v>3719</v>
      </c>
      <c r="B1632" s="29">
        <v>82454.509999999995</v>
      </c>
      <c r="F1632" t="s">
        <v>3719</v>
      </c>
      <c r="G1632">
        <v>1</v>
      </c>
    </row>
    <row r="1633" spans="1:7" x14ac:dyDescent="0.25">
      <c r="A1633" s="28" t="s">
        <v>904</v>
      </c>
      <c r="B1633" s="29">
        <v>83782.027600000001</v>
      </c>
      <c r="F1633" t="s">
        <v>904</v>
      </c>
      <c r="G1633">
        <v>2</v>
      </c>
    </row>
    <row r="1634" spans="1:7" x14ac:dyDescent="0.25">
      <c r="A1634" s="28" t="s">
        <v>395</v>
      </c>
      <c r="B1634" s="29">
        <v>83782.027600000001</v>
      </c>
      <c r="F1634" t="s">
        <v>395</v>
      </c>
      <c r="G1634">
        <v>2</v>
      </c>
    </row>
    <row r="1635" spans="1:7" hidden="1" x14ac:dyDescent="0.25">
      <c r="A1635" s="28" t="s">
        <v>3978</v>
      </c>
      <c r="B1635" s="29">
        <v>82454.509999999995</v>
      </c>
      <c r="F1635" t="s">
        <v>3978</v>
      </c>
      <c r="G1635">
        <v>1</v>
      </c>
    </row>
    <row r="1636" spans="1:7" x14ac:dyDescent="0.25">
      <c r="A1636" s="28" t="s">
        <v>1349</v>
      </c>
      <c r="B1636" s="29">
        <v>83782.027600000001</v>
      </c>
      <c r="F1636" t="s">
        <v>1349</v>
      </c>
      <c r="G1636">
        <v>2</v>
      </c>
    </row>
    <row r="1637" spans="1:7" x14ac:dyDescent="0.25">
      <c r="A1637" s="28" t="s">
        <v>1438</v>
      </c>
      <c r="B1637" s="29">
        <v>83782.027600000001</v>
      </c>
      <c r="F1637" t="s">
        <v>1438</v>
      </c>
      <c r="G1637">
        <v>2</v>
      </c>
    </row>
    <row r="1638" spans="1:7" x14ac:dyDescent="0.25">
      <c r="A1638" s="28" t="s">
        <v>961</v>
      </c>
      <c r="B1638" s="29">
        <v>83782.027600000001</v>
      </c>
      <c r="F1638" t="s">
        <v>961</v>
      </c>
      <c r="G1638">
        <v>2</v>
      </c>
    </row>
    <row r="1639" spans="1:7" x14ac:dyDescent="0.25">
      <c r="A1639" s="28" t="s">
        <v>284</v>
      </c>
      <c r="B1639" s="29">
        <v>83782.027600000001</v>
      </c>
      <c r="F1639" t="s">
        <v>284</v>
      </c>
      <c r="G1639">
        <v>2</v>
      </c>
    </row>
    <row r="1640" spans="1:7" x14ac:dyDescent="0.25">
      <c r="A1640" s="28" t="s">
        <v>880</v>
      </c>
      <c r="B1640" s="29">
        <v>83782.027600000001</v>
      </c>
      <c r="F1640" t="s">
        <v>880</v>
      </c>
      <c r="G1640">
        <v>2</v>
      </c>
    </row>
    <row r="1641" spans="1:7" x14ac:dyDescent="0.25">
      <c r="A1641" s="28" t="s">
        <v>351</v>
      </c>
      <c r="B1641" s="29">
        <v>83782.027600000001</v>
      </c>
      <c r="F1641" t="s">
        <v>351</v>
      </c>
      <c r="G1641">
        <v>2</v>
      </c>
    </row>
    <row r="1642" spans="1:7" x14ac:dyDescent="0.25">
      <c r="A1642" s="28" t="s">
        <v>1239</v>
      </c>
      <c r="B1642" s="29">
        <v>83782.027600000001</v>
      </c>
      <c r="F1642" t="s">
        <v>1239</v>
      </c>
      <c r="G1642">
        <v>2</v>
      </c>
    </row>
    <row r="1643" spans="1:7" hidden="1" x14ac:dyDescent="0.25">
      <c r="A1643" s="28" t="s">
        <v>3612</v>
      </c>
      <c r="B1643" s="29">
        <v>82454.509999999995</v>
      </c>
      <c r="F1643" t="s">
        <v>3612</v>
      </c>
      <c r="G1643">
        <v>1</v>
      </c>
    </row>
    <row r="1644" spans="1:7" hidden="1" x14ac:dyDescent="0.25">
      <c r="A1644" s="28" t="s">
        <v>3999</v>
      </c>
      <c r="B1644" s="29">
        <v>82454.509999999995</v>
      </c>
      <c r="F1644" t="s">
        <v>3999</v>
      </c>
      <c r="G1644">
        <v>1</v>
      </c>
    </row>
    <row r="1645" spans="1:7" x14ac:dyDescent="0.25">
      <c r="A1645" s="28" t="s">
        <v>1111</v>
      </c>
      <c r="B1645" s="29">
        <v>83782.027600000001</v>
      </c>
      <c r="F1645" t="s">
        <v>1111</v>
      </c>
      <c r="G1645">
        <v>2</v>
      </c>
    </row>
    <row r="1646" spans="1:7" x14ac:dyDescent="0.25">
      <c r="A1646" s="28" t="s">
        <v>1555</v>
      </c>
      <c r="B1646" s="29">
        <v>83782.027600000001</v>
      </c>
      <c r="F1646" t="s">
        <v>1555</v>
      </c>
      <c r="G1646">
        <v>2</v>
      </c>
    </row>
    <row r="1647" spans="1:7" x14ac:dyDescent="0.25">
      <c r="A1647" s="28" t="s">
        <v>1063</v>
      </c>
      <c r="B1647" s="29">
        <v>83782.027600000001</v>
      </c>
      <c r="F1647" t="s">
        <v>1063</v>
      </c>
      <c r="G1647">
        <v>2</v>
      </c>
    </row>
    <row r="1648" spans="1:7" x14ac:dyDescent="0.25">
      <c r="A1648" s="28" t="s">
        <v>11</v>
      </c>
      <c r="B1648" s="29">
        <v>83782.027600000001</v>
      </c>
      <c r="F1648" t="s">
        <v>11</v>
      </c>
      <c r="G1648">
        <v>2</v>
      </c>
    </row>
    <row r="1649" spans="1:7" x14ac:dyDescent="0.25">
      <c r="A1649" s="28" t="s">
        <v>1198</v>
      </c>
      <c r="B1649" s="29">
        <v>83782.027600000001</v>
      </c>
      <c r="F1649" t="s">
        <v>1198</v>
      </c>
      <c r="G1649">
        <v>2</v>
      </c>
    </row>
    <row r="1650" spans="1:7" x14ac:dyDescent="0.25">
      <c r="A1650" s="28" t="s">
        <v>1194</v>
      </c>
      <c r="B1650" s="29">
        <v>83782.027600000001</v>
      </c>
      <c r="F1650" t="s">
        <v>1194</v>
      </c>
      <c r="G1650">
        <v>2</v>
      </c>
    </row>
    <row r="1651" spans="1:7" hidden="1" x14ac:dyDescent="0.25">
      <c r="A1651" s="28" t="s">
        <v>3334</v>
      </c>
      <c r="B1651" s="29">
        <v>82454.509999999995</v>
      </c>
      <c r="F1651" t="s">
        <v>3334</v>
      </c>
      <c r="G1651">
        <v>1</v>
      </c>
    </row>
    <row r="1652" spans="1:7" x14ac:dyDescent="0.25">
      <c r="A1652" s="28" t="s">
        <v>1293</v>
      </c>
      <c r="B1652" s="29">
        <v>83782.027600000001</v>
      </c>
      <c r="F1652" t="s">
        <v>1293</v>
      </c>
      <c r="G1652">
        <v>2</v>
      </c>
    </row>
    <row r="1653" spans="1:7" hidden="1" x14ac:dyDescent="0.25">
      <c r="A1653" s="28" t="s">
        <v>3505</v>
      </c>
      <c r="B1653" s="29">
        <v>82454.509999999995</v>
      </c>
      <c r="F1653" t="s">
        <v>3505</v>
      </c>
      <c r="G1653">
        <v>1</v>
      </c>
    </row>
    <row r="1654" spans="1:7" x14ac:dyDescent="0.25">
      <c r="A1654" s="28" t="s">
        <v>458</v>
      </c>
      <c r="B1654" s="29">
        <v>83782.027600000001</v>
      </c>
      <c r="F1654" t="s">
        <v>458</v>
      </c>
      <c r="G1654">
        <v>2</v>
      </c>
    </row>
    <row r="1655" spans="1:7" x14ac:dyDescent="0.25">
      <c r="A1655" s="28" t="s">
        <v>354</v>
      </c>
      <c r="B1655" s="29">
        <v>83782.027600000001</v>
      </c>
      <c r="F1655" t="s">
        <v>354</v>
      </c>
      <c r="G1655">
        <v>2</v>
      </c>
    </row>
    <row r="1656" spans="1:7" x14ac:dyDescent="0.25">
      <c r="A1656" s="28" t="s">
        <v>1297</v>
      </c>
      <c r="B1656" s="29">
        <v>83782.027600000001</v>
      </c>
      <c r="F1656" t="s">
        <v>1297</v>
      </c>
      <c r="G1656">
        <v>2</v>
      </c>
    </row>
    <row r="1657" spans="1:7" hidden="1" x14ac:dyDescent="0.25">
      <c r="A1657" s="28" t="s">
        <v>3583</v>
      </c>
      <c r="B1657" s="29">
        <v>71402.83</v>
      </c>
      <c r="F1657" t="s">
        <v>3583</v>
      </c>
      <c r="G1657">
        <v>1</v>
      </c>
    </row>
    <row r="1658" spans="1:7" hidden="1" x14ac:dyDescent="0.25">
      <c r="A1658" s="28" t="s">
        <v>3566</v>
      </c>
      <c r="B1658" s="29">
        <v>82454.509999999995</v>
      </c>
      <c r="F1658" t="s">
        <v>3566</v>
      </c>
      <c r="G1658">
        <v>1</v>
      </c>
    </row>
    <row r="1659" spans="1:7" x14ac:dyDescent="0.25">
      <c r="A1659" s="28" t="s">
        <v>949</v>
      </c>
      <c r="B1659" s="29">
        <v>83782.027600000001</v>
      </c>
      <c r="F1659" t="s">
        <v>949</v>
      </c>
      <c r="G1659">
        <v>2</v>
      </c>
    </row>
    <row r="1660" spans="1:7" x14ac:dyDescent="0.25">
      <c r="A1660" s="28" t="s">
        <v>323</v>
      </c>
      <c r="B1660" s="29">
        <v>83782.027600000001</v>
      </c>
      <c r="F1660" t="s">
        <v>323</v>
      </c>
      <c r="G1660">
        <v>2</v>
      </c>
    </row>
    <row r="1661" spans="1:7" hidden="1" x14ac:dyDescent="0.25">
      <c r="A1661" s="28" t="s">
        <v>3538</v>
      </c>
      <c r="B1661" s="29">
        <v>82454.509999999995</v>
      </c>
      <c r="F1661" t="s">
        <v>3538</v>
      </c>
      <c r="G1661">
        <v>1</v>
      </c>
    </row>
    <row r="1662" spans="1:7" hidden="1" x14ac:dyDescent="0.25">
      <c r="A1662" s="28" t="s">
        <v>3102</v>
      </c>
      <c r="B1662" s="29">
        <v>82454.509999999995</v>
      </c>
      <c r="F1662" t="s">
        <v>3102</v>
      </c>
      <c r="G1662">
        <v>1</v>
      </c>
    </row>
    <row r="1663" spans="1:7" hidden="1" x14ac:dyDescent="0.25">
      <c r="A1663" s="28" t="s">
        <v>3429</v>
      </c>
      <c r="B1663" s="29">
        <v>82454.509999999995</v>
      </c>
      <c r="F1663" t="s">
        <v>3429</v>
      </c>
      <c r="G1663">
        <v>1</v>
      </c>
    </row>
    <row r="1664" spans="1:7" x14ac:dyDescent="0.25">
      <c r="A1664" s="28" t="s">
        <v>886</v>
      </c>
      <c r="B1664" s="29">
        <v>83782.027600000001</v>
      </c>
      <c r="F1664" t="s">
        <v>886</v>
      </c>
      <c r="G1664">
        <v>2</v>
      </c>
    </row>
    <row r="1665" spans="1:7" hidden="1" x14ac:dyDescent="0.25">
      <c r="A1665" s="28" t="s">
        <v>3108</v>
      </c>
      <c r="B1665" s="29">
        <v>82454.509999999995</v>
      </c>
      <c r="F1665" t="s">
        <v>3108</v>
      </c>
      <c r="G1665">
        <v>1</v>
      </c>
    </row>
    <row r="1666" spans="1:7" hidden="1" x14ac:dyDescent="0.25">
      <c r="A1666" s="28" t="s">
        <v>3423</v>
      </c>
      <c r="B1666" s="29">
        <v>82454.509999999995</v>
      </c>
      <c r="F1666" t="s">
        <v>3423</v>
      </c>
      <c r="G1666">
        <v>1</v>
      </c>
    </row>
    <row r="1667" spans="1:7" x14ac:dyDescent="0.25">
      <c r="A1667" s="28" t="s">
        <v>90</v>
      </c>
      <c r="B1667" s="29">
        <v>74649.778049999994</v>
      </c>
      <c r="F1667" t="s">
        <v>90</v>
      </c>
      <c r="G1667">
        <v>2</v>
      </c>
    </row>
    <row r="1668" spans="1:7" x14ac:dyDescent="0.25">
      <c r="A1668" s="28" t="s">
        <v>1590</v>
      </c>
      <c r="B1668" s="29">
        <v>74649.778049999994</v>
      </c>
      <c r="F1668" t="s">
        <v>1590</v>
      </c>
      <c r="G1668">
        <v>2</v>
      </c>
    </row>
    <row r="1669" spans="1:7" x14ac:dyDescent="0.25">
      <c r="A1669" s="28" t="s">
        <v>1103</v>
      </c>
      <c r="B1669" s="29">
        <v>74649.778049999994</v>
      </c>
      <c r="F1669" t="s">
        <v>1103</v>
      </c>
      <c r="G1669">
        <v>2</v>
      </c>
    </row>
    <row r="1670" spans="1:7" x14ac:dyDescent="0.25">
      <c r="A1670" s="28" t="s">
        <v>297</v>
      </c>
      <c r="B1670" s="29">
        <v>74649.778049999994</v>
      </c>
      <c r="F1670" t="s">
        <v>297</v>
      </c>
      <c r="G1670">
        <v>2</v>
      </c>
    </row>
    <row r="1671" spans="1:7" x14ac:dyDescent="0.25">
      <c r="A1671" s="28" t="s">
        <v>1058</v>
      </c>
      <c r="B1671" s="29">
        <v>74649.778049999994</v>
      </c>
      <c r="F1671" t="s">
        <v>1058</v>
      </c>
      <c r="G1671">
        <v>2</v>
      </c>
    </row>
    <row r="1672" spans="1:7" x14ac:dyDescent="0.25">
      <c r="A1672" s="28" t="s">
        <v>868</v>
      </c>
      <c r="B1672" s="29">
        <v>74649.778049999994</v>
      </c>
      <c r="F1672" t="s">
        <v>868</v>
      </c>
      <c r="G1672">
        <v>2</v>
      </c>
    </row>
    <row r="1673" spans="1:7" x14ac:dyDescent="0.25">
      <c r="A1673" s="28" t="s">
        <v>286</v>
      </c>
      <c r="B1673" s="29">
        <v>74649.778049999994</v>
      </c>
      <c r="F1673" t="s">
        <v>286</v>
      </c>
      <c r="G1673">
        <v>2</v>
      </c>
    </row>
    <row r="1674" spans="1:7" x14ac:dyDescent="0.25">
      <c r="A1674" s="28" t="s">
        <v>1134</v>
      </c>
      <c r="B1674" s="29">
        <v>74649.778049999994</v>
      </c>
      <c r="F1674" t="s">
        <v>1134</v>
      </c>
      <c r="G1674">
        <v>2</v>
      </c>
    </row>
    <row r="1675" spans="1:7" hidden="1" x14ac:dyDescent="0.25">
      <c r="A1675" s="28" t="s">
        <v>3604</v>
      </c>
      <c r="B1675" s="29">
        <v>71402.83</v>
      </c>
      <c r="F1675" t="s">
        <v>3604</v>
      </c>
      <c r="G1675">
        <v>1</v>
      </c>
    </row>
    <row r="1676" spans="1:7" x14ac:dyDescent="0.25">
      <c r="A1676" s="28" t="s">
        <v>166</v>
      </c>
      <c r="B1676" s="29">
        <v>74649.778049999994</v>
      </c>
      <c r="F1676" t="s">
        <v>166</v>
      </c>
      <c r="G1676">
        <v>2</v>
      </c>
    </row>
    <row r="1677" spans="1:7" x14ac:dyDescent="0.25">
      <c r="A1677" s="28" t="s">
        <v>187</v>
      </c>
      <c r="B1677" s="29">
        <v>74649.778049999994</v>
      </c>
      <c r="F1677" t="s">
        <v>187</v>
      </c>
      <c r="G1677">
        <v>2</v>
      </c>
    </row>
    <row r="1678" spans="1:7" x14ac:dyDescent="0.25">
      <c r="A1678" s="28" t="s">
        <v>212</v>
      </c>
      <c r="B1678" s="29">
        <v>74649.778049999994</v>
      </c>
      <c r="F1678" t="s">
        <v>212</v>
      </c>
      <c r="G1678">
        <v>2</v>
      </c>
    </row>
    <row r="1679" spans="1:7" x14ac:dyDescent="0.25">
      <c r="A1679" s="28" t="s">
        <v>538</v>
      </c>
      <c r="B1679" s="29">
        <v>74649.778049999994</v>
      </c>
      <c r="F1679" t="s">
        <v>538</v>
      </c>
      <c r="G1679">
        <v>2</v>
      </c>
    </row>
    <row r="1680" spans="1:7" x14ac:dyDescent="0.25">
      <c r="A1680" s="28" t="s">
        <v>603</v>
      </c>
      <c r="B1680" s="29">
        <v>74649.778049999994</v>
      </c>
      <c r="F1680" t="s">
        <v>603</v>
      </c>
      <c r="G1680">
        <v>2</v>
      </c>
    </row>
    <row r="1681" spans="1:7" x14ac:dyDescent="0.25">
      <c r="A1681" s="28" t="s">
        <v>303</v>
      </c>
      <c r="B1681" s="29">
        <v>74649.778049999994</v>
      </c>
      <c r="F1681" t="s">
        <v>303</v>
      </c>
      <c r="G1681">
        <v>2</v>
      </c>
    </row>
    <row r="1682" spans="1:7" x14ac:dyDescent="0.25">
      <c r="A1682" s="28" t="s">
        <v>860</v>
      </c>
      <c r="B1682" s="29">
        <v>74649.778049999994</v>
      </c>
      <c r="F1682" t="s">
        <v>860</v>
      </c>
      <c r="G1682">
        <v>2</v>
      </c>
    </row>
    <row r="1683" spans="1:7" x14ac:dyDescent="0.25">
      <c r="A1683" s="28" t="s">
        <v>1321</v>
      </c>
      <c r="B1683" s="29">
        <v>74649.778049999994</v>
      </c>
      <c r="F1683" t="s">
        <v>1321</v>
      </c>
      <c r="G1683">
        <v>2</v>
      </c>
    </row>
    <row r="1684" spans="1:7" hidden="1" x14ac:dyDescent="0.25">
      <c r="A1684" s="28" t="s">
        <v>3240</v>
      </c>
      <c r="B1684" s="29">
        <v>82454.509999999995</v>
      </c>
      <c r="F1684" t="s">
        <v>3240</v>
      </c>
      <c r="G1684">
        <v>1</v>
      </c>
    </row>
    <row r="1685" spans="1:7" x14ac:dyDescent="0.25">
      <c r="A1685" s="28" t="s">
        <v>75</v>
      </c>
      <c r="B1685" s="29">
        <v>74649.778049999994</v>
      </c>
      <c r="F1685" t="s">
        <v>75</v>
      </c>
      <c r="G1685">
        <v>2</v>
      </c>
    </row>
    <row r="1686" spans="1:7" x14ac:dyDescent="0.25">
      <c r="A1686" s="28" t="s">
        <v>439</v>
      </c>
      <c r="B1686" s="29">
        <v>74649.778049999994</v>
      </c>
      <c r="F1686" t="s">
        <v>439</v>
      </c>
      <c r="G1686">
        <v>2</v>
      </c>
    </row>
    <row r="1687" spans="1:7" x14ac:dyDescent="0.25">
      <c r="A1687" s="28" t="s">
        <v>409</v>
      </c>
      <c r="B1687" s="29">
        <v>74649.778049999994</v>
      </c>
      <c r="F1687" t="s">
        <v>409</v>
      </c>
      <c r="G1687">
        <v>2</v>
      </c>
    </row>
    <row r="1688" spans="1:7" hidden="1" x14ac:dyDescent="0.25">
      <c r="A1688" s="28" t="s">
        <v>4079</v>
      </c>
      <c r="B1688" s="29">
        <v>82454.509999999995</v>
      </c>
      <c r="F1688" t="s">
        <v>4079</v>
      </c>
      <c r="G1688">
        <v>1</v>
      </c>
    </row>
    <row r="1689" spans="1:7" x14ac:dyDescent="0.25">
      <c r="A1689" s="28" t="s">
        <v>457</v>
      </c>
      <c r="B1689" s="29">
        <v>74649.778049999994</v>
      </c>
      <c r="F1689" t="s">
        <v>457</v>
      </c>
      <c r="G1689">
        <v>2</v>
      </c>
    </row>
    <row r="1690" spans="1:7" x14ac:dyDescent="0.25">
      <c r="A1690" s="28" t="s">
        <v>867</v>
      </c>
      <c r="B1690" s="29">
        <v>74649.778049999994</v>
      </c>
      <c r="F1690" t="s">
        <v>867</v>
      </c>
      <c r="G1690">
        <v>2</v>
      </c>
    </row>
    <row r="1691" spans="1:7" x14ac:dyDescent="0.25">
      <c r="A1691" s="28" t="s">
        <v>616</v>
      </c>
      <c r="B1691" s="29">
        <v>74649.778049999994</v>
      </c>
      <c r="F1691" t="s">
        <v>616</v>
      </c>
      <c r="G1691">
        <v>2</v>
      </c>
    </row>
    <row r="1692" spans="1:7" x14ac:dyDescent="0.25">
      <c r="A1692" s="28" t="s">
        <v>481</v>
      </c>
      <c r="B1692" s="29">
        <v>74649.778049999994</v>
      </c>
      <c r="F1692" t="s">
        <v>481</v>
      </c>
      <c r="G1692">
        <v>2</v>
      </c>
    </row>
    <row r="1693" spans="1:7" x14ac:dyDescent="0.25">
      <c r="A1693" s="28" t="s">
        <v>346</v>
      </c>
      <c r="B1693" s="29">
        <v>74649.778049999994</v>
      </c>
      <c r="F1693" t="s">
        <v>346</v>
      </c>
      <c r="G1693">
        <v>2</v>
      </c>
    </row>
    <row r="1694" spans="1:7" x14ac:dyDescent="0.25">
      <c r="A1694" s="28" t="s">
        <v>885</v>
      </c>
      <c r="B1694" s="29">
        <v>74649.778049999994</v>
      </c>
      <c r="F1694" t="s">
        <v>885</v>
      </c>
      <c r="G1694">
        <v>2</v>
      </c>
    </row>
    <row r="1695" spans="1:7" x14ac:dyDescent="0.25">
      <c r="A1695" s="28" t="s">
        <v>1137</v>
      </c>
      <c r="B1695" s="29">
        <v>74649.778049999994</v>
      </c>
      <c r="F1695" t="s">
        <v>1137</v>
      </c>
      <c r="G1695">
        <v>2</v>
      </c>
    </row>
    <row r="1696" spans="1:7" hidden="1" x14ac:dyDescent="0.25">
      <c r="A1696" s="28" t="s">
        <v>2920</v>
      </c>
      <c r="B1696" s="29">
        <v>73466.960000000006</v>
      </c>
      <c r="F1696" t="s">
        <v>2920</v>
      </c>
      <c r="G1696">
        <v>1</v>
      </c>
    </row>
    <row r="1697" spans="1:7" x14ac:dyDescent="0.25">
      <c r="A1697" s="28" t="s">
        <v>1501</v>
      </c>
      <c r="B1697" s="29">
        <v>74649.778049999994</v>
      </c>
      <c r="F1697" t="s">
        <v>1501</v>
      </c>
      <c r="G1697">
        <v>2</v>
      </c>
    </row>
    <row r="1698" spans="1:7" x14ac:dyDescent="0.25">
      <c r="A1698" s="28" t="s">
        <v>1334</v>
      </c>
      <c r="B1698" s="29">
        <v>74649.778049999994</v>
      </c>
      <c r="F1698" t="s">
        <v>1334</v>
      </c>
      <c r="G1698">
        <v>2</v>
      </c>
    </row>
    <row r="1699" spans="1:7" hidden="1" x14ac:dyDescent="0.25">
      <c r="A1699" s="28" t="s">
        <v>3567</v>
      </c>
      <c r="B1699" s="29">
        <v>73466.960000000006</v>
      </c>
      <c r="F1699" t="s">
        <v>3567</v>
      </c>
      <c r="G1699">
        <v>1</v>
      </c>
    </row>
    <row r="1700" spans="1:7" hidden="1" x14ac:dyDescent="0.25">
      <c r="A1700" s="28" t="s">
        <v>3985</v>
      </c>
      <c r="B1700" s="29">
        <v>73466.960000000006</v>
      </c>
      <c r="F1700" t="s">
        <v>3985</v>
      </c>
      <c r="G1700">
        <v>1</v>
      </c>
    </row>
    <row r="1701" spans="1:7" hidden="1" x14ac:dyDescent="0.25">
      <c r="A1701" s="28" t="s">
        <v>2492</v>
      </c>
      <c r="B1701" s="29">
        <v>73466.960000000006</v>
      </c>
      <c r="F1701" t="s">
        <v>2492</v>
      </c>
      <c r="G1701">
        <v>1</v>
      </c>
    </row>
    <row r="1702" spans="1:7" hidden="1" x14ac:dyDescent="0.25">
      <c r="A1702" s="28" t="s">
        <v>3869</v>
      </c>
      <c r="B1702" s="29">
        <v>73466.960000000006</v>
      </c>
      <c r="F1702" t="s">
        <v>3869</v>
      </c>
      <c r="G1702">
        <v>1</v>
      </c>
    </row>
    <row r="1703" spans="1:7" x14ac:dyDescent="0.25">
      <c r="A1703" s="28" t="s">
        <v>933</v>
      </c>
      <c r="B1703" s="29">
        <v>74649.778049999994</v>
      </c>
      <c r="F1703" t="s">
        <v>933</v>
      </c>
      <c r="G1703">
        <v>2</v>
      </c>
    </row>
    <row r="1704" spans="1:7" hidden="1" x14ac:dyDescent="0.25">
      <c r="A1704" s="28" t="s">
        <v>4115</v>
      </c>
      <c r="B1704" s="29">
        <v>73466.960000000006</v>
      </c>
      <c r="F1704" t="s">
        <v>4115</v>
      </c>
      <c r="G1704">
        <v>1</v>
      </c>
    </row>
    <row r="1705" spans="1:7" hidden="1" x14ac:dyDescent="0.25">
      <c r="A1705" s="28" t="s">
        <v>4275</v>
      </c>
      <c r="B1705" s="29">
        <v>73466.960000000006</v>
      </c>
      <c r="F1705" t="s">
        <v>4275</v>
      </c>
      <c r="G1705">
        <v>1</v>
      </c>
    </row>
    <row r="1706" spans="1:7" hidden="1" x14ac:dyDescent="0.25">
      <c r="A1706" s="28" t="s">
        <v>4290</v>
      </c>
      <c r="B1706" s="29">
        <v>73466.960000000006</v>
      </c>
      <c r="F1706" t="s">
        <v>4290</v>
      </c>
      <c r="G1706">
        <v>1</v>
      </c>
    </row>
    <row r="1707" spans="1:7" hidden="1" x14ac:dyDescent="0.25">
      <c r="A1707" s="28" t="s">
        <v>4404</v>
      </c>
      <c r="B1707" s="29">
        <v>73466.960000000006</v>
      </c>
      <c r="F1707" t="s">
        <v>4404</v>
      </c>
      <c r="G1707">
        <v>1</v>
      </c>
    </row>
    <row r="1708" spans="1:7" hidden="1" x14ac:dyDescent="0.25">
      <c r="A1708" s="28" t="s">
        <v>4386</v>
      </c>
      <c r="B1708" s="29">
        <v>73466.960000000006</v>
      </c>
      <c r="F1708" t="s">
        <v>4386</v>
      </c>
      <c r="G1708">
        <v>1</v>
      </c>
    </row>
    <row r="1709" spans="1:7" hidden="1" x14ac:dyDescent="0.25">
      <c r="A1709" s="28" t="s">
        <v>3159</v>
      </c>
      <c r="B1709" s="29">
        <v>73466.960000000006</v>
      </c>
      <c r="F1709" t="s">
        <v>3159</v>
      </c>
      <c r="G1709">
        <v>1</v>
      </c>
    </row>
    <row r="1710" spans="1:7" hidden="1" x14ac:dyDescent="0.25">
      <c r="A1710" s="28" t="s">
        <v>3382</v>
      </c>
      <c r="B1710" s="29">
        <v>67225.429999999993</v>
      </c>
      <c r="F1710" t="s">
        <v>3382</v>
      </c>
      <c r="G1710">
        <v>1</v>
      </c>
    </row>
    <row r="1711" spans="1:7" x14ac:dyDescent="0.25">
      <c r="A1711" s="28" t="s">
        <v>593</v>
      </c>
      <c r="B1711" s="29">
        <v>68307.759399999995</v>
      </c>
      <c r="F1711" t="s">
        <v>593</v>
      </c>
      <c r="G1711">
        <v>2</v>
      </c>
    </row>
    <row r="1712" spans="1:7" hidden="1" x14ac:dyDescent="0.25">
      <c r="A1712" s="28" t="s">
        <v>2982</v>
      </c>
      <c r="B1712" s="29">
        <v>67225.429999999993</v>
      </c>
      <c r="F1712" t="s">
        <v>2982</v>
      </c>
      <c r="G1712">
        <v>1</v>
      </c>
    </row>
    <row r="1713" spans="1:7" x14ac:dyDescent="0.25">
      <c r="A1713" s="28" t="s">
        <v>594</v>
      </c>
      <c r="B1713" s="29">
        <v>68307.759399999995</v>
      </c>
      <c r="F1713" t="s">
        <v>594</v>
      </c>
      <c r="G1713">
        <v>2</v>
      </c>
    </row>
    <row r="1714" spans="1:7" x14ac:dyDescent="0.25">
      <c r="A1714" s="28" t="s">
        <v>271</v>
      </c>
      <c r="B1714" s="29">
        <v>68307.759399999995</v>
      </c>
      <c r="F1714" t="s">
        <v>271</v>
      </c>
      <c r="G1714">
        <v>2</v>
      </c>
    </row>
    <row r="1715" spans="1:7" x14ac:dyDescent="0.25">
      <c r="A1715" s="28" t="s">
        <v>1456</v>
      </c>
      <c r="B1715" s="29">
        <v>68307.759399999995</v>
      </c>
      <c r="F1715" t="s">
        <v>1456</v>
      </c>
      <c r="G1715">
        <v>2</v>
      </c>
    </row>
    <row r="1716" spans="1:7" x14ac:dyDescent="0.25">
      <c r="A1716" s="28" t="s">
        <v>916</v>
      </c>
      <c r="B1716" s="29">
        <v>68307.759399999995</v>
      </c>
      <c r="F1716" t="s">
        <v>916</v>
      </c>
      <c r="G1716">
        <v>2</v>
      </c>
    </row>
    <row r="1717" spans="1:7" x14ac:dyDescent="0.25">
      <c r="A1717" s="28" t="s">
        <v>1535</v>
      </c>
      <c r="B1717" s="29">
        <v>68307.759399999995</v>
      </c>
      <c r="F1717" t="s">
        <v>1535</v>
      </c>
      <c r="G1717">
        <v>2</v>
      </c>
    </row>
    <row r="1718" spans="1:7" x14ac:dyDescent="0.25">
      <c r="A1718" s="28" t="s">
        <v>1573</v>
      </c>
      <c r="B1718" s="29">
        <v>68307.759399999995</v>
      </c>
      <c r="F1718" t="s">
        <v>1573</v>
      </c>
      <c r="G1718">
        <v>2</v>
      </c>
    </row>
    <row r="1719" spans="1:7" x14ac:dyDescent="0.25">
      <c r="A1719" s="28" t="s">
        <v>423</v>
      </c>
      <c r="B1719" s="29">
        <v>68307.759399999995</v>
      </c>
      <c r="F1719" t="s">
        <v>423</v>
      </c>
      <c r="G1719">
        <v>2</v>
      </c>
    </row>
    <row r="1720" spans="1:7" hidden="1" x14ac:dyDescent="0.25">
      <c r="A1720" s="28" t="s">
        <v>2749</v>
      </c>
      <c r="B1720" s="29">
        <v>67225.429999999993</v>
      </c>
      <c r="F1720" t="s">
        <v>2749</v>
      </c>
      <c r="G1720">
        <v>1</v>
      </c>
    </row>
    <row r="1721" spans="1:7" hidden="1" x14ac:dyDescent="0.25">
      <c r="A1721" s="28" t="s">
        <v>3649</v>
      </c>
      <c r="B1721" s="29">
        <v>67225.429999999993</v>
      </c>
      <c r="F1721" t="s">
        <v>3649</v>
      </c>
      <c r="G1721">
        <v>1</v>
      </c>
    </row>
    <row r="1722" spans="1:7" x14ac:dyDescent="0.25">
      <c r="A1722" s="28" t="s">
        <v>1543</v>
      </c>
      <c r="B1722" s="29">
        <v>68307.759399999995</v>
      </c>
      <c r="F1722" t="s">
        <v>1543</v>
      </c>
      <c r="G1722">
        <v>2</v>
      </c>
    </row>
    <row r="1723" spans="1:7" x14ac:dyDescent="0.25">
      <c r="A1723" s="28" t="s">
        <v>617</v>
      </c>
      <c r="B1723" s="29">
        <v>68307.759399999995</v>
      </c>
      <c r="F1723" t="s">
        <v>617</v>
      </c>
      <c r="G1723">
        <v>2</v>
      </c>
    </row>
    <row r="1724" spans="1:7" hidden="1" x14ac:dyDescent="0.25">
      <c r="A1724" s="28" t="s">
        <v>3555</v>
      </c>
      <c r="B1724" s="29">
        <v>67225.429999999993</v>
      </c>
      <c r="F1724" t="s">
        <v>3555</v>
      </c>
      <c r="G1724">
        <v>1</v>
      </c>
    </row>
    <row r="1725" spans="1:7" x14ac:dyDescent="0.25">
      <c r="A1725" s="28" t="s">
        <v>1403</v>
      </c>
      <c r="B1725" s="29">
        <v>68307.759399999995</v>
      </c>
      <c r="F1725" t="s">
        <v>1403</v>
      </c>
      <c r="G1725">
        <v>2</v>
      </c>
    </row>
    <row r="1726" spans="1:7" x14ac:dyDescent="0.25">
      <c r="A1726" s="28" t="s">
        <v>1432</v>
      </c>
      <c r="B1726" s="29">
        <v>68307.759399999995</v>
      </c>
      <c r="F1726" t="s">
        <v>1432</v>
      </c>
      <c r="G1726">
        <v>2</v>
      </c>
    </row>
    <row r="1727" spans="1:7" hidden="1" x14ac:dyDescent="0.25">
      <c r="A1727" s="28" t="s">
        <v>4103</v>
      </c>
      <c r="B1727" s="29">
        <v>67225.429999999993</v>
      </c>
      <c r="F1727" t="s">
        <v>4103</v>
      </c>
      <c r="G1727">
        <v>1</v>
      </c>
    </row>
    <row r="1728" spans="1:7" hidden="1" x14ac:dyDescent="0.25">
      <c r="A1728" s="28" t="s">
        <v>3926</v>
      </c>
      <c r="B1728" s="29">
        <v>67225.429999999993</v>
      </c>
      <c r="F1728" t="s">
        <v>3926</v>
      </c>
      <c r="G1728">
        <v>1</v>
      </c>
    </row>
    <row r="1729" spans="1:7" x14ac:dyDescent="0.25">
      <c r="A1729" s="28" t="s">
        <v>1452</v>
      </c>
      <c r="B1729" s="29">
        <v>68307.759399999995</v>
      </c>
      <c r="F1729" t="s">
        <v>1452</v>
      </c>
      <c r="G1729">
        <v>2</v>
      </c>
    </row>
    <row r="1730" spans="1:7" x14ac:dyDescent="0.25">
      <c r="A1730" s="28" t="s">
        <v>1551</v>
      </c>
      <c r="B1730" s="29">
        <v>68307.759399999995</v>
      </c>
      <c r="F1730" t="s">
        <v>1551</v>
      </c>
      <c r="G1730">
        <v>2</v>
      </c>
    </row>
    <row r="1731" spans="1:7" x14ac:dyDescent="0.25">
      <c r="A1731" s="28" t="s">
        <v>1314</v>
      </c>
      <c r="B1731" s="29">
        <v>68307.759399999995</v>
      </c>
      <c r="F1731" t="s">
        <v>1314</v>
      </c>
      <c r="G1731">
        <v>2</v>
      </c>
    </row>
    <row r="1732" spans="1:7" x14ac:dyDescent="0.25">
      <c r="A1732" s="28" t="s">
        <v>456</v>
      </c>
      <c r="B1732" s="29">
        <v>68307.759399999995</v>
      </c>
      <c r="F1732" t="s">
        <v>456</v>
      </c>
      <c r="G1732">
        <v>2</v>
      </c>
    </row>
    <row r="1733" spans="1:7" hidden="1" x14ac:dyDescent="0.25">
      <c r="A1733" s="28" t="s">
        <v>3974</v>
      </c>
      <c r="B1733" s="29">
        <v>67225.429999999993</v>
      </c>
      <c r="F1733" t="s">
        <v>3974</v>
      </c>
      <c r="G1733">
        <v>1</v>
      </c>
    </row>
    <row r="1734" spans="1:7" hidden="1" x14ac:dyDescent="0.25">
      <c r="A1734" s="28" t="s">
        <v>4152</v>
      </c>
      <c r="B1734" s="29">
        <v>67225.429999999993</v>
      </c>
      <c r="F1734" t="s">
        <v>4152</v>
      </c>
      <c r="G1734">
        <v>1</v>
      </c>
    </row>
    <row r="1735" spans="1:7" x14ac:dyDescent="0.25">
      <c r="A1735" s="28" t="s">
        <v>1492</v>
      </c>
      <c r="B1735" s="29">
        <v>68307.759399999995</v>
      </c>
      <c r="F1735" t="s">
        <v>1492</v>
      </c>
      <c r="G1735">
        <v>2</v>
      </c>
    </row>
    <row r="1736" spans="1:7" hidden="1" x14ac:dyDescent="0.25">
      <c r="A1736" s="28" t="s">
        <v>3766</v>
      </c>
      <c r="B1736" s="29">
        <v>67225.429999999993</v>
      </c>
      <c r="F1736" t="s">
        <v>3766</v>
      </c>
      <c r="G1736">
        <v>1</v>
      </c>
    </row>
    <row r="1737" spans="1:7" x14ac:dyDescent="0.25">
      <c r="A1737" s="28" t="s">
        <v>1280</v>
      </c>
      <c r="B1737" s="29">
        <v>68307.759399999995</v>
      </c>
      <c r="F1737" t="s">
        <v>1280</v>
      </c>
      <c r="G1737">
        <v>2</v>
      </c>
    </row>
    <row r="1738" spans="1:7" x14ac:dyDescent="0.25">
      <c r="A1738" s="28" t="s">
        <v>917</v>
      </c>
      <c r="B1738" s="29">
        <v>68307.759399999995</v>
      </c>
      <c r="F1738" t="s">
        <v>917</v>
      </c>
      <c r="G1738">
        <v>2</v>
      </c>
    </row>
    <row r="1739" spans="1:7" hidden="1" x14ac:dyDescent="0.25">
      <c r="A1739" s="28" t="s">
        <v>3107</v>
      </c>
      <c r="B1739" s="29">
        <v>67225.429999999993</v>
      </c>
      <c r="F1739" t="s">
        <v>3107</v>
      </c>
      <c r="G1739">
        <v>1</v>
      </c>
    </row>
    <row r="1740" spans="1:7" x14ac:dyDescent="0.25">
      <c r="A1740" s="28" t="s">
        <v>1302</v>
      </c>
      <c r="B1740" s="29">
        <v>68307.759399999995</v>
      </c>
      <c r="F1740" t="s">
        <v>1302</v>
      </c>
      <c r="G1740">
        <v>2</v>
      </c>
    </row>
    <row r="1741" spans="1:7" x14ac:dyDescent="0.25">
      <c r="A1741" s="28" t="s">
        <v>1378</v>
      </c>
      <c r="B1741" s="29">
        <v>68307.759399999995</v>
      </c>
      <c r="F1741" t="s">
        <v>1378</v>
      </c>
      <c r="G1741">
        <v>2</v>
      </c>
    </row>
    <row r="1742" spans="1:7" x14ac:dyDescent="0.25">
      <c r="A1742" s="28" t="s">
        <v>1204</v>
      </c>
      <c r="B1742" s="29">
        <v>68307.759399999995</v>
      </c>
      <c r="F1742" t="s">
        <v>1204</v>
      </c>
      <c r="G1742">
        <v>2</v>
      </c>
    </row>
    <row r="1743" spans="1:7" hidden="1" x14ac:dyDescent="0.25">
      <c r="A1743" s="28" t="s">
        <v>3609</v>
      </c>
      <c r="B1743" s="29">
        <v>67225.429999999993</v>
      </c>
      <c r="F1743" t="s">
        <v>3609</v>
      </c>
      <c r="G1743">
        <v>1</v>
      </c>
    </row>
    <row r="1744" spans="1:7" x14ac:dyDescent="0.25">
      <c r="A1744" s="28" t="s">
        <v>1595</v>
      </c>
      <c r="B1744" s="29">
        <v>68307.759399999995</v>
      </c>
      <c r="F1744" t="s">
        <v>1595</v>
      </c>
      <c r="G1744">
        <v>2</v>
      </c>
    </row>
    <row r="1745" spans="1:7" x14ac:dyDescent="0.25">
      <c r="A1745" s="28" t="s">
        <v>1333</v>
      </c>
      <c r="B1745" s="29">
        <v>68307.759399999995</v>
      </c>
      <c r="F1745" t="s">
        <v>1333</v>
      </c>
      <c r="G1745">
        <v>2</v>
      </c>
    </row>
    <row r="1746" spans="1:7" hidden="1" x14ac:dyDescent="0.25">
      <c r="A1746" s="28" t="s">
        <v>3884</v>
      </c>
      <c r="B1746" s="29">
        <v>67225.429999999993</v>
      </c>
      <c r="F1746" t="s">
        <v>3884</v>
      </c>
      <c r="G1746">
        <v>1</v>
      </c>
    </row>
    <row r="1747" spans="1:7" x14ac:dyDescent="0.25">
      <c r="A1747" s="28" t="s">
        <v>1594</v>
      </c>
      <c r="B1747" s="29">
        <v>68307.759399999995</v>
      </c>
      <c r="F1747" t="s">
        <v>1594</v>
      </c>
      <c r="G1747">
        <v>2</v>
      </c>
    </row>
    <row r="1748" spans="1:7" hidden="1" x14ac:dyDescent="0.25">
      <c r="A1748" s="28" t="s">
        <v>3855</v>
      </c>
      <c r="B1748" s="29">
        <v>67225.429999999993</v>
      </c>
      <c r="F1748" t="s">
        <v>3855</v>
      </c>
      <c r="G1748">
        <v>1</v>
      </c>
    </row>
    <row r="1749" spans="1:7" hidden="1" x14ac:dyDescent="0.25">
      <c r="A1749" s="28" t="s">
        <v>3924</v>
      </c>
      <c r="B1749" s="29">
        <v>67225.429999999993</v>
      </c>
      <c r="F1749" t="s">
        <v>3924</v>
      </c>
      <c r="G1749">
        <v>1</v>
      </c>
    </row>
    <row r="1750" spans="1:7" hidden="1" x14ac:dyDescent="0.25">
      <c r="A1750" s="28" t="s">
        <v>3226</v>
      </c>
      <c r="B1750" s="29">
        <v>67225.429999999993</v>
      </c>
      <c r="F1750" t="s">
        <v>3226</v>
      </c>
      <c r="G1750">
        <v>1</v>
      </c>
    </row>
    <row r="1751" spans="1:7" hidden="1" x14ac:dyDescent="0.25">
      <c r="A1751" s="28" t="s">
        <v>3411</v>
      </c>
      <c r="B1751" s="29">
        <v>67225.429999999993</v>
      </c>
      <c r="F1751" t="s">
        <v>3411</v>
      </c>
      <c r="G1751">
        <v>1</v>
      </c>
    </row>
    <row r="1752" spans="1:7" x14ac:dyDescent="0.25">
      <c r="A1752" s="28" t="s">
        <v>1604</v>
      </c>
      <c r="B1752" s="29">
        <v>68307.759399999995</v>
      </c>
      <c r="F1752" t="s">
        <v>1604</v>
      </c>
      <c r="G1752">
        <v>2</v>
      </c>
    </row>
    <row r="1753" spans="1:7" hidden="1" x14ac:dyDescent="0.25">
      <c r="A1753" s="28" t="s">
        <v>3725</v>
      </c>
      <c r="B1753" s="29">
        <v>67225.429999999993</v>
      </c>
      <c r="F1753" t="s">
        <v>3725</v>
      </c>
      <c r="G1753">
        <v>1</v>
      </c>
    </row>
    <row r="1754" spans="1:7" x14ac:dyDescent="0.25">
      <c r="A1754" s="28" t="s">
        <v>301</v>
      </c>
      <c r="B1754" s="29">
        <v>68307.759399999995</v>
      </c>
      <c r="F1754" t="s">
        <v>301</v>
      </c>
      <c r="G1754">
        <v>2</v>
      </c>
    </row>
    <row r="1755" spans="1:7" hidden="1" x14ac:dyDescent="0.25">
      <c r="A1755" s="28" t="s">
        <v>3385</v>
      </c>
      <c r="B1755" s="29">
        <v>67225.429999999993</v>
      </c>
      <c r="F1755" t="s">
        <v>3385</v>
      </c>
      <c r="G1755">
        <v>1</v>
      </c>
    </row>
    <row r="1756" spans="1:7" hidden="1" x14ac:dyDescent="0.25">
      <c r="A1756" s="28" t="s">
        <v>3341</v>
      </c>
      <c r="B1756" s="29">
        <v>67225.429999999993</v>
      </c>
      <c r="F1756" t="s">
        <v>3341</v>
      </c>
      <c r="G1756">
        <v>1</v>
      </c>
    </row>
    <row r="1757" spans="1:7" hidden="1" x14ac:dyDescent="0.25">
      <c r="A1757" s="28" t="s">
        <v>3452</v>
      </c>
      <c r="B1757" s="29">
        <v>67225.429999999993</v>
      </c>
      <c r="F1757" t="s">
        <v>3452</v>
      </c>
      <c r="G1757">
        <v>1</v>
      </c>
    </row>
    <row r="1758" spans="1:7" hidden="1" x14ac:dyDescent="0.25">
      <c r="A1758" s="28" t="s">
        <v>3345</v>
      </c>
      <c r="B1758" s="29">
        <v>67225.429999999993</v>
      </c>
      <c r="F1758" t="s">
        <v>3345</v>
      </c>
      <c r="G1758">
        <v>1</v>
      </c>
    </row>
    <row r="1759" spans="1:7" hidden="1" x14ac:dyDescent="0.25">
      <c r="A1759" s="28" t="s">
        <v>3461</v>
      </c>
      <c r="B1759" s="29">
        <v>67225.429999999993</v>
      </c>
      <c r="F1759" t="s">
        <v>3461</v>
      </c>
      <c r="G1759">
        <v>1</v>
      </c>
    </row>
    <row r="1760" spans="1:7" hidden="1" x14ac:dyDescent="0.25">
      <c r="A1760" s="28" t="s">
        <v>3639</v>
      </c>
      <c r="B1760" s="29">
        <v>67225.429999999993</v>
      </c>
      <c r="F1760" t="s">
        <v>3639</v>
      </c>
      <c r="G1760">
        <v>1</v>
      </c>
    </row>
    <row r="1761" spans="1:7" hidden="1" x14ac:dyDescent="0.25">
      <c r="A1761" s="28" t="s">
        <v>3735</v>
      </c>
      <c r="B1761" s="29">
        <v>67225.429999999993</v>
      </c>
      <c r="F1761" t="s">
        <v>3735</v>
      </c>
      <c r="G1761">
        <v>1</v>
      </c>
    </row>
    <row r="1762" spans="1:7" hidden="1" x14ac:dyDescent="0.25">
      <c r="A1762" s="28" t="s">
        <v>3544</v>
      </c>
      <c r="B1762" s="29">
        <v>67225.429999999993</v>
      </c>
      <c r="F1762" t="s">
        <v>3544</v>
      </c>
      <c r="G1762">
        <v>1</v>
      </c>
    </row>
    <row r="1763" spans="1:7" x14ac:dyDescent="0.25">
      <c r="A1763" s="28" t="s">
        <v>1553</v>
      </c>
      <c r="B1763" s="29">
        <v>68307.759399999995</v>
      </c>
      <c r="F1763" t="s">
        <v>1553</v>
      </c>
      <c r="G1763">
        <v>2</v>
      </c>
    </row>
    <row r="1764" spans="1:7" hidden="1" x14ac:dyDescent="0.25">
      <c r="A1764" s="28" t="s">
        <v>3813</v>
      </c>
      <c r="B1764" s="29">
        <v>67225.429999999993</v>
      </c>
      <c r="F1764" t="s">
        <v>3813</v>
      </c>
      <c r="G1764">
        <v>1</v>
      </c>
    </row>
    <row r="1765" spans="1:7" hidden="1" x14ac:dyDescent="0.25">
      <c r="A1765" s="28" t="s">
        <v>3834</v>
      </c>
      <c r="B1765" s="29">
        <v>67225.429999999993</v>
      </c>
      <c r="F1765" t="s">
        <v>3834</v>
      </c>
      <c r="G1765">
        <v>1</v>
      </c>
    </row>
    <row r="1766" spans="1:7" hidden="1" x14ac:dyDescent="0.25">
      <c r="A1766" s="28" t="s">
        <v>3941</v>
      </c>
      <c r="B1766" s="29">
        <v>67225.429999999993</v>
      </c>
      <c r="F1766" t="s">
        <v>3941</v>
      </c>
      <c r="G1766">
        <v>1</v>
      </c>
    </row>
    <row r="1767" spans="1:7" x14ac:dyDescent="0.25">
      <c r="A1767" s="28" t="s">
        <v>1319</v>
      </c>
      <c r="B1767" s="29">
        <v>68307.759399999995</v>
      </c>
      <c r="F1767" t="s">
        <v>1319</v>
      </c>
      <c r="G1767">
        <v>2</v>
      </c>
    </row>
    <row r="1768" spans="1:7" hidden="1" x14ac:dyDescent="0.25">
      <c r="A1768" s="28" t="s">
        <v>4501</v>
      </c>
      <c r="B1768" s="29">
        <v>67225.429999999993</v>
      </c>
      <c r="F1768" t="s">
        <v>4501</v>
      </c>
      <c r="G1768">
        <v>1</v>
      </c>
    </row>
    <row r="1769" spans="1:7" hidden="1" x14ac:dyDescent="0.25">
      <c r="A1769" s="28" t="s">
        <v>4293</v>
      </c>
      <c r="B1769" s="29">
        <v>67225.429999999993</v>
      </c>
      <c r="F1769" t="s">
        <v>4293</v>
      </c>
      <c r="G1769">
        <v>1</v>
      </c>
    </row>
    <row r="1770" spans="1:7" x14ac:dyDescent="0.25">
      <c r="A1770" s="28" t="s">
        <v>730</v>
      </c>
      <c r="B1770" s="29">
        <v>68307.759399999995</v>
      </c>
      <c r="F1770" t="s">
        <v>730</v>
      </c>
      <c r="G1770">
        <v>2</v>
      </c>
    </row>
    <row r="1771" spans="1:7" hidden="1" x14ac:dyDescent="0.25">
      <c r="A1771" s="28" t="s">
        <v>3783</v>
      </c>
      <c r="B1771" s="29">
        <v>67225.429999999993</v>
      </c>
      <c r="F1771" t="s">
        <v>3783</v>
      </c>
      <c r="G1771">
        <v>1</v>
      </c>
    </row>
    <row r="1772" spans="1:7" hidden="1" x14ac:dyDescent="0.25">
      <c r="A1772" s="28" t="s">
        <v>4015</v>
      </c>
      <c r="B1772" s="29">
        <v>67225.429999999993</v>
      </c>
      <c r="F1772" t="s">
        <v>4015</v>
      </c>
      <c r="G1772">
        <v>1</v>
      </c>
    </row>
    <row r="1773" spans="1:7" hidden="1" x14ac:dyDescent="0.25">
      <c r="A1773" s="28" t="s">
        <v>3778</v>
      </c>
      <c r="B1773" s="29">
        <v>67225.429999999993</v>
      </c>
      <c r="F1773" t="s">
        <v>3778</v>
      </c>
      <c r="G1773">
        <v>1</v>
      </c>
    </row>
    <row r="1774" spans="1:7" hidden="1" x14ac:dyDescent="0.25">
      <c r="A1774" s="28" t="s">
        <v>4038</v>
      </c>
      <c r="B1774" s="29">
        <v>67225.429999999993</v>
      </c>
      <c r="F1774" t="s">
        <v>4038</v>
      </c>
      <c r="G1774">
        <v>1</v>
      </c>
    </row>
    <row r="1775" spans="1:7" x14ac:dyDescent="0.25">
      <c r="A1775" s="28" t="s">
        <v>1507</v>
      </c>
      <c r="B1775" s="29">
        <v>68307.759399999995</v>
      </c>
      <c r="F1775" t="s">
        <v>1507</v>
      </c>
      <c r="G1775">
        <v>2</v>
      </c>
    </row>
    <row r="1776" spans="1:7" hidden="1" x14ac:dyDescent="0.25">
      <c r="A1776" s="28" t="s">
        <v>3797</v>
      </c>
      <c r="B1776" s="29">
        <v>67225.429999999993</v>
      </c>
      <c r="F1776" t="s">
        <v>3797</v>
      </c>
      <c r="G1776">
        <v>1</v>
      </c>
    </row>
    <row r="1777" spans="1:7" x14ac:dyDescent="0.25">
      <c r="A1777" s="28" t="s">
        <v>839</v>
      </c>
      <c r="B1777" s="29">
        <v>68307.759399999995</v>
      </c>
      <c r="F1777" t="s">
        <v>839</v>
      </c>
      <c r="G1777">
        <v>2</v>
      </c>
    </row>
    <row r="1778" spans="1:7" x14ac:dyDescent="0.25">
      <c r="A1778" s="28" t="s">
        <v>452</v>
      </c>
      <c r="B1778" s="29">
        <v>68307.759399999995</v>
      </c>
      <c r="F1778" t="s">
        <v>452</v>
      </c>
      <c r="G1778">
        <v>2</v>
      </c>
    </row>
    <row r="1779" spans="1:7" x14ac:dyDescent="0.25">
      <c r="A1779" s="28" t="s">
        <v>472</v>
      </c>
      <c r="B1779" s="29">
        <v>68307.759399999995</v>
      </c>
      <c r="F1779" t="s">
        <v>472</v>
      </c>
      <c r="G1779">
        <v>2</v>
      </c>
    </row>
    <row r="1780" spans="1:7" x14ac:dyDescent="0.25">
      <c r="A1780" s="28" t="s">
        <v>1071</v>
      </c>
      <c r="B1780" s="29">
        <v>68307.759399999995</v>
      </c>
      <c r="F1780" t="s">
        <v>1071</v>
      </c>
      <c r="G1780">
        <v>2</v>
      </c>
    </row>
    <row r="1781" spans="1:7" x14ac:dyDescent="0.25">
      <c r="A1781" s="28" t="s">
        <v>491</v>
      </c>
      <c r="B1781" s="29">
        <v>68307.759399999995</v>
      </c>
      <c r="F1781" t="s">
        <v>491</v>
      </c>
      <c r="G1781">
        <v>2</v>
      </c>
    </row>
    <row r="1782" spans="1:7" hidden="1" x14ac:dyDescent="0.25">
      <c r="A1782" s="28" t="s">
        <v>3636</v>
      </c>
      <c r="B1782" s="29">
        <v>67225.429999999993</v>
      </c>
      <c r="F1782" t="s">
        <v>3636</v>
      </c>
      <c r="G1782">
        <v>1</v>
      </c>
    </row>
    <row r="1783" spans="1:7" x14ac:dyDescent="0.25">
      <c r="A1783" s="28" t="s">
        <v>742</v>
      </c>
      <c r="B1783" s="29">
        <v>68307.759399999995</v>
      </c>
      <c r="F1783" t="s">
        <v>742</v>
      </c>
      <c r="G1783">
        <v>2</v>
      </c>
    </row>
    <row r="1784" spans="1:7" x14ac:dyDescent="0.25">
      <c r="A1784" s="28" t="s">
        <v>370</v>
      </c>
      <c r="B1784" s="29">
        <v>68307.759399999995</v>
      </c>
      <c r="F1784" t="s">
        <v>370</v>
      </c>
      <c r="G1784">
        <v>2</v>
      </c>
    </row>
    <row r="1785" spans="1:7" hidden="1" x14ac:dyDescent="0.25">
      <c r="A1785" s="28" t="s">
        <v>3694</v>
      </c>
      <c r="B1785" s="29">
        <v>67225.429999999993</v>
      </c>
      <c r="F1785" t="s">
        <v>3694</v>
      </c>
      <c r="G1785">
        <v>1</v>
      </c>
    </row>
    <row r="1786" spans="1:7" hidden="1" x14ac:dyDescent="0.25">
      <c r="A1786" s="28" t="s">
        <v>4167</v>
      </c>
      <c r="B1786" s="29">
        <v>67225.429999999993</v>
      </c>
      <c r="F1786" t="s">
        <v>4167</v>
      </c>
      <c r="G1786">
        <v>1</v>
      </c>
    </row>
    <row r="1787" spans="1:7" x14ac:dyDescent="0.25">
      <c r="A1787" s="28" t="s">
        <v>1502</v>
      </c>
      <c r="B1787" s="29">
        <v>68307.759399999995</v>
      </c>
      <c r="F1787" t="s">
        <v>1502</v>
      </c>
      <c r="G1787">
        <v>2</v>
      </c>
    </row>
    <row r="1788" spans="1:7" hidden="1" x14ac:dyDescent="0.25">
      <c r="A1788" s="28" t="s">
        <v>4158</v>
      </c>
      <c r="B1788" s="29">
        <v>56843.360000000001</v>
      </c>
      <c r="F1788" t="s">
        <v>4158</v>
      </c>
      <c r="G1788">
        <v>1</v>
      </c>
    </row>
    <row r="1789" spans="1:7" hidden="1" x14ac:dyDescent="0.25">
      <c r="A1789" s="28" t="s">
        <v>4279</v>
      </c>
      <c r="B1789" s="29">
        <v>54963.53</v>
      </c>
      <c r="F1789" t="s">
        <v>4279</v>
      </c>
      <c r="G1789">
        <v>1</v>
      </c>
    </row>
    <row r="1790" spans="1:7" hidden="1" x14ac:dyDescent="0.25">
      <c r="A1790" s="28" t="s">
        <v>3009</v>
      </c>
      <c r="B1790" s="29">
        <v>56843.360000000001</v>
      </c>
      <c r="F1790" t="s">
        <v>3009</v>
      </c>
      <c r="G1790">
        <v>1</v>
      </c>
    </row>
    <row r="1791" spans="1:7" hidden="1" x14ac:dyDescent="0.25">
      <c r="A1791" s="28" t="s">
        <v>4020</v>
      </c>
      <c r="B1791" s="29">
        <v>56843.360000000001</v>
      </c>
      <c r="F1791" t="s">
        <v>4020</v>
      </c>
      <c r="G1791">
        <v>1</v>
      </c>
    </row>
    <row r="1792" spans="1:7" x14ac:dyDescent="0.25">
      <c r="A1792" s="28" t="s">
        <v>832</v>
      </c>
      <c r="B1792" s="29">
        <v>68307.759399999995</v>
      </c>
      <c r="F1792" t="s">
        <v>832</v>
      </c>
      <c r="G1792">
        <v>2</v>
      </c>
    </row>
    <row r="1793" spans="1:7" x14ac:dyDescent="0.25">
      <c r="A1793" s="28" t="s">
        <v>866</v>
      </c>
      <c r="B1793" s="29">
        <v>68307.759399999995</v>
      </c>
      <c r="F1793" t="s">
        <v>866</v>
      </c>
      <c r="G1793">
        <v>2</v>
      </c>
    </row>
    <row r="1794" spans="1:7" hidden="1" x14ac:dyDescent="0.25">
      <c r="A1794" s="28" t="s">
        <v>4310</v>
      </c>
      <c r="B1794" s="29">
        <v>56843.360000000001</v>
      </c>
      <c r="F1794" t="s">
        <v>4310</v>
      </c>
      <c r="G1794">
        <v>1</v>
      </c>
    </row>
    <row r="1795" spans="1:7" hidden="1" x14ac:dyDescent="0.25">
      <c r="A1795" s="28" t="s">
        <v>3711</v>
      </c>
      <c r="B1795" s="29">
        <v>56843.360000000001</v>
      </c>
      <c r="F1795" t="s">
        <v>3711</v>
      </c>
      <c r="G1795">
        <v>1</v>
      </c>
    </row>
    <row r="1796" spans="1:7" x14ac:dyDescent="0.25">
      <c r="A1796" s="28" t="s">
        <v>65</v>
      </c>
      <c r="B1796" s="29">
        <v>57758.538100000005</v>
      </c>
      <c r="F1796" t="s">
        <v>65</v>
      </c>
      <c r="G1796">
        <v>2</v>
      </c>
    </row>
    <row r="1797" spans="1:7" hidden="1" x14ac:dyDescent="0.25">
      <c r="A1797" s="28" t="s">
        <v>3679</v>
      </c>
      <c r="B1797" s="29">
        <v>56843.360000000001</v>
      </c>
      <c r="F1797" t="s">
        <v>3679</v>
      </c>
      <c r="G1797">
        <v>1</v>
      </c>
    </row>
    <row r="1798" spans="1:7" hidden="1" x14ac:dyDescent="0.25">
      <c r="A1798" s="28" t="s">
        <v>3422</v>
      </c>
      <c r="B1798" s="29">
        <v>56843.360000000001</v>
      </c>
      <c r="F1798" t="s">
        <v>3422</v>
      </c>
      <c r="G1798">
        <v>1</v>
      </c>
    </row>
    <row r="1799" spans="1:7" x14ac:dyDescent="0.25">
      <c r="A1799" s="28" t="s">
        <v>732</v>
      </c>
      <c r="B1799" s="29">
        <v>57758.538100000005</v>
      </c>
      <c r="F1799" t="s">
        <v>732</v>
      </c>
      <c r="G1799">
        <v>2</v>
      </c>
    </row>
    <row r="1800" spans="1:7" hidden="1" x14ac:dyDescent="0.25">
      <c r="A1800" s="28" t="s">
        <v>3862</v>
      </c>
      <c r="B1800" s="29">
        <v>56843.360000000001</v>
      </c>
      <c r="F1800" t="s">
        <v>3862</v>
      </c>
      <c r="G1800">
        <v>1</v>
      </c>
    </row>
    <row r="1801" spans="1:7" hidden="1" x14ac:dyDescent="0.25">
      <c r="A1801" s="28" t="s">
        <v>3410</v>
      </c>
      <c r="B1801" s="29">
        <v>56843.360000000001</v>
      </c>
      <c r="F1801" t="s">
        <v>3410</v>
      </c>
      <c r="G1801">
        <v>1</v>
      </c>
    </row>
    <row r="1802" spans="1:7" x14ac:dyDescent="0.25">
      <c r="A1802" s="28" t="s">
        <v>1571</v>
      </c>
      <c r="B1802" s="29">
        <v>57758.538100000005</v>
      </c>
      <c r="F1802" t="s">
        <v>1571</v>
      </c>
      <c r="G1802">
        <v>2</v>
      </c>
    </row>
    <row r="1803" spans="1:7" hidden="1" x14ac:dyDescent="0.25">
      <c r="A1803" s="28" t="s">
        <v>3969</v>
      </c>
      <c r="B1803" s="29">
        <v>56843.360000000001</v>
      </c>
      <c r="F1803" t="s">
        <v>3969</v>
      </c>
      <c r="G1803">
        <v>1</v>
      </c>
    </row>
    <row r="1804" spans="1:7" hidden="1" x14ac:dyDescent="0.25">
      <c r="A1804" s="28" t="s">
        <v>3329</v>
      </c>
      <c r="B1804" s="29">
        <v>56843.360000000001</v>
      </c>
      <c r="F1804" t="s">
        <v>3329</v>
      </c>
      <c r="G1804">
        <v>1</v>
      </c>
    </row>
    <row r="1805" spans="1:7" hidden="1" x14ac:dyDescent="0.25">
      <c r="A1805" s="28" t="s">
        <v>3727</v>
      </c>
      <c r="B1805" s="29">
        <v>54963.53</v>
      </c>
      <c r="F1805" t="s">
        <v>3727</v>
      </c>
      <c r="G1805">
        <v>1</v>
      </c>
    </row>
    <row r="1806" spans="1:7" x14ac:dyDescent="0.25">
      <c r="A1806" s="28" t="s">
        <v>797</v>
      </c>
      <c r="B1806" s="29">
        <v>74649.778049999994</v>
      </c>
      <c r="F1806" t="s">
        <v>797</v>
      </c>
      <c r="G1806">
        <v>2</v>
      </c>
    </row>
    <row r="1807" spans="1:7" hidden="1" x14ac:dyDescent="0.25">
      <c r="A1807" s="28" t="s">
        <v>3457</v>
      </c>
      <c r="B1807" s="29">
        <v>73466.960000000006</v>
      </c>
      <c r="F1807" t="s">
        <v>3457</v>
      </c>
      <c r="G1807">
        <v>1</v>
      </c>
    </row>
    <row r="1808" spans="1:7" hidden="1" x14ac:dyDescent="0.25">
      <c r="A1808" s="28" t="s">
        <v>3150</v>
      </c>
      <c r="B1808" s="29">
        <v>67606.31</v>
      </c>
      <c r="F1808" t="s">
        <v>3150</v>
      </c>
      <c r="G1808">
        <v>1</v>
      </c>
    </row>
    <row r="1809" spans="1:7" hidden="1" x14ac:dyDescent="0.25">
      <c r="A1809" s="28" t="s">
        <v>3469</v>
      </c>
      <c r="B1809" s="29">
        <v>73466.960000000006</v>
      </c>
      <c r="F1809" t="s">
        <v>3469</v>
      </c>
      <c r="G1809">
        <v>1</v>
      </c>
    </row>
    <row r="1810" spans="1:7" x14ac:dyDescent="0.25">
      <c r="A1810" s="28" t="s">
        <v>488</v>
      </c>
      <c r="B1810" s="29">
        <v>74649.778049999994</v>
      </c>
      <c r="F1810" t="s">
        <v>488</v>
      </c>
      <c r="G1810">
        <v>2</v>
      </c>
    </row>
    <row r="1811" spans="1:7" x14ac:dyDescent="0.25">
      <c r="A1811" s="28" t="s">
        <v>221</v>
      </c>
      <c r="B1811" s="29">
        <v>74649.778049999994</v>
      </c>
      <c r="F1811" t="s">
        <v>221</v>
      </c>
      <c r="G1811">
        <v>2</v>
      </c>
    </row>
    <row r="1812" spans="1:7" x14ac:dyDescent="0.25">
      <c r="A1812" s="28" t="s">
        <v>1122</v>
      </c>
      <c r="B1812" s="29">
        <v>74649.778049999994</v>
      </c>
      <c r="F1812" t="s">
        <v>1122</v>
      </c>
      <c r="G1812">
        <v>2</v>
      </c>
    </row>
    <row r="1813" spans="1:7" hidden="1" x14ac:dyDescent="0.25">
      <c r="A1813" s="28" t="s">
        <v>3267</v>
      </c>
      <c r="B1813" s="29">
        <v>67606.31</v>
      </c>
      <c r="F1813" t="s">
        <v>3267</v>
      </c>
      <c r="G1813">
        <v>1</v>
      </c>
    </row>
    <row r="1814" spans="1:7" hidden="1" x14ac:dyDescent="0.25">
      <c r="A1814" s="28" t="s">
        <v>3351</v>
      </c>
      <c r="B1814" s="29">
        <v>73466.960000000006</v>
      </c>
      <c r="F1814" t="s">
        <v>3351</v>
      </c>
      <c r="G1814">
        <v>1</v>
      </c>
    </row>
    <row r="1815" spans="1:7" x14ac:dyDescent="0.25">
      <c r="A1815" s="28" t="s">
        <v>1267</v>
      </c>
      <c r="B1815" s="29">
        <v>74649.778049999994</v>
      </c>
      <c r="F1815" t="s">
        <v>1267</v>
      </c>
      <c r="G1815">
        <v>2</v>
      </c>
    </row>
    <row r="1816" spans="1:7" x14ac:dyDescent="0.25">
      <c r="A1816" s="28" t="s">
        <v>872</v>
      </c>
      <c r="B1816" s="29">
        <v>74649.778049999994</v>
      </c>
      <c r="F1816" t="s">
        <v>872</v>
      </c>
      <c r="G1816">
        <v>2</v>
      </c>
    </row>
    <row r="1817" spans="1:7" hidden="1" x14ac:dyDescent="0.25">
      <c r="A1817" s="28" t="s">
        <v>3755</v>
      </c>
      <c r="B1817" s="29">
        <v>73466.960000000006</v>
      </c>
      <c r="F1817" t="s">
        <v>3755</v>
      </c>
      <c r="G1817">
        <v>1</v>
      </c>
    </row>
    <row r="1818" spans="1:7" hidden="1" x14ac:dyDescent="0.25">
      <c r="A1818" s="28" t="s">
        <v>3705</v>
      </c>
      <c r="B1818" s="29">
        <v>73466.960000000006</v>
      </c>
      <c r="F1818" t="s">
        <v>3705</v>
      </c>
      <c r="G1818">
        <v>1</v>
      </c>
    </row>
    <row r="1819" spans="1:7" x14ac:dyDescent="0.25">
      <c r="A1819" s="28" t="s">
        <v>165</v>
      </c>
      <c r="B1819" s="29">
        <v>74649.778049999994</v>
      </c>
      <c r="F1819" t="s">
        <v>165</v>
      </c>
      <c r="G1819">
        <v>2</v>
      </c>
    </row>
    <row r="1820" spans="1:7" x14ac:dyDescent="0.25">
      <c r="A1820" s="28" t="s">
        <v>1085</v>
      </c>
      <c r="B1820" s="29">
        <v>74649.778049999994</v>
      </c>
      <c r="F1820" t="s">
        <v>1085</v>
      </c>
      <c r="G1820">
        <v>2</v>
      </c>
    </row>
    <row r="1821" spans="1:7" x14ac:dyDescent="0.25">
      <c r="A1821" s="28" t="s">
        <v>1196</v>
      </c>
      <c r="B1821" s="29">
        <v>74649.778049999994</v>
      </c>
      <c r="F1821" t="s">
        <v>1196</v>
      </c>
      <c r="G1821">
        <v>2</v>
      </c>
    </row>
    <row r="1822" spans="1:7" x14ac:dyDescent="0.25">
      <c r="A1822" s="28" t="s">
        <v>168</v>
      </c>
      <c r="B1822" s="29">
        <v>74649.778049999994</v>
      </c>
      <c r="F1822" t="s">
        <v>168</v>
      </c>
      <c r="G1822">
        <v>2</v>
      </c>
    </row>
    <row r="1823" spans="1:7" x14ac:dyDescent="0.25">
      <c r="A1823" s="28" t="s">
        <v>1148</v>
      </c>
      <c r="B1823" s="29">
        <v>74649.778049999994</v>
      </c>
      <c r="F1823" t="s">
        <v>1148</v>
      </c>
      <c r="G1823">
        <v>2</v>
      </c>
    </row>
    <row r="1824" spans="1:7" hidden="1" x14ac:dyDescent="0.25">
      <c r="A1824" s="28" t="s">
        <v>4419</v>
      </c>
      <c r="B1824" s="29">
        <v>73466.960000000006</v>
      </c>
      <c r="F1824" t="s">
        <v>4419</v>
      </c>
      <c r="G1824">
        <v>1</v>
      </c>
    </row>
    <row r="1825" spans="1:7" hidden="1" x14ac:dyDescent="0.25">
      <c r="A1825" s="28" t="s">
        <v>4288</v>
      </c>
      <c r="B1825" s="29">
        <v>73466.960000000006</v>
      </c>
      <c r="F1825" t="s">
        <v>4288</v>
      </c>
      <c r="G1825">
        <v>1</v>
      </c>
    </row>
    <row r="1826" spans="1:7" hidden="1" x14ac:dyDescent="0.25">
      <c r="A1826" s="28" t="s">
        <v>4223</v>
      </c>
      <c r="B1826" s="29">
        <v>73466.960000000006</v>
      </c>
      <c r="F1826" t="s">
        <v>4223</v>
      </c>
      <c r="G1826">
        <v>1</v>
      </c>
    </row>
    <row r="1827" spans="1:7" hidden="1" x14ac:dyDescent="0.25">
      <c r="A1827" s="28" t="s">
        <v>4505</v>
      </c>
      <c r="B1827" s="29">
        <v>73466.960000000006</v>
      </c>
      <c r="F1827" t="s">
        <v>4505</v>
      </c>
      <c r="G1827">
        <v>1</v>
      </c>
    </row>
    <row r="1828" spans="1:7" hidden="1" x14ac:dyDescent="0.25">
      <c r="A1828" s="28" t="s">
        <v>4374</v>
      </c>
      <c r="B1828" s="29">
        <v>73466.960000000006</v>
      </c>
      <c r="F1828" t="s">
        <v>4374</v>
      </c>
      <c r="G1828">
        <v>1</v>
      </c>
    </row>
    <row r="1829" spans="1:7" hidden="1" x14ac:dyDescent="0.25">
      <c r="A1829" s="28" t="s">
        <v>4193</v>
      </c>
      <c r="B1829" s="29">
        <v>73466.960000000006</v>
      </c>
      <c r="F1829" t="s">
        <v>4193</v>
      </c>
      <c r="G1829">
        <v>1</v>
      </c>
    </row>
    <row r="1830" spans="1:7" x14ac:dyDescent="0.25">
      <c r="A1830" s="28" t="s">
        <v>214</v>
      </c>
      <c r="B1830" s="29">
        <v>74649.778049999994</v>
      </c>
      <c r="F1830" t="s">
        <v>214</v>
      </c>
      <c r="G1830">
        <v>2</v>
      </c>
    </row>
    <row r="1831" spans="1:7" hidden="1" x14ac:dyDescent="0.25">
      <c r="A1831" s="28" t="s">
        <v>3979</v>
      </c>
      <c r="B1831" s="29">
        <v>73466.960000000006</v>
      </c>
      <c r="F1831" t="s">
        <v>3979</v>
      </c>
      <c r="G1831">
        <v>1</v>
      </c>
    </row>
    <row r="1832" spans="1:7" x14ac:dyDescent="0.25">
      <c r="A1832" s="28" t="s">
        <v>108</v>
      </c>
      <c r="B1832" s="29">
        <v>74649.778049999994</v>
      </c>
      <c r="F1832" t="s">
        <v>108</v>
      </c>
      <c r="G1832">
        <v>2</v>
      </c>
    </row>
    <row r="1833" spans="1:7" x14ac:dyDescent="0.25">
      <c r="A1833" s="28" t="s">
        <v>759</v>
      </c>
      <c r="B1833" s="29">
        <v>74649.778049999994</v>
      </c>
      <c r="F1833" t="s">
        <v>759</v>
      </c>
      <c r="G1833">
        <v>2</v>
      </c>
    </row>
    <row r="1834" spans="1:7" x14ac:dyDescent="0.25">
      <c r="A1834" s="28" t="s">
        <v>361</v>
      </c>
      <c r="B1834" s="29">
        <v>68694.771600000007</v>
      </c>
      <c r="F1834" t="s">
        <v>361</v>
      </c>
      <c r="G1834">
        <v>2</v>
      </c>
    </row>
    <row r="1835" spans="1:7" x14ac:dyDescent="0.25">
      <c r="A1835" s="28" t="s">
        <v>1506</v>
      </c>
      <c r="B1835" s="29">
        <v>74649.778049999994</v>
      </c>
      <c r="F1835" t="s">
        <v>1506</v>
      </c>
      <c r="G1835">
        <v>2</v>
      </c>
    </row>
    <row r="1836" spans="1:7" hidden="1" x14ac:dyDescent="0.25">
      <c r="A1836" s="28" t="s">
        <v>2966</v>
      </c>
      <c r="B1836" s="29">
        <v>73466.960000000006</v>
      </c>
      <c r="F1836" t="s">
        <v>2966</v>
      </c>
      <c r="G1836">
        <v>1</v>
      </c>
    </row>
    <row r="1837" spans="1:7" x14ac:dyDescent="0.25">
      <c r="A1837" s="28" t="s">
        <v>1240</v>
      </c>
      <c r="B1837" s="29">
        <v>68694.771600000007</v>
      </c>
      <c r="F1837" t="s">
        <v>1240</v>
      </c>
      <c r="G1837">
        <v>2</v>
      </c>
    </row>
    <row r="1838" spans="1:7" hidden="1" x14ac:dyDescent="0.25">
      <c r="A1838" s="28" t="s">
        <v>3360</v>
      </c>
      <c r="B1838" s="29">
        <v>67606.31</v>
      </c>
      <c r="F1838" t="s">
        <v>3360</v>
      </c>
      <c r="G1838">
        <v>1</v>
      </c>
    </row>
    <row r="1839" spans="1:7" x14ac:dyDescent="0.25">
      <c r="A1839" s="28" t="s">
        <v>356</v>
      </c>
      <c r="B1839" s="29">
        <v>68694.771600000007</v>
      </c>
      <c r="F1839" t="s">
        <v>356</v>
      </c>
      <c r="G1839">
        <v>2</v>
      </c>
    </row>
    <row r="1840" spans="1:7" x14ac:dyDescent="0.25">
      <c r="A1840" s="28" t="s">
        <v>1008</v>
      </c>
      <c r="B1840" s="29">
        <v>68694.771600000007</v>
      </c>
      <c r="F1840" t="s">
        <v>1008</v>
      </c>
      <c r="G1840">
        <v>2</v>
      </c>
    </row>
    <row r="1841" spans="1:7" x14ac:dyDescent="0.25">
      <c r="A1841" s="28" t="s">
        <v>557</v>
      </c>
      <c r="B1841" s="29">
        <v>68694.771600000007</v>
      </c>
      <c r="F1841" t="s">
        <v>557</v>
      </c>
      <c r="G1841">
        <v>2</v>
      </c>
    </row>
    <row r="1842" spans="1:7" x14ac:dyDescent="0.25">
      <c r="A1842" s="28" t="s">
        <v>88</v>
      </c>
      <c r="B1842" s="29">
        <v>68694.771600000007</v>
      </c>
      <c r="F1842" t="s">
        <v>88</v>
      </c>
      <c r="G1842">
        <v>2</v>
      </c>
    </row>
    <row r="1843" spans="1:7" x14ac:dyDescent="0.25">
      <c r="A1843" s="28" t="s">
        <v>550</v>
      </c>
      <c r="B1843" s="29">
        <v>68694.771600000007</v>
      </c>
      <c r="F1843" t="s">
        <v>550</v>
      </c>
      <c r="G1843">
        <v>2</v>
      </c>
    </row>
    <row r="1844" spans="1:7" hidden="1" x14ac:dyDescent="0.25">
      <c r="A1844" s="28" t="s">
        <v>3402</v>
      </c>
      <c r="B1844" s="29">
        <v>67606.31</v>
      </c>
      <c r="F1844" t="s">
        <v>3402</v>
      </c>
      <c r="G1844">
        <v>1</v>
      </c>
    </row>
    <row r="1845" spans="1:7" hidden="1" x14ac:dyDescent="0.25">
      <c r="A1845" s="28" t="s">
        <v>3699</v>
      </c>
      <c r="B1845" s="29">
        <v>54963.53</v>
      </c>
      <c r="F1845" t="s">
        <v>3699</v>
      </c>
      <c r="G1845">
        <v>1</v>
      </c>
    </row>
    <row r="1846" spans="1:7" x14ac:dyDescent="0.25">
      <c r="A1846" s="28" t="s">
        <v>799</v>
      </c>
      <c r="B1846" s="29">
        <v>68694.771600000007</v>
      </c>
      <c r="F1846" t="s">
        <v>799</v>
      </c>
      <c r="G1846">
        <v>2</v>
      </c>
    </row>
    <row r="1847" spans="1:7" x14ac:dyDescent="0.25">
      <c r="A1847" s="28" t="s">
        <v>1012</v>
      </c>
      <c r="B1847" s="29">
        <v>74649.778049999994</v>
      </c>
      <c r="F1847" t="s">
        <v>1012</v>
      </c>
      <c r="G1847">
        <v>2</v>
      </c>
    </row>
    <row r="1848" spans="1:7" hidden="1" x14ac:dyDescent="0.25">
      <c r="A1848" s="28" t="s">
        <v>3786</v>
      </c>
      <c r="B1848" s="29">
        <v>55829.73</v>
      </c>
      <c r="F1848" t="s">
        <v>3786</v>
      </c>
      <c r="G1848">
        <v>1</v>
      </c>
    </row>
    <row r="1849" spans="1:7" hidden="1" x14ac:dyDescent="0.25">
      <c r="A1849" s="28" t="s">
        <v>4605</v>
      </c>
      <c r="B1849" s="29">
        <v>55829.73</v>
      </c>
      <c r="F1849" t="s">
        <v>4605</v>
      </c>
      <c r="G1849">
        <v>1</v>
      </c>
    </row>
    <row r="1850" spans="1:7" hidden="1" x14ac:dyDescent="0.25">
      <c r="A1850" s="28" t="s">
        <v>4130</v>
      </c>
      <c r="B1850" s="29">
        <v>55829.73</v>
      </c>
      <c r="F1850" t="s">
        <v>4130</v>
      </c>
      <c r="G1850">
        <v>1</v>
      </c>
    </row>
    <row r="1851" spans="1:7" x14ac:dyDescent="0.25">
      <c r="A1851" s="28" t="s">
        <v>1565</v>
      </c>
      <c r="B1851" s="29">
        <v>56728.588650000005</v>
      </c>
      <c r="F1851" t="s">
        <v>1565</v>
      </c>
      <c r="G1851">
        <v>2</v>
      </c>
    </row>
    <row r="1852" spans="1:7" x14ac:dyDescent="0.25">
      <c r="A1852" s="28" t="s">
        <v>1362</v>
      </c>
      <c r="B1852" s="29">
        <v>56728.588650000005</v>
      </c>
      <c r="F1852" t="s">
        <v>1362</v>
      </c>
      <c r="G1852">
        <v>2</v>
      </c>
    </row>
    <row r="1853" spans="1:7" hidden="1" x14ac:dyDescent="0.25">
      <c r="A1853" s="28" t="s">
        <v>4465</v>
      </c>
      <c r="B1853" s="29">
        <v>55829.73</v>
      </c>
      <c r="F1853" t="s">
        <v>4465</v>
      </c>
      <c r="G1853">
        <v>1</v>
      </c>
    </row>
    <row r="1854" spans="1:7" hidden="1" x14ac:dyDescent="0.25">
      <c r="A1854" s="28" t="s">
        <v>4379</v>
      </c>
      <c r="B1854" s="29">
        <v>55829.73</v>
      </c>
      <c r="F1854" t="s">
        <v>4379</v>
      </c>
      <c r="G1854">
        <v>1</v>
      </c>
    </row>
    <row r="1855" spans="1:7" hidden="1" x14ac:dyDescent="0.25">
      <c r="A1855" s="28" t="s">
        <v>2781</v>
      </c>
      <c r="B1855" s="29">
        <v>55829.73</v>
      </c>
      <c r="F1855" t="s">
        <v>2781</v>
      </c>
      <c r="G1855">
        <v>1</v>
      </c>
    </row>
    <row r="1856" spans="1:7" hidden="1" x14ac:dyDescent="0.25">
      <c r="A1856" s="28" t="s">
        <v>4017</v>
      </c>
      <c r="B1856" s="29">
        <v>55829.73</v>
      </c>
      <c r="F1856" t="s">
        <v>4017</v>
      </c>
      <c r="G1856">
        <v>1</v>
      </c>
    </row>
    <row r="1857" spans="1:7" hidden="1" x14ac:dyDescent="0.25">
      <c r="A1857" s="28" t="s">
        <v>3808</v>
      </c>
      <c r="B1857" s="29">
        <v>55829.73</v>
      </c>
      <c r="F1857" t="s">
        <v>3808</v>
      </c>
      <c r="G1857">
        <v>1</v>
      </c>
    </row>
    <row r="1858" spans="1:7" hidden="1" x14ac:dyDescent="0.25">
      <c r="A1858" s="28" t="s">
        <v>3290</v>
      </c>
      <c r="B1858" s="29">
        <v>55829.73</v>
      </c>
      <c r="F1858" t="s">
        <v>3290</v>
      </c>
      <c r="G1858">
        <v>1</v>
      </c>
    </row>
    <row r="1859" spans="1:7" hidden="1" x14ac:dyDescent="0.25">
      <c r="A1859" s="28" t="s">
        <v>3697</v>
      </c>
      <c r="B1859" s="29">
        <v>55829.73</v>
      </c>
      <c r="F1859" t="s">
        <v>3697</v>
      </c>
      <c r="G1859">
        <v>1</v>
      </c>
    </row>
    <row r="1860" spans="1:7" hidden="1" x14ac:dyDescent="0.25">
      <c r="A1860" s="28" t="s">
        <v>2352</v>
      </c>
      <c r="B1860" s="29">
        <v>55829.73</v>
      </c>
      <c r="F1860" t="s">
        <v>2352</v>
      </c>
      <c r="G1860">
        <v>1</v>
      </c>
    </row>
    <row r="1861" spans="1:7" hidden="1" x14ac:dyDescent="0.25">
      <c r="A1861" s="28" t="s">
        <v>3738</v>
      </c>
      <c r="B1861" s="29">
        <v>55829.73</v>
      </c>
      <c r="F1861" t="s">
        <v>3738</v>
      </c>
      <c r="G1861">
        <v>1</v>
      </c>
    </row>
    <row r="1862" spans="1:7" x14ac:dyDescent="0.25">
      <c r="A1862" s="28" t="s">
        <v>1582</v>
      </c>
      <c r="B1862" s="29">
        <v>56728.588650000005</v>
      </c>
      <c r="F1862" t="s">
        <v>1582</v>
      </c>
      <c r="G1862">
        <v>2</v>
      </c>
    </row>
    <row r="1863" spans="1:7" x14ac:dyDescent="0.25">
      <c r="A1863" s="28" t="s">
        <v>871</v>
      </c>
      <c r="B1863" s="29">
        <v>56728.588650000005</v>
      </c>
      <c r="F1863" t="s">
        <v>871</v>
      </c>
      <c r="G1863">
        <v>2</v>
      </c>
    </row>
    <row r="1864" spans="1:7" hidden="1" x14ac:dyDescent="0.25">
      <c r="A1864" s="28" t="s">
        <v>3299</v>
      </c>
      <c r="B1864" s="29">
        <v>55829.73</v>
      </c>
      <c r="F1864" t="s">
        <v>3299</v>
      </c>
      <c r="G1864">
        <v>1</v>
      </c>
    </row>
    <row r="1865" spans="1:7" hidden="1" x14ac:dyDescent="0.25">
      <c r="A1865" s="28" t="s">
        <v>3616</v>
      </c>
      <c r="B1865" s="29">
        <v>55829.73</v>
      </c>
      <c r="F1865" t="s">
        <v>3616</v>
      </c>
      <c r="G1865">
        <v>1</v>
      </c>
    </row>
    <row r="1866" spans="1:7" hidden="1" x14ac:dyDescent="0.25">
      <c r="A1866" s="28" t="s">
        <v>3764</v>
      </c>
      <c r="B1866" s="29">
        <v>55829.73</v>
      </c>
      <c r="F1866" t="s">
        <v>3764</v>
      </c>
      <c r="G1866">
        <v>1</v>
      </c>
    </row>
    <row r="1867" spans="1:7" hidden="1" x14ac:dyDescent="0.25">
      <c r="A1867" s="28" t="s">
        <v>3249</v>
      </c>
      <c r="B1867" s="29">
        <v>55829.73</v>
      </c>
      <c r="F1867" t="s">
        <v>3249</v>
      </c>
      <c r="G1867">
        <v>1</v>
      </c>
    </row>
    <row r="1868" spans="1:7" hidden="1" x14ac:dyDescent="0.25">
      <c r="A1868" s="28" t="s">
        <v>3809</v>
      </c>
      <c r="B1868" s="29">
        <v>55829.73</v>
      </c>
      <c r="F1868" t="s">
        <v>3809</v>
      </c>
      <c r="G1868">
        <v>1</v>
      </c>
    </row>
    <row r="1869" spans="1:7" hidden="1" x14ac:dyDescent="0.25">
      <c r="A1869" s="28" t="s">
        <v>3362</v>
      </c>
      <c r="B1869" s="29">
        <v>55829.73</v>
      </c>
      <c r="F1869" t="s">
        <v>3362</v>
      </c>
      <c r="G1869">
        <v>1</v>
      </c>
    </row>
    <row r="1870" spans="1:7" hidden="1" x14ac:dyDescent="0.25">
      <c r="A1870" s="28" t="s">
        <v>3303</v>
      </c>
      <c r="B1870" s="29">
        <v>55829.73</v>
      </c>
      <c r="F1870" t="s">
        <v>3303</v>
      </c>
      <c r="G1870">
        <v>1</v>
      </c>
    </row>
    <row r="1871" spans="1:7" hidden="1" x14ac:dyDescent="0.25">
      <c r="A1871" s="28" t="s">
        <v>3509</v>
      </c>
      <c r="B1871" s="29">
        <v>55829.73</v>
      </c>
      <c r="F1871" t="s">
        <v>3509</v>
      </c>
      <c r="G1871">
        <v>1</v>
      </c>
    </row>
    <row r="1872" spans="1:7" hidden="1" x14ac:dyDescent="0.25">
      <c r="A1872" s="28" t="s">
        <v>2818</v>
      </c>
      <c r="B1872" s="29">
        <v>55829.73</v>
      </c>
      <c r="F1872" t="s">
        <v>2818</v>
      </c>
      <c r="G1872">
        <v>1</v>
      </c>
    </row>
    <row r="1873" spans="1:7" hidden="1" x14ac:dyDescent="0.25">
      <c r="A1873" s="28" t="s">
        <v>3553</v>
      </c>
      <c r="B1873" s="29">
        <v>55829.73</v>
      </c>
      <c r="F1873" t="s">
        <v>3553</v>
      </c>
      <c r="G1873">
        <v>1</v>
      </c>
    </row>
    <row r="1874" spans="1:7" hidden="1" x14ac:dyDescent="0.25">
      <c r="A1874" s="28" t="s">
        <v>3344</v>
      </c>
      <c r="B1874" s="29">
        <v>55829.73</v>
      </c>
      <c r="F1874" t="s">
        <v>3344</v>
      </c>
      <c r="G1874">
        <v>1</v>
      </c>
    </row>
    <row r="1875" spans="1:7" hidden="1" x14ac:dyDescent="0.25">
      <c r="A1875" s="28" t="s">
        <v>3270</v>
      </c>
      <c r="B1875" s="29">
        <v>55829.73</v>
      </c>
      <c r="F1875" t="s">
        <v>3270</v>
      </c>
      <c r="G1875">
        <v>1</v>
      </c>
    </row>
    <row r="1876" spans="1:7" x14ac:dyDescent="0.25">
      <c r="A1876" s="28" t="s">
        <v>758</v>
      </c>
      <c r="B1876" s="29">
        <v>56728.588650000005</v>
      </c>
      <c r="F1876" t="s">
        <v>758</v>
      </c>
      <c r="G1876">
        <v>2</v>
      </c>
    </row>
    <row r="1877" spans="1:7" hidden="1" x14ac:dyDescent="0.25">
      <c r="A1877" s="28" t="s">
        <v>3455</v>
      </c>
      <c r="B1877" s="29">
        <v>55829.73</v>
      </c>
      <c r="F1877" t="s">
        <v>3455</v>
      </c>
      <c r="G1877">
        <v>1</v>
      </c>
    </row>
    <row r="1878" spans="1:7" x14ac:dyDescent="0.25">
      <c r="A1878" s="28" t="s">
        <v>1399</v>
      </c>
      <c r="B1878" s="29">
        <v>56728.588650000005</v>
      </c>
      <c r="F1878" t="s">
        <v>1399</v>
      </c>
      <c r="G1878">
        <v>2</v>
      </c>
    </row>
    <row r="1879" spans="1:7" x14ac:dyDescent="0.25">
      <c r="A1879" s="28" t="s">
        <v>1328</v>
      </c>
      <c r="B1879" s="29">
        <v>56728.588650000005</v>
      </c>
      <c r="F1879" t="s">
        <v>1328</v>
      </c>
      <c r="G1879">
        <v>2</v>
      </c>
    </row>
    <row r="1880" spans="1:7" hidden="1" x14ac:dyDescent="0.25">
      <c r="A1880" s="28" t="s">
        <v>2603</v>
      </c>
      <c r="B1880" s="29">
        <v>55829.73</v>
      </c>
      <c r="F1880" t="s">
        <v>2603</v>
      </c>
      <c r="G1880">
        <v>1</v>
      </c>
    </row>
    <row r="1881" spans="1:7" x14ac:dyDescent="0.25">
      <c r="A1881" s="28" t="s">
        <v>1299</v>
      </c>
      <c r="B1881" s="29">
        <v>56728.588650000005</v>
      </c>
      <c r="F1881" t="s">
        <v>1299</v>
      </c>
      <c r="G1881">
        <v>2</v>
      </c>
    </row>
    <row r="1882" spans="1:7" x14ac:dyDescent="0.25">
      <c r="A1882" s="28" t="s">
        <v>1591</v>
      </c>
      <c r="B1882" s="29">
        <v>56728.588650000005</v>
      </c>
      <c r="F1882" t="s">
        <v>1591</v>
      </c>
      <c r="G1882">
        <v>2</v>
      </c>
    </row>
    <row r="1883" spans="1:7" x14ac:dyDescent="0.25">
      <c r="A1883" s="28" t="s">
        <v>1127</v>
      </c>
      <c r="B1883" s="29">
        <v>56728.588650000005</v>
      </c>
      <c r="F1883" t="s">
        <v>1127</v>
      </c>
      <c r="G1883">
        <v>2</v>
      </c>
    </row>
    <row r="1884" spans="1:7" hidden="1" x14ac:dyDescent="0.25">
      <c r="A1884" s="28" t="s">
        <v>3324</v>
      </c>
      <c r="B1884" s="29">
        <v>55829.73</v>
      </c>
      <c r="F1884" t="s">
        <v>3324</v>
      </c>
      <c r="G1884">
        <v>1</v>
      </c>
    </row>
    <row r="1885" spans="1:7" x14ac:dyDescent="0.25">
      <c r="A1885" s="28" t="s">
        <v>965</v>
      </c>
      <c r="B1885" s="29">
        <v>56728.588650000005</v>
      </c>
      <c r="F1885" t="s">
        <v>965</v>
      </c>
      <c r="G1885">
        <v>2</v>
      </c>
    </row>
    <row r="1886" spans="1:7" x14ac:dyDescent="0.25">
      <c r="A1886" s="28" t="s">
        <v>1132</v>
      </c>
      <c r="B1886" s="29">
        <v>56728.588650000005</v>
      </c>
      <c r="F1886" t="s">
        <v>1132</v>
      </c>
      <c r="G1886">
        <v>2</v>
      </c>
    </row>
    <row r="1887" spans="1:7" x14ac:dyDescent="0.25">
      <c r="A1887" s="28" t="s">
        <v>673</v>
      </c>
      <c r="B1887" s="29">
        <v>56728.588650000005</v>
      </c>
      <c r="F1887" t="s">
        <v>673</v>
      </c>
      <c r="G1887">
        <v>2</v>
      </c>
    </row>
    <row r="1888" spans="1:7" x14ac:dyDescent="0.25">
      <c r="A1888" s="28" t="s">
        <v>674</v>
      </c>
      <c r="B1888" s="29">
        <v>56728.588650000005</v>
      </c>
      <c r="F1888" t="s">
        <v>674</v>
      </c>
      <c r="G1888">
        <v>2</v>
      </c>
    </row>
    <row r="1889" spans="1:7" x14ac:dyDescent="0.25">
      <c r="A1889" s="28" t="s">
        <v>1347</v>
      </c>
      <c r="B1889" s="29">
        <v>56728.588650000005</v>
      </c>
      <c r="F1889" t="s">
        <v>1347</v>
      </c>
      <c r="G1889">
        <v>2</v>
      </c>
    </row>
    <row r="1890" spans="1:7" hidden="1" x14ac:dyDescent="0.25">
      <c r="A1890" s="28" t="s">
        <v>3001</v>
      </c>
      <c r="B1890" s="29">
        <v>55829.73</v>
      </c>
      <c r="F1890" t="s">
        <v>3001</v>
      </c>
      <c r="G1890">
        <v>1</v>
      </c>
    </row>
    <row r="1891" spans="1:7" hidden="1" x14ac:dyDescent="0.25">
      <c r="A1891" s="28" t="s">
        <v>3587</v>
      </c>
      <c r="B1891" s="29">
        <v>55829.73</v>
      </c>
      <c r="F1891" t="s">
        <v>3587</v>
      </c>
      <c r="G1891">
        <v>1</v>
      </c>
    </row>
    <row r="1892" spans="1:7" hidden="1" x14ac:dyDescent="0.25">
      <c r="A1892" s="28" t="s">
        <v>3255</v>
      </c>
      <c r="B1892" s="29">
        <v>55829.73</v>
      </c>
      <c r="F1892" t="s">
        <v>3255</v>
      </c>
      <c r="G1892">
        <v>1</v>
      </c>
    </row>
    <row r="1893" spans="1:7" x14ac:dyDescent="0.25">
      <c r="A1893" s="28" t="s">
        <v>861</v>
      </c>
      <c r="B1893" s="29">
        <v>56728.588650000005</v>
      </c>
      <c r="F1893" t="s">
        <v>861</v>
      </c>
      <c r="G1893">
        <v>2</v>
      </c>
    </row>
    <row r="1894" spans="1:7" x14ac:dyDescent="0.25">
      <c r="A1894" s="28" t="s">
        <v>1220</v>
      </c>
      <c r="B1894" s="29">
        <v>56728.588650000005</v>
      </c>
      <c r="F1894" t="s">
        <v>1220</v>
      </c>
      <c r="G1894">
        <v>2</v>
      </c>
    </row>
    <row r="1895" spans="1:7" x14ac:dyDescent="0.25">
      <c r="A1895" s="28" t="s">
        <v>533</v>
      </c>
      <c r="B1895" s="29">
        <v>56728.588650000005</v>
      </c>
      <c r="F1895" t="s">
        <v>533</v>
      </c>
      <c r="G1895">
        <v>2</v>
      </c>
    </row>
    <row r="1896" spans="1:7" hidden="1" x14ac:dyDescent="0.25">
      <c r="A1896" s="28" t="s">
        <v>4118</v>
      </c>
      <c r="B1896" s="29">
        <v>55829.73</v>
      </c>
      <c r="F1896" t="s">
        <v>4118</v>
      </c>
      <c r="G1896">
        <v>1</v>
      </c>
    </row>
    <row r="1897" spans="1:7" hidden="1" x14ac:dyDescent="0.25">
      <c r="A1897" s="28" t="s">
        <v>2995</v>
      </c>
      <c r="B1897" s="29">
        <v>55829.73</v>
      </c>
      <c r="F1897" t="s">
        <v>2995</v>
      </c>
      <c r="G1897">
        <v>1</v>
      </c>
    </row>
    <row r="1898" spans="1:7" x14ac:dyDescent="0.25">
      <c r="A1898" s="28" t="s">
        <v>1046</v>
      </c>
      <c r="B1898" s="29">
        <v>56728.588650000005</v>
      </c>
      <c r="F1898" t="s">
        <v>1046</v>
      </c>
      <c r="G1898">
        <v>2</v>
      </c>
    </row>
    <row r="1899" spans="1:7" x14ac:dyDescent="0.25">
      <c r="A1899" s="28" t="s">
        <v>188</v>
      </c>
      <c r="B1899" s="29">
        <v>56728.588650000005</v>
      </c>
      <c r="F1899" t="s">
        <v>188</v>
      </c>
      <c r="G1899">
        <v>2</v>
      </c>
    </row>
    <row r="1900" spans="1:7" x14ac:dyDescent="0.25">
      <c r="A1900" s="28" t="s">
        <v>611</v>
      </c>
      <c r="B1900" s="29">
        <v>56728.588650000005</v>
      </c>
      <c r="F1900" t="s">
        <v>611</v>
      </c>
      <c r="G1900">
        <v>2</v>
      </c>
    </row>
    <row r="1901" spans="1:7" x14ac:dyDescent="0.25">
      <c r="A1901" s="28" t="s">
        <v>489</v>
      </c>
      <c r="B1901" s="29">
        <v>56728.588650000005</v>
      </c>
      <c r="F1901" t="s">
        <v>489</v>
      </c>
      <c r="G1901">
        <v>2</v>
      </c>
    </row>
    <row r="1902" spans="1:7" hidden="1" x14ac:dyDescent="0.25">
      <c r="A1902" s="28" t="s">
        <v>3646</v>
      </c>
      <c r="B1902" s="29">
        <v>55829.73</v>
      </c>
      <c r="F1902" t="s">
        <v>3646</v>
      </c>
      <c r="G1902">
        <v>1</v>
      </c>
    </row>
    <row r="1903" spans="1:7" x14ac:dyDescent="0.25">
      <c r="A1903" s="28" t="s">
        <v>476</v>
      </c>
      <c r="B1903" s="29">
        <v>56728.588650000005</v>
      </c>
      <c r="F1903" t="s">
        <v>476</v>
      </c>
      <c r="G1903">
        <v>2</v>
      </c>
    </row>
    <row r="1904" spans="1:7" x14ac:dyDescent="0.25">
      <c r="A1904" s="28" t="s">
        <v>1587</v>
      </c>
      <c r="B1904" s="29">
        <v>56728.588650000005</v>
      </c>
      <c r="F1904" t="s">
        <v>1587</v>
      </c>
      <c r="G1904">
        <v>2</v>
      </c>
    </row>
    <row r="1905" spans="1:7" x14ac:dyDescent="0.25">
      <c r="A1905" s="28" t="s">
        <v>873</v>
      </c>
      <c r="B1905" s="29">
        <v>56728.588650000005</v>
      </c>
      <c r="F1905" t="s">
        <v>873</v>
      </c>
      <c r="G1905">
        <v>2</v>
      </c>
    </row>
    <row r="1906" spans="1:7" x14ac:dyDescent="0.25">
      <c r="A1906" s="28" t="s">
        <v>738</v>
      </c>
      <c r="B1906" s="29">
        <v>56728.588650000005</v>
      </c>
      <c r="F1906" t="s">
        <v>738</v>
      </c>
      <c r="G1906">
        <v>2</v>
      </c>
    </row>
    <row r="1907" spans="1:7" x14ac:dyDescent="0.25">
      <c r="A1907" s="28" t="s">
        <v>387</v>
      </c>
      <c r="B1907" s="29">
        <v>56728.588650000005</v>
      </c>
      <c r="F1907" t="s">
        <v>387</v>
      </c>
      <c r="G1907">
        <v>2</v>
      </c>
    </row>
    <row r="1908" spans="1:7" x14ac:dyDescent="0.25">
      <c r="A1908" s="28" t="s">
        <v>115</v>
      </c>
      <c r="B1908" s="29">
        <v>56728.588650000005</v>
      </c>
      <c r="F1908" t="s">
        <v>115</v>
      </c>
      <c r="G1908">
        <v>2</v>
      </c>
    </row>
    <row r="1909" spans="1:7" x14ac:dyDescent="0.25">
      <c r="A1909" s="28" t="s">
        <v>577</v>
      </c>
      <c r="B1909" s="29">
        <v>56728.588650000005</v>
      </c>
      <c r="F1909" t="s">
        <v>577</v>
      </c>
      <c r="G1909">
        <v>2</v>
      </c>
    </row>
    <row r="1910" spans="1:7" x14ac:dyDescent="0.25">
      <c r="A1910" s="28" t="s">
        <v>1219</v>
      </c>
      <c r="B1910" s="29">
        <v>56728.588650000005</v>
      </c>
      <c r="F1910" t="s">
        <v>1219</v>
      </c>
      <c r="G1910">
        <v>2</v>
      </c>
    </row>
    <row r="1911" spans="1:7" x14ac:dyDescent="0.25">
      <c r="A1911" s="28" t="s">
        <v>260</v>
      </c>
      <c r="B1911" s="29">
        <v>56728.588650000005</v>
      </c>
      <c r="F1911" t="s">
        <v>260</v>
      </c>
      <c r="G1911">
        <v>2</v>
      </c>
    </row>
    <row r="1912" spans="1:7" x14ac:dyDescent="0.25">
      <c r="A1912" s="28" t="s">
        <v>1185</v>
      </c>
      <c r="B1912" s="29">
        <v>56728.588650000005</v>
      </c>
      <c r="F1912" t="s">
        <v>1185</v>
      </c>
      <c r="G1912">
        <v>2</v>
      </c>
    </row>
    <row r="1913" spans="1:7" x14ac:dyDescent="0.25">
      <c r="A1913" s="28" t="s">
        <v>1143</v>
      </c>
      <c r="B1913" s="29">
        <v>56728.588650000005</v>
      </c>
      <c r="F1913" t="s">
        <v>1143</v>
      </c>
      <c r="G1913">
        <v>2</v>
      </c>
    </row>
    <row r="1914" spans="1:7" x14ac:dyDescent="0.25">
      <c r="A1914" s="28" t="s">
        <v>1215</v>
      </c>
      <c r="B1914" s="29">
        <v>56728.588650000005</v>
      </c>
      <c r="F1914" t="s">
        <v>1215</v>
      </c>
      <c r="G1914">
        <v>2</v>
      </c>
    </row>
    <row r="1915" spans="1:7" x14ac:dyDescent="0.25">
      <c r="A1915" s="28" t="s">
        <v>615</v>
      </c>
      <c r="B1915" s="29">
        <v>56728.588650000005</v>
      </c>
      <c r="F1915" t="s">
        <v>615</v>
      </c>
      <c r="G1915">
        <v>2</v>
      </c>
    </row>
    <row r="1916" spans="1:7" hidden="1" x14ac:dyDescent="0.25">
      <c r="A1916" s="28" t="s">
        <v>2745</v>
      </c>
      <c r="B1916" s="29">
        <v>55829.73</v>
      </c>
      <c r="F1916" t="s">
        <v>2745</v>
      </c>
      <c r="G1916">
        <v>1</v>
      </c>
    </row>
    <row r="1917" spans="1:7" hidden="1" x14ac:dyDescent="0.25">
      <c r="A1917" s="28" t="s">
        <v>666</v>
      </c>
      <c r="B1917" s="29">
        <v>57627.4473</v>
      </c>
      <c r="F1917" t="s">
        <v>666</v>
      </c>
      <c r="G1917">
        <v>1</v>
      </c>
    </row>
    <row r="1918" spans="1:7" hidden="1" x14ac:dyDescent="0.25">
      <c r="A1918" s="28" t="s">
        <v>3860</v>
      </c>
      <c r="B1918" s="29">
        <v>55829.73</v>
      </c>
      <c r="F1918" t="s">
        <v>3860</v>
      </c>
      <c r="G1918">
        <v>1</v>
      </c>
    </row>
    <row r="1919" spans="1:7" x14ac:dyDescent="0.25">
      <c r="A1919" s="28" t="s">
        <v>985</v>
      </c>
      <c r="B1919" s="29">
        <v>56728.588650000005</v>
      </c>
      <c r="F1919" t="s">
        <v>985</v>
      </c>
      <c r="G1919">
        <v>2</v>
      </c>
    </row>
    <row r="1920" spans="1:7" x14ac:dyDescent="0.25">
      <c r="A1920" s="28" t="s">
        <v>296</v>
      </c>
      <c r="B1920" s="29">
        <v>56728.588650000005</v>
      </c>
      <c r="F1920" t="s">
        <v>296</v>
      </c>
      <c r="G1920">
        <v>2</v>
      </c>
    </row>
    <row r="1921" spans="1:7" hidden="1" x14ac:dyDescent="0.25">
      <c r="A1921" s="28" t="s">
        <v>3217</v>
      </c>
      <c r="B1921" s="29">
        <v>55829.73</v>
      </c>
      <c r="F1921" t="s">
        <v>3217</v>
      </c>
      <c r="G1921">
        <v>1</v>
      </c>
    </row>
    <row r="1922" spans="1:7" x14ac:dyDescent="0.25">
      <c r="A1922" s="28" t="s">
        <v>1129</v>
      </c>
      <c r="B1922" s="29">
        <v>56728.588650000005</v>
      </c>
      <c r="F1922" t="s">
        <v>1129</v>
      </c>
      <c r="G1922">
        <v>2</v>
      </c>
    </row>
    <row r="1923" spans="1:7" hidden="1" x14ac:dyDescent="0.25">
      <c r="A1923" s="28" t="s">
        <v>4741</v>
      </c>
      <c r="B1923" s="29">
        <v>55829.73</v>
      </c>
      <c r="F1923" t="s">
        <v>4741</v>
      </c>
      <c r="G1923">
        <v>1</v>
      </c>
    </row>
    <row r="1924" spans="1:7" hidden="1" x14ac:dyDescent="0.25">
      <c r="A1924" s="28" t="s">
        <v>3300</v>
      </c>
      <c r="B1924" s="29">
        <v>55829.73</v>
      </c>
      <c r="F1924" t="s">
        <v>3300</v>
      </c>
      <c r="G1924">
        <v>1</v>
      </c>
    </row>
    <row r="1925" spans="1:7" hidden="1" x14ac:dyDescent="0.25">
      <c r="A1925" s="28" t="s">
        <v>3325</v>
      </c>
      <c r="B1925" s="29">
        <v>55829.73</v>
      </c>
      <c r="F1925" t="s">
        <v>3325</v>
      </c>
      <c r="G1925">
        <v>1</v>
      </c>
    </row>
    <row r="1926" spans="1:7" hidden="1" x14ac:dyDescent="0.25">
      <c r="A1926" s="28" t="s">
        <v>3372</v>
      </c>
      <c r="B1926" s="29">
        <v>55829.73</v>
      </c>
      <c r="F1926" t="s">
        <v>3372</v>
      </c>
      <c r="G1926">
        <v>1</v>
      </c>
    </row>
    <row r="1927" spans="1:7" hidden="1" x14ac:dyDescent="0.25">
      <c r="A1927" s="28" t="s">
        <v>3491</v>
      </c>
      <c r="B1927" s="29">
        <v>55829.73</v>
      </c>
      <c r="F1927" t="s">
        <v>3491</v>
      </c>
      <c r="G1927">
        <v>1</v>
      </c>
    </row>
    <row r="1928" spans="1:7" hidden="1" x14ac:dyDescent="0.25">
      <c r="A1928" s="28" t="s">
        <v>3432</v>
      </c>
      <c r="B1928" s="29">
        <v>55829.73</v>
      </c>
      <c r="F1928" t="s">
        <v>3432</v>
      </c>
      <c r="G1928">
        <v>1</v>
      </c>
    </row>
    <row r="1929" spans="1:7" hidden="1" x14ac:dyDescent="0.25">
      <c r="A1929" s="28" t="s">
        <v>3231</v>
      </c>
      <c r="B1929" s="29">
        <v>55829.73</v>
      </c>
      <c r="F1929" t="s">
        <v>3231</v>
      </c>
      <c r="G1929">
        <v>1</v>
      </c>
    </row>
    <row r="1930" spans="1:7" x14ac:dyDescent="0.25">
      <c r="A1930" s="28" t="s">
        <v>992</v>
      </c>
      <c r="B1930" s="29">
        <v>56728.588650000005</v>
      </c>
      <c r="F1930" t="s">
        <v>992</v>
      </c>
      <c r="G1930">
        <v>2</v>
      </c>
    </row>
    <row r="1931" spans="1:7" hidden="1" x14ac:dyDescent="0.25">
      <c r="A1931" s="28" t="s">
        <v>915</v>
      </c>
      <c r="B1931" s="29">
        <v>57627.4473</v>
      </c>
      <c r="F1931" t="s">
        <v>915</v>
      </c>
      <c r="G1931">
        <v>1</v>
      </c>
    </row>
    <row r="1932" spans="1:7" x14ac:dyDescent="0.25">
      <c r="A1932" s="28" t="s">
        <v>993</v>
      </c>
      <c r="B1932" s="29">
        <v>56728.588650000005</v>
      </c>
      <c r="F1932" t="s">
        <v>993</v>
      </c>
      <c r="G1932">
        <v>2</v>
      </c>
    </row>
    <row r="1933" spans="1:7" hidden="1" x14ac:dyDescent="0.25">
      <c r="A1933" s="28" t="s">
        <v>3339</v>
      </c>
      <c r="B1933" s="29">
        <v>55829.73</v>
      </c>
      <c r="F1933" t="s">
        <v>3339</v>
      </c>
      <c r="G1933">
        <v>1</v>
      </c>
    </row>
    <row r="1934" spans="1:7" hidden="1" x14ac:dyDescent="0.25">
      <c r="A1934" s="28" t="s">
        <v>4215</v>
      </c>
      <c r="B1934" s="29">
        <v>55829.73</v>
      </c>
      <c r="F1934" t="s">
        <v>4215</v>
      </c>
      <c r="G1934">
        <v>1</v>
      </c>
    </row>
    <row r="1935" spans="1:7" x14ac:dyDescent="0.25">
      <c r="A1935" s="28" t="s">
        <v>1114</v>
      </c>
      <c r="B1935" s="29">
        <v>56728.588650000005</v>
      </c>
      <c r="F1935" t="s">
        <v>1114</v>
      </c>
      <c r="G1935">
        <v>2</v>
      </c>
    </row>
    <row r="1936" spans="1:7" x14ac:dyDescent="0.25">
      <c r="A1936" s="28" t="s">
        <v>1357</v>
      </c>
      <c r="B1936" s="29">
        <v>56728.588650000005</v>
      </c>
      <c r="F1936" t="s">
        <v>1357</v>
      </c>
      <c r="G1936">
        <v>2</v>
      </c>
    </row>
    <row r="1937" spans="1:7" x14ac:dyDescent="0.25">
      <c r="A1937" s="28" t="s">
        <v>943</v>
      </c>
      <c r="B1937" s="29">
        <v>56728.588650000005</v>
      </c>
      <c r="F1937" t="s">
        <v>943</v>
      </c>
      <c r="G1937">
        <v>2</v>
      </c>
    </row>
    <row r="1938" spans="1:7" hidden="1" x14ac:dyDescent="0.25">
      <c r="A1938" s="28" t="s">
        <v>3312</v>
      </c>
      <c r="B1938" s="29">
        <v>55829.73</v>
      </c>
      <c r="F1938" t="s">
        <v>3312</v>
      </c>
      <c r="G1938">
        <v>1</v>
      </c>
    </row>
    <row r="1939" spans="1:7" x14ac:dyDescent="0.25">
      <c r="A1939" s="28" t="s">
        <v>337</v>
      </c>
      <c r="B1939" s="29">
        <v>56728.588650000005</v>
      </c>
      <c r="F1939" t="s">
        <v>337</v>
      </c>
      <c r="G1939">
        <v>2</v>
      </c>
    </row>
    <row r="1940" spans="1:7" x14ac:dyDescent="0.25">
      <c r="A1940" s="28" t="s">
        <v>394</v>
      </c>
      <c r="B1940" s="29">
        <v>56728.588650000005</v>
      </c>
      <c r="F1940" t="s">
        <v>394</v>
      </c>
      <c r="G1940">
        <v>2</v>
      </c>
    </row>
    <row r="1941" spans="1:7" hidden="1" x14ac:dyDescent="0.25">
      <c r="A1941" s="28" t="s">
        <v>3229</v>
      </c>
      <c r="B1941" s="29">
        <v>55829.73</v>
      </c>
      <c r="F1941" t="s">
        <v>3229</v>
      </c>
      <c r="G1941">
        <v>1</v>
      </c>
    </row>
    <row r="1942" spans="1:7" hidden="1" x14ac:dyDescent="0.25">
      <c r="A1942" s="28" t="s">
        <v>3204</v>
      </c>
      <c r="B1942" s="29">
        <v>55829.73</v>
      </c>
      <c r="F1942" t="s">
        <v>3204</v>
      </c>
      <c r="G1942">
        <v>1</v>
      </c>
    </row>
    <row r="1943" spans="1:7" hidden="1" x14ac:dyDescent="0.25">
      <c r="A1943" s="28" t="s">
        <v>3203</v>
      </c>
      <c r="B1943" s="29">
        <v>55829.73</v>
      </c>
      <c r="F1943" t="s">
        <v>3203</v>
      </c>
      <c r="G1943">
        <v>1</v>
      </c>
    </row>
    <row r="1944" spans="1:7" hidden="1" x14ac:dyDescent="0.25">
      <c r="A1944" s="28" t="s">
        <v>4797</v>
      </c>
      <c r="B1944" s="29">
        <v>55829.73</v>
      </c>
      <c r="F1944" t="s">
        <v>4797</v>
      </c>
      <c r="G1944">
        <v>1</v>
      </c>
    </row>
    <row r="1945" spans="1:7" hidden="1" x14ac:dyDescent="0.25">
      <c r="A1945" s="28" t="s">
        <v>4616</v>
      </c>
      <c r="B1945" s="29">
        <v>50700.12</v>
      </c>
      <c r="F1945" t="s">
        <v>4616</v>
      </c>
      <c r="G1945">
        <v>1</v>
      </c>
    </row>
    <row r="1946" spans="1:7" x14ac:dyDescent="0.25">
      <c r="A1946" s="28" t="s">
        <v>1074</v>
      </c>
      <c r="B1946" s="29">
        <v>56728.588650000005</v>
      </c>
      <c r="F1946" t="s">
        <v>1074</v>
      </c>
      <c r="G1946">
        <v>2</v>
      </c>
    </row>
    <row r="1947" spans="1:7" x14ac:dyDescent="0.25">
      <c r="A1947" s="28" t="s">
        <v>1351</v>
      </c>
      <c r="B1947" s="29">
        <v>56728.588650000005</v>
      </c>
      <c r="F1947" t="s">
        <v>1351</v>
      </c>
      <c r="G1947">
        <v>2</v>
      </c>
    </row>
    <row r="1948" spans="1:7" hidden="1" x14ac:dyDescent="0.25">
      <c r="A1948" s="28" t="s">
        <v>4163</v>
      </c>
      <c r="B1948" s="29">
        <v>50700.12</v>
      </c>
      <c r="F1948" t="s">
        <v>4163</v>
      </c>
      <c r="G1948">
        <v>1</v>
      </c>
    </row>
    <row r="1949" spans="1:7" hidden="1" x14ac:dyDescent="0.25">
      <c r="A1949" s="28" t="s">
        <v>2838</v>
      </c>
      <c r="B1949" s="29">
        <v>50700.12</v>
      </c>
      <c r="F1949" t="s">
        <v>2838</v>
      </c>
      <c r="G1949">
        <v>1</v>
      </c>
    </row>
    <row r="1950" spans="1:7" hidden="1" x14ac:dyDescent="0.25">
      <c r="A1950" s="28" t="s">
        <v>4784</v>
      </c>
      <c r="B1950" s="29">
        <v>49870.79</v>
      </c>
      <c r="F1950" t="s">
        <v>4784</v>
      </c>
      <c r="G1950">
        <v>1</v>
      </c>
    </row>
    <row r="1951" spans="1:7" hidden="1" x14ac:dyDescent="0.25">
      <c r="A1951" s="28" t="s">
        <v>2786</v>
      </c>
      <c r="B1951" s="29">
        <v>54373.78</v>
      </c>
      <c r="F1951" t="s">
        <v>2786</v>
      </c>
      <c r="G1951">
        <v>1</v>
      </c>
    </row>
    <row r="1952" spans="1:7" hidden="1" x14ac:dyDescent="0.25">
      <c r="A1952" s="28" t="s">
        <v>4774</v>
      </c>
      <c r="B1952" s="29">
        <v>49870.79</v>
      </c>
      <c r="F1952" t="s">
        <v>4774</v>
      </c>
      <c r="G1952">
        <v>1</v>
      </c>
    </row>
    <row r="1953" spans="1:7" hidden="1" x14ac:dyDescent="0.25">
      <c r="A1953" s="28" t="s">
        <v>4377</v>
      </c>
      <c r="B1953" s="29">
        <v>49870.79</v>
      </c>
      <c r="F1953" t="s">
        <v>4377</v>
      </c>
      <c r="G1953">
        <v>1</v>
      </c>
    </row>
    <row r="1954" spans="1:7" hidden="1" x14ac:dyDescent="0.25">
      <c r="A1954" s="28" t="s">
        <v>3991</v>
      </c>
      <c r="B1954" s="29">
        <v>54373.78</v>
      </c>
      <c r="F1954" t="s">
        <v>3991</v>
      </c>
      <c r="G1954">
        <v>1</v>
      </c>
    </row>
    <row r="1955" spans="1:7" hidden="1" x14ac:dyDescent="0.25">
      <c r="A1955" s="28" t="s">
        <v>4457</v>
      </c>
      <c r="B1955" s="29">
        <v>54373.78</v>
      </c>
      <c r="F1955" t="s">
        <v>4457</v>
      </c>
      <c r="G1955">
        <v>1</v>
      </c>
    </row>
    <row r="1956" spans="1:7" hidden="1" x14ac:dyDescent="0.25">
      <c r="A1956" s="28" t="s">
        <v>2750</v>
      </c>
      <c r="B1956" s="29">
        <v>54373.78</v>
      </c>
      <c r="F1956" t="s">
        <v>2750</v>
      </c>
      <c r="G1956">
        <v>1</v>
      </c>
    </row>
    <row r="1957" spans="1:7" hidden="1" x14ac:dyDescent="0.25">
      <c r="A1957" s="28" t="s">
        <v>2462</v>
      </c>
      <c r="B1957" s="29">
        <v>54373.78</v>
      </c>
      <c r="F1957" t="s">
        <v>2462</v>
      </c>
      <c r="G1957">
        <v>1</v>
      </c>
    </row>
    <row r="1958" spans="1:7" hidden="1" x14ac:dyDescent="0.25">
      <c r="A1958" s="28" t="s">
        <v>4326</v>
      </c>
      <c r="B1958" s="29">
        <v>54373.78</v>
      </c>
      <c r="F1958" t="s">
        <v>4326</v>
      </c>
      <c r="G1958">
        <v>1</v>
      </c>
    </row>
    <row r="1959" spans="1:7" hidden="1" x14ac:dyDescent="0.25">
      <c r="A1959" s="28" t="s">
        <v>3347</v>
      </c>
      <c r="B1959" s="29">
        <v>54373.78</v>
      </c>
      <c r="F1959" t="s">
        <v>3347</v>
      </c>
      <c r="G1959">
        <v>1</v>
      </c>
    </row>
    <row r="1960" spans="1:7" hidden="1" x14ac:dyDescent="0.25">
      <c r="A1960" s="28" t="s">
        <v>4291</v>
      </c>
      <c r="B1960" s="29">
        <v>54373.78</v>
      </c>
      <c r="F1960" t="s">
        <v>4291</v>
      </c>
      <c r="G1960">
        <v>1</v>
      </c>
    </row>
    <row r="1961" spans="1:7" hidden="1" x14ac:dyDescent="0.25">
      <c r="A1961" s="28" t="s">
        <v>3127</v>
      </c>
      <c r="B1961" s="29">
        <v>54373.78</v>
      </c>
      <c r="F1961" t="s">
        <v>3127</v>
      </c>
      <c r="G1961">
        <v>1</v>
      </c>
    </row>
    <row r="1962" spans="1:7" hidden="1" x14ac:dyDescent="0.25">
      <c r="A1962" s="28" t="s">
        <v>2977</v>
      </c>
      <c r="B1962" s="29">
        <v>50700.12</v>
      </c>
      <c r="F1962" t="s">
        <v>2977</v>
      </c>
      <c r="G1962">
        <v>1</v>
      </c>
    </row>
    <row r="1963" spans="1:7" hidden="1" x14ac:dyDescent="0.25">
      <c r="A1963" s="28" t="s">
        <v>4405</v>
      </c>
      <c r="B1963" s="29">
        <v>54373.78</v>
      </c>
      <c r="F1963" t="s">
        <v>4405</v>
      </c>
      <c r="G1963">
        <v>1</v>
      </c>
    </row>
    <row r="1964" spans="1:7" hidden="1" x14ac:dyDescent="0.25">
      <c r="A1964" s="28" t="s">
        <v>4493</v>
      </c>
      <c r="B1964" s="29">
        <v>54373.78</v>
      </c>
      <c r="F1964" t="s">
        <v>4493</v>
      </c>
      <c r="G1964">
        <v>1</v>
      </c>
    </row>
    <row r="1965" spans="1:7" hidden="1" x14ac:dyDescent="0.25">
      <c r="A1965" s="28" t="s">
        <v>4319</v>
      </c>
      <c r="B1965" s="29">
        <v>49870.79</v>
      </c>
      <c r="F1965" t="s">
        <v>4319</v>
      </c>
      <c r="G1965">
        <v>1</v>
      </c>
    </row>
    <row r="1966" spans="1:7" hidden="1" x14ac:dyDescent="0.25">
      <c r="A1966" s="28" t="s">
        <v>4477</v>
      </c>
      <c r="B1966" s="29">
        <v>54373.78</v>
      </c>
      <c r="F1966" t="s">
        <v>4477</v>
      </c>
      <c r="G1966">
        <v>1</v>
      </c>
    </row>
    <row r="1967" spans="1:7" hidden="1" x14ac:dyDescent="0.25">
      <c r="A1967" s="28" t="s">
        <v>3915</v>
      </c>
      <c r="B1967" s="29">
        <v>49870.79</v>
      </c>
      <c r="F1967" t="s">
        <v>3915</v>
      </c>
      <c r="G1967">
        <v>1</v>
      </c>
    </row>
    <row r="1968" spans="1:7" hidden="1" x14ac:dyDescent="0.25">
      <c r="A1968" s="28" t="s">
        <v>4231</v>
      </c>
      <c r="B1968" s="29">
        <v>55829.73</v>
      </c>
      <c r="F1968" t="s">
        <v>4231</v>
      </c>
      <c r="G1968">
        <v>1</v>
      </c>
    </row>
    <row r="1969" spans="1:7" hidden="1" x14ac:dyDescent="0.25">
      <c r="A1969" s="28" t="s">
        <v>3261</v>
      </c>
      <c r="B1969" s="29">
        <v>54373.78</v>
      </c>
      <c r="F1969" t="s">
        <v>3261</v>
      </c>
      <c r="G1969">
        <v>1</v>
      </c>
    </row>
    <row r="1970" spans="1:7" hidden="1" x14ac:dyDescent="0.25">
      <c r="A1970" s="28" t="s">
        <v>4239</v>
      </c>
      <c r="B1970" s="29">
        <v>54963.53</v>
      </c>
      <c r="F1970" t="s">
        <v>4239</v>
      </c>
      <c r="G1970">
        <v>1</v>
      </c>
    </row>
    <row r="1971" spans="1:7" x14ac:dyDescent="0.25">
      <c r="A1971" s="28" t="s">
        <v>376</v>
      </c>
      <c r="B1971" s="29">
        <v>55848.442849999999</v>
      </c>
      <c r="F1971" t="s">
        <v>376</v>
      </c>
      <c r="G1971">
        <v>2</v>
      </c>
    </row>
    <row r="1972" spans="1:7" x14ac:dyDescent="0.25">
      <c r="A1972" s="28" t="s">
        <v>89</v>
      </c>
      <c r="B1972" s="29">
        <v>55848.442849999999</v>
      </c>
      <c r="F1972" t="s">
        <v>89</v>
      </c>
      <c r="G1972">
        <v>2</v>
      </c>
    </row>
    <row r="1973" spans="1:7" x14ac:dyDescent="0.25">
      <c r="A1973" s="28" t="s">
        <v>1086</v>
      </c>
      <c r="B1973" s="29">
        <v>55848.442849999999</v>
      </c>
      <c r="F1973" t="s">
        <v>1086</v>
      </c>
      <c r="G1973">
        <v>2</v>
      </c>
    </row>
    <row r="1974" spans="1:7" x14ac:dyDescent="0.25">
      <c r="A1974" s="28" t="s">
        <v>316</v>
      </c>
      <c r="B1974" s="29">
        <v>55848.442849999999</v>
      </c>
      <c r="F1974" t="s">
        <v>316</v>
      </c>
      <c r="G1974">
        <v>2</v>
      </c>
    </row>
    <row r="1975" spans="1:7" x14ac:dyDescent="0.25">
      <c r="A1975" s="28" t="s">
        <v>466</v>
      </c>
      <c r="B1975" s="29">
        <v>55848.442849999999</v>
      </c>
      <c r="F1975" t="s">
        <v>466</v>
      </c>
      <c r="G1975">
        <v>2</v>
      </c>
    </row>
    <row r="1976" spans="1:7" x14ac:dyDescent="0.25">
      <c r="A1976" s="28" t="s">
        <v>185</v>
      </c>
      <c r="B1976" s="29">
        <v>55848.442849999999</v>
      </c>
      <c r="F1976" t="s">
        <v>185</v>
      </c>
      <c r="G1976">
        <v>2</v>
      </c>
    </row>
    <row r="1977" spans="1:7" x14ac:dyDescent="0.25">
      <c r="A1977" s="28" t="s">
        <v>45</v>
      </c>
      <c r="B1977" s="29">
        <v>55848.442849999999</v>
      </c>
      <c r="F1977" t="s">
        <v>45</v>
      </c>
      <c r="G1977">
        <v>2</v>
      </c>
    </row>
    <row r="1978" spans="1:7" hidden="1" x14ac:dyDescent="0.25">
      <c r="A1978" s="28" t="s">
        <v>3485</v>
      </c>
      <c r="B1978" s="29">
        <v>54963.53</v>
      </c>
      <c r="F1978" t="s">
        <v>3485</v>
      </c>
      <c r="G1978">
        <v>1</v>
      </c>
    </row>
    <row r="1979" spans="1:7" x14ac:dyDescent="0.25">
      <c r="A1979" s="28" t="s">
        <v>250</v>
      </c>
      <c r="B1979" s="29">
        <v>55848.442849999999</v>
      </c>
      <c r="F1979" t="s">
        <v>250</v>
      </c>
      <c r="G1979">
        <v>2</v>
      </c>
    </row>
    <row r="1980" spans="1:7" x14ac:dyDescent="0.25">
      <c r="A1980" s="28" t="s">
        <v>1029</v>
      </c>
      <c r="B1980" s="29">
        <v>55848.442849999999</v>
      </c>
      <c r="F1980" t="s">
        <v>1029</v>
      </c>
      <c r="G1980">
        <v>2</v>
      </c>
    </row>
    <row r="1981" spans="1:7" x14ac:dyDescent="0.25">
      <c r="A1981" s="28" t="s">
        <v>1250</v>
      </c>
      <c r="B1981" s="29">
        <v>55848.442849999999</v>
      </c>
      <c r="F1981" t="s">
        <v>1250</v>
      </c>
      <c r="G1981">
        <v>2</v>
      </c>
    </row>
    <row r="1982" spans="1:7" x14ac:dyDescent="0.25">
      <c r="A1982" s="28" t="s">
        <v>843</v>
      </c>
      <c r="B1982" s="29">
        <v>55848.442849999999</v>
      </c>
      <c r="F1982" t="s">
        <v>843</v>
      </c>
      <c r="G1982">
        <v>2</v>
      </c>
    </row>
    <row r="1983" spans="1:7" hidden="1" x14ac:dyDescent="0.25">
      <c r="A1983" s="28" t="s">
        <v>3905</v>
      </c>
      <c r="B1983" s="29">
        <v>54963.53</v>
      </c>
      <c r="F1983" t="s">
        <v>3905</v>
      </c>
      <c r="G1983">
        <v>1</v>
      </c>
    </row>
    <row r="1984" spans="1:7" hidden="1" x14ac:dyDescent="0.25">
      <c r="A1984" s="28" t="s">
        <v>3847</v>
      </c>
      <c r="B1984" s="29">
        <v>54963.53</v>
      </c>
      <c r="F1984" t="s">
        <v>3847</v>
      </c>
      <c r="G1984">
        <v>1</v>
      </c>
    </row>
    <row r="1985" spans="1:7" hidden="1" x14ac:dyDescent="0.25">
      <c r="A1985" s="28" t="s">
        <v>3424</v>
      </c>
      <c r="B1985" s="29">
        <v>54963.53</v>
      </c>
      <c r="F1985" t="s">
        <v>3424</v>
      </c>
      <c r="G1985">
        <v>1</v>
      </c>
    </row>
    <row r="1986" spans="1:7" hidden="1" x14ac:dyDescent="0.25">
      <c r="A1986" s="28" t="s">
        <v>3254</v>
      </c>
      <c r="B1986" s="29">
        <v>54963.53</v>
      </c>
      <c r="F1986" t="s">
        <v>3254</v>
      </c>
      <c r="G1986">
        <v>1</v>
      </c>
    </row>
    <row r="1987" spans="1:7" hidden="1" x14ac:dyDescent="0.25">
      <c r="A1987" s="28" t="s">
        <v>3801</v>
      </c>
      <c r="B1987" s="29">
        <v>54963.53</v>
      </c>
      <c r="F1987" t="s">
        <v>3801</v>
      </c>
      <c r="G1987">
        <v>1</v>
      </c>
    </row>
    <row r="1988" spans="1:7" x14ac:dyDescent="0.25">
      <c r="A1988" s="28" t="s">
        <v>372</v>
      </c>
      <c r="B1988" s="29">
        <v>55848.442849999999</v>
      </c>
      <c r="F1988" t="s">
        <v>372</v>
      </c>
      <c r="G1988">
        <v>2</v>
      </c>
    </row>
    <row r="1989" spans="1:7" hidden="1" x14ac:dyDescent="0.25">
      <c r="A1989" s="28" t="s">
        <v>3418</v>
      </c>
      <c r="B1989" s="29">
        <v>54963.53</v>
      </c>
      <c r="F1989" t="s">
        <v>3418</v>
      </c>
      <c r="G1989">
        <v>1</v>
      </c>
    </row>
    <row r="1990" spans="1:7" x14ac:dyDescent="0.25">
      <c r="A1990" s="28" t="s">
        <v>905</v>
      </c>
      <c r="B1990" s="29">
        <v>55848.442849999999</v>
      </c>
      <c r="F1990" t="s">
        <v>905</v>
      </c>
      <c r="G1990">
        <v>2</v>
      </c>
    </row>
    <row r="1991" spans="1:7" x14ac:dyDescent="0.25">
      <c r="A1991" s="28" t="s">
        <v>1386</v>
      </c>
      <c r="B1991" s="29">
        <v>55848.442849999999</v>
      </c>
      <c r="F1991" t="s">
        <v>1386</v>
      </c>
      <c r="G1991">
        <v>2</v>
      </c>
    </row>
    <row r="1992" spans="1:7" x14ac:dyDescent="0.25">
      <c r="A1992" s="28" t="s">
        <v>254</v>
      </c>
      <c r="B1992" s="29">
        <v>55848.442849999999</v>
      </c>
      <c r="F1992" t="s">
        <v>254</v>
      </c>
      <c r="G1992">
        <v>2</v>
      </c>
    </row>
    <row r="1993" spans="1:7" x14ac:dyDescent="0.25">
      <c r="A1993" s="28" t="s">
        <v>800</v>
      </c>
      <c r="B1993" s="29">
        <v>55848.442849999999</v>
      </c>
      <c r="F1993" t="s">
        <v>800</v>
      </c>
      <c r="G1993">
        <v>2</v>
      </c>
    </row>
    <row r="1994" spans="1:7" x14ac:dyDescent="0.25">
      <c r="A1994" s="28" t="s">
        <v>396</v>
      </c>
      <c r="B1994" s="29">
        <v>55848.442849999999</v>
      </c>
      <c r="F1994" t="s">
        <v>396</v>
      </c>
      <c r="G1994">
        <v>2</v>
      </c>
    </row>
    <row r="1995" spans="1:7" x14ac:dyDescent="0.25">
      <c r="A1995" s="28" t="s">
        <v>1253</v>
      </c>
      <c r="B1995" s="29">
        <v>55848.442849999999</v>
      </c>
      <c r="F1995" t="s">
        <v>1253</v>
      </c>
      <c r="G1995">
        <v>2</v>
      </c>
    </row>
    <row r="1996" spans="1:7" hidden="1" x14ac:dyDescent="0.25">
      <c r="A1996" s="28" t="s">
        <v>3759</v>
      </c>
      <c r="B1996" s="29">
        <v>54963.53</v>
      </c>
      <c r="F1996" t="s">
        <v>3759</v>
      </c>
      <c r="G1996">
        <v>1</v>
      </c>
    </row>
    <row r="1997" spans="1:7" hidden="1" x14ac:dyDescent="0.25">
      <c r="A1997" s="28" t="s">
        <v>3845</v>
      </c>
      <c r="B1997" s="29">
        <v>54963.53</v>
      </c>
      <c r="F1997" t="s">
        <v>3845</v>
      </c>
      <c r="G1997">
        <v>1</v>
      </c>
    </row>
    <row r="1998" spans="1:7" x14ac:dyDescent="0.25">
      <c r="A1998" s="28" t="s">
        <v>96</v>
      </c>
      <c r="B1998" s="29">
        <v>55848.442849999999</v>
      </c>
      <c r="F1998" t="s">
        <v>96</v>
      </c>
      <c r="G1998">
        <v>2</v>
      </c>
    </row>
    <row r="1999" spans="1:7" hidden="1" x14ac:dyDescent="0.25">
      <c r="A1999" s="28" t="s">
        <v>3310</v>
      </c>
      <c r="B1999" s="29">
        <v>54963.53</v>
      </c>
      <c r="F1999" t="s">
        <v>3310</v>
      </c>
      <c r="G1999">
        <v>1</v>
      </c>
    </row>
    <row r="2000" spans="1:7" hidden="1" x14ac:dyDescent="0.25">
      <c r="A2000" s="28" t="s">
        <v>3678</v>
      </c>
      <c r="B2000" s="29">
        <v>54963.53</v>
      </c>
      <c r="F2000" t="s">
        <v>3678</v>
      </c>
      <c r="G2000">
        <v>1</v>
      </c>
    </row>
    <row r="2001" spans="1:7" x14ac:dyDescent="0.25">
      <c r="A2001" s="28" t="s">
        <v>798</v>
      </c>
      <c r="B2001" s="29">
        <v>55848.442849999999</v>
      </c>
      <c r="F2001" t="s">
        <v>798</v>
      </c>
      <c r="G2001">
        <v>2</v>
      </c>
    </row>
    <row r="2002" spans="1:7" x14ac:dyDescent="0.25">
      <c r="A2002" s="28" t="s">
        <v>704</v>
      </c>
      <c r="B2002" s="29">
        <v>55848.442849999999</v>
      </c>
      <c r="F2002" t="s">
        <v>704</v>
      </c>
      <c r="G2002">
        <v>2</v>
      </c>
    </row>
    <row r="2003" spans="1:7" x14ac:dyDescent="0.25">
      <c r="A2003" s="28" t="s">
        <v>38</v>
      </c>
      <c r="B2003" s="29">
        <v>55848.442849999999</v>
      </c>
      <c r="F2003" t="s">
        <v>38</v>
      </c>
      <c r="G2003">
        <v>2</v>
      </c>
    </row>
    <row r="2004" spans="1:7" x14ac:dyDescent="0.25">
      <c r="A2004" s="28" t="s">
        <v>1077</v>
      </c>
      <c r="B2004" s="29">
        <v>55848.442849999999</v>
      </c>
      <c r="F2004" t="s">
        <v>1077</v>
      </c>
      <c r="G2004">
        <v>2</v>
      </c>
    </row>
    <row r="2005" spans="1:7" x14ac:dyDescent="0.25">
      <c r="A2005" s="28" t="s">
        <v>248</v>
      </c>
      <c r="B2005" s="29">
        <v>55848.442849999999</v>
      </c>
      <c r="F2005" t="s">
        <v>248</v>
      </c>
      <c r="G2005">
        <v>2</v>
      </c>
    </row>
    <row r="2006" spans="1:7" x14ac:dyDescent="0.25">
      <c r="A2006" s="28" t="s">
        <v>1398</v>
      </c>
      <c r="B2006" s="29">
        <v>55848.442849999999</v>
      </c>
      <c r="F2006" t="s">
        <v>1398</v>
      </c>
      <c r="G2006">
        <v>2</v>
      </c>
    </row>
    <row r="2007" spans="1:7" x14ac:dyDescent="0.25">
      <c r="A2007" s="28" t="s">
        <v>499</v>
      </c>
      <c r="B2007" s="29">
        <v>55848.442849999999</v>
      </c>
      <c r="F2007" t="s">
        <v>499</v>
      </c>
      <c r="G2007">
        <v>2</v>
      </c>
    </row>
    <row r="2008" spans="1:7" x14ac:dyDescent="0.25">
      <c r="A2008" s="28" t="s">
        <v>181</v>
      </c>
      <c r="B2008" s="29">
        <v>55848.442849999999</v>
      </c>
      <c r="F2008" t="s">
        <v>181</v>
      </c>
      <c r="G2008">
        <v>2</v>
      </c>
    </row>
    <row r="2009" spans="1:7" hidden="1" x14ac:dyDescent="0.25">
      <c r="A2009" s="28" t="s">
        <v>3815</v>
      </c>
      <c r="B2009" s="29">
        <v>54963.53</v>
      </c>
      <c r="F2009" t="s">
        <v>3815</v>
      </c>
      <c r="G2009">
        <v>1</v>
      </c>
    </row>
    <row r="2010" spans="1:7" x14ac:dyDescent="0.25">
      <c r="A2010" s="28" t="s">
        <v>390</v>
      </c>
      <c r="B2010" s="29">
        <v>55848.442849999999</v>
      </c>
      <c r="F2010" t="s">
        <v>390</v>
      </c>
      <c r="G2010">
        <v>2</v>
      </c>
    </row>
    <row r="2011" spans="1:7" hidden="1" x14ac:dyDescent="0.25">
      <c r="A2011" s="28" t="s">
        <v>3474</v>
      </c>
      <c r="B2011" s="29">
        <v>54963.53</v>
      </c>
      <c r="F2011" t="s">
        <v>3474</v>
      </c>
      <c r="G2011">
        <v>1</v>
      </c>
    </row>
    <row r="2012" spans="1:7" hidden="1" x14ac:dyDescent="0.25">
      <c r="A2012" s="28" t="s">
        <v>3496</v>
      </c>
      <c r="B2012" s="29">
        <v>54963.53</v>
      </c>
      <c r="F2012" t="s">
        <v>3496</v>
      </c>
      <c r="G2012">
        <v>1</v>
      </c>
    </row>
    <row r="2013" spans="1:7" hidden="1" x14ac:dyDescent="0.25">
      <c r="A2013" s="28" t="s">
        <v>3710</v>
      </c>
      <c r="B2013" s="29">
        <v>54963.53</v>
      </c>
      <c r="F2013" t="s">
        <v>3710</v>
      </c>
      <c r="G2013">
        <v>1</v>
      </c>
    </row>
    <row r="2014" spans="1:7" x14ac:dyDescent="0.25">
      <c r="A2014" s="28" t="s">
        <v>1478</v>
      </c>
      <c r="B2014" s="29">
        <v>55848.442849999999</v>
      </c>
      <c r="F2014" t="s">
        <v>1478</v>
      </c>
      <c r="G2014">
        <v>2</v>
      </c>
    </row>
    <row r="2015" spans="1:7" x14ac:dyDescent="0.25">
      <c r="A2015" s="28" t="s">
        <v>898</v>
      </c>
      <c r="B2015" s="29">
        <v>55848.442849999999</v>
      </c>
      <c r="F2015" t="s">
        <v>898</v>
      </c>
      <c r="G2015">
        <v>2</v>
      </c>
    </row>
    <row r="2016" spans="1:7" x14ac:dyDescent="0.25">
      <c r="A2016" s="28" t="s">
        <v>1172</v>
      </c>
      <c r="B2016" s="29">
        <v>55848.442849999999</v>
      </c>
      <c r="F2016" t="s">
        <v>1172</v>
      </c>
      <c r="G2016">
        <v>2</v>
      </c>
    </row>
    <row r="2017" spans="1:7" hidden="1" x14ac:dyDescent="0.25">
      <c r="A2017" s="28" t="s">
        <v>4364</v>
      </c>
      <c r="B2017" s="29">
        <v>54963.53</v>
      </c>
      <c r="F2017" t="s">
        <v>4364</v>
      </c>
      <c r="G2017">
        <v>1</v>
      </c>
    </row>
    <row r="2018" spans="1:7" x14ac:dyDescent="0.25">
      <c r="A2018" s="28" t="s">
        <v>213</v>
      </c>
      <c r="B2018" s="29">
        <v>55848.442849999999</v>
      </c>
      <c r="F2018" t="s">
        <v>213</v>
      </c>
      <c r="G2018">
        <v>2</v>
      </c>
    </row>
    <row r="2019" spans="1:7" hidden="1" x14ac:dyDescent="0.25">
      <c r="A2019" s="28" t="s">
        <v>4133</v>
      </c>
      <c r="B2019" s="29">
        <v>54963.53</v>
      </c>
      <c r="F2019" t="s">
        <v>4133</v>
      </c>
      <c r="G2019">
        <v>1</v>
      </c>
    </row>
    <row r="2020" spans="1:7" hidden="1" x14ac:dyDescent="0.25">
      <c r="A2020" s="28" t="s">
        <v>4248</v>
      </c>
      <c r="B2020" s="29">
        <v>54963.53</v>
      </c>
      <c r="F2020" t="s">
        <v>4248</v>
      </c>
      <c r="G2020">
        <v>1</v>
      </c>
    </row>
    <row r="2021" spans="1:7" hidden="1" x14ac:dyDescent="0.25">
      <c r="A2021" s="28" t="s">
        <v>4397</v>
      </c>
      <c r="B2021" s="29">
        <v>54963.53</v>
      </c>
      <c r="F2021" t="s">
        <v>4397</v>
      </c>
      <c r="G2021">
        <v>1</v>
      </c>
    </row>
    <row r="2022" spans="1:7" x14ac:dyDescent="0.25">
      <c r="A2022" s="28" t="s">
        <v>1226</v>
      </c>
      <c r="B2022" s="29">
        <v>55848.442849999999</v>
      </c>
      <c r="F2022" t="s">
        <v>1226</v>
      </c>
      <c r="G2022">
        <v>2</v>
      </c>
    </row>
    <row r="2023" spans="1:7" hidden="1" x14ac:dyDescent="0.25">
      <c r="A2023" s="28" t="s">
        <v>3676</v>
      </c>
      <c r="B2023" s="29">
        <v>54963.53</v>
      </c>
      <c r="F2023" t="s">
        <v>3676</v>
      </c>
      <c r="G2023">
        <v>1</v>
      </c>
    </row>
    <row r="2024" spans="1:7" hidden="1" x14ac:dyDescent="0.25">
      <c r="A2024" s="28" t="s">
        <v>3592</v>
      </c>
      <c r="B2024" s="29">
        <v>54963.53</v>
      </c>
      <c r="F2024" t="s">
        <v>3592</v>
      </c>
      <c r="G2024">
        <v>1</v>
      </c>
    </row>
    <row r="2025" spans="1:7" hidden="1" x14ac:dyDescent="0.25">
      <c r="A2025" s="28" t="s">
        <v>3675</v>
      </c>
      <c r="B2025" s="29">
        <v>54963.53</v>
      </c>
      <c r="F2025" t="s">
        <v>3675</v>
      </c>
      <c r="G2025">
        <v>1</v>
      </c>
    </row>
    <row r="2026" spans="1:7" x14ac:dyDescent="0.25">
      <c r="A2026" s="28" t="s">
        <v>1295</v>
      </c>
      <c r="B2026" s="29">
        <v>55848.442849999999</v>
      </c>
      <c r="F2026" t="s">
        <v>1295</v>
      </c>
      <c r="G2026">
        <v>2</v>
      </c>
    </row>
    <row r="2027" spans="1:7" x14ac:dyDescent="0.25">
      <c r="A2027" s="28" t="s">
        <v>1025</v>
      </c>
      <c r="B2027" s="29">
        <v>55848.442849999999</v>
      </c>
      <c r="F2027" t="s">
        <v>1025</v>
      </c>
      <c r="G2027">
        <v>2</v>
      </c>
    </row>
    <row r="2028" spans="1:7" hidden="1" x14ac:dyDescent="0.25">
      <c r="A2028" s="28" t="s">
        <v>3976</v>
      </c>
      <c r="B2028" s="29">
        <v>54963.53</v>
      </c>
      <c r="F2028" t="s">
        <v>3976</v>
      </c>
      <c r="G2028">
        <v>1</v>
      </c>
    </row>
    <row r="2029" spans="1:7" hidden="1" x14ac:dyDescent="0.25">
      <c r="A2029" s="28" t="s">
        <v>3712</v>
      </c>
      <c r="B2029" s="29">
        <v>54963.53</v>
      </c>
      <c r="F2029" t="s">
        <v>3712</v>
      </c>
      <c r="G2029">
        <v>1</v>
      </c>
    </row>
    <row r="2030" spans="1:7" hidden="1" x14ac:dyDescent="0.25">
      <c r="A2030" s="28" t="s">
        <v>3680</v>
      </c>
      <c r="B2030" s="29">
        <v>54963.53</v>
      </c>
      <c r="F2030" t="s">
        <v>3680</v>
      </c>
      <c r="G2030">
        <v>1</v>
      </c>
    </row>
    <row r="2031" spans="1:7" hidden="1" x14ac:dyDescent="0.25">
      <c r="A2031" s="28" t="s">
        <v>3756</v>
      </c>
      <c r="B2031" s="29">
        <v>54963.53</v>
      </c>
      <c r="F2031" t="s">
        <v>3756</v>
      </c>
      <c r="G2031">
        <v>1</v>
      </c>
    </row>
    <row r="2032" spans="1:7" hidden="1" x14ac:dyDescent="0.25">
      <c r="A2032" s="28" t="s">
        <v>4259</v>
      </c>
      <c r="B2032" s="29">
        <v>54963.53</v>
      </c>
      <c r="F2032" t="s">
        <v>4259</v>
      </c>
      <c r="G2032">
        <v>1</v>
      </c>
    </row>
    <row r="2033" spans="1:7" hidden="1" x14ac:dyDescent="0.25">
      <c r="A2033" s="28" t="s">
        <v>4124</v>
      </c>
      <c r="B2033" s="29">
        <v>54963.53</v>
      </c>
      <c r="F2033" t="s">
        <v>4124</v>
      </c>
      <c r="G2033">
        <v>1</v>
      </c>
    </row>
    <row r="2034" spans="1:7" hidden="1" x14ac:dyDescent="0.25">
      <c r="A2034" s="28" t="s">
        <v>4421</v>
      </c>
      <c r="B2034" s="29">
        <v>54963.53</v>
      </c>
      <c r="F2034" t="s">
        <v>4421</v>
      </c>
      <c r="G2034">
        <v>1</v>
      </c>
    </row>
    <row r="2035" spans="1:7" hidden="1" x14ac:dyDescent="0.25">
      <c r="A2035" s="28" t="s">
        <v>4258</v>
      </c>
      <c r="B2035" s="29">
        <v>54963.53</v>
      </c>
      <c r="F2035" t="s">
        <v>4258</v>
      </c>
      <c r="G2035">
        <v>1</v>
      </c>
    </row>
    <row r="2036" spans="1:7" hidden="1" x14ac:dyDescent="0.25">
      <c r="A2036" s="28" t="s">
        <v>4220</v>
      </c>
      <c r="B2036" s="29">
        <v>54963.53</v>
      </c>
      <c r="F2036" t="s">
        <v>4220</v>
      </c>
      <c r="G2036">
        <v>1</v>
      </c>
    </row>
    <row r="2037" spans="1:7" x14ac:dyDescent="0.25">
      <c r="A2037" s="28" t="s">
        <v>1364</v>
      </c>
      <c r="B2037" s="29">
        <v>55848.442849999999</v>
      </c>
      <c r="F2037" t="s">
        <v>1364</v>
      </c>
      <c r="G2037">
        <v>2</v>
      </c>
    </row>
    <row r="2038" spans="1:7" x14ac:dyDescent="0.25">
      <c r="A2038" s="28" t="s">
        <v>1388</v>
      </c>
      <c r="B2038" s="29">
        <v>55848.442849999999</v>
      </c>
      <c r="F2038" t="s">
        <v>1388</v>
      </c>
      <c r="G2038">
        <v>2</v>
      </c>
    </row>
    <row r="2039" spans="1:7" x14ac:dyDescent="0.25">
      <c r="A2039" s="28" t="s">
        <v>958</v>
      </c>
      <c r="B2039" s="29">
        <v>55848.442849999999</v>
      </c>
      <c r="F2039" t="s">
        <v>958</v>
      </c>
      <c r="G2039">
        <v>2</v>
      </c>
    </row>
    <row r="2040" spans="1:7" hidden="1" x14ac:dyDescent="0.25">
      <c r="A2040" s="28" t="s">
        <v>2809</v>
      </c>
      <c r="B2040" s="29">
        <v>54963.53</v>
      </c>
      <c r="F2040" t="s">
        <v>2809</v>
      </c>
      <c r="G2040">
        <v>1</v>
      </c>
    </row>
    <row r="2041" spans="1:7" hidden="1" x14ac:dyDescent="0.25">
      <c r="A2041" s="28" t="s">
        <v>3762</v>
      </c>
      <c r="B2041" s="29">
        <v>54963.53</v>
      </c>
      <c r="F2041" t="s">
        <v>3762</v>
      </c>
      <c r="G2041">
        <v>1</v>
      </c>
    </row>
    <row r="2042" spans="1:7" hidden="1" x14ac:dyDescent="0.25">
      <c r="A2042" s="28" t="s">
        <v>3443</v>
      </c>
      <c r="B2042" s="29">
        <v>54963.53</v>
      </c>
      <c r="F2042" t="s">
        <v>3443</v>
      </c>
      <c r="G2042">
        <v>1</v>
      </c>
    </row>
    <row r="2043" spans="1:7" hidden="1" x14ac:dyDescent="0.25">
      <c r="A2043" s="28" t="s">
        <v>2840</v>
      </c>
      <c r="B2043" s="29">
        <v>54963.53</v>
      </c>
      <c r="F2043" t="s">
        <v>2840</v>
      </c>
      <c r="G2043">
        <v>1</v>
      </c>
    </row>
    <row r="2044" spans="1:7" hidden="1" x14ac:dyDescent="0.25">
      <c r="A2044" s="28" t="s">
        <v>3715</v>
      </c>
      <c r="B2044" s="29">
        <v>54963.53</v>
      </c>
      <c r="F2044" t="s">
        <v>3715</v>
      </c>
      <c r="G2044">
        <v>1</v>
      </c>
    </row>
    <row r="2045" spans="1:7" hidden="1" x14ac:dyDescent="0.25">
      <c r="A2045" s="28" t="s">
        <v>4150</v>
      </c>
      <c r="B2045" s="29">
        <v>54963.53</v>
      </c>
      <c r="F2045" t="s">
        <v>4150</v>
      </c>
      <c r="G2045">
        <v>1</v>
      </c>
    </row>
    <row r="2046" spans="1:7" hidden="1" x14ac:dyDescent="0.25">
      <c r="A2046" s="28" t="s">
        <v>4511</v>
      </c>
      <c r="B2046" s="29">
        <v>54963.53</v>
      </c>
      <c r="F2046" t="s">
        <v>4511</v>
      </c>
      <c r="G2046">
        <v>1</v>
      </c>
    </row>
    <row r="2047" spans="1:7" x14ac:dyDescent="0.25">
      <c r="A2047" s="28" t="s">
        <v>1436</v>
      </c>
      <c r="B2047" s="29">
        <v>55848.442849999999</v>
      </c>
      <c r="F2047" t="s">
        <v>1436</v>
      </c>
      <c r="G2047">
        <v>2</v>
      </c>
    </row>
    <row r="2048" spans="1:7" x14ac:dyDescent="0.25">
      <c r="A2048" s="28" t="s">
        <v>896</v>
      </c>
      <c r="B2048" s="29">
        <v>55848.442849999999</v>
      </c>
      <c r="F2048" t="s">
        <v>896</v>
      </c>
      <c r="G2048">
        <v>2</v>
      </c>
    </row>
    <row r="2049" spans="1:7" x14ac:dyDescent="0.25">
      <c r="A2049" s="28" t="s">
        <v>900</v>
      </c>
      <c r="B2049" s="29">
        <v>55848.442849999999</v>
      </c>
      <c r="F2049" t="s">
        <v>900</v>
      </c>
      <c r="G2049">
        <v>2</v>
      </c>
    </row>
    <row r="2050" spans="1:7" hidden="1" x14ac:dyDescent="0.25">
      <c r="A2050" s="28" t="s">
        <v>1101</v>
      </c>
      <c r="B2050" s="29">
        <v>56733.3557</v>
      </c>
      <c r="F2050" t="s">
        <v>1101</v>
      </c>
      <c r="G2050">
        <v>1</v>
      </c>
    </row>
    <row r="2051" spans="1:7" hidden="1" x14ac:dyDescent="0.25">
      <c r="A2051" s="28" t="s">
        <v>3791</v>
      </c>
      <c r="B2051" s="29">
        <v>54963.53</v>
      </c>
      <c r="F2051" t="s">
        <v>3791</v>
      </c>
      <c r="G2051">
        <v>1</v>
      </c>
    </row>
    <row r="2052" spans="1:7" hidden="1" x14ac:dyDescent="0.25">
      <c r="A2052" s="28" t="s">
        <v>3193</v>
      </c>
      <c r="B2052" s="29">
        <v>54963.53</v>
      </c>
      <c r="F2052" t="s">
        <v>3193</v>
      </c>
      <c r="G2052">
        <v>1</v>
      </c>
    </row>
    <row r="2053" spans="1:7" hidden="1" x14ac:dyDescent="0.25">
      <c r="A2053" s="28" t="s">
        <v>4572</v>
      </c>
      <c r="B2053" s="29">
        <v>54963.53</v>
      </c>
      <c r="F2053" t="s">
        <v>4572</v>
      </c>
      <c r="G2053">
        <v>1</v>
      </c>
    </row>
    <row r="2054" spans="1:7" hidden="1" x14ac:dyDescent="0.25">
      <c r="A2054" s="28" t="s">
        <v>4486</v>
      </c>
      <c r="B2054" s="29">
        <v>54963.53</v>
      </c>
      <c r="F2054" t="s">
        <v>4486</v>
      </c>
      <c r="G2054">
        <v>1</v>
      </c>
    </row>
    <row r="2055" spans="1:7" hidden="1" x14ac:dyDescent="0.25">
      <c r="A2055" s="28" t="s">
        <v>4613</v>
      </c>
      <c r="B2055" s="29">
        <v>54963.53</v>
      </c>
      <c r="F2055" t="s">
        <v>4613</v>
      </c>
      <c r="G2055">
        <v>1</v>
      </c>
    </row>
    <row r="2056" spans="1:7" hidden="1" x14ac:dyDescent="0.25">
      <c r="A2056" s="28" t="s">
        <v>4426</v>
      </c>
      <c r="B2056" s="29">
        <v>54963.53</v>
      </c>
      <c r="F2056" t="s">
        <v>4426</v>
      </c>
      <c r="G2056">
        <v>1</v>
      </c>
    </row>
    <row r="2057" spans="1:7" hidden="1" x14ac:dyDescent="0.25">
      <c r="A2057" s="28" t="s">
        <v>4065</v>
      </c>
      <c r="B2057" s="29">
        <v>54963.53</v>
      </c>
      <c r="F2057" t="s">
        <v>4065</v>
      </c>
      <c r="G2057">
        <v>1</v>
      </c>
    </row>
    <row r="2058" spans="1:7" x14ac:dyDescent="0.25">
      <c r="A2058" s="28" t="s">
        <v>974</v>
      </c>
      <c r="B2058" s="29">
        <v>55848.442849999999</v>
      </c>
      <c r="F2058" t="s">
        <v>974</v>
      </c>
      <c r="G2058">
        <v>2</v>
      </c>
    </row>
    <row r="2059" spans="1:7" x14ac:dyDescent="0.25">
      <c r="A2059" s="28" t="s">
        <v>1176</v>
      </c>
      <c r="B2059" s="29">
        <v>55848.442849999999</v>
      </c>
      <c r="F2059" t="s">
        <v>1176</v>
      </c>
      <c r="G2059">
        <v>2</v>
      </c>
    </row>
    <row r="2060" spans="1:7" x14ac:dyDescent="0.25">
      <c r="A2060" s="28" t="s">
        <v>1028</v>
      </c>
      <c r="B2060" s="29">
        <v>55848.442849999999</v>
      </c>
      <c r="F2060" t="s">
        <v>1028</v>
      </c>
      <c r="G2060">
        <v>2</v>
      </c>
    </row>
    <row r="2061" spans="1:7" hidden="1" x14ac:dyDescent="0.25">
      <c r="A2061" s="28" t="s">
        <v>4027</v>
      </c>
      <c r="B2061" s="29">
        <v>54963.53</v>
      </c>
      <c r="F2061" t="s">
        <v>4027</v>
      </c>
      <c r="G2061">
        <v>1</v>
      </c>
    </row>
    <row r="2062" spans="1:7" hidden="1" x14ac:dyDescent="0.25">
      <c r="A2062" s="28" t="s">
        <v>3917</v>
      </c>
      <c r="B2062" s="29">
        <v>54963.53</v>
      </c>
      <c r="F2062" t="s">
        <v>3917</v>
      </c>
      <c r="G2062">
        <v>1</v>
      </c>
    </row>
    <row r="2063" spans="1:7" hidden="1" x14ac:dyDescent="0.25">
      <c r="A2063" s="28" t="s">
        <v>3337</v>
      </c>
      <c r="B2063" s="29">
        <v>54963.53</v>
      </c>
      <c r="F2063" t="s">
        <v>3337</v>
      </c>
      <c r="G2063">
        <v>1</v>
      </c>
    </row>
    <row r="2064" spans="1:7" hidden="1" x14ac:dyDescent="0.25">
      <c r="A2064" s="28" t="s">
        <v>3206</v>
      </c>
      <c r="B2064" s="29">
        <v>54963.53</v>
      </c>
      <c r="F2064" t="s">
        <v>3206</v>
      </c>
      <c r="G2064">
        <v>1</v>
      </c>
    </row>
    <row r="2065" spans="1:7" hidden="1" x14ac:dyDescent="0.25">
      <c r="A2065" s="28" t="s">
        <v>3352</v>
      </c>
      <c r="B2065" s="29">
        <v>54963.53</v>
      </c>
      <c r="F2065" t="s">
        <v>3352</v>
      </c>
      <c r="G2065">
        <v>1</v>
      </c>
    </row>
    <row r="2066" spans="1:7" x14ac:dyDescent="0.25">
      <c r="A2066" s="28" t="s">
        <v>881</v>
      </c>
      <c r="B2066" s="29">
        <v>55848.442849999999</v>
      </c>
      <c r="F2066" t="s">
        <v>881</v>
      </c>
      <c r="G2066">
        <v>2</v>
      </c>
    </row>
    <row r="2067" spans="1:7" x14ac:dyDescent="0.25">
      <c r="A2067" s="28" t="s">
        <v>242</v>
      </c>
      <c r="B2067" s="29">
        <v>55848.442849999999</v>
      </c>
      <c r="F2067" t="s">
        <v>242</v>
      </c>
      <c r="G2067">
        <v>2</v>
      </c>
    </row>
    <row r="2068" spans="1:7" hidden="1" x14ac:dyDescent="0.25">
      <c r="A2068" s="28" t="s">
        <v>3367</v>
      </c>
      <c r="B2068" s="29">
        <v>54963.53</v>
      </c>
      <c r="F2068" t="s">
        <v>3367</v>
      </c>
      <c r="G2068">
        <v>1</v>
      </c>
    </row>
    <row r="2069" spans="1:7" hidden="1" x14ac:dyDescent="0.25">
      <c r="A2069" s="28" t="s">
        <v>3961</v>
      </c>
      <c r="B2069" s="29">
        <v>54963.53</v>
      </c>
      <c r="F2069" t="s">
        <v>3961</v>
      </c>
      <c r="G2069">
        <v>1</v>
      </c>
    </row>
    <row r="2070" spans="1:7" hidden="1" x14ac:dyDescent="0.25">
      <c r="A2070" s="28" t="s">
        <v>3330</v>
      </c>
      <c r="B2070" s="29">
        <v>55829.73</v>
      </c>
      <c r="F2070" t="s">
        <v>3330</v>
      </c>
      <c r="G2070">
        <v>1</v>
      </c>
    </row>
    <row r="2071" spans="1:7" hidden="1" x14ac:dyDescent="0.25">
      <c r="A2071" s="28" t="s">
        <v>3260</v>
      </c>
      <c r="B2071" s="29">
        <v>54963.53</v>
      </c>
      <c r="F2071" t="s">
        <v>3260</v>
      </c>
      <c r="G2071">
        <v>1</v>
      </c>
    </row>
    <row r="2072" spans="1:7" x14ac:dyDescent="0.25">
      <c r="A2072" s="28" t="s">
        <v>539</v>
      </c>
      <c r="B2072" s="29">
        <v>56728.588650000005</v>
      </c>
      <c r="F2072" t="s">
        <v>539</v>
      </c>
      <c r="G2072">
        <v>2</v>
      </c>
    </row>
    <row r="2073" spans="1:7" x14ac:dyDescent="0.25">
      <c r="A2073" s="28" t="s">
        <v>1175</v>
      </c>
      <c r="B2073" s="29">
        <v>54337.847600000001</v>
      </c>
      <c r="F2073" t="s">
        <v>1175</v>
      </c>
      <c r="G2073">
        <v>2</v>
      </c>
    </row>
    <row r="2074" spans="1:7" x14ac:dyDescent="0.25">
      <c r="A2074" s="28" t="s">
        <v>842</v>
      </c>
      <c r="B2074" s="29">
        <v>54337.847600000001</v>
      </c>
      <c r="F2074" t="s">
        <v>842</v>
      </c>
      <c r="G2074">
        <v>2</v>
      </c>
    </row>
    <row r="2075" spans="1:7" hidden="1" x14ac:dyDescent="0.25">
      <c r="A2075" s="28" t="s">
        <v>3958</v>
      </c>
      <c r="B2075" s="29">
        <v>53476.87</v>
      </c>
      <c r="F2075" t="s">
        <v>3958</v>
      </c>
      <c r="G2075">
        <v>1</v>
      </c>
    </row>
    <row r="2076" spans="1:7" hidden="1" x14ac:dyDescent="0.25">
      <c r="A2076" s="28" t="s">
        <v>3404</v>
      </c>
      <c r="B2076" s="29">
        <v>53476.87</v>
      </c>
      <c r="F2076" t="s">
        <v>3404</v>
      </c>
      <c r="G2076">
        <v>1</v>
      </c>
    </row>
    <row r="2077" spans="1:7" hidden="1" x14ac:dyDescent="0.25">
      <c r="A2077" s="28" t="s">
        <v>3607</v>
      </c>
      <c r="B2077" s="29">
        <v>53476.87</v>
      </c>
      <c r="F2077" t="s">
        <v>3607</v>
      </c>
      <c r="G2077">
        <v>1</v>
      </c>
    </row>
    <row r="2078" spans="1:7" hidden="1" x14ac:dyDescent="0.25">
      <c r="A2078" s="28" t="s">
        <v>4226</v>
      </c>
      <c r="B2078" s="29">
        <v>54963.53</v>
      </c>
      <c r="F2078" t="s">
        <v>4226</v>
      </c>
      <c r="G2078">
        <v>1</v>
      </c>
    </row>
    <row r="2079" spans="1:7" x14ac:dyDescent="0.25">
      <c r="A2079" s="28" t="s">
        <v>431</v>
      </c>
      <c r="B2079" s="29">
        <v>55848.442849999999</v>
      </c>
      <c r="F2079" t="s">
        <v>431</v>
      </c>
      <c r="G2079">
        <v>2</v>
      </c>
    </row>
    <row r="2080" spans="1:7" hidden="1" x14ac:dyDescent="0.25">
      <c r="A2080" s="28" t="s">
        <v>3502</v>
      </c>
      <c r="B2080" s="29">
        <v>54963.53</v>
      </c>
      <c r="F2080" t="s">
        <v>3502</v>
      </c>
      <c r="G2080">
        <v>1</v>
      </c>
    </row>
    <row r="2081" spans="1:7" x14ac:dyDescent="0.25">
      <c r="A2081" s="28" t="s">
        <v>178</v>
      </c>
      <c r="B2081" s="29">
        <v>55848.442849999999</v>
      </c>
      <c r="F2081" t="s">
        <v>178</v>
      </c>
      <c r="G2081">
        <v>2</v>
      </c>
    </row>
    <row r="2082" spans="1:7" hidden="1" x14ac:dyDescent="0.25">
      <c r="A2082" s="28" t="s">
        <v>4142</v>
      </c>
      <c r="B2082" s="29">
        <v>54963.53</v>
      </c>
      <c r="F2082" t="s">
        <v>4142</v>
      </c>
      <c r="G2082">
        <v>1</v>
      </c>
    </row>
    <row r="2083" spans="1:7" x14ac:dyDescent="0.25">
      <c r="A2083" s="28" t="s">
        <v>1443</v>
      </c>
      <c r="B2083" s="29">
        <v>55848.442849999999</v>
      </c>
      <c r="F2083" t="s">
        <v>1443</v>
      </c>
      <c r="G2083">
        <v>2</v>
      </c>
    </row>
    <row r="2084" spans="1:7" hidden="1" x14ac:dyDescent="0.25">
      <c r="A2084" s="28" t="s">
        <v>3082</v>
      </c>
      <c r="B2084" s="29">
        <v>54963.53</v>
      </c>
      <c r="F2084" t="s">
        <v>3082</v>
      </c>
      <c r="G2084">
        <v>1</v>
      </c>
    </row>
    <row r="2085" spans="1:7" hidden="1" x14ac:dyDescent="0.25">
      <c r="A2085" s="28" t="s">
        <v>4312</v>
      </c>
      <c r="B2085" s="29">
        <v>54963.53</v>
      </c>
      <c r="F2085" t="s">
        <v>4312</v>
      </c>
      <c r="G2085">
        <v>1</v>
      </c>
    </row>
    <row r="2086" spans="1:7" hidden="1" x14ac:dyDescent="0.25">
      <c r="A2086" s="28" t="s">
        <v>3198</v>
      </c>
      <c r="B2086" s="29">
        <v>54963.53</v>
      </c>
      <c r="F2086" t="s">
        <v>3198</v>
      </c>
      <c r="G2086">
        <v>1</v>
      </c>
    </row>
    <row r="2087" spans="1:7" hidden="1" x14ac:dyDescent="0.25">
      <c r="A2087" s="28" t="s">
        <v>3487</v>
      </c>
      <c r="B2087" s="29">
        <v>53476.87</v>
      </c>
      <c r="F2087" t="s">
        <v>3487</v>
      </c>
      <c r="G2087">
        <v>1</v>
      </c>
    </row>
    <row r="2088" spans="1:7" hidden="1" x14ac:dyDescent="0.25">
      <c r="A2088" s="28" t="s">
        <v>3316</v>
      </c>
      <c r="B2088" s="29">
        <v>53476.87</v>
      </c>
      <c r="F2088" t="s">
        <v>3316</v>
      </c>
      <c r="G2088">
        <v>1</v>
      </c>
    </row>
    <row r="2089" spans="1:7" hidden="1" x14ac:dyDescent="0.25">
      <c r="A2089" s="28" t="s">
        <v>3744</v>
      </c>
      <c r="B2089" s="29">
        <v>53476.87</v>
      </c>
      <c r="F2089" t="s">
        <v>3744</v>
      </c>
      <c r="G2089">
        <v>1</v>
      </c>
    </row>
    <row r="2090" spans="1:7" hidden="1" x14ac:dyDescent="0.25">
      <c r="A2090" s="28" t="s">
        <v>3400</v>
      </c>
      <c r="B2090" s="29">
        <v>54963.53</v>
      </c>
      <c r="F2090" t="s">
        <v>3400</v>
      </c>
      <c r="G2090">
        <v>1</v>
      </c>
    </row>
    <row r="2091" spans="1:7" hidden="1" x14ac:dyDescent="0.25">
      <c r="A2091" s="28" t="s">
        <v>2485</v>
      </c>
      <c r="B2091" s="29">
        <v>53476.87</v>
      </c>
      <c r="F2091" t="s">
        <v>2485</v>
      </c>
      <c r="G2091">
        <v>1</v>
      </c>
    </row>
    <row r="2092" spans="1:7" x14ac:dyDescent="0.25">
      <c r="A2092" s="28" t="s">
        <v>1072</v>
      </c>
      <c r="B2092" s="29">
        <v>54337.847600000001</v>
      </c>
      <c r="F2092" t="s">
        <v>1072</v>
      </c>
      <c r="G2092">
        <v>2</v>
      </c>
    </row>
    <row r="2093" spans="1:7" hidden="1" x14ac:dyDescent="0.25">
      <c r="A2093" s="28" t="s">
        <v>3696</v>
      </c>
      <c r="B2093" s="29">
        <v>53476.87</v>
      </c>
      <c r="F2093" t="s">
        <v>3696</v>
      </c>
      <c r="G2093">
        <v>1</v>
      </c>
    </row>
    <row r="2094" spans="1:7" x14ac:dyDescent="0.25">
      <c r="A2094" s="28" t="s">
        <v>153</v>
      </c>
      <c r="B2094" s="29">
        <v>54337.847600000001</v>
      </c>
      <c r="F2094" t="s">
        <v>153</v>
      </c>
      <c r="G2094">
        <v>2</v>
      </c>
    </row>
    <row r="2095" spans="1:7" hidden="1" x14ac:dyDescent="0.25">
      <c r="A2095" s="28" t="s">
        <v>3662</v>
      </c>
      <c r="B2095" s="29">
        <v>53476.87</v>
      </c>
      <c r="F2095" t="s">
        <v>3662</v>
      </c>
      <c r="G2095">
        <v>1</v>
      </c>
    </row>
    <row r="2096" spans="1:7" hidden="1" x14ac:dyDescent="0.25">
      <c r="A2096" s="28" t="s">
        <v>4324</v>
      </c>
      <c r="B2096" s="29">
        <v>53476.87</v>
      </c>
      <c r="F2096" t="s">
        <v>4324</v>
      </c>
      <c r="G2096">
        <v>1</v>
      </c>
    </row>
    <row r="2097" spans="1:7" x14ac:dyDescent="0.25">
      <c r="A2097" s="28" t="s">
        <v>897</v>
      </c>
      <c r="B2097" s="29">
        <v>54337.847600000001</v>
      </c>
      <c r="F2097" t="s">
        <v>897</v>
      </c>
      <c r="G2097">
        <v>2</v>
      </c>
    </row>
    <row r="2098" spans="1:7" x14ac:dyDescent="0.25">
      <c r="A2098" s="28" t="s">
        <v>894</v>
      </c>
      <c r="B2098" s="29">
        <v>54337.847600000001</v>
      </c>
      <c r="F2098" t="s">
        <v>894</v>
      </c>
      <c r="G2098">
        <v>2</v>
      </c>
    </row>
    <row r="2099" spans="1:7" hidden="1" x14ac:dyDescent="0.25">
      <c r="A2099" s="28" t="s">
        <v>3134</v>
      </c>
      <c r="B2099" s="29">
        <v>53476.87</v>
      </c>
      <c r="F2099" t="s">
        <v>3134</v>
      </c>
      <c r="G2099">
        <v>1</v>
      </c>
    </row>
    <row r="2100" spans="1:7" hidden="1" x14ac:dyDescent="0.25">
      <c r="A2100" s="28" t="s">
        <v>3627</v>
      </c>
      <c r="B2100" s="29">
        <v>53476.87</v>
      </c>
      <c r="F2100" t="s">
        <v>3627</v>
      </c>
      <c r="G2100">
        <v>1</v>
      </c>
    </row>
    <row r="2101" spans="1:7" hidden="1" x14ac:dyDescent="0.25">
      <c r="A2101" s="28" t="s">
        <v>3304</v>
      </c>
      <c r="B2101" s="29">
        <v>53476.87</v>
      </c>
      <c r="F2101" t="s">
        <v>3304</v>
      </c>
      <c r="G2101">
        <v>1</v>
      </c>
    </row>
    <row r="2102" spans="1:7" hidden="1" x14ac:dyDescent="0.25">
      <c r="A2102" s="28" t="s">
        <v>3770</v>
      </c>
      <c r="B2102" s="29">
        <v>53476.87</v>
      </c>
      <c r="F2102" t="s">
        <v>3770</v>
      </c>
      <c r="G2102">
        <v>1</v>
      </c>
    </row>
    <row r="2103" spans="1:7" hidden="1" x14ac:dyDescent="0.25">
      <c r="A2103" s="28" t="s">
        <v>3927</v>
      </c>
      <c r="B2103" s="29">
        <v>53476.87</v>
      </c>
      <c r="F2103" t="s">
        <v>3927</v>
      </c>
      <c r="G2103">
        <v>1</v>
      </c>
    </row>
    <row r="2104" spans="1:7" x14ac:dyDescent="0.25">
      <c r="A2104" s="28" t="s">
        <v>1169</v>
      </c>
      <c r="B2104" s="29">
        <v>54337.847600000001</v>
      </c>
      <c r="F2104" t="s">
        <v>1169</v>
      </c>
      <c r="G2104">
        <v>2</v>
      </c>
    </row>
    <row r="2105" spans="1:7" hidden="1" x14ac:dyDescent="0.25">
      <c r="A2105" s="28" t="s">
        <v>3176</v>
      </c>
      <c r="B2105" s="29">
        <v>53476.87</v>
      </c>
      <c r="F2105" t="s">
        <v>3176</v>
      </c>
      <c r="G2105">
        <v>1</v>
      </c>
    </row>
    <row r="2106" spans="1:7" hidden="1" x14ac:dyDescent="0.25">
      <c r="A2106" s="28" t="s">
        <v>3359</v>
      </c>
      <c r="B2106" s="29">
        <v>53476.87</v>
      </c>
      <c r="F2106" t="s">
        <v>3359</v>
      </c>
      <c r="G2106">
        <v>1</v>
      </c>
    </row>
    <row r="2107" spans="1:7" hidden="1" x14ac:dyDescent="0.25">
      <c r="A2107" s="28" t="s">
        <v>3796</v>
      </c>
      <c r="B2107" s="29">
        <v>53476.87</v>
      </c>
      <c r="F2107" t="s">
        <v>3796</v>
      </c>
      <c r="G2107">
        <v>1</v>
      </c>
    </row>
    <row r="2108" spans="1:7" hidden="1" x14ac:dyDescent="0.25">
      <c r="A2108" s="28" t="s">
        <v>4108</v>
      </c>
      <c r="B2108" s="29">
        <v>53476.87</v>
      </c>
      <c r="F2108" t="s">
        <v>4108</v>
      </c>
      <c r="G2108">
        <v>1</v>
      </c>
    </row>
    <row r="2109" spans="1:7" hidden="1" x14ac:dyDescent="0.25">
      <c r="A2109" s="28" t="s">
        <v>3594</v>
      </c>
      <c r="B2109" s="29">
        <v>53476.87</v>
      </c>
      <c r="F2109" t="s">
        <v>3594</v>
      </c>
      <c r="G2109">
        <v>1</v>
      </c>
    </row>
    <row r="2110" spans="1:7" hidden="1" x14ac:dyDescent="0.25">
      <c r="A2110" s="28" t="s">
        <v>3498</v>
      </c>
      <c r="B2110" s="29">
        <v>53476.87</v>
      </c>
      <c r="F2110" t="s">
        <v>3498</v>
      </c>
      <c r="G2110">
        <v>1</v>
      </c>
    </row>
    <row r="2111" spans="1:7" hidden="1" x14ac:dyDescent="0.25">
      <c r="A2111" s="28" t="s">
        <v>1374</v>
      </c>
      <c r="B2111" s="29">
        <v>55198.825199999999</v>
      </c>
      <c r="F2111" t="s">
        <v>1374</v>
      </c>
      <c r="G2111">
        <v>1</v>
      </c>
    </row>
    <row r="2112" spans="1:7" hidden="1" x14ac:dyDescent="0.25">
      <c r="A2112" s="28" t="s">
        <v>4202</v>
      </c>
      <c r="B2112" s="29">
        <v>54963.53</v>
      </c>
      <c r="F2112" t="s">
        <v>4202</v>
      </c>
      <c r="G2112">
        <v>1</v>
      </c>
    </row>
    <row r="2113" spans="1:7" x14ac:dyDescent="0.25">
      <c r="A2113" s="28" t="s">
        <v>1246</v>
      </c>
      <c r="B2113" s="29">
        <v>54337.847600000001</v>
      </c>
      <c r="F2113" t="s">
        <v>1246</v>
      </c>
      <c r="G2113">
        <v>2</v>
      </c>
    </row>
    <row r="2114" spans="1:7" hidden="1" x14ac:dyDescent="0.25">
      <c r="A2114" s="28" t="s">
        <v>3955</v>
      </c>
      <c r="B2114" s="29">
        <v>53476.87</v>
      </c>
      <c r="F2114" t="s">
        <v>3955</v>
      </c>
      <c r="G2114">
        <v>1</v>
      </c>
    </row>
    <row r="2115" spans="1:7" x14ac:dyDescent="0.25">
      <c r="A2115" s="28" t="s">
        <v>1463</v>
      </c>
      <c r="B2115" s="29">
        <v>54337.847600000001</v>
      </c>
      <c r="F2115" t="s">
        <v>1463</v>
      </c>
      <c r="G2115">
        <v>2</v>
      </c>
    </row>
    <row r="2116" spans="1:7" hidden="1" x14ac:dyDescent="0.25">
      <c r="A2116" s="28" t="s">
        <v>3301</v>
      </c>
      <c r="B2116" s="29">
        <v>53476.87</v>
      </c>
      <c r="F2116" t="s">
        <v>3301</v>
      </c>
      <c r="G2116">
        <v>1</v>
      </c>
    </row>
    <row r="2117" spans="1:7" x14ac:dyDescent="0.25">
      <c r="A2117" s="28" t="s">
        <v>862</v>
      </c>
      <c r="B2117" s="29">
        <v>54337.847600000001</v>
      </c>
      <c r="F2117" t="s">
        <v>862</v>
      </c>
      <c r="G2117">
        <v>2</v>
      </c>
    </row>
    <row r="2118" spans="1:7" x14ac:dyDescent="0.25">
      <c r="A2118" s="28" t="s">
        <v>1330</v>
      </c>
      <c r="B2118" s="29">
        <v>54337.847600000001</v>
      </c>
      <c r="F2118" t="s">
        <v>1330</v>
      </c>
      <c r="G2118">
        <v>2</v>
      </c>
    </row>
    <row r="2119" spans="1:7" hidden="1" x14ac:dyDescent="0.25">
      <c r="A2119" s="28" t="s">
        <v>4197</v>
      </c>
      <c r="B2119" s="29">
        <v>53476.87</v>
      </c>
      <c r="F2119" t="s">
        <v>4197</v>
      </c>
      <c r="G2119">
        <v>1</v>
      </c>
    </row>
    <row r="2120" spans="1:7" hidden="1" x14ac:dyDescent="0.25">
      <c r="A2120" s="28" t="s">
        <v>3936</v>
      </c>
      <c r="B2120" s="29">
        <v>53476.87</v>
      </c>
      <c r="F2120" t="s">
        <v>3936</v>
      </c>
      <c r="G2120">
        <v>1</v>
      </c>
    </row>
    <row r="2121" spans="1:7" x14ac:dyDescent="0.25">
      <c r="A2121" s="28" t="s">
        <v>1348</v>
      </c>
      <c r="B2121" s="29">
        <v>54337.847600000001</v>
      </c>
      <c r="F2121" t="s">
        <v>1348</v>
      </c>
      <c r="G2121">
        <v>2</v>
      </c>
    </row>
    <row r="2122" spans="1:7" x14ac:dyDescent="0.25">
      <c r="A2122" s="28" t="s">
        <v>480</v>
      </c>
      <c r="B2122" s="29">
        <v>54337.847600000001</v>
      </c>
      <c r="F2122" t="s">
        <v>480</v>
      </c>
      <c r="G2122">
        <v>2</v>
      </c>
    </row>
    <row r="2123" spans="1:7" hidden="1" x14ac:dyDescent="0.25">
      <c r="A2123" s="28" t="s">
        <v>3995</v>
      </c>
      <c r="B2123" s="29">
        <v>55829.73</v>
      </c>
      <c r="F2123" t="s">
        <v>3995</v>
      </c>
      <c r="G2123">
        <v>1</v>
      </c>
    </row>
    <row r="2124" spans="1:7" hidden="1" x14ac:dyDescent="0.25">
      <c r="A2124" s="28" t="s">
        <v>4452</v>
      </c>
      <c r="B2124" s="29">
        <v>55829.73</v>
      </c>
      <c r="F2124" t="s">
        <v>4452</v>
      </c>
      <c r="G2124">
        <v>1</v>
      </c>
    </row>
    <row r="2125" spans="1:7" hidden="1" x14ac:dyDescent="0.25">
      <c r="A2125" s="28" t="s">
        <v>4532</v>
      </c>
      <c r="B2125" s="29">
        <v>53476.87</v>
      </c>
      <c r="F2125" t="s">
        <v>4532</v>
      </c>
      <c r="G2125">
        <v>1</v>
      </c>
    </row>
    <row r="2126" spans="1:7" hidden="1" x14ac:dyDescent="0.25">
      <c r="A2126" s="28" t="s">
        <v>4663</v>
      </c>
      <c r="B2126" s="29">
        <v>55829.73</v>
      </c>
      <c r="F2126" t="s">
        <v>4663</v>
      </c>
      <c r="G2126">
        <v>1</v>
      </c>
    </row>
    <row r="2127" spans="1:7" hidden="1" x14ac:dyDescent="0.25">
      <c r="A2127" s="28" t="s">
        <v>4817</v>
      </c>
      <c r="B2127" s="29">
        <v>53476.87</v>
      </c>
      <c r="F2127" t="s">
        <v>4817</v>
      </c>
      <c r="G2127">
        <v>1</v>
      </c>
    </row>
    <row r="2128" spans="1:7" hidden="1" x14ac:dyDescent="0.25">
      <c r="A2128" s="28" t="s">
        <v>3051</v>
      </c>
      <c r="B2128" s="29">
        <v>53476.87</v>
      </c>
      <c r="F2128" t="s">
        <v>3051</v>
      </c>
      <c r="G2128">
        <v>1</v>
      </c>
    </row>
    <row r="2129" spans="1:7" hidden="1" x14ac:dyDescent="0.25">
      <c r="A2129" s="28" t="s">
        <v>2804</v>
      </c>
      <c r="B2129" s="29">
        <v>53476.87</v>
      </c>
      <c r="F2129" t="s">
        <v>2804</v>
      </c>
      <c r="G2129">
        <v>1</v>
      </c>
    </row>
    <row r="2130" spans="1:7" hidden="1" x14ac:dyDescent="0.25">
      <c r="A2130" s="28" t="s">
        <v>2517</v>
      </c>
      <c r="B2130" s="29">
        <v>53476.87</v>
      </c>
      <c r="F2130" t="s">
        <v>2517</v>
      </c>
      <c r="G2130">
        <v>1</v>
      </c>
    </row>
    <row r="2131" spans="1:7" hidden="1" x14ac:dyDescent="0.25">
      <c r="A2131" s="28" t="s">
        <v>4757</v>
      </c>
      <c r="B2131" s="29">
        <v>53476.87</v>
      </c>
      <c r="F2131" t="s">
        <v>4757</v>
      </c>
      <c r="G2131">
        <v>1</v>
      </c>
    </row>
    <row r="2132" spans="1:7" hidden="1" x14ac:dyDescent="0.25">
      <c r="A2132" s="28" t="s">
        <v>4836</v>
      </c>
      <c r="B2132" s="29">
        <v>53476.87</v>
      </c>
      <c r="F2132" t="s">
        <v>4836</v>
      </c>
      <c r="G2132">
        <v>1</v>
      </c>
    </row>
    <row r="2133" spans="1:7" hidden="1" x14ac:dyDescent="0.25">
      <c r="A2133" s="28" t="s">
        <v>4687</v>
      </c>
      <c r="B2133" s="29">
        <v>53476.87</v>
      </c>
      <c r="F2133" t="s">
        <v>4687</v>
      </c>
      <c r="G2133">
        <v>1</v>
      </c>
    </row>
    <row r="2134" spans="1:7" hidden="1" x14ac:dyDescent="0.25">
      <c r="A2134" s="28" t="s">
        <v>4172</v>
      </c>
      <c r="B2134" s="29">
        <v>53476.87</v>
      </c>
      <c r="F2134" t="s">
        <v>4172</v>
      </c>
      <c r="G2134">
        <v>1</v>
      </c>
    </row>
    <row r="2135" spans="1:7" hidden="1" x14ac:dyDescent="0.25">
      <c r="A2135" s="28" t="s">
        <v>2855</v>
      </c>
      <c r="B2135" s="29">
        <v>53476.87</v>
      </c>
      <c r="F2135" t="s">
        <v>2855</v>
      </c>
      <c r="G2135">
        <v>1</v>
      </c>
    </row>
    <row r="2136" spans="1:7" hidden="1" x14ac:dyDescent="0.25">
      <c r="A2136" s="28" t="s">
        <v>2909</v>
      </c>
      <c r="B2136" s="29">
        <v>53476.87</v>
      </c>
      <c r="F2136" t="s">
        <v>2909</v>
      </c>
      <c r="G2136">
        <v>1</v>
      </c>
    </row>
    <row r="2137" spans="1:7" hidden="1" x14ac:dyDescent="0.25">
      <c r="A2137" s="28" t="s">
        <v>3549</v>
      </c>
      <c r="B2137" s="29">
        <v>41042.959999999999</v>
      </c>
      <c r="F2137" t="s">
        <v>3549</v>
      </c>
      <c r="G2137">
        <v>1</v>
      </c>
    </row>
    <row r="2138" spans="1:7" hidden="1" x14ac:dyDescent="0.25">
      <c r="A2138" s="28" t="s">
        <v>2307</v>
      </c>
      <c r="B2138" s="29">
        <v>53476.87</v>
      </c>
      <c r="F2138" t="s">
        <v>2307</v>
      </c>
      <c r="G2138">
        <v>1</v>
      </c>
    </row>
    <row r="2139" spans="1:7" hidden="1" x14ac:dyDescent="0.25">
      <c r="A2139" s="28" t="s">
        <v>4719</v>
      </c>
      <c r="B2139" s="29">
        <v>41042.959999999999</v>
      </c>
      <c r="F2139" t="s">
        <v>4719</v>
      </c>
      <c r="G2139">
        <v>1</v>
      </c>
    </row>
    <row r="2140" spans="1:7" hidden="1" x14ac:dyDescent="0.25">
      <c r="A2140" s="28" t="s">
        <v>3507</v>
      </c>
      <c r="B2140" s="29">
        <v>41042.959999999999</v>
      </c>
      <c r="F2140" t="s">
        <v>3507</v>
      </c>
      <c r="G2140">
        <v>1</v>
      </c>
    </row>
    <row r="2141" spans="1:7" hidden="1" x14ac:dyDescent="0.25">
      <c r="A2141" s="28" t="s">
        <v>4435</v>
      </c>
      <c r="B2141" s="29">
        <v>53476.87</v>
      </c>
      <c r="F2141" t="s">
        <v>4435</v>
      </c>
      <c r="G2141">
        <v>1</v>
      </c>
    </row>
    <row r="2142" spans="1:7" hidden="1" x14ac:dyDescent="0.25">
      <c r="A2142" s="28" t="s">
        <v>2873</v>
      </c>
      <c r="B2142" s="29">
        <v>53476.87</v>
      </c>
      <c r="F2142" t="s">
        <v>2873</v>
      </c>
      <c r="G2142">
        <v>1</v>
      </c>
    </row>
    <row r="2143" spans="1:7" hidden="1" x14ac:dyDescent="0.25">
      <c r="A2143" s="28" t="s">
        <v>4177</v>
      </c>
      <c r="B2143" s="29">
        <v>53476.87</v>
      </c>
      <c r="F2143" t="s">
        <v>4177</v>
      </c>
      <c r="G2143">
        <v>1</v>
      </c>
    </row>
    <row r="2144" spans="1:7" hidden="1" x14ac:dyDescent="0.25">
      <c r="A2144" s="28" t="s">
        <v>2580</v>
      </c>
      <c r="B2144" s="29">
        <v>41042.959999999999</v>
      </c>
      <c r="F2144" t="s">
        <v>2580</v>
      </c>
      <c r="G2144">
        <v>1</v>
      </c>
    </row>
    <row r="2145" spans="1:7" hidden="1" x14ac:dyDescent="0.25">
      <c r="A2145" s="28" t="s">
        <v>5071</v>
      </c>
      <c r="B2145" s="29">
        <v>32976.89</v>
      </c>
      <c r="F2145" t="s">
        <v>5071</v>
      </c>
      <c r="G2145">
        <v>1</v>
      </c>
    </row>
    <row r="2146" spans="1:7" hidden="1" x14ac:dyDescent="0.25">
      <c r="A2146" s="28" t="s">
        <v>3660</v>
      </c>
      <c r="B2146" s="29">
        <v>55829.73</v>
      </c>
      <c r="F2146" t="s">
        <v>3660</v>
      </c>
      <c r="G2146">
        <v>1</v>
      </c>
    </row>
    <row r="2147" spans="1:7" hidden="1" x14ac:dyDescent="0.25">
      <c r="A2147" s="28" t="s">
        <v>4483</v>
      </c>
      <c r="B2147" s="29">
        <v>53476.87</v>
      </c>
      <c r="F2147" t="s">
        <v>4483</v>
      </c>
      <c r="G2147">
        <v>1</v>
      </c>
    </row>
    <row r="2148" spans="1:7" hidden="1" x14ac:dyDescent="0.25">
      <c r="A2148" s="28" t="s">
        <v>2544</v>
      </c>
      <c r="B2148" s="29">
        <v>41042.959999999999</v>
      </c>
      <c r="F2148" t="s">
        <v>2544</v>
      </c>
      <c r="G2148">
        <v>1</v>
      </c>
    </row>
    <row r="2149" spans="1:7" hidden="1" x14ac:dyDescent="0.25">
      <c r="A2149" s="28" t="s">
        <v>3945</v>
      </c>
      <c r="B2149" s="29">
        <v>41042.959999999999</v>
      </c>
      <c r="F2149" t="s">
        <v>3945</v>
      </c>
      <c r="G2149">
        <v>1</v>
      </c>
    </row>
    <row r="2150" spans="1:7" hidden="1" x14ac:dyDescent="0.25">
      <c r="A2150" s="28" t="s">
        <v>5074</v>
      </c>
      <c r="B2150" s="29">
        <v>32976.89</v>
      </c>
      <c r="F2150" t="s">
        <v>5074</v>
      </c>
      <c r="G2150">
        <v>1</v>
      </c>
    </row>
    <row r="2151" spans="1:7" hidden="1" x14ac:dyDescent="0.25">
      <c r="A2151" s="28" t="s">
        <v>4287</v>
      </c>
      <c r="B2151" s="29">
        <v>41042.959999999999</v>
      </c>
      <c r="F2151" t="s">
        <v>4287</v>
      </c>
      <c r="G2151">
        <v>1</v>
      </c>
    </row>
    <row r="2152" spans="1:7" hidden="1" x14ac:dyDescent="0.25">
      <c r="A2152" s="28" t="s">
        <v>2833</v>
      </c>
      <c r="B2152" s="29">
        <v>41042.959999999999</v>
      </c>
      <c r="F2152" t="s">
        <v>2833</v>
      </c>
      <c r="G2152">
        <v>1</v>
      </c>
    </row>
    <row r="2153" spans="1:7" hidden="1" x14ac:dyDescent="0.25">
      <c r="A2153" s="28" t="s">
        <v>3379</v>
      </c>
      <c r="B2153" s="29">
        <v>41042.959999999999</v>
      </c>
      <c r="F2153" t="s">
        <v>3379</v>
      </c>
      <c r="G2153">
        <v>1</v>
      </c>
    </row>
    <row r="2154" spans="1:7" hidden="1" x14ac:dyDescent="0.25">
      <c r="A2154" s="28" t="s">
        <v>2832</v>
      </c>
      <c r="B2154" s="29">
        <v>53476.87</v>
      </c>
      <c r="F2154" t="s">
        <v>2832</v>
      </c>
      <c r="G2154">
        <v>1</v>
      </c>
    </row>
    <row r="2155" spans="1:7" hidden="1" x14ac:dyDescent="0.25">
      <c r="A2155" s="28" t="s">
        <v>3016</v>
      </c>
      <c r="B2155" s="29">
        <v>53476.87</v>
      </c>
      <c r="F2155" t="s">
        <v>3016</v>
      </c>
      <c r="G2155">
        <v>1</v>
      </c>
    </row>
    <row r="2156" spans="1:7" hidden="1" x14ac:dyDescent="0.25">
      <c r="A2156" s="28" t="s">
        <v>4491</v>
      </c>
      <c r="B2156" s="29">
        <v>53476.87</v>
      </c>
      <c r="F2156" t="s">
        <v>4491</v>
      </c>
      <c r="G2156">
        <v>1</v>
      </c>
    </row>
    <row r="2157" spans="1:7" hidden="1" x14ac:dyDescent="0.25">
      <c r="A2157" s="28" t="s">
        <v>4461</v>
      </c>
      <c r="B2157" s="29">
        <v>53476.87</v>
      </c>
      <c r="F2157" t="s">
        <v>4461</v>
      </c>
      <c r="G2157">
        <v>1</v>
      </c>
    </row>
    <row r="2158" spans="1:7" hidden="1" x14ac:dyDescent="0.25">
      <c r="A2158" s="28" t="s">
        <v>4055</v>
      </c>
      <c r="B2158" s="29">
        <v>41042.959999999999</v>
      </c>
      <c r="F2158" t="s">
        <v>4055</v>
      </c>
      <c r="G2158">
        <v>1</v>
      </c>
    </row>
    <row r="2159" spans="1:7" hidden="1" x14ac:dyDescent="0.25">
      <c r="A2159" s="28" t="s">
        <v>3599</v>
      </c>
      <c r="B2159" s="29">
        <v>41042.959999999999</v>
      </c>
      <c r="F2159" t="s">
        <v>3599</v>
      </c>
      <c r="G2159">
        <v>1</v>
      </c>
    </row>
    <row r="2160" spans="1:7" hidden="1" x14ac:dyDescent="0.25">
      <c r="A2160" s="28" t="s">
        <v>3470</v>
      </c>
      <c r="B2160" s="29">
        <v>41042.959999999999</v>
      </c>
      <c r="F2160" t="s">
        <v>3470</v>
      </c>
      <c r="G2160">
        <v>1</v>
      </c>
    </row>
    <row r="2161" spans="1:7" hidden="1" x14ac:dyDescent="0.25">
      <c r="A2161" s="28" t="s">
        <v>4508</v>
      </c>
      <c r="B2161" s="29">
        <v>53476.87</v>
      </c>
      <c r="F2161" t="s">
        <v>4508</v>
      </c>
      <c r="G2161">
        <v>1</v>
      </c>
    </row>
    <row r="2162" spans="1:7" hidden="1" x14ac:dyDescent="0.25">
      <c r="A2162" s="28" t="s">
        <v>4146</v>
      </c>
      <c r="B2162" s="29">
        <v>41042.959999999999</v>
      </c>
      <c r="F2162" t="s">
        <v>4146</v>
      </c>
      <c r="G2162">
        <v>1</v>
      </c>
    </row>
    <row r="2163" spans="1:7" hidden="1" x14ac:dyDescent="0.25">
      <c r="A2163" s="28" t="s">
        <v>4931</v>
      </c>
      <c r="B2163" s="29">
        <v>41042.959999999999</v>
      </c>
      <c r="F2163" t="s">
        <v>4931</v>
      </c>
      <c r="G2163">
        <v>1</v>
      </c>
    </row>
    <row r="2164" spans="1:7" hidden="1" x14ac:dyDescent="0.25">
      <c r="A2164" s="28" t="s">
        <v>3177</v>
      </c>
      <c r="B2164" s="29">
        <v>32976.89</v>
      </c>
      <c r="F2164" t="s">
        <v>3177</v>
      </c>
      <c r="G2164">
        <v>1</v>
      </c>
    </row>
    <row r="2165" spans="1:7" hidden="1" x14ac:dyDescent="0.25">
      <c r="A2165" s="28" t="s">
        <v>4978</v>
      </c>
      <c r="B2165" s="29">
        <v>41042.959999999999</v>
      </c>
      <c r="F2165" t="s">
        <v>4978</v>
      </c>
      <c r="G2165">
        <v>1</v>
      </c>
    </row>
    <row r="2166" spans="1:7" hidden="1" x14ac:dyDescent="0.25">
      <c r="A2166" s="28" t="s">
        <v>2545</v>
      </c>
      <c r="B2166" s="29">
        <v>41042.959999999999</v>
      </c>
      <c r="F2166" t="s">
        <v>2545</v>
      </c>
      <c r="G2166">
        <v>1</v>
      </c>
    </row>
    <row r="2167" spans="1:7" hidden="1" x14ac:dyDescent="0.25">
      <c r="A2167" s="28" t="s">
        <v>5058</v>
      </c>
      <c r="B2167" s="29">
        <v>41042.959999999999</v>
      </c>
      <c r="F2167" t="s">
        <v>5058</v>
      </c>
      <c r="G2167">
        <v>1</v>
      </c>
    </row>
    <row r="2168" spans="1:7" hidden="1" x14ac:dyDescent="0.25">
      <c r="A2168" s="28" t="s">
        <v>2090</v>
      </c>
      <c r="B2168" s="29">
        <v>41042.959999999999</v>
      </c>
      <c r="F2168" t="s">
        <v>2090</v>
      </c>
      <c r="G2168">
        <v>1</v>
      </c>
    </row>
    <row r="2169" spans="1:7" hidden="1" x14ac:dyDescent="0.25">
      <c r="A2169" s="28" t="s">
        <v>2775</v>
      </c>
      <c r="B2169" s="29">
        <v>41042.959999999999</v>
      </c>
      <c r="F2169" t="s">
        <v>2775</v>
      </c>
      <c r="G2169">
        <v>1</v>
      </c>
    </row>
    <row r="2170" spans="1:7" hidden="1" x14ac:dyDescent="0.25">
      <c r="A2170" s="28" t="s">
        <v>2372</v>
      </c>
      <c r="B2170" s="29">
        <v>41042.959999999999</v>
      </c>
      <c r="F2170" t="s">
        <v>2372</v>
      </c>
      <c r="G2170">
        <v>1</v>
      </c>
    </row>
    <row r="2171" spans="1:7" hidden="1" x14ac:dyDescent="0.25">
      <c r="A2171" s="28" t="s">
        <v>3286</v>
      </c>
      <c r="B2171" s="29">
        <v>53476.87</v>
      </c>
      <c r="F2171" t="s">
        <v>3286</v>
      </c>
      <c r="G2171">
        <v>1</v>
      </c>
    </row>
    <row r="2172" spans="1:7" hidden="1" x14ac:dyDescent="0.25">
      <c r="A2172" s="28" t="s">
        <v>4506</v>
      </c>
      <c r="B2172" s="29">
        <v>32976.89</v>
      </c>
      <c r="F2172" t="s">
        <v>4506</v>
      </c>
      <c r="G2172">
        <v>1</v>
      </c>
    </row>
    <row r="2173" spans="1:7" hidden="1" x14ac:dyDescent="0.25">
      <c r="A2173" s="28" t="s">
        <v>4565</v>
      </c>
      <c r="B2173" s="29">
        <v>32976.89</v>
      </c>
      <c r="F2173" t="s">
        <v>4565</v>
      </c>
      <c r="G2173">
        <v>1</v>
      </c>
    </row>
    <row r="2174" spans="1:7" hidden="1" x14ac:dyDescent="0.25">
      <c r="A2174" s="28" t="s">
        <v>4807</v>
      </c>
      <c r="B2174" s="29">
        <v>53476.87</v>
      </c>
      <c r="F2174" t="s">
        <v>4807</v>
      </c>
      <c r="G2174">
        <v>1</v>
      </c>
    </row>
    <row r="2175" spans="1:7" hidden="1" x14ac:dyDescent="0.25">
      <c r="A2175" s="28" t="s">
        <v>2583</v>
      </c>
      <c r="B2175" s="29">
        <v>41042.959999999999</v>
      </c>
      <c r="F2175" t="s">
        <v>2583</v>
      </c>
      <c r="G2175">
        <v>1</v>
      </c>
    </row>
    <row r="2176" spans="1:7" hidden="1" x14ac:dyDescent="0.25">
      <c r="A2176" s="28" t="s">
        <v>3166</v>
      </c>
      <c r="B2176" s="29">
        <v>41042.959999999999</v>
      </c>
      <c r="F2176" t="s">
        <v>3166</v>
      </c>
      <c r="G2176">
        <v>1</v>
      </c>
    </row>
    <row r="2177" spans="1:7" hidden="1" x14ac:dyDescent="0.25">
      <c r="A2177" s="28" t="s">
        <v>4903</v>
      </c>
      <c r="B2177" s="29">
        <v>41042.959999999999</v>
      </c>
      <c r="F2177" t="s">
        <v>4903</v>
      </c>
      <c r="G2177">
        <v>1</v>
      </c>
    </row>
    <row r="2178" spans="1:7" hidden="1" x14ac:dyDescent="0.25">
      <c r="A2178" s="28" t="s">
        <v>3100</v>
      </c>
      <c r="B2178" s="29">
        <v>32976.89</v>
      </c>
      <c r="F2178" t="s">
        <v>3100</v>
      </c>
      <c r="G2178">
        <v>1</v>
      </c>
    </row>
    <row r="2179" spans="1:7" hidden="1" x14ac:dyDescent="0.25">
      <c r="A2179" s="28" t="s">
        <v>2944</v>
      </c>
      <c r="B2179" s="29">
        <v>32976.89</v>
      </c>
      <c r="F2179" t="s">
        <v>2944</v>
      </c>
      <c r="G2179">
        <v>1</v>
      </c>
    </row>
    <row r="2180" spans="1:7" hidden="1" x14ac:dyDescent="0.25">
      <c r="A2180" s="28" t="s">
        <v>2699</v>
      </c>
      <c r="B2180" s="29">
        <v>32976.89</v>
      </c>
      <c r="F2180" t="s">
        <v>2699</v>
      </c>
      <c r="G2180">
        <v>1</v>
      </c>
    </row>
    <row r="2181" spans="1:7" hidden="1" x14ac:dyDescent="0.25">
      <c r="A2181" s="28" t="s">
        <v>2431</v>
      </c>
      <c r="B2181" s="29">
        <v>53476.87</v>
      </c>
      <c r="F2181" t="s">
        <v>2431</v>
      </c>
      <c r="G2181">
        <v>1</v>
      </c>
    </row>
    <row r="2182" spans="1:7" hidden="1" x14ac:dyDescent="0.25">
      <c r="A2182" s="28" t="s">
        <v>4868</v>
      </c>
      <c r="B2182" s="29">
        <v>53476.87</v>
      </c>
      <c r="F2182" t="s">
        <v>4868</v>
      </c>
      <c r="G2182">
        <v>1</v>
      </c>
    </row>
    <row r="2183" spans="1:7" hidden="1" x14ac:dyDescent="0.25">
      <c r="A2183" s="28" t="s">
        <v>3929</v>
      </c>
      <c r="B2183" s="29">
        <v>54373.78</v>
      </c>
      <c r="F2183" t="s">
        <v>3929</v>
      </c>
      <c r="G2183">
        <v>1</v>
      </c>
    </row>
    <row r="2184" spans="1:7" x14ac:dyDescent="0.25">
      <c r="A2184" s="28" t="s">
        <v>802</v>
      </c>
      <c r="B2184" s="29">
        <v>41703.751649999998</v>
      </c>
      <c r="F2184" t="s">
        <v>802</v>
      </c>
      <c r="G2184">
        <v>2</v>
      </c>
    </row>
    <row r="2185" spans="1:7" hidden="1" x14ac:dyDescent="0.25">
      <c r="A2185" s="28" t="s">
        <v>5027</v>
      </c>
      <c r="B2185" s="29">
        <v>32976.89</v>
      </c>
      <c r="F2185" t="s">
        <v>5027</v>
      </c>
      <c r="G2185">
        <v>1</v>
      </c>
    </row>
    <row r="2186" spans="1:7" x14ac:dyDescent="0.25">
      <c r="A2186" s="28" t="s">
        <v>1437</v>
      </c>
      <c r="B2186" s="29">
        <v>41703.751649999998</v>
      </c>
      <c r="F2186" t="s">
        <v>1437</v>
      </c>
      <c r="G2186">
        <v>2</v>
      </c>
    </row>
    <row r="2187" spans="1:7" hidden="1" x14ac:dyDescent="0.25">
      <c r="A2187" s="28" t="s">
        <v>3817</v>
      </c>
      <c r="B2187" s="29">
        <v>41042.959999999999</v>
      </c>
      <c r="F2187" t="s">
        <v>3817</v>
      </c>
      <c r="G2187">
        <v>1</v>
      </c>
    </row>
    <row r="2188" spans="1:7" x14ac:dyDescent="0.25">
      <c r="A2188" s="28" t="s">
        <v>1203</v>
      </c>
      <c r="B2188" s="29">
        <v>41703.751649999998</v>
      </c>
      <c r="F2188" t="s">
        <v>1203</v>
      </c>
      <c r="G2188">
        <v>2</v>
      </c>
    </row>
    <row r="2189" spans="1:7" hidden="1" x14ac:dyDescent="0.25">
      <c r="A2189" s="28" t="s">
        <v>3018</v>
      </c>
      <c r="B2189" s="29">
        <v>41042.959999999999</v>
      </c>
      <c r="F2189" t="s">
        <v>3018</v>
      </c>
      <c r="G2189">
        <v>1</v>
      </c>
    </row>
    <row r="2190" spans="1:7" hidden="1" x14ac:dyDescent="0.25">
      <c r="A2190" s="28" t="s">
        <v>4629</v>
      </c>
      <c r="B2190" s="29">
        <v>41042.959999999999</v>
      </c>
      <c r="F2190" t="s">
        <v>4629</v>
      </c>
      <c r="G2190">
        <v>1</v>
      </c>
    </row>
    <row r="2191" spans="1:7" hidden="1" x14ac:dyDescent="0.25">
      <c r="A2191" s="28" t="s">
        <v>4399</v>
      </c>
      <c r="B2191" s="29">
        <v>53476.87</v>
      </c>
      <c r="F2191" t="s">
        <v>4399</v>
      </c>
      <c r="G2191">
        <v>1</v>
      </c>
    </row>
    <row r="2192" spans="1:7" x14ac:dyDescent="0.25">
      <c r="A2192" s="28" t="s">
        <v>1418</v>
      </c>
      <c r="B2192" s="29">
        <v>56728.588650000005</v>
      </c>
      <c r="F2192" t="s">
        <v>1418</v>
      </c>
      <c r="G2192">
        <v>2</v>
      </c>
    </row>
    <row r="2193" spans="1:7" hidden="1" x14ac:dyDescent="0.25">
      <c r="A2193" s="28" t="s">
        <v>2718</v>
      </c>
      <c r="B2193" s="29">
        <v>55829.73</v>
      </c>
      <c r="F2193" t="s">
        <v>2718</v>
      </c>
      <c r="G2193">
        <v>1</v>
      </c>
    </row>
    <row r="2194" spans="1:7" hidden="1" x14ac:dyDescent="0.25">
      <c r="A2194" s="28" t="s">
        <v>3736</v>
      </c>
      <c r="B2194" s="29">
        <v>41042.959999999999</v>
      </c>
      <c r="F2194" t="s">
        <v>3736</v>
      </c>
      <c r="G2194">
        <v>1</v>
      </c>
    </row>
    <row r="2195" spans="1:7" hidden="1" x14ac:dyDescent="0.25">
      <c r="A2195" s="28" t="s">
        <v>3731</v>
      </c>
      <c r="B2195" s="29">
        <v>41042.959999999999</v>
      </c>
      <c r="F2195" t="s">
        <v>3731</v>
      </c>
      <c r="G2195">
        <v>1</v>
      </c>
    </row>
    <row r="2196" spans="1:7" x14ac:dyDescent="0.25">
      <c r="A2196" s="28" t="s">
        <v>1514</v>
      </c>
      <c r="B2196" s="29">
        <v>41703.751649999998</v>
      </c>
      <c r="F2196" t="s">
        <v>1514</v>
      </c>
      <c r="G2196">
        <v>2</v>
      </c>
    </row>
    <row r="2197" spans="1:7" hidden="1" x14ac:dyDescent="0.25">
      <c r="A2197" s="28" t="s">
        <v>3426</v>
      </c>
      <c r="B2197" s="29">
        <v>41042.959999999999</v>
      </c>
      <c r="F2197" t="s">
        <v>3426</v>
      </c>
      <c r="G2197">
        <v>1</v>
      </c>
    </row>
    <row r="2198" spans="1:7" hidden="1" x14ac:dyDescent="0.25">
      <c r="A2198" s="28" t="s">
        <v>3838</v>
      </c>
      <c r="B2198" s="29">
        <v>41042.959999999999</v>
      </c>
      <c r="F2198" t="s">
        <v>3838</v>
      </c>
      <c r="G2198">
        <v>1</v>
      </c>
    </row>
    <row r="2199" spans="1:7" hidden="1" x14ac:dyDescent="0.25">
      <c r="A2199" s="28" t="s">
        <v>4396</v>
      </c>
      <c r="B2199" s="29">
        <v>41042.959999999999</v>
      </c>
      <c r="F2199" t="s">
        <v>4396</v>
      </c>
      <c r="G2199">
        <v>1</v>
      </c>
    </row>
    <row r="2200" spans="1:7" hidden="1" x14ac:dyDescent="0.25">
      <c r="A2200" s="28" t="s">
        <v>4196</v>
      </c>
      <c r="B2200" s="29">
        <v>41042.959999999999</v>
      </c>
      <c r="F2200" t="s">
        <v>4196</v>
      </c>
      <c r="G2200">
        <v>1</v>
      </c>
    </row>
    <row r="2201" spans="1:7" hidden="1" x14ac:dyDescent="0.25">
      <c r="A2201" s="28" t="s">
        <v>4442</v>
      </c>
      <c r="B2201" s="29">
        <v>41042.959999999999</v>
      </c>
      <c r="F2201" t="s">
        <v>4442</v>
      </c>
      <c r="G2201">
        <v>1</v>
      </c>
    </row>
    <row r="2202" spans="1:7" hidden="1" x14ac:dyDescent="0.25">
      <c r="A2202" s="28" t="s">
        <v>4533</v>
      </c>
      <c r="B2202" s="29">
        <v>41042.959999999999</v>
      </c>
      <c r="F2202" t="s">
        <v>4533</v>
      </c>
      <c r="G2202">
        <v>1</v>
      </c>
    </row>
    <row r="2203" spans="1:7" hidden="1" x14ac:dyDescent="0.25">
      <c r="A2203" s="28" t="s">
        <v>2559</v>
      </c>
      <c r="B2203" s="29">
        <v>41042.959999999999</v>
      </c>
      <c r="F2203" t="s">
        <v>2559</v>
      </c>
      <c r="G2203">
        <v>1</v>
      </c>
    </row>
    <row r="2204" spans="1:7" hidden="1" x14ac:dyDescent="0.25">
      <c r="A2204" s="28" t="s">
        <v>3327</v>
      </c>
      <c r="B2204" s="29">
        <v>54373.78</v>
      </c>
      <c r="F2204" t="s">
        <v>3327</v>
      </c>
      <c r="G2204">
        <v>1</v>
      </c>
    </row>
    <row r="2205" spans="1:7" hidden="1" x14ac:dyDescent="0.25">
      <c r="A2205" s="28" t="s">
        <v>4237</v>
      </c>
      <c r="B2205" s="29">
        <v>41042.959999999999</v>
      </c>
      <c r="F2205" t="s">
        <v>4237</v>
      </c>
      <c r="G2205">
        <v>1</v>
      </c>
    </row>
    <row r="2206" spans="1:7" hidden="1" x14ac:dyDescent="0.25">
      <c r="A2206" s="28" t="s">
        <v>4681</v>
      </c>
      <c r="B2206" s="29">
        <v>41042.959999999999</v>
      </c>
      <c r="F2206" t="s">
        <v>4681</v>
      </c>
      <c r="G2206">
        <v>1</v>
      </c>
    </row>
    <row r="2207" spans="1:7" hidden="1" x14ac:dyDescent="0.25">
      <c r="A2207" s="28" t="s">
        <v>3964</v>
      </c>
      <c r="B2207" s="29">
        <v>41042.959999999999</v>
      </c>
      <c r="F2207" t="s">
        <v>3964</v>
      </c>
      <c r="G2207">
        <v>1</v>
      </c>
    </row>
    <row r="2208" spans="1:7" hidden="1" x14ac:dyDescent="0.25">
      <c r="A2208" s="28" t="s">
        <v>3519</v>
      </c>
      <c r="B2208" s="29">
        <v>41042.959999999999</v>
      </c>
      <c r="F2208" t="s">
        <v>3519</v>
      </c>
      <c r="G2208">
        <v>1</v>
      </c>
    </row>
    <row r="2209" spans="1:7" hidden="1" x14ac:dyDescent="0.25">
      <c r="A2209" s="28" t="s">
        <v>3245</v>
      </c>
      <c r="B2209" s="29">
        <v>41042.959999999999</v>
      </c>
      <c r="F2209" t="s">
        <v>3245</v>
      </c>
      <c r="G2209">
        <v>1</v>
      </c>
    </row>
    <row r="2210" spans="1:7" hidden="1" x14ac:dyDescent="0.25">
      <c r="A2210" s="28" t="s">
        <v>3545</v>
      </c>
      <c r="B2210" s="29">
        <v>41042.959999999999</v>
      </c>
      <c r="F2210" t="s">
        <v>3545</v>
      </c>
      <c r="G2210">
        <v>1</v>
      </c>
    </row>
    <row r="2211" spans="1:7" hidden="1" x14ac:dyDescent="0.25">
      <c r="A2211" s="28" t="s">
        <v>3899</v>
      </c>
      <c r="B2211" s="29">
        <v>41042.959999999999</v>
      </c>
      <c r="F2211" t="s">
        <v>3899</v>
      </c>
      <c r="G2211">
        <v>1</v>
      </c>
    </row>
    <row r="2212" spans="1:7" hidden="1" x14ac:dyDescent="0.25">
      <c r="A2212" s="28" t="s">
        <v>3640</v>
      </c>
      <c r="B2212" s="29">
        <v>41042.959999999999</v>
      </c>
      <c r="F2212" t="s">
        <v>3640</v>
      </c>
      <c r="G2212">
        <v>1</v>
      </c>
    </row>
    <row r="2213" spans="1:7" x14ac:dyDescent="0.25">
      <c r="A2213" s="28" t="s">
        <v>1281</v>
      </c>
      <c r="B2213" s="29">
        <v>41703.751649999998</v>
      </c>
      <c r="F2213" t="s">
        <v>1281</v>
      </c>
      <c r="G2213">
        <v>2</v>
      </c>
    </row>
    <row r="2214" spans="1:7" x14ac:dyDescent="0.25">
      <c r="A2214" s="28" t="s">
        <v>1511</v>
      </c>
      <c r="B2214" s="29">
        <v>41703.751649999998</v>
      </c>
      <c r="F2214" t="s">
        <v>1511</v>
      </c>
      <c r="G2214">
        <v>2</v>
      </c>
    </row>
    <row r="2215" spans="1:7" hidden="1" x14ac:dyDescent="0.25">
      <c r="A2215" s="28" t="s">
        <v>3361</v>
      </c>
      <c r="B2215" s="29">
        <v>41042.959999999999</v>
      </c>
      <c r="F2215" t="s">
        <v>3361</v>
      </c>
      <c r="G2215">
        <v>1</v>
      </c>
    </row>
    <row r="2216" spans="1:7" hidden="1" x14ac:dyDescent="0.25">
      <c r="A2216" s="28" t="s">
        <v>2584</v>
      </c>
      <c r="B2216" s="29">
        <v>41042.959999999999</v>
      </c>
      <c r="F2216" t="s">
        <v>2584</v>
      </c>
      <c r="G2216">
        <v>1</v>
      </c>
    </row>
    <row r="2217" spans="1:7" x14ac:dyDescent="0.25">
      <c r="A2217" s="28" t="s">
        <v>1586</v>
      </c>
      <c r="B2217" s="29">
        <v>41703.751649999998</v>
      </c>
      <c r="F2217" t="s">
        <v>1586</v>
      </c>
      <c r="G2217">
        <v>2</v>
      </c>
    </row>
    <row r="2218" spans="1:7" hidden="1" x14ac:dyDescent="0.25">
      <c r="A2218" s="28" t="s">
        <v>4013</v>
      </c>
      <c r="B2218" s="29">
        <v>41042.959999999999</v>
      </c>
      <c r="F2218" t="s">
        <v>4013</v>
      </c>
      <c r="G2218">
        <v>1</v>
      </c>
    </row>
    <row r="2219" spans="1:7" hidden="1" x14ac:dyDescent="0.25">
      <c r="A2219" s="28" t="s">
        <v>4334</v>
      </c>
      <c r="B2219" s="29">
        <v>41042.959999999999</v>
      </c>
      <c r="F2219" t="s">
        <v>4334</v>
      </c>
      <c r="G2219">
        <v>1</v>
      </c>
    </row>
    <row r="2220" spans="1:7" hidden="1" x14ac:dyDescent="0.25">
      <c r="A2220" s="28" t="s">
        <v>4181</v>
      </c>
      <c r="B2220" s="29">
        <v>54373.78</v>
      </c>
      <c r="F2220" t="s">
        <v>4181</v>
      </c>
      <c r="G2220">
        <v>1</v>
      </c>
    </row>
    <row r="2221" spans="1:7" hidden="1" x14ac:dyDescent="0.25">
      <c r="A2221" s="28" t="s">
        <v>4481</v>
      </c>
      <c r="B2221" s="29">
        <v>41042.959999999999</v>
      </c>
      <c r="F2221" t="s">
        <v>4481</v>
      </c>
      <c r="G2221">
        <v>1</v>
      </c>
    </row>
    <row r="2222" spans="1:7" hidden="1" x14ac:dyDescent="0.25">
      <c r="A2222" s="28" t="s">
        <v>4573</v>
      </c>
      <c r="B2222" s="29">
        <v>41042.959999999999</v>
      </c>
      <c r="F2222" t="s">
        <v>4573</v>
      </c>
      <c r="G2222">
        <v>1</v>
      </c>
    </row>
    <row r="2223" spans="1:7" hidden="1" x14ac:dyDescent="0.25">
      <c r="A2223" s="28" t="s">
        <v>4450</v>
      </c>
      <c r="B2223" s="29">
        <v>41042.959999999999</v>
      </c>
      <c r="F2223" t="s">
        <v>4450</v>
      </c>
      <c r="G2223">
        <v>1</v>
      </c>
    </row>
    <row r="2224" spans="1:7" hidden="1" x14ac:dyDescent="0.25">
      <c r="A2224" s="28" t="s">
        <v>4332</v>
      </c>
      <c r="B2224" s="29">
        <v>41042.959999999999</v>
      </c>
      <c r="F2224" t="s">
        <v>4332</v>
      </c>
      <c r="G2224">
        <v>1</v>
      </c>
    </row>
    <row r="2225" spans="1:7" hidden="1" x14ac:dyDescent="0.25">
      <c r="A2225" s="28" t="s">
        <v>3449</v>
      </c>
      <c r="B2225" s="29">
        <v>41042.959999999999</v>
      </c>
      <c r="F2225" t="s">
        <v>3449</v>
      </c>
      <c r="G2225">
        <v>1</v>
      </c>
    </row>
    <row r="2226" spans="1:7" hidden="1" x14ac:dyDescent="0.25">
      <c r="A2226" s="28" t="s">
        <v>3284</v>
      </c>
      <c r="B2226" s="29">
        <v>41042.959999999999</v>
      </c>
      <c r="F2226" t="s">
        <v>3284</v>
      </c>
      <c r="G2226">
        <v>1</v>
      </c>
    </row>
    <row r="2227" spans="1:7" hidden="1" x14ac:dyDescent="0.25">
      <c r="A2227" s="28" t="s">
        <v>3825</v>
      </c>
      <c r="B2227" s="29">
        <v>41042.959999999999</v>
      </c>
      <c r="F2227" t="s">
        <v>3825</v>
      </c>
      <c r="G2227">
        <v>1</v>
      </c>
    </row>
    <row r="2228" spans="1:7" hidden="1" x14ac:dyDescent="0.25">
      <c r="A2228" s="28" t="s">
        <v>3843</v>
      </c>
      <c r="B2228" s="29">
        <v>41042.959999999999</v>
      </c>
      <c r="F2228" t="s">
        <v>3843</v>
      </c>
      <c r="G2228">
        <v>1</v>
      </c>
    </row>
    <row r="2229" spans="1:7" hidden="1" x14ac:dyDescent="0.25">
      <c r="A2229" s="28" t="s">
        <v>3952</v>
      </c>
      <c r="B2229" s="29">
        <v>41042.959999999999</v>
      </c>
      <c r="F2229" t="s">
        <v>3952</v>
      </c>
      <c r="G2229">
        <v>1</v>
      </c>
    </row>
    <row r="2230" spans="1:7" x14ac:dyDescent="0.25">
      <c r="A2230" s="28" t="s">
        <v>1428</v>
      </c>
      <c r="B2230" s="29">
        <v>41703.751649999998</v>
      </c>
      <c r="F2230" t="s">
        <v>1428</v>
      </c>
      <c r="G2230">
        <v>2</v>
      </c>
    </row>
    <row r="2231" spans="1:7" hidden="1" x14ac:dyDescent="0.25">
      <c r="A2231" s="28" t="s">
        <v>3512</v>
      </c>
      <c r="B2231" s="29">
        <v>41042.959999999999</v>
      </c>
      <c r="F2231" t="s">
        <v>3512</v>
      </c>
      <c r="G2231">
        <v>1</v>
      </c>
    </row>
    <row r="2232" spans="1:7" x14ac:dyDescent="0.25">
      <c r="A2232" s="28" t="s">
        <v>1329</v>
      </c>
      <c r="B2232" s="29">
        <v>41703.751649999998</v>
      </c>
      <c r="F2232" t="s">
        <v>1329</v>
      </c>
      <c r="G2232">
        <v>2</v>
      </c>
    </row>
    <row r="2233" spans="1:7" hidden="1" x14ac:dyDescent="0.25">
      <c r="A2233" s="28" t="s">
        <v>3873</v>
      </c>
      <c r="B2233" s="29">
        <v>41042.959999999999</v>
      </c>
      <c r="F2233" t="s">
        <v>3873</v>
      </c>
      <c r="G2233">
        <v>1</v>
      </c>
    </row>
    <row r="2234" spans="1:7" x14ac:dyDescent="0.25">
      <c r="A2234" s="28" t="s">
        <v>1010</v>
      </c>
      <c r="B2234" s="29">
        <v>41703.751649999998</v>
      </c>
      <c r="F2234" t="s">
        <v>1010</v>
      </c>
      <c r="G2234">
        <v>2</v>
      </c>
    </row>
    <row r="2235" spans="1:7" hidden="1" x14ac:dyDescent="0.25">
      <c r="A2235" s="28" t="s">
        <v>4323</v>
      </c>
      <c r="B2235" s="29">
        <v>41042.959999999999</v>
      </c>
      <c r="F2235" t="s">
        <v>4323</v>
      </c>
      <c r="G2235">
        <v>1</v>
      </c>
    </row>
    <row r="2236" spans="1:7" hidden="1" x14ac:dyDescent="0.25">
      <c r="A2236" s="28" t="s">
        <v>4556</v>
      </c>
      <c r="B2236" s="29">
        <v>41042.959999999999</v>
      </c>
      <c r="F2236" t="s">
        <v>4556</v>
      </c>
      <c r="G2236">
        <v>1</v>
      </c>
    </row>
    <row r="2237" spans="1:7" x14ac:dyDescent="0.25">
      <c r="A2237" s="28" t="s">
        <v>778</v>
      </c>
      <c r="B2237" s="29">
        <v>41703.751649999998</v>
      </c>
      <c r="F2237" t="s">
        <v>778</v>
      </c>
      <c r="G2237">
        <v>2</v>
      </c>
    </row>
    <row r="2238" spans="1:7" hidden="1" x14ac:dyDescent="0.25">
      <c r="A2238" s="28" t="s">
        <v>3399</v>
      </c>
      <c r="B2238" s="29">
        <v>41042.959999999999</v>
      </c>
      <c r="F2238" t="s">
        <v>3399</v>
      </c>
      <c r="G2238">
        <v>1</v>
      </c>
    </row>
    <row r="2239" spans="1:7" hidden="1" x14ac:dyDescent="0.25">
      <c r="A2239" s="28" t="s">
        <v>3246</v>
      </c>
      <c r="B2239" s="29">
        <v>41042.959999999999</v>
      </c>
      <c r="F2239" t="s">
        <v>3246</v>
      </c>
      <c r="G2239">
        <v>1</v>
      </c>
    </row>
    <row r="2240" spans="1:7" hidden="1" x14ac:dyDescent="0.25">
      <c r="A2240" s="28" t="s">
        <v>3315</v>
      </c>
      <c r="B2240" s="29">
        <v>41042.959999999999</v>
      </c>
      <c r="F2240" t="s">
        <v>3315</v>
      </c>
      <c r="G2240">
        <v>1</v>
      </c>
    </row>
    <row r="2241" spans="1:7" hidden="1" x14ac:dyDescent="0.25">
      <c r="A2241" s="28" t="s">
        <v>3664</v>
      </c>
      <c r="B2241" s="29">
        <v>41042.959999999999</v>
      </c>
      <c r="F2241" t="s">
        <v>3664</v>
      </c>
      <c r="G2241">
        <v>1</v>
      </c>
    </row>
    <row r="2242" spans="1:7" hidden="1" x14ac:dyDescent="0.25">
      <c r="A2242" s="28" t="s">
        <v>4161</v>
      </c>
      <c r="B2242" s="29">
        <v>41042.959999999999</v>
      </c>
      <c r="F2242" t="s">
        <v>4161</v>
      </c>
      <c r="G2242">
        <v>1</v>
      </c>
    </row>
    <row r="2243" spans="1:7" hidden="1" x14ac:dyDescent="0.25">
      <c r="A2243" s="28" t="s">
        <v>4122</v>
      </c>
      <c r="B2243" s="29">
        <v>41042.959999999999</v>
      </c>
      <c r="F2243" t="s">
        <v>4122</v>
      </c>
      <c r="G2243">
        <v>1</v>
      </c>
    </row>
    <row r="2244" spans="1:7" hidden="1" x14ac:dyDescent="0.25">
      <c r="A2244" s="28" t="s">
        <v>4478</v>
      </c>
      <c r="B2244" s="29">
        <v>41042.959999999999</v>
      </c>
      <c r="F2244" t="s">
        <v>4478</v>
      </c>
      <c r="G2244">
        <v>1</v>
      </c>
    </row>
    <row r="2245" spans="1:7" x14ac:dyDescent="0.25">
      <c r="A2245" s="28" t="s">
        <v>1417</v>
      </c>
      <c r="B2245" s="29">
        <v>41703.751649999998</v>
      </c>
      <c r="F2245" t="s">
        <v>1417</v>
      </c>
      <c r="G2245">
        <v>2</v>
      </c>
    </row>
    <row r="2246" spans="1:7" hidden="1" x14ac:dyDescent="0.25">
      <c r="A2246" s="28" t="s">
        <v>3685</v>
      </c>
      <c r="B2246" s="29">
        <v>54373.78</v>
      </c>
      <c r="F2246" t="s">
        <v>3685</v>
      </c>
      <c r="G2246">
        <v>1</v>
      </c>
    </row>
    <row r="2247" spans="1:7" hidden="1" x14ac:dyDescent="0.25">
      <c r="A2247" s="28" t="s">
        <v>3733</v>
      </c>
      <c r="B2247" s="29">
        <v>54373.78</v>
      </c>
      <c r="F2247" t="s">
        <v>3733</v>
      </c>
      <c r="G2247">
        <v>1</v>
      </c>
    </row>
    <row r="2248" spans="1:7" x14ac:dyDescent="0.25">
      <c r="A2248" s="28" t="s">
        <v>1234</v>
      </c>
      <c r="B2248" s="29">
        <v>41703.751649999998</v>
      </c>
      <c r="F2248" t="s">
        <v>1234</v>
      </c>
      <c r="G2248">
        <v>2</v>
      </c>
    </row>
    <row r="2249" spans="1:7" hidden="1" x14ac:dyDescent="0.25">
      <c r="A2249" s="28" t="s">
        <v>3748</v>
      </c>
      <c r="B2249" s="29">
        <v>41042.959999999999</v>
      </c>
      <c r="F2249" t="s">
        <v>3748</v>
      </c>
      <c r="G2249">
        <v>1</v>
      </c>
    </row>
    <row r="2250" spans="1:7" hidden="1" x14ac:dyDescent="0.25">
      <c r="A2250" s="28" t="s">
        <v>4141</v>
      </c>
      <c r="B2250" s="29">
        <v>54373.78</v>
      </c>
      <c r="F2250" t="s">
        <v>4141</v>
      </c>
      <c r="G2250">
        <v>1</v>
      </c>
    </row>
    <row r="2251" spans="1:7" hidden="1" x14ac:dyDescent="0.25">
      <c r="A2251" s="28" t="s">
        <v>4243</v>
      </c>
      <c r="B2251" s="29">
        <v>54373.78</v>
      </c>
      <c r="F2251" t="s">
        <v>4243</v>
      </c>
      <c r="G2251">
        <v>1</v>
      </c>
    </row>
    <row r="2252" spans="1:7" hidden="1" x14ac:dyDescent="0.25">
      <c r="A2252" s="28" t="s">
        <v>2498</v>
      </c>
      <c r="B2252" s="29">
        <v>54373.78</v>
      </c>
      <c r="F2252" t="s">
        <v>2498</v>
      </c>
      <c r="G2252">
        <v>1</v>
      </c>
    </row>
    <row r="2253" spans="1:7" hidden="1" x14ac:dyDescent="0.25">
      <c r="A2253" s="28" t="s">
        <v>4356</v>
      </c>
      <c r="B2253" s="29">
        <v>54373.78</v>
      </c>
      <c r="F2253" t="s">
        <v>4356</v>
      </c>
      <c r="G2253">
        <v>1</v>
      </c>
    </row>
    <row r="2254" spans="1:7" x14ac:dyDescent="0.25">
      <c r="A2254" s="28" t="s">
        <v>210</v>
      </c>
      <c r="B2254" s="29">
        <v>55249.197849999997</v>
      </c>
      <c r="F2254" t="s">
        <v>210</v>
      </c>
      <c r="G2254">
        <v>2</v>
      </c>
    </row>
    <row r="2255" spans="1:7" hidden="1" x14ac:dyDescent="0.25">
      <c r="A2255" s="28" t="s">
        <v>4382</v>
      </c>
      <c r="B2255" s="29">
        <v>54373.78</v>
      </c>
      <c r="F2255" t="s">
        <v>4382</v>
      </c>
      <c r="G2255">
        <v>1</v>
      </c>
    </row>
    <row r="2256" spans="1:7" hidden="1" x14ac:dyDescent="0.25">
      <c r="A2256" s="28" t="s">
        <v>4339</v>
      </c>
      <c r="B2256" s="29">
        <v>54373.78</v>
      </c>
      <c r="F2256" t="s">
        <v>4339</v>
      </c>
      <c r="G2256">
        <v>1</v>
      </c>
    </row>
    <row r="2257" spans="1:7" hidden="1" x14ac:dyDescent="0.25">
      <c r="A2257" s="28" t="s">
        <v>4635</v>
      </c>
      <c r="B2257" s="29">
        <v>54373.78</v>
      </c>
      <c r="F2257" t="s">
        <v>4635</v>
      </c>
      <c r="G2257">
        <v>1</v>
      </c>
    </row>
    <row r="2258" spans="1:7" hidden="1" x14ac:dyDescent="0.25">
      <c r="A2258" s="28" t="s">
        <v>4347</v>
      </c>
      <c r="B2258" s="29">
        <v>54373.78</v>
      </c>
      <c r="F2258" t="s">
        <v>4347</v>
      </c>
      <c r="G2258">
        <v>1</v>
      </c>
    </row>
    <row r="2259" spans="1:7" hidden="1" x14ac:dyDescent="0.25">
      <c r="A2259" s="28" t="s">
        <v>4053</v>
      </c>
      <c r="B2259" s="29">
        <v>54373.78</v>
      </c>
      <c r="F2259" t="s">
        <v>4053</v>
      </c>
      <c r="G2259">
        <v>1</v>
      </c>
    </row>
    <row r="2260" spans="1:7" hidden="1" x14ac:dyDescent="0.25">
      <c r="A2260" s="28" t="s">
        <v>4149</v>
      </c>
      <c r="B2260" s="29">
        <v>41042.959999999999</v>
      </c>
      <c r="F2260" t="s">
        <v>4149</v>
      </c>
      <c r="G2260">
        <v>1</v>
      </c>
    </row>
    <row r="2261" spans="1:7" x14ac:dyDescent="0.25">
      <c r="A2261" s="28" t="s">
        <v>966</v>
      </c>
      <c r="B2261" s="29">
        <v>55249.197849999997</v>
      </c>
      <c r="F2261" t="s">
        <v>966</v>
      </c>
      <c r="G2261">
        <v>2</v>
      </c>
    </row>
    <row r="2262" spans="1:7" hidden="1" x14ac:dyDescent="0.25">
      <c r="A2262" s="28" t="s">
        <v>4317</v>
      </c>
      <c r="B2262" s="29">
        <v>41042.959999999999</v>
      </c>
      <c r="F2262" t="s">
        <v>4317</v>
      </c>
      <c r="G2262">
        <v>1</v>
      </c>
    </row>
    <row r="2263" spans="1:7" hidden="1" x14ac:dyDescent="0.25">
      <c r="A2263" s="28" t="s">
        <v>4343</v>
      </c>
      <c r="B2263" s="29">
        <v>41042.959999999999</v>
      </c>
      <c r="F2263" t="s">
        <v>4343</v>
      </c>
      <c r="G2263">
        <v>1</v>
      </c>
    </row>
    <row r="2264" spans="1:7" x14ac:dyDescent="0.25">
      <c r="A2264" s="28" t="s">
        <v>934</v>
      </c>
      <c r="B2264" s="29">
        <v>56728.588650000005</v>
      </c>
      <c r="F2264" t="s">
        <v>934</v>
      </c>
      <c r="G2264">
        <v>2</v>
      </c>
    </row>
    <row r="2265" spans="1:7" hidden="1" x14ac:dyDescent="0.25">
      <c r="A2265" s="28" t="s">
        <v>4329</v>
      </c>
      <c r="B2265" s="29">
        <v>54373.78</v>
      </c>
      <c r="F2265" t="s">
        <v>4329</v>
      </c>
      <c r="G2265">
        <v>1</v>
      </c>
    </row>
    <row r="2266" spans="1:7" x14ac:dyDescent="0.25">
      <c r="A2266" s="28" t="s">
        <v>424</v>
      </c>
      <c r="B2266" s="29">
        <v>55249.197849999997</v>
      </c>
      <c r="F2266" t="s">
        <v>424</v>
      </c>
      <c r="G2266">
        <v>2</v>
      </c>
    </row>
    <row r="2267" spans="1:7" hidden="1" x14ac:dyDescent="0.25">
      <c r="A2267" s="28" t="s">
        <v>3913</v>
      </c>
      <c r="B2267" s="29">
        <v>41042.959999999999</v>
      </c>
      <c r="F2267" t="s">
        <v>3913</v>
      </c>
      <c r="G2267">
        <v>1</v>
      </c>
    </row>
    <row r="2268" spans="1:7" x14ac:dyDescent="0.25">
      <c r="A2268" s="28" t="s">
        <v>1311</v>
      </c>
      <c r="B2268" s="29">
        <v>55249.197849999997</v>
      </c>
      <c r="F2268" t="s">
        <v>1311</v>
      </c>
      <c r="G2268">
        <v>2</v>
      </c>
    </row>
    <row r="2269" spans="1:7" x14ac:dyDescent="0.25">
      <c r="A2269" s="28" t="s">
        <v>1207</v>
      </c>
      <c r="B2269" s="29">
        <v>55249.197849999997</v>
      </c>
      <c r="F2269" t="s">
        <v>1207</v>
      </c>
      <c r="G2269">
        <v>2</v>
      </c>
    </row>
    <row r="2270" spans="1:7" hidden="1" x14ac:dyDescent="0.25">
      <c r="A2270" s="28" t="s">
        <v>4590</v>
      </c>
      <c r="B2270" s="29">
        <v>54373.78</v>
      </c>
      <c r="F2270" t="s">
        <v>4590</v>
      </c>
      <c r="G2270">
        <v>1</v>
      </c>
    </row>
    <row r="2271" spans="1:7" hidden="1" x14ac:dyDescent="0.25">
      <c r="A2271" s="28" t="s">
        <v>3038</v>
      </c>
      <c r="B2271" s="29">
        <v>54373.78</v>
      </c>
      <c r="F2271" t="s">
        <v>3038</v>
      </c>
      <c r="G2271">
        <v>1</v>
      </c>
    </row>
    <row r="2272" spans="1:7" hidden="1" x14ac:dyDescent="0.25">
      <c r="A2272" s="28" t="s">
        <v>4676</v>
      </c>
      <c r="B2272" s="29">
        <v>54373.78</v>
      </c>
      <c r="F2272" t="s">
        <v>4676</v>
      </c>
      <c r="G2272">
        <v>1</v>
      </c>
    </row>
    <row r="2273" spans="1:7" hidden="1" x14ac:dyDescent="0.25">
      <c r="A2273" s="28" t="s">
        <v>4718</v>
      </c>
      <c r="B2273" s="29">
        <v>54373.78</v>
      </c>
      <c r="F2273" t="s">
        <v>4718</v>
      </c>
      <c r="G2273">
        <v>1</v>
      </c>
    </row>
    <row r="2274" spans="1:7" hidden="1" x14ac:dyDescent="0.25">
      <c r="A2274" s="28" t="s">
        <v>3047</v>
      </c>
      <c r="B2274" s="29">
        <v>54373.78</v>
      </c>
      <c r="F2274" t="s">
        <v>3047</v>
      </c>
      <c r="G2274">
        <v>1</v>
      </c>
    </row>
    <row r="2275" spans="1:7" hidden="1" x14ac:dyDescent="0.25">
      <c r="A2275" s="28" t="s">
        <v>4595</v>
      </c>
      <c r="B2275" s="29">
        <v>54373.78</v>
      </c>
      <c r="F2275" t="s">
        <v>4595</v>
      </c>
      <c r="G2275">
        <v>1</v>
      </c>
    </row>
    <row r="2276" spans="1:7" hidden="1" x14ac:dyDescent="0.25">
      <c r="A2276" s="28" t="s">
        <v>4578</v>
      </c>
      <c r="B2276" s="29">
        <v>54373.78</v>
      </c>
      <c r="F2276" t="s">
        <v>4578</v>
      </c>
      <c r="G2276">
        <v>1</v>
      </c>
    </row>
    <row r="2277" spans="1:7" x14ac:dyDescent="0.25">
      <c r="A2277" s="28" t="s">
        <v>1301</v>
      </c>
      <c r="B2277" s="29">
        <v>55249.197849999997</v>
      </c>
      <c r="F2277" t="s">
        <v>1301</v>
      </c>
      <c r="G2277">
        <v>2</v>
      </c>
    </row>
    <row r="2278" spans="1:7" hidden="1" x14ac:dyDescent="0.25">
      <c r="A2278" s="28" t="s">
        <v>4314</v>
      </c>
      <c r="B2278" s="29">
        <v>54373.78</v>
      </c>
      <c r="F2278" t="s">
        <v>4314</v>
      </c>
      <c r="G2278">
        <v>1</v>
      </c>
    </row>
    <row r="2279" spans="1:7" hidden="1" x14ac:dyDescent="0.25">
      <c r="A2279" s="28" t="s">
        <v>3506</v>
      </c>
      <c r="B2279" s="29">
        <v>41042.959999999999</v>
      </c>
      <c r="F2279" t="s">
        <v>3506</v>
      </c>
      <c r="G2279">
        <v>1</v>
      </c>
    </row>
    <row r="2280" spans="1:7" hidden="1" x14ac:dyDescent="0.25">
      <c r="A2280" s="28" t="s">
        <v>3623</v>
      </c>
      <c r="B2280" s="29">
        <v>41042.959999999999</v>
      </c>
      <c r="F2280" t="s">
        <v>3623</v>
      </c>
      <c r="G2280">
        <v>1</v>
      </c>
    </row>
    <row r="2281" spans="1:7" hidden="1" x14ac:dyDescent="0.25">
      <c r="A2281" s="28" t="s">
        <v>4341</v>
      </c>
      <c r="B2281" s="29">
        <v>54373.78</v>
      </c>
      <c r="F2281" t="s">
        <v>4341</v>
      </c>
      <c r="G2281">
        <v>1</v>
      </c>
    </row>
    <row r="2282" spans="1:7" hidden="1" x14ac:dyDescent="0.25">
      <c r="A2282" s="28" t="s">
        <v>4777</v>
      </c>
      <c r="B2282" s="29">
        <v>41042.959999999999</v>
      </c>
      <c r="F2282" t="s">
        <v>4777</v>
      </c>
      <c r="G2282">
        <v>1</v>
      </c>
    </row>
    <row r="2283" spans="1:7" hidden="1" x14ac:dyDescent="0.25">
      <c r="A2283" s="28" t="s">
        <v>4675</v>
      </c>
      <c r="B2283" s="29">
        <v>54373.78</v>
      </c>
      <c r="F2283" t="s">
        <v>4675</v>
      </c>
      <c r="G2283">
        <v>1</v>
      </c>
    </row>
    <row r="2284" spans="1:7" hidden="1" x14ac:dyDescent="0.25">
      <c r="A2284" s="28" t="s">
        <v>4010</v>
      </c>
      <c r="B2284" s="29">
        <v>54373.78</v>
      </c>
      <c r="F2284" t="s">
        <v>4010</v>
      </c>
      <c r="G2284">
        <v>1</v>
      </c>
    </row>
    <row r="2285" spans="1:7" hidden="1" x14ac:dyDescent="0.25">
      <c r="A2285" s="28" t="s">
        <v>4451</v>
      </c>
      <c r="B2285" s="29">
        <v>41042.959999999999</v>
      </c>
      <c r="F2285" t="s">
        <v>4451</v>
      </c>
      <c r="G2285">
        <v>1</v>
      </c>
    </row>
    <row r="2286" spans="1:7" hidden="1" x14ac:dyDescent="0.25">
      <c r="A2286" s="28" t="s">
        <v>3220</v>
      </c>
      <c r="B2286" s="29">
        <v>41042.959999999999</v>
      </c>
      <c r="F2286" t="s">
        <v>3220</v>
      </c>
      <c r="G2286">
        <v>1</v>
      </c>
    </row>
    <row r="2287" spans="1:7" hidden="1" x14ac:dyDescent="0.25">
      <c r="A2287" s="28" t="s">
        <v>3529</v>
      </c>
      <c r="B2287" s="29">
        <v>54373.78</v>
      </c>
      <c r="F2287" t="s">
        <v>3529</v>
      </c>
      <c r="G2287">
        <v>1</v>
      </c>
    </row>
    <row r="2288" spans="1:7" x14ac:dyDescent="0.25">
      <c r="A2288" s="28" t="s">
        <v>135</v>
      </c>
      <c r="B2288" s="29">
        <v>55249.197849999997</v>
      </c>
      <c r="F2288" t="s">
        <v>135</v>
      </c>
      <c r="G2288">
        <v>2</v>
      </c>
    </row>
    <row r="2289" spans="1:7" hidden="1" x14ac:dyDescent="0.25">
      <c r="A2289" s="28" t="s">
        <v>4821</v>
      </c>
      <c r="B2289" s="29">
        <v>54373.78</v>
      </c>
      <c r="F2289" t="s">
        <v>4821</v>
      </c>
      <c r="G2289">
        <v>1</v>
      </c>
    </row>
    <row r="2290" spans="1:7" hidden="1" x14ac:dyDescent="0.25">
      <c r="A2290" s="28" t="s">
        <v>823</v>
      </c>
      <c r="B2290" s="29">
        <v>56124.615700000002</v>
      </c>
      <c r="F2290" t="s">
        <v>823</v>
      </c>
      <c r="G2290">
        <v>1</v>
      </c>
    </row>
    <row r="2291" spans="1:7" hidden="1" x14ac:dyDescent="0.25">
      <c r="A2291" s="28" t="s">
        <v>3437</v>
      </c>
      <c r="B2291" s="29">
        <v>54373.78</v>
      </c>
      <c r="F2291" t="s">
        <v>3437</v>
      </c>
      <c r="G2291">
        <v>1</v>
      </c>
    </row>
    <row r="2292" spans="1:7" hidden="1" x14ac:dyDescent="0.25">
      <c r="A2292" s="28" t="s">
        <v>3781</v>
      </c>
      <c r="B2292" s="29">
        <v>54373.78</v>
      </c>
      <c r="F2292" t="s">
        <v>3781</v>
      </c>
      <c r="G2292">
        <v>1</v>
      </c>
    </row>
    <row r="2293" spans="1:7" hidden="1" x14ac:dyDescent="0.25">
      <c r="A2293" s="28" t="s">
        <v>4463</v>
      </c>
      <c r="B2293" s="29">
        <v>54373.78</v>
      </c>
      <c r="F2293" t="s">
        <v>4463</v>
      </c>
      <c r="G2293">
        <v>1</v>
      </c>
    </row>
    <row r="2294" spans="1:7" hidden="1" x14ac:dyDescent="0.25">
      <c r="A2294" s="28" t="s">
        <v>3490</v>
      </c>
      <c r="B2294" s="29">
        <v>54373.78</v>
      </c>
      <c r="F2294" t="s">
        <v>3490</v>
      </c>
      <c r="G2294">
        <v>1</v>
      </c>
    </row>
    <row r="2295" spans="1:7" x14ac:dyDescent="0.25">
      <c r="A2295" s="28" t="s">
        <v>809</v>
      </c>
      <c r="B2295" s="29">
        <v>55249.197849999997</v>
      </c>
      <c r="F2295" t="s">
        <v>809</v>
      </c>
      <c r="G2295">
        <v>2</v>
      </c>
    </row>
    <row r="2296" spans="1:7" hidden="1" x14ac:dyDescent="0.25">
      <c r="A2296" s="28" t="s">
        <v>3886</v>
      </c>
      <c r="B2296" s="29">
        <v>54373.78</v>
      </c>
      <c r="F2296" t="s">
        <v>3886</v>
      </c>
      <c r="G2296">
        <v>1</v>
      </c>
    </row>
    <row r="2297" spans="1:7" hidden="1" x14ac:dyDescent="0.25">
      <c r="A2297" s="28" t="s">
        <v>4255</v>
      </c>
      <c r="B2297" s="29">
        <v>54373.78</v>
      </c>
      <c r="F2297" t="s">
        <v>4255</v>
      </c>
      <c r="G2297">
        <v>1</v>
      </c>
    </row>
    <row r="2298" spans="1:7" hidden="1" x14ac:dyDescent="0.25">
      <c r="A2298" s="28" t="s">
        <v>4069</v>
      </c>
      <c r="B2298" s="29">
        <v>54373.78</v>
      </c>
      <c r="F2298" t="s">
        <v>4069</v>
      </c>
      <c r="G2298">
        <v>1</v>
      </c>
    </row>
    <row r="2299" spans="1:7" hidden="1" x14ac:dyDescent="0.25">
      <c r="A2299" s="28" t="s">
        <v>4720</v>
      </c>
      <c r="B2299" s="29">
        <v>54373.78</v>
      </c>
      <c r="F2299" t="s">
        <v>4720</v>
      </c>
      <c r="G2299">
        <v>1</v>
      </c>
    </row>
    <row r="2300" spans="1:7" hidden="1" x14ac:dyDescent="0.25">
      <c r="A2300" s="28" t="s">
        <v>4274</v>
      </c>
      <c r="B2300" s="29">
        <v>54373.78</v>
      </c>
      <c r="F2300" t="s">
        <v>4274</v>
      </c>
      <c r="G2300">
        <v>1</v>
      </c>
    </row>
    <row r="2301" spans="1:7" x14ac:dyDescent="0.25">
      <c r="A2301" s="28" t="s">
        <v>374</v>
      </c>
      <c r="B2301" s="29">
        <v>55249.197849999997</v>
      </c>
      <c r="F2301" t="s">
        <v>374</v>
      </c>
      <c r="G2301">
        <v>2</v>
      </c>
    </row>
    <row r="2302" spans="1:7" x14ac:dyDescent="0.25">
      <c r="A2302" s="28" t="s">
        <v>1515</v>
      </c>
      <c r="B2302" s="29">
        <v>55249.197849999997</v>
      </c>
      <c r="F2302" t="s">
        <v>1515</v>
      </c>
      <c r="G2302">
        <v>2</v>
      </c>
    </row>
    <row r="2303" spans="1:7" x14ac:dyDescent="0.25">
      <c r="A2303" s="28" t="s">
        <v>473</v>
      </c>
      <c r="B2303" s="29">
        <v>55249.197849999997</v>
      </c>
      <c r="F2303" t="s">
        <v>473</v>
      </c>
      <c r="G2303">
        <v>2</v>
      </c>
    </row>
    <row r="2304" spans="1:7" x14ac:dyDescent="0.25">
      <c r="A2304" s="28" t="s">
        <v>1450</v>
      </c>
      <c r="B2304" s="29">
        <v>55249.197849999997</v>
      </c>
      <c r="F2304" t="s">
        <v>1450</v>
      </c>
      <c r="G2304">
        <v>2</v>
      </c>
    </row>
    <row r="2305" spans="1:7" x14ac:dyDescent="0.25">
      <c r="A2305" s="28" t="s">
        <v>776</v>
      </c>
      <c r="B2305" s="29">
        <v>55249.197849999997</v>
      </c>
      <c r="F2305" t="s">
        <v>776</v>
      </c>
      <c r="G2305">
        <v>2</v>
      </c>
    </row>
    <row r="2306" spans="1:7" x14ac:dyDescent="0.25">
      <c r="A2306" s="28" t="s">
        <v>485</v>
      </c>
      <c r="B2306" s="29">
        <v>55249.197849999997</v>
      </c>
      <c r="F2306" t="s">
        <v>485</v>
      </c>
      <c r="G2306">
        <v>2</v>
      </c>
    </row>
    <row r="2307" spans="1:7" x14ac:dyDescent="0.25">
      <c r="A2307" s="28" t="s">
        <v>972</v>
      </c>
      <c r="B2307" s="29">
        <v>55249.197849999997</v>
      </c>
      <c r="F2307" t="s">
        <v>972</v>
      </c>
      <c r="G2307">
        <v>2</v>
      </c>
    </row>
    <row r="2308" spans="1:7" x14ac:dyDescent="0.25">
      <c r="A2308" s="28" t="s">
        <v>578</v>
      </c>
      <c r="B2308" s="29">
        <v>55249.197849999997</v>
      </c>
      <c r="F2308" t="s">
        <v>578</v>
      </c>
      <c r="G2308">
        <v>2</v>
      </c>
    </row>
    <row r="2309" spans="1:7" hidden="1" x14ac:dyDescent="0.25">
      <c r="A2309" s="28" t="s">
        <v>4264</v>
      </c>
      <c r="B2309" s="29">
        <v>54373.78</v>
      </c>
      <c r="F2309" t="s">
        <v>4264</v>
      </c>
      <c r="G2309">
        <v>1</v>
      </c>
    </row>
    <row r="2310" spans="1:7" x14ac:dyDescent="0.25">
      <c r="A2310" s="28" t="s">
        <v>1064</v>
      </c>
      <c r="B2310" s="29">
        <v>55249.197849999997</v>
      </c>
      <c r="F2310" t="s">
        <v>1064</v>
      </c>
      <c r="G2310">
        <v>2</v>
      </c>
    </row>
    <row r="2311" spans="1:7" x14ac:dyDescent="0.25">
      <c r="A2311" s="28" t="s">
        <v>612</v>
      </c>
      <c r="B2311" s="29">
        <v>55249.197849999997</v>
      </c>
      <c r="F2311" t="s">
        <v>612</v>
      </c>
      <c r="G2311">
        <v>2</v>
      </c>
    </row>
    <row r="2312" spans="1:7" x14ac:dyDescent="0.25">
      <c r="A2312" s="28" t="s">
        <v>903</v>
      </c>
      <c r="B2312" s="29">
        <v>55249.197849999997</v>
      </c>
      <c r="F2312" t="s">
        <v>903</v>
      </c>
      <c r="G2312">
        <v>2</v>
      </c>
    </row>
    <row r="2313" spans="1:7" x14ac:dyDescent="0.25">
      <c r="A2313" s="28" t="s">
        <v>877</v>
      </c>
      <c r="B2313" s="29">
        <v>55249.197849999997</v>
      </c>
      <c r="F2313" t="s">
        <v>877</v>
      </c>
      <c r="G2313">
        <v>2</v>
      </c>
    </row>
    <row r="2314" spans="1:7" x14ac:dyDescent="0.25">
      <c r="A2314" s="28" t="s">
        <v>1404</v>
      </c>
      <c r="B2314" s="29">
        <v>55249.197849999997</v>
      </c>
      <c r="F2314" t="s">
        <v>1404</v>
      </c>
      <c r="G2314">
        <v>2</v>
      </c>
    </row>
    <row r="2315" spans="1:7" x14ac:dyDescent="0.25">
      <c r="A2315" s="28" t="s">
        <v>859</v>
      </c>
      <c r="B2315" s="29">
        <v>55249.197849999997</v>
      </c>
      <c r="F2315" t="s">
        <v>859</v>
      </c>
      <c r="G2315">
        <v>2</v>
      </c>
    </row>
    <row r="2316" spans="1:7" x14ac:dyDescent="0.25">
      <c r="A2316" s="28" t="s">
        <v>1140</v>
      </c>
      <c r="B2316" s="29">
        <v>55249.197849999997</v>
      </c>
      <c r="F2316" t="s">
        <v>1140</v>
      </c>
      <c r="G2316">
        <v>2</v>
      </c>
    </row>
    <row r="2317" spans="1:7" x14ac:dyDescent="0.25">
      <c r="A2317" s="28" t="s">
        <v>569</v>
      </c>
      <c r="B2317" s="29">
        <v>55249.197849999997</v>
      </c>
      <c r="F2317" t="s">
        <v>569</v>
      </c>
      <c r="G2317">
        <v>2</v>
      </c>
    </row>
    <row r="2318" spans="1:7" x14ac:dyDescent="0.25">
      <c r="A2318" s="28" t="s">
        <v>1051</v>
      </c>
      <c r="B2318" s="29">
        <v>55249.197849999997</v>
      </c>
      <c r="F2318" t="s">
        <v>1051</v>
      </c>
      <c r="G2318">
        <v>2</v>
      </c>
    </row>
    <row r="2319" spans="1:7" x14ac:dyDescent="0.25">
      <c r="A2319" s="28" t="s">
        <v>698</v>
      </c>
      <c r="B2319" s="29">
        <v>55249.197849999997</v>
      </c>
      <c r="F2319" t="s">
        <v>698</v>
      </c>
      <c r="G2319">
        <v>2</v>
      </c>
    </row>
    <row r="2320" spans="1:7" hidden="1" x14ac:dyDescent="0.25">
      <c r="A2320" s="28" t="s">
        <v>4365</v>
      </c>
      <c r="B2320" s="29">
        <v>54373.78</v>
      </c>
      <c r="F2320" t="s">
        <v>4365</v>
      </c>
      <c r="G2320">
        <v>1</v>
      </c>
    </row>
    <row r="2321" spans="1:7" x14ac:dyDescent="0.25">
      <c r="A2321" s="28" t="s">
        <v>576</v>
      </c>
      <c r="B2321" s="29">
        <v>55249.197849999997</v>
      </c>
      <c r="F2321" t="s">
        <v>576</v>
      </c>
      <c r="G2321">
        <v>2</v>
      </c>
    </row>
    <row r="2322" spans="1:7" x14ac:dyDescent="0.25">
      <c r="A2322" s="28" t="s">
        <v>1131</v>
      </c>
      <c r="B2322" s="29">
        <v>55249.197849999997</v>
      </c>
      <c r="F2322" t="s">
        <v>1131</v>
      </c>
      <c r="G2322">
        <v>2</v>
      </c>
    </row>
    <row r="2323" spans="1:7" hidden="1" x14ac:dyDescent="0.25">
      <c r="A2323" s="28" t="s">
        <v>4160</v>
      </c>
      <c r="B2323" s="29">
        <v>54373.78</v>
      </c>
      <c r="F2323" t="s">
        <v>4160</v>
      </c>
      <c r="G2323">
        <v>1</v>
      </c>
    </row>
    <row r="2324" spans="1:7" hidden="1" x14ac:dyDescent="0.25">
      <c r="A2324" s="28" t="s">
        <v>4781</v>
      </c>
      <c r="B2324" s="29">
        <v>54373.78</v>
      </c>
      <c r="F2324" t="s">
        <v>4781</v>
      </c>
      <c r="G2324">
        <v>1</v>
      </c>
    </row>
    <row r="2325" spans="1:7" x14ac:dyDescent="0.25">
      <c r="A2325" s="28" t="s">
        <v>559</v>
      </c>
      <c r="B2325" s="29">
        <v>55249.197849999997</v>
      </c>
      <c r="F2325" t="s">
        <v>559</v>
      </c>
      <c r="G2325">
        <v>2</v>
      </c>
    </row>
    <row r="2326" spans="1:7" x14ac:dyDescent="0.25">
      <c r="A2326" s="28" t="s">
        <v>560</v>
      </c>
      <c r="B2326" s="29">
        <v>55249.197849999997</v>
      </c>
      <c r="F2326" t="s">
        <v>560</v>
      </c>
      <c r="G2326">
        <v>2</v>
      </c>
    </row>
    <row r="2327" spans="1:7" x14ac:dyDescent="0.25">
      <c r="A2327" s="28" t="s">
        <v>574</v>
      </c>
      <c r="B2327" s="29">
        <v>55249.197849999997</v>
      </c>
      <c r="F2327" t="s">
        <v>574</v>
      </c>
      <c r="G2327">
        <v>2</v>
      </c>
    </row>
    <row r="2328" spans="1:7" x14ac:dyDescent="0.25">
      <c r="A2328" s="28" t="s">
        <v>497</v>
      </c>
      <c r="B2328" s="29">
        <v>55249.197849999997</v>
      </c>
      <c r="F2328" t="s">
        <v>497</v>
      </c>
      <c r="G2328">
        <v>2</v>
      </c>
    </row>
    <row r="2329" spans="1:7" x14ac:dyDescent="0.25">
      <c r="A2329" s="28" t="s">
        <v>635</v>
      </c>
      <c r="B2329" s="29">
        <v>55249.197849999997</v>
      </c>
      <c r="F2329" t="s">
        <v>635</v>
      </c>
      <c r="G2329">
        <v>2</v>
      </c>
    </row>
    <row r="2330" spans="1:7" hidden="1" x14ac:dyDescent="0.25">
      <c r="A2330" s="28" t="s">
        <v>4280</v>
      </c>
      <c r="B2330" s="29">
        <v>54373.78</v>
      </c>
      <c r="F2330" t="s">
        <v>4280</v>
      </c>
      <c r="G2330">
        <v>1</v>
      </c>
    </row>
    <row r="2331" spans="1:7" x14ac:dyDescent="0.25">
      <c r="A2331" s="28" t="s">
        <v>1109</v>
      </c>
      <c r="B2331" s="29">
        <v>55249.197849999997</v>
      </c>
      <c r="F2331" t="s">
        <v>1109</v>
      </c>
      <c r="G2331">
        <v>2</v>
      </c>
    </row>
    <row r="2332" spans="1:7" x14ac:dyDescent="0.25">
      <c r="A2332" s="28" t="s">
        <v>713</v>
      </c>
      <c r="B2332" s="29">
        <v>55249.197849999997</v>
      </c>
      <c r="F2332" t="s">
        <v>713</v>
      </c>
      <c r="G2332">
        <v>2</v>
      </c>
    </row>
    <row r="2333" spans="1:7" hidden="1" x14ac:dyDescent="0.25">
      <c r="A2333" s="28" t="s">
        <v>4627</v>
      </c>
      <c r="B2333" s="29">
        <v>54373.78</v>
      </c>
      <c r="F2333" t="s">
        <v>4627</v>
      </c>
      <c r="G2333">
        <v>1</v>
      </c>
    </row>
    <row r="2334" spans="1:7" x14ac:dyDescent="0.25">
      <c r="A2334" s="28" t="s">
        <v>734</v>
      </c>
      <c r="B2334" s="29">
        <v>55249.197849999997</v>
      </c>
      <c r="F2334" t="s">
        <v>734</v>
      </c>
      <c r="G2334">
        <v>2</v>
      </c>
    </row>
    <row r="2335" spans="1:7" x14ac:dyDescent="0.25">
      <c r="A2335" s="28" t="s">
        <v>918</v>
      </c>
      <c r="B2335" s="29">
        <v>55249.197849999997</v>
      </c>
      <c r="F2335" t="s">
        <v>918</v>
      </c>
      <c r="G2335">
        <v>2</v>
      </c>
    </row>
    <row r="2336" spans="1:7" x14ac:dyDescent="0.25">
      <c r="A2336" s="28" t="s">
        <v>498</v>
      </c>
      <c r="B2336" s="29">
        <v>55249.197849999997</v>
      </c>
      <c r="F2336" t="s">
        <v>498</v>
      </c>
      <c r="G2336">
        <v>2</v>
      </c>
    </row>
    <row r="2337" spans="1:7" x14ac:dyDescent="0.25">
      <c r="A2337" s="28" t="s">
        <v>1255</v>
      </c>
      <c r="B2337" s="29">
        <v>55249.197849999997</v>
      </c>
      <c r="F2337" t="s">
        <v>1255</v>
      </c>
      <c r="G2337">
        <v>2</v>
      </c>
    </row>
    <row r="2338" spans="1:7" hidden="1" x14ac:dyDescent="0.25">
      <c r="A2338" s="28" t="s">
        <v>3184</v>
      </c>
      <c r="B2338" s="29">
        <v>54373.78</v>
      </c>
      <c r="F2338" t="s">
        <v>3184</v>
      </c>
      <c r="G2338">
        <v>1</v>
      </c>
    </row>
    <row r="2339" spans="1:7" hidden="1" x14ac:dyDescent="0.25">
      <c r="A2339" s="28" t="s">
        <v>2776</v>
      </c>
      <c r="B2339" s="29">
        <v>54373.78</v>
      </c>
      <c r="F2339" t="s">
        <v>2776</v>
      </c>
      <c r="G2339">
        <v>1</v>
      </c>
    </row>
    <row r="2340" spans="1:7" hidden="1" x14ac:dyDescent="0.25">
      <c r="A2340" s="28" t="s">
        <v>3259</v>
      </c>
      <c r="B2340" s="29">
        <v>54373.78</v>
      </c>
      <c r="F2340" t="s">
        <v>3259</v>
      </c>
      <c r="G2340">
        <v>1</v>
      </c>
    </row>
    <row r="2341" spans="1:7" hidden="1" x14ac:dyDescent="0.25">
      <c r="A2341" s="28" t="s">
        <v>3023</v>
      </c>
      <c r="B2341" s="29">
        <v>54373.78</v>
      </c>
      <c r="F2341" t="s">
        <v>3023</v>
      </c>
      <c r="G2341">
        <v>1</v>
      </c>
    </row>
    <row r="2342" spans="1:7" hidden="1" x14ac:dyDescent="0.25">
      <c r="A2342" s="28" t="s">
        <v>3210</v>
      </c>
      <c r="B2342" s="29">
        <v>54373.78</v>
      </c>
      <c r="F2342" t="s">
        <v>3210</v>
      </c>
      <c r="G2342">
        <v>1</v>
      </c>
    </row>
    <row r="2343" spans="1:7" hidden="1" x14ac:dyDescent="0.25">
      <c r="A2343" s="28" t="s">
        <v>4028</v>
      </c>
      <c r="B2343" s="29">
        <v>56843.360000000001</v>
      </c>
      <c r="F2343" t="s">
        <v>4028</v>
      </c>
      <c r="G2343">
        <v>1</v>
      </c>
    </row>
    <row r="2344" spans="1:7" x14ac:dyDescent="0.25">
      <c r="A2344" s="28" t="s">
        <v>786</v>
      </c>
      <c r="B2344" s="29">
        <v>57758.538100000005</v>
      </c>
      <c r="F2344" t="s">
        <v>786</v>
      </c>
      <c r="G2344">
        <v>2</v>
      </c>
    </row>
    <row r="2345" spans="1:7" hidden="1" x14ac:dyDescent="0.25">
      <c r="A2345" s="28" t="s">
        <v>4262</v>
      </c>
      <c r="B2345" s="29">
        <v>56843.360000000001</v>
      </c>
      <c r="F2345" t="s">
        <v>4262</v>
      </c>
      <c r="G2345">
        <v>1</v>
      </c>
    </row>
    <row r="2346" spans="1:7" x14ac:dyDescent="0.25">
      <c r="A2346" s="28" t="s">
        <v>1523</v>
      </c>
      <c r="B2346" s="29">
        <v>57758.538100000005</v>
      </c>
      <c r="F2346" t="s">
        <v>1523</v>
      </c>
      <c r="G2346">
        <v>2</v>
      </c>
    </row>
    <row r="2347" spans="1:7" x14ac:dyDescent="0.25">
      <c r="A2347" s="28" t="s">
        <v>1470</v>
      </c>
      <c r="B2347" s="29">
        <v>57758.538100000005</v>
      </c>
      <c r="F2347" t="s">
        <v>1470</v>
      </c>
      <c r="G2347">
        <v>2</v>
      </c>
    </row>
    <row r="2348" spans="1:7" x14ac:dyDescent="0.25">
      <c r="A2348" s="28" t="s">
        <v>1496</v>
      </c>
      <c r="B2348" s="29">
        <v>57758.538100000005</v>
      </c>
      <c r="F2348" t="s">
        <v>1496</v>
      </c>
      <c r="G2348">
        <v>2</v>
      </c>
    </row>
    <row r="2349" spans="1:7" x14ac:dyDescent="0.25">
      <c r="A2349" s="28" t="s">
        <v>1278</v>
      </c>
      <c r="B2349" s="29">
        <v>53257.956850000002</v>
      </c>
      <c r="F2349" t="s">
        <v>1278</v>
      </c>
      <c r="G2349">
        <v>2</v>
      </c>
    </row>
    <row r="2350" spans="1:7" x14ac:dyDescent="0.25">
      <c r="A2350" s="28" t="s">
        <v>1032</v>
      </c>
      <c r="B2350" s="29">
        <v>53257.956850000002</v>
      </c>
      <c r="F2350" t="s">
        <v>1032</v>
      </c>
      <c r="G2350">
        <v>2</v>
      </c>
    </row>
    <row r="2351" spans="1:7" hidden="1" x14ac:dyDescent="0.25">
      <c r="A2351" s="28" t="s">
        <v>2913</v>
      </c>
      <c r="B2351" s="29">
        <v>52414.09</v>
      </c>
      <c r="F2351" t="s">
        <v>2913</v>
      </c>
      <c r="G2351">
        <v>1</v>
      </c>
    </row>
    <row r="2352" spans="1:7" x14ac:dyDescent="0.25">
      <c r="A2352" s="28" t="s">
        <v>785</v>
      </c>
      <c r="B2352" s="29">
        <v>53257.956850000002</v>
      </c>
      <c r="F2352" t="s">
        <v>785</v>
      </c>
      <c r="G2352">
        <v>2</v>
      </c>
    </row>
    <row r="2353" spans="1:7" hidden="1" x14ac:dyDescent="0.25">
      <c r="A2353" s="28" t="s">
        <v>4543</v>
      </c>
      <c r="B2353" s="29">
        <v>52414.09</v>
      </c>
      <c r="F2353" t="s">
        <v>4543</v>
      </c>
      <c r="G2353">
        <v>1</v>
      </c>
    </row>
    <row r="2354" spans="1:7" hidden="1" x14ac:dyDescent="0.25">
      <c r="A2354" s="28" t="s">
        <v>3305</v>
      </c>
      <c r="B2354" s="29">
        <v>52414.09</v>
      </c>
      <c r="F2354" t="s">
        <v>3305</v>
      </c>
      <c r="G2354">
        <v>1</v>
      </c>
    </row>
    <row r="2355" spans="1:7" hidden="1" x14ac:dyDescent="0.25">
      <c r="A2355" s="28" t="s">
        <v>3456</v>
      </c>
      <c r="B2355" s="29">
        <v>52414.09</v>
      </c>
      <c r="F2355" t="s">
        <v>3456</v>
      </c>
      <c r="G2355">
        <v>1</v>
      </c>
    </row>
    <row r="2356" spans="1:7" hidden="1" x14ac:dyDescent="0.25">
      <c r="A2356" s="28" t="s">
        <v>4165</v>
      </c>
      <c r="B2356" s="29">
        <v>52414.09</v>
      </c>
      <c r="F2356" t="s">
        <v>4165</v>
      </c>
      <c r="G2356">
        <v>1</v>
      </c>
    </row>
    <row r="2357" spans="1:7" x14ac:dyDescent="0.25">
      <c r="A2357" s="28" t="s">
        <v>1439</v>
      </c>
      <c r="B2357" s="29">
        <v>53257.956850000002</v>
      </c>
      <c r="F2357" t="s">
        <v>1439</v>
      </c>
      <c r="G2357">
        <v>2</v>
      </c>
    </row>
    <row r="2358" spans="1:7" hidden="1" x14ac:dyDescent="0.25">
      <c r="A2358" s="28" t="s">
        <v>2549</v>
      </c>
      <c r="B2358" s="29">
        <v>52414.09</v>
      </c>
      <c r="F2358" t="s">
        <v>2549</v>
      </c>
      <c r="G2358">
        <v>1</v>
      </c>
    </row>
    <row r="2359" spans="1:7" hidden="1" x14ac:dyDescent="0.25">
      <c r="A2359" s="28" t="s">
        <v>4075</v>
      </c>
      <c r="B2359" s="29">
        <v>52414.09</v>
      </c>
      <c r="F2359" t="s">
        <v>4075</v>
      </c>
      <c r="G2359">
        <v>1</v>
      </c>
    </row>
    <row r="2360" spans="1:7" x14ac:dyDescent="0.25">
      <c r="A2360" s="28" t="s">
        <v>1580</v>
      </c>
      <c r="B2360" s="29">
        <v>53257.956850000002</v>
      </c>
      <c r="F2360" t="s">
        <v>1580</v>
      </c>
      <c r="G2360">
        <v>2</v>
      </c>
    </row>
    <row r="2361" spans="1:7" x14ac:dyDescent="0.25">
      <c r="A2361" s="28" t="s">
        <v>935</v>
      </c>
      <c r="B2361" s="29">
        <v>53257.956850000002</v>
      </c>
      <c r="F2361" t="s">
        <v>935</v>
      </c>
      <c r="G2361">
        <v>2</v>
      </c>
    </row>
    <row r="2362" spans="1:7" hidden="1" x14ac:dyDescent="0.25">
      <c r="A2362" s="28" t="s">
        <v>3931</v>
      </c>
      <c r="B2362" s="29">
        <v>52414.09</v>
      </c>
      <c r="F2362" t="s">
        <v>3931</v>
      </c>
      <c r="G2362">
        <v>1</v>
      </c>
    </row>
    <row r="2363" spans="1:7" x14ac:dyDescent="0.25">
      <c r="A2363" s="28" t="s">
        <v>1448</v>
      </c>
      <c r="B2363" s="29">
        <v>53257.956850000002</v>
      </c>
      <c r="F2363" t="s">
        <v>1448</v>
      </c>
      <c r="G2363">
        <v>2</v>
      </c>
    </row>
    <row r="2364" spans="1:7" hidden="1" x14ac:dyDescent="0.25">
      <c r="A2364" s="28" t="s">
        <v>4076</v>
      </c>
      <c r="B2364" s="29">
        <v>52414.09</v>
      </c>
      <c r="F2364" t="s">
        <v>4076</v>
      </c>
      <c r="G2364">
        <v>1</v>
      </c>
    </row>
    <row r="2365" spans="1:7" x14ac:dyDescent="0.25">
      <c r="A2365" s="28" t="s">
        <v>1444</v>
      </c>
      <c r="B2365" s="29">
        <v>53257.956850000002</v>
      </c>
      <c r="F2365" t="s">
        <v>1444</v>
      </c>
      <c r="G2365">
        <v>2</v>
      </c>
    </row>
    <row r="2366" spans="1:7" x14ac:dyDescent="0.25">
      <c r="A2366" s="28" t="s">
        <v>1414</v>
      </c>
      <c r="B2366" s="29">
        <v>57758.538100000005</v>
      </c>
      <c r="F2366" t="s">
        <v>1414</v>
      </c>
      <c r="G2366">
        <v>2</v>
      </c>
    </row>
    <row r="2367" spans="1:7" x14ac:dyDescent="0.25">
      <c r="A2367" s="28" t="s">
        <v>357</v>
      </c>
      <c r="B2367" s="29">
        <v>53257.956850000002</v>
      </c>
      <c r="F2367" t="s">
        <v>357</v>
      </c>
      <c r="G2367">
        <v>2</v>
      </c>
    </row>
    <row r="2368" spans="1:7" hidden="1" x14ac:dyDescent="0.25">
      <c r="A2368" s="28" t="s">
        <v>4095</v>
      </c>
      <c r="B2368" s="29">
        <v>52414.09</v>
      </c>
      <c r="F2368" t="s">
        <v>4095</v>
      </c>
      <c r="G2368">
        <v>1</v>
      </c>
    </row>
    <row r="2369" spans="1:7" x14ac:dyDescent="0.25">
      <c r="A2369" s="28" t="s">
        <v>1324</v>
      </c>
      <c r="B2369" s="29">
        <v>57758.538100000005</v>
      </c>
      <c r="F2369" t="s">
        <v>1324</v>
      </c>
      <c r="G2369">
        <v>2</v>
      </c>
    </row>
    <row r="2370" spans="1:7" hidden="1" x14ac:dyDescent="0.25">
      <c r="A2370" s="28" t="s">
        <v>2451</v>
      </c>
      <c r="B2370" s="29">
        <v>52414.09</v>
      </c>
      <c r="F2370" t="s">
        <v>2451</v>
      </c>
      <c r="G2370">
        <v>1</v>
      </c>
    </row>
    <row r="2371" spans="1:7" x14ac:dyDescent="0.25">
      <c r="A2371" s="28" t="s">
        <v>1186</v>
      </c>
      <c r="B2371" s="29">
        <v>53257.956850000002</v>
      </c>
      <c r="F2371" t="s">
        <v>1186</v>
      </c>
      <c r="G2371">
        <v>2</v>
      </c>
    </row>
    <row r="2372" spans="1:7" x14ac:dyDescent="0.25">
      <c r="A2372" s="28" t="s">
        <v>1174</v>
      </c>
      <c r="B2372" s="29">
        <v>53257.956850000002</v>
      </c>
      <c r="F2372" t="s">
        <v>1174</v>
      </c>
      <c r="G2372">
        <v>2</v>
      </c>
    </row>
    <row r="2373" spans="1:7" hidden="1" x14ac:dyDescent="0.25">
      <c r="A2373" s="28" t="s">
        <v>3098</v>
      </c>
      <c r="B2373" s="29">
        <v>52414.09</v>
      </c>
      <c r="F2373" t="s">
        <v>3098</v>
      </c>
      <c r="G2373">
        <v>1</v>
      </c>
    </row>
    <row r="2374" spans="1:7" hidden="1" x14ac:dyDescent="0.25">
      <c r="A2374" s="28" t="s">
        <v>3803</v>
      </c>
      <c r="B2374" s="29">
        <v>52414.09</v>
      </c>
      <c r="F2374" t="s">
        <v>3803</v>
      </c>
      <c r="G2374">
        <v>1</v>
      </c>
    </row>
    <row r="2375" spans="1:7" hidden="1" x14ac:dyDescent="0.25">
      <c r="A2375" s="28" t="s">
        <v>3812</v>
      </c>
      <c r="B2375" s="29">
        <v>52414.09</v>
      </c>
      <c r="F2375" t="s">
        <v>3812</v>
      </c>
      <c r="G2375">
        <v>1</v>
      </c>
    </row>
    <row r="2376" spans="1:7" x14ac:dyDescent="0.25">
      <c r="A2376" s="28" t="s">
        <v>820</v>
      </c>
      <c r="B2376" s="29">
        <v>53257.956850000002</v>
      </c>
      <c r="F2376" t="s">
        <v>820</v>
      </c>
      <c r="G2376">
        <v>2</v>
      </c>
    </row>
    <row r="2377" spans="1:7" hidden="1" x14ac:dyDescent="0.25">
      <c r="A2377" s="28" t="s">
        <v>4057</v>
      </c>
      <c r="B2377" s="29">
        <v>52414.09</v>
      </c>
      <c r="F2377" t="s">
        <v>4057</v>
      </c>
      <c r="G2377">
        <v>1</v>
      </c>
    </row>
    <row r="2378" spans="1:7" x14ac:dyDescent="0.25">
      <c r="A2378" s="28" t="s">
        <v>821</v>
      </c>
      <c r="B2378" s="29">
        <v>53257.956850000002</v>
      </c>
      <c r="F2378" t="s">
        <v>821</v>
      </c>
      <c r="G2378">
        <v>2</v>
      </c>
    </row>
    <row r="2379" spans="1:7" x14ac:dyDescent="0.25">
      <c r="A2379" s="28" t="s">
        <v>1397</v>
      </c>
      <c r="B2379" s="29">
        <v>53257.956850000002</v>
      </c>
      <c r="F2379" t="s">
        <v>1397</v>
      </c>
      <c r="G2379">
        <v>2</v>
      </c>
    </row>
    <row r="2380" spans="1:7" x14ac:dyDescent="0.25">
      <c r="A2380" s="28" t="s">
        <v>375</v>
      </c>
      <c r="B2380" s="29">
        <v>53257.956850000002</v>
      </c>
      <c r="F2380" t="s">
        <v>375</v>
      </c>
      <c r="G2380">
        <v>2</v>
      </c>
    </row>
    <row r="2381" spans="1:7" x14ac:dyDescent="0.25">
      <c r="A2381" s="28" t="s">
        <v>841</v>
      </c>
      <c r="B2381" s="29">
        <v>53257.956850000002</v>
      </c>
      <c r="F2381" t="s">
        <v>841</v>
      </c>
      <c r="G2381">
        <v>2</v>
      </c>
    </row>
    <row r="2382" spans="1:7" hidden="1" x14ac:dyDescent="0.25">
      <c r="A2382" s="28" t="s">
        <v>4519</v>
      </c>
      <c r="B2382" s="29">
        <v>52414.09</v>
      </c>
      <c r="F2382" t="s">
        <v>4519</v>
      </c>
      <c r="G2382">
        <v>1</v>
      </c>
    </row>
    <row r="2383" spans="1:7" hidden="1" x14ac:dyDescent="0.25">
      <c r="A2383" s="28" t="s">
        <v>4074</v>
      </c>
      <c r="B2383" s="29">
        <v>52414.09</v>
      </c>
      <c r="F2383" t="s">
        <v>4074</v>
      </c>
      <c r="G2383">
        <v>1</v>
      </c>
    </row>
    <row r="2384" spans="1:7" hidden="1" x14ac:dyDescent="0.25">
      <c r="A2384" s="28" t="s">
        <v>3672</v>
      </c>
      <c r="B2384" s="29">
        <v>52414.09</v>
      </c>
      <c r="F2384" t="s">
        <v>3672</v>
      </c>
      <c r="G2384">
        <v>1</v>
      </c>
    </row>
    <row r="2385" spans="1:7" hidden="1" x14ac:dyDescent="0.25">
      <c r="A2385" s="28" t="s">
        <v>3950</v>
      </c>
      <c r="B2385" s="29">
        <v>52414.09</v>
      </c>
      <c r="F2385" t="s">
        <v>3950</v>
      </c>
      <c r="G2385">
        <v>1</v>
      </c>
    </row>
    <row r="2386" spans="1:7" hidden="1" x14ac:dyDescent="0.25">
      <c r="A2386" s="28" t="s">
        <v>3996</v>
      </c>
      <c r="B2386" s="29">
        <v>52414.09</v>
      </c>
      <c r="F2386" t="s">
        <v>3996</v>
      </c>
      <c r="G2386">
        <v>1</v>
      </c>
    </row>
    <row r="2387" spans="1:7" hidden="1" x14ac:dyDescent="0.25">
      <c r="A2387" s="28" t="s">
        <v>4554</v>
      </c>
      <c r="B2387" s="29">
        <v>52414.09</v>
      </c>
      <c r="F2387" t="s">
        <v>4554</v>
      </c>
      <c r="G2387">
        <v>1</v>
      </c>
    </row>
    <row r="2388" spans="1:7" hidden="1" x14ac:dyDescent="0.25">
      <c r="A2388" s="28" t="s">
        <v>3228</v>
      </c>
      <c r="B2388" s="29">
        <v>52414.09</v>
      </c>
      <c r="F2388" t="s">
        <v>3228</v>
      </c>
      <c r="G2388">
        <v>1</v>
      </c>
    </row>
    <row r="2389" spans="1:7" x14ac:dyDescent="0.25">
      <c r="A2389" s="28" t="s">
        <v>1552</v>
      </c>
      <c r="B2389" s="29">
        <v>53257.956850000002</v>
      </c>
      <c r="F2389" t="s">
        <v>1552</v>
      </c>
      <c r="G2389">
        <v>2</v>
      </c>
    </row>
    <row r="2390" spans="1:7" hidden="1" x14ac:dyDescent="0.25">
      <c r="A2390" s="28" t="s">
        <v>3063</v>
      </c>
      <c r="B2390" s="29">
        <v>52414.09</v>
      </c>
      <c r="F2390" t="s">
        <v>3063</v>
      </c>
      <c r="G2390">
        <v>1</v>
      </c>
    </row>
    <row r="2391" spans="1:7" hidden="1" x14ac:dyDescent="0.25">
      <c r="A2391" s="28" t="s">
        <v>3493</v>
      </c>
      <c r="B2391" s="29">
        <v>52414.09</v>
      </c>
      <c r="F2391" t="s">
        <v>3493</v>
      </c>
      <c r="G2391">
        <v>1</v>
      </c>
    </row>
    <row r="2392" spans="1:7" x14ac:dyDescent="0.25">
      <c r="A2392" s="28" t="s">
        <v>1350</v>
      </c>
      <c r="B2392" s="29">
        <v>53257.956850000002</v>
      </c>
      <c r="F2392" t="s">
        <v>1350</v>
      </c>
      <c r="G2392">
        <v>2</v>
      </c>
    </row>
    <row r="2393" spans="1:7" hidden="1" x14ac:dyDescent="0.25">
      <c r="A2393" s="28" t="s">
        <v>4249</v>
      </c>
      <c r="B2393" s="29">
        <v>52414.09</v>
      </c>
      <c r="F2393" t="s">
        <v>4249</v>
      </c>
      <c r="G2393">
        <v>1</v>
      </c>
    </row>
    <row r="2394" spans="1:7" x14ac:dyDescent="0.25">
      <c r="A2394" s="28" t="s">
        <v>1142</v>
      </c>
      <c r="B2394" s="29">
        <v>53257.956850000002</v>
      </c>
      <c r="F2394" t="s">
        <v>1142</v>
      </c>
      <c r="G2394">
        <v>2</v>
      </c>
    </row>
    <row r="2395" spans="1:7" x14ac:dyDescent="0.25">
      <c r="A2395" s="28" t="s">
        <v>944</v>
      </c>
      <c r="B2395" s="29">
        <v>53257.956850000002</v>
      </c>
      <c r="F2395" t="s">
        <v>944</v>
      </c>
      <c r="G2395">
        <v>2</v>
      </c>
    </row>
    <row r="2396" spans="1:7" hidden="1" x14ac:dyDescent="0.25">
      <c r="A2396" s="28" t="s">
        <v>4082</v>
      </c>
      <c r="B2396" s="29">
        <v>52414.09</v>
      </c>
      <c r="F2396" t="s">
        <v>4082</v>
      </c>
      <c r="G2396">
        <v>1</v>
      </c>
    </row>
    <row r="2397" spans="1:7" x14ac:dyDescent="0.25">
      <c r="A2397" s="28" t="s">
        <v>1294</v>
      </c>
      <c r="B2397" s="29">
        <v>53257.956850000002</v>
      </c>
      <c r="F2397" t="s">
        <v>1294</v>
      </c>
      <c r="G2397">
        <v>2</v>
      </c>
    </row>
    <row r="2398" spans="1:7" hidden="1" x14ac:dyDescent="0.25">
      <c r="A2398" s="28" t="s">
        <v>3371</v>
      </c>
      <c r="B2398" s="29">
        <v>52414.09</v>
      </c>
      <c r="F2398" t="s">
        <v>3371</v>
      </c>
      <c r="G2398">
        <v>1</v>
      </c>
    </row>
    <row r="2399" spans="1:7" x14ac:dyDescent="0.25">
      <c r="A2399" s="28" t="s">
        <v>822</v>
      </c>
      <c r="B2399" s="29">
        <v>53257.956850000002</v>
      </c>
      <c r="F2399" t="s">
        <v>822</v>
      </c>
      <c r="G2399">
        <v>2</v>
      </c>
    </row>
    <row r="2400" spans="1:7" hidden="1" x14ac:dyDescent="0.25">
      <c r="A2400" s="28" t="s">
        <v>3428</v>
      </c>
      <c r="B2400" s="29">
        <v>52414.09</v>
      </c>
      <c r="F2400" t="s">
        <v>3428</v>
      </c>
      <c r="G2400">
        <v>1</v>
      </c>
    </row>
    <row r="2401" spans="1:7" hidden="1" x14ac:dyDescent="0.25">
      <c r="A2401" s="28" t="s">
        <v>4060</v>
      </c>
      <c r="B2401" s="29">
        <v>52414.09</v>
      </c>
      <c r="F2401" t="s">
        <v>4060</v>
      </c>
      <c r="G2401">
        <v>1</v>
      </c>
    </row>
    <row r="2402" spans="1:7" hidden="1" x14ac:dyDescent="0.25">
      <c r="A2402" s="28" t="s">
        <v>3374</v>
      </c>
      <c r="B2402" s="29">
        <v>52414.09</v>
      </c>
      <c r="F2402" t="s">
        <v>3374</v>
      </c>
      <c r="G2402">
        <v>1</v>
      </c>
    </row>
    <row r="2403" spans="1:7" hidden="1" x14ac:dyDescent="0.25">
      <c r="A2403" s="28" t="s">
        <v>4113</v>
      </c>
      <c r="B2403" s="29">
        <v>52414.09</v>
      </c>
      <c r="F2403" t="s">
        <v>4113</v>
      </c>
      <c r="G2403">
        <v>1</v>
      </c>
    </row>
    <row r="2404" spans="1:7" hidden="1" x14ac:dyDescent="0.25">
      <c r="A2404" s="28" t="s">
        <v>4431</v>
      </c>
      <c r="B2404" s="29">
        <v>52414.09</v>
      </c>
      <c r="F2404" t="s">
        <v>4431</v>
      </c>
      <c r="G2404">
        <v>1</v>
      </c>
    </row>
    <row r="2405" spans="1:7" x14ac:dyDescent="0.25">
      <c r="A2405" s="28" t="s">
        <v>1401</v>
      </c>
      <c r="B2405" s="29">
        <v>57758.538100000005</v>
      </c>
      <c r="F2405" t="s">
        <v>1401</v>
      </c>
      <c r="G2405">
        <v>2</v>
      </c>
    </row>
    <row r="2406" spans="1:7" hidden="1" x14ac:dyDescent="0.25">
      <c r="A2406" s="28" t="s">
        <v>3779</v>
      </c>
      <c r="B2406" s="29">
        <v>52414.09</v>
      </c>
      <c r="F2406" t="s">
        <v>3779</v>
      </c>
      <c r="G2406">
        <v>1</v>
      </c>
    </row>
    <row r="2407" spans="1:7" hidden="1" x14ac:dyDescent="0.25">
      <c r="A2407" s="28" t="s">
        <v>3824</v>
      </c>
      <c r="B2407" s="29">
        <v>52414.09</v>
      </c>
      <c r="F2407" t="s">
        <v>3824</v>
      </c>
      <c r="G2407">
        <v>1</v>
      </c>
    </row>
    <row r="2408" spans="1:7" hidden="1" x14ac:dyDescent="0.25">
      <c r="A2408" s="28" t="s">
        <v>3881</v>
      </c>
      <c r="B2408" s="29">
        <v>52414.09</v>
      </c>
      <c r="F2408" t="s">
        <v>3881</v>
      </c>
      <c r="G2408">
        <v>1</v>
      </c>
    </row>
    <row r="2409" spans="1:7" hidden="1" x14ac:dyDescent="0.25">
      <c r="A2409" s="28" t="s">
        <v>3620</v>
      </c>
      <c r="B2409" s="29">
        <v>52414.09</v>
      </c>
      <c r="F2409" t="s">
        <v>3620</v>
      </c>
      <c r="G2409">
        <v>1</v>
      </c>
    </row>
    <row r="2410" spans="1:7" hidden="1" x14ac:dyDescent="0.25">
      <c r="A2410" s="28" t="s">
        <v>4228</v>
      </c>
      <c r="B2410" s="29">
        <v>45834.68</v>
      </c>
      <c r="F2410" t="s">
        <v>4228</v>
      </c>
      <c r="G2410">
        <v>1</v>
      </c>
    </row>
    <row r="2411" spans="1:7" hidden="1" x14ac:dyDescent="0.25">
      <c r="A2411" s="28" t="s">
        <v>3562</v>
      </c>
      <c r="B2411" s="29">
        <v>54963.53</v>
      </c>
      <c r="F2411" t="s">
        <v>3562</v>
      </c>
      <c r="G2411">
        <v>1</v>
      </c>
    </row>
    <row r="2412" spans="1:7" hidden="1" x14ac:dyDescent="0.25">
      <c r="A2412" s="28" t="s">
        <v>2936</v>
      </c>
      <c r="B2412" s="29">
        <v>45834.68</v>
      </c>
      <c r="F2412" t="s">
        <v>2936</v>
      </c>
      <c r="G2412">
        <v>1</v>
      </c>
    </row>
    <row r="2413" spans="1:7" hidden="1" x14ac:dyDescent="0.25">
      <c r="A2413" s="28" t="s">
        <v>2831</v>
      </c>
      <c r="B2413" s="29">
        <v>55424.27</v>
      </c>
      <c r="F2413" t="s">
        <v>2831</v>
      </c>
      <c r="G2413">
        <v>1</v>
      </c>
    </row>
    <row r="2414" spans="1:7" hidden="1" x14ac:dyDescent="0.25">
      <c r="A2414" s="28" t="s">
        <v>2778</v>
      </c>
      <c r="B2414" s="29">
        <v>55424.27</v>
      </c>
      <c r="F2414" t="s">
        <v>2778</v>
      </c>
      <c r="G2414">
        <v>1</v>
      </c>
    </row>
    <row r="2415" spans="1:7" hidden="1" x14ac:dyDescent="0.25">
      <c r="A2415" s="28" t="s">
        <v>3412</v>
      </c>
      <c r="B2415" s="29">
        <v>55424.27</v>
      </c>
      <c r="F2415" t="s">
        <v>3412</v>
      </c>
      <c r="G2415">
        <v>1</v>
      </c>
    </row>
    <row r="2416" spans="1:7" hidden="1" x14ac:dyDescent="0.25">
      <c r="A2416" s="28" t="s">
        <v>2824</v>
      </c>
      <c r="B2416" s="29">
        <v>55424.27</v>
      </c>
      <c r="F2416" t="s">
        <v>2824</v>
      </c>
      <c r="G2416">
        <v>1</v>
      </c>
    </row>
    <row r="2417" spans="1:7" hidden="1" x14ac:dyDescent="0.25">
      <c r="A2417" s="28" t="s">
        <v>5017</v>
      </c>
      <c r="B2417" s="29">
        <v>55424.27</v>
      </c>
      <c r="F2417" t="s">
        <v>5017</v>
      </c>
      <c r="G2417">
        <v>1</v>
      </c>
    </row>
    <row r="2418" spans="1:7" hidden="1" x14ac:dyDescent="0.25">
      <c r="A2418" s="28" t="s">
        <v>4940</v>
      </c>
      <c r="B2418" s="29">
        <v>55424.27</v>
      </c>
      <c r="F2418" t="s">
        <v>4940</v>
      </c>
      <c r="G2418">
        <v>1</v>
      </c>
    </row>
    <row r="2419" spans="1:7" hidden="1" x14ac:dyDescent="0.25">
      <c r="A2419" s="28" t="s">
        <v>5065</v>
      </c>
      <c r="B2419" s="29">
        <v>45834.68</v>
      </c>
      <c r="F2419" t="s">
        <v>5065</v>
      </c>
      <c r="G2419">
        <v>1</v>
      </c>
    </row>
    <row r="2420" spans="1:7" hidden="1" x14ac:dyDescent="0.25">
      <c r="A2420" s="28" t="s">
        <v>4350</v>
      </c>
      <c r="B2420" s="29">
        <v>45834.68</v>
      </c>
      <c r="F2420" t="s">
        <v>4350</v>
      </c>
      <c r="G2420">
        <v>1</v>
      </c>
    </row>
    <row r="2421" spans="1:7" hidden="1" x14ac:dyDescent="0.25">
      <c r="A2421" s="28" t="s">
        <v>3356</v>
      </c>
      <c r="B2421" s="29">
        <v>45834.68</v>
      </c>
      <c r="F2421" t="s">
        <v>3356</v>
      </c>
      <c r="G2421">
        <v>1</v>
      </c>
    </row>
    <row r="2422" spans="1:7" hidden="1" x14ac:dyDescent="0.25">
      <c r="A2422" s="28" t="s">
        <v>4941</v>
      </c>
      <c r="B2422" s="29">
        <v>45834.68</v>
      </c>
      <c r="F2422" t="s">
        <v>4941</v>
      </c>
      <c r="G2422">
        <v>1</v>
      </c>
    </row>
    <row r="2423" spans="1:7" hidden="1" x14ac:dyDescent="0.25">
      <c r="A2423" s="28" t="s">
        <v>4882</v>
      </c>
      <c r="B2423" s="29">
        <v>45834.68</v>
      </c>
      <c r="F2423" t="s">
        <v>4882</v>
      </c>
      <c r="G2423">
        <v>1</v>
      </c>
    </row>
    <row r="2424" spans="1:7" hidden="1" x14ac:dyDescent="0.25">
      <c r="A2424" s="28" t="s">
        <v>5006</v>
      </c>
      <c r="B2424" s="29">
        <v>45834.68</v>
      </c>
      <c r="F2424" t="s">
        <v>5006</v>
      </c>
      <c r="G2424">
        <v>1</v>
      </c>
    </row>
    <row r="2425" spans="1:7" hidden="1" x14ac:dyDescent="0.25">
      <c r="A2425" s="28" t="s">
        <v>3241</v>
      </c>
      <c r="B2425" s="29">
        <v>45834.68</v>
      </c>
      <c r="F2425" t="s">
        <v>3241</v>
      </c>
      <c r="G2425">
        <v>1</v>
      </c>
    </row>
    <row r="2426" spans="1:7" x14ac:dyDescent="0.25">
      <c r="A2426" s="28" t="s">
        <v>623</v>
      </c>
      <c r="B2426" s="29">
        <v>53257.956850000002</v>
      </c>
      <c r="F2426" t="s">
        <v>623</v>
      </c>
      <c r="G2426">
        <v>2</v>
      </c>
    </row>
    <row r="2427" spans="1:7" hidden="1" x14ac:dyDescent="0.25">
      <c r="A2427" s="28" t="s">
        <v>2522</v>
      </c>
      <c r="B2427" s="29">
        <v>53175.85</v>
      </c>
      <c r="F2427" t="s">
        <v>2522</v>
      </c>
      <c r="G2427">
        <v>1</v>
      </c>
    </row>
    <row r="2428" spans="1:7" hidden="1" x14ac:dyDescent="0.25">
      <c r="A2428" s="28" t="s">
        <v>5009</v>
      </c>
      <c r="B2428" s="29">
        <v>53175.85</v>
      </c>
      <c r="F2428" t="s">
        <v>5009</v>
      </c>
      <c r="G2428">
        <v>1</v>
      </c>
    </row>
    <row r="2429" spans="1:7" hidden="1" x14ac:dyDescent="0.25">
      <c r="A2429" s="28" t="s">
        <v>3122</v>
      </c>
      <c r="B2429" s="29">
        <v>53175.85</v>
      </c>
      <c r="F2429" t="s">
        <v>3122</v>
      </c>
      <c r="G2429">
        <v>1</v>
      </c>
    </row>
    <row r="2430" spans="1:7" hidden="1" x14ac:dyDescent="0.25">
      <c r="A2430" s="28" t="s">
        <v>2350</v>
      </c>
      <c r="B2430" s="29">
        <v>54963.53</v>
      </c>
      <c r="F2430" t="s">
        <v>2350</v>
      </c>
      <c r="G2430">
        <v>1</v>
      </c>
    </row>
    <row r="2431" spans="1:7" hidden="1" x14ac:dyDescent="0.25">
      <c r="A2431" s="28" t="s">
        <v>4734</v>
      </c>
      <c r="B2431" s="29">
        <v>54963.53</v>
      </c>
      <c r="F2431" t="s">
        <v>4734</v>
      </c>
      <c r="G2431">
        <v>1</v>
      </c>
    </row>
    <row r="2432" spans="1:7" hidden="1" x14ac:dyDescent="0.25">
      <c r="A2432" s="28" t="s">
        <v>2760</v>
      </c>
      <c r="B2432" s="29">
        <v>54963.53</v>
      </c>
      <c r="F2432" t="s">
        <v>2760</v>
      </c>
      <c r="G2432">
        <v>1</v>
      </c>
    </row>
    <row r="2433" spans="1:7" hidden="1" x14ac:dyDescent="0.25">
      <c r="A2433" s="28" t="s">
        <v>5076</v>
      </c>
      <c r="B2433" s="29">
        <v>45834.68</v>
      </c>
      <c r="F2433" t="s">
        <v>5076</v>
      </c>
      <c r="G2433">
        <v>1</v>
      </c>
    </row>
    <row r="2434" spans="1:7" hidden="1" x14ac:dyDescent="0.25">
      <c r="A2434" s="28" t="s">
        <v>2680</v>
      </c>
      <c r="B2434" s="29">
        <v>45834.68</v>
      </c>
      <c r="F2434" t="s">
        <v>2680</v>
      </c>
      <c r="G2434">
        <v>1</v>
      </c>
    </row>
    <row r="2435" spans="1:7" x14ac:dyDescent="0.25">
      <c r="A2435" s="28" t="s">
        <v>1173</v>
      </c>
      <c r="B2435" s="29">
        <v>54031.981199999995</v>
      </c>
      <c r="F2435" t="s">
        <v>1173</v>
      </c>
      <c r="G2435">
        <v>2</v>
      </c>
    </row>
    <row r="2436" spans="1:7" hidden="1" x14ac:dyDescent="0.25">
      <c r="A2436" s="28" t="s">
        <v>4866</v>
      </c>
      <c r="B2436" s="29">
        <v>45834.68</v>
      </c>
      <c r="F2436" t="s">
        <v>4866</v>
      </c>
      <c r="G2436">
        <v>1</v>
      </c>
    </row>
    <row r="2437" spans="1:7" hidden="1" x14ac:dyDescent="0.25">
      <c r="A2437" s="28" t="s">
        <v>4581</v>
      </c>
      <c r="B2437" s="29">
        <v>54963.53</v>
      </c>
      <c r="F2437" t="s">
        <v>4581</v>
      </c>
      <c r="G2437">
        <v>1</v>
      </c>
    </row>
    <row r="2438" spans="1:7" hidden="1" x14ac:dyDescent="0.25">
      <c r="A2438" s="28" t="s">
        <v>4863</v>
      </c>
      <c r="B2438" s="29">
        <v>45834.68</v>
      </c>
      <c r="F2438" t="s">
        <v>4863</v>
      </c>
      <c r="G2438">
        <v>1</v>
      </c>
    </row>
    <row r="2439" spans="1:7" hidden="1" x14ac:dyDescent="0.25">
      <c r="A2439" s="28" t="s">
        <v>4348</v>
      </c>
      <c r="B2439" s="29">
        <v>52414.09</v>
      </c>
      <c r="F2439" t="s">
        <v>4348</v>
      </c>
      <c r="G2439">
        <v>1</v>
      </c>
    </row>
    <row r="2440" spans="1:7" hidden="1" x14ac:dyDescent="0.25">
      <c r="A2440" s="28" t="s">
        <v>2714</v>
      </c>
      <c r="B2440" s="29">
        <v>43672.26</v>
      </c>
      <c r="F2440" t="s">
        <v>2714</v>
      </c>
      <c r="G2440">
        <v>1</v>
      </c>
    </row>
    <row r="2441" spans="1:7" hidden="1" x14ac:dyDescent="0.25">
      <c r="A2441" s="28" t="s">
        <v>5004</v>
      </c>
      <c r="B2441" s="29">
        <v>43672.26</v>
      </c>
      <c r="F2441" t="s">
        <v>5004</v>
      </c>
      <c r="G2441">
        <v>1</v>
      </c>
    </row>
    <row r="2442" spans="1:7" hidden="1" x14ac:dyDescent="0.25">
      <c r="A2442" s="28" t="s">
        <v>5079</v>
      </c>
      <c r="B2442" s="29">
        <v>43672.26</v>
      </c>
      <c r="F2442" t="s">
        <v>5079</v>
      </c>
      <c r="G2442">
        <v>1</v>
      </c>
    </row>
    <row r="2443" spans="1:7" hidden="1" x14ac:dyDescent="0.25">
      <c r="A2443" s="28" t="s">
        <v>3117</v>
      </c>
      <c r="B2443" s="29">
        <v>43672.26</v>
      </c>
      <c r="F2443" t="s">
        <v>3117</v>
      </c>
      <c r="G2443">
        <v>1</v>
      </c>
    </row>
    <row r="2444" spans="1:7" hidden="1" x14ac:dyDescent="0.25">
      <c r="A2444" s="28" t="s">
        <v>5152</v>
      </c>
      <c r="B2444" s="29">
        <v>43672.26</v>
      </c>
      <c r="F2444" t="s">
        <v>5152</v>
      </c>
      <c r="G2444">
        <v>1</v>
      </c>
    </row>
    <row r="2445" spans="1:7" hidden="1" x14ac:dyDescent="0.25">
      <c r="A2445" s="28" t="s">
        <v>5147</v>
      </c>
      <c r="B2445" s="29">
        <v>45834.68</v>
      </c>
      <c r="F2445" t="s">
        <v>5147</v>
      </c>
      <c r="G2445">
        <v>1</v>
      </c>
    </row>
    <row r="2446" spans="1:7" hidden="1" x14ac:dyDescent="0.25">
      <c r="A2446" s="28" t="s">
        <v>5153</v>
      </c>
      <c r="B2446" s="29">
        <v>43672.26</v>
      </c>
      <c r="F2446" t="s">
        <v>5153</v>
      </c>
      <c r="G2446">
        <v>1</v>
      </c>
    </row>
    <row r="2447" spans="1:7" hidden="1" x14ac:dyDescent="0.25">
      <c r="A2447" s="28" t="s">
        <v>5157</v>
      </c>
      <c r="B2447" s="29">
        <v>43672.26</v>
      </c>
      <c r="F2447" t="s">
        <v>5157</v>
      </c>
      <c r="G2447">
        <v>1</v>
      </c>
    </row>
    <row r="2448" spans="1:7" hidden="1" x14ac:dyDescent="0.25">
      <c r="A2448" s="28" t="s">
        <v>5161</v>
      </c>
      <c r="B2448" s="29">
        <v>45834.68</v>
      </c>
      <c r="F2448" t="s">
        <v>5161</v>
      </c>
      <c r="G2448">
        <v>1</v>
      </c>
    </row>
    <row r="2449" spans="1:7" hidden="1" x14ac:dyDescent="0.25">
      <c r="A2449" s="28" t="s">
        <v>5162</v>
      </c>
      <c r="B2449" s="29">
        <v>45834.68</v>
      </c>
      <c r="F2449" t="s">
        <v>5162</v>
      </c>
      <c r="G2449">
        <v>1</v>
      </c>
    </row>
    <row r="2450" spans="1:7" hidden="1" x14ac:dyDescent="0.25">
      <c r="A2450" s="28" t="s">
        <v>5163</v>
      </c>
      <c r="B2450" s="29">
        <v>45834.68</v>
      </c>
      <c r="F2450" t="s">
        <v>5163</v>
      </c>
      <c r="G2450">
        <v>1</v>
      </c>
    </row>
    <row r="2451" spans="1:7" hidden="1" x14ac:dyDescent="0.25">
      <c r="A2451" s="28" t="s">
        <v>5158</v>
      </c>
      <c r="B2451" s="29">
        <v>43672.26</v>
      </c>
      <c r="F2451" t="s">
        <v>5158</v>
      </c>
      <c r="G2451">
        <v>1</v>
      </c>
    </row>
    <row r="2452" spans="1:7" hidden="1" x14ac:dyDescent="0.25">
      <c r="A2452" s="28" t="s">
        <v>5164</v>
      </c>
      <c r="B2452" s="29">
        <v>43672.26</v>
      </c>
      <c r="F2452" t="s">
        <v>5164</v>
      </c>
      <c r="G2452">
        <v>1</v>
      </c>
    </row>
    <row r="2453" spans="1:7" hidden="1" x14ac:dyDescent="0.25">
      <c r="A2453" s="28" t="s">
        <v>5154</v>
      </c>
      <c r="B2453" s="29">
        <v>45834.68</v>
      </c>
      <c r="F2453" t="s">
        <v>5154</v>
      </c>
      <c r="G2453">
        <v>1</v>
      </c>
    </row>
    <row r="2454" spans="1:7" hidden="1" x14ac:dyDescent="0.25">
      <c r="A2454" s="28" t="s">
        <v>3061</v>
      </c>
      <c r="B2454" s="29">
        <v>45834.68</v>
      </c>
      <c r="F2454" t="s">
        <v>3061</v>
      </c>
      <c r="G2454">
        <v>1</v>
      </c>
    </row>
    <row r="2455" spans="1:7" hidden="1" x14ac:dyDescent="0.25">
      <c r="A2455" s="28" t="s">
        <v>5051</v>
      </c>
      <c r="B2455" s="29">
        <v>45834.68</v>
      </c>
      <c r="F2455" t="s">
        <v>5051</v>
      </c>
      <c r="G2455">
        <v>1</v>
      </c>
    </row>
    <row r="2456" spans="1:7" hidden="1" x14ac:dyDescent="0.25">
      <c r="A2456" s="28" t="s">
        <v>5060</v>
      </c>
      <c r="B2456" s="29">
        <v>45834.68</v>
      </c>
      <c r="F2456" t="s">
        <v>5060</v>
      </c>
      <c r="G2456">
        <v>1</v>
      </c>
    </row>
    <row r="2457" spans="1:7" hidden="1" x14ac:dyDescent="0.25">
      <c r="A2457" s="28" t="s">
        <v>5033</v>
      </c>
      <c r="B2457" s="29">
        <v>45834.68</v>
      </c>
      <c r="F2457" t="s">
        <v>5033</v>
      </c>
      <c r="G2457">
        <v>1</v>
      </c>
    </row>
    <row r="2458" spans="1:7" hidden="1" x14ac:dyDescent="0.25">
      <c r="A2458" s="28" t="s">
        <v>1859</v>
      </c>
      <c r="B2458" s="29">
        <v>45834.68</v>
      </c>
      <c r="F2458" t="s">
        <v>1859</v>
      </c>
      <c r="G2458">
        <v>1</v>
      </c>
    </row>
    <row r="2459" spans="1:7" hidden="1" x14ac:dyDescent="0.25">
      <c r="A2459" s="28" t="s">
        <v>2895</v>
      </c>
      <c r="B2459" s="29">
        <v>45834.68</v>
      </c>
      <c r="F2459" t="s">
        <v>2895</v>
      </c>
      <c r="G2459">
        <v>1</v>
      </c>
    </row>
    <row r="2460" spans="1:7" hidden="1" x14ac:dyDescent="0.25">
      <c r="A2460" s="28" t="s">
        <v>3024</v>
      </c>
      <c r="B2460" s="29">
        <v>45834.68</v>
      </c>
      <c r="F2460" t="s">
        <v>3024</v>
      </c>
      <c r="G2460">
        <v>1</v>
      </c>
    </row>
    <row r="2461" spans="1:7" hidden="1" x14ac:dyDescent="0.25">
      <c r="A2461" s="28" t="s">
        <v>3187</v>
      </c>
      <c r="B2461" s="29">
        <v>45834.68</v>
      </c>
      <c r="F2461" t="s">
        <v>3187</v>
      </c>
      <c r="G2461">
        <v>1</v>
      </c>
    </row>
    <row r="2462" spans="1:7" hidden="1" x14ac:dyDescent="0.25">
      <c r="A2462" s="28" t="s">
        <v>1889</v>
      </c>
      <c r="B2462" s="29">
        <v>48857.15</v>
      </c>
      <c r="F2462" t="s">
        <v>1889</v>
      </c>
      <c r="G2462">
        <v>1</v>
      </c>
    </row>
    <row r="2463" spans="1:7" hidden="1" x14ac:dyDescent="0.25">
      <c r="A2463" s="28" t="s">
        <v>3392</v>
      </c>
      <c r="B2463" s="29">
        <v>48857.15</v>
      </c>
      <c r="F2463" t="s">
        <v>3392</v>
      </c>
      <c r="G2463">
        <v>1</v>
      </c>
    </row>
    <row r="2464" spans="1:7" hidden="1" x14ac:dyDescent="0.25">
      <c r="A2464" s="28" t="s">
        <v>2512</v>
      </c>
      <c r="B2464" s="29">
        <v>48857.15</v>
      </c>
      <c r="F2464" t="s">
        <v>2512</v>
      </c>
      <c r="G2464">
        <v>1</v>
      </c>
    </row>
    <row r="2465" spans="1:7" x14ac:dyDescent="0.25">
      <c r="A2465" s="28" t="s">
        <v>1512</v>
      </c>
      <c r="B2465" s="29">
        <v>49643.750100000005</v>
      </c>
      <c r="F2465" t="s">
        <v>1512</v>
      </c>
      <c r="G2465">
        <v>2</v>
      </c>
    </row>
    <row r="2466" spans="1:7" hidden="1" x14ac:dyDescent="0.25">
      <c r="A2466" s="28" t="s">
        <v>3993</v>
      </c>
      <c r="B2466" s="29">
        <v>45834.68</v>
      </c>
      <c r="F2466" t="s">
        <v>3993</v>
      </c>
      <c r="G2466">
        <v>1</v>
      </c>
    </row>
    <row r="2467" spans="1:7" hidden="1" x14ac:dyDescent="0.25">
      <c r="A2467" s="28" t="s">
        <v>4900</v>
      </c>
      <c r="B2467" s="29">
        <v>45834.68</v>
      </c>
      <c r="F2467" t="s">
        <v>4900</v>
      </c>
      <c r="G2467">
        <v>1</v>
      </c>
    </row>
    <row r="2468" spans="1:7" hidden="1" x14ac:dyDescent="0.25">
      <c r="A2468" s="28" t="s">
        <v>4800</v>
      </c>
      <c r="B2468" s="29">
        <v>45834.68</v>
      </c>
      <c r="F2468" t="s">
        <v>4800</v>
      </c>
      <c r="G2468">
        <v>1</v>
      </c>
    </row>
    <row r="2469" spans="1:7" hidden="1" x14ac:dyDescent="0.25">
      <c r="A2469" s="28" t="s">
        <v>4760</v>
      </c>
      <c r="B2469" s="29">
        <v>45834.68</v>
      </c>
      <c r="F2469" t="s">
        <v>4760</v>
      </c>
      <c r="G2469">
        <v>1</v>
      </c>
    </row>
    <row r="2470" spans="1:7" hidden="1" x14ac:dyDescent="0.25">
      <c r="A2470" s="28" t="s">
        <v>2272</v>
      </c>
      <c r="B2470" s="29">
        <v>45834.68</v>
      </c>
      <c r="F2470" t="s">
        <v>2272</v>
      </c>
      <c r="G2470">
        <v>1</v>
      </c>
    </row>
    <row r="2471" spans="1:7" hidden="1" x14ac:dyDescent="0.25">
      <c r="A2471" s="28" t="s">
        <v>5043</v>
      </c>
      <c r="B2471" s="29">
        <v>45834.68</v>
      </c>
      <c r="F2471" t="s">
        <v>5043</v>
      </c>
      <c r="G2471">
        <v>1</v>
      </c>
    </row>
    <row r="2472" spans="1:7" hidden="1" x14ac:dyDescent="0.25">
      <c r="A2472" s="28" t="s">
        <v>4844</v>
      </c>
      <c r="B2472" s="29">
        <v>45834.68</v>
      </c>
      <c r="F2472" t="s">
        <v>4844</v>
      </c>
      <c r="G2472">
        <v>1</v>
      </c>
    </row>
    <row r="2473" spans="1:7" hidden="1" x14ac:dyDescent="0.25">
      <c r="A2473" s="28" t="s">
        <v>4459</v>
      </c>
      <c r="B2473" s="29">
        <v>32976.89</v>
      </c>
      <c r="F2473" t="s">
        <v>4459</v>
      </c>
      <c r="G2473">
        <v>1</v>
      </c>
    </row>
    <row r="2474" spans="1:7" hidden="1" x14ac:dyDescent="0.25">
      <c r="A2474" s="28" t="s">
        <v>4496</v>
      </c>
      <c r="B2474" s="29">
        <v>45834.68</v>
      </c>
      <c r="F2474" t="s">
        <v>4496</v>
      </c>
      <c r="G2474">
        <v>1</v>
      </c>
    </row>
    <row r="2475" spans="1:7" hidden="1" x14ac:dyDescent="0.25">
      <c r="A2475" s="28" t="s">
        <v>2708</v>
      </c>
      <c r="B2475" s="29">
        <v>45834.68</v>
      </c>
      <c r="F2475" t="s">
        <v>2708</v>
      </c>
      <c r="G2475">
        <v>1</v>
      </c>
    </row>
    <row r="2476" spans="1:7" hidden="1" x14ac:dyDescent="0.25">
      <c r="A2476" s="28" t="s">
        <v>4861</v>
      </c>
      <c r="B2476" s="29">
        <v>45834.68</v>
      </c>
      <c r="F2476" t="s">
        <v>4861</v>
      </c>
      <c r="G2476">
        <v>1</v>
      </c>
    </row>
    <row r="2477" spans="1:7" hidden="1" x14ac:dyDescent="0.25">
      <c r="A2477" s="28" t="s">
        <v>5139</v>
      </c>
      <c r="B2477" s="29">
        <v>45834.68</v>
      </c>
      <c r="F2477" t="s">
        <v>5139</v>
      </c>
      <c r="G2477">
        <v>1</v>
      </c>
    </row>
    <row r="2478" spans="1:7" hidden="1" x14ac:dyDescent="0.25">
      <c r="A2478" s="28" t="s">
        <v>5148</v>
      </c>
      <c r="B2478" s="29">
        <v>45834.68</v>
      </c>
      <c r="F2478" t="s">
        <v>5148</v>
      </c>
      <c r="G2478">
        <v>1</v>
      </c>
    </row>
    <row r="2479" spans="1:7" hidden="1" x14ac:dyDescent="0.25">
      <c r="A2479" s="28" t="s">
        <v>2930</v>
      </c>
      <c r="B2479" s="29">
        <v>45834.68</v>
      </c>
      <c r="F2479" t="s">
        <v>2930</v>
      </c>
      <c r="G2479">
        <v>1</v>
      </c>
    </row>
    <row r="2480" spans="1:7" hidden="1" x14ac:dyDescent="0.25">
      <c r="A2480" s="28" t="s">
        <v>5096</v>
      </c>
      <c r="B2480" s="29">
        <v>32976.89</v>
      </c>
      <c r="F2480" t="s">
        <v>5096</v>
      </c>
      <c r="G2480">
        <v>1</v>
      </c>
    </row>
    <row r="2481" spans="1:7" hidden="1" x14ac:dyDescent="0.25">
      <c r="A2481" s="28" t="s">
        <v>5081</v>
      </c>
      <c r="B2481" s="29">
        <v>32976.89</v>
      </c>
      <c r="F2481" t="s">
        <v>5081</v>
      </c>
      <c r="G2481">
        <v>1</v>
      </c>
    </row>
    <row r="2482" spans="1:7" hidden="1" x14ac:dyDescent="0.25">
      <c r="A2482" s="28" t="s">
        <v>5068</v>
      </c>
      <c r="B2482" s="29">
        <v>32976.89</v>
      </c>
      <c r="F2482" t="s">
        <v>5068</v>
      </c>
      <c r="G2482">
        <v>1</v>
      </c>
    </row>
    <row r="2483" spans="1:7" hidden="1" x14ac:dyDescent="0.25">
      <c r="A2483" s="28" t="s">
        <v>5082</v>
      </c>
      <c r="B2483" s="29">
        <v>45834.68</v>
      </c>
      <c r="F2483" t="s">
        <v>5082</v>
      </c>
      <c r="G2483">
        <v>1</v>
      </c>
    </row>
    <row r="2484" spans="1:7" hidden="1" x14ac:dyDescent="0.25">
      <c r="A2484" s="28" t="s">
        <v>2086</v>
      </c>
      <c r="B2484" s="29">
        <v>45834.68</v>
      </c>
      <c r="F2484" t="s">
        <v>2086</v>
      </c>
      <c r="G2484">
        <v>1</v>
      </c>
    </row>
    <row r="2485" spans="1:7" hidden="1" x14ac:dyDescent="0.25">
      <c r="A2485" s="28" t="s">
        <v>5083</v>
      </c>
      <c r="B2485" s="29">
        <v>45834.68</v>
      </c>
      <c r="F2485" t="s">
        <v>5083</v>
      </c>
      <c r="G2485">
        <v>1</v>
      </c>
    </row>
    <row r="2486" spans="1:7" hidden="1" x14ac:dyDescent="0.25">
      <c r="A2486" s="28" t="s">
        <v>5115</v>
      </c>
      <c r="B2486" s="29">
        <v>32976.89</v>
      </c>
      <c r="F2486" t="s">
        <v>5115</v>
      </c>
      <c r="G2486">
        <v>1</v>
      </c>
    </row>
    <row r="2487" spans="1:7" hidden="1" x14ac:dyDescent="0.25">
      <c r="A2487" s="28" t="s">
        <v>5143</v>
      </c>
      <c r="B2487" s="29">
        <v>32976.89</v>
      </c>
      <c r="F2487" t="s">
        <v>5143</v>
      </c>
      <c r="G2487">
        <v>1</v>
      </c>
    </row>
    <row r="2488" spans="1:7" hidden="1" x14ac:dyDescent="0.25">
      <c r="A2488" s="28" t="s">
        <v>5097</v>
      </c>
      <c r="B2488" s="29">
        <v>32976.89</v>
      </c>
      <c r="F2488" t="s">
        <v>5097</v>
      </c>
      <c r="G2488">
        <v>1</v>
      </c>
    </row>
    <row r="2489" spans="1:7" hidden="1" x14ac:dyDescent="0.25">
      <c r="A2489" s="28" t="s">
        <v>5129</v>
      </c>
      <c r="B2489" s="29">
        <v>32976.89</v>
      </c>
      <c r="F2489" t="s">
        <v>5129</v>
      </c>
      <c r="G2489">
        <v>1</v>
      </c>
    </row>
    <row r="2490" spans="1:7" hidden="1" x14ac:dyDescent="0.25">
      <c r="A2490" s="28" t="s">
        <v>2773</v>
      </c>
      <c r="B2490" s="29">
        <v>32976.89</v>
      </c>
      <c r="F2490" t="s">
        <v>2773</v>
      </c>
      <c r="G2490">
        <v>1</v>
      </c>
    </row>
    <row r="2491" spans="1:7" hidden="1" x14ac:dyDescent="0.25">
      <c r="A2491" s="28" t="s">
        <v>5142</v>
      </c>
      <c r="B2491" s="29">
        <v>32976.89</v>
      </c>
      <c r="F2491" t="s">
        <v>5142</v>
      </c>
      <c r="G2491">
        <v>1</v>
      </c>
    </row>
    <row r="2492" spans="1:7" hidden="1" x14ac:dyDescent="0.25">
      <c r="A2492" s="28" t="s">
        <v>2224</v>
      </c>
      <c r="B2492" s="29">
        <v>32976.89</v>
      </c>
      <c r="F2492" t="s">
        <v>2224</v>
      </c>
      <c r="G2492">
        <v>1</v>
      </c>
    </row>
    <row r="2493" spans="1:7" hidden="1" x14ac:dyDescent="0.25">
      <c r="A2493" s="28" t="s">
        <v>5149</v>
      </c>
      <c r="B2493" s="29">
        <v>32976.89</v>
      </c>
      <c r="F2493" t="s">
        <v>5149</v>
      </c>
      <c r="G2493">
        <v>1</v>
      </c>
    </row>
    <row r="2494" spans="1:7" hidden="1" x14ac:dyDescent="0.25">
      <c r="A2494" s="28" t="s">
        <v>2829</v>
      </c>
      <c r="B2494" s="29">
        <v>32976.89</v>
      </c>
      <c r="F2494" t="s">
        <v>2829</v>
      </c>
      <c r="G2494">
        <v>1</v>
      </c>
    </row>
    <row r="2495" spans="1:7" hidden="1" x14ac:dyDescent="0.25">
      <c r="A2495" s="28" t="s">
        <v>5131</v>
      </c>
      <c r="B2495" s="29">
        <v>32976.89</v>
      </c>
      <c r="F2495" t="s">
        <v>5131</v>
      </c>
      <c r="G2495">
        <v>1</v>
      </c>
    </row>
    <row r="2496" spans="1:7" hidden="1" x14ac:dyDescent="0.25">
      <c r="A2496" s="28" t="s">
        <v>5102</v>
      </c>
      <c r="B2496" s="29">
        <v>32976.89</v>
      </c>
      <c r="F2496" t="s">
        <v>5102</v>
      </c>
      <c r="G2496">
        <v>1</v>
      </c>
    </row>
    <row r="2497" spans="1:7" hidden="1" x14ac:dyDescent="0.25">
      <c r="A2497" s="28" t="s">
        <v>2069</v>
      </c>
      <c r="B2497" s="29">
        <v>32976.89</v>
      </c>
      <c r="F2497" t="s">
        <v>2069</v>
      </c>
      <c r="G2497">
        <v>1</v>
      </c>
    </row>
    <row r="2498" spans="1:7" hidden="1" x14ac:dyDescent="0.25">
      <c r="A2498" s="28" t="s">
        <v>5111</v>
      </c>
      <c r="B2498" s="29">
        <v>32976.89</v>
      </c>
      <c r="F2498" t="s">
        <v>5111</v>
      </c>
      <c r="G2498">
        <v>1</v>
      </c>
    </row>
    <row r="2499" spans="1:7" hidden="1" x14ac:dyDescent="0.25">
      <c r="A2499" s="28" t="s">
        <v>2424</v>
      </c>
      <c r="B2499" s="29">
        <v>32976.89</v>
      </c>
      <c r="F2499" t="s">
        <v>2424</v>
      </c>
      <c r="G2499">
        <v>1</v>
      </c>
    </row>
    <row r="2500" spans="1:7" hidden="1" x14ac:dyDescent="0.25">
      <c r="A2500" s="28" t="s">
        <v>2400</v>
      </c>
      <c r="B2500" s="29">
        <v>32976.89</v>
      </c>
      <c r="F2500" t="s">
        <v>2400</v>
      </c>
      <c r="G2500">
        <v>1</v>
      </c>
    </row>
    <row r="2501" spans="1:7" hidden="1" x14ac:dyDescent="0.25">
      <c r="A2501" s="28" t="s">
        <v>2063</v>
      </c>
      <c r="B2501" s="29">
        <v>32976.89</v>
      </c>
      <c r="F2501" t="s">
        <v>2063</v>
      </c>
      <c r="G2501">
        <v>1</v>
      </c>
    </row>
    <row r="2502" spans="1:7" hidden="1" x14ac:dyDescent="0.25">
      <c r="A2502" s="28" t="s">
        <v>2642</v>
      </c>
      <c r="B2502" s="29">
        <v>32976.89</v>
      </c>
      <c r="F2502" t="s">
        <v>2642</v>
      </c>
      <c r="G2502">
        <v>1</v>
      </c>
    </row>
    <row r="2503" spans="1:7" hidden="1" x14ac:dyDescent="0.25">
      <c r="A2503" s="28" t="s">
        <v>2806</v>
      </c>
      <c r="B2503" s="29">
        <v>32976.89</v>
      </c>
      <c r="F2503" t="s">
        <v>2806</v>
      </c>
      <c r="G2503">
        <v>1</v>
      </c>
    </row>
    <row r="2504" spans="1:7" hidden="1" x14ac:dyDescent="0.25">
      <c r="A2504" s="28" t="s">
        <v>2830</v>
      </c>
      <c r="B2504" s="29">
        <v>32976.89</v>
      </c>
      <c r="F2504" t="s">
        <v>2830</v>
      </c>
      <c r="G2504">
        <v>1</v>
      </c>
    </row>
    <row r="2505" spans="1:7" hidden="1" x14ac:dyDescent="0.25">
      <c r="A2505" s="28" t="s">
        <v>5126</v>
      </c>
      <c r="B2505" s="29">
        <v>32976.89</v>
      </c>
      <c r="F2505" t="s">
        <v>5126</v>
      </c>
      <c r="G2505">
        <v>1</v>
      </c>
    </row>
    <row r="2506" spans="1:7" hidden="1" x14ac:dyDescent="0.25">
      <c r="A2506" s="28" t="s">
        <v>2691</v>
      </c>
      <c r="B2506" s="29">
        <v>32976.89</v>
      </c>
      <c r="F2506" t="s">
        <v>2691</v>
      </c>
      <c r="G2506">
        <v>1</v>
      </c>
    </row>
    <row r="2507" spans="1:7" hidden="1" x14ac:dyDescent="0.25">
      <c r="A2507" s="28" t="s">
        <v>5135</v>
      </c>
      <c r="B2507" s="29">
        <v>32976.89</v>
      </c>
      <c r="F2507" t="s">
        <v>5135</v>
      </c>
      <c r="G2507">
        <v>1</v>
      </c>
    </row>
    <row r="2508" spans="1:7" hidden="1" x14ac:dyDescent="0.25">
      <c r="A2508" s="28" t="s">
        <v>5138</v>
      </c>
      <c r="B2508" s="29">
        <v>32976.89</v>
      </c>
      <c r="F2508" t="s">
        <v>5138</v>
      </c>
      <c r="G2508">
        <v>1</v>
      </c>
    </row>
    <row r="2509" spans="1:7" hidden="1" x14ac:dyDescent="0.25">
      <c r="A2509" s="28" t="s">
        <v>5038</v>
      </c>
      <c r="B2509" s="29">
        <v>45834.68</v>
      </c>
      <c r="F2509" t="s">
        <v>5038</v>
      </c>
      <c r="G2509">
        <v>1</v>
      </c>
    </row>
    <row r="2510" spans="1:7" hidden="1" x14ac:dyDescent="0.25">
      <c r="A2510" s="28" t="s">
        <v>2062</v>
      </c>
      <c r="B2510" s="29">
        <v>45834.68</v>
      </c>
      <c r="F2510" t="s">
        <v>2062</v>
      </c>
      <c r="G2510">
        <v>1</v>
      </c>
    </row>
    <row r="2511" spans="1:7" hidden="1" x14ac:dyDescent="0.25">
      <c r="A2511" s="28" t="s">
        <v>5094</v>
      </c>
      <c r="B2511" s="29">
        <v>45834.68</v>
      </c>
      <c r="F2511" t="s">
        <v>5094</v>
      </c>
      <c r="G2511">
        <v>1</v>
      </c>
    </row>
    <row r="2512" spans="1:7" hidden="1" x14ac:dyDescent="0.25">
      <c r="A2512" s="28" t="s">
        <v>4119</v>
      </c>
      <c r="B2512" s="29">
        <v>45834.68</v>
      </c>
      <c r="F2512" t="s">
        <v>4119</v>
      </c>
      <c r="G2512">
        <v>1</v>
      </c>
    </row>
    <row r="2513" spans="1:7" hidden="1" x14ac:dyDescent="0.25">
      <c r="A2513" s="28" t="s">
        <v>5059</v>
      </c>
      <c r="B2513" s="29">
        <v>45834.68</v>
      </c>
      <c r="F2513" t="s">
        <v>5059</v>
      </c>
      <c r="G2513">
        <v>1</v>
      </c>
    </row>
    <row r="2514" spans="1:7" hidden="1" x14ac:dyDescent="0.25">
      <c r="A2514" s="28" t="s">
        <v>5125</v>
      </c>
      <c r="B2514" s="29">
        <v>32976.89</v>
      </c>
      <c r="F2514" t="s">
        <v>5125</v>
      </c>
      <c r="G2514">
        <v>1</v>
      </c>
    </row>
    <row r="2515" spans="1:7" hidden="1" x14ac:dyDescent="0.25">
      <c r="A2515" s="28" t="s">
        <v>4818</v>
      </c>
      <c r="B2515" s="29">
        <v>53476.87</v>
      </c>
      <c r="F2515" t="s">
        <v>4818</v>
      </c>
      <c r="G2515">
        <v>1</v>
      </c>
    </row>
    <row r="2516" spans="1:7" hidden="1" x14ac:dyDescent="0.25">
      <c r="A2516" s="28" t="s">
        <v>3820</v>
      </c>
      <c r="B2516" s="29">
        <v>53476.87</v>
      </c>
      <c r="F2516" t="s">
        <v>3820</v>
      </c>
      <c r="G2516">
        <v>1</v>
      </c>
    </row>
    <row r="2517" spans="1:7" hidden="1" x14ac:dyDescent="0.25">
      <c r="A2517" s="28" t="s">
        <v>2337</v>
      </c>
      <c r="B2517" s="29">
        <v>53476.87</v>
      </c>
      <c r="F2517" t="s">
        <v>2337</v>
      </c>
      <c r="G2517">
        <v>1</v>
      </c>
    </row>
    <row r="2518" spans="1:7" hidden="1" x14ac:dyDescent="0.25">
      <c r="A2518" s="28" t="s">
        <v>2171</v>
      </c>
      <c r="B2518" s="29">
        <v>53476.87</v>
      </c>
      <c r="F2518" t="s">
        <v>2171</v>
      </c>
      <c r="G2518">
        <v>1</v>
      </c>
    </row>
    <row r="2519" spans="1:7" hidden="1" x14ac:dyDescent="0.25">
      <c r="A2519" s="28" t="s">
        <v>4535</v>
      </c>
      <c r="B2519" s="29">
        <v>53476.87</v>
      </c>
      <c r="F2519" t="s">
        <v>4535</v>
      </c>
      <c r="G2519">
        <v>1</v>
      </c>
    </row>
    <row r="2520" spans="1:7" hidden="1" x14ac:dyDescent="0.25">
      <c r="A2520" s="28" t="s">
        <v>3026</v>
      </c>
      <c r="B2520" s="29">
        <v>53476.87</v>
      </c>
      <c r="F2520" t="s">
        <v>3026</v>
      </c>
      <c r="G2520">
        <v>1</v>
      </c>
    </row>
    <row r="2521" spans="1:7" hidden="1" x14ac:dyDescent="0.25">
      <c r="A2521" s="28" t="s">
        <v>4294</v>
      </c>
      <c r="B2521" s="29">
        <v>53476.87</v>
      </c>
      <c r="F2521" t="s">
        <v>4294</v>
      </c>
      <c r="G2521">
        <v>1</v>
      </c>
    </row>
    <row r="2522" spans="1:7" hidden="1" x14ac:dyDescent="0.25">
      <c r="A2522" s="28" t="s">
        <v>3074</v>
      </c>
      <c r="B2522" s="29">
        <v>53476.87</v>
      </c>
      <c r="F2522" t="s">
        <v>3074</v>
      </c>
      <c r="G2522">
        <v>1</v>
      </c>
    </row>
    <row r="2523" spans="1:7" hidden="1" x14ac:dyDescent="0.25">
      <c r="A2523" s="28" t="s">
        <v>2064</v>
      </c>
      <c r="B2523" s="29">
        <v>53476.87</v>
      </c>
      <c r="F2523" t="s">
        <v>2064</v>
      </c>
      <c r="G2523">
        <v>1</v>
      </c>
    </row>
    <row r="2524" spans="1:7" hidden="1" x14ac:dyDescent="0.25">
      <c r="A2524" s="28" t="s">
        <v>3851</v>
      </c>
      <c r="B2524" s="29">
        <v>53476.87</v>
      </c>
      <c r="F2524" t="s">
        <v>3851</v>
      </c>
      <c r="G2524">
        <v>1</v>
      </c>
    </row>
    <row r="2525" spans="1:7" hidden="1" x14ac:dyDescent="0.25">
      <c r="A2525" s="28" t="s">
        <v>5032</v>
      </c>
      <c r="B2525" s="29">
        <v>53476.87</v>
      </c>
      <c r="F2525" t="s">
        <v>5032</v>
      </c>
      <c r="G2525">
        <v>1</v>
      </c>
    </row>
    <row r="2526" spans="1:7" hidden="1" x14ac:dyDescent="0.25">
      <c r="A2526" s="28" t="s">
        <v>2068</v>
      </c>
      <c r="B2526" s="29">
        <v>53476.87</v>
      </c>
      <c r="F2526" t="s">
        <v>2068</v>
      </c>
      <c r="G2526">
        <v>1</v>
      </c>
    </row>
    <row r="2527" spans="1:7" hidden="1" x14ac:dyDescent="0.25">
      <c r="A2527" s="28" t="s">
        <v>2595</v>
      </c>
      <c r="B2527" s="29">
        <v>53476.87</v>
      </c>
      <c r="F2527" t="s">
        <v>2595</v>
      </c>
      <c r="G2527">
        <v>1</v>
      </c>
    </row>
    <row r="2528" spans="1:7" hidden="1" x14ac:dyDescent="0.25">
      <c r="A2528" s="28" t="s">
        <v>2906</v>
      </c>
      <c r="B2528" s="29">
        <v>53476.87</v>
      </c>
      <c r="F2528" t="s">
        <v>2906</v>
      </c>
      <c r="G2528">
        <v>1</v>
      </c>
    </row>
    <row r="2529" spans="1:7" hidden="1" x14ac:dyDescent="0.25">
      <c r="A2529" s="28" t="s">
        <v>5003</v>
      </c>
      <c r="B2529" s="29">
        <v>53476.87</v>
      </c>
      <c r="F2529" t="s">
        <v>5003</v>
      </c>
      <c r="G2529">
        <v>1</v>
      </c>
    </row>
    <row r="2530" spans="1:7" hidden="1" x14ac:dyDescent="0.25">
      <c r="A2530" s="28" t="s">
        <v>5045</v>
      </c>
      <c r="B2530" s="29">
        <v>53476.87</v>
      </c>
      <c r="F2530" t="s">
        <v>5045</v>
      </c>
      <c r="G2530">
        <v>1</v>
      </c>
    </row>
    <row r="2531" spans="1:7" hidden="1" x14ac:dyDescent="0.25">
      <c r="A2531" s="28" t="s">
        <v>3169</v>
      </c>
      <c r="B2531" s="29">
        <v>32976.89</v>
      </c>
      <c r="F2531" t="s">
        <v>3169</v>
      </c>
      <c r="G2531">
        <v>1</v>
      </c>
    </row>
    <row r="2532" spans="1:7" hidden="1" x14ac:dyDescent="0.25">
      <c r="A2532" s="28" t="s">
        <v>4727</v>
      </c>
      <c r="B2532" s="29">
        <v>32976.89</v>
      </c>
      <c r="F2532" t="s">
        <v>4727</v>
      </c>
      <c r="G2532">
        <v>1</v>
      </c>
    </row>
    <row r="2533" spans="1:7" hidden="1" x14ac:dyDescent="0.25">
      <c r="A2533" s="28" t="s">
        <v>4763</v>
      </c>
      <c r="B2533" s="29">
        <v>32976.89</v>
      </c>
      <c r="F2533" t="s">
        <v>4763</v>
      </c>
      <c r="G2533">
        <v>1</v>
      </c>
    </row>
    <row r="2534" spans="1:7" hidden="1" x14ac:dyDescent="0.25">
      <c r="A2534" s="28" t="s">
        <v>2448</v>
      </c>
      <c r="B2534" s="29">
        <v>32976.89</v>
      </c>
      <c r="F2534" t="s">
        <v>2448</v>
      </c>
      <c r="G2534">
        <v>1</v>
      </c>
    </row>
    <row r="2535" spans="1:7" hidden="1" x14ac:dyDescent="0.25">
      <c r="A2535" s="28" t="s">
        <v>4758</v>
      </c>
      <c r="B2535" s="29">
        <v>53476.87</v>
      </c>
      <c r="F2535" t="s">
        <v>4758</v>
      </c>
      <c r="G2535">
        <v>1</v>
      </c>
    </row>
    <row r="2536" spans="1:7" hidden="1" x14ac:dyDescent="0.25">
      <c r="A2536" s="28" t="s">
        <v>4761</v>
      </c>
      <c r="B2536" s="29">
        <v>32976.89</v>
      </c>
      <c r="F2536" t="s">
        <v>4761</v>
      </c>
      <c r="G2536">
        <v>1</v>
      </c>
    </row>
    <row r="2537" spans="1:7" hidden="1" x14ac:dyDescent="0.25">
      <c r="A2537" s="28" t="s">
        <v>4292</v>
      </c>
      <c r="B2537" s="29">
        <v>32976.89</v>
      </c>
      <c r="F2537" t="s">
        <v>4292</v>
      </c>
      <c r="G2537">
        <v>1</v>
      </c>
    </row>
    <row r="2538" spans="1:7" hidden="1" x14ac:dyDescent="0.25">
      <c r="A2538" s="28" t="s">
        <v>4564</v>
      </c>
      <c r="B2538" s="29">
        <v>32976.89</v>
      </c>
      <c r="F2538" t="s">
        <v>4564</v>
      </c>
      <c r="G2538">
        <v>1</v>
      </c>
    </row>
    <row r="2539" spans="1:7" hidden="1" x14ac:dyDescent="0.25">
      <c r="A2539" s="28" t="s">
        <v>4916</v>
      </c>
      <c r="B2539" s="29">
        <v>32976.89</v>
      </c>
      <c r="F2539" t="s">
        <v>4916</v>
      </c>
      <c r="G2539">
        <v>1</v>
      </c>
    </row>
    <row r="2540" spans="1:7" hidden="1" x14ac:dyDescent="0.25">
      <c r="A2540" s="28" t="s">
        <v>4175</v>
      </c>
      <c r="B2540" s="29">
        <v>32976.89</v>
      </c>
      <c r="F2540" t="s">
        <v>4175</v>
      </c>
      <c r="G2540">
        <v>1</v>
      </c>
    </row>
    <row r="2541" spans="1:7" x14ac:dyDescent="0.25">
      <c r="A2541" s="28" t="s">
        <v>1588</v>
      </c>
      <c r="B2541" s="29">
        <v>33507.817949999997</v>
      </c>
      <c r="F2541" t="s">
        <v>1588</v>
      </c>
      <c r="G2541">
        <v>2</v>
      </c>
    </row>
    <row r="2542" spans="1:7" hidden="1" x14ac:dyDescent="0.25">
      <c r="A2542" s="28" t="s">
        <v>4822</v>
      </c>
      <c r="B2542" s="29">
        <v>32976.89</v>
      </c>
      <c r="F2542" t="s">
        <v>4822</v>
      </c>
      <c r="G2542">
        <v>1</v>
      </c>
    </row>
    <row r="2543" spans="1:7" hidden="1" x14ac:dyDescent="0.25">
      <c r="A2543" s="28" t="s">
        <v>5120</v>
      </c>
      <c r="B2543" s="29">
        <v>32976.89</v>
      </c>
      <c r="F2543" t="s">
        <v>5120</v>
      </c>
      <c r="G2543">
        <v>1</v>
      </c>
    </row>
    <row r="2544" spans="1:7" hidden="1" x14ac:dyDescent="0.25">
      <c r="A2544" s="28" t="s">
        <v>2871</v>
      </c>
      <c r="B2544" s="29">
        <v>53476.87</v>
      </c>
      <c r="F2544" t="s">
        <v>2871</v>
      </c>
      <c r="G2544">
        <v>1</v>
      </c>
    </row>
    <row r="2545" spans="1:7" hidden="1" x14ac:dyDescent="0.25">
      <c r="A2545" s="28" t="s">
        <v>1798</v>
      </c>
      <c r="B2545" s="29">
        <v>32976.89</v>
      </c>
      <c r="F2545" t="s">
        <v>1798</v>
      </c>
      <c r="G2545">
        <v>1</v>
      </c>
    </row>
    <row r="2546" spans="1:7" hidden="1" x14ac:dyDescent="0.25">
      <c r="A2546" s="28" t="s">
        <v>5150</v>
      </c>
      <c r="B2546" s="29">
        <v>32976.89</v>
      </c>
      <c r="F2546" t="s">
        <v>5150</v>
      </c>
      <c r="G2546">
        <v>1</v>
      </c>
    </row>
    <row r="2547" spans="1:7" hidden="1" x14ac:dyDescent="0.25">
      <c r="A2547" s="28" t="s">
        <v>3118</v>
      </c>
      <c r="B2547" s="29">
        <v>32976.89</v>
      </c>
      <c r="F2547" t="s">
        <v>3118</v>
      </c>
      <c r="G2547">
        <v>1</v>
      </c>
    </row>
    <row r="2548" spans="1:7" hidden="1" x14ac:dyDescent="0.25">
      <c r="A2548" s="28" t="s">
        <v>2374</v>
      </c>
      <c r="B2548" s="29">
        <v>32976.89</v>
      </c>
      <c r="F2548" t="s">
        <v>2374</v>
      </c>
      <c r="G2548">
        <v>1</v>
      </c>
    </row>
    <row r="2549" spans="1:7" hidden="1" x14ac:dyDescent="0.25">
      <c r="A2549" s="28" t="s">
        <v>2245</v>
      </c>
      <c r="B2549" s="29">
        <v>32976.89</v>
      </c>
      <c r="F2549" t="s">
        <v>2245</v>
      </c>
      <c r="G2549">
        <v>1</v>
      </c>
    </row>
    <row r="2550" spans="1:7" hidden="1" x14ac:dyDescent="0.25">
      <c r="A2550" s="28" t="s">
        <v>5151</v>
      </c>
      <c r="B2550" s="29">
        <v>32976.89</v>
      </c>
      <c r="F2550" t="s">
        <v>5151</v>
      </c>
      <c r="G2550">
        <v>1</v>
      </c>
    </row>
    <row r="2551" spans="1:7" hidden="1" x14ac:dyDescent="0.25">
      <c r="A2551" s="28" t="s">
        <v>4858</v>
      </c>
      <c r="B2551" s="29">
        <v>53476.87</v>
      </c>
      <c r="F2551" t="s">
        <v>4858</v>
      </c>
      <c r="G2551">
        <v>1</v>
      </c>
    </row>
    <row r="2552" spans="1:7" hidden="1" x14ac:dyDescent="0.25">
      <c r="A2552" s="28" t="s">
        <v>4917</v>
      </c>
      <c r="B2552" s="29">
        <v>53476.87</v>
      </c>
      <c r="F2552" t="s">
        <v>4917</v>
      </c>
      <c r="G2552">
        <v>1</v>
      </c>
    </row>
    <row r="2553" spans="1:7" x14ac:dyDescent="0.25">
      <c r="A2553" s="28" t="s">
        <v>543</v>
      </c>
      <c r="B2553" s="29">
        <v>33507.817949999997</v>
      </c>
      <c r="F2553" t="s">
        <v>543</v>
      </c>
      <c r="G2553">
        <v>2</v>
      </c>
    </row>
    <row r="2554" spans="1:7" x14ac:dyDescent="0.25">
      <c r="A2554" s="28" t="s">
        <v>222</v>
      </c>
      <c r="B2554" s="29">
        <v>33507.817949999997</v>
      </c>
      <c r="F2554" t="s">
        <v>222</v>
      </c>
      <c r="G2554">
        <v>2</v>
      </c>
    </row>
    <row r="2555" spans="1:7" hidden="1" x14ac:dyDescent="0.25">
      <c r="A2555" s="28" t="s">
        <v>4756</v>
      </c>
      <c r="B2555" s="29">
        <v>32976.89</v>
      </c>
      <c r="F2555" t="s">
        <v>4756</v>
      </c>
      <c r="G2555">
        <v>1</v>
      </c>
    </row>
    <row r="2556" spans="1:7" x14ac:dyDescent="0.25">
      <c r="A2556" s="28" t="s">
        <v>682</v>
      </c>
      <c r="B2556" s="29">
        <v>33507.817949999997</v>
      </c>
      <c r="F2556" t="s">
        <v>682</v>
      </c>
      <c r="G2556">
        <v>2</v>
      </c>
    </row>
    <row r="2557" spans="1:7" hidden="1" x14ac:dyDescent="0.25">
      <c r="A2557" s="28" t="s">
        <v>3802</v>
      </c>
      <c r="B2557" s="29">
        <v>32976.89</v>
      </c>
      <c r="F2557" t="s">
        <v>3802</v>
      </c>
      <c r="G2557">
        <v>1</v>
      </c>
    </row>
    <row r="2558" spans="1:7" hidden="1" x14ac:dyDescent="0.25">
      <c r="A2558" s="28" t="s">
        <v>2153</v>
      </c>
      <c r="B2558" s="29">
        <v>32976.89</v>
      </c>
      <c r="F2558" t="s">
        <v>2153</v>
      </c>
      <c r="G2558">
        <v>1</v>
      </c>
    </row>
    <row r="2559" spans="1:7" x14ac:dyDescent="0.25">
      <c r="A2559" s="28" t="s">
        <v>1372</v>
      </c>
      <c r="B2559" s="29">
        <v>33507.817949999997</v>
      </c>
      <c r="F2559" t="s">
        <v>1372</v>
      </c>
      <c r="G2559">
        <v>2</v>
      </c>
    </row>
    <row r="2560" spans="1:7" x14ac:dyDescent="0.25">
      <c r="A2560" s="28" t="s">
        <v>1559</v>
      </c>
      <c r="B2560" s="29">
        <v>33507.817949999997</v>
      </c>
      <c r="F2560" t="s">
        <v>1559</v>
      </c>
      <c r="G2560">
        <v>2</v>
      </c>
    </row>
    <row r="2561" spans="1:7" hidden="1" x14ac:dyDescent="0.25">
      <c r="A2561" s="28" t="s">
        <v>4786</v>
      </c>
      <c r="B2561" s="29">
        <v>32976.89</v>
      </c>
      <c r="F2561" t="s">
        <v>4786</v>
      </c>
      <c r="G2561">
        <v>1</v>
      </c>
    </row>
    <row r="2562" spans="1:7" x14ac:dyDescent="0.25">
      <c r="A2562" s="28" t="s">
        <v>901</v>
      </c>
      <c r="B2562" s="29">
        <v>33507.817949999997</v>
      </c>
      <c r="F2562" t="s">
        <v>901</v>
      </c>
      <c r="G2562">
        <v>2</v>
      </c>
    </row>
    <row r="2563" spans="1:7" hidden="1" x14ac:dyDescent="0.25">
      <c r="A2563" s="28" t="s">
        <v>4665</v>
      </c>
      <c r="B2563" s="29">
        <v>32976.89</v>
      </c>
      <c r="F2563" t="s">
        <v>4665</v>
      </c>
      <c r="G2563">
        <v>1</v>
      </c>
    </row>
    <row r="2564" spans="1:7" hidden="1" x14ac:dyDescent="0.25">
      <c r="A2564" s="28" t="s">
        <v>4403</v>
      </c>
      <c r="B2564" s="29">
        <v>32976.89</v>
      </c>
      <c r="F2564" t="s">
        <v>4403</v>
      </c>
      <c r="G2564">
        <v>1</v>
      </c>
    </row>
    <row r="2565" spans="1:7" hidden="1" x14ac:dyDescent="0.25">
      <c r="A2565" s="28" t="s">
        <v>4302</v>
      </c>
      <c r="B2565" s="29">
        <v>32976.89</v>
      </c>
      <c r="F2565" t="s">
        <v>4302</v>
      </c>
      <c r="G2565">
        <v>1</v>
      </c>
    </row>
    <row r="2566" spans="1:7" x14ac:dyDescent="0.25">
      <c r="A2566" s="28" t="s">
        <v>960</v>
      </c>
      <c r="B2566" s="29">
        <v>33507.817949999997</v>
      </c>
      <c r="F2566" t="s">
        <v>960</v>
      </c>
      <c r="G2566">
        <v>2</v>
      </c>
    </row>
    <row r="2567" spans="1:7" x14ac:dyDescent="0.25">
      <c r="A2567" s="28" t="s">
        <v>1373</v>
      </c>
      <c r="B2567" s="29">
        <v>33507.817949999997</v>
      </c>
      <c r="F2567" t="s">
        <v>1373</v>
      </c>
      <c r="G2567">
        <v>2</v>
      </c>
    </row>
    <row r="2568" spans="1:7" hidden="1" x14ac:dyDescent="0.25">
      <c r="A2568" s="28" t="s">
        <v>3919</v>
      </c>
      <c r="B2568" s="29">
        <v>32976.89</v>
      </c>
      <c r="F2568" t="s">
        <v>3919</v>
      </c>
      <c r="G2568">
        <v>1</v>
      </c>
    </row>
    <row r="2569" spans="1:7" hidden="1" x14ac:dyDescent="0.25">
      <c r="A2569" s="28" t="s">
        <v>4354</v>
      </c>
      <c r="B2569" s="29">
        <v>32976.89</v>
      </c>
      <c r="F2569" t="s">
        <v>4354</v>
      </c>
      <c r="G2569">
        <v>1</v>
      </c>
    </row>
    <row r="2570" spans="1:7" hidden="1" x14ac:dyDescent="0.25">
      <c r="A2570" s="28" t="s">
        <v>3588</v>
      </c>
      <c r="B2570" s="29">
        <v>32976.89</v>
      </c>
      <c r="F2570" t="s">
        <v>3588</v>
      </c>
      <c r="G2570">
        <v>1</v>
      </c>
    </row>
    <row r="2571" spans="1:7" x14ac:dyDescent="0.25">
      <c r="A2571" s="28" t="s">
        <v>676</v>
      </c>
      <c r="B2571" s="29">
        <v>33507.817949999997</v>
      </c>
      <c r="F2571" t="s">
        <v>676</v>
      </c>
      <c r="G2571">
        <v>2</v>
      </c>
    </row>
    <row r="2572" spans="1:7" x14ac:dyDescent="0.25">
      <c r="A2572" s="28" t="s">
        <v>1216</v>
      </c>
      <c r="B2572" s="29">
        <v>33507.817949999997</v>
      </c>
      <c r="F2572" t="s">
        <v>1216</v>
      </c>
      <c r="G2572">
        <v>2</v>
      </c>
    </row>
    <row r="2573" spans="1:7" x14ac:dyDescent="0.25">
      <c r="A2573" s="28" t="s">
        <v>1440</v>
      </c>
      <c r="B2573" s="29">
        <v>33507.817949999997</v>
      </c>
      <c r="F2573" t="s">
        <v>1440</v>
      </c>
      <c r="G2573">
        <v>2</v>
      </c>
    </row>
    <row r="2574" spans="1:7" hidden="1" x14ac:dyDescent="0.25">
      <c r="A2574" s="28" t="s">
        <v>4597</v>
      </c>
      <c r="B2574" s="29">
        <v>32976.89</v>
      </c>
      <c r="F2574" t="s">
        <v>4597</v>
      </c>
      <c r="G2574">
        <v>1</v>
      </c>
    </row>
    <row r="2575" spans="1:7" hidden="1" x14ac:dyDescent="0.25">
      <c r="A2575" s="28" t="s">
        <v>4587</v>
      </c>
      <c r="B2575" s="29">
        <v>32976.89</v>
      </c>
      <c r="F2575" t="s">
        <v>4587</v>
      </c>
      <c r="G2575">
        <v>1</v>
      </c>
    </row>
    <row r="2576" spans="1:7" hidden="1" x14ac:dyDescent="0.25">
      <c r="A2576" s="28" t="s">
        <v>2994</v>
      </c>
      <c r="B2576" s="29">
        <v>32976.89</v>
      </c>
      <c r="F2576" t="s">
        <v>2994</v>
      </c>
      <c r="G2576">
        <v>1</v>
      </c>
    </row>
    <row r="2577" spans="1:7" x14ac:dyDescent="0.25">
      <c r="A2577" s="28" t="s">
        <v>597</v>
      </c>
      <c r="B2577" s="29">
        <v>33507.817949999997</v>
      </c>
      <c r="F2577" t="s">
        <v>597</v>
      </c>
      <c r="G2577">
        <v>2</v>
      </c>
    </row>
    <row r="2578" spans="1:7" x14ac:dyDescent="0.25">
      <c r="A2578" s="28" t="s">
        <v>227</v>
      </c>
      <c r="B2578" s="29">
        <v>33507.817949999997</v>
      </c>
      <c r="F2578" t="s">
        <v>227</v>
      </c>
      <c r="G2578">
        <v>2</v>
      </c>
    </row>
    <row r="2579" spans="1:7" hidden="1" x14ac:dyDescent="0.25">
      <c r="A2579" s="28" t="s">
        <v>3572</v>
      </c>
      <c r="B2579" s="29">
        <v>32976.89</v>
      </c>
      <c r="F2579" t="s">
        <v>3572</v>
      </c>
      <c r="G2579">
        <v>1</v>
      </c>
    </row>
    <row r="2580" spans="1:7" x14ac:dyDescent="0.25">
      <c r="A2580" s="28" t="s">
        <v>1286</v>
      </c>
      <c r="B2580" s="29">
        <v>33507.817949999997</v>
      </c>
      <c r="F2580" t="s">
        <v>1286</v>
      </c>
      <c r="G2580">
        <v>2</v>
      </c>
    </row>
    <row r="2581" spans="1:7" x14ac:dyDescent="0.25">
      <c r="A2581" s="28" t="s">
        <v>465</v>
      </c>
      <c r="B2581" s="29">
        <v>33507.817949999997</v>
      </c>
      <c r="F2581" t="s">
        <v>465</v>
      </c>
      <c r="G2581">
        <v>2</v>
      </c>
    </row>
    <row r="2582" spans="1:7" x14ac:dyDescent="0.25">
      <c r="A2582" s="28" t="s">
        <v>1205</v>
      </c>
      <c r="B2582" s="29">
        <v>33507.817949999997</v>
      </c>
      <c r="F2582" t="s">
        <v>1205</v>
      </c>
      <c r="G2582">
        <v>2</v>
      </c>
    </row>
    <row r="2583" spans="1:7" hidden="1" x14ac:dyDescent="0.25">
      <c r="A2583" s="28" t="s">
        <v>3403</v>
      </c>
      <c r="B2583" s="29">
        <v>32976.89</v>
      </c>
      <c r="F2583" t="s">
        <v>3403</v>
      </c>
      <c r="G2583">
        <v>1</v>
      </c>
    </row>
    <row r="2584" spans="1:7" x14ac:dyDescent="0.25">
      <c r="A2584" s="28" t="s">
        <v>355</v>
      </c>
      <c r="B2584" s="29">
        <v>33507.817949999997</v>
      </c>
      <c r="F2584" t="s">
        <v>355</v>
      </c>
      <c r="G2584">
        <v>2</v>
      </c>
    </row>
    <row r="2585" spans="1:7" x14ac:dyDescent="0.25">
      <c r="A2585" s="28" t="s">
        <v>1375</v>
      </c>
      <c r="B2585" s="29">
        <v>33507.817949999997</v>
      </c>
      <c r="F2585" t="s">
        <v>1375</v>
      </c>
      <c r="G2585">
        <v>2</v>
      </c>
    </row>
    <row r="2586" spans="1:7" x14ac:dyDescent="0.25">
      <c r="A2586" s="28" t="s">
        <v>1183</v>
      </c>
      <c r="B2586" s="29">
        <v>33507.817949999997</v>
      </c>
      <c r="F2586" t="s">
        <v>1183</v>
      </c>
      <c r="G2586">
        <v>2</v>
      </c>
    </row>
    <row r="2587" spans="1:7" x14ac:dyDescent="0.25">
      <c r="A2587" s="28" t="s">
        <v>655</v>
      </c>
      <c r="B2587" s="29">
        <v>33507.817949999997</v>
      </c>
      <c r="F2587" t="s">
        <v>655</v>
      </c>
      <c r="G2587">
        <v>2</v>
      </c>
    </row>
    <row r="2588" spans="1:7" hidden="1" x14ac:dyDescent="0.25">
      <c r="A2588" s="28" t="s">
        <v>4330</v>
      </c>
      <c r="B2588" s="29">
        <v>32976.89</v>
      </c>
      <c r="F2588" t="s">
        <v>4330</v>
      </c>
      <c r="G2588">
        <v>1</v>
      </c>
    </row>
    <row r="2589" spans="1:7" hidden="1" x14ac:dyDescent="0.25">
      <c r="A2589" s="28" t="s">
        <v>4709</v>
      </c>
      <c r="B2589" s="29">
        <v>32976.89</v>
      </c>
      <c r="F2589" t="s">
        <v>4709</v>
      </c>
      <c r="G2589">
        <v>1</v>
      </c>
    </row>
    <row r="2590" spans="1:7" x14ac:dyDescent="0.25">
      <c r="A2590" s="28" t="s">
        <v>584</v>
      </c>
      <c r="B2590" s="29">
        <v>33507.817949999997</v>
      </c>
      <c r="F2590" t="s">
        <v>584</v>
      </c>
      <c r="G2590">
        <v>2</v>
      </c>
    </row>
    <row r="2591" spans="1:7" x14ac:dyDescent="0.25">
      <c r="A2591" s="28" t="s">
        <v>658</v>
      </c>
      <c r="B2591" s="29">
        <v>33507.817949999997</v>
      </c>
      <c r="F2591" t="s">
        <v>658</v>
      </c>
      <c r="G2591">
        <v>2</v>
      </c>
    </row>
    <row r="2592" spans="1:7" x14ac:dyDescent="0.25">
      <c r="A2592" s="28" t="s">
        <v>1069</v>
      </c>
      <c r="B2592" s="29">
        <v>33507.817949999997</v>
      </c>
      <c r="F2592" t="s">
        <v>1069</v>
      </c>
      <c r="G2592">
        <v>2</v>
      </c>
    </row>
    <row r="2593" spans="1:7" hidden="1" x14ac:dyDescent="0.25">
      <c r="A2593" s="28" t="s">
        <v>4618</v>
      </c>
      <c r="B2593" s="29">
        <v>32976.89</v>
      </c>
      <c r="F2593" t="s">
        <v>4618</v>
      </c>
      <c r="G2593">
        <v>1</v>
      </c>
    </row>
    <row r="2594" spans="1:7" hidden="1" x14ac:dyDescent="0.25">
      <c r="A2594" s="28" t="s">
        <v>3089</v>
      </c>
      <c r="B2594" s="29">
        <v>32976.89</v>
      </c>
      <c r="F2594" t="s">
        <v>3089</v>
      </c>
      <c r="G2594">
        <v>1</v>
      </c>
    </row>
    <row r="2595" spans="1:7" hidden="1" x14ac:dyDescent="0.25">
      <c r="A2595" s="28" t="s">
        <v>3191</v>
      </c>
      <c r="B2595" s="29">
        <v>32976.89</v>
      </c>
      <c r="F2595" t="s">
        <v>3191</v>
      </c>
      <c r="G2595">
        <v>1</v>
      </c>
    </row>
    <row r="2596" spans="1:7" hidden="1" x14ac:dyDescent="0.25">
      <c r="A2596" s="28" t="s">
        <v>4704</v>
      </c>
      <c r="B2596" s="29">
        <v>32976.89</v>
      </c>
      <c r="F2596" t="s">
        <v>4704</v>
      </c>
      <c r="G2596">
        <v>1</v>
      </c>
    </row>
    <row r="2597" spans="1:7" hidden="1" x14ac:dyDescent="0.25">
      <c r="A2597" s="28" t="s">
        <v>4612</v>
      </c>
      <c r="B2597" s="29">
        <v>32976.89</v>
      </c>
      <c r="F2597" t="s">
        <v>4612</v>
      </c>
      <c r="G2597">
        <v>1</v>
      </c>
    </row>
    <row r="2598" spans="1:7" hidden="1" x14ac:dyDescent="0.25">
      <c r="A2598" s="28" t="s">
        <v>3223</v>
      </c>
      <c r="B2598" s="29">
        <v>32976.89</v>
      </c>
      <c r="F2598" t="s">
        <v>3223</v>
      </c>
      <c r="G2598">
        <v>1</v>
      </c>
    </row>
    <row r="2599" spans="1:7" hidden="1" x14ac:dyDescent="0.25">
      <c r="A2599" s="28" t="s">
        <v>4813</v>
      </c>
      <c r="B2599" s="29">
        <v>32976.89</v>
      </c>
      <c r="F2599" t="s">
        <v>4813</v>
      </c>
      <c r="G2599">
        <v>1</v>
      </c>
    </row>
    <row r="2600" spans="1:7" hidden="1" x14ac:dyDescent="0.25">
      <c r="A2600" s="28" t="s">
        <v>3406</v>
      </c>
      <c r="B2600" s="29">
        <v>32976.89</v>
      </c>
      <c r="F2600" t="s">
        <v>3406</v>
      </c>
      <c r="G2600">
        <v>1</v>
      </c>
    </row>
    <row r="2601" spans="1:7" x14ac:dyDescent="0.25">
      <c r="A2601" s="28" t="s">
        <v>1411</v>
      </c>
      <c r="B2601" s="29">
        <v>33507.817949999997</v>
      </c>
      <c r="F2601" t="s">
        <v>1411</v>
      </c>
      <c r="G2601">
        <v>2</v>
      </c>
    </row>
    <row r="2602" spans="1:7" hidden="1" x14ac:dyDescent="0.25">
      <c r="A2602" s="28" t="s">
        <v>3690</v>
      </c>
      <c r="B2602" s="29">
        <v>32976.89</v>
      </c>
      <c r="F2602" t="s">
        <v>3690</v>
      </c>
      <c r="G2602">
        <v>1</v>
      </c>
    </row>
    <row r="2603" spans="1:7" x14ac:dyDescent="0.25">
      <c r="A2603" s="28" t="s">
        <v>1530</v>
      </c>
      <c r="B2603" s="29">
        <v>33507.817949999997</v>
      </c>
      <c r="F2603" t="s">
        <v>1530</v>
      </c>
      <c r="G2603">
        <v>2</v>
      </c>
    </row>
    <row r="2604" spans="1:7" x14ac:dyDescent="0.25">
      <c r="A2604" s="28" t="s">
        <v>692</v>
      </c>
      <c r="B2604" s="29">
        <v>33507.817949999997</v>
      </c>
      <c r="F2604" t="s">
        <v>692</v>
      </c>
      <c r="G2604">
        <v>2</v>
      </c>
    </row>
    <row r="2605" spans="1:7" hidden="1" x14ac:dyDescent="0.25">
      <c r="A2605" s="28" t="s">
        <v>4449</v>
      </c>
      <c r="B2605" s="29">
        <v>32976.89</v>
      </c>
      <c r="F2605" t="s">
        <v>4449</v>
      </c>
      <c r="G2605">
        <v>1</v>
      </c>
    </row>
    <row r="2606" spans="1:7" hidden="1" x14ac:dyDescent="0.25">
      <c r="A2606" s="28" t="s">
        <v>3002</v>
      </c>
      <c r="B2606" s="29">
        <v>32976.89</v>
      </c>
      <c r="F2606" t="s">
        <v>3002</v>
      </c>
      <c r="G2606">
        <v>1</v>
      </c>
    </row>
    <row r="2607" spans="1:7" hidden="1" x14ac:dyDescent="0.25">
      <c r="A2607" s="28" t="s">
        <v>4137</v>
      </c>
      <c r="B2607" s="29">
        <v>32976.89</v>
      </c>
      <c r="F2607" t="s">
        <v>4137</v>
      </c>
      <c r="G2607">
        <v>1</v>
      </c>
    </row>
    <row r="2608" spans="1:7" x14ac:dyDescent="0.25">
      <c r="A2608" s="28" t="s">
        <v>693</v>
      </c>
      <c r="B2608" s="29">
        <v>44375.383400000006</v>
      </c>
      <c r="F2608" t="s">
        <v>693</v>
      </c>
      <c r="G2608">
        <v>2</v>
      </c>
    </row>
    <row r="2609" spans="1:7" x14ac:dyDescent="0.25">
      <c r="A2609" s="28" t="s">
        <v>201</v>
      </c>
      <c r="B2609" s="29">
        <v>44375.383400000006</v>
      </c>
      <c r="F2609" t="s">
        <v>201</v>
      </c>
      <c r="G2609">
        <v>2</v>
      </c>
    </row>
    <row r="2610" spans="1:7" hidden="1" x14ac:dyDescent="0.25">
      <c r="A2610" s="28" t="s">
        <v>3561</v>
      </c>
      <c r="B2610" s="29">
        <v>43672.26</v>
      </c>
      <c r="F2610" t="s">
        <v>3561</v>
      </c>
      <c r="G2610">
        <v>1</v>
      </c>
    </row>
    <row r="2611" spans="1:7" hidden="1" x14ac:dyDescent="0.25">
      <c r="A2611" s="28" t="s">
        <v>3576</v>
      </c>
      <c r="B2611" s="29">
        <v>43672.26</v>
      </c>
      <c r="F2611" t="s">
        <v>3576</v>
      </c>
      <c r="G2611">
        <v>1</v>
      </c>
    </row>
    <row r="2612" spans="1:7" hidden="1" x14ac:dyDescent="0.25">
      <c r="A2612" s="28" t="s">
        <v>3173</v>
      </c>
      <c r="B2612" s="29">
        <v>43672.26</v>
      </c>
      <c r="F2612" t="s">
        <v>3173</v>
      </c>
      <c r="G2612">
        <v>1</v>
      </c>
    </row>
    <row r="2613" spans="1:7" hidden="1" x14ac:dyDescent="0.25">
      <c r="A2613" s="28" t="s">
        <v>3863</v>
      </c>
      <c r="B2613" s="29">
        <v>43672.26</v>
      </c>
      <c r="F2613" t="s">
        <v>3863</v>
      </c>
      <c r="G2613">
        <v>1</v>
      </c>
    </row>
    <row r="2614" spans="1:7" hidden="1" x14ac:dyDescent="0.25">
      <c r="A2614" s="28" t="s">
        <v>3630</v>
      </c>
      <c r="B2614" s="29">
        <v>43672.26</v>
      </c>
      <c r="F2614" t="s">
        <v>3630</v>
      </c>
      <c r="G2614">
        <v>1</v>
      </c>
    </row>
    <row r="2615" spans="1:7" hidden="1" x14ac:dyDescent="0.25">
      <c r="A2615" s="28" t="s">
        <v>3232</v>
      </c>
      <c r="B2615" s="29">
        <v>43672.26</v>
      </c>
      <c r="F2615" t="s">
        <v>3232</v>
      </c>
      <c r="G2615">
        <v>1</v>
      </c>
    </row>
    <row r="2616" spans="1:7" hidden="1" x14ac:dyDescent="0.25">
      <c r="A2616" s="28" t="s">
        <v>4706</v>
      </c>
      <c r="B2616" s="29">
        <v>43672.26</v>
      </c>
      <c r="F2616" t="s">
        <v>4706</v>
      </c>
      <c r="G2616">
        <v>1</v>
      </c>
    </row>
    <row r="2617" spans="1:7" hidden="1" x14ac:dyDescent="0.25">
      <c r="A2617" s="28" t="s">
        <v>4732</v>
      </c>
      <c r="B2617" s="29">
        <v>43672.26</v>
      </c>
      <c r="F2617" t="s">
        <v>4732</v>
      </c>
      <c r="G2617">
        <v>1</v>
      </c>
    </row>
    <row r="2618" spans="1:7" hidden="1" x14ac:dyDescent="0.25">
      <c r="A2618" s="28" t="s">
        <v>3570</v>
      </c>
      <c r="B2618" s="29">
        <v>43672.26</v>
      </c>
      <c r="F2618" t="s">
        <v>3570</v>
      </c>
      <c r="G2618">
        <v>1</v>
      </c>
    </row>
    <row r="2619" spans="1:7" hidden="1" x14ac:dyDescent="0.25">
      <c r="A2619" s="28" t="s">
        <v>3752</v>
      </c>
      <c r="B2619" s="29">
        <v>43672.26</v>
      </c>
      <c r="F2619" t="s">
        <v>3752</v>
      </c>
      <c r="G2619">
        <v>1</v>
      </c>
    </row>
    <row r="2620" spans="1:7" hidden="1" x14ac:dyDescent="0.25">
      <c r="A2620" s="28" t="s">
        <v>4485</v>
      </c>
      <c r="B2620" s="29">
        <v>43672.26</v>
      </c>
      <c r="F2620" t="s">
        <v>4485</v>
      </c>
      <c r="G2620">
        <v>1</v>
      </c>
    </row>
    <row r="2621" spans="1:7" hidden="1" x14ac:dyDescent="0.25">
      <c r="A2621" s="28" t="s">
        <v>4716</v>
      </c>
      <c r="B2621" s="29">
        <v>43672.26</v>
      </c>
      <c r="F2621" t="s">
        <v>4716</v>
      </c>
      <c r="G2621">
        <v>1</v>
      </c>
    </row>
    <row r="2622" spans="1:7" hidden="1" x14ac:dyDescent="0.25">
      <c r="A2622" s="28" t="s">
        <v>3156</v>
      </c>
      <c r="B2622" s="29">
        <v>43672.26</v>
      </c>
      <c r="F2622" t="s">
        <v>3156</v>
      </c>
      <c r="G2622">
        <v>1</v>
      </c>
    </row>
    <row r="2623" spans="1:7" hidden="1" x14ac:dyDescent="0.25">
      <c r="A2623" s="28" t="s">
        <v>4713</v>
      </c>
      <c r="B2623" s="29">
        <v>43672.26</v>
      </c>
      <c r="F2623" t="s">
        <v>4713</v>
      </c>
      <c r="G2623">
        <v>1</v>
      </c>
    </row>
    <row r="2624" spans="1:7" hidden="1" x14ac:dyDescent="0.25">
      <c r="A2624" s="28" t="s">
        <v>3726</v>
      </c>
      <c r="B2624" s="29">
        <v>43672.26</v>
      </c>
      <c r="F2624" t="s">
        <v>3726</v>
      </c>
      <c r="G2624">
        <v>1</v>
      </c>
    </row>
    <row r="2625" spans="1:7" hidden="1" x14ac:dyDescent="0.25">
      <c r="A2625" s="28" t="s">
        <v>4439</v>
      </c>
      <c r="B2625" s="29">
        <v>43672.26</v>
      </c>
      <c r="F2625" t="s">
        <v>4439</v>
      </c>
      <c r="G2625">
        <v>1</v>
      </c>
    </row>
    <row r="2626" spans="1:7" hidden="1" x14ac:dyDescent="0.25">
      <c r="A2626" s="28" t="s">
        <v>3839</v>
      </c>
      <c r="B2626" s="29">
        <v>43672.26</v>
      </c>
      <c r="F2626" t="s">
        <v>3839</v>
      </c>
      <c r="G2626">
        <v>1</v>
      </c>
    </row>
    <row r="2627" spans="1:7" x14ac:dyDescent="0.25">
      <c r="A2627" s="28" t="s">
        <v>1504</v>
      </c>
      <c r="B2627" s="29">
        <v>44375.383400000006</v>
      </c>
      <c r="F2627" t="s">
        <v>1504</v>
      </c>
      <c r="G2627">
        <v>2</v>
      </c>
    </row>
    <row r="2628" spans="1:7" hidden="1" x14ac:dyDescent="0.25">
      <c r="A2628" s="28" t="s">
        <v>3617</v>
      </c>
      <c r="B2628" s="29">
        <v>43672.26</v>
      </c>
      <c r="F2628" t="s">
        <v>3617</v>
      </c>
      <c r="G2628">
        <v>1</v>
      </c>
    </row>
    <row r="2629" spans="1:7" hidden="1" x14ac:dyDescent="0.25">
      <c r="A2629" s="28" t="s">
        <v>3663</v>
      </c>
      <c r="B2629" s="29">
        <v>45834.68</v>
      </c>
      <c r="F2629" t="s">
        <v>3663</v>
      </c>
      <c r="G2629">
        <v>1</v>
      </c>
    </row>
    <row r="2630" spans="1:7" hidden="1" x14ac:dyDescent="0.25">
      <c r="A2630" s="28" t="s">
        <v>4338</v>
      </c>
      <c r="B2630" s="29">
        <v>45834.68</v>
      </c>
      <c r="F2630" t="s">
        <v>4338</v>
      </c>
      <c r="G2630">
        <v>1</v>
      </c>
    </row>
    <row r="2631" spans="1:7" x14ac:dyDescent="0.25">
      <c r="A2631" s="28" t="s">
        <v>938</v>
      </c>
      <c r="B2631" s="29">
        <v>46572.618350000004</v>
      </c>
      <c r="F2631" t="s">
        <v>938</v>
      </c>
      <c r="G2631">
        <v>2</v>
      </c>
    </row>
    <row r="2632" spans="1:7" x14ac:dyDescent="0.25">
      <c r="A2632" s="28" t="s">
        <v>1146</v>
      </c>
      <c r="B2632" s="29">
        <v>46572.618350000004</v>
      </c>
      <c r="F2632" t="s">
        <v>1146</v>
      </c>
      <c r="G2632">
        <v>2</v>
      </c>
    </row>
    <row r="2633" spans="1:7" hidden="1" x14ac:dyDescent="0.25">
      <c r="A2633" s="28" t="s">
        <v>3530</v>
      </c>
      <c r="B2633" s="29">
        <v>45834.68</v>
      </c>
      <c r="F2633" t="s">
        <v>3530</v>
      </c>
      <c r="G2633">
        <v>1</v>
      </c>
    </row>
    <row r="2634" spans="1:7" hidden="1" x14ac:dyDescent="0.25">
      <c r="A2634" s="28" t="s">
        <v>3386</v>
      </c>
      <c r="B2634" s="29">
        <v>45834.68</v>
      </c>
      <c r="F2634" t="s">
        <v>3386</v>
      </c>
      <c r="G2634">
        <v>1</v>
      </c>
    </row>
    <row r="2635" spans="1:7" hidden="1" x14ac:dyDescent="0.25">
      <c r="A2635" s="28" t="s">
        <v>3393</v>
      </c>
      <c r="B2635" s="29">
        <v>45834.68</v>
      </c>
      <c r="F2635" t="s">
        <v>3393</v>
      </c>
      <c r="G2635">
        <v>1</v>
      </c>
    </row>
    <row r="2636" spans="1:7" hidden="1" x14ac:dyDescent="0.25">
      <c r="A2636" s="28" t="s">
        <v>3771</v>
      </c>
      <c r="B2636" s="29">
        <v>45834.68</v>
      </c>
      <c r="F2636" t="s">
        <v>3771</v>
      </c>
      <c r="G2636">
        <v>1</v>
      </c>
    </row>
    <row r="2637" spans="1:7" hidden="1" x14ac:dyDescent="0.25">
      <c r="A2637" s="28" t="s">
        <v>3937</v>
      </c>
      <c r="B2637" s="29">
        <v>45834.68</v>
      </c>
      <c r="F2637" t="s">
        <v>3937</v>
      </c>
      <c r="G2637">
        <v>1</v>
      </c>
    </row>
    <row r="2638" spans="1:7" hidden="1" x14ac:dyDescent="0.25">
      <c r="A2638" s="28" t="s">
        <v>4489</v>
      </c>
      <c r="B2638" s="29">
        <v>45834.68</v>
      </c>
      <c r="F2638" t="s">
        <v>4489</v>
      </c>
      <c r="G2638">
        <v>1</v>
      </c>
    </row>
    <row r="2639" spans="1:7" hidden="1" x14ac:dyDescent="0.25">
      <c r="A2639" s="28" t="s">
        <v>4416</v>
      </c>
      <c r="B2639" s="29">
        <v>45834.68</v>
      </c>
      <c r="F2639" t="s">
        <v>4416</v>
      </c>
      <c r="G2639">
        <v>1</v>
      </c>
    </row>
    <row r="2640" spans="1:7" hidden="1" x14ac:dyDescent="0.25">
      <c r="A2640" s="28" t="s">
        <v>2881</v>
      </c>
      <c r="B2640" s="29">
        <v>48857.15</v>
      </c>
      <c r="F2640" t="s">
        <v>2881</v>
      </c>
      <c r="G2640">
        <v>1</v>
      </c>
    </row>
    <row r="2641" spans="1:7" hidden="1" x14ac:dyDescent="0.25">
      <c r="A2641" s="28" t="s">
        <v>2989</v>
      </c>
      <c r="B2641" s="29">
        <v>48857.15</v>
      </c>
      <c r="F2641" t="s">
        <v>2989</v>
      </c>
      <c r="G2641">
        <v>1</v>
      </c>
    </row>
    <row r="2642" spans="1:7" hidden="1" x14ac:dyDescent="0.25">
      <c r="A2642" s="28" t="s">
        <v>4793</v>
      </c>
      <c r="B2642" s="29">
        <v>48857.15</v>
      </c>
      <c r="F2642" t="s">
        <v>4793</v>
      </c>
      <c r="G2642">
        <v>1</v>
      </c>
    </row>
    <row r="2643" spans="1:7" hidden="1" x14ac:dyDescent="0.25">
      <c r="A2643" s="28" t="s">
        <v>4328</v>
      </c>
      <c r="B2643" s="29">
        <v>48857.15</v>
      </c>
      <c r="F2643" t="s">
        <v>4328</v>
      </c>
      <c r="G2643">
        <v>1</v>
      </c>
    </row>
    <row r="2644" spans="1:7" hidden="1" x14ac:dyDescent="0.25">
      <c r="A2644" s="28" t="s">
        <v>4380</v>
      </c>
      <c r="B2644" s="29">
        <v>48857.15</v>
      </c>
      <c r="F2644" t="s">
        <v>4380</v>
      </c>
      <c r="G2644">
        <v>1</v>
      </c>
    </row>
    <row r="2645" spans="1:7" hidden="1" x14ac:dyDescent="0.25">
      <c r="A2645" s="28" t="s">
        <v>4446</v>
      </c>
      <c r="B2645" s="29">
        <v>48857.15</v>
      </c>
      <c r="F2645" t="s">
        <v>4446</v>
      </c>
      <c r="G2645">
        <v>1</v>
      </c>
    </row>
    <row r="2646" spans="1:7" x14ac:dyDescent="0.25">
      <c r="A2646" s="28" t="s">
        <v>1589</v>
      </c>
      <c r="B2646" s="29">
        <v>49643.750100000005</v>
      </c>
      <c r="F2646" t="s">
        <v>1589</v>
      </c>
      <c r="G2646">
        <v>2</v>
      </c>
    </row>
    <row r="2647" spans="1:7" x14ac:dyDescent="0.25">
      <c r="A2647" s="28" t="s">
        <v>939</v>
      </c>
      <c r="B2647" s="29">
        <v>49643.750100000005</v>
      </c>
      <c r="F2647" t="s">
        <v>939</v>
      </c>
      <c r="G2647">
        <v>2</v>
      </c>
    </row>
    <row r="2648" spans="1:7" hidden="1" x14ac:dyDescent="0.25">
      <c r="A2648" s="28" t="s">
        <v>4455</v>
      </c>
      <c r="B2648" s="29">
        <v>48857.15</v>
      </c>
      <c r="F2648" t="s">
        <v>4455</v>
      </c>
      <c r="G2648">
        <v>1</v>
      </c>
    </row>
    <row r="2649" spans="1:7" hidden="1" x14ac:dyDescent="0.25">
      <c r="A2649" s="28" t="s">
        <v>4464</v>
      </c>
      <c r="B2649" s="29">
        <v>48857.15</v>
      </c>
      <c r="F2649" t="s">
        <v>4464</v>
      </c>
      <c r="G2649">
        <v>1</v>
      </c>
    </row>
    <row r="2650" spans="1:7" x14ac:dyDescent="0.25">
      <c r="A2650" s="28" t="s">
        <v>1003</v>
      </c>
      <c r="B2650" s="29">
        <v>49643.750100000005</v>
      </c>
      <c r="F2650" t="s">
        <v>1003</v>
      </c>
      <c r="G2650">
        <v>2</v>
      </c>
    </row>
    <row r="2651" spans="1:7" hidden="1" x14ac:dyDescent="0.25">
      <c r="A2651" s="28" t="s">
        <v>4272</v>
      </c>
      <c r="B2651" s="29">
        <v>48857.15</v>
      </c>
      <c r="F2651" t="s">
        <v>4272</v>
      </c>
      <c r="G2651">
        <v>1</v>
      </c>
    </row>
    <row r="2652" spans="1:7" x14ac:dyDescent="0.25">
      <c r="A2652" s="28" t="s">
        <v>656</v>
      </c>
      <c r="B2652" s="29">
        <v>49643.750100000005</v>
      </c>
      <c r="F2652" t="s">
        <v>656</v>
      </c>
      <c r="G2652">
        <v>2</v>
      </c>
    </row>
    <row r="2653" spans="1:7" hidden="1" x14ac:dyDescent="0.25">
      <c r="A2653" s="28" t="s">
        <v>3025</v>
      </c>
      <c r="B2653" s="29">
        <v>48857.15</v>
      </c>
      <c r="F2653" t="s">
        <v>3025</v>
      </c>
      <c r="G2653">
        <v>1</v>
      </c>
    </row>
    <row r="2654" spans="1:7" x14ac:dyDescent="0.25">
      <c r="A2654" s="28" t="s">
        <v>1221</v>
      </c>
      <c r="B2654" s="29">
        <v>49643.750100000005</v>
      </c>
      <c r="F2654" t="s">
        <v>1221</v>
      </c>
      <c r="G2654">
        <v>2</v>
      </c>
    </row>
    <row r="2655" spans="1:7" hidden="1" x14ac:dyDescent="0.25">
      <c r="A2655" s="28" t="s">
        <v>4816</v>
      </c>
      <c r="B2655" s="29">
        <v>48857.15</v>
      </c>
      <c r="F2655" t="s">
        <v>4816</v>
      </c>
      <c r="G2655">
        <v>1</v>
      </c>
    </row>
    <row r="2656" spans="1:7" hidden="1" x14ac:dyDescent="0.25">
      <c r="A2656" s="28" t="s">
        <v>4714</v>
      </c>
      <c r="B2656" s="29">
        <v>48857.15</v>
      </c>
      <c r="F2656" t="s">
        <v>4714</v>
      </c>
      <c r="G2656">
        <v>1</v>
      </c>
    </row>
    <row r="2657" spans="1:7" hidden="1" x14ac:dyDescent="0.25">
      <c r="A2657" s="28" t="s">
        <v>4965</v>
      </c>
      <c r="B2657" s="29">
        <v>48857.15</v>
      </c>
      <c r="F2657" t="s">
        <v>4965</v>
      </c>
      <c r="G2657">
        <v>1</v>
      </c>
    </row>
    <row r="2658" spans="1:7" hidden="1" x14ac:dyDescent="0.25">
      <c r="A2658" s="28" t="s">
        <v>4832</v>
      </c>
      <c r="B2658" s="29">
        <v>48857.15</v>
      </c>
      <c r="F2658" t="s">
        <v>4832</v>
      </c>
      <c r="G2658">
        <v>1</v>
      </c>
    </row>
    <row r="2659" spans="1:7" hidden="1" x14ac:dyDescent="0.25">
      <c r="A2659" s="28" t="s">
        <v>4803</v>
      </c>
      <c r="B2659" s="29">
        <v>48857.15</v>
      </c>
      <c r="F2659" t="s">
        <v>4803</v>
      </c>
      <c r="G2659">
        <v>1</v>
      </c>
    </row>
    <row r="2660" spans="1:7" hidden="1" x14ac:dyDescent="0.25">
      <c r="A2660" s="28" t="s">
        <v>3111</v>
      </c>
      <c r="B2660" s="29">
        <v>48857.15</v>
      </c>
      <c r="F2660" t="s">
        <v>3111</v>
      </c>
      <c r="G2660">
        <v>1</v>
      </c>
    </row>
    <row r="2661" spans="1:7" hidden="1" x14ac:dyDescent="0.25">
      <c r="A2661" s="28" t="s">
        <v>2908</v>
      </c>
      <c r="B2661" s="29">
        <v>48857.15</v>
      </c>
      <c r="F2661" t="s">
        <v>2908</v>
      </c>
      <c r="G2661">
        <v>1</v>
      </c>
    </row>
    <row r="2662" spans="1:7" hidden="1" x14ac:dyDescent="0.25">
      <c r="A2662" s="28" t="s">
        <v>4730</v>
      </c>
      <c r="B2662" s="29">
        <v>48857.15</v>
      </c>
      <c r="F2662" t="s">
        <v>4730</v>
      </c>
      <c r="G2662">
        <v>1</v>
      </c>
    </row>
    <row r="2663" spans="1:7" hidden="1" x14ac:dyDescent="0.25">
      <c r="A2663" s="28" t="s">
        <v>4162</v>
      </c>
      <c r="B2663" s="29">
        <v>48857.15</v>
      </c>
      <c r="F2663" t="s">
        <v>4162</v>
      </c>
      <c r="G2663">
        <v>1</v>
      </c>
    </row>
    <row r="2664" spans="1:7" hidden="1" x14ac:dyDescent="0.25">
      <c r="A2664" s="28" t="s">
        <v>4170</v>
      </c>
      <c r="B2664" s="29">
        <v>45834.68</v>
      </c>
      <c r="F2664" t="s">
        <v>4170</v>
      </c>
      <c r="G2664">
        <v>1</v>
      </c>
    </row>
    <row r="2665" spans="1:7" x14ac:dyDescent="0.25">
      <c r="A2665" s="28" t="s">
        <v>1407</v>
      </c>
      <c r="B2665" s="29">
        <v>46572.618350000004</v>
      </c>
      <c r="F2665" t="s">
        <v>1407</v>
      </c>
      <c r="G2665">
        <v>2</v>
      </c>
    </row>
    <row r="2666" spans="1:7" x14ac:dyDescent="0.25">
      <c r="A2666" s="28" t="s">
        <v>1218</v>
      </c>
      <c r="B2666" s="29">
        <v>46572.618350000004</v>
      </c>
      <c r="F2666" t="s">
        <v>1218</v>
      </c>
      <c r="G2666">
        <v>2</v>
      </c>
    </row>
    <row r="2667" spans="1:7" x14ac:dyDescent="0.25">
      <c r="A2667" s="28" t="s">
        <v>705</v>
      </c>
      <c r="B2667" s="29">
        <v>46572.618350000004</v>
      </c>
      <c r="F2667" t="s">
        <v>705</v>
      </c>
      <c r="G2667">
        <v>2</v>
      </c>
    </row>
    <row r="2668" spans="1:7" hidden="1" x14ac:dyDescent="0.25">
      <c r="A2668" s="28" t="s">
        <v>3049</v>
      </c>
      <c r="B2668" s="29">
        <v>45834.68</v>
      </c>
      <c r="F2668" t="s">
        <v>3049</v>
      </c>
      <c r="G2668">
        <v>1</v>
      </c>
    </row>
    <row r="2669" spans="1:7" hidden="1" x14ac:dyDescent="0.25">
      <c r="A2669" s="28" t="s">
        <v>3745</v>
      </c>
      <c r="B2669" s="29">
        <v>45834.68</v>
      </c>
      <c r="F2669" t="s">
        <v>3745</v>
      </c>
      <c r="G2669">
        <v>1</v>
      </c>
    </row>
    <row r="2670" spans="1:7" hidden="1" x14ac:dyDescent="0.25">
      <c r="A2670" s="28" t="s">
        <v>3747</v>
      </c>
      <c r="B2670" s="29">
        <v>45834.68</v>
      </c>
      <c r="F2670" t="s">
        <v>3747</v>
      </c>
      <c r="G2670">
        <v>1</v>
      </c>
    </row>
    <row r="2671" spans="1:7" hidden="1" x14ac:dyDescent="0.25">
      <c r="A2671" s="28" t="s">
        <v>4632</v>
      </c>
      <c r="B2671" s="29">
        <v>45834.68</v>
      </c>
      <c r="F2671" t="s">
        <v>4632</v>
      </c>
      <c r="G2671">
        <v>1</v>
      </c>
    </row>
    <row r="2672" spans="1:7" x14ac:dyDescent="0.25">
      <c r="A2672" s="28" t="s">
        <v>1342</v>
      </c>
      <c r="B2672" s="29">
        <v>46572.618350000004</v>
      </c>
      <c r="F2672" t="s">
        <v>1342</v>
      </c>
      <c r="G2672">
        <v>2</v>
      </c>
    </row>
    <row r="2673" spans="1:7" x14ac:dyDescent="0.25">
      <c r="A2673" s="28" t="s">
        <v>339</v>
      </c>
      <c r="B2673" s="29">
        <v>46572.618350000004</v>
      </c>
      <c r="F2673" t="s">
        <v>339</v>
      </c>
      <c r="G2673">
        <v>2</v>
      </c>
    </row>
    <row r="2674" spans="1:7" hidden="1" x14ac:dyDescent="0.25">
      <c r="A2674" s="28" t="s">
        <v>4540</v>
      </c>
      <c r="B2674" s="29">
        <v>45834.68</v>
      </c>
      <c r="F2674" t="s">
        <v>4540</v>
      </c>
      <c r="G2674">
        <v>1</v>
      </c>
    </row>
    <row r="2675" spans="1:7" hidden="1" x14ac:dyDescent="0.25">
      <c r="A2675" s="28" t="s">
        <v>4194</v>
      </c>
      <c r="B2675" s="29">
        <v>45834.68</v>
      </c>
      <c r="F2675" t="s">
        <v>4194</v>
      </c>
      <c r="G2675">
        <v>1</v>
      </c>
    </row>
    <row r="2676" spans="1:7" hidden="1" x14ac:dyDescent="0.25">
      <c r="A2676" s="28" t="s">
        <v>3826</v>
      </c>
      <c r="B2676" s="29">
        <v>45834.68</v>
      </c>
      <c r="F2676" t="s">
        <v>3826</v>
      </c>
      <c r="G2676">
        <v>1</v>
      </c>
    </row>
    <row r="2677" spans="1:7" hidden="1" x14ac:dyDescent="0.25">
      <c r="A2677" s="28" t="s">
        <v>3476</v>
      </c>
      <c r="B2677" s="29">
        <v>45834.68</v>
      </c>
      <c r="F2677" t="s">
        <v>3476</v>
      </c>
      <c r="G2677">
        <v>1</v>
      </c>
    </row>
    <row r="2678" spans="1:7" x14ac:dyDescent="0.25">
      <c r="A2678" s="28" t="s">
        <v>1420</v>
      </c>
      <c r="B2678" s="29">
        <v>46572.618350000004</v>
      </c>
      <c r="F2678" t="s">
        <v>1420</v>
      </c>
      <c r="G2678">
        <v>2</v>
      </c>
    </row>
    <row r="2679" spans="1:7" x14ac:dyDescent="0.25">
      <c r="A2679" s="28" t="s">
        <v>233</v>
      </c>
      <c r="B2679" s="29">
        <v>46572.618350000004</v>
      </c>
      <c r="F2679" t="s">
        <v>233</v>
      </c>
      <c r="G2679">
        <v>2</v>
      </c>
    </row>
    <row r="2680" spans="1:7" x14ac:dyDescent="0.25">
      <c r="A2680" s="28" t="s">
        <v>1500</v>
      </c>
      <c r="B2680" s="29">
        <v>46572.618350000004</v>
      </c>
      <c r="F2680" t="s">
        <v>1500</v>
      </c>
      <c r="G2680">
        <v>2</v>
      </c>
    </row>
    <row r="2681" spans="1:7" x14ac:dyDescent="0.25">
      <c r="A2681" s="28" t="s">
        <v>937</v>
      </c>
      <c r="B2681" s="29">
        <v>46572.618350000004</v>
      </c>
      <c r="F2681" t="s">
        <v>937</v>
      </c>
      <c r="G2681">
        <v>2</v>
      </c>
    </row>
    <row r="2682" spans="1:7" hidden="1" x14ac:dyDescent="0.25">
      <c r="A2682" s="28" t="s">
        <v>3015</v>
      </c>
      <c r="B2682" s="29">
        <v>45834.68</v>
      </c>
      <c r="F2682" t="s">
        <v>3015</v>
      </c>
      <c r="G2682">
        <v>1</v>
      </c>
    </row>
    <row r="2683" spans="1:7" hidden="1" x14ac:dyDescent="0.25">
      <c r="A2683" s="28" t="s">
        <v>3219</v>
      </c>
      <c r="B2683" s="29">
        <v>45834.68</v>
      </c>
      <c r="F2683" t="s">
        <v>3219</v>
      </c>
      <c r="G2683">
        <v>1</v>
      </c>
    </row>
    <row r="2684" spans="1:7" hidden="1" x14ac:dyDescent="0.25">
      <c r="A2684" s="28" t="s">
        <v>3278</v>
      </c>
      <c r="B2684" s="29">
        <v>45834.68</v>
      </c>
      <c r="F2684" t="s">
        <v>3278</v>
      </c>
      <c r="G2684">
        <v>1</v>
      </c>
    </row>
    <row r="2685" spans="1:7" hidden="1" x14ac:dyDescent="0.25">
      <c r="A2685" s="28" t="s">
        <v>3447</v>
      </c>
      <c r="B2685" s="29">
        <v>45834.68</v>
      </c>
      <c r="F2685" t="s">
        <v>3447</v>
      </c>
      <c r="G2685">
        <v>1</v>
      </c>
    </row>
    <row r="2686" spans="1:7" hidden="1" x14ac:dyDescent="0.25">
      <c r="A2686" s="28" t="s">
        <v>3833</v>
      </c>
      <c r="B2686" s="29">
        <v>45834.68</v>
      </c>
      <c r="F2686" t="s">
        <v>3833</v>
      </c>
      <c r="G2686">
        <v>1</v>
      </c>
    </row>
    <row r="2687" spans="1:7" x14ac:dyDescent="0.25">
      <c r="A2687" s="28" t="s">
        <v>788</v>
      </c>
      <c r="B2687" s="29">
        <v>46572.618350000004</v>
      </c>
      <c r="F2687" t="s">
        <v>788</v>
      </c>
      <c r="G2687">
        <v>2</v>
      </c>
    </row>
    <row r="2688" spans="1:7" x14ac:dyDescent="0.25">
      <c r="A2688" s="28" t="s">
        <v>1055</v>
      </c>
      <c r="B2688" s="29">
        <v>46572.618350000004</v>
      </c>
      <c r="F2688" t="s">
        <v>1055</v>
      </c>
      <c r="G2688">
        <v>2</v>
      </c>
    </row>
    <row r="2689" spans="1:7" hidden="1" x14ac:dyDescent="0.25">
      <c r="A2689" s="28" t="s">
        <v>2952</v>
      </c>
      <c r="B2689" s="29">
        <v>45834.68</v>
      </c>
      <c r="F2689" t="s">
        <v>2952</v>
      </c>
      <c r="G2689">
        <v>1</v>
      </c>
    </row>
    <row r="2690" spans="1:7" hidden="1" x14ac:dyDescent="0.25">
      <c r="A2690" s="28" t="s">
        <v>3302</v>
      </c>
      <c r="B2690" s="29">
        <v>45834.68</v>
      </c>
      <c r="F2690" t="s">
        <v>3302</v>
      </c>
      <c r="G2690">
        <v>1</v>
      </c>
    </row>
    <row r="2691" spans="1:7" hidden="1" x14ac:dyDescent="0.25">
      <c r="A2691" s="28" t="s">
        <v>3331</v>
      </c>
      <c r="B2691" s="29">
        <v>45834.68</v>
      </c>
      <c r="F2691" t="s">
        <v>3331</v>
      </c>
      <c r="G2691">
        <v>1</v>
      </c>
    </row>
    <row r="2692" spans="1:7" hidden="1" x14ac:dyDescent="0.25">
      <c r="A2692" s="28" t="s">
        <v>3732</v>
      </c>
      <c r="B2692" s="29">
        <v>45834.68</v>
      </c>
      <c r="F2692" t="s">
        <v>3732</v>
      </c>
      <c r="G2692">
        <v>1</v>
      </c>
    </row>
    <row r="2693" spans="1:7" hidden="1" x14ac:dyDescent="0.25">
      <c r="A2693" s="28" t="s">
        <v>4414</v>
      </c>
      <c r="B2693" s="29">
        <v>45834.68</v>
      </c>
      <c r="F2693" t="s">
        <v>4414</v>
      </c>
      <c r="G2693">
        <v>1</v>
      </c>
    </row>
    <row r="2694" spans="1:7" hidden="1" x14ac:dyDescent="0.25">
      <c r="A2694" s="28" t="s">
        <v>4429</v>
      </c>
      <c r="B2694" s="29">
        <v>45834.68</v>
      </c>
      <c r="F2694" t="s">
        <v>4429</v>
      </c>
      <c r="G2694">
        <v>1</v>
      </c>
    </row>
    <row r="2695" spans="1:7" hidden="1" x14ac:dyDescent="0.25">
      <c r="A2695" s="28" t="s">
        <v>4092</v>
      </c>
      <c r="B2695" s="29">
        <v>45834.68</v>
      </c>
      <c r="F2695" t="s">
        <v>4092</v>
      </c>
      <c r="G2695">
        <v>1</v>
      </c>
    </row>
    <row r="2696" spans="1:7" hidden="1" x14ac:dyDescent="0.25">
      <c r="A2696" s="28" t="s">
        <v>2737</v>
      </c>
      <c r="B2696" s="29">
        <v>45834.68</v>
      </c>
      <c r="F2696" t="s">
        <v>2737</v>
      </c>
      <c r="G2696">
        <v>1</v>
      </c>
    </row>
    <row r="2697" spans="1:7" hidden="1" x14ac:dyDescent="0.25">
      <c r="A2697" s="28" t="s">
        <v>3395</v>
      </c>
      <c r="B2697" s="29">
        <v>45834.68</v>
      </c>
      <c r="F2697" t="s">
        <v>3395</v>
      </c>
      <c r="G2697">
        <v>1</v>
      </c>
    </row>
    <row r="2698" spans="1:7" hidden="1" x14ac:dyDescent="0.25">
      <c r="A2698" s="28" t="s">
        <v>4609</v>
      </c>
      <c r="B2698" s="29">
        <v>45834.68</v>
      </c>
      <c r="F2698" t="s">
        <v>4609</v>
      </c>
      <c r="G2698">
        <v>1</v>
      </c>
    </row>
    <row r="2699" spans="1:7" hidden="1" x14ac:dyDescent="0.25">
      <c r="A2699" s="28" t="s">
        <v>3804</v>
      </c>
      <c r="B2699" s="29">
        <v>45834.68</v>
      </c>
      <c r="F2699" t="s">
        <v>3804</v>
      </c>
      <c r="G2699">
        <v>1</v>
      </c>
    </row>
    <row r="2700" spans="1:7" hidden="1" x14ac:dyDescent="0.25">
      <c r="A2700" s="28" t="s">
        <v>4047</v>
      </c>
      <c r="B2700" s="29">
        <v>45834.68</v>
      </c>
      <c r="F2700" t="s">
        <v>4047</v>
      </c>
      <c r="G2700">
        <v>1</v>
      </c>
    </row>
    <row r="2701" spans="1:7" hidden="1" x14ac:dyDescent="0.25">
      <c r="A2701" s="28" t="s">
        <v>4975</v>
      </c>
      <c r="B2701" s="29">
        <v>45834.68</v>
      </c>
      <c r="F2701" t="s">
        <v>4975</v>
      </c>
      <c r="G2701">
        <v>1</v>
      </c>
    </row>
    <row r="2702" spans="1:7" x14ac:dyDescent="0.25">
      <c r="A2702" s="28" t="s">
        <v>787</v>
      </c>
      <c r="B2702" s="29">
        <v>46572.618350000004</v>
      </c>
      <c r="F2702" t="s">
        <v>787</v>
      </c>
      <c r="G2702">
        <v>2</v>
      </c>
    </row>
    <row r="2703" spans="1:7" x14ac:dyDescent="0.25">
      <c r="A2703" s="28" t="s">
        <v>1080</v>
      </c>
      <c r="B2703" s="29">
        <v>46572.618350000004</v>
      </c>
      <c r="F2703" t="s">
        <v>1080</v>
      </c>
      <c r="G2703">
        <v>2</v>
      </c>
    </row>
    <row r="2704" spans="1:7" x14ac:dyDescent="0.25">
      <c r="A2704" s="28" t="s">
        <v>514</v>
      </c>
      <c r="B2704" s="29">
        <v>46572.618350000004</v>
      </c>
      <c r="F2704" t="s">
        <v>514</v>
      </c>
      <c r="G2704">
        <v>2</v>
      </c>
    </row>
    <row r="2705" spans="1:7" hidden="1" x14ac:dyDescent="0.25">
      <c r="A2705" s="28" t="s">
        <v>3593</v>
      </c>
      <c r="B2705" s="29">
        <v>45834.68</v>
      </c>
      <c r="F2705" t="s">
        <v>3593</v>
      </c>
      <c r="G2705">
        <v>1</v>
      </c>
    </row>
    <row r="2706" spans="1:7" hidden="1" x14ac:dyDescent="0.25">
      <c r="A2706" s="28" t="s">
        <v>3577</v>
      </c>
      <c r="B2706" s="29">
        <v>45834.68</v>
      </c>
      <c r="F2706" t="s">
        <v>3577</v>
      </c>
      <c r="G2706">
        <v>1</v>
      </c>
    </row>
    <row r="2707" spans="1:7" hidden="1" x14ac:dyDescent="0.25">
      <c r="A2707" s="28" t="s">
        <v>3653</v>
      </c>
      <c r="B2707" s="29">
        <v>45834.68</v>
      </c>
      <c r="F2707" t="s">
        <v>3653</v>
      </c>
      <c r="G2707">
        <v>1</v>
      </c>
    </row>
    <row r="2708" spans="1:7" hidden="1" x14ac:dyDescent="0.25">
      <c r="A2708" s="28" t="s">
        <v>4204</v>
      </c>
      <c r="B2708" s="29">
        <v>45834.68</v>
      </c>
      <c r="F2708" t="s">
        <v>4204</v>
      </c>
      <c r="G2708">
        <v>1</v>
      </c>
    </row>
    <row r="2709" spans="1:7" hidden="1" x14ac:dyDescent="0.25">
      <c r="A2709" s="28" t="s">
        <v>2828</v>
      </c>
      <c r="B2709" s="29">
        <v>45834.68</v>
      </c>
      <c r="F2709" t="s">
        <v>2828</v>
      </c>
      <c r="G2709">
        <v>1</v>
      </c>
    </row>
    <row r="2710" spans="1:7" x14ac:dyDescent="0.25">
      <c r="A2710" s="28" t="s">
        <v>858</v>
      </c>
      <c r="B2710" s="29">
        <v>46572.618350000004</v>
      </c>
      <c r="F2710" t="s">
        <v>858</v>
      </c>
      <c r="G2710">
        <v>2</v>
      </c>
    </row>
    <row r="2711" spans="1:7" x14ac:dyDescent="0.25">
      <c r="A2711" s="28" t="s">
        <v>95</v>
      </c>
      <c r="B2711" s="29">
        <v>46572.618350000004</v>
      </c>
      <c r="F2711" t="s">
        <v>95</v>
      </c>
      <c r="G2711">
        <v>2</v>
      </c>
    </row>
    <row r="2712" spans="1:7" hidden="1" x14ac:dyDescent="0.25">
      <c r="A2712" s="28" t="s">
        <v>4422</v>
      </c>
      <c r="B2712" s="29">
        <v>45834.68</v>
      </c>
      <c r="F2712" t="s">
        <v>4422</v>
      </c>
      <c r="G2712">
        <v>1</v>
      </c>
    </row>
    <row r="2713" spans="1:7" hidden="1" x14ac:dyDescent="0.25">
      <c r="A2713" s="28" t="s">
        <v>4083</v>
      </c>
      <c r="B2713" s="29">
        <v>45834.68</v>
      </c>
      <c r="F2713" t="s">
        <v>4083</v>
      </c>
      <c r="G2713">
        <v>1</v>
      </c>
    </row>
    <row r="2714" spans="1:7" hidden="1" x14ac:dyDescent="0.25">
      <c r="A2714" s="28" t="s">
        <v>3889</v>
      </c>
      <c r="B2714" s="29">
        <v>45834.68</v>
      </c>
      <c r="F2714" t="s">
        <v>3889</v>
      </c>
      <c r="G2714">
        <v>1</v>
      </c>
    </row>
    <row r="2715" spans="1:7" hidden="1" x14ac:dyDescent="0.25">
      <c r="A2715" s="28" t="s">
        <v>3811</v>
      </c>
      <c r="B2715" s="29">
        <v>45834.68</v>
      </c>
      <c r="F2715" t="s">
        <v>3811</v>
      </c>
      <c r="G2715">
        <v>1</v>
      </c>
    </row>
    <row r="2716" spans="1:7" hidden="1" x14ac:dyDescent="0.25">
      <c r="A2716" s="28" t="s">
        <v>4251</v>
      </c>
      <c r="B2716" s="29">
        <v>45834.68</v>
      </c>
      <c r="F2716" t="s">
        <v>4251</v>
      </c>
      <c r="G2716">
        <v>1</v>
      </c>
    </row>
    <row r="2717" spans="1:7" hidden="1" x14ac:dyDescent="0.25">
      <c r="A2717" s="28" t="s">
        <v>4147</v>
      </c>
      <c r="B2717" s="29">
        <v>45834.68</v>
      </c>
      <c r="F2717" t="s">
        <v>4147</v>
      </c>
      <c r="G2717">
        <v>1</v>
      </c>
    </row>
    <row r="2718" spans="1:7" hidden="1" x14ac:dyDescent="0.25">
      <c r="A2718" s="28" t="s">
        <v>3209</v>
      </c>
      <c r="B2718" s="29">
        <v>45834.68</v>
      </c>
      <c r="F2718" t="s">
        <v>3209</v>
      </c>
      <c r="G2718">
        <v>1</v>
      </c>
    </row>
    <row r="2719" spans="1:7" hidden="1" x14ac:dyDescent="0.25">
      <c r="A2719" s="28" t="s">
        <v>4725</v>
      </c>
      <c r="B2719" s="29">
        <v>45834.68</v>
      </c>
      <c r="F2719" t="s">
        <v>4725</v>
      </c>
      <c r="G2719">
        <v>1</v>
      </c>
    </row>
    <row r="2720" spans="1:7" hidden="1" x14ac:dyDescent="0.25">
      <c r="A2720" s="28" t="s">
        <v>3077</v>
      </c>
      <c r="B2720" s="29">
        <v>45834.68</v>
      </c>
      <c r="F2720" t="s">
        <v>3077</v>
      </c>
      <c r="G2720">
        <v>1</v>
      </c>
    </row>
    <row r="2721" spans="1:7" hidden="1" x14ac:dyDescent="0.25">
      <c r="A2721" s="28" t="s">
        <v>4407</v>
      </c>
      <c r="B2721" s="29">
        <v>45834.68</v>
      </c>
      <c r="F2721" t="s">
        <v>4407</v>
      </c>
      <c r="G2721">
        <v>1</v>
      </c>
    </row>
    <row r="2722" spans="1:7" hidden="1" x14ac:dyDescent="0.25">
      <c r="A2722" s="28" t="s">
        <v>4241</v>
      </c>
      <c r="B2722" s="29">
        <v>45834.68</v>
      </c>
      <c r="F2722" t="s">
        <v>4241</v>
      </c>
      <c r="G2722">
        <v>1</v>
      </c>
    </row>
    <row r="2723" spans="1:7" x14ac:dyDescent="0.25">
      <c r="A2723" s="28" t="s">
        <v>1021</v>
      </c>
      <c r="B2723" s="29">
        <v>46572.618350000004</v>
      </c>
      <c r="F2723" t="s">
        <v>1021</v>
      </c>
      <c r="G2723">
        <v>2</v>
      </c>
    </row>
    <row r="2724" spans="1:7" hidden="1" x14ac:dyDescent="0.25">
      <c r="A2724" s="28" t="s">
        <v>4503</v>
      </c>
      <c r="B2724" s="29">
        <v>45834.68</v>
      </c>
      <c r="F2724" t="s">
        <v>4503</v>
      </c>
      <c r="G2724">
        <v>1</v>
      </c>
    </row>
    <row r="2725" spans="1:7" hidden="1" x14ac:dyDescent="0.25">
      <c r="A2725" s="28" t="s">
        <v>2962</v>
      </c>
      <c r="B2725" s="29">
        <v>45834.68</v>
      </c>
      <c r="F2725" t="s">
        <v>2962</v>
      </c>
      <c r="G2725">
        <v>1</v>
      </c>
    </row>
    <row r="2726" spans="1:7" hidden="1" x14ac:dyDescent="0.25">
      <c r="A2726" s="28" t="s">
        <v>4592</v>
      </c>
      <c r="B2726" s="29">
        <v>45834.68</v>
      </c>
      <c r="F2726" t="s">
        <v>4592</v>
      </c>
      <c r="G2726">
        <v>1</v>
      </c>
    </row>
    <row r="2727" spans="1:7" hidden="1" x14ac:dyDescent="0.25">
      <c r="A2727" s="28" t="s">
        <v>4357</v>
      </c>
      <c r="B2727" s="29">
        <v>45834.68</v>
      </c>
      <c r="F2727" t="s">
        <v>4357</v>
      </c>
      <c r="G2727">
        <v>1</v>
      </c>
    </row>
    <row r="2728" spans="1:7" hidden="1" x14ac:dyDescent="0.25">
      <c r="A2728" s="28" t="s">
        <v>2924</v>
      </c>
      <c r="B2728" s="29">
        <v>45834.68</v>
      </c>
      <c r="F2728" t="s">
        <v>2924</v>
      </c>
      <c r="G2728">
        <v>1</v>
      </c>
    </row>
    <row r="2729" spans="1:7" hidden="1" x14ac:dyDescent="0.25">
      <c r="A2729" s="28" t="s">
        <v>3365</v>
      </c>
      <c r="B2729" s="29">
        <v>45834.68</v>
      </c>
      <c r="F2729" t="s">
        <v>3365</v>
      </c>
      <c r="G2729">
        <v>1</v>
      </c>
    </row>
    <row r="2730" spans="1:7" x14ac:dyDescent="0.25">
      <c r="A2730" s="28" t="s">
        <v>638</v>
      </c>
      <c r="B2730" s="29">
        <v>46572.618350000004</v>
      </c>
      <c r="F2730" t="s">
        <v>638</v>
      </c>
      <c r="G2730">
        <v>2</v>
      </c>
    </row>
    <row r="2731" spans="1:7" x14ac:dyDescent="0.25">
      <c r="A2731" s="28" t="s">
        <v>1303</v>
      </c>
      <c r="B2731" s="29">
        <v>46572.618350000004</v>
      </c>
      <c r="F2731" t="s">
        <v>1303</v>
      </c>
      <c r="G2731">
        <v>2</v>
      </c>
    </row>
    <row r="2732" spans="1:7" x14ac:dyDescent="0.25">
      <c r="A2732" s="28" t="s">
        <v>1379</v>
      </c>
      <c r="B2732" s="29">
        <v>46572.618350000004</v>
      </c>
      <c r="F2732" t="s">
        <v>1379</v>
      </c>
      <c r="G2732">
        <v>2</v>
      </c>
    </row>
    <row r="2733" spans="1:7" x14ac:dyDescent="0.25">
      <c r="A2733" s="28" t="s">
        <v>1275</v>
      </c>
      <c r="B2733" s="29">
        <v>46572.618350000004</v>
      </c>
      <c r="F2733" t="s">
        <v>1275</v>
      </c>
      <c r="G2733">
        <v>2</v>
      </c>
    </row>
    <row r="2734" spans="1:7" hidden="1" x14ac:dyDescent="0.25">
      <c r="A2734" s="28" t="s">
        <v>4955</v>
      </c>
      <c r="B2734" s="29">
        <v>45834.68</v>
      </c>
      <c r="F2734" t="s">
        <v>4955</v>
      </c>
      <c r="G2734">
        <v>1</v>
      </c>
    </row>
    <row r="2735" spans="1:7" hidden="1" x14ac:dyDescent="0.25">
      <c r="A2735" s="28" t="s">
        <v>3003</v>
      </c>
      <c r="B2735" s="29">
        <v>45834.68</v>
      </c>
      <c r="F2735" t="s">
        <v>3003</v>
      </c>
      <c r="G2735">
        <v>1</v>
      </c>
    </row>
    <row r="2736" spans="1:7" hidden="1" x14ac:dyDescent="0.25">
      <c r="A2736" s="28" t="s">
        <v>4877</v>
      </c>
      <c r="B2736" s="29">
        <v>45834.68</v>
      </c>
      <c r="F2736" t="s">
        <v>4877</v>
      </c>
      <c r="G2736">
        <v>1</v>
      </c>
    </row>
    <row r="2737" spans="1:7" hidden="1" x14ac:dyDescent="0.25">
      <c r="A2737" s="28" t="s">
        <v>2959</v>
      </c>
      <c r="B2737" s="29">
        <v>45834.68</v>
      </c>
      <c r="F2737" t="s">
        <v>2959</v>
      </c>
      <c r="G2737">
        <v>1</v>
      </c>
    </row>
    <row r="2738" spans="1:7" hidden="1" x14ac:dyDescent="0.25">
      <c r="A2738" s="28" t="s">
        <v>4651</v>
      </c>
      <c r="B2738" s="29">
        <v>45834.68</v>
      </c>
      <c r="F2738" t="s">
        <v>4651</v>
      </c>
      <c r="G2738">
        <v>1</v>
      </c>
    </row>
    <row r="2739" spans="1:7" hidden="1" x14ac:dyDescent="0.25">
      <c r="A2739" s="28" t="s">
        <v>4311</v>
      </c>
      <c r="B2739" s="29">
        <v>45834.68</v>
      </c>
      <c r="F2739" t="s">
        <v>4311</v>
      </c>
      <c r="G2739">
        <v>1</v>
      </c>
    </row>
    <row r="2740" spans="1:7" hidden="1" x14ac:dyDescent="0.25">
      <c r="A2740" s="28" t="s">
        <v>3930</v>
      </c>
      <c r="B2740" s="29">
        <v>45834.68</v>
      </c>
      <c r="F2740" t="s">
        <v>3930</v>
      </c>
      <c r="G2740">
        <v>1</v>
      </c>
    </row>
    <row r="2741" spans="1:7" hidden="1" x14ac:dyDescent="0.25">
      <c r="A2741" s="28" t="s">
        <v>3689</v>
      </c>
      <c r="B2741" s="29">
        <v>45834.68</v>
      </c>
      <c r="F2741" t="s">
        <v>3689</v>
      </c>
      <c r="G2741">
        <v>1</v>
      </c>
    </row>
    <row r="2742" spans="1:7" hidden="1" x14ac:dyDescent="0.25">
      <c r="A2742" s="28" t="s">
        <v>4100</v>
      </c>
      <c r="B2742" s="29">
        <v>45834.68</v>
      </c>
      <c r="F2742" t="s">
        <v>4100</v>
      </c>
      <c r="G2742">
        <v>1</v>
      </c>
    </row>
    <row r="2743" spans="1:7" x14ac:dyDescent="0.25">
      <c r="A2743" s="28" t="s">
        <v>1200</v>
      </c>
      <c r="B2743" s="29">
        <v>46572.618350000004</v>
      </c>
      <c r="F2743" t="s">
        <v>1200</v>
      </c>
      <c r="G2743">
        <v>2</v>
      </c>
    </row>
    <row r="2744" spans="1:7" hidden="1" x14ac:dyDescent="0.25">
      <c r="A2744" s="28" t="s">
        <v>2506</v>
      </c>
      <c r="B2744" s="29">
        <v>45834.68</v>
      </c>
      <c r="F2744" t="s">
        <v>2506</v>
      </c>
      <c r="G2744">
        <v>1</v>
      </c>
    </row>
    <row r="2745" spans="1:7" hidden="1" x14ac:dyDescent="0.25">
      <c r="A2745" s="28" t="s">
        <v>4959</v>
      </c>
      <c r="B2745" s="29">
        <v>45834.68</v>
      </c>
      <c r="F2745" t="s">
        <v>4959</v>
      </c>
      <c r="G2745">
        <v>1</v>
      </c>
    </row>
    <row r="2746" spans="1:7" hidden="1" x14ac:dyDescent="0.25">
      <c r="A2746" s="28" t="s">
        <v>4936</v>
      </c>
      <c r="B2746" s="29">
        <v>45834.68</v>
      </c>
      <c r="F2746" t="s">
        <v>4936</v>
      </c>
      <c r="G2746">
        <v>1</v>
      </c>
    </row>
    <row r="2747" spans="1:7" hidden="1" x14ac:dyDescent="0.25">
      <c r="A2747" s="28" t="s">
        <v>4887</v>
      </c>
      <c r="B2747" s="29">
        <v>45834.68</v>
      </c>
      <c r="F2747" t="s">
        <v>4887</v>
      </c>
      <c r="G2747">
        <v>1</v>
      </c>
    </row>
    <row r="2748" spans="1:7" hidden="1" x14ac:dyDescent="0.25">
      <c r="A2748" s="28" t="s">
        <v>4654</v>
      </c>
      <c r="B2748" s="29">
        <v>45834.68</v>
      </c>
      <c r="F2748" t="s">
        <v>4654</v>
      </c>
      <c r="G2748">
        <v>1</v>
      </c>
    </row>
    <row r="2749" spans="1:7" hidden="1" x14ac:dyDescent="0.25">
      <c r="A2749" s="28" t="s">
        <v>4962</v>
      </c>
      <c r="B2749" s="29">
        <v>45834.68</v>
      </c>
      <c r="F2749" t="s">
        <v>4962</v>
      </c>
      <c r="G2749">
        <v>1</v>
      </c>
    </row>
    <row r="2750" spans="1:7" hidden="1" x14ac:dyDescent="0.25">
      <c r="A2750" s="28" t="s">
        <v>2728</v>
      </c>
      <c r="B2750" s="29">
        <v>45834.68</v>
      </c>
      <c r="F2750" t="s">
        <v>2728</v>
      </c>
      <c r="G2750">
        <v>1</v>
      </c>
    </row>
    <row r="2751" spans="1:7" hidden="1" x14ac:dyDescent="0.25">
      <c r="A2751" s="28" t="s">
        <v>4772</v>
      </c>
      <c r="B2751" s="29">
        <v>45834.68</v>
      </c>
      <c r="F2751" t="s">
        <v>4772</v>
      </c>
      <c r="G2751">
        <v>1</v>
      </c>
    </row>
    <row r="2752" spans="1:7" hidden="1" x14ac:dyDescent="0.25">
      <c r="A2752" s="28" t="s">
        <v>4203</v>
      </c>
      <c r="B2752" s="29">
        <v>45834.68</v>
      </c>
      <c r="F2752" t="s">
        <v>4203</v>
      </c>
      <c r="G2752">
        <v>1</v>
      </c>
    </row>
    <row r="2753" spans="1:7" hidden="1" x14ac:dyDescent="0.25">
      <c r="A2753" s="28" t="s">
        <v>4221</v>
      </c>
      <c r="B2753" s="29">
        <v>45834.68</v>
      </c>
      <c r="F2753" t="s">
        <v>4221</v>
      </c>
      <c r="G2753">
        <v>1</v>
      </c>
    </row>
    <row r="2754" spans="1:7" hidden="1" x14ac:dyDescent="0.25">
      <c r="A2754" s="28" t="s">
        <v>3982</v>
      </c>
      <c r="B2754" s="29">
        <v>45834.68</v>
      </c>
      <c r="F2754" t="s">
        <v>3982</v>
      </c>
      <c r="G2754">
        <v>1</v>
      </c>
    </row>
    <row r="2755" spans="1:7" hidden="1" x14ac:dyDescent="0.25">
      <c r="A2755" s="28" t="s">
        <v>4050</v>
      </c>
      <c r="B2755" s="29">
        <v>45834.68</v>
      </c>
      <c r="F2755" t="s">
        <v>4050</v>
      </c>
      <c r="G2755">
        <v>1</v>
      </c>
    </row>
    <row r="2756" spans="1:7" hidden="1" x14ac:dyDescent="0.25">
      <c r="A2756" s="28" t="s">
        <v>4729</v>
      </c>
      <c r="B2756" s="29">
        <v>45834.68</v>
      </c>
      <c r="F2756" t="s">
        <v>4729</v>
      </c>
      <c r="G2756">
        <v>1</v>
      </c>
    </row>
    <row r="2757" spans="1:7" hidden="1" x14ac:dyDescent="0.25">
      <c r="A2757" s="28" t="s">
        <v>4355</v>
      </c>
      <c r="B2757" s="29">
        <v>45834.68</v>
      </c>
      <c r="F2757" t="s">
        <v>4355</v>
      </c>
      <c r="G2757">
        <v>1</v>
      </c>
    </row>
    <row r="2758" spans="1:7" x14ac:dyDescent="0.25">
      <c r="A2758" s="28" t="s">
        <v>810</v>
      </c>
      <c r="B2758" s="29">
        <v>46572.618350000004</v>
      </c>
      <c r="F2758" t="s">
        <v>810</v>
      </c>
      <c r="G2758">
        <v>2</v>
      </c>
    </row>
    <row r="2759" spans="1:7" x14ac:dyDescent="0.25">
      <c r="A2759" s="28" t="s">
        <v>474</v>
      </c>
      <c r="B2759" s="29">
        <v>46572.618350000004</v>
      </c>
      <c r="F2759" t="s">
        <v>474</v>
      </c>
      <c r="G2759">
        <v>2</v>
      </c>
    </row>
    <row r="2760" spans="1:7" hidden="1" x14ac:dyDescent="0.25">
      <c r="A2760" s="28" t="s">
        <v>4638</v>
      </c>
      <c r="B2760" s="29">
        <v>45834.68</v>
      </c>
      <c r="F2760" t="s">
        <v>4638</v>
      </c>
      <c r="G2760">
        <v>1</v>
      </c>
    </row>
    <row r="2761" spans="1:7" hidden="1" x14ac:dyDescent="0.25">
      <c r="A2761" s="28" t="s">
        <v>3065</v>
      </c>
      <c r="B2761" s="29">
        <v>45834.68</v>
      </c>
      <c r="F2761" t="s">
        <v>3065</v>
      </c>
      <c r="G2761">
        <v>1</v>
      </c>
    </row>
    <row r="2762" spans="1:7" hidden="1" x14ac:dyDescent="0.25">
      <c r="A2762" s="28" t="s">
        <v>4671</v>
      </c>
      <c r="B2762" s="29">
        <v>45834.68</v>
      </c>
      <c r="F2762" t="s">
        <v>4671</v>
      </c>
      <c r="G2762">
        <v>1</v>
      </c>
    </row>
    <row r="2763" spans="1:7" hidden="1" x14ac:dyDescent="0.25">
      <c r="A2763" s="28" t="s">
        <v>2524</v>
      </c>
      <c r="B2763" s="29">
        <v>45834.68</v>
      </c>
      <c r="F2763" t="s">
        <v>2524</v>
      </c>
      <c r="G2763">
        <v>1</v>
      </c>
    </row>
    <row r="2764" spans="1:7" hidden="1" x14ac:dyDescent="0.25">
      <c r="A2764" s="28" t="s">
        <v>4077</v>
      </c>
      <c r="B2764" s="29">
        <v>45834.68</v>
      </c>
      <c r="F2764" t="s">
        <v>4077</v>
      </c>
      <c r="G2764">
        <v>1</v>
      </c>
    </row>
    <row r="2765" spans="1:7" hidden="1" x14ac:dyDescent="0.25">
      <c r="A2765" s="28" t="s">
        <v>3132</v>
      </c>
      <c r="B2765" s="29">
        <v>45834.68</v>
      </c>
      <c r="F2765" t="s">
        <v>3132</v>
      </c>
      <c r="G2765">
        <v>1</v>
      </c>
    </row>
    <row r="2766" spans="1:7" hidden="1" x14ac:dyDescent="0.25">
      <c r="A2766" s="28" t="s">
        <v>4476</v>
      </c>
      <c r="B2766" s="29">
        <v>45834.68</v>
      </c>
      <c r="F2766" t="s">
        <v>4476</v>
      </c>
      <c r="G2766">
        <v>1</v>
      </c>
    </row>
    <row r="2767" spans="1:7" hidden="1" x14ac:dyDescent="0.25">
      <c r="A2767" s="28" t="s">
        <v>4673</v>
      </c>
      <c r="B2767" s="29">
        <v>45834.68</v>
      </c>
      <c r="F2767" t="s">
        <v>4673</v>
      </c>
      <c r="G2767">
        <v>1</v>
      </c>
    </row>
    <row r="2768" spans="1:7" x14ac:dyDescent="0.25">
      <c r="A2768" s="28" t="s">
        <v>1211</v>
      </c>
      <c r="B2768" s="29">
        <v>46572.618350000004</v>
      </c>
      <c r="F2768" t="s">
        <v>1211</v>
      </c>
      <c r="G2768">
        <v>2</v>
      </c>
    </row>
    <row r="2769" spans="1:7" x14ac:dyDescent="0.25">
      <c r="A2769" s="28" t="s">
        <v>1442</v>
      </c>
      <c r="B2769" s="29">
        <v>46572.618350000004</v>
      </c>
      <c r="F2769" t="s">
        <v>1442</v>
      </c>
      <c r="G2769">
        <v>2</v>
      </c>
    </row>
    <row r="2770" spans="1:7" hidden="1" x14ac:dyDescent="0.25">
      <c r="A2770" s="28" t="s">
        <v>4586</v>
      </c>
      <c r="B2770" s="29">
        <v>45834.68</v>
      </c>
      <c r="F2770" t="s">
        <v>4586</v>
      </c>
      <c r="G2770">
        <v>1</v>
      </c>
    </row>
    <row r="2771" spans="1:7" hidden="1" x14ac:dyDescent="0.25">
      <c r="A2771" s="28" t="s">
        <v>4306</v>
      </c>
      <c r="B2771" s="29">
        <v>45834.68</v>
      </c>
      <c r="F2771" t="s">
        <v>4306</v>
      </c>
      <c r="G2771">
        <v>1</v>
      </c>
    </row>
    <row r="2772" spans="1:7" hidden="1" x14ac:dyDescent="0.25">
      <c r="A2772" s="28" t="s">
        <v>2848</v>
      </c>
      <c r="B2772" s="29">
        <v>45834.68</v>
      </c>
      <c r="F2772" t="s">
        <v>2848</v>
      </c>
      <c r="G2772">
        <v>1</v>
      </c>
    </row>
    <row r="2773" spans="1:7" x14ac:dyDescent="0.25">
      <c r="A2773" s="28" t="s">
        <v>1189</v>
      </c>
      <c r="B2773" s="29">
        <v>46572.618350000004</v>
      </c>
      <c r="F2773" t="s">
        <v>1189</v>
      </c>
      <c r="G2773">
        <v>2</v>
      </c>
    </row>
    <row r="2774" spans="1:7" x14ac:dyDescent="0.25">
      <c r="A2774" s="28" t="s">
        <v>882</v>
      </c>
      <c r="B2774" s="29">
        <v>46572.618350000004</v>
      </c>
      <c r="F2774" t="s">
        <v>882</v>
      </c>
      <c r="G2774">
        <v>2</v>
      </c>
    </row>
    <row r="2775" spans="1:7" x14ac:dyDescent="0.25">
      <c r="A2775" s="28" t="s">
        <v>1382</v>
      </c>
      <c r="B2775" s="29">
        <v>46572.618350000004</v>
      </c>
      <c r="F2775" t="s">
        <v>1382</v>
      </c>
      <c r="G2775">
        <v>2</v>
      </c>
    </row>
    <row r="2776" spans="1:7" x14ac:dyDescent="0.25">
      <c r="A2776" s="28" t="s">
        <v>1360</v>
      </c>
      <c r="B2776" s="29">
        <v>46572.618350000004</v>
      </c>
      <c r="F2776" t="s">
        <v>1360</v>
      </c>
      <c r="G2776">
        <v>2</v>
      </c>
    </row>
    <row r="2777" spans="1:7" hidden="1" x14ac:dyDescent="0.25">
      <c r="A2777" s="28" t="s">
        <v>4502</v>
      </c>
      <c r="B2777" s="29">
        <v>45834.68</v>
      </c>
      <c r="F2777" t="s">
        <v>4502</v>
      </c>
      <c r="G2777">
        <v>1</v>
      </c>
    </row>
    <row r="2778" spans="1:7" hidden="1" x14ac:dyDescent="0.25">
      <c r="A2778" s="28" t="s">
        <v>4724</v>
      </c>
      <c r="B2778" s="29">
        <v>45834.68</v>
      </c>
      <c r="F2778" t="s">
        <v>4724</v>
      </c>
      <c r="G2778">
        <v>1</v>
      </c>
    </row>
    <row r="2779" spans="1:7" x14ac:dyDescent="0.25">
      <c r="A2779" s="28" t="s">
        <v>1563</v>
      </c>
      <c r="B2779" s="29">
        <v>46572.618350000004</v>
      </c>
      <c r="F2779" t="s">
        <v>1563</v>
      </c>
      <c r="G2779">
        <v>2</v>
      </c>
    </row>
    <row r="2780" spans="1:7" x14ac:dyDescent="0.25">
      <c r="A2780" s="28" t="s">
        <v>1073</v>
      </c>
      <c r="B2780" s="29">
        <v>46572.618350000004</v>
      </c>
      <c r="F2780" t="s">
        <v>1073</v>
      </c>
      <c r="G2780">
        <v>2</v>
      </c>
    </row>
    <row r="2781" spans="1:7" hidden="1" x14ac:dyDescent="0.25">
      <c r="A2781" s="28" t="s">
        <v>4886</v>
      </c>
      <c r="B2781" s="29">
        <v>45834.68</v>
      </c>
      <c r="F2781" t="s">
        <v>4886</v>
      </c>
      <c r="G2781">
        <v>1</v>
      </c>
    </row>
    <row r="2782" spans="1:7" hidden="1" x14ac:dyDescent="0.25">
      <c r="A2782" s="28" t="s">
        <v>4765</v>
      </c>
      <c r="B2782" s="29">
        <v>45834.68</v>
      </c>
      <c r="F2782" t="s">
        <v>4765</v>
      </c>
      <c r="G2782">
        <v>1</v>
      </c>
    </row>
    <row r="2783" spans="1:7" hidden="1" x14ac:dyDescent="0.25">
      <c r="A2783" s="28" t="s">
        <v>4914</v>
      </c>
      <c r="B2783" s="29">
        <v>45834.68</v>
      </c>
      <c r="F2783" t="s">
        <v>4914</v>
      </c>
      <c r="G2783">
        <v>1</v>
      </c>
    </row>
    <row r="2784" spans="1:7" x14ac:dyDescent="0.25">
      <c r="A2784" s="28" t="s">
        <v>1040</v>
      </c>
      <c r="B2784" s="29">
        <v>46572.618350000004</v>
      </c>
      <c r="F2784" t="s">
        <v>1040</v>
      </c>
      <c r="G2784">
        <v>2</v>
      </c>
    </row>
    <row r="2785" spans="1:7" hidden="1" x14ac:dyDescent="0.25">
      <c r="A2785" s="28" t="s">
        <v>3942</v>
      </c>
      <c r="B2785" s="29">
        <v>32976.89</v>
      </c>
      <c r="F2785" t="s">
        <v>3942</v>
      </c>
      <c r="G2785">
        <v>1</v>
      </c>
    </row>
    <row r="2786" spans="1:7" x14ac:dyDescent="0.25">
      <c r="A2786" s="28" t="s">
        <v>1415</v>
      </c>
      <c r="B2786" s="29">
        <v>33507.817949999997</v>
      </c>
      <c r="F2786" t="s">
        <v>1415</v>
      </c>
      <c r="G2786">
        <v>2</v>
      </c>
    </row>
    <row r="2787" spans="1:7" hidden="1" x14ac:dyDescent="0.25">
      <c r="A2787" s="28" t="s">
        <v>3792</v>
      </c>
      <c r="B2787" s="29">
        <v>32976.89</v>
      </c>
      <c r="F2787" t="s">
        <v>3792</v>
      </c>
      <c r="G2787">
        <v>1</v>
      </c>
    </row>
    <row r="2788" spans="1:7" hidden="1" x14ac:dyDescent="0.25">
      <c r="A2788" s="28" t="s">
        <v>4296</v>
      </c>
      <c r="B2788" s="29">
        <v>32976.89</v>
      </c>
      <c r="F2788" t="s">
        <v>4296</v>
      </c>
      <c r="G2788">
        <v>1</v>
      </c>
    </row>
    <row r="2789" spans="1:7" hidden="1" x14ac:dyDescent="0.25">
      <c r="A2789" s="28" t="s">
        <v>4820</v>
      </c>
      <c r="B2789" s="29">
        <v>32976.89</v>
      </c>
      <c r="F2789" t="s">
        <v>4820</v>
      </c>
      <c r="G2789">
        <v>1</v>
      </c>
    </row>
    <row r="2790" spans="1:7" x14ac:dyDescent="0.25">
      <c r="A2790" s="28" t="s">
        <v>1381</v>
      </c>
      <c r="B2790" s="29">
        <v>33507.817949999997</v>
      </c>
      <c r="F2790" t="s">
        <v>1381</v>
      </c>
      <c r="G2790">
        <v>2</v>
      </c>
    </row>
    <row r="2791" spans="1:7" x14ac:dyDescent="0.25">
      <c r="A2791" s="28" t="s">
        <v>654</v>
      </c>
      <c r="B2791" s="29">
        <v>33507.817949999997</v>
      </c>
      <c r="F2791" t="s">
        <v>654</v>
      </c>
      <c r="G2791">
        <v>2</v>
      </c>
    </row>
    <row r="2792" spans="1:7" x14ac:dyDescent="0.25">
      <c r="A2792" s="28" t="s">
        <v>1152</v>
      </c>
      <c r="B2792" s="29">
        <v>33507.817949999997</v>
      </c>
      <c r="F2792" t="s">
        <v>1152</v>
      </c>
      <c r="G2792">
        <v>2</v>
      </c>
    </row>
    <row r="2793" spans="1:7" x14ac:dyDescent="0.25">
      <c r="A2793" s="28" t="s">
        <v>996</v>
      </c>
      <c r="B2793" s="29">
        <v>33507.817949999997</v>
      </c>
      <c r="F2793" t="s">
        <v>996</v>
      </c>
      <c r="G2793">
        <v>2</v>
      </c>
    </row>
    <row r="2794" spans="1:7" x14ac:dyDescent="0.25">
      <c r="A2794" s="28" t="s">
        <v>657</v>
      </c>
      <c r="B2794" s="29">
        <v>33507.817949999997</v>
      </c>
      <c r="F2794" t="s">
        <v>657</v>
      </c>
      <c r="G2794">
        <v>2</v>
      </c>
    </row>
    <row r="2795" spans="1:7" hidden="1" x14ac:dyDescent="0.25">
      <c r="A2795" s="28" t="s">
        <v>3273</v>
      </c>
      <c r="B2795" s="29">
        <v>32976.89</v>
      </c>
      <c r="F2795" t="s">
        <v>3273</v>
      </c>
      <c r="G2795">
        <v>1</v>
      </c>
    </row>
    <row r="2796" spans="1:7" x14ac:dyDescent="0.25">
      <c r="A2796" s="28" t="s">
        <v>1284</v>
      </c>
      <c r="B2796" s="29">
        <v>33507.817949999997</v>
      </c>
      <c r="F2796" t="s">
        <v>1284</v>
      </c>
      <c r="G2796">
        <v>2</v>
      </c>
    </row>
    <row r="2797" spans="1:7" hidden="1" x14ac:dyDescent="0.25">
      <c r="A2797" s="28" t="s">
        <v>3573</v>
      </c>
      <c r="B2797" s="29">
        <v>32976.89</v>
      </c>
      <c r="F2797" t="s">
        <v>3573</v>
      </c>
      <c r="G2797">
        <v>1</v>
      </c>
    </row>
    <row r="2798" spans="1:7" x14ac:dyDescent="0.25">
      <c r="A2798" s="28" t="s">
        <v>1184</v>
      </c>
      <c r="B2798" s="29">
        <v>33507.817949999997</v>
      </c>
      <c r="F2798" t="s">
        <v>1184</v>
      </c>
      <c r="G2798">
        <v>2</v>
      </c>
    </row>
    <row r="2799" spans="1:7" hidden="1" x14ac:dyDescent="0.25">
      <c r="A2799" s="28" t="s">
        <v>3113</v>
      </c>
      <c r="B2799" s="29">
        <v>32976.89</v>
      </c>
      <c r="F2799" t="s">
        <v>3113</v>
      </c>
      <c r="G2799">
        <v>1</v>
      </c>
    </row>
    <row r="2800" spans="1:7" hidden="1" x14ac:dyDescent="0.25">
      <c r="A2800" s="28" t="s">
        <v>3552</v>
      </c>
      <c r="B2800" s="29">
        <v>54373.78</v>
      </c>
      <c r="F2800" t="s">
        <v>3552</v>
      </c>
      <c r="G2800">
        <v>1</v>
      </c>
    </row>
    <row r="2801" spans="1:7" hidden="1" x14ac:dyDescent="0.25">
      <c r="A2801" s="28" t="s">
        <v>4300</v>
      </c>
      <c r="B2801" s="29">
        <v>54373.78</v>
      </c>
      <c r="F2801" t="s">
        <v>4300</v>
      </c>
      <c r="G2801">
        <v>1</v>
      </c>
    </row>
    <row r="2802" spans="1:7" hidden="1" x14ac:dyDescent="0.25">
      <c r="A2802" s="28" t="s">
        <v>4222</v>
      </c>
      <c r="B2802" s="29">
        <v>41042.959999999999</v>
      </c>
      <c r="F2802" t="s">
        <v>4222</v>
      </c>
      <c r="G2802">
        <v>1</v>
      </c>
    </row>
    <row r="2803" spans="1:7" hidden="1" x14ac:dyDescent="0.25">
      <c r="A2803" s="28" t="s">
        <v>4078</v>
      </c>
      <c r="B2803" s="29">
        <v>54373.78</v>
      </c>
      <c r="F2803" t="s">
        <v>4078</v>
      </c>
      <c r="G2803">
        <v>1</v>
      </c>
    </row>
    <row r="2804" spans="1:7" hidden="1" x14ac:dyDescent="0.25">
      <c r="A2804" s="28" t="s">
        <v>2943</v>
      </c>
      <c r="B2804" s="29">
        <v>54373.78</v>
      </c>
      <c r="F2804" t="s">
        <v>2943</v>
      </c>
      <c r="G2804">
        <v>1</v>
      </c>
    </row>
    <row r="2805" spans="1:7" hidden="1" x14ac:dyDescent="0.25">
      <c r="A2805" s="28" t="s">
        <v>2759</v>
      </c>
      <c r="B2805" s="29">
        <v>54373.78</v>
      </c>
      <c r="F2805" t="s">
        <v>2759</v>
      </c>
      <c r="G2805">
        <v>1</v>
      </c>
    </row>
    <row r="2806" spans="1:7" hidden="1" x14ac:dyDescent="0.25">
      <c r="A2806" s="28" t="s">
        <v>3052</v>
      </c>
      <c r="B2806" s="29">
        <v>54373.78</v>
      </c>
      <c r="F2806" t="s">
        <v>3052</v>
      </c>
      <c r="G2806">
        <v>1</v>
      </c>
    </row>
    <row r="2807" spans="1:7" hidden="1" x14ac:dyDescent="0.25">
      <c r="A2807" s="28" t="s">
        <v>2965</v>
      </c>
      <c r="B2807" s="29">
        <v>54373.78</v>
      </c>
      <c r="F2807" t="s">
        <v>2965</v>
      </c>
      <c r="G2807">
        <v>1</v>
      </c>
    </row>
    <row r="2808" spans="1:7" hidden="1" x14ac:dyDescent="0.25">
      <c r="A2808" s="28" t="s">
        <v>3850</v>
      </c>
      <c r="B2808" s="29">
        <v>54373.78</v>
      </c>
      <c r="F2808" t="s">
        <v>3850</v>
      </c>
      <c r="G2808">
        <v>1</v>
      </c>
    </row>
    <row r="2809" spans="1:7" hidden="1" x14ac:dyDescent="0.25">
      <c r="A2809" s="28" t="s">
        <v>4247</v>
      </c>
      <c r="B2809" s="29">
        <v>54373.78</v>
      </c>
      <c r="F2809" t="s">
        <v>4247</v>
      </c>
      <c r="G2809">
        <v>1</v>
      </c>
    </row>
    <row r="2810" spans="1:7" hidden="1" x14ac:dyDescent="0.25">
      <c r="A2810" s="28" t="s">
        <v>3170</v>
      </c>
      <c r="B2810" s="29">
        <v>54373.78</v>
      </c>
      <c r="F2810" t="s">
        <v>3170</v>
      </c>
      <c r="G2810">
        <v>1</v>
      </c>
    </row>
    <row r="2811" spans="1:7" hidden="1" x14ac:dyDescent="0.25">
      <c r="A2811" s="28" t="s">
        <v>2788</v>
      </c>
      <c r="B2811" s="29">
        <v>54373.78</v>
      </c>
      <c r="F2811" t="s">
        <v>2788</v>
      </c>
      <c r="G2811">
        <v>1</v>
      </c>
    </row>
    <row r="2812" spans="1:7" hidden="1" x14ac:dyDescent="0.25">
      <c r="A2812" s="28" t="s">
        <v>2861</v>
      </c>
      <c r="B2812" s="29">
        <v>54373.78</v>
      </c>
      <c r="F2812" t="s">
        <v>2861</v>
      </c>
      <c r="G2812">
        <v>1</v>
      </c>
    </row>
    <row r="2813" spans="1:7" hidden="1" x14ac:dyDescent="0.25">
      <c r="A2813" s="28" t="s">
        <v>2309</v>
      </c>
      <c r="B2813" s="29">
        <v>54373.78</v>
      </c>
      <c r="F2813" t="s">
        <v>2309</v>
      </c>
      <c r="G2813">
        <v>1</v>
      </c>
    </row>
    <row r="2814" spans="1:7" hidden="1" x14ac:dyDescent="0.25">
      <c r="A2814" s="28" t="s">
        <v>3297</v>
      </c>
      <c r="B2814" s="29">
        <v>41042.959999999999</v>
      </c>
      <c r="F2814" t="s">
        <v>3297</v>
      </c>
      <c r="G2814">
        <v>1</v>
      </c>
    </row>
    <row r="2815" spans="1:7" hidden="1" x14ac:dyDescent="0.25">
      <c r="A2815" s="28" t="s">
        <v>2787</v>
      </c>
      <c r="B2815" s="29">
        <v>41042.959999999999</v>
      </c>
      <c r="F2815" t="s">
        <v>2787</v>
      </c>
      <c r="G2815">
        <v>1</v>
      </c>
    </row>
    <row r="2816" spans="1:7" hidden="1" x14ac:dyDescent="0.25">
      <c r="A2816" s="28" t="s">
        <v>4436</v>
      </c>
      <c r="B2816" s="29">
        <v>41042.959999999999</v>
      </c>
      <c r="F2816" t="s">
        <v>4436</v>
      </c>
      <c r="G2816">
        <v>1</v>
      </c>
    </row>
    <row r="2817" spans="1:7" hidden="1" x14ac:dyDescent="0.25">
      <c r="A2817" s="28" t="s">
        <v>4571</v>
      </c>
      <c r="B2817" s="29">
        <v>41042.959999999999</v>
      </c>
      <c r="F2817" t="s">
        <v>4571</v>
      </c>
      <c r="G2817">
        <v>1</v>
      </c>
    </row>
    <row r="2818" spans="1:7" hidden="1" x14ac:dyDescent="0.25">
      <c r="A2818" s="28" t="s">
        <v>3143</v>
      </c>
      <c r="B2818" s="29">
        <v>41042.959999999999</v>
      </c>
      <c r="F2818" t="s">
        <v>3143</v>
      </c>
      <c r="G2818">
        <v>1</v>
      </c>
    </row>
    <row r="2819" spans="1:7" hidden="1" x14ac:dyDescent="0.25">
      <c r="A2819" s="28" t="s">
        <v>2576</v>
      </c>
      <c r="B2819" s="29">
        <v>41042.959999999999</v>
      </c>
      <c r="F2819" t="s">
        <v>2576</v>
      </c>
      <c r="G2819">
        <v>1</v>
      </c>
    </row>
    <row r="2820" spans="1:7" hidden="1" x14ac:dyDescent="0.25">
      <c r="A2820" s="28" t="s">
        <v>4646</v>
      </c>
      <c r="B2820" s="29">
        <v>54373.78</v>
      </c>
      <c r="F2820" t="s">
        <v>4646</v>
      </c>
      <c r="G2820">
        <v>1</v>
      </c>
    </row>
    <row r="2821" spans="1:7" hidden="1" x14ac:dyDescent="0.25">
      <c r="A2821" s="28" t="s">
        <v>2877</v>
      </c>
      <c r="B2821" s="29">
        <v>41042.959999999999</v>
      </c>
      <c r="F2821" t="s">
        <v>2877</v>
      </c>
      <c r="G2821">
        <v>1</v>
      </c>
    </row>
    <row r="2822" spans="1:7" hidden="1" x14ac:dyDescent="0.25">
      <c r="A2822" s="28" t="s">
        <v>2850</v>
      </c>
      <c r="B2822" s="29">
        <v>54373.78</v>
      </c>
      <c r="F2822" t="s">
        <v>2850</v>
      </c>
      <c r="G2822">
        <v>1</v>
      </c>
    </row>
    <row r="2823" spans="1:7" hidden="1" x14ac:dyDescent="0.25">
      <c r="A2823" s="28" t="s">
        <v>4528</v>
      </c>
      <c r="B2823" s="29">
        <v>41042.959999999999</v>
      </c>
      <c r="F2823" t="s">
        <v>4528</v>
      </c>
      <c r="G2823">
        <v>1</v>
      </c>
    </row>
    <row r="2824" spans="1:7" hidden="1" x14ac:dyDescent="0.25">
      <c r="A2824" s="28" t="s">
        <v>4156</v>
      </c>
      <c r="B2824" s="29">
        <v>41042.959999999999</v>
      </c>
      <c r="F2824" t="s">
        <v>4156</v>
      </c>
      <c r="G2824">
        <v>1</v>
      </c>
    </row>
    <row r="2825" spans="1:7" hidden="1" x14ac:dyDescent="0.25">
      <c r="A2825" s="28" t="s">
        <v>3012</v>
      </c>
      <c r="B2825" s="29">
        <v>41042.959999999999</v>
      </c>
      <c r="F2825" t="s">
        <v>3012</v>
      </c>
      <c r="G2825">
        <v>1</v>
      </c>
    </row>
    <row r="2826" spans="1:7" hidden="1" x14ac:dyDescent="0.25">
      <c r="A2826" s="28" t="s">
        <v>2948</v>
      </c>
      <c r="B2826" s="29">
        <v>41042.959999999999</v>
      </c>
      <c r="F2826" t="s">
        <v>2948</v>
      </c>
      <c r="G2826">
        <v>1</v>
      </c>
    </row>
    <row r="2827" spans="1:7" hidden="1" x14ac:dyDescent="0.25">
      <c r="A2827" s="28" t="s">
        <v>3185</v>
      </c>
      <c r="B2827" s="29">
        <v>41042.959999999999</v>
      </c>
      <c r="F2827" t="s">
        <v>3185</v>
      </c>
      <c r="G2827">
        <v>1</v>
      </c>
    </row>
    <row r="2828" spans="1:7" hidden="1" x14ac:dyDescent="0.25">
      <c r="A2828" s="28" t="s">
        <v>2065</v>
      </c>
      <c r="B2828" s="29">
        <v>41042.959999999999</v>
      </c>
      <c r="F2828" t="s">
        <v>2065</v>
      </c>
      <c r="G2828">
        <v>1</v>
      </c>
    </row>
    <row r="2829" spans="1:7" hidden="1" x14ac:dyDescent="0.25">
      <c r="A2829" s="28" t="s">
        <v>2746</v>
      </c>
      <c r="B2829" s="29">
        <v>41042.959999999999</v>
      </c>
      <c r="F2829" t="s">
        <v>2746</v>
      </c>
      <c r="G2829">
        <v>1</v>
      </c>
    </row>
    <row r="2830" spans="1:7" hidden="1" x14ac:dyDescent="0.25">
      <c r="A2830" s="28" t="s">
        <v>2841</v>
      </c>
      <c r="B2830" s="29">
        <v>41042.959999999999</v>
      </c>
      <c r="F2830" t="s">
        <v>2841</v>
      </c>
      <c r="G2830">
        <v>1</v>
      </c>
    </row>
    <row r="2831" spans="1:7" hidden="1" x14ac:dyDescent="0.25">
      <c r="A2831" s="28" t="s">
        <v>3908</v>
      </c>
      <c r="B2831" s="29">
        <v>41042.959999999999</v>
      </c>
      <c r="F2831" t="s">
        <v>3908</v>
      </c>
      <c r="G2831">
        <v>1</v>
      </c>
    </row>
    <row r="2832" spans="1:7" hidden="1" x14ac:dyDescent="0.25">
      <c r="A2832" s="28" t="s">
        <v>4024</v>
      </c>
      <c r="B2832" s="29">
        <v>41042.959999999999</v>
      </c>
      <c r="F2832" t="s">
        <v>4024</v>
      </c>
      <c r="G2832">
        <v>1</v>
      </c>
    </row>
    <row r="2833" spans="1:7" hidden="1" x14ac:dyDescent="0.25">
      <c r="A2833" s="28" t="s">
        <v>3434</v>
      </c>
      <c r="B2833" s="29">
        <v>41042.959999999999</v>
      </c>
      <c r="F2833" t="s">
        <v>3434</v>
      </c>
      <c r="G2833">
        <v>1</v>
      </c>
    </row>
    <row r="2834" spans="1:7" x14ac:dyDescent="0.25">
      <c r="A2834" s="28" t="s">
        <v>718</v>
      </c>
      <c r="B2834" s="29">
        <v>41703.751649999998</v>
      </c>
      <c r="F2834" t="s">
        <v>718</v>
      </c>
      <c r="G2834">
        <v>2</v>
      </c>
    </row>
    <row r="2835" spans="1:7" hidden="1" x14ac:dyDescent="0.25">
      <c r="A2835" s="28" t="s">
        <v>3973</v>
      </c>
      <c r="B2835" s="29">
        <v>41042.959999999999</v>
      </c>
      <c r="F2835" t="s">
        <v>3973</v>
      </c>
      <c r="G2835">
        <v>1</v>
      </c>
    </row>
    <row r="2836" spans="1:7" hidden="1" x14ac:dyDescent="0.25">
      <c r="A2836" s="28" t="s">
        <v>4267</v>
      </c>
      <c r="B2836" s="29">
        <v>54373.78</v>
      </c>
      <c r="F2836" t="s">
        <v>4267</v>
      </c>
      <c r="G2836">
        <v>1</v>
      </c>
    </row>
    <row r="2837" spans="1:7" x14ac:dyDescent="0.25">
      <c r="A2837" s="28" t="s">
        <v>1242</v>
      </c>
      <c r="B2837" s="29">
        <v>41703.751649999998</v>
      </c>
      <c r="F2837" t="s">
        <v>1242</v>
      </c>
      <c r="G2837">
        <v>2</v>
      </c>
    </row>
    <row r="2838" spans="1:7" hidden="1" x14ac:dyDescent="0.25">
      <c r="A2838" s="28" t="s">
        <v>4245</v>
      </c>
      <c r="B2838" s="29">
        <v>41042.959999999999</v>
      </c>
      <c r="F2838" t="s">
        <v>4245</v>
      </c>
      <c r="G2838">
        <v>1</v>
      </c>
    </row>
    <row r="2839" spans="1:7" hidden="1" x14ac:dyDescent="0.25">
      <c r="A2839" s="28" t="s">
        <v>4067</v>
      </c>
      <c r="B2839" s="29">
        <v>41042.959999999999</v>
      </c>
      <c r="F2839" t="s">
        <v>4067</v>
      </c>
      <c r="G2839">
        <v>1</v>
      </c>
    </row>
    <row r="2840" spans="1:7" hidden="1" x14ac:dyDescent="0.25">
      <c r="A2840" s="28" t="s">
        <v>4469</v>
      </c>
      <c r="B2840" s="29">
        <v>41042.959999999999</v>
      </c>
      <c r="F2840" t="s">
        <v>4469</v>
      </c>
      <c r="G2840">
        <v>1</v>
      </c>
    </row>
    <row r="2841" spans="1:7" hidden="1" x14ac:dyDescent="0.25">
      <c r="A2841" s="28" t="s">
        <v>4213</v>
      </c>
      <c r="B2841" s="29">
        <v>41042.959999999999</v>
      </c>
      <c r="F2841" t="s">
        <v>4213</v>
      </c>
      <c r="G2841">
        <v>1</v>
      </c>
    </row>
    <row r="2842" spans="1:7" hidden="1" x14ac:dyDescent="0.25">
      <c r="A2842" s="28" t="s">
        <v>3462</v>
      </c>
      <c r="B2842" s="29">
        <v>41042.959999999999</v>
      </c>
      <c r="F2842" t="s">
        <v>3462</v>
      </c>
      <c r="G2842">
        <v>1</v>
      </c>
    </row>
    <row r="2843" spans="1:7" hidden="1" x14ac:dyDescent="0.25">
      <c r="A2843" s="28" t="s">
        <v>3039</v>
      </c>
      <c r="B2843" s="29">
        <v>41042.959999999999</v>
      </c>
      <c r="F2843" t="s">
        <v>3039</v>
      </c>
      <c r="G2843">
        <v>1</v>
      </c>
    </row>
    <row r="2844" spans="1:7" hidden="1" x14ac:dyDescent="0.25">
      <c r="A2844" s="28" t="s">
        <v>2115</v>
      </c>
      <c r="B2844" s="29">
        <v>41042.959999999999</v>
      </c>
      <c r="F2844" t="s">
        <v>2115</v>
      </c>
      <c r="G2844">
        <v>1</v>
      </c>
    </row>
    <row r="2845" spans="1:7" hidden="1" x14ac:dyDescent="0.25">
      <c r="A2845" s="28" t="s">
        <v>4043</v>
      </c>
      <c r="B2845" s="29">
        <v>41042.959999999999</v>
      </c>
      <c r="F2845" t="s">
        <v>4043</v>
      </c>
      <c r="G2845">
        <v>1</v>
      </c>
    </row>
    <row r="2846" spans="1:7" hidden="1" x14ac:dyDescent="0.25">
      <c r="A2846" s="28" t="s">
        <v>3416</v>
      </c>
      <c r="B2846" s="29">
        <v>41042.959999999999</v>
      </c>
      <c r="F2846" t="s">
        <v>3416</v>
      </c>
      <c r="G2846">
        <v>1</v>
      </c>
    </row>
    <row r="2847" spans="1:7" hidden="1" x14ac:dyDescent="0.25">
      <c r="A2847" s="28" t="s">
        <v>2546</v>
      </c>
      <c r="B2847" s="29">
        <v>41042.959999999999</v>
      </c>
      <c r="F2847" t="s">
        <v>2546</v>
      </c>
      <c r="G2847">
        <v>1</v>
      </c>
    </row>
    <row r="2848" spans="1:7" hidden="1" x14ac:dyDescent="0.25">
      <c r="A2848" s="28" t="s">
        <v>4843</v>
      </c>
      <c r="B2848" s="29">
        <v>54373.78</v>
      </c>
      <c r="F2848" t="s">
        <v>4843</v>
      </c>
      <c r="G2848">
        <v>1</v>
      </c>
    </row>
    <row r="2849" spans="1:7" hidden="1" x14ac:dyDescent="0.25">
      <c r="A2849" s="28" t="s">
        <v>3527</v>
      </c>
      <c r="B2849" s="29">
        <v>41042.959999999999</v>
      </c>
      <c r="F2849" t="s">
        <v>3527</v>
      </c>
      <c r="G2849">
        <v>1</v>
      </c>
    </row>
    <row r="2850" spans="1:7" hidden="1" x14ac:dyDescent="0.25">
      <c r="A2850" s="28" t="s">
        <v>4116</v>
      </c>
      <c r="B2850" s="29">
        <v>41042.959999999999</v>
      </c>
      <c r="F2850" t="s">
        <v>4116</v>
      </c>
      <c r="G2850">
        <v>1</v>
      </c>
    </row>
    <row r="2851" spans="1:7" hidden="1" x14ac:dyDescent="0.25">
      <c r="A2851" s="28" t="s">
        <v>3188</v>
      </c>
      <c r="B2851" s="29">
        <v>55829.73</v>
      </c>
      <c r="F2851" t="s">
        <v>3188</v>
      </c>
      <c r="G2851">
        <v>1</v>
      </c>
    </row>
    <row r="2852" spans="1:7" hidden="1" x14ac:dyDescent="0.25">
      <c r="A2852" s="28" t="s">
        <v>4054</v>
      </c>
      <c r="B2852" s="29">
        <v>55829.73</v>
      </c>
      <c r="F2852" t="s">
        <v>4054</v>
      </c>
      <c r="G2852">
        <v>1</v>
      </c>
    </row>
    <row r="2853" spans="1:7" hidden="1" x14ac:dyDescent="0.25">
      <c r="A2853" s="28" t="s">
        <v>3921</v>
      </c>
      <c r="B2853" s="29">
        <v>55829.73</v>
      </c>
      <c r="F2853" t="s">
        <v>3921</v>
      </c>
      <c r="G2853">
        <v>1</v>
      </c>
    </row>
    <row r="2854" spans="1:7" hidden="1" x14ac:dyDescent="0.25">
      <c r="A2854" s="28" t="s">
        <v>3876</v>
      </c>
      <c r="B2854" s="29">
        <v>55829.73</v>
      </c>
      <c r="F2854" t="s">
        <v>3876</v>
      </c>
      <c r="G2854">
        <v>1</v>
      </c>
    </row>
    <row r="2855" spans="1:7" x14ac:dyDescent="0.25">
      <c r="A2855" s="28" t="s">
        <v>803</v>
      </c>
      <c r="B2855" s="29">
        <v>56728.588650000005</v>
      </c>
      <c r="F2855" t="s">
        <v>803</v>
      </c>
      <c r="G2855">
        <v>2</v>
      </c>
    </row>
    <row r="2856" spans="1:7" hidden="1" x14ac:dyDescent="0.25">
      <c r="A2856" s="28" t="s">
        <v>4360</v>
      </c>
      <c r="B2856" s="29">
        <v>45834.68</v>
      </c>
      <c r="F2856" t="s">
        <v>4360</v>
      </c>
      <c r="G2856">
        <v>1</v>
      </c>
    </row>
    <row r="2857" spans="1:7" hidden="1" x14ac:dyDescent="0.25">
      <c r="A2857" s="28" t="s">
        <v>4387</v>
      </c>
      <c r="B2857" s="29">
        <v>45834.68</v>
      </c>
      <c r="F2857" t="s">
        <v>4387</v>
      </c>
      <c r="G2857">
        <v>1</v>
      </c>
    </row>
    <row r="2858" spans="1:7" hidden="1" x14ac:dyDescent="0.25">
      <c r="A2858" s="28" t="s">
        <v>2571</v>
      </c>
      <c r="B2858" s="29">
        <v>45834.68</v>
      </c>
      <c r="F2858" t="s">
        <v>2571</v>
      </c>
      <c r="G2858">
        <v>1</v>
      </c>
    </row>
    <row r="2859" spans="1:7" hidden="1" x14ac:dyDescent="0.25">
      <c r="A2859" s="28" t="s">
        <v>4303</v>
      </c>
      <c r="B2859" s="29">
        <v>45834.68</v>
      </c>
      <c r="F2859" t="s">
        <v>4303</v>
      </c>
      <c r="G2859">
        <v>1</v>
      </c>
    </row>
    <row r="2860" spans="1:7" hidden="1" x14ac:dyDescent="0.25">
      <c r="A2860" s="28" t="s">
        <v>3890</v>
      </c>
      <c r="B2860" s="29">
        <v>45834.68</v>
      </c>
      <c r="F2860" t="s">
        <v>3890</v>
      </c>
      <c r="G2860">
        <v>1</v>
      </c>
    </row>
    <row r="2861" spans="1:7" hidden="1" x14ac:dyDescent="0.25">
      <c r="A2861" s="28" t="s">
        <v>3637</v>
      </c>
      <c r="B2861" s="29">
        <v>45834.68</v>
      </c>
      <c r="F2861" t="s">
        <v>3637</v>
      </c>
      <c r="G2861">
        <v>1</v>
      </c>
    </row>
    <row r="2862" spans="1:7" hidden="1" x14ac:dyDescent="0.25">
      <c r="A2862" s="28" t="s">
        <v>3768</v>
      </c>
      <c r="B2862" s="29">
        <v>45834.68</v>
      </c>
      <c r="F2862" t="s">
        <v>3768</v>
      </c>
      <c r="G2862">
        <v>1</v>
      </c>
    </row>
    <row r="2863" spans="1:7" hidden="1" x14ac:dyDescent="0.25">
      <c r="A2863" s="28" t="s">
        <v>3535</v>
      </c>
      <c r="B2863" s="29">
        <v>45834.68</v>
      </c>
      <c r="F2863" t="s">
        <v>3535</v>
      </c>
      <c r="G2863">
        <v>1</v>
      </c>
    </row>
    <row r="2864" spans="1:7" hidden="1" x14ac:dyDescent="0.25">
      <c r="A2864" s="28" t="s">
        <v>3686</v>
      </c>
      <c r="B2864" s="29">
        <v>45834.68</v>
      </c>
      <c r="F2864" t="s">
        <v>3686</v>
      </c>
      <c r="G2864">
        <v>1</v>
      </c>
    </row>
    <row r="2865" spans="1:7" hidden="1" x14ac:dyDescent="0.25">
      <c r="A2865" s="28" t="s">
        <v>4664</v>
      </c>
      <c r="B2865" s="29">
        <v>45834.68</v>
      </c>
      <c r="F2865" t="s">
        <v>4664</v>
      </c>
      <c r="G2865">
        <v>1</v>
      </c>
    </row>
    <row r="2866" spans="1:7" hidden="1" x14ac:dyDescent="0.25">
      <c r="A2866" s="28" t="s">
        <v>4989</v>
      </c>
      <c r="B2866" s="29">
        <v>45834.68</v>
      </c>
      <c r="F2866" t="s">
        <v>4989</v>
      </c>
      <c r="G2866">
        <v>1</v>
      </c>
    </row>
    <row r="2867" spans="1:7" hidden="1" x14ac:dyDescent="0.25">
      <c r="A2867" s="28" t="s">
        <v>4594</v>
      </c>
      <c r="B2867" s="29">
        <v>45834.68</v>
      </c>
      <c r="F2867" t="s">
        <v>4594</v>
      </c>
      <c r="G2867">
        <v>1</v>
      </c>
    </row>
    <row r="2868" spans="1:7" hidden="1" x14ac:dyDescent="0.25">
      <c r="A2868" s="28" t="s">
        <v>4884</v>
      </c>
      <c r="B2868" s="29">
        <v>45834.68</v>
      </c>
      <c r="F2868" t="s">
        <v>4884</v>
      </c>
      <c r="G2868">
        <v>1</v>
      </c>
    </row>
    <row r="2869" spans="1:7" hidden="1" x14ac:dyDescent="0.25">
      <c r="A2869" s="28" t="s">
        <v>4985</v>
      </c>
      <c r="B2869" s="29">
        <v>45834.68</v>
      </c>
      <c r="F2869" t="s">
        <v>4985</v>
      </c>
      <c r="G2869">
        <v>1</v>
      </c>
    </row>
    <row r="2870" spans="1:7" hidden="1" x14ac:dyDescent="0.25">
      <c r="A2870" s="28" t="s">
        <v>4776</v>
      </c>
      <c r="B2870" s="29">
        <v>45834.68</v>
      </c>
      <c r="F2870" t="s">
        <v>4776</v>
      </c>
      <c r="G2870">
        <v>1</v>
      </c>
    </row>
    <row r="2871" spans="1:7" x14ac:dyDescent="0.25">
      <c r="A2871" s="28" t="s">
        <v>979</v>
      </c>
      <c r="B2871" s="29">
        <v>41703.751649999998</v>
      </c>
      <c r="F2871" t="s">
        <v>979</v>
      </c>
      <c r="G2871">
        <v>2</v>
      </c>
    </row>
    <row r="2872" spans="1:7" hidden="1" x14ac:dyDescent="0.25">
      <c r="A2872" s="28" t="s">
        <v>4200</v>
      </c>
      <c r="B2872" s="29">
        <v>41042.959999999999</v>
      </c>
      <c r="F2872" t="s">
        <v>4200</v>
      </c>
      <c r="G2872">
        <v>1</v>
      </c>
    </row>
    <row r="2873" spans="1:7" x14ac:dyDescent="0.25">
      <c r="A2873" s="28" t="s">
        <v>1533</v>
      </c>
      <c r="B2873" s="29">
        <v>41703.751649999998</v>
      </c>
      <c r="F2873" t="s">
        <v>1533</v>
      </c>
      <c r="G2873">
        <v>2</v>
      </c>
    </row>
    <row r="2874" spans="1:7" hidden="1" x14ac:dyDescent="0.25">
      <c r="A2874" s="28" t="s">
        <v>399</v>
      </c>
      <c r="B2874" s="29">
        <v>42364.543299999998</v>
      </c>
      <c r="F2874" t="s">
        <v>399</v>
      </c>
      <c r="G2874">
        <v>1</v>
      </c>
    </row>
    <row r="2875" spans="1:7" x14ac:dyDescent="0.25">
      <c r="A2875" s="28" t="s">
        <v>835</v>
      </c>
      <c r="B2875" s="29">
        <v>41703.751649999998</v>
      </c>
      <c r="F2875" t="s">
        <v>835</v>
      </c>
      <c r="G2875">
        <v>2</v>
      </c>
    </row>
    <row r="2876" spans="1:7" hidden="1" x14ac:dyDescent="0.25">
      <c r="A2876" s="28" t="s">
        <v>4344</v>
      </c>
      <c r="B2876" s="29">
        <v>41042.959999999999</v>
      </c>
      <c r="F2876" t="s">
        <v>4344</v>
      </c>
      <c r="G2876">
        <v>1</v>
      </c>
    </row>
    <row r="2877" spans="1:7" hidden="1" x14ac:dyDescent="0.25">
      <c r="A2877" s="28" t="s">
        <v>4257</v>
      </c>
      <c r="B2877" s="29">
        <v>41042.959999999999</v>
      </c>
      <c r="F2877" t="s">
        <v>4257</v>
      </c>
      <c r="G2877">
        <v>1</v>
      </c>
    </row>
    <row r="2878" spans="1:7" x14ac:dyDescent="0.25">
      <c r="A2878" s="28" t="s">
        <v>1564</v>
      </c>
      <c r="B2878" s="29">
        <v>41703.751649999998</v>
      </c>
      <c r="F2878" t="s">
        <v>1564</v>
      </c>
      <c r="G2878">
        <v>2</v>
      </c>
    </row>
    <row r="2879" spans="1:7" x14ac:dyDescent="0.25">
      <c r="A2879" s="28" t="s">
        <v>994</v>
      </c>
      <c r="B2879" s="29">
        <v>41703.751649999998</v>
      </c>
      <c r="F2879" t="s">
        <v>994</v>
      </c>
      <c r="G2879">
        <v>2</v>
      </c>
    </row>
    <row r="2880" spans="1:7" hidden="1" x14ac:dyDescent="0.25">
      <c r="A2880" s="28" t="s">
        <v>3450</v>
      </c>
      <c r="B2880" s="29">
        <v>41042.959999999999</v>
      </c>
      <c r="F2880" t="s">
        <v>3450</v>
      </c>
      <c r="G2880">
        <v>1</v>
      </c>
    </row>
    <row r="2881" spans="1:7" hidden="1" x14ac:dyDescent="0.25">
      <c r="A2881" s="28" t="s">
        <v>4652</v>
      </c>
      <c r="B2881" s="29">
        <v>41042.959999999999</v>
      </c>
      <c r="F2881" t="s">
        <v>4652</v>
      </c>
      <c r="G2881">
        <v>1</v>
      </c>
    </row>
    <row r="2882" spans="1:7" hidden="1" x14ac:dyDescent="0.25">
      <c r="A2882" s="28" t="s">
        <v>4368</v>
      </c>
      <c r="B2882" s="29">
        <v>41042.959999999999</v>
      </c>
      <c r="F2882" t="s">
        <v>4368</v>
      </c>
      <c r="G2882">
        <v>1</v>
      </c>
    </row>
    <row r="2883" spans="1:7" hidden="1" x14ac:dyDescent="0.25">
      <c r="A2883" s="28" t="s">
        <v>4432</v>
      </c>
      <c r="B2883" s="29">
        <v>41042.959999999999</v>
      </c>
      <c r="F2883" t="s">
        <v>4432</v>
      </c>
      <c r="G2883">
        <v>1</v>
      </c>
    </row>
    <row r="2884" spans="1:7" x14ac:dyDescent="0.25">
      <c r="A2884" s="28" t="s">
        <v>1141</v>
      </c>
      <c r="B2884" s="29">
        <v>41703.751649999998</v>
      </c>
      <c r="F2884" t="s">
        <v>1141</v>
      </c>
      <c r="G2884">
        <v>2</v>
      </c>
    </row>
    <row r="2885" spans="1:7" hidden="1" x14ac:dyDescent="0.25">
      <c r="A2885" s="28" t="s">
        <v>2960</v>
      </c>
      <c r="B2885" s="29">
        <v>53476.87</v>
      </c>
      <c r="F2885" t="s">
        <v>2960</v>
      </c>
      <c r="G2885">
        <v>1</v>
      </c>
    </row>
    <row r="2886" spans="1:7" hidden="1" x14ac:dyDescent="0.25">
      <c r="A2886" s="28" t="s">
        <v>4788</v>
      </c>
      <c r="B2886" s="29">
        <v>53476.87</v>
      </c>
      <c r="F2886" t="s">
        <v>4788</v>
      </c>
      <c r="G2886">
        <v>1</v>
      </c>
    </row>
    <row r="2887" spans="1:7" hidden="1" x14ac:dyDescent="0.25">
      <c r="A2887" s="28" t="s">
        <v>4823</v>
      </c>
      <c r="B2887" s="29">
        <v>53476.87</v>
      </c>
      <c r="F2887" t="s">
        <v>4823</v>
      </c>
      <c r="G2887">
        <v>1</v>
      </c>
    </row>
    <row r="2888" spans="1:7" hidden="1" x14ac:dyDescent="0.25">
      <c r="A2888" s="28" t="s">
        <v>4848</v>
      </c>
      <c r="B2888" s="29">
        <v>53476.87</v>
      </c>
      <c r="F2888" t="s">
        <v>4848</v>
      </c>
      <c r="G2888">
        <v>1</v>
      </c>
    </row>
    <row r="2889" spans="1:7" hidden="1" x14ac:dyDescent="0.25">
      <c r="A2889" s="28" t="s">
        <v>4870</v>
      </c>
      <c r="B2889" s="29">
        <v>53476.87</v>
      </c>
      <c r="F2889" t="s">
        <v>4870</v>
      </c>
      <c r="G2889">
        <v>1</v>
      </c>
    </row>
    <row r="2890" spans="1:7" hidden="1" x14ac:dyDescent="0.25">
      <c r="A2890" s="28" t="s">
        <v>4913</v>
      </c>
      <c r="B2890" s="29">
        <v>53476.87</v>
      </c>
      <c r="F2890" t="s">
        <v>4913</v>
      </c>
      <c r="G2890">
        <v>1</v>
      </c>
    </row>
    <row r="2891" spans="1:7" hidden="1" x14ac:dyDescent="0.25">
      <c r="A2891" s="28" t="s">
        <v>4902</v>
      </c>
      <c r="B2891" s="29">
        <v>53476.87</v>
      </c>
      <c r="F2891" t="s">
        <v>4902</v>
      </c>
      <c r="G2891">
        <v>1</v>
      </c>
    </row>
    <row r="2892" spans="1:7" hidden="1" x14ac:dyDescent="0.25">
      <c r="A2892" s="28" t="s">
        <v>4929</v>
      </c>
      <c r="B2892" s="29">
        <v>53476.87</v>
      </c>
      <c r="F2892" t="s">
        <v>4929</v>
      </c>
      <c r="G2892">
        <v>1</v>
      </c>
    </row>
    <row r="2893" spans="1:7" hidden="1" x14ac:dyDescent="0.25">
      <c r="A2893" s="28" t="s">
        <v>4938</v>
      </c>
      <c r="B2893" s="29">
        <v>53476.87</v>
      </c>
      <c r="F2893" t="s">
        <v>4938</v>
      </c>
      <c r="G2893">
        <v>1</v>
      </c>
    </row>
    <row r="2894" spans="1:7" hidden="1" x14ac:dyDescent="0.25">
      <c r="A2894" s="28" t="s">
        <v>4697</v>
      </c>
      <c r="B2894" s="29">
        <v>53476.87</v>
      </c>
      <c r="F2894" t="s">
        <v>4697</v>
      </c>
      <c r="G2894">
        <v>1</v>
      </c>
    </row>
    <row r="2895" spans="1:7" hidden="1" x14ac:dyDescent="0.25">
      <c r="A2895" s="28" t="s">
        <v>4828</v>
      </c>
      <c r="B2895" s="29">
        <v>53476.87</v>
      </c>
      <c r="F2895" t="s">
        <v>4828</v>
      </c>
      <c r="G2895">
        <v>1</v>
      </c>
    </row>
    <row r="2896" spans="1:7" hidden="1" x14ac:dyDescent="0.25">
      <c r="A2896" s="28" t="s">
        <v>4867</v>
      </c>
      <c r="B2896" s="29">
        <v>53476.87</v>
      </c>
      <c r="F2896" t="s">
        <v>4867</v>
      </c>
      <c r="G2896">
        <v>1</v>
      </c>
    </row>
    <row r="2897" spans="1:7" hidden="1" x14ac:dyDescent="0.25">
      <c r="A2897" s="28" t="s">
        <v>3086</v>
      </c>
      <c r="B2897" s="29">
        <v>53476.87</v>
      </c>
      <c r="F2897" t="s">
        <v>3086</v>
      </c>
      <c r="G2897">
        <v>1</v>
      </c>
    </row>
    <row r="2898" spans="1:7" hidden="1" x14ac:dyDescent="0.25">
      <c r="A2898" s="28" t="s">
        <v>4894</v>
      </c>
      <c r="B2898" s="29">
        <v>53476.87</v>
      </c>
      <c r="F2898" t="s">
        <v>4894</v>
      </c>
      <c r="G2898">
        <v>1</v>
      </c>
    </row>
    <row r="2899" spans="1:7" hidden="1" x14ac:dyDescent="0.25">
      <c r="A2899" s="28" t="s">
        <v>2846</v>
      </c>
      <c r="B2899" s="29">
        <v>53476.87</v>
      </c>
      <c r="F2899" t="s">
        <v>2846</v>
      </c>
      <c r="G2899">
        <v>1</v>
      </c>
    </row>
    <row r="2900" spans="1:7" hidden="1" x14ac:dyDescent="0.25">
      <c r="A2900" s="28" t="s">
        <v>4768</v>
      </c>
      <c r="B2900" s="29">
        <v>53476.87</v>
      </c>
      <c r="F2900" t="s">
        <v>4768</v>
      </c>
      <c r="G2900">
        <v>1</v>
      </c>
    </row>
    <row r="2901" spans="1:7" hidden="1" x14ac:dyDescent="0.25">
      <c r="A2901" s="28" t="s">
        <v>4954</v>
      </c>
      <c r="B2901" s="29">
        <v>53476.87</v>
      </c>
      <c r="F2901" t="s">
        <v>4954</v>
      </c>
      <c r="G2901">
        <v>1</v>
      </c>
    </row>
    <row r="2902" spans="1:7" hidden="1" x14ac:dyDescent="0.25">
      <c r="A2902" s="28" t="s">
        <v>2940</v>
      </c>
      <c r="B2902" s="29">
        <v>53476.87</v>
      </c>
      <c r="F2902" t="s">
        <v>2940</v>
      </c>
      <c r="G2902">
        <v>1</v>
      </c>
    </row>
    <row r="2903" spans="1:7" hidden="1" x14ac:dyDescent="0.25">
      <c r="A2903" s="28" t="s">
        <v>4932</v>
      </c>
      <c r="B2903" s="29">
        <v>53476.87</v>
      </c>
      <c r="F2903" t="s">
        <v>4932</v>
      </c>
      <c r="G2903">
        <v>1</v>
      </c>
    </row>
    <row r="2904" spans="1:7" hidden="1" x14ac:dyDescent="0.25">
      <c r="A2904" s="28" t="s">
        <v>4748</v>
      </c>
      <c r="B2904" s="29">
        <v>53476.87</v>
      </c>
      <c r="F2904" t="s">
        <v>4748</v>
      </c>
      <c r="G2904">
        <v>1</v>
      </c>
    </row>
    <row r="2905" spans="1:7" hidden="1" x14ac:dyDescent="0.25">
      <c r="A2905" s="28" t="s">
        <v>2486</v>
      </c>
      <c r="B2905" s="29">
        <v>32976.89</v>
      </c>
      <c r="F2905" t="s">
        <v>2486</v>
      </c>
      <c r="G2905">
        <v>1</v>
      </c>
    </row>
    <row r="2906" spans="1:7" hidden="1" x14ac:dyDescent="0.25">
      <c r="A2906" s="28" t="s">
        <v>3183</v>
      </c>
      <c r="B2906" s="29">
        <v>32976.89</v>
      </c>
      <c r="F2906" t="s">
        <v>3183</v>
      </c>
      <c r="G2906">
        <v>1</v>
      </c>
    </row>
    <row r="2907" spans="1:7" hidden="1" x14ac:dyDescent="0.25">
      <c r="A2907" s="28" t="s">
        <v>5105</v>
      </c>
      <c r="B2907" s="29">
        <v>32976.89</v>
      </c>
      <c r="F2907" t="s">
        <v>5105</v>
      </c>
      <c r="G2907">
        <v>1</v>
      </c>
    </row>
    <row r="2908" spans="1:7" hidden="1" x14ac:dyDescent="0.25">
      <c r="A2908" s="28" t="s">
        <v>5098</v>
      </c>
      <c r="B2908" s="29">
        <v>32976.89</v>
      </c>
      <c r="F2908" t="s">
        <v>5098</v>
      </c>
      <c r="G2908">
        <v>1</v>
      </c>
    </row>
    <row r="2909" spans="1:7" hidden="1" x14ac:dyDescent="0.25">
      <c r="A2909" s="28" t="s">
        <v>5090</v>
      </c>
      <c r="B2909" s="29">
        <v>32976.89</v>
      </c>
      <c r="F2909" t="s">
        <v>5090</v>
      </c>
      <c r="G2909">
        <v>1</v>
      </c>
    </row>
    <row r="2910" spans="1:7" hidden="1" x14ac:dyDescent="0.25">
      <c r="A2910" s="28" t="s">
        <v>5107</v>
      </c>
      <c r="B2910" s="29">
        <v>32976.89</v>
      </c>
      <c r="F2910" t="s">
        <v>5107</v>
      </c>
      <c r="G2910">
        <v>1</v>
      </c>
    </row>
    <row r="2911" spans="1:7" hidden="1" x14ac:dyDescent="0.25">
      <c r="A2911" s="28" t="s">
        <v>5099</v>
      </c>
      <c r="B2911" s="29">
        <v>32976.89</v>
      </c>
      <c r="F2911" t="s">
        <v>5099</v>
      </c>
      <c r="G2911">
        <v>1</v>
      </c>
    </row>
    <row r="2912" spans="1:7" hidden="1" x14ac:dyDescent="0.25">
      <c r="A2912" s="28" t="s">
        <v>5073</v>
      </c>
      <c r="B2912" s="29">
        <v>32976.89</v>
      </c>
      <c r="F2912" t="s">
        <v>5073</v>
      </c>
      <c r="G2912">
        <v>1</v>
      </c>
    </row>
    <row r="2913" spans="1:7" hidden="1" x14ac:dyDescent="0.25">
      <c r="A2913" s="28" t="s">
        <v>5092</v>
      </c>
      <c r="B2913" s="29">
        <v>32976.89</v>
      </c>
      <c r="F2913" t="s">
        <v>5092</v>
      </c>
      <c r="G2913">
        <v>1</v>
      </c>
    </row>
    <row r="2914" spans="1:7" hidden="1" x14ac:dyDescent="0.25">
      <c r="A2914" s="28" t="s">
        <v>5086</v>
      </c>
      <c r="B2914" s="29">
        <v>32976.89</v>
      </c>
      <c r="F2914" t="s">
        <v>5086</v>
      </c>
      <c r="G2914">
        <v>1</v>
      </c>
    </row>
    <row r="2915" spans="1:7" hidden="1" x14ac:dyDescent="0.25">
      <c r="A2915" s="28" t="s">
        <v>4702</v>
      </c>
      <c r="B2915" s="29">
        <v>55829.73</v>
      </c>
      <c r="F2915" t="s">
        <v>4702</v>
      </c>
      <c r="G2915">
        <v>1</v>
      </c>
    </row>
    <row r="2916" spans="1:7" hidden="1" x14ac:dyDescent="0.25">
      <c r="A2916" s="28" t="s">
        <v>4585</v>
      </c>
      <c r="B2916" s="29">
        <v>55829.73</v>
      </c>
      <c r="F2916" t="s">
        <v>4585</v>
      </c>
      <c r="G2916">
        <v>1</v>
      </c>
    </row>
    <row r="2917" spans="1:7" hidden="1" x14ac:dyDescent="0.25">
      <c r="A2917" s="28" t="s">
        <v>4206</v>
      </c>
      <c r="B2917" s="29">
        <v>55829.73</v>
      </c>
      <c r="F2917" t="s">
        <v>4206</v>
      </c>
      <c r="G2917">
        <v>1</v>
      </c>
    </row>
    <row r="2918" spans="1:7" hidden="1" x14ac:dyDescent="0.25">
      <c r="A2918" s="28" t="s">
        <v>3059</v>
      </c>
      <c r="B2918" s="29">
        <v>55829.73</v>
      </c>
      <c r="F2918" t="s">
        <v>3059</v>
      </c>
      <c r="G2918">
        <v>1</v>
      </c>
    </row>
    <row r="2919" spans="1:7" hidden="1" x14ac:dyDescent="0.25">
      <c r="A2919" s="28" t="s">
        <v>4517</v>
      </c>
      <c r="B2919" s="29">
        <v>55829.73</v>
      </c>
      <c r="F2919" t="s">
        <v>4517</v>
      </c>
      <c r="G2919">
        <v>1</v>
      </c>
    </row>
    <row r="2920" spans="1:7" hidden="1" x14ac:dyDescent="0.25">
      <c r="A2920" s="28" t="s">
        <v>2951</v>
      </c>
      <c r="B2920" s="29">
        <v>55829.73</v>
      </c>
      <c r="F2920" t="s">
        <v>2951</v>
      </c>
      <c r="G2920">
        <v>1</v>
      </c>
    </row>
    <row r="2921" spans="1:7" hidden="1" x14ac:dyDescent="0.25">
      <c r="A2921" s="28" t="s">
        <v>4424</v>
      </c>
      <c r="B2921" s="29">
        <v>55829.73</v>
      </c>
      <c r="F2921" t="s">
        <v>4424</v>
      </c>
      <c r="G2921">
        <v>1</v>
      </c>
    </row>
    <row r="2922" spans="1:7" hidden="1" x14ac:dyDescent="0.25">
      <c r="A2922" s="28" t="s">
        <v>3084</v>
      </c>
      <c r="B2922" s="29">
        <v>55829.73</v>
      </c>
      <c r="F2922" t="s">
        <v>3084</v>
      </c>
      <c r="G2922">
        <v>1</v>
      </c>
    </row>
    <row r="2923" spans="1:7" x14ac:dyDescent="0.25">
      <c r="A2923" s="28" t="s">
        <v>1151</v>
      </c>
      <c r="B2923" s="29">
        <v>83782.027600000001</v>
      </c>
      <c r="F2923" t="s">
        <v>1151</v>
      </c>
      <c r="G2923">
        <v>2</v>
      </c>
    </row>
    <row r="2924" spans="1:7" hidden="1" x14ac:dyDescent="0.25">
      <c r="A2924" s="28" t="s">
        <v>3520</v>
      </c>
      <c r="B2924" s="29">
        <v>82454.509999999995</v>
      </c>
      <c r="F2924" t="s">
        <v>3520</v>
      </c>
      <c r="G2924">
        <v>1</v>
      </c>
    </row>
    <row r="2925" spans="1:7" hidden="1" x14ac:dyDescent="0.25">
      <c r="A2925" s="28" t="s">
        <v>3234</v>
      </c>
      <c r="B2925" s="29">
        <v>82454.509999999995</v>
      </c>
      <c r="F2925" t="s">
        <v>3234</v>
      </c>
      <c r="G2925">
        <v>1</v>
      </c>
    </row>
    <row r="2926" spans="1:7" x14ac:dyDescent="0.25">
      <c r="A2926" s="28" t="s">
        <v>276</v>
      </c>
      <c r="B2926" s="29">
        <v>83782.027600000001</v>
      </c>
      <c r="F2926" t="s">
        <v>276</v>
      </c>
      <c r="G2926">
        <v>2</v>
      </c>
    </row>
    <row r="2927" spans="1:7" x14ac:dyDescent="0.25">
      <c r="A2927" s="28" t="s">
        <v>353</v>
      </c>
      <c r="B2927" s="29">
        <v>83782.027600000001</v>
      </c>
      <c r="F2927" t="s">
        <v>353</v>
      </c>
      <c r="G2927">
        <v>2</v>
      </c>
    </row>
    <row r="2928" spans="1:7" x14ac:dyDescent="0.25">
      <c r="A2928" s="28" t="s">
        <v>1231</v>
      </c>
      <c r="B2928" s="29">
        <v>83782.027600000001</v>
      </c>
      <c r="F2928" t="s">
        <v>1231</v>
      </c>
      <c r="G2928">
        <v>2</v>
      </c>
    </row>
    <row r="2929" spans="1:7" x14ac:dyDescent="0.25">
      <c r="A2929" s="28" t="s">
        <v>103</v>
      </c>
      <c r="B2929" s="29">
        <v>83782.027600000001</v>
      </c>
      <c r="F2929" t="s">
        <v>103</v>
      </c>
      <c r="G2929">
        <v>2</v>
      </c>
    </row>
    <row r="2930" spans="1:7" x14ac:dyDescent="0.25">
      <c r="A2930" s="28" t="s">
        <v>950</v>
      </c>
      <c r="B2930" s="29">
        <v>83782.027600000001</v>
      </c>
      <c r="F2930" t="s">
        <v>950</v>
      </c>
      <c r="G2930">
        <v>2</v>
      </c>
    </row>
    <row r="2931" spans="1:7" x14ac:dyDescent="0.25">
      <c r="A2931" s="28" t="s">
        <v>562</v>
      </c>
      <c r="B2931" s="29">
        <v>83782.027600000001</v>
      </c>
      <c r="F2931" t="s">
        <v>562</v>
      </c>
      <c r="G2931">
        <v>2</v>
      </c>
    </row>
    <row r="2932" spans="1:7" x14ac:dyDescent="0.25">
      <c r="A2932" s="28" t="s">
        <v>326</v>
      </c>
      <c r="B2932" s="29">
        <v>83782.027600000001</v>
      </c>
      <c r="F2932" t="s">
        <v>326</v>
      </c>
      <c r="G2932">
        <v>2</v>
      </c>
    </row>
    <row r="2933" spans="1:7" x14ac:dyDescent="0.25">
      <c r="A2933" s="28" t="s">
        <v>98</v>
      </c>
      <c r="B2933" s="29">
        <v>83782.027600000001</v>
      </c>
      <c r="F2933" t="s">
        <v>98</v>
      </c>
      <c r="G2933">
        <v>2</v>
      </c>
    </row>
    <row r="2934" spans="1:7" x14ac:dyDescent="0.25">
      <c r="A2934" s="28" t="s">
        <v>1271</v>
      </c>
      <c r="B2934" s="29">
        <v>83782.027600000001</v>
      </c>
      <c r="F2934" t="s">
        <v>1271</v>
      </c>
      <c r="G2934">
        <v>2</v>
      </c>
    </row>
    <row r="2935" spans="1:7" x14ac:dyDescent="0.25">
      <c r="A2935" s="28" t="s">
        <v>1610</v>
      </c>
      <c r="B2935" s="29">
        <v>83782.027600000001</v>
      </c>
      <c r="F2935" t="s">
        <v>1610</v>
      </c>
      <c r="G2935">
        <v>2</v>
      </c>
    </row>
    <row r="2936" spans="1:7" x14ac:dyDescent="0.25">
      <c r="A2936" s="28" t="s">
        <v>741</v>
      </c>
      <c r="B2936" s="29">
        <v>83782.027600000001</v>
      </c>
      <c r="F2936" t="s">
        <v>741</v>
      </c>
      <c r="G2936">
        <v>2</v>
      </c>
    </row>
    <row r="2937" spans="1:7" x14ac:dyDescent="0.25">
      <c r="A2937" s="28" t="s">
        <v>728</v>
      </c>
      <c r="B2937" s="29">
        <v>83782.027600000001</v>
      </c>
      <c r="F2937" t="s">
        <v>728</v>
      </c>
      <c r="G2937">
        <v>2</v>
      </c>
    </row>
    <row r="2938" spans="1:7" hidden="1" x14ac:dyDescent="0.25">
      <c r="A2938" s="28" t="s">
        <v>3671</v>
      </c>
      <c r="B2938" s="29">
        <v>82454.509999999995</v>
      </c>
      <c r="F2938" t="s">
        <v>3671</v>
      </c>
      <c r="G2938">
        <v>1</v>
      </c>
    </row>
    <row r="2939" spans="1:7" x14ac:dyDescent="0.25">
      <c r="A2939" s="28" t="s">
        <v>1336</v>
      </c>
      <c r="B2939" s="29">
        <v>83782.027600000001</v>
      </c>
      <c r="F2939" t="s">
        <v>1336</v>
      </c>
      <c r="G2939">
        <v>2</v>
      </c>
    </row>
    <row r="2940" spans="1:7" x14ac:dyDescent="0.25">
      <c r="A2940" s="28" t="s">
        <v>1244</v>
      </c>
      <c r="B2940" s="29">
        <v>83782.027600000001</v>
      </c>
      <c r="F2940" t="s">
        <v>1244</v>
      </c>
      <c r="G2940">
        <v>2</v>
      </c>
    </row>
    <row r="2941" spans="1:7" x14ac:dyDescent="0.25">
      <c r="A2941" s="28" t="s">
        <v>614</v>
      </c>
      <c r="B2941" s="29">
        <v>83782.027600000001</v>
      </c>
      <c r="F2941" t="s">
        <v>614</v>
      </c>
      <c r="G2941">
        <v>2</v>
      </c>
    </row>
    <row r="2942" spans="1:7" x14ac:dyDescent="0.25">
      <c r="A2942" s="28" t="s">
        <v>1546</v>
      </c>
      <c r="B2942" s="29">
        <v>83782.027600000001</v>
      </c>
      <c r="F2942" t="s">
        <v>1546</v>
      </c>
      <c r="G2942">
        <v>2</v>
      </c>
    </row>
    <row r="2943" spans="1:7" x14ac:dyDescent="0.25">
      <c r="A2943" s="28" t="s">
        <v>1202</v>
      </c>
      <c r="B2943" s="29">
        <v>83782.027600000001</v>
      </c>
      <c r="F2943" t="s">
        <v>1202</v>
      </c>
      <c r="G2943">
        <v>2</v>
      </c>
    </row>
    <row r="2944" spans="1:7" x14ac:dyDescent="0.25">
      <c r="A2944" s="28" t="s">
        <v>585</v>
      </c>
      <c r="B2944" s="29">
        <v>83782.027600000001</v>
      </c>
      <c r="F2944" t="s">
        <v>585</v>
      </c>
      <c r="G2944">
        <v>2</v>
      </c>
    </row>
    <row r="2945" spans="1:7" x14ac:dyDescent="0.25">
      <c r="A2945" s="28" t="s">
        <v>1195</v>
      </c>
      <c r="B2945" s="29">
        <v>83782.027600000001</v>
      </c>
      <c r="F2945" t="s">
        <v>1195</v>
      </c>
      <c r="G2945">
        <v>2</v>
      </c>
    </row>
    <row r="2946" spans="1:7" x14ac:dyDescent="0.25">
      <c r="A2946" s="28" t="s">
        <v>470</v>
      </c>
      <c r="B2946" s="29">
        <v>83782.027600000001</v>
      </c>
      <c r="F2946" t="s">
        <v>470</v>
      </c>
      <c r="G2946">
        <v>2</v>
      </c>
    </row>
    <row r="2947" spans="1:7" x14ac:dyDescent="0.25">
      <c r="A2947" s="28" t="s">
        <v>1079</v>
      </c>
      <c r="B2947" s="29">
        <v>83782.027600000001</v>
      </c>
      <c r="F2947" t="s">
        <v>1079</v>
      </c>
      <c r="G2947">
        <v>2</v>
      </c>
    </row>
    <row r="2948" spans="1:7" x14ac:dyDescent="0.25">
      <c r="A2948" s="28" t="s">
        <v>1041</v>
      </c>
      <c r="B2948" s="29">
        <v>83782.027600000001</v>
      </c>
      <c r="F2948" t="s">
        <v>1041</v>
      </c>
      <c r="G2948">
        <v>2</v>
      </c>
    </row>
    <row r="2949" spans="1:7" x14ac:dyDescent="0.25">
      <c r="A2949" s="28" t="s">
        <v>814</v>
      </c>
      <c r="B2949" s="29">
        <v>83782.027600000001</v>
      </c>
      <c r="F2949" t="s">
        <v>814</v>
      </c>
      <c r="G2949">
        <v>2</v>
      </c>
    </row>
    <row r="2950" spans="1:7" hidden="1" x14ac:dyDescent="0.25">
      <c r="A2950" s="28" t="s">
        <v>3524</v>
      </c>
      <c r="B2950" s="29">
        <v>82454.509999999995</v>
      </c>
      <c r="F2950" t="s">
        <v>3524</v>
      </c>
      <c r="G2950">
        <v>1</v>
      </c>
    </row>
    <row r="2951" spans="1:7" x14ac:dyDescent="0.25">
      <c r="A2951" s="28" t="s">
        <v>274</v>
      </c>
      <c r="B2951" s="29">
        <v>83782.027600000001</v>
      </c>
      <c r="F2951" t="s">
        <v>274</v>
      </c>
      <c r="G2951">
        <v>2</v>
      </c>
    </row>
    <row r="2952" spans="1:7" hidden="1" x14ac:dyDescent="0.25">
      <c r="A2952" s="28" t="s">
        <v>3251</v>
      </c>
      <c r="B2952" s="29">
        <v>82454.509999999995</v>
      </c>
      <c r="F2952" t="s">
        <v>3251</v>
      </c>
      <c r="G2952">
        <v>1</v>
      </c>
    </row>
    <row r="2953" spans="1:7" x14ac:dyDescent="0.25">
      <c r="A2953" s="28" t="s">
        <v>856</v>
      </c>
      <c r="B2953" s="29">
        <v>83782.027600000001</v>
      </c>
      <c r="F2953" t="s">
        <v>856</v>
      </c>
      <c r="G2953">
        <v>2</v>
      </c>
    </row>
    <row r="2954" spans="1:7" x14ac:dyDescent="0.25">
      <c r="A2954" s="28" t="s">
        <v>1354</v>
      </c>
      <c r="B2954" s="29">
        <v>83782.027600000001</v>
      </c>
      <c r="F2954" t="s">
        <v>1354</v>
      </c>
      <c r="G2954">
        <v>2</v>
      </c>
    </row>
    <row r="2955" spans="1:7" x14ac:dyDescent="0.25">
      <c r="A2955" s="28" t="s">
        <v>468</v>
      </c>
      <c r="B2955" s="29">
        <v>83782.027600000001</v>
      </c>
      <c r="F2955" t="s">
        <v>468</v>
      </c>
      <c r="G2955">
        <v>2</v>
      </c>
    </row>
    <row r="2956" spans="1:7" x14ac:dyDescent="0.25">
      <c r="A2956" s="28" t="s">
        <v>840</v>
      </c>
      <c r="B2956" s="29">
        <v>83782.027600000001</v>
      </c>
      <c r="F2956" t="s">
        <v>840</v>
      </c>
      <c r="G2956">
        <v>2</v>
      </c>
    </row>
    <row r="2957" spans="1:7" hidden="1" x14ac:dyDescent="0.25">
      <c r="A2957" s="28" t="s">
        <v>2667</v>
      </c>
      <c r="B2957" s="29">
        <v>82454.509999999995</v>
      </c>
      <c r="F2957" t="s">
        <v>2667</v>
      </c>
      <c r="G2957">
        <v>1</v>
      </c>
    </row>
    <row r="2958" spans="1:7" x14ac:dyDescent="0.25">
      <c r="A2958" s="28" t="s">
        <v>1458</v>
      </c>
      <c r="B2958" s="29">
        <v>83782.027600000001</v>
      </c>
      <c r="F2958" t="s">
        <v>1458</v>
      </c>
      <c r="G2958">
        <v>2</v>
      </c>
    </row>
    <row r="2959" spans="1:7" x14ac:dyDescent="0.25">
      <c r="A2959" s="28" t="s">
        <v>34</v>
      </c>
      <c r="B2959" s="29">
        <v>83782.027600000001</v>
      </c>
      <c r="F2959" t="s">
        <v>34</v>
      </c>
      <c r="G2959">
        <v>2</v>
      </c>
    </row>
    <row r="2960" spans="1:7" x14ac:dyDescent="0.25">
      <c r="A2960" s="28" t="s">
        <v>690</v>
      </c>
      <c r="B2960" s="29">
        <v>72552.415550000005</v>
      </c>
      <c r="F2960" t="s">
        <v>690</v>
      </c>
      <c r="G2960">
        <v>2</v>
      </c>
    </row>
    <row r="2961" spans="1:7" x14ac:dyDescent="0.25">
      <c r="A2961" s="28" t="s">
        <v>622</v>
      </c>
      <c r="B2961" s="29">
        <v>72552.415550000005</v>
      </c>
      <c r="F2961" t="s">
        <v>622</v>
      </c>
      <c r="G2961">
        <v>2</v>
      </c>
    </row>
    <row r="2962" spans="1:7" x14ac:dyDescent="0.25">
      <c r="A2962" s="28" t="s">
        <v>126</v>
      </c>
      <c r="B2962" s="29">
        <v>72552.415550000005</v>
      </c>
      <c r="F2962" t="s">
        <v>126</v>
      </c>
      <c r="G2962">
        <v>2</v>
      </c>
    </row>
    <row r="2963" spans="1:7" hidden="1" x14ac:dyDescent="0.25">
      <c r="A2963" s="28" t="s">
        <v>3910</v>
      </c>
      <c r="B2963" s="29">
        <v>82454.509999999995</v>
      </c>
      <c r="F2963" t="s">
        <v>3910</v>
      </c>
      <c r="G2963">
        <v>1</v>
      </c>
    </row>
    <row r="2964" spans="1:7" hidden="1" x14ac:dyDescent="0.25">
      <c r="A2964" s="28" t="s">
        <v>3651</v>
      </c>
      <c r="B2964" s="29">
        <v>71402.83</v>
      </c>
      <c r="F2964" t="s">
        <v>3651</v>
      </c>
      <c r="G2964">
        <v>1</v>
      </c>
    </row>
    <row r="2965" spans="1:7" hidden="1" x14ac:dyDescent="0.25">
      <c r="A2965" s="28" t="s">
        <v>3821</v>
      </c>
      <c r="B2965" s="29">
        <v>71402.83</v>
      </c>
      <c r="F2965" t="s">
        <v>3821</v>
      </c>
      <c r="G2965">
        <v>1</v>
      </c>
    </row>
    <row r="2966" spans="1:7" x14ac:dyDescent="0.25">
      <c r="A2966" s="28" t="s">
        <v>1306</v>
      </c>
      <c r="B2966" s="29">
        <v>72552.415550000005</v>
      </c>
      <c r="F2966" t="s">
        <v>1306</v>
      </c>
      <c r="G2966">
        <v>2</v>
      </c>
    </row>
    <row r="2967" spans="1:7" x14ac:dyDescent="0.25">
      <c r="A2967" s="28" t="s">
        <v>1022</v>
      </c>
      <c r="B2967" s="29">
        <v>72552.415550000005</v>
      </c>
      <c r="F2967" t="s">
        <v>1022</v>
      </c>
      <c r="G2967">
        <v>2</v>
      </c>
    </row>
    <row r="2968" spans="1:7" x14ac:dyDescent="0.25">
      <c r="A2968" s="28" t="s">
        <v>687</v>
      </c>
      <c r="B2968" s="29">
        <v>72552.415550000005</v>
      </c>
      <c r="F2968" t="s">
        <v>687</v>
      </c>
      <c r="G2968">
        <v>2</v>
      </c>
    </row>
    <row r="2969" spans="1:7" x14ac:dyDescent="0.25">
      <c r="A2969" s="28" t="s">
        <v>492</v>
      </c>
      <c r="B2969" s="29">
        <v>72552.415550000005</v>
      </c>
      <c r="F2969" t="s">
        <v>492</v>
      </c>
      <c r="G2969">
        <v>2</v>
      </c>
    </row>
    <row r="2970" spans="1:7" x14ac:dyDescent="0.25">
      <c r="A2970" s="28" t="s">
        <v>282</v>
      </c>
      <c r="B2970" s="29">
        <v>72552.415550000005</v>
      </c>
      <c r="F2970" t="s">
        <v>282</v>
      </c>
      <c r="G2970">
        <v>2</v>
      </c>
    </row>
    <row r="2971" spans="1:7" x14ac:dyDescent="0.25">
      <c r="A2971" s="28" t="s">
        <v>1599</v>
      </c>
      <c r="B2971" s="29">
        <v>74649.778049999994</v>
      </c>
      <c r="F2971" t="s">
        <v>1599</v>
      </c>
      <c r="G2971">
        <v>2</v>
      </c>
    </row>
    <row r="2972" spans="1:7" hidden="1" x14ac:dyDescent="0.25">
      <c r="A2972" s="28" t="s">
        <v>4207</v>
      </c>
      <c r="B2972" s="29">
        <v>71402.83</v>
      </c>
      <c r="F2972" t="s">
        <v>4207</v>
      </c>
      <c r="G2972">
        <v>1</v>
      </c>
    </row>
    <row r="2973" spans="1:7" hidden="1" x14ac:dyDescent="0.25">
      <c r="A2973" s="28" t="s">
        <v>3642</v>
      </c>
      <c r="B2973" s="29">
        <v>71402.83</v>
      </c>
      <c r="F2973" t="s">
        <v>3642</v>
      </c>
      <c r="G2973">
        <v>1</v>
      </c>
    </row>
    <row r="2974" spans="1:7" hidden="1" x14ac:dyDescent="0.25">
      <c r="A2974" s="28" t="s">
        <v>3221</v>
      </c>
      <c r="B2974" s="29">
        <v>82454.509999999995</v>
      </c>
      <c r="F2974" t="s">
        <v>3221</v>
      </c>
      <c r="G2974">
        <v>1</v>
      </c>
    </row>
    <row r="2975" spans="1:7" hidden="1" x14ac:dyDescent="0.25">
      <c r="A2975" s="28" t="s">
        <v>3578</v>
      </c>
      <c r="B2975" s="29">
        <v>67612.45</v>
      </c>
      <c r="F2975" t="s">
        <v>3578</v>
      </c>
      <c r="G2975">
        <v>1</v>
      </c>
    </row>
    <row r="2976" spans="1:7" hidden="1" x14ac:dyDescent="0.25">
      <c r="A2976" s="28" t="s">
        <v>4366</v>
      </c>
      <c r="B2976" s="29">
        <v>67612.45</v>
      </c>
      <c r="F2976" t="s">
        <v>4366</v>
      </c>
      <c r="G2976">
        <v>1</v>
      </c>
    </row>
    <row r="2977" spans="1:7" x14ac:dyDescent="0.25">
      <c r="A2977" s="28" t="s">
        <v>352</v>
      </c>
      <c r="B2977" s="29">
        <v>61191.71645</v>
      </c>
      <c r="F2977" t="s">
        <v>352</v>
      </c>
      <c r="G2977">
        <v>2</v>
      </c>
    </row>
    <row r="2978" spans="1:7" x14ac:dyDescent="0.25">
      <c r="A2978" s="28" t="s">
        <v>703</v>
      </c>
      <c r="B2978" s="29">
        <v>61191.71645</v>
      </c>
      <c r="F2978" t="s">
        <v>703</v>
      </c>
      <c r="G2978">
        <v>2</v>
      </c>
    </row>
    <row r="2979" spans="1:7" hidden="1" x14ac:dyDescent="0.25">
      <c r="A2979" s="28" t="s">
        <v>3691</v>
      </c>
      <c r="B2979" s="29">
        <v>60222.14</v>
      </c>
      <c r="F2979" t="s">
        <v>3691</v>
      </c>
      <c r="G2979">
        <v>1</v>
      </c>
    </row>
    <row r="2980" spans="1:7" x14ac:dyDescent="0.25">
      <c r="A2980" s="28" t="s">
        <v>706</v>
      </c>
      <c r="B2980" s="29">
        <v>61191.71645</v>
      </c>
      <c r="F2980" t="s">
        <v>706</v>
      </c>
      <c r="G2980">
        <v>2</v>
      </c>
    </row>
    <row r="2981" spans="1:7" x14ac:dyDescent="0.25">
      <c r="A2981" s="28" t="s">
        <v>707</v>
      </c>
      <c r="B2981" s="29">
        <v>61191.71645</v>
      </c>
      <c r="F2981" t="s">
        <v>707</v>
      </c>
      <c r="G2981">
        <v>2</v>
      </c>
    </row>
    <row r="2982" spans="1:7" hidden="1" x14ac:dyDescent="0.25">
      <c r="A2982" s="28" t="s">
        <v>3543</v>
      </c>
      <c r="B2982" s="29">
        <v>60222.14</v>
      </c>
      <c r="F2982" t="s">
        <v>3543</v>
      </c>
      <c r="G2982">
        <v>1</v>
      </c>
    </row>
    <row r="2983" spans="1:7" hidden="1" x14ac:dyDescent="0.25">
      <c r="A2983" s="28" t="s">
        <v>3713</v>
      </c>
      <c r="B2983" s="29">
        <v>60222.14</v>
      </c>
      <c r="F2983" t="s">
        <v>3713</v>
      </c>
      <c r="G2983">
        <v>1</v>
      </c>
    </row>
    <row r="2984" spans="1:7" x14ac:dyDescent="0.25">
      <c r="A2984" s="28" t="s">
        <v>668</v>
      </c>
      <c r="B2984" s="29">
        <v>71029.332450000002</v>
      </c>
      <c r="F2984" t="s">
        <v>668</v>
      </c>
      <c r="G2984">
        <v>2</v>
      </c>
    </row>
    <row r="2985" spans="1:7" x14ac:dyDescent="0.25">
      <c r="A2985" s="28" t="s">
        <v>1238</v>
      </c>
      <c r="B2985" s="29">
        <v>71029.332450000002</v>
      </c>
      <c r="F2985" t="s">
        <v>1238</v>
      </c>
      <c r="G2985">
        <v>2</v>
      </c>
    </row>
    <row r="2986" spans="1:7" x14ac:dyDescent="0.25">
      <c r="A2986" s="28" t="s">
        <v>264</v>
      </c>
      <c r="B2986" s="29">
        <v>71029.332450000002</v>
      </c>
      <c r="F2986" t="s">
        <v>264</v>
      </c>
      <c r="G2986">
        <v>2</v>
      </c>
    </row>
    <row r="2987" spans="1:7" x14ac:dyDescent="0.25">
      <c r="A2987" s="28" t="s">
        <v>1222</v>
      </c>
      <c r="B2987" s="29">
        <v>71029.332450000002</v>
      </c>
      <c r="F2987" t="s">
        <v>1222</v>
      </c>
      <c r="G2987">
        <v>2</v>
      </c>
    </row>
    <row r="2988" spans="1:7" x14ac:dyDescent="0.25">
      <c r="A2988" s="28" t="s">
        <v>982</v>
      </c>
      <c r="B2988" s="29">
        <v>71029.332450000002</v>
      </c>
      <c r="F2988" t="s">
        <v>982</v>
      </c>
      <c r="G2988">
        <v>2</v>
      </c>
    </row>
    <row r="2989" spans="1:7" x14ac:dyDescent="0.25">
      <c r="A2989" s="28" t="s">
        <v>268</v>
      </c>
      <c r="B2989" s="29">
        <v>71029.332450000002</v>
      </c>
      <c r="F2989" t="s">
        <v>268</v>
      </c>
      <c r="G2989">
        <v>2</v>
      </c>
    </row>
    <row r="2990" spans="1:7" x14ac:dyDescent="0.25">
      <c r="A2990" s="28" t="s">
        <v>1082</v>
      </c>
      <c r="B2990" s="29">
        <v>71029.332450000002</v>
      </c>
      <c r="F2990" t="s">
        <v>1082</v>
      </c>
      <c r="G2990">
        <v>2</v>
      </c>
    </row>
    <row r="2991" spans="1:7" x14ac:dyDescent="0.25">
      <c r="A2991" s="28" t="s">
        <v>1107</v>
      </c>
      <c r="B2991" s="29">
        <v>71029.332450000002</v>
      </c>
      <c r="F2991" t="s">
        <v>1107</v>
      </c>
      <c r="G2991">
        <v>2</v>
      </c>
    </row>
    <row r="2992" spans="1:7" hidden="1" x14ac:dyDescent="0.25">
      <c r="A2992" s="28" t="s">
        <v>3878</v>
      </c>
      <c r="B2992" s="29">
        <v>69903.88</v>
      </c>
      <c r="F2992" t="s">
        <v>3878</v>
      </c>
      <c r="G2992">
        <v>1</v>
      </c>
    </row>
    <row r="2993" spans="1:7" hidden="1" x14ac:dyDescent="0.25">
      <c r="A2993" s="28" t="s">
        <v>3883</v>
      </c>
      <c r="B2993" s="29">
        <v>69903.88</v>
      </c>
      <c r="F2993" t="s">
        <v>3883</v>
      </c>
      <c r="G2993">
        <v>1</v>
      </c>
    </row>
    <row r="2994" spans="1:7" x14ac:dyDescent="0.25">
      <c r="A2994" s="28" t="s">
        <v>1611</v>
      </c>
      <c r="B2994" s="29">
        <v>71029.332450000002</v>
      </c>
      <c r="F2994" t="s">
        <v>1611</v>
      </c>
      <c r="G2994">
        <v>2</v>
      </c>
    </row>
    <row r="2995" spans="1:7" x14ac:dyDescent="0.25">
      <c r="A2995" s="28" t="s">
        <v>121</v>
      </c>
      <c r="B2995" s="29">
        <v>56653.681750000003</v>
      </c>
      <c r="F2995" t="s">
        <v>121</v>
      </c>
      <c r="G2995">
        <v>2</v>
      </c>
    </row>
    <row r="2996" spans="1:7" hidden="1" x14ac:dyDescent="0.25">
      <c r="A2996" s="28" t="s">
        <v>3953</v>
      </c>
      <c r="B2996" s="29">
        <v>55756.01</v>
      </c>
      <c r="F2996" t="s">
        <v>3953</v>
      </c>
      <c r="G2996">
        <v>1</v>
      </c>
    </row>
    <row r="2997" spans="1:7" x14ac:dyDescent="0.25">
      <c r="A2997" s="28" t="s">
        <v>1156</v>
      </c>
      <c r="B2997" s="29">
        <v>56653.681750000003</v>
      </c>
      <c r="F2997" t="s">
        <v>1156</v>
      </c>
      <c r="G2997">
        <v>2</v>
      </c>
    </row>
    <row r="2998" spans="1:7" hidden="1" x14ac:dyDescent="0.25">
      <c r="A2998" s="28" t="s">
        <v>3580</v>
      </c>
      <c r="B2998" s="29">
        <v>55756.01</v>
      </c>
      <c r="F2998" t="s">
        <v>3580</v>
      </c>
      <c r="G2998">
        <v>1</v>
      </c>
    </row>
    <row r="2999" spans="1:7" hidden="1" x14ac:dyDescent="0.25">
      <c r="A2999" s="28" t="s">
        <v>4058</v>
      </c>
      <c r="B2999" s="29">
        <v>55756.01</v>
      </c>
      <c r="F2999" t="s">
        <v>4058</v>
      </c>
      <c r="G2999">
        <v>1</v>
      </c>
    </row>
    <row r="3000" spans="1:7" hidden="1" x14ac:dyDescent="0.25">
      <c r="A3000" s="28" t="s">
        <v>3559</v>
      </c>
      <c r="B3000" s="29">
        <v>55756.01</v>
      </c>
      <c r="F3000" t="s">
        <v>3559</v>
      </c>
      <c r="G3000">
        <v>1</v>
      </c>
    </row>
    <row r="3001" spans="1:7" hidden="1" x14ac:dyDescent="0.25">
      <c r="A3001" s="28" t="s">
        <v>3388</v>
      </c>
      <c r="B3001" s="29">
        <v>55756.01</v>
      </c>
      <c r="F3001" t="s">
        <v>3388</v>
      </c>
      <c r="G3001">
        <v>1</v>
      </c>
    </row>
    <row r="3002" spans="1:7" hidden="1" x14ac:dyDescent="0.25">
      <c r="A3002" s="28" t="s">
        <v>2641</v>
      </c>
      <c r="B3002" s="29">
        <v>60867.18</v>
      </c>
      <c r="F3002" t="s">
        <v>2641</v>
      </c>
      <c r="G3002">
        <v>1</v>
      </c>
    </row>
    <row r="3003" spans="1:7" hidden="1" x14ac:dyDescent="0.25">
      <c r="A3003" s="28" t="s">
        <v>3525</v>
      </c>
      <c r="B3003" s="29">
        <v>50700.12</v>
      </c>
      <c r="F3003" t="s">
        <v>3525</v>
      </c>
      <c r="G3003">
        <v>1</v>
      </c>
    </row>
    <row r="3004" spans="1:7" hidden="1" x14ac:dyDescent="0.25">
      <c r="A3004" s="28" t="s">
        <v>4520</v>
      </c>
      <c r="B3004" s="29">
        <v>50700.12</v>
      </c>
      <c r="F3004" t="s">
        <v>4520</v>
      </c>
      <c r="G3004">
        <v>1</v>
      </c>
    </row>
    <row r="3005" spans="1:7" hidden="1" x14ac:dyDescent="0.25">
      <c r="A3005" s="28" t="s">
        <v>4475</v>
      </c>
      <c r="B3005" s="29">
        <v>50700.12</v>
      </c>
      <c r="F3005" t="s">
        <v>4475</v>
      </c>
      <c r="G3005">
        <v>1</v>
      </c>
    </row>
    <row r="3006" spans="1:7" hidden="1" x14ac:dyDescent="0.25">
      <c r="A3006" s="28" t="s">
        <v>4580</v>
      </c>
      <c r="B3006" s="29">
        <v>50700.12</v>
      </c>
      <c r="F3006" t="s">
        <v>4580</v>
      </c>
      <c r="G3006">
        <v>1</v>
      </c>
    </row>
    <row r="3007" spans="1:7" hidden="1" x14ac:dyDescent="0.25">
      <c r="A3007" s="28" t="s">
        <v>4560</v>
      </c>
      <c r="B3007" s="29">
        <v>50700.12</v>
      </c>
      <c r="F3007" t="s">
        <v>4560</v>
      </c>
      <c r="G3007">
        <v>1</v>
      </c>
    </row>
    <row r="3008" spans="1:7" hidden="1" x14ac:dyDescent="0.25">
      <c r="A3008" s="28" t="s">
        <v>3695</v>
      </c>
      <c r="B3008" s="29">
        <v>50700.12</v>
      </c>
      <c r="F3008" t="s">
        <v>3695</v>
      </c>
      <c r="G3008">
        <v>1</v>
      </c>
    </row>
    <row r="3009" spans="1:7" hidden="1" x14ac:dyDescent="0.25">
      <c r="A3009" s="28" t="s">
        <v>3916</v>
      </c>
      <c r="B3009" s="29">
        <v>50700.12</v>
      </c>
      <c r="F3009" t="s">
        <v>3916</v>
      </c>
      <c r="G3009">
        <v>1</v>
      </c>
    </row>
    <row r="3010" spans="1:7" hidden="1" x14ac:dyDescent="0.25">
      <c r="A3010" s="28" t="s">
        <v>3858</v>
      </c>
      <c r="B3010" s="29">
        <v>55756.01</v>
      </c>
      <c r="F3010" t="s">
        <v>3858</v>
      </c>
      <c r="G3010">
        <v>1</v>
      </c>
    </row>
    <row r="3011" spans="1:7" hidden="1" x14ac:dyDescent="0.25">
      <c r="A3011" s="28" t="s">
        <v>4524</v>
      </c>
      <c r="B3011" s="29">
        <v>50700.12</v>
      </c>
      <c r="F3011" t="s">
        <v>4524</v>
      </c>
      <c r="G3011">
        <v>1</v>
      </c>
    </row>
    <row r="3012" spans="1:7" hidden="1" x14ac:dyDescent="0.25">
      <c r="A3012" s="28" t="s">
        <v>4218</v>
      </c>
      <c r="B3012" s="29">
        <v>50700.12</v>
      </c>
      <c r="F3012" t="s">
        <v>4218</v>
      </c>
      <c r="G3012">
        <v>1</v>
      </c>
    </row>
    <row r="3013" spans="1:7" hidden="1" x14ac:dyDescent="0.25">
      <c r="A3013" s="28" t="s">
        <v>4545</v>
      </c>
      <c r="B3013" s="29">
        <v>50700.12</v>
      </c>
      <c r="F3013" t="s">
        <v>4545</v>
      </c>
      <c r="G3013">
        <v>1</v>
      </c>
    </row>
    <row r="3014" spans="1:7" hidden="1" x14ac:dyDescent="0.25">
      <c r="A3014" s="28" t="s">
        <v>3625</v>
      </c>
      <c r="B3014" s="29">
        <v>69903.88</v>
      </c>
      <c r="F3014" t="s">
        <v>3625</v>
      </c>
      <c r="G3014">
        <v>1</v>
      </c>
    </row>
    <row r="3015" spans="1:7" x14ac:dyDescent="0.25">
      <c r="A3015" s="28" t="s">
        <v>441</v>
      </c>
      <c r="B3015" s="29">
        <v>74649.778049999994</v>
      </c>
      <c r="F3015" t="s">
        <v>441</v>
      </c>
      <c r="G3015">
        <v>2</v>
      </c>
    </row>
    <row r="3016" spans="1:7" hidden="1" x14ac:dyDescent="0.25">
      <c r="A3016" s="28" t="s">
        <v>2766</v>
      </c>
      <c r="B3016" s="29">
        <v>73466.960000000006</v>
      </c>
      <c r="F3016" t="s">
        <v>2766</v>
      </c>
      <c r="G3016">
        <v>1</v>
      </c>
    </row>
    <row r="3017" spans="1:7" x14ac:dyDescent="0.25">
      <c r="A3017" s="28" t="s">
        <v>700</v>
      </c>
      <c r="B3017" s="29">
        <v>74649.778049999994</v>
      </c>
      <c r="F3017" t="s">
        <v>700</v>
      </c>
      <c r="G3017">
        <v>2</v>
      </c>
    </row>
    <row r="3018" spans="1:7" x14ac:dyDescent="0.25">
      <c r="A3018" s="28" t="s">
        <v>1155</v>
      </c>
      <c r="B3018" s="29">
        <v>74649.778049999994</v>
      </c>
      <c r="F3018" t="s">
        <v>1155</v>
      </c>
      <c r="G3018">
        <v>2</v>
      </c>
    </row>
    <row r="3019" spans="1:7" x14ac:dyDescent="0.25">
      <c r="A3019" s="28" t="s">
        <v>336</v>
      </c>
      <c r="B3019" s="29">
        <v>74649.778049999994</v>
      </c>
      <c r="F3019" t="s">
        <v>336</v>
      </c>
      <c r="G3019">
        <v>2</v>
      </c>
    </row>
    <row r="3020" spans="1:7" x14ac:dyDescent="0.25">
      <c r="A3020" s="28" t="s">
        <v>154</v>
      </c>
      <c r="B3020" s="29">
        <v>74649.778049999994</v>
      </c>
      <c r="F3020" t="s">
        <v>154</v>
      </c>
      <c r="G3020">
        <v>2</v>
      </c>
    </row>
    <row r="3021" spans="1:7" x14ac:dyDescent="0.25">
      <c r="A3021" s="28" t="s">
        <v>909</v>
      </c>
      <c r="B3021" s="29">
        <v>74649.778049999994</v>
      </c>
      <c r="F3021" t="s">
        <v>909</v>
      </c>
      <c r="G3021">
        <v>2</v>
      </c>
    </row>
    <row r="3022" spans="1:7" x14ac:dyDescent="0.25">
      <c r="A3022" s="28" t="s">
        <v>978</v>
      </c>
      <c r="B3022" s="29">
        <v>74649.778049999994</v>
      </c>
      <c r="F3022" t="s">
        <v>978</v>
      </c>
      <c r="G3022">
        <v>2</v>
      </c>
    </row>
    <row r="3023" spans="1:7" hidden="1" x14ac:dyDescent="0.25">
      <c r="A3023" s="28" t="s">
        <v>669</v>
      </c>
      <c r="B3023" s="29">
        <v>75832.596099999995</v>
      </c>
      <c r="F3023" t="s">
        <v>669</v>
      </c>
      <c r="G3023">
        <v>1</v>
      </c>
    </row>
    <row r="3024" spans="1:7" x14ac:dyDescent="0.25">
      <c r="A3024" s="28" t="s">
        <v>875</v>
      </c>
      <c r="B3024" s="29">
        <v>74649.778049999994</v>
      </c>
      <c r="F3024" t="s">
        <v>875</v>
      </c>
      <c r="G3024">
        <v>2</v>
      </c>
    </row>
    <row r="3025" spans="1:7" x14ac:dyDescent="0.25">
      <c r="A3025" s="28" t="s">
        <v>398</v>
      </c>
      <c r="B3025" s="29">
        <v>74649.778049999994</v>
      </c>
      <c r="F3025" t="s">
        <v>398</v>
      </c>
      <c r="G3025">
        <v>2</v>
      </c>
    </row>
    <row r="3026" spans="1:7" x14ac:dyDescent="0.25">
      <c r="A3026" s="28" t="s">
        <v>1128</v>
      </c>
      <c r="B3026" s="29">
        <v>74649.778049999994</v>
      </c>
      <c r="F3026" t="s">
        <v>1128</v>
      </c>
      <c r="G3026">
        <v>2</v>
      </c>
    </row>
    <row r="3027" spans="1:7" x14ac:dyDescent="0.25">
      <c r="A3027" s="28" t="s">
        <v>737</v>
      </c>
      <c r="B3027" s="29">
        <v>74649.778049999994</v>
      </c>
      <c r="F3027" t="s">
        <v>737</v>
      </c>
      <c r="G3027">
        <v>2</v>
      </c>
    </row>
    <row r="3028" spans="1:7" x14ac:dyDescent="0.25">
      <c r="A3028" s="28" t="s">
        <v>1322</v>
      </c>
      <c r="B3028" s="29">
        <v>74649.778049999994</v>
      </c>
      <c r="F3028" t="s">
        <v>1322</v>
      </c>
      <c r="G3028">
        <v>2</v>
      </c>
    </row>
    <row r="3029" spans="1:7" x14ac:dyDescent="0.25">
      <c r="A3029" s="28" t="s">
        <v>152</v>
      </c>
      <c r="B3029" s="29">
        <v>74649.778049999994</v>
      </c>
      <c r="F3029" t="s">
        <v>152</v>
      </c>
      <c r="G3029">
        <v>2</v>
      </c>
    </row>
    <row r="3030" spans="1:7" hidden="1" x14ac:dyDescent="0.25">
      <c r="A3030" s="28" t="s">
        <v>1042</v>
      </c>
      <c r="B3030" s="29">
        <v>75832.596099999995</v>
      </c>
      <c r="F3030" t="s">
        <v>1042</v>
      </c>
      <c r="G3030">
        <v>1</v>
      </c>
    </row>
    <row r="3031" spans="1:7" x14ac:dyDescent="0.25">
      <c r="A3031" s="28" t="s">
        <v>1167</v>
      </c>
      <c r="B3031" s="29">
        <v>74649.778049999994</v>
      </c>
      <c r="F3031" t="s">
        <v>1167</v>
      </c>
      <c r="G3031">
        <v>2</v>
      </c>
    </row>
    <row r="3032" spans="1:7" x14ac:dyDescent="0.25">
      <c r="A3032" s="28" t="s">
        <v>1291</v>
      </c>
      <c r="B3032" s="29">
        <v>74649.778049999994</v>
      </c>
      <c r="F3032" t="s">
        <v>1291</v>
      </c>
      <c r="G3032">
        <v>2</v>
      </c>
    </row>
    <row r="3033" spans="1:7" hidden="1" x14ac:dyDescent="0.25">
      <c r="A3033" s="28" t="s">
        <v>3464</v>
      </c>
      <c r="B3033" s="29">
        <v>73466.960000000006</v>
      </c>
      <c r="F3033" t="s">
        <v>3464</v>
      </c>
      <c r="G3033">
        <v>1</v>
      </c>
    </row>
    <row r="3034" spans="1:7" hidden="1" x14ac:dyDescent="0.25">
      <c r="A3034" s="28" t="s">
        <v>3723</v>
      </c>
      <c r="B3034" s="29">
        <v>73466.960000000006</v>
      </c>
      <c r="F3034" t="s">
        <v>3723</v>
      </c>
      <c r="G3034">
        <v>1</v>
      </c>
    </row>
    <row r="3035" spans="1:7" x14ac:dyDescent="0.25">
      <c r="A3035" s="28" t="s">
        <v>1320</v>
      </c>
      <c r="B3035" s="29">
        <v>74649.778049999994</v>
      </c>
      <c r="F3035" t="s">
        <v>1320</v>
      </c>
      <c r="G3035">
        <v>2</v>
      </c>
    </row>
    <row r="3036" spans="1:7" hidden="1" x14ac:dyDescent="0.25">
      <c r="A3036" s="28" t="s">
        <v>3717</v>
      </c>
      <c r="B3036" s="29">
        <v>55756.01</v>
      </c>
      <c r="F3036" t="s">
        <v>3717</v>
      </c>
      <c r="G3036">
        <v>1</v>
      </c>
    </row>
    <row r="3037" spans="1:7" hidden="1" x14ac:dyDescent="0.25">
      <c r="A3037" s="28" t="s">
        <v>4091</v>
      </c>
      <c r="B3037" s="29">
        <v>50700.12</v>
      </c>
      <c r="F3037" t="s">
        <v>4091</v>
      </c>
      <c r="G3037">
        <v>1</v>
      </c>
    </row>
    <row r="3038" spans="1:7" hidden="1" x14ac:dyDescent="0.25">
      <c r="A3038" s="28" t="s">
        <v>3844</v>
      </c>
      <c r="B3038" s="29">
        <v>55756.01</v>
      </c>
      <c r="F3038" t="s">
        <v>3844</v>
      </c>
      <c r="G3038">
        <v>1</v>
      </c>
    </row>
    <row r="3039" spans="1:7" x14ac:dyDescent="0.25">
      <c r="A3039" s="28" t="s">
        <v>1541</v>
      </c>
      <c r="B3039" s="29">
        <v>56653.681750000003</v>
      </c>
      <c r="F3039" t="s">
        <v>1541</v>
      </c>
      <c r="G3039">
        <v>2</v>
      </c>
    </row>
    <row r="3040" spans="1:7" hidden="1" x14ac:dyDescent="0.25">
      <c r="A3040" s="28" t="s">
        <v>4518</v>
      </c>
      <c r="B3040" s="29">
        <v>55829.73</v>
      </c>
      <c r="F3040" t="s">
        <v>4518</v>
      </c>
      <c r="G3040">
        <v>1</v>
      </c>
    </row>
    <row r="3041" spans="1:7" hidden="1" x14ac:dyDescent="0.25">
      <c r="A3041" s="28" t="s">
        <v>3994</v>
      </c>
      <c r="B3041" s="29">
        <v>55756.01</v>
      </c>
      <c r="F3041" t="s">
        <v>3994</v>
      </c>
      <c r="G3041">
        <v>1</v>
      </c>
    </row>
    <row r="3042" spans="1:7" hidden="1" x14ac:dyDescent="0.25">
      <c r="A3042" s="28" t="s">
        <v>4030</v>
      </c>
      <c r="B3042" s="29">
        <v>50700.12</v>
      </c>
      <c r="F3042" t="s">
        <v>4030</v>
      </c>
      <c r="G3042">
        <v>1</v>
      </c>
    </row>
    <row r="3043" spans="1:7" hidden="1" x14ac:dyDescent="0.25">
      <c r="A3043" s="28" t="s">
        <v>3149</v>
      </c>
      <c r="B3043" s="29">
        <v>50700.12</v>
      </c>
      <c r="F3043" t="s">
        <v>3149</v>
      </c>
      <c r="G3043">
        <v>1</v>
      </c>
    </row>
    <row r="3044" spans="1:7" hidden="1" x14ac:dyDescent="0.25">
      <c r="A3044" s="28" t="s">
        <v>4504</v>
      </c>
      <c r="B3044" s="29">
        <v>50700.12</v>
      </c>
      <c r="F3044" t="s">
        <v>4504</v>
      </c>
      <c r="G3044">
        <v>1</v>
      </c>
    </row>
    <row r="3045" spans="1:7" hidden="1" x14ac:dyDescent="0.25">
      <c r="A3045" s="28" t="s">
        <v>3628</v>
      </c>
      <c r="B3045" s="29">
        <v>50700.12</v>
      </c>
      <c r="F3045" t="s">
        <v>3628</v>
      </c>
      <c r="G3045">
        <v>1</v>
      </c>
    </row>
    <row r="3046" spans="1:7" hidden="1" x14ac:dyDescent="0.25">
      <c r="A3046" s="28" t="s">
        <v>4134</v>
      </c>
      <c r="B3046" s="29">
        <v>50700.12</v>
      </c>
      <c r="F3046" t="s">
        <v>4134</v>
      </c>
      <c r="G3046">
        <v>1</v>
      </c>
    </row>
    <row r="3047" spans="1:7" hidden="1" x14ac:dyDescent="0.25">
      <c r="A3047" s="28" t="s">
        <v>4680</v>
      </c>
      <c r="B3047" s="29">
        <v>50700.12</v>
      </c>
      <c r="F3047" t="s">
        <v>4680</v>
      </c>
      <c r="G3047">
        <v>1</v>
      </c>
    </row>
    <row r="3048" spans="1:7" hidden="1" x14ac:dyDescent="0.25">
      <c r="A3048" s="28" t="s">
        <v>4743</v>
      </c>
      <c r="B3048" s="29">
        <v>50700.12</v>
      </c>
      <c r="F3048" t="s">
        <v>4743</v>
      </c>
      <c r="G3048">
        <v>1</v>
      </c>
    </row>
    <row r="3049" spans="1:7" hidden="1" x14ac:dyDescent="0.25">
      <c r="A3049" s="28" t="s">
        <v>1875</v>
      </c>
      <c r="B3049" s="29">
        <v>50700.12</v>
      </c>
      <c r="F3049" t="s">
        <v>1875</v>
      </c>
      <c r="G3049">
        <v>1</v>
      </c>
    </row>
    <row r="3050" spans="1:7" hidden="1" x14ac:dyDescent="0.25">
      <c r="A3050" s="28" t="s">
        <v>4563</v>
      </c>
      <c r="B3050" s="29">
        <v>50700.12</v>
      </c>
      <c r="F3050" t="s">
        <v>4563</v>
      </c>
      <c r="G3050">
        <v>1</v>
      </c>
    </row>
    <row r="3051" spans="1:7" hidden="1" x14ac:dyDescent="0.25">
      <c r="A3051" s="28" t="s">
        <v>4736</v>
      </c>
      <c r="B3051" s="29">
        <v>50700.12</v>
      </c>
      <c r="F3051" t="s">
        <v>4736</v>
      </c>
      <c r="G3051">
        <v>1</v>
      </c>
    </row>
    <row r="3052" spans="1:7" hidden="1" x14ac:dyDescent="0.25">
      <c r="A3052" s="28" t="s">
        <v>4408</v>
      </c>
      <c r="B3052" s="29">
        <v>50700.12</v>
      </c>
      <c r="F3052" t="s">
        <v>4408</v>
      </c>
      <c r="G3052">
        <v>1</v>
      </c>
    </row>
    <row r="3053" spans="1:7" hidden="1" x14ac:dyDescent="0.25">
      <c r="A3053" s="28" t="s">
        <v>4666</v>
      </c>
      <c r="B3053" s="29">
        <v>50700.12</v>
      </c>
      <c r="F3053" t="s">
        <v>4666</v>
      </c>
      <c r="G3053">
        <v>1</v>
      </c>
    </row>
    <row r="3054" spans="1:7" hidden="1" x14ac:dyDescent="0.25">
      <c r="A3054" s="28" t="s">
        <v>4708</v>
      </c>
      <c r="B3054" s="29">
        <v>50700.12</v>
      </c>
      <c r="F3054" t="s">
        <v>4708</v>
      </c>
      <c r="G3054">
        <v>1</v>
      </c>
    </row>
    <row r="3055" spans="1:7" hidden="1" x14ac:dyDescent="0.25">
      <c r="A3055" s="28" t="s">
        <v>4934</v>
      </c>
      <c r="B3055" s="29">
        <v>50700.12</v>
      </c>
      <c r="F3055" t="s">
        <v>4934</v>
      </c>
      <c r="G3055">
        <v>1</v>
      </c>
    </row>
    <row r="3056" spans="1:7" hidden="1" x14ac:dyDescent="0.25">
      <c r="A3056" s="28" t="s">
        <v>4234</v>
      </c>
      <c r="B3056" s="29">
        <v>50700.12</v>
      </c>
      <c r="F3056" t="s">
        <v>4234</v>
      </c>
      <c r="G3056">
        <v>1</v>
      </c>
    </row>
    <row r="3057" spans="1:7" hidden="1" x14ac:dyDescent="0.25">
      <c r="A3057" s="28" t="s">
        <v>4854</v>
      </c>
      <c r="B3057" s="29">
        <v>50700.12</v>
      </c>
      <c r="F3057" t="s">
        <v>4854</v>
      </c>
      <c r="G3057">
        <v>1</v>
      </c>
    </row>
    <row r="3058" spans="1:7" hidden="1" x14ac:dyDescent="0.25">
      <c r="A3058" s="28" t="s">
        <v>3687</v>
      </c>
      <c r="B3058" s="29">
        <v>50700.12</v>
      </c>
      <c r="F3058" t="s">
        <v>3687</v>
      </c>
      <c r="G3058">
        <v>1</v>
      </c>
    </row>
    <row r="3059" spans="1:7" hidden="1" x14ac:dyDescent="0.25">
      <c r="A3059" s="28" t="s">
        <v>3865</v>
      </c>
      <c r="B3059" s="29">
        <v>50700.12</v>
      </c>
      <c r="F3059" t="s">
        <v>3865</v>
      </c>
      <c r="G3059">
        <v>1</v>
      </c>
    </row>
    <row r="3060" spans="1:7" hidden="1" x14ac:dyDescent="0.25">
      <c r="A3060" s="28" t="s">
        <v>3377</v>
      </c>
      <c r="B3060" s="29">
        <v>60867.18</v>
      </c>
      <c r="F3060" t="s">
        <v>3377</v>
      </c>
      <c r="G3060">
        <v>1</v>
      </c>
    </row>
    <row r="3061" spans="1:7" hidden="1" x14ac:dyDescent="0.25">
      <c r="A3061" s="28" t="s">
        <v>4582</v>
      </c>
      <c r="B3061" s="29">
        <v>46934.32</v>
      </c>
      <c r="F3061" t="s">
        <v>4582</v>
      </c>
      <c r="G3061">
        <v>1</v>
      </c>
    </row>
    <row r="3062" spans="1:7" hidden="1" x14ac:dyDescent="0.25">
      <c r="A3062" s="28" t="s">
        <v>5053</v>
      </c>
      <c r="B3062" s="29">
        <v>46934.32</v>
      </c>
      <c r="F3062" t="s">
        <v>5053</v>
      </c>
      <c r="G3062">
        <v>1</v>
      </c>
    </row>
    <row r="3063" spans="1:7" hidden="1" x14ac:dyDescent="0.25">
      <c r="A3063" s="28" t="s">
        <v>2976</v>
      </c>
      <c r="B3063" s="29">
        <v>46934.32</v>
      </c>
      <c r="F3063" t="s">
        <v>2976</v>
      </c>
      <c r="G3063">
        <v>1</v>
      </c>
    </row>
    <row r="3064" spans="1:7" hidden="1" x14ac:dyDescent="0.25">
      <c r="A3064" s="28" t="s">
        <v>5049</v>
      </c>
      <c r="B3064" s="29">
        <v>46934.32</v>
      </c>
      <c r="F3064" t="s">
        <v>5049</v>
      </c>
      <c r="G3064">
        <v>1</v>
      </c>
    </row>
    <row r="3065" spans="1:7" hidden="1" x14ac:dyDescent="0.25">
      <c r="A3065" s="28" t="s">
        <v>4771</v>
      </c>
      <c r="B3065" s="29">
        <v>50700.12</v>
      </c>
      <c r="F3065" t="s">
        <v>4771</v>
      </c>
      <c r="G3065">
        <v>1</v>
      </c>
    </row>
    <row r="3066" spans="1:7" hidden="1" x14ac:dyDescent="0.25">
      <c r="A3066" s="28" t="s">
        <v>4523</v>
      </c>
      <c r="B3066" s="29">
        <v>46934.32</v>
      </c>
      <c r="F3066" t="s">
        <v>4523</v>
      </c>
      <c r="G3066">
        <v>1</v>
      </c>
    </row>
    <row r="3067" spans="1:7" hidden="1" x14ac:dyDescent="0.25">
      <c r="A3067" s="28" t="s">
        <v>4423</v>
      </c>
      <c r="B3067" s="29">
        <v>46934.32</v>
      </c>
      <c r="F3067" t="s">
        <v>4423</v>
      </c>
      <c r="G3067">
        <v>1</v>
      </c>
    </row>
    <row r="3068" spans="1:7" hidden="1" x14ac:dyDescent="0.25">
      <c r="A3068" s="28" t="s">
        <v>4550</v>
      </c>
      <c r="B3068" s="29">
        <v>46934.32</v>
      </c>
      <c r="F3068" t="s">
        <v>4550</v>
      </c>
      <c r="G3068">
        <v>1</v>
      </c>
    </row>
    <row r="3069" spans="1:7" hidden="1" x14ac:dyDescent="0.25">
      <c r="A3069" s="28" t="s">
        <v>5075</v>
      </c>
      <c r="B3069" s="29">
        <v>46934.32</v>
      </c>
      <c r="F3069" t="s">
        <v>5075</v>
      </c>
      <c r="G3069">
        <v>1</v>
      </c>
    </row>
    <row r="3070" spans="1:7" hidden="1" x14ac:dyDescent="0.25">
      <c r="A3070" s="28" t="s">
        <v>2869</v>
      </c>
      <c r="B3070" s="29">
        <v>46934.32</v>
      </c>
      <c r="F3070" t="s">
        <v>2869</v>
      </c>
      <c r="G3070">
        <v>1</v>
      </c>
    </row>
    <row r="3071" spans="1:7" hidden="1" x14ac:dyDescent="0.25">
      <c r="A3071" s="28" t="s">
        <v>5155</v>
      </c>
      <c r="B3071" s="29">
        <v>46934.32</v>
      </c>
      <c r="F3071" t="s">
        <v>5155</v>
      </c>
      <c r="G3071">
        <v>1</v>
      </c>
    </row>
    <row r="3072" spans="1:7" hidden="1" x14ac:dyDescent="0.25">
      <c r="A3072" s="28" t="s">
        <v>5112</v>
      </c>
      <c r="B3072" s="29">
        <v>46934.32</v>
      </c>
      <c r="F3072" t="s">
        <v>5112</v>
      </c>
      <c r="G3072">
        <v>1</v>
      </c>
    </row>
    <row r="3073" spans="1:7" hidden="1" x14ac:dyDescent="0.25">
      <c r="A3073" s="28" t="s">
        <v>5078</v>
      </c>
      <c r="B3073" s="29">
        <v>46934.32</v>
      </c>
      <c r="F3073" t="s">
        <v>5078</v>
      </c>
      <c r="G3073">
        <v>1</v>
      </c>
    </row>
    <row r="3074" spans="1:7" hidden="1" x14ac:dyDescent="0.25">
      <c r="A3074" s="28" t="s">
        <v>3186</v>
      </c>
      <c r="B3074" s="29">
        <v>46934.32</v>
      </c>
      <c r="F3074" t="s">
        <v>3186</v>
      </c>
      <c r="G3074">
        <v>1</v>
      </c>
    </row>
    <row r="3075" spans="1:7" hidden="1" x14ac:dyDescent="0.25">
      <c r="A3075" s="28" t="s">
        <v>5070</v>
      </c>
      <c r="B3075" s="29">
        <v>46934.32</v>
      </c>
      <c r="F3075" t="s">
        <v>5070</v>
      </c>
      <c r="G3075">
        <v>1</v>
      </c>
    </row>
    <row r="3076" spans="1:7" hidden="1" x14ac:dyDescent="0.25">
      <c r="A3076" s="28" t="s">
        <v>5062</v>
      </c>
      <c r="B3076" s="29">
        <v>46934.32</v>
      </c>
      <c r="F3076" t="s">
        <v>5062</v>
      </c>
      <c r="G3076">
        <v>1</v>
      </c>
    </row>
    <row r="3077" spans="1:7" hidden="1" x14ac:dyDescent="0.25">
      <c r="A3077" s="28" t="s">
        <v>5084</v>
      </c>
      <c r="B3077" s="29">
        <v>46934.32</v>
      </c>
      <c r="F3077" t="s">
        <v>5084</v>
      </c>
      <c r="G3077">
        <v>1</v>
      </c>
    </row>
    <row r="3078" spans="1:7" hidden="1" x14ac:dyDescent="0.25">
      <c r="A3078" s="28" t="s">
        <v>2640</v>
      </c>
      <c r="B3078" s="29">
        <v>46934.32</v>
      </c>
      <c r="F3078" t="s">
        <v>2640</v>
      </c>
      <c r="G3078">
        <v>1</v>
      </c>
    </row>
    <row r="3079" spans="1:7" hidden="1" x14ac:dyDescent="0.25">
      <c r="A3079" s="28" t="s">
        <v>3633</v>
      </c>
      <c r="B3079" s="29">
        <v>50700.12</v>
      </c>
      <c r="F3079" t="s">
        <v>3633</v>
      </c>
      <c r="G3079">
        <v>1</v>
      </c>
    </row>
    <row r="3080" spans="1:7" hidden="1" x14ac:dyDescent="0.25">
      <c r="A3080" s="28" t="s">
        <v>4526</v>
      </c>
      <c r="B3080" s="29">
        <v>52788.83</v>
      </c>
      <c r="F3080" t="s">
        <v>4526</v>
      </c>
      <c r="G3080">
        <v>1</v>
      </c>
    </row>
    <row r="3081" spans="1:7" hidden="1" x14ac:dyDescent="0.25">
      <c r="A3081" s="28" t="s">
        <v>4670</v>
      </c>
      <c r="B3081" s="29">
        <v>52788.83</v>
      </c>
      <c r="F3081" t="s">
        <v>4670</v>
      </c>
      <c r="G3081">
        <v>1</v>
      </c>
    </row>
    <row r="3082" spans="1:7" hidden="1" x14ac:dyDescent="0.25">
      <c r="A3082" s="28" t="s">
        <v>4767</v>
      </c>
      <c r="B3082" s="29">
        <v>46934.32</v>
      </c>
      <c r="F3082" t="s">
        <v>4767</v>
      </c>
      <c r="G3082">
        <v>1</v>
      </c>
    </row>
    <row r="3083" spans="1:7" hidden="1" x14ac:dyDescent="0.25">
      <c r="A3083" s="28" t="s">
        <v>2998</v>
      </c>
      <c r="B3083" s="29">
        <v>46934.32</v>
      </c>
      <c r="F3083" t="s">
        <v>2998</v>
      </c>
      <c r="G3083">
        <v>1</v>
      </c>
    </row>
    <row r="3084" spans="1:7" hidden="1" x14ac:dyDescent="0.25">
      <c r="A3084" s="28" t="s">
        <v>2985</v>
      </c>
      <c r="B3084" s="29">
        <v>46934.32</v>
      </c>
      <c r="F3084" t="s">
        <v>2985</v>
      </c>
      <c r="G3084">
        <v>1</v>
      </c>
    </row>
    <row r="3085" spans="1:7" hidden="1" x14ac:dyDescent="0.25">
      <c r="A3085" s="28" t="s">
        <v>2980</v>
      </c>
      <c r="B3085" s="29">
        <v>46934.32</v>
      </c>
      <c r="F3085" t="s">
        <v>2980</v>
      </c>
      <c r="G3085">
        <v>1</v>
      </c>
    </row>
    <row r="3086" spans="1:7" hidden="1" x14ac:dyDescent="0.25">
      <c r="A3086" s="28" t="s">
        <v>5124</v>
      </c>
      <c r="B3086" s="29">
        <v>46934.32</v>
      </c>
      <c r="F3086" t="s">
        <v>5124</v>
      </c>
      <c r="G3086">
        <v>1</v>
      </c>
    </row>
    <row r="3087" spans="1:7" hidden="1" x14ac:dyDescent="0.25">
      <c r="A3087" s="28" t="s">
        <v>5095</v>
      </c>
      <c r="B3087" s="29">
        <v>46934.32</v>
      </c>
      <c r="F3087" t="s">
        <v>5095</v>
      </c>
      <c r="G3087">
        <v>1</v>
      </c>
    </row>
    <row r="3088" spans="1:7" hidden="1" x14ac:dyDescent="0.25">
      <c r="A3088" s="28" t="s">
        <v>2957</v>
      </c>
      <c r="B3088" s="29">
        <v>46934.32</v>
      </c>
      <c r="F3088" t="s">
        <v>2957</v>
      </c>
      <c r="G3088">
        <v>1</v>
      </c>
    </row>
    <row r="3089" spans="1:7" hidden="1" x14ac:dyDescent="0.25">
      <c r="A3089" s="28" t="s">
        <v>3943</v>
      </c>
      <c r="B3089" s="29">
        <v>46934.32</v>
      </c>
      <c r="F3089" t="s">
        <v>3943</v>
      </c>
      <c r="G3089">
        <v>1</v>
      </c>
    </row>
    <row r="3090" spans="1:7" hidden="1" x14ac:dyDescent="0.25">
      <c r="A3090" s="28" t="s">
        <v>5116</v>
      </c>
      <c r="B3090" s="29">
        <v>46934.32</v>
      </c>
      <c r="F3090" t="s">
        <v>5116</v>
      </c>
      <c r="G3090">
        <v>1</v>
      </c>
    </row>
    <row r="3091" spans="1:7" x14ac:dyDescent="0.25">
      <c r="A3091" s="28" t="s">
        <v>1578</v>
      </c>
      <c r="B3091" s="29">
        <v>47689.962549999997</v>
      </c>
      <c r="F3091" t="s">
        <v>1578</v>
      </c>
      <c r="G3091">
        <v>2</v>
      </c>
    </row>
    <row r="3092" spans="1:7" hidden="1" x14ac:dyDescent="0.25">
      <c r="A3092" s="28" t="s">
        <v>4561</v>
      </c>
      <c r="B3092" s="29">
        <v>46934.32</v>
      </c>
      <c r="F3092" t="s">
        <v>4561</v>
      </c>
      <c r="G3092">
        <v>1</v>
      </c>
    </row>
    <row r="3093" spans="1:7" hidden="1" x14ac:dyDescent="0.25">
      <c r="A3093" s="28" t="s">
        <v>4547</v>
      </c>
      <c r="B3093" s="29">
        <v>46934.32</v>
      </c>
      <c r="F3093" t="s">
        <v>4547</v>
      </c>
      <c r="G3093">
        <v>1</v>
      </c>
    </row>
    <row r="3094" spans="1:7" hidden="1" x14ac:dyDescent="0.25">
      <c r="A3094" s="28" t="s">
        <v>4701</v>
      </c>
      <c r="B3094" s="29">
        <v>46934.32</v>
      </c>
      <c r="F3094" t="s">
        <v>4701</v>
      </c>
      <c r="G3094">
        <v>1</v>
      </c>
    </row>
    <row r="3095" spans="1:7" x14ac:dyDescent="0.25">
      <c r="A3095" s="28" t="s">
        <v>1312</v>
      </c>
      <c r="B3095" s="29">
        <v>47689.962549999997</v>
      </c>
      <c r="F3095" t="s">
        <v>1312</v>
      </c>
      <c r="G3095">
        <v>2</v>
      </c>
    </row>
    <row r="3096" spans="1:7" hidden="1" x14ac:dyDescent="0.25">
      <c r="A3096" s="28" t="s">
        <v>3162</v>
      </c>
      <c r="B3096" s="29">
        <v>46934.32</v>
      </c>
      <c r="F3096" t="s">
        <v>3162</v>
      </c>
      <c r="G3096">
        <v>1</v>
      </c>
    </row>
    <row r="3097" spans="1:7" x14ac:dyDescent="0.25">
      <c r="A3097" s="28" t="s">
        <v>327</v>
      </c>
      <c r="B3097" s="29">
        <v>47689.962549999997</v>
      </c>
      <c r="F3097" t="s">
        <v>327</v>
      </c>
      <c r="G3097">
        <v>2</v>
      </c>
    </row>
    <row r="3098" spans="1:7" x14ac:dyDescent="0.25">
      <c r="A3098" s="28" t="s">
        <v>117</v>
      </c>
      <c r="B3098" s="29">
        <v>47689.962549999997</v>
      </c>
      <c r="F3098" t="s">
        <v>117</v>
      </c>
      <c r="G3098">
        <v>2</v>
      </c>
    </row>
    <row r="3099" spans="1:7" x14ac:dyDescent="0.25">
      <c r="A3099" s="28" t="s">
        <v>902</v>
      </c>
      <c r="B3099" s="29">
        <v>47689.962549999997</v>
      </c>
      <c r="F3099" t="s">
        <v>902</v>
      </c>
      <c r="G3099">
        <v>2</v>
      </c>
    </row>
    <row r="3100" spans="1:7" hidden="1" x14ac:dyDescent="0.25">
      <c r="A3100" s="28" t="s">
        <v>4331</v>
      </c>
      <c r="B3100" s="29">
        <v>46934.32</v>
      </c>
      <c r="F3100" t="s">
        <v>4331</v>
      </c>
      <c r="G3100">
        <v>1</v>
      </c>
    </row>
    <row r="3101" spans="1:7" hidden="1" x14ac:dyDescent="0.25">
      <c r="A3101" s="28" t="s">
        <v>4826</v>
      </c>
      <c r="B3101" s="29">
        <v>46934.32</v>
      </c>
      <c r="F3101" t="s">
        <v>4826</v>
      </c>
      <c r="G3101">
        <v>1</v>
      </c>
    </row>
    <row r="3102" spans="1:7" x14ac:dyDescent="0.25">
      <c r="A3102" s="28" t="s">
        <v>672</v>
      </c>
      <c r="B3102" s="29">
        <v>47689.962549999997</v>
      </c>
      <c r="F3102" t="s">
        <v>672</v>
      </c>
      <c r="G3102">
        <v>2</v>
      </c>
    </row>
    <row r="3103" spans="1:7" hidden="1" x14ac:dyDescent="0.25">
      <c r="A3103" s="28" t="s">
        <v>4002</v>
      </c>
      <c r="B3103" s="29">
        <v>46934.32</v>
      </c>
      <c r="F3103" t="s">
        <v>4002</v>
      </c>
      <c r="G3103">
        <v>1</v>
      </c>
    </row>
    <row r="3104" spans="1:7" hidden="1" x14ac:dyDescent="0.25">
      <c r="A3104" s="28" t="s">
        <v>3565</v>
      </c>
      <c r="B3104" s="29">
        <v>46934.32</v>
      </c>
      <c r="F3104" t="s">
        <v>3565</v>
      </c>
      <c r="G3104">
        <v>1</v>
      </c>
    </row>
    <row r="3105" spans="1:7" x14ac:dyDescent="0.25">
      <c r="A3105" s="28" t="s">
        <v>397</v>
      </c>
      <c r="B3105" s="29">
        <v>47689.962549999997</v>
      </c>
      <c r="F3105" t="s">
        <v>397</v>
      </c>
      <c r="G3105">
        <v>2</v>
      </c>
    </row>
    <row r="3106" spans="1:7" x14ac:dyDescent="0.25">
      <c r="A3106" s="28" t="s">
        <v>1584</v>
      </c>
      <c r="B3106" s="29">
        <v>47689.962549999997</v>
      </c>
      <c r="F3106" t="s">
        <v>1584</v>
      </c>
      <c r="G3106">
        <v>2</v>
      </c>
    </row>
    <row r="3107" spans="1:7" x14ac:dyDescent="0.25">
      <c r="A3107" s="28" t="s">
        <v>834</v>
      </c>
      <c r="B3107" s="29">
        <v>47689.962549999997</v>
      </c>
      <c r="F3107" t="s">
        <v>834</v>
      </c>
      <c r="G3107">
        <v>2</v>
      </c>
    </row>
    <row r="3108" spans="1:7" hidden="1" x14ac:dyDescent="0.25">
      <c r="A3108" s="28" t="s">
        <v>2511</v>
      </c>
      <c r="B3108" s="29">
        <v>46934.32</v>
      </c>
      <c r="F3108" t="s">
        <v>2511</v>
      </c>
      <c r="G3108">
        <v>1</v>
      </c>
    </row>
    <row r="3109" spans="1:7" hidden="1" x14ac:dyDescent="0.25">
      <c r="A3109" s="28" t="s">
        <v>4400</v>
      </c>
      <c r="B3109" s="29">
        <v>46934.32</v>
      </c>
      <c r="F3109" t="s">
        <v>4400</v>
      </c>
      <c r="G3109">
        <v>1</v>
      </c>
    </row>
    <row r="3110" spans="1:7" hidden="1" x14ac:dyDescent="0.25">
      <c r="A3110" s="28" t="s">
        <v>3138</v>
      </c>
      <c r="B3110" s="29">
        <v>46934.32</v>
      </c>
      <c r="F3110" t="s">
        <v>3138</v>
      </c>
      <c r="G3110">
        <v>1</v>
      </c>
    </row>
    <row r="3111" spans="1:7" hidden="1" x14ac:dyDescent="0.25">
      <c r="A3111" s="28" t="s">
        <v>2876</v>
      </c>
      <c r="B3111" s="29">
        <v>46934.32</v>
      </c>
      <c r="F3111" t="s">
        <v>2876</v>
      </c>
      <c r="G3111">
        <v>1</v>
      </c>
    </row>
    <row r="3112" spans="1:7" hidden="1" x14ac:dyDescent="0.25">
      <c r="A3112" s="28" t="s">
        <v>4751</v>
      </c>
      <c r="B3112" s="29">
        <v>46934.32</v>
      </c>
      <c r="F3112" t="s">
        <v>4751</v>
      </c>
      <c r="G3112">
        <v>1</v>
      </c>
    </row>
    <row r="3113" spans="1:7" hidden="1" x14ac:dyDescent="0.25">
      <c r="A3113" s="28" t="s">
        <v>2264</v>
      </c>
      <c r="B3113" s="29">
        <v>46934.32</v>
      </c>
      <c r="F3113" t="s">
        <v>2264</v>
      </c>
      <c r="G3113">
        <v>1</v>
      </c>
    </row>
    <row r="3114" spans="1:7" hidden="1" x14ac:dyDescent="0.25">
      <c r="A3114" s="28" t="s">
        <v>2767</v>
      </c>
      <c r="B3114" s="29">
        <v>46934.32</v>
      </c>
      <c r="F3114" t="s">
        <v>2767</v>
      </c>
      <c r="G3114">
        <v>1</v>
      </c>
    </row>
    <row r="3115" spans="1:7" hidden="1" x14ac:dyDescent="0.25">
      <c r="A3115" s="28" t="s">
        <v>2836</v>
      </c>
      <c r="B3115" s="29">
        <v>46934.32</v>
      </c>
      <c r="F3115" t="s">
        <v>2836</v>
      </c>
      <c r="G3115">
        <v>1</v>
      </c>
    </row>
    <row r="3116" spans="1:7" hidden="1" x14ac:dyDescent="0.25">
      <c r="A3116" s="28" t="s">
        <v>3500</v>
      </c>
      <c r="B3116" s="29">
        <v>46934.32</v>
      </c>
      <c r="F3116" t="s">
        <v>3500</v>
      </c>
      <c r="G3116">
        <v>1</v>
      </c>
    </row>
    <row r="3117" spans="1:7" x14ac:dyDescent="0.25">
      <c r="A3117" s="28" t="s">
        <v>1528</v>
      </c>
      <c r="B3117" s="29">
        <v>47689.962549999997</v>
      </c>
      <c r="F3117" t="s">
        <v>1528</v>
      </c>
      <c r="G3117">
        <v>2</v>
      </c>
    </row>
    <row r="3118" spans="1:7" hidden="1" x14ac:dyDescent="0.25">
      <c r="A3118" s="28" t="s">
        <v>3006</v>
      </c>
      <c r="B3118" s="29">
        <v>46934.32</v>
      </c>
      <c r="F3118" t="s">
        <v>3006</v>
      </c>
      <c r="G3118">
        <v>1</v>
      </c>
    </row>
    <row r="3119" spans="1:7" hidden="1" x14ac:dyDescent="0.25">
      <c r="A3119" s="28" t="s">
        <v>4591</v>
      </c>
      <c r="B3119" s="29">
        <v>46934.32</v>
      </c>
      <c r="F3119" t="s">
        <v>4591</v>
      </c>
      <c r="G3119">
        <v>1</v>
      </c>
    </row>
    <row r="3120" spans="1:7" x14ac:dyDescent="0.25">
      <c r="A3120" s="28" t="s">
        <v>1426</v>
      </c>
      <c r="B3120" s="29">
        <v>47689.962549999997</v>
      </c>
      <c r="F3120" t="s">
        <v>1426</v>
      </c>
      <c r="G3120">
        <v>2</v>
      </c>
    </row>
    <row r="3121" spans="1:7" hidden="1" x14ac:dyDescent="0.25">
      <c r="A3121" s="28" t="s">
        <v>4549</v>
      </c>
      <c r="B3121" s="29">
        <v>46934.32</v>
      </c>
      <c r="F3121" t="s">
        <v>4549</v>
      </c>
      <c r="G3121">
        <v>1</v>
      </c>
    </row>
    <row r="3122" spans="1:7" hidden="1" x14ac:dyDescent="0.25">
      <c r="A3122" s="28" t="s">
        <v>3698</v>
      </c>
      <c r="B3122" s="29">
        <v>50700.12</v>
      </c>
      <c r="F3122" t="s">
        <v>3698</v>
      </c>
      <c r="G3122">
        <v>1</v>
      </c>
    </row>
    <row r="3123" spans="1:7" hidden="1" x14ac:dyDescent="0.25">
      <c r="A3123" s="28" t="s">
        <v>2632</v>
      </c>
      <c r="B3123" s="29">
        <v>50700.12</v>
      </c>
      <c r="F3123" t="s">
        <v>2632</v>
      </c>
      <c r="G3123">
        <v>1</v>
      </c>
    </row>
    <row r="3124" spans="1:7" hidden="1" x14ac:dyDescent="0.25">
      <c r="A3124" s="28" t="s">
        <v>3848</v>
      </c>
      <c r="B3124" s="29">
        <v>50700.12</v>
      </c>
      <c r="F3124" t="s">
        <v>3848</v>
      </c>
      <c r="G3124">
        <v>1</v>
      </c>
    </row>
    <row r="3125" spans="1:7" hidden="1" x14ac:dyDescent="0.25">
      <c r="A3125" s="28" t="s">
        <v>4097</v>
      </c>
      <c r="B3125" s="29">
        <v>50700.12</v>
      </c>
      <c r="F3125" t="s">
        <v>4097</v>
      </c>
      <c r="G3125">
        <v>1</v>
      </c>
    </row>
    <row r="3126" spans="1:7" hidden="1" x14ac:dyDescent="0.25">
      <c r="A3126" s="28" t="s">
        <v>3864</v>
      </c>
      <c r="B3126" s="29">
        <v>50700.12</v>
      </c>
      <c r="F3126" t="s">
        <v>3864</v>
      </c>
      <c r="G3126">
        <v>1</v>
      </c>
    </row>
    <row r="3127" spans="1:7" hidden="1" x14ac:dyDescent="0.25">
      <c r="A3127" s="28" t="s">
        <v>4391</v>
      </c>
      <c r="B3127" s="29">
        <v>50700.12</v>
      </c>
      <c r="F3127" t="s">
        <v>4391</v>
      </c>
      <c r="G3127">
        <v>1</v>
      </c>
    </row>
    <row r="3128" spans="1:7" hidden="1" x14ac:dyDescent="0.25">
      <c r="A3128" s="28" t="s">
        <v>4021</v>
      </c>
      <c r="B3128" s="29">
        <v>50700.12</v>
      </c>
      <c r="F3128" t="s">
        <v>4021</v>
      </c>
      <c r="G3128">
        <v>1</v>
      </c>
    </row>
    <row r="3129" spans="1:7" hidden="1" x14ac:dyDescent="0.25">
      <c r="A3129" s="28" t="s">
        <v>4495</v>
      </c>
      <c r="B3129" s="29">
        <v>50700.12</v>
      </c>
      <c r="F3129" t="s">
        <v>4495</v>
      </c>
      <c r="G3129">
        <v>1</v>
      </c>
    </row>
    <row r="3130" spans="1:7" hidden="1" x14ac:dyDescent="0.25">
      <c r="A3130" s="28" t="s">
        <v>3539</v>
      </c>
      <c r="B3130" s="29">
        <v>50700.12</v>
      </c>
      <c r="F3130" t="s">
        <v>3539</v>
      </c>
      <c r="G3130">
        <v>1</v>
      </c>
    </row>
    <row r="3131" spans="1:7" hidden="1" x14ac:dyDescent="0.25">
      <c r="A3131" s="28" t="s">
        <v>2687</v>
      </c>
      <c r="B3131" s="29">
        <v>50700.12</v>
      </c>
      <c r="F3131" t="s">
        <v>2687</v>
      </c>
      <c r="G3131">
        <v>1</v>
      </c>
    </row>
    <row r="3132" spans="1:7" hidden="1" x14ac:dyDescent="0.25">
      <c r="A3132" s="28" t="s">
        <v>3396</v>
      </c>
      <c r="B3132" s="29">
        <v>50700.12</v>
      </c>
      <c r="F3132" t="s">
        <v>3396</v>
      </c>
      <c r="G3132">
        <v>1</v>
      </c>
    </row>
    <row r="3133" spans="1:7" x14ac:dyDescent="0.25">
      <c r="A3133" s="28" t="s">
        <v>93</v>
      </c>
      <c r="B3133" s="29">
        <v>51516.391950000005</v>
      </c>
      <c r="F3133" t="s">
        <v>93</v>
      </c>
      <c r="G3133">
        <v>2</v>
      </c>
    </row>
    <row r="3134" spans="1:7" x14ac:dyDescent="0.25">
      <c r="A3134" s="28" t="s">
        <v>1505</v>
      </c>
      <c r="B3134" s="29">
        <v>51516.391950000005</v>
      </c>
      <c r="F3134" t="s">
        <v>1505</v>
      </c>
      <c r="G3134">
        <v>2</v>
      </c>
    </row>
    <row r="3135" spans="1:7" x14ac:dyDescent="0.25">
      <c r="A3135" s="28" t="s">
        <v>1035</v>
      </c>
      <c r="B3135" s="29">
        <v>51516.391950000005</v>
      </c>
      <c r="F3135" t="s">
        <v>1035</v>
      </c>
      <c r="G3135">
        <v>2</v>
      </c>
    </row>
    <row r="3136" spans="1:7" hidden="1" x14ac:dyDescent="0.25">
      <c r="A3136" s="28" t="s">
        <v>3087</v>
      </c>
      <c r="B3136" s="29">
        <v>50700.12</v>
      </c>
      <c r="F3136" t="s">
        <v>3087</v>
      </c>
      <c r="G3136">
        <v>1</v>
      </c>
    </row>
    <row r="3137" spans="1:7" x14ac:dyDescent="0.25">
      <c r="A3137" s="28" t="s">
        <v>957</v>
      </c>
      <c r="B3137" s="29">
        <v>51516.391950000005</v>
      </c>
      <c r="F3137" t="s">
        <v>957</v>
      </c>
      <c r="G3137">
        <v>2</v>
      </c>
    </row>
    <row r="3138" spans="1:7" x14ac:dyDescent="0.25">
      <c r="A3138" s="28" t="s">
        <v>1459</v>
      </c>
      <c r="B3138" s="29">
        <v>51516.391950000005</v>
      </c>
      <c r="F3138" t="s">
        <v>1459</v>
      </c>
      <c r="G3138">
        <v>2</v>
      </c>
    </row>
    <row r="3139" spans="1:7" x14ac:dyDescent="0.25">
      <c r="A3139" s="28" t="s">
        <v>1002</v>
      </c>
      <c r="B3139" s="29">
        <v>51516.391950000005</v>
      </c>
      <c r="F3139" t="s">
        <v>1002</v>
      </c>
      <c r="G3139">
        <v>2</v>
      </c>
    </row>
    <row r="3140" spans="1:7" hidden="1" x14ac:dyDescent="0.25">
      <c r="A3140" s="28" t="s">
        <v>3879</v>
      </c>
      <c r="B3140" s="29">
        <v>50700.12</v>
      </c>
      <c r="F3140" t="s">
        <v>3879</v>
      </c>
      <c r="G3140">
        <v>1</v>
      </c>
    </row>
    <row r="3141" spans="1:7" hidden="1" x14ac:dyDescent="0.25">
      <c r="A3141" s="28" t="s">
        <v>3271</v>
      </c>
      <c r="B3141" s="29">
        <v>50700.12</v>
      </c>
      <c r="F3141" t="s">
        <v>3271</v>
      </c>
      <c r="G3141">
        <v>1</v>
      </c>
    </row>
    <row r="3142" spans="1:7" x14ac:dyDescent="0.25">
      <c r="A3142" s="28" t="s">
        <v>1517</v>
      </c>
      <c r="B3142" s="29">
        <v>51516.391950000005</v>
      </c>
      <c r="F3142" t="s">
        <v>1517</v>
      </c>
      <c r="G3142">
        <v>2</v>
      </c>
    </row>
    <row r="3143" spans="1:7" hidden="1" x14ac:dyDescent="0.25">
      <c r="A3143" s="28" t="s">
        <v>4109</v>
      </c>
      <c r="B3143" s="29">
        <v>50700.12</v>
      </c>
      <c r="F3143" t="s">
        <v>4109</v>
      </c>
      <c r="G3143">
        <v>1</v>
      </c>
    </row>
    <row r="3144" spans="1:7" hidden="1" x14ac:dyDescent="0.25">
      <c r="A3144" s="28" t="s">
        <v>3537</v>
      </c>
      <c r="B3144" s="29">
        <v>50700.12</v>
      </c>
      <c r="F3144" t="s">
        <v>3537</v>
      </c>
      <c r="G3144">
        <v>1</v>
      </c>
    </row>
    <row r="3145" spans="1:7" x14ac:dyDescent="0.25">
      <c r="A3145" s="28" t="s">
        <v>1429</v>
      </c>
      <c r="B3145" s="29">
        <v>51516.391950000005</v>
      </c>
      <c r="F3145" t="s">
        <v>1429</v>
      </c>
      <c r="G3145">
        <v>2</v>
      </c>
    </row>
    <row r="3146" spans="1:7" hidden="1" x14ac:dyDescent="0.25">
      <c r="A3146" s="28" t="s">
        <v>3767</v>
      </c>
      <c r="B3146" s="29">
        <v>50700.12</v>
      </c>
      <c r="F3146" t="s">
        <v>3767</v>
      </c>
      <c r="G3146">
        <v>1</v>
      </c>
    </row>
    <row r="3147" spans="1:7" hidden="1" x14ac:dyDescent="0.25">
      <c r="A3147" s="28" t="s">
        <v>3887</v>
      </c>
      <c r="B3147" s="29">
        <v>50700.12</v>
      </c>
      <c r="F3147" t="s">
        <v>3887</v>
      </c>
      <c r="G3147">
        <v>1</v>
      </c>
    </row>
    <row r="3148" spans="1:7" hidden="1" x14ac:dyDescent="0.25">
      <c r="A3148" s="28" t="s">
        <v>3511</v>
      </c>
      <c r="B3148" s="29">
        <v>50700.12</v>
      </c>
      <c r="F3148" t="s">
        <v>3511</v>
      </c>
      <c r="G3148">
        <v>1</v>
      </c>
    </row>
    <row r="3149" spans="1:7" x14ac:dyDescent="0.25">
      <c r="A3149" s="28" t="s">
        <v>624</v>
      </c>
      <c r="B3149" s="29">
        <v>51516.391950000005</v>
      </c>
      <c r="F3149" t="s">
        <v>624</v>
      </c>
      <c r="G3149">
        <v>2</v>
      </c>
    </row>
    <row r="3150" spans="1:7" hidden="1" x14ac:dyDescent="0.25">
      <c r="A3150" s="28" t="s">
        <v>3380</v>
      </c>
      <c r="B3150" s="29">
        <v>50700.12</v>
      </c>
      <c r="F3150" t="s">
        <v>3380</v>
      </c>
      <c r="G3150">
        <v>1</v>
      </c>
    </row>
    <row r="3151" spans="1:7" hidden="1" x14ac:dyDescent="0.25">
      <c r="A3151" s="28" t="s">
        <v>3928</v>
      </c>
      <c r="B3151" s="29">
        <v>50700.12</v>
      </c>
      <c r="F3151" t="s">
        <v>3928</v>
      </c>
      <c r="G3151">
        <v>1</v>
      </c>
    </row>
    <row r="3152" spans="1:7" hidden="1" x14ac:dyDescent="0.25">
      <c r="A3152" s="28" t="s">
        <v>3465</v>
      </c>
      <c r="B3152" s="29">
        <v>50700.12</v>
      </c>
      <c r="F3152" t="s">
        <v>3465</v>
      </c>
      <c r="G3152">
        <v>1</v>
      </c>
    </row>
    <row r="3153" spans="1:7" hidden="1" x14ac:dyDescent="0.25">
      <c r="A3153" s="28" t="s">
        <v>4567</v>
      </c>
      <c r="B3153" s="29">
        <v>52788.83</v>
      </c>
      <c r="F3153" t="s">
        <v>4567</v>
      </c>
      <c r="G3153">
        <v>1</v>
      </c>
    </row>
    <row r="3154" spans="1:7" hidden="1" x14ac:dyDescent="0.25">
      <c r="A3154" s="28" t="s">
        <v>4849</v>
      </c>
      <c r="B3154" s="29">
        <v>50700.12</v>
      </c>
      <c r="F3154" t="s">
        <v>4849</v>
      </c>
      <c r="G3154">
        <v>1</v>
      </c>
    </row>
    <row r="3155" spans="1:7" x14ac:dyDescent="0.25">
      <c r="A3155" s="28" t="s">
        <v>400</v>
      </c>
      <c r="B3155" s="29">
        <v>51516.391950000005</v>
      </c>
      <c r="F3155" t="s">
        <v>400</v>
      </c>
      <c r="G3155">
        <v>2</v>
      </c>
    </row>
    <row r="3156" spans="1:7" x14ac:dyDescent="0.25">
      <c r="A3156" s="28" t="s">
        <v>686</v>
      </c>
      <c r="B3156" s="29">
        <v>51516.391950000005</v>
      </c>
      <c r="F3156" t="s">
        <v>686</v>
      </c>
      <c r="G3156">
        <v>2</v>
      </c>
    </row>
    <row r="3157" spans="1:7" x14ac:dyDescent="0.25">
      <c r="A3157" s="28" t="s">
        <v>678</v>
      </c>
      <c r="B3157" s="29">
        <v>50267.970849999998</v>
      </c>
      <c r="F3157" t="s">
        <v>678</v>
      </c>
      <c r="G3157">
        <v>2</v>
      </c>
    </row>
    <row r="3158" spans="1:7" x14ac:dyDescent="0.25">
      <c r="A3158" s="28" t="s">
        <v>956</v>
      </c>
      <c r="B3158" s="29">
        <v>50267.970849999998</v>
      </c>
      <c r="F3158" t="s">
        <v>956</v>
      </c>
      <c r="G3158">
        <v>2</v>
      </c>
    </row>
    <row r="3159" spans="1:7" x14ac:dyDescent="0.25">
      <c r="A3159" s="28" t="s">
        <v>1090</v>
      </c>
      <c r="B3159" s="29">
        <v>50267.970849999998</v>
      </c>
      <c r="F3159" t="s">
        <v>1090</v>
      </c>
      <c r="G3159">
        <v>2</v>
      </c>
    </row>
    <row r="3160" spans="1:7" x14ac:dyDescent="0.25">
      <c r="A3160" s="28" t="s">
        <v>97</v>
      </c>
      <c r="B3160" s="29">
        <v>50267.970849999998</v>
      </c>
      <c r="F3160" t="s">
        <v>97</v>
      </c>
      <c r="G3160">
        <v>2</v>
      </c>
    </row>
    <row r="3161" spans="1:7" x14ac:dyDescent="0.25">
      <c r="A3161" s="28" t="s">
        <v>19</v>
      </c>
      <c r="B3161" s="29">
        <v>50267.970849999998</v>
      </c>
      <c r="F3161" t="s">
        <v>19</v>
      </c>
      <c r="G3161">
        <v>2</v>
      </c>
    </row>
    <row r="3162" spans="1:7" x14ac:dyDescent="0.25">
      <c r="A3162" s="28" t="s">
        <v>44</v>
      </c>
      <c r="B3162" s="29">
        <v>50267.970849999998</v>
      </c>
      <c r="F3162" t="s">
        <v>44</v>
      </c>
      <c r="G3162">
        <v>2</v>
      </c>
    </row>
    <row r="3163" spans="1:7" x14ac:dyDescent="0.25">
      <c r="A3163" s="28" t="s">
        <v>1497</v>
      </c>
      <c r="B3163" s="29">
        <v>50267.970849999998</v>
      </c>
      <c r="F3163" t="s">
        <v>1497</v>
      </c>
      <c r="G3163">
        <v>2</v>
      </c>
    </row>
    <row r="3164" spans="1:7" x14ac:dyDescent="0.25">
      <c r="A3164" s="28" t="s">
        <v>712</v>
      </c>
      <c r="B3164" s="29">
        <v>50267.970849999998</v>
      </c>
      <c r="F3164" t="s">
        <v>712</v>
      </c>
      <c r="G3164">
        <v>2</v>
      </c>
    </row>
    <row r="3165" spans="1:7" x14ac:dyDescent="0.25">
      <c r="A3165" s="28" t="s">
        <v>580</v>
      </c>
      <c r="B3165" s="29">
        <v>50267.970849999998</v>
      </c>
      <c r="F3165" t="s">
        <v>580</v>
      </c>
      <c r="G3165">
        <v>2</v>
      </c>
    </row>
    <row r="3166" spans="1:7" x14ac:dyDescent="0.25">
      <c r="A3166" s="28" t="s">
        <v>459</v>
      </c>
      <c r="B3166" s="29">
        <v>50267.970849999998</v>
      </c>
      <c r="F3166" t="s">
        <v>459</v>
      </c>
      <c r="G3166">
        <v>2</v>
      </c>
    </row>
    <row r="3167" spans="1:7" x14ac:dyDescent="0.25">
      <c r="A3167" s="28" t="s">
        <v>1602</v>
      </c>
      <c r="B3167" s="29">
        <v>50267.970849999998</v>
      </c>
      <c r="F3167" t="s">
        <v>1602</v>
      </c>
      <c r="G3167">
        <v>2</v>
      </c>
    </row>
    <row r="3168" spans="1:7" hidden="1" x14ac:dyDescent="0.25">
      <c r="A3168" s="28" t="s">
        <v>4289</v>
      </c>
      <c r="B3168" s="29">
        <v>49471.48</v>
      </c>
      <c r="F3168" t="s">
        <v>4289</v>
      </c>
      <c r="G3168">
        <v>1</v>
      </c>
    </row>
    <row r="3169" spans="1:7" hidden="1" x14ac:dyDescent="0.25">
      <c r="A3169" s="28" t="s">
        <v>3894</v>
      </c>
      <c r="B3169" s="29">
        <v>49471.48</v>
      </c>
      <c r="F3169" t="s">
        <v>3894</v>
      </c>
      <c r="G3169">
        <v>1</v>
      </c>
    </row>
    <row r="3170" spans="1:7" hidden="1" x14ac:dyDescent="0.25">
      <c r="A3170" s="28" t="s">
        <v>3940</v>
      </c>
      <c r="B3170" s="29">
        <v>49471.48</v>
      </c>
      <c r="F3170" t="s">
        <v>3940</v>
      </c>
      <c r="G3170">
        <v>1</v>
      </c>
    </row>
    <row r="3171" spans="1:7" x14ac:dyDescent="0.25">
      <c r="A3171" s="28" t="s">
        <v>1345</v>
      </c>
      <c r="B3171" s="29">
        <v>50267.970849999998</v>
      </c>
      <c r="F3171" t="s">
        <v>1345</v>
      </c>
      <c r="G3171">
        <v>2</v>
      </c>
    </row>
    <row r="3172" spans="1:7" x14ac:dyDescent="0.25">
      <c r="A3172" s="28" t="s">
        <v>1498</v>
      </c>
      <c r="B3172" s="29">
        <v>50267.970849999998</v>
      </c>
      <c r="F3172" t="s">
        <v>1498</v>
      </c>
      <c r="G3172">
        <v>2</v>
      </c>
    </row>
    <row r="3173" spans="1:7" x14ac:dyDescent="0.25">
      <c r="A3173" s="28" t="s">
        <v>769</v>
      </c>
      <c r="B3173" s="29">
        <v>50267.970849999998</v>
      </c>
      <c r="F3173" t="s">
        <v>769</v>
      </c>
      <c r="G3173">
        <v>2</v>
      </c>
    </row>
    <row r="3174" spans="1:7" hidden="1" x14ac:dyDescent="0.25">
      <c r="A3174" s="28" t="s">
        <v>3444</v>
      </c>
      <c r="B3174" s="29">
        <v>49471.48</v>
      </c>
      <c r="F3174" t="s">
        <v>3444</v>
      </c>
      <c r="G3174">
        <v>1</v>
      </c>
    </row>
    <row r="3175" spans="1:7" hidden="1" x14ac:dyDescent="0.25">
      <c r="A3175" s="28" t="s">
        <v>4008</v>
      </c>
      <c r="B3175" s="29">
        <v>52788.83</v>
      </c>
      <c r="F3175" t="s">
        <v>4008</v>
      </c>
      <c r="G3175">
        <v>1</v>
      </c>
    </row>
    <row r="3176" spans="1:7" hidden="1" x14ac:dyDescent="0.25">
      <c r="A3176" s="28" t="s">
        <v>4499</v>
      </c>
      <c r="B3176" s="29">
        <v>52788.83</v>
      </c>
      <c r="F3176" t="s">
        <v>4499</v>
      </c>
      <c r="G3176">
        <v>1</v>
      </c>
    </row>
    <row r="3177" spans="1:7" x14ac:dyDescent="0.25">
      <c r="A3177" s="28" t="s">
        <v>1402</v>
      </c>
      <c r="B3177" s="29">
        <v>53638.730150000003</v>
      </c>
      <c r="F3177" t="s">
        <v>1402</v>
      </c>
      <c r="G3177">
        <v>2</v>
      </c>
    </row>
    <row r="3178" spans="1:7" hidden="1" x14ac:dyDescent="0.25">
      <c r="A3178" s="28" t="s">
        <v>4321</v>
      </c>
      <c r="B3178" s="29">
        <v>52788.83</v>
      </c>
      <c r="F3178" t="s">
        <v>4321</v>
      </c>
      <c r="G3178">
        <v>1</v>
      </c>
    </row>
    <row r="3179" spans="1:7" hidden="1" x14ac:dyDescent="0.25">
      <c r="A3179" s="28" t="s">
        <v>4253</v>
      </c>
      <c r="B3179" s="29">
        <v>52788.83</v>
      </c>
      <c r="F3179" t="s">
        <v>4253</v>
      </c>
      <c r="G3179">
        <v>1</v>
      </c>
    </row>
    <row r="3180" spans="1:7" hidden="1" x14ac:dyDescent="0.25">
      <c r="A3180" s="28" t="s">
        <v>3112</v>
      </c>
      <c r="B3180" s="29">
        <v>52788.83</v>
      </c>
      <c r="F3180" t="s">
        <v>3112</v>
      </c>
      <c r="G3180">
        <v>1</v>
      </c>
    </row>
    <row r="3181" spans="1:7" hidden="1" x14ac:dyDescent="0.25">
      <c r="A3181" s="28" t="s">
        <v>2974</v>
      </c>
      <c r="B3181" s="29">
        <v>52788.83</v>
      </c>
      <c r="F3181" t="s">
        <v>2974</v>
      </c>
      <c r="G3181">
        <v>1</v>
      </c>
    </row>
    <row r="3182" spans="1:7" hidden="1" x14ac:dyDescent="0.25">
      <c r="A3182" s="28" t="s">
        <v>4570</v>
      </c>
      <c r="B3182" s="29">
        <v>52788.83</v>
      </c>
      <c r="F3182" t="s">
        <v>4570</v>
      </c>
      <c r="G3182">
        <v>1</v>
      </c>
    </row>
    <row r="3183" spans="1:7" hidden="1" x14ac:dyDescent="0.25">
      <c r="A3183" s="28" t="s">
        <v>4438</v>
      </c>
      <c r="B3183" s="29">
        <v>52788.83</v>
      </c>
      <c r="F3183" t="s">
        <v>4438</v>
      </c>
      <c r="G3183">
        <v>1</v>
      </c>
    </row>
    <row r="3184" spans="1:7" hidden="1" x14ac:dyDescent="0.25">
      <c r="A3184" s="28" t="s">
        <v>3861</v>
      </c>
      <c r="B3184" s="29">
        <v>49471.48</v>
      </c>
      <c r="F3184" t="s">
        <v>3861</v>
      </c>
      <c r="G3184">
        <v>1</v>
      </c>
    </row>
    <row r="3185" spans="1:7" hidden="1" x14ac:dyDescent="0.25">
      <c r="A3185" s="28" t="s">
        <v>4316</v>
      </c>
      <c r="B3185" s="29">
        <v>52788.83</v>
      </c>
      <c r="F3185" t="s">
        <v>4316</v>
      </c>
      <c r="G3185">
        <v>1</v>
      </c>
    </row>
    <row r="3186" spans="1:7" hidden="1" x14ac:dyDescent="0.25">
      <c r="A3186" s="28" t="s">
        <v>3702</v>
      </c>
      <c r="B3186" s="29">
        <v>49870.79</v>
      </c>
      <c r="F3186" t="s">
        <v>3702</v>
      </c>
      <c r="G3186">
        <v>1</v>
      </c>
    </row>
    <row r="3187" spans="1:7" hidden="1" x14ac:dyDescent="0.25">
      <c r="A3187" s="28" t="s">
        <v>3631</v>
      </c>
      <c r="B3187" s="29">
        <v>49870.79</v>
      </c>
      <c r="F3187" t="s">
        <v>3631</v>
      </c>
      <c r="G3187">
        <v>1</v>
      </c>
    </row>
    <row r="3188" spans="1:7" hidden="1" x14ac:dyDescent="0.25">
      <c r="A3188" s="28" t="s">
        <v>4640</v>
      </c>
      <c r="B3188" s="29">
        <v>49870.79</v>
      </c>
      <c r="F3188" t="s">
        <v>4640</v>
      </c>
      <c r="G3188">
        <v>1</v>
      </c>
    </row>
    <row r="3189" spans="1:7" x14ac:dyDescent="0.25">
      <c r="A3189" s="28" t="s">
        <v>246</v>
      </c>
      <c r="B3189" s="29">
        <v>50673.709699999999</v>
      </c>
      <c r="F3189" t="s">
        <v>246</v>
      </c>
      <c r="G3189">
        <v>2</v>
      </c>
    </row>
    <row r="3190" spans="1:7" hidden="1" x14ac:dyDescent="0.25">
      <c r="A3190" s="28" t="s">
        <v>4487</v>
      </c>
      <c r="B3190" s="29">
        <v>54373.78</v>
      </c>
      <c r="F3190" t="s">
        <v>4487</v>
      </c>
      <c r="G3190">
        <v>1</v>
      </c>
    </row>
    <row r="3191" spans="1:7" hidden="1" x14ac:dyDescent="0.25">
      <c r="A3191" s="28" t="s">
        <v>3071</v>
      </c>
      <c r="B3191" s="29">
        <v>49870.79</v>
      </c>
      <c r="F3191" t="s">
        <v>3071</v>
      </c>
      <c r="G3191">
        <v>1</v>
      </c>
    </row>
    <row r="3192" spans="1:7" hidden="1" x14ac:dyDescent="0.25">
      <c r="A3192" s="28" t="s">
        <v>4068</v>
      </c>
      <c r="B3192" s="29">
        <v>49870.79</v>
      </c>
      <c r="F3192" t="s">
        <v>4068</v>
      </c>
      <c r="G3192">
        <v>1</v>
      </c>
    </row>
    <row r="3193" spans="1:7" hidden="1" x14ac:dyDescent="0.25">
      <c r="A3193" s="28" t="s">
        <v>4012</v>
      </c>
      <c r="B3193" s="29">
        <v>49870.79</v>
      </c>
      <c r="F3193" t="s">
        <v>4012</v>
      </c>
      <c r="G3193">
        <v>1</v>
      </c>
    </row>
    <row r="3194" spans="1:7" hidden="1" x14ac:dyDescent="0.25">
      <c r="A3194" s="28" t="s">
        <v>3265</v>
      </c>
      <c r="B3194" s="29">
        <v>49870.79</v>
      </c>
      <c r="F3194" t="s">
        <v>3265</v>
      </c>
      <c r="G3194">
        <v>1</v>
      </c>
    </row>
    <row r="3195" spans="1:7" hidden="1" x14ac:dyDescent="0.25">
      <c r="A3195" s="28" t="s">
        <v>3641</v>
      </c>
      <c r="B3195" s="29">
        <v>49870.79</v>
      </c>
      <c r="F3195" t="s">
        <v>3641</v>
      </c>
      <c r="G3195">
        <v>1</v>
      </c>
    </row>
    <row r="3196" spans="1:7" hidden="1" x14ac:dyDescent="0.25">
      <c r="A3196" s="28" t="s">
        <v>3268</v>
      </c>
      <c r="B3196" s="29">
        <v>49870.79</v>
      </c>
      <c r="F3196" t="s">
        <v>3268</v>
      </c>
      <c r="G3196">
        <v>1</v>
      </c>
    </row>
    <row r="3197" spans="1:7" hidden="1" x14ac:dyDescent="0.25">
      <c r="A3197" s="28" t="s">
        <v>4159</v>
      </c>
      <c r="B3197" s="29">
        <v>49870.79</v>
      </c>
      <c r="F3197" t="s">
        <v>4159</v>
      </c>
      <c r="G3197">
        <v>1</v>
      </c>
    </row>
    <row r="3198" spans="1:7" hidden="1" x14ac:dyDescent="0.25">
      <c r="A3198" s="28" t="s">
        <v>3269</v>
      </c>
      <c r="B3198" s="29">
        <v>49870.79</v>
      </c>
      <c r="F3198" t="s">
        <v>3269</v>
      </c>
      <c r="G3198">
        <v>1</v>
      </c>
    </row>
    <row r="3199" spans="1:7" hidden="1" x14ac:dyDescent="0.25">
      <c r="A3199" s="28" t="s">
        <v>2941</v>
      </c>
      <c r="B3199" s="29">
        <v>49870.79</v>
      </c>
      <c r="F3199" t="s">
        <v>2941</v>
      </c>
      <c r="G3199">
        <v>1</v>
      </c>
    </row>
    <row r="3200" spans="1:7" hidden="1" x14ac:dyDescent="0.25">
      <c r="A3200" s="28" t="s">
        <v>3481</v>
      </c>
      <c r="B3200" s="29">
        <v>49870.79</v>
      </c>
      <c r="F3200" t="s">
        <v>3481</v>
      </c>
      <c r="G3200">
        <v>1</v>
      </c>
    </row>
    <row r="3201" spans="1:7" hidden="1" x14ac:dyDescent="0.25">
      <c r="A3201" s="28" t="s">
        <v>2993</v>
      </c>
      <c r="B3201" s="29">
        <v>49870.79</v>
      </c>
      <c r="F3201" t="s">
        <v>2993</v>
      </c>
      <c r="G3201">
        <v>1</v>
      </c>
    </row>
    <row r="3202" spans="1:7" hidden="1" x14ac:dyDescent="0.25">
      <c r="A3202" s="28" t="s">
        <v>4144</v>
      </c>
      <c r="B3202" s="29">
        <v>49870.79</v>
      </c>
      <c r="F3202" t="s">
        <v>4144</v>
      </c>
      <c r="G3202">
        <v>1</v>
      </c>
    </row>
    <row r="3203" spans="1:7" x14ac:dyDescent="0.25">
      <c r="A3203" s="28" t="s">
        <v>1446</v>
      </c>
      <c r="B3203" s="29">
        <v>50673.709699999999</v>
      </c>
      <c r="F3203" t="s">
        <v>1446</v>
      </c>
      <c r="G3203">
        <v>2</v>
      </c>
    </row>
    <row r="3204" spans="1:7" hidden="1" x14ac:dyDescent="0.25">
      <c r="A3204" s="28" t="s">
        <v>3072</v>
      </c>
      <c r="B3204" s="29">
        <v>49870.79</v>
      </c>
      <c r="F3204" t="s">
        <v>3072</v>
      </c>
      <c r="G3204">
        <v>1</v>
      </c>
    </row>
    <row r="3205" spans="1:7" hidden="1" x14ac:dyDescent="0.25">
      <c r="A3205" s="28" t="s">
        <v>2631</v>
      </c>
      <c r="B3205" s="29">
        <v>49870.79</v>
      </c>
      <c r="F3205" t="s">
        <v>2631</v>
      </c>
      <c r="G3205">
        <v>1</v>
      </c>
    </row>
    <row r="3206" spans="1:7" hidden="1" x14ac:dyDescent="0.25">
      <c r="A3206" s="28" t="s">
        <v>2346</v>
      </c>
      <c r="B3206" s="29">
        <v>49870.79</v>
      </c>
      <c r="F3206" t="s">
        <v>2346</v>
      </c>
      <c r="G3206">
        <v>1</v>
      </c>
    </row>
    <row r="3207" spans="1:7" hidden="1" x14ac:dyDescent="0.25">
      <c r="A3207" s="28" t="s">
        <v>4569</v>
      </c>
      <c r="B3207" s="29">
        <v>49870.79</v>
      </c>
      <c r="F3207" t="s">
        <v>4569</v>
      </c>
      <c r="G3207">
        <v>1</v>
      </c>
    </row>
    <row r="3208" spans="1:7" hidden="1" x14ac:dyDescent="0.25">
      <c r="A3208" s="28" t="s">
        <v>2963</v>
      </c>
      <c r="B3208" s="29">
        <v>48150.68</v>
      </c>
      <c r="F3208" t="s">
        <v>2963</v>
      </c>
      <c r="G3208">
        <v>1</v>
      </c>
    </row>
    <row r="3209" spans="1:7" hidden="1" x14ac:dyDescent="0.25">
      <c r="A3209" s="28" t="s">
        <v>3904</v>
      </c>
      <c r="B3209" s="29">
        <v>48150.68</v>
      </c>
      <c r="F3209" t="s">
        <v>3904</v>
      </c>
      <c r="G3209">
        <v>1</v>
      </c>
    </row>
    <row r="3210" spans="1:7" hidden="1" x14ac:dyDescent="0.25">
      <c r="A3210" s="28" t="s">
        <v>2819</v>
      </c>
      <c r="B3210" s="29">
        <v>48150.68</v>
      </c>
      <c r="F3210" t="s">
        <v>2819</v>
      </c>
      <c r="G3210">
        <v>1</v>
      </c>
    </row>
    <row r="3211" spans="1:7" hidden="1" x14ac:dyDescent="0.25">
      <c r="A3211" s="28" t="s">
        <v>3526</v>
      </c>
      <c r="B3211" s="29">
        <v>48150.68</v>
      </c>
      <c r="F3211" t="s">
        <v>3526</v>
      </c>
      <c r="G3211">
        <v>1</v>
      </c>
    </row>
    <row r="3212" spans="1:7" hidden="1" x14ac:dyDescent="0.25">
      <c r="A3212" s="28" t="s">
        <v>4596</v>
      </c>
      <c r="B3212" s="29">
        <v>49870.79</v>
      </c>
      <c r="F3212" t="s">
        <v>4596</v>
      </c>
      <c r="G3212">
        <v>1</v>
      </c>
    </row>
    <row r="3213" spans="1:7" hidden="1" x14ac:dyDescent="0.25">
      <c r="A3213" s="28" t="s">
        <v>4865</v>
      </c>
      <c r="B3213" s="29">
        <v>54373.78</v>
      </c>
      <c r="F3213" t="s">
        <v>4865</v>
      </c>
      <c r="G3213">
        <v>1</v>
      </c>
    </row>
    <row r="3214" spans="1:7" x14ac:dyDescent="0.25">
      <c r="A3214" s="28" t="s">
        <v>1026</v>
      </c>
      <c r="B3214" s="29">
        <v>50673.709699999999</v>
      </c>
      <c r="F3214" t="s">
        <v>1026</v>
      </c>
      <c r="G3214">
        <v>2</v>
      </c>
    </row>
    <row r="3215" spans="1:7" x14ac:dyDescent="0.25">
      <c r="A3215" s="28" t="s">
        <v>1237</v>
      </c>
      <c r="B3215" s="29">
        <v>50673.709699999999</v>
      </c>
      <c r="F3215" t="s">
        <v>1237</v>
      </c>
      <c r="G3215">
        <v>2</v>
      </c>
    </row>
    <row r="3216" spans="1:7" x14ac:dyDescent="0.25">
      <c r="A3216" s="28" t="s">
        <v>1088</v>
      </c>
      <c r="B3216" s="29">
        <v>50673.709699999999</v>
      </c>
      <c r="F3216" t="s">
        <v>1088</v>
      </c>
      <c r="G3216">
        <v>2</v>
      </c>
    </row>
    <row r="3217" spans="1:7" hidden="1" x14ac:dyDescent="0.25">
      <c r="A3217" s="28" t="s">
        <v>3073</v>
      </c>
      <c r="B3217" s="29">
        <v>49870.79</v>
      </c>
      <c r="F3217" t="s">
        <v>3073</v>
      </c>
      <c r="G3217">
        <v>1</v>
      </c>
    </row>
    <row r="3218" spans="1:7" x14ac:dyDescent="0.25">
      <c r="A3218" s="28" t="s">
        <v>1091</v>
      </c>
      <c r="B3218" s="29">
        <v>50673.709699999999</v>
      </c>
      <c r="F3218" t="s">
        <v>1091</v>
      </c>
      <c r="G3218">
        <v>2</v>
      </c>
    </row>
    <row r="3219" spans="1:7" hidden="1" x14ac:dyDescent="0.25">
      <c r="A3219" s="28" t="s">
        <v>4746</v>
      </c>
      <c r="B3219" s="29">
        <v>49870.79</v>
      </c>
      <c r="F3219" t="s">
        <v>4746</v>
      </c>
      <c r="G3219">
        <v>1</v>
      </c>
    </row>
    <row r="3220" spans="1:7" hidden="1" x14ac:dyDescent="0.25">
      <c r="A3220" s="28" t="s">
        <v>4440</v>
      </c>
      <c r="B3220" s="29">
        <v>49870.79</v>
      </c>
      <c r="F3220" t="s">
        <v>4440</v>
      </c>
      <c r="G3220">
        <v>1</v>
      </c>
    </row>
    <row r="3221" spans="1:7" hidden="1" x14ac:dyDescent="0.25">
      <c r="A3221" s="28" t="s">
        <v>4589</v>
      </c>
      <c r="B3221" s="29">
        <v>54373.78</v>
      </c>
      <c r="F3221" t="s">
        <v>4589</v>
      </c>
      <c r="G3221">
        <v>1</v>
      </c>
    </row>
    <row r="3222" spans="1:7" hidden="1" x14ac:dyDescent="0.25">
      <c r="A3222" s="28" t="s">
        <v>5104</v>
      </c>
      <c r="B3222" s="29">
        <v>46934.32</v>
      </c>
      <c r="F3222" t="s">
        <v>5104</v>
      </c>
      <c r="G3222">
        <v>1</v>
      </c>
    </row>
    <row r="3223" spans="1:7" hidden="1" x14ac:dyDescent="0.25">
      <c r="A3223" s="28" t="s">
        <v>2884</v>
      </c>
      <c r="B3223" s="29">
        <v>46934.32</v>
      </c>
      <c r="F3223" t="s">
        <v>2884</v>
      </c>
      <c r="G3223">
        <v>1</v>
      </c>
    </row>
    <row r="3224" spans="1:7" hidden="1" x14ac:dyDescent="0.25">
      <c r="A3224" s="28" t="s">
        <v>3944</v>
      </c>
      <c r="B3224" s="29">
        <v>52788.83</v>
      </c>
      <c r="F3224" t="s">
        <v>3944</v>
      </c>
      <c r="G3224">
        <v>1</v>
      </c>
    </row>
    <row r="3225" spans="1:7" hidden="1" x14ac:dyDescent="0.25">
      <c r="A3225" s="28" t="s">
        <v>3729</v>
      </c>
      <c r="B3225" s="29">
        <v>48150.68</v>
      </c>
      <c r="F3225" t="s">
        <v>3729</v>
      </c>
      <c r="G3225">
        <v>1</v>
      </c>
    </row>
    <row r="3226" spans="1:7" hidden="1" x14ac:dyDescent="0.25">
      <c r="A3226" s="28" t="s">
        <v>4173</v>
      </c>
      <c r="B3226" s="29">
        <v>52788.83</v>
      </c>
      <c r="F3226" t="s">
        <v>4173</v>
      </c>
      <c r="G3226">
        <v>1</v>
      </c>
    </row>
    <row r="3227" spans="1:7" hidden="1" x14ac:dyDescent="0.25">
      <c r="A3227" s="28" t="s">
        <v>3453</v>
      </c>
      <c r="B3227" s="29">
        <v>48150.68</v>
      </c>
      <c r="F3227" t="s">
        <v>3453</v>
      </c>
      <c r="G3227">
        <v>1</v>
      </c>
    </row>
    <row r="3228" spans="1:7" x14ac:dyDescent="0.25">
      <c r="A3228" s="28" t="s">
        <v>1282</v>
      </c>
      <c r="B3228" s="29">
        <v>53638.730150000003</v>
      </c>
      <c r="F3228" t="s">
        <v>1282</v>
      </c>
      <c r="G3228">
        <v>2</v>
      </c>
    </row>
    <row r="3229" spans="1:7" hidden="1" x14ac:dyDescent="0.25">
      <c r="A3229" s="28" t="s">
        <v>3734</v>
      </c>
      <c r="B3229" s="29">
        <v>48150.68</v>
      </c>
      <c r="F3229" t="s">
        <v>3734</v>
      </c>
      <c r="G3229">
        <v>1</v>
      </c>
    </row>
    <row r="3230" spans="1:7" hidden="1" x14ac:dyDescent="0.25">
      <c r="A3230" s="28" t="s">
        <v>3659</v>
      </c>
      <c r="B3230" s="29">
        <v>48150.68</v>
      </c>
      <c r="F3230" t="s">
        <v>3659</v>
      </c>
      <c r="G3230">
        <v>1</v>
      </c>
    </row>
    <row r="3231" spans="1:7" hidden="1" x14ac:dyDescent="0.25">
      <c r="A3231" s="28" t="s">
        <v>4474</v>
      </c>
      <c r="B3231" s="29">
        <v>48150.68</v>
      </c>
      <c r="F3231" t="s">
        <v>4474</v>
      </c>
      <c r="G3231">
        <v>1</v>
      </c>
    </row>
    <row r="3232" spans="1:7" x14ac:dyDescent="0.25">
      <c r="A3232" s="28" t="s">
        <v>1570</v>
      </c>
      <c r="B3232" s="29">
        <v>48925.90595</v>
      </c>
      <c r="F3232" t="s">
        <v>1570</v>
      </c>
      <c r="G3232">
        <v>2</v>
      </c>
    </row>
    <row r="3233" spans="1:7" hidden="1" x14ac:dyDescent="0.25">
      <c r="A3233" s="28" t="s">
        <v>4073</v>
      </c>
      <c r="B3233" s="29">
        <v>48150.68</v>
      </c>
      <c r="F3233" t="s">
        <v>4073</v>
      </c>
      <c r="G3233">
        <v>1</v>
      </c>
    </row>
    <row r="3234" spans="1:7" hidden="1" x14ac:dyDescent="0.25">
      <c r="A3234" s="28" t="s">
        <v>4096</v>
      </c>
      <c r="B3234" s="29">
        <v>48150.68</v>
      </c>
      <c r="F3234" t="s">
        <v>4096</v>
      </c>
      <c r="G3234">
        <v>1</v>
      </c>
    </row>
    <row r="3235" spans="1:7" hidden="1" x14ac:dyDescent="0.25">
      <c r="A3235" s="28" t="s">
        <v>3948</v>
      </c>
      <c r="B3235" s="29">
        <v>48150.68</v>
      </c>
      <c r="F3235" t="s">
        <v>3948</v>
      </c>
      <c r="G3235">
        <v>1</v>
      </c>
    </row>
    <row r="3236" spans="1:7" hidden="1" x14ac:dyDescent="0.25">
      <c r="A3236" s="28" t="s">
        <v>2602</v>
      </c>
      <c r="B3236" s="29">
        <v>48150.68</v>
      </c>
      <c r="F3236" t="s">
        <v>2602</v>
      </c>
      <c r="G3236">
        <v>1</v>
      </c>
    </row>
    <row r="3237" spans="1:7" hidden="1" x14ac:dyDescent="0.25">
      <c r="A3237" s="28" t="s">
        <v>2756</v>
      </c>
      <c r="B3237" s="29">
        <v>48150.68</v>
      </c>
      <c r="F3237" t="s">
        <v>2756</v>
      </c>
      <c r="G3237">
        <v>1</v>
      </c>
    </row>
    <row r="3238" spans="1:7" x14ac:dyDescent="0.25">
      <c r="A3238" s="28" t="s">
        <v>953</v>
      </c>
      <c r="B3238" s="29">
        <v>48925.90595</v>
      </c>
      <c r="F3238" t="s">
        <v>953</v>
      </c>
      <c r="G3238">
        <v>2</v>
      </c>
    </row>
    <row r="3239" spans="1:7" x14ac:dyDescent="0.25">
      <c r="A3239" s="28" t="s">
        <v>973</v>
      </c>
      <c r="B3239" s="29">
        <v>48925.90595</v>
      </c>
      <c r="F3239" t="s">
        <v>973</v>
      </c>
      <c r="G3239">
        <v>2</v>
      </c>
    </row>
    <row r="3240" spans="1:7" hidden="1" x14ac:dyDescent="0.25">
      <c r="A3240" s="28" t="s">
        <v>3818</v>
      </c>
      <c r="B3240" s="29">
        <v>48150.68</v>
      </c>
      <c r="F3240" t="s">
        <v>3818</v>
      </c>
      <c r="G3240">
        <v>1</v>
      </c>
    </row>
    <row r="3241" spans="1:7" hidden="1" x14ac:dyDescent="0.25">
      <c r="A3241" s="28" t="s">
        <v>2964</v>
      </c>
      <c r="B3241" s="29">
        <v>48150.68</v>
      </c>
      <c r="F3241" t="s">
        <v>2964</v>
      </c>
      <c r="G3241">
        <v>1</v>
      </c>
    </row>
    <row r="3242" spans="1:7" x14ac:dyDescent="0.25">
      <c r="A3242" s="28" t="s">
        <v>1258</v>
      </c>
      <c r="B3242" s="29">
        <v>48925.90595</v>
      </c>
      <c r="F3242" t="s">
        <v>1258</v>
      </c>
      <c r="G3242">
        <v>2</v>
      </c>
    </row>
    <row r="3243" spans="1:7" x14ac:dyDescent="0.25">
      <c r="A3243" s="28" t="s">
        <v>1157</v>
      </c>
      <c r="B3243" s="29">
        <v>48925.90595</v>
      </c>
      <c r="F3243" t="s">
        <v>1157</v>
      </c>
      <c r="G3243">
        <v>2</v>
      </c>
    </row>
    <row r="3244" spans="1:7" hidden="1" x14ac:dyDescent="0.25">
      <c r="A3244" s="28" t="s">
        <v>3258</v>
      </c>
      <c r="B3244" s="29">
        <v>48150.68</v>
      </c>
      <c r="F3244" t="s">
        <v>3258</v>
      </c>
      <c r="G3244">
        <v>1</v>
      </c>
    </row>
    <row r="3245" spans="1:7" hidden="1" x14ac:dyDescent="0.25">
      <c r="A3245" s="28" t="s">
        <v>2499</v>
      </c>
      <c r="B3245" s="29">
        <v>48150.68</v>
      </c>
      <c r="F3245" t="s">
        <v>2499</v>
      </c>
      <c r="G3245">
        <v>1</v>
      </c>
    </row>
    <row r="3246" spans="1:7" hidden="1" x14ac:dyDescent="0.25">
      <c r="A3246" s="28" t="s">
        <v>3153</v>
      </c>
      <c r="B3246" s="29">
        <v>48150.68</v>
      </c>
      <c r="F3246" t="s">
        <v>3153</v>
      </c>
      <c r="G3246">
        <v>1</v>
      </c>
    </row>
    <row r="3247" spans="1:7" hidden="1" x14ac:dyDescent="0.25">
      <c r="A3247" s="28" t="s">
        <v>4410</v>
      </c>
      <c r="B3247" s="29">
        <v>48150.68</v>
      </c>
      <c r="F3247" t="s">
        <v>4410</v>
      </c>
      <c r="G3247">
        <v>1</v>
      </c>
    </row>
    <row r="3248" spans="1:7" x14ac:dyDescent="0.25">
      <c r="A3248" s="28" t="s">
        <v>1210</v>
      </c>
      <c r="B3248" s="29">
        <v>48925.90595</v>
      </c>
      <c r="F3248" t="s">
        <v>1210</v>
      </c>
      <c r="G3248">
        <v>2</v>
      </c>
    </row>
    <row r="3249" spans="1:7" hidden="1" x14ac:dyDescent="0.25">
      <c r="A3249" s="28" t="s">
        <v>2949</v>
      </c>
      <c r="B3249" s="29">
        <v>48150.68</v>
      </c>
      <c r="F3249" t="s">
        <v>2949</v>
      </c>
      <c r="G3249">
        <v>1</v>
      </c>
    </row>
    <row r="3250" spans="1:7" hidden="1" x14ac:dyDescent="0.25">
      <c r="A3250" s="28" t="s">
        <v>4016</v>
      </c>
      <c r="B3250" s="29">
        <v>48150.68</v>
      </c>
      <c r="F3250" t="s">
        <v>4016</v>
      </c>
      <c r="G3250">
        <v>1</v>
      </c>
    </row>
    <row r="3251" spans="1:7" x14ac:dyDescent="0.25">
      <c r="A3251" s="28" t="s">
        <v>1182</v>
      </c>
      <c r="B3251" s="29">
        <v>48925.90595</v>
      </c>
      <c r="F3251" t="s">
        <v>1182</v>
      </c>
      <c r="G3251">
        <v>2</v>
      </c>
    </row>
    <row r="3252" spans="1:7" hidden="1" x14ac:dyDescent="0.25">
      <c r="A3252" s="28" t="s">
        <v>3550</v>
      </c>
      <c r="B3252" s="29">
        <v>48150.68</v>
      </c>
      <c r="F3252" t="s">
        <v>3550</v>
      </c>
      <c r="G3252">
        <v>1</v>
      </c>
    </row>
    <row r="3253" spans="1:7" x14ac:dyDescent="0.25">
      <c r="A3253" s="28" t="s">
        <v>1273</v>
      </c>
      <c r="B3253" s="29">
        <v>48925.90595</v>
      </c>
      <c r="F3253" t="s">
        <v>1273</v>
      </c>
      <c r="G3253">
        <v>2</v>
      </c>
    </row>
    <row r="3254" spans="1:7" x14ac:dyDescent="0.25">
      <c r="A3254" s="28" t="s">
        <v>1412</v>
      </c>
      <c r="B3254" s="29">
        <v>48925.90595</v>
      </c>
      <c r="F3254" t="s">
        <v>1412</v>
      </c>
      <c r="G3254">
        <v>2</v>
      </c>
    </row>
    <row r="3255" spans="1:7" hidden="1" x14ac:dyDescent="0.25">
      <c r="A3255" s="28" t="s">
        <v>2942</v>
      </c>
      <c r="B3255" s="29">
        <v>48150.68</v>
      </c>
      <c r="F3255" t="s">
        <v>2942</v>
      </c>
      <c r="G3255">
        <v>1</v>
      </c>
    </row>
    <row r="3256" spans="1:7" hidden="1" x14ac:dyDescent="0.25">
      <c r="A3256" s="28" t="s">
        <v>4448</v>
      </c>
      <c r="B3256" s="29">
        <v>52788.83</v>
      </c>
      <c r="F3256" t="s">
        <v>4448</v>
      </c>
      <c r="G3256">
        <v>1</v>
      </c>
    </row>
    <row r="3257" spans="1:7" hidden="1" x14ac:dyDescent="0.25">
      <c r="A3257" s="28" t="s">
        <v>4278</v>
      </c>
      <c r="B3257" s="29">
        <v>48150.68</v>
      </c>
      <c r="F3257" t="s">
        <v>4278</v>
      </c>
      <c r="G3257">
        <v>1</v>
      </c>
    </row>
    <row r="3258" spans="1:7" hidden="1" x14ac:dyDescent="0.25">
      <c r="A3258" s="28" t="s">
        <v>3057</v>
      </c>
      <c r="B3258" s="29">
        <v>48150.68</v>
      </c>
      <c r="F3258" t="s">
        <v>3057</v>
      </c>
      <c r="G3258">
        <v>1</v>
      </c>
    </row>
    <row r="3259" spans="1:7" hidden="1" x14ac:dyDescent="0.25">
      <c r="A3259" s="28" t="s">
        <v>3008</v>
      </c>
      <c r="B3259" s="29">
        <v>48150.68</v>
      </c>
      <c r="F3259" t="s">
        <v>3008</v>
      </c>
      <c r="G3259">
        <v>1</v>
      </c>
    </row>
    <row r="3260" spans="1:7" hidden="1" x14ac:dyDescent="0.25">
      <c r="A3260" s="28" t="s">
        <v>2950</v>
      </c>
      <c r="B3260" s="29">
        <v>48150.68</v>
      </c>
      <c r="F3260" t="s">
        <v>2950</v>
      </c>
      <c r="G3260">
        <v>1</v>
      </c>
    </row>
    <row r="3261" spans="1:7" hidden="1" x14ac:dyDescent="0.25">
      <c r="A3261" s="28" t="s">
        <v>2800</v>
      </c>
      <c r="B3261" s="29">
        <v>48150.68</v>
      </c>
      <c r="F3261" t="s">
        <v>2800</v>
      </c>
      <c r="G3261">
        <v>1</v>
      </c>
    </row>
    <row r="3262" spans="1:7" hidden="1" x14ac:dyDescent="0.25">
      <c r="A3262" s="28" t="s">
        <v>2635</v>
      </c>
      <c r="B3262" s="29">
        <v>48150.68</v>
      </c>
      <c r="F3262" t="s">
        <v>2635</v>
      </c>
      <c r="G3262">
        <v>1</v>
      </c>
    </row>
    <row r="3263" spans="1:7" x14ac:dyDescent="0.25">
      <c r="A3263" s="28" t="s">
        <v>1277</v>
      </c>
      <c r="B3263" s="29">
        <v>48925.90595</v>
      </c>
      <c r="F3263" t="s">
        <v>1277</v>
      </c>
      <c r="G3263">
        <v>2</v>
      </c>
    </row>
    <row r="3264" spans="1:7" hidden="1" x14ac:dyDescent="0.25">
      <c r="A3264" s="28" t="s">
        <v>3618</v>
      </c>
      <c r="B3264" s="29">
        <v>48150.68</v>
      </c>
      <c r="F3264" t="s">
        <v>3618</v>
      </c>
      <c r="G3264">
        <v>1</v>
      </c>
    </row>
    <row r="3265" spans="1:7" hidden="1" x14ac:dyDescent="0.25">
      <c r="A3265" s="28" t="s">
        <v>4176</v>
      </c>
      <c r="B3265" s="29">
        <v>48150.68</v>
      </c>
      <c r="F3265" t="s">
        <v>4176</v>
      </c>
      <c r="G3265">
        <v>1</v>
      </c>
    </row>
    <row r="3266" spans="1:7" hidden="1" x14ac:dyDescent="0.25">
      <c r="A3266" s="28" t="s">
        <v>4145</v>
      </c>
      <c r="B3266" s="29">
        <v>48150.68</v>
      </c>
      <c r="F3266" t="s">
        <v>4145</v>
      </c>
      <c r="G3266">
        <v>1</v>
      </c>
    </row>
    <row r="3267" spans="1:7" hidden="1" x14ac:dyDescent="0.25">
      <c r="A3267" s="28" t="s">
        <v>2724</v>
      </c>
      <c r="B3267" s="29">
        <v>48150.68</v>
      </c>
      <c r="F3267" t="s">
        <v>2724</v>
      </c>
      <c r="G3267">
        <v>1</v>
      </c>
    </row>
    <row r="3268" spans="1:7" hidden="1" x14ac:dyDescent="0.25">
      <c r="A3268" s="28" t="s">
        <v>3714</v>
      </c>
      <c r="B3268" s="29">
        <v>48150.68</v>
      </c>
      <c r="F3268" t="s">
        <v>3714</v>
      </c>
      <c r="G3268">
        <v>1</v>
      </c>
    </row>
    <row r="3269" spans="1:7" hidden="1" x14ac:dyDescent="0.25">
      <c r="A3269" s="28" t="s">
        <v>2739</v>
      </c>
      <c r="B3269" s="29">
        <v>48150.68</v>
      </c>
      <c r="F3269" t="s">
        <v>2739</v>
      </c>
      <c r="G3269">
        <v>1</v>
      </c>
    </row>
    <row r="3270" spans="1:7" x14ac:dyDescent="0.25">
      <c r="A3270" s="28" t="s">
        <v>1266</v>
      </c>
      <c r="B3270" s="29">
        <v>48925.90595</v>
      </c>
      <c r="F3270" t="s">
        <v>1266</v>
      </c>
      <c r="G3270">
        <v>2</v>
      </c>
    </row>
    <row r="3271" spans="1:7" hidden="1" x14ac:dyDescent="0.25">
      <c r="A3271" s="28" t="s">
        <v>4171</v>
      </c>
      <c r="B3271" s="29">
        <v>48150.68</v>
      </c>
      <c r="F3271" t="s">
        <v>4171</v>
      </c>
      <c r="G3271">
        <v>1</v>
      </c>
    </row>
    <row r="3272" spans="1:7" hidden="1" x14ac:dyDescent="0.25">
      <c r="A3272" s="28" t="s">
        <v>531</v>
      </c>
      <c r="B3272" s="29">
        <v>49701.1319</v>
      </c>
      <c r="F3272" t="s">
        <v>531</v>
      </c>
      <c r="G3272">
        <v>1</v>
      </c>
    </row>
    <row r="3273" spans="1:7" hidden="1" x14ac:dyDescent="0.25">
      <c r="A3273" s="28" t="s">
        <v>4747</v>
      </c>
      <c r="B3273" s="29">
        <v>48150.68</v>
      </c>
      <c r="F3273" t="s">
        <v>4747</v>
      </c>
      <c r="G3273">
        <v>1</v>
      </c>
    </row>
    <row r="3274" spans="1:7" hidden="1" x14ac:dyDescent="0.25">
      <c r="A3274" s="28" t="s">
        <v>4250</v>
      </c>
      <c r="B3274" s="29">
        <v>48150.68</v>
      </c>
      <c r="F3274" t="s">
        <v>4250</v>
      </c>
      <c r="G3274">
        <v>1</v>
      </c>
    </row>
    <row r="3275" spans="1:7" x14ac:dyDescent="0.25">
      <c r="A3275" s="28" t="s">
        <v>844</v>
      </c>
      <c r="B3275" s="29">
        <v>48925.90595</v>
      </c>
      <c r="F3275" t="s">
        <v>844</v>
      </c>
      <c r="G3275">
        <v>2</v>
      </c>
    </row>
    <row r="3276" spans="1:7" x14ac:dyDescent="0.25">
      <c r="A3276" s="28" t="s">
        <v>1484</v>
      </c>
      <c r="B3276" s="29">
        <v>48925.90595</v>
      </c>
      <c r="F3276" t="s">
        <v>1484</v>
      </c>
      <c r="G3276">
        <v>2</v>
      </c>
    </row>
    <row r="3277" spans="1:7" x14ac:dyDescent="0.25">
      <c r="A3277" s="28" t="s">
        <v>1039</v>
      </c>
      <c r="B3277" s="29">
        <v>48925.90595</v>
      </c>
      <c r="F3277" t="s">
        <v>1039</v>
      </c>
      <c r="G3277">
        <v>2</v>
      </c>
    </row>
    <row r="3278" spans="1:7" x14ac:dyDescent="0.25">
      <c r="A3278" s="28" t="s">
        <v>516</v>
      </c>
      <c r="B3278" s="29">
        <v>48925.90595</v>
      </c>
      <c r="F3278" t="s">
        <v>516</v>
      </c>
      <c r="G3278">
        <v>2</v>
      </c>
    </row>
    <row r="3279" spans="1:7" x14ac:dyDescent="0.25">
      <c r="A3279" s="28" t="s">
        <v>570</v>
      </c>
      <c r="B3279" s="29">
        <v>48925.90595</v>
      </c>
      <c r="F3279" t="s">
        <v>570</v>
      </c>
      <c r="G3279">
        <v>2</v>
      </c>
    </row>
    <row r="3280" spans="1:7" x14ac:dyDescent="0.25">
      <c r="A3280" s="28" t="s">
        <v>1423</v>
      </c>
      <c r="B3280" s="29">
        <v>48925.90595</v>
      </c>
      <c r="F3280" t="s">
        <v>1423</v>
      </c>
      <c r="G3280">
        <v>2</v>
      </c>
    </row>
    <row r="3281" spans="1:7" hidden="1" x14ac:dyDescent="0.25">
      <c r="A3281" s="28" t="s">
        <v>3794</v>
      </c>
      <c r="B3281" s="29">
        <v>48150.68</v>
      </c>
      <c r="F3281" t="s">
        <v>3794</v>
      </c>
      <c r="G3281">
        <v>1</v>
      </c>
    </row>
    <row r="3282" spans="1:7" hidden="1" x14ac:dyDescent="0.25">
      <c r="A3282" s="28" t="s">
        <v>3342</v>
      </c>
      <c r="B3282" s="29">
        <v>48150.68</v>
      </c>
      <c r="F3282" t="s">
        <v>3342</v>
      </c>
      <c r="G3282">
        <v>1</v>
      </c>
    </row>
    <row r="3283" spans="1:7" hidden="1" x14ac:dyDescent="0.25">
      <c r="A3283" s="28" t="s">
        <v>3445</v>
      </c>
      <c r="B3283" s="29">
        <v>48150.68</v>
      </c>
      <c r="F3283" t="s">
        <v>3445</v>
      </c>
      <c r="G3283">
        <v>1</v>
      </c>
    </row>
    <row r="3284" spans="1:7" hidden="1" x14ac:dyDescent="0.25">
      <c r="A3284" s="28" t="s">
        <v>3483</v>
      </c>
      <c r="B3284" s="29">
        <v>48150.68</v>
      </c>
      <c r="F3284" t="s">
        <v>3483</v>
      </c>
      <c r="G3284">
        <v>1</v>
      </c>
    </row>
    <row r="3285" spans="1:7" x14ac:dyDescent="0.25">
      <c r="A3285" s="28" t="s">
        <v>836</v>
      </c>
      <c r="B3285" s="29">
        <v>48925.90595</v>
      </c>
      <c r="F3285" t="s">
        <v>836</v>
      </c>
      <c r="G3285">
        <v>2</v>
      </c>
    </row>
    <row r="3286" spans="1:7" hidden="1" x14ac:dyDescent="0.25">
      <c r="A3286" s="28" t="s">
        <v>4168</v>
      </c>
      <c r="B3286" s="29">
        <v>48150.68</v>
      </c>
      <c r="F3286" t="s">
        <v>4168</v>
      </c>
      <c r="G3286">
        <v>1</v>
      </c>
    </row>
    <row r="3287" spans="1:7" hidden="1" x14ac:dyDescent="0.25">
      <c r="A3287" s="28" t="s">
        <v>4307</v>
      </c>
      <c r="B3287" s="29">
        <v>48150.68</v>
      </c>
      <c r="F3287" t="s">
        <v>4307</v>
      </c>
      <c r="G3287">
        <v>1</v>
      </c>
    </row>
    <row r="3288" spans="1:7" x14ac:dyDescent="0.25">
      <c r="A3288" s="28" t="s">
        <v>932</v>
      </c>
      <c r="B3288" s="29">
        <v>48925.90595</v>
      </c>
      <c r="F3288" t="s">
        <v>932</v>
      </c>
      <c r="G3288">
        <v>2</v>
      </c>
    </row>
    <row r="3289" spans="1:7" x14ac:dyDescent="0.25">
      <c r="A3289" s="28" t="s">
        <v>1164</v>
      </c>
      <c r="B3289" s="29">
        <v>48925.90595</v>
      </c>
      <c r="F3289" t="s">
        <v>1164</v>
      </c>
      <c r="G3289">
        <v>2</v>
      </c>
    </row>
    <row r="3290" spans="1:7" hidden="1" x14ac:dyDescent="0.25">
      <c r="A3290" s="28" t="s">
        <v>4037</v>
      </c>
      <c r="B3290" s="29">
        <v>48150.68</v>
      </c>
      <c r="F3290" t="s">
        <v>4037</v>
      </c>
      <c r="G3290">
        <v>1</v>
      </c>
    </row>
    <row r="3291" spans="1:7" x14ac:dyDescent="0.25">
      <c r="A3291" s="28" t="s">
        <v>1133</v>
      </c>
      <c r="B3291" s="29">
        <v>48925.90595</v>
      </c>
      <c r="F3291" t="s">
        <v>1133</v>
      </c>
      <c r="G3291">
        <v>2</v>
      </c>
    </row>
    <row r="3292" spans="1:7" x14ac:dyDescent="0.25">
      <c r="A3292" s="28" t="s">
        <v>408</v>
      </c>
      <c r="B3292" s="29">
        <v>48925.90595</v>
      </c>
      <c r="F3292" t="s">
        <v>408</v>
      </c>
      <c r="G3292">
        <v>2</v>
      </c>
    </row>
    <row r="3293" spans="1:7" hidden="1" x14ac:dyDescent="0.25">
      <c r="A3293" s="28" t="s">
        <v>3737</v>
      </c>
      <c r="B3293" s="29">
        <v>48150.68</v>
      </c>
      <c r="F3293" t="s">
        <v>3737</v>
      </c>
      <c r="G3293">
        <v>1</v>
      </c>
    </row>
    <row r="3294" spans="1:7" x14ac:dyDescent="0.25">
      <c r="A3294" s="28" t="s">
        <v>343</v>
      </c>
      <c r="B3294" s="29">
        <v>48925.90595</v>
      </c>
      <c r="F3294" t="s">
        <v>343</v>
      </c>
      <c r="G3294">
        <v>2</v>
      </c>
    </row>
    <row r="3295" spans="1:7" hidden="1" x14ac:dyDescent="0.25">
      <c r="A3295" s="28" t="s">
        <v>2548</v>
      </c>
      <c r="B3295" s="29">
        <v>48150.68</v>
      </c>
      <c r="F3295" t="s">
        <v>2548</v>
      </c>
      <c r="G3295">
        <v>1</v>
      </c>
    </row>
    <row r="3296" spans="1:7" hidden="1" x14ac:dyDescent="0.25">
      <c r="A3296" s="28" t="s">
        <v>4645</v>
      </c>
      <c r="B3296" s="29">
        <v>48150.68</v>
      </c>
      <c r="F3296" t="s">
        <v>4645</v>
      </c>
      <c r="G3296">
        <v>1</v>
      </c>
    </row>
    <row r="3297" spans="1:7" x14ac:dyDescent="0.25">
      <c r="A3297" s="28" t="s">
        <v>675</v>
      </c>
      <c r="B3297" s="29">
        <v>48925.90595</v>
      </c>
      <c r="F3297" t="s">
        <v>675</v>
      </c>
      <c r="G3297">
        <v>2</v>
      </c>
    </row>
    <row r="3298" spans="1:7" hidden="1" x14ac:dyDescent="0.25">
      <c r="A3298" s="28" t="s">
        <v>3017</v>
      </c>
      <c r="B3298" s="29">
        <v>48150.68</v>
      </c>
      <c r="F3298" t="s">
        <v>3017</v>
      </c>
      <c r="G3298">
        <v>1</v>
      </c>
    </row>
    <row r="3299" spans="1:7" hidden="1" x14ac:dyDescent="0.25">
      <c r="A3299" s="28" t="s">
        <v>3966</v>
      </c>
      <c r="B3299" s="29">
        <v>48150.68</v>
      </c>
      <c r="F3299" t="s">
        <v>3966</v>
      </c>
      <c r="G3299">
        <v>1</v>
      </c>
    </row>
    <row r="3300" spans="1:7" hidden="1" x14ac:dyDescent="0.25">
      <c r="A3300" s="28" t="s">
        <v>2904</v>
      </c>
      <c r="B3300" s="29">
        <v>52788.83</v>
      </c>
      <c r="F3300" t="s">
        <v>2904</v>
      </c>
      <c r="G3300">
        <v>1</v>
      </c>
    </row>
    <row r="3301" spans="1:7" hidden="1" x14ac:dyDescent="0.25">
      <c r="A3301" s="28" t="s">
        <v>3014</v>
      </c>
      <c r="B3301" s="29">
        <v>52788.83</v>
      </c>
      <c r="F3301" t="s">
        <v>3014</v>
      </c>
      <c r="G3301">
        <v>1</v>
      </c>
    </row>
    <row r="3302" spans="1:7" hidden="1" x14ac:dyDescent="0.25">
      <c r="A3302" s="28" t="s">
        <v>5103</v>
      </c>
      <c r="B3302" s="29">
        <v>46934.32</v>
      </c>
      <c r="F3302" t="s">
        <v>5103</v>
      </c>
      <c r="G3302">
        <v>1</v>
      </c>
    </row>
    <row r="3303" spans="1:7" hidden="1" x14ac:dyDescent="0.25">
      <c r="A3303" s="28" t="s">
        <v>4615</v>
      </c>
      <c r="B3303" s="29">
        <v>48150.68</v>
      </c>
      <c r="F3303" t="s">
        <v>4615</v>
      </c>
      <c r="G3303">
        <v>1</v>
      </c>
    </row>
    <row r="3304" spans="1:7" x14ac:dyDescent="0.25">
      <c r="A3304" s="28" t="s">
        <v>1671</v>
      </c>
      <c r="B3304" s="29">
        <v>53638.730150000003</v>
      </c>
      <c r="F3304" t="s">
        <v>1671</v>
      </c>
      <c r="G3304">
        <v>2</v>
      </c>
    </row>
    <row r="3305" spans="1:7" hidden="1" x14ac:dyDescent="0.25">
      <c r="A3305" s="28" t="s">
        <v>2345</v>
      </c>
      <c r="B3305" s="29">
        <v>52788.83</v>
      </c>
      <c r="F3305" t="s">
        <v>2345</v>
      </c>
      <c r="G3305">
        <v>1</v>
      </c>
    </row>
    <row r="3306" spans="1:7" hidden="1" x14ac:dyDescent="0.25">
      <c r="A3306" s="28" t="s">
        <v>2912</v>
      </c>
      <c r="B3306" s="29">
        <v>46934.32</v>
      </c>
      <c r="F3306" t="s">
        <v>2912</v>
      </c>
      <c r="G3306">
        <v>1</v>
      </c>
    </row>
    <row r="3307" spans="1:7" hidden="1" x14ac:dyDescent="0.25">
      <c r="A3307" s="28" t="s">
        <v>5134</v>
      </c>
      <c r="B3307" s="29">
        <v>46934.32</v>
      </c>
      <c r="F3307" t="s">
        <v>5134</v>
      </c>
      <c r="G3307">
        <v>1</v>
      </c>
    </row>
    <row r="3308" spans="1:7" hidden="1" x14ac:dyDescent="0.25">
      <c r="A3308" s="28" t="s">
        <v>4648</v>
      </c>
      <c r="B3308" s="29">
        <v>52788.83</v>
      </c>
      <c r="F3308" t="s">
        <v>4648</v>
      </c>
      <c r="G3308">
        <v>1</v>
      </c>
    </row>
    <row r="3309" spans="1:7" hidden="1" x14ac:dyDescent="0.25">
      <c r="A3309" s="28" t="s">
        <v>4576</v>
      </c>
      <c r="B3309" s="29">
        <v>52788.83</v>
      </c>
      <c r="F3309" t="s">
        <v>4576</v>
      </c>
      <c r="G3309">
        <v>1</v>
      </c>
    </row>
    <row r="3310" spans="1:7" hidden="1" x14ac:dyDescent="0.25">
      <c r="A3310" s="28" t="s">
        <v>2826</v>
      </c>
      <c r="B3310" s="29">
        <v>52788.83</v>
      </c>
      <c r="F3310" t="s">
        <v>2826</v>
      </c>
      <c r="G3310">
        <v>1</v>
      </c>
    </row>
    <row r="3311" spans="1:7" x14ac:dyDescent="0.25">
      <c r="A3311" s="28" t="s">
        <v>312</v>
      </c>
      <c r="B3311" s="29">
        <v>53638.730150000003</v>
      </c>
      <c r="F3311" t="s">
        <v>312</v>
      </c>
      <c r="G3311">
        <v>2</v>
      </c>
    </row>
    <row r="3312" spans="1:7" hidden="1" x14ac:dyDescent="0.25">
      <c r="A3312" s="28" t="s">
        <v>2755</v>
      </c>
      <c r="B3312" s="29">
        <v>46934.32</v>
      </c>
      <c r="F3312" t="s">
        <v>2755</v>
      </c>
      <c r="G3312">
        <v>1</v>
      </c>
    </row>
    <row r="3313" spans="1:7" hidden="1" x14ac:dyDescent="0.25">
      <c r="A3313" s="28" t="s">
        <v>2935</v>
      </c>
      <c r="B3313" s="29">
        <v>48150.68</v>
      </c>
      <c r="F3313" t="s">
        <v>2935</v>
      </c>
      <c r="G3313">
        <v>1</v>
      </c>
    </row>
    <row r="3314" spans="1:7" hidden="1" x14ac:dyDescent="0.25">
      <c r="A3314" s="28" t="s">
        <v>2898</v>
      </c>
      <c r="B3314" s="29">
        <v>48150.68</v>
      </c>
      <c r="F3314" t="s">
        <v>2898</v>
      </c>
      <c r="G3314">
        <v>1</v>
      </c>
    </row>
    <row r="3315" spans="1:7" hidden="1" x14ac:dyDescent="0.25">
      <c r="A3315" s="28" t="s">
        <v>4899</v>
      </c>
      <c r="B3315" s="29">
        <v>48150.68</v>
      </c>
      <c r="F3315" t="s">
        <v>4899</v>
      </c>
      <c r="G3315">
        <v>1</v>
      </c>
    </row>
    <row r="3316" spans="1:7" hidden="1" x14ac:dyDescent="0.25">
      <c r="A3316" s="28" t="s">
        <v>5145</v>
      </c>
      <c r="B3316" s="29">
        <v>48150.68</v>
      </c>
      <c r="F3316" t="s">
        <v>5145</v>
      </c>
      <c r="G3316">
        <v>1</v>
      </c>
    </row>
    <row r="3317" spans="1:7" hidden="1" x14ac:dyDescent="0.25">
      <c r="A3317" s="28" t="s">
        <v>4692</v>
      </c>
      <c r="B3317" s="29">
        <v>52788.83</v>
      </c>
      <c r="F3317" t="s">
        <v>4692</v>
      </c>
      <c r="G3317">
        <v>1</v>
      </c>
    </row>
    <row r="3318" spans="1:7" hidden="1" x14ac:dyDescent="0.25">
      <c r="A3318" s="28" t="s">
        <v>5013</v>
      </c>
      <c r="B3318" s="29">
        <v>46934.32</v>
      </c>
      <c r="F3318" t="s">
        <v>5013</v>
      </c>
      <c r="G3318">
        <v>1</v>
      </c>
    </row>
    <row r="3319" spans="1:7" x14ac:dyDescent="0.25">
      <c r="A3319" s="28" t="s">
        <v>1524</v>
      </c>
      <c r="B3319" s="29">
        <v>47689.962549999997</v>
      </c>
      <c r="F3319" t="s">
        <v>1524</v>
      </c>
      <c r="G3319">
        <v>2</v>
      </c>
    </row>
    <row r="3320" spans="1:7" hidden="1" x14ac:dyDescent="0.25">
      <c r="A3320" s="28" t="s">
        <v>2769</v>
      </c>
      <c r="B3320" s="29">
        <v>46934.32</v>
      </c>
      <c r="F3320" t="s">
        <v>2769</v>
      </c>
      <c r="G3320">
        <v>1</v>
      </c>
    </row>
    <row r="3321" spans="1:7" hidden="1" x14ac:dyDescent="0.25">
      <c r="A3321" s="28" t="s">
        <v>3190</v>
      </c>
      <c r="B3321" s="29">
        <v>46934.32</v>
      </c>
      <c r="F3321" t="s">
        <v>3190</v>
      </c>
      <c r="G3321">
        <v>1</v>
      </c>
    </row>
    <row r="3322" spans="1:7" hidden="1" x14ac:dyDescent="0.25">
      <c r="A3322" s="28" t="s">
        <v>4972</v>
      </c>
      <c r="B3322" s="29">
        <v>52788.83</v>
      </c>
      <c r="F3322" t="s">
        <v>4972</v>
      </c>
      <c r="G3322">
        <v>1</v>
      </c>
    </row>
    <row r="3323" spans="1:7" hidden="1" x14ac:dyDescent="0.25">
      <c r="A3323" s="28" t="s">
        <v>4979</v>
      </c>
      <c r="B3323" s="29">
        <v>52788.83</v>
      </c>
      <c r="F3323" t="s">
        <v>4979</v>
      </c>
      <c r="G3323">
        <v>1</v>
      </c>
    </row>
    <row r="3324" spans="1:7" hidden="1" x14ac:dyDescent="0.25">
      <c r="A3324" s="28" t="s">
        <v>2503</v>
      </c>
      <c r="B3324" s="29">
        <v>46934.32</v>
      </c>
      <c r="F3324" t="s">
        <v>2503</v>
      </c>
      <c r="G3324">
        <v>1</v>
      </c>
    </row>
    <row r="3325" spans="1:7" hidden="1" x14ac:dyDescent="0.25">
      <c r="A3325" s="28" t="s">
        <v>4939</v>
      </c>
      <c r="B3325" s="29">
        <v>46934.32</v>
      </c>
      <c r="F3325" t="s">
        <v>4939</v>
      </c>
      <c r="G3325">
        <v>1</v>
      </c>
    </row>
    <row r="3326" spans="1:7" hidden="1" x14ac:dyDescent="0.25">
      <c r="A3326" s="28" t="s">
        <v>4997</v>
      </c>
      <c r="B3326" s="29">
        <v>52788.83</v>
      </c>
      <c r="F3326" t="s">
        <v>4997</v>
      </c>
      <c r="G3326">
        <v>1</v>
      </c>
    </row>
    <row r="3327" spans="1:7" hidden="1" x14ac:dyDescent="0.25">
      <c r="A3327" s="28" t="s">
        <v>5023</v>
      </c>
      <c r="B3327" s="29">
        <v>52788.83</v>
      </c>
      <c r="F3327" t="s">
        <v>5023</v>
      </c>
      <c r="G3327">
        <v>1</v>
      </c>
    </row>
    <row r="3328" spans="1:7" hidden="1" x14ac:dyDescent="0.25">
      <c r="A3328" s="28" t="s">
        <v>3004</v>
      </c>
      <c r="B3328" s="29">
        <v>52788.83</v>
      </c>
      <c r="F3328" t="s">
        <v>3004</v>
      </c>
      <c r="G3328">
        <v>1</v>
      </c>
    </row>
    <row r="3329" spans="1:7" hidden="1" x14ac:dyDescent="0.25">
      <c r="A3329" s="28" t="s">
        <v>5041</v>
      </c>
      <c r="B3329" s="29">
        <v>46934.32</v>
      </c>
      <c r="F3329" t="s">
        <v>5041</v>
      </c>
      <c r="G3329">
        <v>1</v>
      </c>
    </row>
    <row r="3330" spans="1:7" hidden="1" x14ac:dyDescent="0.25">
      <c r="A3330" s="28" t="s">
        <v>2925</v>
      </c>
      <c r="B3330" s="29">
        <v>46934.32</v>
      </c>
      <c r="F3330" t="s">
        <v>2925</v>
      </c>
      <c r="G3330">
        <v>1</v>
      </c>
    </row>
    <row r="3331" spans="1:7" hidden="1" x14ac:dyDescent="0.25">
      <c r="A3331" s="28" t="s">
        <v>3192</v>
      </c>
      <c r="B3331" s="29">
        <v>46934.32</v>
      </c>
      <c r="F3331" t="s">
        <v>3192</v>
      </c>
      <c r="G3331">
        <v>1</v>
      </c>
    </row>
    <row r="3332" spans="1:7" hidden="1" x14ac:dyDescent="0.25">
      <c r="A3332" s="28" t="s">
        <v>2981</v>
      </c>
      <c r="B3332" s="29">
        <v>46934.32</v>
      </c>
      <c r="F3332" t="s">
        <v>2981</v>
      </c>
      <c r="G3332">
        <v>1</v>
      </c>
    </row>
    <row r="3333" spans="1:7" x14ac:dyDescent="0.25">
      <c r="A3333" s="28" t="s">
        <v>228</v>
      </c>
      <c r="B3333" s="29">
        <v>47689.962549999997</v>
      </c>
      <c r="F3333" t="s">
        <v>228</v>
      </c>
      <c r="G3333">
        <v>2</v>
      </c>
    </row>
    <row r="3334" spans="1:7" hidden="1" x14ac:dyDescent="0.25">
      <c r="A3334" s="28" t="s">
        <v>5036</v>
      </c>
      <c r="B3334" s="29">
        <v>46934.32</v>
      </c>
      <c r="F3334" t="s">
        <v>5036</v>
      </c>
      <c r="G3334">
        <v>1</v>
      </c>
    </row>
    <row r="3335" spans="1:7" hidden="1" x14ac:dyDescent="0.25">
      <c r="A3335" s="28" t="s">
        <v>4712</v>
      </c>
      <c r="B3335" s="29">
        <v>46934.32</v>
      </c>
      <c r="F3335" t="s">
        <v>4712</v>
      </c>
      <c r="G3335">
        <v>1</v>
      </c>
    </row>
    <row r="3336" spans="1:7" hidden="1" x14ac:dyDescent="0.25">
      <c r="A3336" s="28" t="s">
        <v>3903</v>
      </c>
      <c r="B3336" s="29">
        <v>46934.32</v>
      </c>
      <c r="F3336" t="s">
        <v>3903</v>
      </c>
      <c r="G3336">
        <v>1</v>
      </c>
    </row>
    <row r="3337" spans="1:7" x14ac:dyDescent="0.25">
      <c r="A3337" s="28" t="s">
        <v>1490</v>
      </c>
      <c r="B3337" s="29">
        <v>53638.730150000003</v>
      </c>
      <c r="F3337" t="s">
        <v>1490</v>
      </c>
      <c r="G3337">
        <v>2</v>
      </c>
    </row>
    <row r="3338" spans="1:7" hidden="1" x14ac:dyDescent="0.25">
      <c r="A3338" s="28" t="s">
        <v>4796</v>
      </c>
      <c r="B3338" s="29">
        <v>52788.83</v>
      </c>
      <c r="F3338" t="s">
        <v>4796</v>
      </c>
      <c r="G3338">
        <v>1</v>
      </c>
    </row>
    <row r="3339" spans="1:7" hidden="1" x14ac:dyDescent="0.25">
      <c r="A3339" s="28" t="s">
        <v>4780</v>
      </c>
      <c r="B3339" s="29">
        <v>52788.83</v>
      </c>
      <c r="F3339" t="s">
        <v>4780</v>
      </c>
      <c r="G3339">
        <v>1</v>
      </c>
    </row>
    <row r="3340" spans="1:7" hidden="1" x14ac:dyDescent="0.25">
      <c r="A3340" s="28" t="s">
        <v>4737</v>
      </c>
      <c r="B3340" s="29">
        <v>52788.83</v>
      </c>
      <c r="F3340" t="s">
        <v>4737</v>
      </c>
      <c r="G3340">
        <v>1</v>
      </c>
    </row>
    <row r="3341" spans="1:7" hidden="1" x14ac:dyDescent="0.25">
      <c r="A3341" s="28" t="s">
        <v>4694</v>
      </c>
      <c r="B3341" s="29">
        <v>52788.83</v>
      </c>
      <c r="F3341" t="s">
        <v>4694</v>
      </c>
      <c r="G3341">
        <v>1</v>
      </c>
    </row>
    <row r="3342" spans="1:7" hidden="1" x14ac:dyDescent="0.25">
      <c r="A3342" s="28" t="s">
        <v>3972</v>
      </c>
      <c r="B3342" s="29">
        <v>49870.79</v>
      </c>
      <c r="F3342" t="s">
        <v>3972</v>
      </c>
      <c r="G3342">
        <v>1</v>
      </c>
    </row>
    <row r="3343" spans="1:7" hidden="1" x14ac:dyDescent="0.25">
      <c r="A3343" s="28" t="s">
        <v>4295</v>
      </c>
      <c r="B3343" s="29">
        <v>82454.509999999995</v>
      </c>
      <c r="F3343" t="s">
        <v>4295</v>
      </c>
      <c r="G3343">
        <v>1</v>
      </c>
    </row>
    <row r="3344" spans="1:7" hidden="1" x14ac:dyDescent="0.25">
      <c r="A3344" s="28" t="s">
        <v>3988</v>
      </c>
      <c r="B3344" s="29">
        <v>82454.509999999995</v>
      </c>
      <c r="F3344" t="s">
        <v>3988</v>
      </c>
      <c r="G3344">
        <v>1</v>
      </c>
    </row>
    <row r="3345" spans="1:7" hidden="1" x14ac:dyDescent="0.25">
      <c r="A3345" s="28" t="s">
        <v>3648</v>
      </c>
      <c r="B3345" s="29">
        <v>82454.509999999995</v>
      </c>
      <c r="F3345" t="s">
        <v>3648</v>
      </c>
      <c r="G3345">
        <v>1</v>
      </c>
    </row>
    <row r="3346" spans="1:7" x14ac:dyDescent="0.25">
      <c r="A3346" s="28" t="s">
        <v>988</v>
      </c>
      <c r="B3346" s="29">
        <v>83782.027600000001</v>
      </c>
      <c r="F3346" t="s">
        <v>988</v>
      </c>
      <c r="G3346">
        <v>2</v>
      </c>
    </row>
    <row r="3347" spans="1:7" x14ac:dyDescent="0.25">
      <c r="A3347" s="28" t="s">
        <v>477</v>
      </c>
      <c r="B3347" s="29">
        <v>83782.027600000001</v>
      </c>
      <c r="F3347" t="s">
        <v>477</v>
      </c>
      <c r="G3347">
        <v>2</v>
      </c>
    </row>
    <row r="3348" spans="1:7" x14ac:dyDescent="0.25">
      <c r="A3348" s="28" t="s">
        <v>288</v>
      </c>
      <c r="B3348" s="29">
        <v>83782.027600000001</v>
      </c>
      <c r="F3348" t="s">
        <v>288</v>
      </c>
      <c r="G3348">
        <v>2</v>
      </c>
    </row>
    <row r="3349" spans="1:7" x14ac:dyDescent="0.25">
      <c r="A3349" s="28" t="s">
        <v>506</v>
      </c>
      <c r="B3349" s="29">
        <v>83782.027600000001</v>
      </c>
      <c r="F3349" t="s">
        <v>506</v>
      </c>
      <c r="G3349">
        <v>2</v>
      </c>
    </row>
    <row r="3350" spans="1:7" x14ac:dyDescent="0.25">
      <c r="A3350" s="28" t="s">
        <v>223</v>
      </c>
      <c r="B3350" s="29">
        <v>83782.027600000001</v>
      </c>
      <c r="F3350" t="s">
        <v>223</v>
      </c>
      <c r="G3350">
        <v>2</v>
      </c>
    </row>
    <row r="3351" spans="1:7" hidden="1" x14ac:dyDescent="0.25">
      <c r="A3351" s="28" t="s">
        <v>4098</v>
      </c>
      <c r="B3351" s="29">
        <v>82454.509999999995</v>
      </c>
      <c r="F3351" t="s">
        <v>4098</v>
      </c>
      <c r="G3351">
        <v>1</v>
      </c>
    </row>
    <row r="3352" spans="1:7" hidden="1" x14ac:dyDescent="0.25">
      <c r="A3352" s="28" t="s">
        <v>3957</v>
      </c>
      <c r="B3352" s="29">
        <v>82454.509999999995</v>
      </c>
      <c r="F3352" t="s">
        <v>3957</v>
      </c>
      <c r="G3352">
        <v>1</v>
      </c>
    </row>
    <row r="3353" spans="1:7" hidden="1" x14ac:dyDescent="0.25">
      <c r="A3353" s="28" t="s">
        <v>3256</v>
      </c>
      <c r="B3353" s="29">
        <v>82454.509999999995</v>
      </c>
      <c r="F3353" t="s">
        <v>3256</v>
      </c>
      <c r="G3353">
        <v>1</v>
      </c>
    </row>
    <row r="3354" spans="1:7" x14ac:dyDescent="0.25">
      <c r="A3354" s="28" t="s">
        <v>1585</v>
      </c>
      <c r="B3354" s="29">
        <v>83782.027600000001</v>
      </c>
      <c r="F3354" t="s">
        <v>1585</v>
      </c>
      <c r="G3354">
        <v>2</v>
      </c>
    </row>
    <row r="3355" spans="1:7" x14ac:dyDescent="0.25">
      <c r="A3355" s="28" t="s">
        <v>460</v>
      </c>
      <c r="B3355" s="29">
        <v>83782.027600000001</v>
      </c>
      <c r="F3355" t="s">
        <v>460</v>
      </c>
      <c r="G3355">
        <v>2</v>
      </c>
    </row>
    <row r="3356" spans="1:7" hidden="1" x14ac:dyDescent="0.25">
      <c r="A3356" s="28" t="s">
        <v>3340</v>
      </c>
      <c r="B3356" s="29">
        <v>82454.509999999995</v>
      </c>
      <c r="F3356" t="s">
        <v>3340</v>
      </c>
      <c r="G3356">
        <v>1</v>
      </c>
    </row>
    <row r="3357" spans="1:7" x14ac:dyDescent="0.25">
      <c r="A3357" s="28" t="s">
        <v>725</v>
      </c>
      <c r="B3357" s="29">
        <v>83782.027600000001</v>
      </c>
      <c r="F3357" t="s">
        <v>725</v>
      </c>
      <c r="G3357">
        <v>2</v>
      </c>
    </row>
    <row r="3358" spans="1:7" x14ac:dyDescent="0.25">
      <c r="A3358" s="28" t="s">
        <v>490</v>
      </c>
      <c r="B3358" s="29">
        <v>83782.027600000001</v>
      </c>
      <c r="F3358" t="s">
        <v>490</v>
      </c>
      <c r="G3358">
        <v>2</v>
      </c>
    </row>
    <row r="3359" spans="1:7" hidden="1" x14ac:dyDescent="0.25">
      <c r="A3359" s="28" t="s">
        <v>3605</v>
      </c>
      <c r="B3359" s="29">
        <v>82454.509999999995</v>
      </c>
      <c r="F3359" t="s">
        <v>3605</v>
      </c>
      <c r="G3359">
        <v>1</v>
      </c>
    </row>
    <row r="3360" spans="1:7" hidden="1" x14ac:dyDescent="0.25">
      <c r="A3360" s="28" t="s">
        <v>3665</v>
      </c>
      <c r="B3360" s="29">
        <v>82454.509999999995</v>
      </c>
      <c r="F3360" t="s">
        <v>3665</v>
      </c>
      <c r="G3360">
        <v>1</v>
      </c>
    </row>
    <row r="3361" spans="1:7" x14ac:dyDescent="0.25">
      <c r="A3361" s="28" t="s">
        <v>1531</v>
      </c>
      <c r="B3361" s="29">
        <v>83782.027600000001</v>
      </c>
      <c r="F3361" t="s">
        <v>1531</v>
      </c>
      <c r="G3361">
        <v>2</v>
      </c>
    </row>
    <row r="3362" spans="1:7" x14ac:dyDescent="0.25">
      <c r="A3362" s="28" t="s">
        <v>1135</v>
      </c>
      <c r="B3362" s="29">
        <v>83782.027600000001</v>
      </c>
      <c r="F3362" t="s">
        <v>1135</v>
      </c>
      <c r="G3362">
        <v>2</v>
      </c>
    </row>
    <row r="3363" spans="1:7" x14ac:dyDescent="0.25">
      <c r="A3363" s="28" t="s">
        <v>632</v>
      </c>
      <c r="B3363" s="29">
        <v>83782.027600000001</v>
      </c>
      <c r="F3363" t="s">
        <v>632</v>
      </c>
      <c r="G3363">
        <v>2</v>
      </c>
    </row>
    <row r="3364" spans="1:7" x14ac:dyDescent="0.25">
      <c r="A3364" s="28" t="s">
        <v>1015</v>
      </c>
      <c r="B3364" s="29">
        <v>83782.027600000001</v>
      </c>
      <c r="F3364" t="s">
        <v>1015</v>
      </c>
      <c r="G3364">
        <v>2</v>
      </c>
    </row>
    <row r="3365" spans="1:7" x14ac:dyDescent="0.25">
      <c r="A3365" s="28" t="s">
        <v>243</v>
      </c>
      <c r="B3365" s="29">
        <v>83782.027600000001</v>
      </c>
      <c r="F3365" t="s">
        <v>243</v>
      </c>
      <c r="G3365">
        <v>2</v>
      </c>
    </row>
    <row r="3366" spans="1:7" x14ac:dyDescent="0.25">
      <c r="A3366" s="28" t="s">
        <v>1339</v>
      </c>
      <c r="B3366" s="29">
        <v>83782.027600000001</v>
      </c>
      <c r="F3366" t="s">
        <v>1339</v>
      </c>
      <c r="G3366">
        <v>2</v>
      </c>
    </row>
    <row r="3367" spans="1:7" x14ac:dyDescent="0.25">
      <c r="A3367" s="28" t="s">
        <v>1567</v>
      </c>
      <c r="B3367" s="29">
        <v>83782.027600000001</v>
      </c>
      <c r="F3367" t="s">
        <v>1567</v>
      </c>
      <c r="G3367">
        <v>2</v>
      </c>
    </row>
    <row r="3368" spans="1:7" x14ac:dyDescent="0.25">
      <c r="A3368" s="28" t="s">
        <v>627</v>
      </c>
      <c r="B3368" s="29">
        <v>83782.027600000001</v>
      </c>
      <c r="F3368" t="s">
        <v>627</v>
      </c>
      <c r="G3368">
        <v>2</v>
      </c>
    </row>
    <row r="3369" spans="1:7" x14ac:dyDescent="0.25">
      <c r="A3369" s="28" t="s">
        <v>608</v>
      </c>
      <c r="B3369" s="29">
        <v>83782.027600000001</v>
      </c>
      <c r="F3369" t="s">
        <v>608</v>
      </c>
      <c r="G3369">
        <v>2</v>
      </c>
    </row>
    <row r="3370" spans="1:7" hidden="1" x14ac:dyDescent="0.25">
      <c r="A3370" s="28" t="s">
        <v>3104</v>
      </c>
      <c r="B3370" s="29">
        <v>82454.509999999995</v>
      </c>
      <c r="F3370" t="s">
        <v>3104</v>
      </c>
      <c r="G3370">
        <v>1</v>
      </c>
    </row>
    <row r="3371" spans="1:7" hidden="1" x14ac:dyDescent="0.25">
      <c r="A3371" s="28" t="s">
        <v>3807</v>
      </c>
      <c r="B3371" s="29">
        <v>68202.2</v>
      </c>
      <c r="F3371" t="s">
        <v>3807</v>
      </c>
      <c r="G3371">
        <v>1</v>
      </c>
    </row>
    <row r="3372" spans="1:7" hidden="1" x14ac:dyDescent="0.25">
      <c r="A3372" s="28" t="s">
        <v>2887</v>
      </c>
      <c r="B3372" s="29">
        <v>68202.2</v>
      </c>
      <c r="F3372" t="s">
        <v>2887</v>
      </c>
      <c r="G3372">
        <v>1</v>
      </c>
    </row>
    <row r="3373" spans="1:7" hidden="1" x14ac:dyDescent="0.25">
      <c r="A3373" s="28" t="s">
        <v>2349</v>
      </c>
      <c r="B3373" s="29">
        <v>68202.2</v>
      </c>
      <c r="F3373" t="s">
        <v>2349</v>
      </c>
      <c r="G3373">
        <v>1</v>
      </c>
    </row>
    <row r="3374" spans="1:7" x14ac:dyDescent="0.25">
      <c r="A3374" s="28" t="s">
        <v>515</v>
      </c>
      <c r="B3374" s="29">
        <v>69300.255399999995</v>
      </c>
      <c r="F3374" t="s">
        <v>515</v>
      </c>
      <c r="G3374">
        <v>2</v>
      </c>
    </row>
    <row r="3375" spans="1:7" x14ac:dyDescent="0.25">
      <c r="A3375" s="28" t="s">
        <v>1409</v>
      </c>
      <c r="B3375" s="29">
        <v>69300.255399999995</v>
      </c>
      <c r="F3375" t="s">
        <v>1409</v>
      </c>
      <c r="G3375">
        <v>2</v>
      </c>
    </row>
    <row r="3376" spans="1:7" hidden="1" x14ac:dyDescent="0.25">
      <c r="A3376" s="28" t="s">
        <v>4227</v>
      </c>
      <c r="B3376" s="29">
        <v>68202.2</v>
      </c>
      <c r="F3376" t="s">
        <v>4227</v>
      </c>
      <c r="G3376">
        <v>1</v>
      </c>
    </row>
    <row r="3377" spans="1:7" hidden="1" x14ac:dyDescent="0.25">
      <c r="A3377" s="28" t="s">
        <v>4132</v>
      </c>
      <c r="B3377" s="29">
        <v>68202.2</v>
      </c>
      <c r="F3377" t="s">
        <v>4132</v>
      </c>
      <c r="G3377">
        <v>1</v>
      </c>
    </row>
    <row r="3378" spans="1:7" x14ac:dyDescent="0.25">
      <c r="A3378" s="28" t="s">
        <v>1468</v>
      </c>
      <c r="B3378" s="29">
        <v>69300.255399999995</v>
      </c>
      <c r="F3378" t="s">
        <v>1468</v>
      </c>
      <c r="G3378">
        <v>2</v>
      </c>
    </row>
    <row r="3379" spans="1:7" hidden="1" x14ac:dyDescent="0.25">
      <c r="A3379" s="28" t="s">
        <v>3263</v>
      </c>
      <c r="B3379" s="29">
        <v>68202.2</v>
      </c>
      <c r="F3379" t="s">
        <v>3263</v>
      </c>
      <c r="G3379">
        <v>1</v>
      </c>
    </row>
    <row r="3380" spans="1:7" x14ac:dyDescent="0.25">
      <c r="A3380" s="28" t="s">
        <v>899</v>
      </c>
      <c r="B3380" s="29">
        <v>69300.255399999995</v>
      </c>
      <c r="F3380" t="s">
        <v>899</v>
      </c>
      <c r="G3380">
        <v>2</v>
      </c>
    </row>
    <row r="3381" spans="1:7" hidden="1" x14ac:dyDescent="0.25">
      <c r="A3381" s="28" t="s">
        <v>3425</v>
      </c>
      <c r="B3381" s="29">
        <v>68202.2</v>
      </c>
      <c r="F3381" t="s">
        <v>3425</v>
      </c>
      <c r="G3381">
        <v>1</v>
      </c>
    </row>
    <row r="3382" spans="1:7" hidden="1" x14ac:dyDescent="0.25">
      <c r="A3382" s="28" t="s">
        <v>2450</v>
      </c>
      <c r="B3382" s="29">
        <v>68202.2</v>
      </c>
      <c r="F3382" t="s">
        <v>2450</v>
      </c>
      <c r="G3382">
        <v>1</v>
      </c>
    </row>
    <row r="3383" spans="1:7" hidden="1" x14ac:dyDescent="0.25">
      <c r="A3383" s="28" t="s">
        <v>4494</v>
      </c>
      <c r="B3383" s="29">
        <v>68202.2</v>
      </c>
      <c r="F3383" t="s">
        <v>4494</v>
      </c>
      <c r="G3383">
        <v>1</v>
      </c>
    </row>
    <row r="3384" spans="1:7" hidden="1" x14ac:dyDescent="0.25">
      <c r="A3384" s="28" t="s">
        <v>4394</v>
      </c>
      <c r="B3384" s="29">
        <v>68202.2</v>
      </c>
      <c r="F3384" t="s">
        <v>4394</v>
      </c>
      <c r="G3384">
        <v>1</v>
      </c>
    </row>
    <row r="3385" spans="1:7" hidden="1" x14ac:dyDescent="0.25">
      <c r="A3385" s="28" t="s">
        <v>4225</v>
      </c>
      <c r="B3385" s="29">
        <v>68202.2</v>
      </c>
      <c r="F3385" t="s">
        <v>4225</v>
      </c>
      <c r="G3385">
        <v>1</v>
      </c>
    </row>
    <row r="3386" spans="1:7" hidden="1" x14ac:dyDescent="0.25">
      <c r="A3386" s="28" t="s">
        <v>3119</v>
      </c>
      <c r="B3386" s="29">
        <v>68202.2</v>
      </c>
      <c r="F3386" t="s">
        <v>3119</v>
      </c>
      <c r="G3386">
        <v>1</v>
      </c>
    </row>
    <row r="3387" spans="1:7" hidden="1" x14ac:dyDescent="0.25">
      <c r="A3387" s="28" t="s">
        <v>3515</v>
      </c>
      <c r="B3387" s="29">
        <v>68202.2</v>
      </c>
      <c r="F3387" t="s">
        <v>3515</v>
      </c>
      <c r="G3387">
        <v>1</v>
      </c>
    </row>
    <row r="3388" spans="1:7" x14ac:dyDescent="0.25">
      <c r="A3388" s="28" t="s">
        <v>749</v>
      </c>
      <c r="B3388" s="29">
        <v>69300.255399999995</v>
      </c>
      <c r="F3388" t="s">
        <v>749</v>
      </c>
      <c r="G3388">
        <v>2</v>
      </c>
    </row>
    <row r="3389" spans="1:7" x14ac:dyDescent="0.25">
      <c r="A3389" s="28" t="s">
        <v>547</v>
      </c>
      <c r="B3389" s="29">
        <v>69300.255399999995</v>
      </c>
      <c r="F3389" t="s">
        <v>547</v>
      </c>
      <c r="G3389">
        <v>2</v>
      </c>
    </row>
    <row r="3390" spans="1:7" hidden="1" x14ac:dyDescent="0.25">
      <c r="A3390" s="28" t="s">
        <v>2113</v>
      </c>
      <c r="B3390" s="29">
        <v>68202.2</v>
      </c>
      <c r="F3390" t="s">
        <v>2113</v>
      </c>
      <c r="G3390">
        <v>1</v>
      </c>
    </row>
    <row r="3391" spans="1:7" hidden="1" x14ac:dyDescent="0.25">
      <c r="A3391" s="28" t="s">
        <v>3683</v>
      </c>
      <c r="B3391" s="29">
        <v>68202.2</v>
      </c>
      <c r="F3391" t="s">
        <v>3683</v>
      </c>
      <c r="G3391">
        <v>1</v>
      </c>
    </row>
    <row r="3392" spans="1:7" x14ac:dyDescent="0.25">
      <c r="A3392" s="28" t="s">
        <v>1038</v>
      </c>
      <c r="B3392" s="29">
        <v>69300.255399999995</v>
      </c>
      <c r="F3392" t="s">
        <v>1038</v>
      </c>
      <c r="G3392">
        <v>2</v>
      </c>
    </row>
    <row r="3393" spans="1:7" x14ac:dyDescent="0.25">
      <c r="A3393" s="28" t="s">
        <v>1603</v>
      </c>
      <c r="B3393" s="29">
        <v>69300.255399999995</v>
      </c>
      <c r="F3393" t="s">
        <v>1603</v>
      </c>
      <c r="G3393">
        <v>2</v>
      </c>
    </row>
    <row r="3394" spans="1:7" hidden="1" x14ac:dyDescent="0.25">
      <c r="A3394" s="28" t="s">
        <v>3891</v>
      </c>
      <c r="B3394" s="29">
        <v>68202.2</v>
      </c>
      <c r="F3394" t="s">
        <v>3891</v>
      </c>
      <c r="G3394">
        <v>1</v>
      </c>
    </row>
    <row r="3395" spans="1:7" hidden="1" x14ac:dyDescent="0.25">
      <c r="A3395" s="28" t="s">
        <v>3977</v>
      </c>
      <c r="B3395" s="29">
        <v>68202.2</v>
      </c>
      <c r="F3395" t="s">
        <v>3977</v>
      </c>
      <c r="G3395">
        <v>1</v>
      </c>
    </row>
    <row r="3396" spans="1:7" x14ac:dyDescent="0.25">
      <c r="A3396" s="28" t="s">
        <v>890</v>
      </c>
      <c r="B3396" s="29">
        <v>69300.255399999995</v>
      </c>
      <c r="F3396" t="s">
        <v>890</v>
      </c>
      <c r="G3396">
        <v>2</v>
      </c>
    </row>
    <row r="3397" spans="1:7" x14ac:dyDescent="0.25">
      <c r="A3397" s="28" t="s">
        <v>1243</v>
      </c>
      <c r="B3397" s="29">
        <v>69300.255399999995</v>
      </c>
      <c r="F3397" t="s">
        <v>1243</v>
      </c>
      <c r="G3397">
        <v>2</v>
      </c>
    </row>
    <row r="3398" spans="1:7" x14ac:dyDescent="0.25">
      <c r="A3398" s="28" t="s">
        <v>908</v>
      </c>
      <c r="B3398" s="29">
        <v>69300.255399999995</v>
      </c>
      <c r="F3398" t="s">
        <v>908</v>
      </c>
      <c r="G3398">
        <v>2</v>
      </c>
    </row>
    <row r="3399" spans="1:7" x14ac:dyDescent="0.25">
      <c r="A3399" s="28" t="s">
        <v>401</v>
      </c>
      <c r="B3399" s="29">
        <v>69300.255399999995</v>
      </c>
      <c r="F3399" t="s">
        <v>401</v>
      </c>
      <c r="G3399">
        <v>2</v>
      </c>
    </row>
    <row r="3400" spans="1:7" x14ac:dyDescent="0.25">
      <c r="A3400" s="28" t="s">
        <v>338</v>
      </c>
      <c r="B3400" s="29">
        <v>69300.255399999995</v>
      </c>
      <c r="F3400" t="s">
        <v>338</v>
      </c>
      <c r="G3400">
        <v>2</v>
      </c>
    </row>
    <row r="3401" spans="1:7" x14ac:dyDescent="0.25">
      <c r="A3401" s="28" t="s">
        <v>35</v>
      </c>
      <c r="B3401" s="29">
        <v>69300.255399999995</v>
      </c>
      <c r="F3401" t="s">
        <v>35</v>
      </c>
      <c r="G3401">
        <v>2</v>
      </c>
    </row>
    <row r="3402" spans="1:7" x14ac:dyDescent="0.25">
      <c r="A3402" s="28" t="s">
        <v>637</v>
      </c>
      <c r="B3402" s="29">
        <v>69300.255399999995</v>
      </c>
      <c r="F3402" t="s">
        <v>637</v>
      </c>
      <c r="G3402">
        <v>2</v>
      </c>
    </row>
    <row r="3403" spans="1:7" x14ac:dyDescent="0.25">
      <c r="A3403" s="28" t="s">
        <v>469</v>
      </c>
      <c r="B3403" s="29">
        <v>69300.255399999995</v>
      </c>
      <c r="F3403" t="s">
        <v>469</v>
      </c>
      <c r="G3403">
        <v>2</v>
      </c>
    </row>
    <row r="3404" spans="1:7" hidden="1" x14ac:dyDescent="0.25">
      <c r="A3404" s="28" t="s">
        <v>2588</v>
      </c>
      <c r="B3404" s="29">
        <v>68202.2</v>
      </c>
      <c r="F3404" t="s">
        <v>2588</v>
      </c>
      <c r="G3404">
        <v>1</v>
      </c>
    </row>
    <row r="3405" spans="1:7" x14ac:dyDescent="0.25">
      <c r="A3405" s="28" t="s">
        <v>1214</v>
      </c>
      <c r="B3405" s="29">
        <v>69300.255399999995</v>
      </c>
      <c r="F3405" t="s">
        <v>1214</v>
      </c>
      <c r="G3405">
        <v>2</v>
      </c>
    </row>
    <row r="3406" spans="1:7" hidden="1" x14ac:dyDescent="0.25">
      <c r="A3406" s="28" t="s">
        <v>3614</v>
      </c>
      <c r="B3406" s="29">
        <v>68202.2</v>
      </c>
      <c r="F3406" t="s">
        <v>3614</v>
      </c>
      <c r="G3406">
        <v>1</v>
      </c>
    </row>
    <row r="3407" spans="1:7" x14ac:dyDescent="0.25">
      <c r="A3407" s="28" t="s">
        <v>1241</v>
      </c>
      <c r="B3407" s="29">
        <v>69300.255399999995</v>
      </c>
      <c r="F3407" t="s">
        <v>1241</v>
      </c>
      <c r="G3407">
        <v>2</v>
      </c>
    </row>
    <row r="3408" spans="1:7" x14ac:dyDescent="0.25">
      <c r="A3408" s="28" t="s">
        <v>373</v>
      </c>
      <c r="B3408" s="29">
        <v>69300.255399999995</v>
      </c>
      <c r="F3408" t="s">
        <v>373</v>
      </c>
      <c r="G3408">
        <v>2</v>
      </c>
    </row>
    <row r="3409" spans="1:7" x14ac:dyDescent="0.25">
      <c r="A3409" s="28" t="s">
        <v>1043</v>
      </c>
      <c r="B3409" s="29">
        <v>69300.255399999995</v>
      </c>
      <c r="F3409" t="s">
        <v>1043</v>
      </c>
      <c r="G3409">
        <v>2</v>
      </c>
    </row>
    <row r="3410" spans="1:7" x14ac:dyDescent="0.25">
      <c r="A3410" s="28" t="s">
        <v>162</v>
      </c>
      <c r="B3410" s="29">
        <v>69300.255399999995</v>
      </c>
      <c r="F3410" t="s">
        <v>162</v>
      </c>
      <c r="G3410">
        <v>2</v>
      </c>
    </row>
    <row r="3411" spans="1:7" hidden="1" x14ac:dyDescent="0.25">
      <c r="A3411" s="28" t="s">
        <v>3326</v>
      </c>
      <c r="B3411" s="29">
        <v>68202.2</v>
      </c>
      <c r="F3411" t="s">
        <v>3326</v>
      </c>
      <c r="G3411">
        <v>1</v>
      </c>
    </row>
    <row r="3412" spans="1:7" hidden="1" x14ac:dyDescent="0.25">
      <c r="A3412" s="28" t="s">
        <v>3939</v>
      </c>
      <c r="B3412" s="29">
        <v>68202.2</v>
      </c>
      <c r="F3412" t="s">
        <v>3939</v>
      </c>
      <c r="G3412">
        <v>1</v>
      </c>
    </row>
    <row r="3413" spans="1:7" x14ac:dyDescent="0.25">
      <c r="A3413" s="28" t="s">
        <v>493</v>
      </c>
      <c r="B3413" s="29">
        <v>69300.255399999995</v>
      </c>
      <c r="F3413" t="s">
        <v>493</v>
      </c>
      <c r="G3413">
        <v>2</v>
      </c>
    </row>
    <row r="3414" spans="1:7" hidden="1" x14ac:dyDescent="0.25">
      <c r="A3414" s="28" t="s">
        <v>3645</v>
      </c>
      <c r="B3414" s="29">
        <v>68202.2</v>
      </c>
      <c r="F3414" t="s">
        <v>3645</v>
      </c>
      <c r="G3414">
        <v>1</v>
      </c>
    </row>
    <row r="3415" spans="1:7" x14ac:dyDescent="0.25">
      <c r="A3415" s="28" t="s">
        <v>595</v>
      </c>
      <c r="B3415" s="29">
        <v>69300.255399999995</v>
      </c>
      <c r="F3415" t="s">
        <v>595</v>
      </c>
      <c r="G3415">
        <v>2</v>
      </c>
    </row>
    <row r="3416" spans="1:7" x14ac:dyDescent="0.25">
      <c r="A3416" s="28" t="s">
        <v>380</v>
      </c>
      <c r="B3416" s="29">
        <v>69300.255399999995</v>
      </c>
      <c r="F3416" t="s">
        <v>380</v>
      </c>
      <c r="G3416">
        <v>2</v>
      </c>
    </row>
    <row r="3417" spans="1:7" x14ac:dyDescent="0.25">
      <c r="A3417" s="28" t="s">
        <v>752</v>
      </c>
      <c r="B3417" s="29">
        <v>69300.255399999995</v>
      </c>
      <c r="F3417" t="s">
        <v>752</v>
      </c>
      <c r="G3417">
        <v>2</v>
      </c>
    </row>
    <row r="3418" spans="1:7" x14ac:dyDescent="0.25">
      <c r="A3418" s="28" t="s">
        <v>1262</v>
      </c>
      <c r="B3418" s="29">
        <v>69300.255399999995</v>
      </c>
      <c r="F3418" t="s">
        <v>1262</v>
      </c>
      <c r="G3418">
        <v>2</v>
      </c>
    </row>
    <row r="3419" spans="1:7" x14ac:dyDescent="0.25">
      <c r="A3419" s="28" t="s">
        <v>739</v>
      </c>
      <c r="B3419" s="29">
        <v>69300.255399999995</v>
      </c>
      <c r="F3419" t="s">
        <v>739</v>
      </c>
      <c r="G3419">
        <v>2</v>
      </c>
    </row>
    <row r="3420" spans="1:7" x14ac:dyDescent="0.25">
      <c r="A3420" s="28" t="s">
        <v>667</v>
      </c>
      <c r="B3420" s="29">
        <v>69300.255399999995</v>
      </c>
      <c r="F3420" t="s">
        <v>667</v>
      </c>
      <c r="G3420">
        <v>2</v>
      </c>
    </row>
    <row r="3421" spans="1:7" x14ac:dyDescent="0.25">
      <c r="A3421" s="28" t="s">
        <v>564</v>
      </c>
      <c r="B3421" s="29">
        <v>69300.255399999995</v>
      </c>
      <c r="F3421" t="s">
        <v>564</v>
      </c>
      <c r="G3421">
        <v>2</v>
      </c>
    </row>
    <row r="3422" spans="1:7" hidden="1" x14ac:dyDescent="0.25">
      <c r="A3422" s="28" t="s">
        <v>4305</v>
      </c>
      <c r="B3422" s="29">
        <v>68202.2</v>
      </c>
      <c r="F3422" t="s">
        <v>4305</v>
      </c>
      <c r="G3422">
        <v>1</v>
      </c>
    </row>
    <row r="3423" spans="1:7" x14ac:dyDescent="0.25">
      <c r="A3423" s="28" t="s">
        <v>256</v>
      </c>
      <c r="B3423" s="29">
        <v>69300.255399999995</v>
      </c>
      <c r="F3423" t="s">
        <v>256</v>
      </c>
      <c r="G3423">
        <v>2</v>
      </c>
    </row>
    <row r="3424" spans="1:7" x14ac:dyDescent="0.25">
      <c r="A3424" s="28" t="s">
        <v>255</v>
      </c>
      <c r="B3424" s="29">
        <v>69300.255399999995</v>
      </c>
      <c r="F3424" t="s">
        <v>255</v>
      </c>
      <c r="G3424">
        <v>2</v>
      </c>
    </row>
    <row r="3425" spans="1:7" x14ac:dyDescent="0.25">
      <c r="A3425" s="28" t="s">
        <v>1247</v>
      </c>
      <c r="B3425" s="29">
        <v>69300.255399999995</v>
      </c>
      <c r="F3425" t="s">
        <v>1247</v>
      </c>
      <c r="G3425">
        <v>2</v>
      </c>
    </row>
    <row r="3426" spans="1:7" x14ac:dyDescent="0.25">
      <c r="A3426" s="28" t="s">
        <v>109</v>
      </c>
      <c r="B3426" s="29">
        <v>69300.255399999995</v>
      </c>
      <c r="F3426" t="s">
        <v>109</v>
      </c>
      <c r="G3426">
        <v>2</v>
      </c>
    </row>
    <row r="3427" spans="1:7" x14ac:dyDescent="0.25">
      <c r="A3427" s="28" t="s">
        <v>304</v>
      </c>
      <c r="B3427" s="29">
        <v>69300.255399999995</v>
      </c>
      <c r="F3427" t="s">
        <v>304</v>
      </c>
      <c r="G3427">
        <v>2</v>
      </c>
    </row>
    <row r="3428" spans="1:7" hidden="1" x14ac:dyDescent="0.25">
      <c r="A3428" s="28" t="s">
        <v>4417</v>
      </c>
      <c r="B3428" s="29">
        <v>68202.2</v>
      </c>
      <c r="F3428" t="s">
        <v>4417</v>
      </c>
      <c r="G3428">
        <v>1</v>
      </c>
    </row>
    <row r="3429" spans="1:7" x14ac:dyDescent="0.25">
      <c r="A3429" s="28" t="s">
        <v>299</v>
      </c>
      <c r="B3429" s="29">
        <v>69300.255399999995</v>
      </c>
      <c r="F3429" t="s">
        <v>299</v>
      </c>
      <c r="G3429">
        <v>2</v>
      </c>
    </row>
    <row r="3430" spans="1:7" hidden="1" x14ac:dyDescent="0.25">
      <c r="A3430" s="28" t="s">
        <v>3338</v>
      </c>
      <c r="B3430" s="29">
        <v>68202.2</v>
      </c>
      <c r="F3430" t="s">
        <v>3338</v>
      </c>
      <c r="G3430">
        <v>1</v>
      </c>
    </row>
    <row r="3431" spans="1:7" x14ac:dyDescent="0.25">
      <c r="A3431" s="28" t="s">
        <v>795</v>
      </c>
      <c r="B3431" s="29">
        <v>69300.255399999995</v>
      </c>
      <c r="F3431" t="s">
        <v>795</v>
      </c>
      <c r="G3431">
        <v>2</v>
      </c>
    </row>
    <row r="3432" spans="1:7" x14ac:dyDescent="0.25">
      <c r="A3432" s="28" t="s">
        <v>679</v>
      </c>
      <c r="B3432" s="29">
        <v>69300.255399999995</v>
      </c>
      <c r="F3432" t="s">
        <v>679</v>
      </c>
      <c r="G3432">
        <v>2</v>
      </c>
    </row>
    <row r="3433" spans="1:7" x14ac:dyDescent="0.25">
      <c r="A3433" s="28" t="s">
        <v>1387</v>
      </c>
      <c r="B3433" s="29">
        <v>69300.255399999995</v>
      </c>
      <c r="F3433" t="s">
        <v>1387</v>
      </c>
      <c r="G3433">
        <v>2</v>
      </c>
    </row>
    <row r="3434" spans="1:7" hidden="1" x14ac:dyDescent="0.25">
      <c r="A3434" s="28" t="s">
        <v>3595</v>
      </c>
      <c r="B3434" s="29">
        <v>68202.2</v>
      </c>
      <c r="F3434" t="s">
        <v>3595</v>
      </c>
      <c r="G3434">
        <v>1</v>
      </c>
    </row>
    <row r="3435" spans="1:7" x14ac:dyDescent="0.25">
      <c r="A3435" s="28" t="s">
        <v>1593</v>
      </c>
      <c r="B3435" s="29">
        <v>69300.255399999995</v>
      </c>
      <c r="F3435" t="s">
        <v>1593</v>
      </c>
      <c r="G3435">
        <v>2</v>
      </c>
    </row>
    <row r="3436" spans="1:7" hidden="1" x14ac:dyDescent="0.25">
      <c r="A3436" s="28" t="s">
        <v>3467</v>
      </c>
      <c r="B3436" s="29">
        <v>67612.45</v>
      </c>
      <c r="F3436" t="s">
        <v>3467</v>
      </c>
      <c r="G3436">
        <v>1</v>
      </c>
    </row>
    <row r="3437" spans="1:7" hidden="1" x14ac:dyDescent="0.25">
      <c r="A3437" s="28" t="s">
        <v>3291</v>
      </c>
      <c r="B3437" s="29">
        <v>67612.45</v>
      </c>
      <c r="F3437" t="s">
        <v>3291</v>
      </c>
      <c r="G3437">
        <v>1</v>
      </c>
    </row>
    <row r="3438" spans="1:7" hidden="1" x14ac:dyDescent="0.25">
      <c r="A3438" s="28" t="s">
        <v>2401</v>
      </c>
      <c r="B3438" s="29">
        <v>67612.45</v>
      </c>
      <c r="F3438" t="s">
        <v>2401</v>
      </c>
      <c r="G3438">
        <v>1</v>
      </c>
    </row>
    <row r="3439" spans="1:7" hidden="1" x14ac:dyDescent="0.25">
      <c r="A3439" s="28" t="s">
        <v>3597</v>
      </c>
      <c r="B3439" s="29">
        <v>67612.45</v>
      </c>
      <c r="F3439" t="s">
        <v>3597</v>
      </c>
      <c r="G3439">
        <v>1</v>
      </c>
    </row>
    <row r="3440" spans="1:7" x14ac:dyDescent="0.25">
      <c r="A3440" s="28" t="s">
        <v>311</v>
      </c>
      <c r="B3440" s="29">
        <v>68701.010450000002</v>
      </c>
      <c r="F3440" t="s">
        <v>311</v>
      </c>
      <c r="G3440">
        <v>2</v>
      </c>
    </row>
    <row r="3441" spans="1:7" x14ac:dyDescent="0.25">
      <c r="A3441" s="28" t="s">
        <v>266</v>
      </c>
      <c r="B3441" s="29">
        <v>68701.010450000002</v>
      </c>
      <c r="F3441" t="s">
        <v>266</v>
      </c>
      <c r="G3441">
        <v>2</v>
      </c>
    </row>
    <row r="3442" spans="1:7" x14ac:dyDescent="0.25">
      <c r="A3442" s="28" t="s">
        <v>754</v>
      </c>
      <c r="B3442" s="29">
        <v>68701.010450000002</v>
      </c>
      <c r="F3442" t="s">
        <v>754</v>
      </c>
      <c r="G3442">
        <v>2</v>
      </c>
    </row>
    <row r="3443" spans="1:7" hidden="1" x14ac:dyDescent="0.25">
      <c r="A3443" s="28" t="s">
        <v>2794</v>
      </c>
      <c r="B3443" s="29">
        <v>67612.45</v>
      </c>
      <c r="F3443" t="s">
        <v>2794</v>
      </c>
      <c r="G3443">
        <v>1</v>
      </c>
    </row>
    <row r="3444" spans="1:7" x14ac:dyDescent="0.25">
      <c r="A3444" s="28" t="s">
        <v>1201</v>
      </c>
      <c r="B3444" s="29">
        <v>68701.010450000002</v>
      </c>
      <c r="F3444" t="s">
        <v>1201</v>
      </c>
      <c r="G3444">
        <v>2</v>
      </c>
    </row>
    <row r="3445" spans="1:7" x14ac:dyDescent="0.25">
      <c r="A3445" s="28" t="s">
        <v>636</v>
      </c>
      <c r="B3445" s="29">
        <v>68701.010450000002</v>
      </c>
      <c r="F3445" t="s">
        <v>636</v>
      </c>
      <c r="G3445">
        <v>2</v>
      </c>
    </row>
    <row r="3446" spans="1:7" x14ac:dyDescent="0.25">
      <c r="A3446" s="28" t="s">
        <v>509</v>
      </c>
      <c r="B3446" s="29">
        <v>68701.010450000002</v>
      </c>
      <c r="F3446" t="s">
        <v>509</v>
      </c>
      <c r="G3446">
        <v>2</v>
      </c>
    </row>
    <row r="3447" spans="1:7" x14ac:dyDescent="0.25">
      <c r="A3447" s="28" t="s">
        <v>203</v>
      </c>
      <c r="B3447" s="29">
        <v>68701.010450000002</v>
      </c>
      <c r="F3447" t="s">
        <v>203</v>
      </c>
      <c r="G3447">
        <v>2</v>
      </c>
    </row>
    <row r="3448" spans="1:7" hidden="1" x14ac:dyDescent="0.25">
      <c r="A3448" s="28" t="s">
        <v>3546</v>
      </c>
      <c r="B3448" s="29">
        <v>67612.45</v>
      </c>
      <c r="F3448" t="s">
        <v>3546</v>
      </c>
      <c r="G3448">
        <v>1</v>
      </c>
    </row>
    <row r="3449" spans="1:7" x14ac:dyDescent="0.25">
      <c r="A3449" s="28" t="s">
        <v>520</v>
      </c>
      <c r="B3449" s="29">
        <v>68701.010450000002</v>
      </c>
      <c r="F3449" t="s">
        <v>520</v>
      </c>
      <c r="G3449">
        <v>2</v>
      </c>
    </row>
    <row r="3450" spans="1:7" x14ac:dyDescent="0.25">
      <c r="A3450" s="28" t="s">
        <v>230</v>
      </c>
      <c r="B3450" s="29">
        <v>68701.010450000002</v>
      </c>
      <c r="F3450" t="s">
        <v>230</v>
      </c>
      <c r="G3450">
        <v>2</v>
      </c>
    </row>
    <row r="3451" spans="1:7" x14ac:dyDescent="0.25">
      <c r="A3451" s="28" t="s">
        <v>691</v>
      </c>
      <c r="B3451" s="29">
        <v>68701.010450000002</v>
      </c>
      <c r="F3451" t="s">
        <v>691</v>
      </c>
      <c r="G3451">
        <v>2</v>
      </c>
    </row>
    <row r="3452" spans="1:7" x14ac:dyDescent="0.25">
      <c r="A3452" s="28" t="s">
        <v>702</v>
      </c>
      <c r="B3452" s="29">
        <v>68701.010450000002</v>
      </c>
      <c r="F3452" t="s">
        <v>702</v>
      </c>
      <c r="G3452">
        <v>2</v>
      </c>
    </row>
    <row r="3453" spans="1:7" x14ac:dyDescent="0.25">
      <c r="A3453" s="28" t="s">
        <v>563</v>
      </c>
      <c r="B3453" s="29">
        <v>68701.010450000002</v>
      </c>
      <c r="F3453" t="s">
        <v>563</v>
      </c>
      <c r="G3453">
        <v>2</v>
      </c>
    </row>
    <row r="3454" spans="1:7" x14ac:dyDescent="0.25">
      <c r="A3454" s="28" t="s">
        <v>1410</v>
      </c>
      <c r="B3454" s="29">
        <v>68701.010450000002</v>
      </c>
      <c r="F3454" t="s">
        <v>1410</v>
      </c>
      <c r="G3454">
        <v>2</v>
      </c>
    </row>
    <row r="3455" spans="1:7" x14ac:dyDescent="0.25">
      <c r="A3455" s="28" t="s">
        <v>534</v>
      </c>
      <c r="B3455" s="29">
        <v>68701.010450000002</v>
      </c>
      <c r="F3455" t="s">
        <v>534</v>
      </c>
      <c r="G3455">
        <v>2</v>
      </c>
    </row>
    <row r="3456" spans="1:7" x14ac:dyDescent="0.25">
      <c r="A3456" s="28" t="s">
        <v>1149</v>
      </c>
      <c r="B3456" s="29">
        <v>68701.010450000002</v>
      </c>
      <c r="F3456" t="s">
        <v>1149</v>
      </c>
      <c r="G3456">
        <v>2</v>
      </c>
    </row>
    <row r="3457" spans="1:7" hidden="1" x14ac:dyDescent="0.25">
      <c r="A3457" s="28" t="s">
        <v>3479</v>
      </c>
      <c r="B3457" s="29">
        <v>67612.45</v>
      </c>
      <c r="F3457" t="s">
        <v>3479</v>
      </c>
      <c r="G3457">
        <v>1</v>
      </c>
    </row>
    <row r="3458" spans="1:7" x14ac:dyDescent="0.25">
      <c r="A3458" s="28" t="s">
        <v>963</v>
      </c>
      <c r="B3458" s="29">
        <v>68701.010450000002</v>
      </c>
      <c r="F3458" t="s">
        <v>963</v>
      </c>
      <c r="G3458">
        <v>2</v>
      </c>
    </row>
    <row r="3459" spans="1:7" x14ac:dyDescent="0.25">
      <c r="A3459" s="28" t="s">
        <v>711</v>
      </c>
      <c r="B3459" s="29">
        <v>68701.010450000002</v>
      </c>
      <c r="F3459" t="s">
        <v>711</v>
      </c>
      <c r="G3459">
        <v>2</v>
      </c>
    </row>
    <row r="3460" spans="1:7" x14ac:dyDescent="0.25">
      <c r="A3460" s="28" t="s">
        <v>76</v>
      </c>
      <c r="B3460" s="29">
        <v>68701.010450000002</v>
      </c>
      <c r="F3460" t="s">
        <v>76</v>
      </c>
      <c r="G3460">
        <v>2</v>
      </c>
    </row>
    <row r="3461" spans="1:7" x14ac:dyDescent="0.25">
      <c r="A3461" s="28" t="s">
        <v>1481</v>
      </c>
      <c r="B3461" s="29">
        <v>68701.010450000002</v>
      </c>
      <c r="F3461" t="s">
        <v>1481</v>
      </c>
      <c r="G3461">
        <v>2</v>
      </c>
    </row>
    <row r="3462" spans="1:7" x14ac:dyDescent="0.25">
      <c r="A3462" s="28" t="s">
        <v>1451</v>
      </c>
      <c r="B3462" s="29">
        <v>68701.010450000002</v>
      </c>
      <c r="F3462" t="s">
        <v>1451</v>
      </c>
      <c r="G3462">
        <v>2</v>
      </c>
    </row>
    <row r="3463" spans="1:7" x14ac:dyDescent="0.25">
      <c r="A3463" s="28" t="s">
        <v>1136</v>
      </c>
      <c r="B3463" s="29">
        <v>68701.010450000002</v>
      </c>
      <c r="F3463" t="s">
        <v>1136</v>
      </c>
      <c r="G3463">
        <v>2</v>
      </c>
    </row>
    <row r="3464" spans="1:7" x14ac:dyDescent="0.25">
      <c r="A3464" s="28" t="s">
        <v>1123</v>
      </c>
      <c r="B3464" s="29">
        <v>68701.010450000002</v>
      </c>
      <c r="F3464" t="s">
        <v>1123</v>
      </c>
      <c r="G3464">
        <v>2</v>
      </c>
    </row>
    <row r="3465" spans="1:7" x14ac:dyDescent="0.25">
      <c r="A3465" s="28" t="s">
        <v>1290</v>
      </c>
      <c r="B3465" s="29">
        <v>68701.010450000002</v>
      </c>
      <c r="F3465" t="s">
        <v>1290</v>
      </c>
      <c r="G3465">
        <v>2</v>
      </c>
    </row>
    <row r="3466" spans="1:7" x14ac:dyDescent="0.25">
      <c r="A3466" s="28" t="s">
        <v>751</v>
      </c>
      <c r="B3466" s="29">
        <v>68701.010450000002</v>
      </c>
      <c r="F3466" t="s">
        <v>751</v>
      </c>
      <c r="G3466">
        <v>2</v>
      </c>
    </row>
    <row r="3467" spans="1:7" x14ac:dyDescent="0.25">
      <c r="A3467" s="28" t="s">
        <v>179</v>
      </c>
      <c r="B3467" s="29">
        <v>68701.010450000002</v>
      </c>
      <c r="F3467" t="s">
        <v>179</v>
      </c>
      <c r="G3467">
        <v>2</v>
      </c>
    </row>
    <row r="3468" spans="1:7" x14ac:dyDescent="0.25">
      <c r="A3468" s="28" t="s">
        <v>983</v>
      </c>
      <c r="B3468" s="29">
        <v>68701.010450000002</v>
      </c>
      <c r="F3468" t="s">
        <v>983</v>
      </c>
      <c r="G3468">
        <v>2</v>
      </c>
    </row>
    <row r="3469" spans="1:7" hidden="1" x14ac:dyDescent="0.25">
      <c r="A3469" s="28" t="s">
        <v>3513</v>
      </c>
      <c r="B3469" s="29">
        <v>67612.45</v>
      </c>
      <c r="F3469" t="s">
        <v>3513</v>
      </c>
      <c r="G3469">
        <v>1</v>
      </c>
    </row>
    <row r="3470" spans="1:7" hidden="1" x14ac:dyDescent="0.25">
      <c r="A3470" s="28" t="s">
        <v>3336</v>
      </c>
      <c r="B3470" s="29">
        <v>67612.45</v>
      </c>
      <c r="F3470" t="s">
        <v>3336</v>
      </c>
      <c r="G3470">
        <v>1</v>
      </c>
    </row>
    <row r="3471" spans="1:7" x14ac:dyDescent="0.25">
      <c r="A3471" s="28" t="s">
        <v>893</v>
      </c>
      <c r="B3471" s="29">
        <v>68701.010450000002</v>
      </c>
      <c r="F3471" t="s">
        <v>893</v>
      </c>
      <c r="G3471">
        <v>2</v>
      </c>
    </row>
    <row r="3472" spans="1:7" x14ac:dyDescent="0.25">
      <c r="A3472" s="28" t="s">
        <v>1532</v>
      </c>
      <c r="B3472" s="29">
        <v>68701.010450000002</v>
      </c>
      <c r="F3472" t="s">
        <v>1532</v>
      </c>
      <c r="G3472">
        <v>2</v>
      </c>
    </row>
    <row r="3473" spans="1:7" x14ac:dyDescent="0.25">
      <c r="A3473" s="28" t="s">
        <v>583</v>
      </c>
      <c r="B3473" s="29">
        <v>68701.010450000002</v>
      </c>
      <c r="F3473" t="s">
        <v>583</v>
      </c>
      <c r="G3473">
        <v>2</v>
      </c>
    </row>
    <row r="3474" spans="1:7" x14ac:dyDescent="0.25">
      <c r="A3474" s="28" t="s">
        <v>464</v>
      </c>
      <c r="B3474" s="29">
        <v>68701.010450000002</v>
      </c>
      <c r="F3474" t="s">
        <v>464</v>
      </c>
      <c r="G3474">
        <v>2</v>
      </c>
    </row>
    <row r="3475" spans="1:7" x14ac:dyDescent="0.25">
      <c r="A3475" s="28" t="s">
        <v>967</v>
      </c>
      <c r="B3475" s="29">
        <v>68701.010450000002</v>
      </c>
      <c r="F3475" t="s">
        <v>967</v>
      </c>
      <c r="G3475">
        <v>2</v>
      </c>
    </row>
    <row r="3476" spans="1:7" x14ac:dyDescent="0.25">
      <c r="A3476" s="28" t="s">
        <v>596</v>
      </c>
      <c r="B3476" s="29">
        <v>68701.010450000002</v>
      </c>
      <c r="F3476" t="s">
        <v>596</v>
      </c>
      <c r="G3476">
        <v>2</v>
      </c>
    </row>
    <row r="3477" spans="1:7" x14ac:dyDescent="0.25">
      <c r="A3477" s="28" t="s">
        <v>530</v>
      </c>
      <c r="B3477" s="29">
        <v>68701.010450000002</v>
      </c>
      <c r="F3477" t="s">
        <v>530</v>
      </c>
      <c r="G3477">
        <v>2</v>
      </c>
    </row>
    <row r="3478" spans="1:7" x14ac:dyDescent="0.25">
      <c r="A3478" s="28" t="s">
        <v>143</v>
      </c>
      <c r="B3478" s="29">
        <v>68701.010450000002</v>
      </c>
      <c r="F3478" t="s">
        <v>143</v>
      </c>
      <c r="G3478">
        <v>2</v>
      </c>
    </row>
    <row r="3479" spans="1:7" x14ac:dyDescent="0.25">
      <c r="A3479" s="28" t="s">
        <v>293</v>
      </c>
      <c r="B3479" s="29">
        <v>68701.010450000002</v>
      </c>
      <c r="F3479" t="s">
        <v>293</v>
      </c>
      <c r="G3479">
        <v>2</v>
      </c>
    </row>
    <row r="3480" spans="1:7" x14ac:dyDescent="0.25">
      <c r="A3480" s="28" t="s">
        <v>407</v>
      </c>
      <c r="B3480" s="29">
        <v>68701.010450000002</v>
      </c>
      <c r="F3480" t="s">
        <v>407</v>
      </c>
      <c r="G3480">
        <v>2</v>
      </c>
    </row>
    <row r="3481" spans="1:7" x14ac:dyDescent="0.25">
      <c r="A3481" s="28" t="s">
        <v>558</v>
      </c>
      <c r="B3481" s="29">
        <v>68701.010450000002</v>
      </c>
      <c r="F3481" t="s">
        <v>558</v>
      </c>
      <c r="G3481">
        <v>2</v>
      </c>
    </row>
    <row r="3482" spans="1:7" hidden="1" x14ac:dyDescent="0.25">
      <c r="A3482" s="28" t="s">
        <v>2301</v>
      </c>
      <c r="B3482" s="29">
        <v>67612.45</v>
      </c>
      <c r="F3482" t="s">
        <v>2301</v>
      </c>
      <c r="G3482">
        <v>1</v>
      </c>
    </row>
    <row r="3483" spans="1:7" x14ac:dyDescent="0.25">
      <c r="A3483" s="28" t="s">
        <v>265</v>
      </c>
      <c r="B3483" s="29">
        <v>61847.141600000003</v>
      </c>
      <c r="F3483" t="s">
        <v>265</v>
      </c>
      <c r="G3483">
        <v>2</v>
      </c>
    </row>
    <row r="3484" spans="1:7" x14ac:dyDescent="0.25">
      <c r="A3484" s="28" t="s">
        <v>262</v>
      </c>
      <c r="B3484" s="29">
        <v>61847.141600000003</v>
      </c>
      <c r="F3484" t="s">
        <v>262</v>
      </c>
      <c r="G3484">
        <v>2</v>
      </c>
    </row>
    <row r="3485" spans="1:7" x14ac:dyDescent="0.25">
      <c r="A3485" s="28" t="s">
        <v>229</v>
      </c>
      <c r="B3485" s="29">
        <v>61847.141600000003</v>
      </c>
      <c r="F3485" t="s">
        <v>229</v>
      </c>
      <c r="G3485">
        <v>2</v>
      </c>
    </row>
    <row r="3486" spans="1:7" x14ac:dyDescent="0.25">
      <c r="A3486" s="28" t="s">
        <v>545</v>
      </c>
      <c r="B3486" s="29">
        <v>61847.141600000003</v>
      </c>
      <c r="F3486" t="s">
        <v>545</v>
      </c>
      <c r="G3486">
        <v>2</v>
      </c>
    </row>
    <row r="3487" spans="1:7" hidden="1" x14ac:dyDescent="0.25">
      <c r="A3487" s="28" t="s">
        <v>3205</v>
      </c>
      <c r="B3487" s="29">
        <v>60867.18</v>
      </c>
      <c r="F3487" t="s">
        <v>3205</v>
      </c>
      <c r="G3487">
        <v>1</v>
      </c>
    </row>
    <row r="3488" spans="1:7" x14ac:dyDescent="0.25">
      <c r="A3488" s="28" t="s">
        <v>1465</v>
      </c>
      <c r="B3488" s="29">
        <v>61847.141600000003</v>
      </c>
      <c r="F3488" t="s">
        <v>1465</v>
      </c>
      <c r="G3488">
        <v>2</v>
      </c>
    </row>
    <row r="3489" spans="1:7" hidden="1" x14ac:dyDescent="0.25">
      <c r="A3489" s="28" t="s">
        <v>4198</v>
      </c>
      <c r="B3489" s="29">
        <v>60867.18</v>
      </c>
      <c r="F3489" t="s">
        <v>4198</v>
      </c>
      <c r="G3489">
        <v>1</v>
      </c>
    </row>
    <row r="3490" spans="1:7" hidden="1" x14ac:dyDescent="0.25">
      <c r="A3490" s="28" t="s">
        <v>4315</v>
      </c>
      <c r="B3490" s="29">
        <v>60867.18</v>
      </c>
      <c r="F3490" t="s">
        <v>4315</v>
      </c>
      <c r="G3490">
        <v>1</v>
      </c>
    </row>
    <row r="3491" spans="1:7" x14ac:dyDescent="0.25">
      <c r="A3491" s="28" t="s">
        <v>208</v>
      </c>
      <c r="B3491" s="29">
        <v>61847.141600000003</v>
      </c>
      <c r="F3491" t="s">
        <v>208</v>
      </c>
      <c r="G3491">
        <v>2</v>
      </c>
    </row>
    <row r="3492" spans="1:7" hidden="1" x14ac:dyDescent="0.25">
      <c r="A3492" s="28" t="s">
        <v>3819</v>
      </c>
      <c r="B3492" s="29">
        <v>60867.18</v>
      </c>
      <c r="F3492" t="s">
        <v>3819</v>
      </c>
      <c r="G3492">
        <v>1</v>
      </c>
    </row>
    <row r="3493" spans="1:7" x14ac:dyDescent="0.25">
      <c r="A3493" s="28" t="s">
        <v>1455</v>
      </c>
      <c r="B3493" s="29">
        <v>60729.797399999996</v>
      </c>
      <c r="F3493" t="s">
        <v>1455</v>
      </c>
      <c r="G3493">
        <v>2</v>
      </c>
    </row>
    <row r="3494" spans="1:7" hidden="1" x14ac:dyDescent="0.25">
      <c r="A3494" s="28" t="s">
        <v>2286</v>
      </c>
      <c r="B3494" s="29">
        <v>60867.18</v>
      </c>
      <c r="F3494" t="s">
        <v>2286</v>
      </c>
      <c r="G3494">
        <v>1</v>
      </c>
    </row>
    <row r="3495" spans="1:7" hidden="1" x14ac:dyDescent="0.25">
      <c r="A3495" s="28" t="s">
        <v>3827</v>
      </c>
      <c r="B3495" s="29">
        <v>60867.18</v>
      </c>
      <c r="F3495" t="s">
        <v>3827</v>
      </c>
      <c r="G3495">
        <v>1</v>
      </c>
    </row>
    <row r="3496" spans="1:7" x14ac:dyDescent="0.25">
      <c r="A3496" s="28" t="s">
        <v>586</v>
      </c>
      <c r="B3496" s="29">
        <v>60729.797399999996</v>
      </c>
      <c r="F3496" t="s">
        <v>586</v>
      </c>
      <c r="G3496">
        <v>2</v>
      </c>
    </row>
    <row r="3497" spans="1:7" hidden="1" x14ac:dyDescent="0.25">
      <c r="A3497" s="28" t="s">
        <v>4313</v>
      </c>
      <c r="B3497" s="29">
        <v>60867.18</v>
      </c>
      <c r="F3497" t="s">
        <v>4313</v>
      </c>
      <c r="G3497">
        <v>1</v>
      </c>
    </row>
    <row r="3498" spans="1:7" hidden="1" x14ac:dyDescent="0.25">
      <c r="A3498" s="28" t="s">
        <v>4252</v>
      </c>
      <c r="B3498" s="29">
        <v>60867.18</v>
      </c>
      <c r="F3498" t="s">
        <v>4252</v>
      </c>
      <c r="G3498">
        <v>1</v>
      </c>
    </row>
    <row r="3499" spans="1:7" hidden="1" x14ac:dyDescent="0.25">
      <c r="A3499" s="28" t="s">
        <v>2388</v>
      </c>
      <c r="B3499" s="29">
        <v>60867.18</v>
      </c>
      <c r="F3499" t="s">
        <v>2388</v>
      </c>
      <c r="G3499">
        <v>1</v>
      </c>
    </row>
    <row r="3500" spans="1:7" x14ac:dyDescent="0.25">
      <c r="A3500" s="28" t="s">
        <v>1472</v>
      </c>
      <c r="B3500" s="29">
        <v>61847.141600000003</v>
      </c>
      <c r="F3500" t="s">
        <v>1472</v>
      </c>
      <c r="G3500">
        <v>2</v>
      </c>
    </row>
    <row r="3501" spans="1:7" x14ac:dyDescent="0.25">
      <c r="A3501" s="28" t="s">
        <v>350</v>
      </c>
      <c r="B3501" s="29">
        <v>61847.141600000003</v>
      </c>
      <c r="F3501" t="s">
        <v>350</v>
      </c>
      <c r="G3501">
        <v>2</v>
      </c>
    </row>
    <row r="3502" spans="1:7" hidden="1" x14ac:dyDescent="0.25">
      <c r="A3502" s="28" t="s">
        <v>3335</v>
      </c>
      <c r="B3502" s="29">
        <v>60867.18</v>
      </c>
      <c r="F3502" t="s">
        <v>3335</v>
      </c>
      <c r="G3502">
        <v>1</v>
      </c>
    </row>
    <row r="3503" spans="1:7" hidden="1" x14ac:dyDescent="0.25">
      <c r="A3503" s="28" t="s">
        <v>2634</v>
      </c>
      <c r="B3503" s="29">
        <v>59767.54</v>
      </c>
      <c r="F3503" t="s">
        <v>2634</v>
      </c>
      <c r="G3503">
        <v>1</v>
      </c>
    </row>
    <row r="3504" spans="1:7" hidden="1" x14ac:dyDescent="0.25">
      <c r="A3504" s="28" t="s">
        <v>3333</v>
      </c>
      <c r="B3504" s="29">
        <v>59767.54</v>
      </c>
      <c r="F3504" t="s">
        <v>3333</v>
      </c>
      <c r="G3504">
        <v>1</v>
      </c>
    </row>
    <row r="3505" spans="1:7" hidden="1" x14ac:dyDescent="0.25">
      <c r="A3505" s="28" t="s">
        <v>4693</v>
      </c>
      <c r="B3505" s="29">
        <v>59767.54</v>
      </c>
      <c r="F3505" t="s">
        <v>4693</v>
      </c>
      <c r="G3505">
        <v>1</v>
      </c>
    </row>
    <row r="3506" spans="1:7" hidden="1" x14ac:dyDescent="0.25">
      <c r="A3506" s="28" t="s">
        <v>4841</v>
      </c>
      <c r="B3506" s="29">
        <v>59767.54</v>
      </c>
      <c r="F3506" t="s">
        <v>4841</v>
      </c>
      <c r="G3506">
        <v>1</v>
      </c>
    </row>
    <row r="3507" spans="1:7" hidden="1" x14ac:dyDescent="0.25">
      <c r="A3507" s="28" t="s">
        <v>4947</v>
      </c>
      <c r="B3507" s="29">
        <v>59767.54</v>
      </c>
      <c r="F3507" t="s">
        <v>4947</v>
      </c>
      <c r="G3507">
        <v>1</v>
      </c>
    </row>
    <row r="3508" spans="1:7" hidden="1" x14ac:dyDescent="0.25">
      <c r="A3508" s="28" t="s">
        <v>3489</v>
      </c>
      <c r="B3508" s="29">
        <v>60867.18</v>
      </c>
      <c r="F3508" t="s">
        <v>3489</v>
      </c>
      <c r="G3508">
        <v>1</v>
      </c>
    </row>
    <row r="3509" spans="1:7" x14ac:dyDescent="0.25">
      <c r="A3509" s="28" t="s">
        <v>1006</v>
      </c>
      <c r="B3509" s="29">
        <v>50405.296749999994</v>
      </c>
      <c r="F3509" t="s">
        <v>1006</v>
      </c>
      <c r="G3509">
        <v>2</v>
      </c>
    </row>
    <row r="3510" spans="1:7" hidden="1" x14ac:dyDescent="0.25">
      <c r="A3510" s="28" t="s">
        <v>4473</v>
      </c>
      <c r="B3510" s="29">
        <v>49606.63</v>
      </c>
      <c r="F3510" t="s">
        <v>4473</v>
      </c>
      <c r="G3510">
        <v>1</v>
      </c>
    </row>
    <row r="3511" spans="1:7" hidden="1" x14ac:dyDescent="0.25">
      <c r="A3511" s="28" t="s">
        <v>4276</v>
      </c>
      <c r="B3511" s="29">
        <v>49606.63</v>
      </c>
      <c r="F3511" t="s">
        <v>4276</v>
      </c>
      <c r="G3511">
        <v>1</v>
      </c>
    </row>
    <row r="3512" spans="1:7" x14ac:dyDescent="0.25">
      <c r="A3512" s="28" t="s">
        <v>1605</v>
      </c>
      <c r="B3512" s="29">
        <v>50405.296749999994</v>
      </c>
      <c r="F3512" t="s">
        <v>1605</v>
      </c>
      <c r="G3512">
        <v>2</v>
      </c>
    </row>
    <row r="3513" spans="1:7" hidden="1" x14ac:dyDescent="0.25">
      <c r="A3513" s="28" t="s">
        <v>2899</v>
      </c>
      <c r="B3513" s="29">
        <v>49606.63</v>
      </c>
      <c r="F3513" t="s">
        <v>2899</v>
      </c>
      <c r="G3513">
        <v>1</v>
      </c>
    </row>
    <row r="3514" spans="1:7" hidden="1" x14ac:dyDescent="0.25">
      <c r="A3514" s="28" t="s">
        <v>4086</v>
      </c>
      <c r="B3514" s="29">
        <v>49606.63</v>
      </c>
      <c r="F3514" t="s">
        <v>4086</v>
      </c>
      <c r="G3514">
        <v>1</v>
      </c>
    </row>
    <row r="3515" spans="1:7" x14ac:dyDescent="0.25">
      <c r="A3515" s="28" t="s">
        <v>1606</v>
      </c>
      <c r="B3515" s="29">
        <v>50405.296749999994</v>
      </c>
      <c r="F3515" t="s">
        <v>1606</v>
      </c>
      <c r="G3515">
        <v>2</v>
      </c>
    </row>
    <row r="3516" spans="1:7" hidden="1" x14ac:dyDescent="0.25">
      <c r="A3516" s="28" t="s">
        <v>3419</v>
      </c>
      <c r="B3516" s="29">
        <v>49606.63</v>
      </c>
      <c r="F3516" t="s">
        <v>3419</v>
      </c>
      <c r="G3516">
        <v>1</v>
      </c>
    </row>
    <row r="3517" spans="1:7" hidden="1" x14ac:dyDescent="0.25">
      <c r="A3517" s="28" t="s">
        <v>5064</v>
      </c>
      <c r="B3517" s="29">
        <v>49606.63</v>
      </c>
      <c r="F3517" t="s">
        <v>5064</v>
      </c>
      <c r="G3517">
        <v>1</v>
      </c>
    </row>
    <row r="3518" spans="1:7" hidden="1" x14ac:dyDescent="0.25">
      <c r="A3518" s="28" t="s">
        <v>4428</v>
      </c>
      <c r="B3518" s="29">
        <v>59767.54</v>
      </c>
      <c r="F3518" t="s">
        <v>4428</v>
      </c>
      <c r="G3518">
        <v>1</v>
      </c>
    </row>
    <row r="3519" spans="1:7" x14ac:dyDescent="0.25">
      <c r="A3519" s="28" t="s">
        <v>892</v>
      </c>
      <c r="B3519" s="29">
        <v>50405.296749999994</v>
      </c>
      <c r="F3519" t="s">
        <v>892</v>
      </c>
      <c r="G3519">
        <v>2</v>
      </c>
    </row>
    <row r="3520" spans="1:7" hidden="1" x14ac:dyDescent="0.25">
      <c r="A3520" s="28" t="s">
        <v>4127</v>
      </c>
      <c r="B3520" s="29">
        <v>49606.63</v>
      </c>
      <c r="F3520" t="s">
        <v>4127</v>
      </c>
      <c r="G3520">
        <v>1</v>
      </c>
    </row>
    <row r="3521" spans="1:7" x14ac:dyDescent="0.25">
      <c r="A3521" s="28" t="s">
        <v>981</v>
      </c>
      <c r="B3521" s="29">
        <v>50405.296749999994</v>
      </c>
      <c r="F3521" t="s">
        <v>981</v>
      </c>
      <c r="G3521">
        <v>2</v>
      </c>
    </row>
    <row r="3522" spans="1:7" x14ac:dyDescent="0.25">
      <c r="A3522" s="28" t="s">
        <v>335</v>
      </c>
      <c r="B3522" s="29">
        <v>60729.797399999996</v>
      </c>
      <c r="F3522" t="s">
        <v>335</v>
      </c>
      <c r="G3522">
        <v>2</v>
      </c>
    </row>
    <row r="3523" spans="1:7" hidden="1" x14ac:dyDescent="0.25">
      <c r="A3523" s="28" t="s">
        <v>4006</v>
      </c>
      <c r="B3523" s="29">
        <v>49606.63</v>
      </c>
      <c r="F3523" t="s">
        <v>4006</v>
      </c>
      <c r="G3523">
        <v>1</v>
      </c>
    </row>
    <row r="3524" spans="1:7" hidden="1" x14ac:dyDescent="0.25">
      <c r="A3524" s="28" t="s">
        <v>3875</v>
      </c>
      <c r="B3524" s="29">
        <v>59767.54</v>
      </c>
      <c r="F3524" t="s">
        <v>3875</v>
      </c>
      <c r="G3524">
        <v>1</v>
      </c>
    </row>
    <row r="3525" spans="1:7" hidden="1" x14ac:dyDescent="0.25">
      <c r="A3525" s="28" t="s">
        <v>4389</v>
      </c>
      <c r="B3525" s="29">
        <v>59767.54</v>
      </c>
      <c r="F3525" t="s">
        <v>4389</v>
      </c>
      <c r="G3525">
        <v>1</v>
      </c>
    </row>
    <row r="3526" spans="1:7" hidden="1" x14ac:dyDescent="0.25">
      <c r="A3526" s="28" t="s">
        <v>4406</v>
      </c>
      <c r="B3526" s="29">
        <v>49606.63</v>
      </c>
      <c r="F3526" t="s">
        <v>4406</v>
      </c>
      <c r="G3526">
        <v>1</v>
      </c>
    </row>
    <row r="3527" spans="1:7" hidden="1" x14ac:dyDescent="0.25">
      <c r="A3527" s="28" t="s">
        <v>4778</v>
      </c>
      <c r="B3527" s="29">
        <v>49606.63</v>
      </c>
      <c r="F3527" t="s">
        <v>4778</v>
      </c>
      <c r="G3527">
        <v>1</v>
      </c>
    </row>
    <row r="3528" spans="1:7" hidden="1" x14ac:dyDescent="0.25">
      <c r="A3528" s="28" t="s">
        <v>3877</v>
      </c>
      <c r="B3528" s="29">
        <v>59767.54</v>
      </c>
      <c r="F3528" t="s">
        <v>3877</v>
      </c>
      <c r="G3528">
        <v>1</v>
      </c>
    </row>
    <row r="3529" spans="1:7" hidden="1" x14ac:dyDescent="0.25">
      <c r="A3529" s="28" t="s">
        <v>2530</v>
      </c>
      <c r="B3529" s="29">
        <v>49606.63</v>
      </c>
      <c r="F3529" t="s">
        <v>2530</v>
      </c>
      <c r="G3529">
        <v>1</v>
      </c>
    </row>
    <row r="3530" spans="1:7" hidden="1" x14ac:dyDescent="0.25">
      <c r="A3530" s="28" t="s">
        <v>3433</v>
      </c>
      <c r="B3530" s="29">
        <v>60867.18</v>
      </c>
      <c r="F3530" t="s">
        <v>3433</v>
      </c>
      <c r="G3530">
        <v>1</v>
      </c>
    </row>
    <row r="3531" spans="1:7" hidden="1" x14ac:dyDescent="0.25">
      <c r="A3531" s="28" t="s">
        <v>4000</v>
      </c>
      <c r="B3531" s="29">
        <v>60867.18</v>
      </c>
      <c r="F3531" t="s">
        <v>4000</v>
      </c>
      <c r="G3531">
        <v>1</v>
      </c>
    </row>
    <row r="3532" spans="1:7" hidden="1" x14ac:dyDescent="0.25">
      <c r="A3532" s="28" t="s">
        <v>3161</v>
      </c>
      <c r="B3532" s="29">
        <v>60867.18</v>
      </c>
      <c r="F3532" t="s">
        <v>3161</v>
      </c>
      <c r="G3532">
        <v>1</v>
      </c>
    </row>
    <row r="3533" spans="1:7" hidden="1" x14ac:dyDescent="0.25">
      <c r="A3533" s="28" t="s">
        <v>3478</v>
      </c>
      <c r="B3533" s="29">
        <v>60867.18</v>
      </c>
      <c r="F3533" t="s">
        <v>3478</v>
      </c>
      <c r="G3533">
        <v>1</v>
      </c>
    </row>
    <row r="3534" spans="1:7" hidden="1" x14ac:dyDescent="0.25">
      <c r="A3534" s="28" t="s">
        <v>4169</v>
      </c>
      <c r="B3534" s="29">
        <v>60867.18</v>
      </c>
      <c r="F3534" t="s">
        <v>4169</v>
      </c>
      <c r="G3534">
        <v>1</v>
      </c>
    </row>
    <row r="3535" spans="1:7" hidden="1" x14ac:dyDescent="0.25">
      <c r="A3535" s="28" t="s">
        <v>3963</v>
      </c>
      <c r="B3535" s="29">
        <v>60867.18</v>
      </c>
      <c r="F3535" t="s">
        <v>3963</v>
      </c>
      <c r="G3535">
        <v>1</v>
      </c>
    </row>
    <row r="3536" spans="1:7" hidden="1" x14ac:dyDescent="0.25">
      <c r="A3536" s="28" t="s">
        <v>4286</v>
      </c>
      <c r="B3536" s="29">
        <v>60867.18</v>
      </c>
      <c r="F3536" t="s">
        <v>4286</v>
      </c>
      <c r="G3536">
        <v>1</v>
      </c>
    </row>
    <row r="3537" spans="1:7" hidden="1" x14ac:dyDescent="0.25">
      <c r="A3537" s="28" t="s">
        <v>4265</v>
      </c>
      <c r="B3537" s="29">
        <v>60867.18</v>
      </c>
      <c r="F3537" t="s">
        <v>4265</v>
      </c>
      <c r="G3537">
        <v>1</v>
      </c>
    </row>
    <row r="3538" spans="1:7" hidden="1" x14ac:dyDescent="0.25">
      <c r="A3538" s="28" t="s">
        <v>2629</v>
      </c>
      <c r="B3538" s="29">
        <v>60867.18</v>
      </c>
      <c r="F3538" t="s">
        <v>2629</v>
      </c>
      <c r="G3538">
        <v>1</v>
      </c>
    </row>
    <row r="3539" spans="1:7" x14ac:dyDescent="0.25">
      <c r="A3539" s="28" t="s">
        <v>837</v>
      </c>
      <c r="B3539" s="29">
        <v>47839.77635</v>
      </c>
      <c r="F3539" t="s">
        <v>837</v>
      </c>
      <c r="G3539">
        <v>2</v>
      </c>
    </row>
    <row r="3540" spans="1:7" hidden="1" x14ac:dyDescent="0.25">
      <c r="A3540" s="28" t="s">
        <v>3482</v>
      </c>
      <c r="B3540" s="29">
        <v>47081.760000000002</v>
      </c>
      <c r="F3540" t="s">
        <v>3482</v>
      </c>
      <c r="G3540">
        <v>1</v>
      </c>
    </row>
    <row r="3541" spans="1:7" x14ac:dyDescent="0.25">
      <c r="A3541" s="28" t="s">
        <v>648</v>
      </c>
      <c r="B3541" s="29">
        <v>47839.77635</v>
      </c>
      <c r="F3541" t="s">
        <v>648</v>
      </c>
      <c r="G3541">
        <v>2</v>
      </c>
    </row>
    <row r="3542" spans="1:7" hidden="1" x14ac:dyDescent="0.25">
      <c r="A3542" s="28" t="s">
        <v>4678</v>
      </c>
      <c r="B3542" s="29">
        <v>47081.760000000002</v>
      </c>
      <c r="F3542" t="s">
        <v>4678</v>
      </c>
      <c r="G3542">
        <v>1</v>
      </c>
    </row>
    <row r="3543" spans="1:7" x14ac:dyDescent="0.25">
      <c r="A3543" s="28" t="s">
        <v>1480</v>
      </c>
      <c r="B3543" s="29">
        <v>47839.77635</v>
      </c>
      <c r="F3543" t="s">
        <v>1480</v>
      </c>
      <c r="G3543">
        <v>2</v>
      </c>
    </row>
    <row r="3544" spans="1:7" hidden="1" x14ac:dyDescent="0.25">
      <c r="A3544" s="28" t="s">
        <v>4624</v>
      </c>
      <c r="B3544" s="29">
        <v>47081.760000000002</v>
      </c>
      <c r="F3544" t="s">
        <v>4624</v>
      </c>
      <c r="G3544">
        <v>1</v>
      </c>
    </row>
    <row r="3545" spans="1:7" hidden="1" x14ac:dyDescent="0.25">
      <c r="A3545" s="28" t="s">
        <v>4268</v>
      </c>
      <c r="B3545" s="29">
        <v>47081.760000000002</v>
      </c>
      <c r="F3545" t="s">
        <v>4268</v>
      </c>
      <c r="G3545">
        <v>1</v>
      </c>
    </row>
    <row r="3546" spans="1:7" hidden="1" x14ac:dyDescent="0.25">
      <c r="A3546" s="28" t="s">
        <v>3866</v>
      </c>
      <c r="B3546" s="29">
        <v>47081.760000000002</v>
      </c>
      <c r="F3546" t="s">
        <v>3866</v>
      </c>
      <c r="G3546">
        <v>1</v>
      </c>
    </row>
    <row r="3547" spans="1:7" x14ac:dyDescent="0.25">
      <c r="A3547" s="28" t="s">
        <v>1419</v>
      </c>
      <c r="B3547" s="29">
        <v>47839.77635</v>
      </c>
      <c r="F3547" t="s">
        <v>1419</v>
      </c>
      <c r="G3547">
        <v>2</v>
      </c>
    </row>
    <row r="3548" spans="1:7" x14ac:dyDescent="0.25">
      <c r="A3548" s="28" t="s">
        <v>1346</v>
      </c>
      <c r="B3548" s="29">
        <v>47839.77635</v>
      </c>
      <c r="F3548" t="s">
        <v>1346</v>
      </c>
      <c r="G3548">
        <v>2</v>
      </c>
    </row>
    <row r="3549" spans="1:7" hidden="1" x14ac:dyDescent="0.25">
      <c r="A3549" s="28" t="s">
        <v>3574</v>
      </c>
      <c r="B3549" s="29">
        <v>47081.760000000002</v>
      </c>
      <c r="F3549" t="s">
        <v>3574</v>
      </c>
      <c r="G3549">
        <v>1</v>
      </c>
    </row>
    <row r="3550" spans="1:7" hidden="1" x14ac:dyDescent="0.25">
      <c r="A3550" s="28" t="s">
        <v>3859</v>
      </c>
      <c r="B3550" s="29">
        <v>47081.760000000002</v>
      </c>
      <c r="F3550" t="s">
        <v>3859</v>
      </c>
      <c r="G3550">
        <v>1</v>
      </c>
    </row>
    <row r="3551" spans="1:7" hidden="1" x14ac:dyDescent="0.25">
      <c r="A3551" s="28" t="s">
        <v>4230</v>
      </c>
      <c r="B3551" s="29">
        <v>47081.760000000002</v>
      </c>
      <c r="F3551" t="s">
        <v>4230</v>
      </c>
      <c r="G3551">
        <v>1</v>
      </c>
    </row>
    <row r="3552" spans="1:7" x14ac:dyDescent="0.25">
      <c r="A3552" s="28" t="s">
        <v>1116</v>
      </c>
      <c r="B3552" s="29">
        <v>47839.77635</v>
      </c>
      <c r="F3552" t="s">
        <v>1116</v>
      </c>
      <c r="G3552">
        <v>2</v>
      </c>
    </row>
    <row r="3553" spans="1:7" hidden="1" x14ac:dyDescent="0.25">
      <c r="A3553" s="28" t="s">
        <v>4574</v>
      </c>
      <c r="B3553" s="29">
        <v>47081.760000000002</v>
      </c>
      <c r="F3553" t="s">
        <v>4574</v>
      </c>
      <c r="G3553">
        <v>1</v>
      </c>
    </row>
    <row r="3554" spans="1:7" hidden="1" x14ac:dyDescent="0.25">
      <c r="A3554" s="28" t="s">
        <v>4210</v>
      </c>
      <c r="B3554" s="29">
        <v>47081.760000000002</v>
      </c>
      <c r="F3554" t="s">
        <v>4210</v>
      </c>
      <c r="G3554">
        <v>1</v>
      </c>
    </row>
    <row r="3555" spans="1:7" x14ac:dyDescent="0.25">
      <c r="A3555" s="28" t="s">
        <v>1425</v>
      </c>
      <c r="B3555" s="29">
        <v>47839.77635</v>
      </c>
      <c r="F3555" t="s">
        <v>1425</v>
      </c>
      <c r="G3555">
        <v>2</v>
      </c>
    </row>
    <row r="3556" spans="1:7" hidden="1" x14ac:dyDescent="0.25">
      <c r="A3556" s="28" t="s">
        <v>4242</v>
      </c>
      <c r="B3556" s="29">
        <v>47081.760000000002</v>
      </c>
      <c r="F3556" t="s">
        <v>4242</v>
      </c>
      <c r="G3556">
        <v>1</v>
      </c>
    </row>
    <row r="3557" spans="1:7" x14ac:dyDescent="0.25">
      <c r="A3557" s="28" t="s">
        <v>565</v>
      </c>
      <c r="B3557" s="29">
        <v>47839.77635</v>
      </c>
      <c r="F3557" t="s">
        <v>565</v>
      </c>
      <c r="G3557">
        <v>2</v>
      </c>
    </row>
    <row r="3558" spans="1:7" hidden="1" x14ac:dyDescent="0.25">
      <c r="A3558" s="28" t="s">
        <v>3420</v>
      </c>
      <c r="B3558" s="29">
        <v>47081.760000000002</v>
      </c>
      <c r="F3558" t="s">
        <v>3420</v>
      </c>
      <c r="G3558">
        <v>1</v>
      </c>
    </row>
    <row r="3559" spans="1:7" hidden="1" x14ac:dyDescent="0.25">
      <c r="A3559" s="28" t="s">
        <v>4490</v>
      </c>
      <c r="B3559" s="29">
        <v>47081.760000000002</v>
      </c>
      <c r="F3559" t="s">
        <v>4490</v>
      </c>
      <c r="G3559">
        <v>1</v>
      </c>
    </row>
    <row r="3560" spans="1:7" hidden="1" x14ac:dyDescent="0.25">
      <c r="A3560" s="28" t="s">
        <v>4212</v>
      </c>
      <c r="B3560" s="29">
        <v>47081.760000000002</v>
      </c>
      <c r="F3560" t="s">
        <v>4212</v>
      </c>
      <c r="G3560">
        <v>1</v>
      </c>
    </row>
    <row r="3561" spans="1:7" x14ac:dyDescent="0.25">
      <c r="A3561" s="28" t="s">
        <v>723</v>
      </c>
      <c r="B3561" s="29">
        <v>47839.77635</v>
      </c>
      <c r="F3561" t="s">
        <v>723</v>
      </c>
      <c r="G3561">
        <v>2</v>
      </c>
    </row>
    <row r="3562" spans="1:7" hidden="1" x14ac:dyDescent="0.25">
      <c r="A3562" s="28" t="s">
        <v>3019</v>
      </c>
      <c r="B3562" s="29">
        <v>47081.760000000002</v>
      </c>
      <c r="F3562" t="s">
        <v>3019</v>
      </c>
      <c r="G3562">
        <v>1</v>
      </c>
    </row>
    <row r="3563" spans="1:7" hidden="1" x14ac:dyDescent="0.25">
      <c r="A3563" s="28" t="s">
        <v>3724</v>
      </c>
      <c r="B3563" s="29">
        <v>59767.54</v>
      </c>
      <c r="F3563" t="s">
        <v>3724</v>
      </c>
      <c r="G3563">
        <v>1</v>
      </c>
    </row>
    <row r="3564" spans="1:7" hidden="1" x14ac:dyDescent="0.25">
      <c r="A3564" s="28" t="s">
        <v>3283</v>
      </c>
      <c r="B3564" s="29">
        <v>47081.760000000002</v>
      </c>
      <c r="F3564" t="s">
        <v>3283</v>
      </c>
      <c r="G3564">
        <v>1</v>
      </c>
    </row>
    <row r="3565" spans="1:7" hidden="1" x14ac:dyDescent="0.25">
      <c r="A3565" s="28" t="s">
        <v>3693</v>
      </c>
      <c r="B3565" s="29">
        <v>47081.760000000002</v>
      </c>
      <c r="F3565" t="s">
        <v>3693</v>
      </c>
      <c r="G3565">
        <v>1</v>
      </c>
    </row>
    <row r="3566" spans="1:7" hidden="1" x14ac:dyDescent="0.25">
      <c r="A3566" s="28" t="s">
        <v>4155</v>
      </c>
      <c r="B3566" s="29">
        <v>47081.760000000002</v>
      </c>
      <c r="F3566" t="s">
        <v>4155</v>
      </c>
      <c r="G3566">
        <v>1</v>
      </c>
    </row>
    <row r="3567" spans="1:7" hidden="1" x14ac:dyDescent="0.25">
      <c r="A3567" s="28" t="s">
        <v>4370</v>
      </c>
      <c r="B3567" s="29">
        <v>59767.54</v>
      </c>
      <c r="F3567" t="s">
        <v>4370</v>
      </c>
      <c r="G3567">
        <v>1</v>
      </c>
    </row>
    <row r="3568" spans="1:7" hidden="1" x14ac:dyDescent="0.25">
      <c r="A3568" s="28" t="s">
        <v>3199</v>
      </c>
      <c r="B3568" s="29">
        <v>47081.760000000002</v>
      </c>
      <c r="F3568" t="s">
        <v>3199</v>
      </c>
      <c r="G3568">
        <v>1</v>
      </c>
    </row>
    <row r="3569" spans="1:7" hidden="1" x14ac:dyDescent="0.25">
      <c r="A3569" s="28" t="s">
        <v>4190</v>
      </c>
      <c r="B3569" s="29">
        <v>59767.54</v>
      </c>
      <c r="F3569" t="s">
        <v>4190</v>
      </c>
      <c r="G3569">
        <v>1</v>
      </c>
    </row>
    <row r="3570" spans="1:7" hidden="1" x14ac:dyDescent="0.25">
      <c r="A3570" s="28" t="s">
        <v>4136</v>
      </c>
      <c r="B3570" s="29">
        <v>59767.54</v>
      </c>
      <c r="F3570" t="s">
        <v>4136</v>
      </c>
      <c r="G3570">
        <v>1</v>
      </c>
    </row>
    <row r="3571" spans="1:7" x14ac:dyDescent="0.25">
      <c r="A3571" s="28" t="s">
        <v>232</v>
      </c>
      <c r="B3571" s="29">
        <v>60729.797399999996</v>
      </c>
      <c r="F3571" t="s">
        <v>232</v>
      </c>
      <c r="G3571">
        <v>2</v>
      </c>
    </row>
    <row r="3572" spans="1:7" hidden="1" x14ac:dyDescent="0.25">
      <c r="A3572" s="28" t="s">
        <v>3272</v>
      </c>
      <c r="B3572" s="29">
        <v>59767.54</v>
      </c>
      <c r="F3572" t="s">
        <v>3272</v>
      </c>
      <c r="G3572">
        <v>1</v>
      </c>
    </row>
    <row r="3573" spans="1:7" hidden="1" x14ac:dyDescent="0.25">
      <c r="A3573" s="28" t="s">
        <v>4445</v>
      </c>
      <c r="B3573" s="29">
        <v>59767.54</v>
      </c>
      <c r="F3573" t="s">
        <v>4445</v>
      </c>
      <c r="G3573">
        <v>1</v>
      </c>
    </row>
    <row r="3574" spans="1:7" hidden="1" x14ac:dyDescent="0.25">
      <c r="A3574" s="28" t="s">
        <v>3409</v>
      </c>
      <c r="B3574" s="29">
        <v>59767.54</v>
      </c>
      <c r="F3574" t="s">
        <v>3409</v>
      </c>
      <c r="G3574">
        <v>1</v>
      </c>
    </row>
    <row r="3575" spans="1:7" hidden="1" x14ac:dyDescent="0.25">
      <c r="A3575" s="28" t="s">
        <v>3308</v>
      </c>
      <c r="B3575" s="29">
        <v>59767.54</v>
      </c>
      <c r="F3575" t="s">
        <v>3308</v>
      </c>
      <c r="G3575">
        <v>1</v>
      </c>
    </row>
    <row r="3576" spans="1:7" hidden="1" x14ac:dyDescent="0.25">
      <c r="A3576" s="28" t="s">
        <v>3656</v>
      </c>
      <c r="B3576" s="29">
        <v>59767.54</v>
      </c>
      <c r="F3576" t="s">
        <v>3656</v>
      </c>
      <c r="G3576">
        <v>1</v>
      </c>
    </row>
    <row r="3577" spans="1:7" hidden="1" x14ac:dyDescent="0.25">
      <c r="A3577" s="28" t="s">
        <v>3139</v>
      </c>
      <c r="B3577" s="29">
        <v>59767.54</v>
      </c>
      <c r="F3577" t="s">
        <v>3139</v>
      </c>
      <c r="G3577">
        <v>1</v>
      </c>
    </row>
    <row r="3578" spans="1:7" hidden="1" x14ac:dyDescent="0.25">
      <c r="A3578" s="28" t="s">
        <v>3652</v>
      </c>
      <c r="B3578" s="29">
        <v>59767.54</v>
      </c>
      <c r="F3578" t="s">
        <v>3652</v>
      </c>
      <c r="G3578">
        <v>1</v>
      </c>
    </row>
    <row r="3579" spans="1:7" hidden="1" x14ac:dyDescent="0.25">
      <c r="A3579" s="28" t="s">
        <v>3237</v>
      </c>
      <c r="B3579" s="29">
        <v>59767.54</v>
      </c>
      <c r="F3579" t="s">
        <v>3237</v>
      </c>
      <c r="G3579">
        <v>1</v>
      </c>
    </row>
    <row r="3580" spans="1:7" hidden="1" x14ac:dyDescent="0.25">
      <c r="A3580" s="28" t="s">
        <v>3264</v>
      </c>
      <c r="B3580" s="29">
        <v>59767.54</v>
      </c>
      <c r="F3580" t="s">
        <v>3264</v>
      </c>
      <c r="G3580">
        <v>1</v>
      </c>
    </row>
    <row r="3581" spans="1:7" hidden="1" x14ac:dyDescent="0.25">
      <c r="A3581" s="28" t="s">
        <v>3463</v>
      </c>
      <c r="B3581" s="29">
        <v>59767.54</v>
      </c>
      <c r="F3581" t="s">
        <v>3463</v>
      </c>
      <c r="G3581">
        <v>1</v>
      </c>
    </row>
    <row r="3582" spans="1:7" hidden="1" x14ac:dyDescent="0.25">
      <c r="A3582" s="28" t="s">
        <v>3279</v>
      </c>
      <c r="B3582" s="29">
        <v>59767.54</v>
      </c>
      <c r="F3582" t="s">
        <v>3279</v>
      </c>
      <c r="G3582">
        <v>1</v>
      </c>
    </row>
    <row r="3583" spans="1:7" hidden="1" x14ac:dyDescent="0.25">
      <c r="A3583" s="28" t="s">
        <v>4189</v>
      </c>
      <c r="B3583" s="29">
        <v>59767.54</v>
      </c>
      <c r="F3583" t="s">
        <v>4189</v>
      </c>
      <c r="G3583">
        <v>1</v>
      </c>
    </row>
    <row r="3584" spans="1:7" hidden="1" x14ac:dyDescent="0.25">
      <c r="A3584" s="28" t="s">
        <v>3275</v>
      </c>
      <c r="B3584" s="29">
        <v>59767.54</v>
      </c>
      <c r="F3584" t="s">
        <v>3275</v>
      </c>
      <c r="G3584">
        <v>1</v>
      </c>
    </row>
    <row r="3585" spans="1:7" hidden="1" x14ac:dyDescent="0.25">
      <c r="A3585" s="28" t="s">
        <v>3468</v>
      </c>
      <c r="B3585" s="29">
        <v>59767.54</v>
      </c>
      <c r="F3585" t="s">
        <v>3468</v>
      </c>
      <c r="G3585">
        <v>1</v>
      </c>
    </row>
    <row r="3586" spans="1:7" hidden="1" x14ac:dyDescent="0.25">
      <c r="A3586" s="28" t="s">
        <v>3056</v>
      </c>
      <c r="B3586" s="29">
        <v>59767.54</v>
      </c>
      <c r="F3586" t="s">
        <v>3056</v>
      </c>
      <c r="G3586">
        <v>1</v>
      </c>
    </row>
    <row r="3587" spans="1:7" x14ac:dyDescent="0.25">
      <c r="A3587" s="28" t="s">
        <v>1102</v>
      </c>
      <c r="B3587" s="29">
        <v>60729.797399999996</v>
      </c>
      <c r="F3587" t="s">
        <v>1102</v>
      </c>
      <c r="G3587">
        <v>2</v>
      </c>
    </row>
    <row r="3588" spans="1:7" hidden="1" x14ac:dyDescent="0.25">
      <c r="A3588" s="28" t="s">
        <v>3357</v>
      </c>
      <c r="B3588" s="29">
        <v>59767.54</v>
      </c>
      <c r="F3588" t="s">
        <v>3357</v>
      </c>
      <c r="G3588">
        <v>1</v>
      </c>
    </row>
    <row r="3589" spans="1:7" hidden="1" x14ac:dyDescent="0.25">
      <c r="A3589" s="28" t="s">
        <v>3451</v>
      </c>
      <c r="B3589" s="29">
        <v>59767.54</v>
      </c>
      <c r="F3589" t="s">
        <v>3451</v>
      </c>
      <c r="G3589">
        <v>1</v>
      </c>
    </row>
    <row r="3590" spans="1:7" hidden="1" x14ac:dyDescent="0.25">
      <c r="A3590" s="28" t="s">
        <v>3591</v>
      </c>
      <c r="B3590" s="29">
        <v>59767.54</v>
      </c>
      <c r="F3590" t="s">
        <v>3591</v>
      </c>
      <c r="G3590">
        <v>1</v>
      </c>
    </row>
    <row r="3591" spans="1:7" hidden="1" x14ac:dyDescent="0.25">
      <c r="A3591" s="28" t="s">
        <v>3728</v>
      </c>
      <c r="B3591" s="29">
        <v>59767.54</v>
      </c>
      <c r="F3591" t="s">
        <v>3728</v>
      </c>
      <c r="G3591">
        <v>1</v>
      </c>
    </row>
    <row r="3592" spans="1:7" hidden="1" x14ac:dyDescent="0.25">
      <c r="A3592" s="28" t="s">
        <v>3554</v>
      </c>
      <c r="B3592" s="29">
        <v>59767.54</v>
      </c>
      <c r="F3592" t="s">
        <v>3554</v>
      </c>
      <c r="G3592">
        <v>1</v>
      </c>
    </row>
    <row r="3593" spans="1:7" hidden="1" x14ac:dyDescent="0.25">
      <c r="A3593" s="28" t="s">
        <v>3754</v>
      </c>
      <c r="B3593" s="29">
        <v>59767.54</v>
      </c>
      <c r="F3593" t="s">
        <v>3754</v>
      </c>
      <c r="G3593">
        <v>1</v>
      </c>
    </row>
    <row r="3594" spans="1:7" hidden="1" x14ac:dyDescent="0.25">
      <c r="A3594" s="28" t="s">
        <v>3669</v>
      </c>
      <c r="B3594" s="29">
        <v>59767.54</v>
      </c>
      <c r="F3594" t="s">
        <v>3669</v>
      </c>
      <c r="G3594">
        <v>1</v>
      </c>
    </row>
    <row r="3595" spans="1:7" x14ac:dyDescent="0.25">
      <c r="A3595" s="28" t="s">
        <v>1471</v>
      </c>
      <c r="B3595" s="29">
        <v>60729.797399999996</v>
      </c>
      <c r="F3595" t="s">
        <v>1471</v>
      </c>
      <c r="G3595">
        <v>2</v>
      </c>
    </row>
    <row r="3596" spans="1:7" hidden="1" x14ac:dyDescent="0.25">
      <c r="A3596" s="28" t="s">
        <v>3872</v>
      </c>
      <c r="B3596" s="29">
        <v>59767.54</v>
      </c>
      <c r="F3596" t="s">
        <v>3872</v>
      </c>
      <c r="G3596">
        <v>1</v>
      </c>
    </row>
    <row r="3597" spans="1:7" hidden="1" x14ac:dyDescent="0.25">
      <c r="A3597" s="28" t="s">
        <v>3765</v>
      </c>
      <c r="B3597" s="29">
        <v>59767.54</v>
      </c>
      <c r="F3597" t="s">
        <v>3765</v>
      </c>
      <c r="G3597">
        <v>1</v>
      </c>
    </row>
    <row r="3598" spans="1:7" hidden="1" x14ac:dyDescent="0.25">
      <c r="A3598" s="28" t="s">
        <v>4093</v>
      </c>
      <c r="B3598" s="29">
        <v>59767.54</v>
      </c>
      <c r="F3598" t="s">
        <v>4093</v>
      </c>
      <c r="G3598">
        <v>1</v>
      </c>
    </row>
    <row r="3599" spans="1:7" x14ac:dyDescent="0.25">
      <c r="A3599" s="28" t="s">
        <v>568</v>
      </c>
      <c r="B3599" s="29">
        <v>60729.797399999996</v>
      </c>
      <c r="F3599" t="s">
        <v>568</v>
      </c>
      <c r="G3599">
        <v>2</v>
      </c>
    </row>
    <row r="3600" spans="1:7" x14ac:dyDescent="0.25">
      <c r="A3600" s="28" t="s">
        <v>1011</v>
      </c>
      <c r="B3600" s="29">
        <v>60729.797399999996</v>
      </c>
      <c r="F3600" t="s">
        <v>1011</v>
      </c>
      <c r="G3600">
        <v>2</v>
      </c>
    </row>
    <row r="3601" spans="1:7" hidden="1" x14ac:dyDescent="0.25">
      <c r="A3601" s="28" t="s">
        <v>3870</v>
      </c>
      <c r="B3601" s="29">
        <v>59767.54</v>
      </c>
      <c r="F3601" t="s">
        <v>3870</v>
      </c>
      <c r="G3601">
        <v>1</v>
      </c>
    </row>
    <row r="3602" spans="1:7" hidden="1" x14ac:dyDescent="0.25">
      <c r="A3602" s="28" t="s">
        <v>4336</v>
      </c>
      <c r="B3602" s="29">
        <v>59767.54</v>
      </c>
      <c r="F3602" t="s">
        <v>4336</v>
      </c>
      <c r="G3602">
        <v>1</v>
      </c>
    </row>
    <row r="3603" spans="1:7" hidden="1" x14ac:dyDescent="0.25">
      <c r="A3603" s="28" t="s">
        <v>4631</v>
      </c>
      <c r="B3603" s="29">
        <v>59767.54</v>
      </c>
      <c r="F3603" t="s">
        <v>4631</v>
      </c>
      <c r="G3603">
        <v>1</v>
      </c>
    </row>
    <row r="3604" spans="1:7" hidden="1" x14ac:dyDescent="0.25">
      <c r="A3604" s="28" t="s">
        <v>4583</v>
      </c>
      <c r="B3604" s="29">
        <v>59767.54</v>
      </c>
      <c r="F3604" t="s">
        <v>4583</v>
      </c>
      <c r="G3604">
        <v>1</v>
      </c>
    </row>
    <row r="3605" spans="1:7" hidden="1" x14ac:dyDescent="0.25">
      <c r="A3605" s="28" t="s">
        <v>3397</v>
      </c>
      <c r="B3605" s="29">
        <v>59767.54</v>
      </c>
      <c r="F3605" t="s">
        <v>3397</v>
      </c>
      <c r="G3605">
        <v>1</v>
      </c>
    </row>
    <row r="3606" spans="1:7" hidden="1" x14ac:dyDescent="0.25">
      <c r="A3606" s="28" t="s">
        <v>4401</v>
      </c>
      <c r="B3606" s="29">
        <v>59767.54</v>
      </c>
      <c r="F3606" t="s">
        <v>4401</v>
      </c>
      <c r="G3606">
        <v>1</v>
      </c>
    </row>
    <row r="3607" spans="1:7" hidden="1" x14ac:dyDescent="0.25">
      <c r="A3607" s="28" t="s">
        <v>3277</v>
      </c>
      <c r="B3607" s="29">
        <v>59767.54</v>
      </c>
      <c r="F3607" t="s">
        <v>3277</v>
      </c>
      <c r="G3607">
        <v>1</v>
      </c>
    </row>
    <row r="3608" spans="1:7" hidden="1" x14ac:dyDescent="0.25">
      <c r="A3608" s="28" t="s">
        <v>4143</v>
      </c>
      <c r="B3608" s="29">
        <v>59767.54</v>
      </c>
      <c r="F3608" t="s">
        <v>4143</v>
      </c>
      <c r="G3608">
        <v>1</v>
      </c>
    </row>
    <row r="3609" spans="1:7" x14ac:dyDescent="0.25">
      <c r="A3609" s="28" t="s">
        <v>1510</v>
      </c>
      <c r="B3609" s="29">
        <v>60729.797399999996</v>
      </c>
      <c r="F3609" t="s">
        <v>1510</v>
      </c>
      <c r="G3609">
        <v>2</v>
      </c>
    </row>
    <row r="3610" spans="1:7" hidden="1" x14ac:dyDescent="0.25">
      <c r="A3610" s="28" t="s">
        <v>4045</v>
      </c>
      <c r="B3610" s="29">
        <v>59767.54</v>
      </c>
      <c r="F3610" t="s">
        <v>4045</v>
      </c>
      <c r="G3610">
        <v>1</v>
      </c>
    </row>
    <row r="3611" spans="1:7" hidden="1" x14ac:dyDescent="0.25">
      <c r="A3611" s="28" t="s">
        <v>4018</v>
      </c>
      <c r="B3611" s="29">
        <v>59767.54</v>
      </c>
      <c r="F3611" t="s">
        <v>4018</v>
      </c>
      <c r="G3611">
        <v>1</v>
      </c>
    </row>
    <row r="3612" spans="1:7" hidden="1" x14ac:dyDescent="0.25">
      <c r="A3612" s="28" t="s">
        <v>4051</v>
      </c>
      <c r="B3612" s="29">
        <v>59767.54</v>
      </c>
      <c r="F3612" t="s">
        <v>4051</v>
      </c>
      <c r="G3612">
        <v>1</v>
      </c>
    </row>
    <row r="3613" spans="1:7" hidden="1" x14ac:dyDescent="0.25">
      <c r="A3613" s="28" t="s">
        <v>3853</v>
      </c>
      <c r="B3613" s="29">
        <v>59767.54</v>
      </c>
      <c r="F3613" t="s">
        <v>3853</v>
      </c>
      <c r="G3613">
        <v>1</v>
      </c>
    </row>
    <row r="3614" spans="1:7" hidden="1" x14ac:dyDescent="0.25">
      <c r="A3614" s="28" t="s">
        <v>3700</v>
      </c>
      <c r="B3614" s="29">
        <v>59767.54</v>
      </c>
      <c r="F3614" t="s">
        <v>3700</v>
      </c>
      <c r="G3614">
        <v>1</v>
      </c>
    </row>
    <row r="3615" spans="1:7" hidden="1" x14ac:dyDescent="0.25">
      <c r="A3615" s="28" t="s">
        <v>3677</v>
      </c>
      <c r="B3615" s="29">
        <v>59767.54</v>
      </c>
      <c r="F3615" t="s">
        <v>3677</v>
      </c>
      <c r="G3615">
        <v>1</v>
      </c>
    </row>
    <row r="3616" spans="1:7" x14ac:dyDescent="0.25">
      <c r="A3616" s="28" t="s">
        <v>1355</v>
      </c>
      <c r="B3616" s="29">
        <v>60729.797399999996</v>
      </c>
      <c r="F3616" t="s">
        <v>1355</v>
      </c>
      <c r="G3616">
        <v>2</v>
      </c>
    </row>
    <row r="3617" spans="1:7" hidden="1" x14ac:dyDescent="0.25">
      <c r="A3617" s="28" t="s">
        <v>4001</v>
      </c>
      <c r="B3617" s="29">
        <v>59767.54</v>
      </c>
      <c r="F3617" t="s">
        <v>4001</v>
      </c>
      <c r="G3617">
        <v>1</v>
      </c>
    </row>
    <row r="3618" spans="1:7" hidden="1" x14ac:dyDescent="0.25">
      <c r="A3618" s="28" t="s">
        <v>4029</v>
      </c>
      <c r="B3618" s="29">
        <v>59767.54</v>
      </c>
      <c r="F3618" t="s">
        <v>4029</v>
      </c>
      <c r="G3618">
        <v>1</v>
      </c>
    </row>
    <row r="3619" spans="1:7" hidden="1" x14ac:dyDescent="0.25">
      <c r="A3619" s="28" t="s">
        <v>3632</v>
      </c>
      <c r="B3619" s="29">
        <v>59767.54</v>
      </c>
      <c r="F3619" t="s">
        <v>3632</v>
      </c>
      <c r="G3619">
        <v>1</v>
      </c>
    </row>
    <row r="3620" spans="1:7" hidden="1" x14ac:dyDescent="0.25">
      <c r="A3620" s="28" t="s">
        <v>3294</v>
      </c>
      <c r="B3620" s="29">
        <v>59767.54</v>
      </c>
      <c r="F3620" t="s">
        <v>3294</v>
      </c>
      <c r="G3620">
        <v>1</v>
      </c>
    </row>
    <row r="3621" spans="1:7" hidden="1" x14ac:dyDescent="0.25">
      <c r="A3621" s="28" t="s">
        <v>3857</v>
      </c>
      <c r="B3621" s="29">
        <v>59767.54</v>
      </c>
      <c r="F3621" t="s">
        <v>3857</v>
      </c>
      <c r="G3621">
        <v>1</v>
      </c>
    </row>
    <row r="3622" spans="1:7" x14ac:dyDescent="0.25">
      <c r="A3622" s="28" t="s">
        <v>479</v>
      </c>
      <c r="B3622" s="29">
        <v>60729.797399999996</v>
      </c>
      <c r="F3622" t="s">
        <v>479</v>
      </c>
      <c r="G3622">
        <v>2</v>
      </c>
    </row>
    <row r="3623" spans="1:7" hidden="1" x14ac:dyDescent="0.25">
      <c r="A3623" s="28" t="s">
        <v>4510</v>
      </c>
      <c r="B3623" s="29">
        <v>59767.54</v>
      </c>
      <c r="F3623" t="s">
        <v>4510</v>
      </c>
      <c r="G3623">
        <v>1</v>
      </c>
    </row>
    <row r="3624" spans="1:7" x14ac:dyDescent="0.25">
      <c r="A3624" s="28" t="s">
        <v>571</v>
      </c>
      <c r="B3624" s="29">
        <v>60729.797399999996</v>
      </c>
      <c r="F3624" t="s">
        <v>571</v>
      </c>
      <c r="G3624">
        <v>2</v>
      </c>
    </row>
    <row r="3625" spans="1:7" hidden="1" x14ac:dyDescent="0.25">
      <c r="A3625" s="28" t="s">
        <v>3471</v>
      </c>
      <c r="B3625" s="29">
        <v>59767.54</v>
      </c>
      <c r="F3625" t="s">
        <v>3471</v>
      </c>
      <c r="G3625">
        <v>1</v>
      </c>
    </row>
    <row r="3626" spans="1:7" hidden="1" x14ac:dyDescent="0.25">
      <c r="A3626" s="28" t="s">
        <v>3673</v>
      </c>
      <c r="B3626" s="29">
        <v>59767.54</v>
      </c>
      <c r="F3626" t="s">
        <v>3673</v>
      </c>
      <c r="G3626">
        <v>1</v>
      </c>
    </row>
    <row r="3627" spans="1:7" x14ac:dyDescent="0.25">
      <c r="A3627" s="28" t="s">
        <v>231</v>
      </c>
      <c r="B3627" s="29">
        <v>60729.797399999996</v>
      </c>
      <c r="F3627" t="s">
        <v>231</v>
      </c>
      <c r="G3627">
        <v>2</v>
      </c>
    </row>
    <row r="3628" spans="1:7" x14ac:dyDescent="0.25">
      <c r="A3628" s="28" t="s">
        <v>581</v>
      </c>
      <c r="B3628" s="29">
        <v>60729.797399999996</v>
      </c>
      <c r="F3628" t="s">
        <v>581</v>
      </c>
      <c r="G3628">
        <v>2</v>
      </c>
    </row>
    <row r="3629" spans="1:7" hidden="1" x14ac:dyDescent="0.25">
      <c r="A3629" s="28" t="s">
        <v>3709</v>
      </c>
      <c r="B3629" s="29">
        <v>59767.54</v>
      </c>
      <c r="F3629" t="s">
        <v>3709</v>
      </c>
      <c r="G3629">
        <v>1</v>
      </c>
    </row>
    <row r="3630" spans="1:7" x14ac:dyDescent="0.25">
      <c r="A3630" s="28" t="s">
        <v>1548</v>
      </c>
      <c r="B3630" s="29">
        <v>60729.797399999996</v>
      </c>
      <c r="F3630" t="s">
        <v>1548</v>
      </c>
      <c r="G3630">
        <v>2</v>
      </c>
    </row>
    <row r="3631" spans="1:7" hidden="1" x14ac:dyDescent="0.25">
      <c r="A3631" s="28" t="s">
        <v>3013</v>
      </c>
      <c r="B3631" s="29">
        <v>59767.54</v>
      </c>
      <c r="F3631" t="s">
        <v>3013</v>
      </c>
      <c r="G3631">
        <v>1</v>
      </c>
    </row>
    <row r="3632" spans="1:7" hidden="1" x14ac:dyDescent="0.25">
      <c r="A3632" s="28" t="s">
        <v>3986</v>
      </c>
      <c r="B3632" s="29">
        <v>59767.54</v>
      </c>
      <c r="F3632" t="s">
        <v>3986</v>
      </c>
      <c r="G3632">
        <v>1</v>
      </c>
    </row>
    <row r="3633" spans="1:7" hidden="1" x14ac:dyDescent="0.25">
      <c r="A3633" s="28" t="s">
        <v>4575</v>
      </c>
      <c r="B3633" s="29">
        <v>59767.54</v>
      </c>
      <c r="F3633" t="s">
        <v>4575</v>
      </c>
      <c r="G3633">
        <v>1</v>
      </c>
    </row>
    <row r="3634" spans="1:7" hidden="1" x14ac:dyDescent="0.25">
      <c r="A3634" s="28" t="s">
        <v>4044</v>
      </c>
      <c r="B3634" s="29">
        <v>59767.54</v>
      </c>
      <c r="F3634" t="s">
        <v>4044</v>
      </c>
      <c r="G3634">
        <v>1</v>
      </c>
    </row>
    <row r="3635" spans="1:7" hidden="1" x14ac:dyDescent="0.25">
      <c r="A3635" s="28" t="s">
        <v>3831</v>
      </c>
      <c r="B3635" s="29">
        <v>59767.54</v>
      </c>
      <c r="F3635" t="s">
        <v>3831</v>
      </c>
      <c r="G3635">
        <v>1</v>
      </c>
    </row>
    <row r="3636" spans="1:7" x14ac:dyDescent="0.25">
      <c r="A3636" s="28" t="s">
        <v>1485</v>
      </c>
      <c r="B3636" s="29">
        <v>60729.797399999996</v>
      </c>
      <c r="F3636" t="s">
        <v>1485</v>
      </c>
      <c r="G3636">
        <v>2</v>
      </c>
    </row>
    <row r="3637" spans="1:7" x14ac:dyDescent="0.25">
      <c r="A3637" s="28" t="s">
        <v>1269</v>
      </c>
      <c r="B3637" s="29">
        <v>60729.797399999996</v>
      </c>
      <c r="F3637" t="s">
        <v>1269</v>
      </c>
      <c r="G3637">
        <v>2</v>
      </c>
    </row>
    <row r="3638" spans="1:7" hidden="1" x14ac:dyDescent="0.25">
      <c r="A3638" s="28" t="s">
        <v>3353</v>
      </c>
      <c r="B3638" s="29">
        <v>59767.54</v>
      </c>
      <c r="F3638" t="s">
        <v>3353</v>
      </c>
      <c r="G3638">
        <v>1</v>
      </c>
    </row>
    <row r="3639" spans="1:7" hidden="1" x14ac:dyDescent="0.25">
      <c r="A3639" s="28" t="s">
        <v>3510</v>
      </c>
      <c r="B3639" s="29">
        <v>59767.54</v>
      </c>
      <c r="F3639" t="s">
        <v>3510</v>
      </c>
      <c r="G3639">
        <v>1</v>
      </c>
    </row>
    <row r="3640" spans="1:7" x14ac:dyDescent="0.25">
      <c r="A3640" s="28" t="s">
        <v>1230</v>
      </c>
      <c r="B3640" s="29">
        <v>60729.797399999996</v>
      </c>
      <c r="F3640" t="s">
        <v>1230</v>
      </c>
      <c r="G3640">
        <v>2</v>
      </c>
    </row>
    <row r="3641" spans="1:7" x14ac:dyDescent="0.25">
      <c r="A3641" s="28" t="s">
        <v>1569</v>
      </c>
      <c r="B3641" s="29">
        <v>60729.797399999996</v>
      </c>
      <c r="F3641" t="s">
        <v>1569</v>
      </c>
      <c r="G3641">
        <v>2</v>
      </c>
    </row>
    <row r="3642" spans="1:7" hidden="1" x14ac:dyDescent="0.25">
      <c r="A3642" s="28" t="s">
        <v>2764</v>
      </c>
      <c r="B3642" s="29">
        <v>47081.760000000002</v>
      </c>
      <c r="F3642" t="s">
        <v>2764</v>
      </c>
      <c r="G3642">
        <v>1</v>
      </c>
    </row>
    <row r="3643" spans="1:7" hidden="1" x14ac:dyDescent="0.25">
      <c r="A3643" s="28" t="s">
        <v>2601</v>
      </c>
      <c r="B3643" s="29">
        <v>47081.760000000002</v>
      </c>
      <c r="F3643" t="s">
        <v>2601</v>
      </c>
      <c r="G3643">
        <v>1</v>
      </c>
    </row>
    <row r="3644" spans="1:7" hidden="1" x14ac:dyDescent="0.25">
      <c r="A3644" s="28" t="s">
        <v>4833</v>
      </c>
      <c r="B3644" s="29">
        <v>47081.760000000002</v>
      </c>
      <c r="F3644" t="s">
        <v>4833</v>
      </c>
      <c r="G3644">
        <v>1</v>
      </c>
    </row>
    <row r="3645" spans="1:7" hidden="1" x14ac:dyDescent="0.25">
      <c r="A3645" s="28" t="s">
        <v>4628</v>
      </c>
      <c r="B3645" s="29">
        <v>46934.32</v>
      </c>
      <c r="F3645" t="s">
        <v>4628</v>
      </c>
      <c r="G3645">
        <v>1</v>
      </c>
    </row>
    <row r="3646" spans="1:7" hidden="1" x14ac:dyDescent="0.25">
      <c r="A3646" s="28" t="s">
        <v>4593</v>
      </c>
      <c r="B3646" s="29">
        <v>46934.32</v>
      </c>
      <c r="F3646" t="s">
        <v>4593</v>
      </c>
      <c r="G3646">
        <v>1</v>
      </c>
    </row>
    <row r="3647" spans="1:7" hidden="1" x14ac:dyDescent="0.25">
      <c r="A3647" s="28" t="s">
        <v>4614</v>
      </c>
      <c r="B3647" s="29">
        <v>46934.32</v>
      </c>
      <c r="F3647" t="s">
        <v>4614</v>
      </c>
      <c r="G3647">
        <v>1</v>
      </c>
    </row>
    <row r="3648" spans="1:7" hidden="1" x14ac:dyDescent="0.25">
      <c r="A3648" s="28" t="s">
        <v>4393</v>
      </c>
      <c r="B3648" s="29">
        <v>46934.32</v>
      </c>
      <c r="F3648" t="s">
        <v>4393</v>
      </c>
      <c r="G3648">
        <v>1</v>
      </c>
    </row>
    <row r="3649" spans="1:7" hidden="1" x14ac:dyDescent="0.25">
      <c r="A3649" s="28" t="s">
        <v>2900</v>
      </c>
      <c r="B3649" s="29">
        <v>46934.32</v>
      </c>
      <c r="F3649" t="s">
        <v>2900</v>
      </c>
      <c r="G3649">
        <v>1</v>
      </c>
    </row>
    <row r="3650" spans="1:7" hidden="1" x14ac:dyDescent="0.25">
      <c r="A3650" s="28" t="s">
        <v>3480</v>
      </c>
      <c r="B3650" s="29">
        <v>46934.32</v>
      </c>
      <c r="F3650" t="s">
        <v>3480</v>
      </c>
      <c r="G3650">
        <v>1</v>
      </c>
    </row>
    <row r="3651" spans="1:7" hidden="1" x14ac:dyDescent="0.25">
      <c r="A3651" s="28" t="s">
        <v>5061</v>
      </c>
      <c r="B3651" s="29">
        <v>46934.32</v>
      </c>
      <c r="F3651" t="s">
        <v>5061</v>
      </c>
      <c r="G3651">
        <v>1</v>
      </c>
    </row>
    <row r="3652" spans="1:7" hidden="1" x14ac:dyDescent="0.25">
      <c r="A3652" s="28" t="s">
        <v>5117</v>
      </c>
      <c r="B3652" s="29">
        <v>46934.32</v>
      </c>
      <c r="F3652" t="s">
        <v>5117</v>
      </c>
      <c r="G3652">
        <v>1</v>
      </c>
    </row>
    <row r="3653" spans="1:7" hidden="1" x14ac:dyDescent="0.25">
      <c r="A3653" s="28" t="s">
        <v>5136</v>
      </c>
      <c r="B3653" s="29">
        <v>46934.32</v>
      </c>
      <c r="F3653" t="s">
        <v>5136</v>
      </c>
      <c r="G3653">
        <v>1</v>
      </c>
    </row>
    <row r="3654" spans="1:7" hidden="1" x14ac:dyDescent="0.25">
      <c r="A3654" s="28" t="s">
        <v>3997</v>
      </c>
      <c r="B3654" s="29">
        <v>46934.32</v>
      </c>
      <c r="F3654" t="s">
        <v>3997</v>
      </c>
      <c r="G3654">
        <v>1</v>
      </c>
    </row>
    <row r="3655" spans="1:7" hidden="1" x14ac:dyDescent="0.25">
      <c r="A3655" s="28" t="s">
        <v>4033</v>
      </c>
      <c r="B3655" s="29">
        <v>46934.32</v>
      </c>
      <c r="F3655" t="s">
        <v>4033</v>
      </c>
      <c r="G3655">
        <v>1</v>
      </c>
    </row>
    <row r="3656" spans="1:7" hidden="1" x14ac:dyDescent="0.25">
      <c r="A3656" s="28" t="s">
        <v>3610</v>
      </c>
      <c r="B3656" s="29">
        <v>46934.32</v>
      </c>
      <c r="F3656" t="s">
        <v>3610</v>
      </c>
      <c r="G3656">
        <v>1</v>
      </c>
    </row>
    <row r="3657" spans="1:7" hidden="1" x14ac:dyDescent="0.25">
      <c r="A3657" s="28" t="s">
        <v>4707</v>
      </c>
      <c r="B3657" s="29">
        <v>46934.32</v>
      </c>
      <c r="F3657" t="s">
        <v>4707</v>
      </c>
      <c r="G3657">
        <v>1</v>
      </c>
    </row>
    <row r="3658" spans="1:7" hidden="1" x14ac:dyDescent="0.25">
      <c r="A3658" s="28" t="s">
        <v>4950</v>
      </c>
      <c r="B3658" s="29">
        <v>46934.32</v>
      </c>
      <c r="F3658" t="s">
        <v>4950</v>
      </c>
      <c r="G3658">
        <v>1</v>
      </c>
    </row>
    <row r="3659" spans="1:7" hidden="1" x14ac:dyDescent="0.25">
      <c r="A3659" s="28" t="s">
        <v>4063</v>
      </c>
      <c r="B3659" s="29">
        <v>46934.32</v>
      </c>
      <c r="F3659" t="s">
        <v>4063</v>
      </c>
      <c r="G3659">
        <v>1</v>
      </c>
    </row>
    <row r="3660" spans="1:7" hidden="1" x14ac:dyDescent="0.25">
      <c r="A3660" s="28" t="s">
        <v>3740</v>
      </c>
      <c r="B3660" s="29">
        <v>46934.32</v>
      </c>
      <c r="F3660" t="s">
        <v>3740</v>
      </c>
      <c r="G3660">
        <v>1</v>
      </c>
    </row>
    <row r="3661" spans="1:7" hidden="1" x14ac:dyDescent="0.25">
      <c r="A3661" s="28" t="s">
        <v>3318</v>
      </c>
      <c r="B3661" s="29">
        <v>46934.32</v>
      </c>
      <c r="F3661" t="s">
        <v>3318</v>
      </c>
      <c r="G3661">
        <v>1</v>
      </c>
    </row>
    <row r="3662" spans="1:7" hidden="1" x14ac:dyDescent="0.25">
      <c r="A3662" s="28" t="s">
        <v>5022</v>
      </c>
      <c r="B3662" s="29">
        <v>46934.32</v>
      </c>
      <c r="F3662" t="s">
        <v>5022</v>
      </c>
      <c r="G3662">
        <v>1</v>
      </c>
    </row>
    <row r="3663" spans="1:7" hidden="1" x14ac:dyDescent="0.25">
      <c r="A3663" s="28" t="s">
        <v>2853</v>
      </c>
      <c r="B3663" s="29">
        <v>46934.32</v>
      </c>
      <c r="F3663" t="s">
        <v>2853</v>
      </c>
      <c r="G3663">
        <v>1</v>
      </c>
    </row>
    <row r="3664" spans="1:7" hidden="1" x14ac:dyDescent="0.25">
      <c r="A3664" s="28" t="s">
        <v>4871</v>
      </c>
      <c r="B3664" s="29">
        <v>47081.760000000002</v>
      </c>
      <c r="F3664" t="s">
        <v>4871</v>
      </c>
      <c r="G3664">
        <v>1</v>
      </c>
    </row>
    <row r="3665" spans="1:7" hidden="1" x14ac:dyDescent="0.25">
      <c r="A3665" s="28" t="s">
        <v>5054</v>
      </c>
      <c r="B3665" s="29">
        <v>47081.760000000002</v>
      </c>
      <c r="F3665" t="s">
        <v>5054</v>
      </c>
      <c r="G3665">
        <v>1</v>
      </c>
    </row>
    <row r="3666" spans="1:7" hidden="1" x14ac:dyDescent="0.25">
      <c r="A3666" s="28" t="s">
        <v>4912</v>
      </c>
      <c r="B3666" s="29">
        <v>46934.32</v>
      </c>
      <c r="F3666" t="s">
        <v>4912</v>
      </c>
      <c r="G3666">
        <v>1</v>
      </c>
    </row>
    <row r="3667" spans="1:7" hidden="1" x14ac:dyDescent="0.25">
      <c r="A3667" s="28" t="s">
        <v>1380</v>
      </c>
      <c r="B3667" s="29">
        <v>25951.933700000001</v>
      </c>
      <c r="F3667" t="s">
        <v>1380</v>
      </c>
      <c r="G3667">
        <v>1</v>
      </c>
    </row>
    <row r="3668" spans="1:7" hidden="1" x14ac:dyDescent="0.25">
      <c r="A3668" s="28" t="s">
        <v>2526</v>
      </c>
      <c r="B3668" s="29">
        <v>25951.933700000001</v>
      </c>
      <c r="F3668" t="s">
        <v>2526</v>
      </c>
      <c r="G3668">
        <v>1</v>
      </c>
    </row>
    <row r="3669" spans="1:7" hidden="1" x14ac:dyDescent="0.25">
      <c r="A3669" s="28" t="s">
        <v>2736</v>
      </c>
      <c r="B3669" s="29">
        <v>25951.933700000001</v>
      </c>
      <c r="F3669" t="s">
        <v>2736</v>
      </c>
      <c r="G3669">
        <v>1</v>
      </c>
    </row>
    <row r="3670" spans="1:7" hidden="1" x14ac:dyDescent="0.25">
      <c r="A3670" s="28" t="s">
        <v>2638</v>
      </c>
      <c r="B3670" s="29">
        <v>25951.933700000001</v>
      </c>
      <c r="F3670" t="s">
        <v>2638</v>
      </c>
      <c r="G3670">
        <v>1</v>
      </c>
    </row>
    <row r="3671" spans="1:7" hidden="1" x14ac:dyDescent="0.25">
      <c r="A3671" s="28" t="s">
        <v>2015</v>
      </c>
      <c r="B3671" s="29">
        <v>35170.666700000002</v>
      </c>
      <c r="F3671" t="s">
        <v>2015</v>
      </c>
      <c r="G3671">
        <v>1</v>
      </c>
    </row>
    <row r="3672" spans="1:7" x14ac:dyDescent="0.25">
      <c r="A3672" s="28" t="s">
        <v>1044</v>
      </c>
      <c r="B3672" s="29">
        <v>25951.933700000001</v>
      </c>
      <c r="F3672" t="s">
        <v>1044</v>
      </c>
      <c r="G3672">
        <v>2</v>
      </c>
    </row>
    <row r="3673" spans="1:7" hidden="1" x14ac:dyDescent="0.25">
      <c r="A3673" s="28" t="s">
        <v>347</v>
      </c>
      <c r="B3673" s="29">
        <v>25951.933700000001</v>
      </c>
      <c r="F3673" t="s">
        <v>347</v>
      </c>
      <c r="G3673">
        <v>1</v>
      </c>
    </row>
    <row r="3674" spans="1:7" hidden="1" x14ac:dyDescent="0.25">
      <c r="A3674" s="28" t="s">
        <v>2320</v>
      </c>
      <c r="B3674" s="29">
        <v>25951.933700000001</v>
      </c>
      <c r="F3674" t="s">
        <v>2320</v>
      </c>
      <c r="G3674">
        <v>1</v>
      </c>
    </row>
    <row r="3675" spans="1:7" hidden="1" x14ac:dyDescent="0.25">
      <c r="A3675" s="28" t="s">
        <v>2389</v>
      </c>
      <c r="B3675" s="29">
        <v>25951.933700000001</v>
      </c>
      <c r="F3675" t="s">
        <v>2389</v>
      </c>
      <c r="G3675">
        <v>1</v>
      </c>
    </row>
    <row r="3676" spans="1:7" x14ac:dyDescent="0.25">
      <c r="A3676" s="28" t="s">
        <v>1400</v>
      </c>
      <c r="B3676" s="29">
        <v>26218.127700000001</v>
      </c>
      <c r="F3676" t="s">
        <v>1400</v>
      </c>
      <c r="G3676">
        <v>2</v>
      </c>
    </row>
    <row r="3677" spans="1:7" x14ac:dyDescent="0.25">
      <c r="A3677" s="28" t="s">
        <v>184</v>
      </c>
      <c r="B3677" s="29">
        <v>34427.0285</v>
      </c>
      <c r="F3677" t="s">
        <v>184</v>
      </c>
      <c r="G3677">
        <v>2</v>
      </c>
    </row>
    <row r="3678" spans="1:7" hidden="1" x14ac:dyDescent="0.25">
      <c r="A3678" s="28" t="s">
        <v>2259</v>
      </c>
      <c r="B3678" s="29">
        <v>26218.127700000001</v>
      </c>
      <c r="F3678" t="s">
        <v>2259</v>
      </c>
      <c r="G3678">
        <v>1</v>
      </c>
    </row>
    <row r="3679" spans="1:7" x14ac:dyDescent="0.25">
      <c r="A3679" s="28" t="s">
        <v>1168</v>
      </c>
      <c r="B3679" s="29">
        <v>25951.933700000001</v>
      </c>
      <c r="F3679" t="s">
        <v>1168</v>
      </c>
      <c r="G3679">
        <v>2</v>
      </c>
    </row>
    <row r="3680" spans="1:7" hidden="1" x14ac:dyDescent="0.25">
      <c r="A3680" s="28" t="s">
        <v>2834</v>
      </c>
      <c r="B3680" s="29">
        <v>32158.5213</v>
      </c>
      <c r="F3680" t="s">
        <v>2834</v>
      </c>
      <c r="G3680">
        <v>1</v>
      </c>
    </row>
    <row r="3681" spans="1:7" hidden="1" x14ac:dyDescent="0.25">
      <c r="A3681" s="28" t="s">
        <v>2010</v>
      </c>
      <c r="B3681" s="29">
        <v>25951.933700000001</v>
      </c>
      <c r="F3681" t="s">
        <v>2010</v>
      </c>
      <c r="G3681">
        <v>1</v>
      </c>
    </row>
    <row r="3682" spans="1:7" hidden="1" x14ac:dyDescent="0.25">
      <c r="A3682" s="28" t="s">
        <v>2319</v>
      </c>
      <c r="B3682" s="29">
        <v>25951.933700000001</v>
      </c>
      <c r="F3682" t="s">
        <v>2319</v>
      </c>
      <c r="G3682">
        <v>1</v>
      </c>
    </row>
    <row r="3683" spans="1:7" x14ac:dyDescent="0.25">
      <c r="A3683" s="28" t="s">
        <v>1317</v>
      </c>
      <c r="B3683" s="29">
        <v>25951.933700000001</v>
      </c>
      <c r="F3683" t="s">
        <v>1317</v>
      </c>
      <c r="G3683">
        <v>2</v>
      </c>
    </row>
    <row r="3684" spans="1:7" hidden="1" x14ac:dyDescent="0.25">
      <c r="A3684" s="28" t="s">
        <v>2609</v>
      </c>
      <c r="B3684" s="29">
        <v>25951.933700000001</v>
      </c>
      <c r="F3684" t="s">
        <v>2609</v>
      </c>
      <c r="G3684">
        <v>1</v>
      </c>
    </row>
    <row r="3685" spans="1:7" x14ac:dyDescent="0.25">
      <c r="A3685" s="28" t="s">
        <v>1385</v>
      </c>
      <c r="B3685" s="29">
        <v>26218.127700000001</v>
      </c>
      <c r="F3685" t="s">
        <v>1385</v>
      </c>
      <c r="G3685">
        <v>2</v>
      </c>
    </row>
    <row r="3686" spans="1:7" x14ac:dyDescent="0.25">
      <c r="A3686" s="28" t="s">
        <v>1027</v>
      </c>
      <c r="B3686" s="29">
        <v>26218.127700000001</v>
      </c>
      <c r="F3686" t="s">
        <v>1027</v>
      </c>
      <c r="G3686">
        <v>2</v>
      </c>
    </row>
    <row r="3687" spans="1:7" hidden="1" x14ac:dyDescent="0.25">
      <c r="A3687" s="28" t="s">
        <v>298</v>
      </c>
      <c r="B3687" s="29">
        <v>25951.933700000001</v>
      </c>
      <c r="F3687" t="s">
        <v>298</v>
      </c>
      <c r="G3687">
        <v>1</v>
      </c>
    </row>
    <row r="3688" spans="1:7" hidden="1" x14ac:dyDescent="0.25">
      <c r="A3688" s="28" t="s">
        <v>3027</v>
      </c>
      <c r="B3688" s="29">
        <v>25951.933700000001</v>
      </c>
      <c r="F3688" t="s">
        <v>3027</v>
      </c>
      <c r="G3688">
        <v>1</v>
      </c>
    </row>
    <row r="3689" spans="1:7" hidden="1" x14ac:dyDescent="0.25">
      <c r="A3689" s="28" t="s">
        <v>2223</v>
      </c>
      <c r="B3689" s="29">
        <v>25951.933700000001</v>
      </c>
      <c r="F3689" t="s">
        <v>2223</v>
      </c>
      <c r="G3689">
        <v>1</v>
      </c>
    </row>
    <row r="3690" spans="1:7" x14ac:dyDescent="0.25">
      <c r="A3690" s="28" t="s">
        <v>825</v>
      </c>
      <c r="B3690" s="29">
        <v>26218.127700000001</v>
      </c>
      <c r="F3690" t="s">
        <v>825</v>
      </c>
      <c r="G3690">
        <v>2</v>
      </c>
    </row>
    <row r="3691" spans="1:7" x14ac:dyDescent="0.25">
      <c r="A3691" s="28" t="s">
        <v>1259</v>
      </c>
      <c r="B3691" s="29">
        <v>26218.127700000001</v>
      </c>
      <c r="F3691" t="s">
        <v>1259</v>
      </c>
      <c r="G3691">
        <v>2</v>
      </c>
    </row>
    <row r="3692" spans="1:7" hidden="1" x14ac:dyDescent="0.25">
      <c r="A3692" s="28" t="s">
        <v>2607</v>
      </c>
      <c r="B3692" s="29">
        <v>26218.127700000001</v>
      </c>
      <c r="F3692" t="s">
        <v>2607</v>
      </c>
      <c r="G3692">
        <v>1</v>
      </c>
    </row>
    <row r="3693" spans="1:7" x14ac:dyDescent="0.25">
      <c r="A3693" s="28" t="s">
        <v>1249</v>
      </c>
      <c r="B3693" s="29">
        <v>35170.666700000002</v>
      </c>
      <c r="F3693" t="s">
        <v>1249</v>
      </c>
      <c r="G3693">
        <v>2</v>
      </c>
    </row>
    <row r="3694" spans="1:7" x14ac:dyDescent="0.25">
      <c r="A3694" s="28" t="s">
        <v>1341</v>
      </c>
      <c r="B3694" s="29">
        <v>25951.933700000001</v>
      </c>
      <c r="F3694" t="s">
        <v>1341</v>
      </c>
      <c r="G3694">
        <v>2</v>
      </c>
    </row>
    <row r="3695" spans="1:7" hidden="1" x14ac:dyDescent="0.25">
      <c r="A3695" s="28" t="s">
        <v>1864</v>
      </c>
      <c r="B3695" s="29">
        <v>28935.146499999999</v>
      </c>
      <c r="F3695" t="s">
        <v>1864</v>
      </c>
      <c r="G3695">
        <v>1</v>
      </c>
    </row>
    <row r="3696" spans="1:7" hidden="1" x14ac:dyDescent="0.25">
      <c r="A3696" s="28" t="s">
        <v>2196</v>
      </c>
      <c r="B3696" s="29">
        <v>25951.933700000001</v>
      </c>
      <c r="F3696" t="s">
        <v>2196</v>
      </c>
      <c r="G3696">
        <v>1</v>
      </c>
    </row>
    <row r="3697" spans="1:7" hidden="1" x14ac:dyDescent="0.25">
      <c r="A3697" s="28" t="s">
        <v>2344</v>
      </c>
      <c r="B3697" s="29">
        <v>25951.933700000001</v>
      </c>
      <c r="F3697" t="s">
        <v>2344</v>
      </c>
      <c r="G3697">
        <v>1</v>
      </c>
    </row>
    <row r="3698" spans="1:7" hidden="1" x14ac:dyDescent="0.25">
      <c r="A3698" s="28" t="s">
        <v>1863</v>
      </c>
      <c r="B3698" s="29">
        <v>35170.666700000002</v>
      </c>
      <c r="F3698" t="s">
        <v>1863</v>
      </c>
      <c r="G3698">
        <v>1</v>
      </c>
    </row>
    <row r="3699" spans="1:7" hidden="1" x14ac:dyDescent="0.25">
      <c r="A3699" s="28" t="s">
        <v>2411</v>
      </c>
      <c r="B3699" s="29">
        <v>35170.666700000002</v>
      </c>
      <c r="F3699" t="s">
        <v>2411</v>
      </c>
      <c r="G3699">
        <v>1</v>
      </c>
    </row>
    <row r="3700" spans="1:7" hidden="1" x14ac:dyDescent="0.25">
      <c r="A3700" s="28" t="s">
        <v>2436</v>
      </c>
      <c r="B3700" s="29">
        <v>34427.0285</v>
      </c>
      <c r="F3700" t="s">
        <v>2436</v>
      </c>
      <c r="G3700">
        <v>1</v>
      </c>
    </row>
    <row r="3701" spans="1:7" hidden="1" x14ac:dyDescent="0.25">
      <c r="A3701" s="28" t="s">
        <v>2096</v>
      </c>
      <c r="B3701" s="29">
        <v>26218.127700000001</v>
      </c>
      <c r="F3701" t="s">
        <v>2096</v>
      </c>
      <c r="G3701">
        <v>1</v>
      </c>
    </row>
    <row r="3702" spans="1:7" hidden="1" x14ac:dyDescent="0.25">
      <c r="A3702" s="28" t="s">
        <v>1935</v>
      </c>
      <c r="B3702" s="29">
        <v>26218.127700000001</v>
      </c>
      <c r="F3702" t="s">
        <v>1935</v>
      </c>
      <c r="G3702">
        <v>1</v>
      </c>
    </row>
    <row r="3703" spans="1:7" hidden="1" x14ac:dyDescent="0.25">
      <c r="A3703" s="28" t="s">
        <v>2361</v>
      </c>
      <c r="B3703" s="29">
        <v>26218.127700000001</v>
      </c>
      <c r="F3703" t="s">
        <v>2361</v>
      </c>
      <c r="G3703">
        <v>1</v>
      </c>
    </row>
    <row r="3704" spans="1:7" hidden="1" x14ac:dyDescent="0.25">
      <c r="A3704" s="28" t="s">
        <v>2108</v>
      </c>
      <c r="B3704" s="29">
        <v>28935.146499999999</v>
      </c>
      <c r="F3704" t="s">
        <v>2108</v>
      </c>
      <c r="G3704">
        <v>1</v>
      </c>
    </row>
    <row r="3705" spans="1:7" hidden="1" x14ac:dyDescent="0.25">
      <c r="A3705" s="28" t="s">
        <v>2194</v>
      </c>
      <c r="B3705" s="29">
        <v>26218.127700000001</v>
      </c>
      <c r="F3705" t="s">
        <v>2194</v>
      </c>
      <c r="G3705">
        <v>1</v>
      </c>
    </row>
    <row r="3706" spans="1:7" hidden="1" x14ac:dyDescent="0.25">
      <c r="A3706" s="28" t="s">
        <v>2197</v>
      </c>
      <c r="B3706" s="29">
        <v>25951.933700000001</v>
      </c>
      <c r="F3706" t="s">
        <v>2197</v>
      </c>
      <c r="G3706">
        <v>1</v>
      </c>
    </row>
    <row r="3707" spans="1:7" hidden="1" x14ac:dyDescent="0.25">
      <c r="A3707" s="28" t="s">
        <v>1802</v>
      </c>
      <c r="B3707" s="29">
        <v>26218.127700000001</v>
      </c>
      <c r="F3707" t="s">
        <v>1802</v>
      </c>
      <c r="G3707">
        <v>1</v>
      </c>
    </row>
    <row r="3708" spans="1:7" hidden="1" x14ac:dyDescent="0.25">
      <c r="A3708" s="28" t="s">
        <v>1919</v>
      </c>
      <c r="B3708" s="29">
        <v>26218.127700000001</v>
      </c>
      <c r="F3708" t="s">
        <v>1919</v>
      </c>
      <c r="G3708">
        <v>1</v>
      </c>
    </row>
    <row r="3709" spans="1:7" hidden="1" x14ac:dyDescent="0.25">
      <c r="A3709" s="28" t="s">
        <v>2322</v>
      </c>
      <c r="B3709" s="29">
        <v>26218.127700000001</v>
      </c>
      <c r="F3709" t="s">
        <v>2322</v>
      </c>
      <c r="G3709">
        <v>1</v>
      </c>
    </row>
    <row r="3710" spans="1:7" hidden="1" x14ac:dyDescent="0.25">
      <c r="A3710" s="28" t="s">
        <v>2087</v>
      </c>
      <c r="B3710" s="29">
        <v>26218.127700000001</v>
      </c>
      <c r="F3710" t="s">
        <v>2087</v>
      </c>
      <c r="G3710">
        <v>1</v>
      </c>
    </row>
    <row r="3711" spans="1:7" hidden="1" x14ac:dyDescent="0.25">
      <c r="A3711" s="28" t="s">
        <v>1803</v>
      </c>
      <c r="B3711" s="29">
        <v>25951.933700000001</v>
      </c>
      <c r="F3711" t="s">
        <v>1803</v>
      </c>
      <c r="G3711">
        <v>1</v>
      </c>
    </row>
    <row r="3712" spans="1:7" hidden="1" x14ac:dyDescent="0.25">
      <c r="A3712" s="28" t="s">
        <v>1812</v>
      </c>
      <c r="B3712" s="29">
        <v>25951.933700000001</v>
      </c>
      <c r="F3712" t="s">
        <v>1812</v>
      </c>
      <c r="G3712">
        <v>1</v>
      </c>
    </row>
    <row r="3713" spans="1:7" hidden="1" x14ac:dyDescent="0.25">
      <c r="A3713" s="28" t="s">
        <v>1948</v>
      </c>
      <c r="B3713" s="29">
        <v>25951.933700000001</v>
      </c>
      <c r="F3713" t="s">
        <v>1948</v>
      </c>
      <c r="G3713">
        <v>1</v>
      </c>
    </row>
    <row r="3714" spans="1:7" hidden="1" x14ac:dyDescent="0.25">
      <c r="A3714" s="28" t="s">
        <v>2213</v>
      </c>
      <c r="B3714" s="29">
        <v>25951.933700000001</v>
      </c>
      <c r="F3714" t="s">
        <v>2213</v>
      </c>
      <c r="G3714">
        <v>1</v>
      </c>
    </row>
    <row r="3715" spans="1:7" hidden="1" x14ac:dyDescent="0.25">
      <c r="A3715" s="28" t="s">
        <v>1969</v>
      </c>
      <c r="B3715" s="29">
        <v>25951.933700000001</v>
      </c>
      <c r="F3715" t="s">
        <v>1969</v>
      </c>
      <c r="G3715">
        <v>1</v>
      </c>
    </row>
    <row r="3716" spans="1:7" hidden="1" x14ac:dyDescent="0.25">
      <c r="A3716" s="28" t="s">
        <v>1893</v>
      </c>
      <c r="B3716" s="29">
        <v>25951.933700000001</v>
      </c>
      <c r="F3716" t="s">
        <v>1893</v>
      </c>
      <c r="G3716">
        <v>1</v>
      </c>
    </row>
    <row r="3717" spans="1:7" hidden="1" x14ac:dyDescent="0.25">
      <c r="A3717" s="28" t="s">
        <v>1817</v>
      </c>
      <c r="B3717" s="29">
        <v>25951.933700000001</v>
      </c>
      <c r="F3717" t="s">
        <v>1817</v>
      </c>
      <c r="G3717">
        <v>1</v>
      </c>
    </row>
    <row r="3718" spans="1:7" hidden="1" x14ac:dyDescent="0.25">
      <c r="A3718" s="28" t="s">
        <v>2024</v>
      </c>
      <c r="B3718" s="29">
        <v>25951.933700000001</v>
      </c>
      <c r="F3718" t="s">
        <v>2024</v>
      </c>
      <c r="G3718">
        <v>1</v>
      </c>
    </row>
    <row r="3719" spans="1:7" hidden="1" x14ac:dyDescent="0.25">
      <c r="A3719" s="28" t="s">
        <v>2152</v>
      </c>
      <c r="B3719" s="29">
        <v>28935.146499999999</v>
      </c>
      <c r="F3719" t="s">
        <v>2152</v>
      </c>
      <c r="G3719">
        <v>1</v>
      </c>
    </row>
    <row r="3720" spans="1:7" hidden="1" x14ac:dyDescent="0.25">
      <c r="A3720" s="28" t="s">
        <v>1965</v>
      </c>
      <c r="B3720" s="29">
        <v>28935.146499999999</v>
      </c>
      <c r="F3720" t="s">
        <v>1965</v>
      </c>
      <c r="G3720">
        <v>1</v>
      </c>
    </row>
    <row r="3721" spans="1:7" hidden="1" x14ac:dyDescent="0.25">
      <c r="A3721" s="28" t="s">
        <v>2263</v>
      </c>
      <c r="B3721" s="29">
        <v>25951.933700000001</v>
      </c>
      <c r="F3721" t="s">
        <v>2263</v>
      </c>
      <c r="G3721">
        <v>1</v>
      </c>
    </row>
    <row r="3722" spans="1:7" hidden="1" x14ac:dyDescent="0.25">
      <c r="A3722" s="28" t="s">
        <v>1906</v>
      </c>
      <c r="B3722" s="29">
        <v>28935.146499999999</v>
      </c>
      <c r="F3722" t="s">
        <v>1906</v>
      </c>
      <c r="G3722">
        <v>1</v>
      </c>
    </row>
    <row r="3723" spans="1:7" hidden="1" x14ac:dyDescent="0.25">
      <c r="A3723" s="28" t="s">
        <v>2317</v>
      </c>
      <c r="B3723" s="29">
        <v>28935.146499999999</v>
      </c>
      <c r="F3723" t="s">
        <v>2317</v>
      </c>
      <c r="G3723">
        <v>1</v>
      </c>
    </row>
    <row r="3724" spans="1:7" hidden="1" x14ac:dyDescent="0.25">
      <c r="A3724" s="28" t="s">
        <v>1799</v>
      </c>
      <c r="B3724" s="29">
        <v>25951.933700000001</v>
      </c>
      <c r="F3724" t="s">
        <v>1799</v>
      </c>
      <c r="G3724">
        <v>1</v>
      </c>
    </row>
    <row r="3725" spans="1:7" hidden="1" x14ac:dyDescent="0.25">
      <c r="A3725" s="28" t="s">
        <v>2359</v>
      </c>
      <c r="B3725" s="29">
        <v>25951.933700000001</v>
      </c>
      <c r="F3725" t="s">
        <v>2359</v>
      </c>
      <c r="G3725">
        <v>1</v>
      </c>
    </row>
    <row r="3726" spans="1:7" hidden="1" x14ac:dyDescent="0.25">
      <c r="A3726" s="28" t="s">
        <v>2218</v>
      </c>
      <c r="B3726" s="29">
        <v>25951.933700000001</v>
      </c>
      <c r="F3726" t="s">
        <v>2218</v>
      </c>
      <c r="G3726">
        <v>1</v>
      </c>
    </row>
    <row r="3727" spans="1:7" hidden="1" x14ac:dyDescent="0.25">
      <c r="A3727" s="28" t="s">
        <v>2383</v>
      </c>
      <c r="B3727" s="29">
        <v>35170.666700000002</v>
      </c>
      <c r="F3727" t="s">
        <v>2383</v>
      </c>
      <c r="G3727">
        <v>1</v>
      </c>
    </row>
    <row r="3728" spans="1:7" hidden="1" x14ac:dyDescent="0.25">
      <c r="A3728" s="28" t="s">
        <v>2318</v>
      </c>
      <c r="B3728" s="29">
        <v>26218.127700000001</v>
      </c>
      <c r="F3728" t="s">
        <v>2318</v>
      </c>
      <c r="G3728">
        <v>1</v>
      </c>
    </row>
    <row r="3729" spans="1:7" hidden="1" x14ac:dyDescent="0.25">
      <c r="A3729" s="28" t="s">
        <v>2111</v>
      </c>
      <c r="B3729" s="29">
        <v>25951.933700000001</v>
      </c>
      <c r="F3729" t="s">
        <v>2111</v>
      </c>
      <c r="G3729">
        <v>1</v>
      </c>
    </row>
    <row r="3730" spans="1:7" hidden="1" x14ac:dyDescent="0.25">
      <c r="A3730" s="28" t="s">
        <v>2390</v>
      </c>
      <c r="B3730" s="29">
        <v>25951.933700000001</v>
      </c>
      <c r="F3730" t="s">
        <v>2390</v>
      </c>
      <c r="G3730">
        <v>1</v>
      </c>
    </row>
    <row r="3731" spans="1:7" hidden="1" x14ac:dyDescent="0.25">
      <c r="A3731" s="28" t="s">
        <v>2550</v>
      </c>
      <c r="B3731" s="29">
        <v>34427.0285</v>
      </c>
      <c r="F3731" t="s">
        <v>2550</v>
      </c>
      <c r="G3731">
        <v>1</v>
      </c>
    </row>
    <row r="3732" spans="1:7" hidden="1" x14ac:dyDescent="0.25">
      <c r="A3732" s="28" t="s">
        <v>2046</v>
      </c>
      <c r="B3732" s="29">
        <v>25951.933700000001</v>
      </c>
      <c r="F3732" t="s">
        <v>2046</v>
      </c>
      <c r="G3732">
        <v>1</v>
      </c>
    </row>
    <row r="3733" spans="1:7" hidden="1" x14ac:dyDescent="0.25">
      <c r="A3733" s="28" t="s">
        <v>2325</v>
      </c>
      <c r="B3733" s="29">
        <v>34427.0285</v>
      </c>
      <c r="F3733" t="s">
        <v>2325</v>
      </c>
      <c r="G3733">
        <v>1</v>
      </c>
    </row>
    <row r="3734" spans="1:7" hidden="1" x14ac:dyDescent="0.25">
      <c r="A3734" s="28" t="s">
        <v>2202</v>
      </c>
      <c r="B3734" s="29">
        <v>25951.933700000001</v>
      </c>
      <c r="F3734" t="s">
        <v>2202</v>
      </c>
      <c r="G3734">
        <v>1</v>
      </c>
    </row>
    <row r="3735" spans="1:7" hidden="1" x14ac:dyDescent="0.25">
      <c r="A3735" s="28" t="s">
        <v>2214</v>
      </c>
      <c r="B3735" s="29">
        <v>25951.933700000001</v>
      </c>
      <c r="F3735" t="s">
        <v>2214</v>
      </c>
      <c r="G3735">
        <v>1</v>
      </c>
    </row>
    <row r="3736" spans="1:7" hidden="1" x14ac:dyDescent="0.25">
      <c r="A3736" s="28" t="s">
        <v>2130</v>
      </c>
      <c r="B3736" s="29">
        <v>25951.933700000001</v>
      </c>
      <c r="F3736" t="s">
        <v>2130</v>
      </c>
      <c r="G3736">
        <v>1</v>
      </c>
    </row>
    <row r="3737" spans="1:7" hidden="1" x14ac:dyDescent="0.25">
      <c r="A3737" s="28" t="s">
        <v>2647</v>
      </c>
      <c r="B3737" s="29">
        <v>25951.933700000001</v>
      </c>
      <c r="F3737" t="s">
        <v>2647</v>
      </c>
      <c r="G3737">
        <v>1</v>
      </c>
    </row>
    <row r="3738" spans="1:7" hidden="1" x14ac:dyDescent="0.25">
      <c r="A3738" s="28" t="s">
        <v>2525</v>
      </c>
      <c r="B3738" s="29">
        <v>26218.127700000001</v>
      </c>
      <c r="F3738" t="s">
        <v>2525</v>
      </c>
      <c r="G3738">
        <v>1</v>
      </c>
    </row>
    <row r="3739" spans="1:7" hidden="1" x14ac:dyDescent="0.25">
      <c r="A3739" s="28" t="s">
        <v>2725</v>
      </c>
      <c r="B3739" s="29">
        <v>35170.666700000002</v>
      </c>
      <c r="F3739" t="s">
        <v>2725</v>
      </c>
      <c r="G3739">
        <v>1</v>
      </c>
    </row>
    <row r="3740" spans="1:7" hidden="1" x14ac:dyDescent="0.25">
      <c r="A3740" s="28" t="s">
        <v>1842</v>
      </c>
      <c r="B3740" s="29">
        <v>25951.933700000001</v>
      </c>
      <c r="F3740" t="s">
        <v>1842</v>
      </c>
      <c r="G3740">
        <v>1</v>
      </c>
    </row>
    <row r="3741" spans="1:7" hidden="1" x14ac:dyDescent="0.25">
      <c r="A3741" s="28" t="s">
        <v>2092</v>
      </c>
      <c r="B3741" s="29">
        <v>28935.146499999999</v>
      </c>
      <c r="F3741" t="s">
        <v>2092</v>
      </c>
      <c r="G3741">
        <v>1</v>
      </c>
    </row>
    <row r="3742" spans="1:7" hidden="1" x14ac:dyDescent="0.25">
      <c r="A3742" s="28" t="s">
        <v>2166</v>
      </c>
      <c r="B3742" s="29">
        <v>28935.146499999999</v>
      </c>
      <c r="F3742" t="s">
        <v>2166</v>
      </c>
      <c r="G3742">
        <v>1</v>
      </c>
    </row>
    <row r="3743" spans="1:7" hidden="1" x14ac:dyDescent="0.25">
      <c r="A3743" s="28" t="s">
        <v>2040</v>
      </c>
      <c r="B3743" s="29">
        <v>28935.146499999999</v>
      </c>
      <c r="F3743" t="s">
        <v>2040</v>
      </c>
      <c r="G3743">
        <v>1</v>
      </c>
    </row>
    <row r="3744" spans="1:7" hidden="1" x14ac:dyDescent="0.25">
      <c r="A3744" s="28" t="s">
        <v>2114</v>
      </c>
      <c r="B3744" s="29">
        <v>28935.146499999999</v>
      </c>
      <c r="F3744" t="s">
        <v>2114</v>
      </c>
      <c r="G3744">
        <v>1</v>
      </c>
    </row>
    <row r="3745" spans="1:7" hidden="1" x14ac:dyDescent="0.25">
      <c r="A3745" s="28" t="s">
        <v>2883</v>
      </c>
      <c r="B3745" s="29">
        <v>35170.666700000002</v>
      </c>
      <c r="F3745" t="s">
        <v>2883</v>
      </c>
      <c r="G3745">
        <v>1</v>
      </c>
    </row>
    <row r="3746" spans="1:7" hidden="1" x14ac:dyDescent="0.25">
      <c r="A3746" s="28" t="s">
        <v>2215</v>
      </c>
      <c r="B3746" s="29">
        <v>25951.933700000001</v>
      </c>
      <c r="F3746" t="s">
        <v>2215</v>
      </c>
      <c r="G3746">
        <v>1</v>
      </c>
    </row>
    <row r="3747" spans="1:7" hidden="1" x14ac:dyDescent="0.25">
      <c r="A3747" s="28" t="s">
        <v>1923</v>
      </c>
      <c r="B3747" s="29">
        <v>28935.146499999999</v>
      </c>
      <c r="F3747" t="s">
        <v>1923</v>
      </c>
      <c r="G3747">
        <v>1</v>
      </c>
    </row>
    <row r="3748" spans="1:7" hidden="1" x14ac:dyDescent="0.25">
      <c r="A3748" s="28" t="s">
        <v>1928</v>
      </c>
      <c r="B3748" s="29">
        <v>25951.933700000001</v>
      </c>
      <c r="F3748" t="s">
        <v>1928</v>
      </c>
      <c r="G3748">
        <v>1</v>
      </c>
    </row>
    <row r="3749" spans="1:7" hidden="1" x14ac:dyDescent="0.25">
      <c r="A3749" s="28" t="s">
        <v>2358</v>
      </c>
      <c r="B3749" s="29">
        <v>28935.146499999999</v>
      </c>
      <c r="F3749" t="s">
        <v>2358</v>
      </c>
      <c r="G3749">
        <v>1</v>
      </c>
    </row>
    <row r="3750" spans="1:7" x14ac:dyDescent="0.25">
      <c r="A3750" s="28" t="s">
        <v>824</v>
      </c>
      <c r="B3750" s="29">
        <v>35170.666700000002</v>
      </c>
      <c r="F3750" t="s">
        <v>824</v>
      </c>
      <c r="G3750">
        <v>2</v>
      </c>
    </row>
    <row r="3751" spans="1:7" hidden="1" x14ac:dyDescent="0.25">
      <c r="A3751" s="28" t="s">
        <v>1825</v>
      </c>
      <c r="B3751" s="29">
        <v>28935.146499999999</v>
      </c>
      <c r="F3751" t="s">
        <v>1825</v>
      </c>
      <c r="G3751">
        <v>1</v>
      </c>
    </row>
    <row r="3752" spans="1:7" hidden="1" x14ac:dyDescent="0.25">
      <c r="A3752" s="28" t="s">
        <v>1852</v>
      </c>
      <c r="B3752" s="29">
        <v>25951.933700000001</v>
      </c>
      <c r="F3752" t="s">
        <v>1852</v>
      </c>
      <c r="G3752">
        <v>1</v>
      </c>
    </row>
    <row r="3753" spans="1:7" hidden="1" x14ac:dyDescent="0.25">
      <c r="A3753" s="28" t="s">
        <v>2104</v>
      </c>
      <c r="B3753" s="29">
        <v>28935.146499999999</v>
      </c>
      <c r="F3753" t="s">
        <v>2104</v>
      </c>
      <c r="G3753">
        <v>1</v>
      </c>
    </row>
    <row r="3754" spans="1:7" hidden="1" x14ac:dyDescent="0.25">
      <c r="A3754" s="28" t="s">
        <v>1834</v>
      </c>
      <c r="B3754" s="29">
        <v>28935.146499999999</v>
      </c>
      <c r="F3754" t="s">
        <v>1834</v>
      </c>
      <c r="G3754">
        <v>1</v>
      </c>
    </row>
    <row r="3755" spans="1:7" hidden="1" x14ac:dyDescent="0.25">
      <c r="A3755" s="28" t="s">
        <v>1901</v>
      </c>
      <c r="B3755" s="29">
        <v>28935.146499999999</v>
      </c>
      <c r="F3755" t="s">
        <v>1901</v>
      </c>
      <c r="G3755">
        <v>1</v>
      </c>
    </row>
    <row r="3756" spans="1:7" hidden="1" x14ac:dyDescent="0.25">
      <c r="A3756" s="28" t="s">
        <v>2052</v>
      </c>
      <c r="B3756" s="29">
        <v>25951.933700000001</v>
      </c>
      <c r="F3756" t="s">
        <v>2052</v>
      </c>
      <c r="G3756">
        <v>1</v>
      </c>
    </row>
    <row r="3757" spans="1:7" hidden="1" x14ac:dyDescent="0.25">
      <c r="A3757" s="28" t="s">
        <v>2917</v>
      </c>
      <c r="B3757" s="29">
        <v>25951.933700000001</v>
      </c>
      <c r="F3757" t="s">
        <v>2917</v>
      </c>
      <c r="G3757">
        <v>1</v>
      </c>
    </row>
    <row r="3758" spans="1:7" x14ac:dyDescent="0.25">
      <c r="A3758" s="28" t="s">
        <v>527</v>
      </c>
      <c r="B3758" s="29">
        <v>25951.933700000001</v>
      </c>
      <c r="F3758" t="s">
        <v>527</v>
      </c>
      <c r="G3758">
        <v>2</v>
      </c>
    </row>
    <row r="3759" spans="1:7" hidden="1" x14ac:dyDescent="0.25">
      <c r="A3759" s="28" t="s">
        <v>2419</v>
      </c>
      <c r="B3759" s="29">
        <v>28935.146499999999</v>
      </c>
      <c r="F3759" t="s">
        <v>2419</v>
      </c>
      <c r="G3759">
        <v>1</v>
      </c>
    </row>
    <row r="3760" spans="1:7" hidden="1" x14ac:dyDescent="0.25">
      <c r="A3760" s="28" t="s">
        <v>1835</v>
      </c>
      <c r="B3760" s="29">
        <v>35170.666700000002</v>
      </c>
      <c r="F3760" t="s">
        <v>1835</v>
      </c>
      <c r="G3760">
        <v>1</v>
      </c>
    </row>
    <row r="3761" spans="1:7" hidden="1" x14ac:dyDescent="0.25">
      <c r="A3761" s="28" t="s">
        <v>2021</v>
      </c>
      <c r="B3761" s="29">
        <v>28935.146499999999</v>
      </c>
      <c r="F3761" t="s">
        <v>2021</v>
      </c>
      <c r="G3761">
        <v>1</v>
      </c>
    </row>
    <row r="3762" spans="1:7" hidden="1" x14ac:dyDescent="0.25">
      <c r="A3762" s="28" t="s">
        <v>2195</v>
      </c>
      <c r="B3762" s="29">
        <v>25951.933700000001</v>
      </c>
      <c r="F3762" t="s">
        <v>2195</v>
      </c>
      <c r="G3762">
        <v>1</v>
      </c>
    </row>
    <row r="3763" spans="1:7" hidden="1" x14ac:dyDescent="0.25">
      <c r="A3763" s="28" t="s">
        <v>2217</v>
      </c>
      <c r="B3763" s="29">
        <v>28935.146499999999</v>
      </c>
      <c r="F3763" t="s">
        <v>2217</v>
      </c>
      <c r="G3763">
        <v>1</v>
      </c>
    </row>
    <row r="3764" spans="1:7" hidden="1" x14ac:dyDescent="0.25">
      <c r="A3764" s="28" t="s">
        <v>2216</v>
      </c>
      <c r="B3764" s="29">
        <v>26218.127700000001</v>
      </c>
      <c r="F3764" t="s">
        <v>2216</v>
      </c>
      <c r="G3764">
        <v>1</v>
      </c>
    </row>
    <row r="3765" spans="1:7" hidden="1" x14ac:dyDescent="0.25">
      <c r="A3765" s="28" t="s">
        <v>2338</v>
      </c>
      <c r="B3765" s="29">
        <v>25951.933700000001</v>
      </c>
      <c r="F3765" t="s">
        <v>2338</v>
      </c>
      <c r="G3765">
        <v>1</v>
      </c>
    </row>
    <row r="3766" spans="1:7" hidden="1" x14ac:dyDescent="0.25">
      <c r="A3766" s="28" t="s">
        <v>2648</v>
      </c>
      <c r="B3766" s="29">
        <v>25951.933700000001</v>
      </c>
      <c r="F3766" t="s">
        <v>2648</v>
      </c>
      <c r="G3766">
        <v>1</v>
      </c>
    </row>
    <row r="3767" spans="1:7" hidden="1" x14ac:dyDescent="0.25">
      <c r="A3767" s="28" t="s">
        <v>2468</v>
      </c>
      <c r="B3767" s="29">
        <v>25951.933700000001</v>
      </c>
      <c r="F3767" t="s">
        <v>2468</v>
      </c>
      <c r="G3767">
        <v>1</v>
      </c>
    </row>
    <row r="3768" spans="1:7" hidden="1" x14ac:dyDescent="0.25">
      <c r="A3768" s="28" t="s">
        <v>2105</v>
      </c>
      <c r="B3768" s="29">
        <v>25951.933700000001</v>
      </c>
      <c r="F3768" t="s">
        <v>2105</v>
      </c>
      <c r="G3768">
        <v>1</v>
      </c>
    </row>
    <row r="3769" spans="1:7" hidden="1" x14ac:dyDescent="0.25">
      <c r="A3769" s="28" t="s">
        <v>1837</v>
      </c>
      <c r="B3769" s="29">
        <v>25951.933700000001</v>
      </c>
      <c r="F3769" t="s">
        <v>1837</v>
      </c>
      <c r="G3769">
        <v>1</v>
      </c>
    </row>
    <row r="3770" spans="1:7" x14ac:dyDescent="0.25">
      <c r="A3770" s="28" t="s">
        <v>1396</v>
      </c>
      <c r="B3770" s="29">
        <v>25951.933700000001</v>
      </c>
      <c r="F3770" t="s">
        <v>1396</v>
      </c>
      <c r="G3770">
        <v>2</v>
      </c>
    </row>
    <row r="3771" spans="1:7" hidden="1" x14ac:dyDescent="0.25">
      <c r="A3771" s="28" t="s">
        <v>2701</v>
      </c>
      <c r="B3771" s="29">
        <v>25951.933700000001</v>
      </c>
      <c r="F3771" t="s">
        <v>2701</v>
      </c>
      <c r="G3771">
        <v>1</v>
      </c>
    </row>
    <row r="3772" spans="1:7" x14ac:dyDescent="0.25">
      <c r="A3772" s="28" t="s">
        <v>936</v>
      </c>
      <c r="B3772" s="29">
        <v>25951.933700000001</v>
      </c>
      <c r="F3772" t="s">
        <v>936</v>
      </c>
      <c r="G3772">
        <v>2</v>
      </c>
    </row>
    <row r="3773" spans="1:7" hidden="1" x14ac:dyDescent="0.25">
      <c r="A3773" s="28" t="s">
        <v>2267</v>
      </c>
      <c r="B3773" s="29">
        <v>25951.933700000001</v>
      </c>
      <c r="F3773" t="s">
        <v>2267</v>
      </c>
      <c r="G3773">
        <v>1</v>
      </c>
    </row>
    <row r="3774" spans="1:7" hidden="1" x14ac:dyDescent="0.25">
      <c r="A3774" s="28" t="s">
        <v>2053</v>
      </c>
      <c r="B3774" s="29">
        <v>26218.127700000001</v>
      </c>
      <c r="F3774" t="s">
        <v>2053</v>
      </c>
      <c r="G3774">
        <v>1</v>
      </c>
    </row>
    <row r="3775" spans="1:7" hidden="1" x14ac:dyDescent="0.25">
      <c r="A3775" s="28" t="s">
        <v>1949</v>
      </c>
      <c r="B3775" s="29">
        <v>35170.666700000002</v>
      </c>
      <c r="F3775" t="s">
        <v>1949</v>
      </c>
      <c r="G3775">
        <v>1</v>
      </c>
    </row>
    <row r="3776" spans="1:7" hidden="1" x14ac:dyDescent="0.25">
      <c r="A3776" s="28" t="s">
        <v>384</v>
      </c>
      <c r="B3776" s="29">
        <v>28935.146499999999</v>
      </c>
      <c r="F3776" t="s">
        <v>384</v>
      </c>
      <c r="G3776">
        <v>1</v>
      </c>
    </row>
    <row r="3777" spans="1:7" hidden="1" x14ac:dyDescent="0.25">
      <c r="A3777" s="28" t="s">
        <v>2685</v>
      </c>
      <c r="B3777" s="29">
        <v>25951.933700000001</v>
      </c>
      <c r="F3777" t="s">
        <v>2685</v>
      </c>
      <c r="G3777">
        <v>1</v>
      </c>
    </row>
    <row r="3778" spans="1:7" hidden="1" x14ac:dyDescent="0.25">
      <c r="A3778" s="28" t="s">
        <v>2412</v>
      </c>
      <c r="B3778" s="29">
        <v>25951.933700000001</v>
      </c>
      <c r="F3778" t="s">
        <v>2412</v>
      </c>
      <c r="G3778">
        <v>1</v>
      </c>
    </row>
    <row r="3779" spans="1:7" hidden="1" x14ac:dyDescent="0.25">
      <c r="A3779" s="28" t="s">
        <v>2420</v>
      </c>
      <c r="B3779" s="29">
        <v>28935.146499999999</v>
      </c>
      <c r="F3779" t="s">
        <v>2420</v>
      </c>
      <c r="G3779">
        <v>1</v>
      </c>
    </row>
    <row r="3780" spans="1:7" hidden="1" x14ac:dyDescent="0.25">
      <c r="A3780" s="28" t="s">
        <v>2761</v>
      </c>
      <c r="B3780" s="29">
        <v>25951.933700000001</v>
      </c>
      <c r="F3780" t="s">
        <v>2761</v>
      </c>
      <c r="G3780">
        <v>1</v>
      </c>
    </row>
    <row r="3781" spans="1:7" hidden="1" x14ac:dyDescent="0.25">
      <c r="A3781" s="28" t="s">
        <v>2396</v>
      </c>
      <c r="B3781" s="29">
        <v>35170.666700000002</v>
      </c>
      <c r="F3781" t="s">
        <v>2396</v>
      </c>
      <c r="G3781">
        <v>1</v>
      </c>
    </row>
    <row r="3782" spans="1:7" hidden="1" x14ac:dyDescent="0.25">
      <c r="A3782" s="28" t="s">
        <v>2726</v>
      </c>
      <c r="B3782" s="29">
        <v>26218.127700000001</v>
      </c>
      <c r="F3782" t="s">
        <v>2726</v>
      </c>
      <c r="G3782">
        <v>1</v>
      </c>
    </row>
    <row r="3783" spans="1:7" hidden="1" x14ac:dyDescent="0.25">
      <c r="A3783" s="28" t="s">
        <v>2391</v>
      </c>
      <c r="B3783" s="29">
        <v>25951.933700000001</v>
      </c>
      <c r="F3783" t="s">
        <v>2391</v>
      </c>
      <c r="G3783">
        <v>1</v>
      </c>
    </row>
    <row r="3784" spans="1:7" hidden="1" x14ac:dyDescent="0.25">
      <c r="A3784" s="28" t="s">
        <v>2219</v>
      </c>
      <c r="B3784" s="29">
        <v>26218.127700000001</v>
      </c>
      <c r="F3784" t="s">
        <v>2219</v>
      </c>
      <c r="G3784">
        <v>1</v>
      </c>
    </row>
    <row r="3785" spans="1:7" hidden="1" x14ac:dyDescent="0.25">
      <c r="A3785" s="28" t="s">
        <v>2457</v>
      </c>
      <c r="B3785" s="29">
        <v>26218.127700000001</v>
      </c>
      <c r="F3785" t="s">
        <v>2457</v>
      </c>
      <c r="G3785">
        <v>1</v>
      </c>
    </row>
    <row r="3786" spans="1:7" hidden="1" x14ac:dyDescent="0.25">
      <c r="A3786" s="28" t="s">
        <v>2649</v>
      </c>
      <c r="B3786" s="29">
        <v>26218.127700000001</v>
      </c>
      <c r="F3786" t="s">
        <v>2649</v>
      </c>
      <c r="G3786">
        <v>1</v>
      </c>
    </row>
    <row r="3787" spans="1:7" x14ac:dyDescent="0.25">
      <c r="A3787" s="28" t="s">
        <v>684</v>
      </c>
      <c r="B3787" s="29">
        <v>35170.666700000002</v>
      </c>
      <c r="F3787" t="s">
        <v>684</v>
      </c>
      <c r="G3787">
        <v>2</v>
      </c>
    </row>
    <row r="3788" spans="1:7" hidden="1" x14ac:dyDescent="0.25">
      <c r="A3788" s="28" t="s">
        <v>2395</v>
      </c>
      <c r="B3788" s="29">
        <v>35170.666700000002</v>
      </c>
      <c r="F3788" t="s">
        <v>2395</v>
      </c>
      <c r="G3788">
        <v>1</v>
      </c>
    </row>
    <row r="3789" spans="1:7" hidden="1" x14ac:dyDescent="0.25">
      <c r="A3789" s="28" t="s">
        <v>2650</v>
      </c>
      <c r="B3789" s="29">
        <v>35170.666700000002</v>
      </c>
      <c r="F3789" t="s">
        <v>2650</v>
      </c>
      <c r="G3789">
        <v>1</v>
      </c>
    </row>
    <row r="3790" spans="1:7" hidden="1" x14ac:dyDescent="0.25">
      <c r="A3790" s="28" t="s">
        <v>2016</v>
      </c>
      <c r="B3790" s="29">
        <v>25951.933700000001</v>
      </c>
      <c r="F3790" t="s">
        <v>2016</v>
      </c>
      <c r="G3790">
        <v>1</v>
      </c>
    </row>
    <row r="3791" spans="1:7" hidden="1" x14ac:dyDescent="0.25">
      <c r="A3791" s="28" t="s">
        <v>2220</v>
      </c>
      <c r="B3791" s="29">
        <v>25951.933700000001</v>
      </c>
      <c r="F3791" t="s">
        <v>2220</v>
      </c>
      <c r="G3791">
        <v>1</v>
      </c>
    </row>
    <row r="3792" spans="1:7" hidden="1" x14ac:dyDescent="0.25">
      <c r="A3792" s="28" t="s">
        <v>2210</v>
      </c>
      <c r="B3792" s="29">
        <v>25951.933700000001</v>
      </c>
      <c r="F3792" t="s">
        <v>2210</v>
      </c>
      <c r="G3792">
        <v>1</v>
      </c>
    </row>
    <row r="3793" spans="1:7" hidden="1" x14ac:dyDescent="0.25">
      <c r="A3793" s="28" t="s">
        <v>2551</v>
      </c>
      <c r="B3793" s="29">
        <v>25951.933700000001</v>
      </c>
      <c r="F3793" t="s">
        <v>2551</v>
      </c>
      <c r="G3793">
        <v>1</v>
      </c>
    </row>
    <row r="3794" spans="1:7" x14ac:dyDescent="0.25">
      <c r="A3794" s="28" t="s">
        <v>440</v>
      </c>
      <c r="B3794" s="29">
        <v>35170.666700000002</v>
      </c>
      <c r="F3794" t="s">
        <v>440</v>
      </c>
      <c r="G3794">
        <v>2</v>
      </c>
    </row>
    <row r="3795" spans="1:7" x14ac:dyDescent="0.25">
      <c r="A3795" s="28" t="s">
        <v>367</v>
      </c>
      <c r="B3795" s="29">
        <v>35170.666700000002</v>
      </c>
      <c r="F3795" t="s">
        <v>367</v>
      </c>
      <c r="G3795">
        <v>2</v>
      </c>
    </row>
    <row r="3796" spans="1:7" x14ac:dyDescent="0.25">
      <c r="A3796" s="28" t="s">
        <v>305</v>
      </c>
      <c r="B3796" s="29">
        <v>35170.666700000002</v>
      </c>
      <c r="F3796" t="s">
        <v>305</v>
      </c>
      <c r="G3796">
        <v>2</v>
      </c>
    </row>
    <row r="3797" spans="1:7" x14ac:dyDescent="0.25">
      <c r="A3797" s="28" t="s">
        <v>1615</v>
      </c>
      <c r="B3797" s="29">
        <v>35170.666700000002</v>
      </c>
      <c r="F3797" t="s">
        <v>1615</v>
      </c>
      <c r="G3797">
        <v>2</v>
      </c>
    </row>
    <row r="3798" spans="1:7" x14ac:dyDescent="0.25">
      <c r="A3798" s="28" t="s">
        <v>774</v>
      </c>
      <c r="B3798" s="29">
        <v>35170.666700000002</v>
      </c>
      <c r="F3798" t="s">
        <v>774</v>
      </c>
      <c r="G3798">
        <v>2</v>
      </c>
    </row>
    <row r="3799" spans="1:7" hidden="1" x14ac:dyDescent="0.25">
      <c r="A3799" s="28" t="s">
        <v>2151</v>
      </c>
      <c r="B3799" s="29">
        <v>25951.933700000001</v>
      </c>
      <c r="F3799" t="s">
        <v>2151</v>
      </c>
      <c r="G3799">
        <v>1</v>
      </c>
    </row>
    <row r="3800" spans="1:7" x14ac:dyDescent="0.25">
      <c r="A3800" s="28" t="s">
        <v>278</v>
      </c>
      <c r="B3800" s="29">
        <v>35170.666700000002</v>
      </c>
      <c r="F3800" t="s">
        <v>278</v>
      </c>
      <c r="G3800">
        <v>2</v>
      </c>
    </row>
    <row r="3801" spans="1:7" x14ac:dyDescent="0.25">
      <c r="A3801" s="28" t="s">
        <v>1206</v>
      </c>
      <c r="B3801" s="29">
        <v>25951.933700000001</v>
      </c>
      <c r="F3801" t="s">
        <v>1206</v>
      </c>
      <c r="G3801">
        <v>2</v>
      </c>
    </row>
    <row r="3802" spans="1:7" x14ac:dyDescent="0.25">
      <c r="A3802" s="28" t="s">
        <v>765</v>
      </c>
      <c r="B3802" s="29">
        <v>35170.666700000002</v>
      </c>
      <c r="F3802" t="s">
        <v>765</v>
      </c>
      <c r="G3802">
        <v>2</v>
      </c>
    </row>
    <row r="3803" spans="1:7" x14ac:dyDescent="0.25">
      <c r="A3803" s="28" t="s">
        <v>1161</v>
      </c>
      <c r="B3803" s="29">
        <v>25951.933700000001</v>
      </c>
      <c r="F3803" t="s">
        <v>1161</v>
      </c>
      <c r="G3803">
        <v>2</v>
      </c>
    </row>
    <row r="3804" spans="1:7" x14ac:dyDescent="0.25">
      <c r="A3804" s="28" t="s">
        <v>846</v>
      </c>
      <c r="B3804" s="29">
        <v>35170.666700000002</v>
      </c>
      <c r="F3804" t="s">
        <v>846</v>
      </c>
      <c r="G3804">
        <v>2</v>
      </c>
    </row>
    <row r="3805" spans="1:7" x14ac:dyDescent="0.25">
      <c r="A3805" s="28" t="s">
        <v>551</v>
      </c>
      <c r="B3805" s="29">
        <v>35170.666700000002</v>
      </c>
      <c r="F3805" t="s">
        <v>551</v>
      </c>
      <c r="G3805">
        <v>2</v>
      </c>
    </row>
    <row r="3806" spans="1:7" x14ac:dyDescent="0.25">
      <c r="A3806" s="28" t="s">
        <v>1462</v>
      </c>
      <c r="B3806" s="29">
        <v>35170.666700000002</v>
      </c>
      <c r="F3806" t="s">
        <v>1462</v>
      </c>
      <c r="G3806">
        <v>2</v>
      </c>
    </row>
    <row r="3807" spans="1:7" hidden="1" x14ac:dyDescent="0.25">
      <c r="A3807" s="28" t="s">
        <v>2658</v>
      </c>
      <c r="B3807" s="29">
        <v>35170.666700000002</v>
      </c>
      <c r="F3807" t="s">
        <v>2658</v>
      </c>
      <c r="G3807">
        <v>1</v>
      </c>
    </row>
    <row r="3808" spans="1:7" x14ac:dyDescent="0.25">
      <c r="A3808" s="28" t="s">
        <v>291</v>
      </c>
      <c r="B3808" s="29">
        <v>35170.666700000002</v>
      </c>
      <c r="F3808" t="s">
        <v>291</v>
      </c>
      <c r="G3808">
        <v>2</v>
      </c>
    </row>
    <row r="3809" spans="1:7" x14ac:dyDescent="0.25">
      <c r="A3809" s="28" t="s">
        <v>1513</v>
      </c>
      <c r="B3809" s="29">
        <v>35170.666700000002</v>
      </c>
      <c r="F3809" t="s">
        <v>1513</v>
      </c>
      <c r="G3809">
        <v>2</v>
      </c>
    </row>
    <row r="3810" spans="1:7" x14ac:dyDescent="0.25">
      <c r="A3810" s="28" t="s">
        <v>369</v>
      </c>
      <c r="B3810" s="29">
        <v>35170.666700000002</v>
      </c>
      <c r="F3810" t="s">
        <v>369</v>
      </c>
      <c r="G3810">
        <v>2</v>
      </c>
    </row>
    <row r="3811" spans="1:7" x14ac:dyDescent="0.25">
      <c r="A3811" s="28" t="s">
        <v>1170</v>
      </c>
      <c r="B3811" s="29">
        <v>35170.666700000002</v>
      </c>
      <c r="F3811" t="s">
        <v>1170</v>
      </c>
      <c r="G3811">
        <v>2</v>
      </c>
    </row>
    <row r="3812" spans="1:7" x14ac:dyDescent="0.25">
      <c r="A3812" s="28" t="s">
        <v>845</v>
      </c>
      <c r="B3812" s="29">
        <v>35170.666700000002</v>
      </c>
      <c r="F3812" t="s">
        <v>845</v>
      </c>
      <c r="G3812">
        <v>2</v>
      </c>
    </row>
    <row r="3813" spans="1:7" hidden="1" x14ac:dyDescent="0.25">
      <c r="A3813" s="28" t="s">
        <v>2495</v>
      </c>
      <c r="B3813" s="29">
        <v>35170.666700000002</v>
      </c>
      <c r="F3813" t="s">
        <v>2495</v>
      </c>
      <c r="G3813">
        <v>1</v>
      </c>
    </row>
    <row r="3814" spans="1:7" x14ac:dyDescent="0.25">
      <c r="A3814" s="28" t="s">
        <v>930</v>
      </c>
      <c r="B3814" s="29">
        <v>35170.666700000002</v>
      </c>
      <c r="F3814" t="s">
        <v>930</v>
      </c>
      <c r="G3814">
        <v>2</v>
      </c>
    </row>
    <row r="3815" spans="1:7" hidden="1" x14ac:dyDescent="0.25">
      <c r="A3815" s="28" t="s">
        <v>2474</v>
      </c>
      <c r="B3815" s="29">
        <v>35170.666700000002</v>
      </c>
      <c r="F3815" t="s">
        <v>2474</v>
      </c>
      <c r="G3815">
        <v>1</v>
      </c>
    </row>
    <row r="3816" spans="1:7" hidden="1" x14ac:dyDescent="0.25">
      <c r="A3816" s="28" t="s">
        <v>2700</v>
      </c>
      <c r="B3816" s="29">
        <v>35170.666700000002</v>
      </c>
      <c r="F3816" t="s">
        <v>2700</v>
      </c>
      <c r="G3816">
        <v>1</v>
      </c>
    </row>
    <row r="3817" spans="1:7" x14ac:dyDescent="0.25">
      <c r="A3817" s="28" t="s">
        <v>789</v>
      </c>
      <c r="B3817" s="29">
        <v>35170.666700000002</v>
      </c>
      <c r="F3817" t="s">
        <v>789</v>
      </c>
      <c r="G3817">
        <v>2</v>
      </c>
    </row>
    <row r="3818" spans="1:7" hidden="1" x14ac:dyDescent="0.25">
      <c r="A3818" s="28" t="s">
        <v>1945</v>
      </c>
      <c r="B3818" s="29">
        <v>35170.666700000002</v>
      </c>
      <c r="F3818" t="s">
        <v>1945</v>
      </c>
      <c r="G3818">
        <v>1</v>
      </c>
    </row>
    <row r="3819" spans="1:7" hidden="1" x14ac:dyDescent="0.25">
      <c r="A3819" s="28" t="s">
        <v>2617</v>
      </c>
      <c r="B3819" s="29">
        <v>35170.666700000002</v>
      </c>
      <c r="F3819" t="s">
        <v>2617</v>
      </c>
      <c r="G3819">
        <v>1</v>
      </c>
    </row>
    <row r="3820" spans="1:7" hidden="1" x14ac:dyDescent="0.25">
      <c r="A3820" s="28" t="s">
        <v>2048</v>
      </c>
      <c r="B3820" s="29">
        <v>35170.666700000002</v>
      </c>
      <c r="F3820" t="s">
        <v>2048</v>
      </c>
      <c r="G3820">
        <v>1</v>
      </c>
    </row>
    <row r="3821" spans="1:7" x14ac:dyDescent="0.25">
      <c r="A3821" s="28" t="s">
        <v>448</v>
      </c>
      <c r="B3821" s="29">
        <v>35170.666700000002</v>
      </c>
      <c r="F3821" t="s">
        <v>448</v>
      </c>
      <c r="G3821">
        <v>2</v>
      </c>
    </row>
    <row r="3822" spans="1:7" x14ac:dyDescent="0.25">
      <c r="A3822" s="28" t="s">
        <v>1338</v>
      </c>
      <c r="B3822" s="29">
        <v>25951.933700000001</v>
      </c>
      <c r="F3822" t="s">
        <v>1338</v>
      </c>
      <c r="G3822">
        <v>2</v>
      </c>
    </row>
    <row r="3823" spans="1:7" hidden="1" x14ac:dyDescent="0.25">
      <c r="A3823" s="28" t="s">
        <v>1946</v>
      </c>
      <c r="B3823" s="29">
        <v>25951.933700000001</v>
      </c>
      <c r="F3823" t="s">
        <v>1946</v>
      </c>
      <c r="G3823">
        <v>1</v>
      </c>
    </row>
    <row r="3824" spans="1:7" hidden="1" x14ac:dyDescent="0.25">
      <c r="A3824" s="28" t="s">
        <v>1809</v>
      </c>
      <c r="B3824" s="29">
        <v>25951.933700000001</v>
      </c>
      <c r="F3824" t="s">
        <v>1809</v>
      </c>
      <c r="G3824">
        <v>1</v>
      </c>
    </row>
    <row r="3825" spans="1:7" hidden="1" x14ac:dyDescent="0.25">
      <c r="A3825" s="28" t="s">
        <v>2472</v>
      </c>
      <c r="B3825" s="29">
        <v>25951.933700000001</v>
      </c>
      <c r="F3825" t="s">
        <v>2472</v>
      </c>
      <c r="G3825">
        <v>1</v>
      </c>
    </row>
    <row r="3826" spans="1:7" hidden="1" x14ac:dyDescent="0.25">
      <c r="A3826" s="28" t="s">
        <v>2719</v>
      </c>
      <c r="B3826" s="29">
        <v>25951.933700000001</v>
      </c>
      <c r="F3826" t="s">
        <v>2719</v>
      </c>
      <c r="G3826">
        <v>1</v>
      </c>
    </row>
    <row r="3827" spans="1:7" hidden="1" x14ac:dyDescent="0.25">
      <c r="A3827" s="28" t="s">
        <v>2407</v>
      </c>
      <c r="B3827" s="29">
        <v>25951.933700000001</v>
      </c>
      <c r="F3827" t="s">
        <v>2407</v>
      </c>
      <c r="G3827">
        <v>1</v>
      </c>
    </row>
    <row r="3828" spans="1:7" hidden="1" x14ac:dyDescent="0.25">
      <c r="A3828" s="28" t="s">
        <v>2615</v>
      </c>
      <c r="B3828" s="29">
        <v>25951.933700000001</v>
      </c>
      <c r="F3828" t="s">
        <v>2615</v>
      </c>
      <c r="G3828">
        <v>1</v>
      </c>
    </row>
    <row r="3829" spans="1:7" hidden="1" x14ac:dyDescent="0.25">
      <c r="A3829" s="28" t="s">
        <v>2720</v>
      </c>
      <c r="B3829" s="29">
        <v>25951.933700000001</v>
      </c>
      <c r="F3829" t="s">
        <v>2720</v>
      </c>
      <c r="G3829">
        <v>1</v>
      </c>
    </row>
    <row r="3830" spans="1:7" hidden="1" x14ac:dyDescent="0.25">
      <c r="A3830" s="28" t="s">
        <v>2659</v>
      </c>
      <c r="B3830" s="29">
        <v>25951.933700000001</v>
      </c>
      <c r="F3830" t="s">
        <v>2659</v>
      </c>
      <c r="G3830">
        <v>1</v>
      </c>
    </row>
    <row r="3831" spans="1:7" hidden="1" x14ac:dyDescent="0.25">
      <c r="A3831" s="28" t="s">
        <v>2662</v>
      </c>
      <c r="B3831" s="29">
        <v>25951.933700000001</v>
      </c>
      <c r="F3831" t="s">
        <v>2662</v>
      </c>
      <c r="G3831">
        <v>1</v>
      </c>
    </row>
    <row r="3832" spans="1:7" hidden="1" x14ac:dyDescent="0.25">
      <c r="A3832" s="28" t="s">
        <v>2727</v>
      </c>
      <c r="B3832" s="29">
        <v>25951.933700000001</v>
      </c>
      <c r="F3832" t="s">
        <v>2727</v>
      </c>
      <c r="G3832">
        <v>1</v>
      </c>
    </row>
    <row r="3833" spans="1:7" hidden="1" x14ac:dyDescent="0.25">
      <c r="A3833" s="28" t="s">
        <v>2986</v>
      </c>
      <c r="B3833" s="29">
        <v>25951.933700000001</v>
      </c>
      <c r="F3833" t="s">
        <v>2986</v>
      </c>
      <c r="G3833">
        <v>1</v>
      </c>
    </row>
    <row r="3834" spans="1:7" hidden="1" x14ac:dyDescent="0.25">
      <c r="A3834" s="28" t="s">
        <v>2757</v>
      </c>
      <c r="B3834" s="29">
        <v>25951.933700000001</v>
      </c>
      <c r="F3834" t="s">
        <v>2757</v>
      </c>
      <c r="G3834">
        <v>1</v>
      </c>
    </row>
    <row r="3835" spans="1:7" x14ac:dyDescent="0.25">
      <c r="A3835" s="28" t="s">
        <v>285</v>
      </c>
      <c r="B3835" s="29">
        <v>25951.933700000001</v>
      </c>
      <c r="F3835" t="s">
        <v>285</v>
      </c>
      <c r="G3835">
        <v>2</v>
      </c>
    </row>
    <row r="3836" spans="1:7" hidden="1" x14ac:dyDescent="0.25">
      <c r="A3836" s="28" t="s">
        <v>2582</v>
      </c>
      <c r="B3836" s="29">
        <v>25951.933700000001</v>
      </c>
      <c r="F3836" t="s">
        <v>2582</v>
      </c>
      <c r="G3836">
        <v>1</v>
      </c>
    </row>
    <row r="3837" spans="1:7" hidden="1" x14ac:dyDescent="0.25">
      <c r="A3837" s="28" t="s">
        <v>137</v>
      </c>
      <c r="B3837" s="29">
        <v>25951.933700000001</v>
      </c>
      <c r="F3837" t="s">
        <v>137</v>
      </c>
      <c r="G3837">
        <v>1</v>
      </c>
    </row>
    <row r="3838" spans="1:7" x14ac:dyDescent="0.25">
      <c r="A3838" s="28" t="s">
        <v>447</v>
      </c>
      <c r="B3838" s="29">
        <v>25951.933700000001</v>
      </c>
      <c r="F3838" t="s">
        <v>447</v>
      </c>
      <c r="G3838">
        <v>2</v>
      </c>
    </row>
    <row r="3839" spans="1:7" hidden="1" x14ac:dyDescent="0.25">
      <c r="A3839" s="28" t="s">
        <v>2575</v>
      </c>
      <c r="B3839" s="29">
        <v>35170.666700000002</v>
      </c>
      <c r="F3839" t="s">
        <v>2575</v>
      </c>
      <c r="G3839">
        <v>1</v>
      </c>
    </row>
    <row r="3840" spans="1:7" x14ac:dyDescent="0.25">
      <c r="A3840" s="28" t="s">
        <v>1601</v>
      </c>
      <c r="B3840" s="29">
        <v>25951.933700000001</v>
      </c>
      <c r="F3840" t="s">
        <v>1601</v>
      </c>
      <c r="G3840">
        <v>2</v>
      </c>
    </row>
    <row r="3841" spans="1:7" x14ac:dyDescent="0.25">
      <c r="A3841" s="28" t="s">
        <v>613</v>
      </c>
      <c r="B3841" s="29">
        <v>25951.933700000001</v>
      </c>
      <c r="F3841" t="s">
        <v>613</v>
      </c>
      <c r="G3841">
        <v>2</v>
      </c>
    </row>
    <row r="3842" spans="1:7" x14ac:dyDescent="0.25">
      <c r="A3842" s="28" t="s">
        <v>1024</v>
      </c>
      <c r="B3842" s="29">
        <v>25951.933700000001</v>
      </c>
      <c r="F3842" t="s">
        <v>1024</v>
      </c>
      <c r="G3842">
        <v>2</v>
      </c>
    </row>
    <row r="3843" spans="1:7" x14ac:dyDescent="0.25">
      <c r="A3843" s="28" t="s">
        <v>1049</v>
      </c>
      <c r="B3843" s="29">
        <v>25951.933700000001</v>
      </c>
      <c r="F3843" t="s">
        <v>1049</v>
      </c>
      <c r="G3843">
        <v>2</v>
      </c>
    </row>
    <row r="3844" spans="1:7" x14ac:dyDescent="0.25">
      <c r="A3844" s="28" t="s">
        <v>1422</v>
      </c>
      <c r="B3844" s="29">
        <v>25951.933700000001</v>
      </c>
      <c r="F3844" t="s">
        <v>1422</v>
      </c>
      <c r="G3844">
        <v>2</v>
      </c>
    </row>
    <row r="3845" spans="1:7" x14ac:dyDescent="0.25">
      <c r="A3845" s="28" t="s">
        <v>1060</v>
      </c>
      <c r="B3845" s="29">
        <v>25951.933700000001</v>
      </c>
      <c r="F3845" t="s">
        <v>1060</v>
      </c>
      <c r="G3845">
        <v>2</v>
      </c>
    </row>
    <row r="3846" spans="1:7" hidden="1" x14ac:dyDescent="0.25">
      <c r="A3846" s="28" t="s">
        <v>2690</v>
      </c>
      <c r="B3846" s="29">
        <v>25951.933700000001</v>
      </c>
      <c r="F3846" t="s">
        <v>2690</v>
      </c>
      <c r="G3846">
        <v>1</v>
      </c>
    </row>
    <row r="3847" spans="1:7" hidden="1" x14ac:dyDescent="0.25">
      <c r="A3847" s="28" t="s">
        <v>2425</v>
      </c>
      <c r="B3847" s="29">
        <v>25951.933700000001</v>
      </c>
      <c r="F3847" t="s">
        <v>2425</v>
      </c>
      <c r="G3847">
        <v>1</v>
      </c>
    </row>
    <row r="3848" spans="1:7" hidden="1" x14ac:dyDescent="0.25">
      <c r="A3848" s="28" t="s">
        <v>2465</v>
      </c>
      <c r="B3848" s="29">
        <v>35170.666700000002</v>
      </c>
      <c r="F3848" t="s">
        <v>2465</v>
      </c>
      <c r="G3848">
        <v>1</v>
      </c>
    </row>
    <row r="3849" spans="1:7" x14ac:dyDescent="0.25">
      <c r="A3849" s="28" t="s">
        <v>715</v>
      </c>
      <c r="B3849" s="29">
        <v>35170.666700000002</v>
      </c>
      <c r="F3849" t="s">
        <v>715</v>
      </c>
      <c r="G3849">
        <v>2</v>
      </c>
    </row>
    <row r="3850" spans="1:7" hidden="1" x14ac:dyDescent="0.25">
      <c r="A3850" s="28" t="s">
        <v>2260</v>
      </c>
      <c r="B3850" s="29">
        <v>26218.127700000001</v>
      </c>
      <c r="F3850" t="s">
        <v>2260</v>
      </c>
      <c r="G3850">
        <v>1</v>
      </c>
    </row>
    <row r="3851" spans="1:7" hidden="1" x14ac:dyDescent="0.25">
      <c r="A3851" s="28" t="s">
        <v>2637</v>
      </c>
      <c r="B3851" s="29">
        <v>35170.666700000002</v>
      </c>
      <c r="F3851" t="s">
        <v>2637</v>
      </c>
      <c r="G3851">
        <v>1</v>
      </c>
    </row>
    <row r="3852" spans="1:7" x14ac:dyDescent="0.25">
      <c r="A3852" s="28" t="s">
        <v>746</v>
      </c>
      <c r="B3852" s="29">
        <v>35170.666700000002</v>
      </c>
      <c r="F3852" t="s">
        <v>746</v>
      </c>
      <c r="G3852">
        <v>2</v>
      </c>
    </row>
    <row r="3853" spans="1:7" x14ac:dyDescent="0.25">
      <c r="A3853" s="28" t="s">
        <v>15</v>
      </c>
      <c r="B3853" s="29">
        <v>35170.666700000002</v>
      </c>
      <c r="F3853" t="s">
        <v>15</v>
      </c>
      <c r="G3853">
        <v>2</v>
      </c>
    </row>
    <row r="3854" spans="1:7" hidden="1" x14ac:dyDescent="0.25">
      <c r="A3854" s="28" t="s">
        <v>2249</v>
      </c>
      <c r="B3854" s="29">
        <v>35170.666700000002</v>
      </c>
      <c r="F3854" t="s">
        <v>2249</v>
      </c>
      <c r="G3854">
        <v>1</v>
      </c>
    </row>
    <row r="3855" spans="1:7" hidden="1" x14ac:dyDescent="0.25">
      <c r="A3855" s="28" t="s">
        <v>1922</v>
      </c>
      <c r="B3855" s="29">
        <v>35170.666700000002</v>
      </c>
      <c r="F3855" t="s">
        <v>1922</v>
      </c>
      <c r="G3855">
        <v>1</v>
      </c>
    </row>
    <row r="3856" spans="1:7" hidden="1" x14ac:dyDescent="0.25">
      <c r="A3856" s="28" t="s">
        <v>3034</v>
      </c>
      <c r="B3856" s="29">
        <v>35170.666700000002</v>
      </c>
      <c r="F3856" t="s">
        <v>3034</v>
      </c>
      <c r="G3856">
        <v>1</v>
      </c>
    </row>
    <row r="3857" spans="1:7" hidden="1" x14ac:dyDescent="0.25">
      <c r="A3857" s="28" t="s">
        <v>3105</v>
      </c>
      <c r="B3857" s="29">
        <v>28935.146499999999</v>
      </c>
      <c r="F3857" t="s">
        <v>3105</v>
      </c>
      <c r="G3857">
        <v>1</v>
      </c>
    </row>
    <row r="3858" spans="1:7" x14ac:dyDescent="0.25">
      <c r="A3858" s="28" t="s">
        <v>1519</v>
      </c>
      <c r="B3858" s="29">
        <v>35170.666700000002</v>
      </c>
      <c r="F3858" t="s">
        <v>1519</v>
      </c>
      <c r="G3858">
        <v>2</v>
      </c>
    </row>
    <row r="3859" spans="1:7" x14ac:dyDescent="0.25">
      <c r="A3859" s="28" t="s">
        <v>454</v>
      </c>
      <c r="B3859" s="29">
        <v>35170.666700000002</v>
      </c>
      <c r="F3859" t="s">
        <v>454</v>
      </c>
      <c r="G3859">
        <v>2</v>
      </c>
    </row>
    <row r="3860" spans="1:7" hidden="1" x14ac:dyDescent="0.25">
      <c r="A3860" s="28" t="s">
        <v>2654</v>
      </c>
      <c r="B3860" s="29">
        <v>25951.933700000001</v>
      </c>
      <c r="F3860" t="s">
        <v>2654</v>
      </c>
      <c r="G3860">
        <v>1</v>
      </c>
    </row>
    <row r="3861" spans="1:7" hidden="1" x14ac:dyDescent="0.25">
      <c r="A3861" s="28" t="s">
        <v>2047</v>
      </c>
      <c r="B3861" s="29">
        <v>35170.666700000002</v>
      </c>
      <c r="F3861" t="s">
        <v>2047</v>
      </c>
      <c r="G3861">
        <v>1</v>
      </c>
    </row>
    <row r="3862" spans="1:7" x14ac:dyDescent="0.25">
      <c r="A3862" s="28" t="s">
        <v>1520</v>
      </c>
      <c r="B3862" s="29">
        <v>35170.666700000002</v>
      </c>
      <c r="F3862" t="s">
        <v>1520</v>
      </c>
      <c r="G3862">
        <v>2</v>
      </c>
    </row>
    <row r="3863" spans="1:7" x14ac:dyDescent="0.25">
      <c r="A3863" s="28" t="s">
        <v>714</v>
      </c>
      <c r="B3863" s="29">
        <v>25951.933700000001</v>
      </c>
      <c r="F3863" t="s">
        <v>714</v>
      </c>
      <c r="G3863">
        <v>2</v>
      </c>
    </row>
    <row r="3864" spans="1:7" hidden="1" x14ac:dyDescent="0.25">
      <c r="A3864" s="28" t="s">
        <v>2429</v>
      </c>
      <c r="B3864" s="29">
        <v>35170.666700000002</v>
      </c>
      <c r="F3864" t="s">
        <v>2429</v>
      </c>
      <c r="G3864">
        <v>1</v>
      </c>
    </row>
    <row r="3865" spans="1:7" hidden="1" x14ac:dyDescent="0.25">
      <c r="A3865" s="28" t="s">
        <v>2679</v>
      </c>
      <c r="B3865" s="29">
        <v>26218.127700000001</v>
      </c>
      <c r="F3865" t="s">
        <v>2679</v>
      </c>
      <c r="G3865">
        <v>1</v>
      </c>
    </row>
    <row r="3866" spans="1:7" hidden="1" x14ac:dyDescent="0.25">
      <c r="A3866" s="28" t="s">
        <v>2614</v>
      </c>
      <c r="B3866" s="29">
        <v>25951.933700000001</v>
      </c>
      <c r="F3866" t="s">
        <v>2614</v>
      </c>
      <c r="G3866">
        <v>1</v>
      </c>
    </row>
    <row r="3867" spans="1:7" hidden="1" x14ac:dyDescent="0.25">
      <c r="A3867" s="28" t="s">
        <v>2356</v>
      </c>
      <c r="B3867" s="29">
        <v>25951.933700000001</v>
      </c>
      <c r="F3867" t="s">
        <v>2356</v>
      </c>
      <c r="G3867">
        <v>1</v>
      </c>
    </row>
    <row r="3868" spans="1:7" x14ac:dyDescent="0.25">
      <c r="A3868" s="28" t="s">
        <v>770</v>
      </c>
      <c r="B3868" s="29">
        <v>35170.666700000002</v>
      </c>
      <c r="F3868" t="s">
        <v>770</v>
      </c>
      <c r="G3868">
        <v>2</v>
      </c>
    </row>
    <row r="3869" spans="1:7" x14ac:dyDescent="0.25">
      <c r="A3869" s="28" t="s">
        <v>1105</v>
      </c>
      <c r="B3869" s="29">
        <v>35170.666700000002</v>
      </c>
      <c r="F3869" t="s">
        <v>1105</v>
      </c>
      <c r="G3869">
        <v>2</v>
      </c>
    </row>
    <row r="3870" spans="1:7" hidden="1" x14ac:dyDescent="0.25">
      <c r="A3870" s="28" t="s">
        <v>2822</v>
      </c>
      <c r="B3870" s="29">
        <v>25951.933700000001</v>
      </c>
      <c r="F3870" t="s">
        <v>2822</v>
      </c>
      <c r="G3870">
        <v>1</v>
      </c>
    </row>
    <row r="3871" spans="1:7" x14ac:dyDescent="0.25">
      <c r="A3871" s="28" t="s">
        <v>315</v>
      </c>
      <c r="B3871" s="29">
        <v>35170.666700000002</v>
      </c>
      <c r="F3871" t="s">
        <v>315</v>
      </c>
      <c r="G3871">
        <v>2</v>
      </c>
    </row>
    <row r="3872" spans="1:7" hidden="1" x14ac:dyDescent="0.25">
      <c r="A3872" s="28" t="s">
        <v>2279</v>
      </c>
      <c r="B3872" s="29">
        <v>25951.933700000001</v>
      </c>
      <c r="F3872" t="s">
        <v>2279</v>
      </c>
      <c r="G3872">
        <v>1</v>
      </c>
    </row>
    <row r="3873" spans="1:7" hidden="1" x14ac:dyDescent="0.25">
      <c r="A3873" s="28" t="s">
        <v>2367</v>
      </c>
      <c r="B3873" s="29">
        <v>26218.127700000001</v>
      </c>
      <c r="F3873" t="s">
        <v>2367</v>
      </c>
      <c r="G3873">
        <v>1</v>
      </c>
    </row>
    <row r="3874" spans="1:7" x14ac:dyDescent="0.25">
      <c r="A3874" s="28" t="s">
        <v>764</v>
      </c>
      <c r="B3874" s="29">
        <v>35170.666700000002</v>
      </c>
      <c r="F3874" t="s">
        <v>764</v>
      </c>
      <c r="G3874">
        <v>2</v>
      </c>
    </row>
    <row r="3875" spans="1:7" x14ac:dyDescent="0.25">
      <c r="A3875" s="28" t="s">
        <v>1106</v>
      </c>
      <c r="B3875" s="29">
        <v>25951.933700000001</v>
      </c>
      <c r="F3875" t="s">
        <v>1106</v>
      </c>
      <c r="G3875">
        <v>2</v>
      </c>
    </row>
    <row r="3876" spans="1:7" hidden="1" x14ac:dyDescent="0.25">
      <c r="A3876" s="28" t="s">
        <v>2814</v>
      </c>
      <c r="B3876" s="29">
        <v>25951.933700000001</v>
      </c>
      <c r="F3876" t="s">
        <v>2814</v>
      </c>
      <c r="G3876">
        <v>1</v>
      </c>
    </row>
    <row r="3877" spans="1:7" hidden="1" x14ac:dyDescent="0.25">
      <c r="A3877" s="28" t="s">
        <v>2471</v>
      </c>
      <c r="B3877" s="29">
        <v>25951.933700000001</v>
      </c>
      <c r="F3877" t="s">
        <v>2471</v>
      </c>
      <c r="G3877">
        <v>1</v>
      </c>
    </row>
    <row r="3878" spans="1:7" x14ac:dyDescent="0.25">
      <c r="A3878" s="28" t="s">
        <v>1487</v>
      </c>
      <c r="B3878" s="29">
        <v>25951.933700000001</v>
      </c>
      <c r="F3878" t="s">
        <v>1487</v>
      </c>
      <c r="G3878">
        <v>2</v>
      </c>
    </row>
    <row r="3879" spans="1:7" x14ac:dyDescent="0.25">
      <c r="A3879" s="28" t="s">
        <v>1572</v>
      </c>
      <c r="B3879" s="29">
        <v>25951.933700000001</v>
      </c>
      <c r="F3879" t="s">
        <v>1572</v>
      </c>
      <c r="G3879">
        <v>2</v>
      </c>
    </row>
    <row r="3880" spans="1:7" x14ac:dyDescent="0.25">
      <c r="A3880" s="28" t="s">
        <v>1600</v>
      </c>
      <c r="B3880" s="29">
        <v>25951.933700000001</v>
      </c>
      <c r="F3880" t="s">
        <v>1600</v>
      </c>
      <c r="G3880">
        <v>2</v>
      </c>
    </row>
    <row r="3881" spans="1:7" x14ac:dyDescent="0.25">
      <c r="A3881" s="28" t="s">
        <v>662</v>
      </c>
      <c r="B3881" s="29">
        <v>25951.933700000001</v>
      </c>
      <c r="F3881" t="s">
        <v>662</v>
      </c>
      <c r="G3881">
        <v>2</v>
      </c>
    </row>
    <row r="3882" spans="1:7" x14ac:dyDescent="0.25">
      <c r="A3882" s="28" t="s">
        <v>1377</v>
      </c>
      <c r="B3882" s="29">
        <v>25951.933700000001</v>
      </c>
      <c r="F3882" t="s">
        <v>1377</v>
      </c>
      <c r="G3882">
        <v>2</v>
      </c>
    </row>
    <row r="3883" spans="1:7" x14ac:dyDescent="0.25">
      <c r="A3883" s="28" t="s">
        <v>1331</v>
      </c>
      <c r="B3883" s="29">
        <v>25951.933700000001</v>
      </c>
      <c r="F3883" t="s">
        <v>1331</v>
      </c>
      <c r="G3883">
        <v>2</v>
      </c>
    </row>
    <row r="3884" spans="1:7" hidden="1" x14ac:dyDescent="0.25">
      <c r="A3884" s="28" t="s">
        <v>2461</v>
      </c>
      <c r="B3884" s="29">
        <v>25951.933700000001</v>
      </c>
      <c r="F3884" t="s">
        <v>2461</v>
      </c>
      <c r="G3884">
        <v>1</v>
      </c>
    </row>
    <row r="3885" spans="1:7" x14ac:dyDescent="0.25">
      <c r="A3885" s="28" t="s">
        <v>922</v>
      </c>
      <c r="B3885" s="29">
        <v>25951.933700000001</v>
      </c>
      <c r="F3885" t="s">
        <v>922</v>
      </c>
      <c r="G3885">
        <v>2</v>
      </c>
    </row>
    <row r="3886" spans="1:7" x14ac:dyDescent="0.25">
      <c r="A3886" s="28" t="s">
        <v>1228</v>
      </c>
      <c r="B3886" s="29">
        <v>25951.933700000001</v>
      </c>
      <c r="F3886" t="s">
        <v>1228</v>
      </c>
      <c r="G3886">
        <v>2</v>
      </c>
    </row>
    <row r="3887" spans="1:7" x14ac:dyDescent="0.25">
      <c r="A3887" s="28" t="s">
        <v>1337</v>
      </c>
      <c r="B3887" s="29">
        <v>25951.933700000001</v>
      </c>
      <c r="F3887" t="s">
        <v>1337</v>
      </c>
      <c r="G3887">
        <v>2</v>
      </c>
    </row>
    <row r="3888" spans="1:7" hidden="1" x14ac:dyDescent="0.25">
      <c r="A3888" s="28" t="s">
        <v>2516</v>
      </c>
      <c r="B3888" s="29">
        <v>25951.933700000001</v>
      </c>
      <c r="F3888" t="s">
        <v>2516</v>
      </c>
      <c r="G3888">
        <v>1</v>
      </c>
    </row>
    <row r="3889" spans="1:7" hidden="1" x14ac:dyDescent="0.25">
      <c r="A3889" s="28" t="s">
        <v>2681</v>
      </c>
      <c r="B3889" s="29">
        <v>25951.933700000001</v>
      </c>
      <c r="F3889" t="s">
        <v>2681</v>
      </c>
      <c r="G3889">
        <v>1</v>
      </c>
    </row>
    <row r="3890" spans="1:7" x14ac:dyDescent="0.25">
      <c r="A3890" s="28" t="s">
        <v>1048</v>
      </c>
      <c r="B3890" s="29">
        <v>25951.933700000001</v>
      </c>
      <c r="F3890" t="s">
        <v>1048</v>
      </c>
      <c r="G3890">
        <v>2</v>
      </c>
    </row>
    <row r="3891" spans="1:7" hidden="1" x14ac:dyDescent="0.25">
      <c r="A3891" s="28" t="s">
        <v>2682</v>
      </c>
      <c r="B3891" s="29">
        <v>25951.933700000001</v>
      </c>
      <c r="F3891" t="s">
        <v>2682</v>
      </c>
      <c r="G3891">
        <v>1</v>
      </c>
    </row>
    <row r="3892" spans="1:7" hidden="1" x14ac:dyDescent="0.25">
      <c r="A3892" s="28" t="s">
        <v>2683</v>
      </c>
      <c r="B3892" s="29">
        <v>25951.933700000001</v>
      </c>
      <c r="F3892" t="s">
        <v>2683</v>
      </c>
      <c r="G3892">
        <v>1</v>
      </c>
    </row>
    <row r="3893" spans="1:7" hidden="1" x14ac:dyDescent="0.25">
      <c r="A3893" s="28" t="s">
        <v>2434</v>
      </c>
      <c r="B3893" s="29">
        <v>25951.933700000001</v>
      </c>
      <c r="F3893" t="s">
        <v>2434</v>
      </c>
      <c r="G3893">
        <v>1</v>
      </c>
    </row>
    <row r="3894" spans="1:7" x14ac:dyDescent="0.25">
      <c r="A3894" s="28" t="s">
        <v>1391</v>
      </c>
      <c r="B3894" s="29">
        <v>25951.933700000001</v>
      </c>
      <c r="F3894" t="s">
        <v>1391</v>
      </c>
      <c r="G3894">
        <v>2</v>
      </c>
    </row>
    <row r="3895" spans="1:7" hidden="1" x14ac:dyDescent="0.25">
      <c r="A3895" s="28" t="s">
        <v>2505</v>
      </c>
      <c r="B3895" s="29">
        <v>25951.933700000001</v>
      </c>
      <c r="F3895" t="s">
        <v>2505</v>
      </c>
      <c r="G3895">
        <v>1</v>
      </c>
    </row>
    <row r="3896" spans="1:7" x14ac:dyDescent="0.25">
      <c r="A3896" s="28" t="s">
        <v>716</v>
      </c>
      <c r="B3896" s="29">
        <v>25951.933700000001</v>
      </c>
      <c r="F3896" t="s">
        <v>716</v>
      </c>
      <c r="G3896">
        <v>2</v>
      </c>
    </row>
    <row r="3897" spans="1:7" hidden="1" x14ac:dyDescent="0.25">
      <c r="A3897" s="28" t="s">
        <v>2102</v>
      </c>
      <c r="B3897" s="29">
        <v>25951.933700000001</v>
      </c>
      <c r="F3897" t="s">
        <v>2102</v>
      </c>
      <c r="G3897">
        <v>1</v>
      </c>
    </row>
    <row r="3898" spans="1:7" hidden="1" x14ac:dyDescent="0.25">
      <c r="A3898" s="28" t="s">
        <v>2167</v>
      </c>
      <c r="B3898" s="29">
        <v>35170.666700000002</v>
      </c>
      <c r="F3898" t="s">
        <v>2167</v>
      </c>
      <c r="G3898">
        <v>1</v>
      </c>
    </row>
    <row r="3899" spans="1:7" hidden="1" x14ac:dyDescent="0.25">
      <c r="A3899" s="28" t="s">
        <v>2139</v>
      </c>
      <c r="B3899" s="29">
        <v>25951.933700000001</v>
      </c>
      <c r="F3899" t="s">
        <v>2139</v>
      </c>
      <c r="G3899">
        <v>1</v>
      </c>
    </row>
    <row r="3900" spans="1:7" hidden="1" x14ac:dyDescent="0.25">
      <c r="A3900" s="28" t="s">
        <v>2572</v>
      </c>
      <c r="B3900" s="29">
        <v>25951.933700000001</v>
      </c>
      <c r="F3900" t="s">
        <v>2572</v>
      </c>
      <c r="G3900">
        <v>1</v>
      </c>
    </row>
    <row r="3901" spans="1:7" hidden="1" x14ac:dyDescent="0.25">
      <c r="A3901" s="28" t="s">
        <v>2497</v>
      </c>
      <c r="B3901" s="29">
        <v>25951.933700000001</v>
      </c>
      <c r="F3901" t="s">
        <v>2497</v>
      </c>
      <c r="G3901">
        <v>1</v>
      </c>
    </row>
    <row r="3902" spans="1:7" x14ac:dyDescent="0.25">
      <c r="A3902" s="28" t="s">
        <v>1287</v>
      </c>
      <c r="B3902" s="29">
        <v>25951.933700000001</v>
      </c>
      <c r="F3902" t="s">
        <v>1287</v>
      </c>
      <c r="G3902">
        <v>2</v>
      </c>
    </row>
    <row r="3903" spans="1:7" x14ac:dyDescent="0.25">
      <c r="A3903" s="28" t="s">
        <v>444</v>
      </c>
      <c r="B3903" s="29">
        <v>35170.666700000002</v>
      </c>
      <c r="F3903" t="s">
        <v>444</v>
      </c>
      <c r="G3903">
        <v>2</v>
      </c>
    </row>
    <row r="3904" spans="1:7" hidden="1" x14ac:dyDescent="0.25">
      <c r="A3904" s="28" t="s">
        <v>1912</v>
      </c>
      <c r="B3904" s="29">
        <v>25951.933700000001</v>
      </c>
      <c r="F3904" t="s">
        <v>1912</v>
      </c>
      <c r="G3904">
        <v>1</v>
      </c>
    </row>
    <row r="3905" spans="1:7" x14ac:dyDescent="0.25">
      <c r="A3905" s="28" t="s">
        <v>365</v>
      </c>
      <c r="B3905" s="29">
        <v>35170.666700000002</v>
      </c>
      <c r="F3905" t="s">
        <v>365</v>
      </c>
      <c r="G3905">
        <v>2</v>
      </c>
    </row>
    <row r="3906" spans="1:7" hidden="1" x14ac:dyDescent="0.25">
      <c r="A3906" s="28" t="s">
        <v>2182</v>
      </c>
      <c r="B3906" s="29">
        <v>35170.666700000002</v>
      </c>
      <c r="F3906" t="s">
        <v>2182</v>
      </c>
      <c r="G3906">
        <v>1</v>
      </c>
    </row>
    <row r="3907" spans="1:7" hidden="1" x14ac:dyDescent="0.25">
      <c r="A3907" s="28" t="s">
        <v>2488</v>
      </c>
      <c r="B3907" s="29">
        <v>25951.933700000001</v>
      </c>
      <c r="F3907" t="s">
        <v>2488</v>
      </c>
      <c r="G3907">
        <v>1</v>
      </c>
    </row>
    <row r="3908" spans="1:7" hidden="1" x14ac:dyDescent="0.25">
      <c r="A3908" s="28" t="s">
        <v>2489</v>
      </c>
      <c r="B3908" s="29">
        <v>25951.933700000001</v>
      </c>
      <c r="F3908" t="s">
        <v>2489</v>
      </c>
      <c r="G3908">
        <v>1</v>
      </c>
    </row>
    <row r="3909" spans="1:7" hidden="1" x14ac:dyDescent="0.25">
      <c r="A3909" s="28" t="s">
        <v>2692</v>
      </c>
      <c r="B3909" s="29">
        <v>25951.933700000001</v>
      </c>
      <c r="F3909" t="s">
        <v>2692</v>
      </c>
      <c r="G3909">
        <v>1</v>
      </c>
    </row>
    <row r="3910" spans="1:7" hidden="1" x14ac:dyDescent="0.25">
      <c r="A3910" s="28" t="s">
        <v>2405</v>
      </c>
      <c r="B3910" s="29">
        <v>25951.933700000001</v>
      </c>
      <c r="F3910" t="s">
        <v>2405</v>
      </c>
      <c r="G3910">
        <v>1</v>
      </c>
    </row>
    <row r="3911" spans="1:7" hidden="1" x14ac:dyDescent="0.25">
      <c r="A3911" s="28" t="s">
        <v>2252</v>
      </c>
      <c r="B3911" s="29">
        <v>25951.933700000001</v>
      </c>
      <c r="F3911" t="s">
        <v>2252</v>
      </c>
      <c r="G3911">
        <v>1</v>
      </c>
    </row>
    <row r="3912" spans="1:7" hidden="1" x14ac:dyDescent="0.25">
      <c r="A3912" s="28" t="s">
        <v>2653</v>
      </c>
      <c r="B3912" s="29">
        <v>25951.933700000001</v>
      </c>
      <c r="F3912" t="s">
        <v>2653</v>
      </c>
      <c r="G3912">
        <v>1</v>
      </c>
    </row>
    <row r="3913" spans="1:7" x14ac:dyDescent="0.25">
      <c r="A3913" s="28" t="s">
        <v>1376</v>
      </c>
      <c r="B3913" s="29">
        <v>25951.933700000001</v>
      </c>
      <c r="F3913" t="s">
        <v>1376</v>
      </c>
      <c r="G3913">
        <v>2</v>
      </c>
    </row>
    <row r="3914" spans="1:7" hidden="1" x14ac:dyDescent="0.25">
      <c r="A3914" s="28" t="s">
        <v>2581</v>
      </c>
      <c r="B3914" s="29">
        <v>35170.666700000002</v>
      </c>
      <c r="F3914" t="s">
        <v>2581</v>
      </c>
      <c r="G3914">
        <v>1</v>
      </c>
    </row>
    <row r="3915" spans="1:7" hidden="1" x14ac:dyDescent="0.25">
      <c r="A3915" s="28" t="s">
        <v>2663</v>
      </c>
      <c r="B3915" s="29">
        <v>25951.933700000001</v>
      </c>
      <c r="F3915" t="s">
        <v>2663</v>
      </c>
      <c r="G3915">
        <v>1</v>
      </c>
    </row>
    <row r="3916" spans="1:7" hidden="1" x14ac:dyDescent="0.25">
      <c r="A3916" s="28" t="s">
        <v>2192</v>
      </c>
      <c r="B3916" s="29">
        <v>25951.933700000001</v>
      </c>
      <c r="F3916" t="s">
        <v>2192</v>
      </c>
      <c r="G3916">
        <v>1</v>
      </c>
    </row>
    <row r="3917" spans="1:7" x14ac:dyDescent="0.25">
      <c r="A3917" s="28" t="s">
        <v>513</v>
      </c>
      <c r="B3917" s="29">
        <v>35170.666700000002</v>
      </c>
      <c r="F3917" t="s">
        <v>513</v>
      </c>
      <c r="G3917">
        <v>2</v>
      </c>
    </row>
    <row r="3918" spans="1:7" hidden="1" x14ac:dyDescent="0.25">
      <c r="A3918" s="28" t="s">
        <v>2867</v>
      </c>
      <c r="B3918" s="29">
        <v>28935.146499999999</v>
      </c>
      <c r="F3918" t="s">
        <v>2867</v>
      </c>
      <c r="G3918">
        <v>1</v>
      </c>
    </row>
    <row r="3919" spans="1:7" x14ac:dyDescent="0.25">
      <c r="A3919" s="28" t="s">
        <v>1153</v>
      </c>
      <c r="B3919" s="29">
        <v>25951.933700000001</v>
      </c>
      <c r="F3919" t="s">
        <v>1153</v>
      </c>
      <c r="G3919">
        <v>2</v>
      </c>
    </row>
    <row r="3920" spans="1:7" hidden="1" x14ac:dyDescent="0.25">
      <c r="A3920" s="28" t="s">
        <v>2790</v>
      </c>
      <c r="B3920" s="29">
        <v>28935.146499999999</v>
      </c>
      <c r="F3920" t="s">
        <v>2790</v>
      </c>
      <c r="G3920">
        <v>1</v>
      </c>
    </row>
    <row r="3921" spans="1:7" x14ac:dyDescent="0.25">
      <c r="A3921" s="28" t="s">
        <v>1554</v>
      </c>
      <c r="B3921" s="29">
        <v>25951.933700000001</v>
      </c>
      <c r="F3921" t="s">
        <v>1554</v>
      </c>
      <c r="G3921">
        <v>2</v>
      </c>
    </row>
    <row r="3922" spans="1:7" x14ac:dyDescent="0.25">
      <c r="A3922" s="28" t="s">
        <v>1416</v>
      </c>
      <c r="B3922" s="29">
        <v>25951.933700000001</v>
      </c>
      <c r="F3922" t="s">
        <v>1416</v>
      </c>
      <c r="G3922">
        <v>2</v>
      </c>
    </row>
    <row r="3923" spans="1:7" hidden="1" x14ac:dyDescent="0.25">
      <c r="A3923" s="28" t="s">
        <v>2860</v>
      </c>
      <c r="B3923" s="29">
        <v>25951.933700000001</v>
      </c>
      <c r="F3923" t="s">
        <v>2860</v>
      </c>
      <c r="G3923">
        <v>1</v>
      </c>
    </row>
    <row r="3924" spans="1:7" x14ac:dyDescent="0.25">
      <c r="A3924" s="28" t="s">
        <v>1308</v>
      </c>
      <c r="B3924" s="29">
        <v>35170.666700000002</v>
      </c>
      <c r="F3924" t="s">
        <v>1308</v>
      </c>
      <c r="G3924">
        <v>2</v>
      </c>
    </row>
    <row r="3925" spans="1:7" x14ac:dyDescent="0.25">
      <c r="A3925" s="28" t="s">
        <v>1007</v>
      </c>
      <c r="B3925" s="29">
        <v>35170.666700000002</v>
      </c>
      <c r="F3925" t="s">
        <v>1007</v>
      </c>
      <c r="G3925">
        <v>2</v>
      </c>
    </row>
    <row r="3926" spans="1:7" x14ac:dyDescent="0.25">
      <c r="A3926" s="28" t="s">
        <v>946</v>
      </c>
      <c r="B3926" s="29">
        <v>28935.146499999999</v>
      </c>
      <c r="F3926" t="s">
        <v>946</v>
      </c>
      <c r="G3926">
        <v>2</v>
      </c>
    </row>
    <row r="3927" spans="1:7" x14ac:dyDescent="0.25">
      <c r="A3927" s="28" t="s">
        <v>1154</v>
      </c>
      <c r="B3927" s="29">
        <v>35170.666700000002</v>
      </c>
      <c r="F3927" t="s">
        <v>1154</v>
      </c>
      <c r="G3927">
        <v>2</v>
      </c>
    </row>
    <row r="3928" spans="1:7" x14ac:dyDescent="0.25">
      <c r="A3928" s="28" t="s">
        <v>132</v>
      </c>
      <c r="B3928" s="29">
        <v>28935.146499999999</v>
      </c>
      <c r="F3928" t="s">
        <v>132</v>
      </c>
      <c r="G3928">
        <v>2</v>
      </c>
    </row>
    <row r="3929" spans="1:7" x14ac:dyDescent="0.25">
      <c r="A3929" s="28" t="s">
        <v>1062</v>
      </c>
      <c r="B3929" s="29">
        <v>35170.666700000002</v>
      </c>
      <c r="F3929" t="s">
        <v>1062</v>
      </c>
      <c r="G3929">
        <v>2</v>
      </c>
    </row>
    <row r="3930" spans="1:7" hidden="1" x14ac:dyDescent="0.25">
      <c r="A3930" s="28" t="s">
        <v>2770</v>
      </c>
      <c r="B3930" s="29">
        <v>28935.146499999999</v>
      </c>
      <c r="F3930" t="s">
        <v>2770</v>
      </c>
      <c r="G3930">
        <v>1</v>
      </c>
    </row>
    <row r="3931" spans="1:7" x14ac:dyDescent="0.25">
      <c r="A3931" s="28" t="s">
        <v>1335</v>
      </c>
      <c r="B3931" s="29">
        <v>25951.933700000001</v>
      </c>
      <c r="F3931" t="s">
        <v>1335</v>
      </c>
      <c r="G3931">
        <v>2</v>
      </c>
    </row>
    <row r="3932" spans="1:7" hidden="1" x14ac:dyDescent="0.25">
      <c r="A3932" s="28" t="s">
        <v>2547</v>
      </c>
      <c r="B3932" s="29">
        <v>28935.146499999999</v>
      </c>
      <c r="F3932" t="s">
        <v>2547</v>
      </c>
      <c r="G3932">
        <v>1</v>
      </c>
    </row>
    <row r="3933" spans="1:7" hidden="1" x14ac:dyDescent="0.25">
      <c r="A3933" s="28" t="s">
        <v>2520</v>
      </c>
      <c r="B3933" s="29">
        <v>25951.933700000001</v>
      </c>
      <c r="F3933" t="s">
        <v>2520</v>
      </c>
      <c r="G3933">
        <v>1</v>
      </c>
    </row>
    <row r="3934" spans="1:7" hidden="1" x14ac:dyDescent="0.25">
      <c r="A3934" s="28" t="s">
        <v>2521</v>
      </c>
      <c r="B3934" s="29">
        <v>28935.146499999999</v>
      </c>
      <c r="F3934" t="s">
        <v>2521</v>
      </c>
      <c r="G3934">
        <v>1</v>
      </c>
    </row>
    <row r="3935" spans="1:7" hidden="1" x14ac:dyDescent="0.25">
      <c r="A3935" s="28" t="s">
        <v>2124</v>
      </c>
      <c r="B3935" s="29">
        <v>28935.146499999999</v>
      </c>
      <c r="F3935" t="s">
        <v>2124</v>
      </c>
      <c r="G3935">
        <v>1</v>
      </c>
    </row>
    <row r="3936" spans="1:7" hidden="1" x14ac:dyDescent="0.25">
      <c r="A3936" s="28" t="s">
        <v>2712</v>
      </c>
      <c r="B3936" s="29">
        <v>28935.146499999999</v>
      </c>
      <c r="F3936" t="s">
        <v>2712</v>
      </c>
      <c r="G3936">
        <v>1</v>
      </c>
    </row>
    <row r="3937" spans="1:7" x14ac:dyDescent="0.25">
      <c r="A3937" s="28" t="s">
        <v>1233</v>
      </c>
      <c r="B3937" s="29">
        <v>28935.146499999999</v>
      </c>
      <c r="F3937" t="s">
        <v>1233</v>
      </c>
      <c r="G3937">
        <v>2</v>
      </c>
    </row>
    <row r="3938" spans="1:7" x14ac:dyDescent="0.25">
      <c r="A3938" s="28" t="s">
        <v>670</v>
      </c>
      <c r="B3938" s="29">
        <v>28935.146499999999</v>
      </c>
      <c r="F3938" t="s">
        <v>670</v>
      </c>
      <c r="G3938">
        <v>2</v>
      </c>
    </row>
    <row r="3939" spans="1:7" hidden="1" x14ac:dyDescent="0.25">
      <c r="A3939" s="28" t="s">
        <v>2371</v>
      </c>
      <c r="B3939" s="29">
        <v>35170.666700000002</v>
      </c>
      <c r="F3939" t="s">
        <v>2371</v>
      </c>
      <c r="G3939">
        <v>1</v>
      </c>
    </row>
    <row r="3940" spans="1:7" x14ac:dyDescent="0.25">
      <c r="A3940" s="28" t="s">
        <v>1171</v>
      </c>
      <c r="B3940" s="29">
        <v>28935.146499999999</v>
      </c>
      <c r="F3940" t="s">
        <v>1171</v>
      </c>
      <c r="G3940">
        <v>2</v>
      </c>
    </row>
    <row r="3941" spans="1:7" x14ac:dyDescent="0.25">
      <c r="A3941" s="28" t="s">
        <v>948</v>
      </c>
      <c r="B3941" s="29">
        <v>28935.146499999999</v>
      </c>
      <c r="F3941" t="s">
        <v>948</v>
      </c>
      <c r="G3941">
        <v>2</v>
      </c>
    </row>
    <row r="3942" spans="1:7" x14ac:dyDescent="0.25">
      <c r="A3942" s="28" t="s">
        <v>630</v>
      </c>
      <c r="B3942" s="29">
        <v>28935.146499999999</v>
      </c>
      <c r="F3942" t="s">
        <v>630</v>
      </c>
      <c r="G3942">
        <v>2</v>
      </c>
    </row>
    <row r="3943" spans="1:7" x14ac:dyDescent="0.25">
      <c r="A3943" s="28" t="s">
        <v>206</v>
      </c>
      <c r="B3943" s="29">
        <v>28935.146499999999</v>
      </c>
      <c r="F3943" t="s">
        <v>206</v>
      </c>
      <c r="G3943">
        <v>2</v>
      </c>
    </row>
    <row r="3944" spans="1:7" hidden="1" x14ac:dyDescent="0.25">
      <c r="A3944" s="28" t="s">
        <v>2610</v>
      </c>
      <c r="B3944" s="29">
        <v>26218.127700000001</v>
      </c>
      <c r="F3944" t="s">
        <v>2610</v>
      </c>
      <c r="G3944">
        <v>1</v>
      </c>
    </row>
    <row r="3945" spans="1:7" hidden="1" x14ac:dyDescent="0.25">
      <c r="A3945" s="28" t="s">
        <v>2445</v>
      </c>
      <c r="B3945" s="29">
        <v>28935.146499999999</v>
      </c>
      <c r="F3945" t="s">
        <v>2445</v>
      </c>
      <c r="G3945">
        <v>1</v>
      </c>
    </row>
    <row r="3946" spans="1:7" hidden="1" x14ac:dyDescent="0.25">
      <c r="A3946" s="28" t="s">
        <v>3031</v>
      </c>
      <c r="B3946" s="29">
        <v>28935.146499999999</v>
      </c>
      <c r="F3946" t="s">
        <v>3031</v>
      </c>
      <c r="G3946">
        <v>1</v>
      </c>
    </row>
    <row r="3947" spans="1:7" hidden="1" x14ac:dyDescent="0.25">
      <c r="A3947" s="28" t="s">
        <v>2684</v>
      </c>
      <c r="B3947" s="29">
        <v>34427.0285</v>
      </c>
      <c r="F3947" t="s">
        <v>2684</v>
      </c>
      <c r="G3947">
        <v>1</v>
      </c>
    </row>
    <row r="3948" spans="1:7" x14ac:dyDescent="0.25">
      <c r="A3948" s="28" t="s">
        <v>1187</v>
      </c>
      <c r="B3948" s="29">
        <v>35170.666700000002</v>
      </c>
      <c r="F3948" t="s">
        <v>1187</v>
      </c>
      <c r="G3948">
        <v>2</v>
      </c>
    </row>
    <row r="3949" spans="1:7" hidden="1" x14ac:dyDescent="0.25">
      <c r="A3949" s="28" t="s">
        <v>2808</v>
      </c>
      <c r="B3949" s="29">
        <v>28935.146499999999</v>
      </c>
      <c r="F3949" t="s">
        <v>2808</v>
      </c>
      <c r="G3949">
        <v>1</v>
      </c>
    </row>
    <row r="3950" spans="1:7" hidden="1" x14ac:dyDescent="0.25">
      <c r="A3950" s="28" t="s">
        <v>1952</v>
      </c>
      <c r="B3950" s="29">
        <v>28935.146499999999</v>
      </c>
      <c r="F3950" t="s">
        <v>1952</v>
      </c>
      <c r="G3950">
        <v>1</v>
      </c>
    </row>
    <row r="3951" spans="1:7" hidden="1" x14ac:dyDescent="0.25">
      <c r="A3951" s="28" t="s">
        <v>2112</v>
      </c>
      <c r="B3951" s="29">
        <v>28935.146499999999</v>
      </c>
      <c r="F3951" t="s">
        <v>2112</v>
      </c>
      <c r="G3951">
        <v>1</v>
      </c>
    </row>
    <row r="3952" spans="1:7" hidden="1" x14ac:dyDescent="0.25">
      <c r="A3952" s="28" t="s">
        <v>1494</v>
      </c>
      <c r="B3952" s="29">
        <v>28935.146499999999</v>
      </c>
      <c r="F3952" t="s">
        <v>1494</v>
      </c>
      <c r="G3952">
        <v>1</v>
      </c>
    </row>
    <row r="3953" spans="1:7" hidden="1" x14ac:dyDescent="0.25">
      <c r="A3953" s="28" t="s">
        <v>2625</v>
      </c>
      <c r="B3953" s="29">
        <v>28935.146499999999</v>
      </c>
      <c r="F3953" t="s">
        <v>2625</v>
      </c>
      <c r="G3953">
        <v>1</v>
      </c>
    </row>
    <row r="3954" spans="1:7" hidden="1" x14ac:dyDescent="0.25">
      <c r="A3954" s="28" t="s">
        <v>2596</v>
      </c>
      <c r="B3954" s="29">
        <v>28935.146499999999</v>
      </c>
      <c r="F3954" t="s">
        <v>2596</v>
      </c>
      <c r="G3954">
        <v>1</v>
      </c>
    </row>
    <row r="3955" spans="1:7" x14ac:dyDescent="0.25">
      <c r="A3955" s="28" t="s">
        <v>1227</v>
      </c>
      <c r="B3955" s="29">
        <v>28935.146499999999</v>
      </c>
      <c r="F3955" t="s">
        <v>1227</v>
      </c>
      <c r="G3955">
        <v>2</v>
      </c>
    </row>
    <row r="3956" spans="1:7" hidden="1" x14ac:dyDescent="0.25">
      <c r="A3956" s="28" t="s">
        <v>2370</v>
      </c>
      <c r="B3956" s="29">
        <v>28935.146499999999</v>
      </c>
      <c r="F3956" t="s">
        <v>2370</v>
      </c>
      <c r="G3956">
        <v>1</v>
      </c>
    </row>
    <row r="3957" spans="1:7" x14ac:dyDescent="0.25">
      <c r="A3957" s="28" t="s">
        <v>745</v>
      </c>
      <c r="B3957" s="29">
        <v>28935.146499999999</v>
      </c>
      <c r="F3957" t="s">
        <v>745</v>
      </c>
      <c r="G3957">
        <v>2</v>
      </c>
    </row>
    <row r="3958" spans="1:7" hidden="1" x14ac:dyDescent="0.25">
      <c r="A3958" s="28" t="s">
        <v>2810</v>
      </c>
      <c r="B3958" s="29">
        <v>28935.146499999999</v>
      </c>
      <c r="F3958" t="s">
        <v>2810</v>
      </c>
      <c r="G3958">
        <v>1</v>
      </c>
    </row>
    <row r="3959" spans="1:7" hidden="1" x14ac:dyDescent="0.25">
      <c r="A3959" s="28" t="s">
        <v>2409</v>
      </c>
      <c r="B3959" s="29">
        <v>35170.666700000002</v>
      </c>
      <c r="F3959" t="s">
        <v>2409</v>
      </c>
      <c r="G3959">
        <v>1</v>
      </c>
    </row>
    <row r="3960" spans="1:7" x14ac:dyDescent="0.25">
      <c r="A3960" s="28" t="s">
        <v>1493</v>
      </c>
      <c r="B3960" s="29">
        <v>28935.146499999999</v>
      </c>
      <c r="F3960" t="s">
        <v>1493</v>
      </c>
      <c r="G3960">
        <v>2</v>
      </c>
    </row>
    <row r="3961" spans="1:7" x14ac:dyDescent="0.25">
      <c r="A3961" s="28" t="s">
        <v>1540</v>
      </c>
      <c r="B3961" s="29">
        <v>28935.146499999999</v>
      </c>
      <c r="F3961" t="s">
        <v>1540</v>
      </c>
      <c r="G3961">
        <v>2</v>
      </c>
    </row>
    <row r="3962" spans="1:7" hidden="1" x14ac:dyDescent="0.25">
      <c r="A3962" s="28" t="s">
        <v>2023</v>
      </c>
      <c r="B3962" s="29">
        <v>28935.146499999999</v>
      </c>
      <c r="F3962" t="s">
        <v>2023</v>
      </c>
      <c r="G3962">
        <v>1</v>
      </c>
    </row>
    <row r="3963" spans="1:7" hidden="1" x14ac:dyDescent="0.25">
      <c r="A3963" s="28" t="s">
        <v>2839</v>
      </c>
      <c r="B3963" s="29">
        <v>28935.146499999999</v>
      </c>
      <c r="F3963" t="s">
        <v>2839</v>
      </c>
      <c r="G3963">
        <v>1</v>
      </c>
    </row>
    <row r="3964" spans="1:7" hidden="1" x14ac:dyDescent="0.25">
      <c r="A3964" s="28" t="s">
        <v>1913</v>
      </c>
      <c r="B3964" s="29">
        <v>28935.146499999999</v>
      </c>
      <c r="F3964" t="s">
        <v>1913</v>
      </c>
      <c r="G3964">
        <v>1</v>
      </c>
    </row>
    <row r="3965" spans="1:7" hidden="1" x14ac:dyDescent="0.25">
      <c r="A3965" s="28" t="s">
        <v>2094</v>
      </c>
      <c r="B3965" s="29">
        <v>28935.146499999999</v>
      </c>
      <c r="F3965" t="s">
        <v>2094</v>
      </c>
      <c r="G3965">
        <v>1</v>
      </c>
    </row>
    <row r="3966" spans="1:7" hidden="1" x14ac:dyDescent="0.25">
      <c r="A3966" s="28" t="s">
        <v>2314</v>
      </c>
      <c r="B3966" s="29">
        <v>35170.666700000002</v>
      </c>
      <c r="F3966" t="s">
        <v>2314</v>
      </c>
      <c r="G3966">
        <v>1</v>
      </c>
    </row>
    <row r="3967" spans="1:7" x14ac:dyDescent="0.25">
      <c r="A3967" s="28" t="s">
        <v>790</v>
      </c>
      <c r="B3967" s="29">
        <v>35170.666700000002</v>
      </c>
      <c r="F3967" t="s">
        <v>790</v>
      </c>
      <c r="G3967">
        <v>2</v>
      </c>
    </row>
    <row r="3968" spans="1:7" x14ac:dyDescent="0.25">
      <c r="A3968" s="28" t="s">
        <v>1475</v>
      </c>
      <c r="B3968" s="29">
        <v>28935.146499999999</v>
      </c>
      <c r="F3968" t="s">
        <v>1475</v>
      </c>
      <c r="G3968">
        <v>2</v>
      </c>
    </row>
    <row r="3969" spans="1:7" x14ac:dyDescent="0.25">
      <c r="A3969" s="28" t="s">
        <v>791</v>
      </c>
      <c r="B3969" s="29">
        <v>28935.146499999999</v>
      </c>
      <c r="F3969" t="s">
        <v>791</v>
      </c>
      <c r="G3969">
        <v>2</v>
      </c>
    </row>
    <row r="3970" spans="1:7" hidden="1" x14ac:dyDescent="0.25">
      <c r="A3970" s="28" t="s">
        <v>792</v>
      </c>
      <c r="B3970" s="29">
        <v>28935.146499999999</v>
      </c>
      <c r="F3970" t="s">
        <v>792</v>
      </c>
      <c r="G3970">
        <v>1</v>
      </c>
    </row>
    <row r="3971" spans="1:7" hidden="1" x14ac:dyDescent="0.25">
      <c r="A3971" s="28" t="s">
        <v>2784</v>
      </c>
      <c r="B3971" s="29">
        <v>28935.146499999999</v>
      </c>
      <c r="F3971" t="s">
        <v>2784</v>
      </c>
      <c r="G3971">
        <v>1</v>
      </c>
    </row>
    <row r="3972" spans="1:7" hidden="1" x14ac:dyDescent="0.25">
      <c r="A3972" s="28" t="s">
        <v>2703</v>
      </c>
      <c r="B3972" s="29">
        <v>28935.146499999999</v>
      </c>
      <c r="F3972" t="s">
        <v>2703</v>
      </c>
      <c r="G3972">
        <v>1</v>
      </c>
    </row>
    <row r="3973" spans="1:7" x14ac:dyDescent="0.25">
      <c r="A3973" s="28" t="s">
        <v>793</v>
      </c>
      <c r="B3973" s="29">
        <v>28935.146499999999</v>
      </c>
      <c r="F3973" t="s">
        <v>793</v>
      </c>
      <c r="G3973">
        <v>2</v>
      </c>
    </row>
    <row r="3974" spans="1:7" x14ac:dyDescent="0.25">
      <c r="A3974" s="28" t="s">
        <v>194</v>
      </c>
      <c r="B3974" s="29">
        <v>28935.146499999999</v>
      </c>
      <c r="F3974" t="s">
        <v>194</v>
      </c>
      <c r="G3974">
        <v>2</v>
      </c>
    </row>
    <row r="3975" spans="1:7" hidden="1" x14ac:dyDescent="0.25">
      <c r="A3975" s="28" t="s">
        <v>2284</v>
      </c>
      <c r="B3975" s="29">
        <v>28935.146499999999</v>
      </c>
      <c r="F3975" t="s">
        <v>2284</v>
      </c>
      <c r="G3975">
        <v>1</v>
      </c>
    </row>
    <row r="3976" spans="1:7" hidden="1" x14ac:dyDescent="0.25">
      <c r="A3976" s="28" t="s">
        <v>1909</v>
      </c>
      <c r="B3976" s="29">
        <v>28935.146499999999</v>
      </c>
      <c r="F3976" t="s">
        <v>1909</v>
      </c>
      <c r="G3976">
        <v>1</v>
      </c>
    </row>
    <row r="3977" spans="1:7" hidden="1" x14ac:dyDescent="0.25">
      <c r="A3977" s="28" t="s">
        <v>2009</v>
      </c>
      <c r="B3977" s="29">
        <v>28935.146499999999</v>
      </c>
      <c r="F3977" t="s">
        <v>2009</v>
      </c>
      <c r="G3977">
        <v>1</v>
      </c>
    </row>
    <row r="3978" spans="1:7" hidden="1" x14ac:dyDescent="0.25">
      <c r="A3978" s="28" t="s">
        <v>2232</v>
      </c>
      <c r="B3978" s="29">
        <v>28935.146499999999</v>
      </c>
      <c r="F3978" t="s">
        <v>2232</v>
      </c>
      <c r="G3978">
        <v>1</v>
      </c>
    </row>
    <row r="3979" spans="1:7" hidden="1" x14ac:dyDescent="0.25">
      <c r="A3979" s="28" t="s">
        <v>2612</v>
      </c>
      <c r="B3979" s="29">
        <v>28935.146499999999</v>
      </c>
      <c r="F3979" t="s">
        <v>2612</v>
      </c>
      <c r="G3979">
        <v>1</v>
      </c>
    </row>
    <row r="3980" spans="1:7" hidden="1" x14ac:dyDescent="0.25">
      <c r="A3980" s="28" t="s">
        <v>2541</v>
      </c>
      <c r="B3980" s="29">
        <v>28935.146499999999</v>
      </c>
      <c r="F3980" t="s">
        <v>2541</v>
      </c>
      <c r="G3980">
        <v>1</v>
      </c>
    </row>
    <row r="3981" spans="1:7" hidden="1" x14ac:dyDescent="0.25">
      <c r="A3981" s="28" t="s">
        <v>2510</v>
      </c>
      <c r="B3981" s="29">
        <v>28935.146499999999</v>
      </c>
      <c r="F3981" t="s">
        <v>2510</v>
      </c>
      <c r="G3981">
        <v>1</v>
      </c>
    </row>
    <row r="3982" spans="1:7" hidden="1" x14ac:dyDescent="0.25">
      <c r="A3982" s="28" t="s">
        <v>2678</v>
      </c>
      <c r="B3982" s="29">
        <v>28935.146499999999</v>
      </c>
      <c r="F3982" t="s">
        <v>2678</v>
      </c>
      <c r="G3982">
        <v>1</v>
      </c>
    </row>
    <row r="3983" spans="1:7" hidden="1" x14ac:dyDescent="0.25">
      <c r="A3983" s="28" t="s">
        <v>2225</v>
      </c>
      <c r="B3983" s="29">
        <v>28935.146499999999</v>
      </c>
      <c r="F3983" t="s">
        <v>2225</v>
      </c>
      <c r="G3983">
        <v>1</v>
      </c>
    </row>
    <row r="3984" spans="1:7" hidden="1" x14ac:dyDescent="0.25">
      <c r="A3984" s="28" t="s">
        <v>2621</v>
      </c>
      <c r="B3984" s="29">
        <v>28935.146499999999</v>
      </c>
      <c r="F3984" t="s">
        <v>2621</v>
      </c>
      <c r="G3984">
        <v>1</v>
      </c>
    </row>
    <row r="3985" spans="1:7" hidden="1" x14ac:dyDescent="0.25">
      <c r="A3985" s="28" t="s">
        <v>2696</v>
      </c>
      <c r="B3985" s="29">
        <v>28935.146499999999</v>
      </c>
      <c r="F3985" t="s">
        <v>2696</v>
      </c>
      <c r="G3985">
        <v>1</v>
      </c>
    </row>
    <row r="3986" spans="1:7" hidden="1" x14ac:dyDescent="0.25">
      <c r="A3986" s="28" t="s">
        <v>2473</v>
      </c>
      <c r="B3986" s="29">
        <v>28935.146499999999</v>
      </c>
      <c r="F3986" t="s">
        <v>2473</v>
      </c>
      <c r="G3986">
        <v>1</v>
      </c>
    </row>
    <row r="3987" spans="1:7" hidden="1" x14ac:dyDescent="0.25">
      <c r="A3987" s="28" t="s">
        <v>1903</v>
      </c>
      <c r="B3987" s="29">
        <v>28935.146499999999</v>
      </c>
      <c r="F3987" t="s">
        <v>1903</v>
      </c>
      <c r="G3987">
        <v>1</v>
      </c>
    </row>
    <row r="3988" spans="1:7" hidden="1" x14ac:dyDescent="0.25">
      <c r="A3988" s="28" t="s">
        <v>2507</v>
      </c>
      <c r="B3988" s="29">
        <v>28935.146499999999</v>
      </c>
      <c r="F3988" t="s">
        <v>2507</v>
      </c>
      <c r="G3988">
        <v>1</v>
      </c>
    </row>
    <row r="3989" spans="1:7" hidden="1" x14ac:dyDescent="0.25">
      <c r="A3989" s="28" t="s">
        <v>1959</v>
      </c>
      <c r="B3989" s="29">
        <v>28935.146499999999</v>
      </c>
      <c r="F3989" t="s">
        <v>1959</v>
      </c>
      <c r="G3989">
        <v>1</v>
      </c>
    </row>
    <row r="3990" spans="1:7" hidden="1" x14ac:dyDescent="0.25">
      <c r="A3990" s="28" t="s">
        <v>2242</v>
      </c>
      <c r="B3990" s="29">
        <v>28935.146499999999</v>
      </c>
      <c r="F3990" t="s">
        <v>2242</v>
      </c>
      <c r="G3990">
        <v>1</v>
      </c>
    </row>
    <row r="3991" spans="1:7" hidden="1" x14ac:dyDescent="0.25">
      <c r="A3991" s="28" t="s">
        <v>2324</v>
      </c>
      <c r="B3991" s="29">
        <v>28935.146499999999</v>
      </c>
      <c r="F3991" t="s">
        <v>2324</v>
      </c>
      <c r="G3991">
        <v>1</v>
      </c>
    </row>
    <row r="3992" spans="1:7" hidden="1" x14ac:dyDescent="0.25">
      <c r="A3992" s="28" t="s">
        <v>2207</v>
      </c>
      <c r="B3992" s="29">
        <v>28935.146499999999</v>
      </c>
      <c r="F3992" t="s">
        <v>2207</v>
      </c>
      <c r="G3992">
        <v>1</v>
      </c>
    </row>
    <row r="3993" spans="1:7" hidden="1" x14ac:dyDescent="0.25">
      <c r="A3993" s="28" t="s">
        <v>2354</v>
      </c>
      <c r="B3993" s="29">
        <v>25951.933700000001</v>
      </c>
      <c r="F3993" t="s">
        <v>2354</v>
      </c>
      <c r="G3993">
        <v>1</v>
      </c>
    </row>
    <row r="3994" spans="1:7" hidden="1" x14ac:dyDescent="0.25">
      <c r="A3994" s="28" t="s">
        <v>2313</v>
      </c>
      <c r="B3994" s="29">
        <v>28935.146499999999</v>
      </c>
      <c r="F3994" t="s">
        <v>2313</v>
      </c>
      <c r="G3994">
        <v>1</v>
      </c>
    </row>
    <row r="3995" spans="1:7" hidden="1" x14ac:dyDescent="0.25">
      <c r="A3995" s="28" t="s">
        <v>1947</v>
      </c>
      <c r="B3995" s="29">
        <v>25951.933700000001</v>
      </c>
      <c r="F3995" t="s">
        <v>1947</v>
      </c>
      <c r="G3995">
        <v>1</v>
      </c>
    </row>
    <row r="3996" spans="1:7" hidden="1" x14ac:dyDescent="0.25">
      <c r="A3996" s="28" t="s">
        <v>2643</v>
      </c>
      <c r="B3996" s="29">
        <v>25951.933700000001</v>
      </c>
      <c r="F3996" t="s">
        <v>2643</v>
      </c>
      <c r="G3996">
        <v>1</v>
      </c>
    </row>
    <row r="3997" spans="1:7" hidden="1" x14ac:dyDescent="0.25">
      <c r="A3997" s="28" t="s">
        <v>2490</v>
      </c>
      <c r="B3997" s="29">
        <v>25951.933700000001</v>
      </c>
      <c r="F3997" t="s">
        <v>2490</v>
      </c>
      <c r="G3997">
        <v>1</v>
      </c>
    </row>
    <row r="3998" spans="1:7" x14ac:dyDescent="0.25">
      <c r="A3998" s="28" t="s">
        <v>418</v>
      </c>
      <c r="B3998" s="29">
        <v>34427.0285</v>
      </c>
      <c r="F3998" t="s">
        <v>418</v>
      </c>
      <c r="G3998">
        <v>2</v>
      </c>
    </row>
    <row r="3999" spans="1:7" x14ac:dyDescent="0.25">
      <c r="A3999" s="28" t="s">
        <v>1424</v>
      </c>
      <c r="B3999" s="29">
        <v>25951.933700000001</v>
      </c>
      <c r="F3999" t="s">
        <v>1424</v>
      </c>
      <c r="G3999">
        <v>2</v>
      </c>
    </row>
    <row r="4000" spans="1:7" x14ac:dyDescent="0.25">
      <c r="A4000" s="28" t="s">
        <v>748</v>
      </c>
      <c r="B4000" s="29">
        <v>34427.0285</v>
      </c>
      <c r="F4000" t="s">
        <v>748</v>
      </c>
      <c r="G4000">
        <v>2</v>
      </c>
    </row>
    <row r="4001" spans="1:7" hidden="1" x14ac:dyDescent="0.25">
      <c r="A4001" s="28" t="s">
        <v>2270</v>
      </c>
      <c r="B4001" s="29">
        <v>28935.146499999999</v>
      </c>
      <c r="F4001" t="s">
        <v>2270</v>
      </c>
      <c r="G4001">
        <v>1</v>
      </c>
    </row>
    <row r="4002" spans="1:7" hidden="1" x14ac:dyDescent="0.25">
      <c r="A4002" s="28" t="s">
        <v>2312</v>
      </c>
      <c r="B4002" s="29">
        <v>25951.933700000001</v>
      </c>
      <c r="F4002" t="s">
        <v>2312</v>
      </c>
      <c r="G4002">
        <v>1</v>
      </c>
    </row>
    <row r="4003" spans="1:7" x14ac:dyDescent="0.25">
      <c r="A4003" s="28" t="s">
        <v>1608</v>
      </c>
      <c r="B4003" s="29">
        <v>25951.933700000001</v>
      </c>
      <c r="F4003" t="s">
        <v>1608</v>
      </c>
      <c r="G4003">
        <v>2</v>
      </c>
    </row>
    <row r="4004" spans="1:7" hidden="1" x14ac:dyDescent="0.25">
      <c r="A4004" s="28" t="s">
        <v>2890</v>
      </c>
      <c r="B4004" s="29">
        <v>28935.146499999999</v>
      </c>
      <c r="F4004" t="s">
        <v>2890</v>
      </c>
      <c r="G4004">
        <v>1</v>
      </c>
    </row>
    <row r="4005" spans="1:7" hidden="1" x14ac:dyDescent="0.25">
      <c r="A4005" s="28" t="s">
        <v>2673</v>
      </c>
      <c r="B4005" s="29">
        <v>35170.666700000002</v>
      </c>
      <c r="F4005" t="s">
        <v>2673</v>
      </c>
      <c r="G4005">
        <v>1</v>
      </c>
    </row>
    <row r="4006" spans="1:7" hidden="1" x14ac:dyDescent="0.25">
      <c r="A4006" s="28" t="s">
        <v>1855</v>
      </c>
      <c r="B4006" s="29">
        <v>25951.933700000001</v>
      </c>
      <c r="F4006" t="s">
        <v>1855</v>
      </c>
      <c r="G4006">
        <v>1</v>
      </c>
    </row>
    <row r="4007" spans="1:7" x14ac:dyDescent="0.25">
      <c r="A4007" s="28" t="s">
        <v>1212</v>
      </c>
      <c r="B4007" s="29">
        <v>28935.146499999999</v>
      </c>
      <c r="F4007" t="s">
        <v>1212</v>
      </c>
      <c r="G4007">
        <v>2</v>
      </c>
    </row>
    <row r="4008" spans="1:7" x14ac:dyDescent="0.25">
      <c r="A4008" s="28" t="s">
        <v>677</v>
      </c>
      <c r="B4008" s="29">
        <v>28935.146499999999</v>
      </c>
      <c r="F4008" t="s">
        <v>677</v>
      </c>
      <c r="G4008">
        <v>2</v>
      </c>
    </row>
    <row r="4009" spans="1:7" hidden="1" x14ac:dyDescent="0.25">
      <c r="A4009" s="28" t="s">
        <v>2091</v>
      </c>
      <c r="B4009" s="29">
        <v>25951.933700000001</v>
      </c>
      <c r="F4009" t="s">
        <v>2091</v>
      </c>
      <c r="G4009">
        <v>1</v>
      </c>
    </row>
    <row r="4010" spans="1:7" x14ac:dyDescent="0.25">
      <c r="A4010" s="28" t="s">
        <v>139</v>
      </c>
      <c r="B4010" s="29">
        <v>35170.666700000002</v>
      </c>
      <c r="F4010" t="s">
        <v>139</v>
      </c>
      <c r="G4010">
        <v>2</v>
      </c>
    </row>
    <row r="4011" spans="1:7" hidden="1" x14ac:dyDescent="0.25">
      <c r="A4011" s="28" t="s">
        <v>2018</v>
      </c>
      <c r="B4011" s="29">
        <v>28935.146499999999</v>
      </c>
      <c r="F4011" t="s">
        <v>2018</v>
      </c>
      <c r="G4011">
        <v>1</v>
      </c>
    </row>
    <row r="4012" spans="1:7" hidden="1" x14ac:dyDescent="0.25">
      <c r="A4012" s="28" t="s">
        <v>2410</v>
      </c>
      <c r="B4012" s="29">
        <v>28935.146499999999</v>
      </c>
      <c r="F4012" t="s">
        <v>2410</v>
      </c>
      <c r="G4012">
        <v>1</v>
      </c>
    </row>
    <row r="4013" spans="1:7" hidden="1" x14ac:dyDescent="0.25">
      <c r="A4013" s="28" t="s">
        <v>2934</v>
      </c>
      <c r="B4013" s="29">
        <v>26218.127700000001</v>
      </c>
      <c r="F4013" t="s">
        <v>2934</v>
      </c>
      <c r="G4013">
        <v>1</v>
      </c>
    </row>
    <row r="4014" spans="1:7" hidden="1" x14ac:dyDescent="0.25">
      <c r="A4014" s="28" t="s">
        <v>2577</v>
      </c>
      <c r="B4014" s="29">
        <v>35170.666700000002</v>
      </c>
      <c r="F4014" t="s">
        <v>2577</v>
      </c>
      <c r="G4014">
        <v>1</v>
      </c>
    </row>
    <row r="4015" spans="1:7" hidden="1" x14ac:dyDescent="0.25">
      <c r="A4015" s="28" t="s">
        <v>2067</v>
      </c>
      <c r="B4015" s="29">
        <v>25951.933700000001</v>
      </c>
      <c r="F4015" t="s">
        <v>2067</v>
      </c>
      <c r="G4015">
        <v>1</v>
      </c>
    </row>
    <row r="4016" spans="1:7" x14ac:dyDescent="0.25">
      <c r="A4016" s="28" t="s">
        <v>1125</v>
      </c>
      <c r="B4016" s="29">
        <v>34427.0285</v>
      </c>
      <c r="F4016" t="s">
        <v>1125</v>
      </c>
      <c r="G4016">
        <v>2</v>
      </c>
    </row>
    <row r="4017" spans="1:7" x14ac:dyDescent="0.25">
      <c r="A4017" s="28" t="s">
        <v>364</v>
      </c>
      <c r="B4017" s="29">
        <v>35170.666700000002</v>
      </c>
      <c r="F4017" t="s">
        <v>364</v>
      </c>
      <c r="G4017">
        <v>2</v>
      </c>
    </row>
    <row r="4018" spans="1:7" x14ac:dyDescent="0.25">
      <c r="A4018" s="28" t="s">
        <v>747</v>
      </c>
      <c r="B4018" s="29">
        <v>35170.666700000002</v>
      </c>
      <c r="F4018" t="s">
        <v>747</v>
      </c>
      <c r="G4018">
        <v>2</v>
      </c>
    </row>
    <row r="4019" spans="1:7" hidden="1" x14ac:dyDescent="0.25">
      <c r="A4019" s="28" t="s">
        <v>1984</v>
      </c>
      <c r="B4019" s="29">
        <v>25951.933700000001</v>
      </c>
      <c r="F4019" t="s">
        <v>1984</v>
      </c>
      <c r="G4019">
        <v>1</v>
      </c>
    </row>
    <row r="4020" spans="1:7" hidden="1" x14ac:dyDescent="0.25">
      <c r="A4020" s="28" t="s">
        <v>3060</v>
      </c>
      <c r="B4020" s="29">
        <v>26218.127700000001</v>
      </c>
      <c r="F4020" t="s">
        <v>3060</v>
      </c>
      <c r="G4020">
        <v>1</v>
      </c>
    </row>
    <row r="4021" spans="1:7" hidden="1" x14ac:dyDescent="0.25">
      <c r="A4021" s="28" t="s">
        <v>2482</v>
      </c>
      <c r="B4021" s="29">
        <v>28935.146499999999</v>
      </c>
      <c r="F4021" t="s">
        <v>2482</v>
      </c>
      <c r="G4021">
        <v>1</v>
      </c>
    </row>
    <row r="4022" spans="1:7" x14ac:dyDescent="0.25">
      <c r="A4022" s="28" t="s">
        <v>606</v>
      </c>
      <c r="B4022" s="29">
        <v>25951.933700000001</v>
      </c>
      <c r="F4022" t="s">
        <v>606</v>
      </c>
      <c r="G4022">
        <v>2</v>
      </c>
    </row>
    <row r="4023" spans="1:7" hidden="1" x14ac:dyDescent="0.25">
      <c r="A4023" s="28" t="s">
        <v>2971</v>
      </c>
      <c r="B4023" s="29">
        <v>25951.933700000001</v>
      </c>
      <c r="F4023" t="s">
        <v>2971</v>
      </c>
      <c r="G4023">
        <v>1</v>
      </c>
    </row>
    <row r="4024" spans="1:7" hidden="1" x14ac:dyDescent="0.25">
      <c r="A4024" s="28" t="s">
        <v>1861</v>
      </c>
      <c r="B4024" s="29">
        <v>35170.666700000002</v>
      </c>
      <c r="F4024" t="s">
        <v>1861</v>
      </c>
      <c r="G4024">
        <v>1</v>
      </c>
    </row>
    <row r="4025" spans="1:7" hidden="1" x14ac:dyDescent="0.25">
      <c r="A4025" s="28" t="s">
        <v>2711</v>
      </c>
      <c r="B4025" s="29">
        <v>28935.146499999999</v>
      </c>
      <c r="F4025" t="s">
        <v>2711</v>
      </c>
      <c r="G4025">
        <v>1</v>
      </c>
    </row>
    <row r="4026" spans="1:7" hidden="1" x14ac:dyDescent="0.25">
      <c r="A4026" s="28" t="s">
        <v>2120</v>
      </c>
      <c r="B4026" s="29">
        <v>25951.933700000001</v>
      </c>
      <c r="F4026" t="s">
        <v>2120</v>
      </c>
      <c r="G4026">
        <v>1</v>
      </c>
    </row>
    <row r="4027" spans="1:7" hidden="1" x14ac:dyDescent="0.25">
      <c r="A4027" s="28" t="s">
        <v>1821</v>
      </c>
      <c r="B4027" s="29">
        <v>34427.0285</v>
      </c>
      <c r="F4027" t="s">
        <v>1821</v>
      </c>
      <c r="G4027">
        <v>1</v>
      </c>
    </row>
    <row r="4028" spans="1:7" x14ac:dyDescent="0.25">
      <c r="A4028" s="28" t="s">
        <v>855</v>
      </c>
      <c r="B4028" s="29">
        <v>34427.0285</v>
      </c>
      <c r="F4028" t="s">
        <v>855</v>
      </c>
      <c r="G4028">
        <v>2</v>
      </c>
    </row>
    <row r="4029" spans="1:7" x14ac:dyDescent="0.25">
      <c r="A4029" s="28" t="s">
        <v>1213</v>
      </c>
      <c r="B4029" s="29">
        <v>25951.933700000001</v>
      </c>
      <c r="F4029" t="s">
        <v>1213</v>
      </c>
      <c r="G4029">
        <v>2</v>
      </c>
    </row>
    <row r="4030" spans="1:7" hidden="1" x14ac:dyDescent="0.25">
      <c r="A4030" s="28" t="s">
        <v>2626</v>
      </c>
      <c r="B4030" s="29">
        <v>25951.933700000001</v>
      </c>
      <c r="F4030" t="s">
        <v>2626</v>
      </c>
      <c r="G4030">
        <v>1</v>
      </c>
    </row>
    <row r="4031" spans="1:7" x14ac:dyDescent="0.25">
      <c r="A4031" s="28" t="s">
        <v>446</v>
      </c>
      <c r="B4031" s="29">
        <v>34427.0285</v>
      </c>
      <c r="F4031" t="s">
        <v>446</v>
      </c>
      <c r="G4031">
        <v>2</v>
      </c>
    </row>
    <row r="4032" spans="1:7" x14ac:dyDescent="0.25">
      <c r="A4032" s="28" t="s">
        <v>182</v>
      </c>
      <c r="B4032" s="29">
        <v>26218.127700000001</v>
      </c>
      <c r="F4032" t="s">
        <v>182</v>
      </c>
      <c r="G4032">
        <v>2</v>
      </c>
    </row>
    <row r="4033" spans="1:7" hidden="1" x14ac:dyDescent="0.25">
      <c r="A4033" s="28" t="s">
        <v>2735</v>
      </c>
      <c r="B4033" s="29">
        <v>26218.127700000001</v>
      </c>
      <c r="F4033" t="s">
        <v>2735</v>
      </c>
      <c r="G4033">
        <v>1</v>
      </c>
    </row>
    <row r="4034" spans="1:7" hidden="1" x14ac:dyDescent="0.25">
      <c r="A4034" s="28" t="s">
        <v>3058</v>
      </c>
      <c r="B4034" s="29">
        <v>26218.127700000001</v>
      </c>
      <c r="F4034" t="s">
        <v>3058</v>
      </c>
      <c r="G4034">
        <v>1</v>
      </c>
    </row>
    <row r="4035" spans="1:7" hidden="1" x14ac:dyDescent="0.25">
      <c r="A4035" s="28" t="s">
        <v>2862</v>
      </c>
      <c r="B4035" s="29">
        <v>26218.127700000001</v>
      </c>
      <c r="F4035" t="s">
        <v>2862</v>
      </c>
      <c r="G4035">
        <v>1</v>
      </c>
    </row>
    <row r="4036" spans="1:7" x14ac:dyDescent="0.25">
      <c r="A4036" s="28" t="s">
        <v>757</v>
      </c>
      <c r="B4036" s="29">
        <v>34427.0285</v>
      </c>
      <c r="F4036" t="s">
        <v>757</v>
      </c>
      <c r="G4036">
        <v>2</v>
      </c>
    </row>
    <row r="4037" spans="1:7" x14ac:dyDescent="0.25">
      <c r="A4037" s="28" t="s">
        <v>991</v>
      </c>
      <c r="B4037" s="29">
        <v>25951.933700000001</v>
      </c>
      <c r="F4037" t="s">
        <v>991</v>
      </c>
      <c r="G4037">
        <v>2</v>
      </c>
    </row>
    <row r="4038" spans="1:7" hidden="1" x14ac:dyDescent="0.25">
      <c r="A4038" s="28" t="s">
        <v>1905</v>
      </c>
      <c r="B4038" s="29">
        <v>26218.127700000001</v>
      </c>
      <c r="F4038" t="s">
        <v>1905</v>
      </c>
      <c r="G4038">
        <v>1</v>
      </c>
    </row>
    <row r="4039" spans="1:7" hidden="1" x14ac:dyDescent="0.25">
      <c r="A4039" s="28" t="s">
        <v>2435</v>
      </c>
      <c r="B4039" s="29">
        <v>26218.127700000001</v>
      </c>
      <c r="F4039" t="s">
        <v>2435</v>
      </c>
      <c r="G4039">
        <v>1</v>
      </c>
    </row>
    <row r="4040" spans="1:7" x14ac:dyDescent="0.25">
      <c r="A4040" s="28" t="s">
        <v>1538</v>
      </c>
      <c r="B4040" s="29">
        <v>25951.933700000001</v>
      </c>
      <c r="F4040" t="s">
        <v>1538</v>
      </c>
      <c r="G4040">
        <v>2</v>
      </c>
    </row>
    <row r="4041" spans="1:7" hidden="1" x14ac:dyDescent="0.25">
      <c r="A4041" s="28" t="s">
        <v>2098</v>
      </c>
      <c r="B4041" s="29">
        <v>25951.933700000001</v>
      </c>
      <c r="F4041" t="s">
        <v>2098</v>
      </c>
      <c r="G4041">
        <v>1</v>
      </c>
    </row>
    <row r="4042" spans="1:7" hidden="1" x14ac:dyDescent="0.25">
      <c r="A4042" s="28" t="s">
        <v>3189</v>
      </c>
      <c r="B4042" s="29">
        <v>25951.933700000001</v>
      </c>
      <c r="F4042" t="s">
        <v>3189</v>
      </c>
      <c r="G4042">
        <v>1</v>
      </c>
    </row>
    <row r="4043" spans="1:7" x14ac:dyDescent="0.25">
      <c r="A4043" s="28" t="s">
        <v>419</v>
      </c>
      <c r="B4043" s="29">
        <v>25951.933700000001</v>
      </c>
      <c r="F4043" t="s">
        <v>419</v>
      </c>
      <c r="G4043">
        <v>2</v>
      </c>
    </row>
    <row r="4044" spans="1:7" hidden="1" x14ac:dyDescent="0.25">
      <c r="A4044" s="28" t="s">
        <v>2528</v>
      </c>
      <c r="B4044" s="29">
        <v>26218.127700000001</v>
      </c>
      <c r="F4044" t="s">
        <v>2528</v>
      </c>
      <c r="G4044">
        <v>1</v>
      </c>
    </row>
    <row r="4045" spans="1:7" hidden="1" x14ac:dyDescent="0.25">
      <c r="A4045" s="28" t="s">
        <v>3069</v>
      </c>
      <c r="B4045" s="29">
        <v>26218.127700000001</v>
      </c>
      <c r="F4045" t="s">
        <v>3069</v>
      </c>
      <c r="G4045">
        <v>1</v>
      </c>
    </row>
    <row r="4046" spans="1:7" hidden="1" x14ac:dyDescent="0.25">
      <c r="A4046" s="28" t="s">
        <v>2147</v>
      </c>
      <c r="B4046" s="29">
        <v>34427.0285</v>
      </c>
      <c r="F4046" t="s">
        <v>2147</v>
      </c>
      <c r="G4046">
        <v>1</v>
      </c>
    </row>
    <row r="4047" spans="1:7" x14ac:dyDescent="0.25">
      <c r="A4047" s="28" t="s">
        <v>733</v>
      </c>
      <c r="B4047" s="29">
        <v>25951.933700000001</v>
      </c>
      <c r="F4047" t="s">
        <v>733</v>
      </c>
      <c r="G4047">
        <v>2</v>
      </c>
    </row>
    <row r="4048" spans="1:7" hidden="1" x14ac:dyDescent="0.25">
      <c r="A4048" s="28" t="s">
        <v>2805</v>
      </c>
      <c r="B4048" s="29">
        <v>35170.666700000002</v>
      </c>
      <c r="F4048" t="s">
        <v>2805</v>
      </c>
      <c r="G4048">
        <v>1</v>
      </c>
    </row>
    <row r="4049" spans="1:7" hidden="1" x14ac:dyDescent="0.25">
      <c r="A4049" s="28" t="s">
        <v>2636</v>
      </c>
      <c r="B4049" s="29">
        <v>25951.933700000001</v>
      </c>
      <c r="F4049" t="s">
        <v>2636</v>
      </c>
      <c r="G4049">
        <v>1</v>
      </c>
    </row>
    <row r="4050" spans="1:7" x14ac:dyDescent="0.25">
      <c r="A4050" s="28" t="s">
        <v>207</v>
      </c>
      <c r="B4050" s="29">
        <v>35170.666700000002</v>
      </c>
      <c r="F4050" t="s">
        <v>207</v>
      </c>
      <c r="G4050">
        <v>2</v>
      </c>
    </row>
    <row r="4051" spans="1:7" x14ac:dyDescent="0.25">
      <c r="A4051" s="28" t="s">
        <v>907</v>
      </c>
      <c r="B4051" s="29">
        <v>25951.933700000001</v>
      </c>
      <c r="F4051" t="s">
        <v>907</v>
      </c>
      <c r="G4051">
        <v>2</v>
      </c>
    </row>
    <row r="4052" spans="1:7" x14ac:dyDescent="0.25">
      <c r="A4052" s="28" t="s">
        <v>831</v>
      </c>
      <c r="B4052" s="29">
        <v>25951.933700000001</v>
      </c>
      <c r="F4052" t="s">
        <v>831</v>
      </c>
      <c r="G4052">
        <v>2</v>
      </c>
    </row>
    <row r="4053" spans="1:7" x14ac:dyDescent="0.25">
      <c r="A4053" s="28" t="s">
        <v>377</v>
      </c>
      <c r="B4053" s="29">
        <v>25951.933700000001</v>
      </c>
      <c r="F4053" t="s">
        <v>377</v>
      </c>
      <c r="G4053">
        <v>2</v>
      </c>
    </row>
    <row r="4054" spans="1:7" hidden="1" x14ac:dyDescent="0.25">
      <c r="A4054" s="28" t="s">
        <v>2095</v>
      </c>
      <c r="B4054" s="29">
        <v>34427.0285</v>
      </c>
      <c r="F4054" t="s">
        <v>2095</v>
      </c>
      <c r="G4054">
        <v>1</v>
      </c>
    </row>
    <row r="4055" spans="1:7" hidden="1" x14ac:dyDescent="0.25">
      <c r="A4055" s="28" t="s">
        <v>2208</v>
      </c>
      <c r="B4055" s="29">
        <v>25951.933700000001</v>
      </c>
      <c r="F4055" t="s">
        <v>2208</v>
      </c>
      <c r="G4055">
        <v>1</v>
      </c>
    </row>
    <row r="4056" spans="1:7" x14ac:dyDescent="0.25">
      <c r="A4056" s="28" t="s">
        <v>1371</v>
      </c>
      <c r="B4056" s="29">
        <v>26218.127700000001</v>
      </c>
      <c r="F4056" t="s">
        <v>1371</v>
      </c>
      <c r="G4056">
        <v>2</v>
      </c>
    </row>
    <row r="4057" spans="1:7" hidden="1" x14ac:dyDescent="0.25">
      <c r="A4057" s="28" t="s">
        <v>2148</v>
      </c>
      <c r="B4057" s="29">
        <v>35170.666700000002</v>
      </c>
      <c r="F4057" t="s">
        <v>2148</v>
      </c>
      <c r="G4057">
        <v>1</v>
      </c>
    </row>
    <row r="4058" spans="1:7" hidden="1" x14ac:dyDescent="0.25">
      <c r="A4058" s="28" t="s">
        <v>2502</v>
      </c>
      <c r="B4058" s="29">
        <v>25951.933700000001</v>
      </c>
      <c r="F4058" t="s">
        <v>2502</v>
      </c>
      <c r="G4058">
        <v>1</v>
      </c>
    </row>
    <row r="4059" spans="1:7" hidden="1" x14ac:dyDescent="0.25">
      <c r="A4059" s="28" t="s">
        <v>1966</v>
      </c>
      <c r="B4059" s="29">
        <v>26218.127700000001</v>
      </c>
      <c r="F4059" t="s">
        <v>1966</v>
      </c>
      <c r="G4059">
        <v>1</v>
      </c>
    </row>
    <row r="4060" spans="1:7" hidden="1" x14ac:dyDescent="0.25">
      <c r="A4060" s="28" t="s">
        <v>2248</v>
      </c>
      <c r="B4060" s="29">
        <v>31984.905299999999</v>
      </c>
      <c r="F4060" t="s">
        <v>2248</v>
      </c>
      <c r="G4060">
        <v>1</v>
      </c>
    </row>
    <row r="4061" spans="1:7" hidden="1" x14ac:dyDescent="0.25">
      <c r="A4061" s="28" t="s">
        <v>2209</v>
      </c>
      <c r="B4061" s="29">
        <v>25946.143</v>
      </c>
      <c r="F4061" t="s">
        <v>2209</v>
      </c>
      <c r="G4061">
        <v>1</v>
      </c>
    </row>
    <row r="4062" spans="1:7" hidden="1" x14ac:dyDescent="0.25">
      <c r="A4062" s="28" t="s">
        <v>2296</v>
      </c>
      <c r="B4062" s="29">
        <v>31984.905299999999</v>
      </c>
      <c r="F4062" t="s">
        <v>2296</v>
      </c>
      <c r="G4062">
        <v>1</v>
      </c>
    </row>
    <row r="4063" spans="1:7" hidden="1" x14ac:dyDescent="0.25">
      <c r="A4063" s="28" t="s">
        <v>1926</v>
      </c>
      <c r="B4063" s="29">
        <v>26261.5317</v>
      </c>
      <c r="F4063" t="s">
        <v>1926</v>
      </c>
      <c r="G4063">
        <v>1</v>
      </c>
    </row>
    <row r="4064" spans="1:7" hidden="1" x14ac:dyDescent="0.25">
      <c r="A4064" s="28" t="s">
        <v>2050</v>
      </c>
      <c r="B4064" s="29">
        <v>25951.933700000001</v>
      </c>
      <c r="F4064" t="s">
        <v>2050</v>
      </c>
      <c r="G4064">
        <v>1</v>
      </c>
    </row>
    <row r="4065" spans="1:7" hidden="1" x14ac:dyDescent="0.25">
      <c r="A4065" s="28" t="s">
        <v>1900</v>
      </c>
      <c r="B4065" s="29">
        <v>26261.5317</v>
      </c>
      <c r="F4065" t="s">
        <v>1900</v>
      </c>
      <c r="G4065">
        <v>1</v>
      </c>
    </row>
    <row r="4066" spans="1:7" hidden="1" x14ac:dyDescent="0.25">
      <c r="A4066" s="28" t="s">
        <v>1927</v>
      </c>
      <c r="B4066" s="29">
        <v>25951.933700000001</v>
      </c>
      <c r="F4066" t="s">
        <v>1927</v>
      </c>
      <c r="G4066">
        <v>1</v>
      </c>
    </row>
    <row r="4067" spans="1:7" hidden="1" x14ac:dyDescent="0.25">
      <c r="A4067" s="28" t="s">
        <v>1916</v>
      </c>
      <c r="B4067" s="29">
        <v>26261.5317</v>
      </c>
      <c r="F4067" t="s">
        <v>1916</v>
      </c>
      <c r="G4067">
        <v>1</v>
      </c>
    </row>
    <row r="4068" spans="1:7" hidden="1" x14ac:dyDescent="0.25">
      <c r="A4068" s="28" t="s">
        <v>1890</v>
      </c>
      <c r="B4068" s="29">
        <v>25951.933700000001</v>
      </c>
      <c r="F4068" t="s">
        <v>1890</v>
      </c>
      <c r="G4068">
        <v>1</v>
      </c>
    </row>
    <row r="4069" spans="1:7" hidden="1" x14ac:dyDescent="0.25">
      <c r="A4069" s="28" t="s">
        <v>2028</v>
      </c>
      <c r="B4069" s="29">
        <v>25951.933700000001</v>
      </c>
      <c r="F4069" t="s">
        <v>2028</v>
      </c>
      <c r="G4069">
        <v>1</v>
      </c>
    </row>
    <row r="4070" spans="1:7" hidden="1" x14ac:dyDescent="0.25">
      <c r="A4070" s="28" t="s">
        <v>1873</v>
      </c>
      <c r="B4070" s="29">
        <v>25951.933700000001</v>
      </c>
      <c r="F4070" t="s">
        <v>1873</v>
      </c>
      <c r="G4070">
        <v>1</v>
      </c>
    </row>
    <row r="4071" spans="1:7" hidden="1" x14ac:dyDescent="0.25">
      <c r="A4071" s="28" t="s">
        <v>2475</v>
      </c>
      <c r="B4071" s="29">
        <v>26261.5317</v>
      </c>
      <c r="F4071" t="s">
        <v>2475</v>
      </c>
      <c r="G4071">
        <v>1</v>
      </c>
    </row>
    <row r="4072" spans="1:7" hidden="1" x14ac:dyDescent="0.25">
      <c r="A4072" s="28" t="s">
        <v>1862</v>
      </c>
      <c r="B4072" s="29">
        <v>26261.5317</v>
      </c>
      <c r="F4072" t="s">
        <v>1862</v>
      </c>
      <c r="G4072">
        <v>1</v>
      </c>
    </row>
    <row r="4073" spans="1:7" hidden="1" x14ac:dyDescent="0.25">
      <c r="A4073" s="28" t="s">
        <v>1848</v>
      </c>
      <c r="B4073" s="29">
        <v>25946.143</v>
      </c>
      <c r="F4073" t="s">
        <v>1848</v>
      </c>
      <c r="G4073">
        <v>1</v>
      </c>
    </row>
    <row r="4074" spans="1:7" hidden="1" x14ac:dyDescent="0.25">
      <c r="A4074" s="28" t="s">
        <v>2020</v>
      </c>
      <c r="B4074" s="29">
        <v>26261.5317</v>
      </c>
      <c r="F4074" t="s">
        <v>2020</v>
      </c>
      <c r="G4074">
        <v>1</v>
      </c>
    </row>
    <row r="4075" spans="1:7" hidden="1" x14ac:dyDescent="0.25">
      <c r="A4075" s="28" t="s">
        <v>1872</v>
      </c>
      <c r="B4075" s="29">
        <v>25946.143</v>
      </c>
      <c r="F4075" t="s">
        <v>1872</v>
      </c>
      <c r="G4075">
        <v>1</v>
      </c>
    </row>
    <row r="4076" spans="1:7" hidden="1" x14ac:dyDescent="0.25">
      <c r="A4076" s="28" t="s">
        <v>1968</v>
      </c>
      <c r="B4076" s="29">
        <v>25951.933700000001</v>
      </c>
      <c r="F4076" t="s">
        <v>1968</v>
      </c>
      <c r="G4076">
        <v>1</v>
      </c>
    </row>
    <row r="4077" spans="1:7" hidden="1" x14ac:dyDescent="0.25">
      <c r="A4077" s="28" t="s">
        <v>1824</v>
      </c>
      <c r="B4077" s="29">
        <v>25946.143</v>
      </c>
      <c r="F4077" t="s">
        <v>1824</v>
      </c>
      <c r="G4077">
        <v>1</v>
      </c>
    </row>
    <row r="4078" spans="1:7" hidden="1" x14ac:dyDescent="0.25">
      <c r="A4078" s="28" t="s">
        <v>1858</v>
      </c>
      <c r="B4078" s="29">
        <v>26261.5317</v>
      </c>
      <c r="F4078" t="s">
        <v>1858</v>
      </c>
      <c r="G4078">
        <v>1</v>
      </c>
    </row>
    <row r="4079" spans="1:7" hidden="1" x14ac:dyDescent="0.25">
      <c r="A4079" s="28" t="s">
        <v>2012</v>
      </c>
      <c r="B4079" s="29">
        <v>26261.5317</v>
      </c>
      <c r="F4079" t="s">
        <v>2012</v>
      </c>
      <c r="G4079">
        <v>1</v>
      </c>
    </row>
    <row r="4080" spans="1:7" hidden="1" x14ac:dyDescent="0.25">
      <c r="A4080" s="28" t="s">
        <v>1814</v>
      </c>
      <c r="B4080" s="29">
        <v>25946.143</v>
      </c>
      <c r="F4080" t="s">
        <v>1814</v>
      </c>
      <c r="G4080">
        <v>1</v>
      </c>
    </row>
    <row r="4081" spans="1:7" hidden="1" x14ac:dyDescent="0.25">
      <c r="A4081" s="28" t="s">
        <v>2849</v>
      </c>
      <c r="B4081" s="29">
        <v>26261.5317</v>
      </c>
      <c r="F4081" t="s">
        <v>2849</v>
      </c>
      <c r="G4081">
        <v>1</v>
      </c>
    </row>
    <row r="4082" spans="1:7" hidden="1" x14ac:dyDescent="0.25">
      <c r="A4082" s="28" t="s">
        <v>2099</v>
      </c>
      <c r="B4082" s="29">
        <v>31984.905299999999</v>
      </c>
      <c r="F4082" t="s">
        <v>2099</v>
      </c>
      <c r="G4082">
        <v>1</v>
      </c>
    </row>
    <row r="4083" spans="1:7" hidden="1" x14ac:dyDescent="0.25">
      <c r="A4083" s="28" t="s">
        <v>2238</v>
      </c>
      <c r="B4083" s="29">
        <v>31984.905299999999</v>
      </c>
      <c r="F4083" t="s">
        <v>2238</v>
      </c>
      <c r="G4083">
        <v>1</v>
      </c>
    </row>
    <row r="4084" spans="1:7" hidden="1" x14ac:dyDescent="0.25">
      <c r="A4084" s="28" t="s">
        <v>1868</v>
      </c>
      <c r="B4084" s="29">
        <v>25946.143</v>
      </c>
      <c r="F4084" t="s">
        <v>1868</v>
      </c>
      <c r="G4084">
        <v>1</v>
      </c>
    </row>
    <row r="4085" spans="1:7" hidden="1" x14ac:dyDescent="0.25">
      <c r="A4085" s="28" t="s">
        <v>1960</v>
      </c>
      <c r="B4085" s="29">
        <v>31984.905299999999</v>
      </c>
      <c r="F4085" t="s">
        <v>1960</v>
      </c>
      <c r="G4085">
        <v>1</v>
      </c>
    </row>
    <row r="4086" spans="1:7" hidden="1" x14ac:dyDescent="0.25">
      <c r="A4086" s="28" t="s">
        <v>2179</v>
      </c>
      <c r="B4086" s="29">
        <v>26261.5317</v>
      </c>
      <c r="F4086" t="s">
        <v>2179</v>
      </c>
      <c r="G4086">
        <v>1</v>
      </c>
    </row>
    <row r="4087" spans="1:7" hidden="1" x14ac:dyDescent="0.25">
      <c r="A4087" s="28" t="s">
        <v>1953</v>
      </c>
      <c r="B4087" s="29">
        <v>26261.5317</v>
      </c>
      <c r="F4087" t="s">
        <v>1953</v>
      </c>
      <c r="G4087">
        <v>1</v>
      </c>
    </row>
    <row r="4088" spans="1:7" hidden="1" x14ac:dyDescent="0.25">
      <c r="A4088" s="28" t="s">
        <v>1832</v>
      </c>
      <c r="B4088" s="29">
        <v>26261.5317</v>
      </c>
      <c r="F4088" t="s">
        <v>1832</v>
      </c>
      <c r="G4088">
        <v>1</v>
      </c>
    </row>
    <row r="4089" spans="1:7" x14ac:dyDescent="0.25">
      <c r="A4089" s="28" t="s">
        <v>863</v>
      </c>
      <c r="B4089" s="29">
        <v>25951.933700000001</v>
      </c>
      <c r="F4089" t="s">
        <v>863</v>
      </c>
      <c r="G4089">
        <v>2</v>
      </c>
    </row>
    <row r="4090" spans="1:7" hidden="1" x14ac:dyDescent="0.25">
      <c r="A4090" s="28" t="s">
        <v>2666</v>
      </c>
      <c r="B4090" s="29">
        <v>25946.143</v>
      </c>
      <c r="F4090" t="s">
        <v>2666</v>
      </c>
      <c r="G4090">
        <v>1</v>
      </c>
    </row>
    <row r="4091" spans="1:7" x14ac:dyDescent="0.25">
      <c r="A4091" s="28" t="s">
        <v>1326</v>
      </c>
      <c r="B4091" s="29">
        <v>24735.775000000001</v>
      </c>
      <c r="F4091" t="s">
        <v>1326</v>
      </c>
      <c r="G4091">
        <v>2</v>
      </c>
    </row>
    <row r="4092" spans="1:7" hidden="1" x14ac:dyDescent="0.25">
      <c r="A4092" s="28" t="s">
        <v>2825</v>
      </c>
      <c r="B4092" s="29">
        <v>26261.5317</v>
      </c>
      <c r="F4092" t="s">
        <v>2825</v>
      </c>
      <c r="G4092">
        <v>1</v>
      </c>
    </row>
    <row r="4093" spans="1:7" hidden="1" x14ac:dyDescent="0.25">
      <c r="A4093" s="28" t="s">
        <v>2622</v>
      </c>
      <c r="B4093" s="29">
        <v>26261.5317</v>
      </c>
      <c r="F4093" t="s">
        <v>2622</v>
      </c>
      <c r="G4093">
        <v>1</v>
      </c>
    </row>
    <row r="4094" spans="1:7" hidden="1" x14ac:dyDescent="0.25">
      <c r="A4094" s="28" t="s">
        <v>2623</v>
      </c>
      <c r="B4094" s="29">
        <v>26261.5317</v>
      </c>
      <c r="F4094" t="s">
        <v>2623</v>
      </c>
      <c r="G4094">
        <v>1</v>
      </c>
    </row>
    <row r="4095" spans="1:7" hidden="1" x14ac:dyDescent="0.25">
      <c r="A4095" s="28" t="s">
        <v>2624</v>
      </c>
      <c r="B4095" s="29">
        <v>26261.5317</v>
      </c>
      <c r="F4095" t="s">
        <v>2624</v>
      </c>
      <c r="G4095">
        <v>1</v>
      </c>
    </row>
    <row r="4096" spans="1:7" hidden="1" x14ac:dyDescent="0.25">
      <c r="A4096" s="28" t="s">
        <v>2368</v>
      </c>
      <c r="B4096" s="29">
        <v>26261.5317</v>
      </c>
      <c r="F4096" t="s">
        <v>2368</v>
      </c>
      <c r="G4096">
        <v>1</v>
      </c>
    </row>
    <row r="4097" spans="1:7" hidden="1" x14ac:dyDescent="0.25">
      <c r="A4097" s="28" t="s">
        <v>2240</v>
      </c>
      <c r="B4097" s="29">
        <v>26261.5317</v>
      </c>
      <c r="F4097" t="s">
        <v>2240</v>
      </c>
      <c r="G4097">
        <v>1</v>
      </c>
    </row>
    <row r="4098" spans="1:7" x14ac:dyDescent="0.25">
      <c r="A4098" s="28" t="s">
        <v>199</v>
      </c>
      <c r="B4098" s="29">
        <v>32158.5213</v>
      </c>
      <c r="F4098" t="s">
        <v>199</v>
      </c>
      <c r="G4098">
        <v>2</v>
      </c>
    </row>
    <row r="4099" spans="1:7" x14ac:dyDescent="0.25">
      <c r="A4099" s="28" t="s">
        <v>602</v>
      </c>
      <c r="B4099" s="29">
        <v>32158.5213</v>
      </c>
      <c r="F4099" t="s">
        <v>602</v>
      </c>
      <c r="G4099">
        <v>2</v>
      </c>
    </row>
    <row r="4100" spans="1:7" hidden="1" x14ac:dyDescent="0.25">
      <c r="A4100" s="28" t="s">
        <v>2657</v>
      </c>
      <c r="B4100" s="29">
        <v>26261.5317</v>
      </c>
      <c r="F4100" t="s">
        <v>2657</v>
      </c>
      <c r="G4100">
        <v>1</v>
      </c>
    </row>
    <row r="4101" spans="1:7" hidden="1" x14ac:dyDescent="0.25">
      <c r="A4101" s="28" t="s">
        <v>2369</v>
      </c>
      <c r="B4101" s="29">
        <v>26261.5317</v>
      </c>
      <c r="F4101" t="s">
        <v>2369</v>
      </c>
      <c r="G4101">
        <v>1</v>
      </c>
    </row>
    <row r="4102" spans="1:7" hidden="1" x14ac:dyDescent="0.25">
      <c r="A4102" s="28" t="s">
        <v>2408</v>
      </c>
      <c r="B4102" s="29">
        <v>26261.5317</v>
      </c>
      <c r="F4102" t="s">
        <v>2408</v>
      </c>
      <c r="G4102">
        <v>1</v>
      </c>
    </row>
    <row r="4103" spans="1:7" hidden="1" x14ac:dyDescent="0.25">
      <c r="A4103" s="28" t="s">
        <v>2253</v>
      </c>
      <c r="B4103" s="29">
        <v>26261.5317</v>
      </c>
      <c r="F4103" t="s">
        <v>2253</v>
      </c>
      <c r="G4103">
        <v>1</v>
      </c>
    </row>
    <row r="4104" spans="1:7" hidden="1" x14ac:dyDescent="0.25">
      <c r="A4104" s="28" t="s">
        <v>2702</v>
      </c>
      <c r="B4104" s="29">
        <v>25946.143</v>
      </c>
      <c r="F4104" t="s">
        <v>2702</v>
      </c>
      <c r="G4104">
        <v>1</v>
      </c>
    </row>
    <row r="4105" spans="1:7" hidden="1" x14ac:dyDescent="0.25">
      <c r="A4105" s="28" t="s">
        <v>2677</v>
      </c>
      <c r="B4105" s="29">
        <v>26261.5317</v>
      </c>
      <c r="F4105" t="s">
        <v>2677</v>
      </c>
      <c r="G4105">
        <v>1</v>
      </c>
    </row>
    <row r="4106" spans="1:7" hidden="1" x14ac:dyDescent="0.25">
      <c r="A4106" s="28" t="s">
        <v>2740</v>
      </c>
      <c r="B4106" s="29">
        <v>26261.5317</v>
      </c>
      <c r="F4106" t="s">
        <v>2740</v>
      </c>
      <c r="G4106">
        <v>1</v>
      </c>
    </row>
    <row r="4107" spans="1:7" hidden="1" x14ac:dyDescent="0.25">
      <c r="A4107" s="28" t="s">
        <v>2058</v>
      </c>
      <c r="B4107" s="29">
        <v>26261.5317</v>
      </c>
      <c r="F4107" t="s">
        <v>2058</v>
      </c>
      <c r="G4107">
        <v>1</v>
      </c>
    </row>
    <row r="4108" spans="1:7" hidden="1" x14ac:dyDescent="0.25">
      <c r="A4108" s="28" t="s">
        <v>2795</v>
      </c>
      <c r="B4108" s="29">
        <v>26261.5317</v>
      </c>
      <c r="F4108" t="s">
        <v>2795</v>
      </c>
      <c r="G4108">
        <v>1</v>
      </c>
    </row>
    <row r="4109" spans="1:7" hidden="1" x14ac:dyDescent="0.25">
      <c r="A4109" s="28" t="s">
        <v>2616</v>
      </c>
      <c r="B4109" s="29">
        <v>26261.5317</v>
      </c>
      <c r="F4109" t="s">
        <v>2616</v>
      </c>
      <c r="G4109">
        <v>1</v>
      </c>
    </row>
    <row r="4110" spans="1:7" x14ac:dyDescent="0.25">
      <c r="A4110" s="28" t="s">
        <v>463</v>
      </c>
      <c r="B4110" s="29">
        <v>26261.5317</v>
      </c>
      <c r="F4110" t="s">
        <v>463</v>
      </c>
      <c r="G4110">
        <v>2</v>
      </c>
    </row>
    <row r="4111" spans="1:7" x14ac:dyDescent="0.25">
      <c r="A4111" s="28" t="s">
        <v>263</v>
      </c>
      <c r="B4111" s="29">
        <v>26261.5317</v>
      </c>
      <c r="F4111" t="s">
        <v>263</v>
      </c>
      <c r="G4111">
        <v>2</v>
      </c>
    </row>
    <row r="4112" spans="1:7" hidden="1" x14ac:dyDescent="0.25">
      <c r="A4112" s="28" t="s">
        <v>2149</v>
      </c>
      <c r="B4112" s="29">
        <v>25946.143</v>
      </c>
      <c r="F4112" t="s">
        <v>2149</v>
      </c>
      <c r="G4112">
        <v>1</v>
      </c>
    </row>
    <row r="4113" spans="1:7" hidden="1" x14ac:dyDescent="0.25">
      <c r="A4113" s="28" t="s">
        <v>2282</v>
      </c>
      <c r="B4113" s="29">
        <v>25946.143</v>
      </c>
      <c r="F4113" t="s">
        <v>2282</v>
      </c>
      <c r="G4113">
        <v>1</v>
      </c>
    </row>
    <row r="4114" spans="1:7" hidden="1" x14ac:dyDescent="0.25">
      <c r="A4114" s="28" t="s">
        <v>2366</v>
      </c>
      <c r="B4114" s="29">
        <v>25946.143</v>
      </c>
      <c r="F4114" t="s">
        <v>2366</v>
      </c>
      <c r="G4114">
        <v>1</v>
      </c>
    </row>
    <row r="4115" spans="1:7" x14ac:dyDescent="0.25">
      <c r="A4115" s="28" t="s">
        <v>1550</v>
      </c>
      <c r="B4115" s="29">
        <v>25946.143</v>
      </c>
      <c r="F4115" t="s">
        <v>1550</v>
      </c>
      <c r="G4115">
        <v>2</v>
      </c>
    </row>
    <row r="4116" spans="1:7" hidden="1" x14ac:dyDescent="0.25">
      <c r="A4116" s="28" t="s">
        <v>2785</v>
      </c>
      <c r="B4116" s="29">
        <v>25946.143</v>
      </c>
      <c r="F4116" t="s">
        <v>2785</v>
      </c>
      <c r="G4116">
        <v>1</v>
      </c>
    </row>
    <row r="4117" spans="1:7" x14ac:dyDescent="0.25">
      <c r="A4117" s="28" t="s">
        <v>1344</v>
      </c>
      <c r="B4117" s="29">
        <v>25946.143</v>
      </c>
      <c r="F4117" t="s">
        <v>1344</v>
      </c>
      <c r="G4117">
        <v>2</v>
      </c>
    </row>
    <row r="4118" spans="1:7" hidden="1" x14ac:dyDescent="0.25">
      <c r="A4118" s="28" t="s">
        <v>2456</v>
      </c>
      <c r="B4118" s="29">
        <v>25946.143</v>
      </c>
      <c r="F4118" t="s">
        <v>2456</v>
      </c>
      <c r="G4118">
        <v>1</v>
      </c>
    </row>
    <row r="4119" spans="1:7" hidden="1" x14ac:dyDescent="0.25">
      <c r="A4119" s="28" t="s">
        <v>2283</v>
      </c>
      <c r="B4119" s="29">
        <v>25946.143</v>
      </c>
      <c r="F4119" t="s">
        <v>2283</v>
      </c>
      <c r="G4119">
        <v>1</v>
      </c>
    </row>
    <row r="4120" spans="1:7" x14ac:dyDescent="0.25">
      <c r="A4120" s="28" t="s">
        <v>1544</v>
      </c>
      <c r="B4120" s="29">
        <v>25946.143</v>
      </c>
      <c r="F4120" t="s">
        <v>1544</v>
      </c>
      <c r="G4120">
        <v>2</v>
      </c>
    </row>
    <row r="4121" spans="1:7" x14ac:dyDescent="0.25">
      <c r="A4121" s="28" t="s">
        <v>1144</v>
      </c>
      <c r="B4121" s="29">
        <v>25946.143</v>
      </c>
      <c r="F4121" t="s">
        <v>1144</v>
      </c>
      <c r="G4121">
        <v>2</v>
      </c>
    </row>
    <row r="4122" spans="1:7" hidden="1" x14ac:dyDescent="0.25">
      <c r="A4122" s="28" t="s">
        <v>2807</v>
      </c>
      <c r="B4122" s="29">
        <v>25946.143</v>
      </c>
      <c r="F4122" t="s">
        <v>2807</v>
      </c>
      <c r="G4122">
        <v>1</v>
      </c>
    </row>
    <row r="4123" spans="1:7" hidden="1" x14ac:dyDescent="0.25">
      <c r="A4123" s="28" t="s">
        <v>2780</v>
      </c>
      <c r="B4123" s="29">
        <v>25946.143</v>
      </c>
      <c r="F4123" t="s">
        <v>2780</v>
      </c>
      <c r="G4123">
        <v>1</v>
      </c>
    </row>
    <row r="4124" spans="1:7" hidden="1" x14ac:dyDescent="0.25">
      <c r="A4124" s="28" t="s">
        <v>2765</v>
      </c>
      <c r="B4124" s="29">
        <v>25946.143</v>
      </c>
      <c r="F4124" t="s">
        <v>2765</v>
      </c>
      <c r="G4124">
        <v>1</v>
      </c>
    </row>
    <row r="4125" spans="1:7" hidden="1" x14ac:dyDescent="0.25">
      <c r="A4125" s="28" t="s">
        <v>2613</v>
      </c>
      <c r="B4125" s="29">
        <v>25946.143</v>
      </c>
      <c r="F4125" t="s">
        <v>2613</v>
      </c>
      <c r="G4125">
        <v>1</v>
      </c>
    </row>
    <row r="4126" spans="1:7" hidden="1" x14ac:dyDescent="0.25">
      <c r="A4126" s="28" t="s">
        <v>2423</v>
      </c>
      <c r="B4126" s="29">
        <v>25946.143</v>
      </c>
      <c r="F4126" t="s">
        <v>2423</v>
      </c>
      <c r="G4126">
        <v>1</v>
      </c>
    </row>
    <row r="4127" spans="1:7" hidden="1" x14ac:dyDescent="0.25">
      <c r="A4127" s="28" t="s">
        <v>2592</v>
      </c>
      <c r="B4127" s="29">
        <v>25946.143</v>
      </c>
      <c r="F4127" t="s">
        <v>2592</v>
      </c>
      <c r="G4127">
        <v>1</v>
      </c>
    </row>
    <row r="4128" spans="1:7" hidden="1" x14ac:dyDescent="0.25">
      <c r="A4128" s="28" t="s">
        <v>2722</v>
      </c>
      <c r="B4128" s="29">
        <v>26261.5317</v>
      </c>
      <c r="F4128" t="s">
        <v>2722</v>
      </c>
      <c r="G4128">
        <v>1</v>
      </c>
    </row>
    <row r="4129" spans="1:7" hidden="1" x14ac:dyDescent="0.25">
      <c r="A4129" s="28" t="s">
        <v>2694</v>
      </c>
      <c r="B4129" s="29">
        <v>25946.143</v>
      </c>
      <c r="F4129" t="s">
        <v>2694</v>
      </c>
      <c r="G4129">
        <v>1</v>
      </c>
    </row>
    <row r="4130" spans="1:7" hidden="1" x14ac:dyDescent="0.25">
      <c r="A4130" s="28" t="s">
        <v>3011</v>
      </c>
      <c r="B4130" s="29">
        <v>25946.143</v>
      </c>
      <c r="F4130" t="s">
        <v>3011</v>
      </c>
      <c r="G4130">
        <v>1</v>
      </c>
    </row>
    <row r="4131" spans="1:7" hidden="1" x14ac:dyDescent="0.25">
      <c r="A4131" s="28" t="s">
        <v>2422</v>
      </c>
      <c r="B4131" s="29">
        <v>31984.905299999999</v>
      </c>
      <c r="F4131" t="s">
        <v>2422</v>
      </c>
      <c r="G4131">
        <v>1</v>
      </c>
    </row>
    <row r="4132" spans="1:7" hidden="1" x14ac:dyDescent="0.25">
      <c r="A4132" s="28" t="s">
        <v>2235</v>
      </c>
      <c r="B4132" s="29">
        <v>25946.143</v>
      </c>
      <c r="F4132" t="s">
        <v>2235</v>
      </c>
      <c r="G4132">
        <v>1</v>
      </c>
    </row>
    <row r="4133" spans="1:7" x14ac:dyDescent="0.25">
      <c r="A4133" s="28" t="s">
        <v>1252</v>
      </c>
      <c r="B4133" s="29">
        <v>25946.143</v>
      </c>
      <c r="F4133" t="s">
        <v>1252</v>
      </c>
      <c r="G4133">
        <v>2</v>
      </c>
    </row>
    <row r="4134" spans="1:7" x14ac:dyDescent="0.25">
      <c r="A4134" s="28" t="s">
        <v>204</v>
      </c>
      <c r="B4134" s="29">
        <v>25946.143</v>
      </c>
      <c r="F4134" t="s">
        <v>204</v>
      </c>
      <c r="G4134">
        <v>2</v>
      </c>
    </row>
    <row r="4135" spans="1:7" x14ac:dyDescent="0.25">
      <c r="A4135" s="28" t="s">
        <v>1139</v>
      </c>
      <c r="B4135" s="29">
        <v>25946.143</v>
      </c>
      <c r="F4135" t="s">
        <v>1139</v>
      </c>
      <c r="G4135">
        <v>2</v>
      </c>
    </row>
    <row r="4136" spans="1:7" hidden="1" x14ac:dyDescent="0.25">
      <c r="A4136" s="28" t="s">
        <v>2897</v>
      </c>
      <c r="B4136" s="29">
        <v>25946.143</v>
      </c>
      <c r="F4136" t="s">
        <v>2897</v>
      </c>
      <c r="G4136">
        <v>1</v>
      </c>
    </row>
    <row r="4137" spans="1:7" x14ac:dyDescent="0.25">
      <c r="A4137" s="28" t="s">
        <v>829</v>
      </c>
      <c r="B4137" s="29">
        <v>25946.143</v>
      </c>
      <c r="F4137" t="s">
        <v>829</v>
      </c>
      <c r="G4137">
        <v>2</v>
      </c>
    </row>
    <row r="4138" spans="1:7" x14ac:dyDescent="0.25">
      <c r="A4138" s="28" t="s">
        <v>724</v>
      </c>
      <c r="B4138" s="29">
        <v>25946.143</v>
      </c>
      <c r="F4138" t="s">
        <v>724</v>
      </c>
      <c r="G4138">
        <v>2</v>
      </c>
    </row>
    <row r="4139" spans="1:7" hidden="1" x14ac:dyDescent="0.25">
      <c r="A4139" s="28" t="s">
        <v>2752</v>
      </c>
      <c r="B4139" s="29">
        <v>25946.143</v>
      </c>
      <c r="F4139" t="s">
        <v>2752</v>
      </c>
      <c r="G4139">
        <v>1</v>
      </c>
    </row>
    <row r="4140" spans="1:7" x14ac:dyDescent="0.25">
      <c r="A4140" s="28" t="s">
        <v>64</v>
      </c>
      <c r="B4140" s="29">
        <v>25946.143</v>
      </c>
      <c r="F4140" t="s">
        <v>64</v>
      </c>
      <c r="G4140">
        <v>2</v>
      </c>
    </row>
    <row r="4141" spans="1:7" x14ac:dyDescent="0.25">
      <c r="A4141" s="28" t="s">
        <v>18</v>
      </c>
      <c r="B4141" s="29">
        <v>25946.143</v>
      </c>
      <c r="F4141" t="s">
        <v>18</v>
      </c>
      <c r="G4141">
        <v>2</v>
      </c>
    </row>
    <row r="4142" spans="1:7" x14ac:dyDescent="0.25">
      <c r="A4142" s="28" t="s">
        <v>426</v>
      </c>
      <c r="B4142" s="29">
        <v>25946.143</v>
      </c>
      <c r="F4142" t="s">
        <v>426</v>
      </c>
      <c r="G4142">
        <v>2</v>
      </c>
    </row>
    <row r="4143" spans="1:7" hidden="1" x14ac:dyDescent="0.25">
      <c r="A4143" s="28" t="s">
        <v>2508</v>
      </c>
      <c r="B4143" s="29">
        <v>25946.143</v>
      </c>
      <c r="F4143" t="s">
        <v>2508</v>
      </c>
      <c r="G4143">
        <v>1</v>
      </c>
    </row>
    <row r="4144" spans="1:7" hidden="1" x14ac:dyDescent="0.25">
      <c r="A4144" s="28" t="s">
        <v>2688</v>
      </c>
      <c r="B4144" s="29">
        <v>25946.143</v>
      </c>
      <c r="F4144" t="s">
        <v>2688</v>
      </c>
      <c r="G4144">
        <v>1</v>
      </c>
    </row>
    <row r="4145" spans="1:7" hidden="1" x14ac:dyDescent="0.25">
      <c r="A4145" s="28" t="s">
        <v>2421</v>
      </c>
      <c r="B4145" s="29">
        <v>25946.143</v>
      </c>
      <c r="F4145" t="s">
        <v>2421</v>
      </c>
      <c r="G4145">
        <v>1</v>
      </c>
    </row>
    <row r="4146" spans="1:7" hidden="1" x14ac:dyDescent="0.25">
      <c r="A4146" s="28" t="s">
        <v>2375</v>
      </c>
      <c r="B4146" s="29">
        <v>25946.143</v>
      </c>
      <c r="F4146" t="s">
        <v>2375</v>
      </c>
      <c r="G4146">
        <v>1</v>
      </c>
    </row>
    <row r="4147" spans="1:7" hidden="1" x14ac:dyDescent="0.25">
      <c r="A4147" s="28" t="s">
        <v>2554</v>
      </c>
      <c r="B4147" s="29">
        <v>25946.143</v>
      </c>
      <c r="F4147" t="s">
        <v>2554</v>
      </c>
      <c r="G4147">
        <v>1</v>
      </c>
    </row>
    <row r="4148" spans="1:7" hidden="1" x14ac:dyDescent="0.25">
      <c r="A4148" s="28" t="s">
        <v>2555</v>
      </c>
      <c r="B4148" s="29">
        <v>25946.143</v>
      </c>
      <c r="F4148" t="s">
        <v>2555</v>
      </c>
      <c r="G4148">
        <v>1</v>
      </c>
    </row>
    <row r="4149" spans="1:7" hidden="1" x14ac:dyDescent="0.25">
      <c r="A4149" s="28" t="s">
        <v>251</v>
      </c>
      <c r="B4149" s="29">
        <v>25946.143</v>
      </c>
      <c r="F4149" t="s">
        <v>251</v>
      </c>
      <c r="G4149">
        <v>1</v>
      </c>
    </row>
    <row r="4150" spans="1:7" hidden="1" x14ac:dyDescent="0.25">
      <c r="A4150" s="28" t="s">
        <v>2298</v>
      </c>
      <c r="B4150" s="29">
        <v>25946.143</v>
      </c>
      <c r="F4150" t="s">
        <v>2298</v>
      </c>
      <c r="G4150">
        <v>1</v>
      </c>
    </row>
    <row r="4151" spans="1:7" x14ac:dyDescent="0.25">
      <c r="A4151" s="28" t="s">
        <v>438</v>
      </c>
      <c r="B4151" s="29">
        <v>25946.143</v>
      </c>
      <c r="F4151" t="s">
        <v>438</v>
      </c>
      <c r="G4151">
        <v>2</v>
      </c>
    </row>
    <row r="4152" spans="1:7" x14ac:dyDescent="0.25">
      <c r="A4152" s="28" t="s">
        <v>252</v>
      </c>
      <c r="B4152" s="29">
        <v>25946.143</v>
      </c>
      <c r="F4152" t="s">
        <v>252</v>
      </c>
      <c r="G4152">
        <v>2</v>
      </c>
    </row>
    <row r="4153" spans="1:7" x14ac:dyDescent="0.25">
      <c r="A4153" s="28" t="s">
        <v>1034</v>
      </c>
      <c r="B4153" s="29">
        <v>25946.143</v>
      </c>
      <c r="F4153" t="s">
        <v>1034</v>
      </c>
      <c r="G4153">
        <v>2</v>
      </c>
    </row>
    <row r="4154" spans="1:7" hidden="1" x14ac:dyDescent="0.25">
      <c r="A4154" s="28" t="s">
        <v>2250</v>
      </c>
      <c r="B4154" s="29">
        <v>25946.143</v>
      </c>
      <c r="F4154" t="s">
        <v>2250</v>
      </c>
      <c r="G4154">
        <v>1</v>
      </c>
    </row>
    <row r="4155" spans="1:7" hidden="1" x14ac:dyDescent="0.25">
      <c r="A4155" s="28" t="s">
        <v>2237</v>
      </c>
      <c r="B4155" s="29">
        <v>25946.143</v>
      </c>
      <c r="F4155" t="s">
        <v>2237</v>
      </c>
      <c r="G4155">
        <v>1</v>
      </c>
    </row>
    <row r="4156" spans="1:7" hidden="1" x14ac:dyDescent="0.25">
      <c r="A4156" s="28" t="s">
        <v>2851</v>
      </c>
      <c r="B4156" s="29">
        <v>25946.143</v>
      </c>
      <c r="F4156" t="s">
        <v>2851</v>
      </c>
      <c r="G4156">
        <v>1</v>
      </c>
    </row>
    <row r="4157" spans="1:7" hidden="1" x14ac:dyDescent="0.25">
      <c r="A4157" s="28" t="s">
        <v>2299</v>
      </c>
      <c r="B4157" s="29">
        <v>25946.143</v>
      </c>
      <c r="F4157" t="s">
        <v>2299</v>
      </c>
      <c r="G4157">
        <v>1</v>
      </c>
    </row>
    <row r="4158" spans="1:7" hidden="1" x14ac:dyDescent="0.25">
      <c r="A4158" s="28" t="s">
        <v>2668</v>
      </c>
      <c r="B4158" s="29">
        <v>25946.143</v>
      </c>
      <c r="F4158" t="s">
        <v>2668</v>
      </c>
      <c r="G4158">
        <v>1</v>
      </c>
    </row>
    <row r="4159" spans="1:7" hidden="1" x14ac:dyDescent="0.25">
      <c r="A4159" s="28" t="s">
        <v>2533</v>
      </c>
      <c r="B4159" s="29">
        <v>25946.143</v>
      </c>
      <c r="F4159" t="s">
        <v>2533</v>
      </c>
      <c r="G4159">
        <v>1</v>
      </c>
    </row>
    <row r="4160" spans="1:7" hidden="1" x14ac:dyDescent="0.25">
      <c r="A4160" s="28" t="s">
        <v>1910</v>
      </c>
      <c r="B4160" s="29">
        <v>25946.143</v>
      </c>
      <c r="F4160" t="s">
        <v>1910</v>
      </c>
      <c r="G4160">
        <v>1</v>
      </c>
    </row>
    <row r="4161" spans="1:7" hidden="1" x14ac:dyDescent="0.25">
      <c r="A4161" s="28" t="s">
        <v>1808</v>
      </c>
      <c r="B4161" s="29">
        <v>25946.143</v>
      </c>
      <c r="F4161" t="s">
        <v>1808</v>
      </c>
      <c r="G4161">
        <v>1</v>
      </c>
    </row>
    <row r="4162" spans="1:7" hidden="1" x14ac:dyDescent="0.25">
      <c r="A4162" s="28" t="s">
        <v>2793</v>
      </c>
      <c r="B4162" s="29">
        <v>25946.143</v>
      </c>
      <c r="F4162" t="s">
        <v>2793</v>
      </c>
      <c r="G4162">
        <v>1</v>
      </c>
    </row>
    <row r="4163" spans="1:7" hidden="1" x14ac:dyDescent="0.25">
      <c r="A4163" s="28" t="s">
        <v>1856</v>
      </c>
      <c r="B4163" s="29">
        <v>25946.143</v>
      </c>
      <c r="F4163" t="s">
        <v>1856</v>
      </c>
      <c r="G4163">
        <v>1</v>
      </c>
    </row>
    <row r="4164" spans="1:7" hidden="1" x14ac:dyDescent="0.25">
      <c r="A4164" s="28" t="s">
        <v>2893</v>
      </c>
      <c r="B4164" s="29">
        <v>25946.143</v>
      </c>
      <c r="F4164" t="s">
        <v>2893</v>
      </c>
      <c r="G4164">
        <v>1</v>
      </c>
    </row>
    <row r="4165" spans="1:7" x14ac:dyDescent="0.25">
      <c r="A4165" s="28" t="s">
        <v>969</v>
      </c>
      <c r="B4165" s="29">
        <v>31984.905299999999</v>
      </c>
      <c r="F4165" t="s">
        <v>969</v>
      </c>
      <c r="G4165">
        <v>2</v>
      </c>
    </row>
    <row r="4166" spans="1:7" hidden="1" x14ac:dyDescent="0.25">
      <c r="A4166" s="28" t="s">
        <v>1845</v>
      </c>
      <c r="B4166" s="29">
        <v>25946.143</v>
      </c>
      <c r="F4166" t="s">
        <v>1845</v>
      </c>
      <c r="G4166">
        <v>1</v>
      </c>
    </row>
    <row r="4167" spans="1:7" hidden="1" x14ac:dyDescent="0.25">
      <c r="A4167" s="28" t="s">
        <v>2033</v>
      </c>
      <c r="B4167" s="29">
        <v>25946.143</v>
      </c>
      <c r="F4167" t="s">
        <v>2033</v>
      </c>
      <c r="G4167">
        <v>1</v>
      </c>
    </row>
    <row r="4168" spans="1:7" hidden="1" x14ac:dyDescent="0.25">
      <c r="A4168" s="28" t="s">
        <v>2055</v>
      </c>
      <c r="B4168" s="29">
        <v>25946.143</v>
      </c>
      <c r="F4168" t="s">
        <v>2055</v>
      </c>
      <c r="G4168">
        <v>1</v>
      </c>
    </row>
    <row r="4169" spans="1:7" hidden="1" x14ac:dyDescent="0.25">
      <c r="A4169" s="28" t="s">
        <v>2655</v>
      </c>
      <c r="B4169" s="29">
        <v>25946.143</v>
      </c>
      <c r="F4169" t="s">
        <v>2655</v>
      </c>
      <c r="G4169">
        <v>1</v>
      </c>
    </row>
    <row r="4170" spans="1:7" hidden="1" x14ac:dyDescent="0.25">
      <c r="A4170" s="28" t="s">
        <v>2939</v>
      </c>
      <c r="B4170" s="29">
        <v>26261.5317</v>
      </c>
      <c r="F4170" t="s">
        <v>2939</v>
      </c>
      <c r="G4170">
        <v>1</v>
      </c>
    </row>
    <row r="4171" spans="1:7" hidden="1" x14ac:dyDescent="0.25">
      <c r="A4171" s="28" t="s">
        <v>2169</v>
      </c>
      <c r="B4171" s="29">
        <v>26261.5317</v>
      </c>
      <c r="F4171" t="s">
        <v>2169</v>
      </c>
      <c r="G4171">
        <v>1</v>
      </c>
    </row>
    <row r="4172" spans="1:7" hidden="1" x14ac:dyDescent="0.25">
      <c r="A4172" s="28" t="s">
        <v>2656</v>
      </c>
      <c r="B4172" s="29">
        <v>26261.5317</v>
      </c>
      <c r="F4172" t="s">
        <v>2656</v>
      </c>
      <c r="G4172">
        <v>1</v>
      </c>
    </row>
    <row r="4173" spans="1:7" hidden="1" x14ac:dyDescent="0.25">
      <c r="A4173" s="28" t="s">
        <v>2594</v>
      </c>
      <c r="B4173" s="29">
        <v>31984.905299999999</v>
      </c>
      <c r="F4173" t="s">
        <v>2594</v>
      </c>
      <c r="G4173">
        <v>1</v>
      </c>
    </row>
    <row r="4174" spans="1:7" hidden="1" x14ac:dyDescent="0.25">
      <c r="A4174" s="28" t="s">
        <v>1829</v>
      </c>
      <c r="B4174" s="29">
        <v>25946.143</v>
      </c>
      <c r="F4174" t="s">
        <v>1829</v>
      </c>
      <c r="G4174">
        <v>1</v>
      </c>
    </row>
    <row r="4175" spans="1:7" hidden="1" x14ac:dyDescent="0.25">
      <c r="A4175" s="28" t="s">
        <v>2433</v>
      </c>
      <c r="B4175" s="29">
        <v>25946.143</v>
      </c>
      <c r="F4175" t="s">
        <v>2433</v>
      </c>
      <c r="G4175">
        <v>1</v>
      </c>
    </row>
    <row r="4176" spans="1:7" hidden="1" x14ac:dyDescent="0.25">
      <c r="A4176" s="28" t="s">
        <v>2491</v>
      </c>
      <c r="B4176" s="29">
        <v>31984.905299999999</v>
      </c>
      <c r="F4176" t="s">
        <v>2491</v>
      </c>
      <c r="G4176">
        <v>1</v>
      </c>
    </row>
    <row r="4177" spans="1:7" hidden="1" x14ac:dyDescent="0.25">
      <c r="A4177" s="28" t="s">
        <v>2251</v>
      </c>
      <c r="B4177" s="29">
        <v>31984.905299999999</v>
      </c>
      <c r="F4177" t="s">
        <v>2251</v>
      </c>
      <c r="G4177">
        <v>1</v>
      </c>
    </row>
    <row r="4178" spans="1:7" hidden="1" x14ac:dyDescent="0.25">
      <c r="A4178" s="28" t="s">
        <v>1887</v>
      </c>
      <c r="B4178" s="29">
        <v>32158.5213</v>
      </c>
      <c r="F4178" t="s">
        <v>1887</v>
      </c>
      <c r="G4178">
        <v>1</v>
      </c>
    </row>
    <row r="4179" spans="1:7" hidden="1" x14ac:dyDescent="0.25">
      <c r="A4179" s="28" t="s">
        <v>1962</v>
      </c>
      <c r="B4179" s="29">
        <v>33637.106500000002</v>
      </c>
      <c r="F4179" t="s">
        <v>1962</v>
      </c>
      <c r="G4179">
        <v>1</v>
      </c>
    </row>
    <row r="4180" spans="1:7" hidden="1" x14ac:dyDescent="0.25">
      <c r="A4180" s="28" t="s">
        <v>2481</v>
      </c>
      <c r="B4180" s="29">
        <v>31984.905299999999</v>
      </c>
      <c r="F4180" t="s">
        <v>2481</v>
      </c>
      <c r="G4180">
        <v>1</v>
      </c>
    </row>
    <row r="4181" spans="1:7" hidden="1" x14ac:dyDescent="0.25">
      <c r="A4181" s="28" t="s">
        <v>3022</v>
      </c>
      <c r="B4181" s="29">
        <v>25946.143</v>
      </c>
      <c r="F4181" t="s">
        <v>3022</v>
      </c>
      <c r="G4181">
        <v>1</v>
      </c>
    </row>
    <row r="4182" spans="1:7" x14ac:dyDescent="0.25">
      <c r="A4182" s="28" t="s">
        <v>601</v>
      </c>
      <c r="B4182" s="29">
        <v>25946.143</v>
      </c>
      <c r="F4182" t="s">
        <v>601</v>
      </c>
      <c r="G4182">
        <v>2</v>
      </c>
    </row>
    <row r="4183" spans="1:7" hidden="1" x14ac:dyDescent="0.25">
      <c r="A4183" s="28" t="s">
        <v>2567</v>
      </c>
      <c r="B4183" s="29">
        <v>32158.5213</v>
      </c>
      <c r="F4183" t="s">
        <v>2567</v>
      </c>
      <c r="G4183">
        <v>1</v>
      </c>
    </row>
    <row r="4184" spans="1:7" hidden="1" x14ac:dyDescent="0.25">
      <c r="A4184" s="28" t="s">
        <v>2675</v>
      </c>
      <c r="B4184" s="29">
        <v>25946.143</v>
      </c>
      <c r="F4184" t="s">
        <v>2675</v>
      </c>
      <c r="G4184">
        <v>1</v>
      </c>
    </row>
    <row r="4185" spans="1:7" hidden="1" x14ac:dyDescent="0.25">
      <c r="A4185" s="28" t="s">
        <v>2901</v>
      </c>
      <c r="B4185" s="29">
        <v>25946.143</v>
      </c>
      <c r="F4185" t="s">
        <v>2901</v>
      </c>
      <c r="G4185">
        <v>1</v>
      </c>
    </row>
    <row r="4186" spans="1:7" hidden="1" x14ac:dyDescent="0.25">
      <c r="A4186" s="28" t="s">
        <v>2902</v>
      </c>
      <c r="B4186" s="29">
        <v>25946.143</v>
      </c>
      <c r="F4186" t="s">
        <v>2902</v>
      </c>
      <c r="G4186">
        <v>1</v>
      </c>
    </row>
    <row r="4187" spans="1:7" hidden="1" x14ac:dyDescent="0.25">
      <c r="A4187" s="28" t="s">
        <v>2669</v>
      </c>
      <c r="B4187" s="29">
        <v>25946.143</v>
      </c>
      <c r="F4187" t="s">
        <v>2669</v>
      </c>
      <c r="G4187">
        <v>1</v>
      </c>
    </row>
    <row r="4188" spans="1:7" hidden="1" x14ac:dyDescent="0.25">
      <c r="A4188" s="28" t="s">
        <v>2568</v>
      </c>
      <c r="B4188" s="29">
        <v>25946.143</v>
      </c>
      <c r="F4188" t="s">
        <v>2568</v>
      </c>
      <c r="G4188">
        <v>1</v>
      </c>
    </row>
    <row r="4189" spans="1:7" hidden="1" x14ac:dyDescent="0.25">
      <c r="A4189" s="28" t="s">
        <v>3157</v>
      </c>
      <c r="B4189" s="29">
        <v>25946.143</v>
      </c>
      <c r="F4189" t="s">
        <v>3157</v>
      </c>
      <c r="G4189">
        <v>1</v>
      </c>
    </row>
    <row r="4190" spans="1:7" hidden="1" x14ac:dyDescent="0.25">
      <c r="A4190" s="28" t="s">
        <v>1897</v>
      </c>
      <c r="B4190" s="29">
        <v>25946.143</v>
      </c>
      <c r="F4190" t="s">
        <v>1897</v>
      </c>
      <c r="G4190">
        <v>1</v>
      </c>
    </row>
    <row r="4191" spans="1:7" hidden="1" x14ac:dyDescent="0.25">
      <c r="A4191" s="28" t="s">
        <v>2239</v>
      </c>
      <c r="B4191" s="29">
        <v>25946.143</v>
      </c>
      <c r="F4191" t="s">
        <v>2239</v>
      </c>
      <c r="G4191">
        <v>1</v>
      </c>
    </row>
    <row r="4192" spans="1:7" hidden="1" x14ac:dyDescent="0.25">
      <c r="A4192" s="28" t="s">
        <v>2285</v>
      </c>
      <c r="B4192" s="29">
        <v>25946.143</v>
      </c>
      <c r="F4192" t="s">
        <v>2285</v>
      </c>
      <c r="G4192">
        <v>1</v>
      </c>
    </row>
    <row r="4193" spans="1:7" hidden="1" x14ac:dyDescent="0.25">
      <c r="A4193" s="28" t="s">
        <v>2404</v>
      </c>
      <c r="B4193" s="29">
        <v>25946.143</v>
      </c>
      <c r="F4193" t="s">
        <v>2404</v>
      </c>
      <c r="G4193">
        <v>1</v>
      </c>
    </row>
    <row r="4194" spans="1:7" hidden="1" x14ac:dyDescent="0.25">
      <c r="A4194" s="28" t="s">
        <v>3174</v>
      </c>
      <c r="B4194" s="29">
        <v>25946.143</v>
      </c>
      <c r="F4194" t="s">
        <v>3174</v>
      </c>
      <c r="G4194">
        <v>1</v>
      </c>
    </row>
    <row r="4195" spans="1:7" hidden="1" x14ac:dyDescent="0.25">
      <c r="A4195" s="28" t="s">
        <v>2557</v>
      </c>
      <c r="B4195" s="29">
        <v>25946.143</v>
      </c>
      <c r="F4195" t="s">
        <v>2557</v>
      </c>
      <c r="G4195">
        <v>1</v>
      </c>
    </row>
    <row r="4196" spans="1:7" hidden="1" x14ac:dyDescent="0.25">
      <c r="A4196" s="28" t="s">
        <v>2754</v>
      </c>
      <c r="B4196" s="29">
        <v>25946.143</v>
      </c>
      <c r="F4196" t="s">
        <v>2754</v>
      </c>
      <c r="G4196">
        <v>1</v>
      </c>
    </row>
    <row r="4197" spans="1:7" hidden="1" x14ac:dyDescent="0.25">
      <c r="A4197" s="28" t="s">
        <v>2863</v>
      </c>
      <c r="B4197" s="29">
        <v>25946.143</v>
      </c>
      <c r="F4197" t="s">
        <v>2863</v>
      </c>
      <c r="G4197">
        <v>1</v>
      </c>
    </row>
    <row r="4198" spans="1:7" hidden="1" x14ac:dyDescent="0.25">
      <c r="A4198" s="28" t="s">
        <v>2782</v>
      </c>
      <c r="B4198" s="29">
        <v>25946.143</v>
      </c>
      <c r="F4198" t="s">
        <v>2782</v>
      </c>
      <c r="G4198">
        <v>1</v>
      </c>
    </row>
    <row r="4199" spans="1:7" hidden="1" x14ac:dyDescent="0.25">
      <c r="A4199" s="28" t="s">
        <v>2801</v>
      </c>
      <c r="B4199" s="29">
        <v>26261.5317</v>
      </c>
      <c r="F4199" t="s">
        <v>2801</v>
      </c>
      <c r="G4199">
        <v>1</v>
      </c>
    </row>
    <row r="4200" spans="1:7" hidden="1" x14ac:dyDescent="0.25">
      <c r="A4200" s="28" t="s">
        <v>2717</v>
      </c>
      <c r="B4200" s="29">
        <v>25946.143</v>
      </c>
      <c r="F4200" t="s">
        <v>2717</v>
      </c>
      <c r="G4200">
        <v>1</v>
      </c>
    </row>
    <row r="4201" spans="1:7" hidden="1" x14ac:dyDescent="0.25">
      <c r="A4201" s="28" t="s">
        <v>2241</v>
      </c>
      <c r="B4201" s="29">
        <v>25946.143</v>
      </c>
      <c r="F4201" t="s">
        <v>2241</v>
      </c>
      <c r="G4201">
        <v>1</v>
      </c>
    </row>
    <row r="4202" spans="1:7" hidden="1" x14ac:dyDescent="0.25">
      <c r="A4202" s="28" t="s">
        <v>2398</v>
      </c>
      <c r="B4202" s="29">
        <v>25946.143</v>
      </c>
      <c r="F4202" t="s">
        <v>2398</v>
      </c>
      <c r="G4202">
        <v>1</v>
      </c>
    </row>
    <row r="4203" spans="1:7" hidden="1" x14ac:dyDescent="0.25">
      <c r="A4203" s="28" t="s">
        <v>2348</v>
      </c>
      <c r="B4203" s="29">
        <v>26261.5317</v>
      </c>
      <c r="F4203" t="s">
        <v>2348</v>
      </c>
      <c r="G4203">
        <v>1</v>
      </c>
    </row>
    <row r="4204" spans="1:7" hidden="1" x14ac:dyDescent="0.25">
      <c r="A4204" s="28" t="s">
        <v>2500</v>
      </c>
      <c r="B4204" s="29">
        <v>26261.5317</v>
      </c>
      <c r="F4204" t="s">
        <v>2500</v>
      </c>
      <c r="G4204">
        <v>1</v>
      </c>
    </row>
    <row r="4205" spans="1:7" hidden="1" x14ac:dyDescent="0.25">
      <c r="A4205" s="28" t="s">
        <v>2243</v>
      </c>
      <c r="B4205" s="29">
        <v>26261.5317</v>
      </c>
      <c r="F4205" t="s">
        <v>2243</v>
      </c>
      <c r="G4205">
        <v>1</v>
      </c>
    </row>
    <row r="4206" spans="1:7" hidden="1" x14ac:dyDescent="0.25">
      <c r="A4206" s="28" t="s">
        <v>2326</v>
      </c>
      <c r="B4206" s="29">
        <v>26261.5317</v>
      </c>
      <c r="F4206" t="s">
        <v>2326</v>
      </c>
      <c r="G4206">
        <v>1</v>
      </c>
    </row>
    <row r="4207" spans="1:7" hidden="1" x14ac:dyDescent="0.25">
      <c r="A4207" s="28" t="s">
        <v>2563</v>
      </c>
      <c r="B4207" s="29">
        <v>26261.5317</v>
      </c>
      <c r="F4207" t="s">
        <v>2563</v>
      </c>
      <c r="G4207">
        <v>1</v>
      </c>
    </row>
    <row r="4208" spans="1:7" hidden="1" x14ac:dyDescent="0.25">
      <c r="A4208" s="28" t="s">
        <v>2564</v>
      </c>
      <c r="B4208" s="29">
        <v>26261.5317</v>
      </c>
      <c r="F4208" t="s">
        <v>2564</v>
      </c>
      <c r="G4208">
        <v>1</v>
      </c>
    </row>
    <row r="4209" spans="1:7" hidden="1" x14ac:dyDescent="0.25">
      <c r="A4209" s="28" t="s">
        <v>2875</v>
      </c>
      <c r="B4209" s="29">
        <v>25946.143</v>
      </c>
      <c r="F4209" t="s">
        <v>2875</v>
      </c>
      <c r="G4209">
        <v>1</v>
      </c>
    </row>
    <row r="4210" spans="1:7" hidden="1" x14ac:dyDescent="0.25">
      <c r="A4210" s="28" t="s">
        <v>2872</v>
      </c>
      <c r="B4210" s="29">
        <v>25946.143</v>
      </c>
      <c r="F4210" t="s">
        <v>2872</v>
      </c>
      <c r="G4210">
        <v>1</v>
      </c>
    </row>
    <row r="4211" spans="1:7" x14ac:dyDescent="0.25">
      <c r="A4211" s="28" t="s">
        <v>1486</v>
      </c>
      <c r="B4211" s="29">
        <v>31984.905299999999</v>
      </c>
      <c r="F4211" t="s">
        <v>1486</v>
      </c>
      <c r="G4211">
        <v>2</v>
      </c>
    </row>
    <row r="4212" spans="1:7" x14ac:dyDescent="0.25">
      <c r="A4212" s="28" t="s">
        <v>1033</v>
      </c>
      <c r="B4212" s="29">
        <v>25951.933700000001</v>
      </c>
      <c r="F4212" t="s">
        <v>1033</v>
      </c>
      <c r="G4212">
        <v>2</v>
      </c>
    </row>
    <row r="4213" spans="1:7" hidden="1" x14ac:dyDescent="0.25">
      <c r="A4213" s="28" t="s">
        <v>2837</v>
      </c>
      <c r="B4213" s="29">
        <v>25946.143</v>
      </c>
      <c r="F4213" t="s">
        <v>2837</v>
      </c>
      <c r="G4213">
        <v>1</v>
      </c>
    </row>
    <row r="4214" spans="1:7" hidden="1" x14ac:dyDescent="0.25">
      <c r="A4214" s="28" t="s">
        <v>2859</v>
      </c>
      <c r="B4214" s="29">
        <v>25946.143</v>
      </c>
      <c r="F4214" t="s">
        <v>2859</v>
      </c>
      <c r="G4214">
        <v>1</v>
      </c>
    </row>
    <row r="4215" spans="1:7" hidden="1" x14ac:dyDescent="0.25">
      <c r="A4215" s="28" t="s">
        <v>2738</v>
      </c>
      <c r="B4215" s="29">
        <v>25946.143</v>
      </c>
      <c r="F4215" t="s">
        <v>2738</v>
      </c>
      <c r="G4215">
        <v>1</v>
      </c>
    </row>
    <row r="4216" spans="1:7" hidden="1" x14ac:dyDescent="0.25">
      <c r="A4216" s="28" t="s">
        <v>1830</v>
      </c>
      <c r="B4216" s="29">
        <v>26261.5317</v>
      </c>
      <c r="F4216" t="s">
        <v>1830</v>
      </c>
      <c r="G4216">
        <v>1</v>
      </c>
    </row>
    <row r="4217" spans="1:7" x14ac:dyDescent="0.25">
      <c r="A4217" s="28" t="s">
        <v>290</v>
      </c>
      <c r="B4217" s="29">
        <v>33637.106500000002</v>
      </c>
      <c r="F4217" t="s">
        <v>290</v>
      </c>
      <c r="G4217">
        <v>2</v>
      </c>
    </row>
    <row r="4218" spans="1:7" hidden="1" x14ac:dyDescent="0.25">
      <c r="A4218" s="28" t="s">
        <v>2483</v>
      </c>
      <c r="B4218" s="29">
        <v>25946.143</v>
      </c>
      <c r="F4218" t="s">
        <v>2483</v>
      </c>
      <c r="G4218">
        <v>1</v>
      </c>
    </row>
    <row r="4219" spans="1:7" x14ac:dyDescent="0.25">
      <c r="A4219" s="28" t="s">
        <v>280</v>
      </c>
      <c r="B4219" s="29">
        <v>33637.106500000002</v>
      </c>
      <c r="F4219" t="s">
        <v>280</v>
      </c>
      <c r="G4219">
        <v>2</v>
      </c>
    </row>
    <row r="4220" spans="1:7" x14ac:dyDescent="0.25">
      <c r="A4220" s="28" t="s">
        <v>1370</v>
      </c>
      <c r="B4220" s="29">
        <v>25946.143</v>
      </c>
      <c r="F4220" t="s">
        <v>1370</v>
      </c>
      <c r="G4220">
        <v>2</v>
      </c>
    </row>
    <row r="4221" spans="1:7" hidden="1" x14ac:dyDescent="0.25">
      <c r="A4221" s="28" t="s">
        <v>2534</v>
      </c>
      <c r="B4221" s="29">
        <v>25946.143</v>
      </c>
      <c r="F4221" t="s">
        <v>2534</v>
      </c>
      <c r="G4221">
        <v>1</v>
      </c>
    </row>
    <row r="4222" spans="1:7" hidden="1" x14ac:dyDescent="0.25">
      <c r="A4222" s="28" t="s">
        <v>2121</v>
      </c>
      <c r="B4222" s="29">
        <v>25946.143</v>
      </c>
      <c r="F4222" t="s">
        <v>2121</v>
      </c>
      <c r="G4222">
        <v>1</v>
      </c>
    </row>
    <row r="4223" spans="1:7" hidden="1" x14ac:dyDescent="0.25">
      <c r="A4223" s="28" t="s">
        <v>2771</v>
      </c>
      <c r="B4223" s="29">
        <v>25946.143</v>
      </c>
      <c r="F4223" t="s">
        <v>2771</v>
      </c>
      <c r="G4223">
        <v>1</v>
      </c>
    </row>
    <row r="4224" spans="1:7" hidden="1" x14ac:dyDescent="0.25">
      <c r="A4224" s="28" t="s">
        <v>2228</v>
      </c>
      <c r="B4224" s="29">
        <v>25946.143</v>
      </c>
      <c r="F4224" t="s">
        <v>2228</v>
      </c>
      <c r="G4224">
        <v>1</v>
      </c>
    </row>
    <row r="4225" spans="1:7" hidden="1" x14ac:dyDescent="0.25">
      <c r="A4225" s="28" t="s">
        <v>2535</v>
      </c>
      <c r="B4225" s="29">
        <v>25946.143</v>
      </c>
      <c r="F4225" t="s">
        <v>2535</v>
      </c>
      <c r="G4225">
        <v>1</v>
      </c>
    </row>
    <row r="4226" spans="1:7" hidden="1" x14ac:dyDescent="0.25">
      <c r="A4226" s="28" t="s">
        <v>2504</v>
      </c>
      <c r="B4226" s="29">
        <v>25946.143</v>
      </c>
      <c r="F4226" t="s">
        <v>2504</v>
      </c>
      <c r="G4226">
        <v>1</v>
      </c>
    </row>
    <row r="4227" spans="1:7" hidden="1" x14ac:dyDescent="0.25">
      <c r="A4227" s="28" t="s">
        <v>2453</v>
      </c>
      <c r="B4227" s="29">
        <v>25946.143</v>
      </c>
      <c r="F4227" t="s">
        <v>2453</v>
      </c>
      <c r="G4227">
        <v>1</v>
      </c>
    </row>
    <row r="4228" spans="1:7" hidden="1" x14ac:dyDescent="0.25">
      <c r="A4228" s="28" t="s">
        <v>2536</v>
      </c>
      <c r="B4228" s="29">
        <v>25946.143</v>
      </c>
      <c r="F4228" t="s">
        <v>2536</v>
      </c>
      <c r="G4228">
        <v>1</v>
      </c>
    </row>
    <row r="4229" spans="1:7" hidden="1" x14ac:dyDescent="0.25">
      <c r="A4229" s="28" t="s">
        <v>2183</v>
      </c>
      <c r="B4229" s="29">
        <v>25946.143</v>
      </c>
      <c r="F4229" t="s">
        <v>2183</v>
      </c>
      <c r="G4229">
        <v>1</v>
      </c>
    </row>
    <row r="4230" spans="1:7" hidden="1" x14ac:dyDescent="0.25">
      <c r="A4230" s="28" t="s">
        <v>2540</v>
      </c>
      <c r="B4230" s="29">
        <v>25946.143</v>
      </c>
      <c r="F4230" t="s">
        <v>2540</v>
      </c>
      <c r="G4230">
        <v>1</v>
      </c>
    </row>
    <row r="4231" spans="1:7" x14ac:dyDescent="0.25">
      <c r="A4231" s="28" t="s">
        <v>883</v>
      </c>
      <c r="B4231" s="29">
        <v>25946.143</v>
      </c>
      <c r="F4231" t="s">
        <v>883</v>
      </c>
      <c r="G4231">
        <v>2</v>
      </c>
    </row>
    <row r="4232" spans="1:7" hidden="1" x14ac:dyDescent="0.25">
      <c r="A4232" s="28" t="s">
        <v>2537</v>
      </c>
      <c r="B4232" s="29">
        <v>25946.143</v>
      </c>
      <c r="F4232" t="s">
        <v>2537</v>
      </c>
      <c r="G4232">
        <v>1</v>
      </c>
    </row>
    <row r="4233" spans="1:7" hidden="1" x14ac:dyDescent="0.25">
      <c r="A4233" s="28" t="s">
        <v>2347</v>
      </c>
      <c r="B4233" s="29">
        <v>25946.143</v>
      </c>
      <c r="F4233" t="s">
        <v>2347</v>
      </c>
      <c r="G4233">
        <v>1</v>
      </c>
    </row>
    <row r="4234" spans="1:7" x14ac:dyDescent="0.25">
      <c r="A4234" s="28" t="s">
        <v>1023</v>
      </c>
      <c r="B4234" s="29">
        <v>31984.905299999999</v>
      </c>
      <c r="F4234" t="s">
        <v>1023</v>
      </c>
      <c r="G4234">
        <v>2</v>
      </c>
    </row>
    <row r="4235" spans="1:7" hidden="1" x14ac:dyDescent="0.25">
      <c r="A4235" s="28" t="s">
        <v>1874</v>
      </c>
      <c r="B4235" s="29">
        <v>26261.5317</v>
      </c>
      <c r="F4235" t="s">
        <v>1874</v>
      </c>
      <c r="G4235">
        <v>1</v>
      </c>
    </row>
    <row r="4236" spans="1:7" x14ac:dyDescent="0.25">
      <c r="A4236" s="28" t="s">
        <v>1313</v>
      </c>
      <c r="B4236" s="29">
        <v>24735.775000000001</v>
      </c>
      <c r="F4236" t="s">
        <v>1313</v>
      </c>
      <c r="G4236">
        <v>2</v>
      </c>
    </row>
    <row r="4237" spans="1:7" x14ac:dyDescent="0.25">
      <c r="A4237" s="28" t="s">
        <v>1447</v>
      </c>
      <c r="B4237" s="29">
        <v>31984.905299999999</v>
      </c>
      <c r="F4237" t="s">
        <v>1447</v>
      </c>
      <c r="G4237">
        <v>2</v>
      </c>
    </row>
    <row r="4238" spans="1:7" x14ac:dyDescent="0.25">
      <c r="A4238" s="28" t="s">
        <v>647</v>
      </c>
      <c r="B4238" s="29">
        <v>31984.905299999999</v>
      </c>
      <c r="F4238" t="s">
        <v>647</v>
      </c>
      <c r="G4238">
        <v>2</v>
      </c>
    </row>
    <row r="4239" spans="1:7" x14ac:dyDescent="0.25">
      <c r="A4239" s="28" t="s">
        <v>1014</v>
      </c>
      <c r="B4239" s="29">
        <v>31984.905299999999</v>
      </c>
      <c r="F4239" t="s">
        <v>1014</v>
      </c>
      <c r="G4239">
        <v>2</v>
      </c>
    </row>
    <row r="4240" spans="1:7" x14ac:dyDescent="0.25">
      <c r="A4240" s="28" t="s">
        <v>951</v>
      </c>
      <c r="B4240" s="29">
        <v>31984.905299999999</v>
      </c>
      <c r="F4240" t="s">
        <v>951</v>
      </c>
      <c r="G4240">
        <v>2</v>
      </c>
    </row>
    <row r="4241" spans="1:7" hidden="1" x14ac:dyDescent="0.25">
      <c r="A4241" s="28" t="s">
        <v>2561</v>
      </c>
      <c r="B4241" s="29">
        <v>31984.905299999999</v>
      </c>
      <c r="F4241" t="s">
        <v>2561</v>
      </c>
      <c r="G4241">
        <v>1</v>
      </c>
    </row>
    <row r="4242" spans="1:7" hidden="1" x14ac:dyDescent="0.25">
      <c r="A4242" s="28" t="s">
        <v>2604</v>
      </c>
      <c r="B4242" s="29">
        <v>31984.905299999999</v>
      </c>
      <c r="F4242" t="s">
        <v>2604</v>
      </c>
      <c r="G4242">
        <v>1</v>
      </c>
    </row>
    <row r="4243" spans="1:7" hidden="1" x14ac:dyDescent="0.25">
      <c r="A4243" s="28" t="s">
        <v>2573</v>
      </c>
      <c r="B4243" s="29">
        <v>31984.905299999999</v>
      </c>
      <c r="F4243" t="s">
        <v>2573</v>
      </c>
      <c r="G4243">
        <v>1</v>
      </c>
    </row>
    <row r="4244" spans="1:7" hidden="1" x14ac:dyDescent="0.25">
      <c r="A4244" s="28" t="s">
        <v>2487</v>
      </c>
      <c r="B4244" s="29">
        <v>31984.905299999999</v>
      </c>
      <c r="F4244" t="s">
        <v>2487</v>
      </c>
      <c r="G4244">
        <v>1</v>
      </c>
    </row>
    <row r="4245" spans="1:7" hidden="1" x14ac:dyDescent="0.25">
      <c r="A4245" s="28" t="s">
        <v>2236</v>
      </c>
      <c r="B4245" s="29">
        <v>31984.905299999999</v>
      </c>
      <c r="F4245" t="s">
        <v>2236</v>
      </c>
      <c r="G4245">
        <v>1</v>
      </c>
    </row>
    <row r="4246" spans="1:7" hidden="1" x14ac:dyDescent="0.25">
      <c r="A4246" s="28" t="s">
        <v>2574</v>
      </c>
      <c r="B4246" s="29">
        <v>31984.905299999999</v>
      </c>
      <c r="F4246" t="s">
        <v>2574</v>
      </c>
      <c r="G4246">
        <v>1</v>
      </c>
    </row>
    <row r="4247" spans="1:7" hidden="1" x14ac:dyDescent="0.25">
      <c r="A4247" s="28" t="s">
        <v>2587</v>
      </c>
      <c r="B4247" s="29">
        <v>26261.5317</v>
      </c>
      <c r="F4247" t="s">
        <v>2587</v>
      </c>
      <c r="G4247">
        <v>1</v>
      </c>
    </row>
    <row r="4248" spans="1:7" hidden="1" x14ac:dyDescent="0.25">
      <c r="A4248" s="28" t="s">
        <v>2532</v>
      </c>
      <c r="B4248" s="29">
        <v>25946.143</v>
      </c>
      <c r="F4248" t="s">
        <v>2532</v>
      </c>
      <c r="G4248">
        <v>1</v>
      </c>
    </row>
    <row r="4249" spans="1:7" x14ac:dyDescent="0.25">
      <c r="A4249" s="28" t="s">
        <v>1096</v>
      </c>
      <c r="B4249" s="29">
        <v>31984.905299999999</v>
      </c>
      <c r="F4249" t="s">
        <v>1096</v>
      </c>
      <c r="G4249">
        <v>2</v>
      </c>
    </row>
    <row r="4250" spans="1:7" hidden="1" x14ac:dyDescent="0.25">
      <c r="A4250" s="28" t="s">
        <v>2454</v>
      </c>
      <c r="B4250" s="29">
        <v>25946.143</v>
      </c>
      <c r="F4250" t="s">
        <v>2454</v>
      </c>
      <c r="G4250">
        <v>1</v>
      </c>
    </row>
    <row r="4251" spans="1:7" x14ac:dyDescent="0.25">
      <c r="A4251" s="28" t="s">
        <v>48</v>
      </c>
      <c r="B4251" s="29">
        <v>31984.905299999999</v>
      </c>
      <c r="F4251" t="s">
        <v>48</v>
      </c>
      <c r="G4251">
        <v>2</v>
      </c>
    </row>
    <row r="4252" spans="1:7" hidden="1" x14ac:dyDescent="0.25">
      <c r="A4252" s="28" t="s">
        <v>2538</v>
      </c>
      <c r="B4252" s="29">
        <v>31984.905299999999</v>
      </c>
      <c r="F4252" t="s">
        <v>2538</v>
      </c>
      <c r="G4252">
        <v>1</v>
      </c>
    </row>
    <row r="4253" spans="1:7" hidden="1" x14ac:dyDescent="0.25">
      <c r="A4253" s="28" t="s">
        <v>2146</v>
      </c>
      <c r="B4253" s="29">
        <v>31984.905299999999</v>
      </c>
      <c r="F4253" t="s">
        <v>2146</v>
      </c>
      <c r="G4253">
        <v>1</v>
      </c>
    </row>
    <row r="4254" spans="1:7" hidden="1" x14ac:dyDescent="0.25">
      <c r="A4254" s="28" t="s">
        <v>2689</v>
      </c>
      <c r="B4254" s="29">
        <v>31984.905299999999</v>
      </c>
      <c r="F4254" t="s">
        <v>2689</v>
      </c>
      <c r="G4254">
        <v>1</v>
      </c>
    </row>
    <row r="4255" spans="1:7" hidden="1" x14ac:dyDescent="0.25">
      <c r="A4255" s="28" t="s">
        <v>2723</v>
      </c>
      <c r="B4255" s="29">
        <v>31984.905299999999</v>
      </c>
      <c r="F4255" t="s">
        <v>2723</v>
      </c>
      <c r="G4255">
        <v>1</v>
      </c>
    </row>
    <row r="4256" spans="1:7" hidden="1" x14ac:dyDescent="0.25">
      <c r="A4256" s="28" t="s">
        <v>1971</v>
      </c>
      <c r="B4256" s="29">
        <v>31984.905299999999</v>
      </c>
      <c r="F4256" t="s">
        <v>1971</v>
      </c>
      <c r="G4256">
        <v>1</v>
      </c>
    </row>
    <row r="4257" spans="1:7" hidden="1" x14ac:dyDescent="0.25">
      <c r="A4257" s="28" t="s">
        <v>2315</v>
      </c>
      <c r="B4257" s="29">
        <v>26261.5317</v>
      </c>
      <c r="F4257" t="s">
        <v>2315</v>
      </c>
      <c r="G4257">
        <v>1</v>
      </c>
    </row>
    <row r="4258" spans="1:7" hidden="1" x14ac:dyDescent="0.25">
      <c r="A4258" s="28" t="s">
        <v>2772</v>
      </c>
      <c r="B4258" s="29">
        <v>26261.5317</v>
      </c>
      <c r="F4258" t="s">
        <v>2772</v>
      </c>
      <c r="G4258">
        <v>1</v>
      </c>
    </row>
    <row r="4259" spans="1:7" x14ac:dyDescent="0.25">
      <c r="A4259" s="28" t="s">
        <v>1474</v>
      </c>
      <c r="B4259" s="29">
        <v>31984.905299999999</v>
      </c>
      <c r="F4259" t="s">
        <v>1474</v>
      </c>
      <c r="G4259">
        <v>2</v>
      </c>
    </row>
    <row r="4260" spans="1:7" hidden="1" x14ac:dyDescent="0.25">
      <c r="A4260" s="28" t="s">
        <v>2378</v>
      </c>
      <c r="B4260" s="29">
        <v>31984.905299999999</v>
      </c>
      <c r="F4260" t="s">
        <v>2378</v>
      </c>
      <c r="G4260">
        <v>1</v>
      </c>
    </row>
    <row r="4261" spans="1:7" hidden="1" x14ac:dyDescent="0.25">
      <c r="A4261" s="28" t="s">
        <v>2467</v>
      </c>
      <c r="B4261" s="29">
        <v>31984.905299999999</v>
      </c>
      <c r="F4261" t="s">
        <v>2467</v>
      </c>
      <c r="G4261">
        <v>1</v>
      </c>
    </row>
    <row r="4262" spans="1:7" hidden="1" x14ac:dyDescent="0.25">
      <c r="A4262" s="28" t="s">
        <v>2707</v>
      </c>
      <c r="B4262" s="29">
        <v>31984.905299999999</v>
      </c>
      <c r="F4262" t="s">
        <v>2707</v>
      </c>
      <c r="G4262">
        <v>1</v>
      </c>
    </row>
    <row r="4263" spans="1:7" hidden="1" x14ac:dyDescent="0.25">
      <c r="A4263" s="28" t="s">
        <v>2127</v>
      </c>
      <c r="B4263" s="29">
        <v>31984.905299999999</v>
      </c>
      <c r="F4263" t="s">
        <v>2127</v>
      </c>
      <c r="G4263">
        <v>1</v>
      </c>
    </row>
    <row r="4264" spans="1:7" hidden="1" x14ac:dyDescent="0.25">
      <c r="A4264" s="28" t="s">
        <v>2290</v>
      </c>
      <c r="B4264" s="29">
        <v>31984.905299999999</v>
      </c>
      <c r="F4264" t="s">
        <v>2290</v>
      </c>
      <c r="G4264">
        <v>1</v>
      </c>
    </row>
    <row r="4265" spans="1:7" hidden="1" x14ac:dyDescent="0.25">
      <c r="A4265" s="28" t="s">
        <v>1950</v>
      </c>
      <c r="B4265" s="29">
        <v>31984.905299999999</v>
      </c>
      <c r="F4265" t="s">
        <v>1950</v>
      </c>
      <c r="G4265">
        <v>1</v>
      </c>
    </row>
    <row r="4266" spans="1:7" x14ac:dyDescent="0.25">
      <c r="A4266" s="28" t="s">
        <v>651</v>
      </c>
      <c r="B4266" s="29">
        <v>31984.905299999999</v>
      </c>
      <c r="F4266" t="s">
        <v>651</v>
      </c>
      <c r="G4266">
        <v>2</v>
      </c>
    </row>
    <row r="4267" spans="1:7" x14ac:dyDescent="0.25">
      <c r="A4267" s="28" t="s">
        <v>198</v>
      </c>
      <c r="B4267" s="29">
        <v>31984.905299999999</v>
      </c>
      <c r="F4267" t="s">
        <v>198</v>
      </c>
      <c r="G4267">
        <v>2</v>
      </c>
    </row>
    <row r="4268" spans="1:7" x14ac:dyDescent="0.25">
      <c r="A4268" s="28" t="s">
        <v>572</v>
      </c>
      <c r="B4268" s="29">
        <v>31984.905299999999</v>
      </c>
      <c r="F4268" t="s">
        <v>572</v>
      </c>
      <c r="G4268">
        <v>2</v>
      </c>
    </row>
    <row r="4269" spans="1:7" hidden="1" x14ac:dyDescent="0.25">
      <c r="A4269" s="28" t="s">
        <v>1894</v>
      </c>
      <c r="B4269" s="29">
        <v>31984.905299999999</v>
      </c>
      <c r="F4269" t="s">
        <v>1894</v>
      </c>
      <c r="G4269">
        <v>1</v>
      </c>
    </row>
    <row r="4270" spans="1:7" x14ac:dyDescent="0.25">
      <c r="A4270" s="28" t="s">
        <v>124</v>
      </c>
      <c r="B4270" s="29">
        <v>31984.905299999999</v>
      </c>
      <c r="F4270" t="s">
        <v>124</v>
      </c>
      <c r="G4270">
        <v>2</v>
      </c>
    </row>
    <row r="4271" spans="1:7" hidden="1" x14ac:dyDescent="0.25">
      <c r="A4271" s="28" t="s">
        <v>2129</v>
      </c>
      <c r="B4271" s="29">
        <v>31984.905299999999</v>
      </c>
      <c r="F4271" t="s">
        <v>2129</v>
      </c>
      <c r="G4271">
        <v>1</v>
      </c>
    </row>
    <row r="4272" spans="1:7" hidden="1" x14ac:dyDescent="0.25">
      <c r="A4272" s="28" t="s">
        <v>2539</v>
      </c>
      <c r="B4272" s="29">
        <v>31984.905299999999</v>
      </c>
      <c r="F4272" t="s">
        <v>2539</v>
      </c>
      <c r="G4272">
        <v>1</v>
      </c>
    </row>
    <row r="4273" spans="1:7" hidden="1" x14ac:dyDescent="0.25">
      <c r="A4273" s="28" t="s">
        <v>2258</v>
      </c>
      <c r="B4273" s="29">
        <v>31984.905299999999</v>
      </c>
      <c r="F4273" t="s">
        <v>2258</v>
      </c>
      <c r="G4273">
        <v>1</v>
      </c>
    </row>
    <row r="4274" spans="1:7" x14ac:dyDescent="0.25">
      <c r="A4274" s="28" t="s">
        <v>1251</v>
      </c>
      <c r="B4274" s="29">
        <v>31984.905299999999</v>
      </c>
      <c r="F4274" t="s">
        <v>1251</v>
      </c>
      <c r="G4274">
        <v>2</v>
      </c>
    </row>
    <row r="4275" spans="1:7" x14ac:dyDescent="0.25">
      <c r="A4275" s="28" t="s">
        <v>313</v>
      </c>
      <c r="B4275" s="29">
        <v>31984.905299999999</v>
      </c>
      <c r="F4275" t="s">
        <v>313</v>
      </c>
      <c r="G4275">
        <v>2</v>
      </c>
    </row>
    <row r="4276" spans="1:7" x14ac:dyDescent="0.25">
      <c r="A4276" s="28" t="s">
        <v>521</v>
      </c>
      <c r="B4276" s="29">
        <v>32158.5213</v>
      </c>
      <c r="F4276" t="s">
        <v>521</v>
      </c>
      <c r="G4276">
        <v>2</v>
      </c>
    </row>
    <row r="4277" spans="1:7" hidden="1" x14ac:dyDescent="0.25">
      <c r="A4277" s="28" t="s">
        <v>2566</v>
      </c>
      <c r="B4277" s="29">
        <v>31984.905299999999</v>
      </c>
      <c r="F4277" t="s">
        <v>2566</v>
      </c>
      <c r="G4277">
        <v>1</v>
      </c>
    </row>
    <row r="4278" spans="1:7" x14ac:dyDescent="0.25">
      <c r="A4278" s="28" t="s">
        <v>599</v>
      </c>
      <c r="B4278" s="29">
        <v>31984.905299999999</v>
      </c>
      <c r="F4278" t="s">
        <v>599</v>
      </c>
      <c r="G4278">
        <v>2</v>
      </c>
    </row>
    <row r="4279" spans="1:7" x14ac:dyDescent="0.25">
      <c r="A4279" s="28" t="s">
        <v>921</v>
      </c>
      <c r="B4279" s="29">
        <v>31984.905299999999</v>
      </c>
      <c r="F4279" t="s">
        <v>921</v>
      </c>
      <c r="G4279">
        <v>2</v>
      </c>
    </row>
    <row r="4280" spans="1:7" x14ac:dyDescent="0.25">
      <c r="A4280" s="28" t="s">
        <v>445</v>
      </c>
      <c r="B4280" s="29">
        <v>32158.5213</v>
      </c>
      <c r="F4280" t="s">
        <v>445</v>
      </c>
      <c r="G4280">
        <v>2</v>
      </c>
    </row>
    <row r="4281" spans="1:7" hidden="1" x14ac:dyDescent="0.25">
      <c r="A4281" s="28" t="s">
        <v>2426</v>
      </c>
      <c r="B4281" s="29">
        <v>31984.905299999999</v>
      </c>
      <c r="F4281" t="s">
        <v>2426</v>
      </c>
      <c r="G4281">
        <v>1</v>
      </c>
    </row>
    <row r="4282" spans="1:7" x14ac:dyDescent="0.25">
      <c r="A4282" s="28" t="s">
        <v>600</v>
      </c>
      <c r="B4282" s="29">
        <v>32158.5213</v>
      </c>
      <c r="F4282" t="s">
        <v>600</v>
      </c>
      <c r="G4282">
        <v>2</v>
      </c>
    </row>
    <row r="4283" spans="1:7" hidden="1" x14ac:dyDescent="0.25">
      <c r="A4283" s="28" t="s">
        <v>1936</v>
      </c>
      <c r="B4283" s="29">
        <v>32158.5213</v>
      </c>
      <c r="F4283" t="s">
        <v>1936</v>
      </c>
      <c r="G4283">
        <v>1</v>
      </c>
    </row>
    <row r="4284" spans="1:7" x14ac:dyDescent="0.25">
      <c r="A4284" s="28" t="s">
        <v>86</v>
      </c>
      <c r="B4284" s="29">
        <v>32158.5213</v>
      </c>
      <c r="F4284" t="s">
        <v>86</v>
      </c>
      <c r="G4284">
        <v>2</v>
      </c>
    </row>
    <row r="4285" spans="1:7" x14ac:dyDescent="0.25">
      <c r="A4285" s="28" t="s">
        <v>639</v>
      </c>
      <c r="B4285" s="29">
        <v>32158.5213</v>
      </c>
      <c r="F4285" t="s">
        <v>639</v>
      </c>
      <c r="G4285">
        <v>2</v>
      </c>
    </row>
    <row r="4286" spans="1:7" x14ac:dyDescent="0.25">
      <c r="A4286" s="28" t="s">
        <v>1095</v>
      </c>
      <c r="B4286" s="29">
        <v>32158.5213</v>
      </c>
      <c r="F4286" t="s">
        <v>1095</v>
      </c>
      <c r="G4286">
        <v>2</v>
      </c>
    </row>
    <row r="4287" spans="1:7" x14ac:dyDescent="0.25">
      <c r="A4287" s="28" t="s">
        <v>205</v>
      </c>
      <c r="B4287" s="29">
        <v>32158.5213</v>
      </c>
      <c r="F4287" t="s">
        <v>205</v>
      </c>
      <c r="G4287">
        <v>2</v>
      </c>
    </row>
    <row r="4288" spans="1:7" x14ac:dyDescent="0.25">
      <c r="A4288" s="28" t="s">
        <v>649</v>
      </c>
      <c r="B4288" s="29">
        <v>32158.5213</v>
      </c>
      <c r="F4288" t="s">
        <v>649</v>
      </c>
      <c r="G4288">
        <v>2</v>
      </c>
    </row>
    <row r="4289" spans="1:7" hidden="1" x14ac:dyDescent="0.25">
      <c r="A4289" s="28" t="s">
        <v>2929</v>
      </c>
      <c r="B4289" s="29">
        <v>26261.5317</v>
      </c>
      <c r="F4289" t="s">
        <v>2929</v>
      </c>
      <c r="G4289">
        <v>1</v>
      </c>
    </row>
    <row r="4290" spans="1:7" hidden="1" x14ac:dyDescent="0.25">
      <c r="A4290" s="28" t="s">
        <v>3037</v>
      </c>
      <c r="B4290" s="29">
        <v>26261.5317</v>
      </c>
      <c r="F4290" t="s">
        <v>3037</v>
      </c>
      <c r="G4290">
        <v>1</v>
      </c>
    </row>
    <row r="4291" spans="1:7" x14ac:dyDescent="0.25">
      <c r="A4291" s="28" t="s">
        <v>197</v>
      </c>
      <c r="B4291" s="29">
        <v>26261.5317</v>
      </c>
      <c r="F4291" t="s">
        <v>197</v>
      </c>
      <c r="G4291">
        <v>2</v>
      </c>
    </row>
    <row r="4292" spans="1:7" x14ac:dyDescent="0.25">
      <c r="A4292" s="28" t="s">
        <v>652</v>
      </c>
      <c r="B4292" s="29">
        <v>26261.5317</v>
      </c>
      <c r="F4292" t="s">
        <v>652</v>
      </c>
      <c r="G4292">
        <v>2</v>
      </c>
    </row>
    <row r="4293" spans="1:7" x14ac:dyDescent="0.25">
      <c r="A4293" s="28" t="s">
        <v>968</v>
      </c>
      <c r="B4293" s="29">
        <v>26261.5317</v>
      </c>
      <c r="F4293" t="s">
        <v>968</v>
      </c>
      <c r="G4293">
        <v>2</v>
      </c>
    </row>
    <row r="4294" spans="1:7" hidden="1" x14ac:dyDescent="0.25">
      <c r="A4294" s="28" t="s">
        <v>2633</v>
      </c>
      <c r="B4294" s="29">
        <v>26261.5317</v>
      </c>
      <c r="F4294" t="s">
        <v>2633</v>
      </c>
      <c r="G4294">
        <v>1</v>
      </c>
    </row>
    <row r="4295" spans="1:7" hidden="1" x14ac:dyDescent="0.25">
      <c r="A4295" s="28" t="s">
        <v>3033</v>
      </c>
      <c r="B4295" s="29">
        <v>26261.5317</v>
      </c>
      <c r="F4295" t="s">
        <v>3033</v>
      </c>
      <c r="G4295">
        <v>1</v>
      </c>
    </row>
    <row r="4296" spans="1:7" hidden="1" x14ac:dyDescent="0.25">
      <c r="A4296" s="28" t="s">
        <v>2061</v>
      </c>
      <c r="B4296" s="29">
        <v>26261.5317</v>
      </c>
      <c r="F4296" t="s">
        <v>2061</v>
      </c>
      <c r="G4296">
        <v>1</v>
      </c>
    </row>
    <row r="4297" spans="1:7" hidden="1" x14ac:dyDescent="0.25">
      <c r="A4297" s="28" t="s">
        <v>2443</v>
      </c>
      <c r="B4297" s="29">
        <v>26261.5317</v>
      </c>
      <c r="F4297" t="s">
        <v>2443</v>
      </c>
      <c r="G4297">
        <v>1</v>
      </c>
    </row>
    <row r="4298" spans="1:7" x14ac:dyDescent="0.25">
      <c r="A4298" s="28" t="s">
        <v>694</v>
      </c>
      <c r="B4298" s="29">
        <v>26261.5317</v>
      </c>
      <c r="F4298" t="s">
        <v>694</v>
      </c>
      <c r="G4298">
        <v>2</v>
      </c>
    </row>
    <row r="4299" spans="1:7" hidden="1" x14ac:dyDescent="0.25">
      <c r="A4299" s="28" t="s">
        <v>2763</v>
      </c>
      <c r="B4299" s="29">
        <v>26261.5317</v>
      </c>
      <c r="F4299" t="s">
        <v>2763</v>
      </c>
      <c r="G4299">
        <v>1</v>
      </c>
    </row>
    <row r="4300" spans="1:7" x14ac:dyDescent="0.25">
      <c r="A4300" s="28" t="s">
        <v>695</v>
      </c>
      <c r="B4300" s="29">
        <v>26261.5317</v>
      </c>
      <c r="F4300" t="s">
        <v>695</v>
      </c>
      <c r="G4300">
        <v>2</v>
      </c>
    </row>
    <row r="4301" spans="1:7" x14ac:dyDescent="0.25">
      <c r="A4301" s="28" t="s">
        <v>696</v>
      </c>
      <c r="B4301" s="29">
        <v>26261.5317</v>
      </c>
      <c r="F4301" t="s">
        <v>696</v>
      </c>
      <c r="G4301">
        <v>2</v>
      </c>
    </row>
    <row r="4302" spans="1:7" x14ac:dyDescent="0.25">
      <c r="A4302" s="28" t="s">
        <v>605</v>
      </c>
      <c r="B4302" s="29">
        <v>26261.5317</v>
      </c>
      <c r="F4302" t="s">
        <v>605</v>
      </c>
      <c r="G4302">
        <v>2</v>
      </c>
    </row>
    <row r="4303" spans="1:7" x14ac:dyDescent="0.25">
      <c r="A4303" s="28" t="s">
        <v>729</v>
      </c>
      <c r="B4303" s="29">
        <v>26261.5317</v>
      </c>
      <c r="F4303" t="s">
        <v>729</v>
      </c>
      <c r="G4303">
        <v>2</v>
      </c>
    </row>
    <row r="4304" spans="1:7" x14ac:dyDescent="0.25">
      <c r="A4304" s="28" t="s">
        <v>629</v>
      </c>
      <c r="B4304" s="29">
        <v>26261.5317</v>
      </c>
      <c r="F4304" t="s">
        <v>629</v>
      </c>
      <c r="G4304">
        <v>2</v>
      </c>
    </row>
    <row r="4305" spans="1:7" x14ac:dyDescent="0.25">
      <c r="A4305" s="28" t="s">
        <v>195</v>
      </c>
      <c r="B4305" s="29">
        <v>26261.5317</v>
      </c>
      <c r="F4305" t="s">
        <v>195</v>
      </c>
      <c r="G4305">
        <v>2</v>
      </c>
    </row>
    <row r="4306" spans="1:7" x14ac:dyDescent="0.25">
      <c r="A4306" s="28" t="s">
        <v>736</v>
      </c>
      <c r="B4306" s="29">
        <v>26261.5317</v>
      </c>
      <c r="F4306" t="s">
        <v>736</v>
      </c>
      <c r="G4306">
        <v>2</v>
      </c>
    </row>
    <row r="4307" spans="1:7" hidden="1" x14ac:dyDescent="0.25">
      <c r="A4307" s="28" t="s">
        <v>2748</v>
      </c>
      <c r="B4307" s="29">
        <v>26261.5317</v>
      </c>
      <c r="F4307" t="s">
        <v>2748</v>
      </c>
      <c r="G4307">
        <v>1</v>
      </c>
    </row>
    <row r="4308" spans="1:7" hidden="1" x14ac:dyDescent="0.25">
      <c r="A4308" s="28" t="s">
        <v>2916</v>
      </c>
      <c r="B4308" s="29">
        <v>26261.5317</v>
      </c>
      <c r="F4308" t="s">
        <v>2916</v>
      </c>
      <c r="G4308">
        <v>1</v>
      </c>
    </row>
    <row r="4309" spans="1:7" x14ac:dyDescent="0.25">
      <c r="A4309" s="28" t="s">
        <v>830</v>
      </c>
      <c r="B4309" s="29">
        <v>26261.5317</v>
      </c>
      <c r="F4309" t="s">
        <v>830</v>
      </c>
      <c r="G4309">
        <v>2</v>
      </c>
    </row>
    <row r="4310" spans="1:7" x14ac:dyDescent="0.25">
      <c r="A4310" s="28" t="s">
        <v>333</v>
      </c>
      <c r="B4310" s="29">
        <v>26261.5317</v>
      </c>
      <c r="F4310" t="s">
        <v>333</v>
      </c>
      <c r="G4310">
        <v>2</v>
      </c>
    </row>
    <row r="4311" spans="1:7" x14ac:dyDescent="0.25">
      <c r="A4311" s="28" t="s">
        <v>847</v>
      </c>
      <c r="B4311" s="29">
        <v>26261.5317</v>
      </c>
      <c r="F4311" t="s">
        <v>847</v>
      </c>
      <c r="G4311">
        <v>2</v>
      </c>
    </row>
    <row r="4312" spans="1:7" x14ac:dyDescent="0.25">
      <c r="A4312" s="28" t="s">
        <v>650</v>
      </c>
      <c r="B4312" s="29">
        <v>26261.5317</v>
      </c>
      <c r="F4312" t="s">
        <v>650</v>
      </c>
      <c r="G4312">
        <v>2</v>
      </c>
    </row>
    <row r="4313" spans="1:7" x14ac:dyDescent="0.25">
      <c r="A4313" s="28" t="s">
        <v>631</v>
      </c>
      <c r="B4313" s="29">
        <v>26261.5317</v>
      </c>
      <c r="F4313" t="s">
        <v>631</v>
      </c>
      <c r="G4313">
        <v>2</v>
      </c>
    </row>
    <row r="4314" spans="1:7" x14ac:dyDescent="0.25">
      <c r="A4314" s="28" t="s">
        <v>848</v>
      </c>
      <c r="B4314" s="29">
        <v>26261.5317</v>
      </c>
      <c r="F4314" t="s">
        <v>848</v>
      </c>
      <c r="G4314">
        <v>2</v>
      </c>
    </row>
    <row r="4315" spans="1:7" x14ac:dyDescent="0.25">
      <c r="A4315" s="28" t="s">
        <v>1466</v>
      </c>
      <c r="B4315" s="29">
        <v>26261.5317</v>
      </c>
      <c r="F4315" t="s">
        <v>1466</v>
      </c>
      <c r="G4315">
        <v>2</v>
      </c>
    </row>
    <row r="4316" spans="1:7" hidden="1" x14ac:dyDescent="0.25">
      <c r="A4316" s="28" t="s">
        <v>2928</v>
      </c>
      <c r="B4316" s="29">
        <v>26261.5317</v>
      </c>
      <c r="F4316" t="s">
        <v>2928</v>
      </c>
      <c r="G4316">
        <v>1</v>
      </c>
    </row>
    <row r="4317" spans="1:7" hidden="1" x14ac:dyDescent="0.25">
      <c r="A4317" s="28" t="s">
        <v>2515</v>
      </c>
      <c r="B4317" s="29">
        <v>26261.5317</v>
      </c>
      <c r="F4317" t="s">
        <v>2515</v>
      </c>
      <c r="G4317">
        <v>1</v>
      </c>
    </row>
    <row r="4318" spans="1:7" x14ac:dyDescent="0.25">
      <c r="A4318" s="28" t="s">
        <v>573</v>
      </c>
      <c r="B4318" s="29">
        <v>32158.5213</v>
      </c>
      <c r="F4318" t="s">
        <v>573</v>
      </c>
      <c r="G4318">
        <v>2</v>
      </c>
    </row>
    <row r="4319" spans="1:7" x14ac:dyDescent="0.25">
      <c r="A4319" s="28" t="s">
        <v>512</v>
      </c>
      <c r="B4319" s="29">
        <v>32158.5213</v>
      </c>
      <c r="F4319" t="s">
        <v>512</v>
      </c>
      <c r="G4319">
        <v>2</v>
      </c>
    </row>
    <row r="4320" spans="1:7" x14ac:dyDescent="0.25">
      <c r="A4320" s="28" t="s">
        <v>598</v>
      </c>
      <c r="B4320" s="29">
        <v>32158.5213</v>
      </c>
      <c r="F4320" t="s">
        <v>598</v>
      </c>
      <c r="G4320">
        <v>2</v>
      </c>
    </row>
    <row r="4321" spans="1:7" x14ac:dyDescent="0.25">
      <c r="A4321" s="28" t="s">
        <v>368</v>
      </c>
      <c r="B4321" s="29">
        <v>32158.5213</v>
      </c>
      <c r="F4321" t="s">
        <v>368</v>
      </c>
      <c r="G4321">
        <v>2</v>
      </c>
    </row>
    <row r="4322" spans="1:7" x14ac:dyDescent="0.25">
      <c r="A4322" s="28" t="s">
        <v>864</v>
      </c>
      <c r="B4322" s="29">
        <v>32158.5213</v>
      </c>
      <c r="F4322" t="s">
        <v>864</v>
      </c>
      <c r="G4322">
        <v>2</v>
      </c>
    </row>
    <row r="4323" spans="1:7" x14ac:dyDescent="0.25">
      <c r="A4323" s="28" t="s">
        <v>1435</v>
      </c>
      <c r="B4323" s="29">
        <v>32158.5213</v>
      </c>
      <c r="F4323" t="s">
        <v>1435</v>
      </c>
      <c r="G4323">
        <v>2</v>
      </c>
    </row>
    <row r="4324" spans="1:7" hidden="1" x14ac:dyDescent="0.25">
      <c r="A4324" s="28" t="s">
        <v>2365</v>
      </c>
      <c r="B4324" s="29">
        <v>32158.5213</v>
      </c>
      <c r="F4324" t="s">
        <v>2365</v>
      </c>
      <c r="G4324">
        <v>1</v>
      </c>
    </row>
    <row r="4325" spans="1:7" hidden="1" x14ac:dyDescent="0.25">
      <c r="A4325" s="28" t="s">
        <v>2280</v>
      </c>
      <c r="B4325" s="29">
        <v>32158.5213</v>
      </c>
      <c r="F4325" t="s">
        <v>2280</v>
      </c>
      <c r="G4325">
        <v>1</v>
      </c>
    </row>
    <row r="4326" spans="1:7" hidden="1" x14ac:dyDescent="0.25">
      <c r="A4326" s="28" t="s">
        <v>2273</v>
      </c>
      <c r="B4326" s="29">
        <v>32158.5213</v>
      </c>
      <c r="F4326" t="s">
        <v>2273</v>
      </c>
      <c r="G4326">
        <v>1</v>
      </c>
    </row>
    <row r="4327" spans="1:7" hidden="1" x14ac:dyDescent="0.25">
      <c r="A4327" s="28" t="s">
        <v>2751</v>
      </c>
      <c r="B4327" s="29">
        <v>32158.5213</v>
      </c>
      <c r="F4327" t="s">
        <v>2751</v>
      </c>
      <c r="G4327">
        <v>1</v>
      </c>
    </row>
    <row r="4328" spans="1:7" hidden="1" x14ac:dyDescent="0.25">
      <c r="A4328" s="28" t="s">
        <v>2088</v>
      </c>
      <c r="B4328" s="29">
        <v>32158.5213</v>
      </c>
      <c r="F4328" t="s">
        <v>2088</v>
      </c>
      <c r="G4328">
        <v>1</v>
      </c>
    </row>
    <row r="4329" spans="1:7" hidden="1" x14ac:dyDescent="0.25">
      <c r="A4329" s="28" t="s">
        <v>2430</v>
      </c>
      <c r="B4329" s="29">
        <v>26261.5317</v>
      </c>
      <c r="F4329" t="s">
        <v>2430</v>
      </c>
      <c r="G4329">
        <v>1</v>
      </c>
    </row>
    <row r="4330" spans="1:7" hidden="1" x14ac:dyDescent="0.25">
      <c r="A4330" s="28" t="s">
        <v>2779</v>
      </c>
      <c r="B4330" s="29">
        <v>26261.5317</v>
      </c>
      <c r="F4330" t="s">
        <v>2779</v>
      </c>
      <c r="G4330">
        <v>1</v>
      </c>
    </row>
    <row r="4331" spans="1:7" x14ac:dyDescent="0.25">
      <c r="A4331" s="28" t="s">
        <v>552</v>
      </c>
      <c r="B4331" s="29">
        <v>32158.5213</v>
      </c>
      <c r="F4331" t="s">
        <v>552</v>
      </c>
      <c r="G4331">
        <v>2</v>
      </c>
    </row>
    <row r="4332" spans="1:7" x14ac:dyDescent="0.25">
      <c r="A4332" s="28" t="s">
        <v>289</v>
      </c>
      <c r="B4332" s="29">
        <v>32158.5213</v>
      </c>
      <c r="F4332" t="s">
        <v>289</v>
      </c>
      <c r="G4332">
        <v>2</v>
      </c>
    </row>
    <row r="4333" spans="1:7" x14ac:dyDescent="0.25">
      <c r="A4333" s="28" t="s">
        <v>977</v>
      </c>
      <c r="B4333" s="29">
        <v>32158.5213</v>
      </c>
      <c r="F4333" t="s">
        <v>977</v>
      </c>
      <c r="G4333">
        <v>2</v>
      </c>
    </row>
    <row r="4334" spans="1:7" x14ac:dyDescent="0.25">
      <c r="A4334" s="28" t="s">
        <v>455</v>
      </c>
      <c r="B4334" s="29">
        <v>32158.5213</v>
      </c>
      <c r="F4334" t="s">
        <v>455</v>
      </c>
      <c r="G4334">
        <v>2</v>
      </c>
    </row>
    <row r="4335" spans="1:7" x14ac:dyDescent="0.25">
      <c r="A4335" s="28" t="s">
        <v>1597</v>
      </c>
      <c r="B4335" s="29">
        <v>32158.5213</v>
      </c>
      <c r="F4335" t="s">
        <v>1597</v>
      </c>
      <c r="G4335">
        <v>2</v>
      </c>
    </row>
    <row r="4336" spans="1:7" hidden="1" x14ac:dyDescent="0.25">
      <c r="A4336" s="28" t="s">
        <v>2556</v>
      </c>
      <c r="B4336" s="29">
        <v>32158.5213</v>
      </c>
      <c r="F4336" t="s">
        <v>2556</v>
      </c>
      <c r="G4336">
        <v>1</v>
      </c>
    </row>
    <row r="4337" spans="1:7" x14ac:dyDescent="0.25">
      <c r="A4337" s="28" t="s">
        <v>366</v>
      </c>
      <c r="B4337" s="29">
        <v>25946.143</v>
      </c>
      <c r="F4337" t="s">
        <v>366</v>
      </c>
      <c r="G4337">
        <v>2</v>
      </c>
    </row>
    <row r="4338" spans="1:7" hidden="1" x14ac:dyDescent="0.25">
      <c r="A4338" s="28" t="s">
        <v>2342</v>
      </c>
      <c r="B4338" s="29">
        <v>32158.5213</v>
      </c>
      <c r="F4338" t="s">
        <v>2342</v>
      </c>
      <c r="G4338">
        <v>1</v>
      </c>
    </row>
    <row r="4339" spans="1:7" hidden="1" x14ac:dyDescent="0.25">
      <c r="A4339" s="28" t="s">
        <v>2947</v>
      </c>
      <c r="B4339" s="29">
        <v>32158.5213</v>
      </c>
      <c r="F4339" t="s">
        <v>2947</v>
      </c>
      <c r="G4339">
        <v>1</v>
      </c>
    </row>
    <row r="4340" spans="1:7" hidden="1" x14ac:dyDescent="0.25">
      <c r="A4340" s="28" t="s">
        <v>1836</v>
      </c>
      <c r="B4340" s="29">
        <v>26261.5317</v>
      </c>
      <c r="F4340" t="s">
        <v>1836</v>
      </c>
      <c r="G4340">
        <v>1</v>
      </c>
    </row>
    <row r="4341" spans="1:7" hidden="1" x14ac:dyDescent="0.25">
      <c r="A4341" s="28" t="s">
        <v>3000</v>
      </c>
      <c r="B4341" s="29">
        <v>32158.5213</v>
      </c>
      <c r="F4341" t="s">
        <v>3000</v>
      </c>
      <c r="G4341">
        <v>1</v>
      </c>
    </row>
    <row r="4342" spans="1:7" hidden="1" x14ac:dyDescent="0.25">
      <c r="A4342" s="28" t="s">
        <v>2870</v>
      </c>
      <c r="B4342" s="29">
        <v>32158.5213</v>
      </c>
      <c r="F4342" t="s">
        <v>2870</v>
      </c>
      <c r="G4342">
        <v>1</v>
      </c>
    </row>
    <row r="4343" spans="1:7" hidden="1" x14ac:dyDescent="0.25">
      <c r="A4343" s="28" t="s">
        <v>2792</v>
      </c>
      <c r="B4343" s="29">
        <v>32158.5213</v>
      </c>
      <c r="F4343" t="s">
        <v>2792</v>
      </c>
      <c r="G4343">
        <v>1</v>
      </c>
    </row>
    <row r="4344" spans="1:7" hidden="1" x14ac:dyDescent="0.25">
      <c r="A4344" s="28" t="s">
        <v>2501</v>
      </c>
      <c r="B4344" s="29">
        <v>32158.5213</v>
      </c>
      <c r="F4344" t="s">
        <v>2501</v>
      </c>
      <c r="G4344">
        <v>1</v>
      </c>
    </row>
    <row r="4345" spans="1:7" hidden="1" x14ac:dyDescent="0.25">
      <c r="A4345" s="28" t="s">
        <v>2562</v>
      </c>
      <c r="B4345" s="29">
        <v>32158.5213</v>
      </c>
      <c r="F4345" t="s">
        <v>2562</v>
      </c>
      <c r="G4345">
        <v>1</v>
      </c>
    </row>
    <row r="4346" spans="1:7" hidden="1" x14ac:dyDescent="0.25">
      <c r="A4346" s="28" t="s">
        <v>2593</v>
      </c>
      <c r="B4346" s="29">
        <v>25946.143</v>
      </c>
      <c r="F4346" t="s">
        <v>2593</v>
      </c>
      <c r="G4346">
        <v>1</v>
      </c>
    </row>
    <row r="4347" spans="1:7" hidden="1" x14ac:dyDescent="0.25">
      <c r="A4347" s="28" t="s">
        <v>2464</v>
      </c>
      <c r="B4347" s="29">
        <v>25946.143</v>
      </c>
      <c r="F4347" t="s">
        <v>2464</v>
      </c>
      <c r="G4347">
        <v>1</v>
      </c>
    </row>
    <row r="4348" spans="1:7" hidden="1" x14ac:dyDescent="0.25">
      <c r="A4348" s="28" t="s">
        <v>2812</v>
      </c>
      <c r="B4348" s="29">
        <v>32158.5213</v>
      </c>
      <c r="F4348" t="s">
        <v>2812</v>
      </c>
      <c r="G4348">
        <v>1</v>
      </c>
    </row>
    <row r="4349" spans="1:7" hidden="1" x14ac:dyDescent="0.25">
      <c r="A4349" s="28" t="s">
        <v>2049</v>
      </c>
      <c r="B4349" s="29">
        <v>32158.5213</v>
      </c>
      <c r="F4349" t="s">
        <v>2049</v>
      </c>
      <c r="G4349">
        <v>1</v>
      </c>
    </row>
    <row r="4350" spans="1:7" hidden="1" x14ac:dyDescent="0.25">
      <c r="A4350" s="28" t="s">
        <v>2519</v>
      </c>
      <c r="B4350" s="29">
        <v>32158.5213</v>
      </c>
      <c r="F4350" t="s">
        <v>2519</v>
      </c>
      <c r="G4350">
        <v>1</v>
      </c>
    </row>
    <row r="4351" spans="1:7" hidden="1" x14ac:dyDescent="0.25">
      <c r="A4351" s="28" t="s">
        <v>2803</v>
      </c>
      <c r="B4351" s="29">
        <v>32158.5213</v>
      </c>
      <c r="F4351" t="s">
        <v>2803</v>
      </c>
      <c r="G4351">
        <v>1</v>
      </c>
    </row>
    <row r="4352" spans="1:7" x14ac:dyDescent="0.25">
      <c r="A4352" s="28" t="s">
        <v>1613</v>
      </c>
      <c r="B4352" s="29">
        <v>32158.5213</v>
      </c>
      <c r="F4352" t="s">
        <v>1613</v>
      </c>
      <c r="G4352">
        <v>2</v>
      </c>
    </row>
    <row r="4353" spans="1:7" hidden="1" x14ac:dyDescent="0.25">
      <c r="A4353" s="28" t="s">
        <v>2281</v>
      </c>
      <c r="B4353" s="29">
        <v>32158.5213</v>
      </c>
      <c r="F4353" t="s">
        <v>2281</v>
      </c>
      <c r="G4353">
        <v>1</v>
      </c>
    </row>
    <row r="4354" spans="1:7" hidden="1" x14ac:dyDescent="0.25">
      <c r="A4354" s="28" t="s">
        <v>2297</v>
      </c>
      <c r="B4354" s="29">
        <v>32158.5213</v>
      </c>
      <c r="F4354" t="s">
        <v>2297</v>
      </c>
      <c r="G4354">
        <v>1</v>
      </c>
    </row>
    <row r="4355" spans="1:7" hidden="1" x14ac:dyDescent="0.25">
      <c r="A4355" s="28" t="s">
        <v>2729</v>
      </c>
      <c r="B4355" s="29">
        <v>32158.5213</v>
      </c>
      <c r="F4355" t="s">
        <v>2729</v>
      </c>
      <c r="G4355">
        <v>1</v>
      </c>
    </row>
    <row r="4356" spans="1:7" hidden="1" x14ac:dyDescent="0.25">
      <c r="A4356" s="28" t="s">
        <v>2953</v>
      </c>
      <c r="B4356" s="29">
        <v>32158.5213</v>
      </c>
      <c r="F4356" t="s">
        <v>2953</v>
      </c>
      <c r="G4356">
        <v>1</v>
      </c>
    </row>
    <row r="4357" spans="1:7" hidden="1" x14ac:dyDescent="0.25">
      <c r="A4357" s="28" t="s">
        <v>2310</v>
      </c>
      <c r="B4357" s="29">
        <v>32158.5213</v>
      </c>
      <c r="F4357" t="s">
        <v>2310</v>
      </c>
      <c r="G4357">
        <v>1</v>
      </c>
    </row>
    <row r="4358" spans="1:7" hidden="1" x14ac:dyDescent="0.25">
      <c r="A4358" s="28" t="s">
        <v>2628</v>
      </c>
      <c r="B4358" s="29">
        <v>32158.5213</v>
      </c>
      <c r="F4358" t="s">
        <v>2628</v>
      </c>
      <c r="G4358">
        <v>1</v>
      </c>
    </row>
    <row r="4359" spans="1:7" hidden="1" x14ac:dyDescent="0.25">
      <c r="A4359" s="28" t="s">
        <v>2758</v>
      </c>
      <c r="B4359" s="29">
        <v>25946.143</v>
      </c>
      <c r="F4359" t="s">
        <v>2758</v>
      </c>
      <c r="G4359">
        <v>1</v>
      </c>
    </row>
    <row r="4360" spans="1:7" x14ac:dyDescent="0.25">
      <c r="A4360" s="28" t="s">
        <v>149</v>
      </c>
      <c r="B4360" s="29">
        <v>32158.5213</v>
      </c>
      <c r="F4360" t="s">
        <v>149</v>
      </c>
      <c r="G4360">
        <v>2</v>
      </c>
    </row>
    <row r="4361" spans="1:7" hidden="1" x14ac:dyDescent="0.25">
      <c r="A4361" s="28" t="s">
        <v>2268</v>
      </c>
      <c r="B4361" s="29">
        <v>32158.5213</v>
      </c>
      <c r="F4361" t="s">
        <v>2268</v>
      </c>
      <c r="G4361">
        <v>1</v>
      </c>
    </row>
    <row r="4362" spans="1:7" x14ac:dyDescent="0.25">
      <c r="A4362" s="28" t="s">
        <v>970</v>
      </c>
      <c r="B4362" s="29">
        <v>33637.106500000002</v>
      </c>
      <c r="F4362" t="s">
        <v>970</v>
      </c>
      <c r="G4362">
        <v>2</v>
      </c>
    </row>
    <row r="4363" spans="1:7" hidden="1" x14ac:dyDescent="0.25">
      <c r="A4363" s="28" t="s">
        <v>2150</v>
      </c>
      <c r="B4363" s="29">
        <v>25946.143</v>
      </c>
      <c r="F4363" t="s">
        <v>2150</v>
      </c>
      <c r="G4363">
        <v>1</v>
      </c>
    </row>
    <row r="4364" spans="1:7" x14ac:dyDescent="0.25">
      <c r="A4364" s="28" t="s">
        <v>1522</v>
      </c>
      <c r="B4364" s="29">
        <v>25946.143</v>
      </c>
      <c r="F4364" t="s">
        <v>1522</v>
      </c>
      <c r="G4364">
        <v>2</v>
      </c>
    </row>
    <row r="4365" spans="1:7" hidden="1" x14ac:dyDescent="0.25">
      <c r="A4365" s="28" t="s">
        <v>2627</v>
      </c>
      <c r="B4365" s="29">
        <v>32158.5213</v>
      </c>
      <c r="F4365" t="s">
        <v>2627</v>
      </c>
      <c r="G4365">
        <v>1</v>
      </c>
    </row>
    <row r="4366" spans="1:7" hidden="1" x14ac:dyDescent="0.25">
      <c r="A4366" s="28" t="s">
        <v>2531</v>
      </c>
      <c r="B4366" s="29">
        <v>25946.143</v>
      </c>
      <c r="F4366" t="s">
        <v>2531</v>
      </c>
      <c r="G4366">
        <v>1</v>
      </c>
    </row>
    <row r="4367" spans="1:7" hidden="1" x14ac:dyDescent="0.25">
      <c r="A4367" s="28" t="s">
        <v>3178</v>
      </c>
      <c r="B4367" s="29">
        <v>25946.143</v>
      </c>
      <c r="F4367" t="s">
        <v>3178</v>
      </c>
      <c r="G4367">
        <v>1</v>
      </c>
    </row>
    <row r="4368" spans="1:7" hidden="1" x14ac:dyDescent="0.25">
      <c r="A4368" s="28" t="s">
        <v>2353</v>
      </c>
      <c r="B4368" s="29">
        <v>32158.5213</v>
      </c>
      <c r="F4368" t="s">
        <v>2353</v>
      </c>
      <c r="G4368">
        <v>1</v>
      </c>
    </row>
    <row r="4369" spans="1:7" hidden="1" x14ac:dyDescent="0.25">
      <c r="A4369" s="28" t="s">
        <v>2380</v>
      </c>
      <c r="B4369" s="29">
        <v>25946.143</v>
      </c>
      <c r="F4369" t="s">
        <v>2380</v>
      </c>
      <c r="G4369">
        <v>1</v>
      </c>
    </row>
    <row r="4370" spans="1:7" x14ac:dyDescent="0.25">
      <c r="A4370" s="28" t="s">
        <v>1276</v>
      </c>
      <c r="B4370" s="29">
        <v>25946.143</v>
      </c>
      <c r="F4370" t="s">
        <v>1276</v>
      </c>
      <c r="G4370">
        <v>2</v>
      </c>
    </row>
    <row r="4371" spans="1:7" hidden="1" x14ac:dyDescent="0.25">
      <c r="A4371" s="28" t="s">
        <v>1476</v>
      </c>
      <c r="B4371" s="29">
        <v>25946.143</v>
      </c>
      <c r="F4371" t="s">
        <v>1476</v>
      </c>
      <c r="G4371">
        <v>1</v>
      </c>
    </row>
    <row r="4372" spans="1:7" hidden="1" x14ac:dyDescent="0.25">
      <c r="A4372" s="28" t="s">
        <v>2591</v>
      </c>
      <c r="B4372" s="29">
        <v>25946.143</v>
      </c>
      <c r="F4372" t="s">
        <v>2591</v>
      </c>
      <c r="G4372">
        <v>1</v>
      </c>
    </row>
    <row r="4373" spans="1:7" hidden="1" x14ac:dyDescent="0.25">
      <c r="A4373" s="28" t="s">
        <v>2336</v>
      </c>
      <c r="B4373" s="29">
        <v>25946.143</v>
      </c>
      <c r="F4373" t="s">
        <v>2336</v>
      </c>
      <c r="G4373">
        <v>1</v>
      </c>
    </row>
    <row r="4374" spans="1:7" x14ac:dyDescent="0.25">
      <c r="A4374" s="28" t="s">
        <v>640</v>
      </c>
      <c r="B4374" s="29">
        <v>32158.5213</v>
      </c>
      <c r="F4374" t="s">
        <v>640</v>
      </c>
      <c r="G4374">
        <v>2</v>
      </c>
    </row>
    <row r="4375" spans="1:7" hidden="1" x14ac:dyDescent="0.25">
      <c r="A4375" s="28" t="s">
        <v>2721</v>
      </c>
      <c r="B4375" s="29">
        <v>25946.143</v>
      </c>
      <c r="F4375" t="s">
        <v>2721</v>
      </c>
      <c r="G4375">
        <v>1</v>
      </c>
    </row>
    <row r="4376" spans="1:7" hidden="1" x14ac:dyDescent="0.25">
      <c r="A4376" s="28" t="s">
        <v>2984</v>
      </c>
      <c r="B4376" s="29">
        <v>26261.5317</v>
      </c>
      <c r="F4376" t="s">
        <v>2984</v>
      </c>
      <c r="G4376">
        <v>1</v>
      </c>
    </row>
    <row r="4377" spans="1:7" hidden="1" x14ac:dyDescent="0.25">
      <c r="A4377" s="28" t="s">
        <v>2031</v>
      </c>
      <c r="B4377" s="29">
        <v>31984.905299999999</v>
      </c>
      <c r="F4377" t="s">
        <v>2031</v>
      </c>
      <c r="G4377">
        <v>1</v>
      </c>
    </row>
    <row r="4378" spans="1:7" hidden="1" x14ac:dyDescent="0.25">
      <c r="A4378" s="28" t="s">
        <v>2403</v>
      </c>
      <c r="B4378" s="29">
        <v>25946.143</v>
      </c>
      <c r="F4378" t="s">
        <v>2403</v>
      </c>
      <c r="G4378">
        <v>1</v>
      </c>
    </row>
    <row r="4379" spans="1:7" x14ac:dyDescent="0.25">
      <c r="A4379" s="28" t="s">
        <v>874</v>
      </c>
      <c r="B4379" s="29">
        <v>25946.143</v>
      </c>
      <c r="F4379" t="s">
        <v>874</v>
      </c>
      <c r="G4379">
        <v>2</v>
      </c>
    </row>
    <row r="4380" spans="1:7" hidden="1" x14ac:dyDescent="0.25">
      <c r="A4380" s="28" t="s">
        <v>2661</v>
      </c>
      <c r="B4380" s="29">
        <v>31984.905299999999</v>
      </c>
      <c r="F4380" t="s">
        <v>2661</v>
      </c>
      <c r="G4380">
        <v>1</v>
      </c>
    </row>
    <row r="4381" spans="1:7" hidden="1" x14ac:dyDescent="0.25">
      <c r="A4381" s="28" t="s">
        <v>1985</v>
      </c>
      <c r="B4381" s="29">
        <v>25946.143</v>
      </c>
      <c r="F4381" t="s">
        <v>1985</v>
      </c>
      <c r="G4381">
        <v>1</v>
      </c>
    </row>
    <row r="4382" spans="1:7" x14ac:dyDescent="0.25">
      <c r="A4382" s="28" t="s">
        <v>941</v>
      </c>
      <c r="B4382" s="29">
        <v>26261.5317</v>
      </c>
      <c r="F4382" t="s">
        <v>941</v>
      </c>
      <c r="G4382">
        <v>2</v>
      </c>
    </row>
    <row r="4383" spans="1:7" hidden="1" x14ac:dyDescent="0.25">
      <c r="A4383" s="28" t="s">
        <v>1924</v>
      </c>
      <c r="B4383" s="29">
        <v>26261.5317</v>
      </c>
      <c r="F4383" t="s">
        <v>1924</v>
      </c>
      <c r="G4383">
        <v>1</v>
      </c>
    </row>
    <row r="4384" spans="1:7" x14ac:dyDescent="0.25">
      <c r="A4384" s="28" t="s">
        <v>1325</v>
      </c>
      <c r="B4384" s="29">
        <v>31984.905299999999</v>
      </c>
      <c r="F4384" t="s">
        <v>1325</v>
      </c>
      <c r="G4384">
        <v>2</v>
      </c>
    </row>
    <row r="4385" spans="1:7" x14ac:dyDescent="0.25">
      <c r="A4385" s="28" t="s">
        <v>511</v>
      </c>
      <c r="B4385" s="29">
        <v>31984.905299999999</v>
      </c>
      <c r="F4385" t="s">
        <v>511</v>
      </c>
      <c r="G4385">
        <v>2</v>
      </c>
    </row>
    <row r="4386" spans="1:7" hidden="1" x14ac:dyDescent="0.25">
      <c r="A4386" s="28" t="s">
        <v>2611</v>
      </c>
      <c r="B4386" s="29">
        <v>25946.143</v>
      </c>
      <c r="F4386" t="s">
        <v>2611</v>
      </c>
      <c r="G4386">
        <v>1</v>
      </c>
    </row>
    <row r="4387" spans="1:7" hidden="1" x14ac:dyDescent="0.25">
      <c r="A4387" s="28" t="s">
        <v>2845</v>
      </c>
      <c r="B4387" s="29">
        <v>26261.5317</v>
      </c>
      <c r="F4387" t="s">
        <v>2845</v>
      </c>
      <c r="G4387">
        <v>1</v>
      </c>
    </row>
    <row r="4388" spans="1:7" hidden="1" x14ac:dyDescent="0.25">
      <c r="A4388" s="28" t="s">
        <v>2606</v>
      </c>
      <c r="B4388" s="29">
        <v>31984.905299999999</v>
      </c>
      <c r="F4388" t="s">
        <v>2606</v>
      </c>
      <c r="G4388">
        <v>1</v>
      </c>
    </row>
    <row r="4389" spans="1:7" x14ac:dyDescent="0.25">
      <c r="A4389" s="28" t="s">
        <v>240</v>
      </c>
      <c r="B4389" s="29">
        <v>25946.143</v>
      </c>
      <c r="F4389" t="s">
        <v>240</v>
      </c>
      <c r="G4389">
        <v>2</v>
      </c>
    </row>
    <row r="4390" spans="1:7" x14ac:dyDescent="0.25">
      <c r="A4390" s="28" t="s">
        <v>241</v>
      </c>
      <c r="B4390" s="29">
        <v>26261.5317</v>
      </c>
      <c r="F4390" t="s">
        <v>241</v>
      </c>
      <c r="G4390">
        <v>2</v>
      </c>
    </row>
    <row r="4391" spans="1:7" hidden="1" x14ac:dyDescent="0.25">
      <c r="A4391" s="28" t="s">
        <v>2565</v>
      </c>
      <c r="B4391" s="29">
        <v>31984.905299999999</v>
      </c>
      <c r="F4391" t="s">
        <v>2565</v>
      </c>
      <c r="G4391">
        <v>1</v>
      </c>
    </row>
    <row r="4392" spans="1:7" hidden="1" x14ac:dyDescent="0.25">
      <c r="A4392" s="28" t="s">
        <v>2645</v>
      </c>
      <c r="B4392" s="29">
        <v>32158.5213</v>
      </c>
      <c r="F4392" t="s">
        <v>2645</v>
      </c>
      <c r="G4392">
        <v>1</v>
      </c>
    </row>
    <row r="4393" spans="1:7" hidden="1" x14ac:dyDescent="0.25">
      <c r="A4393" s="28" t="s">
        <v>2882</v>
      </c>
      <c r="B4393" s="29">
        <v>33637.106500000002</v>
      </c>
      <c r="F4393" t="s">
        <v>2882</v>
      </c>
      <c r="G4393">
        <v>1</v>
      </c>
    </row>
    <row r="4394" spans="1:7" hidden="1" x14ac:dyDescent="0.25">
      <c r="A4394" s="28" t="s">
        <v>2874</v>
      </c>
      <c r="B4394" s="29">
        <v>25946.143</v>
      </c>
      <c r="F4394" t="s">
        <v>2874</v>
      </c>
      <c r="G4394">
        <v>1</v>
      </c>
    </row>
    <row r="4395" spans="1:7" hidden="1" x14ac:dyDescent="0.25">
      <c r="A4395" s="28" t="s">
        <v>2168</v>
      </c>
      <c r="B4395" s="29">
        <v>26261.5317</v>
      </c>
      <c r="F4395" t="s">
        <v>2168</v>
      </c>
      <c r="G4395">
        <v>1</v>
      </c>
    </row>
    <row r="4396" spans="1:7" x14ac:dyDescent="0.25">
      <c r="A4396" s="28" t="s">
        <v>641</v>
      </c>
      <c r="B4396" s="29">
        <v>25946.143</v>
      </c>
      <c r="F4396" t="s">
        <v>641</v>
      </c>
      <c r="G4396">
        <v>2</v>
      </c>
    </row>
    <row r="4397" spans="1:7" x14ac:dyDescent="0.25">
      <c r="A4397" s="28" t="s">
        <v>1361</v>
      </c>
      <c r="B4397" s="29">
        <v>31984.905299999999</v>
      </c>
      <c r="F4397" t="s">
        <v>1361</v>
      </c>
      <c r="G4397">
        <v>2</v>
      </c>
    </row>
    <row r="4398" spans="1:7" hidden="1" x14ac:dyDescent="0.25">
      <c r="A4398" s="28" t="s">
        <v>3020</v>
      </c>
      <c r="B4398" s="29">
        <v>26261.5317</v>
      </c>
      <c r="F4398" t="s">
        <v>3020</v>
      </c>
      <c r="G4398">
        <v>1</v>
      </c>
    </row>
    <row r="4399" spans="1:7" hidden="1" x14ac:dyDescent="0.25">
      <c r="A4399" s="28" t="s">
        <v>2484</v>
      </c>
      <c r="B4399" s="29">
        <v>35661.364300000001</v>
      </c>
      <c r="F4399" t="s">
        <v>2484</v>
      </c>
      <c r="G4399">
        <v>1</v>
      </c>
    </row>
    <row r="4400" spans="1:7" hidden="1" x14ac:dyDescent="0.25">
      <c r="A4400" s="28" t="s">
        <v>536</v>
      </c>
      <c r="B4400" s="29">
        <v>32052.276999999998</v>
      </c>
      <c r="F4400" t="s">
        <v>536</v>
      </c>
      <c r="G4400">
        <v>1</v>
      </c>
    </row>
    <row r="4401" spans="1:7" hidden="1" x14ac:dyDescent="0.25">
      <c r="A4401" s="28" t="s">
        <v>849</v>
      </c>
      <c r="B4401" s="29">
        <v>20837.465199999999</v>
      </c>
      <c r="F4401" t="s">
        <v>849</v>
      </c>
      <c r="G4401">
        <v>1</v>
      </c>
    </row>
    <row r="4402" spans="1:7" hidden="1" x14ac:dyDescent="0.25">
      <c r="A4402" s="28" t="s">
        <v>945</v>
      </c>
      <c r="B4402" s="29">
        <v>20837.465199999999</v>
      </c>
      <c r="F4402" t="s">
        <v>945</v>
      </c>
      <c r="G4402">
        <v>1</v>
      </c>
    </row>
    <row r="4403" spans="1:7" hidden="1" x14ac:dyDescent="0.25">
      <c r="A4403" s="28" t="s">
        <v>541</v>
      </c>
      <c r="B4403" s="29">
        <v>20837.465199999999</v>
      </c>
      <c r="F4403" t="s">
        <v>541</v>
      </c>
      <c r="G4403">
        <v>1</v>
      </c>
    </row>
    <row r="4404" spans="1:7" hidden="1" x14ac:dyDescent="0.25">
      <c r="A4404" s="28" t="s">
        <v>1841</v>
      </c>
      <c r="B4404" s="29">
        <v>26241.207699999999</v>
      </c>
      <c r="F4404" t="s">
        <v>1841</v>
      </c>
      <c r="G4404">
        <v>1</v>
      </c>
    </row>
    <row r="4405" spans="1:7" hidden="1" x14ac:dyDescent="0.25">
      <c r="A4405" s="28" t="s">
        <v>2054</v>
      </c>
      <c r="B4405" s="29">
        <v>26241.207699999999</v>
      </c>
      <c r="F4405" t="s">
        <v>2054</v>
      </c>
      <c r="G4405">
        <v>1</v>
      </c>
    </row>
    <row r="4406" spans="1:7" hidden="1" x14ac:dyDescent="0.25">
      <c r="A4406" s="28" t="s">
        <v>1807</v>
      </c>
      <c r="B4406" s="29">
        <v>26241.207699999999</v>
      </c>
      <c r="F4406" t="s">
        <v>1807</v>
      </c>
      <c r="G4406">
        <v>1</v>
      </c>
    </row>
    <row r="4407" spans="1:7" hidden="1" x14ac:dyDescent="0.25">
      <c r="A4407" s="28" t="s">
        <v>2275</v>
      </c>
      <c r="B4407" s="29">
        <v>26241.207699999999</v>
      </c>
      <c r="F4407" t="s">
        <v>2275</v>
      </c>
      <c r="G4407">
        <v>1</v>
      </c>
    </row>
    <row r="4408" spans="1:7" hidden="1" x14ac:dyDescent="0.25">
      <c r="A4408" s="28" t="s">
        <v>2131</v>
      </c>
      <c r="B4408" s="29">
        <v>26241.207699999999</v>
      </c>
      <c r="F4408" t="s">
        <v>2131</v>
      </c>
      <c r="G4408">
        <v>1</v>
      </c>
    </row>
    <row r="4409" spans="1:7" hidden="1" x14ac:dyDescent="0.25">
      <c r="A4409" s="28" t="s">
        <v>2292</v>
      </c>
      <c r="B4409" s="29">
        <v>26241.207699999999</v>
      </c>
      <c r="F4409" t="s">
        <v>2292</v>
      </c>
      <c r="G4409">
        <v>1</v>
      </c>
    </row>
    <row r="4410" spans="1:7" hidden="1" x14ac:dyDescent="0.25">
      <c r="A4410" s="28" t="s">
        <v>2341</v>
      </c>
      <c r="B4410" s="29">
        <v>26241.207699999999</v>
      </c>
      <c r="F4410" t="s">
        <v>2341</v>
      </c>
      <c r="G4410">
        <v>1</v>
      </c>
    </row>
    <row r="4411" spans="1:7" hidden="1" x14ac:dyDescent="0.25">
      <c r="A4411" s="28" t="s">
        <v>2188</v>
      </c>
      <c r="B4411" s="29">
        <v>26241.207699999999</v>
      </c>
      <c r="F4411" t="s">
        <v>2188</v>
      </c>
      <c r="G4411">
        <v>1</v>
      </c>
    </row>
    <row r="4412" spans="1:7" hidden="1" x14ac:dyDescent="0.25">
      <c r="A4412" s="28" t="s">
        <v>1970</v>
      </c>
      <c r="B4412" s="29">
        <v>26241.207699999999</v>
      </c>
      <c r="F4412" t="s">
        <v>1970</v>
      </c>
      <c r="G4412">
        <v>1</v>
      </c>
    </row>
    <row r="4413" spans="1:7" x14ac:dyDescent="0.25">
      <c r="A4413" s="28" t="s">
        <v>42</v>
      </c>
      <c r="B4413" s="29">
        <v>26853.405500000001</v>
      </c>
      <c r="F4413" t="s">
        <v>42</v>
      </c>
      <c r="G4413">
        <v>2</v>
      </c>
    </row>
    <row r="4414" spans="1:7" hidden="1" x14ac:dyDescent="0.25">
      <c r="A4414" s="28" t="s">
        <v>2185</v>
      </c>
      <c r="B4414" s="29">
        <v>26853.405500000001</v>
      </c>
      <c r="F4414" t="s">
        <v>2185</v>
      </c>
      <c r="G4414">
        <v>1</v>
      </c>
    </row>
    <row r="4415" spans="1:7" hidden="1" x14ac:dyDescent="0.25">
      <c r="A4415" s="28" t="s">
        <v>2362</v>
      </c>
      <c r="B4415" s="29">
        <v>26853.405500000001</v>
      </c>
      <c r="F4415" t="s">
        <v>2362</v>
      </c>
      <c r="G4415">
        <v>1</v>
      </c>
    </row>
    <row r="4416" spans="1:7" hidden="1" x14ac:dyDescent="0.25">
      <c r="A4416" s="28" t="s">
        <v>2073</v>
      </c>
      <c r="B4416" s="29">
        <v>26241.207699999999</v>
      </c>
      <c r="F4416" t="s">
        <v>2073</v>
      </c>
      <c r="G4416">
        <v>1</v>
      </c>
    </row>
    <row r="4417" spans="1:7" hidden="1" x14ac:dyDescent="0.25">
      <c r="A4417" s="28" t="s">
        <v>1823</v>
      </c>
      <c r="B4417" s="29">
        <v>26241.207699999999</v>
      </c>
      <c r="F4417" t="s">
        <v>1823</v>
      </c>
      <c r="G4417">
        <v>1</v>
      </c>
    </row>
    <row r="4418" spans="1:7" hidden="1" x14ac:dyDescent="0.25">
      <c r="A4418" s="28" t="s">
        <v>2097</v>
      </c>
      <c r="B4418" s="29">
        <v>32052.276999999998</v>
      </c>
      <c r="F4418" t="s">
        <v>2097</v>
      </c>
      <c r="G4418">
        <v>1</v>
      </c>
    </row>
    <row r="4419" spans="1:7" hidden="1" x14ac:dyDescent="0.25">
      <c r="A4419" s="28" t="s">
        <v>2382</v>
      </c>
      <c r="B4419" s="29">
        <v>29866.3148</v>
      </c>
      <c r="F4419" t="s">
        <v>2382</v>
      </c>
      <c r="G4419">
        <v>1</v>
      </c>
    </row>
    <row r="4420" spans="1:7" x14ac:dyDescent="0.25">
      <c r="A4420" s="28" t="s">
        <v>501</v>
      </c>
      <c r="B4420" s="29">
        <v>29866.3148</v>
      </c>
      <c r="F4420" t="s">
        <v>501</v>
      </c>
      <c r="G4420">
        <v>2</v>
      </c>
    </row>
    <row r="4421" spans="1:7" x14ac:dyDescent="0.25">
      <c r="A4421" s="28" t="s">
        <v>1304</v>
      </c>
      <c r="B4421" s="29">
        <v>26241.207699999999</v>
      </c>
      <c r="F4421" t="s">
        <v>1304</v>
      </c>
      <c r="G4421">
        <v>2</v>
      </c>
    </row>
    <row r="4422" spans="1:7" hidden="1" x14ac:dyDescent="0.25">
      <c r="A4422" s="28" t="s">
        <v>2386</v>
      </c>
      <c r="B4422" s="29">
        <v>26241.207699999999</v>
      </c>
      <c r="F4422" t="s">
        <v>2386</v>
      </c>
      <c r="G4422">
        <v>1</v>
      </c>
    </row>
    <row r="4423" spans="1:7" hidden="1" x14ac:dyDescent="0.25">
      <c r="A4423" s="28" t="s">
        <v>1797</v>
      </c>
      <c r="B4423" s="29">
        <v>26241.207699999999</v>
      </c>
      <c r="F4423" t="s">
        <v>1797</v>
      </c>
      <c r="G4423">
        <v>1</v>
      </c>
    </row>
    <row r="4424" spans="1:7" hidden="1" x14ac:dyDescent="0.25">
      <c r="A4424" s="28" t="s">
        <v>2377</v>
      </c>
      <c r="B4424" s="29">
        <v>26241.207699999999</v>
      </c>
      <c r="F4424" t="s">
        <v>2377</v>
      </c>
      <c r="G4424">
        <v>1</v>
      </c>
    </row>
    <row r="4425" spans="1:7" hidden="1" x14ac:dyDescent="0.25">
      <c r="A4425" s="28" t="s">
        <v>2226</v>
      </c>
      <c r="B4425" s="29">
        <v>26241.207699999999</v>
      </c>
      <c r="F4425" t="s">
        <v>2226</v>
      </c>
      <c r="G4425">
        <v>1</v>
      </c>
    </row>
    <row r="4426" spans="1:7" hidden="1" x14ac:dyDescent="0.25">
      <c r="A4426" s="28" t="s">
        <v>2274</v>
      </c>
      <c r="B4426" s="29">
        <v>26241.207699999999</v>
      </c>
      <c r="F4426" t="s">
        <v>2274</v>
      </c>
      <c r="G4426">
        <v>1</v>
      </c>
    </row>
    <row r="4427" spans="1:7" hidden="1" x14ac:dyDescent="0.25">
      <c r="A4427" s="28" t="s">
        <v>2205</v>
      </c>
      <c r="B4427" s="29">
        <v>29866.3148</v>
      </c>
      <c r="F4427" t="s">
        <v>2205</v>
      </c>
      <c r="G4427">
        <v>1</v>
      </c>
    </row>
    <row r="4428" spans="1:7" x14ac:dyDescent="0.25">
      <c r="A4428" s="28" t="s">
        <v>854</v>
      </c>
      <c r="B4428" s="29">
        <v>29866.3148</v>
      </c>
      <c r="F4428" t="s">
        <v>854</v>
      </c>
      <c r="G4428">
        <v>2</v>
      </c>
    </row>
    <row r="4429" spans="1:7" hidden="1" x14ac:dyDescent="0.25">
      <c r="A4429" s="28" t="s">
        <v>1843</v>
      </c>
      <c r="B4429" s="29">
        <v>29866.3148</v>
      </c>
      <c r="F4429" t="s">
        <v>1843</v>
      </c>
      <c r="G4429">
        <v>1</v>
      </c>
    </row>
    <row r="4430" spans="1:7" x14ac:dyDescent="0.25">
      <c r="A4430" s="28" t="s">
        <v>954</v>
      </c>
      <c r="B4430" s="29">
        <v>29866.3148</v>
      </c>
      <c r="F4430" t="s">
        <v>954</v>
      </c>
      <c r="G4430">
        <v>2</v>
      </c>
    </row>
    <row r="4431" spans="1:7" x14ac:dyDescent="0.25">
      <c r="A4431" s="28" t="s">
        <v>1209</v>
      </c>
      <c r="B4431" s="29">
        <v>29866.3148</v>
      </c>
      <c r="F4431" t="s">
        <v>1209</v>
      </c>
      <c r="G4431">
        <v>2</v>
      </c>
    </row>
    <row r="4432" spans="1:7" hidden="1" x14ac:dyDescent="0.25">
      <c r="A4432" s="28" t="s">
        <v>2109</v>
      </c>
      <c r="B4432" s="29">
        <v>29866.3148</v>
      </c>
      <c r="F4432" t="s">
        <v>2109</v>
      </c>
      <c r="G4432">
        <v>1</v>
      </c>
    </row>
    <row r="4433" spans="1:7" hidden="1" x14ac:dyDescent="0.25">
      <c r="A4433" s="28" t="s">
        <v>1940</v>
      </c>
      <c r="B4433" s="29">
        <v>29866.3148</v>
      </c>
      <c r="F4433" t="s">
        <v>1940</v>
      </c>
      <c r="G4433">
        <v>1</v>
      </c>
    </row>
    <row r="4434" spans="1:7" hidden="1" x14ac:dyDescent="0.25">
      <c r="A4434" s="28" t="s">
        <v>2392</v>
      </c>
      <c r="B4434" s="29">
        <v>29866.3148</v>
      </c>
      <c r="F4434" t="s">
        <v>2392</v>
      </c>
      <c r="G4434">
        <v>1</v>
      </c>
    </row>
    <row r="4435" spans="1:7" hidden="1" x14ac:dyDescent="0.25">
      <c r="A4435" s="28" t="s">
        <v>2138</v>
      </c>
      <c r="B4435" s="29">
        <v>29866.3148</v>
      </c>
      <c r="F4435" t="s">
        <v>2138</v>
      </c>
      <c r="G4435">
        <v>1</v>
      </c>
    </row>
    <row r="4436" spans="1:7" hidden="1" x14ac:dyDescent="0.25">
      <c r="A4436" s="28" t="s">
        <v>2363</v>
      </c>
      <c r="B4436" s="29">
        <v>26241.207699999999</v>
      </c>
      <c r="F4436" t="s">
        <v>2363</v>
      </c>
      <c r="G4436">
        <v>1</v>
      </c>
    </row>
    <row r="4437" spans="1:7" hidden="1" x14ac:dyDescent="0.25">
      <c r="A4437" s="28" t="s">
        <v>2100</v>
      </c>
      <c r="B4437" s="29">
        <v>26241.207699999999</v>
      </c>
      <c r="F4437" t="s">
        <v>2100</v>
      </c>
      <c r="G4437">
        <v>1</v>
      </c>
    </row>
    <row r="4438" spans="1:7" x14ac:dyDescent="0.25">
      <c r="A4438" s="28" t="s">
        <v>430</v>
      </c>
      <c r="B4438" s="29">
        <v>32052.276999999998</v>
      </c>
      <c r="F4438" t="s">
        <v>430</v>
      </c>
      <c r="G4438">
        <v>2</v>
      </c>
    </row>
    <row r="4439" spans="1:7" x14ac:dyDescent="0.25">
      <c r="A4439" s="28" t="s">
        <v>163</v>
      </c>
      <c r="B4439" s="29">
        <v>32052.276999999998</v>
      </c>
      <c r="F4439" t="s">
        <v>163</v>
      </c>
      <c r="G4439">
        <v>2</v>
      </c>
    </row>
    <row r="4440" spans="1:7" x14ac:dyDescent="0.25">
      <c r="A4440" s="28" t="s">
        <v>386</v>
      </c>
      <c r="B4440" s="29">
        <v>32052.276999999998</v>
      </c>
      <c r="F4440" t="s">
        <v>386</v>
      </c>
      <c r="G4440">
        <v>2</v>
      </c>
    </row>
    <row r="4441" spans="1:7" x14ac:dyDescent="0.25">
      <c r="A4441" s="28" t="s">
        <v>1427</v>
      </c>
      <c r="B4441" s="29">
        <v>32052.276999999998</v>
      </c>
      <c r="F4441" t="s">
        <v>1427</v>
      </c>
      <c r="G4441">
        <v>2</v>
      </c>
    </row>
    <row r="4442" spans="1:7" x14ac:dyDescent="0.25">
      <c r="A4442" s="28" t="s">
        <v>773</v>
      </c>
      <c r="B4442" s="29">
        <v>32052.276999999998</v>
      </c>
      <c r="F4442" t="s">
        <v>773</v>
      </c>
      <c r="G4442">
        <v>2</v>
      </c>
    </row>
    <row r="4443" spans="1:7" x14ac:dyDescent="0.25">
      <c r="A4443" s="28" t="s">
        <v>540</v>
      </c>
      <c r="B4443" s="29">
        <v>32052.276999999998</v>
      </c>
      <c r="F4443" t="s">
        <v>540</v>
      </c>
      <c r="G4443">
        <v>2</v>
      </c>
    </row>
    <row r="4444" spans="1:7" x14ac:dyDescent="0.25">
      <c r="A4444" s="28" t="s">
        <v>43</v>
      </c>
      <c r="B4444" s="29">
        <v>32052.276999999998</v>
      </c>
      <c r="F4444" t="s">
        <v>43</v>
      </c>
      <c r="G4444">
        <v>2</v>
      </c>
    </row>
    <row r="4445" spans="1:7" x14ac:dyDescent="0.25">
      <c r="A4445" s="28" t="s">
        <v>487</v>
      </c>
      <c r="B4445" s="29">
        <v>32052.276999999998</v>
      </c>
      <c r="F4445" t="s">
        <v>487</v>
      </c>
      <c r="G4445">
        <v>2</v>
      </c>
    </row>
    <row r="4446" spans="1:7" x14ac:dyDescent="0.25">
      <c r="A4446" s="28" t="s">
        <v>804</v>
      </c>
      <c r="B4446" s="29">
        <v>32052.276999999998</v>
      </c>
      <c r="F4446" t="s">
        <v>804</v>
      </c>
      <c r="G4446">
        <v>2</v>
      </c>
    </row>
    <row r="4447" spans="1:7" x14ac:dyDescent="0.25">
      <c r="A4447" s="28" t="s">
        <v>805</v>
      </c>
      <c r="B4447" s="29">
        <v>32052.276999999998</v>
      </c>
      <c r="F4447" t="s">
        <v>805</v>
      </c>
      <c r="G4447">
        <v>2</v>
      </c>
    </row>
    <row r="4448" spans="1:7" x14ac:dyDescent="0.25">
      <c r="A4448" s="28" t="s">
        <v>26</v>
      </c>
      <c r="B4448" s="29">
        <v>32052.276999999998</v>
      </c>
      <c r="F4448" t="s">
        <v>26</v>
      </c>
      <c r="G4448">
        <v>2</v>
      </c>
    </row>
    <row r="4449" spans="1:7" x14ac:dyDescent="0.25">
      <c r="A4449" s="28" t="s">
        <v>106</v>
      </c>
      <c r="B4449" s="29">
        <v>32052.276999999998</v>
      </c>
      <c r="F4449" t="s">
        <v>106</v>
      </c>
      <c r="G4449">
        <v>2</v>
      </c>
    </row>
    <row r="4450" spans="1:7" x14ac:dyDescent="0.25">
      <c r="A4450" s="28" t="s">
        <v>801</v>
      </c>
      <c r="B4450" s="29">
        <v>32052.276999999998</v>
      </c>
      <c r="F4450" t="s">
        <v>801</v>
      </c>
      <c r="G4450">
        <v>2</v>
      </c>
    </row>
    <row r="4451" spans="1:7" x14ac:dyDescent="0.25">
      <c r="A4451" s="28" t="s">
        <v>306</v>
      </c>
      <c r="B4451" s="29">
        <v>32052.276999999998</v>
      </c>
      <c r="F4451" t="s">
        <v>306</v>
      </c>
      <c r="G4451">
        <v>2</v>
      </c>
    </row>
    <row r="4452" spans="1:7" x14ac:dyDescent="0.25">
      <c r="A4452" s="28" t="s">
        <v>37</v>
      </c>
      <c r="B4452" s="29">
        <v>32052.276999999998</v>
      </c>
      <c r="F4452" t="s">
        <v>37</v>
      </c>
      <c r="G4452">
        <v>2</v>
      </c>
    </row>
    <row r="4453" spans="1:7" x14ac:dyDescent="0.25">
      <c r="A4453" s="28" t="s">
        <v>160</v>
      </c>
      <c r="B4453" s="29">
        <v>32052.276999999998</v>
      </c>
      <c r="F4453" t="s">
        <v>160</v>
      </c>
      <c r="G4453">
        <v>2</v>
      </c>
    </row>
    <row r="4454" spans="1:7" x14ac:dyDescent="0.25">
      <c r="A4454" s="28" t="s">
        <v>161</v>
      </c>
      <c r="B4454" s="29">
        <v>32052.276999999998</v>
      </c>
      <c r="F4454" t="s">
        <v>161</v>
      </c>
      <c r="G4454">
        <v>2</v>
      </c>
    </row>
    <row r="4455" spans="1:7" hidden="1" x14ac:dyDescent="0.25">
      <c r="A4455" s="28" t="s">
        <v>1941</v>
      </c>
      <c r="B4455" s="29">
        <v>32052.276999999998</v>
      </c>
      <c r="F4455" t="s">
        <v>1941</v>
      </c>
      <c r="G4455">
        <v>1</v>
      </c>
    </row>
    <row r="4456" spans="1:7" x14ac:dyDescent="0.25">
      <c r="A4456" s="28" t="s">
        <v>175</v>
      </c>
      <c r="B4456" s="29">
        <v>32052.276999999998</v>
      </c>
      <c r="F4456" t="s">
        <v>175</v>
      </c>
      <c r="G4456">
        <v>2</v>
      </c>
    </row>
    <row r="4457" spans="1:7" hidden="1" x14ac:dyDescent="0.25">
      <c r="A4457" s="28" t="s">
        <v>2447</v>
      </c>
      <c r="B4457" s="29">
        <v>32052.276999999998</v>
      </c>
      <c r="F4457" t="s">
        <v>2447</v>
      </c>
      <c r="G4457">
        <v>1</v>
      </c>
    </row>
    <row r="4458" spans="1:7" hidden="1" x14ac:dyDescent="0.25">
      <c r="A4458" s="28" t="s">
        <v>1951</v>
      </c>
      <c r="B4458" s="29">
        <v>32052.276999999998</v>
      </c>
      <c r="F4458" t="s">
        <v>1951</v>
      </c>
      <c r="G4458">
        <v>1</v>
      </c>
    </row>
    <row r="4459" spans="1:7" x14ac:dyDescent="0.25">
      <c r="A4459" s="28" t="s">
        <v>281</v>
      </c>
      <c r="B4459" s="29">
        <v>61187.814749999998</v>
      </c>
      <c r="F4459" t="s">
        <v>281</v>
      </c>
      <c r="G4459">
        <v>2</v>
      </c>
    </row>
    <row r="4460" spans="1:7" x14ac:dyDescent="0.25">
      <c r="A4460" s="28" t="s">
        <v>200</v>
      </c>
      <c r="B4460" s="29">
        <v>61187.814749999998</v>
      </c>
      <c r="F4460" t="s">
        <v>200</v>
      </c>
      <c r="G4460">
        <v>2</v>
      </c>
    </row>
    <row r="4461" spans="1:7" x14ac:dyDescent="0.25">
      <c r="A4461" s="28" t="s">
        <v>157</v>
      </c>
      <c r="B4461" s="29">
        <v>61187.814749999998</v>
      </c>
      <c r="F4461" t="s">
        <v>157</v>
      </c>
      <c r="G4461">
        <v>2</v>
      </c>
    </row>
    <row r="4462" spans="1:7" x14ac:dyDescent="0.25">
      <c r="A4462" s="28" t="s">
        <v>348</v>
      </c>
      <c r="B4462" s="29">
        <v>61187.814749999998</v>
      </c>
      <c r="F4462" t="s">
        <v>348</v>
      </c>
      <c r="G4462">
        <v>2</v>
      </c>
    </row>
    <row r="4463" spans="1:7" x14ac:dyDescent="0.25">
      <c r="A4463" s="28" t="s">
        <v>319</v>
      </c>
      <c r="B4463" s="29">
        <v>61187.814749999998</v>
      </c>
      <c r="F4463" t="s">
        <v>319</v>
      </c>
      <c r="G4463">
        <v>2</v>
      </c>
    </row>
    <row r="4464" spans="1:7" x14ac:dyDescent="0.25">
      <c r="A4464" s="28" t="s">
        <v>308</v>
      </c>
      <c r="B4464" s="29">
        <v>61187.814749999998</v>
      </c>
      <c r="F4464" t="s">
        <v>308</v>
      </c>
      <c r="G4464">
        <v>2</v>
      </c>
    </row>
    <row r="4465" spans="1:7" x14ac:dyDescent="0.25">
      <c r="A4465" s="28" t="s">
        <v>358</v>
      </c>
      <c r="B4465" s="29">
        <v>61187.814749999998</v>
      </c>
      <c r="F4465" t="s">
        <v>358</v>
      </c>
      <c r="G4465">
        <v>2</v>
      </c>
    </row>
    <row r="4466" spans="1:7" x14ac:dyDescent="0.25">
      <c r="A4466" s="28" t="s">
        <v>107</v>
      </c>
      <c r="B4466" s="29">
        <v>61187.814749999998</v>
      </c>
      <c r="F4466" t="s">
        <v>107</v>
      </c>
      <c r="G4466">
        <v>2</v>
      </c>
    </row>
    <row r="4467" spans="1:7" hidden="1" x14ac:dyDescent="0.25">
      <c r="A4467" s="28" t="s">
        <v>2118</v>
      </c>
      <c r="B4467" s="29">
        <v>82454.509999999995</v>
      </c>
      <c r="F4467" t="s">
        <v>2118</v>
      </c>
      <c r="G4467">
        <v>1</v>
      </c>
    </row>
    <row r="4468" spans="1:7" x14ac:dyDescent="0.25">
      <c r="A4468" s="28" t="s">
        <v>391</v>
      </c>
      <c r="B4468" s="29">
        <v>61187.814749999998</v>
      </c>
      <c r="F4468" t="s">
        <v>391</v>
      </c>
      <c r="G4468">
        <v>2</v>
      </c>
    </row>
    <row r="4469" spans="1:7" x14ac:dyDescent="0.25">
      <c r="A4469" s="28" t="s">
        <v>1327</v>
      </c>
      <c r="B4469" s="29">
        <v>61187.814749999998</v>
      </c>
      <c r="F4469" t="s">
        <v>1327</v>
      </c>
      <c r="G4469">
        <v>2</v>
      </c>
    </row>
    <row r="4470" spans="1:7" x14ac:dyDescent="0.25">
      <c r="A4470" s="28" t="s">
        <v>719</v>
      </c>
      <c r="B4470" s="29">
        <v>61187.814749999998</v>
      </c>
      <c r="F4470" t="s">
        <v>719</v>
      </c>
      <c r="G4470">
        <v>2</v>
      </c>
    </row>
    <row r="4471" spans="1:7" x14ac:dyDescent="0.25">
      <c r="A4471" s="28" t="s">
        <v>962</v>
      </c>
      <c r="B4471" s="29">
        <v>61187.814749999998</v>
      </c>
      <c r="F4471" t="s">
        <v>962</v>
      </c>
      <c r="G4471">
        <v>2</v>
      </c>
    </row>
    <row r="4472" spans="1:7" x14ac:dyDescent="0.25">
      <c r="A4472" s="28" t="s">
        <v>270</v>
      </c>
      <c r="B4472" s="29">
        <v>61187.814749999998</v>
      </c>
      <c r="F4472" t="s">
        <v>270</v>
      </c>
      <c r="G4472">
        <v>2</v>
      </c>
    </row>
    <row r="4473" spans="1:7" x14ac:dyDescent="0.25">
      <c r="A4473" s="28" t="s">
        <v>28</v>
      </c>
      <c r="B4473" s="29">
        <v>61187.814749999998</v>
      </c>
      <c r="F4473" t="s">
        <v>28</v>
      </c>
      <c r="G4473">
        <v>2</v>
      </c>
    </row>
    <row r="4474" spans="1:7" hidden="1" x14ac:dyDescent="0.25">
      <c r="A4474" s="28" t="s">
        <v>1886</v>
      </c>
      <c r="B4474" s="29">
        <v>35129.2961</v>
      </c>
      <c r="F4474" t="s">
        <v>1886</v>
      </c>
      <c r="G4474">
        <v>1</v>
      </c>
    </row>
    <row r="4475" spans="1:7" hidden="1" x14ac:dyDescent="0.25">
      <c r="A4475" s="28" t="s">
        <v>2293</v>
      </c>
      <c r="B4475" s="29">
        <v>35129.2961</v>
      </c>
      <c r="F4475" t="s">
        <v>2293</v>
      </c>
      <c r="G4475">
        <v>1</v>
      </c>
    </row>
    <row r="4476" spans="1:7" hidden="1" x14ac:dyDescent="0.25">
      <c r="A4476" s="28" t="s">
        <v>2074</v>
      </c>
      <c r="B4476" s="29">
        <v>35129.2961</v>
      </c>
      <c r="F4476" t="s">
        <v>2074</v>
      </c>
      <c r="G4476">
        <v>1</v>
      </c>
    </row>
    <row r="4477" spans="1:7" hidden="1" x14ac:dyDescent="0.25">
      <c r="A4477" s="28" t="s">
        <v>2427</v>
      </c>
      <c r="B4477" s="29">
        <v>35129.2961</v>
      </c>
      <c r="F4477" t="s">
        <v>2427</v>
      </c>
      <c r="G4477">
        <v>1</v>
      </c>
    </row>
    <row r="4478" spans="1:7" hidden="1" x14ac:dyDescent="0.25">
      <c r="A4478" s="28" t="s">
        <v>1904</v>
      </c>
      <c r="B4478" s="29">
        <v>35129.2961</v>
      </c>
      <c r="F4478" t="s">
        <v>1904</v>
      </c>
      <c r="G4478">
        <v>1</v>
      </c>
    </row>
    <row r="4479" spans="1:7" hidden="1" x14ac:dyDescent="0.25">
      <c r="A4479" s="28" t="s">
        <v>2364</v>
      </c>
      <c r="B4479" s="29">
        <v>35129.2961</v>
      </c>
      <c r="F4479" t="s">
        <v>2364</v>
      </c>
      <c r="G4479">
        <v>1</v>
      </c>
    </row>
    <row r="4480" spans="1:7" x14ac:dyDescent="0.25">
      <c r="A4480" s="28" t="s">
        <v>1366</v>
      </c>
      <c r="B4480" s="29">
        <v>35129.2961</v>
      </c>
      <c r="F4480" t="s">
        <v>1366</v>
      </c>
      <c r="G4480">
        <v>2</v>
      </c>
    </row>
    <row r="4481" spans="1:7" hidden="1" x14ac:dyDescent="0.25">
      <c r="A4481" s="28" t="s">
        <v>2340</v>
      </c>
      <c r="B4481" s="29">
        <v>35129.2961</v>
      </c>
      <c r="F4481" t="s">
        <v>2340</v>
      </c>
      <c r="G4481">
        <v>1</v>
      </c>
    </row>
    <row r="4482" spans="1:7" hidden="1" x14ac:dyDescent="0.25">
      <c r="A4482" s="28" t="s">
        <v>1930</v>
      </c>
      <c r="B4482" s="29">
        <v>35129.2961</v>
      </c>
      <c r="F4482" t="s">
        <v>1930</v>
      </c>
      <c r="G4482">
        <v>1</v>
      </c>
    </row>
    <row r="4483" spans="1:7" hidden="1" x14ac:dyDescent="0.25">
      <c r="A4483" s="28" t="s">
        <v>1810</v>
      </c>
      <c r="B4483" s="29">
        <v>35129.2961</v>
      </c>
      <c r="F4483" t="s">
        <v>1810</v>
      </c>
      <c r="G4483">
        <v>1</v>
      </c>
    </row>
    <row r="4484" spans="1:7" hidden="1" x14ac:dyDescent="0.25">
      <c r="A4484" s="28" t="s">
        <v>2262</v>
      </c>
      <c r="B4484" s="29">
        <v>35129.2961</v>
      </c>
      <c r="F4484" t="s">
        <v>2262</v>
      </c>
      <c r="G4484">
        <v>1</v>
      </c>
    </row>
    <row r="4485" spans="1:7" hidden="1" x14ac:dyDescent="0.25">
      <c r="A4485" s="28" t="s">
        <v>2089</v>
      </c>
      <c r="B4485" s="29">
        <v>35129.2961</v>
      </c>
      <c r="F4485" t="s">
        <v>2089</v>
      </c>
      <c r="G4485">
        <v>1</v>
      </c>
    </row>
    <row r="4486" spans="1:7" hidden="1" x14ac:dyDescent="0.25">
      <c r="A4486" s="28" t="s">
        <v>2187</v>
      </c>
      <c r="B4486" s="29">
        <v>35129.2961</v>
      </c>
      <c r="F4486" t="s">
        <v>2187</v>
      </c>
      <c r="G4486">
        <v>1</v>
      </c>
    </row>
    <row r="4487" spans="1:7" x14ac:dyDescent="0.25">
      <c r="A4487" s="28" t="s">
        <v>393</v>
      </c>
      <c r="B4487" s="29">
        <v>35129.2961</v>
      </c>
      <c r="F4487" t="s">
        <v>393</v>
      </c>
      <c r="G4487">
        <v>2</v>
      </c>
    </row>
    <row r="4488" spans="1:7" hidden="1" x14ac:dyDescent="0.25">
      <c r="A4488" s="28" t="s">
        <v>1954</v>
      </c>
      <c r="B4488" s="29">
        <v>35129.2961</v>
      </c>
      <c r="F4488" t="s">
        <v>1954</v>
      </c>
      <c r="G4488">
        <v>1</v>
      </c>
    </row>
    <row r="4489" spans="1:7" hidden="1" x14ac:dyDescent="0.25">
      <c r="A4489" s="28" t="s">
        <v>2203</v>
      </c>
      <c r="B4489" s="29">
        <v>35129.2961</v>
      </c>
      <c r="F4489" t="s">
        <v>2203</v>
      </c>
      <c r="G4489">
        <v>1</v>
      </c>
    </row>
    <row r="4490" spans="1:7" hidden="1" x14ac:dyDescent="0.25">
      <c r="A4490" s="28" t="s">
        <v>2008</v>
      </c>
      <c r="B4490" s="29">
        <v>35129.2961</v>
      </c>
      <c r="F4490" t="s">
        <v>2008</v>
      </c>
      <c r="G4490">
        <v>1</v>
      </c>
    </row>
    <row r="4491" spans="1:7" hidden="1" x14ac:dyDescent="0.25">
      <c r="A4491" s="28" t="s">
        <v>2394</v>
      </c>
      <c r="B4491" s="29">
        <v>35129.2961</v>
      </c>
      <c r="F4491" t="s">
        <v>2394</v>
      </c>
      <c r="G4491">
        <v>1</v>
      </c>
    </row>
    <row r="4492" spans="1:7" hidden="1" x14ac:dyDescent="0.25">
      <c r="A4492" s="28" t="s">
        <v>1844</v>
      </c>
      <c r="B4492" s="29">
        <v>35129.2961</v>
      </c>
      <c r="F4492" t="s">
        <v>1844</v>
      </c>
      <c r="G4492">
        <v>1</v>
      </c>
    </row>
    <row r="4493" spans="1:7" hidden="1" x14ac:dyDescent="0.25">
      <c r="A4493" s="28" t="s">
        <v>2229</v>
      </c>
      <c r="B4493" s="29">
        <v>35129.2961</v>
      </c>
      <c r="F4493" t="s">
        <v>2229</v>
      </c>
      <c r="G4493">
        <v>1</v>
      </c>
    </row>
    <row r="4494" spans="1:7" hidden="1" x14ac:dyDescent="0.25">
      <c r="A4494" s="28" t="s">
        <v>2311</v>
      </c>
      <c r="B4494" s="29">
        <v>35129.2961</v>
      </c>
      <c r="F4494" t="s">
        <v>2311</v>
      </c>
      <c r="G4494">
        <v>1</v>
      </c>
    </row>
    <row r="4495" spans="1:7" hidden="1" x14ac:dyDescent="0.25">
      <c r="A4495" s="28" t="s">
        <v>2416</v>
      </c>
      <c r="B4495" s="29">
        <v>35129.2961</v>
      </c>
      <c r="F4495" t="s">
        <v>2416</v>
      </c>
      <c r="G4495">
        <v>1</v>
      </c>
    </row>
    <row r="4496" spans="1:7" hidden="1" x14ac:dyDescent="0.25">
      <c r="A4496" s="28" t="s">
        <v>2357</v>
      </c>
      <c r="B4496" s="29">
        <v>35129.2961</v>
      </c>
      <c r="F4496" t="s">
        <v>2357</v>
      </c>
      <c r="G4496">
        <v>1</v>
      </c>
    </row>
    <row r="4497" spans="1:7" hidden="1" x14ac:dyDescent="0.25">
      <c r="A4497" s="28" t="s">
        <v>1938</v>
      </c>
      <c r="B4497" s="29">
        <v>35129.2961</v>
      </c>
      <c r="F4497" t="s">
        <v>1938</v>
      </c>
      <c r="G4497">
        <v>1</v>
      </c>
    </row>
    <row r="4498" spans="1:7" x14ac:dyDescent="0.25">
      <c r="A4498" s="28" t="s">
        <v>349</v>
      </c>
      <c r="B4498" s="29">
        <v>35129.2961</v>
      </c>
      <c r="F4498" t="s">
        <v>349</v>
      </c>
      <c r="G4498">
        <v>2</v>
      </c>
    </row>
    <row r="4499" spans="1:7" hidden="1" x14ac:dyDescent="0.25">
      <c r="A4499" s="28" t="s">
        <v>2269</v>
      </c>
      <c r="B4499" s="29">
        <v>35129.2961</v>
      </c>
      <c r="F4499" t="s">
        <v>2269</v>
      </c>
      <c r="G4499">
        <v>1</v>
      </c>
    </row>
    <row r="4500" spans="1:7" hidden="1" x14ac:dyDescent="0.25">
      <c r="A4500" s="28" t="s">
        <v>1929</v>
      </c>
      <c r="B4500" s="29">
        <v>35129.2961</v>
      </c>
      <c r="F4500" t="s">
        <v>1929</v>
      </c>
      <c r="G4500">
        <v>1</v>
      </c>
    </row>
    <row r="4501" spans="1:7" x14ac:dyDescent="0.25">
      <c r="A4501" s="28" t="s">
        <v>1445</v>
      </c>
      <c r="B4501" s="29">
        <v>35129.2961</v>
      </c>
      <c r="F4501" t="s">
        <v>1445</v>
      </c>
      <c r="G4501">
        <v>2</v>
      </c>
    </row>
    <row r="4502" spans="1:7" hidden="1" x14ac:dyDescent="0.25">
      <c r="A4502" s="28" t="s">
        <v>1826</v>
      </c>
      <c r="B4502" s="29">
        <v>35129.2961</v>
      </c>
      <c r="F4502" t="s">
        <v>1826</v>
      </c>
      <c r="G4502">
        <v>1</v>
      </c>
    </row>
    <row r="4503" spans="1:7" x14ac:dyDescent="0.25">
      <c r="A4503" s="28" t="s">
        <v>332</v>
      </c>
      <c r="B4503" s="29">
        <v>35129.2961</v>
      </c>
      <c r="F4503" t="s">
        <v>332</v>
      </c>
      <c r="G4503">
        <v>2</v>
      </c>
    </row>
    <row r="4504" spans="1:7" hidden="1" x14ac:dyDescent="0.25">
      <c r="A4504" s="28" t="s">
        <v>2070</v>
      </c>
      <c r="B4504" s="29">
        <v>35129.2961</v>
      </c>
      <c r="F4504" t="s">
        <v>2070</v>
      </c>
      <c r="G4504">
        <v>1</v>
      </c>
    </row>
    <row r="4505" spans="1:7" hidden="1" x14ac:dyDescent="0.25">
      <c r="A4505" s="28" t="s">
        <v>2321</v>
      </c>
      <c r="B4505" s="29">
        <v>35129.2961</v>
      </c>
      <c r="F4505" t="s">
        <v>2321</v>
      </c>
      <c r="G4505">
        <v>1</v>
      </c>
    </row>
    <row r="4506" spans="1:7" hidden="1" x14ac:dyDescent="0.25">
      <c r="A4506" s="28" t="s">
        <v>2463</v>
      </c>
      <c r="B4506" s="29">
        <v>35129.2961</v>
      </c>
      <c r="F4506" t="s">
        <v>2463</v>
      </c>
      <c r="G4506">
        <v>1</v>
      </c>
    </row>
    <row r="4507" spans="1:7" hidden="1" x14ac:dyDescent="0.25">
      <c r="A4507" s="28" t="s">
        <v>1857</v>
      </c>
      <c r="B4507" s="29">
        <v>35129.2961</v>
      </c>
      <c r="F4507" t="s">
        <v>1857</v>
      </c>
      <c r="G4507">
        <v>1</v>
      </c>
    </row>
    <row r="4508" spans="1:7" hidden="1" x14ac:dyDescent="0.25">
      <c r="A4508" s="28" t="s">
        <v>2291</v>
      </c>
      <c r="B4508" s="29">
        <v>35129.2961</v>
      </c>
      <c r="F4508" t="s">
        <v>2291</v>
      </c>
      <c r="G4508">
        <v>1</v>
      </c>
    </row>
    <row r="4509" spans="1:7" x14ac:dyDescent="0.25">
      <c r="A4509" s="28" t="s">
        <v>1352</v>
      </c>
      <c r="B4509" s="29">
        <v>26241.207699999999</v>
      </c>
      <c r="F4509" t="s">
        <v>1352</v>
      </c>
      <c r="G4509">
        <v>2</v>
      </c>
    </row>
    <row r="4510" spans="1:7" hidden="1" x14ac:dyDescent="0.25">
      <c r="A4510" s="28" t="s">
        <v>2323</v>
      </c>
      <c r="B4510" s="29">
        <v>26241.207699999999</v>
      </c>
      <c r="F4510" t="s">
        <v>2323</v>
      </c>
      <c r="G4510">
        <v>1</v>
      </c>
    </row>
    <row r="4511" spans="1:7" hidden="1" x14ac:dyDescent="0.25">
      <c r="A4511" s="28" t="s">
        <v>2393</v>
      </c>
      <c r="B4511" s="29">
        <v>26241.207699999999</v>
      </c>
      <c r="F4511" t="s">
        <v>2393</v>
      </c>
      <c r="G4511">
        <v>1</v>
      </c>
    </row>
    <row r="4512" spans="1:7" hidden="1" x14ac:dyDescent="0.25">
      <c r="A4512" s="28" t="s">
        <v>2387</v>
      </c>
      <c r="B4512" s="29">
        <v>26241.207699999999</v>
      </c>
      <c r="F4512" t="s">
        <v>2387</v>
      </c>
      <c r="G4512">
        <v>1</v>
      </c>
    </row>
    <row r="4513" spans="1:7" hidden="1" x14ac:dyDescent="0.25">
      <c r="A4513" s="28" t="s">
        <v>2466</v>
      </c>
      <c r="B4513" s="29">
        <v>26241.207699999999</v>
      </c>
      <c r="F4513" t="s">
        <v>2466</v>
      </c>
      <c r="G4513">
        <v>1</v>
      </c>
    </row>
    <row r="4514" spans="1:7" hidden="1" x14ac:dyDescent="0.25">
      <c r="A4514" s="28" t="s">
        <v>2011</v>
      </c>
      <c r="B4514" s="29">
        <v>26241.207699999999</v>
      </c>
      <c r="F4514" t="s">
        <v>2011</v>
      </c>
      <c r="G4514">
        <v>1</v>
      </c>
    </row>
    <row r="4515" spans="1:7" hidden="1" x14ac:dyDescent="0.25">
      <c r="A4515" s="28" t="s">
        <v>1805</v>
      </c>
      <c r="B4515" s="29">
        <v>35129.2961</v>
      </c>
      <c r="F4515" t="s">
        <v>1805</v>
      </c>
      <c r="G4515">
        <v>1</v>
      </c>
    </row>
    <row r="4516" spans="1:7" hidden="1" x14ac:dyDescent="0.25">
      <c r="A4516" s="28" t="s">
        <v>2186</v>
      </c>
      <c r="B4516" s="29">
        <v>32052.276999999998</v>
      </c>
      <c r="F4516" t="s">
        <v>2186</v>
      </c>
      <c r="G4516">
        <v>1</v>
      </c>
    </row>
    <row r="4517" spans="1:7" hidden="1" x14ac:dyDescent="0.25">
      <c r="A4517" s="28" t="s">
        <v>2072</v>
      </c>
      <c r="B4517" s="29">
        <v>32052.276999999998</v>
      </c>
      <c r="F4517" t="s">
        <v>2072</v>
      </c>
      <c r="G4517">
        <v>1</v>
      </c>
    </row>
    <row r="4518" spans="1:7" hidden="1" x14ac:dyDescent="0.25">
      <c r="A4518" s="28" t="s">
        <v>1818</v>
      </c>
      <c r="B4518" s="29">
        <v>32052.276999999998</v>
      </c>
      <c r="F4518" t="s">
        <v>1818</v>
      </c>
      <c r="G4518">
        <v>1</v>
      </c>
    </row>
    <row r="4519" spans="1:7" hidden="1" x14ac:dyDescent="0.25">
      <c r="A4519" s="28" t="s">
        <v>2190</v>
      </c>
      <c r="B4519" s="29">
        <v>32052.276999999998</v>
      </c>
      <c r="F4519" t="s">
        <v>2190</v>
      </c>
      <c r="G4519">
        <v>1</v>
      </c>
    </row>
    <row r="4520" spans="1:7" hidden="1" x14ac:dyDescent="0.25">
      <c r="A4520" s="28" t="s">
        <v>2077</v>
      </c>
      <c r="B4520" s="29">
        <v>32052.276999999998</v>
      </c>
      <c r="F4520" t="s">
        <v>2077</v>
      </c>
      <c r="G4520">
        <v>1</v>
      </c>
    </row>
    <row r="4521" spans="1:7" hidden="1" x14ac:dyDescent="0.25">
      <c r="A4521" s="28" t="s">
        <v>1870</v>
      </c>
      <c r="B4521" s="29">
        <v>32052.276999999998</v>
      </c>
      <c r="F4521" t="s">
        <v>1870</v>
      </c>
      <c r="G4521">
        <v>1</v>
      </c>
    </row>
    <row r="4522" spans="1:7" hidden="1" x14ac:dyDescent="0.25">
      <c r="A4522" s="28" t="s">
        <v>2414</v>
      </c>
      <c r="B4522" s="29">
        <v>32052.276999999998</v>
      </c>
      <c r="F4522" t="s">
        <v>2414</v>
      </c>
      <c r="G4522">
        <v>1</v>
      </c>
    </row>
    <row r="4523" spans="1:7" hidden="1" x14ac:dyDescent="0.25">
      <c r="A4523" s="28" t="s">
        <v>2084</v>
      </c>
      <c r="B4523" s="29">
        <v>32052.276999999998</v>
      </c>
      <c r="F4523" t="s">
        <v>2084</v>
      </c>
      <c r="G4523">
        <v>1</v>
      </c>
    </row>
    <row r="4524" spans="1:7" hidden="1" x14ac:dyDescent="0.25">
      <c r="A4524" s="28" t="s">
        <v>2316</v>
      </c>
      <c r="B4524" s="29">
        <v>32052.276999999998</v>
      </c>
      <c r="F4524" t="s">
        <v>2316</v>
      </c>
      <c r="G4524">
        <v>1</v>
      </c>
    </row>
    <row r="4525" spans="1:7" hidden="1" x14ac:dyDescent="0.25">
      <c r="A4525" s="28" t="s">
        <v>1878</v>
      </c>
      <c r="B4525" s="29">
        <v>32052.276999999998</v>
      </c>
      <c r="F4525" t="s">
        <v>1878</v>
      </c>
      <c r="G4525">
        <v>1</v>
      </c>
    </row>
    <row r="4526" spans="1:7" hidden="1" x14ac:dyDescent="0.25">
      <c r="A4526" s="28" t="s">
        <v>2460</v>
      </c>
      <c r="B4526" s="29">
        <v>26241.207699999999</v>
      </c>
      <c r="F4526" t="s">
        <v>2460</v>
      </c>
      <c r="G4526">
        <v>1</v>
      </c>
    </row>
    <row r="4527" spans="1:7" hidden="1" x14ac:dyDescent="0.25">
      <c r="A4527" s="28" t="s">
        <v>1833</v>
      </c>
      <c r="B4527" s="29">
        <v>35129.2961</v>
      </c>
      <c r="F4527" t="s">
        <v>1833</v>
      </c>
      <c r="G4527">
        <v>1</v>
      </c>
    </row>
    <row r="4528" spans="1:7" hidden="1" x14ac:dyDescent="0.25">
      <c r="A4528" s="28" t="s">
        <v>1917</v>
      </c>
      <c r="B4528" s="29">
        <v>26241.207699999999</v>
      </c>
      <c r="F4528" t="s">
        <v>1917</v>
      </c>
      <c r="G4528">
        <v>1</v>
      </c>
    </row>
    <row r="4529" spans="1:7" x14ac:dyDescent="0.25">
      <c r="A4529" s="28" t="s">
        <v>833</v>
      </c>
      <c r="B4529" s="29">
        <v>21330.794900000001</v>
      </c>
      <c r="F4529" t="s">
        <v>833</v>
      </c>
      <c r="G4529">
        <v>2</v>
      </c>
    </row>
    <row r="4530" spans="1:7" hidden="1" x14ac:dyDescent="0.25">
      <c r="A4530" s="28" t="s">
        <v>1961</v>
      </c>
      <c r="B4530" s="29">
        <v>26241.207699999999</v>
      </c>
      <c r="F4530" t="s">
        <v>1961</v>
      </c>
      <c r="G4530">
        <v>1</v>
      </c>
    </row>
    <row r="4531" spans="1:7" x14ac:dyDescent="0.25">
      <c r="A4531" s="28" t="s">
        <v>929</v>
      </c>
      <c r="B4531" s="29">
        <v>21330.794900000001</v>
      </c>
      <c r="F4531" t="s">
        <v>929</v>
      </c>
      <c r="G4531">
        <v>2</v>
      </c>
    </row>
    <row r="4532" spans="1:7" hidden="1" x14ac:dyDescent="0.25">
      <c r="A4532" s="28" t="s">
        <v>2967</v>
      </c>
      <c r="B4532" s="29">
        <v>26241.207699999999</v>
      </c>
      <c r="F4532" t="s">
        <v>2967</v>
      </c>
      <c r="G4532">
        <v>1</v>
      </c>
    </row>
    <row r="4533" spans="1:7" x14ac:dyDescent="0.25">
      <c r="A4533" s="28" t="s">
        <v>1197</v>
      </c>
      <c r="B4533" s="29">
        <v>26241.207699999999</v>
      </c>
      <c r="F4533" t="s">
        <v>1197</v>
      </c>
      <c r="G4533">
        <v>2</v>
      </c>
    </row>
    <row r="4534" spans="1:7" x14ac:dyDescent="0.25">
      <c r="A4534" s="28" t="s">
        <v>642</v>
      </c>
      <c r="B4534" s="29">
        <v>26241.207699999999</v>
      </c>
      <c r="F4534" t="s">
        <v>642</v>
      </c>
      <c r="G4534">
        <v>2</v>
      </c>
    </row>
    <row r="4535" spans="1:7" hidden="1" x14ac:dyDescent="0.25">
      <c r="A4535" s="28" t="s">
        <v>1815</v>
      </c>
      <c r="B4535" s="29">
        <v>26853.405500000001</v>
      </c>
      <c r="F4535" t="s">
        <v>1815</v>
      </c>
      <c r="G4535">
        <v>1</v>
      </c>
    </row>
    <row r="4536" spans="1:7" hidden="1" x14ac:dyDescent="0.25">
      <c r="A4536" s="28" t="s">
        <v>2078</v>
      </c>
      <c r="B4536" s="29">
        <v>21330.794900000001</v>
      </c>
      <c r="F4536" t="s">
        <v>2078</v>
      </c>
      <c r="G4536">
        <v>1</v>
      </c>
    </row>
    <row r="4537" spans="1:7" hidden="1" x14ac:dyDescent="0.25">
      <c r="A4537" s="28" t="s">
        <v>1806</v>
      </c>
      <c r="B4537" s="29">
        <v>21330.794900000001</v>
      </c>
      <c r="F4537" t="s">
        <v>1806</v>
      </c>
      <c r="G4537">
        <v>1</v>
      </c>
    </row>
    <row r="4538" spans="1:7" hidden="1" x14ac:dyDescent="0.25">
      <c r="A4538" s="28" t="s">
        <v>2261</v>
      </c>
      <c r="B4538" s="29">
        <v>21330.794900000001</v>
      </c>
      <c r="F4538" t="s">
        <v>2261</v>
      </c>
      <c r="G4538">
        <v>1</v>
      </c>
    </row>
    <row r="4539" spans="1:7" hidden="1" x14ac:dyDescent="0.25">
      <c r="A4539" s="28" t="s">
        <v>2204</v>
      </c>
      <c r="B4539" s="29">
        <v>26853.405500000001</v>
      </c>
      <c r="F4539" t="s">
        <v>2204</v>
      </c>
      <c r="G4539">
        <v>1</v>
      </c>
    </row>
    <row r="4540" spans="1:7" hidden="1" x14ac:dyDescent="0.25">
      <c r="A4540" s="28" t="s">
        <v>1942</v>
      </c>
      <c r="B4540" s="29">
        <v>26853.405500000001</v>
      </c>
      <c r="F4540" t="s">
        <v>1942</v>
      </c>
      <c r="G4540">
        <v>1</v>
      </c>
    </row>
    <row r="4541" spans="1:7" hidden="1" x14ac:dyDescent="0.25">
      <c r="A4541" s="28" t="s">
        <v>1819</v>
      </c>
      <c r="B4541" s="29">
        <v>26853.405500000001</v>
      </c>
      <c r="F4541" t="s">
        <v>1819</v>
      </c>
      <c r="G4541">
        <v>1</v>
      </c>
    </row>
    <row r="4542" spans="1:7" hidden="1" x14ac:dyDescent="0.25">
      <c r="A4542" s="28" t="s">
        <v>2075</v>
      </c>
      <c r="B4542" s="29">
        <v>21330.794900000001</v>
      </c>
      <c r="F4542" t="s">
        <v>2075</v>
      </c>
      <c r="G4542">
        <v>1</v>
      </c>
    </row>
    <row r="4543" spans="1:7" hidden="1" x14ac:dyDescent="0.25">
      <c r="A4543" s="28" t="s">
        <v>2415</v>
      </c>
      <c r="B4543" s="29">
        <v>21330.794900000001</v>
      </c>
      <c r="F4543" t="s">
        <v>2415</v>
      </c>
      <c r="G4543">
        <v>1</v>
      </c>
    </row>
    <row r="4544" spans="1:7" hidden="1" x14ac:dyDescent="0.25">
      <c r="A4544" s="28" t="s">
        <v>2085</v>
      </c>
      <c r="B4544" s="29">
        <v>21330.794900000001</v>
      </c>
      <c r="F4544" t="s">
        <v>2085</v>
      </c>
      <c r="G4544">
        <v>1</v>
      </c>
    </row>
    <row r="4545" spans="1:7" hidden="1" x14ac:dyDescent="0.25">
      <c r="A4545" s="28" t="s">
        <v>1839</v>
      </c>
      <c r="B4545" s="29">
        <v>21330.794900000001</v>
      </c>
      <c r="F4545" t="s">
        <v>1839</v>
      </c>
      <c r="G4545">
        <v>1</v>
      </c>
    </row>
    <row r="4546" spans="1:7" x14ac:dyDescent="0.25">
      <c r="A4546" s="28" t="s">
        <v>618</v>
      </c>
      <c r="B4546" s="29">
        <v>26853.405500000001</v>
      </c>
      <c r="F4546" t="s">
        <v>618</v>
      </c>
      <c r="G4546">
        <v>2</v>
      </c>
    </row>
    <row r="4547" spans="1:7" hidden="1" x14ac:dyDescent="0.25">
      <c r="A4547" s="28" t="s">
        <v>2608</v>
      </c>
      <c r="B4547" s="29">
        <v>26853.405500000001</v>
      </c>
      <c r="F4547" t="s">
        <v>2608</v>
      </c>
      <c r="G4547">
        <v>1</v>
      </c>
    </row>
    <row r="4548" spans="1:7" hidden="1" x14ac:dyDescent="0.25">
      <c r="A4548" s="28" t="s">
        <v>3007</v>
      </c>
      <c r="B4548" s="29">
        <v>21330.794900000001</v>
      </c>
      <c r="F4548" t="s">
        <v>3007</v>
      </c>
      <c r="G4548">
        <v>1</v>
      </c>
    </row>
    <row r="4549" spans="1:7" hidden="1" x14ac:dyDescent="0.25">
      <c r="A4549" s="28" t="s">
        <v>2469</v>
      </c>
      <c r="B4549" s="29">
        <v>21330.794900000001</v>
      </c>
      <c r="F4549" t="s">
        <v>2469</v>
      </c>
      <c r="G4549">
        <v>1</v>
      </c>
    </row>
    <row r="4550" spans="1:7" hidden="1" x14ac:dyDescent="0.25">
      <c r="A4550" s="28" t="s">
        <v>2030</v>
      </c>
      <c r="B4550" s="29">
        <v>21330.794900000001</v>
      </c>
      <c r="F4550" t="s">
        <v>2030</v>
      </c>
      <c r="G4550">
        <v>1</v>
      </c>
    </row>
    <row r="4551" spans="1:7" x14ac:dyDescent="0.25">
      <c r="A4551" s="28" t="s">
        <v>20</v>
      </c>
      <c r="B4551" s="29">
        <v>29866.3148</v>
      </c>
      <c r="F4551" t="s">
        <v>20</v>
      </c>
      <c r="G4551">
        <v>2</v>
      </c>
    </row>
    <row r="4552" spans="1:7" hidden="1" x14ac:dyDescent="0.25">
      <c r="A4552" s="28" t="s">
        <v>1827</v>
      </c>
      <c r="B4552" s="29">
        <v>29866.3148</v>
      </c>
      <c r="F4552" t="s">
        <v>1827</v>
      </c>
      <c r="G4552">
        <v>1</v>
      </c>
    </row>
    <row r="4553" spans="1:7" hidden="1" x14ac:dyDescent="0.25">
      <c r="A4553" s="28" t="s">
        <v>2043</v>
      </c>
      <c r="B4553" s="29">
        <v>35129.2961</v>
      </c>
      <c r="F4553" t="s">
        <v>2043</v>
      </c>
      <c r="G4553">
        <v>1</v>
      </c>
    </row>
    <row r="4554" spans="1:7" x14ac:dyDescent="0.25">
      <c r="A4554" s="28" t="s">
        <v>928</v>
      </c>
      <c r="B4554" s="29">
        <v>26241.207699999999</v>
      </c>
      <c r="F4554" t="s">
        <v>928</v>
      </c>
      <c r="G4554">
        <v>2</v>
      </c>
    </row>
    <row r="4555" spans="1:7" hidden="1" x14ac:dyDescent="0.25">
      <c r="A4555" s="28" t="s">
        <v>2034</v>
      </c>
      <c r="B4555" s="29">
        <v>26241.207699999999</v>
      </c>
      <c r="F4555" t="s">
        <v>2034</v>
      </c>
      <c r="G4555">
        <v>1</v>
      </c>
    </row>
    <row r="4556" spans="1:7" x14ac:dyDescent="0.25">
      <c r="A4556" s="28" t="s">
        <v>484</v>
      </c>
      <c r="B4556" s="29">
        <v>26241.207699999999</v>
      </c>
      <c r="F4556" t="s">
        <v>484</v>
      </c>
      <c r="G4556">
        <v>2</v>
      </c>
    </row>
    <row r="4557" spans="1:7" x14ac:dyDescent="0.25">
      <c r="A4557" s="28" t="s">
        <v>722</v>
      </c>
      <c r="B4557" s="29">
        <v>26241.207699999999</v>
      </c>
      <c r="F4557" t="s">
        <v>722</v>
      </c>
      <c r="G4557">
        <v>2</v>
      </c>
    </row>
    <row r="4558" spans="1:7" x14ac:dyDescent="0.25">
      <c r="A4558" s="28" t="s">
        <v>987</v>
      </c>
      <c r="B4558" s="29">
        <v>26241.207699999999</v>
      </c>
      <c r="F4558" t="s">
        <v>987</v>
      </c>
      <c r="G4558">
        <v>2</v>
      </c>
    </row>
    <row r="4559" spans="1:7" x14ac:dyDescent="0.25">
      <c r="A4559" s="28" t="s">
        <v>1005</v>
      </c>
      <c r="B4559" s="29">
        <v>26241.207699999999</v>
      </c>
      <c r="F4559" t="s">
        <v>1005</v>
      </c>
      <c r="G4559">
        <v>2</v>
      </c>
    </row>
    <row r="4560" spans="1:7" x14ac:dyDescent="0.25">
      <c r="A4560" s="28" t="s">
        <v>609</v>
      </c>
      <c r="B4560" s="29">
        <v>26241.207699999999</v>
      </c>
      <c r="F4560" t="s">
        <v>609</v>
      </c>
      <c r="G4560">
        <v>2</v>
      </c>
    </row>
    <row r="4561" spans="1:7" hidden="1" x14ac:dyDescent="0.25">
      <c r="A4561" s="28" t="s">
        <v>2081</v>
      </c>
      <c r="B4561" s="29">
        <v>26241.207699999999</v>
      </c>
      <c r="F4561" t="s">
        <v>2081</v>
      </c>
      <c r="G4561">
        <v>1</v>
      </c>
    </row>
    <row r="4562" spans="1:7" x14ac:dyDescent="0.25">
      <c r="A4562" s="28" t="s">
        <v>1473</v>
      </c>
      <c r="B4562" s="29">
        <v>26241.207699999999</v>
      </c>
      <c r="F4562" t="s">
        <v>1473</v>
      </c>
      <c r="G4562">
        <v>2</v>
      </c>
    </row>
    <row r="4563" spans="1:7" x14ac:dyDescent="0.25">
      <c r="A4563" s="28" t="s">
        <v>54</v>
      </c>
      <c r="B4563" s="29">
        <v>26241.207699999999</v>
      </c>
      <c r="F4563" t="s">
        <v>54</v>
      </c>
      <c r="G4563">
        <v>2</v>
      </c>
    </row>
    <row r="4564" spans="1:7" x14ac:dyDescent="0.25">
      <c r="A4564" s="28" t="s">
        <v>345</v>
      </c>
      <c r="B4564" s="29">
        <v>26241.207699999999</v>
      </c>
      <c r="F4564" t="s">
        <v>345</v>
      </c>
      <c r="G4564">
        <v>2</v>
      </c>
    </row>
    <row r="4565" spans="1:7" x14ac:dyDescent="0.25">
      <c r="A4565" s="28" t="s">
        <v>176</v>
      </c>
      <c r="B4565" s="29">
        <v>26241.207699999999</v>
      </c>
      <c r="F4565" t="s">
        <v>176</v>
      </c>
      <c r="G4565">
        <v>2</v>
      </c>
    </row>
    <row r="4566" spans="1:7" x14ac:dyDescent="0.25">
      <c r="A4566" s="28" t="s">
        <v>236</v>
      </c>
      <c r="B4566" s="29">
        <v>26241.207699999999</v>
      </c>
      <c r="F4566" t="s">
        <v>236</v>
      </c>
      <c r="G4566">
        <v>2</v>
      </c>
    </row>
    <row r="4567" spans="1:7" x14ac:dyDescent="0.25">
      <c r="A4567" s="28" t="s">
        <v>279</v>
      </c>
      <c r="B4567" s="29">
        <v>26241.207699999999</v>
      </c>
      <c r="F4567" t="s">
        <v>279</v>
      </c>
      <c r="G4567">
        <v>2</v>
      </c>
    </row>
    <row r="4568" spans="1:7" x14ac:dyDescent="0.25">
      <c r="A4568" s="28" t="s">
        <v>620</v>
      </c>
      <c r="B4568" s="29">
        <v>26241.207699999999</v>
      </c>
      <c r="F4568" t="s">
        <v>620</v>
      </c>
      <c r="G4568">
        <v>2</v>
      </c>
    </row>
    <row r="4569" spans="1:7" x14ac:dyDescent="0.25">
      <c r="A4569" s="28" t="s">
        <v>71</v>
      </c>
      <c r="B4569" s="29">
        <v>35129.2961</v>
      </c>
      <c r="F4569" t="s">
        <v>71</v>
      </c>
      <c r="G4569">
        <v>2</v>
      </c>
    </row>
    <row r="4570" spans="1:7" x14ac:dyDescent="0.25">
      <c r="A4570" s="28" t="s">
        <v>113</v>
      </c>
      <c r="B4570" s="29">
        <v>35129.2961</v>
      </c>
      <c r="F4570" t="s">
        <v>113</v>
      </c>
      <c r="G4570">
        <v>2</v>
      </c>
    </row>
    <row r="4571" spans="1:7" x14ac:dyDescent="0.25">
      <c r="A4571" s="28" t="s">
        <v>247</v>
      </c>
      <c r="B4571" s="29">
        <v>35129.2961</v>
      </c>
      <c r="F4571" t="s">
        <v>247</v>
      </c>
      <c r="G4571">
        <v>2</v>
      </c>
    </row>
    <row r="4572" spans="1:7" x14ac:dyDescent="0.25">
      <c r="A4572" s="28" t="s">
        <v>381</v>
      </c>
      <c r="B4572" s="29">
        <v>35129.2961</v>
      </c>
      <c r="F4572" t="s">
        <v>381</v>
      </c>
      <c r="G4572">
        <v>2</v>
      </c>
    </row>
    <row r="4573" spans="1:7" x14ac:dyDescent="0.25">
      <c r="A4573" s="28" t="s">
        <v>330</v>
      </c>
      <c r="B4573" s="29">
        <v>35129.2961</v>
      </c>
      <c r="F4573" t="s">
        <v>330</v>
      </c>
      <c r="G4573">
        <v>2</v>
      </c>
    </row>
    <row r="4574" spans="1:7" x14ac:dyDescent="0.25">
      <c r="A4574" s="28" t="s">
        <v>238</v>
      </c>
      <c r="B4574" s="29">
        <v>35129.2961</v>
      </c>
      <c r="F4574" t="s">
        <v>238</v>
      </c>
      <c r="G4574">
        <v>2</v>
      </c>
    </row>
    <row r="4575" spans="1:7" x14ac:dyDescent="0.25">
      <c r="A4575" s="28" t="s">
        <v>443</v>
      </c>
      <c r="B4575" s="29">
        <v>35129.2961</v>
      </c>
      <c r="F4575" t="s">
        <v>443</v>
      </c>
      <c r="G4575">
        <v>2</v>
      </c>
    </row>
    <row r="4576" spans="1:7" x14ac:dyDescent="0.25">
      <c r="A4576" s="28" t="s">
        <v>91</v>
      </c>
      <c r="B4576" s="29">
        <v>32052.276999999998</v>
      </c>
      <c r="F4576" t="s">
        <v>91</v>
      </c>
      <c r="G4576">
        <v>2</v>
      </c>
    </row>
    <row r="4577" spans="1:7" x14ac:dyDescent="0.25">
      <c r="A4577" s="28" t="s">
        <v>136</v>
      </c>
      <c r="B4577" s="29">
        <v>32052.276999999998</v>
      </c>
      <c r="F4577" t="s">
        <v>136</v>
      </c>
      <c r="G4577">
        <v>2</v>
      </c>
    </row>
    <row r="4578" spans="1:7" x14ac:dyDescent="0.25">
      <c r="A4578" s="28" t="s">
        <v>144</v>
      </c>
      <c r="B4578" s="29">
        <v>32052.276999999998</v>
      </c>
      <c r="F4578" t="s">
        <v>144</v>
      </c>
      <c r="G4578">
        <v>2</v>
      </c>
    </row>
    <row r="4579" spans="1:7" x14ac:dyDescent="0.25">
      <c r="A4579" s="28" t="s">
        <v>504</v>
      </c>
      <c r="B4579" s="29">
        <v>32052.276999999998</v>
      </c>
      <c r="F4579" t="s">
        <v>504</v>
      </c>
      <c r="G4579">
        <v>2</v>
      </c>
    </row>
    <row r="4580" spans="1:7" x14ac:dyDescent="0.25">
      <c r="A4580" s="28" t="s">
        <v>40</v>
      </c>
      <c r="B4580" s="29">
        <v>32052.276999999998</v>
      </c>
      <c r="F4580" t="s">
        <v>40</v>
      </c>
      <c r="G4580">
        <v>2</v>
      </c>
    </row>
    <row r="4581" spans="1:7" x14ac:dyDescent="0.25">
      <c r="A4581" s="28" t="s">
        <v>379</v>
      </c>
      <c r="B4581" s="29">
        <v>32052.276999999998</v>
      </c>
      <c r="F4581" t="s">
        <v>379</v>
      </c>
      <c r="G4581">
        <v>2</v>
      </c>
    </row>
    <row r="4582" spans="1:7" x14ac:dyDescent="0.25">
      <c r="A4582" s="28" t="s">
        <v>156</v>
      </c>
      <c r="B4582" s="29">
        <v>61187.814749999998</v>
      </c>
      <c r="F4582" t="s">
        <v>156</v>
      </c>
      <c r="G4582">
        <v>2</v>
      </c>
    </row>
    <row r="4583" spans="1:7" x14ac:dyDescent="0.25">
      <c r="A4583" s="28" t="s">
        <v>56</v>
      </c>
      <c r="B4583" s="29">
        <v>61187.814749999998</v>
      </c>
      <c r="F4583" t="s">
        <v>56</v>
      </c>
      <c r="G4583">
        <v>2</v>
      </c>
    </row>
    <row r="4584" spans="1:7" x14ac:dyDescent="0.25">
      <c r="A4584" s="28" t="s">
        <v>643</v>
      </c>
      <c r="B4584" s="29">
        <v>32052.276999999998</v>
      </c>
      <c r="F4584" t="s">
        <v>643</v>
      </c>
      <c r="G4584">
        <v>2</v>
      </c>
    </row>
    <row r="4585" spans="1:7" x14ac:dyDescent="0.25">
      <c r="A4585" s="28" t="s">
        <v>158</v>
      </c>
      <c r="B4585" s="29">
        <v>32052.276999999998</v>
      </c>
      <c r="F4585" t="s">
        <v>158</v>
      </c>
      <c r="G4585">
        <v>2</v>
      </c>
    </row>
    <row r="4586" spans="1:7" x14ac:dyDescent="0.25">
      <c r="A4586" s="28" t="s">
        <v>1318</v>
      </c>
      <c r="B4586" s="29">
        <v>29866.3148</v>
      </c>
      <c r="F4586" t="s">
        <v>1318</v>
      </c>
      <c r="G4586">
        <v>2</v>
      </c>
    </row>
    <row r="4587" spans="1:7" x14ac:dyDescent="0.25">
      <c r="A4587" s="28" t="s">
        <v>1004</v>
      </c>
      <c r="B4587" s="29">
        <v>29866.3148</v>
      </c>
      <c r="F4587" t="s">
        <v>1004</v>
      </c>
      <c r="G4587">
        <v>2</v>
      </c>
    </row>
    <row r="4588" spans="1:7" x14ac:dyDescent="0.25">
      <c r="A4588" s="28" t="s">
        <v>138</v>
      </c>
      <c r="B4588" s="29">
        <v>29866.3148</v>
      </c>
      <c r="F4588" t="s">
        <v>138</v>
      </c>
      <c r="G4588">
        <v>2</v>
      </c>
    </row>
    <row r="4589" spans="1:7" x14ac:dyDescent="0.25">
      <c r="A4589" s="28" t="s">
        <v>141</v>
      </c>
      <c r="B4589" s="29">
        <v>29866.3148</v>
      </c>
      <c r="F4589" t="s">
        <v>141</v>
      </c>
      <c r="G4589">
        <v>2</v>
      </c>
    </row>
    <row r="4590" spans="1:7" x14ac:dyDescent="0.25">
      <c r="A4590" s="28" t="s">
        <v>334</v>
      </c>
      <c r="B4590" s="29">
        <v>29866.3148</v>
      </c>
      <c r="F4590" t="s">
        <v>334</v>
      </c>
      <c r="G4590">
        <v>2</v>
      </c>
    </row>
    <row r="4591" spans="1:7" x14ac:dyDescent="0.25">
      <c r="A4591" s="28" t="s">
        <v>503</v>
      </c>
      <c r="B4591" s="29">
        <v>29866.3148</v>
      </c>
      <c r="F4591" t="s">
        <v>503</v>
      </c>
      <c r="G4591">
        <v>2</v>
      </c>
    </row>
    <row r="4592" spans="1:7" x14ac:dyDescent="0.25">
      <c r="A4592" s="28" t="s">
        <v>85</v>
      </c>
      <c r="B4592" s="29">
        <v>29866.3148</v>
      </c>
      <c r="F4592" t="s">
        <v>85</v>
      </c>
      <c r="G4592">
        <v>2</v>
      </c>
    </row>
    <row r="4593" spans="1:7" x14ac:dyDescent="0.25">
      <c r="A4593" s="28" t="s">
        <v>417</v>
      </c>
      <c r="B4593" s="29">
        <v>29866.3148</v>
      </c>
      <c r="F4593" t="s">
        <v>417</v>
      </c>
      <c r="G4593">
        <v>2</v>
      </c>
    </row>
    <row r="4594" spans="1:7" x14ac:dyDescent="0.25">
      <c r="A4594" s="28" t="s">
        <v>435</v>
      </c>
      <c r="B4594" s="29">
        <v>26853.405500000001</v>
      </c>
      <c r="F4594" t="s">
        <v>435</v>
      </c>
      <c r="G4594">
        <v>2</v>
      </c>
    </row>
    <row r="4595" spans="1:7" x14ac:dyDescent="0.25">
      <c r="A4595" s="28" t="s">
        <v>1285</v>
      </c>
      <c r="B4595" s="29">
        <v>26853.405500000001</v>
      </c>
      <c r="F4595" t="s">
        <v>1285</v>
      </c>
      <c r="G4595">
        <v>2</v>
      </c>
    </row>
    <row r="4596" spans="1:7" x14ac:dyDescent="0.25">
      <c r="A4596" s="28" t="s">
        <v>1566</v>
      </c>
      <c r="B4596" s="29">
        <v>26853.405500000001</v>
      </c>
      <c r="F4596" t="s">
        <v>1566</v>
      </c>
      <c r="G4596">
        <v>2</v>
      </c>
    </row>
    <row r="4597" spans="1:7" hidden="1" x14ac:dyDescent="0.25">
      <c r="A4597" s="28" t="s">
        <v>2271</v>
      </c>
      <c r="B4597" s="29">
        <v>26853.405500000001</v>
      </c>
      <c r="F4597" t="s">
        <v>2271</v>
      </c>
      <c r="G4597">
        <v>1</v>
      </c>
    </row>
    <row r="4598" spans="1:7" x14ac:dyDescent="0.25">
      <c r="A4598" s="28" t="s">
        <v>561</v>
      </c>
      <c r="B4598" s="29">
        <v>26853.405500000001</v>
      </c>
      <c r="F4598" t="s">
        <v>561</v>
      </c>
      <c r="G4598">
        <v>2</v>
      </c>
    </row>
    <row r="4599" spans="1:7" x14ac:dyDescent="0.25">
      <c r="A4599" s="28" t="s">
        <v>850</v>
      </c>
      <c r="B4599" s="29">
        <v>29866.3148</v>
      </c>
      <c r="F4599" t="s">
        <v>850</v>
      </c>
      <c r="G4599">
        <v>2</v>
      </c>
    </row>
    <row r="4600" spans="1:7" x14ac:dyDescent="0.25">
      <c r="A4600" s="28" t="s">
        <v>405</v>
      </c>
      <c r="B4600" s="29">
        <v>26853.405500000001</v>
      </c>
      <c r="F4600" t="s">
        <v>405</v>
      </c>
      <c r="G4600">
        <v>2</v>
      </c>
    </row>
    <row r="4601" spans="1:7" x14ac:dyDescent="0.25">
      <c r="A4601" s="28" t="s">
        <v>127</v>
      </c>
      <c r="B4601" s="29">
        <v>26853.405500000001</v>
      </c>
      <c r="F4601" t="s">
        <v>127</v>
      </c>
      <c r="G4601">
        <v>2</v>
      </c>
    </row>
    <row r="4602" spans="1:7" x14ac:dyDescent="0.25">
      <c r="A4602" s="28" t="s">
        <v>1488</v>
      </c>
      <c r="B4602" s="29">
        <v>26853.405500000001</v>
      </c>
      <c r="F4602" t="s">
        <v>1488</v>
      </c>
      <c r="G4602">
        <v>2</v>
      </c>
    </row>
    <row r="4603" spans="1:7" hidden="1" x14ac:dyDescent="0.25">
      <c r="A4603" s="28" t="s">
        <v>2133</v>
      </c>
      <c r="B4603" s="29">
        <v>26853.405500000001</v>
      </c>
      <c r="F4603" t="s">
        <v>2133</v>
      </c>
      <c r="G4603">
        <v>1</v>
      </c>
    </row>
    <row r="4604" spans="1:7" hidden="1" x14ac:dyDescent="0.25">
      <c r="A4604" s="28" t="s">
        <v>2006</v>
      </c>
      <c r="B4604" s="29">
        <v>26853.405500000001</v>
      </c>
      <c r="F4604" t="s">
        <v>2006</v>
      </c>
      <c r="G4604">
        <v>1</v>
      </c>
    </row>
    <row r="4605" spans="1:7" x14ac:dyDescent="0.25">
      <c r="A4605" s="28" t="s">
        <v>671</v>
      </c>
      <c r="B4605" s="29">
        <v>26853.405500000001</v>
      </c>
      <c r="F4605" t="s">
        <v>671</v>
      </c>
      <c r="G4605">
        <v>2</v>
      </c>
    </row>
    <row r="4606" spans="1:7" x14ac:dyDescent="0.25">
      <c r="A4606" s="28" t="s">
        <v>145</v>
      </c>
      <c r="B4606" s="29">
        <v>26853.405500000001</v>
      </c>
      <c r="F4606" t="s">
        <v>145</v>
      </c>
      <c r="G4606">
        <v>2</v>
      </c>
    </row>
    <row r="4607" spans="1:7" x14ac:dyDescent="0.25">
      <c r="A4607" s="28" t="s">
        <v>660</v>
      </c>
      <c r="B4607" s="29">
        <v>26853.405500000001</v>
      </c>
      <c r="F4607" t="s">
        <v>660</v>
      </c>
      <c r="G4607">
        <v>2</v>
      </c>
    </row>
    <row r="4608" spans="1:7" hidden="1" x14ac:dyDescent="0.25">
      <c r="A4608" s="28" t="s">
        <v>1831</v>
      </c>
      <c r="B4608" s="29">
        <v>26853.405500000001</v>
      </c>
      <c r="F4608" t="s">
        <v>1831</v>
      </c>
      <c r="G4608">
        <v>1</v>
      </c>
    </row>
    <row r="4609" spans="1:7" hidden="1" x14ac:dyDescent="0.25">
      <c r="A4609" s="28" t="s">
        <v>2117</v>
      </c>
      <c r="B4609" s="29">
        <v>35661.364300000001</v>
      </c>
      <c r="F4609" t="s">
        <v>2117</v>
      </c>
      <c r="G4609">
        <v>1</v>
      </c>
    </row>
    <row r="4610" spans="1:7" hidden="1" x14ac:dyDescent="0.25">
      <c r="A4610" s="28" t="s">
        <v>1865</v>
      </c>
      <c r="B4610" s="29">
        <v>35661.364300000001</v>
      </c>
      <c r="F4610" t="s">
        <v>1865</v>
      </c>
      <c r="G4610">
        <v>1</v>
      </c>
    </row>
    <row r="4611" spans="1:7" hidden="1" x14ac:dyDescent="0.25">
      <c r="A4611" s="28" t="s">
        <v>1934</v>
      </c>
      <c r="B4611" s="29">
        <v>35661.364300000001</v>
      </c>
      <c r="F4611" t="s">
        <v>1934</v>
      </c>
      <c r="G4611">
        <v>1</v>
      </c>
    </row>
    <row r="4612" spans="1:7" hidden="1" x14ac:dyDescent="0.25">
      <c r="A4612" s="28" t="s">
        <v>2079</v>
      </c>
      <c r="B4612" s="29">
        <v>35661.364300000001</v>
      </c>
      <c r="F4612" t="s">
        <v>2079</v>
      </c>
      <c r="G4612">
        <v>1</v>
      </c>
    </row>
    <row r="4613" spans="1:7" hidden="1" x14ac:dyDescent="0.25">
      <c r="A4613" s="28" t="s">
        <v>1877</v>
      </c>
      <c r="B4613" s="29">
        <v>35661.364300000001</v>
      </c>
      <c r="F4613" t="s">
        <v>1877</v>
      </c>
      <c r="G4613">
        <v>1</v>
      </c>
    </row>
    <row r="4614" spans="1:7" hidden="1" x14ac:dyDescent="0.25">
      <c r="A4614" s="28" t="s">
        <v>1882</v>
      </c>
      <c r="B4614" s="29">
        <v>35661.364300000001</v>
      </c>
      <c r="F4614" t="s">
        <v>1882</v>
      </c>
      <c r="G4614">
        <v>1</v>
      </c>
    </row>
    <row r="4615" spans="1:7" x14ac:dyDescent="0.25">
      <c r="A4615" s="28" t="s">
        <v>1449</v>
      </c>
      <c r="B4615" s="29">
        <v>35661.364300000001</v>
      </c>
      <c r="F4615" t="s">
        <v>1449</v>
      </c>
      <c r="G4615">
        <v>2</v>
      </c>
    </row>
    <row r="4616" spans="1:7" hidden="1" x14ac:dyDescent="0.25">
      <c r="A4616" s="28" t="s">
        <v>2071</v>
      </c>
      <c r="B4616" s="29">
        <v>35661.364300000001</v>
      </c>
      <c r="F4616" t="s">
        <v>2071</v>
      </c>
      <c r="G4616">
        <v>1</v>
      </c>
    </row>
    <row r="4617" spans="1:7" x14ac:dyDescent="0.25">
      <c r="A4617" s="28" t="s">
        <v>159</v>
      </c>
      <c r="B4617" s="29">
        <v>35661.364300000001</v>
      </c>
      <c r="F4617" t="s">
        <v>159</v>
      </c>
      <c r="G4617">
        <v>2</v>
      </c>
    </row>
    <row r="4618" spans="1:7" hidden="1" x14ac:dyDescent="0.25">
      <c r="A4618" s="28" t="s">
        <v>2076</v>
      </c>
      <c r="B4618" s="29">
        <v>35661.364300000001</v>
      </c>
      <c r="F4618" t="s">
        <v>2076</v>
      </c>
      <c r="G4618">
        <v>1</v>
      </c>
    </row>
    <row r="4619" spans="1:7" x14ac:dyDescent="0.25">
      <c r="A4619" s="28" t="s">
        <v>621</v>
      </c>
      <c r="B4619" s="29">
        <v>35661.364300000001</v>
      </c>
      <c r="F4619" t="s">
        <v>621</v>
      </c>
      <c r="G4619">
        <v>2</v>
      </c>
    </row>
    <row r="4620" spans="1:7" x14ac:dyDescent="0.25">
      <c r="A4620" s="28" t="s">
        <v>155</v>
      </c>
      <c r="B4620" s="29">
        <v>35661.364300000001</v>
      </c>
      <c r="F4620" t="s">
        <v>155</v>
      </c>
      <c r="G4620">
        <v>2</v>
      </c>
    </row>
    <row r="4621" spans="1:7" x14ac:dyDescent="0.25">
      <c r="A4621" s="28" t="s">
        <v>927</v>
      </c>
      <c r="B4621" s="29">
        <v>35661.364300000001</v>
      </c>
      <c r="F4621" t="s">
        <v>927</v>
      </c>
      <c r="G4621">
        <v>2</v>
      </c>
    </row>
    <row r="4622" spans="1:7" hidden="1" x14ac:dyDescent="0.25">
      <c r="A4622" s="28" t="s">
        <v>1813</v>
      </c>
      <c r="B4622" s="29">
        <v>35661.364300000001</v>
      </c>
      <c r="F4622" t="s">
        <v>1813</v>
      </c>
      <c r="G4622">
        <v>1</v>
      </c>
    </row>
    <row r="4623" spans="1:7" x14ac:dyDescent="0.25">
      <c r="A4623" s="28" t="s">
        <v>167</v>
      </c>
      <c r="B4623" s="29">
        <v>35661.364300000001</v>
      </c>
      <c r="F4623" t="s">
        <v>167</v>
      </c>
      <c r="G4623">
        <v>2</v>
      </c>
    </row>
    <row r="4624" spans="1:7" x14ac:dyDescent="0.25">
      <c r="A4624" s="28" t="s">
        <v>177</v>
      </c>
      <c r="B4624" s="29">
        <v>35661.364300000001</v>
      </c>
      <c r="F4624" t="s">
        <v>177</v>
      </c>
      <c r="G4624">
        <v>2</v>
      </c>
    </row>
    <row r="4625" spans="1:7" x14ac:dyDescent="0.25">
      <c r="A4625" s="28" t="s">
        <v>147</v>
      </c>
      <c r="B4625" s="29">
        <v>35661.364300000001</v>
      </c>
      <c r="F4625" t="s">
        <v>147</v>
      </c>
      <c r="G4625">
        <v>2</v>
      </c>
    </row>
    <row r="4626" spans="1:7" x14ac:dyDescent="0.25">
      <c r="A4626" s="28" t="s">
        <v>226</v>
      </c>
      <c r="B4626" s="29">
        <v>35661.364300000001</v>
      </c>
      <c r="F4626" t="s">
        <v>226</v>
      </c>
      <c r="G4626">
        <v>2</v>
      </c>
    </row>
    <row r="4627" spans="1:7" x14ac:dyDescent="0.25">
      <c r="A4627" s="28" t="s">
        <v>112</v>
      </c>
      <c r="B4627" s="29">
        <v>35661.364300000001</v>
      </c>
      <c r="F4627" t="s">
        <v>112</v>
      </c>
      <c r="G4627">
        <v>2</v>
      </c>
    </row>
    <row r="4628" spans="1:7" x14ac:dyDescent="0.25">
      <c r="A4628" s="28" t="s">
        <v>73</v>
      </c>
      <c r="B4628" s="29">
        <v>35661.364300000001</v>
      </c>
      <c r="F4628" t="s">
        <v>73</v>
      </c>
      <c r="G4628">
        <v>2</v>
      </c>
    </row>
    <row r="4629" spans="1:7" x14ac:dyDescent="0.25">
      <c r="A4629" s="28" t="s">
        <v>125</v>
      </c>
      <c r="B4629" s="29">
        <v>35661.364300000001</v>
      </c>
      <c r="F4629" t="s">
        <v>125</v>
      </c>
      <c r="G4629">
        <v>2</v>
      </c>
    </row>
    <row r="4630" spans="1:7" x14ac:dyDescent="0.25">
      <c r="A4630" s="28" t="s">
        <v>173</v>
      </c>
      <c r="B4630" s="29">
        <v>35661.364300000001</v>
      </c>
      <c r="F4630" t="s">
        <v>173</v>
      </c>
      <c r="G4630">
        <v>2</v>
      </c>
    </row>
    <row r="4631" spans="1:7" hidden="1" x14ac:dyDescent="0.25">
      <c r="A4631" s="28" t="s">
        <v>1853</v>
      </c>
      <c r="B4631" s="29">
        <v>35661.364300000001</v>
      </c>
      <c r="F4631" t="s">
        <v>1853</v>
      </c>
      <c r="G4631">
        <v>1</v>
      </c>
    </row>
    <row r="4632" spans="1:7" x14ac:dyDescent="0.25">
      <c r="A4632" s="28" t="s">
        <v>331</v>
      </c>
      <c r="B4632" s="29">
        <v>35661.364300000001</v>
      </c>
      <c r="F4632" t="s">
        <v>331</v>
      </c>
      <c r="G4632">
        <v>2</v>
      </c>
    </row>
    <row r="4633" spans="1:7" x14ac:dyDescent="0.25">
      <c r="A4633" s="28" t="s">
        <v>237</v>
      </c>
      <c r="B4633" s="29">
        <v>35661.364300000001</v>
      </c>
      <c r="F4633" t="s">
        <v>237</v>
      </c>
      <c r="G4633">
        <v>2</v>
      </c>
    </row>
    <row r="4634" spans="1:7" x14ac:dyDescent="0.25">
      <c r="A4634" s="28" t="s">
        <v>24</v>
      </c>
      <c r="B4634" s="29">
        <v>35129.2961</v>
      </c>
      <c r="F4634" t="s">
        <v>24</v>
      </c>
      <c r="G4634">
        <v>2</v>
      </c>
    </row>
    <row r="4635" spans="1:7" x14ac:dyDescent="0.25">
      <c r="A4635" s="28" t="s">
        <v>434</v>
      </c>
      <c r="B4635" s="29">
        <v>35129.2961</v>
      </c>
      <c r="F4635" t="s">
        <v>434</v>
      </c>
      <c r="G4635">
        <v>2</v>
      </c>
    </row>
    <row r="4636" spans="1:7" x14ac:dyDescent="0.25">
      <c r="A4636" s="28" t="s">
        <v>219</v>
      </c>
      <c r="B4636" s="29">
        <v>35129.2961</v>
      </c>
      <c r="F4636" t="s">
        <v>219</v>
      </c>
      <c r="G4636">
        <v>2</v>
      </c>
    </row>
    <row r="4637" spans="1:7" x14ac:dyDescent="0.25">
      <c r="A4637" s="28" t="s">
        <v>142</v>
      </c>
      <c r="B4637" s="29">
        <v>35129.2961</v>
      </c>
      <c r="F4637" t="s">
        <v>142</v>
      </c>
      <c r="G4637">
        <v>2</v>
      </c>
    </row>
    <row r="4638" spans="1:7" x14ac:dyDescent="0.25">
      <c r="A4638" s="28" t="s">
        <v>130</v>
      </c>
      <c r="B4638" s="29">
        <v>35129.2961</v>
      </c>
      <c r="F4638" t="s">
        <v>130</v>
      </c>
      <c r="G4638">
        <v>2</v>
      </c>
    </row>
    <row r="4639" spans="1:7" x14ac:dyDescent="0.25">
      <c r="A4639" s="28" t="s">
        <v>122</v>
      </c>
      <c r="B4639" s="29">
        <v>35129.2961</v>
      </c>
      <c r="F4639" t="s">
        <v>122</v>
      </c>
      <c r="G4639">
        <v>2</v>
      </c>
    </row>
    <row r="4640" spans="1:7" x14ac:dyDescent="0.25">
      <c r="A4640" s="28" t="s">
        <v>1229</v>
      </c>
      <c r="B4640" s="29">
        <v>35661.364300000001</v>
      </c>
      <c r="F4640" t="s">
        <v>1229</v>
      </c>
      <c r="G4640">
        <v>2</v>
      </c>
    </row>
    <row r="4641" spans="1:7" x14ac:dyDescent="0.25">
      <c r="A4641" s="28" t="s">
        <v>148</v>
      </c>
      <c r="B4641" s="29">
        <v>26241.207699999999</v>
      </c>
      <c r="F4641" t="s">
        <v>148</v>
      </c>
      <c r="G4641">
        <v>2</v>
      </c>
    </row>
    <row r="4642" spans="1:7" hidden="1" x14ac:dyDescent="0.25">
      <c r="A4642" s="28" t="s">
        <v>2449</v>
      </c>
      <c r="B4642" s="29">
        <v>26241.207699999999</v>
      </c>
      <c r="F4642" t="s">
        <v>2449</v>
      </c>
      <c r="G4642">
        <v>1</v>
      </c>
    </row>
    <row r="4643" spans="1:7" hidden="1" x14ac:dyDescent="0.25">
      <c r="A4643" s="28" t="s">
        <v>2351</v>
      </c>
      <c r="B4643" s="29">
        <v>26241.207699999999</v>
      </c>
      <c r="F4643" t="s">
        <v>2351</v>
      </c>
      <c r="G4643">
        <v>1</v>
      </c>
    </row>
    <row r="4644" spans="1:7" hidden="1" x14ac:dyDescent="0.25">
      <c r="A4644" s="28" t="s">
        <v>2082</v>
      </c>
      <c r="B4644" s="29">
        <v>26241.207699999999</v>
      </c>
      <c r="F4644" t="s">
        <v>2082</v>
      </c>
      <c r="G4644">
        <v>1</v>
      </c>
    </row>
    <row r="4645" spans="1:7" hidden="1" x14ac:dyDescent="0.25">
      <c r="A4645" s="28" t="s">
        <v>1840</v>
      </c>
      <c r="B4645" s="29">
        <v>26241.207699999999</v>
      </c>
      <c r="F4645" t="s">
        <v>1840</v>
      </c>
      <c r="G4645">
        <v>1</v>
      </c>
    </row>
    <row r="4646" spans="1:7" hidden="1" x14ac:dyDescent="0.25">
      <c r="A4646" s="28" t="s">
        <v>2397</v>
      </c>
      <c r="B4646" s="29">
        <v>35661.364300000001</v>
      </c>
      <c r="F4646" t="s">
        <v>2397</v>
      </c>
      <c r="G4646">
        <v>1</v>
      </c>
    </row>
    <row r="4647" spans="1:7" hidden="1" x14ac:dyDescent="0.25">
      <c r="A4647" s="28" t="s">
        <v>1911</v>
      </c>
      <c r="B4647" s="29">
        <v>35661.364300000001</v>
      </c>
      <c r="F4647" t="s">
        <v>1911</v>
      </c>
      <c r="G4647">
        <v>1</v>
      </c>
    </row>
    <row r="4648" spans="1:7" x14ac:dyDescent="0.25">
      <c r="A4648" s="28" t="s">
        <v>697</v>
      </c>
      <c r="B4648" s="29">
        <v>35129.2961</v>
      </c>
      <c r="F4648" t="s">
        <v>697</v>
      </c>
      <c r="G4648">
        <v>2</v>
      </c>
    </row>
    <row r="4649" spans="1:7" x14ac:dyDescent="0.25">
      <c r="A4649" s="28" t="s">
        <v>50</v>
      </c>
      <c r="B4649" s="29">
        <v>26241.207699999999</v>
      </c>
      <c r="F4649" t="s">
        <v>50</v>
      </c>
      <c r="G4649">
        <v>2</v>
      </c>
    </row>
    <row r="4650" spans="1:7" x14ac:dyDescent="0.25">
      <c r="A4650" s="28" t="s">
        <v>309</v>
      </c>
      <c r="B4650" s="29">
        <v>26241.207699999999</v>
      </c>
      <c r="F4650" t="s">
        <v>309</v>
      </c>
      <c r="G4650">
        <v>2</v>
      </c>
    </row>
    <row r="4651" spans="1:7" hidden="1" x14ac:dyDescent="0.25">
      <c r="A4651" s="28" t="s">
        <v>2428</v>
      </c>
      <c r="B4651" s="29">
        <v>35661.364300000001</v>
      </c>
      <c r="F4651" t="s">
        <v>2428</v>
      </c>
      <c r="G4651">
        <v>1</v>
      </c>
    </row>
    <row r="4652" spans="1:7" hidden="1" x14ac:dyDescent="0.25">
      <c r="A4652" s="28" t="s">
        <v>2402</v>
      </c>
      <c r="B4652" s="29">
        <v>35661.364300000001</v>
      </c>
      <c r="F4652" t="s">
        <v>2402</v>
      </c>
      <c r="G4652">
        <v>1</v>
      </c>
    </row>
    <row r="4653" spans="1:7" x14ac:dyDescent="0.25">
      <c r="A4653" s="28" t="s">
        <v>94</v>
      </c>
      <c r="B4653" s="29">
        <v>26241.207699999999</v>
      </c>
      <c r="F4653" t="s">
        <v>94</v>
      </c>
      <c r="G4653">
        <v>2</v>
      </c>
    </row>
    <row r="4654" spans="1:7" hidden="1" x14ac:dyDescent="0.25">
      <c r="A4654" s="28" t="s">
        <v>2355</v>
      </c>
      <c r="B4654" s="29">
        <v>26241.207699999999</v>
      </c>
      <c r="F4654" t="s">
        <v>2355</v>
      </c>
      <c r="G4654">
        <v>1</v>
      </c>
    </row>
    <row r="4655" spans="1:7" hidden="1" x14ac:dyDescent="0.25">
      <c r="A4655" s="28" t="s">
        <v>1895</v>
      </c>
      <c r="B4655" s="29">
        <v>26241.207699999999</v>
      </c>
      <c r="F4655" t="s">
        <v>1895</v>
      </c>
      <c r="G4655">
        <v>1</v>
      </c>
    </row>
    <row r="4656" spans="1:7" hidden="1" x14ac:dyDescent="0.25">
      <c r="A4656" s="28" t="s">
        <v>2039</v>
      </c>
      <c r="B4656" s="29">
        <v>26241.207699999999</v>
      </c>
      <c r="F4656" t="s">
        <v>2039</v>
      </c>
      <c r="G4656">
        <v>1</v>
      </c>
    </row>
    <row r="4657" spans="1:7" hidden="1" x14ac:dyDescent="0.25">
      <c r="A4657" s="28" t="s">
        <v>2083</v>
      </c>
      <c r="B4657" s="29">
        <v>26241.207699999999</v>
      </c>
      <c r="F4657" t="s">
        <v>2083</v>
      </c>
      <c r="G4657">
        <v>1</v>
      </c>
    </row>
    <row r="4658" spans="1:7" hidden="1" x14ac:dyDescent="0.25">
      <c r="A4658" s="28" t="s">
        <v>2189</v>
      </c>
      <c r="B4658" s="29">
        <v>35661.364300000001</v>
      </c>
      <c r="F4658" t="s">
        <v>2189</v>
      </c>
      <c r="G4658">
        <v>1</v>
      </c>
    </row>
    <row r="4659" spans="1:7" x14ac:dyDescent="0.25">
      <c r="A4659" s="28" t="s">
        <v>535</v>
      </c>
      <c r="B4659" s="29">
        <v>35661.364300000001</v>
      </c>
      <c r="F4659" t="s">
        <v>535</v>
      </c>
      <c r="G4659">
        <v>2</v>
      </c>
    </row>
    <row r="4660" spans="1:7" hidden="1" x14ac:dyDescent="0.25">
      <c r="A4660" s="28" t="s">
        <v>2476</v>
      </c>
      <c r="B4660" s="29">
        <v>35661.364300000001</v>
      </c>
      <c r="F4660" t="s">
        <v>2476</v>
      </c>
      <c r="G4660">
        <v>1</v>
      </c>
    </row>
    <row r="4661" spans="1:7" hidden="1" x14ac:dyDescent="0.25">
      <c r="A4661" s="28" t="s">
        <v>2300</v>
      </c>
      <c r="B4661" s="29">
        <v>35661.364300000001</v>
      </c>
      <c r="F4661" t="s">
        <v>2300</v>
      </c>
      <c r="G4661">
        <v>1</v>
      </c>
    </row>
    <row r="4662" spans="1:7" x14ac:dyDescent="0.25">
      <c r="A4662" s="28" t="s">
        <v>1482</v>
      </c>
      <c r="B4662" s="29">
        <v>35661.364300000001</v>
      </c>
      <c r="F4662" t="s">
        <v>1482</v>
      </c>
      <c r="G4662">
        <v>2</v>
      </c>
    </row>
    <row r="4663" spans="1:7" hidden="1" x14ac:dyDescent="0.25">
      <c r="A4663" s="28" t="s">
        <v>1943</v>
      </c>
      <c r="B4663" s="29">
        <v>35661.364300000001</v>
      </c>
      <c r="F4663" t="s">
        <v>1943</v>
      </c>
      <c r="G4663">
        <v>1</v>
      </c>
    </row>
    <row r="4664" spans="1:7" hidden="1" x14ac:dyDescent="0.25">
      <c r="A4664" s="28" t="s">
        <v>2211</v>
      </c>
      <c r="B4664" s="29">
        <v>35661.364300000001</v>
      </c>
      <c r="F4664" t="s">
        <v>2211</v>
      </c>
      <c r="G4664">
        <v>1</v>
      </c>
    </row>
    <row r="4665" spans="1:7" hidden="1" x14ac:dyDescent="0.25">
      <c r="A4665" s="28" t="s">
        <v>1964</v>
      </c>
      <c r="B4665" s="29">
        <v>35661.364300000001</v>
      </c>
      <c r="F4665" t="s">
        <v>1964</v>
      </c>
      <c r="G4665">
        <v>1</v>
      </c>
    </row>
    <row r="4666" spans="1:7" x14ac:dyDescent="0.25">
      <c r="A4666" s="28" t="s">
        <v>294</v>
      </c>
      <c r="B4666" s="29">
        <v>35661.364300000001</v>
      </c>
      <c r="F4666" t="s">
        <v>294</v>
      </c>
      <c r="G4666">
        <v>2</v>
      </c>
    </row>
    <row r="4667" spans="1:7" x14ac:dyDescent="0.25">
      <c r="A4667" s="28" t="s">
        <v>625</v>
      </c>
      <c r="B4667" s="29">
        <v>35661.364300000001</v>
      </c>
      <c r="F4667" t="s">
        <v>625</v>
      </c>
      <c r="G4667">
        <v>2</v>
      </c>
    </row>
    <row r="4668" spans="1:7" x14ac:dyDescent="0.25">
      <c r="A4668" s="28" t="s">
        <v>114</v>
      </c>
      <c r="B4668" s="29">
        <v>26241.207699999999</v>
      </c>
      <c r="F4668" t="s">
        <v>114</v>
      </c>
      <c r="G4668">
        <v>2</v>
      </c>
    </row>
    <row r="4669" spans="1:7" x14ac:dyDescent="0.25">
      <c r="A4669" s="28" t="s">
        <v>496</v>
      </c>
      <c r="B4669" s="29">
        <v>26241.207699999999</v>
      </c>
      <c r="F4669" t="s">
        <v>496</v>
      </c>
      <c r="G4669">
        <v>2</v>
      </c>
    </row>
    <row r="4670" spans="1:7" hidden="1" x14ac:dyDescent="0.25">
      <c r="A4670" s="28" t="s">
        <v>1898</v>
      </c>
      <c r="B4670" s="29">
        <v>35661.364300000001</v>
      </c>
      <c r="F4670" t="s">
        <v>1898</v>
      </c>
      <c r="G4670">
        <v>1</v>
      </c>
    </row>
    <row r="4671" spans="1:7" hidden="1" x14ac:dyDescent="0.25">
      <c r="A4671" s="28" t="s">
        <v>2184</v>
      </c>
      <c r="B4671" s="29">
        <v>35661.364300000001</v>
      </c>
      <c r="F4671" t="s">
        <v>2184</v>
      </c>
      <c r="G4671">
        <v>1</v>
      </c>
    </row>
    <row r="4672" spans="1:7" x14ac:dyDescent="0.25">
      <c r="A4672" s="28" t="s">
        <v>382</v>
      </c>
      <c r="B4672" s="29">
        <v>35129.2961</v>
      </c>
      <c r="F4672" t="s">
        <v>382</v>
      </c>
      <c r="G4672">
        <v>2</v>
      </c>
    </row>
    <row r="4673" spans="1:7" x14ac:dyDescent="0.25">
      <c r="A4673" s="28" t="s">
        <v>1158</v>
      </c>
      <c r="B4673" s="29">
        <v>35129.2961</v>
      </c>
      <c r="F4673" t="s">
        <v>1158</v>
      </c>
      <c r="G4673">
        <v>2</v>
      </c>
    </row>
    <row r="4674" spans="1:7" x14ac:dyDescent="0.25">
      <c r="A4674" s="28" t="s">
        <v>344</v>
      </c>
      <c r="B4674" s="29">
        <v>35129.2961</v>
      </c>
      <c r="F4674" t="s">
        <v>344</v>
      </c>
      <c r="G4674">
        <v>2</v>
      </c>
    </row>
    <row r="4675" spans="1:7" hidden="1" x14ac:dyDescent="0.25">
      <c r="A4675" s="28" t="s">
        <v>2230</v>
      </c>
      <c r="B4675" s="29">
        <v>35129.2961</v>
      </c>
      <c r="F4675" t="s">
        <v>2230</v>
      </c>
      <c r="G4675">
        <v>1</v>
      </c>
    </row>
    <row r="4676" spans="1:7" x14ac:dyDescent="0.25">
      <c r="A4676" s="28" t="s">
        <v>659</v>
      </c>
      <c r="B4676" s="29">
        <v>35129.2961</v>
      </c>
      <c r="F4676" t="s">
        <v>659</v>
      </c>
      <c r="G4676">
        <v>2</v>
      </c>
    </row>
    <row r="4677" spans="1:7" x14ac:dyDescent="0.25">
      <c r="A4677" s="28" t="s">
        <v>1545</v>
      </c>
      <c r="B4677" s="29">
        <v>35129.2961</v>
      </c>
      <c r="F4677" t="s">
        <v>1545</v>
      </c>
      <c r="G4677">
        <v>2</v>
      </c>
    </row>
    <row r="4678" spans="1:7" x14ac:dyDescent="0.25">
      <c r="A4678" s="28" t="s">
        <v>307</v>
      </c>
      <c r="B4678" s="29">
        <v>35129.2961</v>
      </c>
      <c r="F4678" t="s">
        <v>307</v>
      </c>
      <c r="G4678">
        <v>2</v>
      </c>
    </row>
    <row r="4679" spans="1:7" x14ac:dyDescent="0.25">
      <c r="A4679" s="28" t="s">
        <v>52</v>
      </c>
      <c r="B4679" s="29">
        <v>35129.2961</v>
      </c>
      <c r="F4679" t="s">
        <v>52</v>
      </c>
      <c r="G4679">
        <v>2</v>
      </c>
    </row>
    <row r="4680" spans="1:7" x14ac:dyDescent="0.25">
      <c r="A4680" s="28" t="s">
        <v>1245</v>
      </c>
      <c r="B4680" s="29">
        <v>35129.2961</v>
      </c>
      <c r="F4680" t="s">
        <v>1245</v>
      </c>
      <c r="G4680">
        <v>2</v>
      </c>
    </row>
    <row r="4681" spans="1:7" x14ac:dyDescent="0.25">
      <c r="A4681" s="28" t="s">
        <v>771</v>
      </c>
      <c r="B4681" s="29">
        <v>35129.2961</v>
      </c>
      <c r="F4681" t="s">
        <v>771</v>
      </c>
      <c r="G4681">
        <v>2</v>
      </c>
    </row>
    <row r="4682" spans="1:7" x14ac:dyDescent="0.25">
      <c r="A4682" s="28" t="s">
        <v>766</v>
      </c>
      <c r="B4682" s="29">
        <v>32052.276999999998</v>
      </c>
      <c r="F4682" t="s">
        <v>766</v>
      </c>
      <c r="G4682">
        <v>2</v>
      </c>
    </row>
    <row r="4683" spans="1:7" x14ac:dyDescent="0.25">
      <c r="A4683" s="28" t="s">
        <v>1261</v>
      </c>
      <c r="B4683" s="29">
        <v>35129.2961</v>
      </c>
      <c r="F4683" t="s">
        <v>1261</v>
      </c>
      <c r="G4683">
        <v>2</v>
      </c>
    </row>
    <row r="4684" spans="1:7" x14ac:dyDescent="0.25">
      <c r="A4684" s="28" t="s">
        <v>767</v>
      </c>
      <c r="B4684" s="29">
        <v>35129.2961</v>
      </c>
      <c r="F4684" t="s">
        <v>767</v>
      </c>
      <c r="G4684">
        <v>2</v>
      </c>
    </row>
    <row r="4685" spans="1:7" x14ac:dyDescent="0.25">
      <c r="A4685" s="28" t="s">
        <v>47</v>
      </c>
      <c r="B4685" s="29">
        <v>35129.2961</v>
      </c>
      <c r="F4685" t="s">
        <v>47</v>
      </c>
      <c r="G4685">
        <v>2</v>
      </c>
    </row>
    <row r="4686" spans="1:7" x14ac:dyDescent="0.25">
      <c r="A4686" s="28" t="s">
        <v>768</v>
      </c>
      <c r="B4686" s="29">
        <v>35129.2961</v>
      </c>
      <c r="F4686" t="s">
        <v>768</v>
      </c>
      <c r="G4686">
        <v>2</v>
      </c>
    </row>
    <row r="4687" spans="1:7" hidden="1" x14ac:dyDescent="0.25">
      <c r="A4687" s="28" t="s">
        <v>150</v>
      </c>
      <c r="B4687" s="29">
        <v>36501.853799999997</v>
      </c>
      <c r="F4687" t="s">
        <v>150</v>
      </c>
      <c r="G4687">
        <v>1</v>
      </c>
    </row>
    <row r="4688" spans="1:7" hidden="1" x14ac:dyDescent="0.25">
      <c r="A4688" s="28" t="s">
        <v>2156</v>
      </c>
      <c r="B4688" s="29">
        <v>30956.028900000001</v>
      </c>
      <c r="F4688" t="s">
        <v>2156</v>
      </c>
      <c r="G4688">
        <v>1</v>
      </c>
    </row>
    <row r="4689" spans="1:7" hidden="1" x14ac:dyDescent="0.25">
      <c r="A4689" s="28" t="s">
        <v>1866</v>
      </c>
      <c r="B4689" s="29">
        <v>30956.028900000001</v>
      </c>
      <c r="F4689" t="s">
        <v>1866</v>
      </c>
      <c r="G4689">
        <v>1</v>
      </c>
    </row>
    <row r="4690" spans="1:7" hidden="1" x14ac:dyDescent="0.25">
      <c r="A4690" s="28" t="s">
        <v>1847</v>
      </c>
      <c r="B4690" s="29">
        <v>30956.028900000001</v>
      </c>
      <c r="F4690" t="s">
        <v>1847</v>
      </c>
      <c r="G4690">
        <v>1</v>
      </c>
    </row>
    <row r="4691" spans="1:7" x14ac:dyDescent="0.25">
      <c r="A4691" s="28" t="s">
        <v>645</v>
      </c>
      <c r="B4691" s="29">
        <v>30956.028900000001</v>
      </c>
      <c r="F4691" t="s">
        <v>645</v>
      </c>
      <c r="G4691">
        <v>2</v>
      </c>
    </row>
    <row r="4692" spans="1:7" hidden="1" x14ac:dyDescent="0.25">
      <c r="A4692" s="28" t="s">
        <v>2142</v>
      </c>
      <c r="B4692" s="29">
        <v>30956.028900000001</v>
      </c>
      <c r="F4692" t="s">
        <v>2142</v>
      </c>
      <c r="G4692">
        <v>1</v>
      </c>
    </row>
    <row r="4693" spans="1:7" hidden="1" x14ac:dyDescent="0.25">
      <c r="A4693" s="28" t="s">
        <v>2140</v>
      </c>
      <c r="B4693" s="29">
        <v>30956.028900000001</v>
      </c>
      <c r="F4693" t="s">
        <v>2140</v>
      </c>
      <c r="G4693">
        <v>1</v>
      </c>
    </row>
    <row r="4694" spans="1:7" hidden="1" x14ac:dyDescent="0.25">
      <c r="A4694" s="28" t="s">
        <v>2158</v>
      </c>
      <c r="B4694" s="29">
        <v>30956.028900000001</v>
      </c>
      <c r="F4694" t="s">
        <v>2158</v>
      </c>
      <c r="G4694">
        <v>1</v>
      </c>
    </row>
    <row r="4695" spans="1:7" hidden="1" x14ac:dyDescent="0.25">
      <c r="A4695" s="28" t="s">
        <v>2303</v>
      </c>
      <c r="B4695" s="29">
        <v>30956.028900000001</v>
      </c>
      <c r="F4695" t="s">
        <v>2303</v>
      </c>
      <c r="G4695">
        <v>1</v>
      </c>
    </row>
    <row r="4696" spans="1:7" hidden="1" x14ac:dyDescent="0.25">
      <c r="A4696" s="28" t="s">
        <v>1850</v>
      </c>
      <c r="B4696" s="29">
        <v>30956.028900000001</v>
      </c>
      <c r="F4696" t="s">
        <v>1850</v>
      </c>
      <c r="G4696">
        <v>1</v>
      </c>
    </row>
    <row r="4697" spans="1:7" hidden="1" x14ac:dyDescent="0.25">
      <c r="A4697" s="28" t="s">
        <v>2141</v>
      </c>
      <c r="B4697" s="29">
        <v>30956.028900000001</v>
      </c>
      <c r="F4697" t="s">
        <v>2141</v>
      </c>
      <c r="G4697">
        <v>1</v>
      </c>
    </row>
    <row r="4698" spans="1:7" hidden="1" x14ac:dyDescent="0.25">
      <c r="A4698" s="28" t="s">
        <v>2080</v>
      </c>
      <c r="B4698" s="29">
        <v>30956.028900000001</v>
      </c>
      <c r="F4698" t="s">
        <v>2080</v>
      </c>
      <c r="G4698">
        <v>1</v>
      </c>
    </row>
    <row r="4699" spans="1:7" hidden="1" x14ac:dyDescent="0.25">
      <c r="A4699" s="28" t="s">
        <v>2277</v>
      </c>
      <c r="B4699" s="29">
        <v>30956.028900000001</v>
      </c>
      <c r="F4699" t="s">
        <v>2277</v>
      </c>
      <c r="G4699">
        <v>1</v>
      </c>
    </row>
    <row r="4700" spans="1:7" x14ac:dyDescent="0.25">
      <c r="A4700" s="28" t="s">
        <v>320</v>
      </c>
      <c r="B4700" s="29">
        <v>30956.028900000001</v>
      </c>
      <c r="F4700" t="s">
        <v>320</v>
      </c>
      <c r="G4700">
        <v>2</v>
      </c>
    </row>
    <row r="4701" spans="1:7" hidden="1" x14ac:dyDescent="0.25">
      <c r="A4701" s="28" t="s">
        <v>2026</v>
      </c>
      <c r="B4701" s="29">
        <v>30956.028900000001</v>
      </c>
      <c r="F4701" t="s">
        <v>2026</v>
      </c>
      <c r="G4701">
        <v>1</v>
      </c>
    </row>
    <row r="4702" spans="1:7" hidden="1" x14ac:dyDescent="0.25">
      <c r="A4702" s="28" t="s">
        <v>2212</v>
      </c>
      <c r="B4702" s="29">
        <v>30956.028900000001</v>
      </c>
      <c r="F4702" t="s">
        <v>2212</v>
      </c>
      <c r="G4702">
        <v>1</v>
      </c>
    </row>
    <row r="4703" spans="1:7" hidden="1" x14ac:dyDescent="0.25">
      <c r="A4703" s="28" t="s">
        <v>1915</v>
      </c>
      <c r="B4703" s="29">
        <v>30956.028900000001</v>
      </c>
      <c r="F4703" t="s">
        <v>1915</v>
      </c>
      <c r="G4703">
        <v>1</v>
      </c>
    </row>
    <row r="4704" spans="1:7" hidden="1" x14ac:dyDescent="0.25">
      <c r="A4704" s="28" t="s">
        <v>1804</v>
      </c>
      <c r="B4704" s="29">
        <v>32992.053800000002</v>
      </c>
      <c r="F4704" t="s">
        <v>1804</v>
      </c>
      <c r="G4704">
        <v>1</v>
      </c>
    </row>
    <row r="4705" spans="1:7" x14ac:dyDescent="0.25">
      <c r="A4705" s="28" t="s">
        <v>1047</v>
      </c>
      <c r="B4705" s="29">
        <v>30956.028900000001</v>
      </c>
      <c r="F4705" t="s">
        <v>1047</v>
      </c>
      <c r="G4705">
        <v>2</v>
      </c>
    </row>
    <row r="4706" spans="1:7" hidden="1" x14ac:dyDescent="0.25">
      <c r="A4706" s="28" t="s">
        <v>2122</v>
      </c>
      <c r="B4706" s="29">
        <v>30956.028900000001</v>
      </c>
      <c r="F4706" t="s">
        <v>2122</v>
      </c>
      <c r="G4706">
        <v>1</v>
      </c>
    </row>
    <row r="4707" spans="1:7" hidden="1" x14ac:dyDescent="0.25">
      <c r="A4707" s="28" t="s">
        <v>2014</v>
      </c>
      <c r="B4707" s="29">
        <v>30956.028900000001</v>
      </c>
      <c r="F4707" t="s">
        <v>2014</v>
      </c>
      <c r="G4707">
        <v>1</v>
      </c>
    </row>
    <row r="4708" spans="1:7" hidden="1" x14ac:dyDescent="0.25">
      <c r="A4708" s="28" t="s">
        <v>1933</v>
      </c>
      <c r="B4708" s="29">
        <v>30956.028900000001</v>
      </c>
      <c r="F4708" t="s">
        <v>1933</v>
      </c>
      <c r="G4708">
        <v>1</v>
      </c>
    </row>
    <row r="4709" spans="1:7" hidden="1" x14ac:dyDescent="0.25">
      <c r="A4709" s="28" t="s">
        <v>2161</v>
      </c>
      <c r="B4709" s="29">
        <v>32992.053800000002</v>
      </c>
      <c r="F4709" t="s">
        <v>2161</v>
      </c>
      <c r="G4709">
        <v>1</v>
      </c>
    </row>
    <row r="4710" spans="1:7" hidden="1" x14ac:dyDescent="0.25">
      <c r="A4710" s="28" t="s">
        <v>1891</v>
      </c>
      <c r="B4710" s="29">
        <v>32992.053800000002</v>
      </c>
      <c r="F4710" t="s">
        <v>1891</v>
      </c>
      <c r="G4710">
        <v>1</v>
      </c>
    </row>
    <row r="4711" spans="1:7" hidden="1" x14ac:dyDescent="0.25">
      <c r="A4711" s="28" t="s">
        <v>2278</v>
      </c>
      <c r="B4711" s="29">
        <v>30956.028900000001</v>
      </c>
      <c r="F4711" t="s">
        <v>2278</v>
      </c>
      <c r="G4711">
        <v>1</v>
      </c>
    </row>
    <row r="4712" spans="1:7" hidden="1" x14ac:dyDescent="0.25">
      <c r="A4712" s="28" t="s">
        <v>2221</v>
      </c>
      <c r="B4712" s="29">
        <v>30956.028900000001</v>
      </c>
      <c r="F4712" t="s">
        <v>2221</v>
      </c>
      <c r="G4712">
        <v>1</v>
      </c>
    </row>
    <row r="4713" spans="1:7" hidden="1" x14ac:dyDescent="0.25">
      <c r="A4713" s="28" t="s">
        <v>1955</v>
      </c>
      <c r="B4713" s="29">
        <v>30956.028900000001</v>
      </c>
      <c r="F4713" t="s">
        <v>1955</v>
      </c>
      <c r="G4713">
        <v>1</v>
      </c>
    </row>
    <row r="4714" spans="1:7" hidden="1" x14ac:dyDescent="0.25">
      <c r="A4714" s="28" t="s">
        <v>2222</v>
      </c>
      <c r="B4714" s="29">
        <v>30956.028900000001</v>
      </c>
      <c r="F4714" t="s">
        <v>2222</v>
      </c>
      <c r="G4714">
        <v>1</v>
      </c>
    </row>
    <row r="4715" spans="1:7" hidden="1" x14ac:dyDescent="0.25">
      <c r="A4715" s="28" t="s">
        <v>2134</v>
      </c>
      <c r="B4715" s="29">
        <v>30956.028900000001</v>
      </c>
      <c r="F4715" t="s">
        <v>2134</v>
      </c>
      <c r="G4715">
        <v>1</v>
      </c>
    </row>
    <row r="4716" spans="1:7" x14ac:dyDescent="0.25">
      <c r="A4716" s="28" t="s">
        <v>61</v>
      </c>
      <c r="B4716" s="29">
        <v>37671.780200000001</v>
      </c>
      <c r="F4716" t="s">
        <v>61</v>
      </c>
      <c r="G4716">
        <v>2</v>
      </c>
    </row>
    <row r="4717" spans="1:7" hidden="1" x14ac:dyDescent="0.25">
      <c r="A4717" s="28" t="s">
        <v>2159</v>
      </c>
      <c r="B4717" s="29">
        <v>30956.028900000001</v>
      </c>
      <c r="F4717" t="s">
        <v>2159</v>
      </c>
      <c r="G4717">
        <v>1</v>
      </c>
    </row>
    <row r="4718" spans="1:7" hidden="1" x14ac:dyDescent="0.25">
      <c r="A4718" s="28" t="s">
        <v>2646</v>
      </c>
      <c r="B4718" s="29">
        <v>30956.028900000001</v>
      </c>
      <c r="F4718" t="s">
        <v>2646</v>
      </c>
      <c r="G4718">
        <v>1</v>
      </c>
    </row>
    <row r="4719" spans="1:7" hidden="1" x14ac:dyDescent="0.25">
      <c r="A4719" s="28" t="s">
        <v>2143</v>
      </c>
      <c r="B4719" s="29">
        <v>30956.028900000001</v>
      </c>
      <c r="F4719" t="s">
        <v>2143</v>
      </c>
      <c r="G4719">
        <v>1</v>
      </c>
    </row>
    <row r="4720" spans="1:7" hidden="1" x14ac:dyDescent="0.25">
      <c r="A4720" s="28" t="s">
        <v>2294</v>
      </c>
      <c r="B4720" s="29">
        <v>30956.028900000001</v>
      </c>
      <c r="F4720" t="s">
        <v>2294</v>
      </c>
      <c r="G4720">
        <v>1</v>
      </c>
    </row>
    <row r="4721" spans="1:7" hidden="1" x14ac:dyDescent="0.25">
      <c r="A4721" s="28" t="s">
        <v>1885</v>
      </c>
      <c r="B4721" s="29">
        <v>30956.028900000001</v>
      </c>
      <c r="F4721" t="s">
        <v>1885</v>
      </c>
      <c r="G4721">
        <v>1</v>
      </c>
    </row>
    <row r="4722" spans="1:7" x14ac:dyDescent="0.25">
      <c r="A4722" s="28" t="s">
        <v>1408</v>
      </c>
      <c r="B4722" s="29">
        <v>30956.028900000001</v>
      </c>
      <c r="F4722" t="s">
        <v>1408</v>
      </c>
      <c r="G4722">
        <v>2</v>
      </c>
    </row>
    <row r="4723" spans="1:7" hidden="1" x14ac:dyDescent="0.25">
      <c r="A4723" s="28" t="s">
        <v>2157</v>
      </c>
      <c r="B4723" s="29">
        <v>30956.028900000001</v>
      </c>
      <c r="F4723" t="s">
        <v>2157</v>
      </c>
      <c r="G4723">
        <v>1</v>
      </c>
    </row>
    <row r="4724" spans="1:7" hidden="1" x14ac:dyDescent="0.25">
      <c r="A4724" s="28" t="s">
        <v>2470</v>
      </c>
      <c r="B4724" s="29">
        <v>30956.028900000001</v>
      </c>
      <c r="F4724" t="s">
        <v>2470</v>
      </c>
      <c r="G4724">
        <v>1</v>
      </c>
    </row>
    <row r="4725" spans="1:7" hidden="1" x14ac:dyDescent="0.25">
      <c r="A4725" s="28" t="s">
        <v>1860</v>
      </c>
      <c r="B4725" s="29">
        <v>30956.028900000001</v>
      </c>
      <c r="F4725" t="s">
        <v>1860</v>
      </c>
      <c r="G4725">
        <v>1</v>
      </c>
    </row>
    <row r="4726" spans="1:7" hidden="1" x14ac:dyDescent="0.25">
      <c r="A4726" s="28" t="s">
        <v>2051</v>
      </c>
      <c r="B4726" s="29">
        <v>30956.028900000001</v>
      </c>
      <c r="F4726" t="s">
        <v>2051</v>
      </c>
      <c r="G4726">
        <v>1</v>
      </c>
    </row>
    <row r="4727" spans="1:7" x14ac:dyDescent="0.25">
      <c r="A4727" s="28" t="s">
        <v>1469</v>
      </c>
      <c r="B4727" s="29">
        <v>32992.053800000002</v>
      </c>
      <c r="F4727" t="s">
        <v>1469</v>
      </c>
      <c r="G4727">
        <v>2</v>
      </c>
    </row>
    <row r="4728" spans="1:7" hidden="1" x14ac:dyDescent="0.25">
      <c r="A4728" s="28" t="s">
        <v>2144</v>
      </c>
      <c r="B4728" s="29">
        <v>32992.053800000002</v>
      </c>
      <c r="F4728" t="s">
        <v>2144</v>
      </c>
      <c r="G4728">
        <v>1</v>
      </c>
    </row>
    <row r="4729" spans="1:7" x14ac:dyDescent="0.25">
      <c r="A4729" s="28" t="s">
        <v>324</v>
      </c>
      <c r="B4729" s="29">
        <v>32992.053800000002</v>
      </c>
      <c r="F4729" t="s">
        <v>324</v>
      </c>
      <c r="G4729">
        <v>2</v>
      </c>
    </row>
    <row r="4730" spans="1:7" hidden="1" x14ac:dyDescent="0.25">
      <c r="A4730" s="28" t="s">
        <v>2107</v>
      </c>
      <c r="B4730" s="29">
        <v>52414.09</v>
      </c>
      <c r="F4730" t="s">
        <v>2107</v>
      </c>
      <c r="G4730">
        <v>1</v>
      </c>
    </row>
    <row r="4731" spans="1:7" hidden="1" x14ac:dyDescent="0.25">
      <c r="A4731" s="28" t="s">
        <v>1846</v>
      </c>
      <c r="B4731" s="29">
        <v>52414.09</v>
      </c>
      <c r="F4731" t="s">
        <v>1846</v>
      </c>
      <c r="G4731">
        <v>1</v>
      </c>
    </row>
    <row r="4732" spans="1:7" x14ac:dyDescent="0.25">
      <c r="A4732" s="28" t="s">
        <v>1199</v>
      </c>
      <c r="B4732" s="29">
        <v>30956.028900000001</v>
      </c>
      <c r="F4732" t="s">
        <v>1199</v>
      </c>
      <c r="G4732">
        <v>2</v>
      </c>
    </row>
    <row r="4733" spans="1:7" hidden="1" x14ac:dyDescent="0.25">
      <c r="A4733" s="28" t="s">
        <v>2373</v>
      </c>
      <c r="B4733" s="29">
        <v>32992.053800000002</v>
      </c>
      <c r="F4733" t="s">
        <v>2373</v>
      </c>
      <c r="G4733">
        <v>1</v>
      </c>
    </row>
    <row r="4734" spans="1:7" hidden="1" x14ac:dyDescent="0.25">
      <c r="A4734" s="28" t="s">
        <v>2119</v>
      </c>
      <c r="B4734" s="29">
        <v>30956.028900000001</v>
      </c>
      <c r="F4734" t="s">
        <v>2119</v>
      </c>
      <c r="G4734">
        <v>1</v>
      </c>
    </row>
    <row r="4735" spans="1:7" hidden="1" x14ac:dyDescent="0.25">
      <c r="A4735" s="28" t="s">
        <v>2038</v>
      </c>
      <c r="B4735" s="29">
        <v>30956.028900000001</v>
      </c>
      <c r="F4735" t="s">
        <v>2038</v>
      </c>
      <c r="G4735">
        <v>1</v>
      </c>
    </row>
    <row r="4736" spans="1:7" hidden="1" x14ac:dyDescent="0.25">
      <c r="A4736" s="28" t="s">
        <v>1908</v>
      </c>
      <c r="B4736" s="29">
        <v>30956.028900000001</v>
      </c>
      <c r="F4736" t="s">
        <v>1908</v>
      </c>
      <c r="G4736">
        <v>1</v>
      </c>
    </row>
    <row r="4737" spans="1:7" hidden="1" x14ac:dyDescent="0.25">
      <c r="A4737" s="28" t="s">
        <v>2162</v>
      </c>
      <c r="B4737" s="29">
        <v>52414.09</v>
      </c>
      <c r="F4737" t="s">
        <v>2162</v>
      </c>
      <c r="G4737">
        <v>1</v>
      </c>
    </row>
    <row r="4738" spans="1:7" x14ac:dyDescent="0.25">
      <c r="A4738" s="28" t="s">
        <v>453</v>
      </c>
      <c r="B4738" s="29">
        <v>32992.053800000002</v>
      </c>
      <c r="F4738" t="s">
        <v>453</v>
      </c>
      <c r="G4738">
        <v>2</v>
      </c>
    </row>
    <row r="4739" spans="1:7" hidden="1" x14ac:dyDescent="0.25">
      <c r="A4739" s="28" t="s">
        <v>2306</v>
      </c>
      <c r="B4739" s="29">
        <v>32992.053800000002</v>
      </c>
      <c r="F4739" t="s">
        <v>2306</v>
      </c>
      <c r="G4739">
        <v>1</v>
      </c>
    </row>
    <row r="4740" spans="1:7" hidden="1" x14ac:dyDescent="0.25">
      <c r="A4740" s="28" t="s">
        <v>2295</v>
      </c>
      <c r="B4740" s="29">
        <v>32992.053800000002</v>
      </c>
      <c r="F4740" t="s">
        <v>2295</v>
      </c>
      <c r="G4740">
        <v>1</v>
      </c>
    </row>
    <row r="4741" spans="1:7" x14ac:dyDescent="0.25">
      <c r="A4741" s="28" t="s">
        <v>1332</v>
      </c>
      <c r="B4741" s="29">
        <v>32992.053800000002</v>
      </c>
      <c r="F4741" t="s">
        <v>1332</v>
      </c>
      <c r="G4741">
        <v>2</v>
      </c>
    </row>
    <row r="4742" spans="1:7" x14ac:dyDescent="0.25">
      <c r="A4742" s="28" t="s">
        <v>68</v>
      </c>
      <c r="B4742" s="29">
        <v>32992.053800000002</v>
      </c>
      <c r="F4742" t="s">
        <v>68</v>
      </c>
      <c r="G4742">
        <v>2</v>
      </c>
    </row>
    <row r="4743" spans="1:7" hidden="1" x14ac:dyDescent="0.25">
      <c r="A4743" s="28" t="s">
        <v>1920</v>
      </c>
      <c r="B4743" s="29">
        <v>32992.053800000002</v>
      </c>
      <c r="F4743" t="s">
        <v>1920</v>
      </c>
      <c r="G4743">
        <v>1</v>
      </c>
    </row>
    <row r="4744" spans="1:7" hidden="1" x14ac:dyDescent="0.25">
      <c r="A4744" s="28" t="s">
        <v>2025</v>
      </c>
      <c r="B4744" s="29">
        <v>32992.053800000002</v>
      </c>
      <c r="F4744" t="s">
        <v>2025</v>
      </c>
      <c r="G4744">
        <v>1</v>
      </c>
    </row>
    <row r="4745" spans="1:7" hidden="1" x14ac:dyDescent="0.25">
      <c r="A4745" s="28" t="s">
        <v>2193</v>
      </c>
      <c r="B4745" s="29">
        <v>32992.053800000002</v>
      </c>
      <c r="F4745" t="s">
        <v>2193</v>
      </c>
      <c r="G4745">
        <v>1</v>
      </c>
    </row>
    <row r="4746" spans="1:7" hidden="1" x14ac:dyDescent="0.25">
      <c r="A4746" s="28" t="s">
        <v>2231</v>
      </c>
      <c r="B4746" s="29">
        <v>32992.053800000002</v>
      </c>
      <c r="F4746" t="s">
        <v>2231</v>
      </c>
      <c r="G4746">
        <v>1</v>
      </c>
    </row>
    <row r="4747" spans="1:7" hidden="1" x14ac:dyDescent="0.25">
      <c r="A4747" s="28" t="s">
        <v>2339</v>
      </c>
      <c r="B4747" s="29">
        <v>32992.053800000002</v>
      </c>
      <c r="F4747" t="s">
        <v>2339</v>
      </c>
      <c r="G4747">
        <v>1</v>
      </c>
    </row>
    <row r="4748" spans="1:7" hidden="1" x14ac:dyDescent="0.25">
      <c r="A4748" s="28" t="s">
        <v>2160</v>
      </c>
      <c r="B4748" s="29">
        <v>32992.053800000002</v>
      </c>
      <c r="F4748" t="s">
        <v>2160</v>
      </c>
      <c r="G4748">
        <v>1</v>
      </c>
    </row>
    <row r="4749" spans="1:7" hidden="1" x14ac:dyDescent="0.25">
      <c r="A4749" s="28" t="s">
        <v>1876</v>
      </c>
      <c r="B4749" s="29">
        <v>32992.053800000002</v>
      </c>
      <c r="F4749" t="s">
        <v>1876</v>
      </c>
      <c r="G4749">
        <v>1</v>
      </c>
    </row>
    <row r="4750" spans="1:7" x14ac:dyDescent="0.25">
      <c r="A4750" s="28" t="s">
        <v>794</v>
      </c>
      <c r="B4750" s="29">
        <v>32992.053800000002</v>
      </c>
      <c r="F4750" t="s">
        <v>794</v>
      </c>
      <c r="G4750">
        <v>2</v>
      </c>
    </row>
    <row r="4751" spans="1:7" hidden="1" x14ac:dyDescent="0.25">
      <c r="A4751" s="28" t="s">
        <v>2027</v>
      </c>
      <c r="B4751" s="29">
        <v>32992.053800000002</v>
      </c>
      <c r="F4751" t="s">
        <v>2027</v>
      </c>
      <c r="G4751">
        <v>1</v>
      </c>
    </row>
    <row r="4752" spans="1:7" x14ac:dyDescent="0.25">
      <c r="A4752" s="28" t="s">
        <v>77</v>
      </c>
      <c r="B4752" s="29">
        <v>32992.053800000002</v>
      </c>
      <c r="F4752" t="s">
        <v>77</v>
      </c>
      <c r="G4752">
        <v>2</v>
      </c>
    </row>
    <row r="4753" spans="1:7" x14ac:dyDescent="0.25">
      <c r="A4753" s="28" t="s">
        <v>239</v>
      </c>
      <c r="B4753" s="29">
        <v>32992.053800000002</v>
      </c>
      <c r="F4753" t="s">
        <v>239</v>
      </c>
      <c r="G4753">
        <v>2</v>
      </c>
    </row>
    <row r="4754" spans="1:7" x14ac:dyDescent="0.25">
      <c r="A4754" s="28" t="s">
        <v>215</v>
      </c>
      <c r="B4754" s="29">
        <v>32992.053800000002</v>
      </c>
      <c r="F4754" t="s">
        <v>215</v>
      </c>
      <c r="G4754">
        <v>2</v>
      </c>
    </row>
    <row r="4755" spans="1:7" hidden="1" x14ac:dyDescent="0.25">
      <c r="A4755" s="28" t="s">
        <v>1899</v>
      </c>
      <c r="B4755" s="29">
        <v>32992.053800000002</v>
      </c>
      <c r="F4755" t="s">
        <v>1899</v>
      </c>
      <c r="G4755">
        <v>1</v>
      </c>
    </row>
    <row r="4756" spans="1:7" x14ac:dyDescent="0.25">
      <c r="A4756" s="28" t="s">
        <v>429</v>
      </c>
      <c r="B4756" s="29">
        <v>34923.320599999999</v>
      </c>
      <c r="F4756" t="s">
        <v>429</v>
      </c>
      <c r="G4756">
        <v>2</v>
      </c>
    </row>
    <row r="4757" spans="1:7" hidden="1" x14ac:dyDescent="0.25">
      <c r="A4757" s="28" t="s">
        <v>2181</v>
      </c>
      <c r="B4757" s="29">
        <v>34923.320599999999</v>
      </c>
      <c r="F4757" t="s">
        <v>2181</v>
      </c>
      <c r="G4757">
        <v>1</v>
      </c>
    </row>
    <row r="4758" spans="1:7" hidden="1" x14ac:dyDescent="0.25">
      <c r="A4758" s="28" t="s">
        <v>2036</v>
      </c>
      <c r="B4758" s="29">
        <v>34923.320599999999</v>
      </c>
      <c r="F4758" t="s">
        <v>2036</v>
      </c>
      <c r="G4758">
        <v>1</v>
      </c>
    </row>
    <row r="4759" spans="1:7" x14ac:dyDescent="0.25">
      <c r="A4759" s="28" t="s">
        <v>318</v>
      </c>
      <c r="B4759" s="29">
        <v>34923.320599999999</v>
      </c>
      <c r="F4759" t="s">
        <v>318</v>
      </c>
      <c r="G4759">
        <v>2</v>
      </c>
    </row>
    <row r="4760" spans="1:7" hidden="1" x14ac:dyDescent="0.25">
      <c r="A4760" s="28" t="s">
        <v>2164</v>
      </c>
      <c r="B4760" s="29">
        <v>36501.853799999997</v>
      </c>
      <c r="F4760" t="s">
        <v>2164</v>
      </c>
      <c r="G4760">
        <v>1</v>
      </c>
    </row>
    <row r="4761" spans="1:7" hidden="1" x14ac:dyDescent="0.25">
      <c r="A4761" s="28" t="s">
        <v>2165</v>
      </c>
      <c r="B4761" s="29">
        <v>36501.853799999997</v>
      </c>
      <c r="F4761" t="s">
        <v>2165</v>
      </c>
      <c r="G4761">
        <v>1</v>
      </c>
    </row>
    <row r="4762" spans="1:7" hidden="1" x14ac:dyDescent="0.25">
      <c r="A4762" s="28" t="s">
        <v>2276</v>
      </c>
      <c r="B4762" s="29">
        <v>36501.853799999997</v>
      </c>
      <c r="F4762" t="s">
        <v>2276</v>
      </c>
      <c r="G4762">
        <v>1</v>
      </c>
    </row>
    <row r="4763" spans="1:7" hidden="1" x14ac:dyDescent="0.25">
      <c r="A4763" s="28" t="s">
        <v>2029</v>
      </c>
      <c r="B4763" s="29">
        <v>36501.853799999997</v>
      </c>
      <c r="F4763" t="s">
        <v>2029</v>
      </c>
      <c r="G4763">
        <v>1</v>
      </c>
    </row>
    <row r="4764" spans="1:7" hidden="1" x14ac:dyDescent="0.25">
      <c r="A4764" s="28" t="s">
        <v>2013</v>
      </c>
      <c r="B4764" s="29">
        <v>36501.853799999997</v>
      </c>
      <c r="F4764" t="s">
        <v>2013</v>
      </c>
      <c r="G4764">
        <v>1</v>
      </c>
    </row>
    <row r="4765" spans="1:7" hidden="1" x14ac:dyDescent="0.25">
      <c r="A4765" s="28" t="s">
        <v>2163</v>
      </c>
      <c r="B4765" s="29">
        <v>36501.853799999997</v>
      </c>
      <c r="F4765" t="s">
        <v>2163</v>
      </c>
      <c r="G4765">
        <v>1</v>
      </c>
    </row>
    <row r="4766" spans="1:7" x14ac:dyDescent="0.25">
      <c r="A4766" s="28" t="s">
        <v>134</v>
      </c>
      <c r="B4766" s="29">
        <v>36501.853799999997</v>
      </c>
      <c r="F4766" t="s">
        <v>134</v>
      </c>
      <c r="G4766">
        <v>2</v>
      </c>
    </row>
    <row r="4767" spans="1:7" x14ac:dyDescent="0.25">
      <c r="A4767" s="28" t="s">
        <v>82</v>
      </c>
      <c r="B4767" s="29">
        <v>59401.350049999994</v>
      </c>
      <c r="F4767" t="s">
        <v>82</v>
      </c>
      <c r="G4767">
        <v>2</v>
      </c>
    </row>
    <row r="4768" spans="1:7" x14ac:dyDescent="0.25">
      <c r="A4768" s="28" t="s">
        <v>79</v>
      </c>
      <c r="B4768" s="29">
        <v>38880.125099999997</v>
      </c>
      <c r="F4768" t="s">
        <v>79</v>
      </c>
      <c r="G4768">
        <v>2</v>
      </c>
    </row>
    <row r="4769" spans="1:7" hidden="1" x14ac:dyDescent="0.25">
      <c r="A4769" s="28" t="s">
        <v>1879</v>
      </c>
      <c r="B4769" s="29">
        <v>30956.028900000001</v>
      </c>
      <c r="F4769" t="s">
        <v>1879</v>
      </c>
      <c r="G4769">
        <v>1</v>
      </c>
    </row>
    <row r="4770" spans="1:7" x14ac:dyDescent="0.25">
      <c r="A4770" s="28" t="s">
        <v>22</v>
      </c>
      <c r="B4770" s="29">
        <v>35021.100899999998</v>
      </c>
      <c r="F4770" t="s">
        <v>22</v>
      </c>
      <c r="G4770">
        <v>2</v>
      </c>
    </row>
    <row r="4771" spans="1:7" hidden="1" x14ac:dyDescent="0.25">
      <c r="A4771" s="28" t="s">
        <v>2542</v>
      </c>
      <c r="B4771" s="29">
        <v>35021.100899999998</v>
      </c>
      <c r="F4771" t="s">
        <v>2542</v>
      </c>
      <c r="G4771">
        <v>1</v>
      </c>
    </row>
    <row r="4772" spans="1:7" hidden="1" x14ac:dyDescent="0.25">
      <c r="A4772" s="28" t="s">
        <v>1880</v>
      </c>
      <c r="B4772" s="29">
        <v>35021.100899999998</v>
      </c>
      <c r="F4772" t="s">
        <v>1880</v>
      </c>
      <c r="G4772">
        <v>1</v>
      </c>
    </row>
    <row r="4773" spans="1:7" hidden="1" x14ac:dyDescent="0.25">
      <c r="A4773" s="28" t="s">
        <v>1937</v>
      </c>
      <c r="B4773" s="29">
        <v>30956.028900000001</v>
      </c>
      <c r="F4773" t="s">
        <v>1937</v>
      </c>
      <c r="G4773">
        <v>1</v>
      </c>
    </row>
    <row r="4774" spans="1:7" hidden="1" x14ac:dyDescent="0.25">
      <c r="A4774" s="28" t="s">
        <v>1869</v>
      </c>
      <c r="B4774" s="29">
        <v>30956.028900000001</v>
      </c>
      <c r="F4774" t="s">
        <v>1869</v>
      </c>
      <c r="G4774">
        <v>1</v>
      </c>
    </row>
    <row r="4775" spans="1:7" hidden="1" x14ac:dyDescent="0.25">
      <c r="A4775" s="28" t="s">
        <v>1800</v>
      </c>
      <c r="B4775" s="29">
        <v>30956.028900000001</v>
      </c>
      <c r="F4775" t="s">
        <v>1800</v>
      </c>
      <c r="G4775">
        <v>1</v>
      </c>
    </row>
    <row r="4776" spans="1:7" hidden="1" x14ac:dyDescent="0.25">
      <c r="A4776" s="28" t="s">
        <v>2017</v>
      </c>
      <c r="B4776" s="29">
        <v>30956.028900000001</v>
      </c>
      <c r="F4776" t="s">
        <v>2017</v>
      </c>
      <c r="G4776">
        <v>1</v>
      </c>
    </row>
    <row r="4777" spans="1:7" x14ac:dyDescent="0.25">
      <c r="A4777" s="28" t="s">
        <v>410</v>
      </c>
      <c r="B4777" s="29">
        <v>36501.853799999997</v>
      </c>
      <c r="F4777" t="s">
        <v>410</v>
      </c>
      <c r="G4777">
        <v>2</v>
      </c>
    </row>
    <row r="4778" spans="1:7" hidden="1" x14ac:dyDescent="0.25">
      <c r="A4778" s="28" t="s">
        <v>2137</v>
      </c>
      <c r="B4778" s="29">
        <v>32992.053800000002</v>
      </c>
      <c r="F4778" t="s">
        <v>2137</v>
      </c>
      <c r="G4778">
        <v>1</v>
      </c>
    </row>
    <row r="4779" spans="1:7" hidden="1" x14ac:dyDescent="0.25">
      <c r="A4779" s="28" t="s">
        <v>1925</v>
      </c>
      <c r="B4779" s="29">
        <v>36501.853799999997</v>
      </c>
      <c r="F4779" t="s">
        <v>1925</v>
      </c>
      <c r="G4779">
        <v>1</v>
      </c>
    </row>
    <row r="4780" spans="1:7" hidden="1" x14ac:dyDescent="0.25">
      <c r="A4780" s="28" t="s">
        <v>2330</v>
      </c>
      <c r="B4780" s="29">
        <v>36501.853799999997</v>
      </c>
      <c r="F4780" t="s">
        <v>2330</v>
      </c>
      <c r="G4780">
        <v>1</v>
      </c>
    </row>
    <row r="4781" spans="1:7" hidden="1" x14ac:dyDescent="0.25">
      <c r="A4781" s="28" t="s">
        <v>2246</v>
      </c>
      <c r="B4781" s="29">
        <v>36501.853799999997</v>
      </c>
      <c r="F4781" t="s">
        <v>2246</v>
      </c>
      <c r="G4781">
        <v>1</v>
      </c>
    </row>
    <row r="4782" spans="1:7" hidden="1" x14ac:dyDescent="0.25">
      <c r="A4782" s="28" t="s">
        <v>1914</v>
      </c>
      <c r="B4782" s="29">
        <v>36501.853799999997</v>
      </c>
      <c r="F4782" t="s">
        <v>1914</v>
      </c>
      <c r="G4782">
        <v>1</v>
      </c>
    </row>
    <row r="4783" spans="1:7" hidden="1" x14ac:dyDescent="0.25">
      <c r="A4783" s="28" t="s">
        <v>2459</v>
      </c>
      <c r="B4783" s="29">
        <v>36501.853799999997</v>
      </c>
      <c r="F4783" t="s">
        <v>2459</v>
      </c>
      <c r="G4783">
        <v>1</v>
      </c>
    </row>
    <row r="4784" spans="1:7" hidden="1" x14ac:dyDescent="0.25">
      <c r="A4784" s="28" t="s">
        <v>1849</v>
      </c>
      <c r="B4784" s="29">
        <v>36501.853799999997</v>
      </c>
      <c r="F4784" t="s">
        <v>1849</v>
      </c>
      <c r="G4784">
        <v>1</v>
      </c>
    </row>
    <row r="4785" spans="1:7" hidden="1" x14ac:dyDescent="0.25">
      <c r="A4785" s="28" t="s">
        <v>2334</v>
      </c>
      <c r="B4785" s="29">
        <v>36501.853799999997</v>
      </c>
      <c r="F4785" t="s">
        <v>2334</v>
      </c>
      <c r="G4785">
        <v>1</v>
      </c>
    </row>
    <row r="4786" spans="1:7" hidden="1" x14ac:dyDescent="0.25">
      <c r="A4786" s="28" t="s">
        <v>1871</v>
      </c>
      <c r="B4786" s="29">
        <v>36501.853799999997</v>
      </c>
      <c r="F4786" t="s">
        <v>1871</v>
      </c>
      <c r="G4786">
        <v>1</v>
      </c>
    </row>
    <row r="4787" spans="1:7" x14ac:dyDescent="0.25">
      <c r="A4787" s="28" t="s">
        <v>646</v>
      </c>
      <c r="B4787" s="29">
        <v>24250.754499999999</v>
      </c>
      <c r="F4787" t="s">
        <v>646</v>
      </c>
      <c r="G4787">
        <v>2</v>
      </c>
    </row>
    <row r="4788" spans="1:7" hidden="1" x14ac:dyDescent="0.25">
      <c r="A4788" s="28" t="s">
        <v>1811</v>
      </c>
      <c r="B4788" s="29">
        <v>36501.853799999997</v>
      </c>
      <c r="F4788" t="s">
        <v>1811</v>
      </c>
      <c r="G4788">
        <v>1</v>
      </c>
    </row>
    <row r="4789" spans="1:7" hidden="1" x14ac:dyDescent="0.25">
      <c r="A4789" s="28" t="s">
        <v>2201</v>
      </c>
      <c r="B4789" s="29">
        <v>36501.853799999997</v>
      </c>
      <c r="F4789" t="s">
        <v>2201</v>
      </c>
      <c r="G4789">
        <v>1</v>
      </c>
    </row>
    <row r="4790" spans="1:7" hidden="1" x14ac:dyDescent="0.25">
      <c r="A4790" s="28" t="s">
        <v>2305</v>
      </c>
      <c r="B4790" s="29">
        <v>24250.754499999999</v>
      </c>
      <c r="F4790" t="s">
        <v>2305</v>
      </c>
      <c r="G4790">
        <v>1</v>
      </c>
    </row>
    <row r="4791" spans="1:7" hidden="1" x14ac:dyDescent="0.25">
      <c r="A4791" s="28" t="s">
        <v>2332</v>
      </c>
      <c r="B4791" s="29">
        <v>24250.754499999999</v>
      </c>
      <c r="F4791" t="s">
        <v>2332</v>
      </c>
      <c r="G4791">
        <v>1</v>
      </c>
    </row>
    <row r="4792" spans="1:7" hidden="1" x14ac:dyDescent="0.25">
      <c r="A4792" s="28" t="s">
        <v>1967</v>
      </c>
      <c r="B4792" s="29">
        <v>36501.853799999997</v>
      </c>
      <c r="F4792" t="s">
        <v>1967</v>
      </c>
      <c r="G4792">
        <v>1</v>
      </c>
    </row>
    <row r="4793" spans="1:7" hidden="1" x14ac:dyDescent="0.25">
      <c r="A4793" s="28" t="s">
        <v>2444</v>
      </c>
      <c r="B4793" s="29">
        <v>24250.754499999999</v>
      </c>
      <c r="F4793" t="s">
        <v>2444</v>
      </c>
      <c r="G4793">
        <v>1</v>
      </c>
    </row>
    <row r="4794" spans="1:7" hidden="1" x14ac:dyDescent="0.25">
      <c r="A4794" s="28" t="s">
        <v>2174</v>
      </c>
      <c r="B4794" s="29">
        <v>24250.754499999999</v>
      </c>
      <c r="F4794" t="s">
        <v>2174</v>
      </c>
      <c r="G4794">
        <v>1</v>
      </c>
    </row>
    <row r="4795" spans="1:7" hidden="1" x14ac:dyDescent="0.25">
      <c r="A4795" s="28" t="s">
        <v>2360</v>
      </c>
      <c r="B4795" s="29">
        <v>24250.754499999999</v>
      </c>
      <c r="F4795" t="s">
        <v>2360</v>
      </c>
      <c r="G4795">
        <v>1</v>
      </c>
    </row>
    <row r="4796" spans="1:7" x14ac:dyDescent="0.25">
      <c r="A4796" s="28" t="s">
        <v>735</v>
      </c>
      <c r="B4796" s="29">
        <v>33505.428800000002</v>
      </c>
      <c r="F4796" t="s">
        <v>735</v>
      </c>
      <c r="G4796">
        <v>2</v>
      </c>
    </row>
    <row r="4797" spans="1:7" hidden="1" x14ac:dyDescent="0.25">
      <c r="A4797" s="28" t="s">
        <v>1822</v>
      </c>
      <c r="B4797" s="29">
        <v>33505.428800000002</v>
      </c>
      <c r="F4797" t="s">
        <v>1822</v>
      </c>
      <c r="G4797">
        <v>1</v>
      </c>
    </row>
    <row r="4798" spans="1:7" x14ac:dyDescent="0.25">
      <c r="A4798" s="28" t="s">
        <v>518</v>
      </c>
      <c r="B4798" s="29">
        <v>33505.428800000002</v>
      </c>
      <c r="F4798" t="s">
        <v>518</v>
      </c>
      <c r="G4798">
        <v>2</v>
      </c>
    </row>
    <row r="4799" spans="1:7" hidden="1" x14ac:dyDescent="0.25">
      <c r="A4799" s="28" t="s">
        <v>1944</v>
      </c>
      <c r="B4799" s="29">
        <v>33505.428800000002</v>
      </c>
      <c r="F4799" t="s">
        <v>1944</v>
      </c>
      <c r="G4799">
        <v>1</v>
      </c>
    </row>
    <row r="4800" spans="1:7" hidden="1" x14ac:dyDescent="0.25">
      <c r="A4800" s="28" t="s">
        <v>2110</v>
      </c>
      <c r="B4800" s="29">
        <v>33505.428800000002</v>
      </c>
      <c r="F4800" t="s">
        <v>2110</v>
      </c>
      <c r="G4800">
        <v>1</v>
      </c>
    </row>
    <row r="4801" spans="1:7" hidden="1" x14ac:dyDescent="0.25">
      <c r="A4801" s="28" t="s">
        <v>2032</v>
      </c>
      <c r="B4801" s="29">
        <v>33505.428800000002</v>
      </c>
      <c r="F4801" t="s">
        <v>2032</v>
      </c>
      <c r="G4801">
        <v>1</v>
      </c>
    </row>
    <row r="4802" spans="1:7" x14ac:dyDescent="0.25">
      <c r="A4802" s="28" t="s">
        <v>189</v>
      </c>
      <c r="B4802" s="29">
        <v>29992.139899999998</v>
      </c>
      <c r="F4802" t="s">
        <v>189</v>
      </c>
      <c r="G4802">
        <v>2</v>
      </c>
    </row>
    <row r="4803" spans="1:7" hidden="1" x14ac:dyDescent="0.25">
      <c r="A4803" s="28" t="s">
        <v>2037</v>
      </c>
      <c r="B4803" s="29">
        <v>33505.428800000002</v>
      </c>
      <c r="F4803" t="s">
        <v>2037</v>
      </c>
      <c r="G4803">
        <v>1</v>
      </c>
    </row>
    <row r="4804" spans="1:7" hidden="1" x14ac:dyDescent="0.25">
      <c r="A4804" s="28" t="s">
        <v>2178</v>
      </c>
      <c r="B4804" s="29">
        <v>33505.428800000002</v>
      </c>
      <c r="F4804" t="s">
        <v>2178</v>
      </c>
      <c r="G4804">
        <v>1</v>
      </c>
    </row>
    <row r="4805" spans="1:7" hidden="1" x14ac:dyDescent="0.25">
      <c r="A4805" s="28" t="s">
        <v>1828</v>
      </c>
      <c r="B4805" s="29">
        <v>33505.428800000002</v>
      </c>
      <c r="F4805" t="s">
        <v>1828</v>
      </c>
      <c r="G4805">
        <v>1</v>
      </c>
    </row>
    <row r="4806" spans="1:7" x14ac:dyDescent="0.25">
      <c r="A4806" s="28" t="s">
        <v>806</v>
      </c>
      <c r="B4806" s="29">
        <v>29992.139899999998</v>
      </c>
      <c r="F4806" t="s">
        <v>806</v>
      </c>
      <c r="G4806">
        <v>2</v>
      </c>
    </row>
    <row r="4807" spans="1:7" x14ac:dyDescent="0.25">
      <c r="A4807" s="28" t="s">
        <v>876</v>
      </c>
      <c r="B4807" s="29">
        <v>29992.139899999998</v>
      </c>
      <c r="F4807" t="s">
        <v>876</v>
      </c>
      <c r="G4807">
        <v>2</v>
      </c>
    </row>
    <row r="4808" spans="1:7" x14ac:dyDescent="0.25">
      <c r="A4808" s="28" t="s">
        <v>591</v>
      </c>
      <c r="B4808" s="29">
        <v>29992.139899999998</v>
      </c>
      <c r="F4808" t="s">
        <v>591</v>
      </c>
      <c r="G4808">
        <v>2</v>
      </c>
    </row>
    <row r="4809" spans="1:7" hidden="1" x14ac:dyDescent="0.25">
      <c r="A4809" s="28" t="s">
        <v>2233</v>
      </c>
      <c r="B4809" s="29">
        <v>29992.139899999998</v>
      </c>
      <c r="F4809" t="s">
        <v>2233</v>
      </c>
      <c r="G4809">
        <v>1</v>
      </c>
    </row>
    <row r="4810" spans="1:7" hidden="1" x14ac:dyDescent="0.25">
      <c r="A4810" s="28" t="s">
        <v>2234</v>
      </c>
      <c r="B4810" s="29">
        <v>29992.139899999998</v>
      </c>
      <c r="F4810" t="s">
        <v>2234</v>
      </c>
      <c r="G4810">
        <v>1</v>
      </c>
    </row>
    <row r="4811" spans="1:7" hidden="1" x14ac:dyDescent="0.25">
      <c r="A4811" s="28" t="s">
        <v>1820</v>
      </c>
      <c r="B4811" s="29">
        <v>29992.139899999998</v>
      </c>
      <c r="F4811" t="s">
        <v>1820</v>
      </c>
      <c r="G4811">
        <v>1</v>
      </c>
    </row>
    <row r="4812" spans="1:7" hidden="1" x14ac:dyDescent="0.25">
      <c r="A4812" s="28" t="s">
        <v>2644</v>
      </c>
      <c r="B4812" s="29">
        <v>30956.028900000001</v>
      </c>
      <c r="F4812" t="s">
        <v>2644</v>
      </c>
      <c r="G4812">
        <v>1</v>
      </c>
    </row>
    <row r="4813" spans="1:7" hidden="1" x14ac:dyDescent="0.25">
      <c r="A4813" s="28" t="s">
        <v>2176</v>
      </c>
      <c r="B4813" s="29">
        <v>32992.053800000002</v>
      </c>
      <c r="F4813" t="s">
        <v>2176</v>
      </c>
      <c r="G4813">
        <v>1</v>
      </c>
    </row>
    <row r="4814" spans="1:7" hidden="1" x14ac:dyDescent="0.25">
      <c r="A4814" s="28" t="s">
        <v>1888</v>
      </c>
      <c r="B4814" s="29">
        <v>32992.053800000002</v>
      </c>
      <c r="F4814" t="s">
        <v>1888</v>
      </c>
      <c r="G4814">
        <v>1</v>
      </c>
    </row>
    <row r="4815" spans="1:7" hidden="1" x14ac:dyDescent="0.25">
      <c r="A4815" s="28" t="s">
        <v>1884</v>
      </c>
      <c r="B4815" s="29">
        <v>32992.053800000002</v>
      </c>
      <c r="F4815" t="s">
        <v>1884</v>
      </c>
      <c r="G4815">
        <v>1</v>
      </c>
    </row>
    <row r="4816" spans="1:7" hidden="1" x14ac:dyDescent="0.25">
      <c r="A4816" s="28" t="s">
        <v>1963</v>
      </c>
      <c r="B4816" s="29">
        <v>32992.053800000002</v>
      </c>
      <c r="F4816" t="s">
        <v>1963</v>
      </c>
      <c r="G4816">
        <v>1</v>
      </c>
    </row>
    <row r="4817" spans="1:7" hidden="1" x14ac:dyDescent="0.25">
      <c r="A4817" s="28" t="s">
        <v>1902</v>
      </c>
      <c r="B4817" s="29">
        <v>32992.053800000002</v>
      </c>
      <c r="F4817" t="s">
        <v>1902</v>
      </c>
      <c r="G4817">
        <v>1</v>
      </c>
    </row>
    <row r="4818" spans="1:7" hidden="1" x14ac:dyDescent="0.25">
      <c r="A4818" s="28" t="s">
        <v>2022</v>
      </c>
      <c r="B4818" s="29">
        <v>32992.053800000002</v>
      </c>
      <c r="F4818" t="s">
        <v>2022</v>
      </c>
      <c r="G4818">
        <v>1</v>
      </c>
    </row>
    <row r="4819" spans="1:7" hidden="1" x14ac:dyDescent="0.25">
      <c r="A4819" s="28" t="s">
        <v>1479</v>
      </c>
      <c r="B4819" s="29">
        <v>26564.688900000001</v>
      </c>
      <c r="F4819" t="s">
        <v>1479</v>
      </c>
      <c r="G4819">
        <v>1</v>
      </c>
    </row>
    <row r="4820" spans="1:7" hidden="1" x14ac:dyDescent="0.25">
      <c r="A4820" s="28" t="s">
        <v>1057</v>
      </c>
      <c r="B4820" s="29">
        <v>26564.688900000001</v>
      </c>
      <c r="F4820" t="s">
        <v>1057</v>
      </c>
      <c r="G4820">
        <v>1</v>
      </c>
    </row>
    <row r="4821" spans="1:7" hidden="1" x14ac:dyDescent="0.25">
      <c r="A4821" s="28" t="s">
        <v>2406</v>
      </c>
      <c r="B4821" s="29">
        <v>32992.053800000002</v>
      </c>
      <c r="F4821" t="s">
        <v>2406</v>
      </c>
      <c r="G4821">
        <v>1</v>
      </c>
    </row>
    <row r="4822" spans="1:7" hidden="1" x14ac:dyDescent="0.25">
      <c r="A4822" s="28" t="s">
        <v>2630</v>
      </c>
      <c r="B4822" s="29">
        <v>32992.053800000002</v>
      </c>
      <c r="F4822" t="s">
        <v>2630</v>
      </c>
      <c r="G4822">
        <v>1</v>
      </c>
    </row>
    <row r="4823" spans="1:7" hidden="1" x14ac:dyDescent="0.25">
      <c r="A4823" s="28" t="s">
        <v>726</v>
      </c>
      <c r="B4823" s="29">
        <v>26564.688900000001</v>
      </c>
      <c r="F4823" t="s">
        <v>726</v>
      </c>
      <c r="G4823">
        <v>1</v>
      </c>
    </row>
    <row r="4824" spans="1:7" hidden="1" x14ac:dyDescent="0.25">
      <c r="A4824" s="28" t="s">
        <v>644</v>
      </c>
      <c r="B4824" s="29">
        <v>26564.688900000001</v>
      </c>
      <c r="F4824" t="s">
        <v>644</v>
      </c>
      <c r="G4824">
        <v>1</v>
      </c>
    </row>
    <row r="4825" spans="1:7" hidden="1" x14ac:dyDescent="0.25">
      <c r="A4825" s="28" t="s">
        <v>2256</v>
      </c>
      <c r="B4825" s="29">
        <v>32992.053800000002</v>
      </c>
      <c r="F4825" t="s">
        <v>2256</v>
      </c>
      <c r="G4825">
        <v>1</v>
      </c>
    </row>
    <row r="4826" spans="1:7" hidden="1" x14ac:dyDescent="0.25">
      <c r="A4826" s="28" t="s">
        <v>402</v>
      </c>
      <c r="B4826" s="29">
        <v>26564.688900000001</v>
      </c>
      <c r="F4826" t="s">
        <v>402</v>
      </c>
      <c r="G4826">
        <v>1</v>
      </c>
    </row>
    <row r="4827" spans="1:7" hidden="1" x14ac:dyDescent="0.25">
      <c r="A4827" s="28" t="s">
        <v>1104</v>
      </c>
      <c r="B4827" s="29">
        <v>26564.688900000001</v>
      </c>
      <c r="F4827" t="s">
        <v>1104</v>
      </c>
      <c r="G4827">
        <v>1</v>
      </c>
    </row>
    <row r="4828" spans="1:7" hidden="1" x14ac:dyDescent="0.25">
      <c r="A4828" s="28" t="s">
        <v>2198</v>
      </c>
      <c r="B4828" s="29">
        <v>32992.053800000002</v>
      </c>
      <c r="F4828" t="s">
        <v>2198</v>
      </c>
      <c r="G4828">
        <v>1</v>
      </c>
    </row>
    <row r="4829" spans="1:7" hidden="1" x14ac:dyDescent="0.25">
      <c r="A4829" s="28" t="s">
        <v>1921</v>
      </c>
      <c r="B4829" s="29">
        <v>32992.053800000002</v>
      </c>
      <c r="F4829" t="s">
        <v>1921</v>
      </c>
      <c r="G4829">
        <v>1</v>
      </c>
    </row>
    <row r="4830" spans="1:7" hidden="1" x14ac:dyDescent="0.25">
      <c r="A4830" s="28" t="s">
        <v>1854</v>
      </c>
      <c r="B4830" s="29">
        <v>32992.053800000002</v>
      </c>
      <c r="F4830" t="s">
        <v>1854</v>
      </c>
      <c r="G4830">
        <v>1</v>
      </c>
    </row>
    <row r="4831" spans="1:7" hidden="1" x14ac:dyDescent="0.25">
      <c r="A4831" s="28" t="s">
        <v>851</v>
      </c>
      <c r="B4831" s="29">
        <v>26564.688900000001</v>
      </c>
      <c r="F4831" t="s">
        <v>851</v>
      </c>
      <c r="G4831">
        <v>1</v>
      </c>
    </row>
    <row r="4832" spans="1:7" hidden="1" x14ac:dyDescent="0.25">
      <c r="A4832" s="28" t="s">
        <v>1495</v>
      </c>
      <c r="B4832" s="29">
        <v>26564.688900000001</v>
      </c>
      <c r="F4832" t="s">
        <v>1495</v>
      </c>
      <c r="G4832">
        <v>1</v>
      </c>
    </row>
    <row r="4833" spans="1:7" hidden="1" x14ac:dyDescent="0.25">
      <c r="A4833" s="28" t="s">
        <v>2331</v>
      </c>
      <c r="B4833" s="29">
        <v>32992.053800000002</v>
      </c>
      <c r="F4833" t="s">
        <v>2331</v>
      </c>
      <c r="G4833">
        <v>1</v>
      </c>
    </row>
    <row r="4834" spans="1:7" hidden="1" x14ac:dyDescent="0.25">
      <c r="A4834" s="28" t="s">
        <v>2244</v>
      </c>
      <c r="B4834" s="29">
        <v>32992.053800000002</v>
      </c>
      <c r="F4834" t="s">
        <v>2244</v>
      </c>
      <c r="G4834">
        <v>1</v>
      </c>
    </row>
    <row r="4835" spans="1:7" hidden="1" x14ac:dyDescent="0.25">
      <c r="A4835" s="28" t="s">
        <v>1000</v>
      </c>
      <c r="B4835" s="29">
        <v>26564.688900000001</v>
      </c>
      <c r="F4835" t="s">
        <v>1000</v>
      </c>
      <c r="G4835">
        <v>1</v>
      </c>
    </row>
    <row r="4836" spans="1:7" hidden="1" x14ac:dyDescent="0.25">
      <c r="A4836" s="28" t="s">
        <v>2154</v>
      </c>
      <c r="B4836" s="29">
        <v>32992.053800000002</v>
      </c>
      <c r="F4836" t="s">
        <v>2154</v>
      </c>
      <c r="G4836">
        <v>1</v>
      </c>
    </row>
    <row r="4837" spans="1:7" hidden="1" x14ac:dyDescent="0.25">
      <c r="A4837" s="28" t="s">
        <v>2266</v>
      </c>
      <c r="B4837" s="29">
        <v>32992.053800000002</v>
      </c>
      <c r="F4837" t="s">
        <v>2266</v>
      </c>
      <c r="G4837">
        <v>1</v>
      </c>
    </row>
    <row r="4838" spans="1:7" hidden="1" x14ac:dyDescent="0.25">
      <c r="A4838" s="28" t="s">
        <v>2106</v>
      </c>
      <c r="B4838" s="29">
        <v>32992.053800000002</v>
      </c>
      <c r="F4838" t="s">
        <v>2106</v>
      </c>
      <c r="G4838">
        <v>1</v>
      </c>
    </row>
    <row r="4839" spans="1:7" hidden="1" x14ac:dyDescent="0.25">
      <c r="A4839" s="28" t="s">
        <v>1932</v>
      </c>
      <c r="B4839" s="29">
        <v>32992.053800000002</v>
      </c>
      <c r="F4839" t="s">
        <v>1932</v>
      </c>
      <c r="G4839">
        <v>1</v>
      </c>
    </row>
    <row r="4840" spans="1:7" hidden="1" x14ac:dyDescent="0.25">
      <c r="A4840" s="28" t="s">
        <v>2056</v>
      </c>
      <c r="B4840" s="29">
        <v>32992.053800000002</v>
      </c>
      <c r="F4840" t="s">
        <v>2056</v>
      </c>
      <c r="G4840">
        <v>1</v>
      </c>
    </row>
    <row r="4841" spans="1:7" hidden="1" x14ac:dyDescent="0.25">
      <c r="A4841" s="28" t="s">
        <v>2019</v>
      </c>
      <c r="B4841" s="29">
        <v>32992.053800000002</v>
      </c>
      <c r="F4841" t="s">
        <v>2019</v>
      </c>
      <c r="G4841">
        <v>1</v>
      </c>
    </row>
    <row r="4842" spans="1:7" hidden="1" x14ac:dyDescent="0.25">
      <c r="A4842" s="28" t="s">
        <v>2343</v>
      </c>
      <c r="B4842" s="29">
        <v>32992.053800000002</v>
      </c>
      <c r="F4842" t="s">
        <v>2343</v>
      </c>
      <c r="G4842">
        <v>1</v>
      </c>
    </row>
    <row r="4843" spans="1:7" hidden="1" x14ac:dyDescent="0.25">
      <c r="A4843" s="28" t="s">
        <v>661</v>
      </c>
      <c r="B4843" s="29">
        <v>26564.688900000001</v>
      </c>
      <c r="F4843" t="s">
        <v>661</v>
      </c>
      <c r="G4843">
        <v>1</v>
      </c>
    </row>
    <row r="4844" spans="1:7" hidden="1" x14ac:dyDescent="0.25">
      <c r="A4844" s="28" t="s">
        <v>2007</v>
      </c>
      <c r="B4844" s="29">
        <v>32992.053800000002</v>
      </c>
      <c r="F4844" t="s">
        <v>2007</v>
      </c>
      <c r="G4844">
        <v>1</v>
      </c>
    </row>
    <row r="4845" spans="1:7" hidden="1" x14ac:dyDescent="0.25">
      <c r="A4845" s="28" t="s">
        <v>2175</v>
      </c>
      <c r="B4845" s="29">
        <v>32992.053800000002</v>
      </c>
      <c r="F4845" t="s">
        <v>2175</v>
      </c>
      <c r="G4845">
        <v>1</v>
      </c>
    </row>
    <row r="4846" spans="1:7" hidden="1" x14ac:dyDescent="0.25">
      <c r="A4846" s="28" t="s">
        <v>2452</v>
      </c>
      <c r="B4846" s="29">
        <v>32992.053800000002</v>
      </c>
      <c r="F4846" t="s">
        <v>2452</v>
      </c>
      <c r="G4846">
        <v>1</v>
      </c>
    </row>
    <row r="4847" spans="1:7" hidden="1" x14ac:dyDescent="0.25">
      <c r="A4847" s="28" t="s">
        <v>1816</v>
      </c>
      <c r="B4847" s="29">
        <v>32992.053800000002</v>
      </c>
      <c r="F4847" t="s">
        <v>1816</v>
      </c>
      <c r="G4847">
        <v>1</v>
      </c>
    </row>
    <row r="4848" spans="1:7" hidden="1" x14ac:dyDescent="0.25">
      <c r="A4848" s="28" t="s">
        <v>2200</v>
      </c>
      <c r="B4848" s="29">
        <v>32992.053800000002</v>
      </c>
      <c r="F4848" t="s">
        <v>2200</v>
      </c>
      <c r="G4848">
        <v>1</v>
      </c>
    </row>
    <row r="4849" spans="1:7" hidden="1" x14ac:dyDescent="0.25">
      <c r="A4849" s="28" t="s">
        <v>1957</v>
      </c>
      <c r="B4849" s="29">
        <v>32992.053800000002</v>
      </c>
      <c r="F4849" t="s">
        <v>1957</v>
      </c>
      <c r="G4849">
        <v>1</v>
      </c>
    </row>
    <row r="4850" spans="1:7" hidden="1" x14ac:dyDescent="0.25">
      <c r="A4850" s="28" t="s">
        <v>2123</v>
      </c>
      <c r="B4850" s="29">
        <v>32992.053800000002</v>
      </c>
      <c r="F4850" t="s">
        <v>2123</v>
      </c>
      <c r="G4850">
        <v>1</v>
      </c>
    </row>
    <row r="4851" spans="1:7" hidden="1" x14ac:dyDescent="0.25">
      <c r="A4851" s="28" t="s">
        <v>920</v>
      </c>
      <c r="B4851" s="29">
        <v>26564.688900000001</v>
      </c>
      <c r="F4851" t="s">
        <v>920</v>
      </c>
      <c r="G4851">
        <v>1</v>
      </c>
    </row>
    <row r="4852" spans="1:7" hidden="1" x14ac:dyDescent="0.25">
      <c r="A4852" s="28" t="s">
        <v>1958</v>
      </c>
      <c r="B4852" s="29">
        <v>32992.053800000002</v>
      </c>
      <c r="F4852" t="s">
        <v>1958</v>
      </c>
      <c r="G4852">
        <v>1</v>
      </c>
    </row>
    <row r="4853" spans="1:7" hidden="1" x14ac:dyDescent="0.25">
      <c r="A4853" s="28" t="s">
        <v>2257</v>
      </c>
      <c r="B4853" s="29">
        <v>32992.053800000002</v>
      </c>
      <c r="F4853" t="s">
        <v>2257</v>
      </c>
      <c r="G4853">
        <v>1</v>
      </c>
    </row>
    <row r="4854" spans="1:7" hidden="1" x14ac:dyDescent="0.25">
      <c r="A4854" s="28" t="s">
        <v>2289</v>
      </c>
      <c r="B4854" s="29">
        <v>32992.053800000002</v>
      </c>
      <c r="F4854" t="s">
        <v>2289</v>
      </c>
      <c r="G4854">
        <v>1</v>
      </c>
    </row>
    <row r="4855" spans="1:7" hidden="1" x14ac:dyDescent="0.25">
      <c r="A4855" s="28" t="s">
        <v>2135</v>
      </c>
      <c r="B4855" s="29">
        <v>32992.053800000002</v>
      </c>
      <c r="F4855" t="s">
        <v>2135</v>
      </c>
      <c r="G4855">
        <v>1</v>
      </c>
    </row>
    <row r="4856" spans="1:7" hidden="1" x14ac:dyDescent="0.25">
      <c r="A4856" s="28" t="s">
        <v>1851</v>
      </c>
      <c r="B4856" s="29">
        <v>30956.028900000001</v>
      </c>
      <c r="F4856" t="s">
        <v>1851</v>
      </c>
      <c r="G4856">
        <v>1</v>
      </c>
    </row>
    <row r="4857" spans="1:7" hidden="1" x14ac:dyDescent="0.25">
      <c r="A4857" s="28" t="s">
        <v>1881</v>
      </c>
      <c r="B4857" s="29">
        <v>30956.028900000001</v>
      </c>
      <c r="F4857" t="s">
        <v>1881</v>
      </c>
      <c r="G4857">
        <v>1</v>
      </c>
    </row>
    <row r="4858" spans="1:7" hidden="1" x14ac:dyDescent="0.25">
      <c r="A4858" s="28" t="s">
        <v>2455</v>
      </c>
      <c r="B4858" s="29">
        <v>30956.028900000001</v>
      </c>
      <c r="F4858" t="s">
        <v>2455</v>
      </c>
      <c r="G4858">
        <v>1</v>
      </c>
    </row>
    <row r="4859" spans="1:7" hidden="1" x14ac:dyDescent="0.25">
      <c r="A4859" s="28" t="s">
        <v>1013</v>
      </c>
      <c r="B4859" s="29">
        <v>26564.688900000001</v>
      </c>
      <c r="F4859" t="s">
        <v>1013</v>
      </c>
      <c r="G4859">
        <v>1</v>
      </c>
    </row>
    <row r="4860" spans="1:7" hidden="1" x14ac:dyDescent="0.25">
      <c r="A4860" s="28" t="s">
        <v>224</v>
      </c>
      <c r="B4860" s="29">
        <v>26564.688900000001</v>
      </c>
      <c r="F4860" t="s">
        <v>224</v>
      </c>
      <c r="G4860">
        <v>1</v>
      </c>
    </row>
    <row r="4861" spans="1:7" hidden="1" x14ac:dyDescent="0.25">
      <c r="A4861" s="28" t="s">
        <v>404</v>
      </c>
      <c r="B4861" s="29">
        <v>26564.688900000001</v>
      </c>
      <c r="F4861" t="s">
        <v>404</v>
      </c>
      <c r="G4861">
        <v>1</v>
      </c>
    </row>
    <row r="4862" spans="1:7" hidden="1" x14ac:dyDescent="0.25">
      <c r="A4862" s="28" t="s">
        <v>1547</v>
      </c>
      <c r="B4862" s="29">
        <v>26564.688900000001</v>
      </c>
      <c r="F4862" t="s">
        <v>1547</v>
      </c>
      <c r="G4862">
        <v>1</v>
      </c>
    </row>
    <row r="4863" spans="1:7" hidden="1" x14ac:dyDescent="0.25">
      <c r="A4863" s="28" t="s">
        <v>2227</v>
      </c>
      <c r="B4863" s="29">
        <v>30956.028900000001</v>
      </c>
      <c r="F4863" t="s">
        <v>2227</v>
      </c>
      <c r="G4863">
        <v>1</v>
      </c>
    </row>
    <row r="4864" spans="1:7" hidden="1" x14ac:dyDescent="0.25">
      <c r="A4864" s="28" t="s">
        <v>275</v>
      </c>
      <c r="B4864" s="29">
        <v>26564.688900000001</v>
      </c>
      <c r="F4864" t="s">
        <v>275</v>
      </c>
      <c r="G4864">
        <v>1</v>
      </c>
    </row>
    <row r="4865" spans="1:7" hidden="1" x14ac:dyDescent="0.25">
      <c r="A4865" s="28" t="s">
        <v>2254</v>
      </c>
      <c r="B4865" s="29">
        <v>32992.053800000002</v>
      </c>
      <c r="F4865" t="s">
        <v>2254</v>
      </c>
      <c r="G4865">
        <v>1</v>
      </c>
    </row>
    <row r="4866" spans="1:7" hidden="1" x14ac:dyDescent="0.25">
      <c r="A4866" s="28" t="s">
        <v>1939</v>
      </c>
      <c r="B4866" s="29">
        <v>32992.053800000002</v>
      </c>
      <c r="F4866" t="s">
        <v>1939</v>
      </c>
      <c r="G4866">
        <v>1</v>
      </c>
    </row>
    <row r="4867" spans="1:7" hidden="1" x14ac:dyDescent="0.25">
      <c r="A4867" s="28" t="s">
        <v>2041</v>
      </c>
      <c r="B4867" s="29">
        <v>32992.053800000002</v>
      </c>
      <c r="F4867" t="s">
        <v>2041</v>
      </c>
      <c r="G4867">
        <v>1</v>
      </c>
    </row>
    <row r="4868" spans="1:7" hidden="1" x14ac:dyDescent="0.25">
      <c r="A4868" s="28" t="s">
        <v>537</v>
      </c>
      <c r="B4868" s="29">
        <v>26564.688900000001</v>
      </c>
      <c r="F4868" t="s">
        <v>537</v>
      </c>
      <c r="G4868">
        <v>1</v>
      </c>
    </row>
    <row r="4869" spans="1:7" hidden="1" x14ac:dyDescent="0.25">
      <c r="A4869" s="28" t="s">
        <v>2265</v>
      </c>
      <c r="B4869" s="29">
        <v>32992.053800000002</v>
      </c>
      <c r="F4869" t="s">
        <v>2265</v>
      </c>
      <c r="G4869">
        <v>1</v>
      </c>
    </row>
    <row r="4870" spans="1:7" hidden="1" x14ac:dyDescent="0.25">
      <c r="A4870" s="28" t="s">
        <v>3083</v>
      </c>
      <c r="B4870" s="29">
        <v>32992.053800000002</v>
      </c>
      <c r="F4870" t="s">
        <v>3083</v>
      </c>
      <c r="G4870">
        <v>1</v>
      </c>
    </row>
    <row r="4871" spans="1:7" hidden="1" x14ac:dyDescent="0.25">
      <c r="A4871" s="28" t="s">
        <v>2247</v>
      </c>
      <c r="B4871" s="29">
        <v>32992.053800000002</v>
      </c>
      <c r="F4871" t="s">
        <v>2247</v>
      </c>
      <c r="G4871">
        <v>1</v>
      </c>
    </row>
    <row r="4872" spans="1:7" hidden="1" x14ac:dyDescent="0.25">
      <c r="A4872" s="28" t="s">
        <v>2558</v>
      </c>
      <c r="B4872" s="29">
        <v>32992.053800000002</v>
      </c>
      <c r="F4872" t="s">
        <v>2558</v>
      </c>
      <c r="G4872">
        <v>1</v>
      </c>
    </row>
    <row r="4873" spans="1:7" hidden="1" x14ac:dyDescent="0.25">
      <c r="A4873" s="28" t="s">
        <v>2042</v>
      </c>
      <c r="B4873" s="29">
        <v>32992.053800000002</v>
      </c>
      <c r="F4873" t="s">
        <v>2042</v>
      </c>
      <c r="G4873">
        <v>1</v>
      </c>
    </row>
    <row r="4874" spans="1:7" hidden="1" x14ac:dyDescent="0.25">
      <c r="A4874" s="28" t="s">
        <v>2045</v>
      </c>
      <c r="B4874" s="29">
        <v>32992.053800000002</v>
      </c>
      <c r="F4874" t="s">
        <v>2045</v>
      </c>
      <c r="G4874">
        <v>1</v>
      </c>
    </row>
    <row r="4875" spans="1:7" hidden="1" x14ac:dyDescent="0.25">
      <c r="A4875" s="28" t="s">
        <v>1883</v>
      </c>
      <c r="B4875" s="29">
        <v>32992.053800000002</v>
      </c>
      <c r="F4875" t="s">
        <v>1883</v>
      </c>
      <c r="G4875">
        <v>1</v>
      </c>
    </row>
    <row r="4876" spans="1:7" hidden="1" x14ac:dyDescent="0.25">
      <c r="A4876" s="28" t="s">
        <v>2333</v>
      </c>
      <c r="B4876" s="29">
        <v>32992.053800000002</v>
      </c>
      <c r="F4876" t="s">
        <v>2333</v>
      </c>
      <c r="G4876">
        <v>1</v>
      </c>
    </row>
    <row r="4877" spans="1:7" hidden="1" x14ac:dyDescent="0.25">
      <c r="A4877" s="28" t="s">
        <v>70</v>
      </c>
      <c r="B4877" s="29">
        <v>26564.688900000001</v>
      </c>
      <c r="F4877" t="s">
        <v>70</v>
      </c>
      <c r="G4877">
        <v>1</v>
      </c>
    </row>
    <row r="4878" spans="1:7" hidden="1" x14ac:dyDescent="0.25">
      <c r="A4878" s="28" t="s">
        <v>1489</v>
      </c>
      <c r="B4878" s="29">
        <v>26564.688900000001</v>
      </c>
      <c r="F4878" t="s">
        <v>1489</v>
      </c>
      <c r="G4878">
        <v>1</v>
      </c>
    </row>
    <row r="4879" spans="1:7" hidden="1" x14ac:dyDescent="0.25">
      <c r="A4879" s="28" t="s">
        <v>1892</v>
      </c>
      <c r="B4879" s="29">
        <v>32992.053800000002</v>
      </c>
      <c r="F4879" t="s">
        <v>1892</v>
      </c>
      <c r="G4879">
        <v>1</v>
      </c>
    </row>
    <row r="4880" spans="1:7" hidden="1" x14ac:dyDescent="0.25">
      <c r="A4880" s="28" t="s">
        <v>1867</v>
      </c>
      <c r="B4880" s="29">
        <v>32992.053800000002</v>
      </c>
      <c r="F4880" t="s">
        <v>1867</v>
      </c>
      <c r="G4880">
        <v>1</v>
      </c>
    </row>
    <row r="4881" spans="1:7" hidden="1" x14ac:dyDescent="0.25">
      <c r="A4881" s="28" t="s">
        <v>2173</v>
      </c>
      <c r="B4881" s="29">
        <v>32992.053800000002</v>
      </c>
      <c r="F4881" t="s">
        <v>2173</v>
      </c>
      <c r="G4881">
        <v>1</v>
      </c>
    </row>
    <row r="4882" spans="1:7" hidden="1" x14ac:dyDescent="0.25">
      <c r="A4882" s="28" t="s">
        <v>2044</v>
      </c>
      <c r="B4882" s="29">
        <v>52414.09</v>
      </c>
      <c r="F4882" t="s">
        <v>2044</v>
      </c>
      <c r="G4882">
        <v>1</v>
      </c>
    </row>
    <row r="4883" spans="1:7" hidden="1" x14ac:dyDescent="0.25">
      <c r="A4883" s="28" t="s">
        <v>2180</v>
      </c>
      <c r="B4883" s="29">
        <v>52414.09</v>
      </c>
      <c r="F4883" t="s">
        <v>2180</v>
      </c>
      <c r="G4883">
        <v>1</v>
      </c>
    </row>
    <row r="4884" spans="1:7" hidden="1" x14ac:dyDescent="0.25">
      <c r="A4884" s="28" t="s">
        <v>2116</v>
      </c>
      <c r="B4884" s="29">
        <v>52414.09</v>
      </c>
      <c r="F4884" t="s">
        <v>2116</v>
      </c>
      <c r="G4884">
        <v>1</v>
      </c>
    </row>
    <row r="4885" spans="1:7" hidden="1" x14ac:dyDescent="0.25">
      <c r="A4885" s="28" t="s">
        <v>1801</v>
      </c>
      <c r="B4885" s="29">
        <v>52414.09</v>
      </c>
      <c r="F4885" t="s">
        <v>1801</v>
      </c>
      <c r="G4885">
        <v>1</v>
      </c>
    </row>
    <row r="4886" spans="1:7" hidden="1" x14ac:dyDescent="0.25">
      <c r="A4886" s="28" t="s">
        <v>442</v>
      </c>
      <c r="B4886" s="29">
        <v>26564.688900000001</v>
      </c>
      <c r="F4886" t="s">
        <v>442</v>
      </c>
      <c r="G4886">
        <v>1</v>
      </c>
    </row>
    <row r="4887" spans="1:7" hidden="1" x14ac:dyDescent="0.25">
      <c r="A4887" s="28" t="s">
        <v>225</v>
      </c>
      <c r="B4887" s="29">
        <v>26564.688900000001</v>
      </c>
      <c r="F4887" t="s">
        <v>225</v>
      </c>
      <c r="G4887">
        <v>1</v>
      </c>
    </row>
    <row r="4888" spans="1:7" hidden="1" x14ac:dyDescent="0.25">
      <c r="A4888" s="28" t="s">
        <v>1918</v>
      </c>
      <c r="B4888" s="29">
        <v>52414.09</v>
      </c>
      <c r="F4888" t="s">
        <v>1918</v>
      </c>
      <c r="G4888">
        <v>1</v>
      </c>
    </row>
    <row r="4889" spans="1:7" hidden="1" x14ac:dyDescent="0.25">
      <c r="A4889" s="28" t="s">
        <v>2136</v>
      </c>
      <c r="B4889" s="29">
        <v>52414.09</v>
      </c>
      <c r="F4889" t="s">
        <v>2136</v>
      </c>
      <c r="G4889">
        <v>1</v>
      </c>
    </row>
    <row r="4890" spans="1:7" hidden="1" x14ac:dyDescent="0.25">
      <c r="A4890" s="28" t="s">
        <v>2206</v>
      </c>
      <c r="B4890" s="29">
        <v>52414.09</v>
      </c>
      <c r="F4890" t="s">
        <v>2206</v>
      </c>
      <c r="G4890">
        <v>1</v>
      </c>
    </row>
    <row r="4891" spans="1:7" hidden="1" x14ac:dyDescent="0.25">
      <c r="A4891" s="28" t="s">
        <v>2155</v>
      </c>
      <c r="B4891" s="29">
        <v>52414.09</v>
      </c>
      <c r="F4891" t="s">
        <v>2155</v>
      </c>
      <c r="G4891">
        <v>1</v>
      </c>
    </row>
    <row r="4892" spans="1:7" hidden="1" x14ac:dyDescent="0.25">
      <c r="A4892" s="28" t="s">
        <v>2059</v>
      </c>
      <c r="B4892" s="29">
        <v>52414.09</v>
      </c>
      <c r="F4892" t="s">
        <v>2059</v>
      </c>
      <c r="G4892">
        <v>1</v>
      </c>
    </row>
    <row r="4893" spans="1:7" hidden="1" x14ac:dyDescent="0.25">
      <c r="A4893" s="28" t="s">
        <v>2093</v>
      </c>
      <c r="B4893" s="29">
        <v>52414.09</v>
      </c>
      <c r="F4893" t="s">
        <v>2093</v>
      </c>
      <c r="G4893">
        <v>1</v>
      </c>
    </row>
    <row r="4894" spans="1:7" hidden="1" x14ac:dyDescent="0.25">
      <c r="A4894" s="28" t="s">
        <v>2304</v>
      </c>
      <c r="B4894" s="29">
        <v>32992.053800000002</v>
      </c>
      <c r="F4894" t="s">
        <v>2304</v>
      </c>
      <c r="G4894">
        <v>1</v>
      </c>
    </row>
    <row r="4895" spans="1:7" hidden="1" x14ac:dyDescent="0.25">
      <c r="A4895" s="28" t="s">
        <v>2177</v>
      </c>
      <c r="B4895" s="29">
        <v>52414.09</v>
      </c>
      <c r="F4895" t="s">
        <v>2177</v>
      </c>
      <c r="G4895">
        <v>1</v>
      </c>
    </row>
    <row r="4896" spans="1:7" hidden="1" x14ac:dyDescent="0.25">
      <c r="A4896" s="28" t="s">
        <v>2125</v>
      </c>
      <c r="B4896" s="29">
        <v>52414.09</v>
      </c>
      <c r="F4896" t="s">
        <v>2125</v>
      </c>
      <c r="G4896">
        <v>1</v>
      </c>
    </row>
    <row r="4897" spans="1:7" hidden="1" x14ac:dyDescent="0.25">
      <c r="A4897" s="28" t="s">
        <v>2287</v>
      </c>
      <c r="B4897" s="29">
        <v>32992.053800000002</v>
      </c>
      <c r="F4897" t="s">
        <v>2287</v>
      </c>
      <c r="G4897">
        <v>1</v>
      </c>
    </row>
    <row r="4898" spans="1:7" hidden="1" x14ac:dyDescent="0.25">
      <c r="A4898" s="28" t="s">
        <v>1987</v>
      </c>
      <c r="B4898" s="29">
        <v>32992.053800000002</v>
      </c>
      <c r="F4898" t="s">
        <v>1987</v>
      </c>
      <c r="G4898">
        <v>1</v>
      </c>
    </row>
    <row r="4899" spans="1:7" hidden="1" x14ac:dyDescent="0.25">
      <c r="A4899" s="28" t="s">
        <v>1702</v>
      </c>
      <c r="B4899" s="29">
        <v>32992.053800000002</v>
      </c>
      <c r="F4899" t="s">
        <v>1702</v>
      </c>
      <c r="G4899">
        <v>1</v>
      </c>
    </row>
    <row r="4900" spans="1:7" hidden="1" x14ac:dyDescent="0.25">
      <c r="A4900" s="28" t="s">
        <v>2437</v>
      </c>
      <c r="B4900" s="29">
        <v>32992.053800000002</v>
      </c>
      <c r="F4900" t="s">
        <v>2437</v>
      </c>
      <c r="G4900">
        <v>1</v>
      </c>
    </row>
    <row r="4901" spans="1:7" hidden="1" x14ac:dyDescent="0.25">
      <c r="A4901" s="28" t="s">
        <v>2732</v>
      </c>
      <c r="B4901" s="29">
        <v>32992.053800000002</v>
      </c>
      <c r="F4901" t="s">
        <v>2732</v>
      </c>
      <c r="G4901">
        <v>1</v>
      </c>
    </row>
    <row r="4902" spans="1:7" hidden="1" x14ac:dyDescent="0.25">
      <c r="A4902" s="28" t="s">
        <v>3095</v>
      </c>
      <c r="B4902" s="29">
        <v>32992.053800000002</v>
      </c>
      <c r="F4902" t="s">
        <v>3095</v>
      </c>
      <c r="G4902">
        <v>1</v>
      </c>
    </row>
    <row r="4903" spans="1:7" hidden="1" x14ac:dyDescent="0.25">
      <c r="A4903" s="28" t="s">
        <v>1704</v>
      </c>
      <c r="B4903" s="29">
        <v>32992.053800000002</v>
      </c>
      <c r="F4903" t="s">
        <v>1704</v>
      </c>
      <c r="G4903">
        <v>1</v>
      </c>
    </row>
    <row r="4904" spans="1:7" hidden="1" x14ac:dyDescent="0.25">
      <c r="A4904" s="28" t="s">
        <v>1741</v>
      </c>
      <c r="B4904" s="29">
        <v>32992.053800000002</v>
      </c>
      <c r="F4904" t="s">
        <v>1741</v>
      </c>
      <c r="G4904">
        <v>1</v>
      </c>
    </row>
    <row r="4905" spans="1:7" hidden="1" x14ac:dyDescent="0.25">
      <c r="A4905" s="28" t="s">
        <v>1762</v>
      </c>
      <c r="B4905" s="29">
        <v>32992.053800000002</v>
      </c>
      <c r="F4905" t="s">
        <v>1762</v>
      </c>
      <c r="G4905">
        <v>1</v>
      </c>
    </row>
    <row r="4906" spans="1:7" hidden="1" x14ac:dyDescent="0.25">
      <c r="A4906" s="28" t="s">
        <v>1794</v>
      </c>
      <c r="B4906" s="29">
        <v>32992.053800000002</v>
      </c>
      <c r="F4906" t="s">
        <v>1794</v>
      </c>
      <c r="G4906">
        <v>1</v>
      </c>
    </row>
    <row r="4907" spans="1:7" hidden="1" x14ac:dyDescent="0.25">
      <c r="A4907" s="28" t="s">
        <v>1983</v>
      </c>
      <c r="B4907" s="29">
        <v>32992.053800000002</v>
      </c>
      <c r="F4907" t="s">
        <v>1983</v>
      </c>
      <c r="G4907">
        <v>1</v>
      </c>
    </row>
    <row r="4908" spans="1:7" hidden="1" x14ac:dyDescent="0.25">
      <c r="A4908" s="28" t="s">
        <v>1990</v>
      </c>
      <c r="B4908" s="29">
        <v>32992.053800000002</v>
      </c>
      <c r="F4908" t="s">
        <v>1990</v>
      </c>
      <c r="G4908">
        <v>1</v>
      </c>
    </row>
    <row r="4909" spans="1:7" hidden="1" x14ac:dyDescent="0.25">
      <c r="A4909" s="28" t="s">
        <v>1796</v>
      </c>
      <c r="B4909" s="29">
        <v>32992.053800000002</v>
      </c>
      <c r="F4909" t="s">
        <v>1796</v>
      </c>
      <c r="G4909">
        <v>1</v>
      </c>
    </row>
    <row r="4910" spans="1:7" hidden="1" x14ac:dyDescent="0.25">
      <c r="A4910" s="28" t="s">
        <v>1975</v>
      </c>
      <c r="B4910" s="29">
        <v>32992.053800000002</v>
      </c>
      <c r="F4910" t="s">
        <v>1975</v>
      </c>
      <c r="G4910">
        <v>1</v>
      </c>
    </row>
    <row r="4911" spans="1:7" hidden="1" x14ac:dyDescent="0.25">
      <c r="A4911" s="28" t="s">
        <v>1733</v>
      </c>
      <c r="B4911" s="29">
        <v>32992.053800000002</v>
      </c>
      <c r="F4911" t="s">
        <v>1733</v>
      </c>
      <c r="G4911">
        <v>1</v>
      </c>
    </row>
    <row r="4912" spans="1:7" hidden="1" x14ac:dyDescent="0.25">
      <c r="A4912" s="28" t="s">
        <v>3029</v>
      </c>
      <c r="B4912" s="29">
        <v>32992.053800000002</v>
      </c>
      <c r="F4912" t="s">
        <v>3029</v>
      </c>
      <c r="G4912">
        <v>1</v>
      </c>
    </row>
    <row r="4913" spans="1:7" hidden="1" x14ac:dyDescent="0.25">
      <c r="A4913" s="28" t="s">
        <v>3125</v>
      </c>
      <c r="B4913" s="29">
        <v>32992.053800000002</v>
      </c>
      <c r="F4913" t="s">
        <v>3125</v>
      </c>
      <c r="G4913">
        <v>1</v>
      </c>
    </row>
    <row r="4914" spans="1:7" hidden="1" x14ac:dyDescent="0.25">
      <c r="A4914" s="28" t="s">
        <v>3028</v>
      </c>
      <c r="B4914" s="29">
        <v>32992.053800000002</v>
      </c>
      <c r="F4914" t="s">
        <v>3028</v>
      </c>
      <c r="G4914">
        <v>1</v>
      </c>
    </row>
    <row r="4915" spans="1:7" hidden="1" x14ac:dyDescent="0.25">
      <c r="A4915" s="28" t="s">
        <v>1780</v>
      </c>
      <c r="B4915" s="29">
        <v>32992.053800000002</v>
      </c>
      <c r="F4915" t="s">
        <v>1780</v>
      </c>
      <c r="G4915">
        <v>1</v>
      </c>
    </row>
    <row r="4916" spans="1:7" hidden="1" x14ac:dyDescent="0.25">
      <c r="A4916" s="28" t="s">
        <v>3128</v>
      </c>
      <c r="B4916" s="29">
        <v>32992.053800000002</v>
      </c>
      <c r="F4916" t="s">
        <v>3128</v>
      </c>
      <c r="G4916">
        <v>1</v>
      </c>
    </row>
    <row r="4917" spans="1:7" hidden="1" x14ac:dyDescent="0.25">
      <c r="A4917" s="28" t="s">
        <v>1795</v>
      </c>
      <c r="B4917" s="29">
        <v>32992.053800000002</v>
      </c>
      <c r="F4917" t="s">
        <v>1795</v>
      </c>
      <c r="G4917">
        <v>1</v>
      </c>
    </row>
    <row r="4918" spans="1:7" hidden="1" x14ac:dyDescent="0.25">
      <c r="A4918" s="28" t="s">
        <v>3137</v>
      </c>
      <c r="B4918" s="29">
        <v>32992.053800000002</v>
      </c>
      <c r="F4918" t="s">
        <v>3137</v>
      </c>
      <c r="G4918">
        <v>1</v>
      </c>
    </row>
    <row r="4919" spans="1:7" hidden="1" x14ac:dyDescent="0.25">
      <c r="A4919" s="28" t="s">
        <v>2001</v>
      </c>
      <c r="B4919" s="29">
        <v>32992.053800000002</v>
      </c>
      <c r="F4919" t="s">
        <v>2001</v>
      </c>
      <c r="G4919">
        <v>1</v>
      </c>
    </row>
    <row r="4920" spans="1:7" hidden="1" x14ac:dyDescent="0.25">
      <c r="A4920" s="28" t="s">
        <v>2288</v>
      </c>
      <c r="B4920" s="29">
        <v>32992.053800000002</v>
      </c>
      <c r="F4920" t="s">
        <v>2288</v>
      </c>
      <c r="G4920">
        <v>1</v>
      </c>
    </row>
    <row r="4921" spans="1:7" hidden="1" x14ac:dyDescent="0.25">
      <c r="A4921" s="28" t="s">
        <v>1722</v>
      </c>
      <c r="B4921" s="29">
        <v>32992.053800000002</v>
      </c>
      <c r="F4921" t="s">
        <v>1722</v>
      </c>
      <c r="G4921">
        <v>1</v>
      </c>
    </row>
    <row r="4922" spans="1:7" hidden="1" x14ac:dyDescent="0.25">
      <c r="A4922" s="28" t="s">
        <v>1726</v>
      </c>
      <c r="B4922" s="29">
        <v>32992.053800000002</v>
      </c>
      <c r="F4922" t="s">
        <v>1726</v>
      </c>
      <c r="G4922">
        <v>1</v>
      </c>
    </row>
    <row r="4923" spans="1:7" hidden="1" x14ac:dyDescent="0.25">
      <c r="A4923" s="28" t="s">
        <v>1771</v>
      </c>
      <c r="B4923" s="29">
        <v>32992.053800000002</v>
      </c>
      <c r="F4923" t="s">
        <v>1771</v>
      </c>
      <c r="G4923">
        <v>1</v>
      </c>
    </row>
    <row r="4924" spans="1:7" hidden="1" x14ac:dyDescent="0.25">
      <c r="A4924" s="28" t="s">
        <v>3126</v>
      </c>
      <c r="B4924" s="29">
        <v>32992.053800000002</v>
      </c>
      <c r="F4924" t="s">
        <v>3126</v>
      </c>
      <c r="G4924">
        <v>1</v>
      </c>
    </row>
    <row r="4925" spans="1:7" hidden="1" x14ac:dyDescent="0.25">
      <c r="A4925" s="28" t="s">
        <v>3110</v>
      </c>
      <c r="B4925" s="29">
        <v>32992.053800000002</v>
      </c>
      <c r="F4925" t="s">
        <v>3110</v>
      </c>
      <c r="G4925">
        <v>1</v>
      </c>
    </row>
    <row r="4926" spans="1:7" hidden="1" x14ac:dyDescent="0.25">
      <c r="A4926" s="28" t="s">
        <v>1792</v>
      </c>
      <c r="B4926" s="29">
        <v>32992.053800000002</v>
      </c>
      <c r="F4926" t="s">
        <v>1792</v>
      </c>
      <c r="G4926">
        <v>1</v>
      </c>
    </row>
    <row r="4927" spans="1:7" hidden="1" x14ac:dyDescent="0.25">
      <c r="A4927" s="28" t="s">
        <v>3141</v>
      </c>
      <c r="B4927" s="29">
        <v>32992.053800000002</v>
      </c>
      <c r="F4927" t="s">
        <v>3141</v>
      </c>
      <c r="G4927">
        <v>1</v>
      </c>
    </row>
    <row r="4928" spans="1:7" hidden="1" x14ac:dyDescent="0.25">
      <c r="A4928" s="28" t="s">
        <v>1754</v>
      </c>
      <c r="B4928" s="29">
        <v>32992.053800000002</v>
      </c>
      <c r="F4928" t="s">
        <v>1754</v>
      </c>
      <c r="G4928">
        <v>1</v>
      </c>
    </row>
    <row r="4929" spans="1:7" hidden="1" x14ac:dyDescent="0.25">
      <c r="A4929" s="28" t="s">
        <v>3130</v>
      </c>
      <c r="B4929" s="29">
        <v>32992.053800000002</v>
      </c>
      <c r="F4929" t="s">
        <v>3130</v>
      </c>
      <c r="G4929">
        <v>1</v>
      </c>
    </row>
    <row r="4930" spans="1:7" hidden="1" x14ac:dyDescent="0.25">
      <c r="A4930" s="28" t="s">
        <v>3097</v>
      </c>
      <c r="B4930" s="29">
        <v>32992.053800000002</v>
      </c>
      <c r="F4930" t="s">
        <v>3097</v>
      </c>
      <c r="G4930">
        <v>1</v>
      </c>
    </row>
    <row r="4931" spans="1:7" hidden="1" x14ac:dyDescent="0.25">
      <c r="A4931" s="28" t="s">
        <v>3043</v>
      </c>
      <c r="B4931" s="29">
        <v>32992.053800000002</v>
      </c>
      <c r="F4931" t="s">
        <v>3043</v>
      </c>
      <c r="G4931">
        <v>1</v>
      </c>
    </row>
    <row r="4932" spans="1:7" hidden="1" x14ac:dyDescent="0.25">
      <c r="A4932" s="28" t="s">
        <v>2903</v>
      </c>
      <c r="B4932" s="29">
        <v>32992.053800000002</v>
      </c>
      <c r="F4932" t="s">
        <v>2903</v>
      </c>
      <c r="G4932">
        <v>1</v>
      </c>
    </row>
    <row r="4933" spans="1:7" hidden="1" x14ac:dyDescent="0.25">
      <c r="A4933" s="28" t="s">
        <v>1789</v>
      </c>
      <c r="B4933" s="29">
        <v>32992.053800000002</v>
      </c>
      <c r="F4933" t="s">
        <v>1789</v>
      </c>
      <c r="G4933">
        <v>1</v>
      </c>
    </row>
    <row r="4934" spans="1:7" hidden="1" x14ac:dyDescent="0.25">
      <c r="A4934" s="28" t="s">
        <v>2002</v>
      </c>
      <c r="B4934" s="29">
        <v>32992.053800000002</v>
      </c>
      <c r="F4934" t="s">
        <v>2002</v>
      </c>
      <c r="G4934">
        <v>1</v>
      </c>
    </row>
    <row r="4935" spans="1:7" hidden="1" x14ac:dyDescent="0.25">
      <c r="A4935" s="28" t="s">
        <v>1701</v>
      </c>
      <c r="B4935" s="29">
        <v>30956.028900000001</v>
      </c>
      <c r="F4935" t="s">
        <v>1701</v>
      </c>
      <c r="G4935">
        <v>1</v>
      </c>
    </row>
    <row r="4936" spans="1:7" hidden="1" x14ac:dyDescent="0.25">
      <c r="A4936" s="28" t="s">
        <v>1700</v>
      </c>
      <c r="B4936" s="29">
        <v>30956.028900000001</v>
      </c>
      <c r="F4936" t="s">
        <v>1700</v>
      </c>
      <c r="G4936">
        <v>1</v>
      </c>
    </row>
    <row r="4937" spans="1:7" hidden="1" x14ac:dyDescent="0.25">
      <c r="A4937" s="28" t="s">
        <v>1997</v>
      </c>
      <c r="B4937" s="29">
        <v>30956.028900000001</v>
      </c>
      <c r="F4937" t="s">
        <v>1997</v>
      </c>
      <c r="G4937">
        <v>1</v>
      </c>
    </row>
    <row r="4938" spans="1:7" hidden="1" x14ac:dyDescent="0.25">
      <c r="A4938" s="28" t="s">
        <v>1746</v>
      </c>
      <c r="B4938" s="29">
        <v>30956.028900000001</v>
      </c>
      <c r="F4938" t="s">
        <v>1746</v>
      </c>
      <c r="G4938">
        <v>1</v>
      </c>
    </row>
    <row r="4939" spans="1:7" hidden="1" x14ac:dyDescent="0.25">
      <c r="A4939" s="28" t="s">
        <v>3096</v>
      </c>
      <c r="B4939" s="29">
        <v>30956.028900000001</v>
      </c>
      <c r="F4939" t="s">
        <v>3096</v>
      </c>
      <c r="G4939">
        <v>1</v>
      </c>
    </row>
    <row r="4940" spans="1:7" hidden="1" x14ac:dyDescent="0.25">
      <c r="A4940" s="28" t="s">
        <v>2442</v>
      </c>
      <c r="B4940" s="29">
        <v>30956.028900000001</v>
      </c>
      <c r="F4940" t="s">
        <v>2442</v>
      </c>
      <c r="G4940">
        <v>1</v>
      </c>
    </row>
    <row r="4941" spans="1:7" hidden="1" x14ac:dyDescent="0.25">
      <c r="A4941" s="28" t="s">
        <v>1772</v>
      </c>
      <c r="B4941" s="29">
        <v>30956.028900000001</v>
      </c>
      <c r="F4941" t="s">
        <v>1772</v>
      </c>
      <c r="G4941">
        <v>1</v>
      </c>
    </row>
    <row r="4942" spans="1:7" hidden="1" x14ac:dyDescent="0.25">
      <c r="A4942" s="28" t="s">
        <v>2570</v>
      </c>
      <c r="B4942" s="29">
        <v>30956.028900000001</v>
      </c>
      <c r="F4942" t="s">
        <v>2570</v>
      </c>
      <c r="G4942">
        <v>1</v>
      </c>
    </row>
    <row r="4943" spans="1:7" hidden="1" x14ac:dyDescent="0.25">
      <c r="A4943" s="28" t="s">
        <v>1764</v>
      </c>
      <c r="B4943" s="29">
        <v>30956.028900000001</v>
      </c>
      <c r="F4943" t="s">
        <v>1764</v>
      </c>
      <c r="G4943">
        <v>1</v>
      </c>
    </row>
    <row r="4944" spans="1:7" hidden="1" x14ac:dyDescent="0.25">
      <c r="A4944" s="28" t="s">
        <v>1747</v>
      </c>
      <c r="B4944" s="29">
        <v>30956.028900000001</v>
      </c>
      <c r="F4944" t="s">
        <v>1747</v>
      </c>
      <c r="G4944">
        <v>1</v>
      </c>
    </row>
    <row r="4945" spans="1:7" hidden="1" x14ac:dyDescent="0.25">
      <c r="A4945" s="28" t="s">
        <v>1775</v>
      </c>
      <c r="B4945" s="29">
        <v>30956.028900000001</v>
      </c>
      <c r="F4945" t="s">
        <v>1775</v>
      </c>
      <c r="G4945">
        <v>1</v>
      </c>
    </row>
    <row r="4946" spans="1:7" hidden="1" x14ac:dyDescent="0.25">
      <c r="A4946" s="28" t="s">
        <v>1721</v>
      </c>
      <c r="B4946" s="29">
        <v>30956.028900000001</v>
      </c>
      <c r="F4946" t="s">
        <v>1721</v>
      </c>
      <c r="G4946">
        <v>1</v>
      </c>
    </row>
    <row r="4947" spans="1:7" hidden="1" x14ac:dyDescent="0.25">
      <c r="A4947" s="28" t="s">
        <v>1729</v>
      </c>
      <c r="B4947" s="29">
        <v>30956.028900000001</v>
      </c>
      <c r="F4947" t="s">
        <v>1729</v>
      </c>
      <c r="G4947">
        <v>1</v>
      </c>
    </row>
    <row r="4948" spans="1:7" hidden="1" x14ac:dyDescent="0.25">
      <c r="A4948" s="28" t="s">
        <v>1788</v>
      </c>
      <c r="B4948" s="29">
        <v>30956.028900000001</v>
      </c>
      <c r="F4948" t="s">
        <v>1788</v>
      </c>
      <c r="G4948">
        <v>1</v>
      </c>
    </row>
    <row r="4949" spans="1:7" hidden="1" x14ac:dyDescent="0.25">
      <c r="A4949" s="28" t="s">
        <v>1731</v>
      </c>
      <c r="B4949" s="29">
        <v>30956.028900000001</v>
      </c>
      <c r="F4949" t="s">
        <v>1731</v>
      </c>
      <c r="G4949">
        <v>1</v>
      </c>
    </row>
    <row r="4950" spans="1:7" hidden="1" x14ac:dyDescent="0.25">
      <c r="A4950" s="28" t="s">
        <v>1715</v>
      </c>
      <c r="B4950" s="29">
        <v>30956.028900000001</v>
      </c>
      <c r="F4950" t="s">
        <v>1715</v>
      </c>
      <c r="G4950">
        <v>1</v>
      </c>
    </row>
    <row r="4951" spans="1:7" hidden="1" x14ac:dyDescent="0.25">
      <c r="A4951" s="28" t="s">
        <v>1736</v>
      </c>
      <c r="B4951" s="29">
        <v>30956.028900000001</v>
      </c>
      <c r="F4951" t="s">
        <v>1736</v>
      </c>
      <c r="G4951">
        <v>1</v>
      </c>
    </row>
    <row r="4952" spans="1:7" hidden="1" x14ac:dyDescent="0.25">
      <c r="A4952" s="28" t="s">
        <v>1739</v>
      </c>
      <c r="B4952" s="29">
        <v>30956.028900000001</v>
      </c>
      <c r="F4952" t="s">
        <v>1739</v>
      </c>
      <c r="G4952">
        <v>1</v>
      </c>
    </row>
    <row r="4953" spans="1:7" hidden="1" x14ac:dyDescent="0.25">
      <c r="A4953" s="28" t="s">
        <v>2440</v>
      </c>
      <c r="B4953" s="29">
        <v>30956.028900000001</v>
      </c>
      <c r="F4953" t="s">
        <v>2440</v>
      </c>
      <c r="G4953">
        <v>1</v>
      </c>
    </row>
    <row r="4954" spans="1:7" hidden="1" x14ac:dyDescent="0.25">
      <c r="A4954" s="28" t="s">
        <v>1996</v>
      </c>
      <c r="B4954" s="29">
        <v>32992.053800000002</v>
      </c>
      <c r="F4954" t="s">
        <v>1996</v>
      </c>
      <c r="G4954">
        <v>1</v>
      </c>
    </row>
    <row r="4955" spans="1:7" hidden="1" x14ac:dyDescent="0.25">
      <c r="A4955" s="28" t="s">
        <v>1737</v>
      </c>
      <c r="B4955" s="29">
        <v>32992.053800000002</v>
      </c>
      <c r="F4955" t="s">
        <v>1737</v>
      </c>
      <c r="G4955">
        <v>1</v>
      </c>
    </row>
    <row r="4956" spans="1:7" hidden="1" x14ac:dyDescent="0.25">
      <c r="A4956" s="28" t="s">
        <v>1708</v>
      </c>
      <c r="B4956" s="29">
        <v>32992.053800000002</v>
      </c>
      <c r="F4956" t="s">
        <v>1708</v>
      </c>
      <c r="G4956">
        <v>1</v>
      </c>
    </row>
    <row r="4957" spans="1:7" hidden="1" x14ac:dyDescent="0.25">
      <c r="A4957" s="28" t="s">
        <v>1759</v>
      </c>
      <c r="B4957" s="29">
        <v>52414.09</v>
      </c>
      <c r="F4957" t="s">
        <v>1759</v>
      </c>
      <c r="G4957">
        <v>1</v>
      </c>
    </row>
    <row r="4958" spans="1:7" hidden="1" x14ac:dyDescent="0.25">
      <c r="A4958" s="28" t="s">
        <v>1765</v>
      </c>
      <c r="B4958" s="29">
        <v>33505.428800000002</v>
      </c>
      <c r="F4958" t="s">
        <v>1765</v>
      </c>
      <c r="G4958">
        <v>1</v>
      </c>
    </row>
    <row r="4959" spans="1:7" hidden="1" x14ac:dyDescent="0.25">
      <c r="A4959" s="28" t="s">
        <v>1776</v>
      </c>
      <c r="B4959" s="29">
        <v>33505.428800000002</v>
      </c>
      <c r="F4959" t="s">
        <v>1776</v>
      </c>
      <c r="G4959">
        <v>1</v>
      </c>
    </row>
    <row r="4960" spans="1:7" hidden="1" x14ac:dyDescent="0.25">
      <c r="A4960" s="28" t="s">
        <v>2005</v>
      </c>
      <c r="B4960" s="29">
        <v>52414.09</v>
      </c>
      <c r="F4960" t="s">
        <v>2005</v>
      </c>
      <c r="G4960">
        <v>1</v>
      </c>
    </row>
    <row r="4961" spans="1:7" hidden="1" x14ac:dyDescent="0.25">
      <c r="A4961" s="28" t="s">
        <v>1777</v>
      </c>
      <c r="B4961" s="29">
        <v>52414.09</v>
      </c>
      <c r="F4961" t="s">
        <v>1777</v>
      </c>
      <c r="G4961">
        <v>1</v>
      </c>
    </row>
    <row r="4962" spans="1:7" hidden="1" x14ac:dyDescent="0.25">
      <c r="A4962" s="28" t="s">
        <v>2439</v>
      </c>
      <c r="B4962" s="29">
        <v>33505.428800000002</v>
      </c>
      <c r="F4962" t="s">
        <v>2439</v>
      </c>
      <c r="G4962">
        <v>1</v>
      </c>
    </row>
    <row r="4963" spans="1:7" hidden="1" x14ac:dyDescent="0.25">
      <c r="A4963" s="28" t="s">
        <v>1774</v>
      </c>
      <c r="B4963" s="29">
        <v>33505.428800000002</v>
      </c>
      <c r="F4963" t="s">
        <v>1774</v>
      </c>
      <c r="G4963">
        <v>1</v>
      </c>
    </row>
    <row r="4964" spans="1:7" hidden="1" x14ac:dyDescent="0.25">
      <c r="A4964" s="28" t="s">
        <v>1710</v>
      </c>
      <c r="B4964" s="29">
        <v>52414.09</v>
      </c>
      <c r="F4964" t="s">
        <v>1710</v>
      </c>
      <c r="G4964">
        <v>1</v>
      </c>
    </row>
    <row r="4965" spans="1:7" hidden="1" x14ac:dyDescent="0.25">
      <c r="A4965" s="28" t="s">
        <v>2927</v>
      </c>
      <c r="B4965" s="29">
        <v>33505.428800000002</v>
      </c>
      <c r="F4965" t="s">
        <v>2927</v>
      </c>
      <c r="G4965">
        <v>1</v>
      </c>
    </row>
    <row r="4966" spans="1:7" hidden="1" x14ac:dyDescent="0.25">
      <c r="A4966" s="28" t="s">
        <v>3123</v>
      </c>
      <c r="B4966" s="29">
        <v>33505.428800000002</v>
      </c>
      <c r="F4966" t="s">
        <v>3123</v>
      </c>
      <c r="G4966">
        <v>1</v>
      </c>
    </row>
    <row r="4967" spans="1:7" hidden="1" x14ac:dyDescent="0.25">
      <c r="A4967" s="28" t="s">
        <v>1356</v>
      </c>
      <c r="B4967" s="29">
        <v>26564.688900000001</v>
      </c>
      <c r="F4967" t="s">
        <v>1356</v>
      </c>
      <c r="G4967">
        <v>1</v>
      </c>
    </row>
    <row r="4968" spans="1:7" hidden="1" x14ac:dyDescent="0.25">
      <c r="A4968" s="28" t="s">
        <v>1986</v>
      </c>
      <c r="B4968" s="29">
        <v>33505.428800000002</v>
      </c>
      <c r="F4968" t="s">
        <v>1986</v>
      </c>
      <c r="G4968">
        <v>1</v>
      </c>
    </row>
    <row r="4969" spans="1:7" hidden="1" x14ac:dyDescent="0.25">
      <c r="A4969" s="28" t="s">
        <v>1718</v>
      </c>
      <c r="B4969" s="29">
        <v>52414.09</v>
      </c>
      <c r="F4969" t="s">
        <v>1718</v>
      </c>
      <c r="G4969">
        <v>1</v>
      </c>
    </row>
    <row r="4970" spans="1:7" hidden="1" x14ac:dyDescent="0.25">
      <c r="A4970" s="28" t="s">
        <v>1769</v>
      </c>
      <c r="B4970" s="29">
        <v>52414.09</v>
      </c>
      <c r="F4970" t="s">
        <v>1769</v>
      </c>
      <c r="G4970">
        <v>1</v>
      </c>
    </row>
    <row r="4971" spans="1:7" hidden="1" x14ac:dyDescent="0.25">
      <c r="A4971" s="28" t="s">
        <v>1717</v>
      </c>
      <c r="B4971" s="29">
        <v>33505.428800000002</v>
      </c>
      <c r="F4971" t="s">
        <v>1717</v>
      </c>
      <c r="G4971">
        <v>1</v>
      </c>
    </row>
    <row r="4972" spans="1:7" hidden="1" x14ac:dyDescent="0.25">
      <c r="A4972" s="28" t="s">
        <v>1787</v>
      </c>
      <c r="B4972" s="29">
        <v>52414.09</v>
      </c>
      <c r="F4972" t="s">
        <v>1787</v>
      </c>
      <c r="G4972">
        <v>1</v>
      </c>
    </row>
    <row r="4973" spans="1:7" hidden="1" x14ac:dyDescent="0.25">
      <c r="A4973" s="28" t="s">
        <v>1773</v>
      </c>
      <c r="B4973" s="29">
        <v>52414.09</v>
      </c>
      <c r="F4973" t="s">
        <v>1773</v>
      </c>
      <c r="G4973">
        <v>1</v>
      </c>
    </row>
    <row r="4974" spans="1:7" hidden="1" x14ac:dyDescent="0.25">
      <c r="A4974" s="28" t="s">
        <v>1989</v>
      </c>
      <c r="B4974" s="29">
        <v>52414.09</v>
      </c>
      <c r="F4974" t="s">
        <v>1989</v>
      </c>
      <c r="G4974">
        <v>1</v>
      </c>
    </row>
    <row r="4975" spans="1:7" hidden="1" x14ac:dyDescent="0.25">
      <c r="A4975" s="28" t="s">
        <v>1753</v>
      </c>
      <c r="B4975" s="29">
        <v>52414.09</v>
      </c>
      <c r="F4975" t="s">
        <v>1753</v>
      </c>
      <c r="G4975">
        <v>1</v>
      </c>
    </row>
    <row r="4976" spans="1:7" hidden="1" x14ac:dyDescent="0.25">
      <c r="A4976" s="28" t="s">
        <v>2733</v>
      </c>
      <c r="B4976" s="29">
        <v>52414.09</v>
      </c>
      <c r="F4976" t="s">
        <v>2733</v>
      </c>
      <c r="G4976">
        <v>1</v>
      </c>
    </row>
    <row r="4977" spans="1:7" hidden="1" x14ac:dyDescent="0.25">
      <c r="A4977" s="28" t="s">
        <v>1732</v>
      </c>
      <c r="B4977" s="29">
        <v>52414.09</v>
      </c>
      <c r="F4977" t="s">
        <v>1732</v>
      </c>
      <c r="G4977">
        <v>1</v>
      </c>
    </row>
    <row r="4978" spans="1:7" hidden="1" x14ac:dyDescent="0.25">
      <c r="A4978" s="28" t="s">
        <v>1838</v>
      </c>
      <c r="B4978" s="29">
        <v>52414.09</v>
      </c>
      <c r="F4978" t="s">
        <v>1838</v>
      </c>
      <c r="G4978">
        <v>1</v>
      </c>
    </row>
    <row r="4979" spans="1:7" hidden="1" x14ac:dyDescent="0.25">
      <c r="A4979" s="28" t="s">
        <v>2003</v>
      </c>
      <c r="B4979" s="29">
        <v>52414.09</v>
      </c>
      <c r="F4979" t="s">
        <v>2003</v>
      </c>
      <c r="G4979">
        <v>1</v>
      </c>
    </row>
    <row r="4980" spans="1:7" hidden="1" x14ac:dyDescent="0.25">
      <c r="A4980" s="28" t="s">
        <v>1712</v>
      </c>
      <c r="B4980" s="29">
        <v>52414.09</v>
      </c>
      <c r="F4980" t="s">
        <v>1712</v>
      </c>
      <c r="G4980">
        <v>1</v>
      </c>
    </row>
    <row r="4981" spans="1:7" hidden="1" x14ac:dyDescent="0.25">
      <c r="A4981" s="28" t="s">
        <v>2000</v>
      </c>
      <c r="B4981" s="29">
        <v>52414.09</v>
      </c>
      <c r="F4981" t="s">
        <v>2000</v>
      </c>
      <c r="G4981">
        <v>1</v>
      </c>
    </row>
    <row r="4982" spans="1:7" hidden="1" x14ac:dyDescent="0.25">
      <c r="A4982" s="28" t="s">
        <v>1719</v>
      </c>
      <c r="B4982" s="29">
        <v>52414.09</v>
      </c>
      <c r="F4982" t="s">
        <v>1719</v>
      </c>
      <c r="G4982">
        <v>1</v>
      </c>
    </row>
    <row r="4983" spans="1:7" hidden="1" x14ac:dyDescent="0.25">
      <c r="A4983" s="28" t="s">
        <v>2569</v>
      </c>
      <c r="B4983" s="29">
        <v>52414.09</v>
      </c>
      <c r="F4983" t="s">
        <v>2569</v>
      </c>
      <c r="G4983">
        <v>1</v>
      </c>
    </row>
    <row r="4984" spans="1:7" hidden="1" x14ac:dyDescent="0.25">
      <c r="A4984" s="28" t="s">
        <v>1992</v>
      </c>
      <c r="B4984" s="29">
        <v>52414.09</v>
      </c>
      <c r="F4984" t="s">
        <v>1992</v>
      </c>
      <c r="G4984">
        <v>1</v>
      </c>
    </row>
    <row r="4985" spans="1:7" hidden="1" x14ac:dyDescent="0.25">
      <c r="A4985" s="28" t="s">
        <v>1723</v>
      </c>
      <c r="B4985" s="29">
        <v>52414.09</v>
      </c>
      <c r="F4985" t="s">
        <v>1723</v>
      </c>
      <c r="G4985">
        <v>1</v>
      </c>
    </row>
    <row r="4986" spans="1:7" hidden="1" x14ac:dyDescent="0.25">
      <c r="A4986" s="28" t="s">
        <v>1998</v>
      </c>
      <c r="B4986" s="29">
        <v>52414.09</v>
      </c>
      <c r="F4986" t="s">
        <v>1998</v>
      </c>
      <c r="G4986">
        <v>1</v>
      </c>
    </row>
    <row r="4987" spans="1:7" hidden="1" x14ac:dyDescent="0.25">
      <c r="A4987" s="28" t="s">
        <v>1720</v>
      </c>
      <c r="B4987" s="29">
        <v>52414.09</v>
      </c>
      <c r="F4987" t="s">
        <v>1720</v>
      </c>
      <c r="G4987">
        <v>1</v>
      </c>
    </row>
    <row r="4988" spans="1:7" hidden="1" x14ac:dyDescent="0.25">
      <c r="A4988" s="28" t="s">
        <v>1711</v>
      </c>
      <c r="B4988" s="29">
        <v>52414.09</v>
      </c>
      <c r="F4988" t="s">
        <v>1711</v>
      </c>
      <c r="G4988">
        <v>1</v>
      </c>
    </row>
    <row r="4989" spans="1:7" hidden="1" x14ac:dyDescent="0.25">
      <c r="A4989" s="28" t="s">
        <v>1790</v>
      </c>
      <c r="B4989" s="29">
        <v>52414.09</v>
      </c>
      <c r="F4989" t="s">
        <v>1790</v>
      </c>
      <c r="G4989">
        <v>1</v>
      </c>
    </row>
    <row r="4990" spans="1:7" hidden="1" x14ac:dyDescent="0.25">
      <c r="A4990" s="28" t="s">
        <v>1734</v>
      </c>
      <c r="B4990" s="29">
        <v>52414.09</v>
      </c>
      <c r="F4990" t="s">
        <v>1734</v>
      </c>
      <c r="G4990">
        <v>1</v>
      </c>
    </row>
    <row r="4991" spans="1:7" hidden="1" x14ac:dyDescent="0.25">
      <c r="A4991" s="28" t="s">
        <v>1735</v>
      </c>
      <c r="B4991" s="29">
        <v>52414.09</v>
      </c>
      <c r="F4991" t="s">
        <v>1735</v>
      </c>
      <c r="G4991">
        <v>1</v>
      </c>
    </row>
    <row r="4992" spans="1:7" hidden="1" x14ac:dyDescent="0.25">
      <c r="A4992" s="28" t="s">
        <v>1728</v>
      </c>
      <c r="B4992" s="29">
        <v>52414.09</v>
      </c>
      <c r="F4992" t="s">
        <v>1728</v>
      </c>
      <c r="G4992">
        <v>1</v>
      </c>
    </row>
    <row r="4993" spans="1:7" hidden="1" x14ac:dyDescent="0.25">
      <c r="A4993" s="28" t="s">
        <v>1995</v>
      </c>
      <c r="B4993" s="29">
        <v>52414.09</v>
      </c>
      <c r="F4993" t="s">
        <v>1995</v>
      </c>
      <c r="G4993">
        <v>1</v>
      </c>
    </row>
    <row r="4994" spans="1:7" hidden="1" x14ac:dyDescent="0.25">
      <c r="A4994" s="28" t="s">
        <v>1725</v>
      </c>
      <c r="B4994" s="29">
        <v>52414.09</v>
      </c>
      <c r="F4994" t="s">
        <v>1725</v>
      </c>
      <c r="G4994">
        <v>1</v>
      </c>
    </row>
    <row r="4995" spans="1:7" hidden="1" x14ac:dyDescent="0.25">
      <c r="A4995" s="28" t="s">
        <v>1724</v>
      </c>
      <c r="B4995" s="29">
        <v>52414.09</v>
      </c>
      <c r="F4995" t="s">
        <v>1724</v>
      </c>
      <c r="G4995">
        <v>1</v>
      </c>
    </row>
    <row r="4996" spans="1:7" hidden="1" x14ac:dyDescent="0.25">
      <c r="A4996" s="28" t="s">
        <v>1988</v>
      </c>
      <c r="B4996" s="29">
        <v>52414.09</v>
      </c>
      <c r="F4996" t="s">
        <v>1988</v>
      </c>
      <c r="G4996">
        <v>1</v>
      </c>
    </row>
    <row r="4997" spans="1:7" hidden="1" x14ac:dyDescent="0.25">
      <c r="A4997" s="28" t="s">
        <v>2438</v>
      </c>
      <c r="B4997" s="29">
        <v>52414.09</v>
      </c>
      <c r="F4997" t="s">
        <v>2438</v>
      </c>
      <c r="G4997">
        <v>1</v>
      </c>
    </row>
    <row r="4998" spans="1:7" hidden="1" x14ac:dyDescent="0.25">
      <c r="A4998" s="28" t="s">
        <v>1766</v>
      </c>
      <c r="B4998" s="29">
        <v>52414.09</v>
      </c>
      <c r="F4998" t="s">
        <v>1766</v>
      </c>
      <c r="G4998">
        <v>1</v>
      </c>
    </row>
    <row r="4999" spans="1:7" hidden="1" x14ac:dyDescent="0.25">
      <c r="A4999" s="28" t="s">
        <v>1770</v>
      </c>
      <c r="B4999" s="29">
        <v>52414.09</v>
      </c>
      <c r="F4999" t="s">
        <v>1770</v>
      </c>
      <c r="G4999">
        <v>1</v>
      </c>
    </row>
    <row r="5000" spans="1:7" hidden="1" x14ac:dyDescent="0.25">
      <c r="A5000" s="28" t="s">
        <v>1994</v>
      </c>
      <c r="B5000" s="29">
        <v>52414.09</v>
      </c>
      <c r="F5000" t="s">
        <v>1994</v>
      </c>
      <c r="G5000">
        <v>1</v>
      </c>
    </row>
    <row r="5001" spans="1:7" hidden="1" x14ac:dyDescent="0.25">
      <c r="A5001" s="28" t="s">
        <v>1999</v>
      </c>
      <c r="B5001" s="29">
        <v>52414.09</v>
      </c>
      <c r="F5001" t="s">
        <v>1999</v>
      </c>
      <c r="G5001">
        <v>1</v>
      </c>
    </row>
    <row r="5002" spans="1:7" hidden="1" x14ac:dyDescent="0.25">
      <c r="A5002" s="28" t="s">
        <v>1768</v>
      </c>
      <c r="B5002" s="29">
        <v>52414.09</v>
      </c>
      <c r="F5002" t="s">
        <v>1768</v>
      </c>
      <c r="G5002">
        <v>1</v>
      </c>
    </row>
    <row r="5003" spans="1:7" hidden="1" x14ac:dyDescent="0.25">
      <c r="A5003" s="28" t="s">
        <v>1749</v>
      </c>
      <c r="B5003" s="29">
        <v>52414.09</v>
      </c>
      <c r="F5003" t="s">
        <v>1749</v>
      </c>
      <c r="G5003">
        <v>1</v>
      </c>
    </row>
    <row r="5004" spans="1:7" hidden="1" x14ac:dyDescent="0.25">
      <c r="A5004" s="28" t="s">
        <v>2868</v>
      </c>
      <c r="B5004" s="29">
        <v>52414.09</v>
      </c>
      <c r="F5004" t="s">
        <v>2868</v>
      </c>
      <c r="G5004">
        <v>1</v>
      </c>
    </row>
    <row r="5005" spans="1:7" hidden="1" x14ac:dyDescent="0.25">
      <c r="A5005" s="28" t="s">
        <v>1716</v>
      </c>
      <c r="B5005" s="29">
        <v>52414.09</v>
      </c>
      <c r="F5005" t="s">
        <v>1716</v>
      </c>
      <c r="G5005">
        <v>1</v>
      </c>
    </row>
    <row r="5006" spans="1:7" hidden="1" x14ac:dyDescent="0.25">
      <c r="A5006" s="28" t="s">
        <v>1778</v>
      </c>
      <c r="B5006" s="29">
        <v>52414.09</v>
      </c>
      <c r="F5006" t="s">
        <v>1778</v>
      </c>
      <c r="G5006">
        <v>1</v>
      </c>
    </row>
    <row r="5007" spans="1:7" hidden="1" x14ac:dyDescent="0.25">
      <c r="A5007" s="28" t="s">
        <v>2004</v>
      </c>
      <c r="B5007" s="29">
        <v>52414.09</v>
      </c>
      <c r="F5007" t="s">
        <v>2004</v>
      </c>
      <c r="G5007">
        <v>1</v>
      </c>
    </row>
    <row r="5008" spans="1:7" hidden="1" x14ac:dyDescent="0.25">
      <c r="A5008" s="28" t="s">
        <v>1740</v>
      </c>
      <c r="B5008" s="29">
        <v>52414.09</v>
      </c>
      <c r="F5008" t="s">
        <v>1740</v>
      </c>
      <c r="G5008">
        <v>1</v>
      </c>
    </row>
    <row r="5009" spans="1:7" hidden="1" x14ac:dyDescent="0.25">
      <c r="A5009" s="28" t="s">
        <v>2731</v>
      </c>
      <c r="B5009" s="29">
        <v>52414.09</v>
      </c>
      <c r="F5009" t="s">
        <v>2731</v>
      </c>
      <c r="G5009">
        <v>1</v>
      </c>
    </row>
    <row r="5010" spans="1:7" hidden="1" x14ac:dyDescent="0.25">
      <c r="A5010" s="28" t="s">
        <v>1784</v>
      </c>
      <c r="B5010" s="29">
        <v>52414.09</v>
      </c>
      <c r="F5010" t="s">
        <v>1784</v>
      </c>
      <c r="G5010">
        <v>1</v>
      </c>
    </row>
    <row r="5011" spans="1:7" hidden="1" x14ac:dyDescent="0.25">
      <c r="A5011" s="28" t="s">
        <v>1779</v>
      </c>
      <c r="B5011" s="29">
        <v>29992.139899999998</v>
      </c>
      <c r="F5011" t="s">
        <v>1779</v>
      </c>
      <c r="G5011">
        <v>1</v>
      </c>
    </row>
    <row r="5012" spans="1:7" hidden="1" x14ac:dyDescent="0.25">
      <c r="A5012" s="28" t="s">
        <v>1748</v>
      </c>
      <c r="B5012" s="29">
        <v>52414.09</v>
      </c>
      <c r="F5012" t="s">
        <v>1748</v>
      </c>
      <c r="G5012">
        <v>1</v>
      </c>
    </row>
    <row r="5013" spans="1:7" hidden="1" x14ac:dyDescent="0.25">
      <c r="A5013" s="28" t="s">
        <v>1763</v>
      </c>
      <c r="B5013" s="29">
        <v>52414.09</v>
      </c>
      <c r="F5013" t="s">
        <v>1763</v>
      </c>
      <c r="G5013">
        <v>1</v>
      </c>
    </row>
    <row r="5014" spans="1:7" hidden="1" x14ac:dyDescent="0.25">
      <c r="A5014" s="28" t="s">
        <v>1767</v>
      </c>
      <c r="B5014" s="29">
        <v>52414.09</v>
      </c>
      <c r="F5014" t="s">
        <v>1767</v>
      </c>
      <c r="G5014">
        <v>1</v>
      </c>
    </row>
    <row r="5015" spans="1:7" hidden="1" x14ac:dyDescent="0.25">
      <c r="A5015" s="28" t="s">
        <v>2922</v>
      </c>
      <c r="B5015" s="29">
        <v>52414.09</v>
      </c>
      <c r="F5015" t="s">
        <v>2922</v>
      </c>
      <c r="G5015">
        <v>1</v>
      </c>
    </row>
    <row r="5016" spans="1:7" hidden="1" x14ac:dyDescent="0.25">
      <c r="A5016" s="28" t="s">
        <v>1752</v>
      </c>
      <c r="B5016" s="29">
        <v>29992.139899999998</v>
      </c>
      <c r="F5016" t="s">
        <v>1752</v>
      </c>
      <c r="G5016">
        <v>1</v>
      </c>
    </row>
    <row r="5017" spans="1:7" hidden="1" x14ac:dyDescent="0.25">
      <c r="A5017" s="28" t="s">
        <v>1755</v>
      </c>
      <c r="B5017" s="29">
        <v>29992.139899999998</v>
      </c>
      <c r="F5017" t="s">
        <v>1755</v>
      </c>
      <c r="G5017">
        <v>1</v>
      </c>
    </row>
    <row r="5018" spans="1:7" hidden="1" x14ac:dyDescent="0.25">
      <c r="A5018" s="28" t="s">
        <v>1793</v>
      </c>
      <c r="B5018" s="29">
        <v>29992.139899999998</v>
      </c>
      <c r="F5018" t="s">
        <v>1793</v>
      </c>
      <c r="G5018">
        <v>1</v>
      </c>
    </row>
    <row r="5019" spans="1:7" hidden="1" x14ac:dyDescent="0.25">
      <c r="A5019" s="28" t="s">
        <v>1993</v>
      </c>
      <c r="B5019" s="29">
        <v>29992.139899999998</v>
      </c>
      <c r="F5019" t="s">
        <v>1993</v>
      </c>
      <c r="G5019">
        <v>1</v>
      </c>
    </row>
    <row r="5020" spans="1:7" hidden="1" x14ac:dyDescent="0.25">
      <c r="A5020" s="28" t="s">
        <v>1744</v>
      </c>
      <c r="B5020" s="29">
        <v>52414.09</v>
      </c>
      <c r="F5020" t="s">
        <v>1744</v>
      </c>
      <c r="G5020">
        <v>1</v>
      </c>
    </row>
    <row r="5021" spans="1:7" hidden="1" x14ac:dyDescent="0.25">
      <c r="A5021" s="28" t="s">
        <v>1791</v>
      </c>
      <c r="B5021" s="29">
        <v>52414.09</v>
      </c>
      <c r="F5021" t="s">
        <v>1791</v>
      </c>
      <c r="G5021">
        <v>1</v>
      </c>
    </row>
    <row r="5022" spans="1:7" hidden="1" x14ac:dyDescent="0.25">
      <c r="A5022" s="28" t="s">
        <v>1782</v>
      </c>
      <c r="B5022" s="29">
        <v>52414.09</v>
      </c>
      <c r="F5022" t="s">
        <v>1782</v>
      </c>
      <c r="G5022">
        <v>1</v>
      </c>
    </row>
    <row r="5023" spans="1:7" hidden="1" x14ac:dyDescent="0.25">
      <c r="A5023" s="28" t="s">
        <v>1785</v>
      </c>
      <c r="B5023" s="29">
        <v>52414.09</v>
      </c>
      <c r="F5023" t="s">
        <v>1785</v>
      </c>
      <c r="G5023">
        <v>1</v>
      </c>
    </row>
    <row r="5024" spans="1:7" hidden="1" x14ac:dyDescent="0.25">
      <c r="A5024" s="28" t="s">
        <v>1758</v>
      </c>
      <c r="B5024" s="29">
        <v>52414.09</v>
      </c>
      <c r="F5024" t="s">
        <v>1758</v>
      </c>
      <c r="G5024">
        <v>1</v>
      </c>
    </row>
    <row r="5025" spans="1:7" hidden="1" x14ac:dyDescent="0.25">
      <c r="A5025" s="28" t="s">
        <v>1750</v>
      </c>
      <c r="B5025" s="29">
        <v>52414.09</v>
      </c>
      <c r="F5025" t="s">
        <v>1750</v>
      </c>
      <c r="G5025">
        <v>1</v>
      </c>
    </row>
    <row r="5026" spans="1:7" hidden="1" x14ac:dyDescent="0.25">
      <c r="A5026" s="28" t="s">
        <v>1745</v>
      </c>
      <c r="B5026" s="29">
        <v>52414.09</v>
      </c>
      <c r="F5026" t="s">
        <v>1745</v>
      </c>
      <c r="G5026">
        <v>1</v>
      </c>
    </row>
    <row r="5027" spans="1:7" hidden="1" x14ac:dyDescent="0.25">
      <c r="A5027" s="28" t="s">
        <v>1751</v>
      </c>
      <c r="B5027" s="29">
        <v>52414.09</v>
      </c>
      <c r="F5027" t="s">
        <v>1751</v>
      </c>
      <c r="G5027">
        <v>1</v>
      </c>
    </row>
    <row r="5028" spans="1:7" hidden="1" x14ac:dyDescent="0.25">
      <c r="A5028" s="28" t="s">
        <v>1980</v>
      </c>
      <c r="B5028" s="29">
        <v>52414.09</v>
      </c>
      <c r="F5028" t="s">
        <v>1980</v>
      </c>
      <c r="G5028">
        <v>1</v>
      </c>
    </row>
    <row r="5029" spans="1:7" hidden="1" x14ac:dyDescent="0.25">
      <c r="A5029" s="28" t="s">
        <v>1981</v>
      </c>
      <c r="B5029" s="29">
        <v>52414.09</v>
      </c>
      <c r="F5029" t="s">
        <v>1981</v>
      </c>
      <c r="G5029">
        <v>1</v>
      </c>
    </row>
    <row r="5030" spans="1:7" hidden="1" x14ac:dyDescent="0.25">
      <c r="A5030" s="28" t="s">
        <v>1907</v>
      </c>
      <c r="B5030" s="29">
        <v>32992.053800000002</v>
      </c>
      <c r="F5030" t="s">
        <v>1907</v>
      </c>
      <c r="G5030">
        <v>1</v>
      </c>
    </row>
    <row r="5031" spans="1:7" hidden="1" x14ac:dyDescent="0.25">
      <c r="A5031" s="28" t="s">
        <v>2172</v>
      </c>
      <c r="B5031" s="29">
        <v>32992.053800000002</v>
      </c>
      <c r="F5031" t="s">
        <v>2172</v>
      </c>
      <c r="G5031">
        <v>1</v>
      </c>
    </row>
    <row r="5032" spans="1:7" hidden="1" x14ac:dyDescent="0.25">
      <c r="A5032" s="28" t="s">
        <v>2926</v>
      </c>
      <c r="B5032" s="29">
        <v>26853.405500000001</v>
      </c>
      <c r="F5032" t="s">
        <v>2926</v>
      </c>
      <c r="G5032">
        <v>1</v>
      </c>
    </row>
    <row r="5033" spans="1:7" hidden="1" x14ac:dyDescent="0.25">
      <c r="A5033" s="28" t="s">
        <v>7246</v>
      </c>
      <c r="B5033" s="29">
        <v>49994.412131185367</v>
      </c>
      <c r="F5033" t="s">
        <v>7246</v>
      </c>
      <c r="G5033">
        <v>6529</v>
      </c>
    </row>
  </sheetData>
  <autoFilter ref="F3:G5033">
    <filterColumn colId="1">
      <filters>
        <filter val="2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AL6521"/>
  <sheetViews>
    <sheetView topLeftCell="A19" workbookViewId="0">
      <selection activeCell="A2" sqref="A2:XFD2"/>
    </sheetView>
  </sheetViews>
  <sheetFormatPr defaultRowHeight="15" x14ac:dyDescent="0.25"/>
  <cols>
    <col min="1" max="1" width="33.42578125" customWidth="1"/>
    <col min="2" max="2" width="26" customWidth="1"/>
    <col min="3" max="3" width="25.5703125" style="5" customWidth="1"/>
    <col min="4" max="4" width="27.7109375" style="5" customWidth="1"/>
    <col min="5" max="5" width="24" style="5" customWidth="1"/>
    <col min="6" max="6" width="19.28515625" customWidth="1"/>
    <col min="7" max="7" width="20.42578125" style="5" customWidth="1"/>
    <col min="8" max="9" width="10.140625" style="5" customWidth="1"/>
    <col min="10" max="10" width="15.85546875" customWidth="1"/>
    <col min="11" max="11" width="9.140625" style="5"/>
    <col min="12" max="12" width="22.7109375" customWidth="1"/>
    <col min="13" max="13" width="40.85546875" customWidth="1"/>
    <col min="14" max="14" width="18.28515625" customWidth="1"/>
    <col min="18" max="18" width="19.5703125" customWidth="1"/>
    <col min="19" max="19" width="23" customWidth="1"/>
    <col min="20" max="20" width="26.5703125" customWidth="1"/>
    <col min="24" max="24" width="17.42578125" customWidth="1"/>
    <col min="25" max="25" width="21.140625" customWidth="1"/>
    <col min="29" max="29" width="32.7109375" customWidth="1"/>
    <col min="30" max="30" width="30.140625" customWidth="1"/>
    <col min="31" max="31" width="30.140625" style="5" customWidth="1"/>
    <col min="32" max="32" width="16.5703125" customWidth="1"/>
    <col min="34" max="34" width="9.140625" style="5"/>
    <col min="35" max="37" width="10.5703125" bestFit="1" customWidth="1"/>
  </cols>
  <sheetData>
    <row r="1" spans="1:38" ht="24" customHeight="1" x14ac:dyDescent="0.25">
      <c r="A1" s="23" t="s">
        <v>5236</v>
      </c>
      <c r="B1" s="3" t="s">
        <v>7243</v>
      </c>
      <c r="C1" s="124" t="s">
        <v>7244</v>
      </c>
      <c r="D1" s="124"/>
      <c r="E1" s="124"/>
      <c r="F1" s="125" t="s">
        <v>5236</v>
      </c>
      <c r="G1" s="125"/>
      <c r="H1" s="125"/>
      <c r="I1" s="125"/>
      <c r="J1" s="125"/>
      <c r="K1" s="26"/>
      <c r="L1" s="22" t="s">
        <v>7241</v>
      </c>
      <c r="M1" s="124" t="s">
        <v>5178</v>
      </c>
      <c r="N1" s="124"/>
      <c r="O1" s="10"/>
      <c r="P1" s="5"/>
      <c r="Q1" s="5"/>
      <c r="R1" s="124" t="s">
        <v>5216</v>
      </c>
      <c r="S1" s="124"/>
      <c r="T1" s="124"/>
      <c r="X1" s="124" t="s">
        <v>5225</v>
      </c>
      <c r="Y1" s="124"/>
      <c r="AC1" s="124" t="s">
        <v>5235</v>
      </c>
      <c r="AD1" s="124"/>
      <c r="AE1" s="9"/>
    </row>
    <row r="2" spans="1:38" x14ac:dyDescent="0.25">
      <c r="A2" s="3" t="s">
        <v>1622</v>
      </c>
      <c r="B2" s="3" t="s">
        <v>1623</v>
      </c>
      <c r="C2" s="5" t="s">
        <v>1624</v>
      </c>
      <c r="D2" s="5" t="s">
        <v>1625</v>
      </c>
      <c r="E2" s="5" t="s">
        <v>1626</v>
      </c>
      <c r="F2" s="21" t="s">
        <v>7250</v>
      </c>
      <c r="M2" s="13" t="s">
        <v>1632</v>
      </c>
      <c r="N2" s="13" t="str">
        <f>M2</f>
        <v>АВТОВОКЗАЛ</v>
      </c>
      <c r="O2" s="12"/>
      <c r="P2" s="12"/>
      <c r="Q2" s="12"/>
      <c r="R2" s="12" t="s">
        <v>5179</v>
      </c>
      <c r="S2" t="s">
        <v>5180</v>
      </c>
      <c r="T2" t="s">
        <v>5181</v>
      </c>
      <c r="X2" s="12" t="s">
        <v>5179</v>
      </c>
      <c r="Y2" s="5" t="s">
        <v>5181</v>
      </c>
      <c r="AC2" s="12" t="s">
        <v>5179</v>
      </c>
      <c r="AD2" s="5" t="s">
        <v>5181</v>
      </c>
      <c r="AF2" t="s">
        <v>7233</v>
      </c>
      <c r="AG2" t="s">
        <v>7160</v>
      </c>
      <c r="AH2" s="5" t="s">
        <v>7233</v>
      </c>
      <c r="AI2" s="5" t="s">
        <v>1624</v>
      </c>
      <c r="AJ2" s="5" t="s">
        <v>1625</v>
      </c>
      <c r="AK2" s="5" t="s">
        <v>1626</v>
      </c>
    </row>
    <row r="3" spans="1:38" ht="15" customHeight="1" x14ac:dyDescent="0.25">
      <c r="A3" s="3" t="s">
        <v>11</v>
      </c>
      <c r="B3" s="3" t="s">
        <v>14</v>
      </c>
      <c r="C3" s="5">
        <v>93989.912800000006</v>
      </c>
      <c r="D3" s="5">
        <v>93989.912800000006</v>
      </c>
      <c r="E3" s="5">
        <v>85109.545199999993</v>
      </c>
      <c r="F3" t="s">
        <v>7249</v>
      </c>
      <c r="G3" s="5" t="str">
        <f>B3</f>
        <v>Центр</v>
      </c>
      <c r="M3" s="14" t="s">
        <v>1646</v>
      </c>
      <c r="N3" s="13" t="str">
        <f t="shared" ref="N3:N53" si="0">M3</f>
        <v>АКАДЕМИЧЕСКИЙ</v>
      </c>
      <c r="R3" t="s">
        <v>5182</v>
      </c>
      <c r="S3" t="s">
        <v>1678</v>
      </c>
      <c r="T3" t="s">
        <v>1678</v>
      </c>
      <c r="X3" t="s">
        <v>5217</v>
      </c>
      <c r="Y3" t="s">
        <v>5218</v>
      </c>
      <c r="AC3" t="s">
        <v>5226</v>
      </c>
      <c r="AD3" t="s">
        <v>1686</v>
      </c>
      <c r="AF3" t="s">
        <v>7161</v>
      </c>
      <c r="AG3" s="24" t="s">
        <v>5237</v>
      </c>
      <c r="AH3" s="5" t="s">
        <v>7161</v>
      </c>
      <c r="AI3">
        <v>39614.886400000003</v>
      </c>
      <c r="AJ3">
        <v>39614.886400000003</v>
      </c>
      <c r="AK3">
        <v>36792.6967</v>
      </c>
      <c r="AL3" t="str">
        <f>AF3</f>
        <v>Арамильский городской округ</v>
      </c>
    </row>
    <row r="4" spans="1:38" ht="15" customHeight="1" x14ac:dyDescent="0.25">
      <c r="A4" s="3" t="s">
        <v>19</v>
      </c>
      <c r="B4" s="3" t="s">
        <v>1627</v>
      </c>
      <c r="C4" s="5">
        <v>56392.543899999997</v>
      </c>
      <c r="D4" s="5">
        <v>56392.543899999997</v>
      </c>
      <c r="E4" s="5">
        <v>51064.4617</v>
      </c>
      <c r="F4" t="s">
        <v>7249</v>
      </c>
      <c r="G4" s="5" t="str">
        <f t="shared" ref="G4:G67" si="1">B4</f>
        <v>КОМПРЕССОРНЫЙ</v>
      </c>
      <c r="J4" s="5"/>
      <c r="M4" s="13" t="s">
        <v>1634</v>
      </c>
      <c r="N4" s="13" t="str">
        <f t="shared" si="0"/>
        <v>БОТАНИЧЕСКИЙ</v>
      </c>
      <c r="R4" t="s">
        <v>5183</v>
      </c>
      <c r="S4" t="s">
        <v>1677</v>
      </c>
      <c r="T4" t="s">
        <v>1677</v>
      </c>
      <c r="X4" t="s">
        <v>1694</v>
      </c>
      <c r="Y4" t="s">
        <v>1694</v>
      </c>
      <c r="AC4" t="s">
        <v>310</v>
      </c>
      <c r="AD4" t="s">
        <v>1688</v>
      </c>
      <c r="AF4" t="s">
        <v>7161</v>
      </c>
      <c r="AG4" s="24" t="s">
        <v>5238</v>
      </c>
      <c r="AH4" s="5" t="s">
        <v>7161</v>
      </c>
      <c r="AI4" s="25">
        <v>48945.107300000003</v>
      </c>
      <c r="AJ4" s="25">
        <v>48945.107300000003</v>
      </c>
      <c r="AK4" s="25">
        <v>45458.222199999997</v>
      </c>
      <c r="AL4" s="5" t="str">
        <f t="shared" ref="AL4:AL67" si="2">AF4</f>
        <v>Арамильский городской округ</v>
      </c>
    </row>
    <row r="5" spans="1:38" ht="15" customHeight="1" x14ac:dyDescent="0.25">
      <c r="A5" s="3" t="s">
        <v>30</v>
      </c>
      <c r="B5" s="3" t="s">
        <v>1628</v>
      </c>
      <c r="C5" s="5">
        <v>70734.0236</v>
      </c>
      <c r="D5" s="5">
        <v>70734.0236</v>
      </c>
      <c r="E5" s="5">
        <v>64050.9208</v>
      </c>
      <c r="F5" t="s">
        <v>7249</v>
      </c>
      <c r="G5" s="5" t="str">
        <f t="shared" si="1"/>
        <v>ЭЛЬМАШ</v>
      </c>
      <c r="J5" s="5"/>
      <c r="M5" s="13" t="s">
        <v>33</v>
      </c>
      <c r="N5" s="13" t="str">
        <f t="shared" si="0"/>
        <v>ВИЗ</v>
      </c>
      <c r="R5" t="s">
        <v>5184</v>
      </c>
      <c r="S5" t="s">
        <v>1677</v>
      </c>
      <c r="T5" t="s">
        <v>1677</v>
      </c>
      <c r="X5" t="s">
        <v>1693</v>
      </c>
      <c r="Y5" t="s">
        <v>1693</v>
      </c>
      <c r="AC5" t="s">
        <v>1353</v>
      </c>
      <c r="AD5" t="s">
        <v>1688</v>
      </c>
      <c r="AF5" t="s">
        <v>7161</v>
      </c>
      <c r="AG5" s="24" t="s">
        <v>5239</v>
      </c>
      <c r="AH5" s="5" t="s">
        <v>7161</v>
      </c>
      <c r="AI5" s="5">
        <v>40607.171199999997</v>
      </c>
      <c r="AJ5" s="5">
        <v>40607.171199999997</v>
      </c>
      <c r="AK5">
        <v>37714.286200000002</v>
      </c>
      <c r="AL5" s="5" t="str">
        <f t="shared" si="2"/>
        <v>Арамильский городской округ</v>
      </c>
    </row>
    <row r="6" spans="1:38" ht="15" customHeight="1" x14ac:dyDescent="0.25">
      <c r="A6" s="3" t="s">
        <v>31</v>
      </c>
      <c r="B6" s="3" t="s">
        <v>14</v>
      </c>
      <c r="C6" s="5">
        <v>93989.912800000006</v>
      </c>
      <c r="D6" s="5">
        <v>93989.912800000006</v>
      </c>
      <c r="E6" s="5">
        <v>85109.545199999993</v>
      </c>
      <c r="F6" t="s">
        <v>7249</v>
      </c>
      <c r="G6" s="5" t="str">
        <f t="shared" si="1"/>
        <v>Центр</v>
      </c>
      <c r="J6" s="5"/>
      <c r="M6" s="13" t="s">
        <v>1649</v>
      </c>
      <c r="N6" s="13" t="str">
        <f t="shared" si="0"/>
        <v>ВОКЗАЛЬНЫЙ</v>
      </c>
      <c r="R6" t="s">
        <v>5185</v>
      </c>
      <c r="S6" t="s">
        <v>5186</v>
      </c>
      <c r="T6" t="s">
        <v>1673</v>
      </c>
      <c r="X6" t="s">
        <v>69</v>
      </c>
      <c r="Y6" t="s">
        <v>1691</v>
      </c>
      <c r="AC6" t="s">
        <v>55</v>
      </c>
      <c r="AD6" t="s">
        <v>1688</v>
      </c>
      <c r="AF6" t="s">
        <v>7161</v>
      </c>
      <c r="AG6" s="24" t="s">
        <v>5240</v>
      </c>
      <c r="AH6" s="5" t="s">
        <v>7161</v>
      </c>
      <c r="AI6" s="5">
        <v>40607.171199999997</v>
      </c>
      <c r="AJ6" s="5">
        <v>40607.171199999997</v>
      </c>
      <c r="AK6">
        <v>37714.286200000002</v>
      </c>
      <c r="AL6" s="5" t="str">
        <f t="shared" si="2"/>
        <v>Арамильский городской округ</v>
      </c>
    </row>
    <row r="7" spans="1:38" ht="15" customHeight="1" x14ac:dyDescent="0.25">
      <c r="A7" s="3" t="s">
        <v>32</v>
      </c>
      <c r="B7" s="3" t="s">
        <v>33</v>
      </c>
      <c r="C7" s="5">
        <v>84298.205100000006</v>
      </c>
      <c r="D7" s="5">
        <v>84298.205100000006</v>
      </c>
      <c r="E7" s="5">
        <v>76333.533100000001</v>
      </c>
      <c r="F7" t="s">
        <v>7249</v>
      </c>
      <c r="G7" s="5" t="str">
        <f t="shared" si="1"/>
        <v>ВИЗ</v>
      </c>
      <c r="J7" s="5"/>
      <c r="M7" s="13" t="s">
        <v>1633</v>
      </c>
      <c r="N7" s="13" t="str">
        <f t="shared" si="0"/>
        <v>ВТУЗГОРОДОК</v>
      </c>
      <c r="R7" t="s">
        <v>314</v>
      </c>
      <c r="T7" t="s">
        <v>1673</v>
      </c>
      <c r="X7" t="s">
        <v>78</v>
      </c>
      <c r="Y7" t="s">
        <v>1691</v>
      </c>
      <c r="AC7" t="s">
        <v>5227</v>
      </c>
      <c r="AD7" t="s">
        <v>1688</v>
      </c>
      <c r="AF7" t="s">
        <v>7162</v>
      </c>
      <c r="AG7" s="24" t="s">
        <v>5241</v>
      </c>
      <c r="AH7" s="5" t="s">
        <v>7162</v>
      </c>
      <c r="AI7" s="5">
        <v>19458.838299999999</v>
      </c>
      <c r="AJ7" s="5">
        <v>19458.838299999999</v>
      </c>
      <c r="AK7">
        <v>18072.573</v>
      </c>
      <c r="AL7" s="5" t="str">
        <f t="shared" si="2"/>
        <v>Артемовский городской округ</v>
      </c>
    </row>
    <row r="8" spans="1:38" ht="15" customHeight="1" x14ac:dyDescent="0.25">
      <c r="A8" s="3" t="s">
        <v>34</v>
      </c>
      <c r="B8" s="3" t="s">
        <v>14</v>
      </c>
      <c r="C8" s="5">
        <v>93989.912800000006</v>
      </c>
      <c r="D8" s="5">
        <v>93989.912800000006</v>
      </c>
      <c r="E8" s="5">
        <v>85109.545199999993</v>
      </c>
      <c r="F8" t="s">
        <v>7249</v>
      </c>
      <c r="G8" s="5" t="str">
        <f t="shared" si="1"/>
        <v>Центр</v>
      </c>
      <c r="J8" s="5"/>
      <c r="M8" s="13" t="s">
        <v>1636</v>
      </c>
      <c r="N8" s="13" t="str">
        <f t="shared" si="0"/>
        <v>ГОРНЫЙ ЩИТ</v>
      </c>
      <c r="R8" t="s">
        <v>87</v>
      </c>
      <c r="S8" t="s">
        <v>1675</v>
      </c>
      <c r="T8" t="s">
        <v>1675</v>
      </c>
      <c r="X8" t="s">
        <v>5219</v>
      </c>
      <c r="Y8" t="s">
        <v>1691</v>
      </c>
      <c r="AC8" t="s">
        <v>128</v>
      </c>
      <c r="AD8" t="s">
        <v>1687</v>
      </c>
      <c r="AF8" t="s">
        <v>7162</v>
      </c>
      <c r="AG8" s="24" t="s">
        <v>5242</v>
      </c>
      <c r="AH8" s="5" t="s">
        <v>7162</v>
      </c>
      <c r="AI8" s="5">
        <v>24041.837200000002</v>
      </c>
      <c r="AJ8" s="5">
        <v>24041.837200000002</v>
      </c>
      <c r="AK8">
        <v>22329.076799999999</v>
      </c>
      <c r="AL8" s="5" t="str">
        <f t="shared" si="2"/>
        <v>Артемовский городской округ</v>
      </c>
    </row>
    <row r="9" spans="1:38" ht="15" customHeight="1" x14ac:dyDescent="0.25">
      <c r="A9" s="3" t="s">
        <v>35</v>
      </c>
      <c r="B9" s="3" t="s">
        <v>1629</v>
      </c>
      <c r="C9" s="5">
        <v>77743.704100000003</v>
      </c>
      <c r="D9" s="5">
        <v>77743.704100000003</v>
      </c>
      <c r="E9" s="5">
        <v>70398.310800000007</v>
      </c>
      <c r="F9" t="s">
        <v>7249</v>
      </c>
      <c r="G9" s="5" t="str">
        <f t="shared" si="1"/>
        <v>ПИОНЕРСКИЙ</v>
      </c>
      <c r="J9" s="5"/>
      <c r="M9" s="13" t="s">
        <v>1645</v>
      </c>
      <c r="N9" s="13" t="str">
        <f t="shared" si="0"/>
        <v>ЕЛИЗАВЕТ</v>
      </c>
      <c r="R9" t="s">
        <v>5187</v>
      </c>
      <c r="S9" t="s">
        <v>1682</v>
      </c>
      <c r="T9" t="s">
        <v>1682</v>
      </c>
      <c r="X9" t="s">
        <v>1695</v>
      </c>
      <c r="Y9" t="s">
        <v>1695</v>
      </c>
      <c r="AC9" t="s">
        <v>146</v>
      </c>
      <c r="AD9" t="s">
        <v>1687</v>
      </c>
      <c r="AF9" t="s">
        <v>7162</v>
      </c>
      <c r="AG9" s="24" t="s">
        <v>5243</v>
      </c>
      <c r="AH9" s="5" t="s">
        <v>7162</v>
      </c>
      <c r="AI9" s="5">
        <v>19458.838299999999</v>
      </c>
      <c r="AJ9" s="5">
        <v>19458.838299999999</v>
      </c>
      <c r="AK9">
        <v>18072.573</v>
      </c>
      <c r="AL9" s="5" t="str">
        <f t="shared" si="2"/>
        <v>Артемовский городской округ</v>
      </c>
    </row>
    <row r="10" spans="1:38" ht="15" customHeight="1" x14ac:dyDescent="0.25">
      <c r="A10" s="3" t="s">
        <v>36</v>
      </c>
      <c r="B10" s="3" t="s">
        <v>1628</v>
      </c>
      <c r="C10" s="5">
        <v>70734.0236</v>
      </c>
      <c r="D10" s="5">
        <v>70734.0236</v>
      </c>
      <c r="E10" s="5">
        <v>64050.9208</v>
      </c>
      <c r="F10" t="s">
        <v>7249</v>
      </c>
      <c r="G10" s="5" t="str">
        <f t="shared" si="1"/>
        <v>ЭЛЬМАШ</v>
      </c>
      <c r="J10" s="5"/>
      <c r="M10" s="13" t="s">
        <v>209</v>
      </c>
      <c r="N10" s="13" t="str">
        <f t="shared" si="0"/>
        <v>ЖБИ</v>
      </c>
      <c r="R10" t="s">
        <v>5188</v>
      </c>
      <c r="S10" t="s">
        <v>5189</v>
      </c>
      <c r="T10" t="s">
        <v>1681</v>
      </c>
      <c r="X10" t="s">
        <v>519</v>
      </c>
      <c r="Y10" t="s">
        <v>1696</v>
      </c>
      <c r="AC10" t="s">
        <v>21</v>
      </c>
      <c r="AD10" t="s">
        <v>1689</v>
      </c>
      <c r="AF10" t="s">
        <v>7162</v>
      </c>
      <c r="AG10" s="24" t="s">
        <v>5244</v>
      </c>
      <c r="AH10" s="5" t="s">
        <v>7162</v>
      </c>
      <c r="AI10" s="5">
        <v>19458.838299999999</v>
      </c>
      <c r="AJ10" s="5">
        <v>19458.838299999999</v>
      </c>
      <c r="AK10">
        <v>18072.573</v>
      </c>
      <c r="AL10" s="5" t="str">
        <f t="shared" si="2"/>
        <v>Артемовский городской округ</v>
      </c>
    </row>
    <row r="11" spans="1:38" ht="15" customHeight="1" x14ac:dyDescent="0.25">
      <c r="A11" s="3" t="s">
        <v>38</v>
      </c>
      <c r="B11" s="3" t="s">
        <v>1630</v>
      </c>
      <c r="C11" s="5">
        <v>62652.9401</v>
      </c>
      <c r="D11" s="5">
        <v>62652.9401</v>
      </c>
      <c r="E11" s="5">
        <v>56733.3557</v>
      </c>
      <c r="F11" t="s">
        <v>7249</v>
      </c>
      <c r="G11" s="5" t="str">
        <f t="shared" si="1"/>
        <v>ЧЕРМЕТ</v>
      </c>
      <c r="J11" s="5"/>
      <c r="M11" s="13" t="s">
        <v>1654</v>
      </c>
      <c r="N11" s="13" t="str">
        <f t="shared" si="0"/>
        <v>ЗАВОКЗАЛЬНЫЙ</v>
      </c>
      <c r="R11" t="s">
        <v>5190</v>
      </c>
      <c r="S11" t="s">
        <v>5189</v>
      </c>
      <c r="T11" t="s">
        <v>1681</v>
      </c>
      <c r="X11" t="s">
        <v>1699</v>
      </c>
      <c r="Y11" t="s">
        <v>1699</v>
      </c>
      <c r="AC11" t="s">
        <v>502</v>
      </c>
      <c r="AD11" t="s">
        <v>1689</v>
      </c>
      <c r="AF11" t="s">
        <v>7162</v>
      </c>
      <c r="AG11" s="24" t="s">
        <v>5245</v>
      </c>
      <c r="AH11" s="5" t="s">
        <v>7162</v>
      </c>
      <c r="AI11" s="5">
        <v>19458.838299999999</v>
      </c>
      <c r="AJ11" s="5">
        <v>19458.838299999999</v>
      </c>
      <c r="AK11">
        <v>18072.573</v>
      </c>
      <c r="AL11" s="5" t="str">
        <f t="shared" si="2"/>
        <v>Артемовский городской округ</v>
      </c>
    </row>
    <row r="12" spans="1:38" ht="15" customHeight="1" x14ac:dyDescent="0.25">
      <c r="A12" s="3" t="s">
        <v>39</v>
      </c>
      <c r="B12" s="3" t="s">
        <v>1628</v>
      </c>
      <c r="C12" s="5">
        <v>70734.0236</v>
      </c>
      <c r="D12" s="5">
        <v>70734.0236</v>
      </c>
      <c r="E12" s="5">
        <v>64050.9208</v>
      </c>
      <c r="F12" t="s">
        <v>7249</v>
      </c>
      <c r="G12" s="5" t="str">
        <f t="shared" si="1"/>
        <v>ЭЛЬМАШ</v>
      </c>
      <c r="J12" s="5"/>
      <c r="M12" s="15" t="s">
        <v>1652</v>
      </c>
      <c r="N12" s="13" t="str">
        <f t="shared" si="0"/>
        <v>ЗАРЕЧНЫЙ</v>
      </c>
      <c r="R12" t="s">
        <v>183</v>
      </c>
      <c r="S12" t="s">
        <v>1680</v>
      </c>
      <c r="T12" t="s">
        <v>1680</v>
      </c>
      <c r="X12" t="s">
        <v>1698</v>
      </c>
      <c r="Y12" t="s">
        <v>1698</v>
      </c>
      <c r="AC12" t="s">
        <v>27</v>
      </c>
      <c r="AD12" t="s">
        <v>1685</v>
      </c>
      <c r="AF12" t="s">
        <v>7162</v>
      </c>
      <c r="AG12" s="24" t="s">
        <v>5246</v>
      </c>
      <c r="AH12" s="5" t="s">
        <v>7162</v>
      </c>
      <c r="AI12" s="5">
        <v>19458.838299999999</v>
      </c>
      <c r="AJ12" s="5">
        <v>19458.838299999999</v>
      </c>
      <c r="AK12">
        <v>18072.573</v>
      </c>
      <c r="AL12" s="5" t="str">
        <f t="shared" si="2"/>
        <v>Артемовский городской округ</v>
      </c>
    </row>
    <row r="13" spans="1:38" ht="15" customHeight="1" x14ac:dyDescent="0.25">
      <c r="A13" s="3" t="s">
        <v>44</v>
      </c>
      <c r="B13" s="3" t="s">
        <v>1627</v>
      </c>
      <c r="C13" s="5">
        <v>56392.543899999997</v>
      </c>
      <c r="D13" s="5">
        <v>56392.543899999997</v>
      </c>
      <c r="E13" s="5">
        <v>51064.4617</v>
      </c>
      <c r="F13" t="s">
        <v>7249</v>
      </c>
      <c r="G13" s="5" t="str">
        <f t="shared" si="1"/>
        <v>КОМПРЕССОРНЫЙ</v>
      </c>
      <c r="J13" s="5"/>
      <c r="M13" s="13" t="s">
        <v>1664</v>
      </c>
      <c r="N13" s="13" t="str">
        <f t="shared" si="0"/>
        <v>ИЗОПЛИТ</v>
      </c>
      <c r="R13" t="s">
        <v>5191</v>
      </c>
      <c r="S13" t="s">
        <v>1676</v>
      </c>
      <c r="T13" t="s">
        <v>1676</v>
      </c>
      <c r="X13" t="s">
        <v>23</v>
      </c>
      <c r="Y13" t="s">
        <v>5220</v>
      </c>
      <c r="AC13" t="s">
        <v>164</v>
      </c>
      <c r="AD13" t="s">
        <v>1685</v>
      </c>
      <c r="AF13" t="s">
        <v>7162</v>
      </c>
      <c r="AG13" s="24" t="s">
        <v>5247</v>
      </c>
      <c r="AH13" s="5" t="s">
        <v>7162</v>
      </c>
      <c r="AI13" s="5">
        <v>19458.838299999999</v>
      </c>
      <c r="AJ13" s="5">
        <v>19458.838299999999</v>
      </c>
      <c r="AK13">
        <v>18072.573</v>
      </c>
      <c r="AL13" s="5" t="str">
        <f t="shared" si="2"/>
        <v>Артемовский городской округ</v>
      </c>
    </row>
    <row r="14" spans="1:38" ht="15" customHeight="1" x14ac:dyDescent="0.25">
      <c r="A14" s="3" t="s">
        <v>45</v>
      </c>
      <c r="B14" s="3" t="s">
        <v>1630</v>
      </c>
      <c r="C14" s="5">
        <v>62652.9401</v>
      </c>
      <c r="D14" s="5">
        <v>62652.9401</v>
      </c>
      <c r="E14" s="5">
        <v>56733.3557</v>
      </c>
      <c r="F14" t="s">
        <v>7249</v>
      </c>
      <c r="G14" s="5" t="str">
        <f t="shared" si="1"/>
        <v>ЧЕРМЕТ</v>
      </c>
      <c r="J14" s="5"/>
      <c r="M14" s="13" t="s">
        <v>1639</v>
      </c>
      <c r="N14" s="13" t="str">
        <f t="shared" si="0"/>
        <v>ИСТОК</v>
      </c>
      <c r="R14" t="s">
        <v>5192</v>
      </c>
      <c r="S14" t="s">
        <v>5193</v>
      </c>
      <c r="T14" t="s">
        <v>1679</v>
      </c>
      <c r="X14" t="s">
        <v>1692</v>
      </c>
      <c r="Y14" t="s">
        <v>1692</v>
      </c>
      <c r="AC14" t="s">
        <v>5228</v>
      </c>
      <c r="AD14" t="s">
        <v>1685</v>
      </c>
      <c r="AF14" t="s">
        <v>7162</v>
      </c>
      <c r="AG14" s="24" t="s">
        <v>5248</v>
      </c>
      <c r="AH14" s="5" t="s">
        <v>7162</v>
      </c>
      <c r="AI14" s="5">
        <v>19458.838299999999</v>
      </c>
      <c r="AJ14" s="5">
        <v>19458.838299999999</v>
      </c>
      <c r="AK14">
        <v>18072.573</v>
      </c>
      <c r="AL14" s="5" t="str">
        <f t="shared" si="2"/>
        <v>Артемовский городской округ</v>
      </c>
    </row>
    <row r="15" spans="1:38" ht="15" customHeight="1" x14ac:dyDescent="0.25">
      <c r="A15" s="3" t="s">
        <v>46</v>
      </c>
      <c r="B15" s="3" t="s">
        <v>1628</v>
      </c>
      <c r="C15" s="5">
        <v>70734.0236</v>
      </c>
      <c r="D15" s="5">
        <v>70734.0236</v>
      </c>
      <c r="E15" s="5">
        <v>64050.9208</v>
      </c>
      <c r="F15" t="s">
        <v>7249</v>
      </c>
      <c r="G15" s="5" t="str">
        <f t="shared" si="1"/>
        <v>ЭЛЬМАШ</v>
      </c>
      <c r="J15" s="5"/>
      <c r="M15" s="13" t="s">
        <v>1667</v>
      </c>
      <c r="N15" s="13" t="str">
        <f t="shared" si="0"/>
        <v>КАЛИНОВСКИЙ</v>
      </c>
      <c r="R15" t="s">
        <v>5194</v>
      </c>
      <c r="S15" t="s">
        <v>5193</v>
      </c>
      <c r="T15" t="s">
        <v>1679</v>
      </c>
      <c r="X15" t="s">
        <v>14</v>
      </c>
      <c r="Y15" t="s">
        <v>5221</v>
      </c>
      <c r="AC15" t="s">
        <v>41</v>
      </c>
      <c r="AD15" t="s">
        <v>1685</v>
      </c>
      <c r="AF15" t="s">
        <v>7162</v>
      </c>
      <c r="AG15" s="24" t="s">
        <v>5249</v>
      </c>
      <c r="AH15" s="5" t="s">
        <v>7162</v>
      </c>
      <c r="AI15" s="5">
        <v>19458.838299999999</v>
      </c>
      <c r="AJ15" s="5">
        <v>19458.838299999999</v>
      </c>
      <c r="AK15">
        <v>18072.573</v>
      </c>
      <c r="AL15" s="5" t="str">
        <f t="shared" si="2"/>
        <v>Артемовский городской округ</v>
      </c>
    </row>
    <row r="16" spans="1:38" ht="15" customHeight="1" x14ac:dyDescent="0.25">
      <c r="A16" s="3" t="s">
        <v>49</v>
      </c>
      <c r="B16" s="3" t="s">
        <v>1628</v>
      </c>
      <c r="C16" s="5">
        <v>70734.0236</v>
      </c>
      <c r="D16" s="5">
        <v>70734.0236</v>
      </c>
      <c r="E16" s="5">
        <v>64050.9208</v>
      </c>
      <c r="F16" t="s">
        <v>7249</v>
      </c>
      <c r="G16" s="5" t="str">
        <f t="shared" si="1"/>
        <v>ЭЛЬМАШ</v>
      </c>
      <c r="J16" s="5"/>
      <c r="M16" s="13" t="s">
        <v>5167</v>
      </c>
      <c r="N16" s="16" t="s">
        <v>1647</v>
      </c>
      <c r="R16" t="s">
        <v>196</v>
      </c>
      <c r="S16" t="s">
        <v>5195</v>
      </c>
      <c r="T16" t="s">
        <v>1674</v>
      </c>
      <c r="X16" t="s">
        <v>1690</v>
      </c>
      <c r="Y16" t="s">
        <v>1690</v>
      </c>
      <c r="AC16" t="s">
        <v>295</v>
      </c>
      <c r="AD16" t="s">
        <v>1684</v>
      </c>
      <c r="AF16" t="s">
        <v>7162</v>
      </c>
      <c r="AG16" s="24" t="s">
        <v>5250</v>
      </c>
      <c r="AH16" s="5" t="s">
        <v>7162</v>
      </c>
      <c r="AI16" s="5">
        <v>19458.838299999999</v>
      </c>
      <c r="AJ16" s="5">
        <v>19458.838299999999</v>
      </c>
      <c r="AK16">
        <v>18072.573</v>
      </c>
      <c r="AL16" s="5" t="str">
        <f t="shared" si="2"/>
        <v>Артемовский городской округ</v>
      </c>
    </row>
    <row r="17" spans="1:38" ht="15" customHeight="1" x14ac:dyDescent="0.25">
      <c r="A17" s="3" t="s">
        <v>57</v>
      </c>
      <c r="B17" s="3" t="s">
        <v>1628</v>
      </c>
      <c r="C17" s="5">
        <v>70734.0236</v>
      </c>
      <c r="D17" s="5">
        <v>70734.0236</v>
      </c>
      <c r="E17" s="5">
        <v>64050.9208</v>
      </c>
      <c r="F17" t="s">
        <v>7249</v>
      </c>
      <c r="G17" s="5" t="str">
        <f t="shared" si="1"/>
        <v>ЭЛЬМАШ</v>
      </c>
      <c r="J17" s="5"/>
      <c r="M17" s="17" t="s">
        <v>1657</v>
      </c>
      <c r="N17" s="13" t="str">
        <f t="shared" si="0"/>
        <v>КОЛЬЦОВО</v>
      </c>
      <c r="X17" t="s">
        <v>1697</v>
      </c>
      <c r="Y17" t="s">
        <v>1697</v>
      </c>
      <c r="AC17" t="s">
        <v>74</v>
      </c>
      <c r="AD17" t="s">
        <v>1684</v>
      </c>
      <c r="AF17" t="s">
        <v>7162</v>
      </c>
      <c r="AG17" s="24" t="s">
        <v>5251</v>
      </c>
      <c r="AH17" s="5" t="s">
        <v>7162</v>
      </c>
      <c r="AI17" s="5">
        <v>19458.838299999999</v>
      </c>
      <c r="AJ17" s="5">
        <v>19458.838299999999</v>
      </c>
      <c r="AK17">
        <v>18072.573</v>
      </c>
      <c r="AL17" s="5" t="str">
        <f t="shared" si="2"/>
        <v>Артемовский городской округ</v>
      </c>
    </row>
    <row r="18" spans="1:38" ht="15" customHeight="1" x14ac:dyDescent="0.25">
      <c r="A18" s="3" t="s">
        <v>58</v>
      </c>
      <c r="B18" s="3" t="s">
        <v>1631</v>
      </c>
      <c r="C18" s="5">
        <v>70026.7601</v>
      </c>
      <c r="D18" s="5">
        <v>70026.7601</v>
      </c>
      <c r="E18" s="5">
        <v>63410.482000000004</v>
      </c>
      <c r="F18" t="s">
        <v>7249</v>
      </c>
      <c r="G18" s="5" t="str">
        <f t="shared" si="1"/>
        <v>УРАЛМАШ</v>
      </c>
      <c r="J18" s="5"/>
      <c r="M18" s="13" t="s">
        <v>1627</v>
      </c>
      <c r="N18" s="13" t="str">
        <f t="shared" si="0"/>
        <v>КОМПРЕССОРНЫЙ</v>
      </c>
      <c r="R18" s="5" t="s">
        <v>5196</v>
      </c>
      <c r="S18" s="5" t="s">
        <v>5197</v>
      </c>
      <c r="T18" s="5" t="s">
        <v>5198</v>
      </c>
      <c r="X18" t="s">
        <v>151</v>
      </c>
      <c r="Y18" t="s">
        <v>1691</v>
      </c>
      <c r="AC18" t="s">
        <v>174</v>
      </c>
      <c r="AD18" t="s">
        <v>1684</v>
      </c>
      <c r="AF18" t="s">
        <v>7162</v>
      </c>
      <c r="AG18" s="24" t="s">
        <v>5252</v>
      </c>
      <c r="AH18" s="5" t="s">
        <v>7162</v>
      </c>
      <c r="AI18" s="5">
        <v>19458.838299999999</v>
      </c>
      <c r="AJ18" s="5">
        <v>19458.838299999999</v>
      </c>
      <c r="AK18">
        <v>18072.573</v>
      </c>
      <c r="AL18" s="5" t="str">
        <f t="shared" si="2"/>
        <v>Артемовский городской округ</v>
      </c>
    </row>
    <row r="19" spans="1:38" ht="15" customHeight="1" x14ac:dyDescent="0.25">
      <c r="A19" s="3" t="s">
        <v>60</v>
      </c>
      <c r="B19" s="3" t="s">
        <v>33</v>
      </c>
      <c r="C19" s="5">
        <v>84298.205100000006</v>
      </c>
      <c r="D19" s="5">
        <v>84298.205100000006</v>
      </c>
      <c r="E19" s="5">
        <v>76333.533100000001</v>
      </c>
      <c r="F19" t="s">
        <v>7249</v>
      </c>
      <c r="G19" s="5" t="str">
        <f t="shared" si="1"/>
        <v>ВИЗ</v>
      </c>
      <c r="J19" s="5"/>
      <c r="M19" s="17" t="s">
        <v>1635</v>
      </c>
      <c r="N19" s="13" t="str">
        <f t="shared" si="0"/>
        <v>ЛЕЧЕБНЫЙ</v>
      </c>
      <c r="R19" s="5" t="s">
        <v>5199</v>
      </c>
      <c r="S19" s="5" t="s">
        <v>5200</v>
      </c>
      <c r="T19" s="5" t="s">
        <v>5201</v>
      </c>
      <c r="X19" t="s">
        <v>5222</v>
      </c>
      <c r="Y19" t="s">
        <v>1693</v>
      </c>
      <c r="AC19" t="s">
        <v>5229</v>
      </c>
      <c r="AD19" t="s">
        <v>1683</v>
      </c>
      <c r="AF19" t="s">
        <v>7162</v>
      </c>
      <c r="AG19" s="24" t="s">
        <v>5253</v>
      </c>
      <c r="AH19" s="5" t="s">
        <v>7162</v>
      </c>
      <c r="AI19" s="5">
        <v>19458.838299999999</v>
      </c>
      <c r="AJ19" s="5">
        <v>19458.838299999999</v>
      </c>
      <c r="AK19">
        <v>18072.573</v>
      </c>
      <c r="AL19" s="5" t="str">
        <f t="shared" si="2"/>
        <v>Артемовский городской округ</v>
      </c>
    </row>
    <row r="20" spans="1:38" ht="15" customHeight="1" x14ac:dyDescent="0.25">
      <c r="A20" s="3" t="s">
        <v>62</v>
      </c>
      <c r="B20" s="3" t="s">
        <v>1631</v>
      </c>
      <c r="C20" s="5">
        <v>70026.7601</v>
      </c>
      <c r="D20" s="5">
        <v>70026.7601</v>
      </c>
      <c r="E20" s="5">
        <v>63410.482000000004</v>
      </c>
      <c r="F20" t="s">
        <v>7249</v>
      </c>
      <c r="G20" s="5" t="str">
        <f t="shared" si="1"/>
        <v>УРАЛМАШ</v>
      </c>
      <c r="J20" s="5"/>
      <c r="M20" s="13" t="s">
        <v>1656</v>
      </c>
      <c r="N20" s="13" t="str">
        <f t="shared" si="0"/>
        <v>МАЛЫЙ ИСТОК</v>
      </c>
      <c r="R20" s="21" t="s">
        <v>5202</v>
      </c>
      <c r="S20" s="21" t="s">
        <v>5203</v>
      </c>
      <c r="T20" s="21" t="s">
        <v>5204</v>
      </c>
      <c r="X20" t="s">
        <v>325</v>
      </c>
      <c r="Y20" t="s">
        <v>1691</v>
      </c>
      <c r="AC20" t="s">
        <v>131</v>
      </c>
      <c r="AD20" t="s">
        <v>1683</v>
      </c>
      <c r="AF20" t="s">
        <v>7162</v>
      </c>
      <c r="AG20" s="24" t="s">
        <v>5254</v>
      </c>
      <c r="AH20" s="5" t="s">
        <v>7162</v>
      </c>
      <c r="AI20" s="5">
        <v>19458.838299999999</v>
      </c>
      <c r="AJ20" s="5">
        <v>19458.838299999999</v>
      </c>
      <c r="AK20">
        <v>18072.573</v>
      </c>
      <c r="AL20" s="5" t="str">
        <f t="shared" si="2"/>
        <v>Артемовский городской округ</v>
      </c>
    </row>
    <row r="21" spans="1:38" ht="15" customHeight="1" x14ac:dyDescent="0.25">
      <c r="A21" s="3" t="s">
        <v>63</v>
      </c>
      <c r="B21" s="3" t="s">
        <v>1631</v>
      </c>
      <c r="C21" s="5">
        <v>70026.7601</v>
      </c>
      <c r="D21" s="5">
        <v>70026.7601</v>
      </c>
      <c r="E21" s="5">
        <v>63410.482000000004</v>
      </c>
      <c r="F21" t="s">
        <v>7249</v>
      </c>
      <c r="G21" s="5" t="str">
        <f t="shared" si="1"/>
        <v>УРАЛМАШ</v>
      </c>
      <c r="J21" s="5"/>
      <c r="M21" s="13" t="s">
        <v>1668</v>
      </c>
      <c r="N21" s="13" t="str">
        <f t="shared" si="0"/>
        <v>МЕДНЫЙ</v>
      </c>
      <c r="R21" s="5" t="s">
        <v>5205</v>
      </c>
      <c r="S21" s="5" t="s">
        <v>5203</v>
      </c>
      <c r="T21" s="5" t="s">
        <v>5206</v>
      </c>
      <c r="X21" t="s">
        <v>5223</v>
      </c>
      <c r="Y21" t="s">
        <v>1699</v>
      </c>
      <c r="AC21" t="s">
        <v>72</v>
      </c>
      <c r="AD21" t="s">
        <v>1683</v>
      </c>
      <c r="AF21" t="s">
        <v>7162</v>
      </c>
      <c r="AG21" s="24" t="s">
        <v>5255</v>
      </c>
      <c r="AH21" s="5" t="s">
        <v>7162</v>
      </c>
      <c r="AI21" s="5">
        <v>19458.838299999999</v>
      </c>
      <c r="AJ21" s="5">
        <v>19458.838299999999</v>
      </c>
      <c r="AK21">
        <v>18072.573</v>
      </c>
      <c r="AL21" s="5" t="str">
        <f t="shared" si="2"/>
        <v>Артемовский городской округ</v>
      </c>
    </row>
    <row r="22" spans="1:38" ht="15" customHeight="1" x14ac:dyDescent="0.25">
      <c r="A22" s="3" t="s">
        <v>65</v>
      </c>
      <c r="B22" s="3" t="s">
        <v>66</v>
      </c>
      <c r="C22" s="5">
        <v>64795.756300000001</v>
      </c>
      <c r="D22" s="5">
        <v>64795.756300000001</v>
      </c>
      <c r="E22" s="5">
        <v>58673.716200000003</v>
      </c>
      <c r="F22" t="s">
        <v>7249</v>
      </c>
      <c r="G22" s="5" t="str">
        <f t="shared" si="1"/>
        <v>УНЦ</v>
      </c>
      <c r="J22" s="5"/>
      <c r="M22" s="13" t="s">
        <v>779</v>
      </c>
      <c r="N22" s="13" t="str">
        <f t="shared" si="0"/>
        <v>Нижнеисетский</v>
      </c>
      <c r="Q22" t="s">
        <v>7235</v>
      </c>
      <c r="R22" s="21" t="s">
        <v>5207</v>
      </c>
      <c r="S22" s="21" t="s">
        <v>5203</v>
      </c>
      <c r="T22" s="21" t="s">
        <v>5208</v>
      </c>
      <c r="X22" t="s">
        <v>5224</v>
      </c>
      <c r="Y22" t="s">
        <v>1699</v>
      </c>
      <c r="AC22" t="s">
        <v>29</v>
      </c>
      <c r="AD22" t="s">
        <v>5230</v>
      </c>
      <c r="AF22" t="s">
        <v>7162</v>
      </c>
      <c r="AG22" s="24" t="s">
        <v>5256</v>
      </c>
      <c r="AH22" s="5" t="s">
        <v>7162</v>
      </c>
      <c r="AI22" s="5">
        <v>19458.838299999999</v>
      </c>
      <c r="AJ22" s="5">
        <v>19458.838299999999</v>
      </c>
      <c r="AK22">
        <v>18072.573</v>
      </c>
      <c r="AL22" s="5" t="str">
        <f t="shared" si="2"/>
        <v>Артемовский городской округ</v>
      </c>
    </row>
    <row r="23" spans="1:38" ht="15" customHeight="1" x14ac:dyDescent="0.25">
      <c r="A23" s="3" t="s">
        <v>67</v>
      </c>
      <c r="B23" s="3" t="s">
        <v>1631</v>
      </c>
      <c r="C23" s="5">
        <v>70026.7601</v>
      </c>
      <c r="D23" s="5">
        <v>70026.7601</v>
      </c>
      <c r="E23" s="5">
        <v>63410.482000000004</v>
      </c>
      <c r="F23" t="s">
        <v>7249</v>
      </c>
      <c r="G23" s="5" t="str">
        <f t="shared" si="1"/>
        <v>УРАЛМАШ</v>
      </c>
      <c r="J23" s="5"/>
      <c r="M23" s="13" t="s">
        <v>1640</v>
      </c>
      <c r="N23" s="13" t="str">
        <f t="shared" si="0"/>
        <v>Новая сортировка</v>
      </c>
      <c r="Q23" s="5" t="s">
        <v>1679</v>
      </c>
      <c r="R23" s="22" t="s">
        <v>5209</v>
      </c>
      <c r="S23" s="22" t="s">
        <v>5203</v>
      </c>
      <c r="T23" s="22" t="s">
        <v>5210</v>
      </c>
      <c r="AC23" t="s">
        <v>25</v>
      </c>
      <c r="AD23" t="s">
        <v>1683</v>
      </c>
      <c r="AF23" t="s">
        <v>7162</v>
      </c>
      <c r="AG23" s="24" t="s">
        <v>5257</v>
      </c>
      <c r="AH23" s="5" t="s">
        <v>7162</v>
      </c>
      <c r="AI23" s="5">
        <v>19458.838299999999</v>
      </c>
      <c r="AJ23" s="5">
        <v>19458.838299999999</v>
      </c>
      <c r="AK23">
        <v>18072.573</v>
      </c>
      <c r="AL23" s="5" t="str">
        <f t="shared" si="2"/>
        <v>Артемовский городской округ</v>
      </c>
    </row>
    <row r="24" spans="1:38" ht="15" customHeight="1" x14ac:dyDescent="0.25">
      <c r="A24" s="3" t="s">
        <v>75</v>
      </c>
      <c r="B24" s="3" t="s">
        <v>1632</v>
      </c>
      <c r="C24" s="5">
        <v>83744.997499999998</v>
      </c>
      <c r="D24" s="5">
        <v>83744.997499999998</v>
      </c>
      <c r="E24" s="5">
        <v>75832.596099999995</v>
      </c>
      <c r="F24" t="s">
        <v>7249</v>
      </c>
      <c r="G24" s="5" t="str">
        <f t="shared" si="1"/>
        <v>АВТОВОКЗАЛ</v>
      </c>
      <c r="J24" s="5"/>
      <c r="M24" s="13" t="s">
        <v>437</v>
      </c>
      <c r="N24" s="16" t="s">
        <v>483</v>
      </c>
      <c r="R24" s="5" t="s">
        <v>5211</v>
      </c>
      <c r="S24" s="5" t="s">
        <v>5212</v>
      </c>
      <c r="T24" s="5" t="s">
        <v>5213</v>
      </c>
      <c r="AC24" t="s">
        <v>5231</v>
      </c>
      <c r="AD24" t="s">
        <v>1688</v>
      </c>
      <c r="AF24" t="s">
        <v>7162</v>
      </c>
      <c r="AG24" s="24" t="s">
        <v>5258</v>
      </c>
      <c r="AH24" s="5" t="s">
        <v>7162</v>
      </c>
      <c r="AI24" s="5">
        <v>19458.838299999999</v>
      </c>
      <c r="AJ24" s="5">
        <v>19458.838299999999</v>
      </c>
      <c r="AK24">
        <v>18072.573</v>
      </c>
      <c r="AL24" s="5" t="str">
        <f t="shared" si="2"/>
        <v>Артемовский городской округ</v>
      </c>
    </row>
    <row r="25" spans="1:38" ht="15" customHeight="1" x14ac:dyDescent="0.25">
      <c r="A25" s="3" t="s">
        <v>76</v>
      </c>
      <c r="B25" s="3" t="s">
        <v>1633</v>
      </c>
      <c r="C25" s="5">
        <v>77071.442599999995</v>
      </c>
      <c r="D25" s="5">
        <v>77071.442599999995</v>
      </c>
      <c r="E25" s="5">
        <v>69789.570900000006</v>
      </c>
      <c r="F25" t="s">
        <v>7249</v>
      </c>
      <c r="G25" s="5" t="str">
        <f t="shared" si="1"/>
        <v>ВТУЗГОРОДОК</v>
      </c>
      <c r="J25" s="5"/>
      <c r="M25" s="13" t="s">
        <v>5168</v>
      </c>
      <c r="N25" s="16" t="s">
        <v>1647</v>
      </c>
      <c r="R25" s="21" t="s">
        <v>5214</v>
      </c>
      <c r="S25" s="21" t="s">
        <v>5203</v>
      </c>
      <c r="T25" s="21" t="s">
        <v>5215</v>
      </c>
      <c r="AC25" t="s">
        <v>619</v>
      </c>
      <c r="AD25" t="s">
        <v>1686</v>
      </c>
      <c r="AF25" t="s">
        <v>7162</v>
      </c>
      <c r="AG25" s="24" t="s">
        <v>5259</v>
      </c>
      <c r="AH25" s="5" t="s">
        <v>7162</v>
      </c>
      <c r="AI25" s="5">
        <v>19458.838299999999</v>
      </c>
      <c r="AJ25" s="5">
        <v>19458.838299999999</v>
      </c>
      <c r="AK25">
        <v>18072.573</v>
      </c>
      <c r="AL25" s="5" t="str">
        <f t="shared" si="2"/>
        <v>Артемовский городской округ</v>
      </c>
    </row>
    <row r="26" spans="1:38" ht="15" customHeight="1" x14ac:dyDescent="0.25">
      <c r="A26" s="3" t="s">
        <v>81</v>
      </c>
      <c r="B26" s="3" t="s">
        <v>1628</v>
      </c>
      <c r="C26" s="5">
        <v>70734.0236</v>
      </c>
      <c r="D26" s="5">
        <v>70734.0236</v>
      </c>
      <c r="E26" s="5">
        <v>64050.9208</v>
      </c>
      <c r="F26" t="s">
        <v>7249</v>
      </c>
      <c r="G26" s="5" t="str">
        <f t="shared" si="1"/>
        <v>ЭЛЬМАШ</v>
      </c>
      <c r="J26" s="5"/>
      <c r="M26" s="13" t="s">
        <v>1642</v>
      </c>
      <c r="N26" s="13" t="str">
        <f t="shared" si="0"/>
        <v>ПАРКОВЫЙ</v>
      </c>
      <c r="AC26" t="s">
        <v>53</v>
      </c>
      <c r="AD26" t="s">
        <v>1683</v>
      </c>
      <c r="AF26" t="s">
        <v>7162</v>
      </c>
      <c r="AG26" s="24" t="s">
        <v>5260</v>
      </c>
      <c r="AH26" s="5" t="s">
        <v>7162</v>
      </c>
      <c r="AI26" s="5">
        <v>19458.838299999999</v>
      </c>
      <c r="AJ26" s="5">
        <v>19458.838299999999</v>
      </c>
      <c r="AK26">
        <v>18072.573</v>
      </c>
      <c r="AL26" s="5" t="str">
        <f t="shared" si="2"/>
        <v>Артемовский городской округ</v>
      </c>
    </row>
    <row r="27" spans="1:38" ht="15" customHeight="1" x14ac:dyDescent="0.25">
      <c r="A27" s="3" t="s">
        <v>83</v>
      </c>
      <c r="B27" s="3" t="s">
        <v>33</v>
      </c>
      <c r="C27" s="5">
        <v>84298.205100000006</v>
      </c>
      <c r="D27" s="5">
        <v>84298.205100000006</v>
      </c>
      <c r="E27" s="5">
        <v>76333.533100000001</v>
      </c>
      <c r="F27" t="s">
        <v>7249</v>
      </c>
      <c r="G27" s="5" t="str">
        <f t="shared" si="1"/>
        <v>ВИЗ</v>
      </c>
      <c r="J27" s="5"/>
      <c r="M27" s="17" t="s">
        <v>1629</v>
      </c>
      <c r="N27" s="13" t="str">
        <f t="shared" si="0"/>
        <v>ПИОНЕРСКИЙ</v>
      </c>
      <c r="AC27" t="s">
        <v>51</v>
      </c>
      <c r="AD27" t="s">
        <v>1688</v>
      </c>
      <c r="AF27" t="s">
        <v>7162</v>
      </c>
      <c r="AG27" s="24" t="s">
        <v>5261</v>
      </c>
      <c r="AH27" s="5" t="s">
        <v>7162</v>
      </c>
      <c r="AI27" s="5">
        <v>19458.838299999999</v>
      </c>
      <c r="AJ27" s="5">
        <v>19458.838299999999</v>
      </c>
      <c r="AK27">
        <v>18072.573</v>
      </c>
      <c r="AL27" s="5" t="str">
        <f t="shared" si="2"/>
        <v>Артемовский городской округ</v>
      </c>
    </row>
    <row r="28" spans="1:38" ht="15" customHeight="1" x14ac:dyDescent="0.25">
      <c r="A28" s="3" t="s">
        <v>84</v>
      </c>
      <c r="B28" s="3" t="s">
        <v>1631</v>
      </c>
      <c r="C28" s="5">
        <v>70026.7601</v>
      </c>
      <c r="D28" s="5">
        <v>70026.7601</v>
      </c>
      <c r="E28" s="5">
        <v>63410.482000000004</v>
      </c>
      <c r="F28" t="s">
        <v>7249</v>
      </c>
      <c r="G28" s="5" t="str">
        <f t="shared" si="1"/>
        <v>УРАЛМАШ</v>
      </c>
      <c r="J28" s="5"/>
      <c r="M28" s="13" t="s">
        <v>1665</v>
      </c>
      <c r="N28" s="13" t="str">
        <f t="shared" si="0"/>
        <v>ПОЛЕВОДСТВО</v>
      </c>
      <c r="AC28" t="s">
        <v>1685</v>
      </c>
      <c r="AD28" t="s">
        <v>1685</v>
      </c>
      <c r="AF28" t="s">
        <v>7162</v>
      </c>
      <c r="AG28" s="24" t="s">
        <v>5262</v>
      </c>
      <c r="AH28" s="5" t="s">
        <v>7162</v>
      </c>
      <c r="AI28" s="5">
        <v>19458.838299999999</v>
      </c>
      <c r="AJ28" s="5">
        <v>19458.838299999999</v>
      </c>
      <c r="AK28">
        <v>18072.573</v>
      </c>
      <c r="AL28" s="5" t="str">
        <f t="shared" si="2"/>
        <v>Артемовский городской округ</v>
      </c>
    </row>
    <row r="29" spans="1:38" ht="15" customHeight="1" x14ac:dyDescent="0.25">
      <c r="A29" s="3" t="s">
        <v>88</v>
      </c>
      <c r="B29" s="3" t="s">
        <v>1634</v>
      </c>
      <c r="C29" s="5">
        <v>77064.444199999998</v>
      </c>
      <c r="D29" s="5">
        <v>77064.444199999998</v>
      </c>
      <c r="E29" s="5">
        <v>69783.233200000002</v>
      </c>
      <c r="F29" t="s">
        <v>7249</v>
      </c>
      <c r="G29" s="5" t="str">
        <f t="shared" si="1"/>
        <v>БОТАНИЧЕСКИЙ</v>
      </c>
      <c r="J29" s="5"/>
      <c r="M29" s="13" t="s">
        <v>1653</v>
      </c>
      <c r="N29" s="13" t="str">
        <f t="shared" si="0"/>
        <v>ПТИЦЕФАБРИКА</v>
      </c>
      <c r="AC29" t="s">
        <v>5232</v>
      </c>
      <c r="AD29" t="s">
        <v>1688</v>
      </c>
      <c r="AF29" t="s">
        <v>7162</v>
      </c>
      <c r="AG29" s="24" t="s">
        <v>5263</v>
      </c>
      <c r="AH29" s="5" t="s">
        <v>7162</v>
      </c>
      <c r="AI29" s="5">
        <v>19458.838299999999</v>
      </c>
      <c r="AJ29" s="5">
        <v>19458.838299999999</v>
      </c>
      <c r="AK29">
        <v>18072.573</v>
      </c>
      <c r="AL29" s="5" t="str">
        <f t="shared" si="2"/>
        <v>Артемовский городской округ</v>
      </c>
    </row>
    <row r="30" spans="1:38" ht="15" customHeight="1" x14ac:dyDescent="0.25">
      <c r="A30" s="3" t="s">
        <v>89</v>
      </c>
      <c r="B30" s="3" t="s">
        <v>1630</v>
      </c>
      <c r="C30" s="5">
        <v>62652.9401</v>
      </c>
      <c r="D30" s="5">
        <v>62652.9401</v>
      </c>
      <c r="E30" s="5">
        <v>56733.3557</v>
      </c>
      <c r="F30" t="s">
        <v>7249</v>
      </c>
      <c r="G30" s="5" t="str">
        <f t="shared" si="1"/>
        <v>ЧЕРМЕТ</v>
      </c>
      <c r="J30" s="5"/>
      <c r="M30" s="13" t="s">
        <v>1662</v>
      </c>
      <c r="N30" s="13" t="str">
        <f t="shared" si="0"/>
        <v>РУДНЫЙ</v>
      </c>
      <c r="AC30" t="s">
        <v>5233</v>
      </c>
      <c r="AD30" t="s">
        <v>1688</v>
      </c>
      <c r="AF30" t="s">
        <v>7162</v>
      </c>
      <c r="AG30" s="24" t="s">
        <v>5264</v>
      </c>
      <c r="AH30" s="5" t="s">
        <v>7162</v>
      </c>
      <c r="AI30" s="5">
        <v>19458.838299999999</v>
      </c>
      <c r="AJ30" s="5">
        <v>19458.838299999999</v>
      </c>
      <c r="AK30">
        <v>18072.573</v>
      </c>
      <c r="AL30" s="5" t="str">
        <f t="shared" si="2"/>
        <v>Артемовский городской округ</v>
      </c>
    </row>
    <row r="31" spans="1:38" ht="15" customHeight="1" x14ac:dyDescent="0.25">
      <c r="A31" s="3" t="s">
        <v>90</v>
      </c>
      <c r="B31" s="3" t="s">
        <v>1632</v>
      </c>
      <c r="C31" s="5">
        <v>83744.997499999998</v>
      </c>
      <c r="D31" s="5">
        <v>83744.997499999998</v>
      </c>
      <c r="E31" s="5">
        <v>75832.596099999995</v>
      </c>
      <c r="F31" t="s">
        <v>7249</v>
      </c>
      <c r="G31" s="5" t="str">
        <f t="shared" si="1"/>
        <v>АВТОВОКЗАЛ</v>
      </c>
      <c r="J31" s="5"/>
      <c r="M31" s="13" t="s">
        <v>1660</v>
      </c>
      <c r="N31" s="13" t="str">
        <f t="shared" si="0"/>
        <v>САДОВЫЙ</v>
      </c>
      <c r="AC31" t="s">
        <v>5234</v>
      </c>
      <c r="AD31" t="s">
        <v>1683</v>
      </c>
      <c r="AF31" t="s">
        <v>7162</v>
      </c>
      <c r="AG31" s="24" t="s">
        <v>5265</v>
      </c>
      <c r="AH31" s="5" t="s">
        <v>7162</v>
      </c>
      <c r="AI31" s="5">
        <v>19458.838299999999</v>
      </c>
      <c r="AJ31" s="5">
        <v>19458.838299999999</v>
      </c>
      <c r="AK31">
        <v>18072.573</v>
      </c>
      <c r="AL31" s="5" t="str">
        <f t="shared" si="2"/>
        <v>Артемовский городской округ</v>
      </c>
    </row>
    <row r="32" spans="1:38" ht="15" customHeight="1" x14ac:dyDescent="0.25">
      <c r="A32" s="3" t="s">
        <v>92</v>
      </c>
      <c r="B32" s="3" t="s">
        <v>1631</v>
      </c>
      <c r="C32" s="5">
        <v>70026.7601</v>
      </c>
      <c r="D32" s="5">
        <v>70026.7601</v>
      </c>
      <c r="E32" s="5">
        <v>63410.482000000004</v>
      </c>
      <c r="F32" t="s">
        <v>7249</v>
      </c>
      <c r="G32" s="5" t="str">
        <f t="shared" si="1"/>
        <v>УРАЛМАШ</v>
      </c>
      <c r="J32" s="5"/>
      <c r="M32" s="13" t="s">
        <v>1661</v>
      </c>
      <c r="N32" s="13" t="str">
        <f t="shared" si="0"/>
        <v>СЕВЕРКА</v>
      </c>
      <c r="AF32" t="s">
        <v>7162</v>
      </c>
      <c r="AG32" s="24" t="s">
        <v>5266</v>
      </c>
      <c r="AH32" s="5" t="s">
        <v>7162</v>
      </c>
      <c r="AI32" s="5">
        <v>19458.838299999999</v>
      </c>
      <c r="AJ32" s="5">
        <v>19458.838299999999</v>
      </c>
      <c r="AK32">
        <v>18072.573</v>
      </c>
      <c r="AL32" s="5" t="str">
        <f t="shared" si="2"/>
        <v>Артемовский городской округ</v>
      </c>
    </row>
    <row r="33" spans="1:38" ht="15" customHeight="1" x14ac:dyDescent="0.25">
      <c r="A33" s="3" t="s">
        <v>93</v>
      </c>
      <c r="B33" s="3" t="s">
        <v>1635</v>
      </c>
      <c r="C33" s="5">
        <v>57793.0844</v>
      </c>
      <c r="D33" s="5">
        <v>57793.0844</v>
      </c>
      <c r="E33" s="5">
        <v>52332.6639</v>
      </c>
      <c r="F33" t="s">
        <v>7249</v>
      </c>
      <c r="G33" s="5" t="str">
        <f t="shared" si="1"/>
        <v>ЛЕЧЕБНЫЙ</v>
      </c>
      <c r="J33" s="5"/>
      <c r="M33" s="13" t="s">
        <v>5169</v>
      </c>
      <c r="N33" s="18" t="s">
        <v>1637</v>
      </c>
      <c r="AF33" t="s">
        <v>7162</v>
      </c>
      <c r="AG33" s="24" t="s">
        <v>5267</v>
      </c>
      <c r="AH33" s="5" t="s">
        <v>7162</v>
      </c>
      <c r="AI33" s="5">
        <v>19458.838299999999</v>
      </c>
      <c r="AJ33" s="5">
        <v>19458.838299999999</v>
      </c>
      <c r="AK33">
        <v>18072.573</v>
      </c>
      <c r="AL33" s="5" t="str">
        <f t="shared" si="2"/>
        <v>Артемовский городской округ</v>
      </c>
    </row>
    <row r="34" spans="1:38" ht="15" customHeight="1" x14ac:dyDescent="0.25">
      <c r="A34" s="3" t="s">
        <v>95</v>
      </c>
      <c r="B34" s="3" t="s">
        <v>1636</v>
      </c>
      <c r="C34" s="5">
        <v>52246.960299999999</v>
      </c>
      <c r="D34" s="5">
        <v>52246.960299999999</v>
      </c>
      <c r="E34" s="5">
        <v>47310.556700000001</v>
      </c>
      <c r="F34" t="s">
        <v>7249</v>
      </c>
      <c r="G34" s="5" t="str">
        <f t="shared" si="1"/>
        <v>ГОРНЫЙ ЩИТ</v>
      </c>
      <c r="J34" s="5"/>
      <c r="M34" s="13" t="s">
        <v>1641</v>
      </c>
      <c r="N34" s="13" t="str">
        <f t="shared" si="0"/>
        <v>СИБИРСКИЙ</v>
      </c>
      <c r="AF34" t="s">
        <v>7162</v>
      </c>
      <c r="AG34" s="24" t="s">
        <v>5268</v>
      </c>
      <c r="AH34" s="5" t="s">
        <v>7162</v>
      </c>
      <c r="AI34" s="5">
        <v>19458.838299999999</v>
      </c>
      <c r="AJ34" s="5">
        <v>19458.838299999999</v>
      </c>
      <c r="AK34">
        <v>18072.573</v>
      </c>
      <c r="AL34" s="5" t="str">
        <f t="shared" si="2"/>
        <v>Артемовский городской округ</v>
      </c>
    </row>
    <row r="35" spans="1:38" ht="15" customHeight="1" x14ac:dyDescent="0.25">
      <c r="A35" s="3" t="s">
        <v>96</v>
      </c>
      <c r="B35" s="3" t="s">
        <v>1630</v>
      </c>
      <c r="C35" s="5">
        <v>62652.9401</v>
      </c>
      <c r="D35" s="5">
        <v>62652.9401</v>
      </c>
      <c r="E35" s="5">
        <v>56733.3557</v>
      </c>
      <c r="F35" t="s">
        <v>7249</v>
      </c>
      <c r="G35" s="5" t="str">
        <f t="shared" si="1"/>
        <v>ЧЕРМЕТ</v>
      </c>
      <c r="J35" s="5"/>
      <c r="M35" s="13" t="s">
        <v>1658</v>
      </c>
      <c r="N35" s="13" t="str">
        <f t="shared" si="0"/>
        <v>СИНИЕ КАМНИ</v>
      </c>
      <c r="AF35" t="s">
        <v>7163</v>
      </c>
      <c r="AG35" s="24" t="s">
        <v>5269</v>
      </c>
      <c r="AH35" s="5" t="s">
        <v>7163</v>
      </c>
      <c r="AI35" s="5">
        <v>23004.362700000001</v>
      </c>
      <c r="AJ35" s="5">
        <v>23004.362700000001</v>
      </c>
      <c r="AK35">
        <v>21365.518100000001</v>
      </c>
      <c r="AL35" s="5" t="str">
        <f t="shared" si="2"/>
        <v>Артинский городской округ</v>
      </c>
    </row>
    <row r="36" spans="1:38" ht="15" customHeight="1" x14ac:dyDescent="0.25">
      <c r="A36" s="3" t="s">
        <v>97</v>
      </c>
      <c r="B36" s="3" t="s">
        <v>1627</v>
      </c>
      <c r="C36" s="5">
        <v>56392.543899999997</v>
      </c>
      <c r="D36" s="5">
        <v>56392.543899999997</v>
      </c>
      <c r="E36" s="5">
        <v>51064.4617</v>
      </c>
      <c r="F36" t="s">
        <v>7249</v>
      </c>
      <c r="G36" s="5" t="str">
        <f t="shared" si="1"/>
        <v>КОМПРЕССОРНЫЙ</v>
      </c>
      <c r="J36" s="5"/>
      <c r="M36" s="13" t="s">
        <v>1659</v>
      </c>
      <c r="N36" s="13" t="str">
        <f t="shared" si="0"/>
        <v>СОВХОЗ</v>
      </c>
      <c r="AF36" t="s">
        <v>7163</v>
      </c>
      <c r="AG36" s="24" t="s">
        <v>5270</v>
      </c>
      <c r="AH36" s="5" t="s">
        <v>7163</v>
      </c>
      <c r="AI36" s="5">
        <v>23004.362700000001</v>
      </c>
      <c r="AJ36" s="5">
        <v>23004.362700000001</v>
      </c>
      <c r="AK36">
        <v>21365.518100000001</v>
      </c>
      <c r="AL36" s="5" t="str">
        <f t="shared" si="2"/>
        <v>Артинский городской округ</v>
      </c>
    </row>
    <row r="37" spans="1:38" ht="15" customHeight="1" x14ac:dyDescent="0.25">
      <c r="A37" s="3" t="s">
        <v>98</v>
      </c>
      <c r="B37" s="3" t="s">
        <v>14</v>
      </c>
      <c r="C37" s="5">
        <v>93989.912800000006</v>
      </c>
      <c r="D37" s="5">
        <v>93989.912800000006</v>
      </c>
      <c r="E37" s="5">
        <v>85109.545199999993</v>
      </c>
      <c r="F37" t="s">
        <v>7249</v>
      </c>
      <c r="G37" s="5" t="str">
        <f t="shared" si="1"/>
        <v>Центр</v>
      </c>
      <c r="J37" s="5"/>
      <c r="M37" s="13" t="s">
        <v>1669</v>
      </c>
      <c r="N37" s="13" t="str">
        <f t="shared" si="0"/>
        <v>СОЛНЕЧНЫЙ</v>
      </c>
      <c r="AF37" t="s">
        <v>7163</v>
      </c>
      <c r="AG37" s="24" t="s">
        <v>5271</v>
      </c>
      <c r="AH37" s="5" t="s">
        <v>7163</v>
      </c>
      <c r="AI37" s="5">
        <v>23004.362700000001</v>
      </c>
      <c r="AJ37" s="5">
        <v>23004.362700000001</v>
      </c>
      <c r="AK37">
        <v>21365.518100000001</v>
      </c>
      <c r="AL37" s="5" t="str">
        <f t="shared" si="2"/>
        <v>Артинский городской округ</v>
      </c>
    </row>
    <row r="38" spans="1:38" ht="15" customHeight="1" x14ac:dyDescent="0.25">
      <c r="A38" s="3" t="s">
        <v>99</v>
      </c>
      <c r="B38" s="3" t="s">
        <v>1631</v>
      </c>
      <c r="C38" s="5">
        <v>70026.7601</v>
      </c>
      <c r="D38" s="5">
        <v>70026.7601</v>
      </c>
      <c r="E38" s="5">
        <v>63410.482000000004</v>
      </c>
      <c r="F38" t="s">
        <v>7249</v>
      </c>
      <c r="G38" s="5" t="str">
        <f t="shared" si="1"/>
        <v>УРАЛМАШ</v>
      </c>
      <c r="J38" s="5"/>
      <c r="M38" s="13" t="s">
        <v>1637</v>
      </c>
      <c r="N38" s="13" t="str">
        <f t="shared" si="0"/>
        <v>Старая сортировка</v>
      </c>
      <c r="AF38" t="s">
        <v>7163</v>
      </c>
      <c r="AG38" s="24" t="s">
        <v>5272</v>
      </c>
      <c r="AH38" s="5" t="s">
        <v>7163</v>
      </c>
      <c r="AI38" s="5">
        <v>28422.4218</v>
      </c>
      <c r="AJ38" s="5">
        <v>28422.4218</v>
      </c>
      <c r="AK38">
        <v>26397.596300000001</v>
      </c>
      <c r="AL38" s="5" t="str">
        <f t="shared" si="2"/>
        <v>Артинский городской округ</v>
      </c>
    </row>
    <row r="39" spans="1:38" ht="15" customHeight="1" x14ac:dyDescent="0.25">
      <c r="A39" s="3" t="s">
        <v>100</v>
      </c>
      <c r="B39" s="3" t="s">
        <v>1628</v>
      </c>
      <c r="C39" s="5">
        <v>70734.0236</v>
      </c>
      <c r="D39" s="5">
        <v>70734.0236</v>
      </c>
      <c r="E39" s="5">
        <v>64050.9208</v>
      </c>
      <c r="F39" t="s">
        <v>7249</v>
      </c>
      <c r="G39" s="5" t="str">
        <f t="shared" si="1"/>
        <v>ЭЛЬМАШ</v>
      </c>
      <c r="J39" s="5"/>
      <c r="M39" s="13" t="s">
        <v>1666</v>
      </c>
      <c r="N39" s="13" t="str">
        <f t="shared" si="0"/>
        <v>Сулим.Торфянник</v>
      </c>
      <c r="AF39" t="s">
        <v>7163</v>
      </c>
      <c r="AG39" s="24" t="s">
        <v>5273</v>
      </c>
      <c r="AH39" s="5" t="s">
        <v>7163</v>
      </c>
      <c r="AI39" s="5">
        <v>23004.362700000001</v>
      </c>
      <c r="AJ39" s="5">
        <v>23004.362700000001</v>
      </c>
      <c r="AK39">
        <v>21365.518100000001</v>
      </c>
      <c r="AL39" s="5" t="str">
        <f t="shared" si="2"/>
        <v>Артинский городской округ</v>
      </c>
    </row>
    <row r="40" spans="1:38" ht="15" customHeight="1" x14ac:dyDescent="0.25">
      <c r="A40" s="3" t="s">
        <v>101</v>
      </c>
      <c r="B40" s="3" t="s">
        <v>1637</v>
      </c>
      <c r="C40" s="5">
        <v>59368.686099999999</v>
      </c>
      <c r="D40" s="5">
        <v>59368.686099999999</v>
      </c>
      <c r="E40" s="5">
        <v>53759.401700000002</v>
      </c>
      <c r="F40" t="s">
        <v>7249</v>
      </c>
      <c r="G40" s="5" t="str">
        <f t="shared" si="1"/>
        <v>Старая сортировка</v>
      </c>
      <c r="J40" s="5"/>
      <c r="M40" s="13" t="s">
        <v>1638</v>
      </c>
      <c r="N40" s="13" t="str">
        <f t="shared" si="0"/>
        <v>УКТУС</v>
      </c>
      <c r="AF40" t="s">
        <v>7163</v>
      </c>
      <c r="AG40" s="24" t="s">
        <v>5274</v>
      </c>
      <c r="AH40" s="5" t="s">
        <v>7163</v>
      </c>
      <c r="AI40" s="5">
        <v>23004.362700000001</v>
      </c>
      <c r="AJ40" s="5">
        <v>23004.362700000001</v>
      </c>
      <c r="AK40">
        <v>21365.518100000001</v>
      </c>
      <c r="AL40" s="5" t="str">
        <f t="shared" si="2"/>
        <v>Артинский городской округ</v>
      </c>
    </row>
    <row r="41" spans="1:38" ht="15" customHeight="1" x14ac:dyDescent="0.25">
      <c r="A41" s="3" t="s">
        <v>102</v>
      </c>
      <c r="B41" s="3" t="s">
        <v>33</v>
      </c>
      <c r="C41" s="5">
        <v>84298.205100000006</v>
      </c>
      <c r="D41" s="5">
        <v>84298.205100000006</v>
      </c>
      <c r="E41" s="5">
        <v>76333.533100000001</v>
      </c>
      <c r="F41" t="s">
        <v>7249</v>
      </c>
      <c r="G41" s="5" t="str">
        <f t="shared" si="1"/>
        <v>ВИЗ</v>
      </c>
      <c r="J41" s="5"/>
      <c r="M41" s="13" t="s">
        <v>66</v>
      </c>
      <c r="N41" s="13" t="str">
        <f t="shared" si="0"/>
        <v>УНЦ</v>
      </c>
      <c r="AF41" t="s">
        <v>7163</v>
      </c>
      <c r="AG41" s="24" t="s">
        <v>5275</v>
      </c>
      <c r="AH41" s="5" t="s">
        <v>7163</v>
      </c>
      <c r="AI41" s="5">
        <v>23004.362700000001</v>
      </c>
      <c r="AJ41" s="5">
        <v>23004.362700000001</v>
      </c>
      <c r="AK41">
        <v>21365.518100000001</v>
      </c>
      <c r="AL41" s="5" t="str">
        <f t="shared" si="2"/>
        <v>Артинский городской округ</v>
      </c>
    </row>
    <row r="42" spans="1:38" ht="15" customHeight="1" x14ac:dyDescent="0.25">
      <c r="A42" s="3" t="s">
        <v>103</v>
      </c>
      <c r="B42" s="3" t="s">
        <v>14</v>
      </c>
      <c r="C42" s="5">
        <v>93989.912800000006</v>
      </c>
      <c r="D42" s="5">
        <v>93989.912800000006</v>
      </c>
      <c r="E42" s="5">
        <v>85109.545199999993</v>
      </c>
      <c r="F42" t="s">
        <v>7249</v>
      </c>
      <c r="G42" s="5" t="str">
        <f t="shared" si="1"/>
        <v>Центр</v>
      </c>
      <c r="J42" s="5"/>
      <c r="M42" s="13" t="s">
        <v>1631</v>
      </c>
      <c r="N42" s="13" t="str">
        <f t="shared" si="0"/>
        <v>УРАЛМАШ</v>
      </c>
      <c r="AF42" t="s">
        <v>7163</v>
      </c>
      <c r="AG42" s="24" t="s">
        <v>5276</v>
      </c>
      <c r="AH42" s="5" t="s">
        <v>7163</v>
      </c>
      <c r="AI42" s="5">
        <v>23004.362700000001</v>
      </c>
      <c r="AJ42" s="5">
        <v>23004.362700000001</v>
      </c>
      <c r="AK42">
        <v>21365.518100000001</v>
      </c>
      <c r="AL42" s="5" t="str">
        <f t="shared" si="2"/>
        <v>Артинский городской округ</v>
      </c>
    </row>
    <row r="43" spans="1:38" ht="15" customHeight="1" x14ac:dyDescent="0.25">
      <c r="A43" s="3" t="s">
        <v>104</v>
      </c>
      <c r="B43" s="3" t="s">
        <v>14</v>
      </c>
      <c r="C43" s="5">
        <v>93989.912800000006</v>
      </c>
      <c r="D43" s="5">
        <v>93989.912800000006</v>
      </c>
      <c r="E43" s="5">
        <v>85109.545199999993</v>
      </c>
      <c r="F43" t="s">
        <v>7249</v>
      </c>
      <c r="G43" s="5" t="str">
        <f t="shared" si="1"/>
        <v>Центр</v>
      </c>
      <c r="J43" s="5"/>
      <c r="M43" s="13" t="s">
        <v>1644</v>
      </c>
      <c r="N43" s="13" t="str">
        <f t="shared" si="0"/>
        <v>ХИММАШ</v>
      </c>
      <c r="AF43" t="s">
        <v>7163</v>
      </c>
      <c r="AG43" s="24" t="s">
        <v>5277</v>
      </c>
      <c r="AH43" s="5" t="s">
        <v>7163</v>
      </c>
      <c r="AI43" s="5">
        <v>23004.362700000001</v>
      </c>
      <c r="AJ43" s="5">
        <v>23004.362700000001</v>
      </c>
      <c r="AK43">
        <v>21365.518100000001</v>
      </c>
      <c r="AL43" s="5" t="str">
        <f t="shared" si="2"/>
        <v>Артинский городской округ</v>
      </c>
    </row>
    <row r="44" spans="1:38" ht="15" customHeight="1" x14ac:dyDescent="0.25">
      <c r="A44" s="3" t="s">
        <v>105</v>
      </c>
      <c r="B44" s="3" t="s">
        <v>1628</v>
      </c>
      <c r="C44" s="5">
        <v>70734.0236</v>
      </c>
      <c r="D44" s="5">
        <v>70734.0236</v>
      </c>
      <c r="E44" s="5">
        <v>64050.9208</v>
      </c>
      <c r="F44" t="s">
        <v>7249</v>
      </c>
      <c r="G44" s="5" t="str">
        <f t="shared" si="1"/>
        <v>ЭЛЬМАШ</v>
      </c>
      <c r="J44" s="5"/>
      <c r="M44" s="17" t="s">
        <v>14</v>
      </c>
      <c r="N44" s="13" t="str">
        <f t="shared" si="0"/>
        <v>Центр</v>
      </c>
      <c r="AF44" t="s">
        <v>7163</v>
      </c>
      <c r="AG44" s="24" t="s">
        <v>5278</v>
      </c>
      <c r="AH44" s="5" t="s">
        <v>7163</v>
      </c>
      <c r="AI44" s="5">
        <v>23004.362700000001</v>
      </c>
      <c r="AJ44" s="5">
        <v>23004.362700000001</v>
      </c>
      <c r="AK44">
        <v>21365.518100000001</v>
      </c>
      <c r="AL44" s="5" t="str">
        <f t="shared" si="2"/>
        <v>Артинский городской округ</v>
      </c>
    </row>
    <row r="45" spans="1:38" ht="15" customHeight="1" x14ac:dyDescent="0.25">
      <c r="A45" s="3" t="s">
        <v>108</v>
      </c>
      <c r="B45" s="3" t="s">
        <v>1632</v>
      </c>
      <c r="C45" s="5">
        <v>83744.997499999998</v>
      </c>
      <c r="D45" s="5">
        <v>83744.997499999998</v>
      </c>
      <c r="E45" s="5">
        <v>75832.596099999995</v>
      </c>
      <c r="F45" t="s">
        <v>7249</v>
      </c>
      <c r="G45" s="5" t="str">
        <f t="shared" si="1"/>
        <v>АВТОВОКЗАЛ</v>
      </c>
      <c r="J45" s="5"/>
      <c r="M45" s="13" t="s">
        <v>1630</v>
      </c>
      <c r="N45" s="13" t="str">
        <f t="shared" si="0"/>
        <v>ЧЕРМЕТ</v>
      </c>
      <c r="AF45" t="s">
        <v>7163</v>
      </c>
      <c r="AG45" s="24" t="s">
        <v>5279</v>
      </c>
      <c r="AH45" s="5" t="s">
        <v>7163</v>
      </c>
      <c r="AI45" s="5">
        <v>23004.362700000001</v>
      </c>
      <c r="AJ45" s="5">
        <v>23004.362700000001</v>
      </c>
      <c r="AK45">
        <v>21365.518100000001</v>
      </c>
      <c r="AL45" s="5" t="str">
        <f t="shared" si="2"/>
        <v>Артинский городской округ</v>
      </c>
    </row>
    <row r="46" spans="1:38" ht="15" customHeight="1" x14ac:dyDescent="0.25">
      <c r="A46" s="3" t="s">
        <v>109</v>
      </c>
      <c r="B46" s="3" t="s">
        <v>1629</v>
      </c>
      <c r="C46" s="5">
        <v>77743.704100000003</v>
      </c>
      <c r="D46" s="5">
        <v>77743.704100000003</v>
      </c>
      <c r="E46" s="5">
        <v>70398.310800000007</v>
      </c>
      <c r="F46" t="s">
        <v>7249</v>
      </c>
      <c r="G46" s="5" t="str">
        <f t="shared" si="1"/>
        <v>ПИОНЕРСКИЙ</v>
      </c>
      <c r="J46" s="5"/>
      <c r="M46" s="13" t="s">
        <v>1648</v>
      </c>
      <c r="N46" s="13" t="str">
        <f t="shared" si="0"/>
        <v>ЧУСОВСКОЕ ОЗЕРО</v>
      </c>
      <c r="AF46" t="s">
        <v>7163</v>
      </c>
      <c r="AG46" s="24" t="s">
        <v>5280</v>
      </c>
      <c r="AH46" s="5" t="s">
        <v>7163</v>
      </c>
      <c r="AI46" s="5">
        <v>23004.362700000001</v>
      </c>
      <c r="AJ46" s="5">
        <v>23004.362700000001</v>
      </c>
      <c r="AK46">
        <v>21365.518100000001</v>
      </c>
      <c r="AL46" s="5" t="str">
        <f t="shared" si="2"/>
        <v>Артинский городской округ</v>
      </c>
    </row>
    <row r="47" spans="1:38" ht="15" customHeight="1" x14ac:dyDescent="0.25">
      <c r="A47" s="3" t="s">
        <v>110</v>
      </c>
      <c r="B47" s="3" t="s">
        <v>1637</v>
      </c>
      <c r="C47" s="5">
        <v>59368.686099999999</v>
      </c>
      <c r="D47" s="5">
        <v>59368.686099999999</v>
      </c>
      <c r="E47" s="5">
        <v>53759.401700000002</v>
      </c>
      <c r="F47" t="s">
        <v>7249</v>
      </c>
      <c r="G47" s="5" t="str">
        <f t="shared" si="1"/>
        <v>Старая сортировка</v>
      </c>
      <c r="J47" s="5"/>
      <c r="M47" s="13" t="s">
        <v>1650</v>
      </c>
      <c r="N47" s="13" t="str">
        <f t="shared" si="0"/>
        <v>ШАБРОВСКИЙ</v>
      </c>
      <c r="AF47" t="s">
        <v>7163</v>
      </c>
      <c r="AG47" s="24" t="s">
        <v>5281</v>
      </c>
      <c r="AH47" s="5" t="s">
        <v>7163</v>
      </c>
      <c r="AI47" s="5">
        <v>23004.362700000001</v>
      </c>
      <c r="AJ47" s="5">
        <v>23004.362700000001</v>
      </c>
      <c r="AK47">
        <v>21365.518100000001</v>
      </c>
      <c r="AL47" s="5" t="str">
        <f t="shared" si="2"/>
        <v>Артинский городской округ</v>
      </c>
    </row>
    <row r="48" spans="1:38" ht="15" customHeight="1" x14ac:dyDescent="0.25">
      <c r="A48" s="3" t="s">
        <v>111</v>
      </c>
      <c r="B48" s="3" t="s">
        <v>1631</v>
      </c>
      <c r="C48" s="5">
        <v>70026.7601</v>
      </c>
      <c r="D48" s="5">
        <v>70026.7601</v>
      </c>
      <c r="E48" s="5">
        <v>63410.482000000004</v>
      </c>
      <c r="F48" t="s">
        <v>7249</v>
      </c>
      <c r="G48" s="5" t="str">
        <f t="shared" si="1"/>
        <v>УРАЛМАШ</v>
      </c>
      <c r="J48" s="5"/>
      <c r="M48" s="13" t="s">
        <v>1651</v>
      </c>
      <c r="N48" s="13" t="str">
        <f t="shared" si="0"/>
        <v>ШАРТАШ</v>
      </c>
      <c r="AF48" t="s">
        <v>7163</v>
      </c>
      <c r="AG48" s="24" t="s">
        <v>5282</v>
      </c>
      <c r="AH48" s="5" t="s">
        <v>7163</v>
      </c>
      <c r="AI48" s="5">
        <v>23004.362700000001</v>
      </c>
      <c r="AJ48" s="5">
        <v>23004.362700000001</v>
      </c>
      <c r="AK48">
        <v>21365.518100000001</v>
      </c>
      <c r="AL48" s="5" t="str">
        <f t="shared" si="2"/>
        <v>Артинский городской округ</v>
      </c>
    </row>
    <row r="49" spans="1:38" ht="15" customHeight="1" x14ac:dyDescent="0.25">
      <c r="A49" s="3" t="s">
        <v>115</v>
      </c>
      <c r="B49" s="3" t="s">
        <v>1638</v>
      </c>
      <c r="C49" s="5">
        <v>63640.311600000001</v>
      </c>
      <c r="D49" s="5">
        <v>63640.311600000001</v>
      </c>
      <c r="E49" s="5">
        <v>57627.4473</v>
      </c>
      <c r="F49" t="s">
        <v>7249</v>
      </c>
      <c r="G49" s="5" t="str">
        <f t="shared" si="1"/>
        <v>УКТУС</v>
      </c>
      <c r="J49" s="5"/>
      <c r="M49" s="13" t="s">
        <v>1655</v>
      </c>
      <c r="N49" s="13" t="str">
        <f t="shared" si="0"/>
        <v>Шарташский рынок</v>
      </c>
      <c r="AF49" t="s">
        <v>7163</v>
      </c>
      <c r="AG49" s="24" t="s">
        <v>5283</v>
      </c>
      <c r="AH49" s="5" t="s">
        <v>7163</v>
      </c>
      <c r="AI49" s="5">
        <v>23004.362700000001</v>
      </c>
      <c r="AJ49" s="5">
        <v>23004.362700000001</v>
      </c>
      <c r="AK49">
        <v>21365.518100000001</v>
      </c>
      <c r="AL49" s="5" t="str">
        <f t="shared" si="2"/>
        <v>Артинский городской округ</v>
      </c>
    </row>
    <row r="50" spans="1:38" ht="15" customHeight="1" x14ac:dyDescent="0.25">
      <c r="A50" s="3" t="s">
        <v>116</v>
      </c>
      <c r="B50" s="3" t="s">
        <v>1631</v>
      </c>
      <c r="C50" s="5">
        <v>70026.7601</v>
      </c>
      <c r="D50" s="5">
        <v>70026.7601</v>
      </c>
      <c r="E50" s="5">
        <v>63410.482000000004</v>
      </c>
      <c r="F50" t="s">
        <v>7249</v>
      </c>
      <c r="G50" s="5" t="str">
        <f t="shared" si="1"/>
        <v>УРАЛМАШ</v>
      </c>
      <c r="J50" s="5"/>
      <c r="M50" s="13" t="s">
        <v>1647</v>
      </c>
      <c r="N50" s="13" t="str">
        <f t="shared" si="0"/>
        <v>ШИРОКАЯ РЕЧКА</v>
      </c>
      <c r="AF50" t="s">
        <v>7163</v>
      </c>
      <c r="AG50" s="24" t="s">
        <v>5284</v>
      </c>
      <c r="AH50" s="5" t="s">
        <v>7163</v>
      </c>
      <c r="AI50" s="5">
        <v>23004.362700000001</v>
      </c>
      <c r="AJ50" s="5">
        <v>23004.362700000001</v>
      </c>
      <c r="AK50">
        <v>21365.518100000001</v>
      </c>
      <c r="AL50" s="5" t="str">
        <f t="shared" si="2"/>
        <v>Артинский городской округ</v>
      </c>
    </row>
    <row r="51" spans="1:38" ht="15" customHeight="1" x14ac:dyDescent="0.25">
      <c r="A51" s="3" t="s">
        <v>117</v>
      </c>
      <c r="B51" s="3" t="s">
        <v>1639</v>
      </c>
      <c r="C51" s="5">
        <v>53500.443299999999</v>
      </c>
      <c r="D51" s="5">
        <v>53500.443299999999</v>
      </c>
      <c r="E51" s="5">
        <v>48445.605100000001</v>
      </c>
      <c r="F51" t="s">
        <v>7249</v>
      </c>
      <c r="G51" s="5" t="str">
        <f t="shared" si="1"/>
        <v>ИСТОК</v>
      </c>
      <c r="J51" s="5"/>
      <c r="M51" s="13" t="s">
        <v>1663</v>
      </c>
      <c r="N51" s="13" t="str">
        <f t="shared" si="0"/>
        <v>ШУВАКИШ</v>
      </c>
      <c r="AF51" t="s">
        <v>7163</v>
      </c>
      <c r="AG51" s="24" t="s">
        <v>5285</v>
      </c>
      <c r="AH51" s="5" t="s">
        <v>7163</v>
      </c>
      <c r="AI51" s="5">
        <v>23004.362700000001</v>
      </c>
      <c r="AJ51" s="5">
        <v>23004.362700000001</v>
      </c>
      <c r="AK51">
        <v>21365.518100000001</v>
      </c>
      <c r="AL51" s="5" t="str">
        <f t="shared" si="2"/>
        <v>Артинский городской округ</v>
      </c>
    </row>
    <row r="52" spans="1:38" ht="15" customHeight="1" x14ac:dyDescent="0.25">
      <c r="A52" s="3" t="s">
        <v>119</v>
      </c>
      <c r="B52" s="3" t="s">
        <v>1631</v>
      </c>
      <c r="C52" s="5">
        <v>70026.7601</v>
      </c>
      <c r="D52" s="5">
        <v>70026.7601</v>
      </c>
      <c r="E52" s="5">
        <v>63410.482000000004</v>
      </c>
      <c r="F52" t="s">
        <v>7249</v>
      </c>
      <c r="G52" s="5" t="str">
        <f t="shared" si="1"/>
        <v>УРАЛМАШ</v>
      </c>
      <c r="J52" s="5"/>
      <c r="M52" s="13" t="s">
        <v>1628</v>
      </c>
      <c r="N52" s="13" t="str">
        <f t="shared" si="0"/>
        <v>ЭЛЬМАШ</v>
      </c>
      <c r="AF52" t="s">
        <v>7163</v>
      </c>
      <c r="AG52" s="24" t="s">
        <v>5286</v>
      </c>
      <c r="AH52" s="5" t="s">
        <v>7163</v>
      </c>
      <c r="AI52" s="5">
        <v>23004.362700000001</v>
      </c>
      <c r="AJ52" s="5">
        <v>23004.362700000001</v>
      </c>
      <c r="AK52">
        <v>21365.518100000001</v>
      </c>
      <c r="AL52" s="5" t="str">
        <f t="shared" si="2"/>
        <v>Артинский городской округ</v>
      </c>
    </row>
    <row r="53" spans="1:38" ht="15" customHeight="1" x14ac:dyDescent="0.25">
      <c r="A53" s="3" t="s">
        <v>120</v>
      </c>
      <c r="B53" s="3" t="s">
        <v>1640</v>
      </c>
      <c r="C53" s="5">
        <v>64914.8</v>
      </c>
      <c r="D53" s="5">
        <v>64914.8</v>
      </c>
      <c r="E53" s="5">
        <v>58781.519200000002</v>
      </c>
      <c r="F53" t="s">
        <v>7249</v>
      </c>
      <c r="G53" s="5" t="str">
        <f t="shared" si="1"/>
        <v>Новая сортировка</v>
      </c>
      <c r="J53" s="5"/>
      <c r="M53" s="13" t="s">
        <v>1643</v>
      </c>
      <c r="N53" s="13" t="str">
        <f t="shared" si="0"/>
        <v>Ю-З</v>
      </c>
      <c r="AF53" t="s">
        <v>7163</v>
      </c>
      <c r="AG53" s="24" t="s">
        <v>5287</v>
      </c>
      <c r="AH53" s="5" t="s">
        <v>7163</v>
      </c>
      <c r="AI53" s="5">
        <v>23004.362700000001</v>
      </c>
      <c r="AJ53" s="5">
        <v>23004.362700000001</v>
      </c>
      <c r="AK53">
        <v>21365.518100000001</v>
      </c>
      <c r="AL53" s="5" t="str">
        <f t="shared" si="2"/>
        <v>Артинский городской округ</v>
      </c>
    </row>
    <row r="54" spans="1:38" ht="15" customHeight="1" x14ac:dyDescent="0.25">
      <c r="A54" s="3" t="s">
        <v>121</v>
      </c>
      <c r="B54" s="3" t="s">
        <v>1641</v>
      </c>
      <c r="C54" s="5">
        <v>63556.280200000001</v>
      </c>
      <c r="D54" s="5">
        <v>63556.280200000001</v>
      </c>
      <c r="E54" s="5">
        <v>57551.353499999997</v>
      </c>
      <c r="F54" t="s">
        <v>7249</v>
      </c>
      <c r="G54" s="5" t="str">
        <f t="shared" si="1"/>
        <v>СИБИРСКИЙ</v>
      </c>
      <c r="J54" s="5"/>
      <c r="M54" s="1" t="s">
        <v>202</v>
      </c>
      <c r="N54" s="1" t="s">
        <v>5166</v>
      </c>
      <c r="AF54" t="s">
        <v>7163</v>
      </c>
      <c r="AG54" s="24" t="s">
        <v>5288</v>
      </c>
      <c r="AH54" s="5" t="s">
        <v>7163</v>
      </c>
      <c r="AI54" s="5">
        <v>23004.362700000001</v>
      </c>
      <c r="AJ54" s="5">
        <v>23004.362700000001</v>
      </c>
      <c r="AK54">
        <v>21365.518100000001</v>
      </c>
      <c r="AL54" s="5" t="str">
        <f t="shared" si="2"/>
        <v>Артинский городской округ</v>
      </c>
    </row>
    <row r="55" spans="1:38" ht="15" customHeight="1" x14ac:dyDescent="0.25">
      <c r="A55" s="3" t="s">
        <v>123</v>
      </c>
      <c r="B55" s="3" t="s">
        <v>1637</v>
      </c>
      <c r="C55" s="5">
        <v>59368.686099999999</v>
      </c>
      <c r="D55" s="5">
        <v>59368.686099999999</v>
      </c>
      <c r="E55" s="5">
        <v>53759.401700000002</v>
      </c>
      <c r="F55" t="s">
        <v>7249</v>
      </c>
      <c r="G55" s="5" t="str">
        <f t="shared" si="1"/>
        <v>Старая сортировка</v>
      </c>
      <c r="J55" s="5"/>
      <c r="M55" s="1" t="s">
        <v>5170</v>
      </c>
      <c r="N55" s="1" t="s">
        <v>1660</v>
      </c>
      <c r="AF55" t="s">
        <v>7163</v>
      </c>
      <c r="AG55" s="24" t="s">
        <v>5289</v>
      </c>
      <c r="AH55" s="5" t="s">
        <v>7163</v>
      </c>
      <c r="AI55" s="5">
        <v>23004.362700000001</v>
      </c>
      <c r="AJ55" s="5">
        <v>23004.362700000001</v>
      </c>
      <c r="AK55">
        <v>21365.518100000001</v>
      </c>
      <c r="AL55" s="5" t="str">
        <f t="shared" si="2"/>
        <v>Артинский городской округ</v>
      </c>
    </row>
    <row r="56" spans="1:38" ht="15" customHeight="1" x14ac:dyDescent="0.25">
      <c r="A56" s="3" t="s">
        <v>126</v>
      </c>
      <c r="B56" s="3" t="s">
        <v>1642</v>
      </c>
      <c r="C56" s="5">
        <v>81392.097599999994</v>
      </c>
      <c r="D56" s="5">
        <v>81392.097599999994</v>
      </c>
      <c r="E56" s="5">
        <v>73702.001099999994</v>
      </c>
      <c r="F56" t="s">
        <v>7249</v>
      </c>
      <c r="G56" s="5" t="str">
        <f t="shared" si="1"/>
        <v>ПАРКОВЫЙ</v>
      </c>
      <c r="J56" s="5"/>
      <c r="M56" s="1" t="s">
        <v>5171</v>
      </c>
      <c r="N56" s="1" t="s">
        <v>389</v>
      </c>
      <c r="AF56" t="s">
        <v>7163</v>
      </c>
      <c r="AG56" s="24" t="s">
        <v>5290</v>
      </c>
      <c r="AH56" s="5" t="s">
        <v>7163</v>
      </c>
      <c r="AI56" s="5">
        <v>23004.362700000001</v>
      </c>
      <c r="AJ56" s="5">
        <v>23004.362700000001</v>
      </c>
      <c r="AK56">
        <v>21365.518100000001</v>
      </c>
      <c r="AL56" s="5" t="str">
        <f t="shared" si="2"/>
        <v>Артинский городской округ</v>
      </c>
    </row>
    <row r="57" spans="1:38" ht="15" customHeight="1" x14ac:dyDescent="0.25">
      <c r="A57" s="3" t="s">
        <v>129</v>
      </c>
      <c r="B57" s="3" t="s">
        <v>1640</v>
      </c>
      <c r="C57" s="5">
        <v>64914.8</v>
      </c>
      <c r="D57" s="5">
        <v>64914.8</v>
      </c>
      <c r="E57" s="5">
        <v>58781.519200000002</v>
      </c>
      <c r="F57" t="s">
        <v>7249</v>
      </c>
      <c r="G57" s="5" t="str">
        <f t="shared" si="1"/>
        <v>Новая сортировка</v>
      </c>
      <c r="J57" s="5"/>
      <c r="M57" s="1" t="s">
        <v>5172</v>
      </c>
      <c r="N57" s="1" t="s">
        <v>118</v>
      </c>
      <c r="AF57" t="s">
        <v>7163</v>
      </c>
      <c r="AG57" s="24" t="s">
        <v>5291</v>
      </c>
      <c r="AH57" s="5" t="s">
        <v>7163</v>
      </c>
      <c r="AI57" s="5">
        <v>23004.362700000001</v>
      </c>
      <c r="AJ57" s="5">
        <v>23004.362700000001</v>
      </c>
      <c r="AK57">
        <v>21365.518100000001</v>
      </c>
      <c r="AL57" s="5" t="str">
        <f t="shared" si="2"/>
        <v>Артинский городской округ</v>
      </c>
    </row>
    <row r="58" spans="1:38" ht="15" customHeight="1" x14ac:dyDescent="0.25">
      <c r="A58" s="3" t="s">
        <v>133</v>
      </c>
      <c r="B58" s="3" t="s">
        <v>1643</v>
      </c>
      <c r="C58" s="5">
        <v>76630.280299999999</v>
      </c>
      <c r="D58" s="5">
        <v>76630.280299999999</v>
      </c>
      <c r="E58" s="5">
        <v>69390.088799999998</v>
      </c>
      <c r="F58" t="s">
        <v>7249</v>
      </c>
      <c r="G58" s="5" t="str">
        <f t="shared" si="1"/>
        <v>Ю-З</v>
      </c>
      <c r="J58" s="5"/>
      <c r="M58" s="2" t="s">
        <v>5173</v>
      </c>
      <c r="N58" s="1" t="s">
        <v>14</v>
      </c>
      <c r="AF58" t="s">
        <v>7163</v>
      </c>
      <c r="AG58" s="24" t="s">
        <v>5292</v>
      </c>
      <c r="AH58" s="5" t="s">
        <v>7163</v>
      </c>
      <c r="AI58" s="5">
        <v>23004.362700000001</v>
      </c>
      <c r="AJ58" s="5">
        <v>23004.362700000001</v>
      </c>
      <c r="AK58">
        <v>21365.518100000001</v>
      </c>
      <c r="AL58" s="5" t="str">
        <f t="shared" si="2"/>
        <v>Артинский городской округ</v>
      </c>
    </row>
    <row r="59" spans="1:38" ht="15" customHeight="1" x14ac:dyDescent="0.25">
      <c r="A59" s="3" t="s">
        <v>135</v>
      </c>
      <c r="B59" s="3" t="s">
        <v>1644</v>
      </c>
      <c r="C59" s="5">
        <v>61980.678599999999</v>
      </c>
      <c r="D59" s="5">
        <v>61980.678599999999</v>
      </c>
      <c r="E59" s="5">
        <v>56124.615700000002</v>
      </c>
      <c r="F59" t="s">
        <v>7249</v>
      </c>
      <c r="G59" s="5" t="str">
        <f t="shared" si="1"/>
        <v>ХИММАШ</v>
      </c>
      <c r="J59" s="5"/>
      <c r="M59" s="2" t="s">
        <v>5174</v>
      </c>
      <c r="N59" s="1" t="s">
        <v>33</v>
      </c>
      <c r="AF59" t="s">
        <v>7163</v>
      </c>
      <c r="AG59" s="24" t="s">
        <v>5293</v>
      </c>
      <c r="AH59" s="5" t="s">
        <v>7163</v>
      </c>
      <c r="AI59" s="5">
        <v>23004.362700000001</v>
      </c>
      <c r="AJ59" s="5">
        <v>23004.362700000001</v>
      </c>
      <c r="AK59">
        <v>21365.518100000001</v>
      </c>
      <c r="AL59" s="5" t="str">
        <f t="shared" si="2"/>
        <v>Артинский городской округ</v>
      </c>
    </row>
    <row r="60" spans="1:38" ht="15" customHeight="1" x14ac:dyDescent="0.25">
      <c r="A60" s="3" t="s">
        <v>140</v>
      </c>
      <c r="B60" s="3" t="s">
        <v>33</v>
      </c>
      <c r="C60" s="5">
        <v>84298.205100000006</v>
      </c>
      <c r="D60" s="5">
        <v>84298.205100000006</v>
      </c>
      <c r="E60" s="5">
        <v>76333.533100000001</v>
      </c>
      <c r="F60" t="s">
        <v>7249</v>
      </c>
      <c r="G60" s="5" t="str">
        <f t="shared" si="1"/>
        <v>ВИЗ</v>
      </c>
      <c r="J60" s="5"/>
      <c r="M60" s="2" t="s">
        <v>5175</v>
      </c>
      <c r="N60" s="1" t="s">
        <v>59</v>
      </c>
      <c r="AF60" t="s">
        <v>7163</v>
      </c>
      <c r="AG60" s="24" t="s">
        <v>5294</v>
      </c>
      <c r="AH60" s="5" t="s">
        <v>7163</v>
      </c>
      <c r="AI60" s="5">
        <v>23004.362700000001</v>
      </c>
      <c r="AJ60" s="5">
        <v>23004.362700000001</v>
      </c>
      <c r="AK60">
        <v>21365.518100000001</v>
      </c>
      <c r="AL60" s="5" t="str">
        <f t="shared" si="2"/>
        <v>Артинский городской округ</v>
      </c>
    </row>
    <row r="61" spans="1:38" ht="15" customHeight="1" x14ac:dyDescent="0.25">
      <c r="A61" s="3" t="s">
        <v>143</v>
      </c>
      <c r="B61" s="3" t="s">
        <v>1633</v>
      </c>
      <c r="C61" s="5">
        <v>77071.442599999995</v>
      </c>
      <c r="D61" s="5">
        <v>77071.442599999995</v>
      </c>
      <c r="E61" s="5">
        <v>69789.570900000006</v>
      </c>
      <c r="F61" t="s">
        <v>7249</v>
      </c>
      <c r="G61" s="5" t="str">
        <f t="shared" si="1"/>
        <v>ВТУЗГОРОДОК</v>
      </c>
      <c r="J61" s="5"/>
      <c r="M61" s="19" t="s">
        <v>193</v>
      </c>
      <c r="N61" s="13" t="s">
        <v>1637</v>
      </c>
      <c r="AF61" t="s">
        <v>7163</v>
      </c>
      <c r="AG61" s="24" t="s">
        <v>5295</v>
      </c>
      <c r="AH61" s="5" t="s">
        <v>7163</v>
      </c>
      <c r="AI61" s="5">
        <v>23004.362700000001</v>
      </c>
      <c r="AJ61" s="5">
        <v>23004.362700000001</v>
      </c>
      <c r="AK61">
        <v>21365.518100000001</v>
      </c>
      <c r="AL61" s="5" t="str">
        <f t="shared" si="2"/>
        <v>Артинский городской округ</v>
      </c>
    </row>
    <row r="62" spans="1:38" ht="15" customHeight="1" x14ac:dyDescent="0.25">
      <c r="A62" s="3" t="s">
        <v>152</v>
      </c>
      <c r="B62" s="3" t="s">
        <v>1632</v>
      </c>
      <c r="C62" s="5">
        <v>83744.997499999998</v>
      </c>
      <c r="D62" s="5">
        <v>83744.997499999998</v>
      </c>
      <c r="E62" s="5">
        <v>75832.596099999995</v>
      </c>
      <c r="F62" t="s">
        <v>7249</v>
      </c>
      <c r="G62" s="5" t="str">
        <f t="shared" si="1"/>
        <v>АВТОВОКЗАЛ</v>
      </c>
      <c r="J62" s="5"/>
      <c r="M62" s="20" t="s">
        <v>1670</v>
      </c>
      <c r="N62" s="1" t="s">
        <v>5176</v>
      </c>
      <c r="AF62" t="s">
        <v>7163</v>
      </c>
      <c r="AG62" s="24" t="s">
        <v>5296</v>
      </c>
      <c r="AH62" s="5" t="s">
        <v>7163</v>
      </c>
      <c r="AI62" s="5">
        <v>23004.362700000001</v>
      </c>
      <c r="AJ62" s="5">
        <v>23004.362700000001</v>
      </c>
      <c r="AK62">
        <v>21365.518100000001</v>
      </c>
      <c r="AL62" s="5" t="str">
        <f t="shared" si="2"/>
        <v>Артинский городской округ</v>
      </c>
    </row>
    <row r="63" spans="1:38" ht="15" customHeight="1" x14ac:dyDescent="0.25">
      <c r="A63" s="3" t="s">
        <v>153</v>
      </c>
      <c r="B63" s="3" t="s">
        <v>1645</v>
      </c>
      <c r="C63" s="5">
        <v>60958.294800000003</v>
      </c>
      <c r="D63" s="5">
        <v>60958.294800000003</v>
      </c>
      <c r="E63" s="5">
        <v>55198.825199999999</v>
      </c>
      <c r="F63" t="s">
        <v>7249</v>
      </c>
      <c r="G63" s="5" t="str">
        <f t="shared" si="1"/>
        <v>ЕЛИЗАВЕТ</v>
      </c>
      <c r="J63" s="5"/>
      <c r="M63" s="20" t="s">
        <v>192</v>
      </c>
      <c r="N63" s="1" t="s">
        <v>5177</v>
      </c>
      <c r="AF63" t="s">
        <v>7163</v>
      </c>
      <c r="AG63" s="24" t="s">
        <v>5297</v>
      </c>
      <c r="AH63" s="5" t="s">
        <v>7163</v>
      </c>
      <c r="AI63" s="5">
        <v>23004.362700000001</v>
      </c>
      <c r="AJ63" s="5">
        <v>23004.362700000001</v>
      </c>
      <c r="AK63">
        <v>21365.518100000001</v>
      </c>
      <c r="AL63" s="5" t="str">
        <f t="shared" si="2"/>
        <v>Артинский городской округ</v>
      </c>
    </row>
    <row r="64" spans="1:38" ht="15" customHeight="1" x14ac:dyDescent="0.25">
      <c r="A64" s="3" t="s">
        <v>154</v>
      </c>
      <c r="B64" s="3" t="s">
        <v>1632</v>
      </c>
      <c r="C64" s="5">
        <v>83744.997499999998</v>
      </c>
      <c r="D64" s="5">
        <v>83744.997499999998</v>
      </c>
      <c r="E64" s="5">
        <v>75832.596099999995</v>
      </c>
      <c r="F64" t="s">
        <v>7249</v>
      </c>
      <c r="G64" s="5" t="str">
        <f t="shared" si="1"/>
        <v>АВТОВОКЗАЛ</v>
      </c>
      <c r="J64" s="5"/>
      <c r="M64" s="20" t="s">
        <v>1166</v>
      </c>
      <c r="N64" s="1" t="s">
        <v>5177</v>
      </c>
      <c r="AF64" t="s">
        <v>7163</v>
      </c>
      <c r="AG64" s="24" t="s">
        <v>5298</v>
      </c>
      <c r="AH64" s="5" t="s">
        <v>7163</v>
      </c>
      <c r="AI64" s="5">
        <v>23004.362700000001</v>
      </c>
      <c r="AJ64" s="5">
        <v>23004.362700000001</v>
      </c>
      <c r="AK64">
        <v>21365.518100000001</v>
      </c>
      <c r="AL64" s="5" t="str">
        <f t="shared" si="2"/>
        <v>Артинский городской округ</v>
      </c>
    </row>
    <row r="65" spans="1:38" ht="15" customHeight="1" x14ac:dyDescent="0.25">
      <c r="A65" s="3" t="s">
        <v>162</v>
      </c>
      <c r="B65" s="3" t="s">
        <v>1629</v>
      </c>
      <c r="C65" s="5">
        <v>77743.704100000003</v>
      </c>
      <c r="D65" s="5">
        <v>77743.704100000003</v>
      </c>
      <c r="E65" s="5">
        <v>70398.310800000007</v>
      </c>
      <c r="F65" t="s">
        <v>7249</v>
      </c>
      <c r="G65" s="5" t="str">
        <f t="shared" si="1"/>
        <v>ПИОНЕРСКИЙ</v>
      </c>
      <c r="J65" s="5"/>
      <c r="M65" s="20" t="s">
        <v>995</v>
      </c>
      <c r="N65" s="1" t="s">
        <v>5168</v>
      </c>
      <c r="AF65" t="s">
        <v>7163</v>
      </c>
      <c r="AG65" s="24" t="s">
        <v>5299</v>
      </c>
      <c r="AH65" s="5" t="s">
        <v>7163</v>
      </c>
      <c r="AI65" s="5">
        <v>23004.362700000001</v>
      </c>
      <c r="AJ65" s="5">
        <v>23004.362700000001</v>
      </c>
      <c r="AK65">
        <v>21365.518100000001</v>
      </c>
      <c r="AL65" s="5" t="str">
        <f t="shared" si="2"/>
        <v>Артинский городской округ</v>
      </c>
    </row>
    <row r="66" spans="1:38" ht="15" customHeight="1" x14ac:dyDescent="0.25">
      <c r="A66" s="3" t="s">
        <v>165</v>
      </c>
      <c r="B66" s="3" t="s">
        <v>1632</v>
      </c>
      <c r="C66" s="5">
        <v>83744.997499999998</v>
      </c>
      <c r="D66" s="5">
        <v>83744.997499999998</v>
      </c>
      <c r="E66" s="5">
        <v>75832.596099999995</v>
      </c>
      <c r="F66" t="s">
        <v>7249</v>
      </c>
      <c r="G66" s="5" t="str">
        <f t="shared" si="1"/>
        <v>АВТОВОКЗАЛ</v>
      </c>
      <c r="J66" s="5"/>
      <c r="M66" s="20" t="s">
        <v>1203</v>
      </c>
      <c r="N66" s="1" t="s">
        <v>779</v>
      </c>
      <c r="AF66" t="s">
        <v>7163</v>
      </c>
      <c r="AG66" s="24" t="s">
        <v>5300</v>
      </c>
      <c r="AH66" s="5" t="s">
        <v>7163</v>
      </c>
      <c r="AI66" s="5">
        <v>23580.588400000001</v>
      </c>
      <c r="AJ66" s="5">
        <v>23580.588400000001</v>
      </c>
      <c r="AK66">
        <v>21900.693200000002</v>
      </c>
      <c r="AL66" s="5" t="str">
        <f t="shared" si="2"/>
        <v>Артинский городской округ</v>
      </c>
    </row>
    <row r="67" spans="1:38" ht="15" customHeight="1" x14ac:dyDescent="0.25">
      <c r="A67" s="3" t="s">
        <v>166</v>
      </c>
      <c r="B67" s="3" t="s">
        <v>1632</v>
      </c>
      <c r="C67" s="5">
        <v>83744.997499999998</v>
      </c>
      <c r="D67" s="5">
        <v>83744.997499999998</v>
      </c>
      <c r="E67" s="5">
        <v>75832.596099999995</v>
      </c>
      <c r="F67" t="s">
        <v>7249</v>
      </c>
      <c r="G67" s="5" t="str">
        <f t="shared" si="1"/>
        <v>АВТОВОКЗАЛ</v>
      </c>
      <c r="J67" s="5"/>
      <c r="M67" s="20" t="s">
        <v>1671</v>
      </c>
      <c r="N67" s="1" t="s">
        <v>1672</v>
      </c>
      <c r="AF67" t="s">
        <v>7163</v>
      </c>
      <c r="AG67" s="24" t="s">
        <v>5301</v>
      </c>
      <c r="AH67" s="5" t="s">
        <v>7163</v>
      </c>
      <c r="AI67" s="5">
        <v>23004.362700000001</v>
      </c>
      <c r="AJ67" s="5">
        <v>23004.362700000001</v>
      </c>
      <c r="AK67">
        <v>21365.518100000001</v>
      </c>
      <c r="AL67" s="5" t="str">
        <f t="shared" si="2"/>
        <v>Артинский городской округ</v>
      </c>
    </row>
    <row r="68" spans="1:38" ht="15" customHeight="1" x14ac:dyDescent="0.25">
      <c r="A68" s="3" t="s">
        <v>168</v>
      </c>
      <c r="B68" s="3" t="s">
        <v>1632</v>
      </c>
      <c r="C68" s="5">
        <v>83744.997499999998</v>
      </c>
      <c r="D68" s="5">
        <v>83744.997499999998</v>
      </c>
      <c r="E68" s="5">
        <v>75832.596099999995</v>
      </c>
      <c r="F68" t="s">
        <v>7249</v>
      </c>
      <c r="G68" s="5" t="str">
        <f t="shared" ref="G68:G131" si="3">B68</f>
        <v>АВТОВОКЗАЛ</v>
      </c>
      <c r="J68" s="5"/>
      <c r="M68" s="20" t="s">
        <v>312</v>
      </c>
      <c r="N68" s="1" t="s">
        <v>1672</v>
      </c>
      <c r="AF68" t="s">
        <v>7163</v>
      </c>
      <c r="AG68" s="24" t="s">
        <v>5302</v>
      </c>
      <c r="AH68" s="5" t="s">
        <v>7163</v>
      </c>
      <c r="AI68" s="5">
        <v>23004.362700000001</v>
      </c>
      <c r="AJ68" s="5">
        <v>23004.362700000001</v>
      </c>
      <c r="AK68">
        <v>21365.518100000001</v>
      </c>
      <c r="AL68" s="5" t="str">
        <f t="shared" ref="AL68:AL131" si="4">AF68</f>
        <v>Артинский городской округ</v>
      </c>
    </row>
    <row r="69" spans="1:38" ht="15" customHeight="1" x14ac:dyDescent="0.25">
      <c r="A69" s="3" t="s">
        <v>169</v>
      </c>
      <c r="B69" s="3" t="s">
        <v>1637</v>
      </c>
      <c r="C69" s="5">
        <v>59368.686099999999</v>
      </c>
      <c r="D69" s="5">
        <v>59368.686099999999</v>
      </c>
      <c r="E69" s="5">
        <v>53759.401700000002</v>
      </c>
      <c r="F69" t="s">
        <v>7249</v>
      </c>
      <c r="G69" s="5" t="str">
        <f t="shared" si="3"/>
        <v>Старая сортировка</v>
      </c>
      <c r="J69" s="5"/>
      <c r="M69" s="20" t="s">
        <v>228</v>
      </c>
      <c r="N69" s="1" t="s">
        <v>118</v>
      </c>
      <c r="AF69" t="s">
        <v>7163</v>
      </c>
      <c r="AG69" s="24" t="s">
        <v>5303</v>
      </c>
      <c r="AH69" s="5" t="s">
        <v>7163</v>
      </c>
      <c r="AI69" s="5">
        <v>23004.362700000001</v>
      </c>
      <c r="AJ69" s="5">
        <v>23004.362700000001</v>
      </c>
      <c r="AK69">
        <v>21365.518100000001</v>
      </c>
      <c r="AL69" s="5" t="str">
        <f t="shared" si="4"/>
        <v>Артинский городской округ</v>
      </c>
    </row>
    <row r="70" spans="1:38" ht="15" customHeight="1" x14ac:dyDescent="0.25">
      <c r="A70" s="3" t="s">
        <v>170</v>
      </c>
      <c r="B70" s="3" t="s">
        <v>33</v>
      </c>
      <c r="C70" s="5">
        <v>84298.205100000006</v>
      </c>
      <c r="D70" s="5">
        <v>84298.205100000006</v>
      </c>
      <c r="E70" s="5">
        <v>76333.533100000001</v>
      </c>
      <c r="F70" t="s">
        <v>7249</v>
      </c>
      <c r="G70" s="5" t="str">
        <f t="shared" si="3"/>
        <v>ВИЗ</v>
      </c>
      <c r="J70" s="5"/>
      <c r="M70" s="20" t="s">
        <v>837</v>
      </c>
      <c r="N70" s="1" t="s">
        <v>566</v>
      </c>
      <c r="AF70" t="s">
        <v>7163</v>
      </c>
      <c r="AG70" s="24" t="s">
        <v>5304</v>
      </c>
      <c r="AH70" s="5" t="s">
        <v>7163</v>
      </c>
      <c r="AI70" s="5">
        <v>23004.362700000001</v>
      </c>
      <c r="AJ70" s="5">
        <v>23004.362700000001</v>
      </c>
      <c r="AK70">
        <v>21365.518100000001</v>
      </c>
      <c r="AL70" s="5" t="str">
        <f t="shared" si="4"/>
        <v>Артинский городской округ</v>
      </c>
    </row>
    <row r="71" spans="1:38" ht="15" customHeight="1" x14ac:dyDescent="0.25">
      <c r="A71" s="3" t="s">
        <v>171</v>
      </c>
      <c r="B71" s="3" t="s">
        <v>14</v>
      </c>
      <c r="C71" s="5">
        <v>93989.912800000006</v>
      </c>
      <c r="D71" s="5">
        <v>93989.912800000006</v>
      </c>
      <c r="E71" s="5">
        <v>85109.545199999993</v>
      </c>
      <c r="F71" t="s">
        <v>7249</v>
      </c>
      <c r="G71" s="5" t="str">
        <f t="shared" si="3"/>
        <v>Центр</v>
      </c>
      <c r="J71" s="5"/>
      <c r="M71" s="2" t="s">
        <v>80</v>
      </c>
      <c r="N71" s="14" t="s">
        <v>1646</v>
      </c>
      <c r="AF71" t="s">
        <v>7163</v>
      </c>
      <c r="AG71" s="24" t="s">
        <v>5305</v>
      </c>
      <c r="AH71" s="5" t="s">
        <v>7163</v>
      </c>
      <c r="AI71" s="5">
        <v>23004.362700000001</v>
      </c>
      <c r="AJ71" s="5">
        <v>23004.362700000001</v>
      </c>
      <c r="AK71">
        <v>21365.518100000001</v>
      </c>
      <c r="AL71" s="5" t="str">
        <f t="shared" si="4"/>
        <v>Артинский городской округ</v>
      </c>
    </row>
    <row r="72" spans="1:38" ht="15" customHeight="1" x14ac:dyDescent="0.25">
      <c r="A72" s="3" t="s">
        <v>172</v>
      </c>
      <c r="B72" s="3" t="s">
        <v>1643</v>
      </c>
      <c r="C72" s="5">
        <v>76630.280299999999</v>
      </c>
      <c r="D72" s="5">
        <v>76630.280299999999</v>
      </c>
      <c r="E72" s="5">
        <v>69390.088799999998</v>
      </c>
      <c r="F72" t="s">
        <v>7249</v>
      </c>
      <c r="G72" s="5" t="str">
        <f t="shared" si="3"/>
        <v>Ю-З</v>
      </c>
      <c r="J72" s="5"/>
      <c r="AF72" t="s">
        <v>7163</v>
      </c>
      <c r="AG72" s="24" t="s">
        <v>5306</v>
      </c>
      <c r="AH72" s="5" t="s">
        <v>7163</v>
      </c>
      <c r="AI72" s="5">
        <v>23004.362700000001</v>
      </c>
      <c r="AJ72" s="5">
        <v>23004.362700000001</v>
      </c>
      <c r="AK72">
        <v>21365.518100000001</v>
      </c>
      <c r="AL72" s="5" t="str">
        <f t="shared" si="4"/>
        <v>Артинский городской округ</v>
      </c>
    </row>
    <row r="73" spans="1:38" ht="15" customHeight="1" x14ac:dyDescent="0.25">
      <c r="A73" s="3" t="s">
        <v>178</v>
      </c>
      <c r="B73" s="3" t="s">
        <v>1630</v>
      </c>
      <c r="C73" s="5">
        <v>62652.9401</v>
      </c>
      <c r="D73" s="5">
        <v>62652.9401</v>
      </c>
      <c r="E73" s="5">
        <v>56733.3557</v>
      </c>
      <c r="F73" t="s">
        <v>7249</v>
      </c>
      <c r="G73" s="5" t="str">
        <f t="shared" si="3"/>
        <v>ЧЕРМЕТ</v>
      </c>
      <c r="J73" s="5"/>
      <c r="AF73" t="s">
        <v>7163</v>
      </c>
      <c r="AG73" s="24" t="s">
        <v>5307</v>
      </c>
      <c r="AH73" s="5" t="s">
        <v>7163</v>
      </c>
      <c r="AI73" s="5">
        <v>23004.362700000001</v>
      </c>
      <c r="AJ73" s="5">
        <v>23004.362700000001</v>
      </c>
      <c r="AK73">
        <v>21365.518100000001</v>
      </c>
      <c r="AL73" s="5" t="str">
        <f t="shared" si="4"/>
        <v>Артинский городской округ</v>
      </c>
    </row>
    <row r="74" spans="1:38" ht="15" customHeight="1" x14ac:dyDescent="0.25">
      <c r="A74" s="3" t="s">
        <v>179</v>
      </c>
      <c r="B74" s="3" t="s">
        <v>1633</v>
      </c>
      <c r="C74" s="5">
        <v>77071.442599999995</v>
      </c>
      <c r="D74" s="5">
        <v>77071.442599999995</v>
      </c>
      <c r="E74" s="5">
        <v>69789.570900000006</v>
      </c>
      <c r="F74" t="s">
        <v>7249</v>
      </c>
      <c r="G74" s="5" t="str">
        <f t="shared" si="3"/>
        <v>ВТУЗГОРОДОК</v>
      </c>
      <c r="J74" s="5"/>
      <c r="AF74" t="s">
        <v>7163</v>
      </c>
      <c r="AG74" s="24" t="s">
        <v>5308</v>
      </c>
      <c r="AH74" s="5" t="s">
        <v>7163</v>
      </c>
      <c r="AI74" s="5">
        <v>23004.362700000001</v>
      </c>
      <c r="AJ74" s="5">
        <v>23004.362700000001</v>
      </c>
      <c r="AK74">
        <v>21365.518100000001</v>
      </c>
      <c r="AL74" s="5" t="str">
        <f t="shared" si="4"/>
        <v>Артинский городской округ</v>
      </c>
    </row>
    <row r="75" spans="1:38" ht="15" customHeight="1" x14ac:dyDescent="0.25">
      <c r="A75" s="3" t="s">
        <v>180</v>
      </c>
      <c r="B75" s="3" t="s">
        <v>1631</v>
      </c>
      <c r="C75" s="5">
        <v>70026.7601</v>
      </c>
      <c r="D75" s="5">
        <v>70026.7601</v>
      </c>
      <c r="E75" s="5">
        <v>63410.482000000004</v>
      </c>
      <c r="F75" t="s">
        <v>7249</v>
      </c>
      <c r="G75" s="5" t="str">
        <f t="shared" si="3"/>
        <v>УРАЛМАШ</v>
      </c>
      <c r="J75" s="5"/>
      <c r="AF75" t="s">
        <v>7163</v>
      </c>
      <c r="AG75" s="24" t="s">
        <v>5309</v>
      </c>
      <c r="AH75" s="5" t="s">
        <v>7163</v>
      </c>
      <c r="AI75" s="5">
        <v>23580.588400000001</v>
      </c>
      <c r="AJ75" s="5">
        <v>23580.588400000001</v>
      </c>
      <c r="AK75">
        <v>21900.693200000002</v>
      </c>
      <c r="AL75" s="5" t="str">
        <f t="shared" si="4"/>
        <v>Артинский городской округ</v>
      </c>
    </row>
    <row r="76" spans="1:38" ht="15" customHeight="1" x14ac:dyDescent="0.25">
      <c r="A76" s="3" t="s">
        <v>181</v>
      </c>
      <c r="B76" s="3" t="s">
        <v>1630</v>
      </c>
      <c r="C76" s="5">
        <v>62652.9401</v>
      </c>
      <c r="D76" s="5">
        <v>62652.9401</v>
      </c>
      <c r="E76" s="5">
        <v>56733.3557</v>
      </c>
      <c r="F76" t="s">
        <v>7249</v>
      </c>
      <c r="G76" s="5" t="str">
        <f t="shared" si="3"/>
        <v>ЧЕРМЕТ</v>
      </c>
      <c r="J76" s="5"/>
      <c r="AF76" t="s">
        <v>7163</v>
      </c>
      <c r="AG76" s="24" t="s">
        <v>5310</v>
      </c>
      <c r="AH76" s="5" t="s">
        <v>7163</v>
      </c>
      <c r="AI76" s="5">
        <v>23004.362700000001</v>
      </c>
      <c r="AJ76" s="5">
        <v>23004.362700000001</v>
      </c>
      <c r="AK76">
        <v>21365.518100000001</v>
      </c>
      <c r="AL76" s="5" t="str">
        <f t="shared" si="4"/>
        <v>Артинский городской округ</v>
      </c>
    </row>
    <row r="77" spans="1:38" ht="15" customHeight="1" x14ac:dyDescent="0.25">
      <c r="A77" s="3" t="s">
        <v>185</v>
      </c>
      <c r="B77" s="3" t="s">
        <v>1630</v>
      </c>
      <c r="C77" s="5">
        <v>62652.9401</v>
      </c>
      <c r="D77" s="5">
        <v>62652.9401</v>
      </c>
      <c r="E77" s="5">
        <v>56733.3557</v>
      </c>
      <c r="F77" t="s">
        <v>7249</v>
      </c>
      <c r="G77" s="5" t="str">
        <f t="shared" si="3"/>
        <v>ЧЕРМЕТ</v>
      </c>
      <c r="J77" s="5"/>
      <c r="AF77" t="s">
        <v>7163</v>
      </c>
      <c r="AG77" s="24" t="s">
        <v>5311</v>
      </c>
      <c r="AH77" s="5" t="s">
        <v>7163</v>
      </c>
      <c r="AI77" s="5">
        <v>23580.588400000001</v>
      </c>
      <c r="AJ77" s="5">
        <v>23580.588400000001</v>
      </c>
      <c r="AK77">
        <v>21900.693200000002</v>
      </c>
      <c r="AL77" s="5" t="str">
        <f t="shared" si="4"/>
        <v>Артинский городской округ</v>
      </c>
    </row>
    <row r="78" spans="1:38" ht="15" customHeight="1" x14ac:dyDescent="0.25">
      <c r="A78" s="3" t="s">
        <v>186</v>
      </c>
      <c r="B78" s="3" t="s">
        <v>1646</v>
      </c>
      <c r="C78" s="5">
        <v>61763.596599999997</v>
      </c>
      <c r="D78" s="5">
        <v>61763.596599999997</v>
      </c>
      <c r="E78" s="5">
        <v>55928.0435</v>
      </c>
      <c r="F78" t="s">
        <v>7249</v>
      </c>
      <c r="G78" s="5" t="str">
        <f t="shared" si="3"/>
        <v>АКАДЕМИЧЕСКИЙ</v>
      </c>
      <c r="J78" s="5"/>
      <c r="AF78" t="s">
        <v>7163</v>
      </c>
      <c r="AG78" s="24" t="s">
        <v>5312</v>
      </c>
      <c r="AH78" s="5" t="s">
        <v>7163</v>
      </c>
      <c r="AI78" s="5">
        <v>23004.362700000001</v>
      </c>
      <c r="AJ78" s="5">
        <v>23004.362700000001</v>
      </c>
      <c r="AK78">
        <v>21365.518100000001</v>
      </c>
      <c r="AL78" s="5" t="str">
        <f t="shared" si="4"/>
        <v>Артинский городской округ</v>
      </c>
    </row>
    <row r="79" spans="1:38" ht="15" customHeight="1" x14ac:dyDescent="0.25">
      <c r="A79" s="3" t="s">
        <v>187</v>
      </c>
      <c r="B79" s="3" t="s">
        <v>1632</v>
      </c>
      <c r="C79" s="5">
        <v>83744.997499999998</v>
      </c>
      <c r="D79" s="5">
        <v>83744.997499999998</v>
      </c>
      <c r="E79" s="5">
        <v>75832.596099999995</v>
      </c>
      <c r="F79" t="s">
        <v>7249</v>
      </c>
      <c r="G79" s="5" t="str">
        <f t="shared" si="3"/>
        <v>АВТОВОКЗАЛ</v>
      </c>
      <c r="J79" s="5"/>
      <c r="AF79" t="s">
        <v>7163</v>
      </c>
      <c r="AG79" s="24" t="s">
        <v>5313</v>
      </c>
      <c r="AH79" s="5" t="s">
        <v>7163</v>
      </c>
      <c r="AI79" s="5">
        <v>23004.362700000001</v>
      </c>
      <c r="AJ79" s="5">
        <v>23004.362700000001</v>
      </c>
      <c r="AK79">
        <v>21365.518100000001</v>
      </c>
      <c r="AL79" s="5" t="str">
        <f t="shared" si="4"/>
        <v>Артинский городской округ</v>
      </c>
    </row>
    <row r="80" spans="1:38" ht="15" customHeight="1" x14ac:dyDescent="0.25">
      <c r="A80" s="3" t="s">
        <v>188</v>
      </c>
      <c r="B80" s="3" t="s">
        <v>1638</v>
      </c>
      <c r="C80" s="5">
        <v>63640.311600000001</v>
      </c>
      <c r="D80" s="5">
        <v>63640.311600000001</v>
      </c>
      <c r="E80" s="5">
        <v>57627.4473</v>
      </c>
      <c r="F80" t="s">
        <v>7249</v>
      </c>
      <c r="G80" s="5" t="str">
        <f t="shared" si="3"/>
        <v>УКТУС</v>
      </c>
      <c r="J80" s="5"/>
      <c r="AF80" t="s">
        <v>7163</v>
      </c>
      <c r="AG80" s="24" t="s">
        <v>5314</v>
      </c>
      <c r="AH80" s="5" t="s">
        <v>7163</v>
      </c>
      <c r="AI80" s="5">
        <v>23004.362700000001</v>
      </c>
      <c r="AJ80" s="5">
        <v>23004.362700000001</v>
      </c>
      <c r="AK80">
        <v>21365.518100000001</v>
      </c>
      <c r="AL80" s="5" t="str">
        <f t="shared" si="4"/>
        <v>Артинский городской округ</v>
      </c>
    </row>
    <row r="81" spans="1:38" ht="15" customHeight="1" x14ac:dyDescent="0.25">
      <c r="A81" s="3" t="s">
        <v>190</v>
      </c>
      <c r="B81" s="3" t="s">
        <v>1631</v>
      </c>
      <c r="C81" s="5">
        <v>70026.7601</v>
      </c>
      <c r="D81" s="5">
        <v>70026.7601</v>
      </c>
      <c r="E81" s="5">
        <v>63410.482000000004</v>
      </c>
      <c r="F81" t="s">
        <v>7249</v>
      </c>
      <c r="G81" s="5" t="str">
        <f t="shared" si="3"/>
        <v>УРАЛМАШ</v>
      </c>
      <c r="J81" s="5"/>
      <c r="AF81" t="s">
        <v>7163</v>
      </c>
      <c r="AG81" s="24" t="s">
        <v>5315</v>
      </c>
      <c r="AH81" s="5" t="s">
        <v>7163</v>
      </c>
      <c r="AI81" s="5">
        <v>23004.362700000001</v>
      </c>
      <c r="AJ81" s="5">
        <v>23004.362700000001</v>
      </c>
      <c r="AK81">
        <v>21365.518100000001</v>
      </c>
      <c r="AL81" s="5" t="str">
        <f t="shared" si="4"/>
        <v>Артинский городской округ</v>
      </c>
    </row>
    <row r="82" spans="1:38" ht="15" customHeight="1" x14ac:dyDescent="0.25">
      <c r="A82" s="3" t="s">
        <v>192</v>
      </c>
      <c r="B82" s="3" t="s">
        <v>1647</v>
      </c>
      <c r="C82" s="5">
        <v>63178.133800000003</v>
      </c>
      <c r="D82" s="5">
        <v>63178.133800000003</v>
      </c>
      <c r="E82" s="5">
        <v>57208.931499999999</v>
      </c>
      <c r="F82" t="s">
        <v>7249</v>
      </c>
      <c r="G82" s="5" t="str">
        <f t="shared" si="3"/>
        <v>ШИРОКАЯ РЕЧКА</v>
      </c>
      <c r="J82" s="5"/>
      <c r="AF82" t="s">
        <v>7163</v>
      </c>
      <c r="AG82" s="24" t="s">
        <v>5316</v>
      </c>
      <c r="AH82" s="5" t="s">
        <v>7163</v>
      </c>
      <c r="AI82" s="5">
        <v>23004.362700000001</v>
      </c>
      <c r="AJ82" s="5">
        <v>23004.362700000001</v>
      </c>
      <c r="AK82">
        <v>21365.518100000001</v>
      </c>
      <c r="AL82" s="5" t="str">
        <f t="shared" si="4"/>
        <v>Артинский городской округ</v>
      </c>
    </row>
    <row r="83" spans="1:38" ht="15" customHeight="1" x14ac:dyDescent="0.25">
      <c r="A83" s="3" t="s">
        <v>201</v>
      </c>
      <c r="B83" s="3" t="s">
        <v>1648</v>
      </c>
      <c r="C83" s="5">
        <v>49782.025399999999</v>
      </c>
      <c r="D83" s="5">
        <v>49782.025399999999</v>
      </c>
      <c r="E83" s="5">
        <v>45078.506800000003</v>
      </c>
      <c r="F83" t="s">
        <v>7249</v>
      </c>
      <c r="G83" s="5" t="str">
        <f t="shared" si="3"/>
        <v>ЧУСОВСКОЕ ОЗЕРО</v>
      </c>
      <c r="J83" s="5"/>
      <c r="AF83" t="s">
        <v>7163</v>
      </c>
      <c r="AG83" s="24" t="s">
        <v>5317</v>
      </c>
      <c r="AH83" s="5" t="s">
        <v>7163</v>
      </c>
      <c r="AI83" s="5">
        <v>23004.362700000001</v>
      </c>
      <c r="AJ83" s="5">
        <v>23004.362700000001</v>
      </c>
      <c r="AK83">
        <v>21365.518100000001</v>
      </c>
      <c r="AL83" s="5" t="str">
        <f t="shared" si="4"/>
        <v>Артинский городской округ</v>
      </c>
    </row>
    <row r="84" spans="1:38" ht="15" customHeight="1" x14ac:dyDescent="0.25">
      <c r="A84" s="3" t="s">
        <v>203</v>
      </c>
      <c r="B84" s="3" t="s">
        <v>1633</v>
      </c>
      <c r="C84" s="5">
        <v>77071.442599999995</v>
      </c>
      <c r="D84" s="5">
        <v>77071.442599999995</v>
      </c>
      <c r="E84" s="5">
        <v>69789.570900000006</v>
      </c>
      <c r="F84" t="s">
        <v>7249</v>
      </c>
      <c r="G84" s="5" t="str">
        <f t="shared" si="3"/>
        <v>ВТУЗГОРОДОК</v>
      </c>
      <c r="J84" s="5"/>
      <c r="AF84" t="s">
        <v>7163</v>
      </c>
      <c r="AG84" s="24" t="s">
        <v>5318</v>
      </c>
      <c r="AH84" s="5" t="s">
        <v>7163</v>
      </c>
      <c r="AI84" s="5">
        <v>23004.362700000001</v>
      </c>
      <c r="AJ84" s="5">
        <v>23004.362700000001</v>
      </c>
      <c r="AK84">
        <v>21365.518100000001</v>
      </c>
      <c r="AL84" s="5" t="str">
        <f t="shared" si="4"/>
        <v>Артинский городской округ</v>
      </c>
    </row>
    <row r="85" spans="1:38" ht="15" customHeight="1" x14ac:dyDescent="0.25">
      <c r="A85" s="3" t="s">
        <v>208</v>
      </c>
      <c r="B85" s="3" t="s">
        <v>209</v>
      </c>
      <c r="C85" s="5">
        <v>69382.512499999997</v>
      </c>
      <c r="D85" s="5">
        <v>69382.512499999997</v>
      </c>
      <c r="E85" s="5">
        <v>62827.103199999998</v>
      </c>
      <c r="F85" t="s">
        <v>7249</v>
      </c>
      <c r="G85" s="5" t="str">
        <f t="shared" si="3"/>
        <v>ЖБИ</v>
      </c>
      <c r="J85" s="5"/>
      <c r="AF85" t="s">
        <v>7163</v>
      </c>
      <c r="AG85" s="24" t="s">
        <v>5319</v>
      </c>
      <c r="AH85" s="5" t="s">
        <v>7163</v>
      </c>
      <c r="AI85" s="5">
        <v>23004.362700000001</v>
      </c>
      <c r="AJ85" s="5">
        <v>23004.362700000001</v>
      </c>
      <c r="AK85">
        <v>21365.518100000001</v>
      </c>
      <c r="AL85" s="5" t="str">
        <f t="shared" si="4"/>
        <v>Артинский городской округ</v>
      </c>
    </row>
    <row r="86" spans="1:38" ht="15" customHeight="1" x14ac:dyDescent="0.25">
      <c r="A86" s="3" t="s">
        <v>210</v>
      </c>
      <c r="B86" s="3" t="s">
        <v>1644</v>
      </c>
      <c r="C86" s="5">
        <v>61980.678599999999</v>
      </c>
      <c r="D86" s="5">
        <v>61980.678599999999</v>
      </c>
      <c r="E86" s="5">
        <v>56124.615700000002</v>
      </c>
      <c r="F86" t="s">
        <v>7249</v>
      </c>
      <c r="G86" s="5" t="str">
        <f t="shared" si="3"/>
        <v>ХИММАШ</v>
      </c>
      <c r="J86" s="5"/>
      <c r="AF86" t="s">
        <v>7163</v>
      </c>
      <c r="AG86" s="24" t="s">
        <v>5320</v>
      </c>
      <c r="AH86" s="5" t="s">
        <v>7163</v>
      </c>
      <c r="AI86" s="5">
        <v>23004.362700000001</v>
      </c>
      <c r="AJ86" s="5">
        <v>23004.362700000001</v>
      </c>
      <c r="AK86">
        <v>21365.518100000001</v>
      </c>
      <c r="AL86" s="5" t="str">
        <f t="shared" si="4"/>
        <v>Артинский городской округ</v>
      </c>
    </row>
    <row r="87" spans="1:38" ht="15" customHeight="1" x14ac:dyDescent="0.25">
      <c r="A87" s="3" t="s">
        <v>211</v>
      </c>
      <c r="B87" s="3" t="s">
        <v>1649</v>
      </c>
      <c r="C87" s="5">
        <v>78633.047600000005</v>
      </c>
      <c r="D87" s="5">
        <v>78633.047600000005</v>
      </c>
      <c r="E87" s="5">
        <v>71203.623000000007</v>
      </c>
      <c r="F87" t="s">
        <v>7249</v>
      </c>
      <c r="G87" s="5" t="str">
        <f t="shared" si="3"/>
        <v>ВОКЗАЛЬНЫЙ</v>
      </c>
      <c r="J87" s="5"/>
      <c r="AF87" t="s">
        <v>7163</v>
      </c>
      <c r="AG87" s="24" t="s">
        <v>5321</v>
      </c>
      <c r="AH87" s="5" t="s">
        <v>7163</v>
      </c>
      <c r="AI87" s="5">
        <v>23004.362700000001</v>
      </c>
      <c r="AJ87" s="5">
        <v>23004.362700000001</v>
      </c>
      <c r="AK87">
        <v>21365.518100000001</v>
      </c>
      <c r="AL87" s="5" t="str">
        <f t="shared" si="4"/>
        <v>Артинский городской округ</v>
      </c>
    </row>
    <row r="88" spans="1:38" ht="15" customHeight="1" x14ac:dyDescent="0.25">
      <c r="A88" s="3" t="s">
        <v>212</v>
      </c>
      <c r="B88" s="3" t="s">
        <v>1632</v>
      </c>
      <c r="C88" s="5">
        <v>83744.997499999998</v>
      </c>
      <c r="D88" s="5">
        <v>83744.997499999998</v>
      </c>
      <c r="E88" s="5">
        <v>75832.596099999995</v>
      </c>
      <c r="F88" t="s">
        <v>7249</v>
      </c>
      <c r="G88" s="5" t="str">
        <f t="shared" si="3"/>
        <v>АВТОВОКЗАЛ</v>
      </c>
      <c r="J88" s="5"/>
      <c r="AF88" t="s">
        <v>7163</v>
      </c>
      <c r="AG88" s="24" t="s">
        <v>5322</v>
      </c>
      <c r="AH88" s="5" t="s">
        <v>7163</v>
      </c>
      <c r="AI88" s="5">
        <v>23004.362700000001</v>
      </c>
      <c r="AJ88" s="5">
        <v>23004.362700000001</v>
      </c>
      <c r="AK88">
        <v>21365.518100000001</v>
      </c>
      <c r="AL88" s="5" t="str">
        <f t="shared" si="4"/>
        <v>Артинский городской округ</v>
      </c>
    </row>
    <row r="89" spans="1:38" ht="15" customHeight="1" x14ac:dyDescent="0.25">
      <c r="A89" s="3" t="s">
        <v>213</v>
      </c>
      <c r="B89" s="3" t="s">
        <v>1630</v>
      </c>
      <c r="C89" s="5">
        <v>62652.9401</v>
      </c>
      <c r="D89" s="5">
        <v>62652.9401</v>
      </c>
      <c r="E89" s="5">
        <v>56733.3557</v>
      </c>
      <c r="F89" t="s">
        <v>7249</v>
      </c>
      <c r="G89" s="5" t="str">
        <f t="shared" si="3"/>
        <v>ЧЕРМЕТ</v>
      </c>
      <c r="J89" s="5"/>
      <c r="AF89" t="s">
        <v>7163</v>
      </c>
      <c r="AG89" s="24" t="s">
        <v>5323</v>
      </c>
      <c r="AH89" s="5" t="s">
        <v>7163</v>
      </c>
      <c r="AI89" s="5">
        <v>23004.362700000001</v>
      </c>
      <c r="AJ89" s="5">
        <v>23004.362700000001</v>
      </c>
      <c r="AK89">
        <v>21365.518100000001</v>
      </c>
      <c r="AL89" s="5" t="str">
        <f t="shared" si="4"/>
        <v>Артинский городской округ</v>
      </c>
    </row>
    <row r="90" spans="1:38" ht="15" customHeight="1" x14ac:dyDescent="0.25">
      <c r="A90" s="3" t="s">
        <v>214</v>
      </c>
      <c r="B90" s="3" t="s">
        <v>1632</v>
      </c>
      <c r="C90" s="5">
        <v>83744.997499999998</v>
      </c>
      <c r="D90" s="5">
        <v>83744.997499999998</v>
      </c>
      <c r="E90" s="5">
        <v>75832.596099999995</v>
      </c>
      <c r="F90" t="s">
        <v>7249</v>
      </c>
      <c r="G90" s="5" t="str">
        <f t="shared" si="3"/>
        <v>АВТОВОКЗАЛ</v>
      </c>
      <c r="J90" s="5"/>
      <c r="AF90" t="s">
        <v>7163</v>
      </c>
      <c r="AG90" s="24" t="s">
        <v>5324</v>
      </c>
      <c r="AH90" s="5" t="s">
        <v>7163</v>
      </c>
      <c r="AI90" s="5">
        <v>23004.362700000001</v>
      </c>
      <c r="AJ90" s="5">
        <v>23004.362700000001</v>
      </c>
      <c r="AK90">
        <v>21365.518100000001</v>
      </c>
      <c r="AL90" s="5" t="str">
        <f t="shared" si="4"/>
        <v>Артинский городской округ</v>
      </c>
    </row>
    <row r="91" spans="1:38" ht="15" customHeight="1" x14ac:dyDescent="0.25">
      <c r="A91" s="3" t="s">
        <v>216</v>
      </c>
      <c r="B91" s="3" t="s">
        <v>14</v>
      </c>
      <c r="C91" s="5">
        <v>93989.912800000006</v>
      </c>
      <c r="D91" s="5">
        <v>93989.912800000006</v>
      </c>
      <c r="E91" s="5">
        <v>85109.545199999993</v>
      </c>
      <c r="F91" t="s">
        <v>7249</v>
      </c>
      <c r="G91" s="5" t="str">
        <f t="shared" si="3"/>
        <v>Центр</v>
      </c>
      <c r="J91" s="5"/>
      <c r="AF91" t="s">
        <v>7163</v>
      </c>
      <c r="AG91" s="24" t="s">
        <v>5325</v>
      </c>
      <c r="AH91" s="5" t="s">
        <v>7163</v>
      </c>
      <c r="AI91" s="5">
        <v>23004.362700000001</v>
      </c>
      <c r="AJ91" s="5">
        <v>23004.362700000001</v>
      </c>
      <c r="AK91">
        <v>21365.518100000001</v>
      </c>
      <c r="AL91" s="5" t="str">
        <f t="shared" si="4"/>
        <v>Артинский городской округ</v>
      </c>
    </row>
    <row r="92" spans="1:38" ht="15" customHeight="1" x14ac:dyDescent="0.25">
      <c r="A92" s="3" t="s">
        <v>217</v>
      </c>
      <c r="B92" s="3" t="s">
        <v>1631</v>
      </c>
      <c r="C92" s="5">
        <v>70026.7601</v>
      </c>
      <c r="D92" s="5">
        <v>70026.7601</v>
      </c>
      <c r="E92" s="5">
        <v>63410.482000000004</v>
      </c>
      <c r="F92" t="s">
        <v>7249</v>
      </c>
      <c r="G92" s="5" t="str">
        <f t="shared" si="3"/>
        <v>УРАЛМАШ</v>
      </c>
      <c r="J92" s="5"/>
      <c r="AF92" t="s">
        <v>7163</v>
      </c>
      <c r="AG92" s="24" t="s">
        <v>5326</v>
      </c>
      <c r="AH92" s="5" t="s">
        <v>7163</v>
      </c>
      <c r="AI92" s="5">
        <v>23004.362700000001</v>
      </c>
      <c r="AJ92" s="5">
        <v>23004.362700000001</v>
      </c>
      <c r="AK92">
        <v>21365.518100000001</v>
      </c>
      <c r="AL92" s="5" t="str">
        <f t="shared" si="4"/>
        <v>Артинский городской округ</v>
      </c>
    </row>
    <row r="93" spans="1:38" ht="15" customHeight="1" x14ac:dyDescent="0.25">
      <c r="A93" s="3" t="s">
        <v>218</v>
      </c>
      <c r="B93" s="3" t="s">
        <v>1631</v>
      </c>
      <c r="C93" s="5">
        <v>70026.7601</v>
      </c>
      <c r="D93" s="5">
        <v>70026.7601</v>
      </c>
      <c r="E93" s="5">
        <v>63410.482000000004</v>
      </c>
      <c r="F93" t="s">
        <v>7249</v>
      </c>
      <c r="G93" s="5" t="str">
        <f t="shared" si="3"/>
        <v>УРАЛМАШ</v>
      </c>
      <c r="J93" s="5"/>
      <c r="AF93" t="s">
        <v>7163</v>
      </c>
      <c r="AG93" s="24" t="s">
        <v>5327</v>
      </c>
      <c r="AH93" s="5" t="s">
        <v>7163</v>
      </c>
      <c r="AI93" s="5">
        <v>23004.362700000001</v>
      </c>
      <c r="AJ93" s="5">
        <v>23004.362700000001</v>
      </c>
      <c r="AK93">
        <v>21365.518100000001</v>
      </c>
      <c r="AL93" s="5" t="str">
        <f t="shared" si="4"/>
        <v>Артинский городской округ</v>
      </c>
    </row>
    <row r="94" spans="1:38" ht="15" customHeight="1" x14ac:dyDescent="0.25">
      <c r="A94" s="3" t="s">
        <v>220</v>
      </c>
      <c r="B94" s="3" t="s">
        <v>33</v>
      </c>
      <c r="C94" s="5">
        <v>84298.205100000006</v>
      </c>
      <c r="D94" s="5">
        <v>84298.205100000006</v>
      </c>
      <c r="E94" s="5">
        <v>76333.533100000001</v>
      </c>
      <c r="F94" t="s">
        <v>7249</v>
      </c>
      <c r="G94" s="5" t="str">
        <f t="shared" si="3"/>
        <v>ВИЗ</v>
      </c>
      <c r="J94" s="5"/>
      <c r="AF94" t="s">
        <v>7163</v>
      </c>
      <c r="AG94" s="24" t="s">
        <v>5328</v>
      </c>
      <c r="AH94" s="5" t="s">
        <v>7163</v>
      </c>
      <c r="AI94" s="5">
        <v>23004.362700000001</v>
      </c>
      <c r="AJ94" s="5">
        <v>23004.362700000001</v>
      </c>
      <c r="AK94">
        <v>21365.518100000001</v>
      </c>
      <c r="AL94" s="5" t="str">
        <f t="shared" si="4"/>
        <v>Артинский городской округ</v>
      </c>
    </row>
    <row r="95" spans="1:38" ht="15" customHeight="1" x14ac:dyDescent="0.25">
      <c r="A95" s="3" t="s">
        <v>221</v>
      </c>
      <c r="B95" s="3" t="s">
        <v>1632</v>
      </c>
      <c r="C95" s="5">
        <v>83744.997499999998</v>
      </c>
      <c r="D95" s="5">
        <v>83744.997499999998</v>
      </c>
      <c r="E95" s="5">
        <v>75832.596099999995</v>
      </c>
      <c r="F95" t="s">
        <v>7249</v>
      </c>
      <c r="G95" s="5" t="str">
        <f t="shared" si="3"/>
        <v>АВТОВОКЗАЛ</v>
      </c>
      <c r="J95" s="5"/>
      <c r="AF95" t="s">
        <v>7164</v>
      </c>
      <c r="AG95" s="24" t="s">
        <v>5329</v>
      </c>
      <c r="AH95" s="5" t="s">
        <v>7164</v>
      </c>
      <c r="AI95" s="5">
        <v>20619.7536</v>
      </c>
      <c r="AJ95" s="5">
        <v>20619.7536</v>
      </c>
      <c r="AK95">
        <v>20208.969000000001</v>
      </c>
      <c r="AL95" s="5" t="str">
        <f t="shared" si="4"/>
        <v>Асбестовский городской округ</v>
      </c>
    </row>
    <row r="96" spans="1:38" ht="15" customHeight="1" x14ac:dyDescent="0.25">
      <c r="A96" s="3" t="s">
        <v>222</v>
      </c>
      <c r="B96" s="3" t="s">
        <v>1650</v>
      </c>
      <c r="C96" s="5">
        <v>37590.3603</v>
      </c>
      <c r="D96" s="5">
        <v>37590.3603</v>
      </c>
      <c r="E96" s="5">
        <v>34038.745900000002</v>
      </c>
      <c r="F96" t="s">
        <v>7249</v>
      </c>
      <c r="G96" s="5" t="str">
        <f t="shared" si="3"/>
        <v>ШАБРОВСКИЙ</v>
      </c>
      <c r="J96" s="5"/>
      <c r="AF96" t="s">
        <v>7164</v>
      </c>
      <c r="AG96" s="24" t="s">
        <v>5330</v>
      </c>
      <c r="AH96" s="5" t="s">
        <v>7164</v>
      </c>
      <c r="AI96" s="5">
        <v>27618.038700000001</v>
      </c>
      <c r="AJ96" s="5">
        <v>27618.038700000001</v>
      </c>
      <c r="AK96">
        <v>27067.834800000001</v>
      </c>
      <c r="AL96" s="5" t="str">
        <f t="shared" si="4"/>
        <v>Асбестовский городской округ</v>
      </c>
    </row>
    <row r="97" spans="1:38" ht="15" customHeight="1" x14ac:dyDescent="0.25">
      <c r="A97" s="3" t="s">
        <v>223</v>
      </c>
      <c r="B97" s="3" t="s">
        <v>14</v>
      </c>
      <c r="C97" s="5">
        <v>93989.912800000006</v>
      </c>
      <c r="D97" s="5">
        <v>93989.912800000006</v>
      </c>
      <c r="E97" s="5">
        <v>85109.545199999993</v>
      </c>
      <c r="F97" t="s">
        <v>7249</v>
      </c>
      <c r="G97" s="5" t="str">
        <f t="shared" si="3"/>
        <v>Центр</v>
      </c>
      <c r="J97" s="5"/>
      <c r="AF97" t="s">
        <v>7164</v>
      </c>
      <c r="AG97" s="24" t="s">
        <v>5331</v>
      </c>
      <c r="AH97" s="5" t="s">
        <v>7164</v>
      </c>
      <c r="AI97" s="5">
        <v>22859.390200000002</v>
      </c>
      <c r="AJ97" s="5">
        <v>22859.390200000002</v>
      </c>
      <c r="AK97">
        <v>22403.9836</v>
      </c>
      <c r="AL97" s="5" t="str">
        <f t="shared" si="4"/>
        <v>Асбестовский городской округ</v>
      </c>
    </row>
    <row r="98" spans="1:38" ht="15" customHeight="1" x14ac:dyDescent="0.25">
      <c r="A98" s="3" t="s">
        <v>227</v>
      </c>
      <c r="B98" s="3" t="s">
        <v>1650</v>
      </c>
      <c r="C98" s="5">
        <v>37590.3603</v>
      </c>
      <c r="D98" s="5">
        <v>37590.3603</v>
      </c>
      <c r="E98" s="5">
        <v>34038.745900000002</v>
      </c>
      <c r="F98" t="s">
        <v>7249</v>
      </c>
      <c r="G98" s="5" t="str">
        <f t="shared" si="3"/>
        <v>ШАБРОВСКИЙ</v>
      </c>
      <c r="J98" s="5"/>
      <c r="AF98" t="s">
        <v>7164</v>
      </c>
      <c r="AG98" s="24" t="s">
        <v>5332</v>
      </c>
      <c r="AH98" s="5" t="s">
        <v>7164</v>
      </c>
      <c r="AI98" s="5">
        <v>20619.7536</v>
      </c>
      <c r="AJ98" s="5">
        <v>20619.7536</v>
      </c>
      <c r="AK98">
        <v>20208.969000000001</v>
      </c>
      <c r="AL98" s="5" t="str">
        <f t="shared" si="4"/>
        <v>Асбестовский городской округ</v>
      </c>
    </row>
    <row r="99" spans="1:38" ht="15" customHeight="1" x14ac:dyDescent="0.25">
      <c r="A99" s="3" t="s">
        <v>228</v>
      </c>
      <c r="B99" s="3" t="s">
        <v>1639</v>
      </c>
      <c r="C99" s="5">
        <v>53500.443299999999</v>
      </c>
      <c r="D99" s="5">
        <v>53500.443299999999</v>
      </c>
      <c r="E99" s="5">
        <v>48445.605100000001</v>
      </c>
      <c r="F99" t="s">
        <v>7249</v>
      </c>
      <c r="G99" s="5" t="str">
        <f t="shared" si="3"/>
        <v>ИСТОК</v>
      </c>
      <c r="J99" s="5"/>
      <c r="AF99" t="s">
        <v>7165</v>
      </c>
      <c r="AG99" s="24" t="s">
        <v>5333</v>
      </c>
      <c r="AH99" s="5" t="s">
        <v>7165</v>
      </c>
      <c r="AI99" s="5">
        <v>26363.709200000001</v>
      </c>
      <c r="AJ99" s="5">
        <v>26363.709200000001</v>
      </c>
      <c r="AK99">
        <v>24485.538700000001</v>
      </c>
      <c r="AL99" s="5" t="str">
        <f t="shared" si="4"/>
        <v>Ачитский городской округ</v>
      </c>
    </row>
    <row r="100" spans="1:38" ht="15" customHeight="1" x14ac:dyDescent="0.25">
      <c r="A100" s="3" t="s">
        <v>229</v>
      </c>
      <c r="B100" s="3" t="s">
        <v>209</v>
      </c>
      <c r="C100" s="5">
        <v>69382.512499999997</v>
      </c>
      <c r="D100" s="5">
        <v>69382.512499999997</v>
      </c>
      <c r="E100" s="5">
        <v>62827.103199999998</v>
      </c>
      <c r="F100" t="s">
        <v>7249</v>
      </c>
      <c r="G100" s="5" t="str">
        <f t="shared" si="3"/>
        <v>ЖБИ</v>
      </c>
      <c r="J100" s="5"/>
      <c r="AF100" t="s">
        <v>7165</v>
      </c>
      <c r="AG100" s="24" t="s">
        <v>5334</v>
      </c>
      <c r="AH100" s="5" t="s">
        <v>7165</v>
      </c>
      <c r="AI100" s="5">
        <v>26363.709200000001</v>
      </c>
      <c r="AJ100" s="5">
        <v>26363.709200000001</v>
      </c>
      <c r="AK100">
        <v>24485.538700000001</v>
      </c>
      <c r="AL100" s="5" t="str">
        <f t="shared" si="4"/>
        <v>Ачитский городской округ</v>
      </c>
    </row>
    <row r="101" spans="1:38" ht="15" customHeight="1" x14ac:dyDescent="0.25">
      <c r="A101" s="3" t="s">
        <v>230</v>
      </c>
      <c r="B101" s="3" t="s">
        <v>1633</v>
      </c>
      <c r="C101" s="5">
        <v>77071.442599999995</v>
      </c>
      <c r="D101" s="5">
        <v>77071.442599999995</v>
      </c>
      <c r="E101" s="5">
        <v>69789.570900000006</v>
      </c>
      <c r="F101" t="s">
        <v>7249</v>
      </c>
      <c r="G101" s="5" t="str">
        <f t="shared" si="3"/>
        <v>ВТУЗГОРОДОК</v>
      </c>
      <c r="J101" s="5"/>
      <c r="AF101" t="s">
        <v>7165</v>
      </c>
      <c r="AG101" s="24" t="s">
        <v>5335</v>
      </c>
      <c r="AH101" s="5" t="s">
        <v>7165</v>
      </c>
      <c r="AI101" s="5">
        <v>26363.709200000001</v>
      </c>
      <c r="AJ101" s="5">
        <v>26363.709200000001</v>
      </c>
      <c r="AK101">
        <v>24485.538700000001</v>
      </c>
      <c r="AL101" s="5" t="str">
        <f t="shared" si="4"/>
        <v>Ачитский городской округ</v>
      </c>
    </row>
    <row r="102" spans="1:38" ht="15" customHeight="1" x14ac:dyDescent="0.25">
      <c r="A102" s="3" t="s">
        <v>231</v>
      </c>
      <c r="B102" s="3" t="s">
        <v>1651</v>
      </c>
      <c r="C102" s="5">
        <v>68129.029500000004</v>
      </c>
      <c r="D102" s="5">
        <v>68129.029500000004</v>
      </c>
      <c r="E102" s="5">
        <v>61692.054799999998</v>
      </c>
      <c r="F102" t="s">
        <v>7249</v>
      </c>
      <c r="G102" s="5" t="str">
        <f t="shared" si="3"/>
        <v>ШАРТАШ</v>
      </c>
      <c r="J102" s="5"/>
      <c r="AF102" t="s">
        <v>7165</v>
      </c>
      <c r="AG102" s="24" t="s">
        <v>5336</v>
      </c>
      <c r="AH102" s="5" t="s">
        <v>7165</v>
      </c>
      <c r="AI102" s="5">
        <v>26363.709200000001</v>
      </c>
      <c r="AJ102" s="5">
        <v>26363.709200000001</v>
      </c>
      <c r="AK102">
        <v>24485.538700000001</v>
      </c>
      <c r="AL102" s="5" t="str">
        <f t="shared" si="4"/>
        <v>Ачитский городской округ</v>
      </c>
    </row>
    <row r="103" spans="1:38" ht="15" customHeight="1" x14ac:dyDescent="0.25">
      <c r="A103" s="3" t="s">
        <v>232</v>
      </c>
      <c r="B103" s="3" t="s">
        <v>1651</v>
      </c>
      <c r="C103" s="5">
        <v>68129.029500000004</v>
      </c>
      <c r="D103" s="5">
        <v>68129.029500000004</v>
      </c>
      <c r="E103" s="5">
        <v>61692.054799999998</v>
      </c>
      <c r="F103" t="s">
        <v>7249</v>
      </c>
      <c r="G103" s="5" t="str">
        <f t="shared" si="3"/>
        <v>ШАРТАШ</v>
      </c>
      <c r="J103" s="5"/>
      <c r="AF103" t="s">
        <v>7165</v>
      </c>
      <c r="AG103" s="24" t="s">
        <v>5337</v>
      </c>
      <c r="AH103" s="5" t="s">
        <v>7165</v>
      </c>
      <c r="AI103" s="5">
        <v>26363.709200000001</v>
      </c>
      <c r="AJ103" s="5">
        <v>26363.709200000001</v>
      </c>
      <c r="AK103">
        <v>24485.538700000001</v>
      </c>
      <c r="AL103" s="5" t="str">
        <f t="shared" si="4"/>
        <v>Ачитский городской округ</v>
      </c>
    </row>
    <row r="104" spans="1:38" ht="15" customHeight="1" x14ac:dyDescent="0.25">
      <c r="A104" s="3" t="s">
        <v>233</v>
      </c>
      <c r="B104" s="3" t="s">
        <v>1636</v>
      </c>
      <c r="C104" s="5">
        <v>52246.960299999999</v>
      </c>
      <c r="D104" s="5">
        <v>52246.960299999999</v>
      </c>
      <c r="E104" s="5">
        <v>47310.556700000001</v>
      </c>
      <c r="F104" t="s">
        <v>7249</v>
      </c>
      <c r="G104" s="5" t="str">
        <f t="shared" si="3"/>
        <v>ГОРНЫЙ ЩИТ</v>
      </c>
      <c r="J104" s="5"/>
      <c r="AF104" t="s">
        <v>7165</v>
      </c>
      <c r="AG104" s="24" t="s">
        <v>5338</v>
      </c>
      <c r="AH104" s="5" t="s">
        <v>7165</v>
      </c>
      <c r="AI104" s="5">
        <v>32572.9702</v>
      </c>
      <c r="AJ104" s="5">
        <v>32572.9702</v>
      </c>
      <c r="AK104">
        <v>30252.450499999999</v>
      </c>
      <c r="AL104" s="5" t="str">
        <f t="shared" si="4"/>
        <v>Ачитский городской округ</v>
      </c>
    </row>
    <row r="105" spans="1:38" ht="15" customHeight="1" x14ac:dyDescent="0.25">
      <c r="A105" s="3" t="s">
        <v>234</v>
      </c>
      <c r="B105" s="3" t="s">
        <v>1631</v>
      </c>
      <c r="C105" s="5">
        <v>70026.7601</v>
      </c>
      <c r="D105" s="5">
        <v>70026.7601</v>
      </c>
      <c r="E105" s="5">
        <v>63410.482000000004</v>
      </c>
      <c r="F105" t="s">
        <v>7249</v>
      </c>
      <c r="G105" s="5" t="str">
        <f t="shared" si="3"/>
        <v>УРАЛМАШ</v>
      </c>
      <c r="J105" s="5"/>
      <c r="AF105" t="s">
        <v>7165</v>
      </c>
      <c r="AG105" s="24" t="s">
        <v>5339</v>
      </c>
      <c r="AH105" s="5" t="s">
        <v>7165</v>
      </c>
      <c r="AI105" s="5">
        <v>26363.709200000001</v>
      </c>
      <c r="AJ105" s="5">
        <v>26363.709200000001</v>
      </c>
      <c r="AK105">
        <v>24485.538700000001</v>
      </c>
      <c r="AL105" s="5" t="str">
        <f t="shared" si="4"/>
        <v>Ачитский городской округ</v>
      </c>
    </row>
    <row r="106" spans="1:38" ht="15" customHeight="1" x14ac:dyDescent="0.25">
      <c r="A106" s="3" t="s">
        <v>235</v>
      </c>
      <c r="B106" s="3" t="s">
        <v>14</v>
      </c>
      <c r="C106" s="5">
        <v>93989.912800000006</v>
      </c>
      <c r="D106" s="5">
        <v>93989.912800000006</v>
      </c>
      <c r="E106" s="5">
        <v>85109.545199999993</v>
      </c>
      <c r="F106" t="s">
        <v>7249</v>
      </c>
      <c r="G106" s="5" t="str">
        <f t="shared" si="3"/>
        <v>Центр</v>
      </c>
      <c r="J106" s="5"/>
      <c r="AF106" t="s">
        <v>7165</v>
      </c>
      <c r="AG106" s="24" t="s">
        <v>5340</v>
      </c>
      <c r="AH106" s="5" t="s">
        <v>7165</v>
      </c>
      <c r="AI106" s="5">
        <v>26363.709200000001</v>
      </c>
      <c r="AJ106" s="5">
        <v>26363.709200000001</v>
      </c>
      <c r="AK106">
        <v>24485.538700000001</v>
      </c>
      <c r="AL106" s="5" t="str">
        <f t="shared" si="4"/>
        <v>Ачитский городской округ</v>
      </c>
    </row>
    <row r="107" spans="1:38" ht="15" customHeight="1" x14ac:dyDescent="0.25">
      <c r="A107" s="3" t="s">
        <v>242</v>
      </c>
      <c r="B107" s="3" t="s">
        <v>1630</v>
      </c>
      <c r="C107" s="5">
        <v>62652.9401</v>
      </c>
      <c r="D107" s="5">
        <v>62652.9401</v>
      </c>
      <c r="E107" s="5">
        <v>56733.3557</v>
      </c>
      <c r="F107" t="s">
        <v>7249</v>
      </c>
      <c r="G107" s="5" t="str">
        <f t="shared" si="3"/>
        <v>ЧЕРМЕТ</v>
      </c>
      <c r="J107" s="5"/>
      <c r="AF107" t="s">
        <v>7165</v>
      </c>
      <c r="AG107" s="24" t="s">
        <v>5341</v>
      </c>
      <c r="AH107" s="5" t="s">
        <v>7165</v>
      </c>
      <c r="AI107" s="5">
        <v>26363.709200000001</v>
      </c>
      <c r="AJ107" s="5">
        <v>26363.709200000001</v>
      </c>
      <c r="AK107">
        <v>24485.538700000001</v>
      </c>
      <c r="AL107" s="5" t="str">
        <f t="shared" si="4"/>
        <v>Ачитский городской округ</v>
      </c>
    </row>
    <row r="108" spans="1:38" ht="15" customHeight="1" x14ac:dyDescent="0.25">
      <c r="A108" s="3" t="s">
        <v>243</v>
      </c>
      <c r="B108" s="3" t="s">
        <v>14</v>
      </c>
      <c r="C108" s="5">
        <v>93989.912800000006</v>
      </c>
      <c r="D108" s="5">
        <v>93989.912800000006</v>
      </c>
      <c r="E108" s="5">
        <v>85109.545199999993</v>
      </c>
      <c r="F108" t="s">
        <v>7249</v>
      </c>
      <c r="G108" s="5" t="str">
        <f t="shared" si="3"/>
        <v>Центр</v>
      </c>
      <c r="J108" s="5"/>
      <c r="AF108" t="s">
        <v>7165</v>
      </c>
      <c r="AG108" s="24" t="s">
        <v>5342</v>
      </c>
      <c r="AH108" s="5" t="s">
        <v>7165</v>
      </c>
      <c r="AI108" s="5">
        <v>26363.709200000001</v>
      </c>
      <c r="AJ108" s="5">
        <v>26363.709200000001</v>
      </c>
      <c r="AK108">
        <v>24485.538700000001</v>
      </c>
      <c r="AL108" s="5" t="str">
        <f t="shared" si="4"/>
        <v>Ачитский городской округ</v>
      </c>
    </row>
    <row r="109" spans="1:38" ht="15" customHeight="1" x14ac:dyDescent="0.25">
      <c r="A109" s="3" t="s">
        <v>244</v>
      </c>
      <c r="B109" s="3" t="s">
        <v>1652</v>
      </c>
      <c r="C109" s="5">
        <v>71105.171700000006</v>
      </c>
      <c r="D109" s="5">
        <v>71105.171700000006</v>
      </c>
      <c r="E109" s="5">
        <v>64387.005100000002</v>
      </c>
      <c r="F109" t="s">
        <v>7249</v>
      </c>
      <c r="G109" s="5" t="str">
        <f t="shared" si="3"/>
        <v>ЗАРЕЧНЫЙ</v>
      </c>
      <c r="J109" s="5"/>
      <c r="AF109" t="s">
        <v>7165</v>
      </c>
      <c r="AG109" s="24" t="s">
        <v>5343</v>
      </c>
      <c r="AH109" s="5" t="s">
        <v>7165</v>
      </c>
      <c r="AI109" s="5">
        <v>26363.709200000001</v>
      </c>
      <c r="AJ109" s="5">
        <v>26363.709200000001</v>
      </c>
      <c r="AK109">
        <v>24485.538700000001</v>
      </c>
      <c r="AL109" s="5" t="str">
        <f t="shared" si="4"/>
        <v>Ачитский городской округ</v>
      </c>
    </row>
    <row r="110" spans="1:38" ht="15" customHeight="1" x14ac:dyDescent="0.25">
      <c r="A110" s="3" t="s">
        <v>245</v>
      </c>
      <c r="B110" s="3" t="s">
        <v>1637</v>
      </c>
      <c r="C110" s="5">
        <v>59368.686099999999</v>
      </c>
      <c r="D110" s="5">
        <v>59368.686099999999</v>
      </c>
      <c r="E110" s="5">
        <v>53759.401700000002</v>
      </c>
      <c r="F110" t="s">
        <v>7249</v>
      </c>
      <c r="G110" s="5" t="str">
        <f t="shared" si="3"/>
        <v>Старая сортировка</v>
      </c>
      <c r="J110" s="5"/>
      <c r="AF110" t="s">
        <v>7165</v>
      </c>
      <c r="AG110" s="24" t="s">
        <v>5344</v>
      </c>
      <c r="AH110" s="5" t="s">
        <v>7165</v>
      </c>
      <c r="AI110" s="5">
        <v>26363.709200000001</v>
      </c>
      <c r="AJ110" s="5">
        <v>26363.709200000001</v>
      </c>
      <c r="AK110">
        <v>24485.538700000001</v>
      </c>
      <c r="AL110" s="5" t="str">
        <f t="shared" si="4"/>
        <v>Ачитский городской округ</v>
      </c>
    </row>
    <row r="111" spans="1:38" ht="15" customHeight="1" x14ac:dyDescent="0.25">
      <c r="A111" s="3" t="s">
        <v>246</v>
      </c>
      <c r="B111" s="3" t="s">
        <v>1653</v>
      </c>
      <c r="C111" s="5">
        <v>56847.723400000003</v>
      </c>
      <c r="D111" s="5">
        <v>56847.723400000003</v>
      </c>
      <c r="E111" s="5">
        <v>51476.629399999998</v>
      </c>
      <c r="F111" t="s">
        <v>7249</v>
      </c>
      <c r="G111" s="5" t="str">
        <f t="shared" si="3"/>
        <v>ПТИЦЕФАБРИКА</v>
      </c>
      <c r="J111" s="5"/>
      <c r="AF111" t="s">
        <v>7165</v>
      </c>
      <c r="AG111" s="24" t="s">
        <v>5345</v>
      </c>
      <c r="AH111" s="5" t="s">
        <v>7165</v>
      </c>
      <c r="AI111" s="5">
        <v>26363.709200000001</v>
      </c>
      <c r="AJ111" s="5">
        <v>26363.709200000001</v>
      </c>
      <c r="AK111">
        <v>24485.538700000001</v>
      </c>
      <c r="AL111" s="5" t="str">
        <f t="shared" si="4"/>
        <v>Ачитский городской округ</v>
      </c>
    </row>
    <row r="112" spans="1:38" ht="15" customHeight="1" x14ac:dyDescent="0.25">
      <c r="A112" s="3" t="s">
        <v>248</v>
      </c>
      <c r="B112" s="3" t="s">
        <v>1630</v>
      </c>
      <c r="C112" s="5">
        <v>62652.9401</v>
      </c>
      <c r="D112" s="5">
        <v>62652.9401</v>
      </c>
      <c r="E112" s="5">
        <v>56733.3557</v>
      </c>
      <c r="F112" t="s">
        <v>7249</v>
      </c>
      <c r="G112" s="5" t="str">
        <f t="shared" si="3"/>
        <v>ЧЕРМЕТ</v>
      </c>
      <c r="J112" s="5"/>
      <c r="AF112" t="s">
        <v>7165</v>
      </c>
      <c r="AG112" s="24" t="s">
        <v>5346</v>
      </c>
      <c r="AH112" s="5" t="s">
        <v>7165</v>
      </c>
      <c r="AI112" s="5">
        <v>26363.709200000001</v>
      </c>
      <c r="AJ112" s="5">
        <v>26363.709200000001</v>
      </c>
      <c r="AK112">
        <v>24485.538700000001</v>
      </c>
      <c r="AL112" s="5" t="str">
        <f t="shared" si="4"/>
        <v>Ачитский городской округ</v>
      </c>
    </row>
    <row r="113" spans="1:38" ht="15" customHeight="1" x14ac:dyDescent="0.25">
      <c r="A113" s="3" t="s">
        <v>249</v>
      </c>
      <c r="B113" s="3" t="s">
        <v>33</v>
      </c>
      <c r="C113" s="5">
        <v>84298.205100000006</v>
      </c>
      <c r="D113" s="5">
        <v>84298.205100000006</v>
      </c>
      <c r="E113" s="5">
        <v>76333.533100000001</v>
      </c>
      <c r="F113" t="s">
        <v>7249</v>
      </c>
      <c r="G113" s="5" t="str">
        <f t="shared" si="3"/>
        <v>ВИЗ</v>
      </c>
      <c r="J113" s="5"/>
      <c r="AF113" t="s">
        <v>7165</v>
      </c>
      <c r="AG113" s="24" t="s">
        <v>5347</v>
      </c>
      <c r="AH113" s="5" t="s">
        <v>7165</v>
      </c>
      <c r="AI113" s="5">
        <v>26363.709200000001</v>
      </c>
      <c r="AJ113" s="5">
        <v>26363.709200000001</v>
      </c>
      <c r="AK113">
        <v>24485.538700000001</v>
      </c>
      <c r="AL113" s="5" t="str">
        <f t="shared" si="4"/>
        <v>Ачитский городской округ</v>
      </c>
    </row>
    <row r="114" spans="1:38" ht="15" customHeight="1" x14ac:dyDescent="0.25">
      <c r="A114" s="3" t="s">
        <v>250</v>
      </c>
      <c r="B114" s="3" t="s">
        <v>1630</v>
      </c>
      <c r="C114" s="5">
        <v>62652.9401</v>
      </c>
      <c r="D114" s="5">
        <v>62652.9401</v>
      </c>
      <c r="E114" s="5">
        <v>56733.3557</v>
      </c>
      <c r="F114" t="s">
        <v>7249</v>
      </c>
      <c r="G114" s="5" t="str">
        <f t="shared" si="3"/>
        <v>ЧЕРМЕТ</v>
      </c>
      <c r="J114" s="5"/>
      <c r="AF114" t="s">
        <v>7165</v>
      </c>
      <c r="AG114" s="24" t="s">
        <v>5348</v>
      </c>
      <c r="AH114" s="5" t="s">
        <v>7165</v>
      </c>
      <c r="AI114" s="5">
        <v>26363.709200000001</v>
      </c>
      <c r="AJ114" s="5">
        <v>26363.709200000001</v>
      </c>
      <c r="AK114">
        <v>24485.538700000001</v>
      </c>
      <c r="AL114" s="5" t="str">
        <f t="shared" si="4"/>
        <v>Ачитский городской округ</v>
      </c>
    </row>
    <row r="115" spans="1:38" ht="15" customHeight="1" x14ac:dyDescent="0.25">
      <c r="A115" s="3" t="s">
        <v>253</v>
      </c>
      <c r="B115" s="3" t="s">
        <v>1628</v>
      </c>
      <c r="C115" s="5">
        <v>70734.0236</v>
      </c>
      <c r="D115" s="5">
        <v>70734.0236</v>
      </c>
      <c r="E115" s="5">
        <v>64050.9208</v>
      </c>
      <c r="F115" t="s">
        <v>7249</v>
      </c>
      <c r="G115" s="5" t="str">
        <f t="shared" si="3"/>
        <v>ЭЛЬМАШ</v>
      </c>
      <c r="J115" s="5"/>
      <c r="AF115" t="s">
        <v>7165</v>
      </c>
      <c r="AG115" s="24" t="s">
        <v>5349</v>
      </c>
      <c r="AH115" s="5" t="s">
        <v>7165</v>
      </c>
      <c r="AI115" s="5">
        <v>26363.709200000001</v>
      </c>
      <c r="AJ115" s="5">
        <v>26363.709200000001</v>
      </c>
      <c r="AK115">
        <v>24485.538700000001</v>
      </c>
      <c r="AL115" s="5" t="str">
        <f t="shared" si="4"/>
        <v>Ачитский городской округ</v>
      </c>
    </row>
    <row r="116" spans="1:38" ht="15" customHeight="1" x14ac:dyDescent="0.25">
      <c r="A116" s="3" t="s">
        <v>254</v>
      </c>
      <c r="B116" s="3" t="s">
        <v>1630</v>
      </c>
      <c r="C116" s="5">
        <v>62652.9401</v>
      </c>
      <c r="D116" s="5">
        <v>62652.9401</v>
      </c>
      <c r="E116" s="5">
        <v>56733.3557</v>
      </c>
      <c r="F116" t="s">
        <v>7249</v>
      </c>
      <c r="G116" s="5" t="str">
        <f t="shared" si="3"/>
        <v>ЧЕРМЕТ</v>
      </c>
      <c r="J116" s="5"/>
      <c r="AF116" t="s">
        <v>7165</v>
      </c>
      <c r="AG116" s="24" t="s">
        <v>5350</v>
      </c>
      <c r="AH116" s="5" t="s">
        <v>7165</v>
      </c>
      <c r="AI116" s="5">
        <v>26363.709200000001</v>
      </c>
      <c r="AJ116" s="5">
        <v>26363.709200000001</v>
      </c>
      <c r="AK116">
        <v>24485.538700000001</v>
      </c>
      <c r="AL116" s="5" t="str">
        <f t="shared" si="4"/>
        <v>Ачитский городской округ</v>
      </c>
    </row>
    <row r="117" spans="1:38" ht="15" customHeight="1" x14ac:dyDescent="0.25">
      <c r="A117" s="3" t="s">
        <v>255</v>
      </c>
      <c r="B117" s="3" t="s">
        <v>1629</v>
      </c>
      <c r="C117" s="5">
        <v>77743.704100000003</v>
      </c>
      <c r="D117" s="5">
        <v>77743.704100000003</v>
      </c>
      <c r="E117" s="5">
        <v>70398.310800000007</v>
      </c>
      <c r="F117" t="s">
        <v>7249</v>
      </c>
      <c r="G117" s="5" t="str">
        <f t="shared" si="3"/>
        <v>ПИОНЕРСКИЙ</v>
      </c>
      <c r="J117" s="5"/>
      <c r="AF117" t="s">
        <v>7165</v>
      </c>
      <c r="AG117" s="24" t="s">
        <v>5351</v>
      </c>
      <c r="AH117" s="5" t="s">
        <v>7165</v>
      </c>
      <c r="AI117" s="5">
        <v>26363.709200000001</v>
      </c>
      <c r="AJ117" s="5">
        <v>26363.709200000001</v>
      </c>
      <c r="AK117">
        <v>24485.538700000001</v>
      </c>
      <c r="AL117" s="5" t="str">
        <f t="shared" si="4"/>
        <v>Ачитский городской округ</v>
      </c>
    </row>
    <row r="118" spans="1:38" ht="15" customHeight="1" x14ac:dyDescent="0.25">
      <c r="A118" s="3" t="s">
        <v>256</v>
      </c>
      <c r="B118" s="3" t="s">
        <v>1629</v>
      </c>
      <c r="C118" s="5">
        <v>77743.704100000003</v>
      </c>
      <c r="D118" s="5">
        <v>77743.704100000003</v>
      </c>
      <c r="E118" s="5">
        <v>70398.310800000007</v>
      </c>
      <c r="F118" t="s">
        <v>7249</v>
      </c>
      <c r="G118" s="5" t="str">
        <f t="shared" si="3"/>
        <v>ПИОНЕРСКИЙ</v>
      </c>
      <c r="J118" s="5"/>
      <c r="AF118" t="s">
        <v>7165</v>
      </c>
      <c r="AG118" s="24" t="s">
        <v>5352</v>
      </c>
      <c r="AH118" s="5" t="s">
        <v>7165</v>
      </c>
      <c r="AI118" s="5">
        <v>26363.709200000001</v>
      </c>
      <c r="AJ118" s="5">
        <v>26363.709200000001</v>
      </c>
      <c r="AK118">
        <v>24485.538700000001</v>
      </c>
      <c r="AL118" s="5" t="str">
        <f t="shared" si="4"/>
        <v>Ачитский городской округ</v>
      </c>
    </row>
    <row r="119" spans="1:38" ht="15" customHeight="1" x14ac:dyDescent="0.25">
      <c r="A119" s="3" t="s">
        <v>257</v>
      </c>
      <c r="B119" s="3" t="s">
        <v>1628</v>
      </c>
      <c r="C119" s="5">
        <v>70734.0236</v>
      </c>
      <c r="D119" s="5">
        <v>70734.0236</v>
      </c>
      <c r="E119" s="5">
        <v>64050.9208</v>
      </c>
      <c r="F119" t="s">
        <v>7249</v>
      </c>
      <c r="G119" s="5" t="str">
        <f t="shared" si="3"/>
        <v>ЭЛЬМАШ</v>
      </c>
      <c r="J119" s="5"/>
      <c r="AF119" t="s">
        <v>7165</v>
      </c>
      <c r="AG119" s="24" t="s">
        <v>5353</v>
      </c>
      <c r="AH119" s="5" t="s">
        <v>7165</v>
      </c>
      <c r="AI119" s="5">
        <v>26363.709200000001</v>
      </c>
      <c r="AJ119" s="5">
        <v>26363.709200000001</v>
      </c>
      <c r="AK119">
        <v>24485.538700000001</v>
      </c>
      <c r="AL119" s="5" t="str">
        <f t="shared" si="4"/>
        <v>Ачитский городской округ</v>
      </c>
    </row>
    <row r="120" spans="1:38" ht="15" customHeight="1" x14ac:dyDescent="0.25">
      <c r="A120" s="3" t="s">
        <v>258</v>
      </c>
      <c r="B120" s="3" t="s">
        <v>1631</v>
      </c>
      <c r="C120" s="5">
        <v>70026.7601</v>
      </c>
      <c r="D120" s="5">
        <v>70026.7601</v>
      </c>
      <c r="E120" s="5">
        <v>63410.482000000004</v>
      </c>
      <c r="F120" t="s">
        <v>7249</v>
      </c>
      <c r="G120" s="5" t="str">
        <f t="shared" si="3"/>
        <v>УРАЛМАШ</v>
      </c>
      <c r="J120" s="5"/>
      <c r="AF120" t="s">
        <v>7165</v>
      </c>
      <c r="AG120" s="24" t="s">
        <v>5354</v>
      </c>
      <c r="AH120" s="5" t="s">
        <v>7165</v>
      </c>
      <c r="AI120" s="5">
        <v>26363.709200000001</v>
      </c>
      <c r="AJ120" s="5">
        <v>26363.709200000001</v>
      </c>
      <c r="AK120">
        <v>24485.538700000001</v>
      </c>
      <c r="AL120" s="5" t="str">
        <f t="shared" si="4"/>
        <v>Ачитский городской округ</v>
      </c>
    </row>
    <row r="121" spans="1:38" ht="15" customHeight="1" x14ac:dyDescent="0.25">
      <c r="A121" s="3" t="s">
        <v>259</v>
      </c>
      <c r="B121" s="3" t="s">
        <v>1654</v>
      </c>
      <c r="C121" s="5">
        <v>56140.449699999997</v>
      </c>
      <c r="D121" s="5">
        <v>56140.449699999997</v>
      </c>
      <c r="E121" s="5">
        <v>50836.1803</v>
      </c>
      <c r="F121" t="s">
        <v>7249</v>
      </c>
      <c r="G121" s="5" t="str">
        <f t="shared" si="3"/>
        <v>ЗАВОКЗАЛЬНЫЙ</v>
      </c>
      <c r="J121" s="5"/>
      <c r="AF121" t="s">
        <v>7165</v>
      </c>
      <c r="AG121" s="24" t="s">
        <v>5355</v>
      </c>
      <c r="AH121" s="5" t="s">
        <v>7165</v>
      </c>
      <c r="AI121" s="5">
        <v>26363.709200000001</v>
      </c>
      <c r="AJ121" s="5">
        <v>26363.709200000001</v>
      </c>
      <c r="AK121">
        <v>24485.538700000001</v>
      </c>
      <c r="AL121" s="5" t="str">
        <f t="shared" si="4"/>
        <v>Ачитский городской округ</v>
      </c>
    </row>
    <row r="122" spans="1:38" ht="15" customHeight="1" x14ac:dyDescent="0.25">
      <c r="A122" s="3" t="s">
        <v>260</v>
      </c>
      <c r="B122" s="3" t="s">
        <v>1638</v>
      </c>
      <c r="C122" s="5">
        <v>63640.311600000001</v>
      </c>
      <c r="D122" s="5">
        <v>63640.311600000001</v>
      </c>
      <c r="E122" s="5">
        <v>57627.4473</v>
      </c>
      <c r="F122" t="s">
        <v>7249</v>
      </c>
      <c r="G122" s="5" t="str">
        <f t="shared" si="3"/>
        <v>УКТУС</v>
      </c>
      <c r="J122" s="5"/>
      <c r="AF122" t="s">
        <v>7165</v>
      </c>
      <c r="AG122" s="24" t="s">
        <v>5356</v>
      </c>
      <c r="AH122" s="5" t="s">
        <v>7165</v>
      </c>
      <c r="AI122" s="5">
        <v>26363.709200000001</v>
      </c>
      <c r="AJ122" s="5">
        <v>26363.709200000001</v>
      </c>
      <c r="AK122">
        <v>24485.538700000001</v>
      </c>
      <c r="AL122" s="5" t="str">
        <f t="shared" si="4"/>
        <v>Ачитский городской округ</v>
      </c>
    </row>
    <row r="123" spans="1:38" ht="15" customHeight="1" x14ac:dyDescent="0.25">
      <c r="A123" s="3" t="s">
        <v>261</v>
      </c>
      <c r="B123" s="3" t="s">
        <v>1643</v>
      </c>
      <c r="C123" s="5">
        <v>76630.280299999999</v>
      </c>
      <c r="D123" s="5">
        <v>76630.280299999999</v>
      </c>
      <c r="E123" s="5">
        <v>69390.088799999998</v>
      </c>
      <c r="F123" t="s">
        <v>7249</v>
      </c>
      <c r="G123" s="5" t="str">
        <f t="shared" si="3"/>
        <v>Ю-З</v>
      </c>
      <c r="J123" s="5"/>
      <c r="AF123" t="s">
        <v>7165</v>
      </c>
      <c r="AG123" s="24" t="s">
        <v>5357</v>
      </c>
      <c r="AH123" s="5" t="s">
        <v>7165</v>
      </c>
      <c r="AI123" s="5">
        <v>26363.709200000001</v>
      </c>
      <c r="AJ123" s="5">
        <v>26363.709200000001</v>
      </c>
      <c r="AK123">
        <v>24485.538700000001</v>
      </c>
      <c r="AL123" s="5" t="str">
        <f t="shared" si="4"/>
        <v>Ачитский городской округ</v>
      </c>
    </row>
    <row r="124" spans="1:38" ht="15" customHeight="1" x14ac:dyDescent="0.25">
      <c r="A124" s="3" t="s">
        <v>262</v>
      </c>
      <c r="B124" s="3" t="s">
        <v>209</v>
      </c>
      <c r="C124" s="5">
        <v>69382.512499999997</v>
      </c>
      <c r="D124" s="5">
        <v>69382.512499999997</v>
      </c>
      <c r="E124" s="5">
        <v>62827.103199999998</v>
      </c>
      <c r="F124" t="s">
        <v>7249</v>
      </c>
      <c r="G124" s="5" t="str">
        <f t="shared" si="3"/>
        <v>ЖБИ</v>
      </c>
      <c r="J124" s="5"/>
      <c r="AF124" t="s">
        <v>7165</v>
      </c>
      <c r="AG124" s="24" t="s">
        <v>5358</v>
      </c>
      <c r="AH124" s="5" t="s">
        <v>7165</v>
      </c>
      <c r="AI124" s="5">
        <v>26363.709200000001</v>
      </c>
      <c r="AJ124" s="5">
        <v>26363.709200000001</v>
      </c>
      <c r="AK124">
        <v>24485.538700000001</v>
      </c>
      <c r="AL124" s="5" t="str">
        <f t="shared" si="4"/>
        <v>Ачитский городской округ</v>
      </c>
    </row>
    <row r="125" spans="1:38" ht="15" customHeight="1" x14ac:dyDescent="0.25">
      <c r="A125" s="3" t="s">
        <v>264</v>
      </c>
      <c r="B125" s="3" t="s">
        <v>1655</v>
      </c>
      <c r="C125" s="5">
        <v>79683.445300000007</v>
      </c>
      <c r="D125" s="5">
        <v>79683.445300000007</v>
      </c>
      <c r="E125" s="5">
        <v>72154.784899999999</v>
      </c>
      <c r="F125" t="s">
        <v>7249</v>
      </c>
      <c r="G125" s="5" t="str">
        <f t="shared" si="3"/>
        <v>Шарташский рынок</v>
      </c>
      <c r="J125" s="5"/>
      <c r="AF125" t="s">
        <v>7165</v>
      </c>
      <c r="AG125" s="24" t="s">
        <v>5359</v>
      </c>
      <c r="AH125" s="5" t="s">
        <v>7165</v>
      </c>
      <c r="AI125" s="5">
        <v>26363.709200000001</v>
      </c>
      <c r="AJ125" s="5">
        <v>26363.709200000001</v>
      </c>
      <c r="AK125">
        <v>24485.538700000001</v>
      </c>
      <c r="AL125" s="5" t="str">
        <f t="shared" si="4"/>
        <v>Ачитский городской округ</v>
      </c>
    </row>
    <row r="126" spans="1:38" ht="15" customHeight="1" x14ac:dyDescent="0.25">
      <c r="A126" s="3" t="s">
        <v>265</v>
      </c>
      <c r="B126" s="3" t="s">
        <v>209</v>
      </c>
      <c r="C126" s="5">
        <v>69382.512499999997</v>
      </c>
      <c r="D126" s="5">
        <v>69382.512499999997</v>
      </c>
      <c r="E126" s="5">
        <v>62827.103199999998</v>
      </c>
      <c r="F126" t="s">
        <v>7249</v>
      </c>
      <c r="G126" s="5" t="str">
        <f t="shared" si="3"/>
        <v>ЖБИ</v>
      </c>
      <c r="J126" s="5"/>
      <c r="AF126" t="s">
        <v>7165</v>
      </c>
      <c r="AG126" s="24" t="s">
        <v>5360</v>
      </c>
      <c r="AH126" s="5" t="s">
        <v>7165</v>
      </c>
      <c r="AI126" s="5">
        <v>26363.709200000001</v>
      </c>
      <c r="AJ126" s="5">
        <v>26363.709200000001</v>
      </c>
      <c r="AK126">
        <v>24485.538700000001</v>
      </c>
      <c r="AL126" s="5" t="str">
        <f t="shared" si="4"/>
        <v>Ачитский городской округ</v>
      </c>
    </row>
    <row r="127" spans="1:38" ht="15" customHeight="1" x14ac:dyDescent="0.25">
      <c r="A127" s="3" t="s">
        <v>266</v>
      </c>
      <c r="B127" s="3" t="s">
        <v>1633</v>
      </c>
      <c r="C127" s="5">
        <v>77071.442599999995</v>
      </c>
      <c r="D127" s="5">
        <v>77071.442599999995</v>
      </c>
      <c r="E127" s="5">
        <v>69789.570900000006</v>
      </c>
      <c r="F127" t="s">
        <v>7249</v>
      </c>
      <c r="G127" s="5" t="str">
        <f t="shared" si="3"/>
        <v>ВТУЗГОРОДОК</v>
      </c>
      <c r="J127" s="5"/>
      <c r="AF127" t="s">
        <v>7165</v>
      </c>
      <c r="AG127" s="24" t="s">
        <v>5361</v>
      </c>
      <c r="AH127" s="5" t="s">
        <v>7165</v>
      </c>
      <c r="AI127" s="5">
        <v>26363.709200000001</v>
      </c>
      <c r="AJ127" s="5">
        <v>26363.709200000001</v>
      </c>
      <c r="AK127">
        <v>24485.538700000001</v>
      </c>
      <c r="AL127" s="5" t="str">
        <f t="shared" si="4"/>
        <v>Ачитский городской округ</v>
      </c>
    </row>
    <row r="128" spans="1:38" ht="15" customHeight="1" x14ac:dyDescent="0.25">
      <c r="A128" s="3" t="s">
        <v>267</v>
      </c>
      <c r="B128" s="3" t="s">
        <v>33</v>
      </c>
      <c r="C128" s="5">
        <v>84298.205100000006</v>
      </c>
      <c r="D128" s="5">
        <v>84298.205100000006</v>
      </c>
      <c r="E128" s="5">
        <v>76333.533100000001</v>
      </c>
      <c r="F128" t="s">
        <v>7249</v>
      </c>
      <c r="G128" s="5" t="str">
        <f t="shared" si="3"/>
        <v>ВИЗ</v>
      </c>
      <c r="J128" s="5"/>
      <c r="AF128" t="s">
        <v>7165</v>
      </c>
      <c r="AG128" s="24" t="s">
        <v>5362</v>
      </c>
      <c r="AH128" s="5" t="s">
        <v>7165</v>
      </c>
      <c r="AI128" s="5">
        <v>26363.709200000001</v>
      </c>
      <c r="AJ128" s="5">
        <v>26363.709200000001</v>
      </c>
      <c r="AK128">
        <v>24485.538700000001</v>
      </c>
      <c r="AL128" s="5" t="str">
        <f t="shared" si="4"/>
        <v>Ачитский городской округ</v>
      </c>
    </row>
    <row r="129" spans="1:38" ht="15" customHeight="1" x14ac:dyDescent="0.25">
      <c r="A129" s="3" t="s">
        <v>268</v>
      </c>
      <c r="B129" s="3" t="s">
        <v>1655</v>
      </c>
      <c r="C129" s="5">
        <v>79683.445300000007</v>
      </c>
      <c r="D129" s="5">
        <v>79683.445300000007</v>
      </c>
      <c r="E129" s="5">
        <v>72154.784899999999</v>
      </c>
      <c r="F129" t="s">
        <v>7249</v>
      </c>
      <c r="G129" s="5" t="str">
        <f t="shared" si="3"/>
        <v>Шарташский рынок</v>
      </c>
      <c r="J129" s="5"/>
      <c r="AF129" t="s">
        <v>7165</v>
      </c>
      <c r="AG129" s="24" t="s">
        <v>5363</v>
      </c>
      <c r="AH129" s="5" t="s">
        <v>7165</v>
      </c>
      <c r="AI129" s="5">
        <v>26363.709200000001</v>
      </c>
      <c r="AJ129" s="5">
        <v>26363.709200000001</v>
      </c>
      <c r="AK129">
        <v>24485.538700000001</v>
      </c>
      <c r="AL129" s="5" t="str">
        <f t="shared" si="4"/>
        <v>Ачитский городской округ</v>
      </c>
    </row>
    <row r="130" spans="1:38" ht="15" customHeight="1" x14ac:dyDescent="0.25">
      <c r="A130" s="3" t="s">
        <v>269</v>
      </c>
      <c r="B130" s="3" t="s">
        <v>14</v>
      </c>
      <c r="C130" s="5">
        <v>93989.912800000006</v>
      </c>
      <c r="D130" s="5">
        <v>93989.912800000006</v>
      </c>
      <c r="E130" s="5">
        <v>85109.545199999993</v>
      </c>
      <c r="F130" t="s">
        <v>7249</v>
      </c>
      <c r="G130" s="5" t="str">
        <f t="shared" si="3"/>
        <v>Центр</v>
      </c>
      <c r="J130" s="5"/>
      <c r="AF130" t="s">
        <v>7165</v>
      </c>
      <c r="AG130" s="24" t="s">
        <v>5364</v>
      </c>
      <c r="AH130" s="5" t="s">
        <v>7165</v>
      </c>
      <c r="AI130" s="5">
        <v>26363.709200000001</v>
      </c>
      <c r="AJ130" s="5">
        <v>26363.709200000001</v>
      </c>
      <c r="AK130">
        <v>24485.538700000001</v>
      </c>
      <c r="AL130" s="5" t="str">
        <f t="shared" si="4"/>
        <v>Ачитский городской округ</v>
      </c>
    </row>
    <row r="131" spans="1:38" ht="15" customHeight="1" x14ac:dyDescent="0.25">
      <c r="A131" s="3" t="s">
        <v>271</v>
      </c>
      <c r="B131" s="3" t="s">
        <v>1643</v>
      </c>
      <c r="C131" s="5">
        <v>76630.280299999999</v>
      </c>
      <c r="D131" s="5">
        <v>76630.280299999999</v>
      </c>
      <c r="E131" s="5">
        <v>69390.088799999998</v>
      </c>
      <c r="F131" t="s">
        <v>7249</v>
      </c>
      <c r="G131" s="5" t="str">
        <f t="shared" si="3"/>
        <v>Ю-З</v>
      </c>
      <c r="J131" s="5"/>
      <c r="AF131" t="s">
        <v>7165</v>
      </c>
      <c r="AG131" s="24" t="s">
        <v>5365</v>
      </c>
      <c r="AH131" s="5" t="s">
        <v>7165</v>
      </c>
      <c r="AI131" s="5">
        <v>26363.709200000001</v>
      </c>
      <c r="AJ131" s="5">
        <v>26363.709200000001</v>
      </c>
      <c r="AK131">
        <v>24485.538700000001</v>
      </c>
      <c r="AL131" s="5" t="str">
        <f t="shared" si="4"/>
        <v>Ачитский городской округ</v>
      </c>
    </row>
    <row r="132" spans="1:38" ht="15" customHeight="1" x14ac:dyDescent="0.25">
      <c r="A132" s="3" t="s">
        <v>272</v>
      </c>
      <c r="B132" s="3" t="s">
        <v>1631</v>
      </c>
      <c r="C132" s="5">
        <v>70026.7601</v>
      </c>
      <c r="D132" s="5">
        <v>70026.7601</v>
      </c>
      <c r="E132" s="5">
        <v>63410.482000000004</v>
      </c>
      <c r="F132" t="s">
        <v>7249</v>
      </c>
      <c r="G132" s="5" t="str">
        <f t="shared" ref="G132:G195" si="5">B132</f>
        <v>УРАЛМАШ</v>
      </c>
      <c r="J132" s="5"/>
      <c r="AF132" t="s">
        <v>7165</v>
      </c>
      <c r="AG132" s="24" t="s">
        <v>5366</v>
      </c>
      <c r="AH132" s="5" t="s">
        <v>7165</v>
      </c>
      <c r="AI132" s="5">
        <v>26363.709200000001</v>
      </c>
      <c r="AJ132" s="5">
        <v>26363.709200000001</v>
      </c>
      <c r="AK132">
        <v>24485.538700000001</v>
      </c>
      <c r="AL132" s="5" t="str">
        <f t="shared" ref="AL132:AL195" si="6">AF132</f>
        <v>Ачитский городской округ</v>
      </c>
    </row>
    <row r="133" spans="1:38" ht="15" customHeight="1" x14ac:dyDescent="0.25">
      <c r="A133" s="3" t="s">
        <v>273</v>
      </c>
      <c r="B133" s="3" t="s">
        <v>33</v>
      </c>
      <c r="C133" s="5">
        <v>84298.205100000006</v>
      </c>
      <c r="D133" s="5">
        <v>84298.205100000006</v>
      </c>
      <c r="E133" s="5">
        <v>76333.533100000001</v>
      </c>
      <c r="F133" t="s">
        <v>7249</v>
      </c>
      <c r="G133" s="5" t="str">
        <f t="shared" si="5"/>
        <v>ВИЗ</v>
      </c>
      <c r="J133" s="5"/>
      <c r="AF133" t="s">
        <v>7165</v>
      </c>
      <c r="AG133" s="24" t="s">
        <v>5367</v>
      </c>
      <c r="AH133" s="5" t="s">
        <v>7165</v>
      </c>
      <c r="AI133" s="5">
        <v>26363.709200000001</v>
      </c>
      <c r="AJ133" s="5">
        <v>26363.709200000001</v>
      </c>
      <c r="AK133">
        <v>24485.538700000001</v>
      </c>
      <c r="AL133" s="5" t="str">
        <f t="shared" si="6"/>
        <v>Ачитский городской округ</v>
      </c>
    </row>
    <row r="134" spans="1:38" ht="15" customHeight="1" x14ac:dyDescent="0.25">
      <c r="A134" s="3" t="s">
        <v>274</v>
      </c>
      <c r="B134" s="3" t="s">
        <v>14</v>
      </c>
      <c r="C134" s="5">
        <v>93989.912800000006</v>
      </c>
      <c r="D134" s="5">
        <v>93989.912800000006</v>
      </c>
      <c r="E134" s="5">
        <v>85109.545199999993</v>
      </c>
      <c r="F134" t="s">
        <v>7249</v>
      </c>
      <c r="G134" s="5" t="str">
        <f t="shared" si="5"/>
        <v>Центр</v>
      </c>
      <c r="J134" s="5"/>
      <c r="AF134" t="s">
        <v>7165</v>
      </c>
      <c r="AG134" s="24" t="s">
        <v>5368</v>
      </c>
      <c r="AH134" s="5" t="s">
        <v>7165</v>
      </c>
      <c r="AI134" s="5">
        <v>26363.709200000001</v>
      </c>
      <c r="AJ134" s="5">
        <v>26363.709200000001</v>
      </c>
      <c r="AK134">
        <v>24485.538700000001</v>
      </c>
      <c r="AL134" s="5" t="str">
        <f t="shared" si="6"/>
        <v>Ачитский городской округ</v>
      </c>
    </row>
    <row r="135" spans="1:38" ht="15" customHeight="1" x14ac:dyDescent="0.25">
      <c r="A135" s="3" t="s">
        <v>276</v>
      </c>
      <c r="B135" s="3" t="s">
        <v>14</v>
      </c>
      <c r="C135" s="5">
        <v>93989.912800000006</v>
      </c>
      <c r="D135" s="5">
        <v>93989.912800000006</v>
      </c>
      <c r="E135" s="5">
        <v>85109.545199999993</v>
      </c>
      <c r="F135" t="s">
        <v>7249</v>
      </c>
      <c r="G135" s="5" t="str">
        <f t="shared" si="5"/>
        <v>Центр</v>
      </c>
      <c r="J135" s="5"/>
      <c r="AF135" t="s">
        <v>7165</v>
      </c>
      <c r="AG135" s="24" t="s">
        <v>5369</v>
      </c>
      <c r="AH135" s="5" t="s">
        <v>7165</v>
      </c>
      <c r="AI135" s="5">
        <v>26363.709200000001</v>
      </c>
      <c r="AJ135" s="5">
        <v>26363.709200000001</v>
      </c>
      <c r="AK135">
        <v>24485.538700000001</v>
      </c>
      <c r="AL135" s="5" t="str">
        <f t="shared" si="6"/>
        <v>Ачитский городской округ</v>
      </c>
    </row>
    <row r="136" spans="1:38" ht="15" customHeight="1" x14ac:dyDescent="0.25">
      <c r="A136" s="3" t="s">
        <v>277</v>
      </c>
      <c r="B136" s="3" t="s">
        <v>1631</v>
      </c>
      <c r="C136" s="5">
        <v>70026.7601</v>
      </c>
      <c r="D136" s="5">
        <v>70026.7601</v>
      </c>
      <c r="E136" s="5">
        <v>63410.482000000004</v>
      </c>
      <c r="F136" t="s">
        <v>7249</v>
      </c>
      <c r="G136" s="5" t="str">
        <f t="shared" si="5"/>
        <v>УРАЛМАШ</v>
      </c>
      <c r="J136" s="5"/>
      <c r="AF136" t="s">
        <v>7165</v>
      </c>
      <c r="AG136" s="24" t="s">
        <v>5370</v>
      </c>
      <c r="AH136" s="5" t="s">
        <v>7165</v>
      </c>
      <c r="AI136" s="5">
        <v>26363.709200000001</v>
      </c>
      <c r="AJ136" s="5">
        <v>26363.709200000001</v>
      </c>
      <c r="AK136">
        <v>24485.538700000001</v>
      </c>
      <c r="AL136" s="5" t="str">
        <f t="shared" si="6"/>
        <v>Ачитский городской округ</v>
      </c>
    </row>
    <row r="137" spans="1:38" ht="15" customHeight="1" x14ac:dyDescent="0.25">
      <c r="A137" s="3" t="s">
        <v>282</v>
      </c>
      <c r="B137" s="3" t="s">
        <v>1642</v>
      </c>
      <c r="C137" s="5">
        <v>81392.097599999994</v>
      </c>
      <c r="D137" s="5">
        <v>81392.097599999994</v>
      </c>
      <c r="E137" s="5">
        <v>73702.001099999994</v>
      </c>
      <c r="F137" t="s">
        <v>7249</v>
      </c>
      <c r="G137" s="5" t="str">
        <f t="shared" si="5"/>
        <v>ПАРКОВЫЙ</v>
      </c>
      <c r="J137" s="5"/>
      <c r="AF137" t="s">
        <v>7165</v>
      </c>
      <c r="AG137" s="24" t="s">
        <v>5371</v>
      </c>
      <c r="AH137" s="5" t="s">
        <v>7165</v>
      </c>
      <c r="AI137" s="5">
        <v>26363.709200000001</v>
      </c>
      <c r="AJ137" s="5">
        <v>26363.709200000001</v>
      </c>
      <c r="AK137">
        <v>24485.538700000001</v>
      </c>
      <c r="AL137" s="5" t="str">
        <f t="shared" si="6"/>
        <v>Ачитский городской округ</v>
      </c>
    </row>
    <row r="138" spans="1:38" ht="15" customHeight="1" x14ac:dyDescent="0.25">
      <c r="A138" s="3" t="s">
        <v>283</v>
      </c>
      <c r="B138" s="3" t="s">
        <v>1631</v>
      </c>
      <c r="C138" s="5">
        <v>70026.7601</v>
      </c>
      <c r="D138" s="5">
        <v>70026.7601</v>
      </c>
      <c r="E138" s="5">
        <v>63410.482000000004</v>
      </c>
      <c r="F138" t="s">
        <v>7249</v>
      </c>
      <c r="G138" s="5" t="str">
        <f t="shared" si="5"/>
        <v>УРАЛМАШ</v>
      </c>
      <c r="J138" s="5"/>
      <c r="AF138" t="s">
        <v>7165</v>
      </c>
      <c r="AG138" s="24" t="s">
        <v>5372</v>
      </c>
      <c r="AH138" s="5" t="s">
        <v>7165</v>
      </c>
      <c r="AI138" s="5">
        <v>26363.709200000001</v>
      </c>
      <c r="AJ138" s="5">
        <v>26363.709200000001</v>
      </c>
      <c r="AK138">
        <v>24485.538700000001</v>
      </c>
      <c r="AL138" s="5" t="str">
        <f t="shared" si="6"/>
        <v>Ачитский городской округ</v>
      </c>
    </row>
    <row r="139" spans="1:38" ht="15" customHeight="1" x14ac:dyDescent="0.25">
      <c r="A139" s="3" t="s">
        <v>284</v>
      </c>
      <c r="B139" s="3" t="s">
        <v>14</v>
      </c>
      <c r="C139" s="5">
        <v>93989.912800000006</v>
      </c>
      <c r="D139" s="5">
        <v>93989.912800000006</v>
      </c>
      <c r="E139" s="5">
        <v>85109.545199999993</v>
      </c>
      <c r="F139" t="s">
        <v>7249</v>
      </c>
      <c r="G139" s="5" t="str">
        <f t="shared" si="5"/>
        <v>Центр</v>
      </c>
      <c r="J139" s="5"/>
      <c r="AF139" t="s">
        <v>7165</v>
      </c>
      <c r="AG139" s="24" t="s">
        <v>5373</v>
      </c>
      <c r="AH139" s="5" t="s">
        <v>7165</v>
      </c>
      <c r="AI139" s="5">
        <v>26363.709200000001</v>
      </c>
      <c r="AJ139" s="5">
        <v>26363.709200000001</v>
      </c>
      <c r="AK139">
        <v>24485.538700000001</v>
      </c>
      <c r="AL139" s="5" t="str">
        <f t="shared" si="6"/>
        <v>Ачитский городской округ</v>
      </c>
    </row>
    <row r="140" spans="1:38" ht="15" customHeight="1" x14ac:dyDescent="0.25">
      <c r="A140" s="3" t="s">
        <v>286</v>
      </c>
      <c r="B140" s="3" t="s">
        <v>1632</v>
      </c>
      <c r="C140" s="5">
        <v>83744.997499999998</v>
      </c>
      <c r="D140" s="5">
        <v>83744.997499999998</v>
      </c>
      <c r="E140" s="5">
        <v>75832.596099999995</v>
      </c>
      <c r="F140" t="s">
        <v>7249</v>
      </c>
      <c r="G140" s="5" t="str">
        <f t="shared" si="5"/>
        <v>АВТОВОКЗАЛ</v>
      </c>
      <c r="J140" s="5"/>
      <c r="AF140" t="s">
        <v>7165</v>
      </c>
      <c r="AG140" s="24" t="s">
        <v>5374</v>
      </c>
      <c r="AH140" s="5" t="s">
        <v>7165</v>
      </c>
      <c r="AI140" s="5">
        <v>26363.709200000001</v>
      </c>
      <c r="AJ140" s="5">
        <v>26363.709200000001</v>
      </c>
      <c r="AK140">
        <v>24485.538700000001</v>
      </c>
      <c r="AL140" s="5" t="str">
        <f t="shared" si="6"/>
        <v>Ачитский городской округ</v>
      </c>
    </row>
    <row r="141" spans="1:38" ht="15" customHeight="1" x14ac:dyDescent="0.25">
      <c r="A141" s="3" t="s">
        <v>287</v>
      </c>
      <c r="B141" s="3" t="s">
        <v>14</v>
      </c>
      <c r="C141" s="5">
        <v>93989.912800000006</v>
      </c>
      <c r="D141" s="5">
        <v>93989.912800000006</v>
      </c>
      <c r="E141" s="5">
        <v>85109.545199999993</v>
      </c>
      <c r="F141" t="s">
        <v>7249</v>
      </c>
      <c r="G141" s="5" t="str">
        <f t="shared" si="5"/>
        <v>Центр</v>
      </c>
      <c r="J141" s="5"/>
      <c r="AF141" t="s">
        <v>7165</v>
      </c>
      <c r="AG141" s="24" t="s">
        <v>5375</v>
      </c>
      <c r="AH141" s="5" t="s">
        <v>7165</v>
      </c>
      <c r="AI141" s="5">
        <v>26363.709200000001</v>
      </c>
      <c r="AJ141" s="5">
        <v>26363.709200000001</v>
      </c>
      <c r="AK141">
        <v>24485.538700000001</v>
      </c>
      <c r="AL141" s="5" t="str">
        <f t="shared" si="6"/>
        <v>Ачитский городской округ</v>
      </c>
    </row>
    <row r="142" spans="1:38" ht="15" customHeight="1" x14ac:dyDescent="0.25">
      <c r="A142" s="3" t="s">
        <v>288</v>
      </c>
      <c r="B142" s="3" t="s">
        <v>14</v>
      </c>
      <c r="C142" s="5">
        <v>93989.912800000006</v>
      </c>
      <c r="D142" s="5">
        <v>93989.912800000006</v>
      </c>
      <c r="E142" s="5">
        <v>85109.545199999993</v>
      </c>
      <c r="F142" t="s">
        <v>7249</v>
      </c>
      <c r="G142" s="5" t="str">
        <f t="shared" si="5"/>
        <v>Центр</v>
      </c>
      <c r="J142" s="5"/>
      <c r="AF142" t="s">
        <v>7165</v>
      </c>
      <c r="AG142" s="24" t="s">
        <v>5376</v>
      </c>
      <c r="AH142" s="5" t="s">
        <v>7165</v>
      </c>
      <c r="AI142" s="5">
        <v>26363.709200000001</v>
      </c>
      <c r="AJ142" s="5">
        <v>26363.709200000001</v>
      </c>
      <c r="AK142">
        <v>24485.538700000001</v>
      </c>
      <c r="AL142" s="5" t="str">
        <f t="shared" si="6"/>
        <v>Ачитский городской округ</v>
      </c>
    </row>
    <row r="143" spans="1:38" ht="15" customHeight="1" x14ac:dyDescent="0.25">
      <c r="A143" s="3" t="s">
        <v>292</v>
      </c>
      <c r="B143" s="3" t="s">
        <v>1628</v>
      </c>
      <c r="C143" s="5">
        <v>70734.0236</v>
      </c>
      <c r="D143" s="5">
        <v>70734.0236</v>
      </c>
      <c r="E143" s="5">
        <v>64050.9208</v>
      </c>
      <c r="F143" t="s">
        <v>7249</v>
      </c>
      <c r="G143" s="5" t="str">
        <f t="shared" si="5"/>
        <v>ЭЛЬМАШ</v>
      </c>
      <c r="J143" s="5"/>
      <c r="AF143" t="s">
        <v>7165</v>
      </c>
      <c r="AG143" s="24" t="s">
        <v>5377</v>
      </c>
      <c r="AH143" s="5" t="s">
        <v>7165</v>
      </c>
      <c r="AI143" s="5">
        <v>26363.709200000001</v>
      </c>
      <c r="AJ143" s="5">
        <v>26363.709200000001</v>
      </c>
      <c r="AK143">
        <v>24485.538700000001</v>
      </c>
      <c r="AL143" s="5" t="str">
        <f t="shared" si="6"/>
        <v>Ачитский городской округ</v>
      </c>
    </row>
    <row r="144" spans="1:38" ht="15" customHeight="1" x14ac:dyDescent="0.25">
      <c r="A144" s="3" t="s">
        <v>293</v>
      </c>
      <c r="B144" s="3" t="s">
        <v>1633</v>
      </c>
      <c r="C144" s="5">
        <v>77071.442599999995</v>
      </c>
      <c r="D144" s="5">
        <v>77071.442599999995</v>
      </c>
      <c r="E144" s="5">
        <v>69789.570900000006</v>
      </c>
      <c r="F144" t="s">
        <v>7249</v>
      </c>
      <c r="G144" s="5" t="str">
        <f t="shared" si="5"/>
        <v>ВТУЗГОРОДОК</v>
      </c>
      <c r="J144" s="5"/>
      <c r="AF144" t="s">
        <v>7165</v>
      </c>
      <c r="AG144" s="24" t="s">
        <v>5378</v>
      </c>
      <c r="AH144" s="5" t="s">
        <v>7165</v>
      </c>
      <c r="AI144" s="5">
        <v>26363.709200000001</v>
      </c>
      <c r="AJ144" s="5">
        <v>26363.709200000001</v>
      </c>
      <c r="AK144">
        <v>24485.538700000001</v>
      </c>
      <c r="AL144" s="5" t="str">
        <f t="shared" si="6"/>
        <v>Ачитский городской округ</v>
      </c>
    </row>
    <row r="145" spans="1:38" ht="15" customHeight="1" x14ac:dyDescent="0.25">
      <c r="A145" s="3" t="s">
        <v>296</v>
      </c>
      <c r="B145" s="3" t="s">
        <v>1638</v>
      </c>
      <c r="C145" s="5">
        <v>63640.311600000001</v>
      </c>
      <c r="D145" s="5">
        <v>63640.311600000001</v>
      </c>
      <c r="E145" s="5">
        <v>57627.4473</v>
      </c>
      <c r="F145" t="s">
        <v>7249</v>
      </c>
      <c r="G145" s="5" t="str">
        <f t="shared" si="5"/>
        <v>УКТУС</v>
      </c>
      <c r="J145" s="5"/>
      <c r="AF145" t="s">
        <v>7165</v>
      </c>
      <c r="AG145" s="24" t="s">
        <v>5379</v>
      </c>
      <c r="AH145" s="5" t="s">
        <v>7165</v>
      </c>
      <c r="AI145" s="5">
        <v>26363.709200000001</v>
      </c>
      <c r="AJ145" s="5">
        <v>26363.709200000001</v>
      </c>
      <c r="AK145">
        <v>24485.538700000001</v>
      </c>
      <c r="AL145" s="5" t="str">
        <f t="shared" si="6"/>
        <v>Ачитский городской округ</v>
      </c>
    </row>
    <row r="146" spans="1:38" ht="15" customHeight="1" x14ac:dyDescent="0.25">
      <c r="A146" s="3" t="s">
        <v>297</v>
      </c>
      <c r="B146" s="3" t="s">
        <v>1632</v>
      </c>
      <c r="C146" s="5">
        <v>83744.997499999998</v>
      </c>
      <c r="D146" s="5">
        <v>83744.997499999998</v>
      </c>
      <c r="E146" s="5">
        <v>75832.596099999995</v>
      </c>
      <c r="F146" t="s">
        <v>7249</v>
      </c>
      <c r="G146" s="5" t="str">
        <f t="shared" si="5"/>
        <v>АВТОВОКЗАЛ</v>
      </c>
      <c r="J146" s="5"/>
      <c r="AF146" t="s">
        <v>7165</v>
      </c>
      <c r="AG146" s="24" t="s">
        <v>5380</v>
      </c>
      <c r="AH146" s="5" t="s">
        <v>7165</v>
      </c>
      <c r="AI146" s="5">
        <v>26363.709200000001</v>
      </c>
      <c r="AJ146" s="5">
        <v>26363.709200000001</v>
      </c>
      <c r="AK146">
        <v>24485.538700000001</v>
      </c>
      <c r="AL146" s="5" t="str">
        <f t="shared" si="6"/>
        <v>Ачитский городской округ</v>
      </c>
    </row>
    <row r="147" spans="1:38" ht="15" customHeight="1" x14ac:dyDescent="0.25">
      <c r="A147" s="3" t="s">
        <v>299</v>
      </c>
      <c r="B147" s="3" t="s">
        <v>1629</v>
      </c>
      <c r="C147" s="5">
        <v>77743.704100000003</v>
      </c>
      <c r="D147" s="5">
        <v>77743.704100000003</v>
      </c>
      <c r="E147" s="5">
        <v>70398.310800000007</v>
      </c>
      <c r="F147" t="s">
        <v>7249</v>
      </c>
      <c r="G147" s="5" t="str">
        <f t="shared" si="5"/>
        <v>ПИОНЕРСКИЙ</v>
      </c>
      <c r="J147" s="5"/>
      <c r="AF147" t="s">
        <v>7165</v>
      </c>
      <c r="AG147" s="24" t="s">
        <v>5381</v>
      </c>
      <c r="AH147" s="5" t="s">
        <v>7165</v>
      </c>
      <c r="AI147" s="5">
        <v>26363.709200000001</v>
      </c>
      <c r="AJ147" s="5">
        <v>26363.709200000001</v>
      </c>
      <c r="AK147">
        <v>24485.538700000001</v>
      </c>
      <c r="AL147" s="5" t="str">
        <f t="shared" si="6"/>
        <v>Ачитский городской округ</v>
      </c>
    </row>
    <row r="148" spans="1:38" ht="15" customHeight="1" x14ac:dyDescent="0.25">
      <c r="A148" s="3" t="s">
        <v>300</v>
      </c>
      <c r="B148" s="3" t="s">
        <v>33</v>
      </c>
      <c r="C148" s="5">
        <v>84298.205100000006</v>
      </c>
      <c r="D148" s="5">
        <v>84298.205100000006</v>
      </c>
      <c r="E148" s="5">
        <v>76333.533100000001</v>
      </c>
      <c r="F148" t="s">
        <v>7249</v>
      </c>
      <c r="G148" s="5" t="str">
        <f t="shared" si="5"/>
        <v>ВИЗ</v>
      </c>
      <c r="J148" s="5"/>
      <c r="AF148" t="s">
        <v>7165</v>
      </c>
      <c r="AG148" s="24" t="s">
        <v>5382</v>
      </c>
      <c r="AH148" s="5" t="s">
        <v>7165</v>
      </c>
      <c r="AI148" s="5">
        <v>26363.709200000001</v>
      </c>
      <c r="AJ148" s="5">
        <v>26363.709200000001</v>
      </c>
      <c r="AK148">
        <v>24485.538700000001</v>
      </c>
      <c r="AL148" s="5" t="str">
        <f t="shared" si="6"/>
        <v>Ачитский городской округ</v>
      </c>
    </row>
    <row r="149" spans="1:38" ht="15" customHeight="1" x14ac:dyDescent="0.25">
      <c r="A149" s="3" t="s">
        <v>301</v>
      </c>
      <c r="B149" s="3" t="s">
        <v>1643</v>
      </c>
      <c r="C149" s="5">
        <v>76630.280299999999</v>
      </c>
      <c r="D149" s="5">
        <v>76630.280299999999</v>
      </c>
      <c r="E149" s="5">
        <v>69390.088799999998</v>
      </c>
      <c r="F149" t="s">
        <v>7249</v>
      </c>
      <c r="G149" s="5" t="str">
        <f t="shared" si="5"/>
        <v>Ю-З</v>
      </c>
      <c r="J149" s="5"/>
      <c r="AF149" t="s">
        <v>7165</v>
      </c>
      <c r="AG149" s="24" t="s">
        <v>5383</v>
      </c>
      <c r="AH149" s="5" t="s">
        <v>7165</v>
      </c>
      <c r="AI149" s="5">
        <v>26363.709200000001</v>
      </c>
      <c r="AJ149" s="5">
        <v>26363.709200000001</v>
      </c>
      <c r="AK149">
        <v>24485.538700000001</v>
      </c>
      <c r="AL149" s="5" t="str">
        <f t="shared" si="6"/>
        <v>Ачитский городской округ</v>
      </c>
    </row>
    <row r="150" spans="1:38" ht="15" customHeight="1" x14ac:dyDescent="0.25">
      <c r="A150" s="3" t="s">
        <v>302</v>
      </c>
      <c r="B150" s="3" t="s">
        <v>1631</v>
      </c>
      <c r="C150" s="5">
        <v>70026.7601</v>
      </c>
      <c r="D150" s="5">
        <v>70026.7601</v>
      </c>
      <c r="E150" s="5">
        <v>63410.482000000004</v>
      </c>
      <c r="F150" t="s">
        <v>7249</v>
      </c>
      <c r="G150" s="5" t="str">
        <f t="shared" si="5"/>
        <v>УРАЛМАШ</v>
      </c>
      <c r="J150" s="5"/>
      <c r="AF150" t="s">
        <v>7165</v>
      </c>
      <c r="AG150" s="24" t="s">
        <v>5384</v>
      </c>
      <c r="AH150" s="5" t="s">
        <v>7165</v>
      </c>
      <c r="AI150" s="5">
        <v>26363.709200000001</v>
      </c>
      <c r="AJ150" s="5">
        <v>26363.709200000001</v>
      </c>
      <c r="AK150">
        <v>24485.538700000001</v>
      </c>
      <c r="AL150" s="5" t="str">
        <f t="shared" si="6"/>
        <v>Ачитский городской округ</v>
      </c>
    </row>
    <row r="151" spans="1:38" ht="15" customHeight="1" x14ac:dyDescent="0.25">
      <c r="A151" s="3" t="s">
        <v>303</v>
      </c>
      <c r="B151" s="3" t="s">
        <v>1632</v>
      </c>
      <c r="C151" s="5">
        <v>83744.997499999998</v>
      </c>
      <c r="D151" s="5">
        <v>83744.997499999998</v>
      </c>
      <c r="E151" s="5">
        <v>75832.596099999995</v>
      </c>
      <c r="F151" t="s">
        <v>7249</v>
      </c>
      <c r="G151" s="5" t="str">
        <f t="shared" si="5"/>
        <v>АВТОВОКЗАЛ</v>
      </c>
      <c r="J151" s="5"/>
      <c r="AF151" t="s">
        <v>7165</v>
      </c>
      <c r="AG151" s="24" t="s">
        <v>5385</v>
      </c>
      <c r="AH151" s="5" t="s">
        <v>7165</v>
      </c>
      <c r="AI151" s="5">
        <v>26363.709200000001</v>
      </c>
      <c r="AJ151" s="5">
        <v>26363.709200000001</v>
      </c>
      <c r="AK151">
        <v>24485.538700000001</v>
      </c>
      <c r="AL151" s="5" t="str">
        <f t="shared" si="6"/>
        <v>Ачитский городской округ</v>
      </c>
    </row>
    <row r="152" spans="1:38" ht="15" customHeight="1" x14ac:dyDescent="0.25">
      <c r="A152" s="3" t="s">
        <v>304</v>
      </c>
      <c r="B152" s="3" t="s">
        <v>1629</v>
      </c>
      <c r="C152" s="5">
        <v>77743.704100000003</v>
      </c>
      <c r="D152" s="5">
        <v>77743.704100000003</v>
      </c>
      <c r="E152" s="5">
        <v>70398.310800000007</v>
      </c>
      <c r="F152" t="s">
        <v>7249</v>
      </c>
      <c r="G152" s="5" t="str">
        <f t="shared" si="5"/>
        <v>ПИОНЕРСКИЙ</v>
      </c>
      <c r="J152" s="5"/>
      <c r="AF152" t="s">
        <v>7165</v>
      </c>
      <c r="AG152" s="24" t="s">
        <v>5386</v>
      </c>
      <c r="AH152" s="5" t="s">
        <v>7165</v>
      </c>
      <c r="AI152" s="5">
        <v>27024.069500000001</v>
      </c>
      <c r="AJ152" s="5">
        <v>27024.069500000001</v>
      </c>
      <c r="AK152">
        <v>25098.861700000001</v>
      </c>
      <c r="AL152" s="5" t="str">
        <f t="shared" si="6"/>
        <v>Ачитский городской округ</v>
      </c>
    </row>
    <row r="153" spans="1:38" ht="15" customHeight="1" x14ac:dyDescent="0.25">
      <c r="A153" s="3" t="s">
        <v>311</v>
      </c>
      <c r="B153" s="3" t="s">
        <v>1633</v>
      </c>
      <c r="C153" s="5">
        <v>77071.442599999995</v>
      </c>
      <c r="D153" s="5">
        <v>77071.442599999995</v>
      </c>
      <c r="E153" s="5">
        <v>69789.570900000006</v>
      </c>
      <c r="F153" t="s">
        <v>7249</v>
      </c>
      <c r="G153" s="5" t="str">
        <f t="shared" si="5"/>
        <v>ВТУЗГОРОДОК</v>
      </c>
      <c r="J153" s="5"/>
      <c r="AF153" t="s">
        <v>7165</v>
      </c>
      <c r="AG153" s="24" t="s">
        <v>5387</v>
      </c>
      <c r="AH153" s="5" t="s">
        <v>7165</v>
      </c>
      <c r="AI153" s="5">
        <v>26363.709200000001</v>
      </c>
      <c r="AJ153" s="5">
        <v>26363.709200000001</v>
      </c>
      <c r="AK153">
        <v>24485.538700000001</v>
      </c>
      <c r="AL153" s="5" t="str">
        <f t="shared" si="6"/>
        <v>Ачитский городской округ</v>
      </c>
    </row>
    <row r="154" spans="1:38" ht="15" customHeight="1" x14ac:dyDescent="0.25">
      <c r="A154" s="3" t="s">
        <v>312</v>
      </c>
      <c r="B154" s="3" t="s">
        <v>1656</v>
      </c>
      <c r="C154" s="5">
        <v>60173.9879</v>
      </c>
      <c r="D154" s="5">
        <v>60173.9879</v>
      </c>
      <c r="E154" s="5">
        <v>54488.630299999997</v>
      </c>
      <c r="F154" t="s">
        <v>7249</v>
      </c>
      <c r="G154" s="5" t="str">
        <f t="shared" si="5"/>
        <v>МАЛЫЙ ИСТОК</v>
      </c>
      <c r="J154" s="5"/>
      <c r="AF154" t="s">
        <v>7166</v>
      </c>
      <c r="AG154" s="24" t="s">
        <v>5388</v>
      </c>
      <c r="AH154" s="5" t="s">
        <v>7166</v>
      </c>
      <c r="AI154" s="5">
        <v>22948.902600000001</v>
      </c>
      <c r="AJ154" s="5">
        <v>22948.902600000001</v>
      </c>
      <c r="AK154">
        <v>21314.011299999998</v>
      </c>
      <c r="AL154" s="5" t="str">
        <f t="shared" si="6"/>
        <v>Байкаловский муниципальный район</v>
      </c>
    </row>
    <row r="155" spans="1:38" ht="15" customHeight="1" x14ac:dyDescent="0.25">
      <c r="A155" s="3" t="s">
        <v>316</v>
      </c>
      <c r="B155" s="3" t="s">
        <v>1630</v>
      </c>
      <c r="C155" s="5">
        <v>62652.9401</v>
      </c>
      <c r="D155" s="5">
        <v>62652.9401</v>
      </c>
      <c r="E155" s="5">
        <v>56733.3557</v>
      </c>
      <c r="F155" t="s">
        <v>7249</v>
      </c>
      <c r="G155" s="5" t="str">
        <f t="shared" si="5"/>
        <v>ЧЕРМЕТ</v>
      </c>
      <c r="J155" s="5"/>
      <c r="AF155" t="s">
        <v>7166</v>
      </c>
      <c r="AG155" s="24" t="s">
        <v>5389</v>
      </c>
      <c r="AH155" s="5" t="s">
        <v>7166</v>
      </c>
      <c r="AI155" s="5">
        <v>22948.902600000001</v>
      </c>
      <c r="AJ155" s="5">
        <v>22948.902600000001</v>
      </c>
      <c r="AK155">
        <v>21314.011299999998</v>
      </c>
      <c r="AL155" s="5" t="str">
        <f t="shared" si="6"/>
        <v>Байкаловский муниципальный район</v>
      </c>
    </row>
    <row r="156" spans="1:38" ht="15" customHeight="1" x14ac:dyDescent="0.25">
      <c r="A156" s="3" t="s">
        <v>317</v>
      </c>
      <c r="B156" s="3" t="s">
        <v>1654</v>
      </c>
      <c r="C156" s="5">
        <v>56140.449699999997</v>
      </c>
      <c r="D156" s="5">
        <v>56140.449699999997</v>
      </c>
      <c r="E156" s="5">
        <v>50836.1803</v>
      </c>
      <c r="F156" t="s">
        <v>7249</v>
      </c>
      <c r="G156" s="5" t="str">
        <f t="shared" si="5"/>
        <v>ЗАВОКЗАЛЬНЫЙ</v>
      </c>
      <c r="J156" s="5"/>
      <c r="AF156" t="s">
        <v>7166</v>
      </c>
      <c r="AG156" s="24" t="s">
        <v>5390</v>
      </c>
      <c r="AH156" s="5" t="s">
        <v>7166</v>
      </c>
      <c r="AI156" s="5">
        <v>23523.734799999998</v>
      </c>
      <c r="AJ156" s="5">
        <v>23523.734799999998</v>
      </c>
      <c r="AK156">
        <v>21847.8858</v>
      </c>
      <c r="AL156" s="5" t="str">
        <f t="shared" si="6"/>
        <v>Байкаловский муниципальный район</v>
      </c>
    </row>
    <row r="157" spans="1:38" ht="15" customHeight="1" x14ac:dyDescent="0.25">
      <c r="A157" s="3" t="s">
        <v>321</v>
      </c>
      <c r="B157" s="3" t="s">
        <v>1647</v>
      </c>
      <c r="C157" s="5">
        <v>63178.133800000003</v>
      </c>
      <c r="D157" s="5">
        <v>63178.133800000003</v>
      </c>
      <c r="E157" s="5">
        <v>57208.931499999999</v>
      </c>
      <c r="F157" t="s">
        <v>7249</v>
      </c>
      <c r="G157" s="5" t="str">
        <f t="shared" si="5"/>
        <v>ШИРОКАЯ РЕЧКА</v>
      </c>
      <c r="J157" s="5"/>
      <c r="AF157" t="s">
        <v>7166</v>
      </c>
      <c r="AG157" s="24" t="s">
        <v>5391</v>
      </c>
      <c r="AH157" s="5" t="s">
        <v>7166</v>
      </c>
      <c r="AI157" s="5">
        <v>22948.902600000001</v>
      </c>
      <c r="AJ157" s="5">
        <v>22948.902600000001</v>
      </c>
      <c r="AK157">
        <v>21314.011299999998</v>
      </c>
      <c r="AL157" s="5" t="str">
        <f t="shared" si="6"/>
        <v>Байкаловский муниципальный район</v>
      </c>
    </row>
    <row r="158" spans="1:38" ht="15" customHeight="1" x14ac:dyDescent="0.25">
      <c r="A158" s="3" t="s">
        <v>322</v>
      </c>
      <c r="B158" s="3" t="s">
        <v>1647</v>
      </c>
      <c r="C158" s="5">
        <v>63178.133800000003</v>
      </c>
      <c r="D158" s="5">
        <v>63178.133800000003</v>
      </c>
      <c r="E158" s="5">
        <v>57208.931499999999</v>
      </c>
      <c r="F158" t="s">
        <v>7249</v>
      </c>
      <c r="G158" s="5" t="str">
        <f t="shared" si="5"/>
        <v>ШИРОКАЯ РЕЧКА</v>
      </c>
      <c r="J158" s="5"/>
      <c r="AF158" t="s">
        <v>7166</v>
      </c>
      <c r="AG158" s="24" t="s">
        <v>5392</v>
      </c>
      <c r="AH158" s="5" t="s">
        <v>7166</v>
      </c>
      <c r="AI158" s="5">
        <v>22948.902600000001</v>
      </c>
      <c r="AJ158" s="5">
        <v>22948.902600000001</v>
      </c>
      <c r="AK158">
        <v>21314.011299999998</v>
      </c>
      <c r="AL158" s="5" t="str">
        <f t="shared" si="6"/>
        <v>Байкаловский муниципальный район</v>
      </c>
    </row>
    <row r="159" spans="1:38" ht="15" customHeight="1" x14ac:dyDescent="0.25">
      <c r="A159" s="3" t="s">
        <v>323</v>
      </c>
      <c r="B159" s="3" t="s">
        <v>14</v>
      </c>
      <c r="C159" s="5">
        <v>93989.912800000006</v>
      </c>
      <c r="D159" s="5">
        <v>93989.912800000006</v>
      </c>
      <c r="E159" s="5">
        <v>85109.545199999993</v>
      </c>
      <c r="F159" t="s">
        <v>7249</v>
      </c>
      <c r="G159" s="5" t="str">
        <f t="shared" si="5"/>
        <v>Центр</v>
      </c>
      <c r="J159" s="5"/>
      <c r="AF159" t="s">
        <v>7166</v>
      </c>
      <c r="AG159" s="24" t="s">
        <v>5393</v>
      </c>
      <c r="AH159" s="5" t="s">
        <v>7166</v>
      </c>
      <c r="AI159" s="5">
        <v>22948.902600000001</v>
      </c>
      <c r="AJ159" s="5">
        <v>22948.902600000001</v>
      </c>
      <c r="AK159">
        <v>21314.011299999998</v>
      </c>
      <c r="AL159" s="5" t="str">
        <f t="shared" si="6"/>
        <v>Байкаловский муниципальный район</v>
      </c>
    </row>
    <row r="160" spans="1:38" ht="15" customHeight="1" x14ac:dyDescent="0.25">
      <c r="A160" s="3" t="s">
        <v>326</v>
      </c>
      <c r="B160" s="3" t="s">
        <v>14</v>
      </c>
      <c r="C160" s="5">
        <v>93989.912800000006</v>
      </c>
      <c r="D160" s="5">
        <v>93989.912800000006</v>
      </c>
      <c r="E160" s="5">
        <v>85109.545199999993</v>
      </c>
      <c r="F160" t="s">
        <v>7249</v>
      </c>
      <c r="G160" s="5" t="str">
        <f t="shared" si="5"/>
        <v>Центр</v>
      </c>
      <c r="J160" s="5"/>
      <c r="AF160" t="s">
        <v>7166</v>
      </c>
      <c r="AG160" s="24" t="s">
        <v>5394</v>
      </c>
      <c r="AH160" s="5" t="s">
        <v>7166</v>
      </c>
      <c r="AI160" s="5">
        <v>22948.902600000001</v>
      </c>
      <c r="AJ160" s="5">
        <v>22948.902600000001</v>
      </c>
      <c r="AK160">
        <v>21314.011299999998</v>
      </c>
      <c r="AL160" s="5" t="str">
        <f t="shared" si="6"/>
        <v>Байкаловский муниципальный район</v>
      </c>
    </row>
    <row r="161" spans="1:38" ht="15" customHeight="1" x14ac:dyDescent="0.25">
      <c r="A161" s="3" t="s">
        <v>327</v>
      </c>
      <c r="B161" s="3" t="s">
        <v>1639</v>
      </c>
      <c r="C161" s="5">
        <v>53500.443299999999</v>
      </c>
      <c r="D161" s="5">
        <v>53500.443299999999</v>
      </c>
      <c r="E161" s="5">
        <v>48445.605100000001</v>
      </c>
      <c r="F161" t="s">
        <v>7249</v>
      </c>
      <c r="G161" s="5" t="str">
        <f t="shared" si="5"/>
        <v>ИСТОК</v>
      </c>
      <c r="J161" s="5"/>
      <c r="AF161" t="s">
        <v>7166</v>
      </c>
      <c r="AG161" s="24" t="s">
        <v>5395</v>
      </c>
      <c r="AH161" s="5" t="s">
        <v>7166</v>
      </c>
      <c r="AI161" s="5">
        <v>22948.902600000001</v>
      </c>
      <c r="AJ161" s="5">
        <v>22948.902600000001</v>
      </c>
      <c r="AK161">
        <v>21314.011299999998</v>
      </c>
      <c r="AL161" s="5" t="str">
        <f t="shared" si="6"/>
        <v>Байкаловский муниципальный район</v>
      </c>
    </row>
    <row r="162" spans="1:38" ht="15" customHeight="1" x14ac:dyDescent="0.25">
      <c r="A162" s="3" t="s">
        <v>328</v>
      </c>
      <c r="B162" s="3" t="s">
        <v>1649</v>
      </c>
      <c r="C162" s="5">
        <v>78633.047600000005</v>
      </c>
      <c r="D162" s="5">
        <v>78633.047600000005</v>
      </c>
      <c r="E162" s="5">
        <v>71203.623000000007</v>
      </c>
      <c r="F162" t="s">
        <v>7249</v>
      </c>
      <c r="G162" s="5" t="str">
        <f t="shared" si="5"/>
        <v>ВОКЗАЛЬНЫЙ</v>
      </c>
      <c r="J162" s="5"/>
      <c r="AF162" t="s">
        <v>7166</v>
      </c>
      <c r="AG162" s="24" t="s">
        <v>5396</v>
      </c>
      <c r="AH162" s="5" t="s">
        <v>7166</v>
      </c>
      <c r="AI162" s="5">
        <v>22948.902600000001</v>
      </c>
      <c r="AJ162" s="5">
        <v>22948.902600000001</v>
      </c>
      <c r="AK162">
        <v>21314.011299999998</v>
      </c>
      <c r="AL162" s="5" t="str">
        <f t="shared" si="6"/>
        <v>Байкаловский муниципальный район</v>
      </c>
    </row>
    <row r="163" spans="1:38" ht="15" customHeight="1" x14ac:dyDescent="0.25">
      <c r="A163" s="3" t="s">
        <v>329</v>
      </c>
      <c r="B163" s="3" t="s">
        <v>33</v>
      </c>
      <c r="C163" s="5">
        <v>84298.205100000006</v>
      </c>
      <c r="D163" s="5">
        <v>84298.205100000006</v>
      </c>
      <c r="E163" s="5">
        <v>76333.533100000001</v>
      </c>
      <c r="F163" t="s">
        <v>7249</v>
      </c>
      <c r="G163" s="5" t="str">
        <f t="shared" si="5"/>
        <v>ВИЗ</v>
      </c>
      <c r="J163" s="5"/>
      <c r="AF163" t="s">
        <v>7166</v>
      </c>
      <c r="AG163" s="24" t="s">
        <v>5397</v>
      </c>
      <c r="AH163" s="5" t="s">
        <v>7166</v>
      </c>
      <c r="AI163" s="5">
        <v>22948.902600000001</v>
      </c>
      <c r="AJ163" s="5">
        <v>22948.902600000001</v>
      </c>
      <c r="AK163">
        <v>21314.011299999998</v>
      </c>
      <c r="AL163" s="5" t="str">
        <f t="shared" si="6"/>
        <v>Байкаловский муниципальный район</v>
      </c>
    </row>
    <row r="164" spans="1:38" ht="15" customHeight="1" x14ac:dyDescent="0.25">
      <c r="A164" s="3" t="s">
        <v>335</v>
      </c>
      <c r="B164" s="3" t="s">
        <v>1651</v>
      </c>
      <c r="C164" s="5">
        <v>68129.029500000004</v>
      </c>
      <c r="D164" s="5">
        <v>68129.029500000004</v>
      </c>
      <c r="E164" s="5">
        <v>61692.054799999998</v>
      </c>
      <c r="F164" t="s">
        <v>7249</v>
      </c>
      <c r="G164" s="5" t="str">
        <f t="shared" si="5"/>
        <v>ШАРТАШ</v>
      </c>
      <c r="J164" s="5"/>
      <c r="AF164" t="s">
        <v>7166</v>
      </c>
      <c r="AG164" s="24" t="s">
        <v>5398</v>
      </c>
      <c r="AH164" s="5" t="s">
        <v>7166</v>
      </c>
      <c r="AI164" s="5">
        <v>22948.902600000001</v>
      </c>
      <c r="AJ164" s="5">
        <v>22948.902600000001</v>
      </c>
      <c r="AK164">
        <v>21314.011299999998</v>
      </c>
      <c r="AL164" s="5" t="str">
        <f t="shared" si="6"/>
        <v>Байкаловский муниципальный район</v>
      </c>
    </row>
    <row r="165" spans="1:38" ht="15" customHeight="1" x14ac:dyDescent="0.25">
      <c r="A165" s="3" t="s">
        <v>336</v>
      </c>
      <c r="B165" s="3" t="s">
        <v>1632</v>
      </c>
      <c r="C165" s="5">
        <v>83744.997499999998</v>
      </c>
      <c r="D165" s="5">
        <v>83744.997499999998</v>
      </c>
      <c r="E165" s="5">
        <v>75832.596099999995</v>
      </c>
      <c r="F165" t="s">
        <v>7249</v>
      </c>
      <c r="G165" s="5" t="str">
        <f t="shared" si="5"/>
        <v>АВТОВОКЗАЛ</v>
      </c>
      <c r="J165" s="5"/>
      <c r="AF165" t="s">
        <v>7166</v>
      </c>
      <c r="AG165" s="24" t="s">
        <v>5399</v>
      </c>
      <c r="AH165" s="5" t="s">
        <v>7166</v>
      </c>
      <c r="AI165" s="5">
        <v>22948.902600000001</v>
      </c>
      <c r="AJ165" s="5">
        <v>22948.902600000001</v>
      </c>
      <c r="AK165">
        <v>21314.011299999998</v>
      </c>
      <c r="AL165" s="5" t="str">
        <f t="shared" si="6"/>
        <v>Байкаловский муниципальный район</v>
      </c>
    </row>
    <row r="166" spans="1:38" ht="15" customHeight="1" x14ac:dyDescent="0.25">
      <c r="A166" s="3" t="s">
        <v>337</v>
      </c>
      <c r="B166" s="3" t="s">
        <v>1638</v>
      </c>
      <c r="C166" s="5">
        <v>63640.311600000001</v>
      </c>
      <c r="D166" s="5">
        <v>63640.311600000001</v>
      </c>
      <c r="E166" s="5">
        <v>57627.4473</v>
      </c>
      <c r="F166" t="s">
        <v>7249</v>
      </c>
      <c r="G166" s="5" t="str">
        <f t="shared" si="5"/>
        <v>УКТУС</v>
      </c>
      <c r="J166" s="5"/>
      <c r="AF166" t="s">
        <v>7166</v>
      </c>
      <c r="AG166" s="24" t="s">
        <v>5400</v>
      </c>
      <c r="AH166" s="5" t="s">
        <v>7166</v>
      </c>
      <c r="AI166" s="5">
        <v>22948.902600000001</v>
      </c>
      <c r="AJ166" s="5">
        <v>22948.902600000001</v>
      </c>
      <c r="AK166">
        <v>21314.011299999998</v>
      </c>
      <c r="AL166" s="5" t="str">
        <f t="shared" si="6"/>
        <v>Байкаловский муниципальный район</v>
      </c>
    </row>
    <row r="167" spans="1:38" ht="15" customHeight="1" x14ac:dyDescent="0.25">
      <c r="A167" s="3" t="s">
        <v>338</v>
      </c>
      <c r="B167" s="3" t="s">
        <v>1629</v>
      </c>
      <c r="C167" s="5">
        <v>77743.704100000003</v>
      </c>
      <c r="D167" s="5">
        <v>77743.704100000003</v>
      </c>
      <c r="E167" s="5">
        <v>70398.310800000007</v>
      </c>
      <c r="F167" t="s">
        <v>7249</v>
      </c>
      <c r="G167" s="5" t="str">
        <f t="shared" si="5"/>
        <v>ПИОНЕРСКИЙ</v>
      </c>
      <c r="J167" s="5"/>
      <c r="AF167" t="s">
        <v>7166</v>
      </c>
      <c r="AG167" s="24" t="s">
        <v>5401</v>
      </c>
      <c r="AH167" s="5" t="s">
        <v>7166</v>
      </c>
      <c r="AI167" s="5">
        <v>22948.902600000001</v>
      </c>
      <c r="AJ167" s="5">
        <v>22948.902600000001</v>
      </c>
      <c r="AK167">
        <v>21314.011299999998</v>
      </c>
      <c r="AL167" s="5" t="str">
        <f t="shared" si="6"/>
        <v>Байкаловский муниципальный район</v>
      </c>
    </row>
    <row r="168" spans="1:38" ht="15" customHeight="1" x14ac:dyDescent="0.25">
      <c r="A168" s="3" t="s">
        <v>339</v>
      </c>
      <c r="B168" s="3" t="s">
        <v>1636</v>
      </c>
      <c r="C168" s="5">
        <v>52246.960299999999</v>
      </c>
      <c r="D168" s="5">
        <v>52246.960299999999</v>
      </c>
      <c r="E168" s="5">
        <v>47310.556700000001</v>
      </c>
      <c r="F168" t="s">
        <v>7249</v>
      </c>
      <c r="G168" s="5" t="str">
        <f t="shared" si="5"/>
        <v>ГОРНЫЙ ЩИТ</v>
      </c>
      <c r="J168" s="5"/>
      <c r="AF168" t="s">
        <v>7166</v>
      </c>
      <c r="AG168" s="24" t="s">
        <v>5402</v>
      </c>
      <c r="AH168" s="5" t="s">
        <v>7166</v>
      </c>
      <c r="AI168" s="5">
        <v>22948.902600000001</v>
      </c>
      <c r="AJ168" s="5">
        <v>22948.902600000001</v>
      </c>
      <c r="AK168">
        <v>21314.011299999998</v>
      </c>
      <c r="AL168" s="5" t="str">
        <f t="shared" si="6"/>
        <v>Байкаловский муниципальный район</v>
      </c>
    </row>
    <row r="169" spans="1:38" ht="15" customHeight="1" x14ac:dyDescent="0.25">
      <c r="A169" s="3" t="s">
        <v>340</v>
      </c>
      <c r="B169" s="3" t="s">
        <v>1628</v>
      </c>
      <c r="C169" s="5">
        <v>70734.0236</v>
      </c>
      <c r="D169" s="5">
        <v>70734.0236</v>
      </c>
      <c r="E169" s="5">
        <v>64050.9208</v>
      </c>
      <c r="F169" t="s">
        <v>7249</v>
      </c>
      <c r="G169" s="5" t="str">
        <f t="shared" si="5"/>
        <v>ЭЛЬМАШ</v>
      </c>
      <c r="J169" s="5"/>
      <c r="AF169" t="s">
        <v>7166</v>
      </c>
      <c r="AG169" s="24" t="s">
        <v>5403</v>
      </c>
      <c r="AH169" s="5" t="s">
        <v>7166</v>
      </c>
      <c r="AI169" s="5">
        <v>22948.902600000001</v>
      </c>
      <c r="AJ169" s="5">
        <v>22948.902600000001</v>
      </c>
      <c r="AK169">
        <v>21314.011299999998</v>
      </c>
      <c r="AL169" s="5" t="str">
        <f t="shared" si="6"/>
        <v>Байкаловский муниципальный район</v>
      </c>
    </row>
    <row r="170" spans="1:38" ht="15" customHeight="1" x14ac:dyDescent="0.25">
      <c r="A170" s="3" t="s">
        <v>341</v>
      </c>
      <c r="B170" s="3" t="s">
        <v>1654</v>
      </c>
      <c r="C170" s="5">
        <v>56140.449699999997</v>
      </c>
      <c r="D170" s="5">
        <v>56140.449699999997</v>
      </c>
      <c r="E170" s="5">
        <v>50836.1803</v>
      </c>
      <c r="F170" t="s">
        <v>7249</v>
      </c>
      <c r="G170" s="5" t="str">
        <f t="shared" si="5"/>
        <v>ЗАВОКЗАЛЬНЫЙ</v>
      </c>
      <c r="J170" s="5"/>
      <c r="AF170" t="s">
        <v>7166</v>
      </c>
      <c r="AG170" s="24" t="s">
        <v>5404</v>
      </c>
      <c r="AH170" s="5" t="s">
        <v>7166</v>
      </c>
      <c r="AI170" s="5">
        <v>22948.902600000001</v>
      </c>
      <c r="AJ170" s="5">
        <v>22948.902600000001</v>
      </c>
      <c r="AK170">
        <v>21314.011299999998</v>
      </c>
      <c r="AL170" s="5" t="str">
        <f t="shared" si="6"/>
        <v>Байкаловский муниципальный район</v>
      </c>
    </row>
    <row r="171" spans="1:38" ht="15" customHeight="1" x14ac:dyDescent="0.25">
      <c r="A171" s="3" t="s">
        <v>342</v>
      </c>
      <c r="B171" s="3" t="s">
        <v>1628</v>
      </c>
      <c r="C171" s="5">
        <v>70734.0236</v>
      </c>
      <c r="D171" s="5">
        <v>70734.0236</v>
      </c>
      <c r="E171" s="5">
        <v>64050.9208</v>
      </c>
      <c r="F171" t="s">
        <v>7249</v>
      </c>
      <c r="G171" s="5" t="str">
        <f t="shared" si="5"/>
        <v>ЭЛЬМАШ</v>
      </c>
      <c r="J171" s="5"/>
      <c r="AF171" t="s">
        <v>7166</v>
      </c>
      <c r="AG171" s="24" t="s">
        <v>5405</v>
      </c>
      <c r="AH171" s="5" t="s">
        <v>7166</v>
      </c>
      <c r="AI171" s="5">
        <v>22948.902600000001</v>
      </c>
      <c r="AJ171" s="5">
        <v>22948.902600000001</v>
      </c>
      <c r="AK171">
        <v>21314.011299999998</v>
      </c>
      <c r="AL171" s="5" t="str">
        <f t="shared" si="6"/>
        <v>Байкаловский муниципальный район</v>
      </c>
    </row>
    <row r="172" spans="1:38" ht="15" customHeight="1" x14ac:dyDescent="0.25">
      <c r="A172" s="3" t="s">
        <v>343</v>
      </c>
      <c r="B172" s="3" t="s">
        <v>1657</v>
      </c>
      <c r="C172" s="5">
        <v>54886.9666</v>
      </c>
      <c r="D172" s="5">
        <v>54886.9666</v>
      </c>
      <c r="E172" s="5">
        <v>49701.1319</v>
      </c>
      <c r="F172" t="s">
        <v>7249</v>
      </c>
      <c r="G172" s="5" t="str">
        <f t="shared" si="5"/>
        <v>КОЛЬЦОВО</v>
      </c>
      <c r="J172" s="5"/>
      <c r="AF172" t="s">
        <v>7166</v>
      </c>
      <c r="AG172" s="24" t="s">
        <v>5406</v>
      </c>
      <c r="AH172" s="5" t="s">
        <v>7166</v>
      </c>
      <c r="AI172" s="5">
        <v>22948.902600000001</v>
      </c>
      <c r="AJ172" s="5">
        <v>22948.902600000001</v>
      </c>
      <c r="AK172">
        <v>21314.011299999998</v>
      </c>
      <c r="AL172" s="5" t="str">
        <f t="shared" si="6"/>
        <v>Байкаловский муниципальный район</v>
      </c>
    </row>
    <row r="173" spans="1:38" ht="15" customHeight="1" x14ac:dyDescent="0.25">
      <c r="A173" s="3" t="s">
        <v>346</v>
      </c>
      <c r="B173" s="3" t="s">
        <v>1632</v>
      </c>
      <c r="C173" s="5">
        <v>83744.997499999998</v>
      </c>
      <c r="D173" s="5">
        <v>83744.997499999998</v>
      </c>
      <c r="E173" s="5">
        <v>75832.596099999995</v>
      </c>
      <c r="F173" t="s">
        <v>7249</v>
      </c>
      <c r="G173" s="5" t="str">
        <f t="shared" si="5"/>
        <v>АВТОВОКЗАЛ</v>
      </c>
      <c r="J173" s="5"/>
      <c r="AF173" t="s">
        <v>7166</v>
      </c>
      <c r="AG173" s="24" t="s">
        <v>5407</v>
      </c>
      <c r="AH173" s="5" t="s">
        <v>7166</v>
      </c>
      <c r="AI173" s="5">
        <v>22948.902600000001</v>
      </c>
      <c r="AJ173" s="5">
        <v>22948.902600000001</v>
      </c>
      <c r="AK173">
        <v>21314.011299999998</v>
      </c>
      <c r="AL173" s="5" t="str">
        <f t="shared" si="6"/>
        <v>Байкаловский муниципальный район</v>
      </c>
    </row>
    <row r="174" spans="1:38" ht="15" customHeight="1" x14ac:dyDescent="0.25">
      <c r="A174" s="3" t="s">
        <v>350</v>
      </c>
      <c r="B174" s="3" t="s">
        <v>209</v>
      </c>
      <c r="C174" s="5">
        <v>69382.512499999997</v>
      </c>
      <c r="D174" s="5">
        <v>69382.512499999997</v>
      </c>
      <c r="E174" s="5">
        <v>62827.103199999998</v>
      </c>
      <c r="F174" t="s">
        <v>7249</v>
      </c>
      <c r="G174" s="5" t="str">
        <f t="shared" si="5"/>
        <v>ЖБИ</v>
      </c>
      <c r="J174" s="5"/>
      <c r="AF174" t="s">
        <v>7166</v>
      </c>
      <c r="AG174" s="24" t="s">
        <v>5408</v>
      </c>
      <c r="AH174" s="5" t="s">
        <v>7166</v>
      </c>
      <c r="AI174" s="5">
        <v>22948.902600000001</v>
      </c>
      <c r="AJ174" s="5">
        <v>22948.902600000001</v>
      </c>
      <c r="AK174">
        <v>21314.011299999998</v>
      </c>
      <c r="AL174" s="5" t="str">
        <f t="shared" si="6"/>
        <v>Байкаловский муниципальный район</v>
      </c>
    </row>
    <row r="175" spans="1:38" ht="15" customHeight="1" x14ac:dyDescent="0.25">
      <c r="A175" s="3" t="s">
        <v>351</v>
      </c>
      <c r="B175" s="3" t="s">
        <v>14</v>
      </c>
      <c r="C175" s="5">
        <v>93989.912800000006</v>
      </c>
      <c r="D175" s="5">
        <v>93989.912800000006</v>
      </c>
      <c r="E175" s="5">
        <v>85109.545199999993</v>
      </c>
      <c r="F175" t="s">
        <v>7249</v>
      </c>
      <c r="G175" s="5" t="str">
        <f t="shared" si="5"/>
        <v>Центр</v>
      </c>
      <c r="J175" s="5"/>
      <c r="AF175" t="s">
        <v>7166</v>
      </c>
      <c r="AG175" s="24" t="s">
        <v>5409</v>
      </c>
      <c r="AH175" s="5" t="s">
        <v>7166</v>
      </c>
      <c r="AI175" s="5">
        <v>22948.902600000001</v>
      </c>
      <c r="AJ175" s="5">
        <v>22948.902600000001</v>
      </c>
      <c r="AK175">
        <v>21314.011299999998</v>
      </c>
      <c r="AL175" s="5" t="str">
        <f t="shared" si="6"/>
        <v>Байкаловский муниципальный район</v>
      </c>
    </row>
    <row r="176" spans="1:38" ht="15" customHeight="1" x14ac:dyDescent="0.25">
      <c r="A176" s="3" t="s">
        <v>352</v>
      </c>
      <c r="B176" s="3" t="s">
        <v>1658</v>
      </c>
      <c r="C176" s="5">
        <v>68647.224799999996</v>
      </c>
      <c r="D176" s="5">
        <v>68647.224799999996</v>
      </c>
      <c r="E176" s="5">
        <v>62161.2929</v>
      </c>
      <c r="F176" t="s">
        <v>7249</v>
      </c>
      <c r="G176" s="5" t="str">
        <f t="shared" si="5"/>
        <v>СИНИЕ КАМНИ</v>
      </c>
      <c r="J176" s="5"/>
      <c r="AF176" t="s">
        <v>7166</v>
      </c>
      <c r="AG176" s="24" t="s">
        <v>5410</v>
      </c>
      <c r="AH176" s="5" t="s">
        <v>7166</v>
      </c>
      <c r="AI176" s="5">
        <v>22948.902600000001</v>
      </c>
      <c r="AJ176" s="5">
        <v>22948.902600000001</v>
      </c>
      <c r="AK176">
        <v>21314.011299999998</v>
      </c>
      <c r="AL176" s="5" t="str">
        <f t="shared" si="6"/>
        <v>Байкаловский муниципальный район</v>
      </c>
    </row>
    <row r="177" spans="1:38" ht="15" customHeight="1" x14ac:dyDescent="0.25">
      <c r="A177" s="3" t="s">
        <v>353</v>
      </c>
      <c r="B177" s="3" t="s">
        <v>14</v>
      </c>
      <c r="C177" s="5">
        <v>93989.912800000006</v>
      </c>
      <c r="D177" s="5">
        <v>93989.912800000006</v>
      </c>
      <c r="E177" s="5">
        <v>85109.545199999993</v>
      </c>
      <c r="F177" t="s">
        <v>7249</v>
      </c>
      <c r="G177" s="5" t="str">
        <f t="shared" si="5"/>
        <v>Центр</v>
      </c>
      <c r="J177" s="5"/>
      <c r="AF177" t="s">
        <v>7166</v>
      </c>
      <c r="AG177" s="24" t="s">
        <v>5411</v>
      </c>
      <c r="AH177" s="5" t="s">
        <v>7166</v>
      </c>
      <c r="AI177" s="5">
        <v>22948.902600000001</v>
      </c>
      <c r="AJ177" s="5">
        <v>22948.902600000001</v>
      </c>
      <c r="AK177">
        <v>21314.011299999998</v>
      </c>
      <c r="AL177" s="5" t="str">
        <f t="shared" si="6"/>
        <v>Байкаловский муниципальный район</v>
      </c>
    </row>
    <row r="178" spans="1:38" ht="15" customHeight="1" x14ac:dyDescent="0.25">
      <c r="A178" s="3" t="s">
        <v>354</v>
      </c>
      <c r="B178" s="3" t="s">
        <v>14</v>
      </c>
      <c r="C178" s="5">
        <v>93989.912800000006</v>
      </c>
      <c r="D178" s="5">
        <v>93989.912800000006</v>
      </c>
      <c r="E178" s="5">
        <v>85109.545199999993</v>
      </c>
      <c r="F178" t="s">
        <v>7249</v>
      </c>
      <c r="G178" s="5" t="str">
        <f t="shared" si="5"/>
        <v>Центр</v>
      </c>
      <c r="J178" s="5"/>
      <c r="AF178" t="s">
        <v>7166</v>
      </c>
      <c r="AG178" s="24" t="s">
        <v>5412</v>
      </c>
      <c r="AH178" s="5" t="s">
        <v>7166</v>
      </c>
      <c r="AI178" s="5">
        <v>22948.902600000001</v>
      </c>
      <c r="AJ178" s="5">
        <v>22948.902600000001</v>
      </c>
      <c r="AK178">
        <v>21314.011299999998</v>
      </c>
      <c r="AL178" s="5" t="str">
        <f t="shared" si="6"/>
        <v>Байкаловский муниципальный район</v>
      </c>
    </row>
    <row r="179" spans="1:38" ht="15" customHeight="1" x14ac:dyDescent="0.25">
      <c r="A179" s="3" t="s">
        <v>355</v>
      </c>
      <c r="B179" s="3" t="s">
        <v>1650</v>
      </c>
      <c r="C179" s="5">
        <v>37590.3603</v>
      </c>
      <c r="D179" s="5">
        <v>37590.3603</v>
      </c>
      <c r="E179" s="5">
        <v>34038.745900000002</v>
      </c>
      <c r="F179" t="s">
        <v>7249</v>
      </c>
      <c r="G179" s="5" t="str">
        <f t="shared" si="5"/>
        <v>ШАБРОВСКИЙ</v>
      </c>
      <c r="J179" s="5"/>
      <c r="AF179" t="s">
        <v>7166</v>
      </c>
      <c r="AG179" s="24" t="s">
        <v>5413</v>
      </c>
      <c r="AH179" s="5" t="s">
        <v>7166</v>
      </c>
      <c r="AI179" s="5">
        <v>22948.902600000001</v>
      </c>
      <c r="AJ179" s="5">
        <v>22948.902600000001</v>
      </c>
      <c r="AK179">
        <v>21314.011299999998</v>
      </c>
      <c r="AL179" s="5" t="str">
        <f t="shared" si="6"/>
        <v>Байкаловский муниципальный район</v>
      </c>
    </row>
    <row r="180" spans="1:38" ht="15" customHeight="1" x14ac:dyDescent="0.25">
      <c r="A180" s="3" t="s">
        <v>356</v>
      </c>
      <c r="B180" s="3" t="s">
        <v>1634</v>
      </c>
      <c r="C180" s="5">
        <v>77064.444199999998</v>
      </c>
      <c r="D180" s="5">
        <v>77064.444199999998</v>
      </c>
      <c r="E180" s="5">
        <v>69783.233200000002</v>
      </c>
      <c r="F180" t="s">
        <v>7249</v>
      </c>
      <c r="G180" s="5" t="str">
        <f t="shared" si="5"/>
        <v>БОТАНИЧЕСКИЙ</v>
      </c>
      <c r="J180" s="5"/>
      <c r="AF180" t="s">
        <v>7166</v>
      </c>
      <c r="AG180" s="24" t="s">
        <v>5414</v>
      </c>
      <c r="AH180" s="5" t="s">
        <v>7166</v>
      </c>
      <c r="AI180" s="5">
        <v>22948.902600000001</v>
      </c>
      <c r="AJ180" s="5">
        <v>22948.902600000001</v>
      </c>
      <c r="AK180">
        <v>21314.011299999998</v>
      </c>
      <c r="AL180" s="5" t="str">
        <f t="shared" si="6"/>
        <v>Байкаловский муниципальный район</v>
      </c>
    </row>
    <row r="181" spans="1:38" ht="15" customHeight="1" x14ac:dyDescent="0.25">
      <c r="A181" s="3" t="s">
        <v>357</v>
      </c>
      <c r="B181" s="3" t="s">
        <v>1659</v>
      </c>
      <c r="C181" s="5">
        <v>59746.832600000002</v>
      </c>
      <c r="D181" s="5">
        <v>59746.832600000002</v>
      </c>
      <c r="E181" s="5">
        <v>54101.823700000001</v>
      </c>
      <c r="F181" t="s">
        <v>7249</v>
      </c>
      <c r="G181" s="5" t="str">
        <f t="shared" si="5"/>
        <v>СОВХОЗ</v>
      </c>
      <c r="J181" s="5"/>
      <c r="AF181" t="s">
        <v>7166</v>
      </c>
      <c r="AG181" s="24" t="s">
        <v>5415</v>
      </c>
      <c r="AH181" s="5" t="s">
        <v>7166</v>
      </c>
      <c r="AI181" s="5">
        <v>22948.902600000001</v>
      </c>
      <c r="AJ181" s="5">
        <v>22948.902600000001</v>
      </c>
      <c r="AK181">
        <v>21314.011299999998</v>
      </c>
      <c r="AL181" s="5" t="str">
        <f t="shared" si="6"/>
        <v>Байкаловский муниципальный район</v>
      </c>
    </row>
    <row r="182" spans="1:38" ht="15" customHeight="1" x14ac:dyDescent="0.25">
      <c r="A182" s="3" t="s">
        <v>359</v>
      </c>
      <c r="B182" s="3" t="s">
        <v>14</v>
      </c>
      <c r="C182" s="5">
        <v>93989.912800000006</v>
      </c>
      <c r="D182" s="5">
        <v>93989.912800000006</v>
      </c>
      <c r="E182" s="5">
        <v>85109.545199999993</v>
      </c>
      <c r="F182" t="s">
        <v>7249</v>
      </c>
      <c r="G182" s="5" t="str">
        <f t="shared" si="5"/>
        <v>Центр</v>
      </c>
      <c r="J182" s="5"/>
      <c r="AF182" t="s">
        <v>7166</v>
      </c>
      <c r="AG182" s="24" t="s">
        <v>5416</v>
      </c>
      <c r="AH182" s="5" t="s">
        <v>7166</v>
      </c>
      <c r="AI182" s="5">
        <v>22948.902600000001</v>
      </c>
      <c r="AJ182" s="5">
        <v>22948.902600000001</v>
      </c>
      <c r="AK182">
        <v>21314.011299999998</v>
      </c>
      <c r="AL182" s="5" t="str">
        <f t="shared" si="6"/>
        <v>Байкаловский муниципальный район</v>
      </c>
    </row>
    <row r="183" spans="1:38" ht="15" customHeight="1" x14ac:dyDescent="0.25">
      <c r="A183" s="3" t="s">
        <v>360</v>
      </c>
      <c r="B183" s="3" t="s">
        <v>14</v>
      </c>
      <c r="C183" s="5">
        <v>93989.912800000006</v>
      </c>
      <c r="D183" s="5">
        <v>93989.912800000006</v>
      </c>
      <c r="E183" s="5">
        <v>85109.545199999993</v>
      </c>
      <c r="F183" t="s">
        <v>7249</v>
      </c>
      <c r="G183" s="5" t="str">
        <f t="shared" si="5"/>
        <v>Центр</v>
      </c>
      <c r="J183" s="5"/>
      <c r="AF183" t="s">
        <v>7166</v>
      </c>
      <c r="AG183" s="24" t="s">
        <v>5417</v>
      </c>
      <c r="AH183" s="5" t="s">
        <v>7166</v>
      </c>
      <c r="AI183" s="5">
        <v>22948.902600000001</v>
      </c>
      <c r="AJ183" s="5">
        <v>22948.902600000001</v>
      </c>
      <c r="AK183">
        <v>21314.011299999998</v>
      </c>
      <c r="AL183" s="5" t="str">
        <f t="shared" si="6"/>
        <v>Байкаловский муниципальный район</v>
      </c>
    </row>
    <row r="184" spans="1:38" ht="15" customHeight="1" x14ac:dyDescent="0.25">
      <c r="A184" s="3" t="s">
        <v>361</v>
      </c>
      <c r="B184" s="3" t="s">
        <v>1634</v>
      </c>
      <c r="C184" s="5">
        <v>77064.444199999998</v>
      </c>
      <c r="D184" s="5">
        <v>77064.444199999998</v>
      </c>
      <c r="E184" s="5">
        <v>69783.233200000002</v>
      </c>
      <c r="F184" t="s">
        <v>7249</v>
      </c>
      <c r="G184" s="5" t="str">
        <f t="shared" si="5"/>
        <v>БОТАНИЧЕСКИЙ</v>
      </c>
      <c r="J184" s="5"/>
      <c r="AF184" t="s">
        <v>7166</v>
      </c>
      <c r="AG184" s="24" t="s">
        <v>5418</v>
      </c>
      <c r="AH184" s="5" t="s">
        <v>7166</v>
      </c>
      <c r="AI184" s="5">
        <v>22948.902600000001</v>
      </c>
      <c r="AJ184" s="5">
        <v>22948.902600000001</v>
      </c>
      <c r="AK184">
        <v>21314.011299999998</v>
      </c>
      <c r="AL184" s="5" t="str">
        <f t="shared" si="6"/>
        <v>Байкаловский муниципальный район</v>
      </c>
    </row>
    <row r="185" spans="1:38" ht="15" customHeight="1" x14ac:dyDescent="0.25">
      <c r="A185" s="3" t="s">
        <v>362</v>
      </c>
      <c r="B185" s="3" t="s">
        <v>1660</v>
      </c>
      <c r="C185" s="5">
        <v>53262.345800000003</v>
      </c>
      <c r="D185" s="5">
        <v>53262.345800000003</v>
      </c>
      <c r="E185" s="5">
        <v>48230.0095</v>
      </c>
      <c r="F185" t="s">
        <v>7249</v>
      </c>
      <c r="G185" s="5" t="str">
        <f t="shared" si="5"/>
        <v>САДОВЫЙ</v>
      </c>
      <c r="J185" s="5"/>
      <c r="AF185" t="s">
        <v>7166</v>
      </c>
      <c r="AG185" s="24" t="s">
        <v>5419</v>
      </c>
      <c r="AH185" s="5" t="s">
        <v>7166</v>
      </c>
      <c r="AI185" s="5">
        <v>22948.902600000001</v>
      </c>
      <c r="AJ185" s="5">
        <v>22948.902600000001</v>
      </c>
      <c r="AK185">
        <v>21314.011299999998</v>
      </c>
      <c r="AL185" s="5" t="str">
        <f t="shared" si="6"/>
        <v>Байкаловский муниципальный район</v>
      </c>
    </row>
    <row r="186" spans="1:38" ht="15" customHeight="1" x14ac:dyDescent="0.25">
      <c r="A186" s="3" t="s">
        <v>363</v>
      </c>
      <c r="B186" s="3" t="s">
        <v>1628</v>
      </c>
      <c r="C186" s="5">
        <v>70734.0236</v>
      </c>
      <c r="D186" s="5">
        <v>70734.0236</v>
      </c>
      <c r="E186" s="5">
        <v>64050.9208</v>
      </c>
      <c r="F186" t="s">
        <v>7249</v>
      </c>
      <c r="G186" s="5" t="str">
        <f t="shared" si="5"/>
        <v>ЭЛЬМАШ</v>
      </c>
      <c r="J186" s="5"/>
      <c r="AF186" t="s">
        <v>7166</v>
      </c>
      <c r="AG186" s="24" t="s">
        <v>5420</v>
      </c>
      <c r="AH186" s="5" t="s">
        <v>7166</v>
      </c>
      <c r="AI186" s="5">
        <v>22948.902600000001</v>
      </c>
      <c r="AJ186" s="5">
        <v>22948.902600000001</v>
      </c>
      <c r="AK186">
        <v>21314.011299999998</v>
      </c>
      <c r="AL186" s="5" t="str">
        <f t="shared" si="6"/>
        <v>Байкаловский муниципальный район</v>
      </c>
    </row>
    <row r="187" spans="1:38" ht="15" customHeight="1" x14ac:dyDescent="0.25">
      <c r="A187" s="3" t="s">
        <v>370</v>
      </c>
      <c r="B187" s="3" t="s">
        <v>1643</v>
      </c>
      <c r="C187" s="5">
        <v>76630.280299999999</v>
      </c>
      <c r="D187" s="5">
        <v>76630.280299999999</v>
      </c>
      <c r="E187" s="5">
        <v>69390.088799999998</v>
      </c>
      <c r="F187" t="s">
        <v>7249</v>
      </c>
      <c r="G187" s="5" t="str">
        <f t="shared" si="5"/>
        <v>Ю-З</v>
      </c>
      <c r="J187" s="5"/>
      <c r="AF187" t="s">
        <v>7166</v>
      </c>
      <c r="AG187" s="24" t="s">
        <v>5421</v>
      </c>
      <c r="AH187" s="5" t="s">
        <v>7166</v>
      </c>
      <c r="AI187" s="5">
        <v>22948.902600000001</v>
      </c>
      <c r="AJ187" s="5">
        <v>22948.902600000001</v>
      </c>
      <c r="AK187">
        <v>21314.011299999998</v>
      </c>
      <c r="AL187" s="5" t="str">
        <f t="shared" si="6"/>
        <v>Байкаловский муниципальный район</v>
      </c>
    </row>
    <row r="188" spans="1:38" ht="15" customHeight="1" x14ac:dyDescent="0.25">
      <c r="A188" s="3" t="s">
        <v>371</v>
      </c>
      <c r="B188" s="3" t="s">
        <v>1643</v>
      </c>
      <c r="C188" s="5">
        <v>76630.280299999999</v>
      </c>
      <c r="D188" s="5">
        <v>76630.280299999999</v>
      </c>
      <c r="E188" s="5">
        <v>69390.088799999998</v>
      </c>
      <c r="F188" t="s">
        <v>7249</v>
      </c>
      <c r="G188" s="5" t="str">
        <f t="shared" si="5"/>
        <v>Ю-З</v>
      </c>
      <c r="J188" s="5"/>
      <c r="AF188" t="s">
        <v>7166</v>
      </c>
      <c r="AG188" s="24" t="s">
        <v>5422</v>
      </c>
      <c r="AH188" s="5" t="s">
        <v>7166</v>
      </c>
      <c r="AI188" s="5">
        <v>22948.902600000001</v>
      </c>
      <c r="AJ188" s="5">
        <v>22948.902600000001</v>
      </c>
      <c r="AK188">
        <v>21314.011299999998</v>
      </c>
      <c r="AL188" s="5" t="str">
        <f t="shared" si="6"/>
        <v>Байкаловский муниципальный район</v>
      </c>
    </row>
    <row r="189" spans="1:38" ht="15" customHeight="1" x14ac:dyDescent="0.25">
      <c r="A189" s="3" t="s">
        <v>372</v>
      </c>
      <c r="B189" s="3" t="s">
        <v>1630</v>
      </c>
      <c r="C189" s="5">
        <v>62652.9401</v>
      </c>
      <c r="D189" s="5">
        <v>62652.9401</v>
      </c>
      <c r="E189" s="5">
        <v>56733.3557</v>
      </c>
      <c r="F189" t="s">
        <v>7249</v>
      </c>
      <c r="G189" s="5" t="str">
        <f t="shared" si="5"/>
        <v>ЧЕРМЕТ</v>
      </c>
      <c r="J189" s="5"/>
      <c r="AF189" t="s">
        <v>7166</v>
      </c>
      <c r="AG189" s="24" t="s">
        <v>5423</v>
      </c>
      <c r="AH189" s="5" t="s">
        <v>7166</v>
      </c>
      <c r="AI189" s="5">
        <v>22948.902600000001</v>
      </c>
      <c r="AJ189" s="5">
        <v>22948.902600000001</v>
      </c>
      <c r="AK189">
        <v>21314.011299999998</v>
      </c>
      <c r="AL189" s="5" t="str">
        <f t="shared" si="6"/>
        <v>Байкаловский муниципальный район</v>
      </c>
    </row>
    <row r="190" spans="1:38" ht="15" customHeight="1" x14ac:dyDescent="0.25">
      <c r="A190" s="3" t="s">
        <v>373</v>
      </c>
      <c r="B190" s="3" t="s">
        <v>1629</v>
      </c>
      <c r="C190" s="5">
        <v>77743.704100000003</v>
      </c>
      <c r="D190" s="5">
        <v>77743.704100000003</v>
      </c>
      <c r="E190" s="5">
        <v>70398.310800000007</v>
      </c>
      <c r="F190" t="s">
        <v>7249</v>
      </c>
      <c r="G190" s="5" t="str">
        <f t="shared" si="5"/>
        <v>ПИОНЕРСКИЙ</v>
      </c>
      <c r="J190" s="5"/>
      <c r="AF190" t="s">
        <v>7166</v>
      </c>
      <c r="AG190" s="24" t="s">
        <v>5424</v>
      </c>
      <c r="AH190" s="5" t="s">
        <v>7166</v>
      </c>
      <c r="AI190" s="5">
        <v>22948.902600000001</v>
      </c>
      <c r="AJ190" s="5">
        <v>22948.902600000001</v>
      </c>
      <c r="AK190">
        <v>21314.011299999998</v>
      </c>
      <c r="AL190" s="5" t="str">
        <f t="shared" si="6"/>
        <v>Байкаловский муниципальный район</v>
      </c>
    </row>
    <row r="191" spans="1:38" ht="15" customHeight="1" x14ac:dyDescent="0.25">
      <c r="A191" s="3" t="s">
        <v>374</v>
      </c>
      <c r="B191" s="3" t="s">
        <v>1644</v>
      </c>
      <c r="C191" s="5">
        <v>61980.678599999999</v>
      </c>
      <c r="D191" s="5">
        <v>61980.678599999999</v>
      </c>
      <c r="E191" s="5">
        <v>56124.615700000002</v>
      </c>
      <c r="F191" t="s">
        <v>7249</v>
      </c>
      <c r="G191" s="5" t="str">
        <f t="shared" si="5"/>
        <v>ХИММАШ</v>
      </c>
      <c r="J191" s="5"/>
      <c r="AF191" t="s">
        <v>7166</v>
      </c>
      <c r="AG191" s="24" t="s">
        <v>5425</v>
      </c>
      <c r="AH191" s="5" t="s">
        <v>7166</v>
      </c>
      <c r="AI191" s="5">
        <v>22948.902600000001</v>
      </c>
      <c r="AJ191" s="5">
        <v>22948.902600000001</v>
      </c>
      <c r="AK191">
        <v>21314.011299999998</v>
      </c>
      <c r="AL191" s="5" t="str">
        <f t="shared" si="6"/>
        <v>Байкаловский муниципальный район</v>
      </c>
    </row>
    <row r="192" spans="1:38" ht="15" customHeight="1" x14ac:dyDescent="0.25">
      <c r="A192" s="3" t="s">
        <v>375</v>
      </c>
      <c r="B192" s="3" t="s">
        <v>1659</v>
      </c>
      <c r="C192" s="5">
        <v>59746.832600000002</v>
      </c>
      <c r="D192" s="5">
        <v>59746.832600000002</v>
      </c>
      <c r="E192" s="5">
        <v>54101.823700000001</v>
      </c>
      <c r="F192" t="s">
        <v>7249</v>
      </c>
      <c r="G192" s="5" t="str">
        <f t="shared" si="5"/>
        <v>СОВХОЗ</v>
      </c>
      <c r="J192" s="5"/>
      <c r="AF192" t="s">
        <v>7166</v>
      </c>
      <c r="AG192" s="24" t="s">
        <v>5426</v>
      </c>
      <c r="AH192" s="5" t="s">
        <v>7166</v>
      </c>
      <c r="AI192" s="5">
        <v>22948.902600000001</v>
      </c>
      <c r="AJ192" s="5">
        <v>22948.902600000001</v>
      </c>
      <c r="AK192">
        <v>21314.011299999998</v>
      </c>
      <c r="AL192" s="5" t="str">
        <f t="shared" si="6"/>
        <v>Байкаловский муниципальный район</v>
      </c>
    </row>
    <row r="193" spans="1:38" ht="15" customHeight="1" x14ac:dyDescent="0.25">
      <c r="A193" s="3" t="s">
        <v>376</v>
      </c>
      <c r="B193" s="3" t="s">
        <v>1630</v>
      </c>
      <c r="C193" s="5">
        <v>62652.9401</v>
      </c>
      <c r="D193" s="5">
        <v>62652.9401</v>
      </c>
      <c r="E193" s="5">
        <v>56733.3557</v>
      </c>
      <c r="F193" t="s">
        <v>7249</v>
      </c>
      <c r="G193" s="5" t="str">
        <f t="shared" si="5"/>
        <v>ЧЕРМЕТ</v>
      </c>
      <c r="J193" s="5"/>
      <c r="AF193" t="s">
        <v>7166</v>
      </c>
      <c r="AG193" s="24" t="s">
        <v>5427</v>
      </c>
      <c r="AH193" s="5" t="s">
        <v>7166</v>
      </c>
      <c r="AI193" s="5">
        <v>22948.902600000001</v>
      </c>
      <c r="AJ193" s="5">
        <v>22948.902600000001</v>
      </c>
      <c r="AK193">
        <v>21314.011299999998</v>
      </c>
      <c r="AL193" s="5" t="str">
        <f t="shared" si="6"/>
        <v>Байкаловский муниципальный район</v>
      </c>
    </row>
    <row r="194" spans="1:38" ht="15" customHeight="1" x14ac:dyDescent="0.25">
      <c r="A194" s="3" t="s">
        <v>378</v>
      </c>
      <c r="B194" s="3" t="s">
        <v>1643</v>
      </c>
      <c r="C194" s="5">
        <v>76630.280299999999</v>
      </c>
      <c r="D194" s="5">
        <v>76630.280299999999</v>
      </c>
      <c r="E194" s="5">
        <v>69390.088799999998</v>
      </c>
      <c r="F194" t="s">
        <v>7249</v>
      </c>
      <c r="G194" s="5" t="str">
        <f t="shared" si="5"/>
        <v>Ю-З</v>
      </c>
      <c r="J194" s="5"/>
      <c r="AF194" t="s">
        <v>7166</v>
      </c>
      <c r="AG194" s="24" t="s">
        <v>5428</v>
      </c>
      <c r="AH194" s="5" t="s">
        <v>7166</v>
      </c>
      <c r="AI194" s="5">
        <v>23523.734799999998</v>
      </c>
      <c r="AJ194" s="5">
        <v>23523.734799999998</v>
      </c>
      <c r="AK194">
        <v>21847.8858</v>
      </c>
      <c r="AL194" s="5" t="str">
        <f t="shared" si="6"/>
        <v>Байкаловский муниципальный район</v>
      </c>
    </row>
    <row r="195" spans="1:38" ht="15" customHeight="1" x14ac:dyDescent="0.25">
      <c r="A195" s="3" t="s">
        <v>380</v>
      </c>
      <c r="B195" s="3" t="s">
        <v>1629</v>
      </c>
      <c r="C195" s="5">
        <v>77743.704100000003</v>
      </c>
      <c r="D195" s="5">
        <v>77743.704100000003</v>
      </c>
      <c r="E195" s="5">
        <v>70398.310800000007</v>
      </c>
      <c r="F195" t="s">
        <v>7249</v>
      </c>
      <c r="G195" s="5" t="str">
        <f t="shared" si="5"/>
        <v>ПИОНЕРСКИЙ</v>
      </c>
      <c r="J195" s="5"/>
      <c r="AF195" t="s">
        <v>7166</v>
      </c>
      <c r="AG195" s="24" t="s">
        <v>5429</v>
      </c>
      <c r="AH195" s="5" t="s">
        <v>7166</v>
      </c>
      <c r="AI195" s="5">
        <v>22948.902600000001</v>
      </c>
      <c r="AJ195" s="5">
        <v>22948.902600000001</v>
      </c>
      <c r="AK195">
        <v>21314.011299999998</v>
      </c>
      <c r="AL195" s="5" t="str">
        <f t="shared" si="6"/>
        <v>Байкаловский муниципальный район</v>
      </c>
    </row>
    <row r="196" spans="1:38" ht="15" customHeight="1" x14ac:dyDescent="0.25">
      <c r="A196" s="3" t="s">
        <v>383</v>
      </c>
      <c r="B196" s="3" t="s">
        <v>33</v>
      </c>
      <c r="C196" s="5">
        <v>84298.205100000006</v>
      </c>
      <c r="D196" s="5">
        <v>84298.205100000006</v>
      </c>
      <c r="E196" s="5">
        <v>76333.533100000001</v>
      </c>
      <c r="F196" t="s">
        <v>7249</v>
      </c>
      <c r="G196" s="5" t="str">
        <f t="shared" ref="G196:G259" si="7">B196</f>
        <v>ВИЗ</v>
      </c>
      <c r="J196" s="5"/>
      <c r="AF196" t="s">
        <v>7166</v>
      </c>
      <c r="AG196" s="24" t="s">
        <v>5430</v>
      </c>
      <c r="AH196" s="5" t="s">
        <v>7166</v>
      </c>
      <c r="AI196" s="5">
        <v>22948.902600000001</v>
      </c>
      <c r="AJ196" s="5">
        <v>22948.902600000001</v>
      </c>
      <c r="AK196">
        <v>21314.011299999998</v>
      </c>
      <c r="AL196" s="5" t="str">
        <f t="shared" ref="AL196:AL259" si="8">AF196</f>
        <v>Байкаловский муниципальный район</v>
      </c>
    </row>
    <row r="197" spans="1:38" ht="15" customHeight="1" x14ac:dyDescent="0.25">
      <c r="A197" s="3" t="s">
        <v>385</v>
      </c>
      <c r="B197" s="3" t="s">
        <v>1643</v>
      </c>
      <c r="C197" s="5">
        <v>76630.280299999999</v>
      </c>
      <c r="D197" s="5">
        <v>76630.280299999999</v>
      </c>
      <c r="E197" s="5">
        <v>69390.088799999998</v>
      </c>
      <c r="F197" t="s">
        <v>7249</v>
      </c>
      <c r="G197" s="5" t="str">
        <f t="shared" si="7"/>
        <v>Ю-З</v>
      </c>
      <c r="J197" s="5"/>
      <c r="AF197" t="s">
        <v>7166</v>
      </c>
      <c r="AG197" s="24" t="s">
        <v>5431</v>
      </c>
      <c r="AH197" s="5" t="s">
        <v>7166</v>
      </c>
      <c r="AI197" s="5">
        <v>22948.902600000001</v>
      </c>
      <c r="AJ197" s="5">
        <v>22948.902600000001</v>
      </c>
      <c r="AK197">
        <v>21314.011299999998</v>
      </c>
      <c r="AL197" s="5" t="str">
        <f t="shared" si="8"/>
        <v>Байкаловский муниципальный район</v>
      </c>
    </row>
    <row r="198" spans="1:38" ht="15" customHeight="1" x14ac:dyDescent="0.25">
      <c r="A198" s="3" t="s">
        <v>387</v>
      </c>
      <c r="B198" s="3" t="s">
        <v>1638</v>
      </c>
      <c r="C198" s="5">
        <v>63640.311600000001</v>
      </c>
      <c r="D198" s="5">
        <v>63640.311600000001</v>
      </c>
      <c r="E198" s="5">
        <v>57627.4473</v>
      </c>
      <c r="F198" t="s">
        <v>7249</v>
      </c>
      <c r="G198" s="5" t="str">
        <f t="shared" si="7"/>
        <v>УКТУС</v>
      </c>
      <c r="J198" s="5"/>
      <c r="AF198" t="s">
        <v>7166</v>
      </c>
      <c r="AG198" s="24" t="s">
        <v>5432</v>
      </c>
      <c r="AH198" s="5" t="s">
        <v>7166</v>
      </c>
      <c r="AI198" s="5">
        <v>22948.902600000001</v>
      </c>
      <c r="AJ198" s="5">
        <v>22948.902600000001</v>
      </c>
      <c r="AK198">
        <v>21314.011299999998</v>
      </c>
      <c r="AL198" s="5" t="str">
        <f t="shared" si="8"/>
        <v>Байкаловский муниципальный район</v>
      </c>
    </row>
    <row r="199" spans="1:38" ht="15" customHeight="1" x14ac:dyDescent="0.25">
      <c r="A199" s="3" t="s">
        <v>388</v>
      </c>
      <c r="B199" s="3" t="s">
        <v>1661</v>
      </c>
      <c r="C199" s="5">
        <v>51175.5573</v>
      </c>
      <c r="D199" s="5">
        <v>51175.5573</v>
      </c>
      <c r="E199" s="5">
        <v>46340.381600000001</v>
      </c>
      <c r="F199" t="s">
        <v>7249</v>
      </c>
      <c r="G199" s="5" t="str">
        <f t="shared" si="7"/>
        <v>СЕВЕРКА</v>
      </c>
      <c r="J199" s="5"/>
      <c r="AF199" t="s">
        <v>7166</v>
      </c>
      <c r="AG199" s="24" t="s">
        <v>5433</v>
      </c>
      <c r="AH199" s="5" t="s">
        <v>7166</v>
      </c>
      <c r="AI199" s="5">
        <v>22948.902600000001</v>
      </c>
      <c r="AJ199" s="5">
        <v>22948.902600000001</v>
      </c>
      <c r="AK199">
        <v>21314.011299999998</v>
      </c>
      <c r="AL199" s="5" t="str">
        <f t="shared" si="8"/>
        <v>Байкаловский муниципальный район</v>
      </c>
    </row>
    <row r="200" spans="1:38" ht="15" customHeight="1" x14ac:dyDescent="0.25">
      <c r="A200" s="3" t="s">
        <v>390</v>
      </c>
      <c r="B200" s="3" t="s">
        <v>1630</v>
      </c>
      <c r="C200" s="5">
        <v>62652.9401</v>
      </c>
      <c r="D200" s="5">
        <v>62652.9401</v>
      </c>
      <c r="E200" s="5">
        <v>56733.3557</v>
      </c>
      <c r="F200" t="s">
        <v>7249</v>
      </c>
      <c r="G200" s="5" t="str">
        <f t="shared" si="7"/>
        <v>ЧЕРМЕТ</v>
      </c>
      <c r="J200" s="5"/>
      <c r="AF200" t="s">
        <v>7166</v>
      </c>
      <c r="AG200" s="24" t="s">
        <v>5434</v>
      </c>
      <c r="AH200" s="5" t="s">
        <v>7166</v>
      </c>
      <c r="AI200" s="5">
        <v>22948.902600000001</v>
      </c>
      <c r="AJ200" s="5">
        <v>22948.902600000001</v>
      </c>
      <c r="AK200">
        <v>21314.011299999998</v>
      </c>
      <c r="AL200" s="5" t="str">
        <f t="shared" si="8"/>
        <v>Байкаловский муниципальный район</v>
      </c>
    </row>
    <row r="201" spans="1:38" ht="15" customHeight="1" x14ac:dyDescent="0.25">
      <c r="A201" s="3" t="s">
        <v>392</v>
      </c>
      <c r="B201" s="3" t="s">
        <v>33</v>
      </c>
      <c r="C201" s="5">
        <v>84298.205100000006</v>
      </c>
      <c r="D201" s="5">
        <v>84298.205100000006</v>
      </c>
      <c r="E201" s="5">
        <v>76333.533100000001</v>
      </c>
      <c r="F201" t="s">
        <v>7249</v>
      </c>
      <c r="G201" s="5" t="str">
        <f t="shared" si="7"/>
        <v>ВИЗ</v>
      </c>
      <c r="J201" s="5"/>
      <c r="AF201" t="s">
        <v>7166</v>
      </c>
      <c r="AG201" s="24" t="s">
        <v>5435</v>
      </c>
      <c r="AH201" s="5" t="s">
        <v>7166</v>
      </c>
      <c r="AI201" s="5">
        <v>22948.902600000001</v>
      </c>
      <c r="AJ201" s="5">
        <v>22948.902600000001</v>
      </c>
      <c r="AK201">
        <v>21314.011299999998</v>
      </c>
      <c r="AL201" s="5" t="str">
        <f t="shared" si="8"/>
        <v>Байкаловский муниципальный район</v>
      </c>
    </row>
    <row r="202" spans="1:38" ht="15" customHeight="1" x14ac:dyDescent="0.25">
      <c r="A202" s="3" t="s">
        <v>394</v>
      </c>
      <c r="B202" s="3" t="s">
        <v>1638</v>
      </c>
      <c r="C202" s="5">
        <v>63640.311600000001</v>
      </c>
      <c r="D202" s="5">
        <v>63640.311600000001</v>
      </c>
      <c r="E202" s="5">
        <v>57627.4473</v>
      </c>
      <c r="F202" t="s">
        <v>7249</v>
      </c>
      <c r="G202" s="5" t="str">
        <f t="shared" si="7"/>
        <v>УКТУС</v>
      </c>
      <c r="J202" s="5"/>
      <c r="AF202" t="s">
        <v>7166</v>
      </c>
      <c r="AG202" s="24" t="s">
        <v>5436</v>
      </c>
      <c r="AH202" s="5" t="s">
        <v>7166</v>
      </c>
      <c r="AI202" s="5">
        <v>22948.902600000001</v>
      </c>
      <c r="AJ202" s="5">
        <v>22948.902600000001</v>
      </c>
      <c r="AK202">
        <v>21314.011299999998</v>
      </c>
      <c r="AL202" s="5" t="str">
        <f t="shared" si="8"/>
        <v>Байкаловский муниципальный район</v>
      </c>
    </row>
    <row r="203" spans="1:38" ht="15" customHeight="1" x14ac:dyDescent="0.25">
      <c r="A203" s="3" t="s">
        <v>395</v>
      </c>
      <c r="B203" s="3" t="s">
        <v>14</v>
      </c>
      <c r="C203" s="5">
        <v>93989.912800000006</v>
      </c>
      <c r="D203" s="5">
        <v>93989.912800000006</v>
      </c>
      <c r="E203" s="5">
        <v>85109.545199999993</v>
      </c>
      <c r="F203" t="s">
        <v>7249</v>
      </c>
      <c r="G203" s="5" t="str">
        <f t="shared" si="7"/>
        <v>Центр</v>
      </c>
      <c r="J203" s="5"/>
      <c r="AF203" t="s">
        <v>7166</v>
      </c>
      <c r="AG203" s="24" t="s">
        <v>5437</v>
      </c>
      <c r="AH203" s="5" t="s">
        <v>7166</v>
      </c>
      <c r="AI203" s="5">
        <v>22948.902600000001</v>
      </c>
      <c r="AJ203" s="5">
        <v>22948.902600000001</v>
      </c>
      <c r="AK203">
        <v>21314.011299999998</v>
      </c>
      <c r="AL203" s="5" t="str">
        <f t="shared" si="8"/>
        <v>Байкаловский муниципальный район</v>
      </c>
    </row>
    <row r="204" spans="1:38" ht="15" customHeight="1" x14ac:dyDescent="0.25">
      <c r="A204" s="3" t="s">
        <v>396</v>
      </c>
      <c r="B204" s="3" t="s">
        <v>1630</v>
      </c>
      <c r="C204" s="5">
        <v>62652.9401</v>
      </c>
      <c r="D204" s="5">
        <v>62652.9401</v>
      </c>
      <c r="E204" s="5">
        <v>56733.3557</v>
      </c>
      <c r="F204" t="s">
        <v>7249</v>
      </c>
      <c r="G204" s="5" t="str">
        <f t="shared" si="7"/>
        <v>ЧЕРМЕТ</v>
      </c>
      <c r="J204" s="5"/>
      <c r="AF204" t="s">
        <v>7166</v>
      </c>
      <c r="AG204" s="24" t="s">
        <v>5438</v>
      </c>
      <c r="AH204" s="5" t="s">
        <v>7166</v>
      </c>
      <c r="AI204" s="5">
        <v>22948.902600000001</v>
      </c>
      <c r="AJ204" s="5">
        <v>22948.902600000001</v>
      </c>
      <c r="AK204">
        <v>21314.011299999998</v>
      </c>
      <c r="AL204" s="5" t="str">
        <f t="shared" si="8"/>
        <v>Байкаловский муниципальный район</v>
      </c>
    </row>
    <row r="205" spans="1:38" ht="15" customHeight="1" x14ac:dyDescent="0.25">
      <c r="A205" s="3" t="s">
        <v>397</v>
      </c>
      <c r="B205" s="3" t="s">
        <v>1639</v>
      </c>
      <c r="C205" s="5">
        <v>53500.443299999999</v>
      </c>
      <c r="D205" s="5">
        <v>53500.443299999999</v>
      </c>
      <c r="E205" s="5">
        <v>48445.605100000001</v>
      </c>
      <c r="F205" t="s">
        <v>7249</v>
      </c>
      <c r="G205" s="5" t="str">
        <f t="shared" si="7"/>
        <v>ИСТОК</v>
      </c>
      <c r="J205" s="5"/>
      <c r="AF205" t="s">
        <v>7166</v>
      </c>
      <c r="AG205" s="24" t="s">
        <v>5439</v>
      </c>
      <c r="AH205" s="5" t="s">
        <v>7166</v>
      </c>
      <c r="AI205" s="5">
        <v>22948.902600000001</v>
      </c>
      <c r="AJ205" s="5">
        <v>22948.902600000001</v>
      </c>
      <c r="AK205">
        <v>21314.011299999998</v>
      </c>
      <c r="AL205" s="5" t="str">
        <f t="shared" si="8"/>
        <v>Байкаловский муниципальный район</v>
      </c>
    </row>
    <row r="206" spans="1:38" ht="15" customHeight="1" x14ac:dyDescent="0.25">
      <c r="A206" s="3" t="s">
        <v>398</v>
      </c>
      <c r="B206" s="3" t="s">
        <v>1632</v>
      </c>
      <c r="C206" s="5">
        <v>83744.997499999998</v>
      </c>
      <c r="D206" s="5">
        <v>83744.997499999998</v>
      </c>
      <c r="E206" s="5">
        <v>75832.596099999995</v>
      </c>
      <c r="F206" t="s">
        <v>7249</v>
      </c>
      <c r="G206" s="5" t="str">
        <f t="shared" si="7"/>
        <v>АВТОВОКЗАЛ</v>
      </c>
      <c r="J206" s="5"/>
      <c r="AF206" t="s">
        <v>7166</v>
      </c>
      <c r="AG206" s="24" t="s">
        <v>5440</v>
      </c>
      <c r="AH206" s="5" t="s">
        <v>7166</v>
      </c>
      <c r="AI206" s="5">
        <v>22948.902600000001</v>
      </c>
      <c r="AJ206" s="5">
        <v>22948.902600000001</v>
      </c>
      <c r="AK206">
        <v>21314.011299999998</v>
      </c>
      <c r="AL206" s="5" t="str">
        <f t="shared" si="8"/>
        <v>Байкаловский муниципальный район</v>
      </c>
    </row>
    <row r="207" spans="1:38" ht="15" customHeight="1" x14ac:dyDescent="0.25">
      <c r="A207" s="3" t="s">
        <v>399</v>
      </c>
      <c r="B207" s="3" t="s">
        <v>1662</v>
      </c>
      <c r="C207" s="5">
        <v>46784.877899999999</v>
      </c>
      <c r="D207" s="5">
        <v>46784.877899999999</v>
      </c>
      <c r="E207" s="5">
        <v>42364.543299999998</v>
      </c>
      <c r="F207" t="s">
        <v>7249</v>
      </c>
      <c r="G207" s="5" t="str">
        <f t="shared" si="7"/>
        <v>РУДНЫЙ</v>
      </c>
      <c r="J207" s="5"/>
      <c r="AF207" t="s">
        <v>7166</v>
      </c>
      <c r="AG207" s="24" t="s">
        <v>5441</v>
      </c>
      <c r="AH207" s="5" t="s">
        <v>7166</v>
      </c>
      <c r="AI207" s="5">
        <v>22948.902600000001</v>
      </c>
      <c r="AJ207" s="5">
        <v>22948.902600000001</v>
      </c>
      <c r="AK207">
        <v>21314.011299999998</v>
      </c>
      <c r="AL207" s="5" t="str">
        <f t="shared" si="8"/>
        <v>Байкаловский муниципальный район</v>
      </c>
    </row>
    <row r="208" spans="1:38" ht="15" customHeight="1" x14ac:dyDescent="0.25">
      <c r="A208" s="3" t="s">
        <v>400</v>
      </c>
      <c r="B208" s="3" t="s">
        <v>1635</v>
      </c>
      <c r="C208" s="5">
        <v>57793.0844</v>
      </c>
      <c r="D208" s="5">
        <v>57793.0844</v>
      </c>
      <c r="E208" s="5">
        <v>52332.6639</v>
      </c>
      <c r="F208" t="s">
        <v>7249</v>
      </c>
      <c r="G208" s="5" t="str">
        <f t="shared" si="7"/>
        <v>ЛЕЧЕБНЫЙ</v>
      </c>
      <c r="J208" s="5"/>
      <c r="AF208" t="s">
        <v>7166</v>
      </c>
      <c r="AG208" s="24" t="s">
        <v>5442</v>
      </c>
      <c r="AH208" s="5" t="s">
        <v>7166</v>
      </c>
      <c r="AI208" s="5">
        <v>22948.902600000001</v>
      </c>
      <c r="AJ208" s="5">
        <v>22948.902600000001</v>
      </c>
      <c r="AK208">
        <v>21314.011299999998</v>
      </c>
      <c r="AL208" s="5" t="str">
        <f t="shared" si="8"/>
        <v>Байкаловский муниципальный район</v>
      </c>
    </row>
    <row r="209" spans="1:38" ht="15" customHeight="1" x14ac:dyDescent="0.25">
      <c r="A209" s="3" t="s">
        <v>401</v>
      </c>
      <c r="B209" s="3" t="s">
        <v>1629</v>
      </c>
      <c r="C209" s="5">
        <v>77743.704100000003</v>
      </c>
      <c r="D209" s="5">
        <v>77743.704100000003</v>
      </c>
      <c r="E209" s="5">
        <v>70398.310800000007</v>
      </c>
      <c r="F209" t="s">
        <v>7249</v>
      </c>
      <c r="G209" s="5" t="str">
        <f t="shared" si="7"/>
        <v>ПИОНЕРСКИЙ</v>
      </c>
      <c r="J209" s="5"/>
      <c r="AF209" t="s">
        <v>7166</v>
      </c>
      <c r="AG209" s="24" t="s">
        <v>5443</v>
      </c>
      <c r="AH209" s="5" t="s">
        <v>7166</v>
      </c>
      <c r="AI209" s="5">
        <v>22948.902600000001</v>
      </c>
      <c r="AJ209" s="5">
        <v>22948.902600000001</v>
      </c>
      <c r="AK209">
        <v>21314.011299999998</v>
      </c>
      <c r="AL209" s="5" t="str">
        <f t="shared" si="8"/>
        <v>Байкаловский муниципальный район</v>
      </c>
    </row>
    <row r="210" spans="1:38" ht="15" customHeight="1" x14ac:dyDescent="0.25">
      <c r="A210" s="3" t="s">
        <v>403</v>
      </c>
      <c r="B210" s="3" t="s">
        <v>1646</v>
      </c>
      <c r="C210" s="5">
        <v>61763.596599999997</v>
      </c>
      <c r="D210" s="5">
        <v>61763.596599999997</v>
      </c>
      <c r="E210" s="5">
        <v>55928.0435</v>
      </c>
      <c r="F210" t="s">
        <v>7249</v>
      </c>
      <c r="G210" s="5" t="str">
        <f t="shared" si="7"/>
        <v>АКАДЕМИЧЕСКИЙ</v>
      </c>
      <c r="J210" s="5"/>
      <c r="AF210" t="s">
        <v>7166</v>
      </c>
      <c r="AG210" s="24" t="s">
        <v>5444</v>
      </c>
      <c r="AH210" s="5" t="s">
        <v>7166</v>
      </c>
      <c r="AI210" s="5">
        <v>22948.902600000001</v>
      </c>
      <c r="AJ210" s="5">
        <v>22948.902600000001</v>
      </c>
      <c r="AK210">
        <v>21314.011299999998</v>
      </c>
      <c r="AL210" s="5" t="str">
        <f t="shared" si="8"/>
        <v>Байкаловский муниципальный район</v>
      </c>
    </row>
    <row r="211" spans="1:38" ht="15" customHeight="1" x14ac:dyDescent="0.25">
      <c r="A211" s="3" t="s">
        <v>406</v>
      </c>
      <c r="B211" s="3" t="s">
        <v>1643</v>
      </c>
      <c r="C211" s="5">
        <v>76630.280299999999</v>
      </c>
      <c r="D211" s="5">
        <v>76630.280299999999</v>
      </c>
      <c r="E211" s="5">
        <v>69390.088799999998</v>
      </c>
      <c r="F211" t="s">
        <v>7249</v>
      </c>
      <c r="G211" s="5" t="str">
        <f t="shared" si="7"/>
        <v>Ю-З</v>
      </c>
      <c r="J211" s="5"/>
      <c r="AF211" t="s">
        <v>7166</v>
      </c>
      <c r="AG211" s="24" t="s">
        <v>5445</v>
      </c>
      <c r="AH211" s="5" t="s">
        <v>7166</v>
      </c>
      <c r="AI211" s="5">
        <v>22948.902600000001</v>
      </c>
      <c r="AJ211" s="5">
        <v>22948.902600000001</v>
      </c>
      <c r="AK211">
        <v>21314.011299999998</v>
      </c>
      <c r="AL211" s="5" t="str">
        <f t="shared" si="8"/>
        <v>Байкаловский муниципальный район</v>
      </c>
    </row>
    <row r="212" spans="1:38" ht="15" customHeight="1" x14ac:dyDescent="0.25">
      <c r="A212" s="3" t="s">
        <v>407</v>
      </c>
      <c r="B212" s="3" t="s">
        <v>1633</v>
      </c>
      <c r="C212" s="5">
        <v>77071.442599999995</v>
      </c>
      <c r="D212" s="5">
        <v>77071.442599999995</v>
      </c>
      <c r="E212" s="5">
        <v>69789.570900000006</v>
      </c>
      <c r="F212" t="s">
        <v>7249</v>
      </c>
      <c r="G212" s="5" t="str">
        <f t="shared" si="7"/>
        <v>ВТУЗГОРОДОК</v>
      </c>
      <c r="J212" s="5"/>
      <c r="AF212" t="s">
        <v>7166</v>
      </c>
      <c r="AG212" s="24" t="s">
        <v>5446</v>
      </c>
      <c r="AH212" s="5" t="s">
        <v>7166</v>
      </c>
      <c r="AI212" s="5">
        <v>22948.902600000001</v>
      </c>
      <c r="AJ212" s="5">
        <v>22948.902600000001</v>
      </c>
      <c r="AK212">
        <v>21314.011299999998</v>
      </c>
      <c r="AL212" s="5" t="str">
        <f t="shared" si="8"/>
        <v>Байкаловский муниципальный район</v>
      </c>
    </row>
    <row r="213" spans="1:38" ht="15" customHeight="1" x14ac:dyDescent="0.25">
      <c r="A213" s="3" t="s">
        <v>408</v>
      </c>
      <c r="B213" s="3" t="s">
        <v>1657</v>
      </c>
      <c r="C213" s="5">
        <v>54886.9666</v>
      </c>
      <c r="D213" s="5">
        <v>54886.9666</v>
      </c>
      <c r="E213" s="5">
        <v>49701.1319</v>
      </c>
      <c r="F213" t="s">
        <v>7249</v>
      </c>
      <c r="G213" s="5" t="str">
        <f t="shared" si="7"/>
        <v>КОЛЬЦОВО</v>
      </c>
      <c r="J213" s="5"/>
      <c r="AF213" t="s">
        <v>7166</v>
      </c>
      <c r="AG213" s="24" t="s">
        <v>5447</v>
      </c>
      <c r="AH213" s="5" t="s">
        <v>7166</v>
      </c>
      <c r="AI213" s="5">
        <v>22948.902600000001</v>
      </c>
      <c r="AJ213" s="5">
        <v>22948.902600000001</v>
      </c>
      <c r="AK213">
        <v>21314.011299999998</v>
      </c>
      <c r="AL213" s="5" t="str">
        <f t="shared" si="8"/>
        <v>Байкаловский муниципальный район</v>
      </c>
    </row>
    <row r="214" spans="1:38" ht="15" customHeight="1" x14ac:dyDescent="0.25">
      <c r="A214" s="3" t="s">
        <v>409</v>
      </c>
      <c r="B214" s="3" t="s">
        <v>1632</v>
      </c>
      <c r="C214" s="5">
        <v>83744.997499999998</v>
      </c>
      <c r="D214" s="5">
        <v>83744.997499999998</v>
      </c>
      <c r="E214" s="5">
        <v>75832.596099999995</v>
      </c>
      <c r="F214" t="s">
        <v>7249</v>
      </c>
      <c r="G214" s="5" t="str">
        <f t="shared" si="7"/>
        <v>АВТОВОКЗАЛ</v>
      </c>
      <c r="J214" s="5"/>
      <c r="AF214" t="s">
        <v>7166</v>
      </c>
      <c r="AG214" s="24" t="s">
        <v>5448</v>
      </c>
      <c r="AH214" s="5" t="s">
        <v>7166</v>
      </c>
      <c r="AI214" s="5">
        <v>22948.902600000001</v>
      </c>
      <c r="AJ214" s="5">
        <v>22948.902600000001</v>
      </c>
      <c r="AK214">
        <v>21314.011299999998</v>
      </c>
      <c r="AL214" s="5" t="str">
        <f t="shared" si="8"/>
        <v>Байкаловский муниципальный район</v>
      </c>
    </row>
    <row r="215" spans="1:38" ht="15" customHeight="1" x14ac:dyDescent="0.25">
      <c r="A215" s="3" t="s">
        <v>411</v>
      </c>
      <c r="B215" s="3" t="s">
        <v>1628</v>
      </c>
      <c r="C215" s="5">
        <v>70734.0236</v>
      </c>
      <c r="D215" s="5">
        <v>70734.0236</v>
      </c>
      <c r="E215" s="5">
        <v>64050.9208</v>
      </c>
      <c r="F215" t="s">
        <v>7249</v>
      </c>
      <c r="G215" s="5" t="str">
        <f t="shared" si="7"/>
        <v>ЭЛЬМАШ</v>
      </c>
      <c r="J215" s="5"/>
      <c r="AF215" t="s">
        <v>7166</v>
      </c>
      <c r="AG215" s="24" t="s">
        <v>5449</v>
      </c>
      <c r="AH215" s="5" t="s">
        <v>7166</v>
      </c>
      <c r="AI215" s="5">
        <v>22948.902600000001</v>
      </c>
      <c r="AJ215" s="5">
        <v>22948.902600000001</v>
      </c>
      <c r="AK215">
        <v>21314.011299999998</v>
      </c>
      <c r="AL215" s="5" t="str">
        <f t="shared" si="8"/>
        <v>Байкаловский муниципальный район</v>
      </c>
    </row>
    <row r="216" spans="1:38" ht="15" customHeight="1" x14ac:dyDescent="0.25">
      <c r="A216" s="3" t="s">
        <v>412</v>
      </c>
      <c r="B216" s="3" t="s">
        <v>1631</v>
      </c>
      <c r="C216" s="5">
        <v>70026.7601</v>
      </c>
      <c r="D216" s="5">
        <v>70026.7601</v>
      </c>
      <c r="E216" s="5">
        <v>63410.482000000004</v>
      </c>
      <c r="F216" t="s">
        <v>7249</v>
      </c>
      <c r="G216" s="5" t="str">
        <f t="shared" si="7"/>
        <v>УРАЛМАШ</v>
      </c>
      <c r="J216" s="5"/>
      <c r="AF216" t="s">
        <v>7166</v>
      </c>
      <c r="AG216" s="24" t="s">
        <v>5450</v>
      </c>
      <c r="AH216" s="5" t="s">
        <v>7166</v>
      </c>
      <c r="AI216" s="5">
        <v>22948.902600000001</v>
      </c>
      <c r="AJ216" s="5">
        <v>22948.902600000001</v>
      </c>
      <c r="AK216">
        <v>21314.011299999998</v>
      </c>
      <c r="AL216" s="5" t="str">
        <f t="shared" si="8"/>
        <v>Байкаловский муниципальный район</v>
      </c>
    </row>
    <row r="217" spans="1:38" ht="15" customHeight="1" x14ac:dyDescent="0.25">
      <c r="A217" s="3" t="s">
        <v>413</v>
      </c>
      <c r="B217" s="3" t="s">
        <v>33</v>
      </c>
      <c r="C217" s="5">
        <v>84298.205100000006</v>
      </c>
      <c r="D217" s="5">
        <v>84298.205100000006</v>
      </c>
      <c r="E217" s="5">
        <v>76333.533100000001</v>
      </c>
      <c r="F217" t="s">
        <v>7249</v>
      </c>
      <c r="G217" s="5" t="str">
        <f t="shared" si="7"/>
        <v>ВИЗ</v>
      </c>
      <c r="J217" s="5"/>
      <c r="AF217" t="s">
        <v>7166</v>
      </c>
      <c r="AG217" s="24" t="s">
        <v>5451</v>
      </c>
      <c r="AH217" s="5" t="s">
        <v>7166</v>
      </c>
      <c r="AI217" s="5">
        <v>22948.902600000001</v>
      </c>
      <c r="AJ217" s="5">
        <v>22948.902600000001</v>
      </c>
      <c r="AK217">
        <v>21314.011299999998</v>
      </c>
      <c r="AL217" s="5" t="str">
        <f t="shared" si="8"/>
        <v>Байкаловский муниципальный район</v>
      </c>
    </row>
    <row r="218" spans="1:38" ht="15" customHeight="1" x14ac:dyDescent="0.25">
      <c r="A218" s="3" t="s">
        <v>414</v>
      </c>
      <c r="B218" s="3" t="s">
        <v>66</v>
      </c>
      <c r="C218" s="5">
        <v>64795.756300000001</v>
      </c>
      <c r="D218" s="5">
        <v>64795.756300000001</v>
      </c>
      <c r="E218" s="5">
        <v>58673.716200000003</v>
      </c>
      <c r="F218" t="s">
        <v>7249</v>
      </c>
      <c r="G218" s="5" t="str">
        <f t="shared" si="7"/>
        <v>УНЦ</v>
      </c>
      <c r="J218" s="5"/>
      <c r="AF218" t="s">
        <v>7166</v>
      </c>
      <c r="AG218" s="24" t="s">
        <v>5452</v>
      </c>
      <c r="AH218" s="5" t="s">
        <v>7166</v>
      </c>
      <c r="AI218" s="5">
        <v>22948.902600000001</v>
      </c>
      <c r="AJ218" s="5">
        <v>22948.902600000001</v>
      </c>
      <c r="AK218">
        <v>21314.011299999998</v>
      </c>
      <c r="AL218" s="5" t="str">
        <f t="shared" si="8"/>
        <v>Байкаловский муниципальный район</v>
      </c>
    </row>
    <row r="219" spans="1:38" ht="15" customHeight="1" x14ac:dyDescent="0.25">
      <c r="A219" s="3" t="s">
        <v>415</v>
      </c>
      <c r="B219" s="3" t="s">
        <v>33</v>
      </c>
      <c r="C219" s="5">
        <v>84298.205100000006</v>
      </c>
      <c r="D219" s="5">
        <v>84298.205100000006</v>
      </c>
      <c r="E219" s="5">
        <v>76333.533100000001</v>
      </c>
      <c r="F219" t="s">
        <v>7249</v>
      </c>
      <c r="G219" s="5" t="str">
        <f t="shared" si="7"/>
        <v>ВИЗ</v>
      </c>
      <c r="J219" s="5"/>
      <c r="AF219" t="s">
        <v>7166</v>
      </c>
      <c r="AG219" s="24" t="s">
        <v>5453</v>
      </c>
      <c r="AH219" s="5" t="s">
        <v>7166</v>
      </c>
      <c r="AI219" s="5">
        <v>22948.902600000001</v>
      </c>
      <c r="AJ219" s="5">
        <v>22948.902600000001</v>
      </c>
      <c r="AK219">
        <v>21314.011299999998</v>
      </c>
      <c r="AL219" s="5" t="str">
        <f t="shared" si="8"/>
        <v>Байкаловский муниципальный район</v>
      </c>
    </row>
    <row r="220" spans="1:38" ht="15" customHeight="1" x14ac:dyDescent="0.25">
      <c r="A220" s="3" t="s">
        <v>416</v>
      </c>
      <c r="B220" s="3" t="s">
        <v>66</v>
      </c>
      <c r="C220" s="5">
        <v>64795.756300000001</v>
      </c>
      <c r="D220" s="5">
        <v>64795.756300000001</v>
      </c>
      <c r="E220" s="5">
        <v>58673.716200000003</v>
      </c>
      <c r="F220" t="s">
        <v>7249</v>
      </c>
      <c r="G220" s="5" t="str">
        <f t="shared" si="7"/>
        <v>УНЦ</v>
      </c>
      <c r="J220" s="5"/>
      <c r="AF220" t="s">
        <v>7166</v>
      </c>
      <c r="AG220" s="24" t="s">
        <v>5454</v>
      </c>
      <c r="AH220" s="5" t="s">
        <v>7166</v>
      </c>
      <c r="AI220" s="5">
        <v>22948.902600000001</v>
      </c>
      <c r="AJ220" s="5">
        <v>22948.902600000001</v>
      </c>
      <c r="AK220">
        <v>21314.011299999998</v>
      </c>
      <c r="AL220" s="5" t="str">
        <f t="shared" si="8"/>
        <v>Байкаловский муниципальный район</v>
      </c>
    </row>
    <row r="221" spans="1:38" ht="15" customHeight="1" x14ac:dyDescent="0.25">
      <c r="A221" s="3" t="s">
        <v>420</v>
      </c>
      <c r="B221" s="3" t="s">
        <v>1654</v>
      </c>
      <c r="C221" s="5">
        <v>56140.449699999997</v>
      </c>
      <c r="D221" s="5">
        <v>56140.449699999997</v>
      </c>
      <c r="E221" s="5">
        <v>50836.1803</v>
      </c>
      <c r="F221" t="s">
        <v>7249</v>
      </c>
      <c r="G221" s="5" t="str">
        <f t="shared" si="7"/>
        <v>ЗАВОКЗАЛЬНЫЙ</v>
      </c>
      <c r="J221" s="5"/>
      <c r="AF221" t="s">
        <v>7166</v>
      </c>
      <c r="AG221" s="24" t="s">
        <v>5455</v>
      </c>
      <c r="AH221" s="5" t="s">
        <v>7166</v>
      </c>
      <c r="AI221" s="5">
        <v>22948.902600000001</v>
      </c>
      <c r="AJ221" s="5">
        <v>22948.902600000001</v>
      </c>
      <c r="AK221">
        <v>21314.011299999998</v>
      </c>
      <c r="AL221" s="5" t="str">
        <f t="shared" si="8"/>
        <v>Байкаловский муниципальный район</v>
      </c>
    </row>
    <row r="222" spans="1:38" ht="15" customHeight="1" x14ac:dyDescent="0.25">
      <c r="A222" s="3" t="s">
        <v>421</v>
      </c>
      <c r="B222" s="3" t="s">
        <v>1628</v>
      </c>
      <c r="C222" s="5">
        <v>70734.0236</v>
      </c>
      <c r="D222" s="5">
        <v>70734.0236</v>
      </c>
      <c r="E222" s="5">
        <v>64050.9208</v>
      </c>
      <c r="F222" t="s">
        <v>7249</v>
      </c>
      <c r="G222" s="5" t="str">
        <f t="shared" si="7"/>
        <v>ЭЛЬМАШ</v>
      </c>
      <c r="J222" s="5"/>
      <c r="AF222" t="s">
        <v>7166</v>
      </c>
      <c r="AG222" s="24" t="s">
        <v>5456</v>
      </c>
      <c r="AH222" s="5" t="s">
        <v>7166</v>
      </c>
      <c r="AI222" s="5">
        <v>22948.902600000001</v>
      </c>
      <c r="AJ222" s="5">
        <v>22948.902600000001</v>
      </c>
      <c r="AK222">
        <v>21314.011299999998</v>
      </c>
      <c r="AL222" s="5" t="str">
        <f t="shared" si="8"/>
        <v>Байкаловский муниципальный район</v>
      </c>
    </row>
    <row r="223" spans="1:38" ht="15" customHeight="1" x14ac:dyDescent="0.25">
      <c r="A223" s="3" t="s">
        <v>422</v>
      </c>
      <c r="B223" s="3" t="s">
        <v>1640</v>
      </c>
      <c r="C223" s="5">
        <v>64914.8</v>
      </c>
      <c r="D223" s="5">
        <v>64914.8</v>
      </c>
      <c r="E223" s="5">
        <v>58781.519200000002</v>
      </c>
      <c r="F223" t="s">
        <v>7249</v>
      </c>
      <c r="G223" s="5" t="str">
        <f t="shared" si="7"/>
        <v>Новая сортировка</v>
      </c>
      <c r="J223" s="5"/>
      <c r="AF223" t="s">
        <v>7166</v>
      </c>
      <c r="AG223" s="24" t="s">
        <v>5457</v>
      </c>
      <c r="AH223" s="5" t="s">
        <v>7166</v>
      </c>
      <c r="AI223" s="5">
        <v>22948.902600000001</v>
      </c>
      <c r="AJ223" s="5">
        <v>22948.902600000001</v>
      </c>
      <c r="AK223">
        <v>21314.011299999998</v>
      </c>
      <c r="AL223" s="5" t="str">
        <f t="shared" si="8"/>
        <v>Байкаловский муниципальный район</v>
      </c>
    </row>
    <row r="224" spans="1:38" ht="15" customHeight="1" x14ac:dyDescent="0.25">
      <c r="A224" s="3" t="s">
        <v>423</v>
      </c>
      <c r="B224" s="3" t="s">
        <v>1643</v>
      </c>
      <c r="C224" s="5">
        <v>76630.280299999999</v>
      </c>
      <c r="D224" s="5">
        <v>76630.280299999999</v>
      </c>
      <c r="E224" s="5">
        <v>69390.088799999998</v>
      </c>
      <c r="F224" t="s">
        <v>7249</v>
      </c>
      <c r="G224" s="5" t="str">
        <f t="shared" si="7"/>
        <v>Ю-З</v>
      </c>
      <c r="J224" s="5"/>
      <c r="AF224" t="s">
        <v>7167</v>
      </c>
      <c r="AG224" s="24" t="s">
        <v>5458</v>
      </c>
      <c r="AH224" s="5" t="s">
        <v>7167</v>
      </c>
      <c r="AI224" s="5">
        <v>27908.695899999999</v>
      </c>
      <c r="AJ224" s="5">
        <v>27908.695899999999</v>
      </c>
      <c r="AK224">
        <v>25920.461899999998</v>
      </c>
      <c r="AL224" s="5" t="str">
        <f t="shared" si="8"/>
        <v>Белоярский городской округ</v>
      </c>
    </row>
    <row r="225" spans="1:38" ht="15" customHeight="1" x14ac:dyDescent="0.25">
      <c r="A225" s="3" t="s">
        <v>424</v>
      </c>
      <c r="B225" s="3" t="s">
        <v>1644</v>
      </c>
      <c r="C225" s="5">
        <v>61980.678599999999</v>
      </c>
      <c r="D225" s="5">
        <v>61980.678599999999</v>
      </c>
      <c r="E225" s="5">
        <v>56124.615700000002</v>
      </c>
      <c r="F225" t="s">
        <v>7249</v>
      </c>
      <c r="G225" s="5" t="str">
        <f t="shared" si="7"/>
        <v>ХИММАШ</v>
      </c>
      <c r="J225" s="5"/>
      <c r="AF225" t="s">
        <v>7167</v>
      </c>
      <c r="AG225" s="24" t="s">
        <v>5459</v>
      </c>
      <c r="AH225" s="5" t="s">
        <v>7167</v>
      </c>
      <c r="AI225" s="5">
        <v>27908.695899999999</v>
      </c>
      <c r="AJ225" s="5">
        <v>27908.695899999999</v>
      </c>
      <c r="AK225">
        <v>25920.461899999998</v>
      </c>
      <c r="AL225" s="5" t="str">
        <f t="shared" si="8"/>
        <v>Белоярский городской округ</v>
      </c>
    </row>
    <row r="226" spans="1:38" ht="15" customHeight="1" x14ac:dyDescent="0.25">
      <c r="A226" s="3" t="s">
        <v>425</v>
      </c>
      <c r="B226" s="3" t="s">
        <v>33</v>
      </c>
      <c r="C226" s="5">
        <v>84298.205100000006</v>
      </c>
      <c r="D226" s="5">
        <v>84298.205100000006</v>
      </c>
      <c r="E226" s="5">
        <v>76333.533100000001</v>
      </c>
      <c r="F226" t="s">
        <v>7249</v>
      </c>
      <c r="G226" s="5" t="str">
        <f t="shared" si="7"/>
        <v>ВИЗ</v>
      </c>
      <c r="J226" s="5"/>
      <c r="AF226" t="s">
        <v>7167</v>
      </c>
      <c r="AG226" s="24" t="s">
        <v>5460</v>
      </c>
      <c r="AH226" s="5" t="s">
        <v>7167</v>
      </c>
      <c r="AI226" s="5">
        <v>34481.828000000001</v>
      </c>
      <c r="AJ226" s="5">
        <v>34481.828000000001</v>
      </c>
      <c r="AK226">
        <v>32025.315900000001</v>
      </c>
      <c r="AL226" s="5" t="str">
        <f t="shared" si="8"/>
        <v>Белоярский городской округ</v>
      </c>
    </row>
    <row r="227" spans="1:38" ht="15" customHeight="1" x14ac:dyDescent="0.25">
      <c r="A227" s="3" t="s">
        <v>427</v>
      </c>
      <c r="B227" s="3" t="s">
        <v>1652</v>
      </c>
      <c r="C227" s="5">
        <v>71105.171700000006</v>
      </c>
      <c r="D227" s="5">
        <v>71105.171700000006</v>
      </c>
      <c r="E227" s="5">
        <v>64387.005100000002</v>
      </c>
      <c r="F227" t="s">
        <v>7249</v>
      </c>
      <c r="G227" s="5" t="str">
        <f t="shared" si="7"/>
        <v>ЗАРЕЧНЫЙ</v>
      </c>
      <c r="J227" s="5"/>
      <c r="AF227" t="s">
        <v>7167</v>
      </c>
      <c r="AG227" s="24" t="s">
        <v>5461</v>
      </c>
      <c r="AH227" s="5" t="s">
        <v>7167</v>
      </c>
      <c r="AI227" s="5">
        <v>27908.695899999999</v>
      </c>
      <c r="AJ227" s="5">
        <v>27908.695899999999</v>
      </c>
      <c r="AK227">
        <v>25920.461899999998</v>
      </c>
      <c r="AL227" s="5" t="str">
        <f t="shared" si="8"/>
        <v>Белоярский городской округ</v>
      </c>
    </row>
    <row r="228" spans="1:38" ht="15" customHeight="1" x14ac:dyDescent="0.25">
      <c r="A228" s="3" t="s">
        <v>428</v>
      </c>
      <c r="B228" s="3" t="s">
        <v>1652</v>
      </c>
      <c r="C228" s="5">
        <v>71105.171700000006</v>
      </c>
      <c r="D228" s="5">
        <v>71105.171700000006</v>
      </c>
      <c r="E228" s="5">
        <v>64387.005100000002</v>
      </c>
      <c r="F228" t="s">
        <v>7249</v>
      </c>
      <c r="G228" s="5" t="str">
        <f t="shared" si="7"/>
        <v>ЗАРЕЧНЫЙ</v>
      </c>
      <c r="J228" s="5"/>
      <c r="AF228" t="s">
        <v>7167</v>
      </c>
      <c r="AG228" s="24" t="s">
        <v>5462</v>
      </c>
      <c r="AH228" s="5" t="s">
        <v>7167</v>
      </c>
      <c r="AI228" s="5">
        <v>27908.695899999999</v>
      </c>
      <c r="AJ228" s="5">
        <v>27908.695899999999</v>
      </c>
      <c r="AK228">
        <v>25920.461899999998</v>
      </c>
      <c r="AL228" s="5" t="str">
        <f t="shared" si="8"/>
        <v>Белоярский городской округ</v>
      </c>
    </row>
    <row r="229" spans="1:38" ht="15" customHeight="1" x14ac:dyDescent="0.25">
      <c r="A229" s="3" t="s">
        <v>431</v>
      </c>
      <c r="B229" s="3" t="s">
        <v>1630</v>
      </c>
      <c r="C229" s="5">
        <v>62652.9401</v>
      </c>
      <c r="D229" s="5">
        <v>62652.9401</v>
      </c>
      <c r="E229" s="5">
        <v>56733.3557</v>
      </c>
      <c r="F229" t="s">
        <v>7249</v>
      </c>
      <c r="G229" s="5" t="str">
        <f t="shared" si="7"/>
        <v>ЧЕРМЕТ</v>
      </c>
      <c r="J229" s="5"/>
      <c r="AF229" t="s">
        <v>7167</v>
      </c>
      <c r="AG229" s="24" t="s">
        <v>5463</v>
      </c>
      <c r="AH229" s="5" t="s">
        <v>7167</v>
      </c>
      <c r="AI229" s="5">
        <v>27908.695899999999</v>
      </c>
      <c r="AJ229" s="5">
        <v>27908.695899999999</v>
      </c>
      <c r="AK229">
        <v>25920.461899999998</v>
      </c>
      <c r="AL229" s="5" t="str">
        <f t="shared" si="8"/>
        <v>Белоярский городской округ</v>
      </c>
    </row>
    <row r="230" spans="1:38" ht="15" customHeight="1" x14ac:dyDescent="0.25">
      <c r="A230" s="3" t="s">
        <v>432</v>
      </c>
      <c r="B230" s="3" t="s">
        <v>1647</v>
      </c>
      <c r="C230" s="5">
        <v>63178.133800000003</v>
      </c>
      <c r="D230" s="5">
        <v>63178.133800000003</v>
      </c>
      <c r="E230" s="5">
        <v>57208.931499999999</v>
      </c>
      <c r="F230" t="s">
        <v>7249</v>
      </c>
      <c r="G230" s="5" t="str">
        <f t="shared" si="7"/>
        <v>ШИРОКАЯ РЕЧКА</v>
      </c>
      <c r="J230" s="5"/>
      <c r="AF230" t="s">
        <v>7167</v>
      </c>
      <c r="AG230" s="24" t="s">
        <v>5464</v>
      </c>
      <c r="AH230" s="5" t="s">
        <v>7167</v>
      </c>
      <c r="AI230" s="5">
        <v>27908.695899999999</v>
      </c>
      <c r="AJ230" s="5">
        <v>27908.695899999999</v>
      </c>
      <c r="AK230">
        <v>25920.461899999998</v>
      </c>
      <c r="AL230" s="5" t="str">
        <f t="shared" si="8"/>
        <v>Белоярский городской округ</v>
      </c>
    </row>
    <row r="231" spans="1:38" ht="15" customHeight="1" x14ac:dyDescent="0.25">
      <c r="A231" s="3" t="s">
        <v>436</v>
      </c>
      <c r="B231" s="3" t="s">
        <v>483</v>
      </c>
      <c r="C231" s="5">
        <v>44242.899599999997</v>
      </c>
      <c r="D231" s="5">
        <v>44242.899599999997</v>
      </c>
      <c r="E231" s="5">
        <v>40062.737300000001</v>
      </c>
      <c r="F231" t="s">
        <v>7249</v>
      </c>
      <c r="G231" s="5" t="str">
        <f t="shared" si="7"/>
        <v>Шувакиш</v>
      </c>
      <c r="J231" s="5"/>
      <c r="AF231" t="s">
        <v>7167</v>
      </c>
      <c r="AG231" s="24" t="s">
        <v>5465</v>
      </c>
      <c r="AH231" s="5" t="s">
        <v>7167</v>
      </c>
      <c r="AI231" s="5">
        <v>27908.695899999999</v>
      </c>
      <c r="AJ231" s="5">
        <v>27908.695899999999</v>
      </c>
      <c r="AK231">
        <v>25920.461899999998</v>
      </c>
      <c r="AL231" s="5" t="str">
        <f t="shared" si="8"/>
        <v>Белоярский городской округ</v>
      </c>
    </row>
    <row r="232" spans="1:38" ht="15" customHeight="1" x14ac:dyDescent="0.25">
      <c r="A232" s="3" t="s">
        <v>439</v>
      </c>
      <c r="B232" s="3" t="s">
        <v>1632</v>
      </c>
      <c r="C232" s="5">
        <v>83744.997499999998</v>
      </c>
      <c r="D232" s="5">
        <v>83744.997499999998</v>
      </c>
      <c r="E232" s="5">
        <v>75832.596099999995</v>
      </c>
      <c r="F232" t="s">
        <v>7249</v>
      </c>
      <c r="G232" s="5" t="str">
        <f t="shared" si="7"/>
        <v>АВТОВОКЗАЛ</v>
      </c>
      <c r="J232" s="5"/>
      <c r="AF232" t="s">
        <v>7167</v>
      </c>
      <c r="AG232" s="24" t="s">
        <v>5466</v>
      </c>
      <c r="AH232" s="5" t="s">
        <v>7167</v>
      </c>
      <c r="AI232" s="5">
        <v>27908.695899999999</v>
      </c>
      <c r="AJ232" s="5">
        <v>27908.695899999999</v>
      </c>
      <c r="AK232">
        <v>25920.461899999998</v>
      </c>
      <c r="AL232" s="5" t="str">
        <f t="shared" si="8"/>
        <v>Белоярский городской округ</v>
      </c>
    </row>
    <row r="233" spans="1:38" ht="15" customHeight="1" x14ac:dyDescent="0.25">
      <c r="A233" s="3" t="s">
        <v>441</v>
      </c>
      <c r="B233" s="3" t="s">
        <v>1632</v>
      </c>
      <c r="C233" s="5">
        <v>83744.997499999998</v>
      </c>
      <c r="D233" s="5">
        <v>83744.997499999998</v>
      </c>
      <c r="E233" s="5">
        <v>75832.596099999995</v>
      </c>
      <c r="F233" t="s">
        <v>7249</v>
      </c>
      <c r="G233" s="5" t="str">
        <f t="shared" si="7"/>
        <v>АВТОВОКЗАЛ</v>
      </c>
      <c r="J233" s="5"/>
      <c r="AF233" t="s">
        <v>7167</v>
      </c>
      <c r="AG233" s="24" t="s">
        <v>5467</v>
      </c>
      <c r="AH233" s="5" t="s">
        <v>7167</v>
      </c>
      <c r="AI233" s="5">
        <v>27908.695899999999</v>
      </c>
      <c r="AJ233" s="5">
        <v>27908.695899999999</v>
      </c>
      <c r="AK233">
        <v>25920.461899999998</v>
      </c>
      <c r="AL233" s="5" t="str">
        <f t="shared" si="8"/>
        <v>Белоярский городской округ</v>
      </c>
    </row>
    <row r="234" spans="1:38" ht="15" customHeight="1" x14ac:dyDescent="0.25">
      <c r="A234" s="3" t="s">
        <v>449</v>
      </c>
      <c r="B234" s="3" t="s">
        <v>1631</v>
      </c>
      <c r="C234" s="5">
        <v>70026.7601</v>
      </c>
      <c r="D234" s="5">
        <v>70026.7601</v>
      </c>
      <c r="E234" s="5">
        <v>63410.482000000004</v>
      </c>
      <c r="F234" t="s">
        <v>7249</v>
      </c>
      <c r="G234" s="5" t="str">
        <f t="shared" si="7"/>
        <v>УРАЛМАШ</v>
      </c>
      <c r="J234" s="5"/>
      <c r="AF234" t="s">
        <v>7167</v>
      </c>
      <c r="AG234" s="24" t="s">
        <v>5468</v>
      </c>
      <c r="AH234" s="5" t="s">
        <v>7167</v>
      </c>
      <c r="AI234" s="5">
        <v>27908.695899999999</v>
      </c>
      <c r="AJ234" s="5">
        <v>27908.695899999999</v>
      </c>
      <c r="AK234">
        <v>25920.461899999998</v>
      </c>
      <c r="AL234" s="5" t="str">
        <f t="shared" si="8"/>
        <v>Белоярский городской округ</v>
      </c>
    </row>
    <row r="235" spans="1:38" ht="15" customHeight="1" x14ac:dyDescent="0.25">
      <c r="A235" s="3" t="s">
        <v>450</v>
      </c>
      <c r="B235" s="3" t="s">
        <v>1631</v>
      </c>
      <c r="C235" s="5">
        <v>70026.7601</v>
      </c>
      <c r="D235" s="5">
        <v>70026.7601</v>
      </c>
      <c r="E235" s="5">
        <v>63410.482000000004</v>
      </c>
      <c r="F235" t="s">
        <v>7249</v>
      </c>
      <c r="G235" s="5" t="str">
        <f t="shared" si="7"/>
        <v>УРАЛМАШ</v>
      </c>
      <c r="J235" s="5"/>
      <c r="AF235" t="s">
        <v>7167</v>
      </c>
      <c r="AG235" s="24" t="s">
        <v>5469</v>
      </c>
      <c r="AH235" s="5" t="s">
        <v>7167</v>
      </c>
      <c r="AI235" s="5">
        <v>27908.695899999999</v>
      </c>
      <c r="AJ235" s="5">
        <v>27908.695899999999</v>
      </c>
      <c r="AK235">
        <v>25920.461899999998</v>
      </c>
      <c r="AL235" s="5" t="str">
        <f t="shared" si="8"/>
        <v>Белоярский городской округ</v>
      </c>
    </row>
    <row r="236" spans="1:38" ht="15" customHeight="1" x14ac:dyDescent="0.25">
      <c r="A236" s="3" t="s">
        <v>451</v>
      </c>
      <c r="B236" s="3" t="s">
        <v>1637</v>
      </c>
      <c r="C236" s="5">
        <v>59368.686099999999</v>
      </c>
      <c r="D236" s="5">
        <v>59368.686099999999</v>
      </c>
      <c r="E236" s="5">
        <v>53759.401700000002</v>
      </c>
      <c r="F236" t="s">
        <v>7249</v>
      </c>
      <c r="G236" s="5" t="str">
        <f t="shared" si="7"/>
        <v>Старая сортировка</v>
      </c>
      <c r="J236" s="5"/>
      <c r="AF236" t="s">
        <v>7167</v>
      </c>
      <c r="AG236" s="24" t="s">
        <v>5470</v>
      </c>
      <c r="AH236" s="5" t="s">
        <v>7167</v>
      </c>
      <c r="AI236" s="5">
        <v>27908.695899999999</v>
      </c>
      <c r="AJ236" s="5">
        <v>27908.695899999999</v>
      </c>
      <c r="AK236">
        <v>25920.461899999998</v>
      </c>
      <c r="AL236" s="5" t="str">
        <f t="shared" si="8"/>
        <v>Белоярский городской округ</v>
      </c>
    </row>
    <row r="237" spans="1:38" ht="15" customHeight="1" x14ac:dyDescent="0.25">
      <c r="A237" s="3" t="s">
        <v>452</v>
      </c>
      <c r="B237" s="3" t="s">
        <v>1643</v>
      </c>
      <c r="C237" s="5">
        <v>76630.280299999999</v>
      </c>
      <c r="D237" s="5">
        <v>76630.280299999999</v>
      </c>
      <c r="E237" s="5">
        <v>69390.088799999998</v>
      </c>
      <c r="F237" t="s">
        <v>7249</v>
      </c>
      <c r="G237" s="5" t="str">
        <f t="shared" si="7"/>
        <v>Ю-З</v>
      </c>
      <c r="J237" s="5"/>
      <c r="AF237" t="s">
        <v>7167</v>
      </c>
      <c r="AG237" s="24" t="s">
        <v>5471</v>
      </c>
      <c r="AH237" s="5" t="s">
        <v>7167</v>
      </c>
      <c r="AI237" s="5">
        <v>27908.695899999999</v>
      </c>
      <c r="AJ237" s="5">
        <v>27908.695899999999</v>
      </c>
      <c r="AK237">
        <v>25920.461899999998</v>
      </c>
      <c r="AL237" s="5" t="str">
        <f t="shared" si="8"/>
        <v>Белоярский городской округ</v>
      </c>
    </row>
    <row r="238" spans="1:38" ht="15" customHeight="1" x14ac:dyDescent="0.25">
      <c r="A238" s="3" t="s">
        <v>456</v>
      </c>
      <c r="B238" s="3" t="s">
        <v>1643</v>
      </c>
      <c r="C238" s="5">
        <v>76630.280299999999</v>
      </c>
      <c r="D238" s="5">
        <v>76630.280299999999</v>
      </c>
      <c r="E238" s="5">
        <v>69390.088799999998</v>
      </c>
      <c r="F238" t="s">
        <v>7249</v>
      </c>
      <c r="G238" s="5" t="str">
        <f t="shared" si="7"/>
        <v>Ю-З</v>
      </c>
      <c r="J238" s="5"/>
      <c r="AF238" t="s">
        <v>7167</v>
      </c>
      <c r="AG238" s="24" t="s">
        <v>5472</v>
      </c>
      <c r="AH238" s="5" t="s">
        <v>7167</v>
      </c>
      <c r="AI238" s="5">
        <v>27908.695899999999</v>
      </c>
      <c r="AJ238" s="5">
        <v>27908.695899999999</v>
      </c>
      <c r="AK238">
        <v>25920.461899999998</v>
      </c>
      <c r="AL238" s="5" t="str">
        <f t="shared" si="8"/>
        <v>Белоярский городской округ</v>
      </c>
    </row>
    <row r="239" spans="1:38" ht="15" customHeight="1" x14ac:dyDescent="0.25">
      <c r="A239" s="3" t="s">
        <v>457</v>
      </c>
      <c r="B239" s="3" t="s">
        <v>1632</v>
      </c>
      <c r="C239" s="5">
        <v>83744.997499999998</v>
      </c>
      <c r="D239" s="5">
        <v>83744.997499999998</v>
      </c>
      <c r="E239" s="5">
        <v>75832.596099999995</v>
      </c>
      <c r="F239" t="s">
        <v>7249</v>
      </c>
      <c r="G239" s="5" t="str">
        <f t="shared" si="7"/>
        <v>АВТОВОКЗАЛ</v>
      </c>
      <c r="J239" s="5"/>
      <c r="AF239" t="s">
        <v>7167</v>
      </c>
      <c r="AG239" s="24" t="s">
        <v>5473</v>
      </c>
      <c r="AH239" s="5" t="s">
        <v>7167</v>
      </c>
      <c r="AI239" s="5">
        <v>27908.695899999999</v>
      </c>
      <c r="AJ239" s="5">
        <v>27908.695899999999</v>
      </c>
      <c r="AK239">
        <v>25920.461899999998</v>
      </c>
      <c r="AL239" s="5" t="str">
        <f t="shared" si="8"/>
        <v>Белоярский городской округ</v>
      </c>
    </row>
    <row r="240" spans="1:38" ht="15" customHeight="1" x14ac:dyDescent="0.25">
      <c r="A240" s="3" t="s">
        <v>458</v>
      </c>
      <c r="B240" s="3" t="s">
        <v>14</v>
      </c>
      <c r="C240" s="5">
        <v>93989.912800000006</v>
      </c>
      <c r="D240" s="5">
        <v>93989.912800000006</v>
      </c>
      <c r="E240" s="5">
        <v>85109.545199999993</v>
      </c>
      <c r="F240" t="s">
        <v>7249</v>
      </c>
      <c r="G240" s="5" t="str">
        <f t="shared" si="7"/>
        <v>Центр</v>
      </c>
      <c r="J240" s="5"/>
      <c r="AF240" t="s">
        <v>7167</v>
      </c>
      <c r="AG240" s="24" t="s">
        <v>5474</v>
      </c>
      <c r="AH240" s="5" t="s">
        <v>7167</v>
      </c>
      <c r="AI240" s="5">
        <v>27908.695899999999</v>
      </c>
      <c r="AJ240" s="5">
        <v>27908.695899999999</v>
      </c>
      <c r="AK240">
        <v>25920.461899999998</v>
      </c>
      <c r="AL240" s="5" t="str">
        <f t="shared" si="8"/>
        <v>Белоярский городской округ</v>
      </c>
    </row>
    <row r="241" spans="1:38" ht="15" customHeight="1" x14ac:dyDescent="0.25">
      <c r="A241" s="3" t="s">
        <v>459</v>
      </c>
      <c r="B241" s="3" t="s">
        <v>1627</v>
      </c>
      <c r="C241" s="5">
        <v>56392.543899999997</v>
      </c>
      <c r="D241" s="5">
        <v>56392.543899999997</v>
      </c>
      <c r="E241" s="5">
        <v>51064.4617</v>
      </c>
      <c r="F241" t="s">
        <v>7249</v>
      </c>
      <c r="G241" s="5" t="str">
        <f t="shared" si="7"/>
        <v>КОМПРЕССОРНЫЙ</v>
      </c>
      <c r="J241" s="5"/>
      <c r="AF241" t="s">
        <v>7167</v>
      </c>
      <c r="AG241" s="24" t="s">
        <v>5475</v>
      </c>
      <c r="AH241" s="5" t="s">
        <v>7167</v>
      </c>
      <c r="AI241" s="5">
        <v>27908.695899999999</v>
      </c>
      <c r="AJ241" s="5">
        <v>27908.695899999999</v>
      </c>
      <c r="AK241">
        <v>25920.461899999998</v>
      </c>
      <c r="AL241" s="5" t="str">
        <f t="shared" si="8"/>
        <v>Белоярский городской округ</v>
      </c>
    </row>
    <row r="242" spans="1:38" ht="15" customHeight="1" x14ac:dyDescent="0.25">
      <c r="A242" s="3" t="s">
        <v>460</v>
      </c>
      <c r="B242" s="3" t="s">
        <v>14</v>
      </c>
      <c r="C242" s="5">
        <v>93989.912800000006</v>
      </c>
      <c r="D242" s="5">
        <v>93989.912800000006</v>
      </c>
      <c r="E242" s="5">
        <v>85109.545199999993</v>
      </c>
      <c r="F242" t="s">
        <v>7249</v>
      </c>
      <c r="G242" s="5" t="str">
        <f t="shared" si="7"/>
        <v>Центр</v>
      </c>
      <c r="J242" s="5"/>
      <c r="AF242" t="s">
        <v>7167</v>
      </c>
      <c r="AG242" s="24" t="s">
        <v>5476</v>
      </c>
      <c r="AH242" s="5" t="s">
        <v>7167</v>
      </c>
      <c r="AI242" s="5">
        <v>27908.695899999999</v>
      </c>
      <c r="AJ242" s="5">
        <v>27908.695899999999</v>
      </c>
      <c r="AK242">
        <v>25920.461899999998</v>
      </c>
      <c r="AL242" s="5" t="str">
        <f t="shared" si="8"/>
        <v>Белоярский городской округ</v>
      </c>
    </row>
    <row r="243" spans="1:38" ht="15" customHeight="1" x14ac:dyDescent="0.25">
      <c r="A243" s="3" t="s">
        <v>461</v>
      </c>
      <c r="B243" s="3" t="s">
        <v>1660</v>
      </c>
      <c r="C243" s="5">
        <v>53262.345800000003</v>
      </c>
      <c r="D243" s="5">
        <v>53262.345800000003</v>
      </c>
      <c r="E243" s="5">
        <v>48230.0095</v>
      </c>
      <c r="F243" t="s">
        <v>7249</v>
      </c>
      <c r="G243" s="5" t="str">
        <f t="shared" si="7"/>
        <v>САДОВЫЙ</v>
      </c>
      <c r="J243" s="5"/>
      <c r="AF243" t="s">
        <v>7167</v>
      </c>
      <c r="AG243" s="24" t="s">
        <v>5477</v>
      </c>
      <c r="AH243" s="5" t="s">
        <v>7167</v>
      </c>
      <c r="AI243" s="5">
        <v>27908.695899999999</v>
      </c>
      <c r="AJ243" s="5">
        <v>27908.695899999999</v>
      </c>
      <c r="AK243">
        <v>25920.461899999998</v>
      </c>
      <c r="AL243" s="5" t="str">
        <f t="shared" si="8"/>
        <v>Белоярский городской округ</v>
      </c>
    </row>
    <row r="244" spans="1:38" ht="15" customHeight="1" x14ac:dyDescent="0.25">
      <c r="A244" s="3" t="s">
        <v>462</v>
      </c>
      <c r="B244" s="3" t="s">
        <v>1628</v>
      </c>
      <c r="C244" s="5">
        <v>70734.0236</v>
      </c>
      <c r="D244" s="5">
        <v>70734.0236</v>
      </c>
      <c r="E244" s="5">
        <v>64050.9208</v>
      </c>
      <c r="F244" t="s">
        <v>7249</v>
      </c>
      <c r="G244" s="5" t="str">
        <f t="shared" si="7"/>
        <v>ЭЛЬМАШ</v>
      </c>
      <c r="J244" s="5"/>
      <c r="AF244" t="s">
        <v>7167</v>
      </c>
      <c r="AG244" s="24" t="s">
        <v>5478</v>
      </c>
      <c r="AH244" s="5" t="s">
        <v>7167</v>
      </c>
      <c r="AI244" s="5">
        <v>27908.695899999999</v>
      </c>
      <c r="AJ244" s="5">
        <v>27908.695899999999</v>
      </c>
      <c r="AK244">
        <v>25920.461899999998</v>
      </c>
      <c r="AL244" s="5" t="str">
        <f t="shared" si="8"/>
        <v>Белоярский городской округ</v>
      </c>
    </row>
    <row r="245" spans="1:38" ht="15" customHeight="1" x14ac:dyDescent="0.25">
      <c r="A245" s="3" t="s">
        <v>464</v>
      </c>
      <c r="B245" s="3" t="s">
        <v>1633</v>
      </c>
      <c r="C245" s="5">
        <v>77071.442599999995</v>
      </c>
      <c r="D245" s="5">
        <v>77071.442599999995</v>
      </c>
      <c r="E245" s="5">
        <v>69789.570900000006</v>
      </c>
      <c r="F245" t="s">
        <v>7249</v>
      </c>
      <c r="G245" s="5" t="str">
        <f t="shared" si="7"/>
        <v>ВТУЗГОРОДОК</v>
      </c>
      <c r="J245" s="5"/>
      <c r="AF245" t="s">
        <v>7167</v>
      </c>
      <c r="AG245" s="24" t="s">
        <v>5479</v>
      </c>
      <c r="AH245" s="5" t="s">
        <v>7167</v>
      </c>
      <c r="AI245" s="5">
        <v>27908.695899999999</v>
      </c>
      <c r="AJ245" s="5">
        <v>27908.695899999999</v>
      </c>
      <c r="AK245">
        <v>25920.461899999998</v>
      </c>
      <c r="AL245" s="5" t="str">
        <f t="shared" si="8"/>
        <v>Белоярский городской округ</v>
      </c>
    </row>
    <row r="246" spans="1:38" ht="15" customHeight="1" x14ac:dyDescent="0.25">
      <c r="A246" s="3" t="s">
        <v>465</v>
      </c>
      <c r="B246" s="3" t="s">
        <v>1650</v>
      </c>
      <c r="C246" s="5">
        <v>37590.3603</v>
      </c>
      <c r="D246" s="5">
        <v>37590.3603</v>
      </c>
      <c r="E246" s="5">
        <v>34038.745900000002</v>
      </c>
      <c r="F246" t="s">
        <v>7249</v>
      </c>
      <c r="G246" s="5" t="str">
        <f t="shared" si="7"/>
        <v>ШАБРОВСКИЙ</v>
      </c>
      <c r="J246" s="5"/>
      <c r="AF246" t="s">
        <v>7167</v>
      </c>
      <c r="AG246" s="24" t="s">
        <v>5480</v>
      </c>
      <c r="AH246" s="5" t="s">
        <v>7167</v>
      </c>
      <c r="AI246" s="5">
        <v>27908.695899999999</v>
      </c>
      <c r="AJ246" s="5">
        <v>27908.695899999999</v>
      </c>
      <c r="AK246">
        <v>25920.461899999998</v>
      </c>
      <c r="AL246" s="5" t="str">
        <f t="shared" si="8"/>
        <v>Белоярский городской округ</v>
      </c>
    </row>
    <row r="247" spans="1:38" ht="15" customHeight="1" x14ac:dyDescent="0.25">
      <c r="A247" s="3" t="s">
        <v>466</v>
      </c>
      <c r="B247" s="3" t="s">
        <v>1630</v>
      </c>
      <c r="C247" s="5">
        <v>62652.9401</v>
      </c>
      <c r="D247" s="5">
        <v>62652.9401</v>
      </c>
      <c r="E247" s="5">
        <v>56733.3557</v>
      </c>
      <c r="F247" t="s">
        <v>7249</v>
      </c>
      <c r="G247" s="5" t="str">
        <f t="shared" si="7"/>
        <v>ЧЕРМЕТ</v>
      </c>
      <c r="J247" s="5"/>
      <c r="AF247" t="s">
        <v>7167</v>
      </c>
      <c r="AG247" s="24" t="s">
        <v>5481</v>
      </c>
      <c r="AH247" s="5" t="s">
        <v>7167</v>
      </c>
      <c r="AI247" s="5">
        <v>27908.695899999999</v>
      </c>
      <c r="AJ247" s="5">
        <v>27908.695899999999</v>
      </c>
      <c r="AK247">
        <v>25920.461899999998</v>
      </c>
      <c r="AL247" s="5" t="str">
        <f t="shared" si="8"/>
        <v>Белоярский городской округ</v>
      </c>
    </row>
    <row r="248" spans="1:38" ht="15" customHeight="1" x14ac:dyDescent="0.25">
      <c r="A248" s="3" t="s">
        <v>467</v>
      </c>
      <c r="B248" s="3" t="s">
        <v>1631</v>
      </c>
      <c r="C248" s="5">
        <v>70026.7601</v>
      </c>
      <c r="D248" s="5">
        <v>70026.7601</v>
      </c>
      <c r="E248" s="5">
        <v>63410.482000000004</v>
      </c>
      <c r="F248" t="s">
        <v>7249</v>
      </c>
      <c r="G248" s="5" t="str">
        <f t="shared" si="7"/>
        <v>УРАЛМАШ</v>
      </c>
      <c r="J248" s="5"/>
      <c r="AF248" t="s">
        <v>7167</v>
      </c>
      <c r="AG248" s="24" t="s">
        <v>5482</v>
      </c>
      <c r="AH248" s="5" t="s">
        <v>7167</v>
      </c>
      <c r="AI248" s="5">
        <v>27908.695899999999</v>
      </c>
      <c r="AJ248" s="5">
        <v>27908.695899999999</v>
      </c>
      <c r="AK248">
        <v>25920.461899999998</v>
      </c>
      <c r="AL248" s="5" t="str">
        <f t="shared" si="8"/>
        <v>Белоярский городской округ</v>
      </c>
    </row>
    <row r="249" spans="1:38" ht="15" customHeight="1" x14ac:dyDescent="0.25">
      <c r="A249" s="3" t="s">
        <v>468</v>
      </c>
      <c r="B249" s="3" t="s">
        <v>14</v>
      </c>
      <c r="C249" s="5">
        <v>93989.912800000006</v>
      </c>
      <c r="D249" s="5">
        <v>93989.912800000006</v>
      </c>
      <c r="E249" s="5">
        <v>85109.545199999993</v>
      </c>
      <c r="F249" t="s">
        <v>7249</v>
      </c>
      <c r="G249" s="5" t="str">
        <f t="shared" si="7"/>
        <v>Центр</v>
      </c>
      <c r="J249" s="5"/>
      <c r="AF249" t="s">
        <v>7167</v>
      </c>
      <c r="AG249" s="24" t="s">
        <v>5483</v>
      </c>
      <c r="AH249" s="5" t="s">
        <v>7167</v>
      </c>
      <c r="AI249" s="5">
        <v>27908.695899999999</v>
      </c>
      <c r="AJ249" s="5">
        <v>27908.695899999999</v>
      </c>
      <c r="AK249">
        <v>25920.461899999998</v>
      </c>
      <c r="AL249" s="5" t="str">
        <f t="shared" si="8"/>
        <v>Белоярский городской округ</v>
      </c>
    </row>
    <row r="250" spans="1:38" ht="15" customHeight="1" x14ac:dyDescent="0.25">
      <c r="A250" s="3" t="s">
        <v>469</v>
      </c>
      <c r="B250" s="3" t="s">
        <v>1629</v>
      </c>
      <c r="C250" s="5">
        <v>77743.704100000003</v>
      </c>
      <c r="D250" s="5">
        <v>77743.704100000003</v>
      </c>
      <c r="E250" s="5">
        <v>70398.310800000007</v>
      </c>
      <c r="F250" t="s">
        <v>7249</v>
      </c>
      <c r="G250" s="5" t="str">
        <f t="shared" si="7"/>
        <v>ПИОНЕРСКИЙ</v>
      </c>
      <c r="J250" s="5"/>
      <c r="AF250" t="s">
        <v>7167</v>
      </c>
      <c r="AG250" s="24" t="s">
        <v>5484</v>
      </c>
      <c r="AH250" s="5" t="s">
        <v>7167</v>
      </c>
      <c r="AI250" s="5">
        <v>27908.695899999999</v>
      </c>
      <c r="AJ250" s="5">
        <v>27908.695899999999</v>
      </c>
      <c r="AK250">
        <v>25920.461899999998</v>
      </c>
      <c r="AL250" s="5" t="str">
        <f t="shared" si="8"/>
        <v>Белоярский городской округ</v>
      </c>
    </row>
    <row r="251" spans="1:38" ht="15" customHeight="1" x14ac:dyDescent="0.25">
      <c r="A251" s="3" t="s">
        <v>470</v>
      </c>
      <c r="B251" s="3" t="s">
        <v>14</v>
      </c>
      <c r="C251" s="5">
        <v>93989.912800000006</v>
      </c>
      <c r="D251" s="5">
        <v>93989.912800000006</v>
      </c>
      <c r="E251" s="5">
        <v>85109.545199999993</v>
      </c>
      <c r="F251" t="s">
        <v>7249</v>
      </c>
      <c r="G251" s="5" t="str">
        <f t="shared" si="7"/>
        <v>Центр</v>
      </c>
      <c r="J251" s="5"/>
      <c r="AF251" t="s">
        <v>7167</v>
      </c>
      <c r="AG251" s="24" t="s">
        <v>5485</v>
      </c>
      <c r="AH251" s="5" t="s">
        <v>7167</v>
      </c>
      <c r="AI251" s="5">
        <v>27908.695899999999</v>
      </c>
      <c r="AJ251" s="5">
        <v>27908.695899999999</v>
      </c>
      <c r="AK251">
        <v>25920.461899999998</v>
      </c>
      <c r="AL251" s="5" t="str">
        <f t="shared" si="8"/>
        <v>Белоярский городской округ</v>
      </c>
    </row>
    <row r="252" spans="1:38" ht="15" customHeight="1" x14ac:dyDescent="0.25">
      <c r="A252" s="3" t="s">
        <v>471</v>
      </c>
      <c r="B252" s="3" t="s">
        <v>1631</v>
      </c>
      <c r="C252" s="5">
        <v>70026.7601</v>
      </c>
      <c r="D252" s="5">
        <v>70026.7601</v>
      </c>
      <c r="E252" s="5">
        <v>63410.482000000004</v>
      </c>
      <c r="F252" t="s">
        <v>7249</v>
      </c>
      <c r="G252" s="5" t="str">
        <f t="shared" si="7"/>
        <v>УРАЛМАШ</v>
      </c>
      <c r="J252" s="5"/>
      <c r="AF252" t="s">
        <v>7167</v>
      </c>
      <c r="AG252" s="24" t="s">
        <v>5486</v>
      </c>
      <c r="AH252" s="5" t="s">
        <v>7167</v>
      </c>
      <c r="AI252" s="5">
        <v>27908.695899999999</v>
      </c>
      <c r="AJ252" s="5">
        <v>27908.695899999999</v>
      </c>
      <c r="AK252">
        <v>25920.461899999998</v>
      </c>
      <c r="AL252" s="5" t="str">
        <f t="shared" si="8"/>
        <v>Белоярский городской округ</v>
      </c>
    </row>
    <row r="253" spans="1:38" ht="15" customHeight="1" x14ac:dyDescent="0.25">
      <c r="A253" s="3" t="s">
        <v>472</v>
      </c>
      <c r="B253" s="3" t="s">
        <v>1643</v>
      </c>
      <c r="C253" s="5">
        <v>76630.280299999999</v>
      </c>
      <c r="D253" s="5">
        <v>76630.280299999999</v>
      </c>
      <c r="E253" s="5">
        <v>69390.088799999998</v>
      </c>
      <c r="F253" t="s">
        <v>7249</v>
      </c>
      <c r="G253" s="5" t="str">
        <f t="shared" si="7"/>
        <v>Ю-З</v>
      </c>
      <c r="J253" s="5"/>
      <c r="AF253" t="s">
        <v>7167</v>
      </c>
      <c r="AG253" s="24" t="s">
        <v>5487</v>
      </c>
      <c r="AH253" s="5" t="s">
        <v>7167</v>
      </c>
      <c r="AI253" s="5">
        <v>27908.695899999999</v>
      </c>
      <c r="AJ253" s="5">
        <v>27908.695899999999</v>
      </c>
      <c r="AK253">
        <v>25920.461899999998</v>
      </c>
      <c r="AL253" s="5" t="str">
        <f t="shared" si="8"/>
        <v>Белоярский городской округ</v>
      </c>
    </row>
    <row r="254" spans="1:38" ht="15" customHeight="1" x14ac:dyDescent="0.25">
      <c r="A254" s="3" t="s">
        <v>473</v>
      </c>
      <c r="B254" s="3" t="s">
        <v>1644</v>
      </c>
      <c r="C254" s="5">
        <v>61980.678599999999</v>
      </c>
      <c r="D254" s="5">
        <v>61980.678599999999</v>
      </c>
      <c r="E254" s="5">
        <v>56124.615700000002</v>
      </c>
      <c r="F254" t="s">
        <v>7249</v>
      </c>
      <c r="G254" s="5" t="str">
        <f t="shared" si="7"/>
        <v>ХИММАШ</v>
      </c>
      <c r="J254" s="5"/>
      <c r="AF254" t="s">
        <v>7167</v>
      </c>
      <c r="AG254" s="24" t="s">
        <v>5488</v>
      </c>
      <c r="AH254" s="5" t="s">
        <v>7167</v>
      </c>
      <c r="AI254" s="5">
        <v>27908.695899999999</v>
      </c>
      <c r="AJ254" s="5">
        <v>27908.695899999999</v>
      </c>
      <c r="AK254">
        <v>25920.461899999998</v>
      </c>
      <c r="AL254" s="5" t="str">
        <f t="shared" si="8"/>
        <v>Белоярский городской округ</v>
      </c>
    </row>
    <row r="255" spans="1:38" ht="15" customHeight="1" x14ac:dyDescent="0.25">
      <c r="A255" s="3" t="s">
        <v>474</v>
      </c>
      <c r="B255" s="3" t="s">
        <v>1636</v>
      </c>
      <c r="C255" s="5">
        <v>52246.960299999999</v>
      </c>
      <c r="D255" s="5">
        <v>52246.960299999999</v>
      </c>
      <c r="E255" s="5">
        <v>47310.556700000001</v>
      </c>
      <c r="F255" t="s">
        <v>7249</v>
      </c>
      <c r="G255" s="5" t="str">
        <f t="shared" si="7"/>
        <v>ГОРНЫЙ ЩИТ</v>
      </c>
      <c r="J255" s="5"/>
      <c r="AF255" t="s">
        <v>7167</v>
      </c>
      <c r="AG255" s="24" t="s">
        <v>5489</v>
      </c>
      <c r="AH255" s="5" t="s">
        <v>7167</v>
      </c>
      <c r="AI255" s="5">
        <v>27908.695899999999</v>
      </c>
      <c r="AJ255" s="5">
        <v>27908.695899999999</v>
      </c>
      <c r="AK255">
        <v>25920.461899999998</v>
      </c>
      <c r="AL255" s="5" t="str">
        <f t="shared" si="8"/>
        <v>Белоярский городской округ</v>
      </c>
    </row>
    <row r="256" spans="1:38" ht="15" customHeight="1" x14ac:dyDescent="0.25">
      <c r="A256" s="3" t="s">
        <v>475</v>
      </c>
      <c r="B256" s="3" t="s">
        <v>1647</v>
      </c>
      <c r="C256" s="5">
        <v>63178.133800000003</v>
      </c>
      <c r="D256" s="5">
        <v>63178.133800000003</v>
      </c>
      <c r="E256" s="5">
        <v>57208.931499999999</v>
      </c>
      <c r="F256" t="s">
        <v>7249</v>
      </c>
      <c r="G256" s="5" t="str">
        <f t="shared" si="7"/>
        <v>ШИРОКАЯ РЕЧКА</v>
      </c>
      <c r="J256" s="5"/>
      <c r="AF256" t="s">
        <v>7167</v>
      </c>
      <c r="AG256" s="24" t="s">
        <v>5490</v>
      </c>
      <c r="AH256" s="5" t="s">
        <v>7167</v>
      </c>
      <c r="AI256" s="5">
        <v>27908.695899999999</v>
      </c>
      <c r="AJ256" s="5">
        <v>27908.695899999999</v>
      </c>
      <c r="AK256">
        <v>25920.461899999998</v>
      </c>
      <c r="AL256" s="5" t="str">
        <f t="shared" si="8"/>
        <v>Белоярский городской округ</v>
      </c>
    </row>
    <row r="257" spans="1:38" ht="15" customHeight="1" x14ac:dyDescent="0.25">
      <c r="A257" s="3" t="s">
        <v>476</v>
      </c>
      <c r="B257" s="3" t="s">
        <v>1638</v>
      </c>
      <c r="C257" s="5">
        <v>63640.311600000001</v>
      </c>
      <c r="D257" s="5">
        <v>63640.311600000001</v>
      </c>
      <c r="E257" s="5">
        <v>57627.4473</v>
      </c>
      <c r="F257" t="s">
        <v>7249</v>
      </c>
      <c r="G257" s="5" t="str">
        <f t="shared" si="7"/>
        <v>УКТУС</v>
      </c>
      <c r="J257" s="5"/>
      <c r="AF257" t="s">
        <v>7167</v>
      </c>
      <c r="AG257" s="24" t="s">
        <v>5491</v>
      </c>
      <c r="AH257" s="5" t="s">
        <v>7167</v>
      </c>
      <c r="AI257" s="5">
        <v>27908.695899999999</v>
      </c>
      <c r="AJ257" s="5">
        <v>27908.695899999999</v>
      </c>
      <c r="AK257">
        <v>25920.461899999998</v>
      </c>
      <c r="AL257" s="5" t="str">
        <f t="shared" si="8"/>
        <v>Белоярский городской округ</v>
      </c>
    </row>
    <row r="258" spans="1:38" ht="15" customHeight="1" x14ac:dyDescent="0.25">
      <c r="A258" s="3" t="s">
        <v>477</v>
      </c>
      <c r="B258" s="3" t="s">
        <v>14</v>
      </c>
      <c r="C258" s="5">
        <v>93989.912800000006</v>
      </c>
      <c r="D258" s="5">
        <v>93989.912800000006</v>
      </c>
      <c r="E258" s="5">
        <v>85109.545199999993</v>
      </c>
      <c r="F258" t="s">
        <v>7249</v>
      </c>
      <c r="G258" s="5" t="str">
        <f t="shared" si="7"/>
        <v>Центр</v>
      </c>
      <c r="J258" s="5"/>
      <c r="AF258" t="s">
        <v>7167</v>
      </c>
      <c r="AG258" s="24" t="s">
        <v>5492</v>
      </c>
      <c r="AH258" s="5" t="s">
        <v>7167</v>
      </c>
      <c r="AI258" s="5">
        <v>27908.695899999999</v>
      </c>
      <c r="AJ258" s="5">
        <v>27908.695899999999</v>
      </c>
      <c r="AK258">
        <v>25920.461899999998</v>
      </c>
      <c r="AL258" s="5" t="str">
        <f t="shared" si="8"/>
        <v>Белоярский городской округ</v>
      </c>
    </row>
    <row r="259" spans="1:38" ht="15" customHeight="1" x14ac:dyDescent="0.25">
      <c r="A259" s="3" t="s">
        <v>478</v>
      </c>
      <c r="B259" s="3" t="s">
        <v>33</v>
      </c>
      <c r="C259" s="5">
        <v>84298.205100000006</v>
      </c>
      <c r="D259" s="5">
        <v>84298.205100000006</v>
      </c>
      <c r="E259" s="5">
        <v>76333.533100000001</v>
      </c>
      <c r="F259" t="s">
        <v>7249</v>
      </c>
      <c r="G259" s="5" t="str">
        <f t="shared" si="7"/>
        <v>ВИЗ</v>
      </c>
      <c r="J259" s="5"/>
      <c r="AF259" t="s">
        <v>7167</v>
      </c>
      <c r="AG259" s="24" t="s">
        <v>5493</v>
      </c>
      <c r="AH259" s="5" t="s">
        <v>7167</v>
      </c>
      <c r="AI259" s="5">
        <v>27908.695899999999</v>
      </c>
      <c r="AJ259" s="5">
        <v>27908.695899999999</v>
      </c>
      <c r="AK259">
        <v>25920.461899999998</v>
      </c>
      <c r="AL259" s="5" t="str">
        <f t="shared" si="8"/>
        <v>Белоярский городской округ</v>
      </c>
    </row>
    <row r="260" spans="1:38" ht="15" customHeight="1" x14ac:dyDescent="0.25">
      <c r="A260" s="3" t="s">
        <v>479</v>
      </c>
      <c r="B260" s="3" t="s">
        <v>1651</v>
      </c>
      <c r="C260" s="5">
        <v>68129.029500000004</v>
      </c>
      <c r="D260" s="5">
        <v>68129.029500000004</v>
      </c>
      <c r="E260" s="5">
        <v>61692.054799999998</v>
      </c>
      <c r="F260" t="s">
        <v>7249</v>
      </c>
      <c r="G260" s="5" t="str">
        <f t="shared" ref="G260:G323" si="9">B260</f>
        <v>ШАРТАШ</v>
      </c>
      <c r="J260" s="5"/>
      <c r="AF260" t="s">
        <v>7167</v>
      </c>
      <c r="AG260" s="24" t="s">
        <v>5494</v>
      </c>
      <c r="AH260" s="5" t="s">
        <v>7167</v>
      </c>
      <c r="AI260" s="5">
        <v>27908.695899999999</v>
      </c>
      <c r="AJ260" s="5">
        <v>27908.695899999999</v>
      </c>
      <c r="AK260">
        <v>25920.461899999998</v>
      </c>
      <c r="AL260" s="5" t="str">
        <f t="shared" ref="AL260:AL323" si="10">AF260</f>
        <v>Белоярский городской округ</v>
      </c>
    </row>
    <row r="261" spans="1:38" ht="15" customHeight="1" x14ac:dyDescent="0.25">
      <c r="A261" s="3" t="s">
        <v>480</v>
      </c>
      <c r="B261" s="3" t="s">
        <v>1645</v>
      </c>
      <c r="C261" s="5">
        <v>60958.294800000003</v>
      </c>
      <c r="D261" s="5">
        <v>60958.294800000003</v>
      </c>
      <c r="E261" s="5">
        <v>55198.825199999999</v>
      </c>
      <c r="F261" t="s">
        <v>7249</v>
      </c>
      <c r="G261" s="5" t="str">
        <f t="shared" si="9"/>
        <v>ЕЛИЗАВЕТ</v>
      </c>
      <c r="J261" s="5"/>
      <c r="AF261" t="s">
        <v>7167</v>
      </c>
      <c r="AG261" s="24" t="s">
        <v>5495</v>
      </c>
      <c r="AH261" s="5" t="s">
        <v>7167</v>
      </c>
      <c r="AI261" s="5">
        <v>27908.695899999999</v>
      </c>
      <c r="AJ261" s="5">
        <v>27908.695899999999</v>
      </c>
      <c r="AK261">
        <v>25920.461899999998</v>
      </c>
      <c r="AL261" s="5" t="str">
        <f t="shared" si="10"/>
        <v>Белоярский городской округ</v>
      </c>
    </row>
    <row r="262" spans="1:38" ht="15" customHeight="1" x14ac:dyDescent="0.25">
      <c r="A262" s="3" t="s">
        <v>481</v>
      </c>
      <c r="B262" s="3" t="s">
        <v>1632</v>
      </c>
      <c r="C262" s="5">
        <v>83744.997499999998</v>
      </c>
      <c r="D262" s="5">
        <v>83744.997499999998</v>
      </c>
      <c r="E262" s="5">
        <v>75832.596099999995</v>
      </c>
      <c r="F262" t="s">
        <v>7249</v>
      </c>
      <c r="G262" s="5" t="str">
        <f t="shared" si="9"/>
        <v>АВТОВОКЗАЛ</v>
      </c>
      <c r="J262" s="5"/>
      <c r="AF262" t="s">
        <v>7167</v>
      </c>
      <c r="AG262" s="24" t="s">
        <v>5496</v>
      </c>
      <c r="AH262" s="5" t="s">
        <v>7167</v>
      </c>
      <c r="AI262" s="5">
        <v>27908.695899999999</v>
      </c>
      <c r="AJ262" s="5">
        <v>27908.695899999999</v>
      </c>
      <c r="AK262">
        <v>25920.461899999998</v>
      </c>
      <c r="AL262" s="5" t="str">
        <f t="shared" si="10"/>
        <v>Белоярский городской округ</v>
      </c>
    </row>
    <row r="263" spans="1:38" ht="15" customHeight="1" x14ac:dyDescent="0.25">
      <c r="A263" s="3" t="s">
        <v>482</v>
      </c>
      <c r="B263" s="3" t="s">
        <v>1663</v>
      </c>
      <c r="C263" s="5">
        <v>44242.899599999997</v>
      </c>
      <c r="D263" s="5">
        <v>44242.899599999997</v>
      </c>
      <c r="E263" s="5">
        <v>40062.737300000001</v>
      </c>
      <c r="F263" t="s">
        <v>7249</v>
      </c>
      <c r="G263" s="5" t="str">
        <f t="shared" si="9"/>
        <v>ШУВАКИШ</v>
      </c>
      <c r="J263" s="5"/>
      <c r="AF263" t="s">
        <v>7167</v>
      </c>
      <c r="AG263" s="24" t="s">
        <v>5497</v>
      </c>
      <c r="AH263" s="5" t="s">
        <v>7167</v>
      </c>
      <c r="AI263" s="5">
        <v>27908.695899999999</v>
      </c>
      <c r="AJ263" s="5">
        <v>27908.695899999999</v>
      </c>
      <c r="AK263">
        <v>25920.461899999998</v>
      </c>
      <c r="AL263" s="5" t="str">
        <f t="shared" si="10"/>
        <v>Белоярский городской округ</v>
      </c>
    </row>
    <row r="264" spans="1:38" ht="15" customHeight="1" x14ac:dyDescent="0.25">
      <c r="A264" s="3" t="s">
        <v>485</v>
      </c>
      <c r="B264" s="3" t="s">
        <v>1644</v>
      </c>
      <c r="C264" s="5">
        <v>61980.678599999999</v>
      </c>
      <c r="D264" s="5">
        <v>61980.678599999999</v>
      </c>
      <c r="E264" s="5">
        <v>56124.615700000002</v>
      </c>
      <c r="F264" t="s">
        <v>7249</v>
      </c>
      <c r="G264" s="5" t="str">
        <f t="shared" si="9"/>
        <v>ХИММАШ</v>
      </c>
      <c r="J264" s="5"/>
      <c r="AF264" t="s">
        <v>7167</v>
      </c>
      <c r="AG264" s="24" t="s">
        <v>5498</v>
      </c>
      <c r="AH264" s="5" t="s">
        <v>7167</v>
      </c>
      <c r="AI264" s="5">
        <v>27908.695899999999</v>
      </c>
      <c r="AJ264" s="5">
        <v>27908.695899999999</v>
      </c>
      <c r="AK264">
        <v>25920.461899999998</v>
      </c>
      <c r="AL264" s="5" t="str">
        <f t="shared" si="10"/>
        <v>Белоярский городской округ</v>
      </c>
    </row>
    <row r="265" spans="1:38" ht="15" customHeight="1" x14ac:dyDescent="0.25">
      <c r="A265" s="3" t="s">
        <v>486</v>
      </c>
      <c r="B265" s="3" t="s">
        <v>1647</v>
      </c>
      <c r="C265" s="5">
        <v>63178.133800000003</v>
      </c>
      <c r="D265" s="5">
        <v>63178.133800000003</v>
      </c>
      <c r="E265" s="5">
        <v>57208.931499999999</v>
      </c>
      <c r="F265" t="s">
        <v>7249</v>
      </c>
      <c r="G265" s="5" t="str">
        <f t="shared" si="9"/>
        <v>ШИРОКАЯ РЕЧКА</v>
      </c>
      <c r="J265" s="5"/>
      <c r="AF265" t="s">
        <v>7167</v>
      </c>
      <c r="AG265" s="24" t="s">
        <v>5499</v>
      </c>
      <c r="AH265" s="5" t="s">
        <v>7167</v>
      </c>
      <c r="AI265" s="5">
        <v>27908.695899999999</v>
      </c>
      <c r="AJ265" s="5">
        <v>27908.695899999999</v>
      </c>
      <c r="AK265">
        <v>25920.461899999998</v>
      </c>
      <c r="AL265" s="5" t="str">
        <f t="shared" si="10"/>
        <v>Белоярский городской округ</v>
      </c>
    </row>
    <row r="266" spans="1:38" ht="15" customHeight="1" x14ac:dyDescent="0.25">
      <c r="A266" s="3" t="s">
        <v>488</v>
      </c>
      <c r="B266" s="3" t="s">
        <v>1632</v>
      </c>
      <c r="C266" s="5">
        <v>83744.997499999998</v>
      </c>
      <c r="D266" s="5">
        <v>83744.997499999998</v>
      </c>
      <c r="E266" s="5">
        <v>75832.596099999995</v>
      </c>
      <c r="F266" t="s">
        <v>7249</v>
      </c>
      <c r="G266" s="5" t="str">
        <f t="shared" si="9"/>
        <v>АВТОВОКЗАЛ</v>
      </c>
      <c r="J266" s="5"/>
      <c r="AF266" t="s">
        <v>7167</v>
      </c>
      <c r="AG266" s="24" t="s">
        <v>5500</v>
      </c>
      <c r="AH266" s="5" t="s">
        <v>7167</v>
      </c>
      <c r="AI266" s="5">
        <v>27908.695899999999</v>
      </c>
      <c r="AJ266" s="5">
        <v>27908.695899999999</v>
      </c>
      <c r="AK266">
        <v>25920.461899999998</v>
      </c>
      <c r="AL266" s="5" t="str">
        <f t="shared" si="10"/>
        <v>Белоярский городской округ</v>
      </c>
    </row>
    <row r="267" spans="1:38" ht="15" customHeight="1" x14ac:dyDescent="0.25">
      <c r="A267" s="3" t="s">
        <v>489</v>
      </c>
      <c r="B267" s="3" t="s">
        <v>1638</v>
      </c>
      <c r="C267" s="5">
        <v>63640.311600000001</v>
      </c>
      <c r="D267" s="5">
        <v>63640.311600000001</v>
      </c>
      <c r="E267" s="5">
        <v>57627.4473</v>
      </c>
      <c r="F267" t="s">
        <v>7249</v>
      </c>
      <c r="G267" s="5" t="str">
        <f t="shared" si="9"/>
        <v>УКТУС</v>
      </c>
      <c r="J267" s="5"/>
      <c r="AF267" t="s">
        <v>7167</v>
      </c>
      <c r="AG267" s="24" t="s">
        <v>5501</v>
      </c>
      <c r="AH267" s="5" t="s">
        <v>7167</v>
      </c>
      <c r="AI267" s="5">
        <v>27908.695899999999</v>
      </c>
      <c r="AJ267" s="5">
        <v>27908.695899999999</v>
      </c>
      <c r="AK267">
        <v>25920.461899999998</v>
      </c>
      <c r="AL267" s="5" t="str">
        <f t="shared" si="10"/>
        <v>Белоярский городской округ</v>
      </c>
    </row>
    <row r="268" spans="1:38" ht="15" customHeight="1" x14ac:dyDescent="0.25">
      <c r="A268" s="3" t="s">
        <v>490</v>
      </c>
      <c r="B268" s="3" t="s">
        <v>14</v>
      </c>
      <c r="C268" s="5">
        <v>93989.912800000006</v>
      </c>
      <c r="D268" s="5">
        <v>93989.912800000006</v>
      </c>
      <c r="E268" s="5">
        <v>85109.545199999993</v>
      </c>
      <c r="F268" t="s">
        <v>7249</v>
      </c>
      <c r="G268" s="5" t="str">
        <f t="shared" si="9"/>
        <v>Центр</v>
      </c>
      <c r="J268" s="5"/>
      <c r="AF268" t="s">
        <v>7167</v>
      </c>
      <c r="AG268" s="24" t="s">
        <v>5502</v>
      </c>
      <c r="AH268" s="5" t="s">
        <v>7167</v>
      </c>
      <c r="AI268" s="5">
        <v>27908.695899999999</v>
      </c>
      <c r="AJ268" s="5">
        <v>27908.695899999999</v>
      </c>
      <c r="AK268">
        <v>25920.461899999998</v>
      </c>
      <c r="AL268" s="5" t="str">
        <f t="shared" si="10"/>
        <v>Белоярский городской округ</v>
      </c>
    </row>
    <row r="269" spans="1:38" ht="15" customHeight="1" x14ac:dyDescent="0.25">
      <c r="A269" s="3" t="s">
        <v>491</v>
      </c>
      <c r="B269" s="3" t="s">
        <v>1643</v>
      </c>
      <c r="C269" s="5">
        <v>76630.280299999999</v>
      </c>
      <c r="D269" s="5">
        <v>76630.280299999999</v>
      </c>
      <c r="E269" s="5">
        <v>69390.088799999998</v>
      </c>
      <c r="F269" t="s">
        <v>7249</v>
      </c>
      <c r="G269" s="5" t="str">
        <f t="shared" si="9"/>
        <v>Ю-З</v>
      </c>
      <c r="J269" s="5"/>
      <c r="AF269" t="s">
        <v>7167</v>
      </c>
      <c r="AG269" s="24" t="s">
        <v>5503</v>
      </c>
      <c r="AH269" s="5" t="s">
        <v>7167</v>
      </c>
      <c r="AI269" s="5">
        <v>27908.695899999999</v>
      </c>
      <c r="AJ269" s="5">
        <v>27908.695899999999</v>
      </c>
      <c r="AK269">
        <v>25920.461899999998</v>
      </c>
      <c r="AL269" s="5" t="str">
        <f t="shared" si="10"/>
        <v>Белоярский городской округ</v>
      </c>
    </row>
    <row r="270" spans="1:38" ht="15" customHeight="1" x14ac:dyDescent="0.25">
      <c r="A270" s="3" t="s">
        <v>492</v>
      </c>
      <c r="B270" s="3" t="s">
        <v>1642</v>
      </c>
      <c r="C270" s="5">
        <v>81392.097599999994</v>
      </c>
      <c r="D270" s="5">
        <v>81392.097599999994</v>
      </c>
      <c r="E270" s="5">
        <v>73702.001099999994</v>
      </c>
      <c r="F270" t="s">
        <v>7249</v>
      </c>
      <c r="G270" s="5" t="str">
        <f t="shared" si="9"/>
        <v>ПАРКОВЫЙ</v>
      </c>
      <c r="J270" s="5"/>
      <c r="AF270" t="s">
        <v>7168</v>
      </c>
      <c r="AG270" s="24" t="s">
        <v>5504</v>
      </c>
      <c r="AH270" s="5" t="s">
        <v>7168</v>
      </c>
      <c r="AI270" s="5">
        <v>42837.528299999998</v>
      </c>
      <c r="AJ270" s="5">
        <v>42837.528299999998</v>
      </c>
      <c r="AK270">
        <v>41984.125999999997</v>
      </c>
      <c r="AL270" s="5" t="str">
        <f t="shared" si="10"/>
        <v>Березовский городской округ</v>
      </c>
    </row>
    <row r="271" spans="1:38" ht="15" customHeight="1" x14ac:dyDescent="0.25">
      <c r="A271" s="3" t="s">
        <v>493</v>
      </c>
      <c r="B271" s="3" t="s">
        <v>1629</v>
      </c>
      <c r="C271" s="5">
        <v>77743.704100000003</v>
      </c>
      <c r="D271" s="5">
        <v>77743.704100000003</v>
      </c>
      <c r="E271" s="5">
        <v>70398.310800000007</v>
      </c>
      <c r="F271" t="s">
        <v>7249</v>
      </c>
      <c r="G271" s="5" t="str">
        <f t="shared" si="9"/>
        <v>ПИОНЕРСКИЙ</v>
      </c>
      <c r="J271" s="5"/>
      <c r="AF271" t="s">
        <v>7168</v>
      </c>
      <c r="AG271" s="24" t="s">
        <v>5505</v>
      </c>
      <c r="AH271" s="5" t="s">
        <v>7168</v>
      </c>
      <c r="AI271" s="5">
        <v>42837.528299999998</v>
      </c>
      <c r="AJ271" s="5">
        <v>42837.528299999998</v>
      </c>
      <c r="AK271">
        <v>41984.125999999997</v>
      </c>
      <c r="AL271" s="5" t="str">
        <f t="shared" si="10"/>
        <v>Березовский городской округ</v>
      </c>
    </row>
    <row r="272" spans="1:38" ht="15" customHeight="1" x14ac:dyDescent="0.25">
      <c r="A272" s="3" t="s">
        <v>494</v>
      </c>
      <c r="B272" s="3" t="s">
        <v>1628</v>
      </c>
      <c r="C272" s="5">
        <v>70734.0236</v>
      </c>
      <c r="D272" s="5">
        <v>70734.0236</v>
      </c>
      <c r="E272" s="5">
        <v>64050.9208</v>
      </c>
      <c r="F272" t="s">
        <v>7249</v>
      </c>
      <c r="G272" s="5" t="str">
        <f t="shared" si="9"/>
        <v>ЭЛЬМАШ</v>
      </c>
      <c r="J272" s="5"/>
      <c r="AF272" t="s">
        <v>7168</v>
      </c>
      <c r="AG272" s="24" t="s">
        <v>5506</v>
      </c>
      <c r="AH272" s="5" t="s">
        <v>7168</v>
      </c>
      <c r="AI272" s="5">
        <v>57376.467900000003</v>
      </c>
      <c r="AJ272" s="5">
        <v>57376.467900000003</v>
      </c>
      <c r="AK272">
        <v>56233.419900000001</v>
      </c>
      <c r="AL272" s="5" t="str">
        <f t="shared" si="10"/>
        <v>Березовский городской округ</v>
      </c>
    </row>
    <row r="273" spans="1:38" ht="15" customHeight="1" x14ac:dyDescent="0.25">
      <c r="A273" s="3" t="s">
        <v>495</v>
      </c>
      <c r="B273" s="3" t="s">
        <v>1631</v>
      </c>
      <c r="C273" s="5">
        <v>70026.7601</v>
      </c>
      <c r="D273" s="5">
        <v>70026.7601</v>
      </c>
      <c r="E273" s="5">
        <v>63410.482000000004</v>
      </c>
      <c r="F273" t="s">
        <v>7249</v>
      </c>
      <c r="G273" s="5" t="str">
        <f t="shared" si="9"/>
        <v>УРАЛМАШ</v>
      </c>
      <c r="J273" s="5"/>
      <c r="AF273" t="s">
        <v>7168</v>
      </c>
      <c r="AG273" s="24" t="s">
        <v>5507</v>
      </c>
      <c r="AH273" s="5" t="s">
        <v>7168</v>
      </c>
      <c r="AI273" s="5">
        <v>42837.528299999998</v>
      </c>
      <c r="AJ273" s="5">
        <v>42837.528299999998</v>
      </c>
      <c r="AK273">
        <v>41984.125999999997</v>
      </c>
      <c r="AL273" s="5" t="str">
        <f t="shared" si="10"/>
        <v>Березовский городской округ</v>
      </c>
    </row>
    <row r="274" spans="1:38" ht="15" customHeight="1" x14ac:dyDescent="0.25">
      <c r="A274" s="3" t="s">
        <v>497</v>
      </c>
      <c r="B274" s="3" t="s">
        <v>1644</v>
      </c>
      <c r="C274" s="5">
        <v>61980.678599999999</v>
      </c>
      <c r="D274" s="5">
        <v>61980.678599999999</v>
      </c>
      <c r="E274" s="5">
        <v>56124.615700000002</v>
      </c>
      <c r="F274" t="s">
        <v>7249</v>
      </c>
      <c r="G274" s="5" t="str">
        <f t="shared" si="9"/>
        <v>ХИММАШ</v>
      </c>
      <c r="J274" s="5"/>
      <c r="AF274" t="s">
        <v>7168</v>
      </c>
      <c r="AG274" s="24" t="s">
        <v>5508</v>
      </c>
      <c r="AH274" s="5" t="s">
        <v>7168</v>
      </c>
      <c r="AI274" s="5">
        <v>47490.386599999998</v>
      </c>
      <c r="AJ274" s="5">
        <v>47490.386599999998</v>
      </c>
      <c r="AK274">
        <v>46544.282399999996</v>
      </c>
      <c r="AL274" s="5" t="str">
        <f t="shared" si="10"/>
        <v>Березовский городской округ</v>
      </c>
    </row>
    <row r="275" spans="1:38" ht="15" customHeight="1" x14ac:dyDescent="0.25">
      <c r="A275" s="3" t="s">
        <v>498</v>
      </c>
      <c r="B275" s="3" t="s">
        <v>1644</v>
      </c>
      <c r="C275" s="5">
        <v>61980.678599999999</v>
      </c>
      <c r="D275" s="5">
        <v>61980.678599999999</v>
      </c>
      <c r="E275" s="5">
        <v>56124.615700000002</v>
      </c>
      <c r="F275" t="s">
        <v>7249</v>
      </c>
      <c r="G275" s="5" t="str">
        <f t="shared" si="9"/>
        <v>ХИММАШ</v>
      </c>
      <c r="J275" s="5"/>
      <c r="AF275" t="s">
        <v>7168</v>
      </c>
      <c r="AG275" s="24" t="s">
        <v>5509</v>
      </c>
      <c r="AH275" s="5" t="s">
        <v>7168</v>
      </c>
      <c r="AI275" s="5">
        <v>47490.386599999998</v>
      </c>
      <c r="AJ275" s="5">
        <v>47490.386599999998</v>
      </c>
      <c r="AK275">
        <v>46544.282399999996</v>
      </c>
      <c r="AL275" s="5" t="str">
        <f t="shared" si="10"/>
        <v>Березовский городской округ</v>
      </c>
    </row>
    <row r="276" spans="1:38" ht="15" customHeight="1" x14ac:dyDescent="0.25">
      <c r="A276" s="3" t="s">
        <v>499</v>
      </c>
      <c r="B276" s="3" t="s">
        <v>1630</v>
      </c>
      <c r="C276" s="5">
        <v>62652.9401</v>
      </c>
      <c r="D276" s="5">
        <v>62652.9401</v>
      </c>
      <c r="E276" s="5">
        <v>56733.3557</v>
      </c>
      <c r="F276" t="s">
        <v>7249</v>
      </c>
      <c r="G276" s="5" t="str">
        <f t="shared" si="9"/>
        <v>ЧЕРМЕТ</v>
      </c>
      <c r="J276" s="5"/>
      <c r="AF276" t="s">
        <v>7168</v>
      </c>
      <c r="AG276" s="24" t="s">
        <v>5510</v>
      </c>
      <c r="AH276" s="5" t="s">
        <v>7168</v>
      </c>
      <c r="AI276" s="5">
        <v>42837.528299999998</v>
      </c>
      <c r="AJ276" s="5">
        <v>42837.528299999998</v>
      </c>
      <c r="AK276">
        <v>41984.125999999997</v>
      </c>
      <c r="AL276" s="5" t="str">
        <f t="shared" si="10"/>
        <v>Березовский городской округ</v>
      </c>
    </row>
    <row r="277" spans="1:38" ht="15" customHeight="1" x14ac:dyDescent="0.25">
      <c r="A277" s="3" t="s">
        <v>500</v>
      </c>
      <c r="B277" s="3" t="s">
        <v>1647</v>
      </c>
      <c r="C277" s="5">
        <v>63178.133800000003</v>
      </c>
      <c r="D277" s="5">
        <v>63178.133800000003</v>
      </c>
      <c r="E277" s="5">
        <v>57208.931499999999</v>
      </c>
      <c r="F277" t="s">
        <v>7249</v>
      </c>
      <c r="G277" s="5" t="str">
        <f t="shared" si="9"/>
        <v>ШИРОКАЯ РЕЧКА</v>
      </c>
      <c r="J277" s="5"/>
      <c r="AF277" t="s">
        <v>7168</v>
      </c>
      <c r="AG277" s="24" t="s">
        <v>5511</v>
      </c>
      <c r="AH277" s="5" t="s">
        <v>7168</v>
      </c>
      <c r="AI277" s="5">
        <v>42837.528299999998</v>
      </c>
      <c r="AJ277" s="5">
        <v>42837.528299999998</v>
      </c>
      <c r="AK277">
        <v>41984.125999999997</v>
      </c>
      <c r="AL277" s="5" t="str">
        <f t="shared" si="10"/>
        <v>Березовский городской округ</v>
      </c>
    </row>
    <row r="278" spans="1:38" ht="15" customHeight="1" x14ac:dyDescent="0.25">
      <c r="A278" s="3" t="s">
        <v>505</v>
      </c>
      <c r="B278" s="3" t="s">
        <v>1654</v>
      </c>
      <c r="C278" s="5">
        <v>56140.449699999997</v>
      </c>
      <c r="D278" s="5">
        <v>56140.449699999997</v>
      </c>
      <c r="E278" s="5">
        <v>50836.1803</v>
      </c>
      <c r="F278" t="s">
        <v>7249</v>
      </c>
      <c r="G278" s="5" t="str">
        <f t="shared" si="9"/>
        <v>ЗАВОКЗАЛЬНЫЙ</v>
      </c>
      <c r="J278" s="5"/>
      <c r="AF278" t="s">
        <v>7168</v>
      </c>
      <c r="AG278" s="24" t="s">
        <v>5512</v>
      </c>
      <c r="AH278" s="5" t="s">
        <v>7168</v>
      </c>
      <c r="AI278" s="5">
        <v>47490.386599999998</v>
      </c>
      <c r="AJ278" s="5">
        <v>47490.386599999998</v>
      </c>
      <c r="AK278">
        <v>46544.282399999996</v>
      </c>
      <c r="AL278" s="5" t="str">
        <f t="shared" si="10"/>
        <v>Березовский городской округ</v>
      </c>
    </row>
    <row r="279" spans="1:38" ht="15" customHeight="1" x14ac:dyDescent="0.25">
      <c r="A279" s="3" t="s">
        <v>506</v>
      </c>
      <c r="B279" s="3" t="s">
        <v>14</v>
      </c>
      <c r="C279" s="5">
        <v>93989.912800000006</v>
      </c>
      <c r="D279" s="5">
        <v>93989.912800000006</v>
      </c>
      <c r="E279" s="5">
        <v>85109.545199999993</v>
      </c>
      <c r="F279" t="s">
        <v>7249</v>
      </c>
      <c r="G279" s="5" t="str">
        <f t="shared" si="9"/>
        <v>Центр</v>
      </c>
      <c r="J279" s="5"/>
      <c r="AF279" t="s">
        <v>7168</v>
      </c>
      <c r="AG279" s="24" t="s">
        <v>5513</v>
      </c>
      <c r="AH279" s="5" t="s">
        <v>7168</v>
      </c>
      <c r="AI279" s="5">
        <v>42837.528299999998</v>
      </c>
      <c r="AJ279" s="5">
        <v>42837.528299999998</v>
      </c>
      <c r="AK279">
        <v>41984.125999999997</v>
      </c>
      <c r="AL279" s="5" t="str">
        <f t="shared" si="10"/>
        <v>Березовский городской округ</v>
      </c>
    </row>
    <row r="280" spans="1:38" ht="15" customHeight="1" x14ac:dyDescent="0.25">
      <c r="A280" s="3" t="s">
        <v>507</v>
      </c>
      <c r="B280" s="3" t="s">
        <v>1643</v>
      </c>
      <c r="C280" s="5">
        <v>76630.280299999999</v>
      </c>
      <c r="D280" s="5">
        <v>76630.280299999999</v>
      </c>
      <c r="E280" s="5">
        <v>69390.088799999998</v>
      </c>
      <c r="F280" t="s">
        <v>7249</v>
      </c>
      <c r="G280" s="5" t="str">
        <f t="shared" si="9"/>
        <v>Ю-З</v>
      </c>
      <c r="J280" s="5"/>
      <c r="AF280" t="s">
        <v>7168</v>
      </c>
      <c r="AG280" s="24" t="s">
        <v>5514</v>
      </c>
      <c r="AH280" s="5" t="s">
        <v>7168</v>
      </c>
      <c r="AI280" s="5">
        <v>47490.386599999998</v>
      </c>
      <c r="AJ280" s="5">
        <v>47490.386599999998</v>
      </c>
      <c r="AK280">
        <v>46544.282399999996</v>
      </c>
      <c r="AL280" s="5" t="str">
        <f t="shared" si="10"/>
        <v>Березовский городской округ</v>
      </c>
    </row>
    <row r="281" spans="1:38" ht="15" customHeight="1" x14ac:dyDescent="0.25">
      <c r="A281" s="3" t="s">
        <v>508</v>
      </c>
      <c r="B281" s="3" t="s">
        <v>1628</v>
      </c>
      <c r="C281" s="5">
        <v>70734.0236</v>
      </c>
      <c r="D281" s="5">
        <v>70734.0236</v>
      </c>
      <c r="E281" s="5">
        <v>64050.9208</v>
      </c>
      <c r="F281" t="s">
        <v>7249</v>
      </c>
      <c r="G281" s="5" t="str">
        <f t="shared" si="9"/>
        <v>ЭЛЬМАШ</v>
      </c>
      <c r="J281" s="5"/>
      <c r="AF281" t="s">
        <v>7168</v>
      </c>
      <c r="AG281" s="24" t="s">
        <v>5515</v>
      </c>
      <c r="AH281" s="5" t="s">
        <v>7168</v>
      </c>
      <c r="AI281" s="5">
        <v>42837.528299999998</v>
      </c>
      <c r="AJ281" s="5">
        <v>42837.528299999998</v>
      </c>
      <c r="AK281">
        <v>41984.125999999997</v>
      </c>
      <c r="AL281" s="5" t="str">
        <f t="shared" si="10"/>
        <v>Березовский городской округ</v>
      </c>
    </row>
    <row r="282" spans="1:38" ht="15" customHeight="1" x14ac:dyDescent="0.25">
      <c r="A282" s="3" t="s">
        <v>509</v>
      </c>
      <c r="B282" s="3" t="s">
        <v>1633</v>
      </c>
      <c r="C282" s="5">
        <v>77071.442599999995</v>
      </c>
      <c r="D282" s="5">
        <v>77071.442599999995</v>
      </c>
      <c r="E282" s="5">
        <v>69789.570900000006</v>
      </c>
      <c r="F282" t="s">
        <v>7249</v>
      </c>
      <c r="G282" s="5" t="str">
        <f t="shared" si="9"/>
        <v>ВТУЗГОРОДОК</v>
      </c>
      <c r="J282" s="5"/>
      <c r="AF282" t="s">
        <v>7168</v>
      </c>
      <c r="AG282" s="24" t="s">
        <v>5516</v>
      </c>
      <c r="AH282" s="5" t="s">
        <v>7168</v>
      </c>
      <c r="AI282" s="5">
        <v>42837.528299999998</v>
      </c>
      <c r="AJ282" s="5">
        <v>42837.528299999998</v>
      </c>
      <c r="AK282">
        <v>41984.125999999997</v>
      </c>
      <c r="AL282" s="5" t="str">
        <f t="shared" si="10"/>
        <v>Березовский городской округ</v>
      </c>
    </row>
    <row r="283" spans="1:38" ht="15" customHeight="1" x14ac:dyDescent="0.25">
      <c r="A283" s="3" t="s">
        <v>510</v>
      </c>
      <c r="B283" s="3" t="s">
        <v>1628</v>
      </c>
      <c r="C283" s="5">
        <v>70734.0236</v>
      </c>
      <c r="D283" s="5">
        <v>70734.0236</v>
      </c>
      <c r="E283" s="5">
        <v>64050.9208</v>
      </c>
      <c r="F283" t="s">
        <v>7249</v>
      </c>
      <c r="G283" s="5" t="str">
        <f t="shared" si="9"/>
        <v>ЭЛЬМАШ</v>
      </c>
      <c r="J283" s="5"/>
      <c r="AF283" t="s">
        <v>7168</v>
      </c>
      <c r="AG283" s="24" t="s">
        <v>5517</v>
      </c>
      <c r="AH283" s="5" t="s">
        <v>7168</v>
      </c>
      <c r="AI283" s="5">
        <v>42837.528299999998</v>
      </c>
      <c r="AJ283" s="5">
        <v>42837.528299999998</v>
      </c>
      <c r="AK283">
        <v>41984.125999999997</v>
      </c>
      <c r="AL283" s="5" t="str">
        <f t="shared" si="10"/>
        <v>Березовский городской округ</v>
      </c>
    </row>
    <row r="284" spans="1:38" ht="15" customHeight="1" x14ac:dyDescent="0.25">
      <c r="A284" s="3" t="s">
        <v>514</v>
      </c>
      <c r="B284" s="3" t="s">
        <v>1636</v>
      </c>
      <c r="C284" s="5">
        <v>52246.960299999999</v>
      </c>
      <c r="D284" s="5">
        <v>52246.960299999999</v>
      </c>
      <c r="E284" s="5">
        <v>47310.556700000001</v>
      </c>
      <c r="F284" t="s">
        <v>7249</v>
      </c>
      <c r="G284" s="5" t="str">
        <f t="shared" si="9"/>
        <v>ГОРНЫЙ ЩИТ</v>
      </c>
      <c r="J284" s="5"/>
      <c r="AF284" t="s">
        <v>7168</v>
      </c>
      <c r="AG284" s="24" t="s">
        <v>5518</v>
      </c>
      <c r="AH284" s="5" t="s">
        <v>7168</v>
      </c>
      <c r="AI284" s="5">
        <v>42837.528299999998</v>
      </c>
      <c r="AJ284" s="5">
        <v>42837.528299999998</v>
      </c>
      <c r="AK284">
        <v>41984.125999999997</v>
      </c>
      <c r="AL284" s="5" t="str">
        <f t="shared" si="10"/>
        <v>Березовский городской округ</v>
      </c>
    </row>
    <row r="285" spans="1:38" ht="15" customHeight="1" x14ac:dyDescent="0.25">
      <c r="A285" s="3" t="s">
        <v>515</v>
      </c>
      <c r="B285" s="3" t="s">
        <v>1629</v>
      </c>
      <c r="C285" s="5">
        <v>77743.704100000003</v>
      </c>
      <c r="D285" s="5">
        <v>77743.704100000003</v>
      </c>
      <c r="E285" s="5">
        <v>70398.310800000007</v>
      </c>
      <c r="F285" t="s">
        <v>7249</v>
      </c>
      <c r="G285" s="5" t="str">
        <f t="shared" si="9"/>
        <v>ПИОНЕРСКИЙ</v>
      </c>
      <c r="J285" s="5"/>
      <c r="AF285" t="s">
        <v>7168</v>
      </c>
      <c r="AG285" s="24" t="s">
        <v>5519</v>
      </c>
      <c r="AH285" s="5" t="s">
        <v>7168</v>
      </c>
      <c r="AI285" s="5">
        <v>42837.528299999998</v>
      </c>
      <c r="AJ285" s="5">
        <v>42837.528299999998</v>
      </c>
      <c r="AK285">
        <v>41984.125999999997</v>
      </c>
      <c r="AL285" s="5" t="str">
        <f t="shared" si="10"/>
        <v>Березовский городской округ</v>
      </c>
    </row>
    <row r="286" spans="1:38" ht="15" customHeight="1" x14ac:dyDescent="0.25">
      <c r="A286" s="3" t="s">
        <v>516</v>
      </c>
      <c r="B286" s="3" t="s">
        <v>1657</v>
      </c>
      <c r="C286" s="5">
        <v>54886.9666</v>
      </c>
      <c r="D286" s="5">
        <v>54886.9666</v>
      </c>
      <c r="E286" s="5">
        <v>49701.1319</v>
      </c>
      <c r="F286" t="s">
        <v>7249</v>
      </c>
      <c r="G286" s="5" t="str">
        <f t="shared" si="9"/>
        <v>КОЛЬЦОВО</v>
      </c>
      <c r="J286" s="5"/>
      <c r="AF286" t="s">
        <v>7168</v>
      </c>
      <c r="AG286" s="24" t="s">
        <v>5520</v>
      </c>
      <c r="AH286" s="5" t="s">
        <v>7168</v>
      </c>
      <c r="AI286" s="5">
        <v>42837.528299999998</v>
      </c>
      <c r="AJ286" s="5">
        <v>42837.528299999998</v>
      </c>
      <c r="AK286">
        <v>41984.125999999997</v>
      </c>
      <c r="AL286" s="5" t="str">
        <f t="shared" si="10"/>
        <v>Березовский городской округ</v>
      </c>
    </row>
    <row r="287" spans="1:38" ht="15" customHeight="1" x14ac:dyDescent="0.25">
      <c r="A287" s="3" t="s">
        <v>517</v>
      </c>
      <c r="B287" s="3" t="s">
        <v>1628</v>
      </c>
      <c r="C287" s="5">
        <v>70734.0236</v>
      </c>
      <c r="D287" s="5">
        <v>70734.0236</v>
      </c>
      <c r="E287" s="5">
        <v>64050.9208</v>
      </c>
      <c r="F287" t="s">
        <v>7249</v>
      </c>
      <c r="G287" s="5" t="str">
        <f t="shared" si="9"/>
        <v>ЭЛЬМАШ</v>
      </c>
      <c r="J287" s="5"/>
      <c r="AF287" t="s">
        <v>7168</v>
      </c>
      <c r="AG287" s="24" t="s">
        <v>5521</v>
      </c>
      <c r="AH287" s="5" t="s">
        <v>7168</v>
      </c>
      <c r="AI287" s="5">
        <v>42837.528299999998</v>
      </c>
      <c r="AJ287" s="5">
        <v>42837.528299999998</v>
      </c>
      <c r="AK287">
        <v>41984.125999999997</v>
      </c>
      <c r="AL287" s="5" t="str">
        <f t="shared" si="10"/>
        <v>Березовский городской округ</v>
      </c>
    </row>
    <row r="288" spans="1:38" ht="15" customHeight="1" x14ac:dyDescent="0.25">
      <c r="A288" s="3" t="s">
        <v>520</v>
      </c>
      <c r="B288" s="3" t="s">
        <v>1633</v>
      </c>
      <c r="C288" s="5">
        <v>77071.442599999995</v>
      </c>
      <c r="D288" s="5">
        <v>77071.442599999995</v>
      </c>
      <c r="E288" s="5">
        <v>69789.570900000006</v>
      </c>
      <c r="F288" t="s">
        <v>7249</v>
      </c>
      <c r="G288" s="5" t="str">
        <f t="shared" si="9"/>
        <v>ВТУЗГОРОДОК</v>
      </c>
      <c r="J288" s="5"/>
      <c r="AF288" t="s">
        <v>7168</v>
      </c>
      <c r="AG288" s="24" t="s">
        <v>5522</v>
      </c>
      <c r="AH288" s="5" t="s">
        <v>7168</v>
      </c>
      <c r="AI288" s="5">
        <v>47490.386599999998</v>
      </c>
      <c r="AJ288" s="5">
        <v>47490.386599999998</v>
      </c>
      <c r="AK288">
        <v>46544.282399999996</v>
      </c>
      <c r="AL288" s="5" t="str">
        <f t="shared" si="10"/>
        <v>Березовский городской округ</v>
      </c>
    </row>
    <row r="289" spans="1:38" ht="15" customHeight="1" x14ac:dyDescent="0.25">
      <c r="A289" s="3" t="s">
        <v>522</v>
      </c>
      <c r="B289" s="3" t="s">
        <v>1637</v>
      </c>
      <c r="C289" s="5">
        <v>59368.686099999999</v>
      </c>
      <c r="D289" s="5">
        <v>59368.686099999999</v>
      </c>
      <c r="E289" s="5">
        <v>53759.401700000002</v>
      </c>
      <c r="F289" t="s">
        <v>7249</v>
      </c>
      <c r="G289" s="5" t="str">
        <f t="shared" si="9"/>
        <v>Старая сортировка</v>
      </c>
      <c r="J289" s="5"/>
      <c r="AF289" t="s">
        <v>7169</v>
      </c>
      <c r="AG289" s="24" t="s">
        <v>5523</v>
      </c>
      <c r="AH289" s="5" t="s">
        <v>7169</v>
      </c>
      <c r="AI289" s="5">
        <v>18587.3105</v>
      </c>
      <c r="AJ289" s="5">
        <v>18587.3105</v>
      </c>
      <c r="AK289">
        <v>17263.132099999999</v>
      </c>
      <c r="AL289" s="5" t="str">
        <f t="shared" si="10"/>
        <v>Бисертский городской округ</v>
      </c>
    </row>
    <row r="290" spans="1:38" ht="15" customHeight="1" x14ac:dyDescent="0.25">
      <c r="A290" s="3" t="s">
        <v>523</v>
      </c>
      <c r="B290" s="3" t="s">
        <v>1637</v>
      </c>
      <c r="C290" s="5">
        <v>59368.686099999999</v>
      </c>
      <c r="D290" s="5">
        <v>59368.686099999999</v>
      </c>
      <c r="E290" s="5">
        <v>53759.401700000002</v>
      </c>
      <c r="F290" t="s">
        <v>7249</v>
      </c>
      <c r="G290" s="5" t="str">
        <f t="shared" si="9"/>
        <v>Старая сортировка</v>
      </c>
      <c r="J290" s="5"/>
      <c r="AF290" t="s">
        <v>7169</v>
      </c>
      <c r="AG290" s="24" t="s">
        <v>5524</v>
      </c>
      <c r="AH290" s="5" t="s">
        <v>7169</v>
      </c>
      <c r="AI290" s="5">
        <v>22965.046200000001</v>
      </c>
      <c r="AJ290" s="5">
        <v>22965.046200000001</v>
      </c>
      <c r="AK290">
        <v>21328.998899999999</v>
      </c>
      <c r="AL290" s="5" t="str">
        <f t="shared" si="10"/>
        <v>Бисертский городской округ</v>
      </c>
    </row>
    <row r="291" spans="1:38" ht="15" customHeight="1" x14ac:dyDescent="0.25">
      <c r="A291" s="3" t="s">
        <v>524</v>
      </c>
      <c r="B291" s="3" t="s">
        <v>1654</v>
      </c>
      <c r="C291" s="5">
        <v>56140.449699999997</v>
      </c>
      <c r="D291" s="5">
        <v>56140.449699999997</v>
      </c>
      <c r="E291" s="5">
        <v>50836.1803</v>
      </c>
      <c r="F291" t="s">
        <v>7249</v>
      </c>
      <c r="G291" s="5" t="str">
        <f t="shared" si="9"/>
        <v>ЗАВОКЗАЛЬНЫЙ</v>
      </c>
      <c r="J291" s="5"/>
      <c r="AF291" t="s">
        <v>7169</v>
      </c>
      <c r="AG291" s="24" t="s">
        <v>5525</v>
      </c>
      <c r="AH291" s="5" t="s">
        <v>7169</v>
      </c>
      <c r="AI291" s="5">
        <v>18587.3105</v>
      </c>
      <c r="AJ291" s="5">
        <v>18587.3105</v>
      </c>
      <c r="AK291">
        <v>17263.132099999999</v>
      </c>
      <c r="AL291" s="5" t="str">
        <f t="shared" si="10"/>
        <v>Бисертский городской округ</v>
      </c>
    </row>
    <row r="292" spans="1:38" ht="15" customHeight="1" x14ac:dyDescent="0.25">
      <c r="A292" s="3" t="s">
        <v>525</v>
      </c>
      <c r="B292" s="3" t="s">
        <v>1649</v>
      </c>
      <c r="C292" s="5">
        <v>78633.047600000005</v>
      </c>
      <c r="D292" s="5">
        <v>78633.047600000005</v>
      </c>
      <c r="E292" s="5">
        <v>71203.623000000007</v>
      </c>
      <c r="F292" t="s">
        <v>7249</v>
      </c>
      <c r="G292" s="5" t="str">
        <f t="shared" si="9"/>
        <v>ВОКЗАЛЬНЫЙ</v>
      </c>
      <c r="J292" s="5"/>
      <c r="AF292" t="s">
        <v>7169</v>
      </c>
      <c r="AG292" s="24" t="s">
        <v>5526</v>
      </c>
      <c r="AH292" s="5" t="s">
        <v>7169</v>
      </c>
      <c r="AI292" s="5">
        <v>18587.3105</v>
      </c>
      <c r="AJ292" s="5">
        <v>18587.3105</v>
      </c>
      <c r="AK292">
        <v>17263.132099999999</v>
      </c>
      <c r="AL292" s="5" t="str">
        <f t="shared" si="10"/>
        <v>Бисертский городской округ</v>
      </c>
    </row>
    <row r="293" spans="1:38" ht="15" customHeight="1" x14ac:dyDescent="0.25">
      <c r="A293" s="3" t="s">
        <v>526</v>
      </c>
      <c r="B293" s="3" t="s">
        <v>1631</v>
      </c>
      <c r="C293" s="5">
        <v>70026.7601</v>
      </c>
      <c r="D293" s="5">
        <v>70026.7601</v>
      </c>
      <c r="E293" s="5">
        <v>63410.482000000004</v>
      </c>
      <c r="F293" t="s">
        <v>7249</v>
      </c>
      <c r="G293" s="5" t="str">
        <f t="shared" si="9"/>
        <v>УРАЛМАШ</v>
      </c>
      <c r="J293" s="5"/>
      <c r="AF293" t="s">
        <v>7169</v>
      </c>
      <c r="AG293" s="24" t="s">
        <v>5527</v>
      </c>
      <c r="AH293" s="5" t="s">
        <v>7169</v>
      </c>
      <c r="AI293" s="5">
        <v>18587.3105</v>
      </c>
      <c r="AJ293" s="5">
        <v>18587.3105</v>
      </c>
      <c r="AK293">
        <v>17263.132099999999</v>
      </c>
      <c r="AL293" s="5" t="str">
        <f t="shared" si="10"/>
        <v>Бисертский городской округ</v>
      </c>
    </row>
    <row r="294" spans="1:38" ht="15" customHeight="1" x14ac:dyDescent="0.25">
      <c r="A294" s="3" t="s">
        <v>528</v>
      </c>
      <c r="B294" s="3" t="s">
        <v>1640</v>
      </c>
      <c r="C294" s="5">
        <v>64914.8</v>
      </c>
      <c r="D294" s="5">
        <v>64914.8</v>
      </c>
      <c r="E294" s="5">
        <v>58781.519200000002</v>
      </c>
      <c r="F294" t="s">
        <v>7249</v>
      </c>
      <c r="G294" s="5" t="str">
        <f t="shared" si="9"/>
        <v>Новая сортировка</v>
      </c>
      <c r="J294" s="5"/>
      <c r="AF294" t="s">
        <v>7169</v>
      </c>
      <c r="AG294" s="24" t="s">
        <v>5528</v>
      </c>
      <c r="AH294" s="5" t="s">
        <v>7169</v>
      </c>
      <c r="AI294" s="5">
        <v>18587.3105</v>
      </c>
      <c r="AJ294" s="5">
        <v>18587.3105</v>
      </c>
      <c r="AK294">
        <v>17263.132099999999</v>
      </c>
      <c r="AL294" s="5" t="str">
        <f t="shared" si="10"/>
        <v>Бисертский городской округ</v>
      </c>
    </row>
    <row r="295" spans="1:38" ht="15" customHeight="1" x14ac:dyDescent="0.25">
      <c r="A295" s="3" t="s">
        <v>529</v>
      </c>
      <c r="B295" s="3" t="s">
        <v>1631</v>
      </c>
      <c r="C295" s="5">
        <v>70026.7601</v>
      </c>
      <c r="D295" s="5">
        <v>70026.7601</v>
      </c>
      <c r="E295" s="5">
        <v>63410.482000000004</v>
      </c>
      <c r="F295" t="s">
        <v>7249</v>
      </c>
      <c r="G295" s="5" t="str">
        <f t="shared" si="9"/>
        <v>УРАЛМАШ</v>
      </c>
      <c r="J295" s="5"/>
      <c r="AF295" t="s">
        <v>7170</v>
      </c>
      <c r="AG295" s="24" t="s">
        <v>5529</v>
      </c>
      <c r="AH295" s="5" t="s">
        <v>7170</v>
      </c>
      <c r="AI295" s="5">
        <v>28447.452600000001</v>
      </c>
      <c r="AJ295" s="5">
        <v>28447.452600000001</v>
      </c>
      <c r="AK295">
        <v>26420.841499999999</v>
      </c>
      <c r="AL295" s="5" t="str">
        <f t="shared" si="10"/>
        <v>Верхнесалдинский городской округ</v>
      </c>
    </row>
    <row r="296" spans="1:38" ht="15" customHeight="1" x14ac:dyDescent="0.25">
      <c r="A296" s="3" t="s">
        <v>530</v>
      </c>
      <c r="B296" s="3" t="s">
        <v>1633</v>
      </c>
      <c r="C296" s="5">
        <v>77071.442599999995</v>
      </c>
      <c r="D296" s="5">
        <v>77071.442599999995</v>
      </c>
      <c r="E296" s="5">
        <v>69789.570900000006</v>
      </c>
      <c r="F296" t="s">
        <v>7249</v>
      </c>
      <c r="G296" s="5" t="str">
        <f t="shared" si="9"/>
        <v>ВТУЗГОРОДОК</v>
      </c>
      <c r="J296" s="5"/>
      <c r="AF296" t="s">
        <v>7170</v>
      </c>
      <c r="AG296" s="24" t="s">
        <v>5530</v>
      </c>
      <c r="AH296" s="5" t="s">
        <v>7170</v>
      </c>
      <c r="AI296" s="5">
        <v>28447.452600000001</v>
      </c>
      <c r="AJ296" s="5">
        <v>28447.452600000001</v>
      </c>
      <c r="AK296">
        <v>26420.841499999999</v>
      </c>
      <c r="AL296" s="5" t="str">
        <f t="shared" si="10"/>
        <v>Верхнесалдинский городской округ</v>
      </c>
    </row>
    <row r="297" spans="1:38" ht="15" customHeight="1" x14ac:dyDescent="0.25">
      <c r="A297" s="3" t="s">
        <v>531</v>
      </c>
      <c r="B297" s="3" t="s">
        <v>1657</v>
      </c>
      <c r="C297" s="5">
        <v>54886.9666</v>
      </c>
      <c r="D297" s="5">
        <v>54886.9666</v>
      </c>
      <c r="E297" s="5">
        <v>49701.1319</v>
      </c>
      <c r="F297" t="s">
        <v>7249</v>
      </c>
      <c r="G297" s="5" t="str">
        <f t="shared" si="9"/>
        <v>КОЛЬЦОВО</v>
      </c>
      <c r="J297" s="5"/>
      <c r="AF297" t="s">
        <v>7170</v>
      </c>
      <c r="AG297" s="24" t="s">
        <v>5531</v>
      </c>
      <c r="AH297" s="5" t="s">
        <v>7170</v>
      </c>
      <c r="AI297" s="5">
        <v>28447.452600000001</v>
      </c>
      <c r="AJ297" s="5">
        <v>28447.452600000001</v>
      </c>
      <c r="AK297">
        <v>26420.841499999999</v>
      </c>
      <c r="AL297" s="5" t="str">
        <f t="shared" si="10"/>
        <v>Верхнесалдинский городской округ</v>
      </c>
    </row>
    <row r="298" spans="1:38" ht="15" customHeight="1" x14ac:dyDescent="0.25">
      <c r="A298" s="3" t="s">
        <v>532</v>
      </c>
      <c r="B298" s="3" t="s">
        <v>1631</v>
      </c>
      <c r="C298" s="5">
        <v>70026.7601</v>
      </c>
      <c r="D298" s="5">
        <v>70026.7601</v>
      </c>
      <c r="E298" s="5">
        <v>63410.482000000004</v>
      </c>
      <c r="F298" t="s">
        <v>7249</v>
      </c>
      <c r="G298" s="5" t="str">
        <f t="shared" si="9"/>
        <v>УРАЛМАШ</v>
      </c>
      <c r="J298" s="5"/>
      <c r="AF298" t="s">
        <v>7170</v>
      </c>
      <c r="AG298" s="24" t="s">
        <v>5532</v>
      </c>
      <c r="AH298" s="5" t="s">
        <v>7170</v>
      </c>
      <c r="AI298" s="5">
        <v>28447.452600000001</v>
      </c>
      <c r="AJ298" s="5">
        <v>28447.452600000001</v>
      </c>
      <c r="AK298">
        <v>26420.841499999999</v>
      </c>
      <c r="AL298" s="5" t="str">
        <f t="shared" si="10"/>
        <v>Верхнесалдинский городской округ</v>
      </c>
    </row>
    <row r="299" spans="1:38" ht="15" customHeight="1" x14ac:dyDescent="0.25">
      <c r="A299" s="3" t="s">
        <v>533</v>
      </c>
      <c r="B299" s="3" t="s">
        <v>1638</v>
      </c>
      <c r="C299" s="5">
        <v>63640.311600000001</v>
      </c>
      <c r="D299" s="5">
        <v>63640.311600000001</v>
      </c>
      <c r="E299" s="5">
        <v>57627.4473</v>
      </c>
      <c r="F299" t="s">
        <v>7249</v>
      </c>
      <c r="G299" s="5" t="str">
        <f t="shared" si="9"/>
        <v>УКТУС</v>
      </c>
      <c r="J299" s="5"/>
      <c r="AF299" t="s">
        <v>7170</v>
      </c>
      <c r="AG299" s="24" t="s">
        <v>5533</v>
      </c>
      <c r="AH299" s="5" t="s">
        <v>7170</v>
      </c>
      <c r="AI299" s="5">
        <v>35147.483500000002</v>
      </c>
      <c r="AJ299" s="5">
        <v>35147.483500000002</v>
      </c>
      <c r="AK299">
        <v>32643.552100000001</v>
      </c>
      <c r="AL299" s="5" t="str">
        <f t="shared" si="10"/>
        <v>Верхнесалдинский городской округ</v>
      </c>
    </row>
    <row r="300" spans="1:38" ht="15" customHeight="1" x14ac:dyDescent="0.25">
      <c r="A300" s="3" t="s">
        <v>534</v>
      </c>
      <c r="B300" s="3" t="s">
        <v>1633</v>
      </c>
      <c r="C300" s="5">
        <v>77071.442599999995</v>
      </c>
      <c r="D300" s="5">
        <v>77071.442599999995</v>
      </c>
      <c r="E300" s="5">
        <v>69789.570900000006</v>
      </c>
      <c r="F300" t="s">
        <v>7249</v>
      </c>
      <c r="G300" s="5" t="str">
        <f t="shared" si="9"/>
        <v>ВТУЗГОРОДОК</v>
      </c>
      <c r="J300" s="5"/>
      <c r="AF300" t="s">
        <v>7170</v>
      </c>
      <c r="AG300" s="24" t="s">
        <v>5534</v>
      </c>
      <c r="AH300" s="5" t="s">
        <v>7170</v>
      </c>
      <c r="AI300" s="5">
        <v>28447.452600000001</v>
      </c>
      <c r="AJ300" s="5">
        <v>28447.452600000001</v>
      </c>
      <c r="AK300">
        <v>26420.841499999999</v>
      </c>
      <c r="AL300" s="5" t="str">
        <f t="shared" si="10"/>
        <v>Верхнесалдинский городской округ</v>
      </c>
    </row>
    <row r="301" spans="1:38" ht="15" customHeight="1" x14ac:dyDescent="0.25">
      <c r="A301" s="3" t="s">
        <v>538</v>
      </c>
      <c r="B301" s="3" t="s">
        <v>1632</v>
      </c>
      <c r="C301" s="5">
        <v>83744.997499999998</v>
      </c>
      <c r="D301" s="5">
        <v>83744.997499999998</v>
      </c>
      <c r="E301" s="5">
        <v>75832.596099999995</v>
      </c>
      <c r="F301" t="s">
        <v>7249</v>
      </c>
      <c r="G301" s="5" t="str">
        <f t="shared" si="9"/>
        <v>АВТОВОКЗАЛ</v>
      </c>
      <c r="J301" s="5"/>
      <c r="AF301" t="s">
        <v>7170</v>
      </c>
      <c r="AG301" s="24" t="s">
        <v>5535</v>
      </c>
      <c r="AH301" s="5" t="s">
        <v>7170</v>
      </c>
      <c r="AI301" s="5">
        <v>28447.452600000001</v>
      </c>
      <c r="AJ301" s="5">
        <v>28447.452600000001</v>
      </c>
      <c r="AK301">
        <v>26420.841499999999</v>
      </c>
      <c r="AL301" s="5" t="str">
        <f t="shared" si="10"/>
        <v>Верхнесалдинский городской округ</v>
      </c>
    </row>
    <row r="302" spans="1:38" ht="15" customHeight="1" x14ac:dyDescent="0.25">
      <c r="A302" s="3" t="s">
        <v>539</v>
      </c>
      <c r="B302" s="3" t="s">
        <v>1638</v>
      </c>
      <c r="C302" s="5">
        <v>63640.311600000001</v>
      </c>
      <c r="D302" s="5">
        <v>63640.311600000001</v>
      </c>
      <c r="E302" s="5">
        <v>57627.4473</v>
      </c>
      <c r="F302" t="s">
        <v>7249</v>
      </c>
      <c r="G302" s="5" t="str">
        <f t="shared" si="9"/>
        <v>УКТУС</v>
      </c>
      <c r="J302" s="5"/>
      <c r="AF302" t="s">
        <v>7170</v>
      </c>
      <c r="AG302" s="24" t="s">
        <v>5536</v>
      </c>
      <c r="AH302" s="5" t="s">
        <v>7170</v>
      </c>
      <c r="AI302" s="5">
        <v>28447.452600000001</v>
      </c>
      <c r="AJ302" s="5">
        <v>28447.452600000001</v>
      </c>
      <c r="AK302">
        <v>26420.841499999999</v>
      </c>
      <c r="AL302" s="5" t="str">
        <f t="shared" si="10"/>
        <v>Верхнесалдинский городской округ</v>
      </c>
    </row>
    <row r="303" spans="1:38" ht="15" customHeight="1" x14ac:dyDescent="0.25">
      <c r="A303" s="3" t="s">
        <v>543</v>
      </c>
      <c r="B303" s="3" t="s">
        <v>1650</v>
      </c>
      <c r="C303" s="5">
        <v>37590.3603</v>
      </c>
      <c r="D303" s="5">
        <v>37590.3603</v>
      </c>
      <c r="E303" s="5">
        <v>34038.745900000002</v>
      </c>
      <c r="F303" t="s">
        <v>7249</v>
      </c>
      <c r="G303" s="5" t="str">
        <f t="shared" si="9"/>
        <v>ШАБРОВСКИЙ</v>
      </c>
      <c r="J303" s="5"/>
      <c r="AF303" t="s">
        <v>7170</v>
      </c>
      <c r="AG303" s="24" t="s">
        <v>5537</v>
      </c>
      <c r="AH303" s="5" t="s">
        <v>7170</v>
      </c>
      <c r="AI303" s="5">
        <v>28447.452600000001</v>
      </c>
      <c r="AJ303" s="5">
        <v>28447.452600000001</v>
      </c>
      <c r="AK303">
        <v>26420.841499999999</v>
      </c>
      <c r="AL303" s="5" t="str">
        <f t="shared" si="10"/>
        <v>Верхнесалдинский городской округ</v>
      </c>
    </row>
    <row r="304" spans="1:38" ht="15" customHeight="1" x14ac:dyDescent="0.25">
      <c r="A304" s="3" t="s">
        <v>544</v>
      </c>
      <c r="B304" s="3" t="s">
        <v>1628</v>
      </c>
      <c r="C304" s="5">
        <v>70734.0236</v>
      </c>
      <c r="D304" s="5">
        <v>70734.0236</v>
      </c>
      <c r="E304" s="5">
        <v>64050.9208</v>
      </c>
      <c r="F304" t="s">
        <v>7249</v>
      </c>
      <c r="G304" s="5" t="str">
        <f t="shared" si="9"/>
        <v>ЭЛЬМАШ</v>
      </c>
      <c r="J304" s="5"/>
      <c r="AF304" t="s">
        <v>7170</v>
      </c>
      <c r="AG304" s="24" t="s">
        <v>5538</v>
      </c>
      <c r="AH304" s="5" t="s">
        <v>7170</v>
      </c>
      <c r="AI304" s="5">
        <v>28447.452600000001</v>
      </c>
      <c r="AJ304" s="5">
        <v>28447.452600000001</v>
      </c>
      <c r="AK304">
        <v>26420.841499999999</v>
      </c>
      <c r="AL304" s="5" t="str">
        <f t="shared" si="10"/>
        <v>Верхнесалдинский городской округ</v>
      </c>
    </row>
    <row r="305" spans="1:38" ht="15" customHeight="1" x14ac:dyDescent="0.25">
      <c r="A305" s="3" t="s">
        <v>545</v>
      </c>
      <c r="B305" s="3" t="s">
        <v>209</v>
      </c>
      <c r="C305" s="5">
        <v>69382.512499999997</v>
      </c>
      <c r="D305" s="5">
        <v>69382.512499999997</v>
      </c>
      <c r="E305" s="5">
        <v>62827.103199999998</v>
      </c>
      <c r="F305" t="s">
        <v>7249</v>
      </c>
      <c r="G305" s="5" t="str">
        <f t="shared" si="9"/>
        <v>ЖБИ</v>
      </c>
      <c r="J305" s="5"/>
      <c r="AF305" t="s">
        <v>7170</v>
      </c>
      <c r="AG305" s="24" t="s">
        <v>5539</v>
      </c>
      <c r="AH305" s="5" t="s">
        <v>7170</v>
      </c>
      <c r="AI305" s="5">
        <v>28447.452600000001</v>
      </c>
      <c r="AJ305" s="5">
        <v>28447.452600000001</v>
      </c>
      <c r="AK305">
        <v>26420.841499999999</v>
      </c>
      <c r="AL305" s="5" t="str">
        <f t="shared" si="10"/>
        <v>Верхнесалдинский городской округ</v>
      </c>
    </row>
    <row r="306" spans="1:38" ht="15" customHeight="1" x14ac:dyDescent="0.25">
      <c r="A306" s="3" t="s">
        <v>546</v>
      </c>
      <c r="B306" s="3" t="s">
        <v>33</v>
      </c>
      <c r="C306" s="5">
        <v>84298.205100000006</v>
      </c>
      <c r="D306" s="5">
        <v>84298.205100000006</v>
      </c>
      <c r="E306" s="5">
        <v>76333.533100000001</v>
      </c>
      <c r="F306" t="s">
        <v>7249</v>
      </c>
      <c r="G306" s="5" t="str">
        <f t="shared" si="9"/>
        <v>ВИЗ</v>
      </c>
      <c r="J306" s="5"/>
      <c r="AF306" t="s">
        <v>7170</v>
      </c>
      <c r="AG306" s="24" t="s">
        <v>5540</v>
      </c>
      <c r="AH306" s="5" t="s">
        <v>7170</v>
      </c>
      <c r="AI306" s="5">
        <v>28447.452600000001</v>
      </c>
      <c r="AJ306" s="5">
        <v>28447.452600000001</v>
      </c>
      <c r="AK306">
        <v>26420.841499999999</v>
      </c>
      <c r="AL306" s="5" t="str">
        <f t="shared" si="10"/>
        <v>Верхнесалдинский городской округ</v>
      </c>
    </row>
    <row r="307" spans="1:38" ht="15" customHeight="1" x14ac:dyDescent="0.25">
      <c r="A307" s="3" t="s">
        <v>547</v>
      </c>
      <c r="B307" s="3" t="s">
        <v>1629</v>
      </c>
      <c r="C307" s="5">
        <v>77743.704100000003</v>
      </c>
      <c r="D307" s="5">
        <v>77743.704100000003</v>
      </c>
      <c r="E307" s="5">
        <v>70398.310800000007</v>
      </c>
      <c r="F307" t="s">
        <v>7249</v>
      </c>
      <c r="G307" s="5" t="str">
        <f t="shared" si="9"/>
        <v>ПИОНЕРСКИЙ</v>
      </c>
      <c r="J307" s="5"/>
      <c r="AF307" t="s">
        <v>7170</v>
      </c>
      <c r="AG307" s="24" t="s">
        <v>5541</v>
      </c>
      <c r="AH307" s="5" t="s">
        <v>7170</v>
      </c>
      <c r="AI307" s="5">
        <v>28447.452600000001</v>
      </c>
      <c r="AJ307" s="5">
        <v>28447.452600000001</v>
      </c>
      <c r="AK307">
        <v>26420.841499999999</v>
      </c>
      <c r="AL307" s="5" t="str">
        <f t="shared" si="10"/>
        <v>Верхнесалдинский городской округ</v>
      </c>
    </row>
    <row r="308" spans="1:38" ht="15" customHeight="1" x14ac:dyDescent="0.25">
      <c r="A308" s="3" t="s">
        <v>548</v>
      </c>
      <c r="B308" s="3" t="s">
        <v>1643</v>
      </c>
      <c r="C308" s="5">
        <v>76630.280299999999</v>
      </c>
      <c r="D308" s="5">
        <v>76630.280299999999</v>
      </c>
      <c r="E308" s="5">
        <v>69390.088799999998</v>
      </c>
      <c r="F308" t="s">
        <v>7249</v>
      </c>
      <c r="G308" s="5" t="str">
        <f t="shared" si="9"/>
        <v>Ю-З</v>
      </c>
      <c r="J308" s="5"/>
      <c r="AF308" t="s">
        <v>7170</v>
      </c>
      <c r="AG308" s="24" t="s">
        <v>5542</v>
      </c>
      <c r="AH308" s="5" t="s">
        <v>7170</v>
      </c>
      <c r="AI308" s="5">
        <v>28447.452600000001</v>
      </c>
      <c r="AJ308" s="5">
        <v>28447.452600000001</v>
      </c>
      <c r="AK308">
        <v>26420.841499999999</v>
      </c>
      <c r="AL308" s="5" t="str">
        <f t="shared" si="10"/>
        <v>Верхнесалдинский городской округ</v>
      </c>
    </row>
    <row r="309" spans="1:38" ht="15" customHeight="1" x14ac:dyDescent="0.25">
      <c r="A309" s="3" t="s">
        <v>549</v>
      </c>
      <c r="B309" s="3" t="s">
        <v>1631</v>
      </c>
      <c r="C309" s="5">
        <v>70026.7601</v>
      </c>
      <c r="D309" s="5">
        <v>70026.7601</v>
      </c>
      <c r="E309" s="5">
        <v>63410.482000000004</v>
      </c>
      <c r="F309" t="s">
        <v>7249</v>
      </c>
      <c r="G309" s="5" t="str">
        <f t="shared" si="9"/>
        <v>УРАЛМАШ</v>
      </c>
      <c r="J309" s="5"/>
      <c r="AF309" t="s">
        <v>7170</v>
      </c>
      <c r="AG309" s="24" t="s">
        <v>5543</v>
      </c>
      <c r="AH309" s="5" t="s">
        <v>7170</v>
      </c>
      <c r="AI309" s="5">
        <v>28447.452600000001</v>
      </c>
      <c r="AJ309" s="5">
        <v>28447.452600000001</v>
      </c>
      <c r="AK309">
        <v>26420.841499999999</v>
      </c>
      <c r="AL309" s="5" t="str">
        <f t="shared" si="10"/>
        <v>Верхнесалдинский городской округ</v>
      </c>
    </row>
    <row r="310" spans="1:38" ht="15" customHeight="1" x14ac:dyDescent="0.25">
      <c r="A310" s="3" t="s">
        <v>550</v>
      </c>
      <c r="B310" s="3" t="s">
        <v>1634</v>
      </c>
      <c r="C310" s="5">
        <v>77064.444199999998</v>
      </c>
      <c r="D310" s="5">
        <v>77064.444199999998</v>
      </c>
      <c r="E310" s="5">
        <v>69783.233200000002</v>
      </c>
      <c r="F310" t="s">
        <v>7249</v>
      </c>
      <c r="G310" s="5" t="str">
        <f t="shared" si="9"/>
        <v>БОТАНИЧЕСКИЙ</v>
      </c>
      <c r="J310" s="5"/>
      <c r="AF310" t="s">
        <v>7170</v>
      </c>
      <c r="AG310" s="24" t="s">
        <v>5544</v>
      </c>
      <c r="AH310" s="5" t="s">
        <v>7170</v>
      </c>
      <c r="AI310" s="5">
        <v>28447.452600000001</v>
      </c>
      <c r="AJ310" s="5">
        <v>28447.452600000001</v>
      </c>
      <c r="AK310">
        <v>26420.841499999999</v>
      </c>
      <c r="AL310" s="5" t="str">
        <f t="shared" si="10"/>
        <v>Верхнесалдинский городской округ</v>
      </c>
    </row>
    <row r="311" spans="1:38" ht="15" customHeight="1" x14ac:dyDescent="0.25">
      <c r="A311" s="3" t="s">
        <v>553</v>
      </c>
      <c r="B311" s="3" t="s">
        <v>1637</v>
      </c>
      <c r="C311" s="5">
        <v>59368.686099999999</v>
      </c>
      <c r="D311" s="5">
        <v>59368.686099999999</v>
      </c>
      <c r="E311" s="5">
        <v>53759.401700000002</v>
      </c>
      <c r="F311" t="s">
        <v>7249</v>
      </c>
      <c r="G311" s="5" t="str">
        <f t="shared" si="9"/>
        <v>Старая сортировка</v>
      </c>
      <c r="J311" s="5"/>
      <c r="AF311" t="s">
        <v>7170</v>
      </c>
      <c r="AG311" s="24" t="s">
        <v>5545</v>
      </c>
      <c r="AH311" s="5" t="s">
        <v>7170</v>
      </c>
      <c r="AI311" s="5">
        <v>28447.452600000001</v>
      </c>
      <c r="AJ311" s="5">
        <v>28447.452600000001</v>
      </c>
      <c r="AK311">
        <v>26420.841499999999</v>
      </c>
      <c r="AL311" s="5" t="str">
        <f t="shared" si="10"/>
        <v>Верхнесалдинский городской округ</v>
      </c>
    </row>
    <row r="312" spans="1:38" ht="15" customHeight="1" x14ac:dyDescent="0.25">
      <c r="A312" s="3" t="s">
        <v>554</v>
      </c>
      <c r="B312" s="3" t="s">
        <v>1640</v>
      </c>
      <c r="C312" s="5">
        <v>64914.8</v>
      </c>
      <c r="D312" s="5">
        <v>64914.8</v>
      </c>
      <c r="E312" s="5">
        <v>58781.519200000002</v>
      </c>
      <c r="F312" t="s">
        <v>7249</v>
      </c>
      <c r="G312" s="5" t="str">
        <f t="shared" si="9"/>
        <v>Новая сортировка</v>
      </c>
      <c r="J312" s="5"/>
      <c r="AF312" t="s">
        <v>7170</v>
      </c>
      <c r="AG312" s="24" t="s">
        <v>5546</v>
      </c>
      <c r="AH312" s="5" t="s">
        <v>7170</v>
      </c>
      <c r="AI312" s="5">
        <v>28447.452600000001</v>
      </c>
      <c r="AJ312" s="5">
        <v>28447.452600000001</v>
      </c>
      <c r="AK312">
        <v>26420.841499999999</v>
      </c>
      <c r="AL312" s="5" t="str">
        <f t="shared" si="10"/>
        <v>Верхнесалдинский городской округ</v>
      </c>
    </row>
    <row r="313" spans="1:38" ht="15" customHeight="1" x14ac:dyDescent="0.25">
      <c r="A313" s="3" t="s">
        <v>556</v>
      </c>
      <c r="B313" s="3" t="s">
        <v>1637</v>
      </c>
      <c r="C313" s="5">
        <v>59368.686099999999</v>
      </c>
      <c r="D313" s="5">
        <v>59368.686099999999</v>
      </c>
      <c r="E313" s="5">
        <v>53759.401700000002</v>
      </c>
      <c r="F313" t="s">
        <v>7249</v>
      </c>
      <c r="G313" s="5" t="str">
        <f t="shared" si="9"/>
        <v>Старая сортировка</v>
      </c>
      <c r="J313" s="5"/>
      <c r="AF313" t="s">
        <v>7170</v>
      </c>
      <c r="AG313" s="24" t="s">
        <v>5547</v>
      </c>
      <c r="AH313" s="5" t="s">
        <v>7170</v>
      </c>
      <c r="AI313" s="5">
        <v>28447.452600000001</v>
      </c>
      <c r="AJ313" s="5">
        <v>28447.452600000001</v>
      </c>
      <c r="AK313">
        <v>26420.841499999999</v>
      </c>
      <c r="AL313" s="5" t="str">
        <f t="shared" si="10"/>
        <v>Верхнесалдинский городской округ</v>
      </c>
    </row>
    <row r="314" spans="1:38" ht="15" customHeight="1" x14ac:dyDescent="0.25">
      <c r="A314" s="3" t="s">
        <v>557</v>
      </c>
      <c r="B314" s="3" t="s">
        <v>1634</v>
      </c>
      <c r="C314" s="5">
        <v>77064.444199999998</v>
      </c>
      <c r="D314" s="5">
        <v>77064.444199999998</v>
      </c>
      <c r="E314" s="5">
        <v>69783.233200000002</v>
      </c>
      <c r="F314" t="s">
        <v>7249</v>
      </c>
      <c r="G314" s="5" t="str">
        <f t="shared" si="9"/>
        <v>БОТАНИЧЕСКИЙ</v>
      </c>
      <c r="J314" s="5"/>
      <c r="AF314" t="s">
        <v>7170</v>
      </c>
      <c r="AG314" s="24" t="s">
        <v>5548</v>
      </c>
      <c r="AH314" s="5" t="s">
        <v>7170</v>
      </c>
      <c r="AI314" s="5">
        <v>28447.452600000001</v>
      </c>
      <c r="AJ314" s="5">
        <v>28447.452600000001</v>
      </c>
      <c r="AK314">
        <v>26420.841499999999</v>
      </c>
      <c r="AL314" s="5" t="str">
        <f t="shared" si="10"/>
        <v>Верхнесалдинский городской округ</v>
      </c>
    </row>
    <row r="315" spans="1:38" ht="15" customHeight="1" x14ac:dyDescent="0.25">
      <c r="A315" s="3" t="s">
        <v>558</v>
      </c>
      <c r="B315" s="3" t="s">
        <v>1633</v>
      </c>
      <c r="C315" s="5">
        <v>77071.442599999995</v>
      </c>
      <c r="D315" s="5">
        <v>77071.442599999995</v>
      </c>
      <c r="E315" s="5">
        <v>69789.570900000006</v>
      </c>
      <c r="F315" t="s">
        <v>7249</v>
      </c>
      <c r="G315" s="5" t="str">
        <f t="shared" si="9"/>
        <v>ВТУЗГОРОДОК</v>
      </c>
      <c r="J315" s="5"/>
      <c r="AF315" t="s">
        <v>7171</v>
      </c>
      <c r="AG315" s="24" t="s">
        <v>5549</v>
      </c>
      <c r="AH315" s="5" t="s">
        <v>7171</v>
      </c>
      <c r="AI315" s="5">
        <v>10735.6335</v>
      </c>
      <c r="AJ315" s="5">
        <v>10735.6335</v>
      </c>
      <c r="AK315">
        <v>9970.8248999999996</v>
      </c>
      <c r="AL315" s="5" t="str">
        <f t="shared" si="10"/>
        <v>Волчанский городской округ</v>
      </c>
    </row>
    <row r="316" spans="1:38" ht="15" customHeight="1" x14ac:dyDescent="0.25">
      <c r="A316" s="3" t="s">
        <v>559</v>
      </c>
      <c r="B316" s="3" t="s">
        <v>1644</v>
      </c>
      <c r="C316" s="5">
        <v>61980.678599999999</v>
      </c>
      <c r="D316" s="5">
        <v>61980.678599999999</v>
      </c>
      <c r="E316" s="5">
        <v>56124.615700000002</v>
      </c>
      <c r="F316" t="s">
        <v>7249</v>
      </c>
      <c r="G316" s="5" t="str">
        <f t="shared" si="9"/>
        <v>ХИММАШ</v>
      </c>
      <c r="J316" s="5"/>
      <c r="AF316" t="s">
        <v>7171</v>
      </c>
      <c r="AG316" s="24" t="s">
        <v>5550</v>
      </c>
      <c r="AH316" s="5" t="s">
        <v>7171</v>
      </c>
      <c r="AI316" s="5">
        <v>13264.1209</v>
      </c>
      <c r="AJ316" s="5">
        <v>13264.1209</v>
      </c>
      <c r="AK316">
        <v>12319.1831</v>
      </c>
      <c r="AL316" s="5" t="str">
        <f t="shared" si="10"/>
        <v>Волчанский городской округ</v>
      </c>
    </row>
    <row r="317" spans="1:38" ht="15" customHeight="1" x14ac:dyDescent="0.25">
      <c r="A317" s="3" t="s">
        <v>560</v>
      </c>
      <c r="B317" s="3" t="s">
        <v>1644</v>
      </c>
      <c r="C317" s="5">
        <v>61980.678599999999</v>
      </c>
      <c r="D317" s="5">
        <v>61980.678599999999</v>
      </c>
      <c r="E317" s="5">
        <v>56124.615700000002</v>
      </c>
      <c r="F317" t="s">
        <v>7249</v>
      </c>
      <c r="G317" s="5" t="str">
        <f t="shared" si="9"/>
        <v>ХИММАШ</v>
      </c>
      <c r="J317" s="5"/>
      <c r="AF317" t="s">
        <v>7171</v>
      </c>
      <c r="AG317" s="24" t="s">
        <v>5551</v>
      </c>
      <c r="AH317" s="5" t="s">
        <v>7171</v>
      </c>
      <c r="AI317" s="5">
        <v>10735.6335</v>
      </c>
      <c r="AJ317" s="5">
        <v>10735.6335</v>
      </c>
      <c r="AK317">
        <v>9970.8248999999996</v>
      </c>
      <c r="AL317" s="5" t="str">
        <f t="shared" si="10"/>
        <v>Волчанский городской округ</v>
      </c>
    </row>
    <row r="318" spans="1:38" ht="15" customHeight="1" x14ac:dyDescent="0.25">
      <c r="A318" s="3" t="s">
        <v>562</v>
      </c>
      <c r="B318" s="3" t="s">
        <v>14</v>
      </c>
      <c r="C318" s="5">
        <v>93989.912800000006</v>
      </c>
      <c r="D318" s="5">
        <v>93989.912800000006</v>
      </c>
      <c r="E318" s="5">
        <v>85109.545199999993</v>
      </c>
      <c r="F318" t="s">
        <v>7249</v>
      </c>
      <c r="G318" s="5" t="str">
        <f t="shared" si="9"/>
        <v>Центр</v>
      </c>
      <c r="J318" s="5"/>
      <c r="AF318" t="s">
        <v>7171</v>
      </c>
      <c r="AG318" s="24" t="s">
        <v>5552</v>
      </c>
      <c r="AH318" s="5" t="s">
        <v>7171</v>
      </c>
      <c r="AI318" s="5">
        <v>10735.6335</v>
      </c>
      <c r="AJ318" s="5">
        <v>10735.6335</v>
      </c>
      <c r="AK318">
        <v>9970.8248999999996</v>
      </c>
      <c r="AL318" s="5" t="str">
        <f t="shared" si="10"/>
        <v>Волчанский городской округ</v>
      </c>
    </row>
    <row r="319" spans="1:38" ht="15" customHeight="1" x14ac:dyDescent="0.25">
      <c r="A319" s="3" t="s">
        <v>563</v>
      </c>
      <c r="B319" s="3" t="s">
        <v>1633</v>
      </c>
      <c r="C319" s="5">
        <v>77071.442599999995</v>
      </c>
      <c r="D319" s="5">
        <v>77071.442599999995</v>
      </c>
      <c r="E319" s="5">
        <v>69789.570900000006</v>
      </c>
      <c r="F319" t="s">
        <v>7249</v>
      </c>
      <c r="G319" s="5" t="str">
        <f t="shared" si="9"/>
        <v>ВТУЗГОРОДОК</v>
      </c>
      <c r="J319" s="5"/>
      <c r="AF319" t="s">
        <v>7172</v>
      </c>
      <c r="AG319" s="24" t="s">
        <v>5553</v>
      </c>
      <c r="AH319" s="5" t="s">
        <v>7172</v>
      </c>
      <c r="AI319" s="5">
        <v>10284.0254</v>
      </c>
      <c r="AJ319" s="5">
        <v>10284.0254</v>
      </c>
      <c r="AK319">
        <v>9551.3801000000003</v>
      </c>
      <c r="AL319" s="5" t="str">
        <f t="shared" si="10"/>
        <v>Гаринский городской округ</v>
      </c>
    </row>
    <row r="320" spans="1:38" ht="15" customHeight="1" x14ac:dyDescent="0.25">
      <c r="A320" s="3" t="s">
        <v>564</v>
      </c>
      <c r="B320" s="3" t="s">
        <v>1629</v>
      </c>
      <c r="C320" s="5">
        <v>77743.704100000003</v>
      </c>
      <c r="D320" s="5">
        <v>77743.704100000003</v>
      </c>
      <c r="E320" s="5">
        <v>70398.310800000007</v>
      </c>
      <c r="F320" t="s">
        <v>7249</v>
      </c>
      <c r="G320" s="5" t="str">
        <f t="shared" si="9"/>
        <v>ПИОНЕРСКИЙ</v>
      </c>
      <c r="J320" s="5"/>
      <c r="AF320" t="s">
        <v>7172</v>
      </c>
      <c r="AG320" s="24" t="s">
        <v>5554</v>
      </c>
      <c r="AH320" s="5" t="s">
        <v>7172</v>
      </c>
      <c r="AI320" s="5">
        <v>10284.0254</v>
      </c>
      <c r="AJ320" s="5">
        <v>10284.0254</v>
      </c>
      <c r="AK320">
        <v>9551.3801000000003</v>
      </c>
      <c r="AL320" s="5" t="str">
        <f t="shared" si="10"/>
        <v>Гаринский городской округ</v>
      </c>
    </row>
    <row r="321" spans="1:38" ht="15" customHeight="1" x14ac:dyDescent="0.25">
      <c r="A321" s="3" t="s">
        <v>565</v>
      </c>
      <c r="B321" s="3" t="s">
        <v>1664</v>
      </c>
      <c r="C321" s="5">
        <v>53668.506099999999</v>
      </c>
      <c r="D321" s="5">
        <v>53668.506099999999</v>
      </c>
      <c r="E321" s="5">
        <v>48597.792699999998</v>
      </c>
      <c r="F321" t="s">
        <v>7249</v>
      </c>
      <c r="G321" s="5" t="str">
        <f t="shared" si="9"/>
        <v>ИЗОПЛИТ</v>
      </c>
      <c r="J321" s="5"/>
      <c r="AF321" t="s">
        <v>7172</v>
      </c>
      <c r="AG321" s="24" t="s">
        <v>5555</v>
      </c>
      <c r="AH321" s="5" t="s">
        <v>7172</v>
      </c>
      <c r="AI321" s="5">
        <v>10284.0254</v>
      </c>
      <c r="AJ321" s="5">
        <v>10284.0254</v>
      </c>
      <c r="AK321">
        <v>9551.3801000000003</v>
      </c>
      <c r="AL321" s="5" t="str">
        <f t="shared" si="10"/>
        <v>Гаринский городской округ</v>
      </c>
    </row>
    <row r="322" spans="1:38" ht="15" customHeight="1" x14ac:dyDescent="0.25">
      <c r="A322" s="3" t="s">
        <v>567</v>
      </c>
      <c r="B322" s="3" t="s">
        <v>33</v>
      </c>
      <c r="C322" s="5">
        <v>84298.205100000006</v>
      </c>
      <c r="D322" s="5">
        <v>84298.205100000006</v>
      </c>
      <c r="E322" s="5">
        <v>76333.533100000001</v>
      </c>
      <c r="F322" t="s">
        <v>7249</v>
      </c>
      <c r="G322" s="5" t="str">
        <f t="shared" si="9"/>
        <v>ВИЗ</v>
      </c>
      <c r="J322" s="5"/>
      <c r="AF322" t="s">
        <v>7172</v>
      </c>
      <c r="AG322" s="24" t="s">
        <v>5556</v>
      </c>
      <c r="AH322" s="5" t="s">
        <v>7172</v>
      </c>
      <c r="AI322" s="5">
        <v>10284.0254</v>
      </c>
      <c r="AJ322" s="5">
        <v>10284.0254</v>
      </c>
      <c r="AK322">
        <v>9551.3801000000003</v>
      </c>
      <c r="AL322" s="5" t="str">
        <f t="shared" si="10"/>
        <v>Гаринский городской округ</v>
      </c>
    </row>
    <row r="323" spans="1:38" ht="15" customHeight="1" x14ac:dyDescent="0.25">
      <c r="A323" s="3" t="s">
        <v>568</v>
      </c>
      <c r="B323" s="3" t="s">
        <v>1651</v>
      </c>
      <c r="C323" s="5">
        <v>68129.029500000004</v>
      </c>
      <c r="D323" s="5">
        <v>68129.029500000004</v>
      </c>
      <c r="E323" s="5">
        <v>61692.054799999998</v>
      </c>
      <c r="F323" t="s">
        <v>7249</v>
      </c>
      <c r="G323" s="5" t="str">
        <f t="shared" si="9"/>
        <v>ШАРТАШ</v>
      </c>
      <c r="J323" s="5"/>
      <c r="AF323" t="s">
        <v>7172</v>
      </c>
      <c r="AG323" s="24" t="s">
        <v>5557</v>
      </c>
      <c r="AH323" s="5" t="s">
        <v>7172</v>
      </c>
      <c r="AI323" s="5">
        <v>10284.0254</v>
      </c>
      <c r="AJ323" s="5">
        <v>10284.0254</v>
      </c>
      <c r="AK323">
        <v>9551.3801000000003</v>
      </c>
      <c r="AL323" s="5" t="str">
        <f t="shared" si="10"/>
        <v>Гаринский городской округ</v>
      </c>
    </row>
    <row r="324" spans="1:38" ht="15" customHeight="1" x14ac:dyDescent="0.25">
      <c r="A324" s="3" t="s">
        <v>569</v>
      </c>
      <c r="B324" s="3" t="s">
        <v>1644</v>
      </c>
      <c r="C324" s="5">
        <v>61980.678599999999</v>
      </c>
      <c r="D324" s="5">
        <v>61980.678599999999</v>
      </c>
      <c r="E324" s="5">
        <v>56124.615700000002</v>
      </c>
      <c r="F324" t="s">
        <v>7249</v>
      </c>
      <c r="G324" s="5" t="str">
        <f t="shared" ref="G324:G387" si="11">B324</f>
        <v>ХИММАШ</v>
      </c>
      <c r="J324" s="5"/>
      <c r="AF324" t="s">
        <v>7172</v>
      </c>
      <c r="AG324" s="24" t="s">
        <v>5558</v>
      </c>
      <c r="AH324" s="5" t="s">
        <v>7172</v>
      </c>
      <c r="AI324" s="5">
        <v>10284.0254</v>
      </c>
      <c r="AJ324" s="5">
        <v>10284.0254</v>
      </c>
      <c r="AK324">
        <v>9551.3801000000003</v>
      </c>
      <c r="AL324" s="5" t="str">
        <f t="shared" ref="AL324:AL387" si="12">AF324</f>
        <v>Гаринский городской округ</v>
      </c>
    </row>
    <row r="325" spans="1:38" ht="15" customHeight="1" x14ac:dyDescent="0.25">
      <c r="A325" s="3" t="s">
        <v>570</v>
      </c>
      <c r="B325" s="3" t="s">
        <v>1657</v>
      </c>
      <c r="C325" s="5">
        <v>54886.9666</v>
      </c>
      <c r="D325" s="5">
        <v>54886.9666</v>
      </c>
      <c r="E325" s="5">
        <v>49701.1319</v>
      </c>
      <c r="F325" t="s">
        <v>7249</v>
      </c>
      <c r="G325" s="5" t="str">
        <f t="shared" si="11"/>
        <v>КОЛЬЦОВО</v>
      </c>
      <c r="J325" s="5"/>
      <c r="AF325" t="s">
        <v>7172</v>
      </c>
      <c r="AG325" s="24" t="s">
        <v>5559</v>
      </c>
      <c r="AH325" s="5" t="s">
        <v>7172</v>
      </c>
      <c r="AI325" s="5">
        <v>12706.1549</v>
      </c>
      <c r="AJ325" s="5">
        <v>12706.1549</v>
      </c>
      <c r="AK325">
        <v>11800.9568</v>
      </c>
      <c r="AL325" s="5" t="str">
        <f t="shared" si="12"/>
        <v>Гаринский городской округ</v>
      </c>
    </row>
    <row r="326" spans="1:38" ht="15" customHeight="1" x14ac:dyDescent="0.25">
      <c r="A326" s="3" t="s">
        <v>571</v>
      </c>
      <c r="B326" s="3" t="s">
        <v>1651</v>
      </c>
      <c r="C326" s="5">
        <v>68129.029500000004</v>
      </c>
      <c r="D326" s="5">
        <v>68129.029500000004</v>
      </c>
      <c r="E326" s="5">
        <v>61692.054799999998</v>
      </c>
      <c r="F326" t="s">
        <v>7249</v>
      </c>
      <c r="G326" s="5" t="str">
        <f t="shared" si="11"/>
        <v>ШАРТАШ</v>
      </c>
      <c r="J326" s="5"/>
      <c r="AF326" t="s">
        <v>7172</v>
      </c>
      <c r="AG326" s="24" t="s">
        <v>5560</v>
      </c>
      <c r="AH326" s="5" t="s">
        <v>7172</v>
      </c>
      <c r="AI326" s="5">
        <v>10284.0254</v>
      </c>
      <c r="AJ326" s="5">
        <v>10284.0254</v>
      </c>
      <c r="AK326">
        <v>9551.3801000000003</v>
      </c>
      <c r="AL326" s="5" t="str">
        <f t="shared" si="12"/>
        <v>Гаринский городской округ</v>
      </c>
    </row>
    <row r="327" spans="1:38" ht="15" customHeight="1" x14ac:dyDescent="0.25">
      <c r="A327" s="3" t="s">
        <v>574</v>
      </c>
      <c r="B327" s="3" t="s">
        <v>1644</v>
      </c>
      <c r="C327" s="5">
        <v>61980.678599999999</v>
      </c>
      <c r="D327" s="5">
        <v>61980.678599999999</v>
      </c>
      <c r="E327" s="5">
        <v>56124.615700000002</v>
      </c>
      <c r="F327" t="s">
        <v>7249</v>
      </c>
      <c r="G327" s="5" t="str">
        <f t="shared" si="11"/>
        <v>ХИММАШ</v>
      </c>
      <c r="J327" s="5"/>
      <c r="AF327" t="s">
        <v>7172</v>
      </c>
      <c r="AG327" s="24" t="s">
        <v>5561</v>
      </c>
      <c r="AH327" s="5" t="s">
        <v>7172</v>
      </c>
      <c r="AI327" s="5">
        <v>10284.0254</v>
      </c>
      <c r="AJ327" s="5">
        <v>10284.0254</v>
      </c>
      <c r="AK327">
        <v>9551.3801000000003</v>
      </c>
      <c r="AL327" s="5" t="str">
        <f t="shared" si="12"/>
        <v>Гаринский городской округ</v>
      </c>
    </row>
    <row r="328" spans="1:38" ht="15" customHeight="1" x14ac:dyDescent="0.25">
      <c r="A328" s="3" t="s">
        <v>575</v>
      </c>
      <c r="B328" s="3" t="s">
        <v>1628</v>
      </c>
      <c r="C328" s="5">
        <v>70734.0236</v>
      </c>
      <c r="D328" s="5">
        <v>70734.0236</v>
      </c>
      <c r="E328" s="5">
        <v>64050.9208</v>
      </c>
      <c r="F328" t="s">
        <v>7249</v>
      </c>
      <c r="G328" s="5" t="str">
        <f t="shared" si="11"/>
        <v>ЭЛЬМАШ</v>
      </c>
      <c r="J328" s="5"/>
      <c r="AF328" t="s">
        <v>7172</v>
      </c>
      <c r="AG328" s="24" t="s">
        <v>5562</v>
      </c>
      <c r="AH328" s="5" t="s">
        <v>7172</v>
      </c>
      <c r="AI328" s="5">
        <v>10284.0254</v>
      </c>
      <c r="AJ328" s="5">
        <v>10284.0254</v>
      </c>
      <c r="AK328">
        <v>9551.3801000000003</v>
      </c>
      <c r="AL328" s="5" t="str">
        <f t="shared" si="12"/>
        <v>Гаринский городской округ</v>
      </c>
    </row>
    <row r="329" spans="1:38" ht="15" customHeight="1" x14ac:dyDescent="0.25">
      <c r="A329" s="3" t="s">
        <v>576</v>
      </c>
      <c r="B329" s="3" t="s">
        <v>1644</v>
      </c>
      <c r="C329" s="5">
        <v>61980.678599999999</v>
      </c>
      <c r="D329" s="5">
        <v>61980.678599999999</v>
      </c>
      <c r="E329" s="5">
        <v>56124.615700000002</v>
      </c>
      <c r="F329" t="s">
        <v>7249</v>
      </c>
      <c r="G329" s="5" t="str">
        <f t="shared" si="11"/>
        <v>ХИММАШ</v>
      </c>
      <c r="J329" s="5"/>
      <c r="AF329" t="s">
        <v>7172</v>
      </c>
      <c r="AG329" s="24" t="s">
        <v>5563</v>
      </c>
      <c r="AH329" s="5" t="s">
        <v>7172</v>
      </c>
      <c r="AI329" s="5">
        <v>10284.0254</v>
      </c>
      <c r="AJ329" s="5">
        <v>10284.0254</v>
      </c>
      <c r="AK329">
        <v>9551.3801000000003</v>
      </c>
      <c r="AL329" s="5" t="str">
        <f t="shared" si="12"/>
        <v>Гаринский городской округ</v>
      </c>
    </row>
    <row r="330" spans="1:38" ht="15" customHeight="1" x14ac:dyDescent="0.25">
      <c r="A330" s="3" t="s">
        <v>577</v>
      </c>
      <c r="B330" s="3" t="s">
        <v>1638</v>
      </c>
      <c r="C330" s="5">
        <v>63640.311600000001</v>
      </c>
      <c r="D330" s="5">
        <v>63640.311600000001</v>
      </c>
      <c r="E330" s="5">
        <v>57627.4473</v>
      </c>
      <c r="F330" t="s">
        <v>7249</v>
      </c>
      <c r="G330" s="5" t="str">
        <f t="shared" si="11"/>
        <v>УКТУС</v>
      </c>
      <c r="J330" s="5"/>
      <c r="AF330" t="s">
        <v>7172</v>
      </c>
      <c r="AG330" s="24" t="s">
        <v>5564</v>
      </c>
      <c r="AH330" s="5" t="s">
        <v>7172</v>
      </c>
      <c r="AI330" s="5">
        <v>10284.0254</v>
      </c>
      <c r="AJ330" s="5">
        <v>10284.0254</v>
      </c>
      <c r="AK330">
        <v>9551.3801000000003</v>
      </c>
      <c r="AL330" s="5" t="str">
        <f t="shared" si="12"/>
        <v>Гаринский городской округ</v>
      </c>
    </row>
    <row r="331" spans="1:38" ht="15" customHeight="1" x14ac:dyDescent="0.25">
      <c r="A331" s="3" t="s">
        <v>578</v>
      </c>
      <c r="B331" s="3" t="s">
        <v>1644</v>
      </c>
      <c r="C331" s="5">
        <v>61980.678599999999</v>
      </c>
      <c r="D331" s="5">
        <v>61980.678599999999</v>
      </c>
      <c r="E331" s="5">
        <v>56124.615700000002</v>
      </c>
      <c r="F331" t="s">
        <v>7249</v>
      </c>
      <c r="G331" s="5" t="str">
        <f t="shared" si="11"/>
        <v>ХИММАШ</v>
      </c>
      <c r="J331" s="5"/>
      <c r="AF331" t="s">
        <v>7172</v>
      </c>
      <c r="AG331" s="24" t="s">
        <v>5565</v>
      </c>
      <c r="AH331" s="5" t="s">
        <v>7172</v>
      </c>
      <c r="AI331" s="5">
        <v>10284.0254</v>
      </c>
      <c r="AJ331" s="5">
        <v>10284.0254</v>
      </c>
      <c r="AK331">
        <v>9551.3801000000003</v>
      </c>
      <c r="AL331" s="5" t="str">
        <f t="shared" si="12"/>
        <v>Гаринский городской округ</v>
      </c>
    </row>
    <row r="332" spans="1:38" ht="15" customHeight="1" x14ac:dyDescent="0.25">
      <c r="A332" s="3" t="s">
        <v>580</v>
      </c>
      <c r="B332" s="3" t="s">
        <v>1627</v>
      </c>
      <c r="C332" s="5">
        <v>56392.543899999997</v>
      </c>
      <c r="D332" s="5">
        <v>56392.543899999997</v>
      </c>
      <c r="E332" s="5">
        <v>51064.4617</v>
      </c>
      <c r="F332" t="s">
        <v>7249</v>
      </c>
      <c r="G332" s="5" t="str">
        <f t="shared" si="11"/>
        <v>КОМПРЕССОРНЫЙ</v>
      </c>
      <c r="J332" s="5"/>
      <c r="AF332" t="s">
        <v>7172</v>
      </c>
      <c r="AG332" s="24" t="s">
        <v>5566</v>
      </c>
      <c r="AH332" s="5" t="s">
        <v>7172</v>
      </c>
      <c r="AI332" s="5">
        <v>10284.0254</v>
      </c>
      <c r="AJ332" s="5">
        <v>10284.0254</v>
      </c>
      <c r="AK332">
        <v>9551.3801000000003</v>
      </c>
      <c r="AL332" s="5" t="str">
        <f t="shared" si="12"/>
        <v>Гаринский городской округ</v>
      </c>
    </row>
    <row r="333" spans="1:38" ht="15" customHeight="1" x14ac:dyDescent="0.25">
      <c r="A333" s="3" t="s">
        <v>581</v>
      </c>
      <c r="B333" s="3" t="s">
        <v>1651</v>
      </c>
      <c r="C333" s="5">
        <v>68129.029500000004</v>
      </c>
      <c r="D333" s="5">
        <v>68129.029500000004</v>
      </c>
      <c r="E333" s="5">
        <v>61692.054799999998</v>
      </c>
      <c r="F333" t="s">
        <v>7249</v>
      </c>
      <c r="G333" s="5" t="str">
        <f t="shared" si="11"/>
        <v>ШАРТАШ</v>
      </c>
      <c r="J333" s="5"/>
      <c r="AF333" t="s">
        <v>7172</v>
      </c>
      <c r="AG333" s="24" t="s">
        <v>5567</v>
      </c>
      <c r="AH333" s="5" t="s">
        <v>7172</v>
      </c>
      <c r="AI333" s="5">
        <v>10284.0254</v>
      </c>
      <c r="AJ333" s="5">
        <v>10284.0254</v>
      </c>
      <c r="AK333">
        <v>9551.3801000000003</v>
      </c>
      <c r="AL333" s="5" t="str">
        <f t="shared" si="12"/>
        <v>Гаринский городской округ</v>
      </c>
    </row>
    <row r="334" spans="1:38" ht="15" customHeight="1" x14ac:dyDescent="0.25">
      <c r="A334" s="3" t="s">
        <v>582</v>
      </c>
      <c r="B334" s="3" t="s">
        <v>1637</v>
      </c>
      <c r="C334" s="5">
        <v>59368.686099999999</v>
      </c>
      <c r="D334" s="5">
        <v>59368.686099999999</v>
      </c>
      <c r="E334" s="5">
        <v>53759.401700000002</v>
      </c>
      <c r="F334" t="s">
        <v>7249</v>
      </c>
      <c r="G334" s="5" t="str">
        <f t="shared" si="11"/>
        <v>Старая сортировка</v>
      </c>
      <c r="J334" s="5"/>
      <c r="AF334" t="s">
        <v>7172</v>
      </c>
      <c r="AG334" s="24" t="s">
        <v>5568</v>
      </c>
      <c r="AH334" s="5" t="s">
        <v>7172</v>
      </c>
      <c r="AI334" s="5">
        <v>10284.0254</v>
      </c>
      <c r="AJ334" s="5">
        <v>10284.0254</v>
      </c>
      <c r="AK334">
        <v>9551.3801000000003</v>
      </c>
      <c r="AL334" s="5" t="str">
        <f t="shared" si="12"/>
        <v>Гаринский городской округ</v>
      </c>
    </row>
    <row r="335" spans="1:38" ht="15" customHeight="1" x14ac:dyDescent="0.25">
      <c r="A335" s="3" t="s">
        <v>583</v>
      </c>
      <c r="B335" s="3" t="s">
        <v>1633</v>
      </c>
      <c r="C335" s="5">
        <v>77071.442599999995</v>
      </c>
      <c r="D335" s="5">
        <v>77071.442599999995</v>
      </c>
      <c r="E335" s="5">
        <v>69789.570900000006</v>
      </c>
      <c r="F335" t="s">
        <v>7249</v>
      </c>
      <c r="G335" s="5" t="str">
        <f t="shared" si="11"/>
        <v>ВТУЗГОРОДОК</v>
      </c>
      <c r="J335" s="5"/>
      <c r="AF335" t="s">
        <v>7172</v>
      </c>
      <c r="AG335" s="24" t="s">
        <v>5569</v>
      </c>
      <c r="AH335" s="5" t="s">
        <v>7172</v>
      </c>
      <c r="AI335" s="5">
        <v>10284.0254</v>
      </c>
      <c r="AJ335" s="5">
        <v>10284.0254</v>
      </c>
      <c r="AK335">
        <v>9551.3801000000003</v>
      </c>
      <c r="AL335" s="5" t="str">
        <f t="shared" si="12"/>
        <v>Гаринский городской округ</v>
      </c>
    </row>
    <row r="336" spans="1:38" ht="15" customHeight="1" x14ac:dyDescent="0.25">
      <c r="A336" s="3" t="s">
        <v>584</v>
      </c>
      <c r="B336" s="3" t="s">
        <v>1650</v>
      </c>
      <c r="C336" s="5">
        <v>37590.3603</v>
      </c>
      <c r="D336" s="5">
        <v>37590.3603</v>
      </c>
      <c r="E336" s="5">
        <v>34038.745900000002</v>
      </c>
      <c r="F336" t="s">
        <v>7249</v>
      </c>
      <c r="G336" s="5" t="str">
        <f t="shared" si="11"/>
        <v>ШАБРОВСКИЙ</v>
      </c>
      <c r="J336" s="5"/>
      <c r="AF336" t="s">
        <v>7172</v>
      </c>
      <c r="AG336" s="24" t="s">
        <v>5570</v>
      </c>
      <c r="AH336" s="5" t="s">
        <v>7172</v>
      </c>
      <c r="AI336" s="5">
        <v>10284.0254</v>
      </c>
      <c r="AJ336" s="5">
        <v>10284.0254</v>
      </c>
      <c r="AK336">
        <v>9551.3801000000003</v>
      </c>
      <c r="AL336" s="5" t="str">
        <f t="shared" si="12"/>
        <v>Гаринский городской округ</v>
      </c>
    </row>
    <row r="337" spans="1:38" ht="15" customHeight="1" x14ac:dyDescent="0.25">
      <c r="A337" s="3" t="s">
        <v>585</v>
      </c>
      <c r="B337" s="3" t="s">
        <v>14</v>
      </c>
      <c r="C337" s="5">
        <v>93989.912800000006</v>
      </c>
      <c r="D337" s="5">
        <v>93989.912800000006</v>
      </c>
      <c r="E337" s="5">
        <v>85109.545199999993</v>
      </c>
      <c r="F337" t="s">
        <v>7249</v>
      </c>
      <c r="G337" s="5" t="str">
        <f t="shared" si="11"/>
        <v>Центр</v>
      </c>
      <c r="J337" s="5"/>
      <c r="AF337" t="s">
        <v>7172</v>
      </c>
      <c r="AG337" s="24" t="s">
        <v>5571</v>
      </c>
      <c r="AH337" s="5" t="s">
        <v>7172</v>
      </c>
      <c r="AI337" s="5">
        <v>10284.0254</v>
      </c>
      <c r="AJ337" s="5">
        <v>10284.0254</v>
      </c>
      <c r="AK337">
        <v>9551.3801000000003</v>
      </c>
      <c r="AL337" s="5" t="str">
        <f t="shared" si="12"/>
        <v>Гаринский городской округ</v>
      </c>
    </row>
    <row r="338" spans="1:38" ht="15" customHeight="1" x14ac:dyDescent="0.25">
      <c r="A338" s="3" t="s">
        <v>586</v>
      </c>
      <c r="B338" s="3" t="s">
        <v>1651</v>
      </c>
      <c r="C338" s="5">
        <v>68129.029500000004</v>
      </c>
      <c r="D338" s="5">
        <v>68129.029500000004</v>
      </c>
      <c r="E338" s="5">
        <v>61692.054799999998</v>
      </c>
      <c r="F338" t="s">
        <v>7249</v>
      </c>
      <c r="G338" s="5" t="str">
        <f t="shared" si="11"/>
        <v>ШАРТАШ</v>
      </c>
      <c r="J338" s="5"/>
      <c r="AF338" t="s">
        <v>7172</v>
      </c>
      <c r="AG338" s="24" t="s">
        <v>5572</v>
      </c>
      <c r="AH338" s="5" t="s">
        <v>7172</v>
      </c>
      <c r="AI338" s="5">
        <v>10284.0254</v>
      </c>
      <c r="AJ338" s="5">
        <v>10284.0254</v>
      </c>
      <c r="AK338">
        <v>9551.3801000000003</v>
      </c>
      <c r="AL338" s="5" t="str">
        <f t="shared" si="12"/>
        <v>Гаринский городской округ</v>
      </c>
    </row>
    <row r="339" spans="1:38" ht="15" customHeight="1" x14ac:dyDescent="0.25">
      <c r="A339" s="3" t="s">
        <v>587</v>
      </c>
      <c r="B339" s="3" t="s">
        <v>33</v>
      </c>
      <c r="C339" s="5">
        <v>84298.205100000006</v>
      </c>
      <c r="D339" s="5">
        <v>84298.205100000006</v>
      </c>
      <c r="E339" s="5">
        <v>76333.533100000001</v>
      </c>
      <c r="F339" t="s">
        <v>7249</v>
      </c>
      <c r="G339" s="5" t="str">
        <f t="shared" si="11"/>
        <v>ВИЗ</v>
      </c>
      <c r="J339" s="5"/>
      <c r="AF339" t="s">
        <v>7172</v>
      </c>
      <c r="AG339" s="24" t="s">
        <v>5573</v>
      </c>
      <c r="AH339" s="5" t="s">
        <v>7172</v>
      </c>
      <c r="AI339" s="5">
        <v>10284.0254</v>
      </c>
      <c r="AJ339" s="5">
        <v>10284.0254</v>
      </c>
      <c r="AK339">
        <v>9551.3801000000003</v>
      </c>
      <c r="AL339" s="5" t="str">
        <f t="shared" si="12"/>
        <v>Гаринский городской округ</v>
      </c>
    </row>
    <row r="340" spans="1:38" ht="15" customHeight="1" x14ac:dyDescent="0.25">
      <c r="A340" s="3" t="s">
        <v>588</v>
      </c>
      <c r="B340" s="3" t="s">
        <v>1628</v>
      </c>
      <c r="C340" s="5">
        <v>70734.0236</v>
      </c>
      <c r="D340" s="5">
        <v>70734.0236</v>
      </c>
      <c r="E340" s="5">
        <v>64050.9208</v>
      </c>
      <c r="F340" t="s">
        <v>7249</v>
      </c>
      <c r="G340" s="5" t="str">
        <f t="shared" si="11"/>
        <v>ЭЛЬМАШ</v>
      </c>
      <c r="J340" s="5"/>
      <c r="AF340" t="s">
        <v>7172</v>
      </c>
      <c r="AG340" s="24" t="s">
        <v>5574</v>
      </c>
      <c r="AH340" s="5" t="s">
        <v>7172</v>
      </c>
      <c r="AI340" s="5">
        <v>10284.0254</v>
      </c>
      <c r="AJ340" s="5">
        <v>10284.0254</v>
      </c>
      <c r="AK340">
        <v>9551.3801000000003</v>
      </c>
      <c r="AL340" s="5" t="str">
        <f t="shared" si="12"/>
        <v>Гаринский городской округ</v>
      </c>
    </row>
    <row r="341" spans="1:38" ht="15" customHeight="1" x14ac:dyDescent="0.25">
      <c r="A341" s="3" t="s">
        <v>589</v>
      </c>
      <c r="B341" s="3" t="s">
        <v>1649</v>
      </c>
      <c r="C341" s="5">
        <v>78633.047600000005</v>
      </c>
      <c r="D341" s="5">
        <v>78633.047600000005</v>
      </c>
      <c r="E341" s="5">
        <v>71203.623000000007</v>
      </c>
      <c r="F341" t="s">
        <v>7249</v>
      </c>
      <c r="G341" s="5" t="str">
        <f t="shared" si="11"/>
        <v>ВОКЗАЛЬНЫЙ</v>
      </c>
      <c r="J341" s="5"/>
      <c r="AF341" t="s">
        <v>7172</v>
      </c>
      <c r="AG341" s="24" t="s">
        <v>5575</v>
      </c>
      <c r="AH341" s="5" t="s">
        <v>7172</v>
      </c>
      <c r="AI341" s="5">
        <v>10284.0254</v>
      </c>
      <c r="AJ341" s="5">
        <v>10284.0254</v>
      </c>
      <c r="AK341">
        <v>9551.3801000000003</v>
      </c>
      <c r="AL341" s="5" t="str">
        <f t="shared" si="12"/>
        <v>Гаринский городской округ</v>
      </c>
    </row>
    <row r="342" spans="1:38" ht="15" customHeight="1" x14ac:dyDescent="0.25">
      <c r="A342" s="3" t="s">
        <v>590</v>
      </c>
      <c r="B342" s="3" t="s">
        <v>14</v>
      </c>
      <c r="C342" s="5">
        <v>93989.912800000006</v>
      </c>
      <c r="D342" s="5">
        <v>93989.912800000006</v>
      </c>
      <c r="E342" s="5">
        <v>85109.545199999993</v>
      </c>
      <c r="F342" t="s">
        <v>7249</v>
      </c>
      <c r="G342" s="5" t="str">
        <f t="shared" si="11"/>
        <v>Центр</v>
      </c>
      <c r="J342" s="5"/>
      <c r="AF342" t="s">
        <v>7172</v>
      </c>
      <c r="AG342" s="24" t="s">
        <v>5576</v>
      </c>
      <c r="AH342" s="5" t="s">
        <v>7172</v>
      </c>
      <c r="AI342" s="5">
        <v>10284.0254</v>
      </c>
      <c r="AJ342" s="5">
        <v>10284.0254</v>
      </c>
      <c r="AK342">
        <v>9551.3801000000003</v>
      </c>
      <c r="AL342" s="5" t="str">
        <f t="shared" si="12"/>
        <v>Гаринский городской округ</v>
      </c>
    </row>
    <row r="343" spans="1:38" ht="15" customHeight="1" x14ac:dyDescent="0.25">
      <c r="A343" s="3" t="s">
        <v>592</v>
      </c>
      <c r="B343" s="3" t="s">
        <v>1628</v>
      </c>
      <c r="C343" s="5">
        <v>70734.0236</v>
      </c>
      <c r="D343" s="5">
        <v>70734.0236</v>
      </c>
      <c r="E343" s="5">
        <v>64050.9208</v>
      </c>
      <c r="F343" t="s">
        <v>7249</v>
      </c>
      <c r="G343" s="5" t="str">
        <f t="shared" si="11"/>
        <v>ЭЛЬМАШ</v>
      </c>
      <c r="J343" s="5"/>
      <c r="AF343" t="s">
        <v>7172</v>
      </c>
      <c r="AG343" s="24" t="s">
        <v>5577</v>
      </c>
      <c r="AH343" s="5" t="s">
        <v>7172</v>
      </c>
      <c r="AI343" s="5">
        <v>10284.0254</v>
      </c>
      <c r="AJ343" s="5">
        <v>10284.0254</v>
      </c>
      <c r="AK343">
        <v>9551.3801000000003</v>
      </c>
      <c r="AL343" s="5" t="str">
        <f t="shared" si="12"/>
        <v>Гаринский городской округ</v>
      </c>
    </row>
    <row r="344" spans="1:38" ht="15" customHeight="1" x14ac:dyDescent="0.25">
      <c r="A344" s="3" t="s">
        <v>593</v>
      </c>
      <c r="B344" s="3" t="s">
        <v>1643</v>
      </c>
      <c r="C344" s="5">
        <v>76630.280299999999</v>
      </c>
      <c r="D344" s="5">
        <v>76630.280299999999</v>
      </c>
      <c r="E344" s="5">
        <v>69390.088799999998</v>
      </c>
      <c r="F344" t="s">
        <v>7249</v>
      </c>
      <c r="G344" s="5" t="str">
        <f t="shared" si="11"/>
        <v>Ю-З</v>
      </c>
      <c r="J344" s="5"/>
      <c r="AF344" t="s">
        <v>7172</v>
      </c>
      <c r="AG344" s="24" t="s">
        <v>5578</v>
      </c>
      <c r="AH344" s="5" t="s">
        <v>7172</v>
      </c>
      <c r="AI344" s="5">
        <v>10284.0254</v>
      </c>
      <c r="AJ344" s="5">
        <v>10284.0254</v>
      </c>
      <c r="AK344">
        <v>9551.3801000000003</v>
      </c>
      <c r="AL344" s="5" t="str">
        <f t="shared" si="12"/>
        <v>Гаринский городской округ</v>
      </c>
    </row>
    <row r="345" spans="1:38" ht="15" customHeight="1" x14ac:dyDescent="0.25">
      <c r="A345" s="3" t="s">
        <v>594</v>
      </c>
      <c r="B345" s="3" t="s">
        <v>1643</v>
      </c>
      <c r="C345" s="5">
        <v>76630.280299999999</v>
      </c>
      <c r="D345" s="5">
        <v>76630.280299999999</v>
      </c>
      <c r="E345" s="5">
        <v>69390.088799999998</v>
      </c>
      <c r="F345" t="s">
        <v>7249</v>
      </c>
      <c r="G345" s="5" t="str">
        <f t="shared" si="11"/>
        <v>Ю-З</v>
      </c>
      <c r="J345" s="5"/>
      <c r="AF345" t="s">
        <v>7172</v>
      </c>
      <c r="AG345" s="24" t="s">
        <v>5579</v>
      </c>
      <c r="AH345" s="5" t="s">
        <v>7172</v>
      </c>
      <c r="AI345" s="5">
        <v>10284.0254</v>
      </c>
      <c r="AJ345" s="5">
        <v>10284.0254</v>
      </c>
      <c r="AK345">
        <v>9551.3801000000003</v>
      </c>
      <c r="AL345" s="5" t="str">
        <f t="shared" si="12"/>
        <v>Гаринский городской округ</v>
      </c>
    </row>
    <row r="346" spans="1:38" ht="15" customHeight="1" x14ac:dyDescent="0.25">
      <c r="A346" s="3" t="s">
        <v>595</v>
      </c>
      <c r="B346" s="3" t="s">
        <v>1629</v>
      </c>
      <c r="C346" s="5">
        <v>77743.704100000003</v>
      </c>
      <c r="D346" s="5">
        <v>77743.704100000003</v>
      </c>
      <c r="E346" s="5">
        <v>70398.310800000007</v>
      </c>
      <c r="F346" t="s">
        <v>7249</v>
      </c>
      <c r="G346" s="5" t="str">
        <f t="shared" si="11"/>
        <v>ПИОНЕРСКИЙ</v>
      </c>
      <c r="J346" s="5"/>
      <c r="AF346" t="s">
        <v>7172</v>
      </c>
      <c r="AG346" s="24" t="s">
        <v>5580</v>
      </c>
      <c r="AH346" s="5" t="s">
        <v>7172</v>
      </c>
      <c r="AI346" s="5">
        <v>10284.0254</v>
      </c>
      <c r="AJ346" s="5">
        <v>10284.0254</v>
      </c>
      <c r="AK346">
        <v>9551.3801000000003</v>
      </c>
      <c r="AL346" s="5" t="str">
        <f t="shared" si="12"/>
        <v>Гаринский городской округ</v>
      </c>
    </row>
    <row r="347" spans="1:38" ht="15" customHeight="1" x14ac:dyDescent="0.25">
      <c r="A347" s="3" t="s">
        <v>596</v>
      </c>
      <c r="B347" s="3" t="s">
        <v>1633</v>
      </c>
      <c r="C347" s="5">
        <v>77071.442599999995</v>
      </c>
      <c r="D347" s="5">
        <v>77071.442599999995</v>
      </c>
      <c r="E347" s="5">
        <v>69789.570900000006</v>
      </c>
      <c r="F347" t="s">
        <v>7249</v>
      </c>
      <c r="G347" s="5" t="str">
        <f t="shared" si="11"/>
        <v>ВТУЗГОРОДОК</v>
      </c>
      <c r="J347" s="5"/>
      <c r="AF347" t="s">
        <v>7172</v>
      </c>
      <c r="AG347" s="24" t="s">
        <v>5581</v>
      </c>
      <c r="AH347" s="5" t="s">
        <v>7172</v>
      </c>
      <c r="AI347" s="5">
        <v>10284.0254</v>
      </c>
      <c r="AJ347" s="5">
        <v>10284.0254</v>
      </c>
      <c r="AK347">
        <v>9551.3801000000003</v>
      </c>
      <c r="AL347" s="5" t="str">
        <f t="shared" si="12"/>
        <v>Гаринский городской округ</v>
      </c>
    </row>
    <row r="348" spans="1:38" ht="15" customHeight="1" x14ac:dyDescent="0.25">
      <c r="A348" s="3" t="s">
        <v>597</v>
      </c>
      <c r="B348" s="3" t="s">
        <v>1650</v>
      </c>
      <c r="C348" s="5">
        <v>37590.3603</v>
      </c>
      <c r="D348" s="5">
        <v>37590.3603</v>
      </c>
      <c r="E348" s="5">
        <v>34038.745900000002</v>
      </c>
      <c r="F348" t="s">
        <v>7249</v>
      </c>
      <c r="G348" s="5" t="str">
        <f t="shared" si="11"/>
        <v>ШАБРОВСКИЙ</v>
      </c>
      <c r="J348" s="5"/>
      <c r="AF348" t="s">
        <v>7172</v>
      </c>
      <c r="AG348" s="24" t="s">
        <v>5582</v>
      </c>
      <c r="AH348" s="5" t="s">
        <v>7172</v>
      </c>
      <c r="AI348" s="5">
        <v>10284.0254</v>
      </c>
      <c r="AJ348" s="5">
        <v>10284.0254</v>
      </c>
      <c r="AK348">
        <v>9551.3801000000003</v>
      </c>
      <c r="AL348" s="5" t="str">
        <f t="shared" si="12"/>
        <v>Гаринский городской округ</v>
      </c>
    </row>
    <row r="349" spans="1:38" ht="15" customHeight="1" x14ac:dyDescent="0.25">
      <c r="A349" s="3" t="s">
        <v>603</v>
      </c>
      <c r="B349" s="3" t="s">
        <v>1632</v>
      </c>
      <c r="C349" s="5">
        <v>83744.997499999998</v>
      </c>
      <c r="D349" s="5">
        <v>83744.997499999998</v>
      </c>
      <c r="E349" s="5">
        <v>75832.596099999995</v>
      </c>
      <c r="F349" t="s">
        <v>7249</v>
      </c>
      <c r="G349" s="5" t="str">
        <f t="shared" si="11"/>
        <v>АВТОВОКЗАЛ</v>
      </c>
      <c r="J349" s="5"/>
      <c r="AF349" t="s">
        <v>7172</v>
      </c>
      <c r="AG349" s="24" t="s">
        <v>5583</v>
      </c>
      <c r="AH349" s="5" t="s">
        <v>7172</v>
      </c>
      <c r="AI349" s="5">
        <v>10284.0254</v>
      </c>
      <c r="AJ349" s="5">
        <v>10284.0254</v>
      </c>
      <c r="AK349">
        <v>9551.3801000000003</v>
      </c>
      <c r="AL349" s="5" t="str">
        <f t="shared" si="12"/>
        <v>Гаринский городской округ</v>
      </c>
    </row>
    <row r="350" spans="1:38" ht="15" customHeight="1" x14ac:dyDescent="0.25">
      <c r="A350" s="3" t="s">
        <v>604</v>
      </c>
      <c r="B350" s="3" t="s">
        <v>1654</v>
      </c>
      <c r="C350" s="5">
        <v>56140.449699999997</v>
      </c>
      <c r="D350" s="5">
        <v>56140.449699999997</v>
      </c>
      <c r="E350" s="5">
        <v>50836.1803</v>
      </c>
      <c r="F350" t="s">
        <v>7249</v>
      </c>
      <c r="G350" s="5" t="str">
        <f t="shared" si="11"/>
        <v>ЗАВОКЗАЛЬНЫЙ</v>
      </c>
      <c r="J350" s="5"/>
      <c r="AF350" t="s">
        <v>7172</v>
      </c>
      <c r="AG350" s="24" t="s">
        <v>5584</v>
      </c>
      <c r="AH350" s="5" t="s">
        <v>7172</v>
      </c>
      <c r="AI350" s="5">
        <v>10284.0254</v>
      </c>
      <c r="AJ350" s="5">
        <v>10284.0254</v>
      </c>
      <c r="AK350">
        <v>9551.3801000000003</v>
      </c>
      <c r="AL350" s="5" t="str">
        <f t="shared" si="12"/>
        <v>Гаринский городской округ</v>
      </c>
    </row>
    <row r="351" spans="1:38" ht="15" customHeight="1" x14ac:dyDescent="0.25">
      <c r="A351" s="3" t="s">
        <v>607</v>
      </c>
      <c r="B351" s="3" t="s">
        <v>33</v>
      </c>
      <c r="C351" s="5">
        <v>84298.205100000006</v>
      </c>
      <c r="D351" s="5">
        <v>84298.205100000006</v>
      </c>
      <c r="E351" s="5">
        <v>76333.533100000001</v>
      </c>
      <c r="F351" t="s">
        <v>7249</v>
      </c>
      <c r="G351" s="5" t="str">
        <f t="shared" si="11"/>
        <v>ВИЗ</v>
      </c>
      <c r="J351" s="5"/>
      <c r="AF351" t="s">
        <v>7172</v>
      </c>
      <c r="AG351" s="24" t="s">
        <v>5585</v>
      </c>
      <c r="AH351" s="5" t="s">
        <v>7172</v>
      </c>
      <c r="AI351" s="5">
        <v>10284.0254</v>
      </c>
      <c r="AJ351" s="5">
        <v>10284.0254</v>
      </c>
      <c r="AK351">
        <v>9551.3801000000003</v>
      </c>
      <c r="AL351" s="5" t="str">
        <f t="shared" si="12"/>
        <v>Гаринский городской округ</v>
      </c>
    </row>
    <row r="352" spans="1:38" ht="15" customHeight="1" x14ac:dyDescent="0.25">
      <c r="A352" s="3" t="s">
        <v>608</v>
      </c>
      <c r="B352" s="3" t="s">
        <v>14</v>
      </c>
      <c r="C352" s="5">
        <v>93989.912800000006</v>
      </c>
      <c r="D352" s="5">
        <v>93989.912800000006</v>
      </c>
      <c r="E352" s="5">
        <v>85109.545199999993</v>
      </c>
      <c r="F352" t="s">
        <v>7249</v>
      </c>
      <c r="G352" s="5" t="str">
        <f t="shared" si="11"/>
        <v>Центр</v>
      </c>
      <c r="J352" s="5"/>
      <c r="AF352" t="s">
        <v>7172</v>
      </c>
      <c r="AG352" s="24" t="s">
        <v>5586</v>
      </c>
      <c r="AH352" s="5" t="s">
        <v>7172</v>
      </c>
      <c r="AI352" s="5">
        <v>10284.0254</v>
      </c>
      <c r="AJ352" s="5">
        <v>10284.0254</v>
      </c>
      <c r="AK352">
        <v>9551.3801000000003</v>
      </c>
      <c r="AL352" s="5" t="str">
        <f t="shared" si="12"/>
        <v>Гаринский городской округ</v>
      </c>
    </row>
    <row r="353" spans="1:38" ht="15" customHeight="1" x14ac:dyDescent="0.25">
      <c r="A353" s="3" t="s">
        <v>610</v>
      </c>
      <c r="B353" s="3" t="s">
        <v>1628</v>
      </c>
      <c r="C353" s="5">
        <v>70734.0236</v>
      </c>
      <c r="D353" s="5">
        <v>70734.0236</v>
      </c>
      <c r="E353" s="5">
        <v>64050.9208</v>
      </c>
      <c r="F353" t="s">
        <v>7249</v>
      </c>
      <c r="G353" s="5" t="str">
        <f t="shared" si="11"/>
        <v>ЭЛЬМАШ</v>
      </c>
      <c r="J353" s="5"/>
      <c r="AF353" t="s">
        <v>7172</v>
      </c>
      <c r="AG353" s="24" t="s">
        <v>5587</v>
      </c>
      <c r="AH353" s="5" t="s">
        <v>7172</v>
      </c>
      <c r="AI353" s="5">
        <v>10284.0254</v>
      </c>
      <c r="AJ353" s="5">
        <v>10284.0254</v>
      </c>
      <c r="AK353">
        <v>9551.3801000000003</v>
      </c>
      <c r="AL353" s="5" t="str">
        <f t="shared" si="12"/>
        <v>Гаринский городской округ</v>
      </c>
    </row>
    <row r="354" spans="1:38" ht="15" customHeight="1" x14ac:dyDescent="0.25">
      <c r="A354" s="3" t="s">
        <v>611</v>
      </c>
      <c r="B354" s="3" t="s">
        <v>1638</v>
      </c>
      <c r="C354" s="5">
        <v>63640.311600000001</v>
      </c>
      <c r="D354" s="5">
        <v>63640.311600000001</v>
      </c>
      <c r="E354" s="5">
        <v>57627.4473</v>
      </c>
      <c r="F354" t="s">
        <v>7249</v>
      </c>
      <c r="G354" s="5" t="str">
        <f t="shared" si="11"/>
        <v>УКТУС</v>
      </c>
      <c r="J354" s="5"/>
      <c r="AF354" t="s">
        <v>7172</v>
      </c>
      <c r="AG354" s="24" t="s">
        <v>5588</v>
      </c>
      <c r="AH354" s="5" t="s">
        <v>7172</v>
      </c>
      <c r="AI354" s="5">
        <v>10284.0254</v>
      </c>
      <c r="AJ354" s="5">
        <v>10284.0254</v>
      </c>
      <c r="AK354">
        <v>9551.3801000000003</v>
      </c>
      <c r="AL354" s="5" t="str">
        <f t="shared" si="12"/>
        <v>Гаринский городской округ</v>
      </c>
    </row>
    <row r="355" spans="1:38" ht="15" customHeight="1" x14ac:dyDescent="0.25">
      <c r="A355" s="3" t="s">
        <v>612</v>
      </c>
      <c r="B355" s="3" t="s">
        <v>1644</v>
      </c>
      <c r="C355" s="5">
        <v>61980.678599999999</v>
      </c>
      <c r="D355" s="5">
        <v>61980.678599999999</v>
      </c>
      <c r="E355" s="5">
        <v>56124.615700000002</v>
      </c>
      <c r="F355" t="s">
        <v>7249</v>
      </c>
      <c r="G355" s="5" t="str">
        <f t="shared" si="11"/>
        <v>ХИММАШ</v>
      </c>
      <c r="J355" s="5"/>
      <c r="AF355" t="s">
        <v>7172</v>
      </c>
      <c r="AG355" s="24" t="s">
        <v>5589</v>
      </c>
      <c r="AH355" s="5" t="s">
        <v>7172</v>
      </c>
      <c r="AI355" s="5">
        <v>10284.0254</v>
      </c>
      <c r="AJ355" s="5">
        <v>10284.0254</v>
      </c>
      <c r="AK355">
        <v>9551.3801000000003</v>
      </c>
      <c r="AL355" s="5" t="str">
        <f t="shared" si="12"/>
        <v>Гаринский городской округ</v>
      </c>
    </row>
    <row r="356" spans="1:38" ht="15" customHeight="1" x14ac:dyDescent="0.25">
      <c r="A356" s="3" t="s">
        <v>614</v>
      </c>
      <c r="B356" s="3" t="s">
        <v>14</v>
      </c>
      <c r="C356" s="5">
        <v>93989.912800000006</v>
      </c>
      <c r="D356" s="5">
        <v>93989.912800000006</v>
      </c>
      <c r="E356" s="5">
        <v>85109.545199999993</v>
      </c>
      <c r="F356" t="s">
        <v>7249</v>
      </c>
      <c r="G356" s="5" t="str">
        <f t="shared" si="11"/>
        <v>Центр</v>
      </c>
      <c r="J356" s="5"/>
      <c r="AF356" t="s">
        <v>7172</v>
      </c>
      <c r="AG356" s="24" t="s">
        <v>5590</v>
      </c>
      <c r="AH356" s="5" t="s">
        <v>7172</v>
      </c>
      <c r="AI356" s="5">
        <v>10284.0254</v>
      </c>
      <c r="AJ356" s="5">
        <v>10284.0254</v>
      </c>
      <c r="AK356">
        <v>9551.3801000000003</v>
      </c>
      <c r="AL356" s="5" t="str">
        <f t="shared" si="12"/>
        <v>Гаринский городской округ</v>
      </c>
    </row>
    <row r="357" spans="1:38" ht="15" customHeight="1" x14ac:dyDescent="0.25">
      <c r="A357" s="3" t="s">
        <v>615</v>
      </c>
      <c r="B357" s="3" t="s">
        <v>1638</v>
      </c>
      <c r="C357" s="5">
        <v>63640.311600000001</v>
      </c>
      <c r="D357" s="5">
        <v>63640.311600000001</v>
      </c>
      <c r="E357" s="5">
        <v>57627.4473</v>
      </c>
      <c r="F357" t="s">
        <v>7249</v>
      </c>
      <c r="G357" s="5" t="str">
        <f t="shared" si="11"/>
        <v>УКТУС</v>
      </c>
      <c r="J357" s="5"/>
      <c r="AF357" t="s">
        <v>7172</v>
      </c>
      <c r="AG357" s="24" t="s">
        <v>5591</v>
      </c>
      <c r="AH357" s="5" t="s">
        <v>7172</v>
      </c>
      <c r="AI357" s="5">
        <v>10284.0254</v>
      </c>
      <c r="AJ357" s="5">
        <v>10284.0254</v>
      </c>
      <c r="AK357">
        <v>9551.3801000000003</v>
      </c>
      <c r="AL357" s="5" t="str">
        <f t="shared" si="12"/>
        <v>Гаринский городской округ</v>
      </c>
    </row>
    <row r="358" spans="1:38" ht="15" customHeight="1" x14ac:dyDescent="0.25">
      <c r="A358" s="3" t="s">
        <v>616</v>
      </c>
      <c r="B358" s="3" t="s">
        <v>1632</v>
      </c>
      <c r="C358" s="5">
        <v>83744.997499999998</v>
      </c>
      <c r="D358" s="5">
        <v>83744.997499999998</v>
      </c>
      <c r="E358" s="5">
        <v>75832.596099999995</v>
      </c>
      <c r="F358" t="s">
        <v>7249</v>
      </c>
      <c r="G358" s="5" t="str">
        <f t="shared" si="11"/>
        <v>АВТОВОКЗАЛ</v>
      </c>
      <c r="J358" s="5"/>
      <c r="AF358" t="s">
        <v>7172</v>
      </c>
      <c r="AG358" s="24" t="s">
        <v>5592</v>
      </c>
      <c r="AH358" s="5" t="s">
        <v>7172</v>
      </c>
      <c r="AI358" s="5">
        <v>10284.0254</v>
      </c>
      <c r="AJ358" s="5">
        <v>10284.0254</v>
      </c>
      <c r="AK358">
        <v>9551.3801000000003</v>
      </c>
      <c r="AL358" s="5" t="str">
        <f t="shared" si="12"/>
        <v>Гаринский городской округ</v>
      </c>
    </row>
    <row r="359" spans="1:38" ht="15" customHeight="1" x14ac:dyDescent="0.25">
      <c r="A359" s="3" t="s">
        <v>617</v>
      </c>
      <c r="B359" s="3" t="s">
        <v>1643</v>
      </c>
      <c r="C359" s="5">
        <v>76630.280299999999</v>
      </c>
      <c r="D359" s="5">
        <v>76630.280299999999</v>
      </c>
      <c r="E359" s="5">
        <v>69390.088799999998</v>
      </c>
      <c r="F359" t="s">
        <v>7249</v>
      </c>
      <c r="G359" s="5" t="str">
        <f t="shared" si="11"/>
        <v>Ю-З</v>
      </c>
      <c r="J359" s="5"/>
      <c r="AF359" t="s">
        <v>7172</v>
      </c>
      <c r="AG359" s="24" t="s">
        <v>5593</v>
      </c>
      <c r="AH359" s="5" t="s">
        <v>7172</v>
      </c>
      <c r="AI359" s="5">
        <v>10284.0254</v>
      </c>
      <c r="AJ359" s="5">
        <v>10284.0254</v>
      </c>
      <c r="AK359">
        <v>9551.3801000000003</v>
      </c>
      <c r="AL359" s="5" t="str">
        <f t="shared" si="12"/>
        <v>Гаринский городской округ</v>
      </c>
    </row>
    <row r="360" spans="1:38" ht="15" customHeight="1" x14ac:dyDescent="0.25">
      <c r="A360" s="3" t="s">
        <v>622</v>
      </c>
      <c r="B360" s="3" t="s">
        <v>1642</v>
      </c>
      <c r="C360" s="5">
        <v>81392.097599999994</v>
      </c>
      <c r="D360" s="5">
        <v>81392.097599999994</v>
      </c>
      <c r="E360" s="5">
        <v>73702.001099999994</v>
      </c>
      <c r="F360" t="s">
        <v>7249</v>
      </c>
      <c r="G360" s="5" t="str">
        <f t="shared" si="11"/>
        <v>ПАРКОВЫЙ</v>
      </c>
      <c r="J360" s="5"/>
      <c r="AF360" t="s">
        <v>7172</v>
      </c>
      <c r="AG360" s="24" t="s">
        <v>5594</v>
      </c>
      <c r="AH360" s="5" t="s">
        <v>7172</v>
      </c>
      <c r="AI360" s="5">
        <v>10284.0254</v>
      </c>
      <c r="AJ360" s="5">
        <v>10284.0254</v>
      </c>
      <c r="AK360">
        <v>9551.3801000000003</v>
      </c>
      <c r="AL360" s="5" t="str">
        <f t="shared" si="12"/>
        <v>Гаринский городской округ</v>
      </c>
    </row>
    <row r="361" spans="1:38" ht="15" customHeight="1" x14ac:dyDescent="0.25">
      <c r="A361" s="3" t="s">
        <v>623</v>
      </c>
      <c r="B361" s="3" t="s">
        <v>1659</v>
      </c>
      <c r="C361" s="5">
        <v>59746.832600000002</v>
      </c>
      <c r="D361" s="5">
        <v>59746.832600000002</v>
      </c>
      <c r="E361" s="5">
        <v>54101.823700000001</v>
      </c>
      <c r="F361" t="s">
        <v>7249</v>
      </c>
      <c r="G361" s="5" t="str">
        <f t="shared" si="11"/>
        <v>СОВХОЗ</v>
      </c>
      <c r="J361" s="5"/>
      <c r="AF361" t="s">
        <v>7172</v>
      </c>
      <c r="AG361" s="24" t="s">
        <v>5595</v>
      </c>
      <c r="AH361" s="5" t="s">
        <v>7172</v>
      </c>
      <c r="AI361" s="5">
        <v>10284.0254</v>
      </c>
      <c r="AJ361" s="5">
        <v>10284.0254</v>
      </c>
      <c r="AK361">
        <v>9551.3801000000003</v>
      </c>
      <c r="AL361" s="5" t="str">
        <f t="shared" si="12"/>
        <v>Гаринский городской округ</v>
      </c>
    </row>
    <row r="362" spans="1:38" ht="15" customHeight="1" x14ac:dyDescent="0.25">
      <c r="A362" s="3" t="s">
        <v>624</v>
      </c>
      <c r="B362" s="3" t="s">
        <v>1635</v>
      </c>
      <c r="C362" s="5">
        <v>57793.0844</v>
      </c>
      <c r="D362" s="5">
        <v>57793.0844</v>
      </c>
      <c r="E362" s="5">
        <v>52332.6639</v>
      </c>
      <c r="F362" t="s">
        <v>7249</v>
      </c>
      <c r="G362" s="5" t="str">
        <f t="shared" si="11"/>
        <v>ЛЕЧЕБНЫЙ</v>
      </c>
      <c r="J362" s="5"/>
      <c r="AF362" t="s">
        <v>7173</v>
      </c>
      <c r="AG362" s="24" t="s">
        <v>5596</v>
      </c>
      <c r="AH362" s="5" t="s">
        <v>7173</v>
      </c>
      <c r="AI362" s="5">
        <v>19918.363399999998</v>
      </c>
      <c r="AJ362" s="5">
        <v>19918.363399999998</v>
      </c>
      <c r="AK362">
        <v>18499.367099999999</v>
      </c>
      <c r="AL362" s="5" t="str">
        <f t="shared" si="12"/>
        <v>Горноуральский городской округ</v>
      </c>
    </row>
    <row r="363" spans="1:38" ht="15" customHeight="1" x14ac:dyDescent="0.25">
      <c r="A363" s="3" t="s">
        <v>626</v>
      </c>
      <c r="B363" s="3" t="s">
        <v>1663</v>
      </c>
      <c r="C363" s="5">
        <v>44242.899599999997</v>
      </c>
      <c r="D363" s="5">
        <v>44242.899599999997</v>
      </c>
      <c r="E363" s="5">
        <v>40062.737300000001</v>
      </c>
      <c r="F363" t="s">
        <v>7249</v>
      </c>
      <c r="G363" s="5" t="str">
        <f t="shared" si="11"/>
        <v>ШУВАКИШ</v>
      </c>
      <c r="J363" s="5"/>
      <c r="AF363" t="s">
        <v>7173</v>
      </c>
      <c r="AG363" s="24" t="s">
        <v>5597</v>
      </c>
      <c r="AH363" s="5" t="s">
        <v>7173</v>
      </c>
      <c r="AI363" s="5">
        <v>19918.363399999998</v>
      </c>
      <c r="AJ363" s="5">
        <v>19918.363399999998</v>
      </c>
      <c r="AK363">
        <v>18499.367099999999</v>
      </c>
      <c r="AL363" s="5" t="str">
        <f t="shared" si="12"/>
        <v>Горноуральский городской округ</v>
      </c>
    </row>
    <row r="364" spans="1:38" ht="15" customHeight="1" x14ac:dyDescent="0.25">
      <c r="A364" s="3" t="s">
        <v>627</v>
      </c>
      <c r="B364" s="3" t="s">
        <v>14</v>
      </c>
      <c r="C364" s="5">
        <v>93989.912800000006</v>
      </c>
      <c r="D364" s="5">
        <v>93989.912800000006</v>
      </c>
      <c r="E364" s="5">
        <v>85109.545199999993</v>
      </c>
      <c r="F364" t="s">
        <v>7249</v>
      </c>
      <c r="G364" s="5" t="str">
        <f t="shared" si="11"/>
        <v>Центр</v>
      </c>
      <c r="J364" s="5"/>
      <c r="AF364" t="s">
        <v>7173</v>
      </c>
      <c r="AG364" s="24" t="s">
        <v>5598</v>
      </c>
      <c r="AH364" s="5" t="s">
        <v>7173</v>
      </c>
      <c r="AI364" s="5">
        <v>19918.363399999998</v>
      </c>
      <c r="AJ364" s="5">
        <v>19918.363399999998</v>
      </c>
      <c r="AK364">
        <v>18499.367099999999</v>
      </c>
      <c r="AL364" s="5" t="str">
        <f t="shared" si="12"/>
        <v>Горноуральский городской округ</v>
      </c>
    </row>
    <row r="365" spans="1:38" ht="15" customHeight="1" x14ac:dyDescent="0.25">
      <c r="A365" s="3" t="s">
        <v>628</v>
      </c>
      <c r="B365" s="3" t="s">
        <v>1628</v>
      </c>
      <c r="C365" s="5">
        <v>70734.0236</v>
      </c>
      <c r="D365" s="5">
        <v>70734.0236</v>
      </c>
      <c r="E365" s="5">
        <v>64050.9208</v>
      </c>
      <c r="F365" t="s">
        <v>7249</v>
      </c>
      <c r="G365" s="5" t="str">
        <f t="shared" si="11"/>
        <v>ЭЛЬМАШ</v>
      </c>
      <c r="J365" s="5"/>
      <c r="AF365" t="s">
        <v>7173</v>
      </c>
      <c r="AG365" s="24" t="s">
        <v>5599</v>
      </c>
      <c r="AH365" s="5" t="s">
        <v>7173</v>
      </c>
      <c r="AI365" s="5">
        <v>19918.363399999998</v>
      </c>
      <c r="AJ365" s="5">
        <v>19918.363399999998</v>
      </c>
      <c r="AK365">
        <v>18499.367099999999</v>
      </c>
      <c r="AL365" s="5" t="str">
        <f t="shared" si="12"/>
        <v>Горноуральский городской округ</v>
      </c>
    </row>
    <row r="366" spans="1:38" ht="15" customHeight="1" x14ac:dyDescent="0.25">
      <c r="A366" s="3" t="s">
        <v>632</v>
      </c>
      <c r="B366" s="3" t="s">
        <v>14</v>
      </c>
      <c r="C366" s="5">
        <v>93989.912800000006</v>
      </c>
      <c r="D366" s="5">
        <v>93989.912800000006</v>
      </c>
      <c r="E366" s="5">
        <v>85109.545199999993</v>
      </c>
      <c r="F366" t="s">
        <v>7249</v>
      </c>
      <c r="G366" s="5" t="str">
        <f t="shared" si="11"/>
        <v>Центр</v>
      </c>
      <c r="J366" s="5"/>
      <c r="AF366" t="s">
        <v>7173</v>
      </c>
      <c r="AG366" s="24" t="s">
        <v>5600</v>
      </c>
      <c r="AH366" s="5" t="s">
        <v>7173</v>
      </c>
      <c r="AI366" s="5">
        <v>19918.363399999998</v>
      </c>
      <c r="AJ366" s="5">
        <v>19918.363399999998</v>
      </c>
      <c r="AK366">
        <v>18499.367099999999</v>
      </c>
      <c r="AL366" s="5" t="str">
        <f t="shared" si="12"/>
        <v>Горноуральский городской округ</v>
      </c>
    </row>
    <row r="367" spans="1:38" ht="15" customHeight="1" x14ac:dyDescent="0.25">
      <c r="A367" s="3" t="s">
        <v>633</v>
      </c>
      <c r="B367" s="3" t="s">
        <v>1628</v>
      </c>
      <c r="C367" s="5">
        <v>70734.0236</v>
      </c>
      <c r="D367" s="5">
        <v>70734.0236</v>
      </c>
      <c r="E367" s="5">
        <v>64050.9208</v>
      </c>
      <c r="F367" t="s">
        <v>7249</v>
      </c>
      <c r="G367" s="5" t="str">
        <f t="shared" si="11"/>
        <v>ЭЛЬМАШ</v>
      </c>
      <c r="J367" s="5"/>
      <c r="AF367" t="s">
        <v>7173</v>
      </c>
      <c r="AG367" s="24" t="s">
        <v>5601</v>
      </c>
      <c r="AH367" s="5" t="s">
        <v>7173</v>
      </c>
      <c r="AI367" s="5">
        <v>19918.363399999998</v>
      </c>
      <c r="AJ367" s="5">
        <v>19918.363399999998</v>
      </c>
      <c r="AK367">
        <v>18499.367099999999</v>
      </c>
      <c r="AL367" s="5" t="str">
        <f t="shared" si="12"/>
        <v>Горноуральский городской округ</v>
      </c>
    </row>
    <row r="368" spans="1:38" ht="15" customHeight="1" x14ac:dyDescent="0.25">
      <c r="A368" s="3" t="s">
        <v>634</v>
      </c>
      <c r="B368" s="3" t="s">
        <v>1628</v>
      </c>
      <c r="C368" s="5">
        <v>70734.0236</v>
      </c>
      <c r="D368" s="5">
        <v>70734.0236</v>
      </c>
      <c r="E368" s="5">
        <v>64050.9208</v>
      </c>
      <c r="F368" t="s">
        <v>7249</v>
      </c>
      <c r="G368" s="5" t="str">
        <f t="shared" si="11"/>
        <v>ЭЛЬМАШ</v>
      </c>
      <c r="J368" s="5"/>
      <c r="AF368" t="s">
        <v>7173</v>
      </c>
      <c r="AG368" s="24" t="s">
        <v>5602</v>
      </c>
      <c r="AH368" s="5" t="s">
        <v>7173</v>
      </c>
      <c r="AI368" s="5">
        <v>19918.363399999998</v>
      </c>
      <c r="AJ368" s="5">
        <v>19918.363399999998</v>
      </c>
      <c r="AK368">
        <v>18499.367099999999</v>
      </c>
      <c r="AL368" s="5" t="str">
        <f t="shared" si="12"/>
        <v>Горноуральский городской округ</v>
      </c>
    </row>
    <row r="369" spans="1:38" ht="15" customHeight="1" x14ac:dyDescent="0.25">
      <c r="A369" s="3" t="s">
        <v>635</v>
      </c>
      <c r="B369" s="3" t="s">
        <v>1644</v>
      </c>
      <c r="C369" s="5">
        <v>61980.678599999999</v>
      </c>
      <c r="D369" s="5">
        <v>61980.678599999999</v>
      </c>
      <c r="E369" s="5">
        <v>56124.615700000002</v>
      </c>
      <c r="F369" t="s">
        <v>7249</v>
      </c>
      <c r="G369" s="5" t="str">
        <f t="shared" si="11"/>
        <v>ХИММАШ</v>
      </c>
      <c r="J369" s="5"/>
      <c r="AF369" t="s">
        <v>7173</v>
      </c>
      <c r="AG369" s="24" t="s">
        <v>5603</v>
      </c>
      <c r="AH369" s="5" t="s">
        <v>7173</v>
      </c>
      <c r="AI369" s="5">
        <v>19918.363399999998</v>
      </c>
      <c r="AJ369" s="5">
        <v>19918.363399999998</v>
      </c>
      <c r="AK369">
        <v>18499.367099999999</v>
      </c>
      <c r="AL369" s="5" t="str">
        <f t="shared" si="12"/>
        <v>Горноуральский городской округ</v>
      </c>
    </row>
    <row r="370" spans="1:38" ht="15" customHeight="1" x14ac:dyDescent="0.25">
      <c r="A370" s="3" t="s">
        <v>636</v>
      </c>
      <c r="B370" s="3" t="s">
        <v>1633</v>
      </c>
      <c r="C370" s="5">
        <v>77071.442599999995</v>
      </c>
      <c r="D370" s="5">
        <v>77071.442599999995</v>
      </c>
      <c r="E370" s="5">
        <v>69789.570900000006</v>
      </c>
      <c r="F370" t="s">
        <v>7249</v>
      </c>
      <c r="G370" s="5" t="str">
        <f t="shared" si="11"/>
        <v>ВТУЗГОРОДОК</v>
      </c>
      <c r="J370" s="5"/>
      <c r="AF370" t="s">
        <v>7173</v>
      </c>
      <c r="AG370" s="24" t="s">
        <v>5604</v>
      </c>
      <c r="AH370" s="5" t="s">
        <v>7173</v>
      </c>
      <c r="AI370" s="5">
        <v>19918.363399999998</v>
      </c>
      <c r="AJ370" s="5">
        <v>19918.363399999998</v>
      </c>
      <c r="AK370">
        <v>18499.367099999999</v>
      </c>
      <c r="AL370" s="5" t="str">
        <f t="shared" si="12"/>
        <v>Горноуральский городской округ</v>
      </c>
    </row>
    <row r="371" spans="1:38" ht="15" customHeight="1" x14ac:dyDescent="0.25">
      <c r="A371" s="3" t="s">
        <v>637</v>
      </c>
      <c r="B371" s="3" t="s">
        <v>1629</v>
      </c>
      <c r="C371" s="5">
        <v>77743.704100000003</v>
      </c>
      <c r="D371" s="5">
        <v>77743.704100000003</v>
      </c>
      <c r="E371" s="5">
        <v>70398.310800000007</v>
      </c>
      <c r="F371" t="s">
        <v>7249</v>
      </c>
      <c r="G371" s="5" t="str">
        <f t="shared" si="11"/>
        <v>ПИОНЕРСКИЙ</v>
      </c>
      <c r="J371" s="5"/>
      <c r="AF371" t="s">
        <v>7173</v>
      </c>
      <c r="AG371" s="24" t="s">
        <v>5605</v>
      </c>
      <c r="AH371" s="5" t="s">
        <v>7173</v>
      </c>
      <c r="AI371" s="5">
        <v>19918.363399999998</v>
      </c>
      <c r="AJ371" s="5">
        <v>19918.363399999998</v>
      </c>
      <c r="AK371">
        <v>18499.367099999999</v>
      </c>
      <c r="AL371" s="5" t="str">
        <f t="shared" si="12"/>
        <v>Горноуральский городской округ</v>
      </c>
    </row>
    <row r="372" spans="1:38" ht="15" customHeight="1" x14ac:dyDescent="0.25">
      <c r="A372" s="3" t="s">
        <v>638</v>
      </c>
      <c r="B372" s="3" t="s">
        <v>1636</v>
      </c>
      <c r="C372" s="5">
        <v>52246.960299999999</v>
      </c>
      <c r="D372" s="5">
        <v>52246.960299999999</v>
      </c>
      <c r="E372" s="5">
        <v>47310.556700000001</v>
      </c>
      <c r="F372" t="s">
        <v>7249</v>
      </c>
      <c r="G372" s="5" t="str">
        <f t="shared" si="11"/>
        <v>ГОРНЫЙ ЩИТ</v>
      </c>
      <c r="J372" s="5"/>
      <c r="AF372" t="s">
        <v>7173</v>
      </c>
      <c r="AG372" s="24" t="s">
        <v>5606</v>
      </c>
      <c r="AH372" s="5" t="s">
        <v>7173</v>
      </c>
      <c r="AI372" s="5">
        <v>19918.363399999998</v>
      </c>
      <c r="AJ372" s="5">
        <v>19918.363399999998</v>
      </c>
      <c r="AK372">
        <v>18499.367099999999</v>
      </c>
      <c r="AL372" s="5" t="str">
        <f t="shared" si="12"/>
        <v>Горноуральский городской округ</v>
      </c>
    </row>
    <row r="373" spans="1:38" ht="15" customHeight="1" x14ac:dyDescent="0.25">
      <c r="A373" s="3" t="s">
        <v>648</v>
      </c>
      <c r="B373" s="3" t="s">
        <v>1664</v>
      </c>
      <c r="C373" s="5">
        <v>53668.506099999999</v>
      </c>
      <c r="D373" s="5">
        <v>53668.506099999999</v>
      </c>
      <c r="E373" s="5">
        <v>48597.792699999998</v>
      </c>
      <c r="F373" t="s">
        <v>7249</v>
      </c>
      <c r="G373" s="5" t="str">
        <f t="shared" si="11"/>
        <v>ИЗОПЛИТ</v>
      </c>
      <c r="J373" s="5"/>
      <c r="AF373" t="s">
        <v>7173</v>
      </c>
      <c r="AG373" s="24" t="s">
        <v>5607</v>
      </c>
      <c r="AH373" s="5" t="s">
        <v>7173</v>
      </c>
      <c r="AI373" s="5">
        <v>19918.363399999998</v>
      </c>
      <c r="AJ373" s="5">
        <v>19918.363399999998</v>
      </c>
      <c r="AK373">
        <v>18499.367099999999</v>
      </c>
      <c r="AL373" s="5" t="str">
        <f t="shared" si="12"/>
        <v>Горноуральский городской округ</v>
      </c>
    </row>
    <row r="374" spans="1:38" ht="15" customHeight="1" x14ac:dyDescent="0.25">
      <c r="A374" s="3" t="s">
        <v>653</v>
      </c>
      <c r="B374" s="3" t="s">
        <v>1628</v>
      </c>
      <c r="C374" s="5">
        <v>70734.0236</v>
      </c>
      <c r="D374" s="5">
        <v>70734.0236</v>
      </c>
      <c r="E374" s="5">
        <v>64050.9208</v>
      </c>
      <c r="F374" t="s">
        <v>7249</v>
      </c>
      <c r="G374" s="5" t="str">
        <f t="shared" si="11"/>
        <v>ЭЛЬМАШ</v>
      </c>
      <c r="J374" s="5"/>
      <c r="AF374" t="s">
        <v>7173</v>
      </c>
      <c r="AG374" s="24" t="s">
        <v>5608</v>
      </c>
      <c r="AH374" s="5" t="s">
        <v>7173</v>
      </c>
      <c r="AI374" s="5">
        <v>19918.363399999998</v>
      </c>
      <c r="AJ374" s="5">
        <v>19918.363399999998</v>
      </c>
      <c r="AK374">
        <v>18499.367099999999</v>
      </c>
      <c r="AL374" s="5" t="str">
        <f t="shared" si="12"/>
        <v>Горноуральский городской округ</v>
      </c>
    </row>
    <row r="375" spans="1:38" ht="15" customHeight="1" x14ac:dyDescent="0.25">
      <c r="A375" s="3" t="s">
        <v>654</v>
      </c>
      <c r="B375" s="3" t="s">
        <v>1650</v>
      </c>
      <c r="C375" s="5">
        <v>37590.3603</v>
      </c>
      <c r="D375" s="5">
        <v>37590.3603</v>
      </c>
      <c r="E375" s="5">
        <v>34038.745900000002</v>
      </c>
      <c r="F375" t="s">
        <v>7249</v>
      </c>
      <c r="G375" s="5" t="str">
        <f t="shared" si="11"/>
        <v>ШАБРОВСКИЙ</v>
      </c>
      <c r="J375" s="5"/>
      <c r="AF375" t="s">
        <v>7173</v>
      </c>
      <c r="AG375" s="24" t="s">
        <v>5609</v>
      </c>
      <c r="AH375" s="5" t="s">
        <v>7173</v>
      </c>
      <c r="AI375" s="5">
        <v>24609.598900000001</v>
      </c>
      <c r="AJ375" s="5">
        <v>24609.598900000001</v>
      </c>
      <c r="AK375">
        <v>22856.396799999999</v>
      </c>
      <c r="AL375" s="5" t="str">
        <f t="shared" si="12"/>
        <v>Горноуральский городской округ</v>
      </c>
    </row>
    <row r="376" spans="1:38" ht="15" customHeight="1" x14ac:dyDescent="0.25">
      <c r="A376" s="3" t="s">
        <v>655</v>
      </c>
      <c r="B376" s="3" t="s">
        <v>1650</v>
      </c>
      <c r="C376" s="5">
        <v>37590.3603</v>
      </c>
      <c r="D376" s="5">
        <v>37590.3603</v>
      </c>
      <c r="E376" s="5">
        <v>34038.745900000002</v>
      </c>
      <c r="F376" t="s">
        <v>7249</v>
      </c>
      <c r="G376" s="5" t="str">
        <f t="shared" si="11"/>
        <v>ШАБРОВСКИЙ</v>
      </c>
      <c r="J376" s="5"/>
      <c r="AF376" t="s">
        <v>7173</v>
      </c>
      <c r="AG376" s="24" t="s">
        <v>5610</v>
      </c>
      <c r="AH376" s="5" t="s">
        <v>7173</v>
      </c>
      <c r="AI376" s="5">
        <v>19918.363399999998</v>
      </c>
      <c r="AJ376" s="5">
        <v>19918.363399999998</v>
      </c>
      <c r="AK376">
        <v>18499.367099999999</v>
      </c>
      <c r="AL376" s="5" t="str">
        <f t="shared" si="12"/>
        <v>Горноуральский городской округ</v>
      </c>
    </row>
    <row r="377" spans="1:38" ht="15" customHeight="1" x14ac:dyDescent="0.25">
      <c r="A377" s="3" t="s">
        <v>656</v>
      </c>
      <c r="B377" s="3" t="s">
        <v>1665</v>
      </c>
      <c r="C377" s="5">
        <v>55692.278700000003</v>
      </c>
      <c r="D377" s="5">
        <v>55692.278700000003</v>
      </c>
      <c r="E377" s="5">
        <v>50430.350200000001</v>
      </c>
      <c r="F377" t="s">
        <v>7249</v>
      </c>
      <c r="G377" s="5" t="str">
        <f t="shared" si="11"/>
        <v>ПОЛЕВОДСТВО</v>
      </c>
      <c r="J377" s="5"/>
      <c r="AF377" t="s">
        <v>7173</v>
      </c>
      <c r="AG377" s="24" t="s">
        <v>5611</v>
      </c>
      <c r="AH377" s="5" t="s">
        <v>7173</v>
      </c>
      <c r="AI377" s="5">
        <v>19918.363399999998</v>
      </c>
      <c r="AJ377" s="5">
        <v>19918.363399999998</v>
      </c>
      <c r="AK377">
        <v>18499.367099999999</v>
      </c>
      <c r="AL377" s="5" t="str">
        <f t="shared" si="12"/>
        <v>Горноуральский городской округ</v>
      </c>
    </row>
    <row r="378" spans="1:38" ht="15" customHeight="1" x14ac:dyDescent="0.25">
      <c r="A378" s="3" t="s">
        <v>657</v>
      </c>
      <c r="B378" s="3" t="s">
        <v>1650</v>
      </c>
      <c r="C378" s="5">
        <v>37590.3603</v>
      </c>
      <c r="D378" s="5">
        <v>37590.3603</v>
      </c>
      <c r="E378" s="5">
        <v>34038.745900000002</v>
      </c>
      <c r="F378" t="s">
        <v>7249</v>
      </c>
      <c r="G378" s="5" t="str">
        <f t="shared" si="11"/>
        <v>ШАБРОВСКИЙ</v>
      </c>
      <c r="J378" s="5"/>
      <c r="AF378" t="s">
        <v>7173</v>
      </c>
      <c r="AG378" s="24" t="s">
        <v>5612</v>
      </c>
      <c r="AH378" s="5" t="s">
        <v>7173</v>
      </c>
      <c r="AI378" s="5">
        <v>19918.363399999998</v>
      </c>
      <c r="AJ378" s="5">
        <v>19918.363399999998</v>
      </c>
      <c r="AK378">
        <v>18499.367099999999</v>
      </c>
      <c r="AL378" s="5" t="str">
        <f t="shared" si="12"/>
        <v>Горноуральский городской округ</v>
      </c>
    </row>
    <row r="379" spans="1:38" ht="15" customHeight="1" x14ac:dyDescent="0.25">
      <c r="A379" s="3" t="s">
        <v>658</v>
      </c>
      <c r="B379" s="3" t="s">
        <v>1650</v>
      </c>
      <c r="C379" s="5">
        <v>37590.3603</v>
      </c>
      <c r="D379" s="5">
        <v>37590.3603</v>
      </c>
      <c r="E379" s="5">
        <v>34038.745900000002</v>
      </c>
      <c r="F379" t="s">
        <v>7249</v>
      </c>
      <c r="G379" s="5" t="str">
        <f t="shared" si="11"/>
        <v>ШАБРОВСКИЙ</v>
      </c>
      <c r="J379" s="5"/>
      <c r="AF379" t="s">
        <v>7173</v>
      </c>
      <c r="AG379" s="24" t="s">
        <v>5613</v>
      </c>
      <c r="AH379" s="5" t="s">
        <v>7173</v>
      </c>
      <c r="AI379" s="5">
        <v>19918.363399999998</v>
      </c>
      <c r="AJ379" s="5">
        <v>19918.363399999998</v>
      </c>
      <c r="AK379">
        <v>18499.367099999999</v>
      </c>
      <c r="AL379" s="5" t="str">
        <f t="shared" si="12"/>
        <v>Горноуральский городской округ</v>
      </c>
    </row>
    <row r="380" spans="1:38" ht="15" customHeight="1" x14ac:dyDescent="0.25">
      <c r="A380" s="3" t="s">
        <v>663</v>
      </c>
      <c r="B380" s="3" t="s">
        <v>1640</v>
      </c>
      <c r="C380" s="5">
        <v>64914.8</v>
      </c>
      <c r="D380" s="5">
        <v>64914.8</v>
      </c>
      <c r="E380" s="5">
        <v>58781.519200000002</v>
      </c>
      <c r="F380" t="s">
        <v>7249</v>
      </c>
      <c r="G380" s="5" t="str">
        <f t="shared" si="11"/>
        <v>Новая сортировка</v>
      </c>
      <c r="J380" s="5"/>
      <c r="AF380" t="s">
        <v>7173</v>
      </c>
      <c r="AG380" s="24" t="s">
        <v>5614</v>
      </c>
      <c r="AH380" s="5" t="s">
        <v>7173</v>
      </c>
      <c r="AI380" s="5">
        <v>19918.363399999998</v>
      </c>
      <c r="AJ380" s="5">
        <v>19918.363399999998</v>
      </c>
      <c r="AK380">
        <v>18499.367099999999</v>
      </c>
      <c r="AL380" s="5" t="str">
        <f t="shared" si="12"/>
        <v>Горноуральский городской округ</v>
      </c>
    </row>
    <row r="381" spans="1:38" ht="15" customHeight="1" x14ac:dyDescent="0.25">
      <c r="A381" s="3" t="s">
        <v>665</v>
      </c>
      <c r="B381" s="3" t="s">
        <v>1628</v>
      </c>
      <c r="C381" s="5">
        <v>70734.0236</v>
      </c>
      <c r="D381" s="5">
        <v>70734.0236</v>
      </c>
      <c r="E381" s="5">
        <v>64050.9208</v>
      </c>
      <c r="F381" t="s">
        <v>7249</v>
      </c>
      <c r="G381" s="5" t="str">
        <f t="shared" si="11"/>
        <v>ЭЛЬМАШ</v>
      </c>
      <c r="J381" s="5"/>
      <c r="AF381" t="s">
        <v>7173</v>
      </c>
      <c r="AG381" s="24" t="s">
        <v>5615</v>
      </c>
      <c r="AH381" s="5" t="s">
        <v>7173</v>
      </c>
      <c r="AI381" s="5">
        <v>19918.363399999998</v>
      </c>
      <c r="AJ381" s="5">
        <v>19918.363399999998</v>
      </c>
      <c r="AK381">
        <v>18499.367099999999</v>
      </c>
      <c r="AL381" s="5" t="str">
        <f t="shared" si="12"/>
        <v>Горноуральский городской округ</v>
      </c>
    </row>
    <row r="382" spans="1:38" ht="15" customHeight="1" x14ac:dyDescent="0.25">
      <c r="A382" s="3" t="s">
        <v>666</v>
      </c>
      <c r="B382" s="3" t="s">
        <v>1638</v>
      </c>
      <c r="C382" s="5">
        <v>63640.311600000001</v>
      </c>
      <c r="D382" s="5">
        <v>63640.311600000001</v>
      </c>
      <c r="E382" s="5">
        <v>57627.4473</v>
      </c>
      <c r="F382" t="s">
        <v>7249</v>
      </c>
      <c r="G382" s="5" t="str">
        <f t="shared" si="11"/>
        <v>УКТУС</v>
      </c>
      <c r="J382" s="5"/>
      <c r="AF382" t="s">
        <v>7173</v>
      </c>
      <c r="AG382" s="24" t="s">
        <v>5616</v>
      </c>
      <c r="AH382" s="5" t="s">
        <v>7173</v>
      </c>
      <c r="AI382" s="5">
        <v>19918.363399999998</v>
      </c>
      <c r="AJ382" s="5">
        <v>19918.363399999998</v>
      </c>
      <c r="AK382">
        <v>18499.367099999999</v>
      </c>
      <c r="AL382" s="5" t="str">
        <f t="shared" si="12"/>
        <v>Горноуральский городской округ</v>
      </c>
    </row>
    <row r="383" spans="1:38" ht="15" customHeight="1" x14ac:dyDescent="0.25">
      <c r="A383" s="3" t="s">
        <v>667</v>
      </c>
      <c r="B383" s="3" t="s">
        <v>1629</v>
      </c>
      <c r="C383" s="5">
        <v>77743.704100000003</v>
      </c>
      <c r="D383" s="5">
        <v>77743.704100000003</v>
      </c>
      <c r="E383" s="5">
        <v>70398.310800000007</v>
      </c>
      <c r="F383" t="s">
        <v>7249</v>
      </c>
      <c r="G383" s="5" t="str">
        <f t="shared" si="11"/>
        <v>ПИОНЕРСКИЙ</v>
      </c>
      <c r="J383" s="5"/>
      <c r="AF383" t="s">
        <v>7173</v>
      </c>
      <c r="AG383" s="24" t="s">
        <v>5617</v>
      </c>
      <c r="AH383" s="5" t="s">
        <v>7173</v>
      </c>
      <c r="AI383" s="5">
        <v>19918.363399999998</v>
      </c>
      <c r="AJ383" s="5">
        <v>19918.363399999998</v>
      </c>
      <c r="AK383">
        <v>18499.367099999999</v>
      </c>
      <c r="AL383" s="5" t="str">
        <f t="shared" si="12"/>
        <v>Горноуральский городской округ</v>
      </c>
    </row>
    <row r="384" spans="1:38" ht="15" customHeight="1" x14ac:dyDescent="0.25">
      <c r="A384" s="3" t="s">
        <v>668</v>
      </c>
      <c r="B384" s="3" t="s">
        <v>1655</v>
      </c>
      <c r="C384" s="5">
        <v>79683.445300000007</v>
      </c>
      <c r="D384" s="5">
        <v>79683.445300000007</v>
      </c>
      <c r="E384" s="5">
        <v>72154.784899999999</v>
      </c>
      <c r="F384" t="s">
        <v>7249</v>
      </c>
      <c r="G384" s="5" t="str">
        <f t="shared" si="11"/>
        <v>Шарташский рынок</v>
      </c>
      <c r="J384" s="5"/>
      <c r="AF384" t="s">
        <v>7173</v>
      </c>
      <c r="AG384" s="24" t="s">
        <v>5618</v>
      </c>
      <c r="AH384" s="5" t="s">
        <v>7173</v>
      </c>
      <c r="AI384" s="5">
        <v>19918.363399999998</v>
      </c>
      <c r="AJ384" s="5">
        <v>19918.363399999998</v>
      </c>
      <c r="AK384">
        <v>18499.367099999999</v>
      </c>
      <c r="AL384" s="5" t="str">
        <f t="shared" si="12"/>
        <v>Горноуральский городской округ</v>
      </c>
    </row>
    <row r="385" spans="1:38" ht="15" customHeight="1" x14ac:dyDescent="0.25">
      <c r="A385" s="3" t="s">
        <v>669</v>
      </c>
      <c r="B385" s="3" t="s">
        <v>1632</v>
      </c>
      <c r="C385" s="5">
        <v>83744.997499999998</v>
      </c>
      <c r="D385" s="5">
        <v>83744.997499999998</v>
      </c>
      <c r="E385" s="5">
        <v>75832.596099999995</v>
      </c>
      <c r="F385" t="s">
        <v>7249</v>
      </c>
      <c r="G385" s="5" t="str">
        <f t="shared" si="11"/>
        <v>АВТОВОКЗАЛ</v>
      </c>
      <c r="J385" s="5"/>
      <c r="AF385" t="s">
        <v>7173</v>
      </c>
      <c r="AG385" s="24" t="s">
        <v>5619</v>
      </c>
      <c r="AH385" s="5" t="s">
        <v>7173</v>
      </c>
      <c r="AI385" s="5">
        <v>19918.363399999998</v>
      </c>
      <c r="AJ385" s="5">
        <v>19918.363399999998</v>
      </c>
      <c r="AK385">
        <v>18499.367099999999</v>
      </c>
      <c r="AL385" s="5" t="str">
        <f t="shared" si="12"/>
        <v>Горноуральский городской округ</v>
      </c>
    </row>
    <row r="386" spans="1:38" ht="15" customHeight="1" x14ac:dyDescent="0.25">
      <c r="A386" s="3" t="s">
        <v>672</v>
      </c>
      <c r="B386" s="3" t="s">
        <v>1639</v>
      </c>
      <c r="C386" s="5">
        <v>53500.443299999999</v>
      </c>
      <c r="D386" s="5">
        <v>53500.443299999999</v>
      </c>
      <c r="E386" s="5">
        <v>48445.605100000001</v>
      </c>
      <c r="F386" t="s">
        <v>7249</v>
      </c>
      <c r="G386" s="5" t="str">
        <f t="shared" si="11"/>
        <v>ИСТОК</v>
      </c>
      <c r="J386" s="5"/>
      <c r="AF386" t="s">
        <v>7173</v>
      </c>
      <c r="AG386" s="24" t="s">
        <v>5620</v>
      </c>
      <c r="AH386" s="5" t="s">
        <v>7173</v>
      </c>
      <c r="AI386" s="5">
        <v>19918.363399999998</v>
      </c>
      <c r="AJ386" s="5">
        <v>19918.363399999998</v>
      </c>
      <c r="AK386">
        <v>18499.367099999999</v>
      </c>
      <c r="AL386" s="5" t="str">
        <f t="shared" si="12"/>
        <v>Горноуральский городской округ</v>
      </c>
    </row>
    <row r="387" spans="1:38" ht="15" customHeight="1" x14ac:dyDescent="0.25">
      <c r="A387" s="3" t="s">
        <v>673</v>
      </c>
      <c r="B387" s="3" t="s">
        <v>1638</v>
      </c>
      <c r="C387" s="5">
        <v>63640.311600000001</v>
      </c>
      <c r="D387" s="5">
        <v>63640.311600000001</v>
      </c>
      <c r="E387" s="5">
        <v>57627.4473</v>
      </c>
      <c r="F387" t="s">
        <v>7249</v>
      </c>
      <c r="G387" s="5" t="str">
        <f t="shared" si="11"/>
        <v>УКТУС</v>
      </c>
      <c r="J387" s="5"/>
      <c r="AF387" t="s">
        <v>7173</v>
      </c>
      <c r="AG387" s="24" t="s">
        <v>5621</v>
      </c>
      <c r="AH387" s="5" t="s">
        <v>7173</v>
      </c>
      <c r="AI387" s="5">
        <v>19918.363399999998</v>
      </c>
      <c r="AJ387" s="5">
        <v>19918.363399999998</v>
      </c>
      <c r="AK387">
        <v>18499.367099999999</v>
      </c>
      <c r="AL387" s="5" t="str">
        <f t="shared" si="12"/>
        <v>Горноуральский городской округ</v>
      </c>
    </row>
    <row r="388" spans="1:38" ht="15" customHeight="1" x14ac:dyDescent="0.25">
      <c r="A388" s="3" t="s">
        <v>674</v>
      </c>
      <c r="B388" s="3" t="s">
        <v>1638</v>
      </c>
      <c r="C388" s="5">
        <v>63640.311600000001</v>
      </c>
      <c r="D388" s="5">
        <v>63640.311600000001</v>
      </c>
      <c r="E388" s="5">
        <v>57627.4473</v>
      </c>
      <c r="F388" t="s">
        <v>7249</v>
      </c>
      <c r="G388" s="5" t="str">
        <f t="shared" ref="G388:G451" si="13">B388</f>
        <v>УКТУС</v>
      </c>
      <c r="J388" s="5"/>
      <c r="AF388" t="s">
        <v>7173</v>
      </c>
      <c r="AG388" s="24" t="s">
        <v>5622</v>
      </c>
      <c r="AH388" s="5" t="s">
        <v>7173</v>
      </c>
      <c r="AI388" s="5">
        <v>19918.363399999998</v>
      </c>
      <c r="AJ388" s="5">
        <v>19918.363399999998</v>
      </c>
      <c r="AK388">
        <v>18499.367099999999</v>
      </c>
      <c r="AL388" s="5" t="str">
        <f t="shared" ref="AL388:AL451" si="14">AF388</f>
        <v>Горноуральский городской округ</v>
      </c>
    </row>
    <row r="389" spans="1:38" ht="15" customHeight="1" x14ac:dyDescent="0.25">
      <c r="A389" s="3" t="s">
        <v>675</v>
      </c>
      <c r="B389" s="3" t="s">
        <v>1657</v>
      </c>
      <c r="C389" s="5">
        <v>54886.9666</v>
      </c>
      <c r="D389" s="5">
        <v>54886.9666</v>
      </c>
      <c r="E389" s="5">
        <v>49701.1319</v>
      </c>
      <c r="F389" t="s">
        <v>7249</v>
      </c>
      <c r="G389" s="5" t="str">
        <f t="shared" si="13"/>
        <v>КОЛЬЦОВО</v>
      </c>
      <c r="J389" s="5"/>
      <c r="AF389" t="s">
        <v>7173</v>
      </c>
      <c r="AG389" s="24" t="s">
        <v>5623</v>
      </c>
      <c r="AH389" s="5" t="s">
        <v>7173</v>
      </c>
      <c r="AI389" s="5">
        <v>19918.363399999998</v>
      </c>
      <c r="AJ389" s="5">
        <v>19918.363399999998</v>
      </c>
      <c r="AK389">
        <v>18499.367099999999</v>
      </c>
      <c r="AL389" s="5" t="str">
        <f t="shared" si="14"/>
        <v>Горноуральский городской округ</v>
      </c>
    </row>
    <row r="390" spans="1:38" ht="15" customHeight="1" x14ac:dyDescent="0.25">
      <c r="A390" s="3" t="s">
        <v>676</v>
      </c>
      <c r="B390" s="3" t="s">
        <v>1650</v>
      </c>
      <c r="C390" s="5">
        <v>37590.3603</v>
      </c>
      <c r="D390" s="5">
        <v>37590.3603</v>
      </c>
      <c r="E390" s="5">
        <v>34038.745900000002</v>
      </c>
      <c r="F390" t="s">
        <v>7249</v>
      </c>
      <c r="G390" s="5" t="str">
        <f t="shared" si="13"/>
        <v>ШАБРОВСКИЙ</v>
      </c>
      <c r="J390" s="5"/>
      <c r="AF390" t="s">
        <v>7173</v>
      </c>
      <c r="AG390" s="24" t="s">
        <v>5624</v>
      </c>
      <c r="AH390" s="5" t="s">
        <v>7173</v>
      </c>
      <c r="AI390" s="5">
        <v>19918.363399999998</v>
      </c>
      <c r="AJ390" s="5">
        <v>19918.363399999998</v>
      </c>
      <c r="AK390">
        <v>18499.367099999999</v>
      </c>
      <c r="AL390" s="5" t="str">
        <f t="shared" si="14"/>
        <v>Горноуральский городской округ</v>
      </c>
    </row>
    <row r="391" spans="1:38" ht="15" customHeight="1" x14ac:dyDescent="0.25">
      <c r="A391" s="3" t="s">
        <v>678</v>
      </c>
      <c r="B391" s="3" t="s">
        <v>1627</v>
      </c>
      <c r="C391" s="5">
        <v>56392.543899999997</v>
      </c>
      <c r="D391" s="5">
        <v>56392.543899999997</v>
      </c>
      <c r="E391" s="5">
        <v>51064.4617</v>
      </c>
      <c r="F391" t="s">
        <v>7249</v>
      </c>
      <c r="G391" s="5" t="str">
        <f t="shared" si="13"/>
        <v>КОМПРЕССОРНЫЙ</v>
      </c>
      <c r="J391" s="5"/>
      <c r="AF391" t="s">
        <v>7173</v>
      </c>
      <c r="AG391" s="24" t="s">
        <v>5625</v>
      </c>
      <c r="AH391" s="5" t="s">
        <v>7173</v>
      </c>
      <c r="AI391" s="5">
        <v>19918.363399999998</v>
      </c>
      <c r="AJ391" s="5">
        <v>19918.363399999998</v>
      </c>
      <c r="AK391">
        <v>18499.367099999999</v>
      </c>
      <c r="AL391" s="5" t="str">
        <f t="shared" si="14"/>
        <v>Горноуральский городской округ</v>
      </c>
    </row>
    <row r="392" spans="1:38" ht="15" customHeight="1" x14ac:dyDescent="0.25">
      <c r="A392" s="3" t="s">
        <v>679</v>
      </c>
      <c r="B392" s="3" t="s">
        <v>1629</v>
      </c>
      <c r="C392" s="5">
        <v>77743.704100000003</v>
      </c>
      <c r="D392" s="5">
        <v>77743.704100000003</v>
      </c>
      <c r="E392" s="5">
        <v>70398.310800000007</v>
      </c>
      <c r="F392" t="s">
        <v>7249</v>
      </c>
      <c r="G392" s="5" t="str">
        <f t="shared" si="13"/>
        <v>ПИОНЕРСКИЙ</v>
      </c>
      <c r="J392" s="5"/>
      <c r="AF392" t="s">
        <v>7173</v>
      </c>
      <c r="AG392" s="24" t="s">
        <v>5626</v>
      </c>
      <c r="AH392" s="5" t="s">
        <v>7173</v>
      </c>
      <c r="AI392" s="5">
        <v>19918.363399999998</v>
      </c>
      <c r="AJ392" s="5">
        <v>19918.363399999998</v>
      </c>
      <c r="AK392">
        <v>18499.367099999999</v>
      </c>
      <c r="AL392" s="5" t="str">
        <f t="shared" si="14"/>
        <v>Горноуральский городской округ</v>
      </c>
    </row>
    <row r="393" spans="1:38" ht="15" customHeight="1" x14ac:dyDescent="0.25">
      <c r="A393" s="3" t="s">
        <v>680</v>
      </c>
      <c r="B393" s="3" t="s">
        <v>33</v>
      </c>
      <c r="C393" s="5">
        <v>84298.205100000006</v>
      </c>
      <c r="D393" s="5">
        <v>84298.205100000006</v>
      </c>
      <c r="E393" s="5">
        <v>76333.533100000001</v>
      </c>
      <c r="F393" t="s">
        <v>7249</v>
      </c>
      <c r="G393" s="5" t="str">
        <f t="shared" si="13"/>
        <v>ВИЗ</v>
      </c>
      <c r="J393" s="5"/>
      <c r="AF393" t="s">
        <v>7173</v>
      </c>
      <c r="AG393" s="24" t="s">
        <v>5627</v>
      </c>
      <c r="AH393" s="5" t="s">
        <v>7173</v>
      </c>
      <c r="AI393" s="5">
        <v>19918.363399999998</v>
      </c>
      <c r="AJ393" s="5">
        <v>19918.363399999998</v>
      </c>
      <c r="AK393">
        <v>18499.367099999999</v>
      </c>
      <c r="AL393" s="5" t="str">
        <f t="shared" si="14"/>
        <v>Горноуральский городской округ</v>
      </c>
    </row>
    <row r="394" spans="1:38" ht="15" customHeight="1" x14ac:dyDescent="0.25">
      <c r="A394" s="3" t="s">
        <v>681</v>
      </c>
      <c r="B394" s="3" t="s">
        <v>1647</v>
      </c>
      <c r="C394" s="5">
        <v>63178.133800000003</v>
      </c>
      <c r="D394" s="5">
        <v>63178.133800000003</v>
      </c>
      <c r="E394" s="5">
        <v>57208.931499999999</v>
      </c>
      <c r="F394" t="s">
        <v>7249</v>
      </c>
      <c r="G394" s="5" t="str">
        <f t="shared" si="13"/>
        <v>ШИРОКАЯ РЕЧКА</v>
      </c>
      <c r="J394" s="5"/>
      <c r="AF394" t="s">
        <v>7173</v>
      </c>
      <c r="AG394" s="24" t="s">
        <v>5628</v>
      </c>
      <c r="AH394" s="5" t="s">
        <v>7173</v>
      </c>
      <c r="AI394" s="5">
        <v>19918.363399999998</v>
      </c>
      <c r="AJ394" s="5">
        <v>19918.363399999998</v>
      </c>
      <c r="AK394">
        <v>18499.367099999999</v>
      </c>
      <c r="AL394" s="5" t="str">
        <f t="shared" si="14"/>
        <v>Горноуральский городской округ</v>
      </c>
    </row>
    <row r="395" spans="1:38" ht="15" customHeight="1" x14ac:dyDescent="0.25">
      <c r="A395" s="3" t="s">
        <v>682</v>
      </c>
      <c r="B395" s="3" t="s">
        <v>1650</v>
      </c>
      <c r="C395" s="5">
        <v>37590.3603</v>
      </c>
      <c r="D395" s="5">
        <v>37590.3603</v>
      </c>
      <c r="E395" s="5">
        <v>34038.745900000002</v>
      </c>
      <c r="F395" t="s">
        <v>7249</v>
      </c>
      <c r="G395" s="5" t="str">
        <f t="shared" si="13"/>
        <v>ШАБРОВСКИЙ</v>
      </c>
      <c r="J395" s="5"/>
      <c r="AF395" t="s">
        <v>7173</v>
      </c>
      <c r="AG395" s="24" t="s">
        <v>5629</v>
      </c>
      <c r="AH395" s="5" t="s">
        <v>7173</v>
      </c>
      <c r="AI395" s="5">
        <v>19918.363399999998</v>
      </c>
      <c r="AJ395" s="5">
        <v>19918.363399999998</v>
      </c>
      <c r="AK395">
        <v>18499.367099999999</v>
      </c>
      <c r="AL395" s="5" t="str">
        <f t="shared" si="14"/>
        <v>Горноуральский городской округ</v>
      </c>
    </row>
    <row r="396" spans="1:38" ht="15" customHeight="1" x14ac:dyDescent="0.25">
      <c r="A396" s="3" t="s">
        <v>685</v>
      </c>
      <c r="B396" s="3" t="s">
        <v>1647</v>
      </c>
      <c r="C396" s="5">
        <v>63178.133800000003</v>
      </c>
      <c r="D396" s="5">
        <v>63178.133800000003</v>
      </c>
      <c r="E396" s="5">
        <v>57208.931499999999</v>
      </c>
      <c r="F396" t="s">
        <v>7249</v>
      </c>
      <c r="G396" s="5" t="str">
        <f t="shared" si="13"/>
        <v>ШИРОКАЯ РЕЧКА</v>
      </c>
      <c r="J396" s="5"/>
      <c r="AF396" t="s">
        <v>7173</v>
      </c>
      <c r="AG396" s="24" t="s">
        <v>5630</v>
      </c>
      <c r="AH396" s="5" t="s">
        <v>7173</v>
      </c>
      <c r="AI396" s="5">
        <v>19918.363399999998</v>
      </c>
      <c r="AJ396" s="5">
        <v>19918.363399999998</v>
      </c>
      <c r="AK396">
        <v>18499.367099999999</v>
      </c>
      <c r="AL396" s="5" t="str">
        <f t="shared" si="14"/>
        <v>Горноуральский городской округ</v>
      </c>
    </row>
    <row r="397" spans="1:38" ht="15" customHeight="1" x14ac:dyDescent="0.25">
      <c r="A397" s="3" t="s">
        <v>686</v>
      </c>
      <c r="B397" s="3" t="s">
        <v>1635</v>
      </c>
      <c r="C397" s="5">
        <v>57793.0844</v>
      </c>
      <c r="D397" s="5">
        <v>57793.0844</v>
      </c>
      <c r="E397" s="5">
        <v>52332.6639</v>
      </c>
      <c r="F397" t="s">
        <v>7249</v>
      </c>
      <c r="G397" s="5" t="str">
        <f t="shared" si="13"/>
        <v>ЛЕЧЕБНЫЙ</v>
      </c>
      <c r="J397" s="5"/>
      <c r="AF397" t="s">
        <v>7173</v>
      </c>
      <c r="AG397" s="24" t="s">
        <v>5631</v>
      </c>
      <c r="AH397" s="5" t="s">
        <v>7173</v>
      </c>
      <c r="AI397" s="5">
        <v>19918.363399999998</v>
      </c>
      <c r="AJ397" s="5">
        <v>19918.363399999998</v>
      </c>
      <c r="AK397">
        <v>18499.367099999999</v>
      </c>
      <c r="AL397" s="5" t="str">
        <f t="shared" si="14"/>
        <v>Горноуральский городской округ</v>
      </c>
    </row>
    <row r="398" spans="1:38" ht="15" customHeight="1" x14ac:dyDescent="0.25">
      <c r="A398" s="3" t="s">
        <v>687</v>
      </c>
      <c r="B398" s="3" t="s">
        <v>1642</v>
      </c>
      <c r="C398" s="5">
        <v>81392.097599999994</v>
      </c>
      <c r="D398" s="5">
        <v>81392.097599999994</v>
      </c>
      <c r="E398" s="5">
        <v>73702.001099999994</v>
      </c>
      <c r="F398" t="s">
        <v>7249</v>
      </c>
      <c r="G398" s="5" t="str">
        <f t="shared" si="13"/>
        <v>ПАРКОВЫЙ</v>
      </c>
      <c r="J398" s="5"/>
      <c r="AF398" t="s">
        <v>7173</v>
      </c>
      <c r="AG398" s="24" t="s">
        <v>5632</v>
      </c>
      <c r="AH398" s="5" t="s">
        <v>7173</v>
      </c>
      <c r="AI398" s="5">
        <v>19918.363399999998</v>
      </c>
      <c r="AJ398" s="5">
        <v>19918.363399999998</v>
      </c>
      <c r="AK398">
        <v>18499.367099999999</v>
      </c>
      <c r="AL398" s="5" t="str">
        <f t="shared" si="14"/>
        <v>Горноуральский городской округ</v>
      </c>
    </row>
    <row r="399" spans="1:38" ht="15" customHeight="1" x14ac:dyDescent="0.25">
      <c r="A399" s="3" t="s">
        <v>688</v>
      </c>
      <c r="B399" s="3" t="s">
        <v>1640</v>
      </c>
      <c r="C399" s="5">
        <v>64914.8</v>
      </c>
      <c r="D399" s="5">
        <v>64914.8</v>
      </c>
      <c r="E399" s="5">
        <v>58781.519200000002</v>
      </c>
      <c r="F399" t="s">
        <v>7249</v>
      </c>
      <c r="G399" s="5" t="str">
        <f t="shared" si="13"/>
        <v>Новая сортировка</v>
      </c>
      <c r="J399" s="5"/>
      <c r="AF399" t="s">
        <v>7173</v>
      </c>
      <c r="AG399" s="24" t="s">
        <v>5633</v>
      </c>
      <c r="AH399" s="5" t="s">
        <v>7173</v>
      </c>
      <c r="AI399" s="5">
        <v>19918.363399999998</v>
      </c>
      <c r="AJ399" s="5">
        <v>19918.363399999998</v>
      </c>
      <c r="AK399">
        <v>18499.367099999999</v>
      </c>
      <c r="AL399" s="5" t="str">
        <f t="shared" si="14"/>
        <v>Горноуральский городской округ</v>
      </c>
    </row>
    <row r="400" spans="1:38" ht="15" customHeight="1" x14ac:dyDescent="0.25">
      <c r="A400" s="3" t="s">
        <v>689</v>
      </c>
      <c r="B400" s="3" t="s">
        <v>1654</v>
      </c>
      <c r="C400" s="5">
        <v>56140.449699999997</v>
      </c>
      <c r="D400" s="5">
        <v>56140.449699999997</v>
      </c>
      <c r="E400" s="5">
        <v>50836.1803</v>
      </c>
      <c r="F400" t="s">
        <v>7249</v>
      </c>
      <c r="G400" s="5" t="str">
        <f t="shared" si="13"/>
        <v>ЗАВОКЗАЛЬНЫЙ</v>
      </c>
      <c r="J400" s="5"/>
      <c r="AF400" t="s">
        <v>7173</v>
      </c>
      <c r="AG400" s="24" t="s">
        <v>5634</v>
      </c>
      <c r="AH400" s="5" t="s">
        <v>7173</v>
      </c>
      <c r="AI400" s="5">
        <v>19918.363399999998</v>
      </c>
      <c r="AJ400" s="5">
        <v>19918.363399999998</v>
      </c>
      <c r="AK400">
        <v>18499.367099999999</v>
      </c>
      <c r="AL400" s="5" t="str">
        <f t="shared" si="14"/>
        <v>Горноуральский городской округ</v>
      </c>
    </row>
    <row r="401" spans="1:38" ht="15" customHeight="1" x14ac:dyDescent="0.25">
      <c r="A401" s="3" t="s">
        <v>690</v>
      </c>
      <c r="B401" s="3" t="s">
        <v>1642</v>
      </c>
      <c r="C401" s="5">
        <v>81392.097599999994</v>
      </c>
      <c r="D401" s="5">
        <v>81392.097599999994</v>
      </c>
      <c r="E401" s="5">
        <v>73702.001099999994</v>
      </c>
      <c r="F401" t="s">
        <v>7249</v>
      </c>
      <c r="G401" s="5" t="str">
        <f t="shared" si="13"/>
        <v>ПАРКОВЫЙ</v>
      </c>
      <c r="J401" s="5"/>
      <c r="AF401" t="s">
        <v>7173</v>
      </c>
      <c r="AG401" s="24" t="s">
        <v>5635</v>
      </c>
      <c r="AH401" s="5" t="s">
        <v>7173</v>
      </c>
      <c r="AI401" s="5">
        <v>19918.363399999998</v>
      </c>
      <c r="AJ401" s="5">
        <v>19918.363399999998</v>
      </c>
      <c r="AK401">
        <v>18499.367099999999</v>
      </c>
      <c r="AL401" s="5" t="str">
        <f t="shared" si="14"/>
        <v>Горноуральский городской округ</v>
      </c>
    </row>
    <row r="402" spans="1:38" ht="15" customHeight="1" x14ac:dyDescent="0.25">
      <c r="A402" s="3" t="s">
        <v>691</v>
      </c>
      <c r="B402" s="3" t="s">
        <v>1633</v>
      </c>
      <c r="C402" s="5">
        <v>77071.442599999995</v>
      </c>
      <c r="D402" s="5">
        <v>77071.442599999995</v>
      </c>
      <c r="E402" s="5">
        <v>69789.570900000006</v>
      </c>
      <c r="F402" t="s">
        <v>7249</v>
      </c>
      <c r="G402" s="5" t="str">
        <f t="shared" si="13"/>
        <v>ВТУЗГОРОДОК</v>
      </c>
      <c r="J402" s="5"/>
      <c r="AF402" t="s">
        <v>7173</v>
      </c>
      <c r="AG402" s="24" t="s">
        <v>5636</v>
      </c>
      <c r="AH402" s="5" t="s">
        <v>7173</v>
      </c>
      <c r="AI402" s="5">
        <v>19918.363399999998</v>
      </c>
      <c r="AJ402" s="5">
        <v>19918.363399999998</v>
      </c>
      <c r="AK402">
        <v>18499.367099999999</v>
      </c>
      <c r="AL402" s="5" t="str">
        <f t="shared" si="14"/>
        <v>Горноуральский городской округ</v>
      </c>
    </row>
    <row r="403" spans="1:38" ht="15" customHeight="1" x14ac:dyDescent="0.25">
      <c r="A403" s="3" t="s">
        <v>692</v>
      </c>
      <c r="B403" s="3" t="s">
        <v>1650</v>
      </c>
      <c r="C403" s="5">
        <v>37590.3603</v>
      </c>
      <c r="D403" s="5">
        <v>37590.3603</v>
      </c>
      <c r="E403" s="5">
        <v>34038.745900000002</v>
      </c>
      <c r="F403" t="s">
        <v>7249</v>
      </c>
      <c r="G403" s="5" t="str">
        <f t="shared" si="13"/>
        <v>ШАБРОВСКИЙ</v>
      </c>
      <c r="J403" s="5"/>
      <c r="AF403" t="s">
        <v>7173</v>
      </c>
      <c r="AG403" s="24" t="s">
        <v>5637</v>
      </c>
      <c r="AH403" s="5" t="s">
        <v>7173</v>
      </c>
      <c r="AI403" s="5">
        <v>19918.363399999998</v>
      </c>
      <c r="AJ403" s="5">
        <v>19918.363399999998</v>
      </c>
      <c r="AK403">
        <v>18499.367099999999</v>
      </c>
      <c r="AL403" s="5" t="str">
        <f t="shared" si="14"/>
        <v>Горноуральский городской округ</v>
      </c>
    </row>
    <row r="404" spans="1:38" ht="15" customHeight="1" x14ac:dyDescent="0.25">
      <c r="A404" s="3" t="s">
        <v>693</v>
      </c>
      <c r="B404" s="3" t="s">
        <v>1648</v>
      </c>
      <c r="C404" s="5">
        <v>49782.025399999999</v>
      </c>
      <c r="D404" s="5">
        <v>49782.025399999999</v>
      </c>
      <c r="E404" s="5">
        <v>45078.506800000003</v>
      </c>
      <c r="F404" t="s">
        <v>7249</v>
      </c>
      <c r="G404" s="5" t="str">
        <f t="shared" si="13"/>
        <v>ЧУСОВСКОЕ ОЗЕРО</v>
      </c>
      <c r="J404" s="5"/>
      <c r="AF404" t="s">
        <v>7173</v>
      </c>
      <c r="AG404" s="24" t="s">
        <v>5638</v>
      </c>
      <c r="AH404" s="5" t="s">
        <v>7173</v>
      </c>
      <c r="AI404" s="5">
        <v>19918.363399999998</v>
      </c>
      <c r="AJ404" s="5">
        <v>19918.363399999998</v>
      </c>
      <c r="AK404">
        <v>18499.367099999999</v>
      </c>
      <c r="AL404" s="5" t="str">
        <f t="shared" si="14"/>
        <v>Горноуральский городской округ</v>
      </c>
    </row>
    <row r="405" spans="1:38" ht="15" customHeight="1" x14ac:dyDescent="0.25">
      <c r="A405" s="3" t="s">
        <v>698</v>
      </c>
      <c r="B405" s="3" t="s">
        <v>1644</v>
      </c>
      <c r="C405" s="5">
        <v>61980.678599999999</v>
      </c>
      <c r="D405" s="5">
        <v>61980.678599999999</v>
      </c>
      <c r="E405" s="5">
        <v>56124.615700000002</v>
      </c>
      <c r="F405" t="s">
        <v>7249</v>
      </c>
      <c r="G405" s="5" t="str">
        <f t="shared" si="13"/>
        <v>ХИММАШ</v>
      </c>
      <c r="J405" s="5"/>
      <c r="AF405" t="s">
        <v>7173</v>
      </c>
      <c r="AG405" s="24" t="s">
        <v>5639</v>
      </c>
      <c r="AH405" s="5" t="s">
        <v>7173</v>
      </c>
      <c r="AI405" s="5">
        <v>19918.363399999998</v>
      </c>
      <c r="AJ405" s="5">
        <v>19918.363399999998</v>
      </c>
      <c r="AK405">
        <v>18499.367099999999</v>
      </c>
      <c r="AL405" s="5" t="str">
        <f t="shared" si="14"/>
        <v>Горноуральский городской округ</v>
      </c>
    </row>
    <row r="406" spans="1:38" ht="15" customHeight="1" x14ac:dyDescent="0.25">
      <c r="A406" s="3" t="s">
        <v>699</v>
      </c>
      <c r="B406" s="3" t="s">
        <v>1631</v>
      </c>
      <c r="C406" s="5">
        <v>70026.7601</v>
      </c>
      <c r="D406" s="5">
        <v>70026.7601</v>
      </c>
      <c r="E406" s="5">
        <v>63410.482000000004</v>
      </c>
      <c r="F406" t="s">
        <v>7249</v>
      </c>
      <c r="G406" s="5" t="str">
        <f t="shared" si="13"/>
        <v>УРАЛМАШ</v>
      </c>
      <c r="J406" s="5"/>
      <c r="AF406" t="s">
        <v>7173</v>
      </c>
      <c r="AG406" s="24" t="s">
        <v>5640</v>
      </c>
      <c r="AH406" s="5" t="s">
        <v>7173</v>
      </c>
      <c r="AI406" s="5">
        <v>19918.363399999998</v>
      </c>
      <c r="AJ406" s="5">
        <v>19918.363399999998</v>
      </c>
      <c r="AK406">
        <v>18499.367099999999</v>
      </c>
      <c r="AL406" s="5" t="str">
        <f t="shared" si="14"/>
        <v>Горноуральский городской округ</v>
      </c>
    </row>
    <row r="407" spans="1:38" ht="15" customHeight="1" x14ac:dyDescent="0.25">
      <c r="A407" s="3" t="s">
        <v>700</v>
      </c>
      <c r="B407" s="3" t="s">
        <v>1632</v>
      </c>
      <c r="C407" s="5">
        <v>83744.997499999998</v>
      </c>
      <c r="D407" s="5">
        <v>83744.997499999998</v>
      </c>
      <c r="E407" s="5">
        <v>75832.596099999995</v>
      </c>
      <c r="F407" t="s">
        <v>7249</v>
      </c>
      <c r="G407" s="5" t="str">
        <f t="shared" si="13"/>
        <v>АВТОВОКЗАЛ</v>
      </c>
      <c r="J407" s="5"/>
      <c r="AF407" t="s">
        <v>7173</v>
      </c>
      <c r="AG407" s="24" t="s">
        <v>5641</v>
      </c>
      <c r="AH407" s="5" t="s">
        <v>7173</v>
      </c>
      <c r="AI407" s="5">
        <v>19918.363399999998</v>
      </c>
      <c r="AJ407" s="5">
        <v>19918.363399999998</v>
      </c>
      <c r="AK407">
        <v>18499.367099999999</v>
      </c>
      <c r="AL407" s="5" t="str">
        <f t="shared" si="14"/>
        <v>Горноуральский городской округ</v>
      </c>
    </row>
    <row r="408" spans="1:38" ht="15" customHeight="1" x14ac:dyDescent="0.25">
      <c r="A408" s="3" t="s">
        <v>701</v>
      </c>
      <c r="B408" s="3" t="s">
        <v>14</v>
      </c>
      <c r="C408" s="5">
        <v>93989.912800000006</v>
      </c>
      <c r="D408" s="5">
        <v>93989.912800000006</v>
      </c>
      <c r="E408" s="5">
        <v>85109.545199999993</v>
      </c>
      <c r="F408" t="s">
        <v>7249</v>
      </c>
      <c r="G408" s="5" t="str">
        <f t="shared" si="13"/>
        <v>Центр</v>
      </c>
      <c r="J408" s="5"/>
      <c r="AF408" t="s">
        <v>7173</v>
      </c>
      <c r="AG408" s="24" t="s">
        <v>5642</v>
      </c>
      <c r="AH408" s="5" t="s">
        <v>7173</v>
      </c>
      <c r="AI408" s="5">
        <v>19918.363399999998</v>
      </c>
      <c r="AJ408" s="5">
        <v>19918.363399999998</v>
      </c>
      <c r="AK408">
        <v>18499.367099999999</v>
      </c>
      <c r="AL408" s="5" t="str">
        <f t="shared" si="14"/>
        <v>Горноуральский городской округ</v>
      </c>
    </row>
    <row r="409" spans="1:38" ht="15" customHeight="1" x14ac:dyDescent="0.25">
      <c r="A409" s="3" t="s">
        <v>702</v>
      </c>
      <c r="B409" s="3" t="s">
        <v>1633</v>
      </c>
      <c r="C409" s="5">
        <v>77071.442599999995</v>
      </c>
      <c r="D409" s="5">
        <v>77071.442599999995</v>
      </c>
      <c r="E409" s="5">
        <v>69789.570900000006</v>
      </c>
      <c r="F409" t="s">
        <v>7249</v>
      </c>
      <c r="G409" s="5" t="str">
        <f t="shared" si="13"/>
        <v>ВТУЗГОРОДОК</v>
      </c>
      <c r="J409" s="5"/>
      <c r="AF409" t="s">
        <v>7173</v>
      </c>
      <c r="AG409" s="24" t="s">
        <v>5643</v>
      </c>
      <c r="AH409" s="5" t="s">
        <v>7173</v>
      </c>
      <c r="AI409" s="5">
        <v>19918.363399999998</v>
      </c>
      <c r="AJ409" s="5">
        <v>19918.363399999998</v>
      </c>
      <c r="AK409">
        <v>18499.367099999999</v>
      </c>
      <c r="AL409" s="5" t="str">
        <f t="shared" si="14"/>
        <v>Горноуральский городской округ</v>
      </c>
    </row>
    <row r="410" spans="1:38" ht="15" customHeight="1" x14ac:dyDescent="0.25">
      <c r="A410" s="3" t="s">
        <v>703</v>
      </c>
      <c r="B410" s="3" t="s">
        <v>1658</v>
      </c>
      <c r="C410" s="5">
        <v>68647.224799999996</v>
      </c>
      <c r="D410" s="5">
        <v>68647.224799999996</v>
      </c>
      <c r="E410" s="5">
        <v>62161.2929</v>
      </c>
      <c r="F410" t="s">
        <v>7249</v>
      </c>
      <c r="G410" s="5" t="str">
        <f t="shared" si="13"/>
        <v>СИНИЕ КАМНИ</v>
      </c>
      <c r="J410" s="5"/>
      <c r="AF410" t="s">
        <v>7173</v>
      </c>
      <c r="AG410" s="24" t="s">
        <v>5644</v>
      </c>
      <c r="AH410" s="5" t="s">
        <v>7173</v>
      </c>
      <c r="AI410" s="5">
        <v>19918.363399999998</v>
      </c>
      <c r="AJ410" s="5">
        <v>19918.363399999998</v>
      </c>
      <c r="AK410">
        <v>18499.367099999999</v>
      </c>
      <c r="AL410" s="5" t="str">
        <f t="shared" si="14"/>
        <v>Горноуральский городской округ</v>
      </c>
    </row>
    <row r="411" spans="1:38" ht="15" customHeight="1" x14ac:dyDescent="0.25">
      <c r="A411" s="3" t="s">
        <v>704</v>
      </c>
      <c r="B411" s="3" t="s">
        <v>1630</v>
      </c>
      <c r="C411" s="5">
        <v>62652.9401</v>
      </c>
      <c r="D411" s="5">
        <v>62652.9401</v>
      </c>
      <c r="E411" s="5">
        <v>56733.3557</v>
      </c>
      <c r="F411" t="s">
        <v>7249</v>
      </c>
      <c r="G411" s="5" t="str">
        <f t="shared" si="13"/>
        <v>ЧЕРМЕТ</v>
      </c>
      <c r="J411" s="5"/>
      <c r="AF411" t="s">
        <v>7173</v>
      </c>
      <c r="AG411" s="24" t="s">
        <v>5645</v>
      </c>
      <c r="AH411" s="5" t="s">
        <v>7173</v>
      </c>
      <c r="AI411" s="5">
        <v>19918.363399999998</v>
      </c>
      <c r="AJ411" s="5">
        <v>19918.363399999998</v>
      </c>
      <c r="AK411">
        <v>18499.367099999999</v>
      </c>
      <c r="AL411" s="5" t="str">
        <f t="shared" si="14"/>
        <v>Горноуральский городской округ</v>
      </c>
    </row>
    <row r="412" spans="1:38" ht="15" customHeight="1" x14ac:dyDescent="0.25">
      <c r="A412" s="3" t="s">
        <v>705</v>
      </c>
      <c r="B412" s="3" t="s">
        <v>1636</v>
      </c>
      <c r="C412" s="5">
        <v>52246.960299999999</v>
      </c>
      <c r="D412" s="5">
        <v>52246.960299999999</v>
      </c>
      <c r="E412" s="5">
        <v>47310.556700000001</v>
      </c>
      <c r="F412" t="s">
        <v>7249</v>
      </c>
      <c r="G412" s="5" t="str">
        <f t="shared" si="13"/>
        <v>ГОРНЫЙ ЩИТ</v>
      </c>
      <c r="J412" s="5"/>
      <c r="AF412" t="s">
        <v>7173</v>
      </c>
      <c r="AG412" s="24" t="s">
        <v>5646</v>
      </c>
      <c r="AH412" s="5" t="s">
        <v>7173</v>
      </c>
      <c r="AI412" s="5">
        <v>19918.363399999998</v>
      </c>
      <c r="AJ412" s="5">
        <v>19918.363399999998</v>
      </c>
      <c r="AK412">
        <v>18499.367099999999</v>
      </c>
      <c r="AL412" s="5" t="str">
        <f t="shared" si="14"/>
        <v>Горноуральский городской округ</v>
      </c>
    </row>
    <row r="413" spans="1:38" ht="15" customHeight="1" x14ac:dyDescent="0.25">
      <c r="A413" s="3" t="s">
        <v>706</v>
      </c>
      <c r="B413" s="3" t="s">
        <v>1658</v>
      </c>
      <c r="C413" s="5">
        <v>68647.224799999996</v>
      </c>
      <c r="D413" s="5">
        <v>68647.224799999996</v>
      </c>
      <c r="E413" s="5">
        <v>62161.2929</v>
      </c>
      <c r="F413" t="s">
        <v>7249</v>
      </c>
      <c r="G413" s="5" t="str">
        <f t="shared" si="13"/>
        <v>СИНИЕ КАМНИ</v>
      </c>
      <c r="J413" s="5"/>
      <c r="AF413" t="s">
        <v>7173</v>
      </c>
      <c r="AG413" s="24" t="s">
        <v>5647</v>
      </c>
      <c r="AH413" s="5" t="s">
        <v>7173</v>
      </c>
      <c r="AI413" s="5">
        <v>19918.363399999998</v>
      </c>
      <c r="AJ413" s="5">
        <v>19918.363399999998</v>
      </c>
      <c r="AK413">
        <v>18499.367099999999</v>
      </c>
      <c r="AL413" s="5" t="str">
        <f t="shared" si="14"/>
        <v>Горноуральский городской округ</v>
      </c>
    </row>
    <row r="414" spans="1:38" ht="15" customHeight="1" x14ac:dyDescent="0.25">
      <c r="A414" s="3" t="s">
        <v>707</v>
      </c>
      <c r="B414" s="3" t="s">
        <v>1658</v>
      </c>
      <c r="C414" s="5">
        <v>68647.224799999996</v>
      </c>
      <c r="D414" s="5">
        <v>68647.224799999996</v>
      </c>
      <c r="E414" s="5">
        <v>62161.2929</v>
      </c>
      <c r="F414" t="s">
        <v>7249</v>
      </c>
      <c r="G414" s="5" t="str">
        <f t="shared" si="13"/>
        <v>СИНИЕ КАМНИ</v>
      </c>
      <c r="J414" s="5"/>
      <c r="AF414" t="s">
        <v>7173</v>
      </c>
      <c r="AG414" s="24" t="s">
        <v>5648</v>
      </c>
      <c r="AH414" s="5" t="s">
        <v>7173</v>
      </c>
      <c r="AI414" s="5">
        <v>19918.363399999998</v>
      </c>
      <c r="AJ414" s="5">
        <v>19918.363399999998</v>
      </c>
      <c r="AK414">
        <v>18499.367099999999</v>
      </c>
      <c r="AL414" s="5" t="str">
        <f t="shared" si="14"/>
        <v>Горноуральский городской округ</v>
      </c>
    </row>
    <row r="415" spans="1:38" ht="15" customHeight="1" x14ac:dyDescent="0.25">
      <c r="A415" s="3" t="s">
        <v>708</v>
      </c>
      <c r="B415" s="3" t="s">
        <v>14</v>
      </c>
      <c r="C415" s="5">
        <v>93989.912800000006</v>
      </c>
      <c r="D415" s="5">
        <v>93989.912800000006</v>
      </c>
      <c r="E415" s="5">
        <v>85109.545199999993</v>
      </c>
      <c r="F415" t="s">
        <v>7249</v>
      </c>
      <c r="G415" s="5" t="str">
        <f t="shared" si="13"/>
        <v>Центр</v>
      </c>
      <c r="J415" s="5"/>
      <c r="AF415" t="s">
        <v>7173</v>
      </c>
      <c r="AG415" s="24" t="s">
        <v>5649</v>
      </c>
      <c r="AH415" s="5" t="s">
        <v>7173</v>
      </c>
      <c r="AI415" s="5">
        <v>19918.363399999998</v>
      </c>
      <c r="AJ415" s="5">
        <v>19918.363399999998</v>
      </c>
      <c r="AK415">
        <v>18499.367099999999</v>
      </c>
      <c r="AL415" s="5" t="str">
        <f t="shared" si="14"/>
        <v>Горноуральский городской округ</v>
      </c>
    </row>
    <row r="416" spans="1:38" ht="15" customHeight="1" x14ac:dyDescent="0.25">
      <c r="A416" s="3" t="s">
        <v>709</v>
      </c>
      <c r="B416" s="3" t="s">
        <v>1654</v>
      </c>
      <c r="C416" s="5">
        <v>56140.449699999997</v>
      </c>
      <c r="D416" s="5">
        <v>56140.449699999997</v>
      </c>
      <c r="E416" s="5">
        <v>50836.1803</v>
      </c>
      <c r="F416" t="s">
        <v>7249</v>
      </c>
      <c r="G416" s="5" t="str">
        <f t="shared" si="13"/>
        <v>ЗАВОКЗАЛЬНЫЙ</v>
      </c>
      <c r="J416" s="5"/>
      <c r="AF416" t="s">
        <v>7173</v>
      </c>
      <c r="AG416" s="24" t="s">
        <v>5650</v>
      </c>
      <c r="AH416" s="5" t="s">
        <v>7173</v>
      </c>
      <c r="AI416" s="5">
        <v>19918.363399999998</v>
      </c>
      <c r="AJ416" s="5">
        <v>19918.363399999998</v>
      </c>
      <c r="AK416">
        <v>18499.367099999999</v>
      </c>
      <c r="AL416" s="5" t="str">
        <f t="shared" si="14"/>
        <v>Горноуральский городской округ</v>
      </c>
    </row>
    <row r="417" spans="1:38" ht="15" customHeight="1" x14ac:dyDescent="0.25">
      <c r="A417" s="3" t="s">
        <v>710</v>
      </c>
      <c r="B417" s="3" t="s">
        <v>1649</v>
      </c>
      <c r="C417" s="5">
        <v>78633.047600000005</v>
      </c>
      <c r="D417" s="5">
        <v>78633.047600000005</v>
      </c>
      <c r="E417" s="5">
        <v>71203.623000000007</v>
      </c>
      <c r="F417" t="s">
        <v>7249</v>
      </c>
      <c r="G417" s="5" t="str">
        <f t="shared" si="13"/>
        <v>ВОКЗАЛЬНЫЙ</v>
      </c>
      <c r="J417" s="5"/>
      <c r="AF417" t="s">
        <v>7173</v>
      </c>
      <c r="AG417" s="24" t="s">
        <v>5651</v>
      </c>
      <c r="AH417" s="5" t="s">
        <v>7173</v>
      </c>
      <c r="AI417" s="5">
        <v>19918.363399999998</v>
      </c>
      <c r="AJ417" s="5">
        <v>19918.363399999998</v>
      </c>
      <c r="AK417">
        <v>18499.367099999999</v>
      </c>
      <c r="AL417" s="5" t="str">
        <f t="shared" si="14"/>
        <v>Горноуральский городской округ</v>
      </c>
    </row>
    <row r="418" spans="1:38" ht="15" customHeight="1" x14ac:dyDescent="0.25">
      <c r="A418" s="3" t="s">
        <v>711</v>
      </c>
      <c r="B418" s="3" t="s">
        <v>1633</v>
      </c>
      <c r="C418" s="5">
        <v>77071.442599999995</v>
      </c>
      <c r="D418" s="5">
        <v>77071.442599999995</v>
      </c>
      <c r="E418" s="5">
        <v>69789.570900000006</v>
      </c>
      <c r="F418" t="s">
        <v>7249</v>
      </c>
      <c r="G418" s="5" t="str">
        <f t="shared" si="13"/>
        <v>ВТУЗГОРОДОК</v>
      </c>
      <c r="J418" s="5"/>
      <c r="AF418" t="s">
        <v>7173</v>
      </c>
      <c r="AG418" s="24" t="s">
        <v>5652</v>
      </c>
      <c r="AH418" s="5" t="s">
        <v>7173</v>
      </c>
      <c r="AI418" s="5">
        <v>19918.363399999998</v>
      </c>
      <c r="AJ418" s="5">
        <v>19918.363399999998</v>
      </c>
      <c r="AK418">
        <v>18499.367099999999</v>
      </c>
      <c r="AL418" s="5" t="str">
        <f t="shared" si="14"/>
        <v>Горноуральский городской округ</v>
      </c>
    </row>
    <row r="419" spans="1:38" ht="15" customHeight="1" x14ac:dyDescent="0.25">
      <c r="A419" s="3" t="s">
        <v>712</v>
      </c>
      <c r="B419" s="3" t="s">
        <v>1627</v>
      </c>
      <c r="C419" s="5">
        <v>56392.543899999997</v>
      </c>
      <c r="D419" s="5">
        <v>56392.543899999997</v>
      </c>
      <c r="E419" s="5">
        <v>51064.4617</v>
      </c>
      <c r="F419" t="s">
        <v>7249</v>
      </c>
      <c r="G419" s="5" t="str">
        <f t="shared" si="13"/>
        <v>КОМПРЕССОРНЫЙ</v>
      </c>
      <c r="J419" s="5"/>
      <c r="AF419" t="s">
        <v>7173</v>
      </c>
      <c r="AG419" s="24" t="s">
        <v>5653</v>
      </c>
      <c r="AH419" s="5" t="s">
        <v>7173</v>
      </c>
      <c r="AI419" s="5">
        <v>19918.363399999998</v>
      </c>
      <c r="AJ419" s="5">
        <v>19918.363399999998</v>
      </c>
      <c r="AK419">
        <v>18499.367099999999</v>
      </c>
      <c r="AL419" s="5" t="str">
        <f t="shared" si="14"/>
        <v>Горноуральский городской округ</v>
      </c>
    </row>
    <row r="420" spans="1:38" ht="15" customHeight="1" x14ac:dyDescent="0.25">
      <c r="A420" s="3" t="s">
        <v>713</v>
      </c>
      <c r="B420" s="3" t="s">
        <v>1644</v>
      </c>
      <c r="C420" s="5">
        <v>61980.678599999999</v>
      </c>
      <c r="D420" s="5">
        <v>61980.678599999999</v>
      </c>
      <c r="E420" s="5">
        <v>56124.615700000002</v>
      </c>
      <c r="F420" t="s">
        <v>7249</v>
      </c>
      <c r="G420" s="5" t="str">
        <f t="shared" si="13"/>
        <v>ХИММАШ</v>
      </c>
      <c r="J420" s="5"/>
      <c r="AF420" t="s">
        <v>7173</v>
      </c>
      <c r="AG420" s="24" t="s">
        <v>5654</v>
      </c>
      <c r="AH420" s="5" t="s">
        <v>7173</v>
      </c>
      <c r="AI420" s="5">
        <v>19918.363399999998</v>
      </c>
      <c r="AJ420" s="5">
        <v>19918.363399999998</v>
      </c>
      <c r="AK420">
        <v>18499.367099999999</v>
      </c>
      <c r="AL420" s="5" t="str">
        <f t="shared" si="14"/>
        <v>Горноуральский городской округ</v>
      </c>
    </row>
    <row r="421" spans="1:38" ht="15" customHeight="1" x14ac:dyDescent="0.25">
      <c r="A421" s="3" t="s">
        <v>717</v>
      </c>
      <c r="B421" s="3" t="s">
        <v>1649</v>
      </c>
      <c r="C421" s="5">
        <v>78633.047600000005</v>
      </c>
      <c r="D421" s="5">
        <v>78633.047600000005</v>
      </c>
      <c r="E421" s="5">
        <v>71203.623000000007</v>
      </c>
      <c r="F421" t="s">
        <v>7249</v>
      </c>
      <c r="G421" s="5" t="str">
        <f t="shared" si="13"/>
        <v>ВОКЗАЛЬНЫЙ</v>
      </c>
      <c r="J421" s="5"/>
      <c r="AF421" t="s">
        <v>7173</v>
      </c>
      <c r="AG421" s="24" t="s">
        <v>5655</v>
      </c>
      <c r="AH421" s="5" t="s">
        <v>7173</v>
      </c>
      <c r="AI421" s="5">
        <v>19918.363399999998</v>
      </c>
      <c r="AJ421" s="5">
        <v>19918.363399999998</v>
      </c>
      <c r="AK421">
        <v>18499.367099999999</v>
      </c>
      <c r="AL421" s="5" t="str">
        <f t="shared" si="14"/>
        <v>Горноуральский городской округ</v>
      </c>
    </row>
    <row r="422" spans="1:38" ht="15" customHeight="1" x14ac:dyDescent="0.25">
      <c r="A422" s="3" t="s">
        <v>718</v>
      </c>
      <c r="B422" s="3" t="s">
        <v>1666</v>
      </c>
      <c r="C422" s="5">
        <v>46784.877899999999</v>
      </c>
      <c r="D422" s="5">
        <v>46784.877899999999</v>
      </c>
      <c r="E422" s="5">
        <v>42364.543299999998</v>
      </c>
      <c r="F422" t="s">
        <v>7249</v>
      </c>
      <c r="G422" s="5" t="str">
        <f t="shared" si="13"/>
        <v>Сулим.Торфянник</v>
      </c>
      <c r="J422" s="5"/>
      <c r="AF422" t="s">
        <v>7173</v>
      </c>
      <c r="AG422" s="24" t="s">
        <v>5656</v>
      </c>
      <c r="AH422" s="5" t="s">
        <v>7173</v>
      </c>
      <c r="AI422" s="5">
        <v>19918.363399999998</v>
      </c>
      <c r="AJ422" s="5">
        <v>19918.363399999998</v>
      </c>
      <c r="AK422">
        <v>18499.367099999999</v>
      </c>
      <c r="AL422" s="5" t="str">
        <f t="shared" si="14"/>
        <v>Горноуральский городской округ</v>
      </c>
    </row>
    <row r="423" spans="1:38" ht="15" customHeight="1" x14ac:dyDescent="0.25">
      <c r="A423" s="3" t="s">
        <v>720</v>
      </c>
      <c r="B423" s="3" t="s">
        <v>33</v>
      </c>
      <c r="C423" s="5">
        <v>84298.205100000006</v>
      </c>
      <c r="D423" s="5">
        <v>84298.205100000006</v>
      </c>
      <c r="E423" s="5">
        <v>76333.533100000001</v>
      </c>
      <c r="F423" t="s">
        <v>7249</v>
      </c>
      <c r="G423" s="5" t="str">
        <f t="shared" si="13"/>
        <v>ВИЗ</v>
      </c>
      <c r="J423" s="5"/>
      <c r="AF423" t="s">
        <v>7174</v>
      </c>
      <c r="AG423" s="24" t="s">
        <v>5657</v>
      </c>
      <c r="AH423" s="5" t="s">
        <v>7174</v>
      </c>
      <c r="AI423" s="5">
        <v>21261.0285</v>
      </c>
      <c r="AJ423" s="5">
        <v>21261.0285</v>
      </c>
      <c r="AK423">
        <v>20837.465199999999</v>
      </c>
      <c r="AL423" s="5" t="str">
        <f t="shared" si="14"/>
        <v>Город Нижний Тагил</v>
      </c>
    </row>
    <row r="424" spans="1:38" ht="15" customHeight="1" x14ac:dyDescent="0.25">
      <c r="A424" s="3" t="s">
        <v>721</v>
      </c>
      <c r="B424" s="3" t="s">
        <v>1631</v>
      </c>
      <c r="C424" s="5">
        <v>70026.7601</v>
      </c>
      <c r="D424" s="5">
        <v>70026.7601</v>
      </c>
      <c r="E424" s="5">
        <v>63410.482000000004</v>
      </c>
      <c r="F424" t="s">
        <v>7249</v>
      </c>
      <c r="G424" s="5" t="str">
        <f t="shared" si="13"/>
        <v>УРАЛМАШ</v>
      </c>
      <c r="J424" s="5"/>
      <c r="AF424" t="s">
        <v>7174</v>
      </c>
      <c r="AG424" s="24" t="s">
        <v>5658</v>
      </c>
      <c r="AH424" s="5" t="s">
        <v>7174</v>
      </c>
      <c r="AI424" s="5">
        <v>21261.0285</v>
      </c>
      <c r="AJ424" s="5">
        <v>21261.0285</v>
      </c>
      <c r="AK424">
        <v>20837.465199999999</v>
      </c>
      <c r="AL424" s="5" t="str">
        <f t="shared" si="14"/>
        <v>Город Нижний Тагил</v>
      </c>
    </row>
    <row r="425" spans="1:38" ht="15" customHeight="1" x14ac:dyDescent="0.25">
      <c r="A425" s="3" t="s">
        <v>723</v>
      </c>
      <c r="B425" s="3" t="s">
        <v>1664</v>
      </c>
      <c r="C425" s="5">
        <v>53668.506099999999</v>
      </c>
      <c r="D425" s="5">
        <v>53668.506099999999</v>
      </c>
      <c r="E425" s="5">
        <v>48597.792699999998</v>
      </c>
      <c r="F425" t="s">
        <v>7249</v>
      </c>
      <c r="G425" s="5" t="str">
        <f t="shared" si="13"/>
        <v>ИЗОПЛИТ</v>
      </c>
      <c r="J425" s="5"/>
      <c r="AF425" t="s">
        <v>7174</v>
      </c>
      <c r="AG425" s="24" t="s">
        <v>5659</v>
      </c>
      <c r="AH425" s="5" t="s">
        <v>7174</v>
      </c>
      <c r="AI425" s="5">
        <v>21261.0285</v>
      </c>
      <c r="AJ425" s="5">
        <v>21261.0285</v>
      </c>
      <c r="AK425">
        <v>20837.465199999999</v>
      </c>
      <c r="AL425" s="5" t="str">
        <f t="shared" si="14"/>
        <v>Город Нижний Тагил</v>
      </c>
    </row>
    <row r="426" spans="1:38" ht="15" customHeight="1" x14ac:dyDescent="0.25">
      <c r="A426" s="3" t="s">
        <v>725</v>
      </c>
      <c r="B426" s="3" t="s">
        <v>14</v>
      </c>
      <c r="C426" s="5">
        <v>93989.912800000006</v>
      </c>
      <c r="D426" s="5">
        <v>93989.912800000006</v>
      </c>
      <c r="E426" s="5">
        <v>85109.545199999993</v>
      </c>
      <c r="F426" t="s">
        <v>7249</v>
      </c>
      <c r="G426" s="5" t="str">
        <f t="shared" si="13"/>
        <v>Центр</v>
      </c>
      <c r="J426" s="5"/>
      <c r="AF426" t="s">
        <v>7174</v>
      </c>
      <c r="AG426" s="24" t="s">
        <v>5660</v>
      </c>
      <c r="AH426" s="5" t="s">
        <v>7174</v>
      </c>
      <c r="AI426" s="5">
        <v>21261.0285</v>
      </c>
      <c r="AJ426" s="5">
        <v>21261.0285</v>
      </c>
      <c r="AK426">
        <v>20837.465199999999</v>
      </c>
      <c r="AL426" s="5" t="str">
        <f t="shared" si="14"/>
        <v>Город Нижний Тагил</v>
      </c>
    </row>
    <row r="427" spans="1:38" ht="15" customHeight="1" x14ac:dyDescent="0.25">
      <c r="A427" s="3" t="s">
        <v>727</v>
      </c>
      <c r="B427" s="3" t="s">
        <v>14</v>
      </c>
      <c r="C427" s="5">
        <v>93989.912800000006</v>
      </c>
      <c r="D427" s="5">
        <v>93989.912800000006</v>
      </c>
      <c r="E427" s="5">
        <v>85109.545199999993</v>
      </c>
      <c r="F427" t="s">
        <v>7249</v>
      </c>
      <c r="G427" s="5" t="str">
        <f t="shared" si="13"/>
        <v>Центр</v>
      </c>
      <c r="J427" s="5"/>
      <c r="AF427" t="s">
        <v>7174</v>
      </c>
      <c r="AG427" s="24" t="s">
        <v>5661</v>
      </c>
      <c r="AH427" s="5" t="s">
        <v>7174</v>
      </c>
      <c r="AI427" s="5">
        <v>21261.0285</v>
      </c>
      <c r="AJ427" s="5">
        <v>21261.0285</v>
      </c>
      <c r="AK427">
        <v>20837.465199999999</v>
      </c>
      <c r="AL427" s="5" t="str">
        <f t="shared" si="14"/>
        <v>Город Нижний Тагил</v>
      </c>
    </row>
    <row r="428" spans="1:38" ht="15" customHeight="1" x14ac:dyDescent="0.25">
      <c r="A428" s="3" t="s">
        <v>728</v>
      </c>
      <c r="B428" s="3" t="s">
        <v>14</v>
      </c>
      <c r="C428" s="5">
        <v>93989.912800000006</v>
      </c>
      <c r="D428" s="5">
        <v>93989.912800000006</v>
      </c>
      <c r="E428" s="5">
        <v>85109.545199999993</v>
      </c>
      <c r="F428" t="s">
        <v>7249</v>
      </c>
      <c r="G428" s="5" t="str">
        <f t="shared" si="13"/>
        <v>Центр</v>
      </c>
      <c r="J428" s="5"/>
      <c r="AF428" t="s">
        <v>7174</v>
      </c>
      <c r="AG428" s="24" t="s">
        <v>5662</v>
      </c>
      <c r="AH428" s="5" t="s">
        <v>7174</v>
      </c>
      <c r="AI428" s="5">
        <v>21261.0285</v>
      </c>
      <c r="AJ428" s="5">
        <v>21261.0285</v>
      </c>
      <c r="AK428">
        <v>20837.465199999999</v>
      </c>
      <c r="AL428" s="5" t="str">
        <f t="shared" si="14"/>
        <v>Город Нижний Тагил</v>
      </c>
    </row>
    <row r="429" spans="1:38" ht="15" customHeight="1" x14ac:dyDescent="0.25">
      <c r="A429" s="3" t="s">
        <v>730</v>
      </c>
      <c r="B429" s="3" t="s">
        <v>1643</v>
      </c>
      <c r="C429" s="5">
        <v>76630.280299999999</v>
      </c>
      <c r="D429" s="5">
        <v>76630.280299999999</v>
      </c>
      <c r="E429" s="5">
        <v>69390.088799999998</v>
      </c>
      <c r="F429" t="s">
        <v>7249</v>
      </c>
      <c r="G429" s="5" t="str">
        <f t="shared" si="13"/>
        <v>Ю-З</v>
      </c>
      <c r="J429" s="5"/>
      <c r="AF429" t="s">
        <v>7174</v>
      </c>
      <c r="AG429" s="24" t="s">
        <v>5663</v>
      </c>
      <c r="AH429" s="5" t="s">
        <v>7174</v>
      </c>
      <c r="AI429" s="5">
        <v>21261.0285</v>
      </c>
      <c r="AJ429" s="5">
        <v>21261.0285</v>
      </c>
      <c r="AK429">
        <v>20837.465199999999</v>
      </c>
      <c r="AL429" s="5" t="str">
        <f t="shared" si="14"/>
        <v>Город Нижний Тагил</v>
      </c>
    </row>
    <row r="430" spans="1:38" ht="15" customHeight="1" x14ac:dyDescent="0.25">
      <c r="A430" s="3" t="s">
        <v>731</v>
      </c>
      <c r="B430" s="3" t="s">
        <v>14</v>
      </c>
      <c r="C430" s="5">
        <v>93989.912800000006</v>
      </c>
      <c r="D430" s="5">
        <v>93989.912800000006</v>
      </c>
      <c r="E430" s="5">
        <v>85109.545199999993</v>
      </c>
      <c r="F430" t="s">
        <v>7249</v>
      </c>
      <c r="G430" s="5" t="str">
        <f t="shared" si="13"/>
        <v>Центр</v>
      </c>
      <c r="J430" s="5"/>
      <c r="AF430" t="s">
        <v>7174</v>
      </c>
      <c r="AG430" s="24" t="s">
        <v>5664</v>
      </c>
      <c r="AH430" s="5" t="s">
        <v>7174</v>
      </c>
      <c r="AI430" s="5">
        <v>21261.0285</v>
      </c>
      <c r="AJ430" s="5">
        <v>21261.0285</v>
      </c>
      <c r="AK430">
        <v>20837.465199999999</v>
      </c>
      <c r="AL430" s="5" t="str">
        <f t="shared" si="14"/>
        <v>Город Нижний Тагил</v>
      </c>
    </row>
    <row r="431" spans="1:38" ht="15" customHeight="1" x14ac:dyDescent="0.25">
      <c r="A431" s="3" t="s">
        <v>732</v>
      </c>
      <c r="B431" s="3" t="s">
        <v>66</v>
      </c>
      <c r="C431" s="5">
        <v>64795.756300000001</v>
      </c>
      <c r="D431" s="5">
        <v>64795.756300000001</v>
      </c>
      <c r="E431" s="5">
        <v>58673.716200000003</v>
      </c>
      <c r="F431" t="s">
        <v>7249</v>
      </c>
      <c r="G431" s="5" t="str">
        <f t="shared" si="13"/>
        <v>УНЦ</v>
      </c>
      <c r="J431" s="5"/>
      <c r="AF431" t="s">
        <v>7174</v>
      </c>
      <c r="AG431" s="24" t="s">
        <v>5665</v>
      </c>
      <c r="AH431" s="5" t="s">
        <v>7174</v>
      </c>
      <c r="AI431" s="5">
        <v>21261.0285</v>
      </c>
      <c r="AJ431" s="5">
        <v>21261.0285</v>
      </c>
      <c r="AK431">
        <v>20837.465199999999</v>
      </c>
      <c r="AL431" s="5" t="str">
        <f t="shared" si="14"/>
        <v>Город Нижний Тагил</v>
      </c>
    </row>
    <row r="432" spans="1:38" ht="15" customHeight="1" x14ac:dyDescent="0.25">
      <c r="A432" s="3" t="s">
        <v>734</v>
      </c>
      <c r="B432" s="3" t="s">
        <v>1644</v>
      </c>
      <c r="C432" s="5">
        <v>61980.678599999999</v>
      </c>
      <c r="D432" s="5">
        <v>61980.678599999999</v>
      </c>
      <c r="E432" s="5">
        <v>56124.615700000002</v>
      </c>
      <c r="F432" t="s">
        <v>7249</v>
      </c>
      <c r="G432" s="5" t="str">
        <f t="shared" si="13"/>
        <v>ХИММАШ</v>
      </c>
      <c r="J432" s="5"/>
      <c r="AF432" t="s">
        <v>7174</v>
      </c>
      <c r="AG432" s="24" t="s">
        <v>5666</v>
      </c>
      <c r="AH432" s="5" t="s">
        <v>7174</v>
      </c>
      <c r="AI432" s="5">
        <v>21261.0285</v>
      </c>
      <c r="AJ432" s="5">
        <v>21261.0285</v>
      </c>
      <c r="AK432">
        <v>20837.465199999999</v>
      </c>
      <c r="AL432" s="5" t="str">
        <f t="shared" si="14"/>
        <v>Город Нижний Тагил</v>
      </c>
    </row>
    <row r="433" spans="1:38" ht="15" customHeight="1" x14ac:dyDescent="0.25">
      <c r="A433" s="3" t="s">
        <v>737</v>
      </c>
      <c r="B433" s="3" t="s">
        <v>1632</v>
      </c>
      <c r="C433" s="5">
        <v>83744.997499999998</v>
      </c>
      <c r="D433" s="5">
        <v>83744.997499999998</v>
      </c>
      <c r="E433" s="5">
        <v>75832.596099999995</v>
      </c>
      <c r="F433" t="s">
        <v>7249</v>
      </c>
      <c r="G433" s="5" t="str">
        <f t="shared" si="13"/>
        <v>АВТОВОКЗАЛ</v>
      </c>
      <c r="J433" s="5"/>
      <c r="AF433" t="s">
        <v>7174</v>
      </c>
      <c r="AG433" s="24" t="s">
        <v>5667</v>
      </c>
      <c r="AH433" s="5" t="s">
        <v>7174</v>
      </c>
      <c r="AI433" s="5">
        <v>21261.0285</v>
      </c>
      <c r="AJ433" s="5">
        <v>21261.0285</v>
      </c>
      <c r="AK433">
        <v>20837.465199999999</v>
      </c>
      <c r="AL433" s="5" t="str">
        <f t="shared" si="14"/>
        <v>Город Нижний Тагил</v>
      </c>
    </row>
    <row r="434" spans="1:38" ht="15" customHeight="1" x14ac:dyDescent="0.25">
      <c r="A434" s="3" t="s">
        <v>738</v>
      </c>
      <c r="B434" s="3" t="s">
        <v>1638</v>
      </c>
      <c r="C434" s="5">
        <v>63640.311600000001</v>
      </c>
      <c r="D434" s="5">
        <v>63640.311600000001</v>
      </c>
      <c r="E434" s="5">
        <v>57627.4473</v>
      </c>
      <c r="F434" t="s">
        <v>7249</v>
      </c>
      <c r="G434" s="5" t="str">
        <f t="shared" si="13"/>
        <v>УКТУС</v>
      </c>
      <c r="J434" s="5"/>
      <c r="AF434" t="s">
        <v>7174</v>
      </c>
      <c r="AG434" s="24" t="s">
        <v>5668</v>
      </c>
      <c r="AH434" s="5" t="s">
        <v>7174</v>
      </c>
      <c r="AI434" s="5">
        <v>21261.0285</v>
      </c>
      <c r="AJ434" s="5">
        <v>21261.0285</v>
      </c>
      <c r="AK434">
        <v>20837.465199999999</v>
      </c>
      <c r="AL434" s="5" t="str">
        <f t="shared" si="14"/>
        <v>Город Нижний Тагил</v>
      </c>
    </row>
    <row r="435" spans="1:38" ht="15" customHeight="1" x14ac:dyDescent="0.25">
      <c r="A435" s="3" t="s">
        <v>739</v>
      </c>
      <c r="B435" s="3" t="s">
        <v>1629</v>
      </c>
      <c r="C435" s="5">
        <v>77743.704100000003</v>
      </c>
      <c r="D435" s="5">
        <v>77743.704100000003</v>
      </c>
      <c r="E435" s="5">
        <v>70398.310800000007</v>
      </c>
      <c r="F435" t="s">
        <v>7249</v>
      </c>
      <c r="G435" s="5" t="str">
        <f t="shared" si="13"/>
        <v>ПИОНЕРСКИЙ</v>
      </c>
      <c r="J435" s="5"/>
      <c r="AF435" t="s">
        <v>7174</v>
      </c>
      <c r="AG435" s="24" t="s">
        <v>5669</v>
      </c>
      <c r="AH435" s="5" t="s">
        <v>7174</v>
      </c>
      <c r="AI435" s="5">
        <v>21261.0285</v>
      </c>
      <c r="AJ435" s="5">
        <v>21261.0285</v>
      </c>
      <c r="AK435">
        <v>20837.465199999999</v>
      </c>
      <c r="AL435" s="5" t="str">
        <f t="shared" si="14"/>
        <v>Город Нижний Тагил</v>
      </c>
    </row>
    <row r="436" spans="1:38" ht="15" customHeight="1" x14ac:dyDescent="0.25">
      <c r="A436" s="3" t="s">
        <v>740</v>
      </c>
      <c r="B436" s="3" t="s">
        <v>1628</v>
      </c>
      <c r="C436" s="5">
        <v>70734.0236</v>
      </c>
      <c r="D436" s="5">
        <v>70734.0236</v>
      </c>
      <c r="E436" s="5">
        <v>64050.9208</v>
      </c>
      <c r="F436" t="s">
        <v>7249</v>
      </c>
      <c r="G436" s="5" t="str">
        <f t="shared" si="13"/>
        <v>ЭЛЬМАШ</v>
      </c>
      <c r="J436" s="5"/>
      <c r="AF436" t="s">
        <v>7174</v>
      </c>
      <c r="AG436" s="24" t="s">
        <v>5670</v>
      </c>
      <c r="AH436" s="5" t="s">
        <v>7174</v>
      </c>
      <c r="AI436" s="5">
        <v>21261.0285</v>
      </c>
      <c r="AJ436" s="5">
        <v>21261.0285</v>
      </c>
      <c r="AK436">
        <v>20837.465199999999</v>
      </c>
      <c r="AL436" s="5" t="str">
        <f t="shared" si="14"/>
        <v>Город Нижний Тагил</v>
      </c>
    </row>
    <row r="437" spans="1:38" ht="15" customHeight="1" x14ac:dyDescent="0.25">
      <c r="A437" s="3" t="s">
        <v>741</v>
      </c>
      <c r="B437" s="3" t="s">
        <v>14</v>
      </c>
      <c r="C437" s="5">
        <v>93989.912800000006</v>
      </c>
      <c r="D437" s="5">
        <v>93989.912800000006</v>
      </c>
      <c r="E437" s="5">
        <v>85109.545199999993</v>
      </c>
      <c r="F437" t="s">
        <v>7249</v>
      </c>
      <c r="G437" s="5" t="str">
        <f t="shared" si="13"/>
        <v>Центр</v>
      </c>
      <c r="J437" s="5"/>
      <c r="AF437" t="s">
        <v>7174</v>
      </c>
      <c r="AG437" s="24" t="s">
        <v>5671</v>
      </c>
      <c r="AH437" s="5" t="s">
        <v>7174</v>
      </c>
      <c r="AI437" s="5">
        <v>21261.0285</v>
      </c>
      <c r="AJ437" s="5">
        <v>21261.0285</v>
      </c>
      <c r="AK437">
        <v>20837.465199999999</v>
      </c>
      <c r="AL437" s="5" t="str">
        <f t="shared" si="14"/>
        <v>Город Нижний Тагил</v>
      </c>
    </row>
    <row r="438" spans="1:38" ht="15" customHeight="1" x14ac:dyDescent="0.25">
      <c r="A438" s="3" t="s">
        <v>742</v>
      </c>
      <c r="B438" s="3" t="s">
        <v>1643</v>
      </c>
      <c r="C438" s="5">
        <v>76630.280299999999</v>
      </c>
      <c r="D438" s="5">
        <v>76630.280299999999</v>
      </c>
      <c r="E438" s="5">
        <v>69390.088799999998</v>
      </c>
      <c r="F438" t="s">
        <v>7249</v>
      </c>
      <c r="G438" s="5" t="str">
        <f t="shared" si="13"/>
        <v>Ю-З</v>
      </c>
      <c r="J438" s="5"/>
      <c r="AF438" t="s">
        <v>7174</v>
      </c>
      <c r="AG438" s="24" t="s">
        <v>5672</v>
      </c>
      <c r="AH438" s="5" t="s">
        <v>7174</v>
      </c>
      <c r="AI438" s="5">
        <v>21261.0285</v>
      </c>
      <c r="AJ438" s="5">
        <v>21261.0285</v>
      </c>
      <c r="AK438">
        <v>20837.465199999999</v>
      </c>
      <c r="AL438" s="5" t="str">
        <f t="shared" si="14"/>
        <v>Город Нижний Тагил</v>
      </c>
    </row>
    <row r="439" spans="1:38" ht="15" customHeight="1" x14ac:dyDescent="0.25">
      <c r="A439" s="3" t="s">
        <v>743</v>
      </c>
      <c r="B439" s="3" t="s">
        <v>1637</v>
      </c>
      <c r="C439" s="5">
        <v>59368.686099999999</v>
      </c>
      <c r="D439" s="5">
        <v>59368.686099999999</v>
      </c>
      <c r="E439" s="5">
        <v>53759.401700000002</v>
      </c>
      <c r="F439" t="s">
        <v>7249</v>
      </c>
      <c r="G439" s="5" t="str">
        <f t="shared" si="13"/>
        <v>Старая сортировка</v>
      </c>
      <c r="J439" s="5"/>
      <c r="AF439" t="s">
        <v>7174</v>
      </c>
      <c r="AG439" s="24" t="s">
        <v>5673</v>
      </c>
      <c r="AH439" s="5" t="s">
        <v>7174</v>
      </c>
      <c r="AI439" s="5">
        <v>21261.0285</v>
      </c>
      <c r="AJ439" s="5">
        <v>21261.0285</v>
      </c>
      <c r="AK439">
        <v>20837.465199999999</v>
      </c>
      <c r="AL439" s="5" t="str">
        <f t="shared" si="14"/>
        <v>Город Нижний Тагил</v>
      </c>
    </row>
    <row r="440" spans="1:38" ht="15" customHeight="1" x14ac:dyDescent="0.25">
      <c r="A440" s="3" t="s">
        <v>744</v>
      </c>
      <c r="B440" s="3" t="s">
        <v>33</v>
      </c>
      <c r="C440" s="5">
        <v>84298.205100000006</v>
      </c>
      <c r="D440" s="5">
        <v>84298.205100000006</v>
      </c>
      <c r="E440" s="5">
        <v>76333.533100000001</v>
      </c>
      <c r="F440" t="s">
        <v>7249</v>
      </c>
      <c r="G440" s="5" t="str">
        <f t="shared" si="13"/>
        <v>ВИЗ</v>
      </c>
      <c r="J440" s="5"/>
      <c r="AF440" t="s">
        <v>7174</v>
      </c>
      <c r="AG440" s="24" t="s">
        <v>5674</v>
      </c>
      <c r="AH440" s="5" t="s">
        <v>7174</v>
      </c>
      <c r="AI440" s="5">
        <v>21261.0285</v>
      </c>
      <c r="AJ440" s="5">
        <v>21261.0285</v>
      </c>
      <c r="AK440">
        <v>20837.465199999999</v>
      </c>
      <c r="AL440" s="5" t="str">
        <f t="shared" si="14"/>
        <v>Город Нижний Тагил</v>
      </c>
    </row>
    <row r="441" spans="1:38" ht="15" customHeight="1" x14ac:dyDescent="0.25">
      <c r="A441" s="3" t="s">
        <v>749</v>
      </c>
      <c r="B441" s="3" t="s">
        <v>1629</v>
      </c>
      <c r="C441" s="5">
        <v>77743.704100000003</v>
      </c>
      <c r="D441" s="5">
        <v>77743.704100000003</v>
      </c>
      <c r="E441" s="5">
        <v>70398.310800000007</v>
      </c>
      <c r="F441" t="s">
        <v>7249</v>
      </c>
      <c r="G441" s="5" t="str">
        <f t="shared" si="13"/>
        <v>ПИОНЕРСКИЙ</v>
      </c>
      <c r="J441" s="5"/>
      <c r="AF441" t="s">
        <v>7174</v>
      </c>
      <c r="AG441" s="24" t="s">
        <v>5675</v>
      </c>
      <c r="AH441" s="5" t="s">
        <v>7174</v>
      </c>
      <c r="AI441" s="5">
        <v>21261.0285</v>
      </c>
      <c r="AJ441" s="5">
        <v>21261.0285</v>
      </c>
      <c r="AK441">
        <v>20837.465199999999</v>
      </c>
      <c r="AL441" s="5" t="str">
        <f t="shared" si="14"/>
        <v>Город Нижний Тагил</v>
      </c>
    </row>
    <row r="442" spans="1:38" ht="15" customHeight="1" x14ac:dyDescent="0.25">
      <c r="A442" s="3" t="s">
        <v>750</v>
      </c>
      <c r="B442" s="3" t="s">
        <v>1628</v>
      </c>
      <c r="C442" s="5">
        <v>70734.0236</v>
      </c>
      <c r="D442" s="5">
        <v>70734.0236</v>
      </c>
      <c r="E442" s="5">
        <v>64050.9208</v>
      </c>
      <c r="F442" t="s">
        <v>7249</v>
      </c>
      <c r="G442" s="5" t="str">
        <f t="shared" si="13"/>
        <v>ЭЛЬМАШ</v>
      </c>
      <c r="J442" s="5"/>
      <c r="AF442" t="s">
        <v>7174</v>
      </c>
      <c r="AG442" s="24" t="s">
        <v>5676</v>
      </c>
      <c r="AH442" s="5" t="s">
        <v>7174</v>
      </c>
      <c r="AI442" s="5">
        <v>21261.0285</v>
      </c>
      <c r="AJ442" s="5">
        <v>21261.0285</v>
      </c>
      <c r="AK442">
        <v>20837.465199999999</v>
      </c>
      <c r="AL442" s="5" t="str">
        <f t="shared" si="14"/>
        <v>Город Нижний Тагил</v>
      </c>
    </row>
    <row r="443" spans="1:38" ht="15" customHeight="1" x14ac:dyDescent="0.25">
      <c r="A443" s="3" t="s">
        <v>751</v>
      </c>
      <c r="B443" s="3" t="s">
        <v>1633</v>
      </c>
      <c r="C443" s="5">
        <v>77071.442599999995</v>
      </c>
      <c r="D443" s="5">
        <v>77071.442599999995</v>
      </c>
      <c r="E443" s="5">
        <v>69789.570900000006</v>
      </c>
      <c r="F443" t="s">
        <v>7249</v>
      </c>
      <c r="G443" s="5" t="str">
        <f t="shared" si="13"/>
        <v>ВТУЗГОРОДОК</v>
      </c>
      <c r="J443" s="5"/>
      <c r="AF443" t="s">
        <v>7174</v>
      </c>
      <c r="AG443" s="24" t="s">
        <v>5677</v>
      </c>
      <c r="AH443" s="5" t="s">
        <v>7174</v>
      </c>
      <c r="AI443" s="5">
        <v>21261.0285</v>
      </c>
      <c r="AJ443" s="5">
        <v>21261.0285</v>
      </c>
      <c r="AK443">
        <v>20837.465199999999</v>
      </c>
      <c r="AL443" s="5" t="str">
        <f t="shared" si="14"/>
        <v>Город Нижний Тагил</v>
      </c>
    </row>
    <row r="444" spans="1:38" ht="15" customHeight="1" x14ac:dyDescent="0.25">
      <c r="A444" s="3" t="s">
        <v>752</v>
      </c>
      <c r="B444" s="3" t="s">
        <v>1629</v>
      </c>
      <c r="C444" s="5">
        <v>77743.704100000003</v>
      </c>
      <c r="D444" s="5">
        <v>77743.704100000003</v>
      </c>
      <c r="E444" s="5">
        <v>70398.310800000007</v>
      </c>
      <c r="F444" t="s">
        <v>7249</v>
      </c>
      <c r="G444" s="5" t="str">
        <f t="shared" si="13"/>
        <v>ПИОНЕРСКИЙ</v>
      </c>
      <c r="J444" s="5"/>
      <c r="AF444" t="s">
        <v>7174</v>
      </c>
      <c r="AG444" s="24" t="s">
        <v>5678</v>
      </c>
      <c r="AH444" s="5" t="s">
        <v>7174</v>
      </c>
      <c r="AI444" s="5">
        <v>21261.0285</v>
      </c>
      <c r="AJ444" s="5">
        <v>21261.0285</v>
      </c>
      <c r="AK444">
        <v>20837.465199999999</v>
      </c>
      <c r="AL444" s="5" t="str">
        <f t="shared" si="14"/>
        <v>Город Нижний Тагил</v>
      </c>
    </row>
    <row r="445" spans="1:38" ht="15" customHeight="1" x14ac:dyDescent="0.25">
      <c r="A445" s="3" t="s">
        <v>753</v>
      </c>
      <c r="B445" s="3" t="s">
        <v>33</v>
      </c>
      <c r="C445" s="5">
        <v>84298.205100000006</v>
      </c>
      <c r="D445" s="5">
        <v>84298.205100000006</v>
      </c>
      <c r="E445" s="5">
        <v>76333.533100000001</v>
      </c>
      <c r="F445" t="s">
        <v>7249</v>
      </c>
      <c r="G445" s="5" t="str">
        <f t="shared" si="13"/>
        <v>ВИЗ</v>
      </c>
      <c r="J445" s="5"/>
      <c r="AF445" t="s">
        <v>7174</v>
      </c>
      <c r="AG445" s="24" t="s">
        <v>5679</v>
      </c>
      <c r="AH445" s="5" t="s">
        <v>7174</v>
      </c>
      <c r="AI445" s="5">
        <v>21261.0285</v>
      </c>
      <c r="AJ445" s="5">
        <v>21261.0285</v>
      </c>
      <c r="AK445">
        <v>20837.465199999999</v>
      </c>
      <c r="AL445" s="5" t="str">
        <f t="shared" si="14"/>
        <v>Город Нижний Тагил</v>
      </c>
    </row>
    <row r="446" spans="1:38" ht="15" customHeight="1" x14ac:dyDescent="0.25">
      <c r="A446" s="3" t="s">
        <v>754</v>
      </c>
      <c r="B446" s="3" t="s">
        <v>1633</v>
      </c>
      <c r="C446" s="5">
        <v>77071.442599999995</v>
      </c>
      <c r="D446" s="5">
        <v>77071.442599999995</v>
      </c>
      <c r="E446" s="5">
        <v>69789.570900000006</v>
      </c>
      <c r="F446" t="s">
        <v>7249</v>
      </c>
      <c r="G446" s="5" t="str">
        <f t="shared" si="13"/>
        <v>ВТУЗГОРОДОК</v>
      </c>
      <c r="J446" s="5"/>
      <c r="AF446" t="s">
        <v>7175</v>
      </c>
      <c r="AG446" s="24" t="s">
        <v>5680</v>
      </c>
      <c r="AH446" s="5" t="s">
        <v>7175</v>
      </c>
      <c r="AI446" s="5">
        <v>30923.380499999999</v>
      </c>
      <c r="AJ446" s="5">
        <v>30923.380499999999</v>
      </c>
      <c r="AK446">
        <v>28720.386999999999</v>
      </c>
      <c r="AL446" s="5" t="str">
        <f t="shared" si="14"/>
        <v>Городской округ "Город Лесной"</v>
      </c>
    </row>
    <row r="447" spans="1:38" ht="15" customHeight="1" x14ac:dyDescent="0.25">
      <c r="A447" s="3" t="s">
        <v>755</v>
      </c>
      <c r="B447" s="3" t="s">
        <v>1631</v>
      </c>
      <c r="C447" s="5">
        <v>70026.7601</v>
      </c>
      <c r="D447" s="5">
        <v>70026.7601</v>
      </c>
      <c r="E447" s="5">
        <v>63410.482000000004</v>
      </c>
      <c r="F447" t="s">
        <v>7249</v>
      </c>
      <c r="G447" s="5" t="str">
        <f t="shared" si="13"/>
        <v>УРАЛМАШ</v>
      </c>
      <c r="J447" s="5"/>
      <c r="AF447" t="s">
        <v>7175</v>
      </c>
      <c r="AG447" s="24" t="s">
        <v>5681</v>
      </c>
      <c r="AH447" s="5" t="s">
        <v>7175</v>
      </c>
      <c r="AI447" s="5">
        <v>30923.380499999999</v>
      </c>
      <c r="AJ447" s="5">
        <v>30923.380499999999</v>
      </c>
      <c r="AK447">
        <v>28720.386999999999</v>
      </c>
      <c r="AL447" s="5" t="str">
        <f t="shared" si="14"/>
        <v>Городской округ "Город Лесной"</v>
      </c>
    </row>
    <row r="448" spans="1:38" ht="15" customHeight="1" x14ac:dyDescent="0.25">
      <c r="A448" s="3" t="s">
        <v>756</v>
      </c>
      <c r="B448" s="3" t="s">
        <v>1631</v>
      </c>
      <c r="C448" s="5">
        <v>70026.7601</v>
      </c>
      <c r="D448" s="5">
        <v>70026.7601</v>
      </c>
      <c r="E448" s="5">
        <v>63410.482000000004</v>
      </c>
      <c r="F448" t="s">
        <v>7249</v>
      </c>
      <c r="G448" s="5" t="str">
        <f t="shared" si="13"/>
        <v>УРАЛМАШ</v>
      </c>
      <c r="J448" s="5"/>
      <c r="AF448" t="s">
        <v>7175</v>
      </c>
      <c r="AG448" s="24" t="s">
        <v>5682</v>
      </c>
      <c r="AH448" s="5" t="s">
        <v>7175</v>
      </c>
      <c r="AI448" s="5">
        <v>38206.5527</v>
      </c>
      <c r="AJ448" s="5">
        <v>38206.5527</v>
      </c>
      <c r="AK448">
        <v>35484.692900000002</v>
      </c>
      <c r="AL448" s="5" t="str">
        <f t="shared" si="14"/>
        <v>Городской округ "Город Лесной"</v>
      </c>
    </row>
    <row r="449" spans="1:38" ht="15" customHeight="1" x14ac:dyDescent="0.25">
      <c r="A449" s="3" t="s">
        <v>758</v>
      </c>
      <c r="B449" s="3" t="s">
        <v>1638</v>
      </c>
      <c r="C449" s="5">
        <v>63640.311600000001</v>
      </c>
      <c r="D449" s="5">
        <v>63640.311600000001</v>
      </c>
      <c r="E449" s="5">
        <v>57627.4473</v>
      </c>
      <c r="F449" t="s">
        <v>7249</v>
      </c>
      <c r="G449" s="5" t="str">
        <f t="shared" si="13"/>
        <v>УКТУС</v>
      </c>
      <c r="J449" s="5"/>
      <c r="AF449" t="s">
        <v>7175</v>
      </c>
      <c r="AG449" s="24" t="s">
        <v>5683</v>
      </c>
      <c r="AH449" s="5" t="s">
        <v>7175</v>
      </c>
      <c r="AI449" s="5">
        <v>38206.5527</v>
      </c>
      <c r="AJ449" s="5">
        <v>38206.5527</v>
      </c>
      <c r="AK449">
        <v>35484.692900000002</v>
      </c>
      <c r="AL449" s="5" t="str">
        <f t="shared" si="14"/>
        <v>Городской округ "Город Лесной"</v>
      </c>
    </row>
    <row r="450" spans="1:38" ht="15" customHeight="1" x14ac:dyDescent="0.25">
      <c r="A450" s="3" t="s">
        <v>759</v>
      </c>
      <c r="B450" s="3" t="s">
        <v>1632</v>
      </c>
      <c r="C450" s="5">
        <v>83744.997499999998</v>
      </c>
      <c r="D450" s="5">
        <v>83744.997499999998</v>
      </c>
      <c r="E450" s="5">
        <v>75832.596099999995</v>
      </c>
      <c r="F450" t="s">
        <v>7249</v>
      </c>
      <c r="G450" s="5" t="str">
        <f t="shared" si="13"/>
        <v>АВТОВОКЗАЛ</v>
      </c>
      <c r="J450" s="5"/>
      <c r="AF450" t="s">
        <v>7175</v>
      </c>
      <c r="AG450" s="24" t="s">
        <v>5684</v>
      </c>
      <c r="AH450" s="5" t="s">
        <v>7175</v>
      </c>
      <c r="AI450" s="5">
        <v>30923.380499999999</v>
      </c>
      <c r="AJ450" s="5">
        <v>30923.380499999999</v>
      </c>
      <c r="AK450">
        <v>28720.386999999999</v>
      </c>
      <c r="AL450" s="5" t="str">
        <f t="shared" si="14"/>
        <v>Городской округ "Город Лесной"</v>
      </c>
    </row>
    <row r="451" spans="1:38" ht="15" customHeight="1" x14ac:dyDescent="0.25">
      <c r="A451" s="3" t="s">
        <v>760</v>
      </c>
      <c r="B451" s="3" t="s">
        <v>33</v>
      </c>
      <c r="C451" s="5">
        <v>84298.205100000006</v>
      </c>
      <c r="D451" s="5">
        <v>84298.205100000006</v>
      </c>
      <c r="E451" s="5">
        <v>76333.533100000001</v>
      </c>
      <c r="F451" t="s">
        <v>7249</v>
      </c>
      <c r="G451" s="5" t="str">
        <f t="shared" si="13"/>
        <v>ВИЗ</v>
      </c>
      <c r="J451" s="5"/>
      <c r="AF451" t="s">
        <v>7175</v>
      </c>
      <c r="AG451" s="24" t="s">
        <v>5685</v>
      </c>
      <c r="AH451" s="5" t="s">
        <v>7175</v>
      </c>
      <c r="AI451" s="5">
        <v>31697.953699999998</v>
      </c>
      <c r="AJ451" s="5">
        <v>31697.953699999998</v>
      </c>
      <c r="AK451">
        <v>29439.7788</v>
      </c>
      <c r="AL451" s="5" t="str">
        <f t="shared" si="14"/>
        <v>Городской округ "Город Лесной"</v>
      </c>
    </row>
    <row r="452" spans="1:38" ht="15" customHeight="1" x14ac:dyDescent="0.25">
      <c r="A452" s="3" t="s">
        <v>761</v>
      </c>
      <c r="B452" s="3" t="s">
        <v>1628</v>
      </c>
      <c r="C452" s="5">
        <v>70734.0236</v>
      </c>
      <c r="D452" s="5">
        <v>70734.0236</v>
      </c>
      <c r="E452" s="5">
        <v>64050.9208</v>
      </c>
      <c r="F452" t="s">
        <v>7249</v>
      </c>
      <c r="G452" s="5" t="str">
        <f t="shared" ref="G452:G515" si="15">B452</f>
        <v>ЭЛЬМАШ</v>
      </c>
      <c r="J452" s="5"/>
      <c r="AF452" t="s">
        <v>7175</v>
      </c>
      <c r="AG452" s="24" t="s">
        <v>5686</v>
      </c>
      <c r="AH452" s="5" t="s">
        <v>7175</v>
      </c>
      <c r="AI452" s="5">
        <v>38206.5527</v>
      </c>
      <c r="AJ452" s="5">
        <v>38206.5527</v>
      </c>
      <c r="AK452">
        <v>35484.692900000002</v>
      </c>
      <c r="AL452" s="5" t="str">
        <f t="shared" ref="AL452:AL515" si="16">AF452</f>
        <v>Городской округ "Город Лесной"</v>
      </c>
    </row>
    <row r="453" spans="1:38" ht="15" customHeight="1" x14ac:dyDescent="0.25">
      <c r="A453" s="3" t="s">
        <v>762</v>
      </c>
      <c r="B453" s="3" t="s">
        <v>1652</v>
      </c>
      <c r="C453" s="5">
        <v>71105.171700000006</v>
      </c>
      <c r="D453" s="5">
        <v>71105.171700000006</v>
      </c>
      <c r="E453" s="5">
        <v>64387.005100000002</v>
      </c>
      <c r="F453" t="s">
        <v>7249</v>
      </c>
      <c r="G453" s="5" t="str">
        <f t="shared" si="15"/>
        <v>ЗАРЕЧНЫЙ</v>
      </c>
      <c r="J453" s="5"/>
      <c r="AF453" t="s">
        <v>7176</v>
      </c>
      <c r="AG453" s="24" t="s">
        <v>5687</v>
      </c>
      <c r="AH453" s="5" t="s">
        <v>7176</v>
      </c>
      <c r="AI453" s="5">
        <v>24434.465499999998</v>
      </c>
      <c r="AJ453" s="5">
        <v>24434.465499999998</v>
      </c>
      <c r="AK453">
        <v>22693.7428</v>
      </c>
      <c r="AL453" s="5" t="str">
        <f t="shared" si="16"/>
        <v>Городской округ Богданович</v>
      </c>
    </row>
    <row r="454" spans="1:38" ht="15" customHeight="1" x14ac:dyDescent="0.25">
      <c r="A454" s="3" t="s">
        <v>763</v>
      </c>
      <c r="B454" s="3" t="s">
        <v>1654</v>
      </c>
      <c r="C454" s="5">
        <v>56140.449699999997</v>
      </c>
      <c r="D454" s="5">
        <v>56140.449699999997</v>
      </c>
      <c r="E454" s="5">
        <v>50836.1803</v>
      </c>
      <c r="F454" t="s">
        <v>7249</v>
      </c>
      <c r="G454" s="5" t="str">
        <f t="shared" si="15"/>
        <v>ЗАВОКЗАЛЬНЫЙ</v>
      </c>
      <c r="J454" s="5"/>
      <c r="AF454" t="s">
        <v>7176</v>
      </c>
      <c r="AG454" s="24" t="s">
        <v>5688</v>
      </c>
      <c r="AH454" s="5" t="s">
        <v>7176</v>
      </c>
      <c r="AI454" s="5">
        <v>24434.465499999998</v>
      </c>
      <c r="AJ454" s="5">
        <v>24434.465499999998</v>
      </c>
      <c r="AK454">
        <v>22693.7428</v>
      </c>
      <c r="AL454" s="5" t="str">
        <f t="shared" si="16"/>
        <v>Городской округ Богданович</v>
      </c>
    </row>
    <row r="455" spans="1:38" ht="15" customHeight="1" x14ac:dyDescent="0.25">
      <c r="A455" s="3" t="s">
        <v>769</v>
      </c>
      <c r="B455" s="3" t="s">
        <v>1627</v>
      </c>
      <c r="C455" s="5">
        <v>56392.543899999997</v>
      </c>
      <c r="D455" s="5">
        <v>56392.543899999997</v>
      </c>
      <c r="E455" s="5">
        <v>51064.4617</v>
      </c>
      <c r="F455" t="s">
        <v>7249</v>
      </c>
      <c r="G455" s="5" t="str">
        <f t="shared" si="15"/>
        <v>КОМПРЕССОРНЫЙ</v>
      </c>
      <c r="J455" s="5"/>
      <c r="AF455" t="s">
        <v>7176</v>
      </c>
      <c r="AG455" s="24" t="s">
        <v>5689</v>
      </c>
      <c r="AH455" s="5" t="s">
        <v>7176</v>
      </c>
      <c r="AI455" s="5">
        <v>25046.5085</v>
      </c>
      <c r="AJ455" s="5">
        <v>25046.5085</v>
      </c>
      <c r="AK455">
        <v>23262.175299999999</v>
      </c>
      <c r="AL455" s="5" t="str">
        <f t="shared" si="16"/>
        <v>Городской округ Богданович</v>
      </c>
    </row>
    <row r="456" spans="1:38" ht="15" customHeight="1" x14ac:dyDescent="0.25">
      <c r="A456" s="3" t="s">
        <v>772</v>
      </c>
      <c r="B456" s="3" t="s">
        <v>1640</v>
      </c>
      <c r="C456" s="5">
        <v>64914.8</v>
      </c>
      <c r="D456" s="5">
        <v>64914.8</v>
      </c>
      <c r="E456" s="5">
        <v>58781.519200000002</v>
      </c>
      <c r="F456" t="s">
        <v>7249</v>
      </c>
      <c r="G456" s="5" t="str">
        <f t="shared" si="15"/>
        <v>Новая сортировка</v>
      </c>
      <c r="J456" s="5"/>
      <c r="AF456" t="s">
        <v>7176</v>
      </c>
      <c r="AG456" s="24" t="s">
        <v>5690</v>
      </c>
      <c r="AH456" s="5" t="s">
        <v>7176</v>
      </c>
      <c r="AI456" s="5">
        <v>25046.5085</v>
      </c>
      <c r="AJ456" s="5">
        <v>25046.5085</v>
      </c>
      <c r="AK456">
        <v>23262.175299999999</v>
      </c>
      <c r="AL456" s="5" t="str">
        <f t="shared" si="16"/>
        <v>Городской округ Богданович</v>
      </c>
    </row>
    <row r="457" spans="1:38" ht="15" customHeight="1" x14ac:dyDescent="0.25">
      <c r="A457" s="3" t="s">
        <v>775</v>
      </c>
      <c r="B457" s="3" t="s">
        <v>1661</v>
      </c>
      <c r="C457" s="5">
        <v>51175.5573</v>
      </c>
      <c r="D457" s="5">
        <v>51175.5573</v>
      </c>
      <c r="E457" s="5">
        <v>46340.381600000001</v>
      </c>
      <c r="F457" t="s">
        <v>7249</v>
      </c>
      <c r="G457" s="5" t="str">
        <f t="shared" si="15"/>
        <v>СЕВЕРКА</v>
      </c>
      <c r="J457" s="5"/>
      <c r="AF457" t="s">
        <v>7176</v>
      </c>
      <c r="AG457" s="24" t="s">
        <v>5691</v>
      </c>
      <c r="AH457" s="5" t="s">
        <v>7176</v>
      </c>
      <c r="AI457" s="5">
        <v>24434.465499999998</v>
      </c>
      <c r="AJ457" s="5">
        <v>24434.465499999998</v>
      </c>
      <c r="AK457">
        <v>22693.7428</v>
      </c>
      <c r="AL457" s="5" t="str">
        <f t="shared" si="16"/>
        <v>Городской округ Богданович</v>
      </c>
    </row>
    <row r="458" spans="1:38" ht="15" customHeight="1" x14ac:dyDescent="0.25">
      <c r="A458" s="3" t="s">
        <v>776</v>
      </c>
      <c r="B458" s="3" t="s">
        <v>1644</v>
      </c>
      <c r="C458" s="5">
        <v>61980.678599999999</v>
      </c>
      <c r="D458" s="5">
        <v>61980.678599999999</v>
      </c>
      <c r="E458" s="5">
        <v>56124.615700000002</v>
      </c>
      <c r="F458" t="s">
        <v>7249</v>
      </c>
      <c r="G458" s="5" t="str">
        <f t="shared" si="15"/>
        <v>ХИММАШ</v>
      </c>
      <c r="J458" s="5"/>
      <c r="AF458" t="s">
        <v>7176</v>
      </c>
      <c r="AG458" s="24" t="s">
        <v>5692</v>
      </c>
      <c r="AH458" s="5" t="s">
        <v>7176</v>
      </c>
      <c r="AI458" s="5">
        <v>30189.341799999998</v>
      </c>
      <c r="AJ458" s="5">
        <v>30189.341799999998</v>
      </c>
      <c r="AK458">
        <v>28038.629199999999</v>
      </c>
      <c r="AL458" s="5" t="str">
        <f t="shared" si="16"/>
        <v>Городской округ Богданович</v>
      </c>
    </row>
    <row r="459" spans="1:38" ht="15" customHeight="1" x14ac:dyDescent="0.25">
      <c r="A459" s="3" t="s">
        <v>777</v>
      </c>
      <c r="B459" s="3" t="s">
        <v>1631</v>
      </c>
      <c r="C459" s="5">
        <v>70026.7601</v>
      </c>
      <c r="D459" s="5">
        <v>70026.7601</v>
      </c>
      <c r="E459" s="5">
        <v>63410.482000000004</v>
      </c>
      <c r="F459" t="s">
        <v>7249</v>
      </c>
      <c r="G459" s="5" t="str">
        <f t="shared" si="15"/>
        <v>УРАЛМАШ</v>
      </c>
      <c r="J459" s="5"/>
      <c r="AF459" t="s">
        <v>7176</v>
      </c>
      <c r="AG459" s="24" t="s">
        <v>5693</v>
      </c>
      <c r="AH459" s="5" t="s">
        <v>7176</v>
      </c>
      <c r="AI459" s="5">
        <v>24434.465499999998</v>
      </c>
      <c r="AJ459" s="5">
        <v>24434.465499999998</v>
      </c>
      <c r="AK459">
        <v>22693.7428</v>
      </c>
      <c r="AL459" s="5" t="str">
        <f t="shared" si="16"/>
        <v>Городской округ Богданович</v>
      </c>
    </row>
    <row r="460" spans="1:38" ht="15" customHeight="1" x14ac:dyDescent="0.25">
      <c r="A460" s="3" t="s">
        <v>778</v>
      </c>
      <c r="B460" s="3" t="s">
        <v>779</v>
      </c>
      <c r="C460" s="5">
        <v>46784.877899999999</v>
      </c>
      <c r="D460" s="5">
        <v>46784.877899999999</v>
      </c>
      <c r="E460" s="5">
        <v>42364.543299999998</v>
      </c>
      <c r="F460" t="s">
        <v>7249</v>
      </c>
      <c r="G460" s="5" t="str">
        <f t="shared" si="15"/>
        <v>Нижнеисетский</v>
      </c>
      <c r="J460" s="5"/>
      <c r="AF460" t="s">
        <v>7176</v>
      </c>
      <c r="AG460" s="24" t="s">
        <v>5694</v>
      </c>
      <c r="AH460" s="5" t="s">
        <v>7176</v>
      </c>
      <c r="AI460" s="5">
        <v>24434.465499999998</v>
      </c>
      <c r="AJ460" s="5">
        <v>24434.465499999998</v>
      </c>
      <c r="AK460">
        <v>22693.7428</v>
      </c>
      <c r="AL460" s="5" t="str">
        <f t="shared" si="16"/>
        <v>Городской округ Богданович</v>
      </c>
    </row>
    <row r="461" spans="1:38" ht="15" customHeight="1" x14ac:dyDescent="0.25">
      <c r="A461" s="3" t="s">
        <v>780</v>
      </c>
      <c r="B461" s="3" t="s">
        <v>1643</v>
      </c>
      <c r="C461" s="5">
        <v>76630.280299999999</v>
      </c>
      <c r="D461" s="5">
        <v>76630.280299999999</v>
      </c>
      <c r="E461" s="5">
        <v>69390.088799999998</v>
      </c>
      <c r="F461" t="s">
        <v>7249</v>
      </c>
      <c r="G461" s="5" t="str">
        <f t="shared" si="15"/>
        <v>Ю-З</v>
      </c>
      <c r="J461" s="5"/>
      <c r="AF461" t="s">
        <v>7176</v>
      </c>
      <c r="AG461" s="24" t="s">
        <v>5695</v>
      </c>
      <c r="AH461" s="5" t="s">
        <v>7176</v>
      </c>
      <c r="AI461" s="5">
        <v>24434.465499999998</v>
      </c>
      <c r="AJ461" s="5">
        <v>24434.465499999998</v>
      </c>
      <c r="AK461">
        <v>22693.7428</v>
      </c>
      <c r="AL461" s="5" t="str">
        <f t="shared" si="16"/>
        <v>Городской округ Богданович</v>
      </c>
    </row>
    <row r="462" spans="1:38" ht="15" customHeight="1" x14ac:dyDescent="0.25">
      <c r="A462" s="3" t="s">
        <v>781</v>
      </c>
      <c r="B462" s="3" t="s">
        <v>33</v>
      </c>
      <c r="C462" s="5">
        <v>84298.205100000006</v>
      </c>
      <c r="D462" s="5">
        <v>84298.205100000006</v>
      </c>
      <c r="E462" s="5">
        <v>76333.533100000001</v>
      </c>
      <c r="F462" t="s">
        <v>7249</v>
      </c>
      <c r="G462" s="5" t="str">
        <f t="shared" si="15"/>
        <v>ВИЗ</v>
      </c>
      <c r="J462" s="5"/>
      <c r="AF462" t="s">
        <v>7176</v>
      </c>
      <c r="AG462" s="24" t="s">
        <v>5696</v>
      </c>
      <c r="AH462" s="5" t="s">
        <v>7176</v>
      </c>
      <c r="AI462" s="5">
        <v>24434.465499999998</v>
      </c>
      <c r="AJ462" s="5">
        <v>24434.465499999998</v>
      </c>
      <c r="AK462">
        <v>22693.7428</v>
      </c>
      <c r="AL462" s="5" t="str">
        <f t="shared" si="16"/>
        <v>Городской округ Богданович</v>
      </c>
    </row>
    <row r="463" spans="1:38" ht="15" customHeight="1" x14ac:dyDescent="0.25">
      <c r="A463" s="3" t="s">
        <v>782</v>
      </c>
      <c r="B463" s="3" t="s">
        <v>33</v>
      </c>
      <c r="C463" s="5">
        <v>84298.205100000006</v>
      </c>
      <c r="D463" s="5">
        <v>84298.205100000006</v>
      </c>
      <c r="E463" s="5">
        <v>76333.533100000001</v>
      </c>
      <c r="F463" t="s">
        <v>7249</v>
      </c>
      <c r="G463" s="5" t="str">
        <f t="shared" si="15"/>
        <v>ВИЗ</v>
      </c>
      <c r="J463" s="5"/>
      <c r="AF463" t="s">
        <v>7176</v>
      </c>
      <c r="AG463" s="24" t="s">
        <v>5697</v>
      </c>
      <c r="AH463" s="5" t="s">
        <v>7176</v>
      </c>
      <c r="AI463" s="5">
        <v>24434.465499999998</v>
      </c>
      <c r="AJ463" s="5">
        <v>24434.465499999998</v>
      </c>
      <c r="AK463">
        <v>22693.7428</v>
      </c>
      <c r="AL463" s="5" t="str">
        <f t="shared" si="16"/>
        <v>Городской округ Богданович</v>
      </c>
    </row>
    <row r="464" spans="1:38" ht="15" customHeight="1" x14ac:dyDescent="0.25">
      <c r="A464" s="3" t="s">
        <v>783</v>
      </c>
      <c r="B464" s="3" t="s">
        <v>1640</v>
      </c>
      <c r="C464" s="5">
        <v>64914.8</v>
      </c>
      <c r="D464" s="5">
        <v>64914.8</v>
      </c>
      <c r="E464" s="5">
        <v>58781.519200000002</v>
      </c>
      <c r="F464" t="s">
        <v>7249</v>
      </c>
      <c r="G464" s="5" t="str">
        <f t="shared" si="15"/>
        <v>Новая сортировка</v>
      </c>
      <c r="J464" s="5"/>
      <c r="AF464" t="s">
        <v>7176</v>
      </c>
      <c r="AG464" s="24" t="s">
        <v>5698</v>
      </c>
      <c r="AH464" s="5" t="s">
        <v>7176</v>
      </c>
      <c r="AI464" s="5">
        <v>25046.5085</v>
      </c>
      <c r="AJ464" s="5">
        <v>25046.5085</v>
      </c>
      <c r="AK464">
        <v>23262.175299999999</v>
      </c>
      <c r="AL464" s="5" t="str">
        <f t="shared" si="16"/>
        <v>Городской округ Богданович</v>
      </c>
    </row>
    <row r="465" spans="1:38" ht="15" customHeight="1" x14ac:dyDescent="0.25">
      <c r="A465" s="3" t="s">
        <v>784</v>
      </c>
      <c r="B465" s="3" t="s">
        <v>1631</v>
      </c>
      <c r="C465" s="5">
        <v>70026.7601</v>
      </c>
      <c r="D465" s="5">
        <v>70026.7601</v>
      </c>
      <c r="E465" s="5">
        <v>63410.482000000004</v>
      </c>
      <c r="F465" t="s">
        <v>7249</v>
      </c>
      <c r="G465" s="5" t="str">
        <f t="shared" si="15"/>
        <v>УРАЛМАШ</v>
      </c>
      <c r="J465" s="5"/>
      <c r="AF465" t="s">
        <v>7176</v>
      </c>
      <c r="AG465" s="24" t="s">
        <v>5699</v>
      </c>
      <c r="AH465" s="5" t="s">
        <v>7176</v>
      </c>
      <c r="AI465" s="5">
        <v>24434.465499999998</v>
      </c>
      <c r="AJ465" s="5">
        <v>24434.465499999998</v>
      </c>
      <c r="AK465">
        <v>22693.7428</v>
      </c>
      <c r="AL465" s="5" t="str">
        <f t="shared" si="16"/>
        <v>Городской округ Богданович</v>
      </c>
    </row>
    <row r="466" spans="1:38" ht="15" customHeight="1" x14ac:dyDescent="0.25">
      <c r="A466" s="3" t="s">
        <v>785</v>
      </c>
      <c r="B466" s="3" t="s">
        <v>1659</v>
      </c>
      <c r="C466" s="5">
        <v>59746.832600000002</v>
      </c>
      <c r="D466" s="5">
        <v>59746.832600000002</v>
      </c>
      <c r="E466" s="5">
        <v>54101.823700000001</v>
      </c>
      <c r="F466" t="s">
        <v>7249</v>
      </c>
      <c r="G466" s="5" t="str">
        <f t="shared" si="15"/>
        <v>СОВХОЗ</v>
      </c>
      <c r="J466" s="5"/>
      <c r="AF466" t="s">
        <v>7176</v>
      </c>
      <c r="AG466" s="24" t="s">
        <v>5700</v>
      </c>
      <c r="AH466" s="5" t="s">
        <v>7176</v>
      </c>
      <c r="AI466" s="5">
        <v>24434.465499999998</v>
      </c>
      <c r="AJ466" s="5">
        <v>24434.465499999998</v>
      </c>
      <c r="AK466">
        <v>22693.7428</v>
      </c>
      <c r="AL466" s="5" t="str">
        <f t="shared" si="16"/>
        <v>Городской округ Богданович</v>
      </c>
    </row>
    <row r="467" spans="1:38" ht="15" customHeight="1" x14ac:dyDescent="0.25">
      <c r="A467" s="3" t="s">
        <v>786</v>
      </c>
      <c r="B467" s="3" t="s">
        <v>66</v>
      </c>
      <c r="C467" s="5">
        <v>64795.756300000001</v>
      </c>
      <c r="D467" s="5">
        <v>64795.756300000001</v>
      </c>
      <c r="E467" s="5">
        <v>58673.716200000003</v>
      </c>
      <c r="F467" t="s">
        <v>7249</v>
      </c>
      <c r="G467" s="5" t="str">
        <f t="shared" si="15"/>
        <v>УНЦ</v>
      </c>
      <c r="J467" s="5"/>
      <c r="AF467" t="s">
        <v>7176</v>
      </c>
      <c r="AG467" s="24" t="s">
        <v>5701</v>
      </c>
      <c r="AH467" s="5" t="s">
        <v>7176</v>
      </c>
      <c r="AI467" s="5">
        <v>24434.465499999998</v>
      </c>
      <c r="AJ467" s="5">
        <v>24434.465499999998</v>
      </c>
      <c r="AK467">
        <v>22693.7428</v>
      </c>
      <c r="AL467" s="5" t="str">
        <f t="shared" si="16"/>
        <v>Городской округ Богданович</v>
      </c>
    </row>
    <row r="468" spans="1:38" ht="15" customHeight="1" x14ac:dyDescent="0.25">
      <c r="A468" s="3" t="s">
        <v>787</v>
      </c>
      <c r="B468" s="3" t="s">
        <v>1636</v>
      </c>
      <c r="C468" s="5">
        <v>52246.960299999999</v>
      </c>
      <c r="D468" s="5">
        <v>52246.960299999999</v>
      </c>
      <c r="E468" s="5">
        <v>47310.556700000001</v>
      </c>
      <c r="F468" t="s">
        <v>7249</v>
      </c>
      <c r="G468" s="5" t="str">
        <f t="shared" si="15"/>
        <v>ГОРНЫЙ ЩИТ</v>
      </c>
      <c r="J468" s="5"/>
      <c r="AF468" t="s">
        <v>7176</v>
      </c>
      <c r="AG468" s="24" t="s">
        <v>5702</v>
      </c>
      <c r="AH468" s="5" t="s">
        <v>7176</v>
      </c>
      <c r="AI468" s="5">
        <v>24434.465499999998</v>
      </c>
      <c r="AJ468" s="5">
        <v>24434.465499999998</v>
      </c>
      <c r="AK468">
        <v>22693.7428</v>
      </c>
      <c r="AL468" s="5" t="str">
        <f t="shared" si="16"/>
        <v>Городской округ Богданович</v>
      </c>
    </row>
    <row r="469" spans="1:38" ht="15" customHeight="1" x14ac:dyDescent="0.25">
      <c r="A469" s="3" t="s">
        <v>788</v>
      </c>
      <c r="B469" s="3" t="s">
        <v>1636</v>
      </c>
      <c r="C469" s="5">
        <v>52246.960299999999</v>
      </c>
      <c r="D469" s="5">
        <v>52246.960299999999</v>
      </c>
      <c r="E469" s="5">
        <v>47310.556700000001</v>
      </c>
      <c r="F469" t="s">
        <v>7249</v>
      </c>
      <c r="G469" s="5" t="str">
        <f t="shared" si="15"/>
        <v>ГОРНЫЙ ЩИТ</v>
      </c>
      <c r="J469" s="5"/>
      <c r="AF469" t="s">
        <v>7176</v>
      </c>
      <c r="AG469" s="24" t="s">
        <v>5703</v>
      </c>
      <c r="AH469" s="5" t="s">
        <v>7176</v>
      </c>
      <c r="AI469" s="5">
        <v>24434.465499999998</v>
      </c>
      <c r="AJ469" s="5">
        <v>24434.465499999998</v>
      </c>
      <c r="AK469">
        <v>22693.7428</v>
      </c>
      <c r="AL469" s="5" t="str">
        <f t="shared" si="16"/>
        <v>Городской округ Богданович</v>
      </c>
    </row>
    <row r="470" spans="1:38" ht="15" customHeight="1" x14ac:dyDescent="0.25">
      <c r="A470" s="3" t="s">
        <v>795</v>
      </c>
      <c r="B470" s="3" t="s">
        <v>1629</v>
      </c>
      <c r="C470" s="5">
        <v>77743.704100000003</v>
      </c>
      <c r="D470" s="5">
        <v>77743.704100000003</v>
      </c>
      <c r="E470" s="5">
        <v>70398.310800000007</v>
      </c>
      <c r="F470" t="s">
        <v>7249</v>
      </c>
      <c r="G470" s="5" t="str">
        <f t="shared" si="15"/>
        <v>ПИОНЕРСКИЙ</v>
      </c>
      <c r="J470" s="5"/>
      <c r="AF470" t="s">
        <v>7176</v>
      </c>
      <c r="AG470" s="24" t="s">
        <v>5704</v>
      </c>
      <c r="AH470" s="5" t="s">
        <v>7176</v>
      </c>
      <c r="AI470" s="5">
        <v>25046.5085</v>
      </c>
      <c r="AJ470" s="5">
        <v>25046.5085</v>
      </c>
      <c r="AK470">
        <v>23262.175299999999</v>
      </c>
      <c r="AL470" s="5" t="str">
        <f t="shared" si="16"/>
        <v>Городской округ Богданович</v>
      </c>
    </row>
    <row r="471" spans="1:38" ht="15" customHeight="1" x14ac:dyDescent="0.25">
      <c r="A471" s="3" t="s">
        <v>796</v>
      </c>
      <c r="B471" s="3" t="s">
        <v>1643</v>
      </c>
      <c r="C471" s="5">
        <v>76630.280299999999</v>
      </c>
      <c r="D471" s="5">
        <v>76630.280299999999</v>
      </c>
      <c r="E471" s="5">
        <v>69390.088799999998</v>
      </c>
      <c r="F471" t="s">
        <v>7249</v>
      </c>
      <c r="G471" s="5" t="str">
        <f t="shared" si="15"/>
        <v>Ю-З</v>
      </c>
      <c r="J471" s="5"/>
      <c r="AF471" t="s">
        <v>7176</v>
      </c>
      <c r="AG471" s="24" t="s">
        <v>5705</v>
      </c>
      <c r="AH471" s="5" t="s">
        <v>7176</v>
      </c>
      <c r="AI471" s="5">
        <v>24434.465499999998</v>
      </c>
      <c r="AJ471" s="5">
        <v>24434.465499999998</v>
      </c>
      <c r="AK471">
        <v>22693.7428</v>
      </c>
      <c r="AL471" s="5" t="str">
        <f t="shared" si="16"/>
        <v>Городской округ Богданович</v>
      </c>
    </row>
    <row r="472" spans="1:38" ht="15" customHeight="1" x14ac:dyDescent="0.25">
      <c r="A472" s="3" t="s">
        <v>797</v>
      </c>
      <c r="B472" s="3" t="s">
        <v>1632</v>
      </c>
      <c r="C472" s="5">
        <v>83744.997499999998</v>
      </c>
      <c r="D472" s="5">
        <v>83744.997499999998</v>
      </c>
      <c r="E472" s="5">
        <v>75832.596099999995</v>
      </c>
      <c r="F472" t="s">
        <v>7249</v>
      </c>
      <c r="G472" s="5" t="str">
        <f t="shared" si="15"/>
        <v>АВТОВОКЗАЛ</v>
      </c>
      <c r="J472" s="5"/>
      <c r="AF472" t="s">
        <v>7176</v>
      </c>
      <c r="AG472" s="24" t="s">
        <v>5706</v>
      </c>
      <c r="AH472" s="5" t="s">
        <v>7176</v>
      </c>
      <c r="AI472" s="5">
        <v>24434.465499999998</v>
      </c>
      <c r="AJ472" s="5">
        <v>24434.465499999998</v>
      </c>
      <c r="AK472">
        <v>22693.7428</v>
      </c>
      <c r="AL472" s="5" t="str">
        <f t="shared" si="16"/>
        <v>Городской округ Богданович</v>
      </c>
    </row>
    <row r="473" spans="1:38" ht="15" customHeight="1" x14ac:dyDescent="0.25">
      <c r="A473" s="3" t="s">
        <v>798</v>
      </c>
      <c r="B473" s="3" t="s">
        <v>1630</v>
      </c>
      <c r="C473" s="5">
        <v>62652.9401</v>
      </c>
      <c r="D473" s="5">
        <v>62652.9401</v>
      </c>
      <c r="E473" s="5">
        <v>56733.3557</v>
      </c>
      <c r="F473" t="s">
        <v>7249</v>
      </c>
      <c r="G473" s="5" t="str">
        <f t="shared" si="15"/>
        <v>ЧЕРМЕТ</v>
      </c>
      <c r="J473" s="5"/>
      <c r="AF473" t="s">
        <v>7176</v>
      </c>
      <c r="AG473" s="24" t="s">
        <v>5707</v>
      </c>
      <c r="AH473" s="5" t="s">
        <v>7176</v>
      </c>
      <c r="AI473" s="5">
        <v>24434.465499999998</v>
      </c>
      <c r="AJ473" s="5">
        <v>24434.465499999998</v>
      </c>
      <c r="AK473">
        <v>22693.7428</v>
      </c>
      <c r="AL473" s="5" t="str">
        <f t="shared" si="16"/>
        <v>Городской округ Богданович</v>
      </c>
    </row>
    <row r="474" spans="1:38" ht="15" customHeight="1" x14ac:dyDescent="0.25">
      <c r="A474" s="3" t="s">
        <v>799</v>
      </c>
      <c r="B474" s="3" t="s">
        <v>1634</v>
      </c>
      <c r="C474" s="5">
        <v>77064.444199999998</v>
      </c>
      <c r="D474" s="5">
        <v>77064.444199999998</v>
      </c>
      <c r="E474" s="5">
        <v>69783.233200000002</v>
      </c>
      <c r="F474" t="s">
        <v>7249</v>
      </c>
      <c r="G474" s="5" t="str">
        <f t="shared" si="15"/>
        <v>БОТАНИЧЕСКИЙ</v>
      </c>
      <c r="J474" s="5"/>
      <c r="AF474" t="s">
        <v>7176</v>
      </c>
      <c r="AG474" s="24" t="s">
        <v>5708</v>
      </c>
      <c r="AH474" s="5" t="s">
        <v>7176</v>
      </c>
      <c r="AI474" s="5">
        <v>24434.465499999998</v>
      </c>
      <c r="AJ474" s="5">
        <v>24434.465499999998</v>
      </c>
      <c r="AK474">
        <v>22693.7428</v>
      </c>
      <c r="AL474" s="5" t="str">
        <f t="shared" si="16"/>
        <v>Городской округ Богданович</v>
      </c>
    </row>
    <row r="475" spans="1:38" ht="15" customHeight="1" x14ac:dyDescent="0.25">
      <c r="A475" s="3" t="s">
        <v>800</v>
      </c>
      <c r="B475" s="3" t="s">
        <v>1630</v>
      </c>
      <c r="C475" s="5">
        <v>62652.9401</v>
      </c>
      <c r="D475" s="5">
        <v>62652.9401</v>
      </c>
      <c r="E475" s="5">
        <v>56733.3557</v>
      </c>
      <c r="F475" t="s">
        <v>7249</v>
      </c>
      <c r="G475" s="5" t="str">
        <f t="shared" si="15"/>
        <v>ЧЕРМЕТ</v>
      </c>
      <c r="J475" s="5"/>
      <c r="AF475" t="s">
        <v>7176</v>
      </c>
      <c r="AG475" s="24" t="s">
        <v>5709</v>
      </c>
      <c r="AH475" s="5" t="s">
        <v>7176</v>
      </c>
      <c r="AI475" s="5">
        <v>24434.465499999998</v>
      </c>
      <c r="AJ475" s="5">
        <v>24434.465499999998</v>
      </c>
      <c r="AK475">
        <v>22693.7428</v>
      </c>
      <c r="AL475" s="5" t="str">
        <f t="shared" si="16"/>
        <v>Городской округ Богданович</v>
      </c>
    </row>
    <row r="476" spans="1:38" ht="15" customHeight="1" x14ac:dyDescent="0.25">
      <c r="A476" s="3" t="s">
        <v>802</v>
      </c>
      <c r="B476" s="3" t="s">
        <v>779</v>
      </c>
      <c r="C476" s="5">
        <v>46784.877899999999</v>
      </c>
      <c r="D476" s="5">
        <v>46784.877899999999</v>
      </c>
      <c r="E476" s="5">
        <v>42364.543299999998</v>
      </c>
      <c r="F476" t="s">
        <v>7249</v>
      </c>
      <c r="G476" s="5" t="str">
        <f t="shared" si="15"/>
        <v>Нижнеисетский</v>
      </c>
      <c r="J476" s="5"/>
      <c r="AF476" t="s">
        <v>7176</v>
      </c>
      <c r="AG476" s="24" t="s">
        <v>5710</v>
      </c>
      <c r="AH476" s="5" t="s">
        <v>7176</v>
      </c>
      <c r="AI476" s="5">
        <v>24434.465499999998</v>
      </c>
      <c r="AJ476" s="5">
        <v>24434.465499999998</v>
      </c>
      <c r="AK476">
        <v>22693.7428</v>
      </c>
      <c r="AL476" s="5" t="str">
        <f t="shared" si="16"/>
        <v>Городской округ Богданович</v>
      </c>
    </row>
    <row r="477" spans="1:38" ht="15" customHeight="1" x14ac:dyDescent="0.25">
      <c r="A477" s="3" t="s">
        <v>803</v>
      </c>
      <c r="B477" s="3" t="s">
        <v>1638</v>
      </c>
      <c r="C477" s="5">
        <v>63640.311600000001</v>
      </c>
      <c r="D477" s="5">
        <v>63640.311600000001</v>
      </c>
      <c r="E477" s="5">
        <v>57627.4473</v>
      </c>
      <c r="F477" t="s">
        <v>7249</v>
      </c>
      <c r="G477" s="5" t="str">
        <f t="shared" si="15"/>
        <v>УКТУС</v>
      </c>
      <c r="J477" s="5"/>
      <c r="AF477" t="s">
        <v>7176</v>
      </c>
      <c r="AG477" s="24" t="s">
        <v>5711</v>
      </c>
      <c r="AH477" s="5" t="s">
        <v>7176</v>
      </c>
      <c r="AI477" s="5">
        <v>24434.465499999998</v>
      </c>
      <c r="AJ477" s="5">
        <v>24434.465499999998</v>
      </c>
      <c r="AK477">
        <v>22693.7428</v>
      </c>
      <c r="AL477" s="5" t="str">
        <f t="shared" si="16"/>
        <v>Городской округ Богданович</v>
      </c>
    </row>
    <row r="478" spans="1:38" ht="15" customHeight="1" x14ac:dyDescent="0.25">
      <c r="A478" s="3" t="s">
        <v>807</v>
      </c>
      <c r="B478" s="3" t="s">
        <v>1628</v>
      </c>
      <c r="C478" s="5">
        <v>70734.0236</v>
      </c>
      <c r="D478" s="5">
        <v>70734.0236</v>
      </c>
      <c r="E478" s="5">
        <v>64050.9208</v>
      </c>
      <c r="F478" t="s">
        <v>7249</v>
      </c>
      <c r="G478" s="5" t="str">
        <f t="shared" si="15"/>
        <v>ЭЛЬМАШ</v>
      </c>
      <c r="J478" s="5"/>
      <c r="AF478" t="s">
        <v>7176</v>
      </c>
      <c r="AG478" s="24" t="s">
        <v>5712</v>
      </c>
      <c r="AH478" s="5" t="s">
        <v>7176</v>
      </c>
      <c r="AI478" s="5">
        <v>24434.465499999998</v>
      </c>
      <c r="AJ478" s="5">
        <v>24434.465499999998</v>
      </c>
      <c r="AK478">
        <v>22693.7428</v>
      </c>
      <c r="AL478" s="5" t="str">
        <f t="shared" si="16"/>
        <v>Городской округ Богданович</v>
      </c>
    </row>
    <row r="479" spans="1:38" ht="15" customHeight="1" x14ac:dyDescent="0.25">
      <c r="A479" s="3" t="s">
        <v>808</v>
      </c>
      <c r="B479" s="3" t="s">
        <v>1640</v>
      </c>
      <c r="C479" s="5">
        <v>64914.8</v>
      </c>
      <c r="D479" s="5">
        <v>64914.8</v>
      </c>
      <c r="E479" s="5">
        <v>58781.519200000002</v>
      </c>
      <c r="F479" t="s">
        <v>7249</v>
      </c>
      <c r="G479" s="5" t="str">
        <f t="shared" si="15"/>
        <v>Новая сортировка</v>
      </c>
      <c r="J479" s="5"/>
      <c r="AF479" t="s">
        <v>7176</v>
      </c>
      <c r="AG479" s="24" t="s">
        <v>5713</v>
      </c>
      <c r="AH479" s="5" t="s">
        <v>7176</v>
      </c>
      <c r="AI479" s="5">
        <v>24434.465499999998</v>
      </c>
      <c r="AJ479" s="5">
        <v>24434.465499999998</v>
      </c>
      <c r="AK479">
        <v>22693.7428</v>
      </c>
      <c r="AL479" s="5" t="str">
        <f t="shared" si="16"/>
        <v>Городской округ Богданович</v>
      </c>
    </row>
    <row r="480" spans="1:38" ht="15" customHeight="1" x14ac:dyDescent="0.25">
      <c r="A480" s="3" t="s">
        <v>809</v>
      </c>
      <c r="B480" s="3" t="s">
        <v>1644</v>
      </c>
      <c r="C480" s="5">
        <v>61980.678599999999</v>
      </c>
      <c r="D480" s="5">
        <v>61980.678599999999</v>
      </c>
      <c r="E480" s="5">
        <v>56124.615700000002</v>
      </c>
      <c r="F480" t="s">
        <v>7249</v>
      </c>
      <c r="G480" s="5" t="str">
        <f t="shared" si="15"/>
        <v>ХИММАШ</v>
      </c>
      <c r="J480" s="5"/>
      <c r="AF480" t="s">
        <v>7176</v>
      </c>
      <c r="AG480" s="24" t="s">
        <v>5714</v>
      </c>
      <c r="AH480" s="5" t="s">
        <v>7176</v>
      </c>
      <c r="AI480" s="5">
        <v>24434.465499999998</v>
      </c>
      <c r="AJ480" s="5">
        <v>24434.465499999998</v>
      </c>
      <c r="AK480">
        <v>22693.7428</v>
      </c>
      <c r="AL480" s="5" t="str">
        <f t="shared" si="16"/>
        <v>Городской округ Богданович</v>
      </c>
    </row>
    <row r="481" spans="1:38" ht="15" customHeight="1" x14ac:dyDescent="0.25">
      <c r="A481" s="3" t="s">
        <v>810</v>
      </c>
      <c r="B481" s="3" t="s">
        <v>1636</v>
      </c>
      <c r="C481" s="5">
        <v>52246.960299999999</v>
      </c>
      <c r="D481" s="5">
        <v>52246.960299999999</v>
      </c>
      <c r="E481" s="5">
        <v>47310.556700000001</v>
      </c>
      <c r="F481" t="s">
        <v>7249</v>
      </c>
      <c r="G481" s="5" t="str">
        <f t="shared" si="15"/>
        <v>ГОРНЫЙ ЩИТ</v>
      </c>
      <c r="J481" s="5"/>
      <c r="AF481" t="s">
        <v>7176</v>
      </c>
      <c r="AG481" s="24" t="s">
        <v>5715</v>
      </c>
      <c r="AH481" s="5" t="s">
        <v>7176</v>
      </c>
      <c r="AI481" s="5">
        <v>25046.5085</v>
      </c>
      <c r="AJ481" s="5">
        <v>25046.5085</v>
      </c>
      <c r="AK481">
        <v>23262.175299999999</v>
      </c>
      <c r="AL481" s="5" t="str">
        <f t="shared" si="16"/>
        <v>Городской округ Богданович</v>
      </c>
    </row>
    <row r="482" spans="1:38" ht="15" customHeight="1" x14ac:dyDescent="0.25">
      <c r="A482" s="3" t="s">
        <v>811</v>
      </c>
      <c r="B482" s="3" t="s">
        <v>1628</v>
      </c>
      <c r="C482" s="5">
        <v>70734.0236</v>
      </c>
      <c r="D482" s="5">
        <v>70734.0236</v>
      </c>
      <c r="E482" s="5">
        <v>64050.9208</v>
      </c>
      <c r="F482" t="s">
        <v>7249</v>
      </c>
      <c r="G482" s="5" t="str">
        <f t="shared" si="15"/>
        <v>ЭЛЬМАШ</v>
      </c>
      <c r="J482" s="5"/>
      <c r="AF482" t="s">
        <v>7176</v>
      </c>
      <c r="AG482" s="24" t="s">
        <v>5716</v>
      </c>
      <c r="AH482" s="5" t="s">
        <v>7176</v>
      </c>
      <c r="AI482" s="5">
        <v>24434.465499999998</v>
      </c>
      <c r="AJ482" s="5">
        <v>24434.465499999998</v>
      </c>
      <c r="AK482">
        <v>22693.7428</v>
      </c>
      <c r="AL482" s="5" t="str">
        <f t="shared" si="16"/>
        <v>Городской округ Богданович</v>
      </c>
    </row>
    <row r="483" spans="1:38" ht="15" customHeight="1" x14ac:dyDescent="0.25">
      <c r="A483" s="3" t="s">
        <v>812</v>
      </c>
      <c r="B483" s="3" t="s">
        <v>1631</v>
      </c>
      <c r="C483" s="5">
        <v>70026.7601</v>
      </c>
      <c r="D483" s="5">
        <v>70026.7601</v>
      </c>
      <c r="E483" s="5">
        <v>63410.482000000004</v>
      </c>
      <c r="F483" t="s">
        <v>7249</v>
      </c>
      <c r="G483" s="5" t="str">
        <f t="shared" si="15"/>
        <v>УРАЛМАШ</v>
      </c>
      <c r="J483" s="5"/>
      <c r="AF483" t="s">
        <v>7176</v>
      </c>
      <c r="AG483" s="24" t="s">
        <v>5717</v>
      </c>
      <c r="AH483" s="5" t="s">
        <v>7176</v>
      </c>
      <c r="AI483" s="5">
        <v>24434.465499999998</v>
      </c>
      <c r="AJ483" s="5">
        <v>24434.465499999998</v>
      </c>
      <c r="AK483">
        <v>22693.7428</v>
      </c>
      <c r="AL483" s="5" t="str">
        <f t="shared" si="16"/>
        <v>Городской округ Богданович</v>
      </c>
    </row>
    <row r="484" spans="1:38" ht="15" customHeight="1" x14ac:dyDescent="0.25">
      <c r="A484" s="3" t="s">
        <v>813</v>
      </c>
      <c r="B484" s="3" t="s">
        <v>1631</v>
      </c>
      <c r="C484" s="5">
        <v>70026.7601</v>
      </c>
      <c r="D484" s="5">
        <v>70026.7601</v>
      </c>
      <c r="E484" s="5">
        <v>63410.482000000004</v>
      </c>
      <c r="F484" t="s">
        <v>7249</v>
      </c>
      <c r="G484" s="5" t="str">
        <f t="shared" si="15"/>
        <v>УРАЛМАШ</v>
      </c>
      <c r="J484" s="5"/>
      <c r="AF484" t="s">
        <v>7176</v>
      </c>
      <c r="AG484" s="24" t="s">
        <v>5718</v>
      </c>
      <c r="AH484" s="5" t="s">
        <v>7176</v>
      </c>
      <c r="AI484" s="5">
        <v>24434.465499999998</v>
      </c>
      <c r="AJ484" s="5">
        <v>24434.465499999998</v>
      </c>
      <c r="AK484">
        <v>22693.7428</v>
      </c>
      <c r="AL484" s="5" t="str">
        <f t="shared" si="16"/>
        <v>Городской округ Богданович</v>
      </c>
    </row>
    <row r="485" spans="1:38" ht="15" customHeight="1" x14ac:dyDescent="0.25">
      <c r="A485" s="3" t="s">
        <v>814</v>
      </c>
      <c r="B485" s="3" t="s">
        <v>14</v>
      </c>
      <c r="C485" s="5">
        <v>93989.912800000006</v>
      </c>
      <c r="D485" s="5">
        <v>93989.912800000006</v>
      </c>
      <c r="E485" s="5">
        <v>85109.545199999993</v>
      </c>
      <c r="F485" t="s">
        <v>7249</v>
      </c>
      <c r="G485" s="5" t="str">
        <f t="shared" si="15"/>
        <v>Центр</v>
      </c>
      <c r="J485" s="5"/>
      <c r="AF485" t="s">
        <v>7176</v>
      </c>
      <c r="AG485" s="24" t="s">
        <v>5719</v>
      </c>
      <c r="AH485" s="5" t="s">
        <v>7176</v>
      </c>
      <c r="AI485" s="5">
        <v>24434.465499999998</v>
      </c>
      <c r="AJ485" s="5">
        <v>24434.465499999998</v>
      </c>
      <c r="AK485">
        <v>22693.7428</v>
      </c>
      <c r="AL485" s="5" t="str">
        <f t="shared" si="16"/>
        <v>Городской округ Богданович</v>
      </c>
    </row>
    <row r="486" spans="1:38" ht="15" customHeight="1" x14ac:dyDescent="0.25">
      <c r="A486" s="3" t="s">
        <v>815</v>
      </c>
      <c r="B486" s="3" t="s">
        <v>1631</v>
      </c>
      <c r="C486" s="5">
        <v>70026.7601</v>
      </c>
      <c r="D486" s="5">
        <v>70026.7601</v>
      </c>
      <c r="E486" s="5">
        <v>63410.482000000004</v>
      </c>
      <c r="F486" t="s">
        <v>7249</v>
      </c>
      <c r="G486" s="5" t="str">
        <f t="shared" si="15"/>
        <v>УРАЛМАШ</v>
      </c>
      <c r="J486" s="5"/>
      <c r="AF486" t="s">
        <v>7176</v>
      </c>
      <c r="AG486" s="24" t="s">
        <v>5720</v>
      </c>
      <c r="AH486" s="5" t="s">
        <v>7176</v>
      </c>
      <c r="AI486" s="5">
        <v>24434.465499999998</v>
      </c>
      <c r="AJ486" s="5">
        <v>24434.465499999998</v>
      </c>
      <c r="AK486">
        <v>22693.7428</v>
      </c>
      <c r="AL486" s="5" t="str">
        <f t="shared" si="16"/>
        <v>Городской округ Богданович</v>
      </c>
    </row>
    <row r="487" spans="1:38" ht="15" customHeight="1" x14ac:dyDescent="0.25">
      <c r="A487" s="3" t="s">
        <v>816</v>
      </c>
      <c r="B487" s="3" t="s">
        <v>1631</v>
      </c>
      <c r="C487" s="5">
        <v>70026.7601</v>
      </c>
      <c r="D487" s="5">
        <v>70026.7601</v>
      </c>
      <c r="E487" s="5">
        <v>63410.482000000004</v>
      </c>
      <c r="F487" t="s">
        <v>7249</v>
      </c>
      <c r="G487" s="5" t="str">
        <f t="shared" si="15"/>
        <v>УРАЛМАШ</v>
      </c>
      <c r="J487" s="5"/>
      <c r="AF487" t="s">
        <v>7176</v>
      </c>
      <c r="AG487" s="24" t="s">
        <v>5721</v>
      </c>
      <c r="AH487" s="5" t="s">
        <v>7176</v>
      </c>
      <c r="AI487" s="5">
        <v>24434.465499999998</v>
      </c>
      <c r="AJ487" s="5">
        <v>24434.465499999998</v>
      </c>
      <c r="AK487">
        <v>22693.7428</v>
      </c>
      <c r="AL487" s="5" t="str">
        <f t="shared" si="16"/>
        <v>Городской округ Богданович</v>
      </c>
    </row>
    <row r="488" spans="1:38" ht="15" customHeight="1" x14ac:dyDescent="0.25">
      <c r="A488" s="3" t="s">
        <v>817</v>
      </c>
      <c r="B488" s="3" t="s">
        <v>1628</v>
      </c>
      <c r="C488" s="5">
        <v>70734.0236</v>
      </c>
      <c r="D488" s="5">
        <v>70734.0236</v>
      </c>
      <c r="E488" s="5">
        <v>64050.9208</v>
      </c>
      <c r="F488" t="s">
        <v>7249</v>
      </c>
      <c r="G488" s="5" t="str">
        <f t="shared" si="15"/>
        <v>ЭЛЬМАШ</v>
      </c>
      <c r="J488" s="5"/>
      <c r="AF488" t="s">
        <v>7176</v>
      </c>
      <c r="AG488" s="24" t="s">
        <v>5722</v>
      </c>
      <c r="AH488" s="5" t="s">
        <v>7176</v>
      </c>
      <c r="AI488" s="5">
        <v>25046.5085</v>
      </c>
      <c r="AJ488" s="5">
        <v>25046.5085</v>
      </c>
      <c r="AK488">
        <v>23262.175299999999</v>
      </c>
      <c r="AL488" s="5" t="str">
        <f t="shared" si="16"/>
        <v>Городской округ Богданович</v>
      </c>
    </row>
    <row r="489" spans="1:38" ht="15" customHeight="1" x14ac:dyDescent="0.25">
      <c r="A489" s="3" t="s">
        <v>818</v>
      </c>
      <c r="B489" s="3" t="s">
        <v>1631</v>
      </c>
      <c r="C489" s="5">
        <v>70026.7601</v>
      </c>
      <c r="D489" s="5">
        <v>70026.7601</v>
      </c>
      <c r="E489" s="5">
        <v>63410.482000000004</v>
      </c>
      <c r="F489" t="s">
        <v>7249</v>
      </c>
      <c r="G489" s="5" t="str">
        <f t="shared" si="15"/>
        <v>УРАЛМАШ</v>
      </c>
      <c r="J489" s="5"/>
      <c r="AF489" t="s">
        <v>7176</v>
      </c>
      <c r="AG489" s="24" t="s">
        <v>5723</v>
      </c>
      <c r="AH489" s="5" t="s">
        <v>7176</v>
      </c>
      <c r="AI489" s="5">
        <v>25046.5085</v>
      </c>
      <c r="AJ489" s="5">
        <v>25046.5085</v>
      </c>
      <c r="AK489">
        <v>23262.175299999999</v>
      </c>
      <c r="AL489" s="5" t="str">
        <f t="shared" si="16"/>
        <v>Городской округ Богданович</v>
      </c>
    </row>
    <row r="490" spans="1:38" ht="15" customHeight="1" x14ac:dyDescent="0.25">
      <c r="A490" s="3" t="s">
        <v>819</v>
      </c>
      <c r="B490" s="3" t="s">
        <v>1628</v>
      </c>
      <c r="C490" s="5">
        <v>70734.0236</v>
      </c>
      <c r="D490" s="5">
        <v>70734.0236</v>
      </c>
      <c r="E490" s="5">
        <v>64050.9208</v>
      </c>
      <c r="F490" t="s">
        <v>7249</v>
      </c>
      <c r="G490" s="5" t="str">
        <f t="shared" si="15"/>
        <v>ЭЛЬМАШ</v>
      </c>
      <c r="J490" s="5"/>
      <c r="AF490" t="s">
        <v>7176</v>
      </c>
      <c r="AG490" s="24" t="s">
        <v>5724</v>
      </c>
      <c r="AH490" s="5" t="s">
        <v>7176</v>
      </c>
      <c r="AI490" s="5">
        <v>24434.465499999998</v>
      </c>
      <c r="AJ490" s="5">
        <v>24434.465499999998</v>
      </c>
      <c r="AK490">
        <v>22693.7428</v>
      </c>
      <c r="AL490" s="5" t="str">
        <f t="shared" si="16"/>
        <v>Городской округ Богданович</v>
      </c>
    </row>
    <row r="491" spans="1:38" ht="15" customHeight="1" x14ac:dyDescent="0.25">
      <c r="A491" s="3" t="s">
        <v>820</v>
      </c>
      <c r="B491" s="3" t="s">
        <v>1659</v>
      </c>
      <c r="C491" s="5">
        <v>59746.832600000002</v>
      </c>
      <c r="D491" s="5">
        <v>59746.832600000002</v>
      </c>
      <c r="E491" s="5">
        <v>54101.823700000001</v>
      </c>
      <c r="F491" t="s">
        <v>7249</v>
      </c>
      <c r="G491" s="5" t="str">
        <f t="shared" si="15"/>
        <v>СОВХОЗ</v>
      </c>
      <c r="J491" s="5"/>
      <c r="AF491" t="s">
        <v>7176</v>
      </c>
      <c r="AG491" s="24" t="s">
        <v>5725</v>
      </c>
      <c r="AH491" s="5" t="s">
        <v>7176</v>
      </c>
      <c r="AI491" s="5">
        <v>24434.465499999998</v>
      </c>
      <c r="AJ491" s="5">
        <v>24434.465499999998</v>
      </c>
      <c r="AK491">
        <v>22693.7428</v>
      </c>
      <c r="AL491" s="5" t="str">
        <f t="shared" si="16"/>
        <v>Городской округ Богданович</v>
      </c>
    </row>
    <row r="492" spans="1:38" ht="15" customHeight="1" x14ac:dyDescent="0.25">
      <c r="A492" s="3" t="s">
        <v>821</v>
      </c>
      <c r="B492" s="3" t="s">
        <v>1659</v>
      </c>
      <c r="C492" s="5">
        <v>59746.832600000002</v>
      </c>
      <c r="D492" s="5">
        <v>59746.832600000002</v>
      </c>
      <c r="E492" s="5">
        <v>54101.823700000001</v>
      </c>
      <c r="F492" t="s">
        <v>7249</v>
      </c>
      <c r="G492" s="5" t="str">
        <f t="shared" si="15"/>
        <v>СОВХОЗ</v>
      </c>
      <c r="J492" s="5"/>
      <c r="AF492" t="s">
        <v>7176</v>
      </c>
      <c r="AG492" s="24" t="s">
        <v>5726</v>
      </c>
      <c r="AH492" s="5" t="s">
        <v>7176</v>
      </c>
      <c r="AI492" s="5">
        <v>24434.465499999998</v>
      </c>
      <c r="AJ492" s="5">
        <v>24434.465499999998</v>
      </c>
      <c r="AK492">
        <v>22693.7428</v>
      </c>
      <c r="AL492" s="5" t="str">
        <f t="shared" si="16"/>
        <v>Городской округ Богданович</v>
      </c>
    </row>
    <row r="493" spans="1:38" ht="15" customHeight="1" x14ac:dyDescent="0.25">
      <c r="A493" s="3" t="s">
        <v>822</v>
      </c>
      <c r="B493" s="3" t="s">
        <v>1659</v>
      </c>
      <c r="C493" s="5">
        <v>59746.832600000002</v>
      </c>
      <c r="D493" s="5">
        <v>59746.832600000002</v>
      </c>
      <c r="E493" s="5">
        <v>54101.823700000001</v>
      </c>
      <c r="F493" t="s">
        <v>7249</v>
      </c>
      <c r="G493" s="5" t="str">
        <f t="shared" si="15"/>
        <v>СОВХОЗ</v>
      </c>
      <c r="J493" s="5"/>
      <c r="AF493" t="s">
        <v>7176</v>
      </c>
      <c r="AG493" s="24" t="s">
        <v>5727</v>
      </c>
      <c r="AH493" s="5" t="s">
        <v>7176</v>
      </c>
      <c r="AI493" s="5">
        <v>24434.465499999998</v>
      </c>
      <c r="AJ493" s="5">
        <v>24434.465499999998</v>
      </c>
      <c r="AK493">
        <v>22693.7428</v>
      </c>
      <c r="AL493" s="5" t="str">
        <f t="shared" si="16"/>
        <v>Городской округ Богданович</v>
      </c>
    </row>
    <row r="494" spans="1:38" ht="15" customHeight="1" x14ac:dyDescent="0.25">
      <c r="A494" s="3" t="s">
        <v>823</v>
      </c>
      <c r="B494" s="3" t="s">
        <v>1644</v>
      </c>
      <c r="C494" s="5">
        <v>61980.678599999999</v>
      </c>
      <c r="D494" s="5">
        <v>61980.678599999999</v>
      </c>
      <c r="E494" s="5">
        <v>56124.615700000002</v>
      </c>
      <c r="F494" t="s">
        <v>7249</v>
      </c>
      <c r="G494" s="5" t="str">
        <f t="shared" si="15"/>
        <v>ХИММАШ</v>
      </c>
      <c r="J494" s="5"/>
      <c r="AF494" t="s">
        <v>7176</v>
      </c>
      <c r="AG494" s="24" t="s">
        <v>5728</v>
      </c>
      <c r="AH494" s="5" t="s">
        <v>7176</v>
      </c>
      <c r="AI494" s="5">
        <v>24434.465499999998</v>
      </c>
      <c r="AJ494" s="5">
        <v>24434.465499999998</v>
      </c>
      <c r="AK494">
        <v>22693.7428</v>
      </c>
      <c r="AL494" s="5" t="str">
        <f t="shared" si="16"/>
        <v>Городской округ Богданович</v>
      </c>
    </row>
    <row r="495" spans="1:38" ht="15" customHeight="1" x14ac:dyDescent="0.25">
      <c r="A495" s="3" t="s">
        <v>826</v>
      </c>
      <c r="B495" s="3" t="s">
        <v>1631</v>
      </c>
      <c r="C495" s="5">
        <v>70026.7601</v>
      </c>
      <c r="D495" s="5">
        <v>70026.7601</v>
      </c>
      <c r="E495" s="5">
        <v>63410.482000000004</v>
      </c>
      <c r="F495" t="s">
        <v>7249</v>
      </c>
      <c r="G495" s="5" t="str">
        <f t="shared" si="15"/>
        <v>УРАЛМАШ</v>
      </c>
      <c r="J495" s="5"/>
      <c r="AF495" t="s">
        <v>7177</v>
      </c>
      <c r="AG495" s="24" t="s">
        <v>5729</v>
      </c>
      <c r="AH495" s="5" t="s">
        <v>7177</v>
      </c>
      <c r="AI495" s="5">
        <v>37622.265599999999</v>
      </c>
      <c r="AJ495" s="5">
        <v>37622.265599999999</v>
      </c>
      <c r="AK495">
        <v>34942.024100000002</v>
      </c>
      <c r="AL495" s="5" t="str">
        <f t="shared" si="16"/>
        <v>Городской округ Верхнее Дуброво</v>
      </c>
    </row>
    <row r="496" spans="1:38" ht="15" customHeight="1" x14ac:dyDescent="0.25">
      <c r="A496" s="3" t="s">
        <v>827</v>
      </c>
      <c r="B496" s="3" t="s">
        <v>1631</v>
      </c>
      <c r="C496" s="5">
        <v>70026.7601</v>
      </c>
      <c r="D496" s="5">
        <v>70026.7601</v>
      </c>
      <c r="E496" s="5">
        <v>63410.482000000004</v>
      </c>
      <c r="F496" t="s">
        <v>7249</v>
      </c>
      <c r="G496" s="5" t="str">
        <f t="shared" si="15"/>
        <v>УРАЛМАШ</v>
      </c>
      <c r="J496" s="5"/>
      <c r="AF496" t="s">
        <v>7177</v>
      </c>
      <c r="AG496" s="24" t="s">
        <v>5730</v>
      </c>
      <c r="AH496" s="5" t="s">
        <v>7177</v>
      </c>
      <c r="AI496" s="5">
        <v>46483.165800000002</v>
      </c>
      <c r="AJ496" s="5">
        <v>46483.165800000002</v>
      </c>
      <c r="AK496">
        <v>43171.682399999998</v>
      </c>
      <c r="AL496" s="5" t="str">
        <f t="shared" si="16"/>
        <v>Городской округ Верхнее Дуброво</v>
      </c>
    </row>
    <row r="497" spans="1:38" ht="15" customHeight="1" x14ac:dyDescent="0.25">
      <c r="A497" s="3" t="s">
        <v>828</v>
      </c>
      <c r="B497" s="3" t="s">
        <v>14</v>
      </c>
      <c r="C497" s="5">
        <v>93989.912800000006</v>
      </c>
      <c r="D497" s="5">
        <v>93989.912800000006</v>
      </c>
      <c r="E497" s="5">
        <v>85109.545199999993</v>
      </c>
      <c r="F497" t="s">
        <v>7249</v>
      </c>
      <c r="G497" s="5" t="str">
        <f t="shared" si="15"/>
        <v>Центр</v>
      </c>
      <c r="J497" s="5"/>
      <c r="AF497" t="s">
        <v>7178</v>
      </c>
      <c r="AG497" s="24" t="s">
        <v>5731</v>
      </c>
      <c r="AH497" s="5" t="s">
        <v>7178</v>
      </c>
      <c r="AI497" s="5">
        <v>18060.423999999999</v>
      </c>
      <c r="AJ497" s="5">
        <v>18060.423999999999</v>
      </c>
      <c r="AK497">
        <v>16773.7971</v>
      </c>
      <c r="AL497" s="5" t="str">
        <f t="shared" si="16"/>
        <v>Городской округ Верх-Нейвинский</v>
      </c>
    </row>
    <row r="498" spans="1:38" ht="15" customHeight="1" x14ac:dyDescent="0.25">
      <c r="A498" s="3" t="s">
        <v>832</v>
      </c>
      <c r="B498" s="3" t="s">
        <v>1643</v>
      </c>
      <c r="C498" s="5">
        <v>76630.280299999999</v>
      </c>
      <c r="D498" s="5">
        <v>76630.280299999999</v>
      </c>
      <c r="E498" s="5">
        <v>69390.088799999998</v>
      </c>
      <c r="F498" t="s">
        <v>7249</v>
      </c>
      <c r="G498" s="5" t="str">
        <f t="shared" si="15"/>
        <v>Ю-З</v>
      </c>
      <c r="J498" s="5"/>
      <c r="AF498" t="s">
        <v>7178</v>
      </c>
      <c r="AG498" s="24" t="s">
        <v>5732</v>
      </c>
      <c r="AH498" s="5" t="s">
        <v>7178</v>
      </c>
      <c r="AI498" s="5">
        <v>22314.079000000002</v>
      </c>
      <c r="AJ498" s="5">
        <v>22314.079000000002</v>
      </c>
      <c r="AK498">
        <v>20724.4084</v>
      </c>
      <c r="AL498" s="5" t="str">
        <f t="shared" si="16"/>
        <v>Городской округ Верх-Нейвинский</v>
      </c>
    </row>
    <row r="499" spans="1:38" ht="15" customHeight="1" x14ac:dyDescent="0.25">
      <c r="A499" s="3" t="s">
        <v>834</v>
      </c>
      <c r="B499" s="3" t="s">
        <v>1639</v>
      </c>
      <c r="C499" s="5">
        <v>53500.443299999999</v>
      </c>
      <c r="D499" s="5">
        <v>53500.443299999999</v>
      </c>
      <c r="E499" s="5">
        <v>48445.605100000001</v>
      </c>
      <c r="F499" t="s">
        <v>7249</v>
      </c>
      <c r="G499" s="5" t="str">
        <f t="shared" si="15"/>
        <v>ИСТОК</v>
      </c>
      <c r="J499" s="5"/>
      <c r="AF499" t="s">
        <v>7179</v>
      </c>
      <c r="AG499" s="24" t="s">
        <v>5733</v>
      </c>
      <c r="AH499" s="5" t="s">
        <v>7179</v>
      </c>
      <c r="AI499" s="5">
        <v>14182.128699999999</v>
      </c>
      <c r="AJ499" s="5">
        <v>14182.128699999999</v>
      </c>
      <c r="AK499">
        <v>13171.7907</v>
      </c>
      <c r="AL499" s="5" t="str">
        <f t="shared" si="16"/>
        <v>Городской округ Верхний Тагил</v>
      </c>
    </row>
    <row r="500" spans="1:38" ht="15" customHeight="1" x14ac:dyDescent="0.25">
      <c r="A500" s="3" t="s">
        <v>835</v>
      </c>
      <c r="B500" s="3" t="s">
        <v>1662</v>
      </c>
      <c r="C500" s="5">
        <v>46784.877899999999</v>
      </c>
      <c r="D500" s="5">
        <v>46784.877899999999</v>
      </c>
      <c r="E500" s="5">
        <v>42364.543299999998</v>
      </c>
      <c r="F500" t="s">
        <v>7249</v>
      </c>
      <c r="G500" s="5" t="str">
        <f t="shared" si="15"/>
        <v>РУДНЫЙ</v>
      </c>
      <c r="J500" s="5"/>
      <c r="AF500" t="s">
        <v>7179</v>
      </c>
      <c r="AG500" s="24" t="s">
        <v>5734</v>
      </c>
      <c r="AH500" s="5" t="s">
        <v>7179</v>
      </c>
      <c r="AI500" s="5">
        <v>14182.128699999999</v>
      </c>
      <c r="AJ500" s="5">
        <v>14182.128699999999</v>
      </c>
      <c r="AK500">
        <v>13171.7907</v>
      </c>
      <c r="AL500" s="5" t="str">
        <f t="shared" si="16"/>
        <v>Городской округ Верхний Тагил</v>
      </c>
    </row>
    <row r="501" spans="1:38" ht="15" customHeight="1" x14ac:dyDescent="0.25">
      <c r="A501" s="3" t="s">
        <v>836</v>
      </c>
      <c r="B501" s="3" t="s">
        <v>1657</v>
      </c>
      <c r="C501" s="5">
        <v>54886.9666</v>
      </c>
      <c r="D501" s="5">
        <v>54886.9666</v>
      </c>
      <c r="E501" s="5">
        <v>49701.1319</v>
      </c>
      <c r="F501" t="s">
        <v>7249</v>
      </c>
      <c r="G501" s="5" t="str">
        <f t="shared" si="15"/>
        <v>КОЛЬЦОВО</v>
      </c>
      <c r="J501" s="5"/>
      <c r="AF501" t="s">
        <v>7179</v>
      </c>
      <c r="AG501" s="24" t="s">
        <v>5735</v>
      </c>
      <c r="AH501" s="5" t="s">
        <v>7179</v>
      </c>
      <c r="AI501" s="5">
        <v>17522.3485</v>
      </c>
      <c r="AJ501" s="5">
        <v>17522.3485</v>
      </c>
      <c r="AK501">
        <v>16274.0471</v>
      </c>
      <c r="AL501" s="5" t="str">
        <f t="shared" si="16"/>
        <v>Городской округ Верхний Тагил</v>
      </c>
    </row>
    <row r="502" spans="1:38" ht="15" customHeight="1" x14ac:dyDescent="0.25">
      <c r="A502" s="3" t="s">
        <v>837</v>
      </c>
      <c r="B502" s="3" t="s">
        <v>1664</v>
      </c>
      <c r="C502" s="5">
        <v>53668.506099999999</v>
      </c>
      <c r="D502" s="5">
        <v>53668.506099999999</v>
      </c>
      <c r="E502" s="5">
        <v>48597.792699999998</v>
      </c>
      <c r="F502" t="s">
        <v>7249</v>
      </c>
      <c r="G502" s="5" t="str">
        <f t="shared" si="15"/>
        <v>ИЗОПЛИТ</v>
      </c>
      <c r="J502" s="5"/>
      <c r="AF502" t="s">
        <v>7179</v>
      </c>
      <c r="AG502" s="24" t="s">
        <v>5736</v>
      </c>
      <c r="AH502" s="5" t="s">
        <v>7179</v>
      </c>
      <c r="AI502" s="5">
        <v>14182.128699999999</v>
      </c>
      <c r="AJ502" s="5">
        <v>14182.128699999999</v>
      </c>
      <c r="AK502">
        <v>13171.7907</v>
      </c>
      <c r="AL502" s="5" t="str">
        <f t="shared" si="16"/>
        <v>Городской округ Верхний Тагил</v>
      </c>
    </row>
    <row r="503" spans="1:38" ht="15" customHeight="1" x14ac:dyDescent="0.25">
      <c r="A503" s="3" t="s">
        <v>838</v>
      </c>
      <c r="B503" s="3" t="s">
        <v>1631</v>
      </c>
      <c r="C503" s="5">
        <v>70026.7601</v>
      </c>
      <c r="D503" s="5">
        <v>70026.7601</v>
      </c>
      <c r="E503" s="5">
        <v>63410.482000000004</v>
      </c>
      <c r="F503" t="s">
        <v>7249</v>
      </c>
      <c r="G503" s="5" t="str">
        <f t="shared" si="15"/>
        <v>УРАЛМАШ</v>
      </c>
      <c r="J503" s="5"/>
      <c r="AF503" t="s">
        <v>7180</v>
      </c>
      <c r="AG503" s="24" t="s">
        <v>5737</v>
      </c>
      <c r="AH503" s="5" t="s">
        <v>7180</v>
      </c>
      <c r="AI503" s="5">
        <v>43773.671799999996</v>
      </c>
      <c r="AJ503" s="5">
        <v>43773.671799999996</v>
      </c>
      <c r="AK503">
        <v>42901.607300000003</v>
      </c>
      <c r="AL503" s="5" t="str">
        <f t="shared" si="16"/>
        <v>Городской округ Верхняя Пышма</v>
      </c>
    </row>
    <row r="504" spans="1:38" ht="15" customHeight="1" x14ac:dyDescent="0.25">
      <c r="A504" s="3" t="s">
        <v>839</v>
      </c>
      <c r="B504" s="3" t="s">
        <v>1643</v>
      </c>
      <c r="C504" s="5">
        <v>76630.280299999999</v>
      </c>
      <c r="D504" s="5">
        <v>76630.280299999999</v>
      </c>
      <c r="E504" s="5">
        <v>69390.088799999998</v>
      </c>
      <c r="F504" t="s">
        <v>7249</v>
      </c>
      <c r="G504" s="5" t="str">
        <f t="shared" si="15"/>
        <v>Ю-З</v>
      </c>
      <c r="J504" s="5"/>
      <c r="AF504" t="s">
        <v>7180</v>
      </c>
      <c r="AG504" s="24" t="s">
        <v>5738</v>
      </c>
      <c r="AH504" s="5" t="s">
        <v>7180</v>
      </c>
      <c r="AI504" s="5">
        <v>43773.671799999996</v>
      </c>
      <c r="AJ504" s="5">
        <v>43773.671799999996</v>
      </c>
      <c r="AK504">
        <v>42901.607300000003</v>
      </c>
      <c r="AL504" s="5" t="str">
        <f t="shared" si="16"/>
        <v>Городской округ Верхняя Пышма</v>
      </c>
    </row>
    <row r="505" spans="1:38" ht="15" customHeight="1" x14ac:dyDescent="0.25">
      <c r="A505" s="3" t="s">
        <v>840</v>
      </c>
      <c r="B505" s="3" t="s">
        <v>14</v>
      </c>
      <c r="C505" s="5">
        <v>93989.912800000006</v>
      </c>
      <c r="D505" s="5">
        <v>93989.912800000006</v>
      </c>
      <c r="E505" s="5">
        <v>85109.545199999993</v>
      </c>
      <c r="F505" t="s">
        <v>7249</v>
      </c>
      <c r="G505" s="5" t="str">
        <f t="shared" si="15"/>
        <v>Центр</v>
      </c>
      <c r="J505" s="5"/>
      <c r="AF505" t="s">
        <v>7180</v>
      </c>
      <c r="AG505" s="24" t="s">
        <v>5739</v>
      </c>
      <c r="AH505" s="5" t="s">
        <v>7180</v>
      </c>
      <c r="AI505" s="5">
        <v>43773.671799999996</v>
      </c>
      <c r="AJ505" s="5">
        <v>43773.671799999996</v>
      </c>
      <c r="AK505">
        <v>42901.607300000003</v>
      </c>
      <c r="AL505" s="5" t="str">
        <f t="shared" si="16"/>
        <v>Городской округ Верхняя Пышма</v>
      </c>
    </row>
    <row r="506" spans="1:38" ht="15" customHeight="1" x14ac:dyDescent="0.25">
      <c r="A506" s="3" t="s">
        <v>841</v>
      </c>
      <c r="B506" s="3" t="s">
        <v>1659</v>
      </c>
      <c r="C506" s="5">
        <v>59746.832600000002</v>
      </c>
      <c r="D506" s="5">
        <v>59746.832600000002</v>
      </c>
      <c r="E506" s="5">
        <v>54101.823700000001</v>
      </c>
      <c r="F506" t="s">
        <v>7249</v>
      </c>
      <c r="G506" s="5" t="str">
        <f t="shared" si="15"/>
        <v>СОВХОЗ</v>
      </c>
      <c r="J506" s="5"/>
      <c r="AF506" t="s">
        <v>7180</v>
      </c>
      <c r="AG506" s="24" t="s">
        <v>5740</v>
      </c>
      <c r="AH506" s="5" t="s">
        <v>7180</v>
      </c>
      <c r="AI506" s="5">
        <v>58630.332799999996</v>
      </c>
      <c r="AJ506" s="5">
        <v>58630.332799999996</v>
      </c>
      <c r="AK506">
        <v>57462.295299999998</v>
      </c>
      <c r="AL506" s="5" t="str">
        <f t="shared" si="16"/>
        <v>Городской округ Верхняя Пышма</v>
      </c>
    </row>
    <row r="507" spans="1:38" ht="15" customHeight="1" x14ac:dyDescent="0.25">
      <c r="A507" s="3" t="s">
        <v>842</v>
      </c>
      <c r="B507" s="3" t="s">
        <v>1645</v>
      </c>
      <c r="C507" s="5">
        <v>60958.294800000003</v>
      </c>
      <c r="D507" s="5">
        <v>60958.294800000003</v>
      </c>
      <c r="E507" s="5">
        <v>55198.825199999999</v>
      </c>
      <c r="F507" t="s">
        <v>7249</v>
      </c>
      <c r="G507" s="5" t="str">
        <f t="shared" si="15"/>
        <v>ЕЛИЗАВЕТ</v>
      </c>
      <c r="J507" s="5"/>
      <c r="AF507" t="s">
        <v>7180</v>
      </c>
      <c r="AG507" s="24" t="s">
        <v>5741</v>
      </c>
      <c r="AH507" s="5" t="s">
        <v>7180</v>
      </c>
      <c r="AI507" s="5">
        <v>43773.671799999996</v>
      </c>
      <c r="AJ507" s="5">
        <v>43773.671799999996</v>
      </c>
      <c r="AK507">
        <v>42901.607300000003</v>
      </c>
      <c r="AL507" s="5" t="str">
        <f t="shared" si="16"/>
        <v>Городской округ Верхняя Пышма</v>
      </c>
    </row>
    <row r="508" spans="1:38" ht="15" customHeight="1" x14ac:dyDescent="0.25">
      <c r="A508" s="3" t="s">
        <v>843</v>
      </c>
      <c r="B508" s="3" t="s">
        <v>1630</v>
      </c>
      <c r="C508" s="5">
        <v>62652.9401</v>
      </c>
      <c r="D508" s="5">
        <v>62652.9401</v>
      </c>
      <c r="E508" s="5">
        <v>56733.3557</v>
      </c>
      <c r="F508" t="s">
        <v>7249</v>
      </c>
      <c r="G508" s="5" t="str">
        <f t="shared" si="15"/>
        <v>ЧЕРМЕТ</v>
      </c>
      <c r="J508" s="5"/>
      <c r="AF508" t="s">
        <v>7180</v>
      </c>
      <c r="AG508" s="24" t="s">
        <v>5742</v>
      </c>
      <c r="AH508" s="5" t="s">
        <v>7180</v>
      </c>
      <c r="AI508" s="5">
        <v>43773.671799999996</v>
      </c>
      <c r="AJ508" s="5">
        <v>43773.671799999996</v>
      </c>
      <c r="AK508">
        <v>42901.607300000003</v>
      </c>
      <c r="AL508" s="5" t="str">
        <f t="shared" si="16"/>
        <v>Городской округ Верхняя Пышма</v>
      </c>
    </row>
    <row r="509" spans="1:38" ht="15" customHeight="1" x14ac:dyDescent="0.25">
      <c r="A509" s="3" t="s">
        <v>844</v>
      </c>
      <c r="B509" s="3" t="s">
        <v>1657</v>
      </c>
      <c r="C509" s="5">
        <v>54886.9666</v>
      </c>
      <c r="D509" s="5">
        <v>54886.9666</v>
      </c>
      <c r="E509" s="5">
        <v>49701.1319</v>
      </c>
      <c r="F509" t="s">
        <v>7249</v>
      </c>
      <c r="G509" s="5" t="str">
        <f t="shared" si="15"/>
        <v>КОЛЬЦОВО</v>
      </c>
      <c r="J509" s="5"/>
      <c r="AF509" t="s">
        <v>7180</v>
      </c>
      <c r="AG509" s="24" t="s">
        <v>5743</v>
      </c>
      <c r="AH509" s="5" t="s">
        <v>7180</v>
      </c>
      <c r="AI509" s="5">
        <v>43773.671799999996</v>
      </c>
      <c r="AJ509" s="5">
        <v>43773.671799999996</v>
      </c>
      <c r="AK509">
        <v>42901.607300000003</v>
      </c>
      <c r="AL509" s="5" t="str">
        <f t="shared" si="16"/>
        <v>Городской округ Верхняя Пышма</v>
      </c>
    </row>
    <row r="510" spans="1:38" ht="15" customHeight="1" x14ac:dyDescent="0.25">
      <c r="A510" s="3" t="s">
        <v>852</v>
      </c>
      <c r="B510" s="3" t="s">
        <v>14</v>
      </c>
      <c r="C510" s="5">
        <v>93989.912800000006</v>
      </c>
      <c r="D510" s="5">
        <v>93989.912800000006</v>
      </c>
      <c r="E510" s="5">
        <v>85109.545199999993</v>
      </c>
      <c r="F510" t="s">
        <v>7249</v>
      </c>
      <c r="G510" s="5" t="str">
        <f t="shared" si="15"/>
        <v>Центр</v>
      </c>
      <c r="J510" s="5"/>
      <c r="AF510" t="s">
        <v>7180</v>
      </c>
      <c r="AG510" s="24" t="s">
        <v>5744</v>
      </c>
      <c r="AH510" s="5" t="s">
        <v>7180</v>
      </c>
      <c r="AI510" s="5">
        <v>43773.671799999996</v>
      </c>
      <c r="AJ510" s="5">
        <v>43773.671799999996</v>
      </c>
      <c r="AK510">
        <v>42901.607300000003</v>
      </c>
      <c r="AL510" s="5" t="str">
        <f t="shared" si="16"/>
        <v>Городской округ Верхняя Пышма</v>
      </c>
    </row>
    <row r="511" spans="1:38" ht="15" customHeight="1" x14ac:dyDescent="0.25">
      <c r="A511" s="3" t="s">
        <v>853</v>
      </c>
      <c r="B511" s="3" t="s">
        <v>1631</v>
      </c>
      <c r="C511" s="5">
        <v>70026.7601</v>
      </c>
      <c r="D511" s="5">
        <v>70026.7601</v>
      </c>
      <c r="E511" s="5">
        <v>63410.482000000004</v>
      </c>
      <c r="F511" t="s">
        <v>7249</v>
      </c>
      <c r="G511" s="5" t="str">
        <f t="shared" si="15"/>
        <v>УРАЛМАШ</v>
      </c>
      <c r="J511" s="5"/>
      <c r="AF511" t="s">
        <v>7180</v>
      </c>
      <c r="AG511" s="24" t="s">
        <v>5745</v>
      </c>
      <c r="AH511" s="5" t="s">
        <v>7180</v>
      </c>
      <c r="AI511" s="5">
        <v>43773.671799999996</v>
      </c>
      <c r="AJ511" s="5">
        <v>43773.671799999996</v>
      </c>
      <c r="AK511">
        <v>42901.607300000003</v>
      </c>
      <c r="AL511" s="5" t="str">
        <f t="shared" si="16"/>
        <v>Городской округ Верхняя Пышма</v>
      </c>
    </row>
    <row r="512" spans="1:38" ht="15" customHeight="1" x14ac:dyDescent="0.25">
      <c r="A512" s="3" t="s">
        <v>856</v>
      </c>
      <c r="B512" s="3" t="s">
        <v>14</v>
      </c>
      <c r="C512" s="5">
        <v>93989.912800000006</v>
      </c>
      <c r="D512" s="5">
        <v>93989.912800000006</v>
      </c>
      <c r="E512" s="5">
        <v>85109.545199999993</v>
      </c>
      <c r="F512" t="s">
        <v>7249</v>
      </c>
      <c r="G512" s="5" t="str">
        <f t="shared" si="15"/>
        <v>Центр</v>
      </c>
      <c r="J512" s="5"/>
      <c r="AF512" t="s">
        <v>7180</v>
      </c>
      <c r="AG512" s="24" t="s">
        <v>5746</v>
      </c>
      <c r="AH512" s="5" t="s">
        <v>7180</v>
      </c>
      <c r="AI512" s="5">
        <v>43773.671799999996</v>
      </c>
      <c r="AJ512" s="5">
        <v>43773.671799999996</v>
      </c>
      <c r="AK512">
        <v>42901.607300000003</v>
      </c>
      <c r="AL512" s="5" t="str">
        <f t="shared" si="16"/>
        <v>Городской округ Верхняя Пышма</v>
      </c>
    </row>
    <row r="513" spans="1:38" ht="15" customHeight="1" x14ac:dyDescent="0.25">
      <c r="A513" s="3" t="s">
        <v>857</v>
      </c>
      <c r="B513" s="3" t="s">
        <v>1661</v>
      </c>
      <c r="C513" s="5">
        <v>51175.5573</v>
      </c>
      <c r="D513" s="5">
        <v>51175.5573</v>
      </c>
      <c r="E513" s="5">
        <v>46340.381600000001</v>
      </c>
      <c r="F513" t="s">
        <v>7249</v>
      </c>
      <c r="G513" s="5" t="str">
        <f t="shared" si="15"/>
        <v>СЕВЕРКА</v>
      </c>
      <c r="J513" s="5"/>
      <c r="AF513" t="s">
        <v>7180</v>
      </c>
      <c r="AG513" s="24" t="s">
        <v>5747</v>
      </c>
      <c r="AH513" s="5" t="s">
        <v>7180</v>
      </c>
      <c r="AI513" s="5">
        <v>43773.671799999996</v>
      </c>
      <c r="AJ513" s="5">
        <v>43773.671799999996</v>
      </c>
      <c r="AK513">
        <v>42901.607300000003</v>
      </c>
      <c r="AL513" s="5" t="str">
        <f t="shared" si="16"/>
        <v>Городской округ Верхняя Пышма</v>
      </c>
    </row>
    <row r="514" spans="1:38" ht="15" customHeight="1" x14ac:dyDescent="0.25">
      <c r="A514" s="3" t="s">
        <v>858</v>
      </c>
      <c r="B514" s="3" t="s">
        <v>1636</v>
      </c>
      <c r="C514" s="5">
        <v>52246.960299999999</v>
      </c>
      <c r="D514" s="5">
        <v>52246.960299999999</v>
      </c>
      <c r="E514" s="5">
        <v>47310.556700000001</v>
      </c>
      <c r="F514" t="s">
        <v>7249</v>
      </c>
      <c r="G514" s="5" t="str">
        <f t="shared" si="15"/>
        <v>ГОРНЫЙ ЩИТ</v>
      </c>
      <c r="J514" s="5"/>
      <c r="AF514" t="s">
        <v>7180</v>
      </c>
      <c r="AG514" s="24" t="s">
        <v>5748</v>
      </c>
      <c r="AH514" s="5" t="s">
        <v>7180</v>
      </c>
      <c r="AI514" s="5">
        <v>43773.671799999996</v>
      </c>
      <c r="AJ514" s="5">
        <v>43773.671799999996</v>
      </c>
      <c r="AK514">
        <v>42901.607300000003</v>
      </c>
      <c r="AL514" s="5" t="str">
        <f t="shared" si="16"/>
        <v>Городской округ Верхняя Пышма</v>
      </c>
    </row>
    <row r="515" spans="1:38" ht="15" customHeight="1" x14ac:dyDescent="0.25">
      <c r="A515" s="3" t="s">
        <v>859</v>
      </c>
      <c r="B515" s="3" t="s">
        <v>1644</v>
      </c>
      <c r="C515" s="5">
        <v>61980.678599999999</v>
      </c>
      <c r="D515" s="5">
        <v>61980.678599999999</v>
      </c>
      <c r="E515" s="5">
        <v>56124.615700000002</v>
      </c>
      <c r="F515" t="s">
        <v>7249</v>
      </c>
      <c r="G515" s="5" t="str">
        <f t="shared" si="15"/>
        <v>ХИММАШ</v>
      </c>
      <c r="J515" s="5"/>
      <c r="AF515" t="s">
        <v>7180</v>
      </c>
      <c r="AG515" s="24" t="s">
        <v>5749</v>
      </c>
      <c r="AH515" s="5" t="s">
        <v>7180</v>
      </c>
      <c r="AI515" s="5">
        <v>43773.671799999996</v>
      </c>
      <c r="AJ515" s="5">
        <v>43773.671799999996</v>
      </c>
      <c r="AK515">
        <v>42901.607300000003</v>
      </c>
      <c r="AL515" s="5" t="str">
        <f t="shared" si="16"/>
        <v>Городской округ Верхняя Пышма</v>
      </c>
    </row>
    <row r="516" spans="1:38" ht="15" customHeight="1" x14ac:dyDescent="0.25">
      <c r="A516" s="3" t="s">
        <v>860</v>
      </c>
      <c r="B516" s="3" t="s">
        <v>1632</v>
      </c>
      <c r="C516" s="5">
        <v>83744.997499999998</v>
      </c>
      <c r="D516" s="5">
        <v>83744.997499999998</v>
      </c>
      <c r="E516" s="5">
        <v>75832.596099999995</v>
      </c>
      <c r="F516" t="s">
        <v>7249</v>
      </c>
      <c r="G516" s="5" t="str">
        <f t="shared" ref="G516:G579" si="17">B516</f>
        <v>АВТОВОКЗАЛ</v>
      </c>
      <c r="J516" s="5"/>
      <c r="AF516" t="s">
        <v>7180</v>
      </c>
      <c r="AG516" s="24" t="s">
        <v>5750</v>
      </c>
      <c r="AH516" s="5" t="s">
        <v>7180</v>
      </c>
      <c r="AI516" s="5">
        <v>43773.671799999996</v>
      </c>
      <c r="AJ516" s="5">
        <v>43773.671799999996</v>
      </c>
      <c r="AK516">
        <v>42901.607300000003</v>
      </c>
      <c r="AL516" s="5" t="str">
        <f t="shared" ref="AL516:AL579" si="18">AF516</f>
        <v>Городской округ Верхняя Пышма</v>
      </c>
    </row>
    <row r="517" spans="1:38" ht="15" customHeight="1" x14ac:dyDescent="0.25">
      <c r="A517" s="3" t="s">
        <v>861</v>
      </c>
      <c r="B517" s="3" t="s">
        <v>1638</v>
      </c>
      <c r="C517" s="5">
        <v>63640.311600000001</v>
      </c>
      <c r="D517" s="5">
        <v>63640.311600000001</v>
      </c>
      <c r="E517" s="5">
        <v>57627.4473</v>
      </c>
      <c r="F517" t="s">
        <v>7249</v>
      </c>
      <c r="G517" s="5" t="str">
        <f t="shared" si="17"/>
        <v>УКТУС</v>
      </c>
      <c r="J517" s="5"/>
      <c r="AF517" t="s">
        <v>7180</v>
      </c>
      <c r="AG517" s="24" t="s">
        <v>5751</v>
      </c>
      <c r="AH517" s="5" t="s">
        <v>7180</v>
      </c>
      <c r="AI517" s="5">
        <v>43773.671799999996</v>
      </c>
      <c r="AJ517" s="5">
        <v>43773.671799999996</v>
      </c>
      <c r="AK517">
        <v>42901.607300000003</v>
      </c>
      <c r="AL517" s="5" t="str">
        <f t="shared" si="18"/>
        <v>Городской округ Верхняя Пышма</v>
      </c>
    </row>
    <row r="518" spans="1:38" ht="15" customHeight="1" x14ac:dyDescent="0.25">
      <c r="A518" s="3" t="s">
        <v>862</v>
      </c>
      <c r="B518" s="3" t="s">
        <v>1645</v>
      </c>
      <c r="C518" s="5">
        <v>60958.294800000003</v>
      </c>
      <c r="D518" s="5">
        <v>60958.294800000003</v>
      </c>
      <c r="E518" s="5">
        <v>55198.825199999999</v>
      </c>
      <c r="F518" t="s">
        <v>7249</v>
      </c>
      <c r="G518" s="5" t="str">
        <f t="shared" si="17"/>
        <v>ЕЛИЗАВЕТ</v>
      </c>
      <c r="J518" s="5"/>
      <c r="AF518" t="s">
        <v>7180</v>
      </c>
      <c r="AG518" s="24" t="s">
        <v>5752</v>
      </c>
      <c r="AH518" s="5" t="s">
        <v>7180</v>
      </c>
      <c r="AI518" s="5">
        <v>43773.671799999996</v>
      </c>
      <c r="AJ518" s="5">
        <v>43773.671799999996</v>
      </c>
      <c r="AK518">
        <v>42901.607300000003</v>
      </c>
      <c r="AL518" s="5" t="str">
        <f t="shared" si="18"/>
        <v>Городской округ Верхняя Пышма</v>
      </c>
    </row>
    <row r="519" spans="1:38" ht="15" customHeight="1" x14ac:dyDescent="0.25">
      <c r="A519" s="3" t="s">
        <v>865</v>
      </c>
      <c r="B519" s="3" t="s">
        <v>1628</v>
      </c>
      <c r="C519" s="5">
        <v>70734.0236</v>
      </c>
      <c r="D519" s="5">
        <v>70734.0236</v>
      </c>
      <c r="E519" s="5">
        <v>64050.9208</v>
      </c>
      <c r="F519" t="s">
        <v>7249</v>
      </c>
      <c r="G519" s="5" t="str">
        <f t="shared" si="17"/>
        <v>ЭЛЬМАШ</v>
      </c>
      <c r="J519" s="5"/>
      <c r="AF519" t="s">
        <v>7180</v>
      </c>
      <c r="AG519" s="24" t="s">
        <v>5753</v>
      </c>
      <c r="AH519" s="5" t="s">
        <v>7180</v>
      </c>
      <c r="AI519" s="5">
        <v>43773.671799999996</v>
      </c>
      <c r="AJ519" s="5">
        <v>43773.671799999996</v>
      </c>
      <c r="AK519">
        <v>42901.607300000003</v>
      </c>
      <c r="AL519" s="5" t="str">
        <f t="shared" si="18"/>
        <v>Городской округ Верхняя Пышма</v>
      </c>
    </row>
    <row r="520" spans="1:38" ht="15" customHeight="1" x14ac:dyDescent="0.25">
      <c r="A520" s="3" t="s">
        <v>866</v>
      </c>
      <c r="B520" s="3" t="s">
        <v>1643</v>
      </c>
      <c r="C520" s="5">
        <v>76630.280299999999</v>
      </c>
      <c r="D520" s="5">
        <v>76630.280299999999</v>
      </c>
      <c r="E520" s="5">
        <v>69390.088799999998</v>
      </c>
      <c r="F520" t="s">
        <v>7249</v>
      </c>
      <c r="G520" s="5" t="str">
        <f t="shared" si="17"/>
        <v>Ю-З</v>
      </c>
      <c r="J520" s="5"/>
      <c r="AF520" t="s">
        <v>7180</v>
      </c>
      <c r="AG520" s="24" t="s">
        <v>5754</v>
      </c>
      <c r="AH520" s="5" t="s">
        <v>7180</v>
      </c>
      <c r="AI520" s="5">
        <v>43773.671799999996</v>
      </c>
      <c r="AJ520" s="5">
        <v>43773.671799999996</v>
      </c>
      <c r="AK520">
        <v>42901.607300000003</v>
      </c>
      <c r="AL520" s="5" t="str">
        <f t="shared" si="18"/>
        <v>Городской округ Верхняя Пышма</v>
      </c>
    </row>
    <row r="521" spans="1:38" ht="15" customHeight="1" x14ac:dyDescent="0.25">
      <c r="A521" s="3" t="s">
        <v>867</v>
      </c>
      <c r="B521" s="3" t="s">
        <v>1632</v>
      </c>
      <c r="C521" s="5">
        <v>83744.997499999998</v>
      </c>
      <c r="D521" s="5">
        <v>83744.997499999998</v>
      </c>
      <c r="E521" s="5">
        <v>75832.596099999995</v>
      </c>
      <c r="F521" t="s">
        <v>7249</v>
      </c>
      <c r="G521" s="5" t="str">
        <f t="shared" si="17"/>
        <v>АВТОВОКЗАЛ</v>
      </c>
      <c r="J521" s="5"/>
      <c r="AF521" t="s">
        <v>7180</v>
      </c>
      <c r="AG521" s="24" t="s">
        <v>5755</v>
      </c>
      <c r="AH521" s="5" t="s">
        <v>7180</v>
      </c>
      <c r="AI521" s="5">
        <v>43773.671799999996</v>
      </c>
      <c r="AJ521" s="5">
        <v>43773.671799999996</v>
      </c>
      <c r="AK521">
        <v>42901.607300000003</v>
      </c>
      <c r="AL521" s="5" t="str">
        <f t="shared" si="18"/>
        <v>Городской округ Верхняя Пышма</v>
      </c>
    </row>
    <row r="522" spans="1:38" ht="15" customHeight="1" x14ac:dyDescent="0.25">
      <c r="A522" s="3" t="s">
        <v>868</v>
      </c>
      <c r="B522" s="3" t="s">
        <v>1632</v>
      </c>
      <c r="C522" s="5">
        <v>83744.997499999998</v>
      </c>
      <c r="D522" s="5">
        <v>83744.997499999998</v>
      </c>
      <c r="E522" s="5">
        <v>75832.596099999995</v>
      </c>
      <c r="F522" t="s">
        <v>7249</v>
      </c>
      <c r="G522" s="5" t="str">
        <f t="shared" si="17"/>
        <v>АВТОВОКЗАЛ</v>
      </c>
      <c r="J522" s="5"/>
      <c r="AF522" t="s">
        <v>7180</v>
      </c>
      <c r="AG522" s="24" t="s">
        <v>5756</v>
      </c>
      <c r="AH522" s="5" t="s">
        <v>7180</v>
      </c>
      <c r="AI522" s="5">
        <v>43773.671799999996</v>
      </c>
      <c r="AJ522" s="5">
        <v>43773.671799999996</v>
      </c>
      <c r="AK522">
        <v>42901.607300000003</v>
      </c>
      <c r="AL522" s="5" t="str">
        <f t="shared" si="18"/>
        <v>Городской округ Верхняя Пышма</v>
      </c>
    </row>
    <row r="523" spans="1:38" ht="15" customHeight="1" x14ac:dyDescent="0.25">
      <c r="A523" s="3" t="s">
        <v>869</v>
      </c>
      <c r="B523" s="3" t="s">
        <v>1631</v>
      </c>
      <c r="C523" s="5">
        <v>70026.7601</v>
      </c>
      <c r="D523" s="5">
        <v>70026.7601</v>
      </c>
      <c r="E523" s="5">
        <v>63410.482000000004</v>
      </c>
      <c r="F523" t="s">
        <v>7249</v>
      </c>
      <c r="G523" s="5" t="str">
        <f t="shared" si="17"/>
        <v>УРАЛМАШ</v>
      </c>
      <c r="J523" s="5"/>
      <c r="AF523" t="s">
        <v>7180</v>
      </c>
      <c r="AG523" s="24" t="s">
        <v>5757</v>
      </c>
      <c r="AH523" s="5" t="s">
        <v>7180</v>
      </c>
      <c r="AI523" s="5">
        <v>43773.671799999996</v>
      </c>
      <c r="AJ523" s="5">
        <v>43773.671799999996</v>
      </c>
      <c r="AK523">
        <v>42901.607300000003</v>
      </c>
      <c r="AL523" s="5" t="str">
        <f t="shared" si="18"/>
        <v>Городской округ Верхняя Пышма</v>
      </c>
    </row>
    <row r="524" spans="1:38" ht="15" customHeight="1" x14ac:dyDescent="0.25">
      <c r="A524" s="3" t="s">
        <v>870</v>
      </c>
      <c r="B524" s="3" t="s">
        <v>1631</v>
      </c>
      <c r="C524" s="5">
        <v>70026.7601</v>
      </c>
      <c r="D524" s="5">
        <v>70026.7601</v>
      </c>
      <c r="E524" s="5">
        <v>63410.482000000004</v>
      </c>
      <c r="F524" t="s">
        <v>7249</v>
      </c>
      <c r="G524" s="5" t="str">
        <f t="shared" si="17"/>
        <v>УРАЛМАШ</v>
      </c>
      <c r="J524" s="5"/>
      <c r="AF524" t="s">
        <v>7180</v>
      </c>
      <c r="AG524" s="24" t="s">
        <v>5758</v>
      </c>
      <c r="AH524" s="5" t="s">
        <v>7180</v>
      </c>
      <c r="AI524" s="5">
        <v>43773.671799999996</v>
      </c>
      <c r="AJ524" s="5">
        <v>43773.671799999996</v>
      </c>
      <c r="AK524">
        <v>42901.607300000003</v>
      </c>
      <c r="AL524" s="5" t="str">
        <f t="shared" si="18"/>
        <v>Городской округ Верхняя Пышма</v>
      </c>
    </row>
    <row r="525" spans="1:38" ht="15" customHeight="1" x14ac:dyDescent="0.25">
      <c r="A525" s="3" t="s">
        <v>871</v>
      </c>
      <c r="B525" s="3" t="s">
        <v>1638</v>
      </c>
      <c r="C525" s="5">
        <v>63640.311600000001</v>
      </c>
      <c r="D525" s="5">
        <v>63640.311600000001</v>
      </c>
      <c r="E525" s="5">
        <v>57627.4473</v>
      </c>
      <c r="F525" t="s">
        <v>7249</v>
      </c>
      <c r="G525" s="5" t="str">
        <f t="shared" si="17"/>
        <v>УКТУС</v>
      </c>
      <c r="J525" s="5"/>
      <c r="AF525" t="s">
        <v>7180</v>
      </c>
      <c r="AG525" s="24" t="s">
        <v>5759</v>
      </c>
      <c r="AH525" s="5" t="s">
        <v>7180</v>
      </c>
      <c r="AI525" s="5">
        <v>43773.671799999996</v>
      </c>
      <c r="AJ525" s="5">
        <v>43773.671799999996</v>
      </c>
      <c r="AK525">
        <v>42901.607300000003</v>
      </c>
      <c r="AL525" s="5" t="str">
        <f t="shared" si="18"/>
        <v>Городской округ Верхняя Пышма</v>
      </c>
    </row>
    <row r="526" spans="1:38" ht="15" customHeight="1" x14ac:dyDescent="0.25">
      <c r="A526" s="3" t="s">
        <v>872</v>
      </c>
      <c r="B526" s="3" t="s">
        <v>1632</v>
      </c>
      <c r="C526" s="5">
        <v>83744.997499999998</v>
      </c>
      <c r="D526" s="5">
        <v>83744.997499999998</v>
      </c>
      <c r="E526" s="5">
        <v>75832.596099999995</v>
      </c>
      <c r="F526" t="s">
        <v>7249</v>
      </c>
      <c r="G526" s="5" t="str">
        <f t="shared" si="17"/>
        <v>АВТОВОКЗАЛ</v>
      </c>
      <c r="J526" s="5"/>
      <c r="AF526" t="s">
        <v>7180</v>
      </c>
      <c r="AG526" s="24" t="s">
        <v>5760</v>
      </c>
      <c r="AH526" s="5" t="s">
        <v>7180</v>
      </c>
      <c r="AI526" s="5">
        <v>43773.671799999996</v>
      </c>
      <c r="AJ526" s="5">
        <v>43773.671799999996</v>
      </c>
      <c r="AK526">
        <v>42901.607300000003</v>
      </c>
      <c r="AL526" s="5" t="str">
        <f t="shared" si="18"/>
        <v>Городской округ Верхняя Пышма</v>
      </c>
    </row>
    <row r="527" spans="1:38" ht="15" customHeight="1" x14ac:dyDescent="0.25">
      <c r="A527" s="3" t="s">
        <v>873</v>
      </c>
      <c r="B527" s="3" t="s">
        <v>1638</v>
      </c>
      <c r="C527" s="5">
        <v>63640.311600000001</v>
      </c>
      <c r="D527" s="5">
        <v>63640.311600000001</v>
      </c>
      <c r="E527" s="5">
        <v>57627.4473</v>
      </c>
      <c r="F527" t="s">
        <v>7249</v>
      </c>
      <c r="G527" s="5" t="str">
        <f t="shared" si="17"/>
        <v>УКТУС</v>
      </c>
      <c r="J527" s="5"/>
      <c r="AF527" t="s">
        <v>7180</v>
      </c>
      <c r="AG527" s="24" t="s">
        <v>5761</v>
      </c>
      <c r="AH527" s="5" t="s">
        <v>7180</v>
      </c>
      <c r="AI527" s="5">
        <v>43773.671799999996</v>
      </c>
      <c r="AJ527" s="5">
        <v>43773.671799999996</v>
      </c>
      <c r="AK527">
        <v>42901.607300000003</v>
      </c>
      <c r="AL527" s="5" t="str">
        <f t="shared" si="18"/>
        <v>Городской округ Верхняя Пышма</v>
      </c>
    </row>
    <row r="528" spans="1:38" ht="15" customHeight="1" x14ac:dyDescent="0.25">
      <c r="A528" s="3" t="s">
        <v>875</v>
      </c>
      <c r="B528" s="3" t="s">
        <v>1632</v>
      </c>
      <c r="C528" s="5">
        <v>83744.997499999998</v>
      </c>
      <c r="D528" s="5">
        <v>83744.997499999998</v>
      </c>
      <c r="E528" s="5">
        <v>75832.596099999995</v>
      </c>
      <c r="F528" t="s">
        <v>7249</v>
      </c>
      <c r="G528" s="5" t="str">
        <f t="shared" si="17"/>
        <v>АВТОВОКЗАЛ</v>
      </c>
      <c r="J528" s="5"/>
      <c r="AF528" t="s">
        <v>7180</v>
      </c>
      <c r="AG528" s="24" t="s">
        <v>5762</v>
      </c>
      <c r="AH528" s="5" t="s">
        <v>7180</v>
      </c>
      <c r="AI528" s="5">
        <v>43773.671799999996</v>
      </c>
      <c r="AJ528" s="5">
        <v>43773.671799999996</v>
      </c>
      <c r="AK528">
        <v>42901.607300000003</v>
      </c>
      <c r="AL528" s="5" t="str">
        <f t="shared" si="18"/>
        <v>Городской округ Верхняя Пышма</v>
      </c>
    </row>
    <row r="529" spans="1:38" ht="15" customHeight="1" x14ac:dyDescent="0.25">
      <c r="A529" s="3" t="s">
        <v>877</v>
      </c>
      <c r="B529" s="3" t="s">
        <v>1644</v>
      </c>
      <c r="C529" s="5">
        <v>61980.678599999999</v>
      </c>
      <c r="D529" s="5">
        <v>61980.678599999999</v>
      </c>
      <c r="E529" s="5">
        <v>56124.615700000002</v>
      </c>
      <c r="F529" t="s">
        <v>7249</v>
      </c>
      <c r="G529" s="5" t="str">
        <f t="shared" si="17"/>
        <v>ХИММАШ</v>
      </c>
      <c r="J529" s="5"/>
      <c r="AF529" t="s">
        <v>7181</v>
      </c>
      <c r="AG529" s="24" t="s">
        <v>5763</v>
      </c>
      <c r="AH529" s="5" t="s">
        <v>7181</v>
      </c>
      <c r="AI529" s="5">
        <v>18515.995800000001</v>
      </c>
      <c r="AJ529" s="5">
        <v>18515.995800000001</v>
      </c>
      <c r="AK529">
        <v>17196.906200000001</v>
      </c>
      <c r="AL529" s="5" t="str">
        <f t="shared" si="18"/>
        <v>Городской округ Верхняя Тура</v>
      </c>
    </row>
    <row r="530" spans="1:38" ht="15" customHeight="1" x14ac:dyDescent="0.25">
      <c r="A530" s="3" t="s">
        <v>878</v>
      </c>
      <c r="B530" s="3" t="s">
        <v>1631</v>
      </c>
      <c r="C530" s="5">
        <v>70026.7601</v>
      </c>
      <c r="D530" s="5">
        <v>70026.7601</v>
      </c>
      <c r="E530" s="5">
        <v>63410.482000000004</v>
      </c>
      <c r="F530" t="s">
        <v>7249</v>
      </c>
      <c r="G530" s="5" t="str">
        <f t="shared" si="17"/>
        <v>УРАЛМАШ</v>
      </c>
      <c r="J530" s="5"/>
      <c r="AF530" t="s">
        <v>7181</v>
      </c>
      <c r="AG530" s="24" t="s">
        <v>5764</v>
      </c>
      <c r="AH530" s="5" t="s">
        <v>7181</v>
      </c>
      <c r="AI530" s="5">
        <v>22876.947899999999</v>
      </c>
      <c r="AJ530" s="5">
        <v>22876.947899999999</v>
      </c>
      <c r="AK530">
        <v>21247.1764</v>
      </c>
      <c r="AL530" s="5" t="str">
        <f t="shared" si="18"/>
        <v>Городской округ Верхняя Тура</v>
      </c>
    </row>
    <row r="531" spans="1:38" ht="15" customHeight="1" x14ac:dyDescent="0.25">
      <c r="A531" s="3" t="s">
        <v>879</v>
      </c>
      <c r="B531" s="3" t="s">
        <v>1631</v>
      </c>
      <c r="C531" s="5">
        <v>70026.7601</v>
      </c>
      <c r="D531" s="5">
        <v>70026.7601</v>
      </c>
      <c r="E531" s="5">
        <v>63410.482000000004</v>
      </c>
      <c r="F531" t="s">
        <v>7249</v>
      </c>
      <c r="G531" s="5" t="str">
        <f t="shared" si="17"/>
        <v>УРАЛМАШ</v>
      </c>
      <c r="J531" s="5"/>
      <c r="AF531" t="s">
        <v>7182</v>
      </c>
      <c r="AG531" s="24" t="s">
        <v>5765</v>
      </c>
      <c r="AH531" s="5" t="s">
        <v>7182</v>
      </c>
      <c r="AI531" s="5">
        <v>23024.170600000001</v>
      </c>
      <c r="AJ531" s="5">
        <v>23024.170600000001</v>
      </c>
      <c r="AK531">
        <v>21383.922200000001</v>
      </c>
      <c r="AL531" s="5" t="str">
        <f t="shared" si="18"/>
        <v>Городской округ Верхотурский</v>
      </c>
    </row>
    <row r="532" spans="1:38" ht="15" customHeight="1" x14ac:dyDescent="0.25">
      <c r="A532" s="3" t="s">
        <v>880</v>
      </c>
      <c r="B532" s="3" t="s">
        <v>14</v>
      </c>
      <c r="C532" s="5">
        <v>93989.912800000006</v>
      </c>
      <c r="D532" s="5">
        <v>93989.912800000006</v>
      </c>
      <c r="E532" s="5">
        <v>85109.545199999993</v>
      </c>
      <c r="F532" t="s">
        <v>7249</v>
      </c>
      <c r="G532" s="5" t="str">
        <f t="shared" si="17"/>
        <v>Центр</v>
      </c>
      <c r="J532" s="5"/>
      <c r="AF532" t="s">
        <v>7182</v>
      </c>
      <c r="AG532" s="24" t="s">
        <v>5766</v>
      </c>
      <c r="AH532" s="5" t="s">
        <v>7182</v>
      </c>
      <c r="AI532" s="5">
        <v>23024.170600000001</v>
      </c>
      <c r="AJ532" s="5">
        <v>23024.170600000001</v>
      </c>
      <c r="AK532">
        <v>21383.922200000001</v>
      </c>
      <c r="AL532" s="5" t="str">
        <f t="shared" si="18"/>
        <v>Городской округ Верхотурский</v>
      </c>
    </row>
    <row r="533" spans="1:38" ht="15" customHeight="1" x14ac:dyDescent="0.25">
      <c r="A533" s="3" t="s">
        <v>881</v>
      </c>
      <c r="B533" s="3" t="s">
        <v>1630</v>
      </c>
      <c r="C533" s="5">
        <v>62652.9401</v>
      </c>
      <c r="D533" s="5">
        <v>62652.9401</v>
      </c>
      <c r="E533" s="5">
        <v>56733.3557</v>
      </c>
      <c r="F533" t="s">
        <v>7249</v>
      </c>
      <c r="G533" s="5" t="str">
        <f t="shared" si="17"/>
        <v>ЧЕРМЕТ</v>
      </c>
      <c r="J533" s="5"/>
      <c r="AF533" t="s">
        <v>7182</v>
      </c>
      <c r="AG533" s="24" t="s">
        <v>5767</v>
      </c>
      <c r="AH533" s="5" t="s">
        <v>7182</v>
      </c>
      <c r="AI533" s="5">
        <v>23024.170600000001</v>
      </c>
      <c r="AJ533" s="5">
        <v>23024.170600000001</v>
      </c>
      <c r="AK533">
        <v>21383.922200000001</v>
      </c>
      <c r="AL533" s="5" t="str">
        <f t="shared" si="18"/>
        <v>Городской округ Верхотурский</v>
      </c>
    </row>
    <row r="534" spans="1:38" ht="15" customHeight="1" x14ac:dyDescent="0.25">
      <c r="A534" s="3" t="s">
        <v>882</v>
      </c>
      <c r="B534" s="3" t="s">
        <v>1636</v>
      </c>
      <c r="C534" s="5">
        <v>52246.960299999999</v>
      </c>
      <c r="D534" s="5">
        <v>52246.960299999999</v>
      </c>
      <c r="E534" s="5">
        <v>47310.556700000001</v>
      </c>
      <c r="F534" t="s">
        <v>7249</v>
      </c>
      <c r="G534" s="5" t="str">
        <f t="shared" si="17"/>
        <v>ГОРНЫЙ ЩИТ</v>
      </c>
      <c r="J534" s="5"/>
      <c r="AF534" t="s">
        <v>7182</v>
      </c>
      <c r="AG534" s="24" t="s">
        <v>5768</v>
      </c>
      <c r="AH534" s="5" t="s">
        <v>7182</v>
      </c>
      <c r="AI534" s="5">
        <v>23024.170600000001</v>
      </c>
      <c r="AJ534" s="5">
        <v>23024.170600000001</v>
      </c>
      <c r="AK534">
        <v>21383.922200000001</v>
      </c>
      <c r="AL534" s="5" t="str">
        <f t="shared" si="18"/>
        <v>Городской округ Верхотурский</v>
      </c>
    </row>
    <row r="535" spans="1:38" ht="15" customHeight="1" x14ac:dyDescent="0.25">
      <c r="A535" s="3" t="s">
        <v>884</v>
      </c>
      <c r="B535" s="3" t="s">
        <v>1631</v>
      </c>
      <c r="C535" s="5">
        <v>70026.7601</v>
      </c>
      <c r="D535" s="5">
        <v>70026.7601</v>
      </c>
      <c r="E535" s="5">
        <v>63410.482000000004</v>
      </c>
      <c r="F535" t="s">
        <v>7249</v>
      </c>
      <c r="G535" s="5" t="str">
        <f t="shared" si="17"/>
        <v>УРАЛМАШ</v>
      </c>
      <c r="J535" s="5"/>
      <c r="AF535" t="s">
        <v>7182</v>
      </c>
      <c r="AG535" s="24" t="s">
        <v>5769</v>
      </c>
      <c r="AH535" s="5" t="s">
        <v>7182</v>
      </c>
      <c r="AI535" s="5">
        <v>23024.170600000001</v>
      </c>
      <c r="AJ535" s="5">
        <v>23024.170600000001</v>
      </c>
      <c r="AK535">
        <v>21383.922200000001</v>
      </c>
      <c r="AL535" s="5" t="str">
        <f t="shared" si="18"/>
        <v>Городской округ Верхотурский</v>
      </c>
    </row>
    <row r="536" spans="1:38" ht="15" customHeight="1" x14ac:dyDescent="0.25">
      <c r="A536" s="3" t="s">
        <v>885</v>
      </c>
      <c r="B536" s="3" t="s">
        <v>1632</v>
      </c>
      <c r="C536" s="5">
        <v>83744.997499999998</v>
      </c>
      <c r="D536" s="5">
        <v>83744.997499999998</v>
      </c>
      <c r="E536" s="5">
        <v>75832.596099999995</v>
      </c>
      <c r="F536" t="s">
        <v>7249</v>
      </c>
      <c r="G536" s="5" t="str">
        <f t="shared" si="17"/>
        <v>АВТОВОКЗАЛ</v>
      </c>
      <c r="J536" s="5"/>
      <c r="AF536" t="s">
        <v>7182</v>
      </c>
      <c r="AG536" s="24" t="s">
        <v>5770</v>
      </c>
      <c r="AH536" s="5" t="s">
        <v>7182</v>
      </c>
      <c r="AI536" s="5">
        <v>23024.170600000001</v>
      </c>
      <c r="AJ536" s="5">
        <v>23024.170600000001</v>
      </c>
      <c r="AK536">
        <v>21383.922200000001</v>
      </c>
      <c r="AL536" s="5" t="str">
        <f t="shared" si="18"/>
        <v>Городской округ Верхотурский</v>
      </c>
    </row>
    <row r="537" spans="1:38" ht="15" customHeight="1" x14ac:dyDescent="0.25">
      <c r="A537" s="3" t="s">
        <v>886</v>
      </c>
      <c r="B537" s="3" t="s">
        <v>14</v>
      </c>
      <c r="C537" s="5">
        <v>93989.912800000006</v>
      </c>
      <c r="D537" s="5">
        <v>93989.912800000006</v>
      </c>
      <c r="E537" s="5">
        <v>85109.545199999993</v>
      </c>
      <c r="F537" t="s">
        <v>7249</v>
      </c>
      <c r="G537" s="5" t="str">
        <f t="shared" si="17"/>
        <v>Центр</v>
      </c>
      <c r="J537" s="5"/>
      <c r="AF537" t="s">
        <v>7182</v>
      </c>
      <c r="AG537" s="24" t="s">
        <v>5771</v>
      </c>
      <c r="AH537" s="5" t="s">
        <v>7182</v>
      </c>
      <c r="AI537" s="5">
        <v>23024.170600000001</v>
      </c>
      <c r="AJ537" s="5">
        <v>23024.170600000001</v>
      </c>
      <c r="AK537">
        <v>21383.922200000001</v>
      </c>
      <c r="AL537" s="5" t="str">
        <f t="shared" si="18"/>
        <v>Городской округ Верхотурский</v>
      </c>
    </row>
    <row r="538" spans="1:38" ht="15" customHeight="1" x14ac:dyDescent="0.25">
      <c r="A538" s="3" t="s">
        <v>887</v>
      </c>
      <c r="B538" s="3" t="s">
        <v>1628</v>
      </c>
      <c r="C538" s="5">
        <v>70734.0236</v>
      </c>
      <c r="D538" s="5">
        <v>70734.0236</v>
      </c>
      <c r="E538" s="5">
        <v>64050.9208</v>
      </c>
      <c r="F538" t="s">
        <v>7249</v>
      </c>
      <c r="G538" s="5" t="str">
        <f t="shared" si="17"/>
        <v>ЭЛЬМАШ</v>
      </c>
      <c r="J538" s="5"/>
      <c r="AF538" t="s">
        <v>7182</v>
      </c>
      <c r="AG538" s="24" t="s">
        <v>5772</v>
      </c>
      <c r="AH538" s="5" t="s">
        <v>7182</v>
      </c>
      <c r="AI538" s="5">
        <v>28446.8953</v>
      </c>
      <c r="AJ538" s="5">
        <v>28446.8953</v>
      </c>
      <c r="AK538">
        <v>26420.325400000002</v>
      </c>
      <c r="AL538" s="5" t="str">
        <f t="shared" si="18"/>
        <v>Городской округ Верхотурский</v>
      </c>
    </row>
    <row r="539" spans="1:38" ht="15" customHeight="1" x14ac:dyDescent="0.25">
      <c r="A539" s="3" t="s">
        <v>888</v>
      </c>
      <c r="B539" s="3" t="s">
        <v>1631</v>
      </c>
      <c r="C539" s="5">
        <v>70026.7601</v>
      </c>
      <c r="D539" s="5">
        <v>70026.7601</v>
      </c>
      <c r="E539" s="5">
        <v>63410.482000000004</v>
      </c>
      <c r="F539" t="s">
        <v>7249</v>
      </c>
      <c r="G539" s="5" t="str">
        <f t="shared" si="17"/>
        <v>УРАЛМАШ</v>
      </c>
      <c r="J539" s="5"/>
      <c r="AF539" t="s">
        <v>7182</v>
      </c>
      <c r="AG539" s="24" t="s">
        <v>5773</v>
      </c>
      <c r="AH539" s="5" t="s">
        <v>7182</v>
      </c>
      <c r="AI539" s="5">
        <v>23024.170600000001</v>
      </c>
      <c r="AJ539" s="5">
        <v>23024.170600000001</v>
      </c>
      <c r="AK539">
        <v>21383.922200000001</v>
      </c>
      <c r="AL539" s="5" t="str">
        <f t="shared" si="18"/>
        <v>Городской округ Верхотурский</v>
      </c>
    </row>
    <row r="540" spans="1:38" ht="15" customHeight="1" x14ac:dyDescent="0.25">
      <c r="A540" s="3" t="s">
        <v>889</v>
      </c>
      <c r="B540" s="3" t="s">
        <v>1637</v>
      </c>
      <c r="C540" s="5">
        <v>59368.686099999999</v>
      </c>
      <c r="D540" s="5">
        <v>59368.686099999999</v>
      </c>
      <c r="E540" s="5">
        <v>53759.401700000002</v>
      </c>
      <c r="F540" t="s">
        <v>7249</v>
      </c>
      <c r="G540" s="5" t="str">
        <f t="shared" si="17"/>
        <v>Старая сортировка</v>
      </c>
      <c r="J540" s="5"/>
      <c r="AF540" t="s">
        <v>7182</v>
      </c>
      <c r="AG540" s="24" t="s">
        <v>5774</v>
      </c>
      <c r="AH540" s="5" t="s">
        <v>7182</v>
      </c>
      <c r="AI540" s="5">
        <v>23024.170600000001</v>
      </c>
      <c r="AJ540" s="5">
        <v>23024.170600000001</v>
      </c>
      <c r="AK540">
        <v>21383.922200000001</v>
      </c>
      <c r="AL540" s="5" t="str">
        <f t="shared" si="18"/>
        <v>Городской округ Верхотурский</v>
      </c>
    </row>
    <row r="541" spans="1:38" ht="15" customHeight="1" x14ac:dyDescent="0.25">
      <c r="A541" s="3" t="s">
        <v>890</v>
      </c>
      <c r="B541" s="3" t="s">
        <v>1629</v>
      </c>
      <c r="C541" s="5">
        <v>77743.704100000003</v>
      </c>
      <c r="D541" s="5">
        <v>77743.704100000003</v>
      </c>
      <c r="E541" s="5">
        <v>70398.310800000007</v>
      </c>
      <c r="F541" t="s">
        <v>7249</v>
      </c>
      <c r="G541" s="5" t="str">
        <f t="shared" si="17"/>
        <v>ПИОНЕРСКИЙ</v>
      </c>
      <c r="J541" s="5"/>
      <c r="AF541" t="s">
        <v>7182</v>
      </c>
      <c r="AG541" s="24" t="s">
        <v>5775</v>
      </c>
      <c r="AH541" s="5" t="s">
        <v>7182</v>
      </c>
      <c r="AI541" s="5">
        <v>23024.170600000001</v>
      </c>
      <c r="AJ541" s="5">
        <v>23024.170600000001</v>
      </c>
      <c r="AK541">
        <v>21383.922200000001</v>
      </c>
      <c r="AL541" s="5" t="str">
        <f t="shared" si="18"/>
        <v>Городской округ Верхотурский</v>
      </c>
    </row>
    <row r="542" spans="1:38" ht="15" customHeight="1" x14ac:dyDescent="0.25">
      <c r="A542" s="3" t="s">
        <v>891</v>
      </c>
      <c r="B542" s="3" t="s">
        <v>1637</v>
      </c>
      <c r="C542" s="5">
        <v>59368.686099999999</v>
      </c>
      <c r="D542" s="5">
        <v>59368.686099999999</v>
      </c>
      <c r="E542" s="5">
        <v>53759.401700000002</v>
      </c>
      <c r="F542" t="s">
        <v>7249</v>
      </c>
      <c r="G542" s="5" t="str">
        <f t="shared" si="17"/>
        <v>Старая сортировка</v>
      </c>
      <c r="J542" s="5"/>
      <c r="AF542" t="s">
        <v>7182</v>
      </c>
      <c r="AG542" s="24" t="s">
        <v>5776</v>
      </c>
      <c r="AH542" s="5" t="s">
        <v>7182</v>
      </c>
      <c r="AI542" s="5">
        <v>23024.170600000001</v>
      </c>
      <c r="AJ542" s="5">
        <v>23024.170600000001</v>
      </c>
      <c r="AK542">
        <v>21383.922200000001</v>
      </c>
      <c r="AL542" s="5" t="str">
        <f t="shared" si="18"/>
        <v>Городской округ Верхотурский</v>
      </c>
    </row>
    <row r="543" spans="1:38" ht="15" customHeight="1" x14ac:dyDescent="0.25">
      <c r="A543" s="3" t="s">
        <v>892</v>
      </c>
      <c r="B543" s="3" t="s">
        <v>1667</v>
      </c>
      <c r="C543" s="5">
        <v>56546.599699999999</v>
      </c>
      <c r="D543" s="5">
        <v>56546.599699999999</v>
      </c>
      <c r="E543" s="5">
        <v>51203.963499999998</v>
      </c>
      <c r="F543" t="s">
        <v>7249</v>
      </c>
      <c r="G543" s="5" t="str">
        <f t="shared" si="17"/>
        <v>КАЛИНОВСКИЙ</v>
      </c>
      <c r="J543" s="5"/>
      <c r="AF543" t="s">
        <v>7182</v>
      </c>
      <c r="AG543" s="24" t="s">
        <v>5777</v>
      </c>
      <c r="AH543" s="5" t="s">
        <v>7182</v>
      </c>
      <c r="AI543" s="5">
        <v>23024.170600000001</v>
      </c>
      <c r="AJ543" s="5">
        <v>23024.170600000001</v>
      </c>
      <c r="AK543">
        <v>21383.922200000001</v>
      </c>
      <c r="AL543" s="5" t="str">
        <f t="shared" si="18"/>
        <v>Городской округ Верхотурский</v>
      </c>
    </row>
    <row r="544" spans="1:38" ht="15" customHeight="1" x14ac:dyDescent="0.25">
      <c r="A544" s="3" t="s">
        <v>893</v>
      </c>
      <c r="B544" s="3" t="s">
        <v>1633</v>
      </c>
      <c r="C544" s="5">
        <v>77071.442599999995</v>
      </c>
      <c r="D544" s="5">
        <v>77071.442599999995</v>
      </c>
      <c r="E544" s="5">
        <v>69789.570900000006</v>
      </c>
      <c r="F544" t="s">
        <v>7249</v>
      </c>
      <c r="G544" s="5" t="str">
        <f t="shared" si="17"/>
        <v>ВТУЗГОРОДОК</v>
      </c>
      <c r="J544" s="5"/>
      <c r="AF544" t="s">
        <v>7182</v>
      </c>
      <c r="AG544" s="24" t="s">
        <v>5778</v>
      </c>
      <c r="AH544" s="5" t="s">
        <v>7182</v>
      </c>
      <c r="AI544" s="5">
        <v>23024.170600000001</v>
      </c>
      <c r="AJ544" s="5">
        <v>23024.170600000001</v>
      </c>
      <c r="AK544">
        <v>21383.922200000001</v>
      </c>
      <c r="AL544" s="5" t="str">
        <f t="shared" si="18"/>
        <v>Городской округ Верхотурский</v>
      </c>
    </row>
    <row r="545" spans="1:38" ht="15" customHeight="1" x14ac:dyDescent="0.25">
      <c r="A545" s="3" t="s">
        <v>894</v>
      </c>
      <c r="B545" s="3" t="s">
        <v>1645</v>
      </c>
      <c r="C545" s="5">
        <v>60958.294800000003</v>
      </c>
      <c r="D545" s="5">
        <v>60958.294800000003</v>
      </c>
      <c r="E545" s="5">
        <v>55198.825199999999</v>
      </c>
      <c r="F545" t="s">
        <v>7249</v>
      </c>
      <c r="G545" s="5" t="str">
        <f t="shared" si="17"/>
        <v>ЕЛИЗАВЕТ</v>
      </c>
      <c r="J545" s="5"/>
      <c r="AF545" t="s">
        <v>7182</v>
      </c>
      <c r="AG545" s="24" t="s">
        <v>5779</v>
      </c>
      <c r="AH545" s="5" t="s">
        <v>7182</v>
      </c>
      <c r="AI545" s="5">
        <v>23024.170600000001</v>
      </c>
      <c r="AJ545" s="5">
        <v>23024.170600000001</v>
      </c>
      <c r="AK545">
        <v>21383.922200000001</v>
      </c>
      <c r="AL545" s="5" t="str">
        <f t="shared" si="18"/>
        <v>Городской округ Верхотурский</v>
      </c>
    </row>
    <row r="546" spans="1:38" ht="15" customHeight="1" x14ac:dyDescent="0.25">
      <c r="A546" s="3" t="s">
        <v>895</v>
      </c>
      <c r="B546" s="3" t="s">
        <v>1654</v>
      </c>
      <c r="C546" s="5">
        <v>56140.449699999997</v>
      </c>
      <c r="D546" s="5">
        <v>56140.449699999997</v>
      </c>
      <c r="E546" s="5">
        <v>50836.1803</v>
      </c>
      <c r="F546" t="s">
        <v>7249</v>
      </c>
      <c r="G546" s="5" t="str">
        <f t="shared" si="17"/>
        <v>ЗАВОКЗАЛЬНЫЙ</v>
      </c>
      <c r="J546" s="5"/>
      <c r="AF546" t="s">
        <v>7182</v>
      </c>
      <c r="AG546" s="24" t="s">
        <v>5780</v>
      </c>
      <c r="AH546" s="5" t="s">
        <v>7182</v>
      </c>
      <c r="AI546" s="5">
        <v>23024.170600000001</v>
      </c>
      <c r="AJ546" s="5">
        <v>23024.170600000001</v>
      </c>
      <c r="AK546">
        <v>21383.922200000001</v>
      </c>
      <c r="AL546" s="5" t="str">
        <f t="shared" si="18"/>
        <v>Городской округ Верхотурский</v>
      </c>
    </row>
    <row r="547" spans="1:38" ht="15" customHeight="1" x14ac:dyDescent="0.25">
      <c r="A547" s="3" t="s">
        <v>896</v>
      </c>
      <c r="B547" s="3" t="s">
        <v>1630</v>
      </c>
      <c r="C547" s="5">
        <v>62652.9401</v>
      </c>
      <c r="D547" s="5">
        <v>62652.9401</v>
      </c>
      <c r="E547" s="5">
        <v>56733.3557</v>
      </c>
      <c r="F547" t="s">
        <v>7249</v>
      </c>
      <c r="G547" s="5" t="str">
        <f t="shared" si="17"/>
        <v>ЧЕРМЕТ</v>
      </c>
      <c r="J547" s="5"/>
      <c r="AF547" t="s">
        <v>7182</v>
      </c>
      <c r="AG547" s="24" t="s">
        <v>5781</v>
      </c>
      <c r="AH547" s="5" t="s">
        <v>7182</v>
      </c>
      <c r="AI547" s="5">
        <v>23024.170600000001</v>
      </c>
      <c r="AJ547" s="5">
        <v>23024.170600000001</v>
      </c>
      <c r="AK547">
        <v>21383.922200000001</v>
      </c>
      <c r="AL547" s="5" t="str">
        <f t="shared" si="18"/>
        <v>Городской округ Верхотурский</v>
      </c>
    </row>
    <row r="548" spans="1:38" ht="15" customHeight="1" x14ac:dyDescent="0.25">
      <c r="A548" s="3" t="s">
        <v>897</v>
      </c>
      <c r="B548" s="3" t="s">
        <v>1645</v>
      </c>
      <c r="C548" s="5">
        <v>60958.294800000003</v>
      </c>
      <c r="D548" s="5">
        <v>60958.294800000003</v>
      </c>
      <c r="E548" s="5">
        <v>55198.825199999999</v>
      </c>
      <c r="F548" t="s">
        <v>7249</v>
      </c>
      <c r="G548" s="5" t="str">
        <f t="shared" si="17"/>
        <v>ЕЛИЗАВЕТ</v>
      </c>
      <c r="J548" s="5"/>
      <c r="AF548" t="s">
        <v>7182</v>
      </c>
      <c r="AG548" s="24" t="s">
        <v>5782</v>
      </c>
      <c r="AH548" s="5" t="s">
        <v>7182</v>
      </c>
      <c r="AI548" s="5">
        <v>23024.170600000001</v>
      </c>
      <c r="AJ548" s="5">
        <v>23024.170600000001</v>
      </c>
      <c r="AK548">
        <v>21383.922200000001</v>
      </c>
      <c r="AL548" s="5" t="str">
        <f t="shared" si="18"/>
        <v>Городской округ Верхотурский</v>
      </c>
    </row>
    <row r="549" spans="1:38" ht="15" customHeight="1" x14ac:dyDescent="0.25">
      <c r="A549" s="3" t="s">
        <v>898</v>
      </c>
      <c r="B549" s="3" t="s">
        <v>1630</v>
      </c>
      <c r="C549" s="5">
        <v>62652.9401</v>
      </c>
      <c r="D549" s="5">
        <v>62652.9401</v>
      </c>
      <c r="E549" s="5">
        <v>56733.3557</v>
      </c>
      <c r="F549" t="s">
        <v>7249</v>
      </c>
      <c r="G549" s="5" t="str">
        <f t="shared" si="17"/>
        <v>ЧЕРМЕТ</v>
      </c>
      <c r="J549" s="5"/>
      <c r="AF549" t="s">
        <v>7182</v>
      </c>
      <c r="AG549" s="24" t="s">
        <v>5783</v>
      </c>
      <c r="AH549" s="5" t="s">
        <v>7182</v>
      </c>
      <c r="AI549" s="5">
        <v>23024.170600000001</v>
      </c>
      <c r="AJ549" s="5">
        <v>23024.170600000001</v>
      </c>
      <c r="AK549">
        <v>21383.922200000001</v>
      </c>
      <c r="AL549" s="5" t="str">
        <f t="shared" si="18"/>
        <v>Городской округ Верхотурский</v>
      </c>
    </row>
    <row r="550" spans="1:38" ht="15" customHeight="1" x14ac:dyDescent="0.25">
      <c r="A550" s="3" t="s">
        <v>899</v>
      </c>
      <c r="B550" s="3" t="s">
        <v>1629</v>
      </c>
      <c r="C550" s="5">
        <v>77743.704100000003</v>
      </c>
      <c r="D550" s="5">
        <v>77743.704100000003</v>
      </c>
      <c r="E550" s="5">
        <v>70398.310800000007</v>
      </c>
      <c r="F550" t="s">
        <v>7249</v>
      </c>
      <c r="G550" s="5" t="str">
        <f t="shared" si="17"/>
        <v>ПИОНЕРСКИЙ</v>
      </c>
      <c r="J550" s="5"/>
      <c r="AF550" t="s">
        <v>7182</v>
      </c>
      <c r="AG550" s="24" t="s">
        <v>5784</v>
      </c>
      <c r="AH550" s="5" t="s">
        <v>7182</v>
      </c>
      <c r="AI550" s="5">
        <v>23024.170600000001</v>
      </c>
      <c r="AJ550" s="5">
        <v>23024.170600000001</v>
      </c>
      <c r="AK550">
        <v>21383.922200000001</v>
      </c>
      <c r="AL550" s="5" t="str">
        <f t="shared" si="18"/>
        <v>Городской округ Верхотурский</v>
      </c>
    </row>
    <row r="551" spans="1:38" ht="15" customHeight="1" x14ac:dyDescent="0.25">
      <c r="A551" s="3" t="s">
        <v>900</v>
      </c>
      <c r="B551" s="3" t="s">
        <v>1630</v>
      </c>
      <c r="C551" s="5">
        <v>62652.9401</v>
      </c>
      <c r="D551" s="5">
        <v>62652.9401</v>
      </c>
      <c r="E551" s="5">
        <v>56733.3557</v>
      </c>
      <c r="F551" t="s">
        <v>7249</v>
      </c>
      <c r="G551" s="5" t="str">
        <f t="shared" si="17"/>
        <v>ЧЕРМЕТ</v>
      </c>
      <c r="J551" s="5"/>
      <c r="AF551" t="s">
        <v>7182</v>
      </c>
      <c r="AG551" s="24" t="s">
        <v>5785</v>
      </c>
      <c r="AH551" s="5" t="s">
        <v>7182</v>
      </c>
      <c r="AI551" s="5">
        <v>23024.170600000001</v>
      </c>
      <c r="AJ551" s="5">
        <v>23024.170600000001</v>
      </c>
      <c r="AK551">
        <v>21383.922200000001</v>
      </c>
      <c r="AL551" s="5" t="str">
        <f t="shared" si="18"/>
        <v>Городской округ Верхотурский</v>
      </c>
    </row>
    <row r="552" spans="1:38" ht="15" customHeight="1" x14ac:dyDescent="0.25">
      <c r="A552" s="3" t="s">
        <v>901</v>
      </c>
      <c r="B552" s="3" t="s">
        <v>1650</v>
      </c>
      <c r="C552" s="5">
        <v>37590.3603</v>
      </c>
      <c r="D552" s="5">
        <v>37590.3603</v>
      </c>
      <c r="E552" s="5">
        <v>34038.745900000002</v>
      </c>
      <c r="F552" t="s">
        <v>7249</v>
      </c>
      <c r="G552" s="5" t="str">
        <f t="shared" si="17"/>
        <v>ШАБРОВСКИЙ</v>
      </c>
      <c r="J552" s="5"/>
      <c r="AF552" t="s">
        <v>7182</v>
      </c>
      <c r="AG552" s="24" t="s">
        <v>5786</v>
      </c>
      <c r="AH552" s="5" t="s">
        <v>7182</v>
      </c>
      <c r="AI552" s="5">
        <v>23024.170600000001</v>
      </c>
      <c r="AJ552" s="5">
        <v>23024.170600000001</v>
      </c>
      <c r="AK552">
        <v>21383.922200000001</v>
      </c>
      <c r="AL552" s="5" t="str">
        <f t="shared" si="18"/>
        <v>Городской округ Верхотурский</v>
      </c>
    </row>
    <row r="553" spans="1:38" ht="15" customHeight="1" x14ac:dyDescent="0.25">
      <c r="A553" s="3" t="s">
        <v>902</v>
      </c>
      <c r="B553" s="3" t="s">
        <v>1639</v>
      </c>
      <c r="C553" s="5">
        <v>53500.443299999999</v>
      </c>
      <c r="D553" s="5">
        <v>53500.443299999999</v>
      </c>
      <c r="E553" s="5">
        <v>48445.605100000001</v>
      </c>
      <c r="F553" t="s">
        <v>7249</v>
      </c>
      <c r="G553" s="5" t="str">
        <f t="shared" si="17"/>
        <v>ИСТОК</v>
      </c>
      <c r="J553" s="5"/>
      <c r="AF553" t="s">
        <v>7182</v>
      </c>
      <c r="AG553" s="24" t="s">
        <v>5787</v>
      </c>
      <c r="AH553" s="5" t="s">
        <v>7182</v>
      </c>
      <c r="AI553" s="5">
        <v>23024.170600000001</v>
      </c>
      <c r="AJ553" s="5">
        <v>23024.170600000001</v>
      </c>
      <c r="AK553">
        <v>21383.922200000001</v>
      </c>
      <c r="AL553" s="5" t="str">
        <f t="shared" si="18"/>
        <v>Городской округ Верхотурский</v>
      </c>
    </row>
    <row r="554" spans="1:38" ht="15" customHeight="1" x14ac:dyDescent="0.25">
      <c r="A554" s="3" t="s">
        <v>903</v>
      </c>
      <c r="B554" s="3" t="s">
        <v>1644</v>
      </c>
      <c r="C554" s="5">
        <v>61980.678599999999</v>
      </c>
      <c r="D554" s="5">
        <v>61980.678599999999</v>
      </c>
      <c r="E554" s="5">
        <v>56124.615700000002</v>
      </c>
      <c r="F554" t="s">
        <v>7249</v>
      </c>
      <c r="G554" s="5" t="str">
        <f t="shared" si="17"/>
        <v>ХИММАШ</v>
      </c>
      <c r="J554" s="5"/>
      <c r="AF554" t="s">
        <v>7182</v>
      </c>
      <c r="AG554" s="24" t="s">
        <v>5788</v>
      </c>
      <c r="AH554" s="5" t="s">
        <v>7182</v>
      </c>
      <c r="AI554" s="5">
        <v>23024.170600000001</v>
      </c>
      <c r="AJ554" s="5">
        <v>23024.170600000001</v>
      </c>
      <c r="AK554">
        <v>21383.922200000001</v>
      </c>
      <c r="AL554" s="5" t="str">
        <f t="shared" si="18"/>
        <v>Городской округ Верхотурский</v>
      </c>
    </row>
    <row r="555" spans="1:38" ht="15" customHeight="1" x14ac:dyDescent="0.25">
      <c r="A555" s="3" t="s">
        <v>904</v>
      </c>
      <c r="B555" s="3" t="s">
        <v>14</v>
      </c>
      <c r="C555" s="5">
        <v>93989.912800000006</v>
      </c>
      <c r="D555" s="5">
        <v>93989.912800000006</v>
      </c>
      <c r="E555" s="5">
        <v>85109.545199999993</v>
      </c>
      <c r="F555" t="s">
        <v>7249</v>
      </c>
      <c r="G555" s="5" t="str">
        <f t="shared" si="17"/>
        <v>Центр</v>
      </c>
      <c r="J555" s="5"/>
      <c r="AF555" t="s">
        <v>7182</v>
      </c>
      <c r="AG555" s="24" t="s">
        <v>5789</v>
      </c>
      <c r="AH555" s="5" t="s">
        <v>7182</v>
      </c>
      <c r="AI555" s="5">
        <v>23024.170600000001</v>
      </c>
      <c r="AJ555" s="5">
        <v>23024.170600000001</v>
      </c>
      <c r="AK555">
        <v>21383.922200000001</v>
      </c>
      <c r="AL555" s="5" t="str">
        <f t="shared" si="18"/>
        <v>Городской округ Верхотурский</v>
      </c>
    </row>
    <row r="556" spans="1:38" ht="15" customHeight="1" x14ac:dyDescent="0.25">
      <c r="A556" s="3" t="s">
        <v>905</v>
      </c>
      <c r="B556" s="3" t="s">
        <v>1630</v>
      </c>
      <c r="C556" s="5">
        <v>62652.9401</v>
      </c>
      <c r="D556" s="5">
        <v>62652.9401</v>
      </c>
      <c r="E556" s="5">
        <v>56733.3557</v>
      </c>
      <c r="F556" t="s">
        <v>7249</v>
      </c>
      <c r="G556" s="5" t="str">
        <f t="shared" si="17"/>
        <v>ЧЕРМЕТ</v>
      </c>
      <c r="J556" s="5"/>
      <c r="AF556" t="s">
        <v>7182</v>
      </c>
      <c r="AG556" s="24" t="s">
        <v>5790</v>
      </c>
      <c r="AH556" s="5" t="s">
        <v>7182</v>
      </c>
      <c r="AI556" s="5">
        <v>23024.170600000001</v>
      </c>
      <c r="AJ556" s="5">
        <v>23024.170600000001</v>
      </c>
      <c r="AK556">
        <v>21383.922200000001</v>
      </c>
      <c r="AL556" s="5" t="str">
        <f t="shared" si="18"/>
        <v>Городской округ Верхотурский</v>
      </c>
    </row>
    <row r="557" spans="1:38" ht="15" customHeight="1" x14ac:dyDescent="0.25">
      <c r="A557" s="3" t="s">
        <v>906</v>
      </c>
      <c r="B557" s="3" t="s">
        <v>1628</v>
      </c>
      <c r="C557" s="5">
        <v>70734.0236</v>
      </c>
      <c r="D557" s="5">
        <v>70734.0236</v>
      </c>
      <c r="E557" s="5">
        <v>64050.9208</v>
      </c>
      <c r="F557" t="s">
        <v>7249</v>
      </c>
      <c r="G557" s="5" t="str">
        <f t="shared" si="17"/>
        <v>ЭЛЬМАШ</v>
      </c>
      <c r="J557" s="5"/>
      <c r="AF557" t="s">
        <v>7182</v>
      </c>
      <c r="AG557" s="24" t="s">
        <v>5791</v>
      </c>
      <c r="AH557" s="5" t="s">
        <v>7182</v>
      </c>
      <c r="AI557" s="5">
        <v>23024.170600000001</v>
      </c>
      <c r="AJ557" s="5">
        <v>23024.170600000001</v>
      </c>
      <c r="AK557">
        <v>21383.922200000001</v>
      </c>
      <c r="AL557" s="5" t="str">
        <f t="shared" si="18"/>
        <v>Городской округ Верхотурский</v>
      </c>
    </row>
    <row r="558" spans="1:38" ht="15" customHeight="1" x14ac:dyDescent="0.25">
      <c r="A558" s="3" t="s">
        <v>908</v>
      </c>
      <c r="B558" s="3" t="s">
        <v>1629</v>
      </c>
      <c r="C558" s="5">
        <v>77743.704100000003</v>
      </c>
      <c r="D558" s="5">
        <v>77743.704100000003</v>
      </c>
      <c r="E558" s="5">
        <v>70398.310800000007</v>
      </c>
      <c r="F558" t="s">
        <v>7249</v>
      </c>
      <c r="G558" s="5" t="str">
        <f t="shared" si="17"/>
        <v>ПИОНЕРСКИЙ</v>
      </c>
      <c r="J558" s="5"/>
      <c r="AF558" t="s">
        <v>7182</v>
      </c>
      <c r="AG558" s="24" t="s">
        <v>5792</v>
      </c>
      <c r="AH558" s="5" t="s">
        <v>7182</v>
      </c>
      <c r="AI558" s="5">
        <v>23024.170600000001</v>
      </c>
      <c r="AJ558" s="5">
        <v>23024.170600000001</v>
      </c>
      <c r="AK558">
        <v>21383.922200000001</v>
      </c>
      <c r="AL558" s="5" t="str">
        <f t="shared" si="18"/>
        <v>Городской округ Верхотурский</v>
      </c>
    </row>
    <row r="559" spans="1:38" ht="15" customHeight="1" x14ac:dyDescent="0.25">
      <c r="A559" s="3" t="s">
        <v>909</v>
      </c>
      <c r="B559" s="3" t="s">
        <v>1632</v>
      </c>
      <c r="C559" s="5">
        <v>83744.997499999998</v>
      </c>
      <c r="D559" s="5">
        <v>83744.997499999998</v>
      </c>
      <c r="E559" s="5">
        <v>75832.596099999995</v>
      </c>
      <c r="F559" t="s">
        <v>7249</v>
      </c>
      <c r="G559" s="5" t="str">
        <f t="shared" si="17"/>
        <v>АВТОВОКЗАЛ</v>
      </c>
      <c r="J559" s="5"/>
      <c r="AF559" t="s">
        <v>7182</v>
      </c>
      <c r="AG559" s="24" t="s">
        <v>5793</v>
      </c>
      <c r="AH559" s="5" t="s">
        <v>7182</v>
      </c>
      <c r="AI559" s="5">
        <v>23024.170600000001</v>
      </c>
      <c r="AJ559" s="5">
        <v>23024.170600000001</v>
      </c>
      <c r="AK559">
        <v>21383.922200000001</v>
      </c>
      <c r="AL559" s="5" t="str">
        <f t="shared" si="18"/>
        <v>Городской округ Верхотурский</v>
      </c>
    </row>
    <row r="560" spans="1:38" ht="15" customHeight="1" x14ac:dyDescent="0.25">
      <c r="A560" s="3" t="s">
        <v>910</v>
      </c>
      <c r="B560" s="3" t="s">
        <v>14</v>
      </c>
      <c r="C560" s="5">
        <v>93989.912800000006</v>
      </c>
      <c r="D560" s="5">
        <v>93989.912800000006</v>
      </c>
      <c r="E560" s="5">
        <v>85109.545199999993</v>
      </c>
      <c r="F560" t="s">
        <v>7249</v>
      </c>
      <c r="G560" s="5" t="str">
        <f t="shared" si="17"/>
        <v>Центр</v>
      </c>
      <c r="J560" s="5"/>
      <c r="AF560" t="s">
        <v>7182</v>
      </c>
      <c r="AG560" s="24" t="s">
        <v>5794</v>
      </c>
      <c r="AH560" s="5" t="s">
        <v>7182</v>
      </c>
      <c r="AI560" s="5">
        <v>23024.170600000001</v>
      </c>
      <c r="AJ560" s="5">
        <v>23024.170600000001</v>
      </c>
      <c r="AK560">
        <v>21383.922200000001</v>
      </c>
      <c r="AL560" s="5" t="str">
        <f t="shared" si="18"/>
        <v>Городской округ Верхотурский</v>
      </c>
    </row>
    <row r="561" spans="1:38" ht="15" customHeight="1" x14ac:dyDescent="0.25">
      <c r="A561" s="3" t="s">
        <v>911</v>
      </c>
      <c r="B561" s="3" t="s">
        <v>1668</v>
      </c>
      <c r="C561" s="5">
        <v>51343.6201</v>
      </c>
      <c r="D561" s="5">
        <v>51343.6201</v>
      </c>
      <c r="E561" s="5">
        <v>46492.558799999999</v>
      </c>
      <c r="F561" t="s">
        <v>7249</v>
      </c>
      <c r="G561" s="5" t="str">
        <f t="shared" si="17"/>
        <v>МЕДНЫЙ</v>
      </c>
      <c r="J561" s="5"/>
      <c r="AF561" t="s">
        <v>7182</v>
      </c>
      <c r="AG561" s="24" t="s">
        <v>5795</v>
      </c>
      <c r="AH561" s="5" t="s">
        <v>7182</v>
      </c>
      <c r="AI561" s="5">
        <v>23024.170600000001</v>
      </c>
      <c r="AJ561" s="5">
        <v>23024.170600000001</v>
      </c>
      <c r="AK561">
        <v>21383.922200000001</v>
      </c>
      <c r="AL561" s="5" t="str">
        <f t="shared" si="18"/>
        <v>Городской округ Верхотурский</v>
      </c>
    </row>
    <row r="562" spans="1:38" ht="15" customHeight="1" x14ac:dyDescent="0.25">
      <c r="A562" s="3" t="s">
        <v>912</v>
      </c>
      <c r="B562" s="3" t="s">
        <v>1631</v>
      </c>
      <c r="C562" s="5">
        <v>70026.7601</v>
      </c>
      <c r="D562" s="5">
        <v>70026.7601</v>
      </c>
      <c r="E562" s="5">
        <v>63410.482000000004</v>
      </c>
      <c r="F562" t="s">
        <v>7249</v>
      </c>
      <c r="G562" s="5" t="str">
        <f t="shared" si="17"/>
        <v>УРАЛМАШ</v>
      </c>
      <c r="J562" s="5"/>
      <c r="AF562" t="s">
        <v>7182</v>
      </c>
      <c r="AG562" s="24" t="s">
        <v>5796</v>
      </c>
      <c r="AH562" s="5" t="s">
        <v>7182</v>
      </c>
      <c r="AI562" s="5">
        <v>23024.170600000001</v>
      </c>
      <c r="AJ562" s="5">
        <v>23024.170600000001</v>
      </c>
      <c r="AK562">
        <v>21383.922200000001</v>
      </c>
      <c r="AL562" s="5" t="str">
        <f t="shared" si="18"/>
        <v>Городской округ Верхотурский</v>
      </c>
    </row>
    <row r="563" spans="1:38" ht="15" customHeight="1" x14ac:dyDescent="0.25">
      <c r="A563" s="3" t="s">
        <v>913</v>
      </c>
      <c r="B563" s="3" t="s">
        <v>1661</v>
      </c>
      <c r="C563" s="5">
        <v>51175.5573</v>
      </c>
      <c r="D563" s="5">
        <v>51175.5573</v>
      </c>
      <c r="E563" s="5">
        <v>46340.381600000001</v>
      </c>
      <c r="F563" t="s">
        <v>7249</v>
      </c>
      <c r="G563" s="5" t="str">
        <f t="shared" si="17"/>
        <v>СЕВЕРКА</v>
      </c>
      <c r="J563" s="5"/>
      <c r="AF563" t="s">
        <v>7182</v>
      </c>
      <c r="AG563" s="24" t="s">
        <v>5797</v>
      </c>
      <c r="AH563" s="5" t="s">
        <v>7182</v>
      </c>
      <c r="AI563" s="5">
        <v>23024.170600000001</v>
      </c>
      <c r="AJ563" s="5">
        <v>23024.170600000001</v>
      </c>
      <c r="AK563">
        <v>21383.922200000001</v>
      </c>
      <c r="AL563" s="5" t="str">
        <f t="shared" si="18"/>
        <v>Городской округ Верхотурский</v>
      </c>
    </row>
    <row r="564" spans="1:38" ht="15" customHeight="1" x14ac:dyDescent="0.25">
      <c r="A564" s="3" t="s">
        <v>914</v>
      </c>
      <c r="B564" s="3" t="s">
        <v>1663</v>
      </c>
      <c r="C564" s="5">
        <v>44242.899599999997</v>
      </c>
      <c r="D564" s="5">
        <v>44242.899599999997</v>
      </c>
      <c r="E564" s="5">
        <v>40062.737300000001</v>
      </c>
      <c r="F564" t="s">
        <v>7249</v>
      </c>
      <c r="G564" s="5" t="str">
        <f t="shared" si="17"/>
        <v>ШУВАКИШ</v>
      </c>
      <c r="J564" s="5"/>
      <c r="AF564" t="s">
        <v>7182</v>
      </c>
      <c r="AG564" s="24" t="s">
        <v>5798</v>
      </c>
      <c r="AH564" s="5" t="s">
        <v>7182</v>
      </c>
      <c r="AI564" s="5">
        <v>23024.170600000001</v>
      </c>
      <c r="AJ564" s="5">
        <v>23024.170600000001</v>
      </c>
      <c r="AK564">
        <v>21383.922200000001</v>
      </c>
      <c r="AL564" s="5" t="str">
        <f t="shared" si="18"/>
        <v>Городской округ Верхотурский</v>
      </c>
    </row>
    <row r="565" spans="1:38" ht="15" customHeight="1" x14ac:dyDescent="0.25">
      <c r="A565" s="3" t="s">
        <v>915</v>
      </c>
      <c r="B565" s="3" t="s">
        <v>1638</v>
      </c>
      <c r="C565" s="5">
        <v>63640.311600000001</v>
      </c>
      <c r="D565" s="5">
        <v>63640.311600000001</v>
      </c>
      <c r="E565" s="5">
        <v>57627.4473</v>
      </c>
      <c r="F565" t="s">
        <v>7249</v>
      </c>
      <c r="G565" s="5" t="str">
        <f t="shared" si="17"/>
        <v>УКТУС</v>
      </c>
      <c r="J565" s="5"/>
      <c r="AF565" t="s">
        <v>7182</v>
      </c>
      <c r="AG565" s="24" t="s">
        <v>5799</v>
      </c>
      <c r="AH565" s="5" t="s">
        <v>7182</v>
      </c>
      <c r="AI565" s="5">
        <v>23024.170600000001</v>
      </c>
      <c r="AJ565" s="5">
        <v>23024.170600000001</v>
      </c>
      <c r="AK565">
        <v>21383.922200000001</v>
      </c>
      <c r="AL565" s="5" t="str">
        <f t="shared" si="18"/>
        <v>Городской округ Верхотурский</v>
      </c>
    </row>
    <row r="566" spans="1:38" ht="15" customHeight="1" x14ac:dyDescent="0.25">
      <c r="A566" s="3" t="s">
        <v>916</v>
      </c>
      <c r="B566" s="3" t="s">
        <v>1643</v>
      </c>
      <c r="C566" s="5">
        <v>76630.280299999999</v>
      </c>
      <c r="D566" s="5">
        <v>76630.280299999999</v>
      </c>
      <c r="E566" s="5">
        <v>69390.088799999998</v>
      </c>
      <c r="F566" t="s">
        <v>7249</v>
      </c>
      <c r="G566" s="5" t="str">
        <f t="shared" si="17"/>
        <v>Ю-З</v>
      </c>
      <c r="J566" s="5"/>
      <c r="AF566" t="s">
        <v>7182</v>
      </c>
      <c r="AG566" s="24" t="s">
        <v>5800</v>
      </c>
      <c r="AH566" s="5" t="s">
        <v>7182</v>
      </c>
      <c r="AI566" s="5">
        <v>23024.170600000001</v>
      </c>
      <c r="AJ566" s="5">
        <v>23024.170600000001</v>
      </c>
      <c r="AK566">
        <v>21383.922200000001</v>
      </c>
      <c r="AL566" s="5" t="str">
        <f t="shared" si="18"/>
        <v>Городской округ Верхотурский</v>
      </c>
    </row>
    <row r="567" spans="1:38" ht="15" customHeight="1" x14ac:dyDescent="0.25">
      <c r="A567" s="3" t="s">
        <v>917</v>
      </c>
      <c r="B567" s="3" t="s">
        <v>1643</v>
      </c>
      <c r="C567" s="5">
        <v>76630.280299999999</v>
      </c>
      <c r="D567" s="5">
        <v>76630.280299999999</v>
      </c>
      <c r="E567" s="5">
        <v>69390.088799999998</v>
      </c>
      <c r="F567" t="s">
        <v>7249</v>
      </c>
      <c r="G567" s="5" t="str">
        <f t="shared" si="17"/>
        <v>Ю-З</v>
      </c>
      <c r="J567" s="5"/>
      <c r="AF567" t="s">
        <v>7182</v>
      </c>
      <c r="AG567" s="24" t="s">
        <v>5801</v>
      </c>
      <c r="AH567" s="5" t="s">
        <v>7182</v>
      </c>
      <c r="AI567" s="5">
        <v>23024.170600000001</v>
      </c>
      <c r="AJ567" s="5">
        <v>23024.170600000001</v>
      </c>
      <c r="AK567">
        <v>21383.922200000001</v>
      </c>
      <c r="AL567" s="5" t="str">
        <f t="shared" si="18"/>
        <v>Городской округ Верхотурский</v>
      </c>
    </row>
    <row r="568" spans="1:38" ht="15" customHeight="1" x14ac:dyDescent="0.25">
      <c r="A568" s="3" t="s">
        <v>918</v>
      </c>
      <c r="B568" s="3" t="s">
        <v>1644</v>
      </c>
      <c r="C568" s="5">
        <v>61980.678599999999</v>
      </c>
      <c r="D568" s="5">
        <v>61980.678599999999</v>
      </c>
      <c r="E568" s="5">
        <v>56124.615700000002</v>
      </c>
      <c r="F568" t="s">
        <v>7249</v>
      </c>
      <c r="G568" s="5" t="str">
        <f t="shared" si="17"/>
        <v>ХИММАШ</v>
      </c>
      <c r="J568" s="5"/>
      <c r="AF568" t="s">
        <v>7182</v>
      </c>
      <c r="AG568" s="24" t="s">
        <v>5802</v>
      </c>
      <c r="AH568" s="5" t="s">
        <v>7182</v>
      </c>
      <c r="AI568" s="5">
        <v>23600.8917</v>
      </c>
      <c r="AJ568" s="5">
        <v>23600.8917</v>
      </c>
      <c r="AK568">
        <v>21919.5412</v>
      </c>
      <c r="AL568" s="5" t="str">
        <f t="shared" si="18"/>
        <v>Городской округ Верхотурский</v>
      </c>
    </row>
    <row r="569" spans="1:38" ht="15" customHeight="1" x14ac:dyDescent="0.25">
      <c r="A569" s="3" t="s">
        <v>919</v>
      </c>
      <c r="B569" s="3" t="s">
        <v>1661</v>
      </c>
      <c r="C569" s="5">
        <v>51175.5573</v>
      </c>
      <c r="D569" s="5">
        <v>51175.5573</v>
      </c>
      <c r="E569" s="5">
        <v>46340.381600000001</v>
      </c>
      <c r="F569" t="s">
        <v>7249</v>
      </c>
      <c r="G569" s="5" t="str">
        <f t="shared" si="17"/>
        <v>СЕВЕРКА</v>
      </c>
      <c r="J569" s="5"/>
      <c r="AF569" t="s">
        <v>7182</v>
      </c>
      <c r="AG569" s="24" t="s">
        <v>5803</v>
      </c>
      <c r="AH569" s="5" t="s">
        <v>7182</v>
      </c>
      <c r="AI569" s="5">
        <v>23024.170600000001</v>
      </c>
      <c r="AJ569" s="5">
        <v>23024.170600000001</v>
      </c>
      <c r="AK569">
        <v>21383.922200000001</v>
      </c>
      <c r="AL569" s="5" t="str">
        <f t="shared" si="18"/>
        <v>Городской округ Верхотурский</v>
      </c>
    </row>
    <row r="570" spans="1:38" ht="15" customHeight="1" x14ac:dyDescent="0.25">
      <c r="A570" s="3" t="s">
        <v>923</v>
      </c>
      <c r="B570" s="3" t="s">
        <v>1628</v>
      </c>
      <c r="C570" s="5">
        <v>70734.0236</v>
      </c>
      <c r="D570" s="5">
        <v>70734.0236</v>
      </c>
      <c r="E570" s="5">
        <v>64050.9208</v>
      </c>
      <c r="F570" t="s">
        <v>7249</v>
      </c>
      <c r="G570" s="5" t="str">
        <f t="shared" si="17"/>
        <v>ЭЛЬМАШ</v>
      </c>
      <c r="J570" s="5"/>
      <c r="AF570" t="s">
        <v>7182</v>
      </c>
      <c r="AG570" s="24" t="s">
        <v>5804</v>
      </c>
      <c r="AH570" s="5" t="s">
        <v>7182</v>
      </c>
      <c r="AI570" s="5">
        <v>23024.170600000001</v>
      </c>
      <c r="AJ570" s="5">
        <v>23024.170600000001</v>
      </c>
      <c r="AK570">
        <v>21383.922200000001</v>
      </c>
      <c r="AL570" s="5" t="str">
        <f t="shared" si="18"/>
        <v>Городской округ Верхотурский</v>
      </c>
    </row>
    <row r="571" spans="1:38" ht="15" customHeight="1" x14ac:dyDescent="0.25">
      <c r="A571" s="3" t="s">
        <v>924</v>
      </c>
      <c r="B571" s="3" t="s">
        <v>1631</v>
      </c>
      <c r="C571" s="5">
        <v>70026.7601</v>
      </c>
      <c r="D571" s="5">
        <v>70026.7601</v>
      </c>
      <c r="E571" s="5">
        <v>63410.482000000004</v>
      </c>
      <c r="F571" t="s">
        <v>7249</v>
      </c>
      <c r="G571" s="5" t="str">
        <f t="shared" si="17"/>
        <v>УРАЛМАШ</v>
      </c>
      <c r="J571" s="5"/>
      <c r="AF571" t="s">
        <v>7182</v>
      </c>
      <c r="AG571" s="24" t="s">
        <v>5805</v>
      </c>
      <c r="AH571" s="5" t="s">
        <v>7182</v>
      </c>
      <c r="AI571" s="5">
        <v>23024.170600000001</v>
      </c>
      <c r="AJ571" s="5">
        <v>23024.170600000001</v>
      </c>
      <c r="AK571">
        <v>21383.922200000001</v>
      </c>
      <c r="AL571" s="5" t="str">
        <f t="shared" si="18"/>
        <v>Городской округ Верхотурский</v>
      </c>
    </row>
    <row r="572" spans="1:38" ht="15" customHeight="1" x14ac:dyDescent="0.25">
      <c r="A572" s="3" t="s">
        <v>925</v>
      </c>
      <c r="B572" s="3" t="s">
        <v>14</v>
      </c>
      <c r="C572" s="5">
        <v>93989.912800000006</v>
      </c>
      <c r="D572" s="5">
        <v>93989.912800000006</v>
      </c>
      <c r="E572" s="5">
        <v>85109.545199999993</v>
      </c>
      <c r="F572" t="s">
        <v>7249</v>
      </c>
      <c r="G572" s="5" t="str">
        <f t="shared" si="17"/>
        <v>Центр</v>
      </c>
      <c r="J572" s="5"/>
      <c r="AF572" t="s">
        <v>7182</v>
      </c>
      <c r="AG572" s="24" t="s">
        <v>5806</v>
      </c>
      <c r="AH572" s="5" t="s">
        <v>7182</v>
      </c>
      <c r="AI572" s="5">
        <v>23024.170600000001</v>
      </c>
      <c r="AJ572" s="5">
        <v>23024.170600000001</v>
      </c>
      <c r="AK572">
        <v>21383.922200000001</v>
      </c>
      <c r="AL572" s="5" t="str">
        <f t="shared" si="18"/>
        <v>Городской округ Верхотурский</v>
      </c>
    </row>
    <row r="573" spans="1:38" ht="15" customHeight="1" x14ac:dyDescent="0.25">
      <c r="A573" s="3" t="s">
        <v>926</v>
      </c>
      <c r="B573" s="3" t="s">
        <v>1631</v>
      </c>
      <c r="C573" s="5">
        <v>70026.7601</v>
      </c>
      <c r="D573" s="5">
        <v>70026.7601</v>
      </c>
      <c r="E573" s="5">
        <v>63410.482000000004</v>
      </c>
      <c r="F573" t="s">
        <v>7249</v>
      </c>
      <c r="G573" s="5" t="str">
        <f t="shared" si="17"/>
        <v>УРАЛМАШ</v>
      </c>
      <c r="J573" s="5"/>
      <c r="AF573" t="s">
        <v>7182</v>
      </c>
      <c r="AG573" s="24" t="s">
        <v>5807</v>
      </c>
      <c r="AH573" s="5" t="s">
        <v>7182</v>
      </c>
      <c r="AI573" s="5">
        <v>23024.170600000001</v>
      </c>
      <c r="AJ573" s="5">
        <v>23024.170600000001</v>
      </c>
      <c r="AK573">
        <v>21383.922200000001</v>
      </c>
      <c r="AL573" s="5" t="str">
        <f t="shared" si="18"/>
        <v>Городской округ Верхотурский</v>
      </c>
    </row>
    <row r="574" spans="1:38" ht="15" customHeight="1" x14ac:dyDescent="0.25">
      <c r="A574" s="3" t="s">
        <v>931</v>
      </c>
      <c r="B574" s="3" t="s">
        <v>1652</v>
      </c>
      <c r="C574" s="5">
        <v>71105.171700000006</v>
      </c>
      <c r="D574" s="5">
        <v>71105.171700000006</v>
      </c>
      <c r="E574" s="5">
        <v>64387.005100000002</v>
      </c>
      <c r="F574" t="s">
        <v>7249</v>
      </c>
      <c r="G574" s="5" t="str">
        <f t="shared" si="17"/>
        <v>ЗАРЕЧНЫЙ</v>
      </c>
      <c r="J574" s="5"/>
      <c r="AF574" t="s">
        <v>7182</v>
      </c>
      <c r="AG574" s="24" t="s">
        <v>5808</v>
      </c>
      <c r="AH574" s="5" t="s">
        <v>7182</v>
      </c>
      <c r="AI574" s="5">
        <v>23024.170600000001</v>
      </c>
      <c r="AJ574" s="5">
        <v>23024.170600000001</v>
      </c>
      <c r="AK574">
        <v>21383.922200000001</v>
      </c>
      <c r="AL574" s="5" t="str">
        <f t="shared" si="18"/>
        <v>Городской округ Верхотурский</v>
      </c>
    </row>
    <row r="575" spans="1:38" ht="15" customHeight="1" x14ac:dyDescent="0.25">
      <c r="A575" s="3" t="s">
        <v>932</v>
      </c>
      <c r="B575" s="3" t="s">
        <v>1657</v>
      </c>
      <c r="C575" s="5">
        <v>54886.9666</v>
      </c>
      <c r="D575" s="5">
        <v>54886.9666</v>
      </c>
      <c r="E575" s="5">
        <v>49701.1319</v>
      </c>
      <c r="F575" t="s">
        <v>7249</v>
      </c>
      <c r="G575" s="5" t="str">
        <f t="shared" si="17"/>
        <v>КОЛЬЦОВО</v>
      </c>
      <c r="J575" s="5"/>
      <c r="AF575" t="s">
        <v>7182</v>
      </c>
      <c r="AG575" s="24" t="s">
        <v>5809</v>
      </c>
      <c r="AH575" s="5" t="s">
        <v>7182</v>
      </c>
      <c r="AI575" s="5">
        <v>23024.170600000001</v>
      </c>
      <c r="AJ575" s="5">
        <v>23024.170600000001</v>
      </c>
      <c r="AK575">
        <v>21383.922200000001</v>
      </c>
      <c r="AL575" s="5" t="str">
        <f t="shared" si="18"/>
        <v>Городской округ Верхотурский</v>
      </c>
    </row>
    <row r="576" spans="1:38" ht="15" customHeight="1" x14ac:dyDescent="0.25">
      <c r="A576" s="3" t="s">
        <v>933</v>
      </c>
      <c r="B576" s="3" t="s">
        <v>1632</v>
      </c>
      <c r="C576" s="5">
        <v>83744.997499999998</v>
      </c>
      <c r="D576" s="5">
        <v>83744.997499999998</v>
      </c>
      <c r="E576" s="5">
        <v>75832.596099999995</v>
      </c>
      <c r="F576" t="s">
        <v>7249</v>
      </c>
      <c r="G576" s="5" t="str">
        <f t="shared" si="17"/>
        <v>АВТОВОКЗАЛ</v>
      </c>
      <c r="J576" s="5"/>
      <c r="AF576" t="s">
        <v>7183</v>
      </c>
      <c r="AG576" s="24" t="s">
        <v>5810</v>
      </c>
      <c r="AH576" s="5" t="s">
        <v>7183</v>
      </c>
      <c r="AI576" s="5">
        <v>22414.109499999999</v>
      </c>
      <c r="AJ576" s="5">
        <v>22414.109499999999</v>
      </c>
      <c r="AK576">
        <v>20817.306400000001</v>
      </c>
      <c r="AL576" s="5" t="str">
        <f t="shared" si="18"/>
        <v>Городской округ Дегтярск</v>
      </c>
    </row>
    <row r="577" spans="1:38" ht="15" customHeight="1" x14ac:dyDescent="0.25">
      <c r="A577" s="3" t="s">
        <v>934</v>
      </c>
      <c r="B577" s="3" t="s">
        <v>1638</v>
      </c>
      <c r="C577" s="5">
        <v>63640.311600000001</v>
      </c>
      <c r="D577" s="5">
        <v>63640.311600000001</v>
      </c>
      <c r="E577" s="5">
        <v>57627.4473</v>
      </c>
      <c r="F577" t="s">
        <v>7249</v>
      </c>
      <c r="G577" s="5" t="str">
        <f t="shared" si="17"/>
        <v>УКТУС</v>
      </c>
      <c r="J577" s="5"/>
      <c r="AF577" t="s">
        <v>7183</v>
      </c>
      <c r="AG577" s="24" t="s">
        <v>5811</v>
      </c>
      <c r="AH577" s="5" t="s">
        <v>7183</v>
      </c>
      <c r="AI577" s="5">
        <v>22414.109499999999</v>
      </c>
      <c r="AJ577" s="5">
        <v>22414.109499999999</v>
      </c>
      <c r="AK577">
        <v>20817.306400000001</v>
      </c>
      <c r="AL577" s="5" t="str">
        <f t="shared" si="18"/>
        <v>Городской округ Дегтярск</v>
      </c>
    </row>
    <row r="578" spans="1:38" ht="15" customHeight="1" x14ac:dyDescent="0.25">
      <c r="A578" s="3" t="s">
        <v>935</v>
      </c>
      <c r="B578" s="3" t="s">
        <v>1659</v>
      </c>
      <c r="C578" s="5">
        <v>59746.832600000002</v>
      </c>
      <c r="D578" s="5">
        <v>59746.832600000002</v>
      </c>
      <c r="E578" s="5">
        <v>54101.823700000001</v>
      </c>
      <c r="F578" t="s">
        <v>7249</v>
      </c>
      <c r="G578" s="5" t="str">
        <f t="shared" si="17"/>
        <v>СОВХОЗ</v>
      </c>
      <c r="J578" s="5"/>
      <c r="AF578" t="s">
        <v>7183</v>
      </c>
      <c r="AG578" s="24" t="s">
        <v>5812</v>
      </c>
      <c r="AH578" s="5" t="s">
        <v>7183</v>
      </c>
      <c r="AI578" s="5">
        <v>22414.109499999999</v>
      </c>
      <c r="AJ578" s="5">
        <v>22414.109499999999</v>
      </c>
      <c r="AK578">
        <v>20817.306400000001</v>
      </c>
      <c r="AL578" s="5" t="str">
        <f t="shared" si="18"/>
        <v>Городской округ Дегтярск</v>
      </c>
    </row>
    <row r="579" spans="1:38" ht="15" customHeight="1" x14ac:dyDescent="0.25">
      <c r="A579" s="3" t="s">
        <v>937</v>
      </c>
      <c r="B579" s="3" t="s">
        <v>1636</v>
      </c>
      <c r="C579" s="5">
        <v>52246.960299999999</v>
      </c>
      <c r="D579" s="5">
        <v>52246.960299999999</v>
      </c>
      <c r="E579" s="5">
        <v>47310.556700000001</v>
      </c>
      <c r="F579" t="s">
        <v>7249</v>
      </c>
      <c r="G579" s="5" t="str">
        <f t="shared" si="17"/>
        <v>ГОРНЫЙ ЩИТ</v>
      </c>
      <c r="J579" s="5"/>
      <c r="AF579" t="s">
        <v>7183</v>
      </c>
      <c r="AG579" s="24" t="s">
        <v>5813</v>
      </c>
      <c r="AH579" s="5" t="s">
        <v>7183</v>
      </c>
      <c r="AI579" s="5">
        <v>27693.141500000002</v>
      </c>
      <c r="AJ579" s="5">
        <v>27693.141500000002</v>
      </c>
      <c r="AK579">
        <v>25720.2667</v>
      </c>
      <c r="AL579" s="5" t="str">
        <f t="shared" si="18"/>
        <v>Городской округ Дегтярск</v>
      </c>
    </row>
    <row r="580" spans="1:38" ht="15" customHeight="1" x14ac:dyDescent="0.25">
      <c r="A580" s="3" t="s">
        <v>938</v>
      </c>
      <c r="B580" s="3" t="s">
        <v>1636</v>
      </c>
      <c r="C580" s="5">
        <v>52246.960299999999</v>
      </c>
      <c r="D580" s="5">
        <v>52246.960299999999</v>
      </c>
      <c r="E580" s="5">
        <v>47310.556700000001</v>
      </c>
      <c r="F580" t="s">
        <v>7249</v>
      </c>
      <c r="G580" s="5" t="str">
        <f t="shared" ref="G580:G643" si="19">B580</f>
        <v>ГОРНЫЙ ЩИТ</v>
      </c>
      <c r="J580" s="5"/>
      <c r="AF580" t="s">
        <v>7183</v>
      </c>
      <c r="AG580" s="24" t="s">
        <v>5814</v>
      </c>
      <c r="AH580" s="5" t="s">
        <v>7183</v>
      </c>
      <c r="AI580" s="5">
        <v>22414.109499999999</v>
      </c>
      <c r="AJ580" s="5">
        <v>22414.109499999999</v>
      </c>
      <c r="AK580">
        <v>20817.306400000001</v>
      </c>
      <c r="AL580" s="5" t="str">
        <f t="shared" ref="AL580:AL643" si="20">AF580</f>
        <v>Городской округ Дегтярск</v>
      </c>
    </row>
    <row r="581" spans="1:38" ht="15" customHeight="1" x14ac:dyDescent="0.25">
      <c r="A581" s="3" t="s">
        <v>939</v>
      </c>
      <c r="B581" s="3" t="s">
        <v>1665</v>
      </c>
      <c r="C581" s="5">
        <v>55692.278700000003</v>
      </c>
      <c r="D581" s="5">
        <v>55692.278700000003</v>
      </c>
      <c r="E581" s="5">
        <v>50430.350200000001</v>
      </c>
      <c r="F581" t="s">
        <v>7249</v>
      </c>
      <c r="G581" s="5" t="str">
        <f t="shared" si="19"/>
        <v>ПОЛЕВОДСТВО</v>
      </c>
      <c r="J581" s="5"/>
      <c r="AF581" t="s">
        <v>7184</v>
      </c>
      <c r="AG581" s="24" t="s">
        <v>5815</v>
      </c>
      <c r="AH581" s="5" t="s">
        <v>7184</v>
      </c>
      <c r="AI581" s="5">
        <v>35851.474900000001</v>
      </c>
      <c r="AJ581" s="5">
        <v>35851.474900000001</v>
      </c>
      <c r="AK581">
        <v>33297.3992</v>
      </c>
      <c r="AL581" s="5" t="str">
        <f t="shared" si="20"/>
        <v>Городской округ Заречный</v>
      </c>
    </row>
    <row r="582" spans="1:38" ht="15" customHeight="1" x14ac:dyDescent="0.25">
      <c r="A582" s="3" t="s">
        <v>940</v>
      </c>
      <c r="B582" s="3" t="s">
        <v>14</v>
      </c>
      <c r="C582" s="5">
        <v>93989.912800000006</v>
      </c>
      <c r="D582" s="5">
        <v>93989.912800000006</v>
      </c>
      <c r="E582" s="5">
        <v>85109.545199999993</v>
      </c>
      <c r="F582" t="s">
        <v>7249</v>
      </c>
      <c r="G582" s="5" t="str">
        <f t="shared" si="19"/>
        <v>Центр</v>
      </c>
      <c r="J582" s="5"/>
      <c r="AF582" t="s">
        <v>7184</v>
      </c>
      <c r="AG582" s="24" t="s">
        <v>5816</v>
      </c>
      <c r="AH582" s="5" t="s">
        <v>7184</v>
      </c>
      <c r="AI582" s="5">
        <v>35851.474900000001</v>
      </c>
      <c r="AJ582" s="5">
        <v>35851.474900000001</v>
      </c>
      <c r="AK582">
        <v>33297.3992</v>
      </c>
      <c r="AL582" s="5" t="str">
        <f t="shared" si="20"/>
        <v>Городской округ Заречный</v>
      </c>
    </row>
    <row r="583" spans="1:38" ht="15" customHeight="1" x14ac:dyDescent="0.25">
      <c r="A583" s="3" t="s">
        <v>942</v>
      </c>
      <c r="B583" s="3" t="s">
        <v>1637</v>
      </c>
      <c r="C583" s="5">
        <v>59368.686099999999</v>
      </c>
      <c r="D583" s="5">
        <v>59368.686099999999</v>
      </c>
      <c r="E583" s="5">
        <v>53759.401700000002</v>
      </c>
      <c r="F583" t="s">
        <v>7249</v>
      </c>
      <c r="G583" s="5" t="str">
        <f t="shared" si="19"/>
        <v>Старая сортировка</v>
      </c>
      <c r="J583" s="5"/>
      <c r="AF583" t="s">
        <v>7184</v>
      </c>
      <c r="AG583" s="24" t="s">
        <v>5817</v>
      </c>
      <c r="AH583" s="5" t="s">
        <v>7184</v>
      </c>
      <c r="AI583" s="5">
        <v>35851.474900000001</v>
      </c>
      <c r="AJ583" s="5">
        <v>35851.474900000001</v>
      </c>
      <c r="AK583">
        <v>33297.3992</v>
      </c>
      <c r="AL583" s="5" t="str">
        <f t="shared" si="20"/>
        <v>Городской округ Заречный</v>
      </c>
    </row>
    <row r="584" spans="1:38" ht="15" customHeight="1" x14ac:dyDescent="0.25">
      <c r="A584" s="3" t="s">
        <v>943</v>
      </c>
      <c r="B584" s="3" t="s">
        <v>1638</v>
      </c>
      <c r="C584" s="5">
        <v>63640.311600000001</v>
      </c>
      <c r="D584" s="5">
        <v>63640.311600000001</v>
      </c>
      <c r="E584" s="5">
        <v>57627.4473</v>
      </c>
      <c r="F584" t="s">
        <v>7249</v>
      </c>
      <c r="G584" s="5" t="str">
        <f t="shared" si="19"/>
        <v>УКТУС</v>
      </c>
      <c r="J584" s="5"/>
      <c r="AF584" t="s">
        <v>7184</v>
      </c>
      <c r="AG584" s="24" t="s">
        <v>5818</v>
      </c>
      <c r="AH584" s="5" t="s">
        <v>7184</v>
      </c>
      <c r="AI584" s="5">
        <v>44295.324999999997</v>
      </c>
      <c r="AJ584" s="5">
        <v>44295.324999999997</v>
      </c>
      <c r="AK584">
        <v>41139.693500000001</v>
      </c>
      <c r="AL584" s="5" t="str">
        <f t="shared" si="20"/>
        <v>Городской округ Заречный</v>
      </c>
    </row>
    <row r="585" spans="1:38" ht="15" customHeight="1" x14ac:dyDescent="0.25">
      <c r="A585" s="3" t="s">
        <v>944</v>
      </c>
      <c r="B585" s="3" t="s">
        <v>1659</v>
      </c>
      <c r="C585" s="5">
        <v>59746.832600000002</v>
      </c>
      <c r="D585" s="5">
        <v>59746.832600000002</v>
      </c>
      <c r="E585" s="5">
        <v>54101.823700000001</v>
      </c>
      <c r="F585" t="s">
        <v>7249</v>
      </c>
      <c r="G585" s="5" t="str">
        <f t="shared" si="19"/>
        <v>СОВХОЗ</v>
      </c>
      <c r="J585" s="5"/>
      <c r="AF585" t="s">
        <v>7184</v>
      </c>
      <c r="AG585" s="24" t="s">
        <v>5819</v>
      </c>
      <c r="AH585" s="5" t="s">
        <v>7184</v>
      </c>
      <c r="AI585" s="5">
        <v>35851.474900000001</v>
      </c>
      <c r="AJ585" s="5">
        <v>35851.474900000001</v>
      </c>
      <c r="AK585">
        <v>33297.3992</v>
      </c>
      <c r="AL585" s="5" t="str">
        <f t="shared" si="20"/>
        <v>Городской округ Заречный</v>
      </c>
    </row>
    <row r="586" spans="1:38" ht="15" customHeight="1" x14ac:dyDescent="0.25">
      <c r="A586" s="3" t="s">
        <v>947</v>
      </c>
      <c r="B586" s="3" t="s">
        <v>1637</v>
      </c>
      <c r="C586" s="5">
        <v>59368.686099999999</v>
      </c>
      <c r="D586" s="5">
        <v>59368.686099999999</v>
      </c>
      <c r="E586" s="5">
        <v>53759.401700000002</v>
      </c>
      <c r="F586" t="s">
        <v>7249</v>
      </c>
      <c r="G586" s="5" t="str">
        <f t="shared" si="19"/>
        <v>Старая сортировка</v>
      </c>
      <c r="J586" s="5"/>
      <c r="AF586" t="s">
        <v>7184</v>
      </c>
      <c r="AG586" s="24" t="s">
        <v>5820</v>
      </c>
      <c r="AH586" s="5" t="s">
        <v>7184</v>
      </c>
      <c r="AI586" s="5">
        <v>36749.488899999997</v>
      </c>
      <c r="AJ586" s="5">
        <v>36749.488899999997</v>
      </c>
      <c r="AK586">
        <v>34131.437400000003</v>
      </c>
      <c r="AL586" s="5" t="str">
        <f t="shared" si="20"/>
        <v>Городской округ Заречный</v>
      </c>
    </row>
    <row r="587" spans="1:38" ht="15" customHeight="1" x14ac:dyDescent="0.25">
      <c r="A587" s="3" t="s">
        <v>949</v>
      </c>
      <c r="B587" s="3" t="s">
        <v>14</v>
      </c>
      <c r="C587" s="5">
        <v>93989.912800000006</v>
      </c>
      <c r="D587" s="5">
        <v>93989.912800000006</v>
      </c>
      <c r="E587" s="5">
        <v>85109.545199999993</v>
      </c>
      <c r="F587" t="s">
        <v>7249</v>
      </c>
      <c r="G587" s="5" t="str">
        <f t="shared" si="19"/>
        <v>Центр</v>
      </c>
      <c r="J587" s="5"/>
      <c r="AF587" t="s">
        <v>7185</v>
      </c>
      <c r="AG587" s="24" t="s">
        <v>5821</v>
      </c>
      <c r="AH587" s="5" t="s">
        <v>7185</v>
      </c>
      <c r="AI587" s="5">
        <v>31212.571899999999</v>
      </c>
      <c r="AJ587" s="5">
        <v>31212.571899999999</v>
      </c>
      <c r="AK587">
        <v>28988.965400000001</v>
      </c>
      <c r="AL587" s="5" t="str">
        <f t="shared" si="20"/>
        <v>Городской округ ЗАТО Свободный</v>
      </c>
    </row>
    <row r="588" spans="1:38" ht="15" customHeight="1" x14ac:dyDescent="0.25">
      <c r="A588" s="3" t="s">
        <v>950</v>
      </c>
      <c r="B588" s="3" t="s">
        <v>14</v>
      </c>
      <c r="C588" s="5">
        <v>93989.912800000006</v>
      </c>
      <c r="D588" s="5">
        <v>93989.912800000006</v>
      </c>
      <c r="E588" s="5">
        <v>85109.545199999993</v>
      </c>
      <c r="F588" t="s">
        <v>7249</v>
      </c>
      <c r="G588" s="5" t="str">
        <f t="shared" si="19"/>
        <v>Центр</v>
      </c>
      <c r="J588" s="5"/>
      <c r="AF588" t="s">
        <v>7185</v>
      </c>
      <c r="AG588" s="24" t="s">
        <v>5822</v>
      </c>
      <c r="AH588" s="5" t="s">
        <v>7185</v>
      </c>
      <c r="AI588" s="5">
        <v>38563.848700000002</v>
      </c>
      <c r="AJ588" s="5">
        <v>38563.848700000002</v>
      </c>
      <c r="AK588">
        <v>35816.534899999999</v>
      </c>
      <c r="AL588" s="5" t="str">
        <f t="shared" si="20"/>
        <v>Городской округ ЗАТО Свободный</v>
      </c>
    </row>
    <row r="589" spans="1:38" ht="15" customHeight="1" x14ac:dyDescent="0.25">
      <c r="A589" s="3" t="s">
        <v>952</v>
      </c>
      <c r="B589" s="3" t="s">
        <v>1640</v>
      </c>
      <c r="C589" s="5">
        <v>64914.8</v>
      </c>
      <c r="D589" s="5">
        <v>64914.8</v>
      </c>
      <c r="E589" s="5">
        <v>58781.519200000002</v>
      </c>
      <c r="F589" t="s">
        <v>7249</v>
      </c>
      <c r="G589" s="5" t="str">
        <f t="shared" si="19"/>
        <v>Новая сортировка</v>
      </c>
      <c r="J589" s="5"/>
      <c r="AF589" t="s">
        <v>7186</v>
      </c>
      <c r="AG589" s="24" t="s">
        <v>5823</v>
      </c>
      <c r="AH589" s="5" t="s">
        <v>7186</v>
      </c>
      <c r="AI589" s="5">
        <v>15746.923199999999</v>
      </c>
      <c r="AJ589" s="5">
        <v>15746.923199999999</v>
      </c>
      <c r="AK589">
        <v>14625.097299999999</v>
      </c>
      <c r="AL589" s="5" t="str">
        <f t="shared" si="20"/>
        <v>Городской округ Карпинск</v>
      </c>
    </row>
    <row r="590" spans="1:38" ht="15" customHeight="1" x14ac:dyDescent="0.25">
      <c r="A590" s="3" t="s">
        <v>953</v>
      </c>
      <c r="B590" s="3" t="s">
        <v>1657</v>
      </c>
      <c r="C590" s="5">
        <v>54886.9666</v>
      </c>
      <c r="D590" s="5">
        <v>54886.9666</v>
      </c>
      <c r="E590" s="5">
        <v>49701.1319</v>
      </c>
      <c r="F590" t="s">
        <v>7249</v>
      </c>
      <c r="G590" s="5" t="str">
        <f t="shared" si="19"/>
        <v>КОЛЬЦОВО</v>
      </c>
      <c r="J590" s="5"/>
      <c r="AF590" t="s">
        <v>7186</v>
      </c>
      <c r="AG590" s="24" t="s">
        <v>5824</v>
      </c>
      <c r="AH590" s="5" t="s">
        <v>7186</v>
      </c>
      <c r="AI590" s="5">
        <v>15746.923199999999</v>
      </c>
      <c r="AJ590" s="5">
        <v>15746.923199999999</v>
      </c>
      <c r="AK590">
        <v>14625.097299999999</v>
      </c>
      <c r="AL590" s="5" t="str">
        <f t="shared" si="20"/>
        <v>Городской округ Карпинск</v>
      </c>
    </row>
    <row r="591" spans="1:38" ht="15" customHeight="1" x14ac:dyDescent="0.25">
      <c r="A591" s="3" t="s">
        <v>955</v>
      </c>
      <c r="B591" s="3" t="s">
        <v>1631</v>
      </c>
      <c r="C591" s="5">
        <v>70026.7601</v>
      </c>
      <c r="D591" s="5">
        <v>70026.7601</v>
      </c>
      <c r="E591" s="5">
        <v>63410.482000000004</v>
      </c>
      <c r="F591" t="s">
        <v>7249</v>
      </c>
      <c r="G591" s="5" t="str">
        <f t="shared" si="19"/>
        <v>УРАЛМАШ</v>
      </c>
      <c r="J591" s="5"/>
      <c r="AF591" t="s">
        <v>7186</v>
      </c>
      <c r="AG591" s="24" t="s">
        <v>5825</v>
      </c>
      <c r="AH591" s="5" t="s">
        <v>7186</v>
      </c>
      <c r="AI591" s="5">
        <v>15746.923199999999</v>
      </c>
      <c r="AJ591" s="5">
        <v>15746.923199999999</v>
      </c>
      <c r="AK591">
        <v>14625.097299999999</v>
      </c>
      <c r="AL591" s="5" t="str">
        <f t="shared" si="20"/>
        <v>Городской округ Карпинск</v>
      </c>
    </row>
    <row r="592" spans="1:38" ht="15" customHeight="1" x14ac:dyDescent="0.25">
      <c r="A592" s="3" t="s">
        <v>956</v>
      </c>
      <c r="B592" s="3" t="s">
        <v>1627</v>
      </c>
      <c r="C592" s="5">
        <v>56392.543899999997</v>
      </c>
      <c r="D592" s="5">
        <v>56392.543899999997</v>
      </c>
      <c r="E592" s="5">
        <v>51064.4617</v>
      </c>
      <c r="F592" t="s">
        <v>7249</v>
      </c>
      <c r="G592" s="5" t="str">
        <f t="shared" si="19"/>
        <v>КОМПРЕССОРНЫЙ</v>
      </c>
      <c r="J592" s="5"/>
      <c r="AF592" t="s">
        <v>7186</v>
      </c>
      <c r="AG592" s="24" t="s">
        <v>5826</v>
      </c>
      <c r="AH592" s="5" t="s">
        <v>7186</v>
      </c>
      <c r="AI592" s="5">
        <v>15746.923199999999</v>
      </c>
      <c r="AJ592" s="5">
        <v>15746.923199999999</v>
      </c>
      <c r="AK592">
        <v>14625.097299999999</v>
      </c>
      <c r="AL592" s="5" t="str">
        <f t="shared" si="20"/>
        <v>Городской округ Карпинск</v>
      </c>
    </row>
    <row r="593" spans="1:38" ht="15" customHeight="1" x14ac:dyDescent="0.25">
      <c r="A593" s="3" t="s">
        <v>957</v>
      </c>
      <c r="B593" s="3" t="s">
        <v>1635</v>
      </c>
      <c r="C593" s="5">
        <v>57793.0844</v>
      </c>
      <c r="D593" s="5">
        <v>57793.0844</v>
      </c>
      <c r="E593" s="5">
        <v>52332.6639</v>
      </c>
      <c r="F593" t="s">
        <v>7249</v>
      </c>
      <c r="G593" s="5" t="str">
        <f t="shared" si="19"/>
        <v>ЛЕЧЕБНЫЙ</v>
      </c>
      <c r="J593" s="5"/>
      <c r="AF593" t="s">
        <v>7186</v>
      </c>
      <c r="AG593" s="24" t="s">
        <v>5827</v>
      </c>
      <c r="AH593" s="5" t="s">
        <v>7186</v>
      </c>
      <c r="AI593" s="5">
        <v>19455.679800000002</v>
      </c>
      <c r="AJ593" s="5">
        <v>19455.679800000002</v>
      </c>
      <c r="AK593">
        <v>18069.641599999999</v>
      </c>
      <c r="AL593" s="5" t="str">
        <f t="shared" si="20"/>
        <v>Городской округ Карпинск</v>
      </c>
    </row>
    <row r="594" spans="1:38" ht="15" customHeight="1" x14ac:dyDescent="0.25">
      <c r="A594" s="3" t="s">
        <v>958</v>
      </c>
      <c r="B594" s="3" t="s">
        <v>1630</v>
      </c>
      <c r="C594" s="5">
        <v>62652.9401</v>
      </c>
      <c r="D594" s="5">
        <v>62652.9401</v>
      </c>
      <c r="E594" s="5">
        <v>56733.3557</v>
      </c>
      <c r="F594" t="s">
        <v>7249</v>
      </c>
      <c r="G594" s="5" t="str">
        <f t="shared" si="19"/>
        <v>ЧЕРМЕТ</v>
      </c>
      <c r="J594" s="5"/>
      <c r="AF594" t="s">
        <v>7186</v>
      </c>
      <c r="AG594" s="24" t="s">
        <v>5828</v>
      </c>
      <c r="AH594" s="5" t="s">
        <v>7186</v>
      </c>
      <c r="AI594" s="5">
        <v>15746.923199999999</v>
      </c>
      <c r="AJ594" s="5">
        <v>15746.923199999999</v>
      </c>
      <c r="AK594">
        <v>14625.097299999999</v>
      </c>
      <c r="AL594" s="5" t="str">
        <f t="shared" si="20"/>
        <v>Городской округ Карпинск</v>
      </c>
    </row>
    <row r="595" spans="1:38" ht="15" customHeight="1" x14ac:dyDescent="0.25">
      <c r="A595" s="3" t="s">
        <v>959</v>
      </c>
      <c r="B595" s="3" t="s">
        <v>1652</v>
      </c>
      <c r="C595" s="5">
        <v>71105.171700000006</v>
      </c>
      <c r="D595" s="5">
        <v>71105.171700000006</v>
      </c>
      <c r="E595" s="5">
        <v>64387.005100000002</v>
      </c>
      <c r="F595" t="s">
        <v>7249</v>
      </c>
      <c r="G595" s="5" t="str">
        <f t="shared" si="19"/>
        <v>ЗАРЕЧНЫЙ</v>
      </c>
      <c r="J595" s="5"/>
      <c r="AF595" t="s">
        <v>7186</v>
      </c>
      <c r="AG595" s="24" t="s">
        <v>5829</v>
      </c>
      <c r="AH595" s="5" t="s">
        <v>7186</v>
      </c>
      <c r="AI595" s="5">
        <v>15746.923199999999</v>
      </c>
      <c r="AJ595" s="5">
        <v>15746.923199999999</v>
      </c>
      <c r="AK595">
        <v>14625.097299999999</v>
      </c>
      <c r="AL595" s="5" t="str">
        <f t="shared" si="20"/>
        <v>Городской округ Карпинск</v>
      </c>
    </row>
    <row r="596" spans="1:38" ht="15" customHeight="1" x14ac:dyDescent="0.25">
      <c r="A596" s="3" t="s">
        <v>960</v>
      </c>
      <c r="B596" s="3" t="s">
        <v>1650</v>
      </c>
      <c r="C596" s="5">
        <v>37590.3603</v>
      </c>
      <c r="D596" s="5">
        <v>37590.3603</v>
      </c>
      <c r="E596" s="5">
        <v>34038.745900000002</v>
      </c>
      <c r="F596" t="s">
        <v>7249</v>
      </c>
      <c r="G596" s="5" t="str">
        <f t="shared" si="19"/>
        <v>ШАБРОВСКИЙ</v>
      </c>
      <c r="J596" s="5"/>
      <c r="AF596" t="s">
        <v>7186</v>
      </c>
      <c r="AG596" s="24" t="s">
        <v>5830</v>
      </c>
      <c r="AH596" s="5" t="s">
        <v>7186</v>
      </c>
      <c r="AI596" s="5">
        <v>15746.923199999999</v>
      </c>
      <c r="AJ596" s="5">
        <v>15746.923199999999</v>
      </c>
      <c r="AK596">
        <v>14625.097299999999</v>
      </c>
      <c r="AL596" s="5" t="str">
        <f t="shared" si="20"/>
        <v>Городской округ Карпинск</v>
      </c>
    </row>
    <row r="597" spans="1:38" ht="15" customHeight="1" x14ac:dyDescent="0.25">
      <c r="A597" s="3" t="s">
        <v>961</v>
      </c>
      <c r="B597" s="3" t="s">
        <v>14</v>
      </c>
      <c r="C597" s="5">
        <v>93989.912800000006</v>
      </c>
      <c r="D597" s="5">
        <v>93989.912800000006</v>
      </c>
      <c r="E597" s="5">
        <v>85109.545199999993</v>
      </c>
      <c r="F597" t="s">
        <v>7249</v>
      </c>
      <c r="G597" s="5" t="str">
        <f t="shared" si="19"/>
        <v>Центр</v>
      </c>
      <c r="J597" s="5"/>
      <c r="AF597" t="s">
        <v>7187</v>
      </c>
      <c r="AG597" s="24" t="s">
        <v>5831</v>
      </c>
      <c r="AH597" s="5" t="s">
        <v>7187</v>
      </c>
      <c r="AI597" s="5">
        <v>18256.727800000001</v>
      </c>
      <c r="AJ597" s="5">
        <v>18256.727800000001</v>
      </c>
      <c r="AK597">
        <v>17893.021799999999</v>
      </c>
      <c r="AL597" s="5" t="str">
        <f t="shared" si="20"/>
        <v>Городской округ Краснотурьинск</v>
      </c>
    </row>
    <row r="598" spans="1:38" ht="15" customHeight="1" x14ac:dyDescent="0.25">
      <c r="A598" s="3" t="s">
        <v>963</v>
      </c>
      <c r="B598" s="3" t="s">
        <v>1633</v>
      </c>
      <c r="C598" s="5">
        <v>77071.442599999995</v>
      </c>
      <c r="D598" s="5">
        <v>77071.442599999995</v>
      </c>
      <c r="E598" s="5">
        <v>69789.570900000006</v>
      </c>
      <c r="F598" t="s">
        <v>7249</v>
      </c>
      <c r="G598" s="5" t="str">
        <f t="shared" si="19"/>
        <v>ВТУЗГОРОДОК</v>
      </c>
      <c r="J598" s="5"/>
      <c r="AF598" t="s">
        <v>7187</v>
      </c>
      <c r="AG598" s="24" t="s">
        <v>5832</v>
      </c>
      <c r="AH598" s="5" t="s">
        <v>7187</v>
      </c>
      <c r="AI598" s="5">
        <v>18256.727800000001</v>
      </c>
      <c r="AJ598" s="5">
        <v>18256.727800000001</v>
      </c>
      <c r="AK598">
        <v>17893.021799999999</v>
      </c>
      <c r="AL598" s="5" t="str">
        <f t="shared" si="20"/>
        <v>Городской округ Краснотурьинск</v>
      </c>
    </row>
    <row r="599" spans="1:38" ht="15" customHeight="1" x14ac:dyDescent="0.25">
      <c r="A599" s="3" t="s">
        <v>964</v>
      </c>
      <c r="B599" s="3" t="s">
        <v>1628</v>
      </c>
      <c r="C599" s="5">
        <v>70734.0236</v>
      </c>
      <c r="D599" s="5">
        <v>70734.0236</v>
      </c>
      <c r="E599" s="5">
        <v>64050.9208</v>
      </c>
      <c r="F599" t="s">
        <v>7249</v>
      </c>
      <c r="G599" s="5" t="str">
        <f t="shared" si="19"/>
        <v>ЭЛЬМАШ</v>
      </c>
      <c r="J599" s="5"/>
      <c r="AF599" t="s">
        <v>7187</v>
      </c>
      <c r="AG599" s="24" t="s">
        <v>5833</v>
      </c>
      <c r="AH599" s="5" t="s">
        <v>7187</v>
      </c>
      <c r="AI599" s="5">
        <v>24453.0141</v>
      </c>
      <c r="AJ599" s="5">
        <v>24453.0141</v>
      </c>
      <c r="AK599">
        <v>23965.857</v>
      </c>
      <c r="AL599" s="5" t="str">
        <f t="shared" si="20"/>
        <v>Городской округ Краснотурьинск</v>
      </c>
    </row>
    <row r="600" spans="1:38" ht="15" customHeight="1" x14ac:dyDescent="0.25">
      <c r="A600" s="3" t="s">
        <v>965</v>
      </c>
      <c r="B600" s="3" t="s">
        <v>1638</v>
      </c>
      <c r="C600" s="5">
        <v>63640.311600000001</v>
      </c>
      <c r="D600" s="5">
        <v>63640.311600000001</v>
      </c>
      <c r="E600" s="5">
        <v>57627.4473</v>
      </c>
      <c r="F600" t="s">
        <v>7249</v>
      </c>
      <c r="G600" s="5" t="str">
        <f t="shared" si="19"/>
        <v>УКТУС</v>
      </c>
      <c r="J600" s="5"/>
      <c r="AF600" t="s">
        <v>7187</v>
      </c>
      <c r="AG600" s="24" t="s">
        <v>5834</v>
      </c>
      <c r="AH600" s="5" t="s">
        <v>7187</v>
      </c>
      <c r="AI600" s="5">
        <v>18256.727800000001</v>
      </c>
      <c r="AJ600" s="5">
        <v>18256.727800000001</v>
      </c>
      <c r="AK600">
        <v>17893.021799999999</v>
      </c>
      <c r="AL600" s="5" t="str">
        <f t="shared" si="20"/>
        <v>Городской округ Краснотурьинск</v>
      </c>
    </row>
    <row r="601" spans="1:38" ht="15" customHeight="1" x14ac:dyDescent="0.25">
      <c r="A601" s="3" t="s">
        <v>966</v>
      </c>
      <c r="B601" s="3" t="s">
        <v>1644</v>
      </c>
      <c r="C601" s="5">
        <v>61980.678599999999</v>
      </c>
      <c r="D601" s="5">
        <v>61980.678599999999</v>
      </c>
      <c r="E601" s="5">
        <v>56124.615700000002</v>
      </c>
      <c r="F601" t="s">
        <v>7249</v>
      </c>
      <c r="G601" s="5" t="str">
        <f t="shared" si="19"/>
        <v>ХИММАШ</v>
      </c>
      <c r="J601" s="5"/>
      <c r="AF601" t="s">
        <v>7187</v>
      </c>
      <c r="AG601" s="24" t="s">
        <v>5835</v>
      </c>
      <c r="AH601" s="5" t="s">
        <v>7187</v>
      </c>
      <c r="AI601" s="5">
        <v>18256.727800000001</v>
      </c>
      <c r="AJ601" s="5">
        <v>18256.727800000001</v>
      </c>
      <c r="AK601">
        <v>17893.021799999999</v>
      </c>
      <c r="AL601" s="5" t="str">
        <f t="shared" si="20"/>
        <v>Городской округ Краснотурьинск</v>
      </c>
    </row>
    <row r="602" spans="1:38" ht="15" customHeight="1" x14ac:dyDescent="0.25">
      <c r="A602" s="3" t="s">
        <v>967</v>
      </c>
      <c r="B602" s="3" t="s">
        <v>1633</v>
      </c>
      <c r="C602" s="5">
        <v>77071.442599999995</v>
      </c>
      <c r="D602" s="5">
        <v>77071.442599999995</v>
      </c>
      <c r="E602" s="5">
        <v>69789.570900000006</v>
      </c>
      <c r="F602" t="s">
        <v>7249</v>
      </c>
      <c r="G602" s="5" t="str">
        <f t="shared" si="19"/>
        <v>ВТУЗГОРОДОК</v>
      </c>
      <c r="J602" s="5"/>
      <c r="AF602" t="s">
        <v>7187</v>
      </c>
      <c r="AG602" s="24" t="s">
        <v>5836</v>
      </c>
      <c r="AH602" s="5" t="s">
        <v>7187</v>
      </c>
      <c r="AI602" s="5">
        <v>18256.727800000001</v>
      </c>
      <c r="AJ602" s="5">
        <v>18256.727800000001</v>
      </c>
      <c r="AK602">
        <v>17893.021799999999</v>
      </c>
      <c r="AL602" s="5" t="str">
        <f t="shared" si="20"/>
        <v>Городской округ Краснотурьинск</v>
      </c>
    </row>
    <row r="603" spans="1:38" ht="15" customHeight="1" x14ac:dyDescent="0.25">
      <c r="A603" s="3" t="s">
        <v>971</v>
      </c>
      <c r="B603" s="3" t="s">
        <v>1643</v>
      </c>
      <c r="C603" s="5">
        <v>76630.280299999999</v>
      </c>
      <c r="D603" s="5">
        <v>76630.280299999999</v>
      </c>
      <c r="E603" s="5">
        <v>69390.088799999998</v>
      </c>
      <c r="F603" t="s">
        <v>7249</v>
      </c>
      <c r="G603" s="5" t="str">
        <f t="shared" si="19"/>
        <v>Ю-З</v>
      </c>
      <c r="J603" s="5"/>
      <c r="AF603" t="s">
        <v>7187</v>
      </c>
      <c r="AG603" s="24" t="s">
        <v>5837</v>
      </c>
      <c r="AH603" s="5" t="s">
        <v>7187</v>
      </c>
      <c r="AI603" s="5">
        <v>18256.727800000001</v>
      </c>
      <c r="AJ603" s="5">
        <v>18256.727800000001</v>
      </c>
      <c r="AK603">
        <v>17893.021799999999</v>
      </c>
      <c r="AL603" s="5" t="str">
        <f t="shared" si="20"/>
        <v>Городской округ Краснотурьинск</v>
      </c>
    </row>
    <row r="604" spans="1:38" ht="15" customHeight="1" x14ac:dyDescent="0.25">
      <c r="A604" s="3" t="s">
        <v>972</v>
      </c>
      <c r="B604" s="3" t="s">
        <v>1644</v>
      </c>
      <c r="C604" s="5">
        <v>61980.678599999999</v>
      </c>
      <c r="D604" s="5">
        <v>61980.678599999999</v>
      </c>
      <c r="E604" s="5">
        <v>56124.615700000002</v>
      </c>
      <c r="F604" t="s">
        <v>7249</v>
      </c>
      <c r="G604" s="5" t="str">
        <f t="shared" si="19"/>
        <v>ХИММАШ</v>
      </c>
      <c r="J604" s="5"/>
      <c r="AF604" t="s">
        <v>7188</v>
      </c>
      <c r="AG604" s="24" t="s">
        <v>5838</v>
      </c>
      <c r="AH604" s="5" t="s">
        <v>7188</v>
      </c>
      <c r="AI604" s="5">
        <v>14229.6718</v>
      </c>
      <c r="AJ604" s="5">
        <v>14229.6718</v>
      </c>
      <c r="AK604">
        <v>13215.937900000001</v>
      </c>
      <c r="AL604" s="5" t="str">
        <f t="shared" si="20"/>
        <v>Городской округ Красноуральск</v>
      </c>
    </row>
    <row r="605" spans="1:38" ht="15" customHeight="1" x14ac:dyDescent="0.25">
      <c r="A605" s="3" t="s">
        <v>973</v>
      </c>
      <c r="B605" s="3" t="s">
        <v>1657</v>
      </c>
      <c r="C605" s="5">
        <v>54886.9666</v>
      </c>
      <c r="D605" s="5">
        <v>54886.9666</v>
      </c>
      <c r="E605" s="5">
        <v>49701.1319</v>
      </c>
      <c r="F605" t="s">
        <v>7249</v>
      </c>
      <c r="G605" s="5" t="str">
        <f t="shared" si="19"/>
        <v>КОЛЬЦОВО</v>
      </c>
      <c r="J605" s="5"/>
      <c r="AF605" t="s">
        <v>7188</v>
      </c>
      <c r="AG605" s="24" t="s">
        <v>5839</v>
      </c>
      <c r="AH605" s="5" t="s">
        <v>7188</v>
      </c>
      <c r="AI605" s="5">
        <v>14229.6718</v>
      </c>
      <c r="AJ605" s="5">
        <v>14229.6718</v>
      </c>
      <c r="AK605">
        <v>13215.937900000001</v>
      </c>
      <c r="AL605" s="5" t="str">
        <f t="shared" si="20"/>
        <v>Городской округ Красноуральск</v>
      </c>
    </row>
    <row r="606" spans="1:38" ht="15" customHeight="1" x14ac:dyDescent="0.25">
      <c r="A606" s="3" t="s">
        <v>974</v>
      </c>
      <c r="B606" s="3" t="s">
        <v>1630</v>
      </c>
      <c r="C606" s="5">
        <v>62652.9401</v>
      </c>
      <c r="D606" s="5">
        <v>62652.9401</v>
      </c>
      <c r="E606" s="5">
        <v>56733.3557</v>
      </c>
      <c r="F606" t="s">
        <v>7249</v>
      </c>
      <c r="G606" s="5" t="str">
        <f t="shared" si="19"/>
        <v>ЧЕРМЕТ</v>
      </c>
      <c r="J606" s="5"/>
      <c r="AF606" t="s">
        <v>7188</v>
      </c>
      <c r="AG606" s="24" t="s">
        <v>5840</v>
      </c>
      <c r="AH606" s="5" t="s">
        <v>7188</v>
      </c>
      <c r="AI606" s="5">
        <v>14229.6718</v>
      </c>
      <c r="AJ606" s="5">
        <v>14229.6718</v>
      </c>
      <c r="AK606">
        <v>13215.937900000001</v>
      </c>
      <c r="AL606" s="5" t="str">
        <f t="shared" si="20"/>
        <v>Городской округ Красноуральск</v>
      </c>
    </row>
    <row r="607" spans="1:38" ht="15" customHeight="1" x14ac:dyDescent="0.25">
      <c r="A607" s="3" t="s">
        <v>975</v>
      </c>
      <c r="B607" s="3" t="s">
        <v>1631</v>
      </c>
      <c r="C607" s="5">
        <v>70026.7601</v>
      </c>
      <c r="D607" s="5">
        <v>70026.7601</v>
      </c>
      <c r="E607" s="5">
        <v>63410.482000000004</v>
      </c>
      <c r="F607" t="s">
        <v>7249</v>
      </c>
      <c r="G607" s="5" t="str">
        <f t="shared" si="19"/>
        <v>УРАЛМАШ</v>
      </c>
      <c r="J607" s="5"/>
      <c r="AF607" t="s">
        <v>7188</v>
      </c>
      <c r="AG607" s="24" t="s">
        <v>5841</v>
      </c>
      <c r="AH607" s="5" t="s">
        <v>7188</v>
      </c>
      <c r="AI607" s="5">
        <v>14229.6718</v>
      </c>
      <c r="AJ607" s="5">
        <v>14229.6718</v>
      </c>
      <c r="AK607">
        <v>13215.937900000001</v>
      </c>
      <c r="AL607" s="5" t="str">
        <f t="shared" si="20"/>
        <v>Городской округ Красноуральск</v>
      </c>
    </row>
    <row r="608" spans="1:38" ht="15" customHeight="1" x14ac:dyDescent="0.25">
      <c r="A608" s="3" t="s">
        <v>976</v>
      </c>
      <c r="B608" s="3" t="s">
        <v>33</v>
      </c>
      <c r="C608" s="5">
        <v>84298.205100000006</v>
      </c>
      <c r="D608" s="5">
        <v>84298.205100000006</v>
      </c>
      <c r="E608" s="5">
        <v>76333.533100000001</v>
      </c>
      <c r="F608" t="s">
        <v>7249</v>
      </c>
      <c r="G608" s="5" t="str">
        <f t="shared" si="19"/>
        <v>ВИЗ</v>
      </c>
      <c r="J608" s="5"/>
      <c r="AF608" t="s">
        <v>7188</v>
      </c>
      <c r="AG608" s="24" t="s">
        <v>5842</v>
      </c>
      <c r="AH608" s="5" t="s">
        <v>7188</v>
      </c>
      <c r="AI608" s="5">
        <v>14229.6718</v>
      </c>
      <c r="AJ608" s="5">
        <v>14229.6718</v>
      </c>
      <c r="AK608">
        <v>13215.937900000001</v>
      </c>
      <c r="AL608" s="5" t="str">
        <f t="shared" si="20"/>
        <v>Городской округ Красноуральск</v>
      </c>
    </row>
    <row r="609" spans="1:38" ht="15" customHeight="1" x14ac:dyDescent="0.25">
      <c r="A609" s="3" t="s">
        <v>978</v>
      </c>
      <c r="B609" s="3" t="s">
        <v>1632</v>
      </c>
      <c r="C609" s="5">
        <v>83744.997499999998</v>
      </c>
      <c r="D609" s="5">
        <v>83744.997499999998</v>
      </c>
      <c r="E609" s="5">
        <v>75832.596099999995</v>
      </c>
      <c r="F609" t="s">
        <v>7249</v>
      </c>
      <c r="G609" s="5" t="str">
        <f t="shared" si="19"/>
        <v>АВТОВОКЗАЛ</v>
      </c>
      <c r="J609" s="5"/>
      <c r="AF609" t="s">
        <v>7188</v>
      </c>
      <c r="AG609" s="24" t="s">
        <v>5843</v>
      </c>
      <c r="AH609" s="5" t="s">
        <v>7188</v>
      </c>
      <c r="AI609" s="5">
        <v>14229.6718</v>
      </c>
      <c r="AJ609" s="5">
        <v>14229.6718</v>
      </c>
      <c r="AK609">
        <v>13215.937900000001</v>
      </c>
      <c r="AL609" s="5" t="str">
        <f t="shared" si="20"/>
        <v>Городской округ Красноуральск</v>
      </c>
    </row>
    <row r="610" spans="1:38" ht="15" customHeight="1" x14ac:dyDescent="0.25">
      <c r="A610" s="3" t="s">
        <v>979</v>
      </c>
      <c r="B610" s="3" t="s">
        <v>1662</v>
      </c>
      <c r="C610" s="5">
        <v>46784.877899999999</v>
      </c>
      <c r="D610" s="5">
        <v>46784.877899999999</v>
      </c>
      <c r="E610" s="5">
        <v>42364.543299999998</v>
      </c>
      <c r="F610" t="s">
        <v>7249</v>
      </c>
      <c r="G610" s="5" t="str">
        <f t="shared" si="19"/>
        <v>РУДНЫЙ</v>
      </c>
      <c r="J610" s="5"/>
      <c r="AF610" t="s">
        <v>7188</v>
      </c>
      <c r="AG610" s="24" t="s">
        <v>5844</v>
      </c>
      <c r="AH610" s="5" t="s">
        <v>7188</v>
      </c>
      <c r="AI610" s="5">
        <v>17581.080699999999</v>
      </c>
      <c r="AJ610" s="5">
        <v>17581.080699999999</v>
      </c>
      <c r="AK610">
        <v>16328.598900000001</v>
      </c>
      <c r="AL610" s="5" t="str">
        <f t="shared" si="20"/>
        <v>Городской округ Красноуральск</v>
      </c>
    </row>
    <row r="611" spans="1:38" ht="15" customHeight="1" x14ac:dyDescent="0.25">
      <c r="A611" s="3" t="s">
        <v>980</v>
      </c>
      <c r="B611" s="3" t="s">
        <v>33</v>
      </c>
      <c r="C611" s="5">
        <v>84298.205100000006</v>
      </c>
      <c r="D611" s="5">
        <v>84298.205100000006</v>
      </c>
      <c r="E611" s="5">
        <v>76333.533100000001</v>
      </c>
      <c r="F611" t="s">
        <v>7249</v>
      </c>
      <c r="G611" s="5" t="str">
        <f t="shared" si="19"/>
        <v>ВИЗ</v>
      </c>
      <c r="J611" s="5"/>
      <c r="AF611" t="s">
        <v>7188</v>
      </c>
      <c r="AG611" s="24" t="s">
        <v>5845</v>
      </c>
      <c r="AH611" s="5" t="s">
        <v>7188</v>
      </c>
      <c r="AI611" s="5">
        <v>14229.6718</v>
      </c>
      <c r="AJ611" s="5">
        <v>14229.6718</v>
      </c>
      <c r="AK611">
        <v>13215.937900000001</v>
      </c>
      <c r="AL611" s="5" t="str">
        <f t="shared" si="20"/>
        <v>Городской округ Красноуральск</v>
      </c>
    </row>
    <row r="612" spans="1:38" ht="15" customHeight="1" x14ac:dyDescent="0.25">
      <c r="A612" s="3" t="s">
        <v>981</v>
      </c>
      <c r="B612" s="3" t="s">
        <v>1667</v>
      </c>
      <c r="C612" s="5">
        <v>56546.599699999999</v>
      </c>
      <c r="D612" s="5">
        <v>56546.599699999999</v>
      </c>
      <c r="E612" s="5">
        <v>51203.963499999998</v>
      </c>
      <c r="F612" t="s">
        <v>7249</v>
      </c>
      <c r="G612" s="5" t="str">
        <f t="shared" si="19"/>
        <v>КАЛИНОВСКИЙ</v>
      </c>
      <c r="J612" s="5"/>
      <c r="AF612" t="s">
        <v>7188</v>
      </c>
      <c r="AG612" s="24" t="s">
        <v>5846</v>
      </c>
      <c r="AH612" s="5" t="s">
        <v>7188</v>
      </c>
      <c r="AI612" s="5">
        <v>14229.6718</v>
      </c>
      <c r="AJ612" s="5">
        <v>14229.6718</v>
      </c>
      <c r="AK612">
        <v>13215.937900000001</v>
      </c>
      <c r="AL612" s="5" t="str">
        <f t="shared" si="20"/>
        <v>Городской округ Красноуральск</v>
      </c>
    </row>
    <row r="613" spans="1:38" ht="15" customHeight="1" x14ac:dyDescent="0.25">
      <c r="A613" s="3" t="s">
        <v>982</v>
      </c>
      <c r="B613" s="3" t="s">
        <v>1655</v>
      </c>
      <c r="C613" s="5">
        <v>79683.445300000007</v>
      </c>
      <c r="D613" s="5">
        <v>79683.445300000007</v>
      </c>
      <c r="E613" s="5">
        <v>72154.784899999999</v>
      </c>
      <c r="F613" t="s">
        <v>7249</v>
      </c>
      <c r="G613" s="5" t="str">
        <f t="shared" si="19"/>
        <v>Шарташский рынок</v>
      </c>
      <c r="J613" s="5"/>
      <c r="AF613" t="s">
        <v>7188</v>
      </c>
      <c r="AG613" s="24" t="s">
        <v>5847</v>
      </c>
      <c r="AH613" s="5" t="s">
        <v>7188</v>
      </c>
      <c r="AI613" s="5">
        <v>14229.6718</v>
      </c>
      <c r="AJ613" s="5">
        <v>14229.6718</v>
      </c>
      <c r="AK613">
        <v>13215.937900000001</v>
      </c>
      <c r="AL613" s="5" t="str">
        <f t="shared" si="20"/>
        <v>Городской округ Красноуральск</v>
      </c>
    </row>
    <row r="614" spans="1:38" ht="15" customHeight="1" x14ac:dyDescent="0.25">
      <c r="A614" s="3" t="s">
        <v>983</v>
      </c>
      <c r="B614" s="3" t="s">
        <v>1633</v>
      </c>
      <c r="C614" s="5">
        <v>77071.442599999995</v>
      </c>
      <c r="D614" s="5">
        <v>77071.442599999995</v>
      </c>
      <c r="E614" s="5">
        <v>69789.570900000006</v>
      </c>
      <c r="F614" t="s">
        <v>7249</v>
      </c>
      <c r="G614" s="5" t="str">
        <f t="shared" si="19"/>
        <v>ВТУЗГОРОДОК</v>
      </c>
      <c r="J614" s="5"/>
      <c r="AF614" t="s">
        <v>7188</v>
      </c>
      <c r="AG614" s="24" t="s">
        <v>5848</v>
      </c>
      <c r="AH614" s="5" t="s">
        <v>7188</v>
      </c>
      <c r="AI614" s="5">
        <v>14229.6718</v>
      </c>
      <c r="AJ614" s="5">
        <v>14229.6718</v>
      </c>
      <c r="AK614">
        <v>13215.937900000001</v>
      </c>
      <c r="AL614" s="5" t="str">
        <f t="shared" si="20"/>
        <v>Городской округ Красноуральск</v>
      </c>
    </row>
    <row r="615" spans="1:38" ht="15" customHeight="1" x14ac:dyDescent="0.25">
      <c r="A615" s="3" t="s">
        <v>984</v>
      </c>
      <c r="B615" s="3" t="s">
        <v>14</v>
      </c>
      <c r="C615" s="5">
        <v>93989.912800000006</v>
      </c>
      <c r="D615" s="5">
        <v>93989.912800000006</v>
      </c>
      <c r="E615" s="5">
        <v>85109.545199999993</v>
      </c>
      <c r="F615" t="s">
        <v>7249</v>
      </c>
      <c r="G615" s="5" t="str">
        <f t="shared" si="19"/>
        <v>Центр</v>
      </c>
      <c r="J615" s="5"/>
      <c r="AF615" t="s">
        <v>7188</v>
      </c>
      <c r="AG615" s="24" t="s">
        <v>5849</v>
      </c>
      <c r="AH615" s="5" t="s">
        <v>7188</v>
      </c>
      <c r="AI615" s="5">
        <v>14229.6718</v>
      </c>
      <c r="AJ615" s="5">
        <v>14229.6718</v>
      </c>
      <c r="AK615">
        <v>13215.937900000001</v>
      </c>
      <c r="AL615" s="5" t="str">
        <f t="shared" si="20"/>
        <v>Городской округ Красноуральск</v>
      </c>
    </row>
    <row r="616" spans="1:38" ht="15" customHeight="1" x14ac:dyDescent="0.25">
      <c r="A616" s="3" t="s">
        <v>985</v>
      </c>
      <c r="B616" s="3" t="s">
        <v>1638</v>
      </c>
      <c r="C616" s="5">
        <v>63640.311600000001</v>
      </c>
      <c r="D616" s="5">
        <v>63640.311600000001</v>
      </c>
      <c r="E616" s="5">
        <v>57627.4473</v>
      </c>
      <c r="F616" t="s">
        <v>7249</v>
      </c>
      <c r="G616" s="5" t="str">
        <f t="shared" si="19"/>
        <v>УКТУС</v>
      </c>
      <c r="J616" s="5"/>
      <c r="AF616" t="s">
        <v>7189</v>
      </c>
      <c r="AG616" s="24" t="s">
        <v>5850</v>
      </c>
      <c r="AH616" s="5" t="s">
        <v>7189</v>
      </c>
      <c r="AI616" s="5">
        <v>29223.904500000001</v>
      </c>
      <c r="AJ616" s="5">
        <v>29223.904500000001</v>
      </c>
      <c r="AK616">
        <v>27141.977699999999</v>
      </c>
      <c r="AL616" s="5" t="str">
        <f t="shared" si="20"/>
        <v>Городской округ Красноуфимск</v>
      </c>
    </row>
    <row r="617" spans="1:38" ht="15" customHeight="1" x14ac:dyDescent="0.25">
      <c r="A617" s="3" t="s">
        <v>986</v>
      </c>
      <c r="B617" s="3" t="s">
        <v>1646</v>
      </c>
      <c r="C617" s="5">
        <v>61763.596599999997</v>
      </c>
      <c r="D617" s="5">
        <v>61763.596599999997</v>
      </c>
      <c r="E617" s="5">
        <v>55928.0435</v>
      </c>
      <c r="F617" t="s">
        <v>7249</v>
      </c>
      <c r="G617" s="5" t="str">
        <f t="shared" si="19"/>
        <v>АКАДЕМИЧЕСКИЙ</v>
      </c>
      <c r="J617" s="5"/>
      <c r="AF617" t="s">
        <v>7189</v>
      </c>
      <c r="AG617" s="24" t="s">
        <v>5851</v>
      </c>
      <c r="AH617" s="5" t="s">
        <v>7189</v>
      </c>
      <c r="AI617" s="5">
        <v>29223.904500000001</v>
      </c>
      <c r="AJ617" s="5">
        <v>29223.904500000001</v>
      </c>
      <c r="AK617">
        <v>27141.977699999999</v>
      </c>
      <c r="AL617" s="5" t="str">
        <f t="shared" si="20"/>
        <v>Городской округ Красноуфимск</v>
      </c>
    </row>
    <row r="618" spans="1:38" ht="15" customHeight="1" x14ac:dyDescent="0.25">
      <c r="A618" s="3" t="s">
        <v>988</v>
      </c>
      <c r="B618" s="3" t="s">
        <v>14</v>
      </c>
      <c r="C618" s="5">
        <v>93989.912800000006</v>
      </c>
      <c r="D618" s="5">
        <v>93989.912800000006</v>
      </c>
      <c r="E618" s="5">
        <v>85109.545199999993</v>
      </c>
      <c r="F618" t="s">
        <v>7249</v>
      </c>
      <c r="G618" s="5" t="str">
        <f t="shared" si="19"/>
        <v>Центр</v>
      </c>
      <c r="J618" s="5"/>
      <c r="AF618" t="s">
        <v>7189</v>
      </c>
      <c r="AG618" s="24" t="s">
        <v>5852</v>
      </c>
      <c r="AH618" s="5" t="s">
        <v>7189</v>
      </c>
      <c r="AI618" s="5">
        <v>36106.8102</v>
      </c>
      <c r="AJ618" s="5">
        <v>36106.8102</v>
      </c>
      <c r="AK618">
        <v>33534.536800000002</v>
      </c>
      <c r="AL618" s="5" t="str">
        <f t="shared" si="20"/>
        <v>Городской округ Красноуфимск</v>
      </c>
    </row>
    <row r="619" spans="1:38" ht="15" customHeight="1" x14ac:dyDescent="0.25">
      <c r="A619" s="3" t="s">
        <v>989</v>
      </c>
      <c r="B619" s="3" t="s">
        <v>1660</v>
      </c>
      <c r="C619" s="5">
        <v>53262.345800000003</v>
      </c>
      <c r="D619" s="5">
        <v>53262.345800000003</v>
      </c>
      <c r="E619" s="5">
        <v>48230.0095</v>
      </c>
      <c r="F619" t="s">
        <v>7249</v>
      </c>
      <c r="G619" s="5" t="str">
        <f t="shared" si="19"/>
        <v>САДОВЫЙ</v>
      </c>
      <c r="J619" s="5"/>
      <c r="AF619" t="s">
        <v>7189</v>
      </c>
      <c r="AG619" s="24" t="s">
        <v>5853</v>
      </c>
      <c r="AH619" s="5" t="s">
        <v>7189</v>
      </c>
      <c r="AI619" s="5">
        <v>29223.904500000001</v>
      </c>
      <c r="AJ619" s="5">
        <v>29223.904500000001</v>
      </c>
      <c r="AK619">
        <v>27141.977699999999</v>
      </c>
      <c r="AL619" s="5" t="str">
        <f t="shared" si="20"/>
        <v>Городской округ Красноуфимск</v>
      </c>
    </row>
    <row r="620" spans="1:38" ht="15" customHeight="1" x14ac:dyDescent="0.25">
      <c r="A620" s="3" t="s">
        <v>990</v>
      </c>
      <c r="B620" s="3" t="s">
        <v>1628</v>
      </c>
      <c r="C620" s="5">
        <v>70734.0236</v>
      </c>
      <c r="D620" s="5">
        <v>70734.0236</v>
      </c>
      <c r="E620" s="5">
        <v>64050.9208</v>
      </c>
      <c r="F620" t="s">
        <v>7249</v>
      </c>
      <c r="G620" s="5" t="str">
        <f t="shared" si="19"/>
        <v>ЭЛЬМАШ</v>
      </c>
      <c r="J620" s="5"/>
      <c r="AF620" t="s">
        <v>7189</v>
      </c>
      <c r="AG620" s="24" t="s">
        <v>5854</v>
      </c>
      <c r="AH620" s="5" t="s">
        <v>7189</v>
      </c>
      <c r="AI620" s="5">
        <v>29223.904500000001</v>
      </c>
      <c r="AJ620" s="5">
        <v>29223.904500000001</v>
      </c>
      <c r="AK620">
        <v>27141.977699999999</v>
      </c>
      <c r="AL620" s="5" t="str">
        <f t="shared" si="20"/>
        <v>Городской округ Красноуфимск</v>
      </c>
    </row>
    <row r="621" spans="1:38" ht="15" customHeight="1" x14ac:dyDescent="0.25">
      <c r="A621" s="3" t="s">
        <v>992</v>
      </c>
      <c r="B621" s="3" t="s">
        <v>1638</v>
      </c>
      <c r="C621" s="5">
        <v>63640.311600000001</v>
      </c>
      <c r="D621" s="5">
        <v>63640.311600000001</v>
      </c>
      <c r="E621" s="5">
        <v>57627.4473</v>
      </c>
      <c r="F621" t="s">
        <v>7249</v>
      </c>
      <c r="G621" s="5" t="str">
        <f t="shared" si="19"/>
        <v>УКТУС</v>
      </c>
      <c r="J621" s="5"/>
      <c r="AF621" t="s">
        <v>7189</v>
      </c>
      <c r="AG621" s="24" t="s">
        <v>5855</v>
      </c>
      <c r="AH621" s="5" t="s">
        <v>7189</v>
      </c>
      <c r="AI621" s="5">
        <v>29223.904500000001</v>
      </c>
      <c r="AJ621" s="5">
        <v>29223.904500000001</v>
      </c>
      <c r="AK621">
        <v>27141.977699999999</v>
      </c>
      <c r="AL621" s="5" t="str">
        <f t="shared" si="20"/>
        <v>Городской округ Красноуфимск</v>
      </c>
    </row>
    <row r="622" spans="1:38" ht="15" customHeight="1" x14ac:dyDescent="0.25">
      <c r="A622" s="3" t="s">
        <v>993</v>
      </c>
      <c r="B622" s="3" t="s">
        <v>1638</v>
      </c>
      <c r="C622" s="5">
        <v>63640.311600000001</v>
      </c>
      <c r="D622" s="5">
        <v>63640.311600000001</v>
      </c>
      <c r="E622" s="5">
        <v>57627.4473</v>
      </c>
      <c r="F622" t="s">
        <v>7249</v>
      </c>
      <c r="G622" s="5" t="str">
        <f t="shared" si="19"/>
        <v>УКТУС</v>
      </c>
      <c r="J622" s="5"/>
      <c r="AF622" t="s">
        <v>7190</v>
      </c>
      <c r="AG622" s="24" t="s">
        <v>5856</v>
      </c>
      <c r="AH622" s="5" t="s">
        <v>7190</v>
      </c>
      <c r="AI622" s="5">
        <v>23693.6659</v>
      </c>
      <c r="AJ622" s="5">
        <v>23693.6659</v>
      </c>
      <c r="AK622">
        <v>22005.719499999999</v>
      </c>
      <c r="AL622" s="5" t="str">
        <f t="shared" si="20"/>
        <v>Городской округ Нижняя Салда</v>
      </c>
    </row>
    <row r="623" spans="1:38" ht="15" customHeight="1" x14ac:dyDescent="0.25">
      <c r="A623" s="3" t="s">
        <v>994</v>
      </c>
      <c r="B623" s="3" t="s">
        <v>1662</v>
      </c>
      <c r="C623" s="5">
        <v>46784.877899999999</v>
      </c>
      <c r="D623" s="5">
        <v>46784.877899999999</v>
      </c>
      <c r="E623" s="5">
        <v>42364.543299999998</v>
      </c>
      <c r="F623" t="s">
        <v>7249</v>
      </c>
      <c r="G623" s="5" t="str">
        <f t="shared" si="19"/>
        <v>РУДНЫЙ</v>
      </c>
      <c r="J623" s="5"/>
      <c r="AF623" t="s">
        <v>7190</v>
      </c>
      <c r="AG623" s="24" t="s">
        <v>5857</v>
      </c>
      <c r="AH623" s="5" t="s">
        <v>7190</v>
      </c>
      <c r="AI623" s="5">
        <v>23693.6659</v>
      </c>
      <c r="AJ623" s="5">
        <v>23693.6659</v>
      </c>
      <c r="AK623">
        <v>22005.719499999999</v>
      </c>
      <c r="AL623" s="5" t="str">
        <f t="shared" si="20"/>
        <v>Городской округ Нижняя Салда</v>
      </c>
    </row>
    <row r="624" spans="1:38" ht="15" customHeight="1" x14ac:dyDescent="0.25">
      <c r="A624" s="3" t="s">
        <v>995</v>
      </c>
      <c r="B624" s="3" t="s">
        <v>1647</v>
      </c>
      <c r="C624" s="5">
        <v>63178.133800000003</v>
      </c>
      <c r="D624" s="5">
        <v>63178.133800000003</v>
      </c>
      <c r="E624" s="5">
        <v>57208.931499999999</v>
      </c>
      <c r="F624" t="s">
        <v>7249</v>
      </c>
      <c r="G624" s="5" t="str">
        <f t="shared" si="19"/>
        <v>ШИРОКАЯ РЕЧКА</v>
      </c>
      <c r="J624" s="5"/>
      <c r="AF624" t="s">
        <v>7190</v>
      </c>
      <c r="AG624" s="24" t="s">
        <v>5858</v>
      </c>
      <c r="AH624" s="5" t="s">
        <v>7190</v>
      </c>
      <c r="AI624" s="5">
        <v>23693.6659</v>
      </c>
      <c r="AJ624" s="5">
        <v>23693.6659</v>
      </c>
      <c r="AK624">
        <v>22005.719499999999</v>
      </c>
      <c r="AL624" s="5" t="str">
        <f t="shared" si="20"/>
        <v>Городской округ Нижняя Салда</v>
      </c>
    </row>
    <row r="625" spans="1:38" ht="15" customHeight="1" x14ac:dyDescent="0.25">
      <c r="A625" s="3" t="s">
        <v>996</v>
      </c>
      <c r="B625" s="3" t="s">
        <v>1650</v>
      </c>
      <c r="C625" s="5">
        <v>37590.3603</v>
      </c>
      <c r="D625" s="5">
        <v>37590.3603</v>
      </c>
      <c r="E625" s="5">
        <v>34038.745900000002</v>
      </c>
      <c r="F625" t="s">
        <v>7249</v>
      </c>
      <c r="G625" s="5" t="str">
        <f t="shared" si="19"/>
        <v>ШАБРОВСКИЙ</v>
      </c>
      <c r="J625" s="5"/>
      <c r="AF625" t="s">
        <v>7190</v>
      </c>
      <c r="AG625" s="24" t="s">
        <v>5859</v>
      </c>
      <c r="AH625" s="5" t="s">
        <v>7190</v>
      </c>
      <c r="AI625" s="5">
        <v>23693.6659</v>
      </c>
      <c r="AJ625" s="5">
        <v>23693.6659</v>
      </c>
      <c r="AK625">
        <v>22005.719499999999</v>
      </c>
      <c r="AL625" s="5" t="str">
        <f t="shared" si="20"/>
        <v>Городской округ Нижняя Салда</v>
      </c>
    </row>
    <row r="626" spans="1:38" ht="15" customHeight="1" x14ac:dyDescent="0.25">
      <c r="A626" s="3" t="s">
        <v>997</v>
      </c>
      <c r="B626" s="3" t="s">
        <v>14</v>
      </c>
      <c r="C626" s="5">
        <v>93989.912800000006</v>
      </c>
      <c r="D626" s="5">
        <v>93989.912800000006</v>
      </c>
      <c r="E626" s="5">
        <v>85109.545199999993</v>
      </c>
      <c r="F626" t="s">
        <v>7249</v>
      </c>
      <c r="G626" s="5" t="str">
        <f t="shared" si="19"/>
        <v>Центр</v>
      </c>
      <c r="J626" s="5"/>
      <c r="AF626" t="s">
        <v>7190</v>
      </c>
      <c r="AG626" s="24" t="s">
        <v>5860</v>
      </c>
      <c r="AH626" s="5" t="s">
        <v>7190</v>
      </c>
      <c r="AI626" s="5">
        <v>29274.0694</v>
      </c>
      <c r="AJ626" s="5">
        <v>29274.0694</v>
      </c>
      <c r="AK626">
        <v>27188.5609</v>
      </c>
      <c r="AL626" s="5" t="str">
        <f t="shared" si="20"/>
        <v>Городской округ Нижняя Салда</v>
      </c>
    </row>
    <row r="627" spans="1:38" ht="15" customHeight="1" x14ac:dyDescent="0.25">
      <c r="A627" s="3" t="s">
        <v>998</v>
      </c>
      <c r="B627" s="3" t="s">
        <v>1628</v>
      </c>
      <c r="C627" s="5">
        <v>70734.0236</v>
      </c>
      <c r="D627" s="5">
        <v>70734.0236</v>
      </c>
      <c r="E627" s="5">
        <v>64050.9208</v>
      </c>
      <c r="F627" t="s">
        <v>7249</v>
      </c>
      <c r="G627" s="5" t="str">
        <f t="shared" si="19"/>
        <v>ЭЛЬМАШ</v>
      </c>
      <c r="J627" s="5"/>
      <c r="AF627" t="s">
        <v>7190</v>
      </c>
      <c r="AG627" s="24" t="s">
        <v>5861</v>
      </c>
      <c r="AH627" s="5" t="s">
        <v>7190</v>
      </c>
      <c r="AI627" s="5">
        <v>23693.6659</v>
      </c>
      <c r="AJ627" s="5">
        <v>23693.6659</v>
      </c>
      <c r="AK627">
        <v>22005.719499999999</v>
      </c>
      <c r="AL627" s="5" t="str">
        <f t="shared" si="20"/>
        <v>Городской округ Нижняя Салда</v>
      </c>
    </row>
    <row r="628" spans="1:38" ht="15" customHeight="1" x14ac:dyDescent="0.25">
      <c r="A628" s="3" t="s">
        <v>999</v>
      </c>
      <c r="B628" s="3" t="s">
        <v>1647</v>
      </c>
      <c r="C628" s="5">
        <v>63178.133800000003</v>
      </c>
      <c r="D628" s="5">
        <v>63178.133800000003</v>
      </c>
      <c r="E628" s="5">
        <v>57208.931499999999</v>
      </c>
      <c r="F628" t="s">
        <v>7249</v>
      </c>
      <c r="G628" s="5" t="str">
        <f t="shared" si="19"/>
        <v>ШИРОКАЯ РЕЧКА</v>
      </c>
      <c r="J628" s="5"/>
      <c r="AF628" t="s">
        <v>7191</v>
      </c>
      <c r="AG628" s="24" t="s">
        <v>5862</v>
      </c>
      <c r="AH628" s="5" t="s">
        <v>7191</v>
      </c>
      <c r="AI628" s="5">
        <v>22984.554800000002</v>
      </c>
      <c r="AJ628" s="5">
        <v>22984.554800000002</v>
      </c>
      <c r="AK628">
        <v>21347.124299999999</v>
      </c>
      <c r="AL628" s="5" t="str">
        <f t="shared" si="20"/>
        <v>Городской округ Пелым</v>
      </c>
    </row>
    <row r="629" spans="1:38" ht="15" customHeight="1" x14ac:dyDescent="0.25">
      <c r="A629" s="3" t="s">
        <v>1001</v>
      </c>
      <c r="B629" s="3" t="s">
        <v>1647</v>
      </c>
      <c r="C629" s="5">
        <v>63178.133800000003</v>
      </c>
      <c r="D629" s="5">
        <v>63178.133800000003</v>
      </c>
      <c r="E629" s="5">
        <v>57208.931499999999</v>
      </c>
      <c r="F629" t="s">
        <v>7249</v>
      </c>
      <c r="G629" s="5" t="str">
        <f t="shared" si="19"/>
        <v>ШИРОКАЯ РЕЧКА</v>
      </c>
      <c r="J629" s="5"/>
      <c r="AF629" t="s">
        <v>7191</v>
      </c>
      <c r="AG629" s="24" t="s">
        <v>5863</v>
      </c>
      <c r="AH629" s="5" t="s">
        <v>7191</v>
      </c>
      <c r="AI629" s="5">
        <v>22984.554800000002</v>
      </c>
      <c r="AJ629" s="5">
        <v>22984.554800000002</v>
      </c>
      <c r="AK629">
        <v>21347.124299999999</v>
      </c>
      <c r="AL629" s="5" t="str">
        <f t="shared" si="20"/>
        <v>Городской округ Пелым</v>
      </c>
    </row>
    <row r="630" spans="1:38" ht="15" customHeight="1" x14ac:dyDescent="0.25">
      <c r="A630" s="3" t="s">
        <v>1002</v>
      </c>
      <c r="B630" s="3" t="s">
        <v>1635</v>
      </c>
      <c r="C630" s="5">
        <v>57793.0844</v>
      </c>
      <c r="D630" s="5">
        <v>57793.0844</v>
      </c>
      <c r="E630" s="5">
        <v>52332.6639</v>
      </c>
      <c r="F630" t="s">
        <v>7249</v>
      </c>
      <c r="G630" s="5" t="str">
        <f t="shared" si="19"/>
        <v>ЛЕЧЕБНЫЙ</v>
      </c>
      <c r="J630" s="5"/>
      <c r="AF630" t="s">
        <v>7191</v>
      </c>
      <c r="AG630" s="24" t="s">
        <v>5864</v>
      </c>
      <c r="AH630" s="5" t="s">
        <v>7191</v>
      </c>
      <c r="AI630" s="5">
        <v>22984.554800000002</v>
      </c>
      <c r="AJ630" s="5">
        <v>22984.554800000002</v>
      </c>
      <c r="AK630">
        <v>21347.124299999999</v>
      </c>
      <c r="AL630" s="5" t="str">
        <f t="shared" si="20"/>
        <v>Городской округ Пелым</v>
      </c>
    </row>
    <row r="631" spans="1:38" ht="15" customHeight="1" x14ac:dyDescent="0.25">
      <c r="A631" s="3" t="s">
        <v>1003</v>
      </c>
      <c r="B631" s="3" t="s">
        <v>1665</v>
      </c>
      <c r="C631" s="5">
        <v>55692.278700000003</v>
      </c>
      <c r="D631" s="5">
        <v>55692.278700000003</v>
      </c>
      <c r="E631" s="5">
        <v>50430.350200000001</v>
      </c>
      <c r="F631" t="s">
        <v>7249</v>
      </c>
      <c r="G631" s="5" t="str">
        <f t="shared" si="19"/>
        <v>ПОЛЕВОДСТВО</v>
      </c>
      <c r="J631" s="5"/>
      <c r="AF631" t="s">
        <v>7191</v>
      </c>
      <c r="AG631" s="24" t="s">
        <v>5865</v>
      </c>
      <c r="AH631" s="5" t="s">
        <v>7191</v>
      </c>
      <c r="AI631" s="5">
        <v>22984.554800000002</v>
      </c>
      <c r="AJ631" s="5">
        <v>22984.554800000002</v>
      </c>
      <c r="AK631">
        <v>21347.124299999999</v>
      </c>
      <c r="AL631" s="5" t="str">
        <f t="shared" si="20"/>
        <v>Городской округ Пелым</v>
      </c>
    </row>
    <row r="632" spans="1:38" ht="15" customHeight="1" x14ac:dyDescent="0.25">
      <c r="A632" s="3" t="s">
        <v>1006</v>
      </c>
      <c r="B632" s="3" t="s">
        <v>1667</v>
      </c>
      <c r="C632" s="5">
        <v>56546.599699999999</v>
      </c>
      <c r="D632" s="5">
        <v>56546.599699999999</v>
      </c>
      <c r="E632" s="5">
        <v>51203.963499999998</v>
      </c>
      <c r="F632" t="s">
        <v>7249</v>
      </c>
      <c r="G632" s="5" t="str">
        <f t="shared" si="19"/>
        <v>КАЛИНОВСКИЙ</v>
      </c>
      <c r="J632" s="5"/>
      <c r="AF632" t="s">
        <v>7191</v>
      </c>
      <c r="AG632" s="24" t="s">
        <v>5866</v>
      </c>
      <c r="AH632" s="5" t="s">
        <v>7191</v>
      </c>
      <c r="AI632" s="5">
        <v>22984.554800000002</v>
      </c>
      <c r="AJ632" s="5">
        <v>22984.554800000002</v>
      </c>
      <c r="AK632">
        <v>21347.124299999999</v>
      </c>
      <c r="AL632" s="5" t="str">
        <f t="shared" si="20"/>
        <v>Городской округ Пелым</v>
      </c>
    </row>
    <row r="633" spans="1:38" ht="15" customHeight="1" x14ac:dyDescent="0.25">
      <c r="A633" s="3" t="s">
        <v>1008</v>
      </c>
      <c r="B633" s="3" t="s">
        <v>1634</v>
      </c>
      <c r="C633" s="5">
        <v>77064.444199999998</v>
      </c>
      <c r="D633" s="5">
        <v>77064.444199999998</v>
      </c>
      <c r="E633" s="5">
        <v>69783.233200000002</v>
      </c>
      <c r="F633" t="s">
        <v>7249</v>
      </c>
      <c r="G633" s="5" t="str">
        <f t="shared" si="19"/>
        <v>БОТАНИЧЕСКИЙ</v>
      </c>
      <c r="J633" s="5"/>
      <c r="AF633" t="s">
        <v>7191</v>
      </c>
      <c r="AG633" s="24" t="s">
        <v>5867</v>
      </c>
      <c r="AH633" s="5" t="s">
        <v>7191</v>
      </c>
      <c r="AI633" s="5">
        <v>28397.9483</v>
      </c>
      <c r="AJ633" s="5">
        <v>28397.9483</v>
      </c>
      <c r="AK633">
        <v>26374.867300000002</v>
      </c>
      <c r="AL633" s="5" t="str">
        <f t="shared" si="20"/>
        <v>Городской округ Пелым</v>
      </c>
    </row>
    <row r="634" spans="1:38" ht="15" customHeight="1" x14ac:dyDescent="0.25">
      <c r="A634" s="3" t="s">
        <v>1009</v>
      </c>
      <c r="B634" s="3" t="s">
        <v>1631</v>
      </c>
      <c r="C634" s="5">
        <v>70026.7601</v>
      </c>
      <c r="D634" s="5">
        <v>70026.7601</v>
      </c>
      <c r="E634" s="5">
        <v>63410.482000000004</v>
      </c>
      <c r="F634" t="s">
        <v>7249</v>
      </c>
      <c r="G634" s="5" t="str">
        <f t="shared" si="19"/>
        <v>УРАЛМАШ</v>
      </c>
      <c r="J634" s="5"/>
      <c r="AF634" t="s">
        <v>7192</v>
      </c>
      <c r="AG634" s="24" t="s">
        <v>5868</v>
      </c>
      <c r="AH634" s="5" t="s">
        <v>7192</v>
      </c>
      <c r="AI634" s="5">
        <v>27104.663700000001</v>
      </c>
      <c r="AJ634" s="5">
        <v>27104.663700000001</v>
      </c>
      <c r="AK634">
        <v>26564.688900000001</v>
      </c>
      <c r="AL634" s="5" t="str">
        <f t="shared" si="20"/>
        <v>Городской округ Первоуральск</v>
      </c>
    </row>
    <row r="635" spans="1:38" ht="15" customHeight="1" x14ac:dyDescent="0.25">
      <c r="A635" s="3" t="s">
        <v>1010</v>
      </c>
      <c r="B635" s="3" t="s">
        <v>779</v>
      </c>
      <c r="C635" s="5">
        <v>46784.877899999999</v>
      </c>
      <c r="D635" s="5">
        <v>46784.877899999999</v>
      </c>
      <c r="E635" s="5">
        <v>42364.543299999998</v>
      </c>
      <c r="F635" t="s">
        <v>7249</v>
      </c>
      <c r="G635" s="5" t="str">
        <f t="shared" si="19"/>
        <v>Нижнеисетский</v>
      </c>
      <c r="J635" s="5"/>
      <c r="AF635" t="s">
        <v>7192</v>
      </c>
      <c r="AG635" s="24" t="s">
        <v>5869</v>
      </c>
      <c r="AH635" s="5" t="s">
        <v>7192</v>
      </c>
      <c r="AI635" s="5">
        <v>27104.663700000001</v>
      </c>
      <c r="AJ635" s="5">
        <v>27104.663700000001</v>
      </c>
      <c r="AK635">
        <v>26564.688900000001</v>
      </c>
      <c r="AL635" s="5" t="str">
        <f t="shared" si="20"/>
        <v>Городской округ Первоуральск</v>
      </c>
    </row>
    <row r="636" spans="1:38" ht="15" customHeight="1" x14ac:dyDescent="0.25">
      <c r="A636" s="3" t="s">
        <v>1011</v>
      </c>
      <c r="B636" s="3" t="s">
        <v>1651</v>
      </c>
      <c r="C636" s="5">
        <v>68129.029500000004</v>
      </c>
      <c r="D636" s="5">
        <v>68129.029500000004</v>
      </c>
      <c r="E636" s="5">
        <v>61692.054799999998</v>
      </c>
      <c r="F636" t="s">
        <v>7249</v>
      </c>
      <c r="G636" s="5" t="str">
        <f t="shared" si="19"/>
        <v>ШАРТАШ</v>
      </c>
      <c r="J636" s="5"/>
      <c r="AF636" t="s">
        <v>7192</v>
      </c>
      <c r="AG636" s="24" t="s">
        <v>5870</v>
      </c>
      <c r="AH636" s="5" t="s">
        <v>7192</v>
      </c>
      <c r="AI636" s="5">
        <v>27104.663700000001</v>
      </c>
      <c r="AJ636" s="5">
        <v>27104.663700000001</v>
      </c>
      <c r="AK636">
        <v>26564.688900000001</v>
      </c>
      <c r="AL636" s="5" t="str">
        <f t="shared" si="20"/>
        <v>Городской округ Первоуральск</v>
      </c>
    </row>
    <row r="637" spans="1:38" ht="15" customHeight="1" x14ac:dyDescent="0.25">
      <c r="A637" s="3" t="s">
        <v>1012</v>
      </c>
      <c r="B637" s="3" t="s">
        <v>1632</v>
      </c>
      <c r="C637" s="5">
        <v>83744.997499999998</v>
      </c>
      <c r="D637" s="5">
        <v>83744.997499999998</v>
      </c>
      <c r="E637" s="5">
        <v>75832.596099999995</v>
      </c>
      <c r="F637" t="s">
        <v>7249</v>
      </c>
      <c r="G637" s="5" t="str">
        <f t="shared" si="19"/>
        <v>АВТОВОКЗАЛ</v>
      </c>
      <c r="J637" s="5"/>
      <c r="AF637" t="s">
        <v>7192</v>
      </c>
      <c r="AG637" s="24" t="s">
        <v>5871</v>
      </c>
      <c r="AH637" s="5" t="s">
        <v>7192</v>
      </c>
      <c r="AI637" s="5">
        <v>27104.663700000001</v>
      </c>
      <c r="AJ637" s="5">
        <v>27104.663700000001</v>
      </c>
      <c r="AK637">
        <v>26564.688900000001</v>
      </c>
      <c r="AL637" s="5" t="str">
        <f t="shared" si="20"/>
        <v>Городской округ Первоуральск</v>
      </c>
    </row>
    <row r="638" spans="1:38" ht="15" customHeight="1" x14ac:dyDescent="0.25">
      <c r="A638" s="3" t="s">
        <v>1015</v>
      </c>
      <c r="B638" s="3" t="s">
        <v>14</v>
      </c>
      <c r="C638" s="5">
        <v>93989.912800000006</v>
      </c>
      <c r="D638" s="5">
        <v>93989.912800000006</v>
      </c>
      <c r="E638" s="5">
        <v>85109.545199999993</v>
      </c>
      <c r="F638" t="s">
        <v>7249</v>
      </c>
      <c r="G638" s="5" t="str">
        <f t="shared" si="19"/>
        <v>Центр</v>
      </c>
      <c r="J638" s="5"/>
      <c r="AF638" t="s">
        <v>7192</v>
      </c>
      <c r="AG638" s="24" t="s">
        <v>5872</v>
      </c>
      <c r="AH638" s="5" t="s">
        <v>7192</v>
      </c>
      <c r="AI638" s="5">
        <v>27104.663700000001</v>
      </c>
      <c r="AJ638" s="5">
        <v>27104.663700000001</v>
      </c>
      <c r="AK638">
        <v>26564.688900000001</v>
      </c>
      <c r="AL638" s="5" t="str">
        <f t="shared" si="20"/>
        <v>Городской округ Первоуральск</v>
      </c>
    </row>
    <row r="639" spans="1:38" ht="15" customHeight="1" x14ac:dyDescent="0.25">
      <c r="A639" s="3" t="s">
        <v>1016</v>
      </c>
      <c r="B639" s="3" t="s">
        <v>1647</v>
      </c>
      <c r="C639" s="5">
        <v>63178.133800000003</v>
      </c>
      <c r="D639" s="5">
        <v>63178.133800000003</v>
      </c>
      <c r="E639" s="5">
        <v>57208.931499999999</v>
      </c>
      <c r="F639" t="s">
        <v>7249</v>
      </c>
      <c r="G639" s="5" t="str">
        <f t="shared" si="19"/>
        <v>ШИРОКАЯ РЕЧКА</v>
      </c>
      <c r="J639" s="5"/>
      <c r="AF639" t="s">
        <v>7192</v>
      </c>
      <c r="AG639" s="24" t="s">
        <v>5873</v>
      </c>
      <c r="AH639" s="5" t="s">
        <v>7192</v>
      </c>
      <c r="AI639" s="5">
        <v>27104.663700000001</v>
      </c>
      <c r="AJ639" s="5">
        <v>27104.663700000001</v>
      </c>
      <c r="AK639">
        <v>26564.688900000001</v>
      </c>
      <c r="AL639" s="5" t="str">
        <f t="shared" si="20"/>
        <v>Городской округ Первоуральск</v>
      </c>
    </row>
    <row r="640" spans="1:38" ht="15" customHeight="1" x14ac:dyDescent="0.25">
      <c r="A640" s="3" t="s">
        <v>1017</v>
      </c>
      <c r="B640" s="3" t="s">
        <v>1643</v>
      </c>
      <c r="C640" s="5">
        <v>76630.280299999999</v>
      </c>
      <c r="D640" s="5">
        <v>76630.280299999999</v>
      </c>
      <c r="E640" s="5">
        <v>69390.088799999998</v>
      </c>
      <c r="F640" t="s">
        <v>7249</v>
      </c>
      <c r="G640" s="5" t="str">
        <f t="shared" si="19"/>
        <v>Ю-З</v>
      </c>
      <c r="J640" s="5"/>
      <c r="AF640" t="s">
        <v>7192</v>
      </c>
      <c r="AG640" s="24" t="s">
        <v>5874</v>
      </c>
      <c r="AH640" s="5" t="s">
        <v>7192</v>
      </c>
      <c r="AI640" s="5">
        <v>27104.663700000001</v>
      </c>
      <c r="AJ640" s="5">
        <v>27104.663700000001</v>
      </c>
      <c r="AK640">
        <v>26564.688900000001</v>
      </c>
      <c r="AL640" s="5" t="str">
        <f t="shared" si="20"/>
        <v>Городской округ Первоуральск</v>
      </c>
    </row>
    <row r="641" spans="1:38" ht="15" customHeight="1" x14ac:dyDescent="0.25">
      <c r="A641" s="3" t="s">
        <v>1018</v>
      </c>
      <c r="B641" s="3" t="s">
        <v>1643</v>
      </c>
      <c r="C641" s="5">
        <v>76630.280299999999</v>
      </c>
      <c r="D641" s="5">
        <v>76630.280299999999</v>
      </c>
      <c r="E641" s="5">
        <v>69390.088799999998</v>
      </c>
      <c r="F641" t="s">
        <v>7249</v>
      </c>
      <c r="G641" s="5" t="str">
        <f t="shared" si="19"/>
        <v>Ю-З</v>
      </c>
      <c r="J641" s="5"/>
      <c r="AF641" t="s">
        <v>7192</v>
      </c>
      <c r="AG641" s="24" t="s">
        <v>5875</v>
      </c>
      <c r="AH641" s="5" t="s">
        <v>7192</v>
      </c>
      <c r="AI641" s="5">
        <v>27104.663700000001</v>
      </c>
      <c r="AJ641" s="5">
        <v>27104.663700000001</v>
      </c>
      <c r="AK641">
        <v>26564.688900000001</v>
      </c>
      <c r="AL641" s="5" t="str">
        <f t="shared" si="20"/>
        <v>Городской округ Первоуральск</v>
      </c>
    </row>
    <row r="642" spans="1:38" ht="15" customHeight="1" x14ac:dyDescent="0.25">
      <c r="A642" s="3" t="s">
        <v>1019</v>
      </c>
      <c r="B642" s="3" t="s">
        <v>1631</v>
      </c>
      <c r="C642" s="5">
        <v>70026.7601</v>
      </c>
      <c r="D642" s="5">
        <v>70026.7601</v>
      </c>
      <c r="E642" s="5">
        <v>63410.482000000004</v>
      </c>
      <c r="F642" t="s">
        <v>7249</v>
      </c>
      <c r="G642" s="5" t="str">
        <f t="shared" si="19"/>
        <v>УРАЛМАШ</v>
      </c>
      <c r="J642" s="5"/>
      <c r="AF642" t="s">
        <v>7192</v>
      </c>
      <c r="AG642" s="24" t="s">
        <v>5876</v>
      </c>
      <c r="AH642" s="5" t="s">
        <v>7192</v>
      </c>
      <c r="AI642" s="5">
        <v>27104.663700000001</v>
      </c>
      <c r="AJ642" s="5">
        <v>27104.663700000001</v>
      </c>
      <c r="AK642">
        <v>26564.688900000001</v>
      </c>
      <c r="AL642" s="5" t="str">
        <f t="shared" si="20"/>
        <v>Городской округ Первоуральск</v>
      </c>
    </row>
    <row r="643" spans="1:38" ht="15" customHeight="1" x14ac:dyDescent="0.25">
      <c r="A643" s="3" t="s">
        <v>1020</v>
      </c>
      <c r="B643" s="3" t="s">
        <v>1631</v>
      </c>
      <c r="C643" s="5">
        <v>70026.7601</v>
      </c>
      <c r="D643" s="5">
        <v>70026.7601</v>
      </c>
      <c r="E643" s="5">
        <v>63410.482000000004</v>
      </c>
      <c r="F643" t="s">
        <v>7249</v>
      </c>
      <c r="G643" s="5" t="str">
        <f t="shared" si="19"/>
        <v>УРАЛМАШ</v>
      </c>
      <c r="J643" s="5"/>
      <c r="AF643" t="s">
        <v>7192</v>
      </c>
      <c r="AG643" s="24" t="s">
        <v>5877</v>
      </c>
      <c r="AH643" s="5" t="s">
        <v>7192</v>
      </c>
      <c r="AI643" s="5">
        <v>27104.663700000001</v>
      </c>
      <c r="AJ643" s="5">
        <v>27104.663700000001</v>
      </c>
      <c r="AK643">
        <v>26564.688900000001</v>
      </c>
      <c r="AL643" s="5" t="str">
        <f t="shared" si="20"/>
        <v>Городской округ Первоуральск</v>
      </c>
    </row>
    <row r="644" spans="1:38" ht="15" customHeight="1" x14ac:dyDescent="0.25">
      <c r="A644" s="3" t="s">
        <v>1021</v>
      </c>
      <c r="B644" s="3" t="s">
        <v>1636</v>
      </c>
      <c r="C644" s="5">
        <v>52246.960299999999</v>
      </c>
      <c r="D644" s="5">
        <v>52246.960299999999</v>
      </c>
      <c r="E644" s="5">
        <v>47310.556700000001</v>
      </c>
      <c r="F644" t="s">
        <v>7249</v>
      </c>
      <c r="G644" s="5" t="str">
        <f t="shared" ref="G644:G707" si="21">B644</f>
        <v>ГОРНЫЙ ЩИТ</v>
      </c>
      <c r="J644" s="5"/>
      <c r="AF644" t="s">
        <v>7192</v>
      </c>
      <c r="AG644" s="24" t="s">
        <v>5878</v>
      </c>
      <c r="AH644" s="5" t="s">
        <v>7192</v>
      </c>
      <c r="AI644" s="5">
        <v>27104.663700000001</v>
      </c>
      <c r="AJ644" s="5">
        <v>27104.663700000001</v>
      </c>
      <c r="AK644">
        <v>26564.688900000001</v>
      </c>
      <c r="AL644" s="5" t="str">
        <f t="shared" ref="AL644:AL707" si="22">AF644</f>
        <v>Городской округ Первоуральск</v>
      </c>
    </row>
    <row r="645" spans="1:38" ht="15" customHeight="1" x14ac:dyDescent="0.25">
      <c r="A645" s="3" t="s">
        <v>1022</v>
      </c>
      <c r="B645" s="3" t="s">
        <v>1642</v>
      </c>
      <c r="C645" s="5">
        <v>81392.097599999994</v>
      </c>
      <c r="D645" s="5">
        <v>81392.097599999994</v>
      </c>
      <c r="E645" s="5">
        <v>73702.001099999994</v>
      </c>
      <c r="F645" t="s">
        <v>7249</v>
      </c>
      <c r="G645" s="5" t="str">
        <f t="shared" si="21"/>
        <v>ПАРКОВЫЙ</v>
      </c>
      <c r="J645" s="5"/>
      <c r="AF645" t="s">
        <v>7192</v>
      </c>
      <c r="AG645" s="24" t="s">
        <v>5879</v>
      </c>
      <c r="AH645" s="5" t="s">
        <v>7192</v>
      </c>
      <c r="AI645" s="5">
        <v>27104.663700000001</v>
      </c>
      <c r="AJ645" s="5">
        <v>27104.663700000001</v>
      </c>
      <c r="AK645">
        <v>26564.688900000001</v>
      </c>
      <c r="AL645" s="5" t="str">
        <f t="shared" si="22"/>
        <v>Городской округ Первоуральск</v>
      </c>
    </row>
    <row r="646" spans="1:38" ht="15" customHeight="1" x14ac:dyDescent="0.25">
      <c r="A646" s="3" t="s">
        <v>1025</v>
      </c>
      <c r="B646" s="3" t="s">
        <v>1630</v>
      </c>
      <c r="C646" s="5">
        <v>62652.9401</v>
      </c>
      <c r="D646" s="5">
        <v>62652.9401</v>
      </c>
      <c r="E646" s="5">
        <v>56733.3557</v>
      </c>
      <c r="F646" t="s">
        <v>7249</v>
      </c>
      <c r="G646" s="5" t="str">
        <f t="shared" si="21"/>
        <v>ЧЕРМЕТ</v>
      </c>
      <c r="J646" s="5"/>
      <c r="AF646" t="s">
        <v>7192</v>
      </c>
      <c r="AG646" s="24" t="s">
        <v>5880</v>
      </c>
      <c r="AH646" s="5" t="s">
        <v>7192</v>
      </c>
      <c r="AI646" s="5">
        <v>27104.663700000001</v>
      </c>
      <c r="AJ646" s="5">
        <v>27104.663700000001</v>
      </c>
      <c r="AK646">
        <v>26564.688900000001</v>
      </c>
      <c r="AL646" s="5" t="str">
        <f t="shared" si="22"/>
        <v>Городской округ Первоуральск</v>
      </c>
    </row>
    <row r="647" spans="1:38" ht="15" customHeight="1" x14ac:dyDescent="0.25">
      <c r="A647" s="3" t="s">
        <v>1026</v>
      </c>
      <c r="B647" s="3" t="s">
        <v>1653</v>
      </c>
      <c r="C647" s="5">
        <v>56847.723400000003</v>
      </c>
      <c r="D647" s="5">
        <v>56847.723400000003</v>
      </c>
      <c r="E647" s="5">
        <v>51476.629399999998</v>
      </c>
      <c r="F647" t="s">
        <v>7249</v>
      </c>
      <c r="G647" s="5" t="str">
        <f t="shared" si="21"/>
        <v>ПТИЦЕФАБРИКА</v>
      </c>
      <c r="J647" s="5"/>
      <c r="AF647" t="s">
        <v>7192</v>
      </c>
      <c r="AG647" s="24" t="s">
        <v>5881</v>
      </c>
      <c r="AH647" s="5" t="s">
        <v>7192</v>
      </c>
      <c r="AI647" s="5">
        <v>27104.663700000001</v>
      </c>
      <c r="AJ647" s="5">
        <v>27104.663700000001</v>
      </c>
      <c r="AK647">
        <v>26564.688900000001</v>
      </c>
      <c r="AL647" s="5" t="str">
        <f t="shared" si="22"/>
        <v>Городской округ Первоуральск</v>
      </c>
    </row>
    <row r="648" spans="1:38" ht="15" customHeight="1" x14ac:dyDescent="0.25">
      <c r="A648" s="3" t="s">
        <v>1028</v>
      </c>
      <c r="B648" s="3" t="s">
        <v>1630</v>
      </c>
      <c r="C648" s="5">
        <v>62652.9401</v>
      </c>
      <c r="D648" s="5">
        <v>62652.9401</v>
      </c>
      <c r="E648" s="5">
        <v>56733.3557</v>
      </c>
      <c r="F648" t="s">
        <v>7249</v>
      </c>
      <c r="G648" s="5" t="str">
        <f t="shared" si="21"/>
        <v>ЧЕРМЕТ</v>
      </c>
      <c r="J648" s="5"/>
      <c r="AF648" t="s">
        <v>7192</v>
      </c>
      <c r="AG648" s="24" t="s">
        <v>5882</v>
      </c>
      <c r="AH648" s="5" t="s">
        <v>7192</v>
      </c>
      <c r="AI648" s="5">
        <v>27104.663700000001</v>
      </c>
      <c r="AJ648" s="5">
        <v>27104.663700000001</v>
      </c>
      <c r="AK648">
        <v>26564.688900000001</v>
      </c>
      <c r="AL648" s="5" t="str">
        <f t="shared" si="22"/>
        <v>Городской округ Первоуральск</v>
      </c>
    </row>
    <row r="649" spans="1:38" ht="15" customHeight="1" x14ac:dyDescent="0.25">
      <c r="A649" s="3" t="s">
        <v>1029</v>
      </c>
      <c r="B649" s="3" t="s">
        <v>1630</v>
      </c>
      <c r="C649" s="5">
        <v>62652.9401</v>
      </c>
      <c r="D649" s="5">
        <v>62652.9401</v>
      </c>
      <c r="E649" s="5">
        <v>56733.3557</v>
      </c>
      <c r="F649" t="s">
        <v>7249</v>
      </c>
      <c r="G649" s="5" t="str">
        <f t="shared" si="21"/>
        <v>ЧЕРМЕТ</v>
      </c>
      <c r="J649" s="5"/>
      <c r="AF649" t="s">
        <v>7192</v>
      </c>
      <c r="AG649" s="24" t="s">
        <v>5883</v>
      </c>
      <c r="AH649" s="5" t="s">
        <v>7192</v>
      </c>
      <c r="AI649" s="5">
        <v>27104.663700000001</v>
      </c>
      <c r="AJ649" s="5">
        <v>27104.663700000001</v>
      </c>
      <c r="AK649">
        <v>26564.688900000001</v>
      </c>
      <c r="AL649" s="5" t="str">
        <f t="shared" si="22"/>
        <v>Городской округ Первоуральск</v>
      </c>
    </row>
    <row r="650" spans="1:38" ht="15" customHeight="1" x14ac:dyDescent="0.25">
      <c r="A650" s="3" t="s">
        <v>1030</v>
      </c>
      <c r="B650" s="3" t="s">
        <v>1660</v>
      </c>
      <c r="C650" s="5">
        <v>53262.345800000003</v>
      </c>
      <c r="D650" s="5">
        <v>53262.345800000003</v>
      </c>
      <c r="E650" s="5">
        <v>48230.0095</v>
      </c>
      <c r="F650" t="s">
        <v>7249</v>
      </c>
      <c r="G650" s="5" t="str">
        <f t="shared" si="21"/>
        <v>САДОВЫЙ</v>
      </c>
      <c r="J650" s="5"/>
      <c r="AF650" t="s">
        <v>7192</v>
      </c>
      <c r="AG650" s="24" t="s">
        <v>5884</v>
      </c>
      <c r="AH650" s="5" t="s">
        <v>7192</v>
      </c>
      <c r="AI650" s="5">
        <v>27104.663700000001</v>
      </c>
      <c r="AJ650" s="5">
        <v>27104.663700000001</v>
      </c>
      <c r="AK650">
        <v>26564.688900000001</v>
      </c>
      <c r="AL650" s="5" t="str">
        <f t="shared" si="22"/>
        <v>Городской округ Первоуральск</v>
      </c>
    </row>
    <row r="651" spans="1:38" ht="15" customHeight="1" x14ac:dyDescent="0.25">
      <c r="A651" s="3" t="s">
        <v>1031</v>
      </c>
      <c r="B651" s="3" t="s">
        <v>1631</v>
      </c>
      <c r="C651" s="5">
        <v>70026.7601</v>
      </c>
      <c r="D651" s="5">
        <v>70026.7601</v>
      </c>
      <c r="E651" s="5">
        <v>63410.482000000004</v>
      </c>
      <c r="F651" t="s">
        <v>7249</v>
      </c>
      <c r="G651" s="5" t="str">
        <f t="shared" si="21"/>
        <v>УРАЛМАШ</v>
      </c>
      <c r="J651" s="5"/>
      <c r="AF651" t="s">
        <v>7192</v>
      </c>
      <c r="AG651" s="24" t="s">
        <v>5885</v>
      </c>
      <c r="AH651" s="5" t="s">
        <v>7192</v>
      </c>
      <c r="AI651" s="5">
        <v>27104.663700000001</v>
      </c>
      <c r="AJ651" s="5">
        <v>27104.663700000001</v>
      </c>
      <c r="AK651">
        <v>26564.688900000001</v>
      </c>
      <c r="AL651" s="5" t="str">
        <f t="shared" si="22"/>
        <v>Городской округ Первоуральск</v>
      </c>
    </row>
    <row r="652" spans="1:38" ht="15" customHeight="1" x14ac:dyDescent="0.25">
      <c r="A652" s="3" t="s">
        <v>1032</v>
      </c>
      <c r="B652" s="3" t="s">
        <v>1659</v>
      </c>
      <c r="C652" s="5">
        <v>59746.832600000002</v>
      </c>
      <c r="D652" s="5">
        <v>59746.832600000002</v>
      </c>
      <c r="E652" s="5">
        <v>54101.823700000001</v>
      </c>
      <c r="F652" t="s">
        <v>7249</v>
      </c>
      <c r="G652" s="5" t="str">
        <f t="shared" si="21"/>
        <v>СОВХОЗ</v>
      </c>
      <c r="J652" s="5"/>
      <c r="AF652" t="s">
        <v>7192</v>
      </c>
      <c r="AG652" s="24" t="s">
        <v>5886</v>
      </c>
      <c r="AH652" s="5" t="s">
        <v>7192</v>
      </c>
      <c r="AI652" s="5">
        <v>27104.663700000001</v>
      </c>
      <c r="AJ652" s="5">
        <v>27104.663700000001</v>
      </c>
      <c r="AK652">
        <v>26564.688900000001</v>
      </c>
      <c r="AL652" s="5" t="str">
        <f t="shared" si="22"/>
        <v>Городской округ Первоуральск</v>
      </c>
    </row>
    <row r="653" spans="1:38" ht="15" customHeight="1" x14ac:dyDescent="0.25">
      <c r="A653" s="3" t="s">
        <v>1035</v>
      </c>
      <c r="B653" s="3" t="s">
        <v>1635</v>
      </c>
      <c r="C653" s="5">
        <v>57793.0844</v>
      </c>
      <c r="D653" s="5">
        <v>57793.0844</v>
      </c>
      <c r="E653" s="5">
        <v>52332.6639</v>
      </c>
      <c r="F653" t="s">
        <v>7249</v>
      </c>
      <c r="G653" s="5" t="str">
        <f t="shared" si="21"/>
        <v>ЛЕЧЕБНЫЙ</v>
      </c>
      <c r="J653" s="5"/>
      <c r="AF653" t="s">
        <v>7192</v>
      </c>
      <c r="AG653" s="24" t="s">
        <v>5887</v>
      </c>
      <c r="AH653" s="5" t="s">
        <v>7192</v>
      </c>
      <c r="AI653" s="5">
        <v>27104.663700000001</v>
      </c>
      <c r="AJ653" s="5">
        <v>27104.663700000001</v>
      </c>
      <c r="AK653">
        <v>26564.688900000001</v>
      </c>
      <c r="AL653" s="5" t="str">
        <f t="shared" si="22"/>
        <v>Городской округ Первоуральск</v>
      </c>
    </row>
    <row r="654" spans="1:38" ht="15" customHeight="1" x14ac:dyDescent="0.25">
      <c r="A654" s="3" t="s">
        <v>1036</v>
      </c>
      <c r="B654" s="3" t="s">
        <v>1631</v>
      </c>
      <c r="C654" s="5">
        <v>70026.7601</v>
      </c>
      <c r="D654" s="5">
        <v>70026.7601</v>
      </c>
      <c r="E654" s="5">
        <v>63410.482000000004</v>
      </c>
      <c r="F654" t="s">
        <v>7249</v>
      </c>
      <c r="G654" s="5" t="str">
        <f t="shared" si="21"/>
        <v>УРАЛМАШ</v>
      </c>
      <c r="J654" s="5"/>
      <c r="AF654" t="s">
        <v>7192</v>
      </c>
      <c r="AG654" s="24" t="s">
        <v>5888</v>
      </c>
      <c r="AH654" s="5" t="s">
        <v>7192</v>
      </c>
      <c r="AI654" s="5">
        <v>27104.663700000001</v>
      </c>
      <c r="AJ654" s="5">
        <v>27104.663700000001</v>
      </c>
      <c r="AK654">
        <v>26564.688900000001</v>
      </c>
      <c r="AL654" s="5" t="str">
        <f t="shared" si="22"/>
        <v>Городской округ Первоуральск</v>
      </c>
    </row>
    <row r="655" spans="1:38" ht="15" customHeight="1" x14ac:dyDescent="0.25">
      <c r="A655" s="3" t="s">
        <v>1037</v>
      </c>
      <c r="B655" s="3" t="s">
        <v>1631</v>
      </c>
      <c r="C655" s="5">
        <v>70026.7601</v>
      </c>
      <c r="D655" s="5">
        <v>70026.7601</v>
      </c>
      <c r="E655" s="5">
        <v>63410.482000000004</v>
      </c>
      <c r="F655" t="s">
        <v>7249</v>
      </c>
      <c r="G655" s="5" t="str">
        <f t="shared" si="21"/>
        <v>УРАЛМАШ</v>
      </c>
      <c r="J655" s="5"/>
      <c r="AF655" t="s">
        <v>7192</v>
      </c>
      <c r="AG655" s="24" t="s">
        <v>5889</v>
      </c>
      <c r="AH655" s="5" t="s">
        <v>7192</v>
      </c>
      <c r="AI655" s="5">
        <v>27104.663700000001</v>
      </c>
      <c r="AJ655" s="5">
        <v>27104.663700000001</v>
      </c>
      <c r="AK655">
        <v>26564.688900000001</v>
      </c>
      <c r="AL655" s="5" t="str">
        <f t="shared" si="22"/>
        <v>Городской округ Первоуральск</v>
      </c>
    </row>
    <row r="656" spans="1:38" ht="15" customHeight="1" x14ac:dyDescent="0.25">
      <c r="A656" s="3" t="s">
        <v>1038</v>
      </c>
      <c r="B656" s="3" t="s">
        <v>1629</v>
      </c>
      <c r="C656" s="5">
        <v>77743.704100000003</v>
      </c>
      <c r="D656" s="5">
        <v>77743.704100000003</v>
      </c>
      <c r="E656" s="5">
        <v>70398.310800000007</v>
      </c>
      <c r="F656" t="s">
        <v>7249</v>
      </c>
      <c r="G656" s="5" t="str">
        <f t="shared" si="21"/>
        <v>ПИОНЕРСКИЙ</v>
      </c>
      <c r="J656" s="5"/>
      <c r="AF656" t="s">
        <v>7192</v>
      </c>
      <c r="AG656" s="24" t="s">
        <v>5890</v>
      </c>
      <c r="AH656" s="5" t="s">
        <v>7192</v>
      </c>
      <c r="AI656" s="5">
        <v>27104.663700000001</v>
      </c>
      <c r="AJ656" s="5">
        <v>27104.663700000001</v>
      </c>
      <c r="AK656">
        <v>26564.688900000001</v>
      </c>
      <c r="AL656" s="5" t="str">
        <f t="shared" si="22"/>
        <v>Городской округ Первоуральск</v>
      </c>
    </row>
    <row r="657" spans="1:38" ht="15" customHeight="1" x14ac:dyDescent="0.25">
      <c r="A657" s="3" t="s">
        <v>1039</v>
      </c>
      <c r="B657" s="3" t="s">
        <v>1657</v>
      </c>
      <c r="C657" s="5">
        <v>54886.9666</v>
      </c>
      <c r="D657" s="5">
        <v>54886.9666</v>
      </c>
      <c r="E657" s="5">
        <v>49701.1319</v>
      </c>
      <c r="F657" t="s">
        <v>7249</v>
      </c>
      <c r="G657" s="5" t="str">
        <f t="shared" si="21"/>
        <v>КОЛЬЦОВО</v>
      </c>
      <c r="J657" s="5"/>
      <c r="AF657" t="s">
        <v>7192</v>
      </c>
      <c r="AG657" s="24" t="s">
        <v>5891</v>
      </c>
      <c r="AH657" s="5" t="s">
        <v>7192</v>
      </c>
      <c r="AI657" s="5">
        <v>27104.663700000001</v>
      </c>
      <c r="AJ657" s="5">
        <v>27104.663700000001</v>
      </c>
      <c r="AK657">
        <v>26564.688900000001</v>
      </c>
      <c r="AL657" s="5" t="str">
        <f t="shared" si="22"/>
        <v>Городской округ Первоуральск</v>
      </c>
    </row>
    <row r="658" spans="1:38" ht="15" customHeight="1" x14ac:dyDescent="0.25">
      <c r="A658" s="3" t="s">
        <v>1040</v>
      </c>
      <c r="B658" s="3" t="s">
        <v>1636</v>
      </c>
      <c r="C658" s="5">
        <v>52246.960299999999</v>
      </c>
      <c r="D658" s="5">
        <v>52246.960299999999</v>
      </c>
      <c r="E658" s="5">
        <v>47310.556700000001</v>
      </c>
      <c r="F658" t="s">
        <v>7249</v>
      </c>
      <c r="G658" s="5" t="str">
        <f t="shared" si="21"/>
        <v>ГОРНЫЙ ЩИТ</v>
      </c>
      <c r="J658" s="5"/>
      <c r="AF658" t="s">
        <v>7192</v>
      </c>
      <c r="AG658" s="24" t="s">
        <v>5892</v>
      </c>
      <c r="AH658" s="5" t="s">
        <v>7192</v>
      </c>
      <c r="AI658" s="5">
        <v>27104.663700000001</v>
      </c>
      <c r="AJ658" s="5">
        <v>27104.663700000001</v>
      </c>
      <c r="AK658">
        <v>26564.688900000001</v>
      </c>
      <c r="AL658" s="5" t="str">
        <f t="shared" si="22"/>
        <v>Городской округ Первоуральск</v>
      </c>
    </row>
    <row r="659" spans="1:38" ht="15" customHeight="1" x14ac:dyDescent="0.25">
      <c r="A659" s="3" t="s">
        <v>1041</v>
      </c>
      <c r="B659" s="3" t="s">
        <v>14</v>
      </c>
      <c r="C659" s="5">
        <v>93989.912800000006</v>
      </c>
      <c r="D659" s="5">
        <v>93989.912800000006</v>
      </c>
      <c r="E659" s="5">
        <v>85109.545199999993</v>
      </c>
      <c r="F659" t="s">
        <v>7249</v>
      </c>
      <c r="G659" s="5" t="str">
        <f t="shared" si="21"/>
        <v>Центр</v>
      </c>
      <c r="J659" s="5"/>
      <c r="AF659" t="s">
        <v>7192</v>
      </c>
      <c r="AG659" s="24" t="s">
        <v>5893</v>
      </c>
      <c r="AH659" s="5" t="s">
        <v>7192</v>
      </c>
      <c r="AI659" s="5">
        <v>27104.663700000001</v>
      </c>
      <c r="AJ659" s="5">
        <v>27104.663700000001</v>
      </c>
      <c r="AK659">
        <v>26564.688900000001</v>
      </c>
      <c r="AL659" s="5" t="str">
        <f t="shared" si="22"/>
        <v>Городской округ Первоуральск</v>
      </c>
    </row>
    <row r="660" spans="1:38" ht="15" customHeight="1" x14ac:dyDescent="0.25">
      <c r="A660" s="3" t="s">
        <v>1042</v>
      </c>
      <c r="B660" s="3" t="s">
        <v>1632</v>
      </c>
      <c r="C660" s="5">
        <v>83744.997499999998</v>
      </c>
      <c r="D660" s="5">
        <v>83744.997499999998</v>
      </c>
      <c r="E660" s="5">
        <v>75832.596099999995</v>
      </c>
      <c r="F660" t="s">
        <v>7249</v>
      </c>
      <c r="G660" s="5" t="str">
        <f t="shared" si="21"/>
        <v>АВТОВОКЗАЛ</v>
      </c>
      <c r="J660" s="5"/>
      <c r="AF660" t="s">
        <v>7192</v>
      </c>
      <c r="AG660" s="24" t="s">
        <v>5894</v>
      </c>
      <c r="AH660" s="5" t="s">
        <v>7192</v>
      </c>
      <c r="AI660" s="5">
        <v>27104.663700000001</v>
      </c>
      <c r="AJ660" s="5">
        <v>27104.663700000001</v>
      </c>
      <c r="AK660">
        <v>26564.688900000001</v>
      </c>
      <c r="AL660" s="5" t="str">
        <f t="shared" si="22"/>
        <v>Городской округ Первоуральск</v>
      </c>
    </row>
    <row r="661" spans="1:38" ht="15" customHeight="1" x14ac:dyDescent="0.25">
      <c r="A661" s="3" t="s">
        <v>1043</v>
      </c>
      <c r="B661" s="3" t="s">
        <v>1629</v>
      </c>
      <c r="C661" s="5">
        <v>77743.704100000003</v>
      </c>
      <c r="D661" s="5">
        <v>77743.704100000003</v>
      </c>
      <c r="E661" s="5">
        <v>70398.310800000007</v>
      </c>
      <c r="F661" t="s">
        <v>7249</v>
      </c>
      <c r="G661" s="5" t="str">
        <f t="shared" si="21"/>
        <v>ПИОНЕРСКИЙ</v>
      </c>
      <c r="J661" s="5"/>
      <c r="AF661" t="s">
        <v>7192</v>
      </c>
      <c r="AG661" s="24" t="s">
        <v>5895</v>
      </c>
      <c r="AH661" s="5" t="s">
        <v>7192</v>
      </c>
      <c r="AI661" s="5">
        <v>27104.663700000001</v>
      </c>
      <c r="AJ661" s="5">
        <v>27104.663700000001</v>
      </c>
      <c r="AK661">
        <v>26564.688900000001</v>
      </c>
      <c r="AL661" s="5" t="str">
        <f t="shared" si="22"/>
        <v>Городской округ Первоуральск</v>
      </c>
    </row>
    <row r="662" spans="1:38" ht="15" customHeight="1" x14ac:dyDescent="0.25">
      <c r="A662" s="3" t="s">
        <v>1045</v>
      </c>
      <c r="B662" s="3" t="s">
        <v>1637</v>
      </c>
      <c r="C662" s="5">
        <v>59368.686099999999</v>
      </c>
      <c r="D662" s="5">
        <v>59368.686099999999</v>
      </c>
      <c r="E662" s="5">
        <v>53759.401700000002</v>
      </c>
      <c r="F662" t="s">
        <v>7249</v>
      </c>
      <c r="G662" s="5" t="str">
        <f t="shared" si="21"/>
        <v>Старая сортировка</v>
      </c>
      <c r="J662" s="5"/>
      <c r="AF662" t="s">
        <v>7192</v>
      </c>
      <c r="AG662" s="24" t="s">
        <v>5896</v>
      </c>
      <c r="AH662" s="5" t="s">
        <v>7192</v>
      </c>
      <c r="AI662" s="5">
        <v>27104.663700000001</v>
      </c>
      <c r="AJ662" s="5">
        <v>27104.663700000001</v>
      </c>
      <c r="AK662">
        <v>26564.688900000001</v>
      </c>
      <c r="AL662" s="5" t="str">
        <f t="shared" si="22"/>
        <v>Городской округ Первоуральск</v>
      </c>
    </row>
    <row r="663" spans="1:38" ht="15" customHeight="1" x14ac:dyDescent="0.25">
      <c r="A663" s="3" t="s">
        <v>1046</v>
      </c>
      <c r="B663" s="3" t="s">
        <v>1638</v>
      </c>
      <c r="C663" s="5">
        <v>63640.311600000001</v>
      </c>
      <c r="D663" s="5">
        <v>63640.311600000001</v>
      </c>
      <c r="E663" s="5">
        <v>57627.4473</v>
      </c>
      <c r="F663" t="s">
        <v>7249</v>
      </c>
      <c r="G663" s="5" t="str">
        <f t="shared" si="21"/>
        <v>УКТУС</v>
      </c>
      <c r="J663" s="5"/>
      <c r="AF663" t="s">
        <v>7192</v>
      </c>
      <c r="AG663" s="24" t="s">
        <v>5897</v>
      </c>
      <c r="AH663" s="5" t="s">
        <v>7192</v>
      </c>
      <c r="AI663" s="5">
        <v>27104.663700000001</v>
      </c>
      <c r="AJ663" s="5">
        <v>27104.663700000001</v>
      </c>
      <c r="AK663">
        <v>26564.688900000001</v>
      </c>
      <c r="AL663" s="5" t="str">
        <f t="shared" si="22"/>
        <v>Городской округ Первоуральск</v>
      </c>
    </row>
    <row r="664" spans="1:38" ht="15" customHeight="1" x14ac:dyDescent="0.25">
      <c r="A664" s="3" t="s">
        <v>1050</v>
      </c>
      <c r="B664" s="3" t="s">
        <v>14</v>
      </c>
      <c r="C664" s="5">
        <v>93989.912800000006</v>
      </c>
      <c r="D664" s="5">
        <v>93989.912800000006</v>
      </c>
      <c r="E664" s="5">
        <v>85109.545199999993</v>
      </c>
      <c r="F664" t="s">
        <v>7249</v>
      </c>
      <c r="G664" s="5" t="str">
        <f t="shared" si="21"/>
        <v>Центр</v>
      </c>
      <c r="J664" s="5"/>
      <c r="AF664" t="s">
        <v>7193</v>
      </c>
      <c r="AG664" s="24" t="s">
        <v>5898</v>
      </c>
      <c r="AH664" s="5" t="s">
        <v>7193</v>
      </c>
      <c r="AI664" s="5">
        <v>27469.6289</v>
      </c>
      <c r="AJ664" s="5">
        <v>27469.6289</v>
      </c>
      <c r="AK664">
        <v>26922.387500000001</v>
      </c>
      <c r="AL664" s="5" t="str">
        <f t="shared" si="22"/>
        <v>Городской округ Ревда</v>
      </c>
    </row>
    <row r="665" spans="1:38" ht="15" customHeight="1" x14ac:dyDescent="0.25">
      <c r="A665" s="3" t="s">
        <v>1051</v>
      </c>
      <c r="B665" s="3" t="s">
        <v>1644</v>
      </c>
      <c r="C665" s="5">
        <v>61980.678599999999</v>
      </c>
      <c r="D665" s="5">
        <v>61980.678599999999</v>
      </c>
      <c r="E665" s="5">
        <v>56124.615700000002</v>
      </c>
      <c r="F665" t="s">
        <v>7249</v>
      </c>
      <c r="G665" s="5" t="str">
        <f t="shared" si="21"/>
        <v>ХИММАШ</v>
      </c>
      <c r="J665" s="5"/>
      <c r="AF665" t="s">
        <v>7193</v>
      </c>
      <c r="AG665" s="24" t="s">
        <v>5899</v>
      </c>
      <c r="AH665" s="5" t="s">
        <v>7193</v>
      </c>
      <c r="AI665" s="5">
        <v>27469.6289</v>
      </c>
      <c r="AJ665" s="5">
        <v>27469.6289</v>
      </c>
      <c r="AK665">
        <v>26922.387500000001</v>
      </c>
      <c r="AL665" s="5" t="str">
        <f t="shared" si="22"/>
        <v>Городской округ Ревда</v>
      </c>
    </row>
    <row r="666" spans="1:38" ht="15" customHeight="1" x14ac:dyDescent="0.25">
      <c r="A666" s="3" t="s">
        <v>1052</v>
      </c>
      <c r="B666" s="3" t="s">
        <v>1649</v>
      </c>
      <c r="C666" s="5">
        <v>78633.047600000005</v>
      </c>
      <c r="D666" s="5">
        <v>78633.047600000005</v>
      </c>
      <c r="E666" s="5">
        <v>71203.623000000007</v>
      </c>
      <c r="F666" t="s">
        <v>7249</v>
      </c>
      <c r="G666" s="5" t="str">
        <f t="shared" si="21"/>
        <v>ВОКЗАЛЬНЫЙ</v>
      </c>
      <c r="J666" s="5"/>
      <c r="AF666" t="s">
        <v>7193</v>
      </c>
      <c r="AG666" s="24" t="s">
        <v>5900</v>
      </c>
      <c r="AH666" s="5" t="s">
        <v>7193</v>
      </c>
      <c r="AI666" s="5">
        <v>27469.6289</v>
      </c>
      <c r="AJ666" s="5">
        <v>27469.6289</v>
      </c>
      <c r="AK666">
        <v>26922.387500000001</v>
      </c>
      <c r="AL666" s="5" t="str">
        <f t="shared" si="22"/>
        <v>Городской округ Ревда</v>
      </c>
    </row>
    <row r="667" spans="1:38" ht="15" customHeight="1" x14ac:dyDescent="0.25">
      <c r="A667" s="3" t="s">
        <v>1053</v>
      </c>
      <c r="B667" s="3" t="s">
        <v>1654</v>
      </c>
      <c r="C667" s="5">
        <v>56140.449699999997</v>
      </c>
      <c r="D667" s="5">
        <v>56140.449699999997</v>
      </c>
      <c r="E667" s="5">
        <v>50836.1803</v>
      </c>
      <c r="F667" t="s">
        <v>7249</v>
      </c>
      <c r="G667" s="5" t="str">
        <f t="shared" si="21"/>
        <v>ЗАВОКЗАЛЬНЫЙ</v>
      </c>
      <c r="J667" s="5"/>
      <c r="AF667" t="s">
        <v>7193</v>
      </c>
      <c r="AG667" s="24" t="s">
        <v>5901</v>
      </c>
      <c r="AH667" s="5" t="s">
        <v>7193</v>
      </c>
      <c r="AI667" s="5">
        <v>27469.6289</v>
      </c>
      <c r="AJ667" s="5">
        <v>27469.6289</v>
      </c>
      <c r="AK667">
        <v>26922.387500000001</v>
      </c>
      <c r="AL667" s="5" t="str">
        <f t="shared" si="22"/>
        <v>Городской округ Ревда</v>
      </c>
    </row>
    <row r="668" spans="1:38" ht="15" customHeight="1" x14ac:dyDescent="0.25">
      <c r="A668" s="3" t="s">
        <v>1054</v>
      </c>
      <c r="B668" s="3" t="s">
        <v>1628</v>
      </c>
      <c r="C668" s="5">
        <v>70734.0236</v>
      </c>
      <c r="D668" s="5">
        <v>70734.0236</v>
      </c>
      <c r="E668" s="5">
        <v>64050.9208</v>
      </c>
      <c r="F668" t="s">
        <v>7249</v>
      </c>
      <c r="G668" s="5" t="str">
        <f t="shared" si="21"/>
        <v>ЭЛЬМАШ</v>
      </c>
      <c r="J668" s="5"/>
      <c r="AF668" t="s">
        <v>7193</v>
      </c>
      <c r="AG668" s="24" t="s">
        <v>5902</v>
      </c>
      <c r="AH668" s="5" t="s">
        <v>7193</v>
      </c>
      <c r="AI668" s="5">
        <v>27469.6289</v>
      </c>
      <c r="AJ668" s="5">
        <v>27469.6289</v>
      </c>
      <c r="AK668">
        <v>26922.387500000001</v>
      </c>
      <c r="AL668" s="5" t="str">
        <f t="shared" si="22"/>
        <v>Городской округ Ревда</v>
      </c>
    </row>
    <row r="669" spans="1:38" ht="15" customHeight="1" x14ac:dyDescent="0.25">
      <c r="A669" s="3" t="s">
        <v>1055</v>
      </c>
      <c r="B669" s="3" t="s">
        <v>1636</v>
      </c>
      <c r="C669" s="5">
        <v>52246.960299999999</v>
      </c>
      <c r="D669" s="5">
        <v>52246.960299999999</v>
      </c>
      <c r="E669" s="5">
        <v>47310.556700000001</v>
      </c>
      <c r="F669" t="s">
        <v>7249</v>
      </c>
      <c r="G669" s="5" t="str">
        <f t="shared" si="21"/>
        <v>ГОРНЫЙ ЩИТ</v>
      </c>
      <c r="J669" s="5"/>
      <c r="AF669" t="s">
        <v>7193</v>
      </c>
      <c r="AG669" s="24" t="s">
        <v>5903</v>
      </c>
      <c r="AH669" s="5" t="s">
        <v>7193</v>
      </c>
      <c r="AI669" s="5">
        <v>27469.6289</v>
      </c>
      <c r="AJ669" s="5">
        <v>27469.6289</v>
      </c>
      <c r="AK669">
        <v>26922.387500000001</v>
      </c>
      <c r="AL669" s="5" t="str">
        <f t="shared" si="22"/>
        <v>Городской округ Ревда</v>
      </c>
    </row>
    <row r="670" spans="1:38" ht="15" customHeight="1" x14ac:dyDescent="0.25">
      <c r="A670" s="3" t="s">
        <v>1056</v>
      </c>
      <c r="B670" s="3" t="s">
        <v>14</v>
      </c>
      <c r="C670" s="5">
        <v>93989.912800000006</v>
      </c>
      <c r="D670" s="5">
        <v>93989.912800000006</v>
      </c>
      <c r="E670" s="5">
        <v>85109.545199999993</v>
      </c>
      <c r="F670" t="s">
        <v>7249</v>
      </c>
      <c r="G670" s="5" t="str">
        <f t="shared" si="21"/>
        <v>Центр</v>
      </c>
      <c r="J670" s="5"/>
      <c r="AF670" t="s">
        <v>7193</v>
      </c>
      <c r="AG670" s="24" t="s">
        <v>5904</v>
      </c>
      <c r="AH670" s="5" t="s">
        <v>7193</v>
      </c>
      <c r="AI670" s="5">
        <v>27469.6289</v>
      </c>
      <c r="AJ670" s="5">
        <v>27469.6289</v>
      </c>
      <c r="AK670">
        <v>26922.387500000001</v>
      </c>
      <c r="AL670" s="5" t="str">
        <f t="shared" si="22"/>
        <v>Городской округ Ревда</v>
      </c>
    </row>
    <row r="671" spans="1:38" ht="15" customHeight="1" x14ac:dyDescent="0.25">
      <c r="A671" s="3" t="s">
        <v>1058</v>
      </c>
      <c r="B671" s="3" t="s">
        <v>1632</v>
      </c>
      <c r="C671" s="5">
        <v>83744.997499999998</v>
      </c>
      <c r="D671" s="5">
        <v>83744.997499999998</v>
      </c>
      <c r="E671" s="5">
        <v>75832.596099999995</v>
      </c>
      <c r="F671" t="s">
        <v>7249</v>
      </c>
      <c r="G671" s="5" t="str">
        <f t="shared" si="21"/>
        <v>АВТОВОКЗАЛ</v>
      </c>
      <c r="J671" s="5"/>
      <c r="AF671" t="s">
        <v>7193</v>
      </c>
      <c r="AG671" s="24" t="s">
        <v>5905</v>
      </c>
      <c r="AH671" s="5" t="s">
        <v>7193</v>
      </c>
      <c r="AI671" s="5">
        <v>27469.6289</v>
      </c>
      <c r="AJ671" s="5">
        <v>27469.6289</v>
      </c>
      <c r="AK671">
        <v>26922.387500000001</v>
      </c>
      <c r="AL671" s="5" t="str">
        <f t="shared" si="22"/>
        <v>Городской округ Ревда</v>
      </c>
    </row>
    <row r="672" spans="1:38" ht="15" customHeight="1" x14ac:dyDescent="0.25">
      <c r="A672" s="3" t="s">
        <v>1059</v>
      </c>
      <c r="B672" s="3" t="s">
        <v>1628</v>
      </c>
      <c r="C672" s="5">
        <v>70734.0236</v>
      </c>
      <c r="D672" s="5">
        <v>70734.0236</v>
      </c>
      <c r="E672" s="5">
        <v>64050.9208</v>
      </c>
      <c r="F672" t="s">
        <v>7249</v>
      </c>
      <c r="G672" s="5" t="str">
        <f t="shared" si="21"/>
        <v>ЭЛЬМАШ</v>
      </c>
      <c r="J672" s="5"/>
      <c r="AF672" t="s">
        <v>7193</v>
      </c>
      <c r="AG672" s="24" t="s">
        <v>5906</v>
      </c>
      <c r="AH672" s="5" t="s">
        <v>7193</v>
      </c>
      <c r="AI672" s="5">
        <v>36792.748399999997</v>
      </c>
      <c r="AJ672" s="5">
        <v>36792.748399999997</v>
      </c>
      <c r="AK672">
        <v>36059.762499999997</v>
      </c>
      <c r="AL672" s="5" t="str">
        <f t="shared" si="22"/>
        <v>Городской округ Ревда</v>
      </c>
    </row>
    <row r="673" spans="1:38" ht="15" customHeight="1" x14ac:dyDescent="0.25">
      <c r="A673" s="3" t="s">
        <v>1061</v>
      </c>
      <c r="B673" s="3" t="s">
        <v>1631</v>
      </c>
      <c r="C673" s="5">
        <v>70026.7601</v>
      </c>
      <c r="D673" s="5">
        <v>70026.7601</v>
      </c>
      <c r="E673" s="5">
        <v>63410.482000000004</v>
      </c>
      <c r="F673" t="s">
        <v>7249</v>
      </c>
      <c r="G673" s="5" t="str">
        <f t="shared" si="21"/>
        <v>УРАЛМАШ</v>
      </c>
      <c r="J673" s="5"/>
      <c r="AF673" t="s">
        <v>7194</v>
      </c>
      <c r="AG673" s="24" t="s">
        <v>5907</v>
      </c>
      <c r="AH673" s="5" t="s">
        <v>7194</v>
      </c>
      <c r="AI673" s="5">
        <v>22921.1777</v>
      </c>
      <c r="AJ673" s="5">
        <v>22921.1777</v>
      </c>
      <c r="AK673">
        <v>21288.258000000002</v>
      </c>
      <c r="AL673" s="5" t="str">
        <f t="shared" si="22"/>
        <v>Городской округ Рефтинский</v>
      </c>
    </row>
    <row r="674" spans="1:38" ht="15" customHeight="1" x14ac:dyDescent="0.25">
      <c r="A674" s="3" t="s">
        <v>1063</v>
      </c>
      <c r="B674" s="3" t="s">
        <v>14</v>
      </c>
      <c r="C674" s="5">
        <v>93989.912800000006</v>
      </c>
      <c r="D674" s="5">
        <v>93989.912800000006</v>
      </c>
      <c r="E674" s="5">
        <v>85109.545199999993</v>
      </c>
      <c r="F674" t="s">
        <v>7249</v>
      </c>
      <c r="G674" s="5" t="str">
        <f t="shared" si="21"/>
        <v>Центр</v>
      </c>
      <c r="J674" s="5"/>
      <c r="AF674" t="s">
        <v>7194</v>
      </c>
      <c r="AG674" s="24" t="s">
        <v>5908</v>
      </c>
      <c r="AH674" s="5" t="s">
        <v>7194</v>
      </c>
      <c r="AI674" s="5">
        <v>28319.635300000002</v>
      </c>
      <c r="AJ674" s="5">
        <v>28319.635300000002</v>
      </c>
      <c r="AK674">
        <v>26302.128199999999</v>
      </c>
      <c r="AL674" s="5" t="str">
        <f t="shared" si="22"/>
        <v>Городской округ Рефтинский</v>
      </c>
    </row>
    <row r="675" spans="1:38" ht="15" customHeight="1" x14ac:dyDescent="0.25">
      <c r="A675" s="3" t="s">
        <v>1064</v>
      </c>
      <c r="B675" s="3" t="s">
        <v>1644</v>
      </c>
      <c r="C675" s="5">
        <v>61980.678599999999</v>
      </c>
      <c r="D675" s="5">
        <v>61980.678599999999</v>
      </c>
      <c r="E675" s="5">
        <v>56124.615700000002</v>
      </c>
      <c r="F675" t="s">
        <v>7249</v>
      </c>
      <c r="G675" s="5" t="str">
        <f t="shared" si="21"/>
        <v>ХИММАШ</v>
      </c>
      <c r="J675" s="5"/>
      <c r="AF675" t="s">
        <v>7195</v>
      </c>
      <c r="AG675" s="24" t="s">
        <v>5909</v>
      </c>
      <c r="AH675" s="5" t="s">
        <v>7195</v>
      </c>
      <c r="AI675" s="5">
        <v>41635.252699999997</v>
      </c>
      <c r="AJ675" s="5">
        <v>41635.252699999997</v>
      </c>
      <c r="AK675">
        <v>38669.133099999999</v>
      </c>
      <c r="AL675" s="5" t="str">
        <f t="shared" si="22"/>
        <v>Городской округ Среднеуральск</v>
      </c>
    </row>
    <row r="676" spans="1:38" ht="15" customHeight="1" x14ac:dyDescent="0.25">
      <c r="A676" s="3" t="s">
        <v>1065</v>
      </c>
      <c r="B676" s="3" t="s">
        <v>1631</v>
      </c>
      <c r="C676" s="5">
        <v>70026.7601</v>
      </c>
      <c r="D676" s="5">
        <v>70026.7601</v>
      </c>
      <c r="E676" s="5">
        <v>63410.482000000004</v>
      </c>
      <c r="F676" t="s">
        <v>7249</v>
      </c>
      <c r="G676" s="5" t="str">
        <f t="shared" si="21"/>
        <v>УРАЛМАШ</v>
      </c>
      <c r="J676" s="5"/>
      <c r="AF676" t="s">
        <v>7195</v>
      </c>
      <c r="AG676" s="24" t="s">
        <v>5910</v>
      </c>
      <c r="AH676" s="5" t="s">
        <v>7195</v>
      </c>
      <c r="AI676" s="5">
        <v>41635.252699999997</v>
      </c>
      <c r="AJ676" s="5">
        <v>41635.252699999997</v>
      </c>
      <c r="AK676">
        <v>38669.133099999999</v>
      </c>
      <c r="AL676" s="5" t="str">
        <f t="shared" si="22"/>
        <v>Городской округ Среднеуральск</v>
      </c>
    </row>
    <row r="677" spans="1:38" ht="15" customHeight="1" x14ac:dyDescent="0.25">
      <c r="A677" s="3" t="s">
        <v>1066</v>
      </c>
      <c r="B677" s="3" t="s">
        <v>1647</v>
      </c>
      <c r="C677" s="5">
        <v>63178.133800000003</v>
      </c>
      <c r="D677" s="5">
        <v>63178.133800000003</v>
      </c>
      <c r="E677" s="5">
        <v>57208.931499999999</v>
      </c>
      <c r="F677" t="s">
        <v>7249</v>
      </c>
      <c r="G677" s="5" t="str">
        <f t="shared" si="21"/>
        <v>ШИРОКАЯ РЕЧКА</v>
      </c>
      <c r="J677" s="5"/>
      <c r="AF677" t="s">
        <v>7195</v>
      </c>
      <c r="AG677" s="24" t="s">
        <v>5911</v>
      </c>
      <c r="AH677" s="5" t="s">
        <v>7195</v>
      </c>
      <c r="AI677" s="5">
        <v>41635.252699999997</v>
      </c>
      <c r="AJ677" s="5">
        <v>41635.252699999997</v>
      </c>
      <c r="AK677">
        <v>38669.133099999999</v>
      </c>
      <c r="AL677" s="5" t="str">
        <f t="shared" si="22"/>
        <v>Городской округ Среднеуральск</v>
      </c>
    </row>
    <row r="678" spans="1:38" ht="15" customHeight="1" x14ac:dyDescent="0.25">
      <c r="A678" s="3" t="s">
        <v>1067</v>
      </c>
      <c r="B678" s="3" t="s">
        <v>1637</v>
      </c>
      <c r="C678" s="5">
        <v>59368.686099999999</v>
      </c>
      <c r="D678" s="5">
        <v>59368.686099999999</v>
      </c>
      <c r="E678" s="5">
        <v>53759.401700000002</v>
      </c>
      <c r="F678" t="s">
        <v>7249</v>
      </c>
      <c r="G678" s="5" t="str">
        <f t="shared" si="21"/>
        <v>Старая сортировка</v>
      </c>
      <c r="J678" s="5"/>
      <c r="AF678" t="s">
        <v>7195</v>
      </c>
      <c r="AG678" s="24" t="s">
        <v>5912</v>
      </c>
      <c r="AH678" s="5" t="s">
        <v>7195</v>
      </c>
      <c r="AI678" s="5">
        <v>41635.252699999997</v>
      </c>
      <c r="AJ678" s="5">
        <v>41635.252699999997</v>
      </c>
      <c r="AK678">
        <v>38669.133099999999</v>
      </c>
      <c r="AL678" s="5" t="str">
        <f t="shared" si="22"/>
        <v>Городской округ Среднеуральск</v>
      </c>
    </row>
    <row r="679" spans="1:38" ht="15" customHeight="1" x14ac:dyDescent="0.25">
      <c r="A679" s="3" t="s">
        <v>1068</v>
      </c>
      <c r="B679" s="3" t="s">
        <v>14</v>
      </c>
      <c r="C679" s="5">
        <v>93989.912800000006</v>
      </c>
      <c r="D679" s="5">
        <v>93989.912800000006</v>
      </c>
      <c r="E679" s="5">
        <v>85109.545199999993</v>
      </c>
      <c r="F679" t="s">
        <v>7249</v>
      </c>
      <c r="G679" s="5" t="str">
        <f t="shared" si="21"/>
        <v>Центр</v>
      </c>
      <c r="J679" s="5"/>
      <c r="AF679" t="s">
        <v>7195</v>
      </c>
      <c r="AG679" s="24" t="s">
        <v>5913</v>
      </c>
      <c r="AH679" s="5" t="s">
        <v>7195</v>
      </c>
      <c r="AI679" s="5">
        <v>51441.3076</v>
      </c>
      <c r="AJ679" s="5">
        <v>51441.3076</v>
      </c>
      <c r="AK679">
        <v>47776.595000000001</v>
      </c>
      <c r="AL679" s="5" t="str">
        <f t="shared" si="22"/>
        <v>Городской округ Среднеуральск</v>
      </c>
    </row>
    <row r="680" spans="1:38" ht="15" customHeight="1" x14ac:dyDescent="0.25">
      <c r="A680" s="3" t="s">
        <v>1069</v>
      </c>
      <c r="B680" s="3" t="s">
        <v>1650</v>
      </c>
      <c r="C680" s="5">
        <v>37590.3603</v>
      </c>
      <c r="D680" s="5">
        <v>37590.3603</v>
      </c>
      <c r="E680" s="5">
        <v>34038.745900000002</v>
      </c>
      <c r="F680" t="s">
        <v>7249</v>
      </c>
      <c r="G680" s="5" t="str">
        <f t="shared" si="21"/>
        <v>ШАБРОВСКИЙ</v>
      </c>
      <c r="J680" s="5"/>
      <c r="AF680" t="s">
        <v>7196</v>
      </c>
      <c r="AG680" s="24" t="s">
        <v>5914</v>
      </c>
      <c r="AH680" s="5" t="s">
        <v>7196</v>
      </c>
      <c r="AI680" s="5">
        <v>22881.561900000001</v>
      </c>
      <c r="AJ680" s="5">
        <v>22881.561900000001</v>
      </c>
      <c r="AK680">
        <v>21251.46</v>
      </c>
      <c r="AL680" s="5" t="str">
        <f t="shared" si="22"/>
        <v>Городской округ Староуткинск</v>
      </c>
    </row>
    <row r="681" spans="1:38" ht="15" customHeight="1" x14ac:dyDescent="0.25">
      <c r="A681" s="3" t="s">
        <v>1070</v>
      </c>
      <c r="B681" s="3" t="s">
        <v>1637</v>
      </c>
      <c r="C681" s="5">
        <v>59368.686099999999</v>
      </c>
      <c r="D681" s="5">
        <v>59368.686099999999</v>
      </c>
      <c r="E681" s="5">
        <v>53759.401700000002</v>
      </c>
      <c r="F681" t="s">
        <v>7249</v>
      </c>
      <c r="G681" s="5" t="str">
        <f t="shared" si="21"/>
        <v>Старая сортировка</v>
      </c>
      <c r="J681" s="5"/>
      <c r="AF681" t="s">
        <v>7196</v>
      </c>
      <c r="AG681" s="24" t="s">
        <v>5915</v>
      </c>
      <c r="AH681" s="5" t="s">
        <v>7196</v>
      </c>
      <c r="AI681" s="5">
        <v>22881.561900000001</v>
      </c>
      <c r="AJ681" s="5">
        <v>22881.561900000001</v>
      </c>
      <c r="AK681">
        <v>21251.46</v>
      </c>
      <c r="AL681" s="5" t="str">
        <f t="shared" si="22"/>
        <v>Городской округ Староуткинск</v>
      </c>
    </row>
    <row r="682" spans="1:38" ht="15" customHeight="1" x14ac:dyDescent="0.25">
      <c r="A682" s="3" t="s">
        <v>1071</v>
      </c>
      <c r="B682" s="3" t="s">
        <v>1643</v>
      </c>
      <c r="C682" s="5">
        <v>76630.280299999999</v>
      </c>
      <c r="D682" s="5">
        <v>76630.280299999999</v>
      </c>
      <c r="E682" s="5">
        <v>69390.088799999998</v>
      </c>
      <c r="F682" t="s">
        <v>7249</v>
      </c>
      <c r="G682" s="5" t="str">
        <f t="shared" si="21"/>
        <v>Ю-З</v>
      </c>
      <c r="J682" s="5"/>
      <c r="AF682" t="s">
        <v>7196</v>
      </c>
      <c r="AG682" s="24" t="s">
        <v>5916</v>
      </c>
      <c r="AH682" s="5" t="s">
        <v>7196</v>
      </c>
      <c r="AI682" s="5">
        <v>22881.561900000001</v>
      </c>
      <c r="AJ682" s="5">
        <v>22881.561900000001</v>
      </c>
      <c r="AK682">
        <v>21251.46</v>
      </c>
      <c r="AL682" s="5" t="str">
        <f t="shared" si="22"/>
        <v>Городской округ Староуткинск</v>
      </c>
    </row>
    <row r="683" spans="1:38" ht="15" customHeight="1" x14ac:dyDescent="0.25">
      <c r="A683" s="3" t="s">
        <v>1072</v>
      </c>
      <c r="B683" s="3" t="s">
        <v>1645</v>
      </c>
      <c r="C683" s="5">
        <v>60958.294800000003</v>
      </c>
      <c r="D683" s="5">
        <v>60958.294800000003</v>
      </c>
      <c r="E683" s="5">
        <v>55198.825199999999</v>
      </c>
      <c r="F683" t="s">
        <v>7249</v>
      </c>
      <c r="G683" s="5" t="str">
        <f t="shared" si="21"/>
        <v>ЕЛИЗАВЕТ</v>
      </c>
      <c r="J683" s="5"/>
      <c r="AF683" t="s">
        <v>7196</v>
      </c>
      <c r="AG683" s="24" t="s">
        <v>5917</v>
      </c>
      <c r="AH683" s="5" t="s">
        <v>7196</v>
      </c>
      <c r="AI683" s="5">
        <v>28270.698700000001</v>
      </c>
      <c r="AJ683" s="5">
        <v>28270.698700000001</v>
      </c>
      <c r="AK683">
        <v>26256.670099999999</v>
      </c>
      <c r="AL683" s="5" t="str">
        <f t="shared" si="22"/>
        <v>Городской округ Староуткинск</v>
      </c>
    </row>
    <row r="684" spans="1:38" ht="15" customHeight="1" x14ac:dyDescent="0.25">
      <c r="A684" s="3" t="s">
        <v>1073</v>
      </c>
      <c r="B684" s="3" t="s">
        <v>1636</v>
      </c>
      <c r="C684" s="5">
        <v>52246.960299999999</v>
      </c>
      <c r="D684" s="5">
        <v>52246.960299999999</v>
      </c>
      <c r="E684" s="5">
        <v>47310.556700000001</v>
      </c>
      <c r="F684" t="s">
        <v>7249</v>
      </c>
      <c r="G684" s="5" t="str">
        <f t="shared" si="21"/>
        <v>ГОРНЫЙ ЩИТ</v>
      </c>
      <c r="J684" s="5"/>
      <c r="AF684" t="s">
        <v>7196</v>
      </c>
      <c r="AG684" s="24" t="s">
        <v>5918</v>
      </c>
      <c r="AH684" s="5" t="s">
        <v>7196</v>
      </c>
      <c r="AI684" s="5">
        <v>22881.561900000001</v>
      </c>
      <c r="AJ684" s="5">
        <v>22881.561900000001</v>
      </c>
      <c r="AK684">
        <v>21251.46</v>
      </c>
      <c r="AL684" s="5" t="str">
        <f t="shared" si="22"/>
        <v>Городской округ Староуткинск</v>
      </c>
    </row>
    <row r="685" spans="1:38" ht="15" customHeight="1" x14ac:dyDescent="0.25">
      <c r="A685" s="3" t="s">
        <v>1074</v>
      </c>
      <c r="B685" s="3" t="s">
        <v>1638</v>
      </c>
      <c r="C685" s="5">
        <v>63640.311600000001</v>
      </c>
      <c r="D685" s="5">
        <v>63640.311600000001</v>
      </c>
      <c r="E685" s="5">
        <v>57627.4473</v>
      </c>
      <c r="F685" t="s">
        <v>7249</v>
      </c>
      <c r="G685" s="5" t="str">
        <f t="shared" si="21"/>
        <v>УКТУС</v>
      </c>
      <c r="J685" s="5"/>
      <c r="AF685" t="s">
        <v>7197</v>
      </c>
      <c r="AG685" s="24" t="s">
        <v>5919</v>
      </c>
      <c r="AH685" s="5" t="s">
        <v>7197</v>
      </c>
      <c r="AI685" s="5">
        <v>29105.0569</v>
      </c>
      <c r="AJ685" s="5">
        <v>29105.0569</v>
      </c>
      <c r="AK685">
        <v>27031.5942</v>
      </c>
      <c r="AL685" s="5" t="str">
        <f t="shared" si="22"/>
        <v>Городской округ Сухой Лог</v>
      </c>
    </row>
    <row r="686" spans="1:38" ht="15" customHeight="1" x14ac:dyDescent="0.25">
      <c r="A686" s="3" t="s">
        <v>1075</v>
      </c>
      <c r="B686" s="3" t="s">
        <v>1643</v>
      </c>
      <c r="C686" s="5">
        <v>76630.280299999999</v>
      </c>
      <c r="D686" s="5">
        <v>76630.280299999999</v>
      </c>
      <c r="E686" s="5">
        <v>69390.088799999998</v>
      </c>
      <c r="F686" t="s">
        <v>7249</v>
      </c>
      <c r="G686" s="5" t="str">
        <f t="shared" si="21"/>
        <v>Ю-З</v>
      </c>
      <c r="J686" s="5"/>
      <c r="AF686" t="s">
        <v>7197</v>
      </c>
      <c r="AG686" s="24" t="s">
        <v>5920</v>
      </c>
      <c r="AH686" s="5" t="s">
        <v>7197</v>
      </c>
      <c r="AI686" s="5">
        <v>29834.089499999998</v>
      </c>
      <c r="AJ686" s="5">
        <v>29834.089499999998</v>
      </c>
      <c r="AK686">
        <v>27708.6865</v>
      </c>
      <c r="AL686" s="5" t="str">
        <f t="shared" si="22"/>
        <v>Городской округ Сухой Лог</v>
      </c>
    </row>
    <row r="687" spans="1:38" ht="15" customHeight="1" x14ac:dyDescent="0.25">
      <c r="A687" s="3" t="s">
        <v>1076</v>
      </c>
      <c r="B687" s="3" t="s">
        <v>1637</v>
      </c>
      <c r="C687" s="5">
        <v>59368.686099999999</v>
      </c>
      <c r="D687" s="5">
        <v>59368.686099999999</v>
      </c>
      <c r="E687" s="5">
        <v>53759.401700000002</v>
      </c>
      <c r="F687" t="s">
        <v>7249</v>
      </c>
      <c r="G687" s="5" t="str">
        <f t="shared" si="21"/>
        <v>Старая сортировка</v>
      </c>
      <c r="J687" s="5"/>
      <c r="AF687" t="s">
        <v>7197</v>
      </c>
      <c r="AG687" s="24" t="s">
        <v>5921</v>
      </c>
      <c r="AH687" s="5" t="s">
        <v>7197</v>
      </c>
      <c r="AI687" s="5">
        <v>29105.0569</v>
      </c>
      <c r="AJ687" s="5">
        <v>29105.0569</v>
      </c>
      <c r="AK687">
        <v>27031.5942</v>
      </c>
      <c r="AL687" s="5" t="str">
        <f t="shared" si="22"/>
        <v>Городской округ Сухой Лог</v>
      </c>
    </row>
    <row r="688" spans="1:38" ht="15" customHeight="1" x14ac:dyDescent="0.25">
      <c r="A688" s="3" t="s">
        <v>1077</v>
      </c>
      <c r="B688" s="3" t="s">
        <v>1630</v>
      </c>
      <c r="C688" s="5">
        <v>62652.9401</v>
      </c>
      <c r="D688" s="5">
        <v>62652.9401</v>
      </c>
      <c r="E688" s="5">
        <v>56733.3557</v>
      </c>
      <c r="F688" t="s">
        <v>7249</v>
      </c>
      <c r="G688" s="5" t="str">
        <f t="shared" si="21"/>
        <v>ЧЕРМЕТ</v>
      </c>
      <c r="J688" s="5"/>
      <c r="AF688" t="s">
        <v>7197</v>
      </c>
      <c r="AG688" s="24" t="s">
        <v>5922</v>
      </c>
      <c r="AH688" s="5" t="s">
        <v>7197</v>
      </c>
      <c r="AI688" s="5">
        <v>29105.0569</v>
      </c>
      <c r="AJ688" s="5">
        <v>29105.0569</v>
      </c>
      <c r="AK688">
        <v>27031.5942</v>
      </c>
      <c r="AL688" s="5" t="str">
        <f t="shared" si="22"/>
        <v>Городской округ Сухой Лог</v>
      </c>
    </row>
    <row r="689" spans="1:38" ht="15" customHeight="1" x14ac:dyDescent="0.25">
      <c r="A689" s="3" t="s">
        <v>1078</v>
      </c>
      <c r="B689" s="3" t="s">
        <v>1631</v>
      </c>
      <c r="C689" s="5">
        <v>70026.7601</v>
      </c>
      <c r="D689" s="5">
        <v>70026.7601</v>
      </c>
      <c r="E689" s="5">
        <v>63410.482000000004</v>
      </c>
      <c r="F689" t="s">
        <v>7249</v>
      </c>
      <c r="G689" s="5" t="str">
        <f t="shared" si="21"/>
        <v>УРАЛМАШ</v>
      </c>
      <c r="J689" s="5"/>
      <c r="AF689" t="s">
        <v>7197</v>
      </c>
      <c r="AG689" s="24" t="s">
        <v>5923</v>
      </c>
      <c r="AH689" s="5" t="s">
        <v>7197</v>
      </c>
      <c r="AI689" s="5">
        <v>29105.0569</v>
      </c>
      <c r="AJ689" s="5">
        <v>29105.0569</v>
      </c>
      <c r="AK689">
        <v>27031.5942</v>
      </c>
      <c r="AL689" s="5" t="str">
        <f t="shared" si="22"/>
        <v>Городской округ Сухой Лог</v>
      </c>
    </row>
    <row r="690" spans="1:38" ht="15" customHeight="1" x14ac:dyDescent="0.25">
      <c r="A690" s="3" t="s">
        <v>1079</v>
      </c>
      <c r="B690" s="3" t="s">
        <v>14</v>
      </c>
      <c r="C690" s="5">
        <v>93989.912800000006</v>
      </c>
      <c r="D690" s="5">
        <v>93989.912800000006</v>
      </c>
      <c r="E690" s="5">
        <v>85109.545199999993</v>
      </c>
      <c r="F690" t="s">
        <v>7249</v>
      </c>
      <c r="G690" s="5" t="str">
        <f t="shared" si="21"/>
        <v>Центр</v>
      </c>
      <c r="J690" s="5"/>
      <c r="AF690" t="s">
        <v>7197</v>
      </c>
      <c r="AG690" s="24" t="s">
        <v>5924</v>
      </c>
      <c r="AH690" s="5" t="s">
        <v>7197</v>
      </c>
      <c r="AI690" s="5">
        <v>29105.0569</v>
      </c>
      <c r="AJ690" s="5">
        <v>29105.0569</v>
      </c>
      <c r="AK690">
        <v>27031.5942</v>
      </c>
      <c r="AL690" s="5" t="str">
        <f t="shared" si="22"/>
        <v>Городской округ Сухой Лог</v>
      </c>
    </row>
    <row r="691" spans="1:38" ht="15" customHeight="1" x14ac:dyDescent="0.25">
      <c r="A691" s="3" t="s">
        <v>1080</v>
      </c>
      <c r="B691" s="3" t="s">
        <v>1636</v>
      </c>
      <c r="C691" s="5">
        <v>52246.960299999999</v>
      </c>
      <c r="D691" s="5">
        <v>52246.960299999999</v>
      </c>
      <c r="E691" s="5">
        <v>47310.556700000001</v>
      </c>
      <c r="F691" t="s">
        <v>7249</v>
      </c>
      <c r="G691" s="5" t="str">
        <f t="shared" si="21"/>
        <v>ГОРНЫЙ ЩИТ</v>
      </c>
      <c r="J691" s="5"/>
      <c r="AF691" t="s">
        <v>7197</v>
      </c>
      <c r="AG691" s="24" t="s">
        <v>5925</v>
      </c>
      <c r="AH691" s="5" t="s">
        <v>7197</v>
      </c>
      <c r="AI691" s="5">
        <v>29105.0569</v>
      </c>
      <c r="AJ691" s="5">
        <v>29105.0569</v>
      </c>
      <c r="AK691">
        <v>27031.5942</v>
      </c>
      <c r="AL691" s="5" t="str">
        <f t="shared" si="22"/>
        <v>Городской округ Сухой Лог</v>
      </c>
    </row>
    <row r="692" spans="1:38" ht="15" customHeight="1" x14ac:dyDescent="0.25">
      <c r="A692" s="3" t="s">
        <v>1081</v>
      </c>
      <c r="B692" s="3" t="s">
        <v>1628</v>
      </c>
      <c r="C692" s="5">
        <v>70734.0236</v>
      </c>
      <c r="D692" s="5">
        <v>70734.0236</v>
      </c>
      <c r="E692" s="5">
        <v>64050.9208</v>
      </c>
      <c r="F692" t="s">
        <v>7249</v>
      </c>
      <c r="G692" s="5" t="str">
        <f t="shared" si="21"/>
        <v>ЭЛЬМАШ</v>
      </c>
      <c r="J692" s="5"/>
      <c r="AF692" t="s">
        <v>7197</v>
      </c>
      <c r="AG692" s="24" t="s">
        <v>5926</v>
      </c>
      <c r="AH692" s="5" t="s">
        <v>7197</v>
      </c>
      <c r="AI692" s="5">
        <v>29834.089499999998</v>
      </c>
      <c r="AJ692" s="5">
        <v>29834.089499999998</v>
      </c>
      <c r="AK692">
        <v>27708.6865</v>
      </c>
      <c r="AL692" s="5" t="str">
        <f t="shared" si="22"/>
        <v>Городской округ Сухой Лог</v>
      </c>
    </row>
    <row r="693" spans="1:38" ht="15" customHeight="1" x14ac:dyDescent="0.25">
      <c r="A693" s="3" t="s">
        <v>1082</v>
      </c>
      <c r="B693" s="3" t="s">
        <v>1655</v>
      </c>
      <c r="C693" s="5">
        <v>79683.445300000007</v>
      </c>
      <c r="D693" s="5">
        <v>79683.445300000007</v>
      </c>
      <c r="E693" s="5">
        <v>72154.784899999999</v>
      </c>
      <c r="F693" t="s">
        <v>7249</v>
      </c>
      <c r="G693" s="5" t="str">
        <f t="shared" si="21"/>
        <v>Шарташский рынок</v>
      </c>
      <c r="J693" s="5"/>
      <c r="AF693" t="s">
        <v>7197</v>
      </c>
      <c r="AG693" s="24" t="s">
        <v>5927</v>
      </c>
      <c r="AH693" s="5" t="s">
        <v>7197</v>
      </c>
      <c r="AI693" s="5">
        <v>29105.0569</v>
      </c>
      <c r="AJ693" s="5">
        <v>29105.0569</v>
      </c>
      <c r="AK693">
        <v>27031.5942</v>
      </c>
      <c r="AL693" s="5" t="str">
        <f t="shared" si="22"/>
        <v>Городской округ Сухой Лог</v>
      </c>
    </row>
    <row r="694" spans="1:38" ht="15" customHeight="1" x14ac:dyDescent="0.25">
      <c r="A694" s="3" t="s">
        <v>1083</v>
      </c>
      <c r="B694" s="3" t="s">
        <v>1652</v>
      </c>
      <c r="C694" s="5">
        <v>71105.171700000006</v>
      </c>
      <c r="D694" s="5">
        <v>71105.171700000006</v>
      </c>
      <c r="E694" s="5">
        <v>64387.005100000002</v>
      </c>
      <c r="F694" t="s">
        <v>7249</v>
      </c>
      <c r="G694" s="5" t="str">
        <f t="shared" si="21"/>
        <v>ЗАРЕЧНЫЙ</v>
      </c>
      <c r="J694" s="5"/>
      <c r="AF694" t="s">
        <v>7197</v>
      </c>
      <c r="AG694" s="24" t="s">
        <v>5928</v>
      </c>
      <c r="AH694" s="5" t="s">
        <v>7197</v>
      </c>
      <c r="AI694" s="5">
        <v>29105.0569</v>
      </c>
      <c r="AJ694" s="5">
        <v>29105.0569</v>
      </c>
      <c r="AK694">
        <v>27031.5942</v>
      </c>
      <c r="AL694" s="5" t="str">
        <f t="shared" si="22"/>
        <v>Городской округ Сухой Лог</v>
      </c>
    </row>
    <row r="695" spans="1:38" ht="15" customHeight="1" x14ac:dyDescent="0.25">
      <c r="A695" s="3" t="s">
        <v>1084</v>
      </c>
      <c r="B695" s="3" t="s">
        <v>1628</v>
      </c>
      <c r="C695" s="5">
        <v>70734.0236</v>
      </c>
      <c r="D695" s="5">
        <v>70734.0236</v>
      </c>
      <c r="E695" s="5">
        <v>64050.9208</v>
      </c>
      <c r="F695" t="s">
        <v>7249</v>
      </c>
      <c r="G695" s="5" t="str">
        <f t="shared" si="21"/>
        <v>ЭЛЬМАШ</v>
      </c>
      <c r="J695" s="5"/>
      <c r="AF695" t="s">
        <v>7197</v>
      </c>
      <c r="AG695" s="24" t="s">
        <v>5929</v>
      </c>
      <c r="AH695" s="5" t="s">
        <v>7197</v>
      </c>
      <c r="AI695" s="5">
        <v>29105.0569</v>
      </c>
      <c r="AJ695" s="5">
        <v>29105.0569</v>
      </c>
      <c r="AK695">
        <v>27031.5942</v>
      </c>
      <c r="AL695" s="5" t="str">
        <f t="shared" si="22"/>
        <v>Городской округ Сухой Лог</v>
      </c>
    </row>
    <row r="696" spans="1:38" ht="15" customHeight="1" x14ac:dyDescent="0.25">
      <c r="A696" s="3" t="s">
        <v>1085</v>
      </c>
      <c r="B696" s="3" t="s">
        <v>1632</v>
      </c>
      <c r="C696" s="5">
        <v>83744.997499999998</v>
      </c>
      <c r="D696" s="5">
        <v>83744.997499999998</v>
      </c>
      <c r="E696" s="5">
        <v>75832.596099999995</v>
      </c>
      <c r="F696" t="s">
        <v>7249</v>
      </c>
      <c r="G696" s="5" t="str">
        <f t="shared" si="21"/>
        <v>АВТОВОКЗАЛ</v>
      </c>
      <c r="J696" s="5"/>
      <c r="AF696" t="s">
        <v>7197</v>
      </c>
      <c r="AG696" s="24" t="s">
        <v>5930</v>
      </c>
      <c r="AH696" s="5" t="s">
        <v>7197</v>
      </c>
      <c r="AI696" s="5">
        <v>29834.089499999998</v>
      </c>
      <c r="AJ696" s="5">
        <v>29834.089499999998</v>
      </c>
      <c r="AK696">
        <v>27708.6865</v>
      </c>
      <c r="AL696" s="5" t="str">
        <f t="shared" si="22"/>
        <v>Городской округ Сухой Лог</v>
      </c>
    </row>
    <row r="697" spans="1:38" ht="15" customHeight="1" x14ac:dyDescent="0.25">
      <c r="A697" s="3" t="s">
        <v>1086</v>
      </c>
      <c r="B697" s="3" t="s">
        <v>1630</v>
      </c>
      <c r="C697" s="5">
        <v>62652.9401</v>
      </c>
      <c r="D697" s="5">
        <v>62652.9401</v>
      </c>
      <c r="E697" s="5">
        <v>56733.3557</v>
      </c>
      <c r="F697" t="s">
        <v>7249</v>
      </c>
      <c r="G697" s="5" t="str">
        <f t="shared" si="21"/>
        <v>ЧЕРМЕТ</v>
      </c>
      <c r="J697" s="5"/>
      <c r="AF697" t="s">
        <v>7197</v>
      </c>
      <c r="AG697" s="24" t="s">
        <v>5931</v>
      </c>
      <c r="AH697" s="5" t="s">
        <v>7197</v>
      </c>
      <c r="AI697" s="5">
        <v>29105.0569</v>
      </c>
      <c r="AJ697" s="5">
        <v>29105.0569</v>
      </c>
      <c r="AK697">
        <v>27031.5942</v>
      </c>
      <c r="AL697" s="5" t="str">
        <f t="shared" si="22"/>
        <v>Городской округ Сухой Лог</v>
      </c>
    </row>
    <row r="698" spans="1:38" ht="15" customHeight="1" x14ac:dyDescent="0.25">
      <c r="A698" s="3" t="s">
        <v>1087</v>
      </c>
      <c r="B698" s="3" t="s">
        <v>1647</v>
      </c>
      <c r="C698" s="5">
        <v>63178.133800000003</v>
      </c>
      <c r="D698" s="5">
        <v>63178.133800000003</v>
      </c>
      <c r="E698" s="5">
        <v>57208.931499999999</v>
      </c>
      <c r="F698" t="s">
        <v>7249</v>
      </c>
      <c r="G698" s="5" t="str">
        <f t="shared" si="21"/>
        <v>ШИРОКАЯ РЕЧКА</v>
      </c>
      <c r="J698" s="5"/>
      <c r="AF698" t="s">
        <v>7197</v>
      </c>
      <c r="AG698" s="24" t="s">
        <v>5932</v>
      </c>
      <c r="AH698" s="5" t="s">
        <v>7197</v>
      </c>
      <c r="AI698" s="5">
        <v>29105.0569</v>
      </c>
      <c r="AJ698" s="5">
        <v>29105.0569</v>
      </c>
      <c r="AK698">
        <v>27031.5942</v>
      </c>
      <c r="AL698" s="5" t="str">
        <f t="shared" si="22"/>
        <v>Городской округ Сухой Лог</v>
      </c>
    </row>
    <row r="699" spans="1:38" ht="15" customHeight="1" x14ac:dyDescent="0.25">
      <c r="A699" s="3" t="s">
        <v>1088</v>
      </c>
      <c r="B699" s="3" t="s">
        <v>1653</v>
      </c>
      <c r="C699" s="5">
        <v>56847.723400000003</v>
      </c>
      <c r="D699" s="5">
        <v>56847.723400000003</v>
      </c>
      <c r="E699" s="5">
        <v>51476.629399999998</v>
      </c>
      <c r="F699" t="s">
        <v>7249</v>
      </c>
      <c r="G699" s="5" t="str">
        <f t="shared" si="21"/>
        <v>ПТИЦЕФАБРИКА</v>
      </c>
      <c r="J699" s="5"/>
      <c r="AF699" t="s">
        <v>7197</v>
      </c>
      <c r="AG699" s="24" t="s">
        <v>5933</v>
      </c>
      <c r="AH699" s="5" t="s">
        <v>7197</v>
      </c>
      <c r="AI699" s="5">
        <v>29105.0569</v>
      </c>
      <c r="AJ699" s="5">
        <v>29105.0569</v>
      </c>
      <c r="AK699">
        <v>27031.5942</v>
      </c>
      <c r="AL699" s="5" t="str">
        <f t="shared" si="22"/>
        <v>Городской округ Сухой Лог</v>
      </c>
    </row>
    <row r="700" spans="1:38" ht="15" customHeight="1" x14ac:dyDescent="0.25">
      <c r="A700" s="3" t="s">
        <v>1089</v>
      </c>
      <c r="B700" s="3" t="s">
        <v>1638</v>
      </c>
      <c r="C700" s="5">
        <v>63640.311600000001</v>
      </c>
      <c r="D700" s="5">
        <v>63640.311600000001</v>
      </c>
      <c r="E700" s="5">
        <v>57627.4473</v>
      </c>
      <c r="F700" t="s">
        <v>7249</v>
      </c>
      <c r="G700" s="5" t="str">
        <f t="shared" si="21"/>
        <v>УКТУС</v>
      </c>
      <c r="J700" s="5"/>
      <c r="AF700" t="s">
        <v>7197</v>
      </c>
      <c r="AG700" s="24" t="s">
        <v>5934</v>
      </c>
      <c r="AH700" s="5" t="s">
        <v>7197</v>
      </c>
      <c r="AI700" s="5">
        <v>29105.0569</v>
      </c>
      <c r="AJ700" s="5">
        <v>29105.0569</v>
      </c>
      <c r="AK700">
        <v>27031.5942</v>
      </c>
      <c r="AL700" s="5" t="str">
        <f t="shared" si="22"/>
        <v>Городской округ Сухой Лог</v>
      </c>
    </row>
    <row r="701" spans="1:38" ht="15" customHeight="1" x14ac:dyDescent="0.25">
      <c r="A701" s="3" t="s">
        <v>1090</v>
      </c>
      <c r="B701" s="3" t="s">
        <v>1627</v>
      </c>
      <c r="C701" s="5">
        <v>56392.543899999997</v>
      </c>
      <c r="D701" s="5">
        <v>56392.543899999997</v>
      </c>
      <c r="E701" s="5">
        <v>51064.4617</v>
      </c>
      <c r="F701" t="s">
        <v>7249</v>
      </c>
      <c r="G701" s="5" t="str">
        <f t="shared" si="21"/>
        <v>КОМПРЕССОРНЫЙ</v>
      </c>
      <c r="J701" s="5"/>
      <c r="AF701" t="s">
        <v>7197</v>
      </c>
      <c r="AG701" s="24" t="s">
        <v>5935</v>
      </c>
      <c r="AH701" s="5" t="s">
        <v>7197</v>
      </c>
      <c r="AI701" s="5">
        <v>29834.089499999998</v>
      </c>
      <c r="AJ701" s="5">
        <v>29834.089499999998</v>
      </c>
      <c r="AK701">
        <v>27708.6865</v>
      </c>
      <c r="AL701" s="5" t="str">
        <f t="shared" si="22"/>
        <v>Городской округ Сухой Лог</v>
      </c>
    </row>
    <row r="702" spans="1:38" ht="15" customHeight="1" x14ac:dyDescent="0.25">
      <c r="A702" s="3" t="s">
        <v>1091</v>
      </c>
      <c r="B702" s="3" t="s">
        <v>1653</v>
      </c>
      <c r="C702" s="5">
        <v>56847.723400000003</v>
      </c>
      <c r="D702" s="5">
        <v>56847.723400000003</v>
      </c>
      <c r="E702" s="5">
        <v>51476.629399999998</v>
      </c>
      <c r="F702" t="s">
        <v>7249</v>
      </c>
      <c r="G702" s="5" t="str">
        <f t="shared" si="21"/>
        <v>ПТИЦЕФАБРИКА</v>
      </c>
      <c r="J702" s="5"/>
      <c r="AF702" t="s">
        <v>7197</v>
      </c>
      <c r="AG702" s="24" t="s">
        <v>5936</v>
      </c>
      <c r="AH702" s="5" t="s">
        <v>7197</v>
      </c>
      <c r="AI702" s="5">
        <v>29105.0569</v>
      </c>
      <c r="AJ702" s="5">
        <v>29105.0569</v>
      </c>
      <c r="AK702">
        <v>27031.5942</v>
      </c>
      <c r="AL702" s="5" t="str">
        <f t="shared" si="22"/>
        <v>Городской округ Сухой Лог</v>
      </c>
    </row>
    <row r="703" spans="1:38" ht="15" customHeight="1" x14ac:dyDescent="0.25">
      <c r="A703" s="3" t="s">
        <v>1092</v>
      </c>
      <c r="B703" s="3" t="s">
        <v>1629</v>
      </c>
      <c r="C703" s="5">
        <v>77743.704100000003</v>
      </c>
      <c r="D703" s="5">
        <v>77743.704100000003</v>
      </c>
      <c r="E703" s="5">
        <v>70398.310800000007</v>
      </c>
      <c r="F703" t="s">
        <v>7249</v>
      </c>
      <c r="G703" s="5" t="str">
        <f t="shared" si="21"/>
        <v>ПИОНЕРСКИЙ</v>
      </c>
      <c r="J703" s="5"/>
      <c r="AF703" t="s">
        <v>7197</v>
      </c>
      <c r="AG703" s="24" t="s">
        <v>5937</v>
      </c>
      <c r="AH703" s="5" t="s">
        <v>7197</v>
      </c>
      <c r="AI703" s="5">
        <v>29834.089499999998</v>
      </c>
      <c r="AJ703" s="5">
        <v>29834.089499999998</v>
      </c>
      <c r="AK703">
        <v>27708.6865</v>
      </c>
      <c r="AL703" s="5" t="str">
        <f t="shared" si="22"/>
        <v>Городской округ Сухой Лог</v>
      </c>
    </row>
    <row r="704" spans="1:38" ht="15" customHeight="1" x14ac:dyDescent="0.25">
      <c r="A704" s="3" t="s">
        <v>1093</v>
      </c>
      <c r="B704" s="3" t="s">
        <v>1649</v>
      </c>
      <c r="C704" s="5">
        <v>78633.047600000005</v>
      </c>
      <c r="D704" s="5">
        <v>78633.047600000005</v>
      </c>
      <c r="E704" s="5">
        <v>71203.623000000007</v>
      </c>
      <c r="F704" t="s">
        <v>7249</v>
      </c>
      <c r="G704" s="5" t="str">
        <f t="shared" si="21"/>
        <v>ВОКЗАЛЬНЫЙ</v>
      </c>
      <c r="J704" s="5"/>
      <c r="AF704" t="s">
        <v>7197</v>
      </c>
      <c r="AG704" s="24" t="s">
        <v>5938</v>
      </c>
      <c r="AH704" s="5" t="s">
        <v>7197</v>
      </c>
      <c r="AI704" s="5">
        <v>29105.0569</v>
      </c>
      <c r="AJ704" s="5">
        <v>29105.0569</v>
      </c>
      <c r="AK704">
        <v>27031.5942</v>
      </c>
      <c r="AL704" s="5" t="str">
        <f t="shared" si="22"/>
        <v>Городской округ Сухой Лог</v>
      </c>
    </row>
    <row r="705" spans="1:38" ht="15" customHeight="1" x14ac:dyDescent="0.25">
      <c r="A705" s="3" t="s">
        <v>1094</v>
      </c>
      <c r="B705" s="3" t="s">
        <v>1628</v>
      </c>
      <c r="C705" s="5">
        <v>70734.0236</v>
      </c>
      <c r="D705" s="5">
        <v>70734.0236</v>
      </c>
      <c r="E705" s="5">
        <v>64050.9208</v>
      </c>
      <c r="F705" t="s">
        <v>7249</v>
      </c>
      <c r="G705" s="5" t="str">
        <f t="shared" si="21"/>
        <v>ЭЛЬМАШ</v>
      </c>
      <c r="J705" s="5"/>
      <c r="AF705" t="s">
        <v>7197</v>
      </c>
      <c r="AG705" s="24" t="s">
        <v>5939</v>
      </c>
      <c r="AH705" s="5" t="s">
        <v>7197</v>
      </c>
      <c r="AI705" s="5">
        <v>29105.0569</v>
      </c>
      <c r="AJ705" s="5">
        <v>29105.0569</v>
      </c>
      <c r="AK705">
        <v>27031.5942</v>
      </c>
      <c r="AL705" s="5" t="str">
        <f t="shared" si="22"/>
        <v>Городской округ Сухой Лог</v>
      </c>
    </row>
    <row r="706" spans="1:38" ht="15" customHeight="1" x14ac:dyDescent="0.25">
      <c r="A706" s="3" t="s">
        <v>1097</v>
      </c>
      <c r="B706" s="3" t="s">
        <v>1637</v>
      </c>
      <c r="C706" s="5">
        <v>59368.686099999999</v>
      </c>
      <c r="D706" s="5">
        <v>59368.686099999999</v>
      </c>
      <c r="E706" s="5">
        <v>53759.401700000002</v>
      </c>
      <c r="F706" t="s">
        <v>7249</v>
      </c>
      <c r="G706" s="5" t="str">
        <f t="shared" si="21"/>
        <v>Старая сортировка</v>
      </c>
      <c r="J706" s="5"/>
      <c r="AF706" t="s">
        <v>7197</v>
      </c>
      <c r="AG706" s="24" t="s">
        <v>5940</v>
      </c>
      <c r="AH706" s="5" t="s">
        <v>7197</v>
      </c>
      <c r="AI706" s="5">
        <v>35959.969400000002</v>
      </c>
      <c r="AJ706" s="5">
        <v>35959.969400000002</v>
      </c>
      <c r="AK706">
        <v>33398.162499999999</v>
      </c>
      <c r="AL706" s="5" t="str">
        <f t="shared" si="22"/>
        <v>Городской округ Сухой Лог</v>
      </c>
    </row>
    <row r="707" spans="1:38" ht="15" customHeight="1" x14ac:dyDescent="0.25">
      <c r="A707" s="3" t="s">
        <v>1098</v>
      </c>
      <c r="B707" s="3" t="s">
        <v>1661</v>
      </c>
      <c r="C707" s="5">
        <v>51175.5573</v>
      </c>
      <c r="D707" s="5">
        <v>51175.5573</v>
      </c>
      <c r="E707" s="5">
        <v>46340.381600000001</v>
      </c>
      <c r="F707" t="s">
        <v>7249</v>
      </c>
      <c r="G707" s="5" t="str">
        <f t="shared" si="21"/>
        <v>СЕВЕРКА</v>
      </c>
      <c r="J707" s="5"/>
      <c r="AF707" t="s">
        <v>7197</v>
      </c>
      <c r="AG707" s="24" t="s">
        <v>5941</v>
      </c>
      <c r="AH707" s="5" t="s">
        <v>7197</v>
      </c>
      <c r="AI707" s="5">
        <v>29105.0569</v>
      </c>
      <c r="AJ707" s="5">
        <v>29105.0569</v>
      </c>
      <c r="AK707">
        <v>27031.5942</v>
      </c>
      <c r="AL707" s="5" t="str">
        <f t="shared" si="22"/>
        <v>Городской округ Сухой Лог</v>
      </c>
    </row>
    <row r="708" spans="1:38" ht="15" customHeight="1" x14ac:dyDescent="0.25">
      <c r="A708" s="3" t="s">
        <v>1099</v>
      </c>
      <c r="B708" s="3" t="s">
        <v>1631</v>
      </c>
      <c r="C708" s="5">
        <v>70026.7601</v>
      </c>
      <c r="D708" s="5">
        <v>70026.7601</v>
      </c>
      <c r="E708" s="5">
        <v>63410.482000000004</v>
      </c>
      <c r="F708" t="s">
        <v>7249</v>
      </c>
      <c r="G708" s="5" t="str">
        <f t="shared" ref="G708:G771" si="23">B708</f>
        <v>УРАЛМАШ</v>
      </c>
      <c r="J708" s="5"/>
      <c r="AF708" t="s">
        <v>7197</v>
      </c>
      <c r="AG708" s="24" t="s">
        <v>5942</v>
      </c>
      <c r="AH708" s="5" t="s">
        <v>7197</v>
      </c>
      <c r="AI708" s="5">
        <v>29105.0569</v>
      </c>
      <c r="AJ708" s="5">
        <v>29105.0569</v>
      </c>
      <c r="AK708">
        <v>27031.5942</v>
      </c>
      <c r="AL708" s="5" t="str">
        <f t="shared" ref="AL708:AL771" si="24">AF708</f>
        <v>Городской округ Сухой Лог</v>
      </c>
    </row>
    <row r="709" spans="1:38" ht="15" customHeight="1" x14ac:dyDescent="0.25">
      <c r="A709" s="3" t="s">
        <v>1100</v>
      </c>
      <c r="B709" s="3" t="s">
        <v>33</v>
      </c>
      <c r="C709" s="5">
        <v>84298.205100000006</v>
      </c>
      <c r="D709" s="5">
        <v>84298.205100000006</v>
      </c>
      <c r="E709" s="5">
        <v>76333.533100000001</v>
      </c>
      <c r="F709" t="s">
        <v>7249</v>
      </c>
      <c r="G709" s="5" t="str">
        <f t="shared" si="23"/>
        <v>ВИЗ</v>
      </c>
      <c r="J709" s="5"/>
      <c r="AF709" t="s">
        <v>7197</v>
      </c>
      <c r="AG709" s="24" t="s">
        <v>5943</v>
      </c>
      <c r="AH709" s="5" t="s">
        <v>7197</v>
      </c>
      <c r="AI709" s="5">
        <v>29834.089499999998</v>
      </c>
      <c r="AJ709" s="5">
        <v>29834.089499999998</v>
      </c>
      <c r="AK709">
        <v>27708.6865</v>
      </c>
      <c r="AL709" s="5" t="str">
        <f t="shared" si="24"/>
        <v>Городской округ Сухой Лог</v>
      </c>
    </row>
    <row r="710" spans="1:38" ht="15" customHeight="1" x14ac:dyDescent="0.25">
      <c r="A710" s="3" t="s">
        <v>1101</v>
      </c>
      <c r="B710" s="3" t="s">
        <v>1630</v>
      </c>
      <c r="C710" s="5">
        <v>62652.9401</v>
      </c>
      <c r="D710" s="5">
        <v>62652.9401</v>
      </c>
      <c r="E710" s="5">
        <v>56733.3557</v>
      </c>
      <c r="F710" t="s">
        <v>7249</v>
      </c>
      <c r="G710" s="5" t="str">
        <f t="shared" si="23"/>
        <v>ЧЕРМЕТ</v>
      </c>
      <c r="J710" s="5"/>
      <c r="AF710" t="s">
        <v>7197</v>
      </c>
      <c r="AG710" s="24" t="s">
        <v>5944</v>
      </c>
      <c r="AH710" s="5" t="s">
        <v>7197</v>
      </c>
      <c r="AI710" s="5">
        <v>29105.0569</v>
      </c>
      <c r="AJ710" s="5">
        <v>29105.0569</v>
      </c>
      <c r="AK710">
        <v>27031.5942</v>
      </c>
      <c r="AL710" s="5" t="str">
        <f t="shared" si="24"/>
        <v>Городской округ Сухой Лог</v>
      </c>
    </row>
    <row r="711" spans="1:38" ht="15" customHeight="1" x14ac:dyDescent="0.25">
      <c r="A711" s="3" t="s">
        <v>1102</v>
      </c>
      <c r="B711" s="3" t="s">
        <v>1651</v>
      </c>
      <c r="C711" s="5">
        <v>68129.029500000004</v>
      </c>
      <c r="D711" s="5">
        <v>68129.029500000004</v>
      </c>
      <c r="E711" s="5">
        <v>61692.054799999998</v>
      </c>
      <c r="F711" t="s">
        <v>7249</v>
      </c>
      <c r="G711" s="5" t="str">
        <f t="shared" si="23"/>
        <v>ШАРТАШ</v>
      </c>
      <c r="J711" s="5"/>
      <c r="AF711" t="s">
        <v>7197</v>
      </c>
      <c r="AG711" s="24" t="s">
        <v>5945</v>
      </c>
      <c r="AH711" s="5" t="s">
        <v>7197</v>
      </c>
      <c r="AI711" s="5">
        <v>29105.0569</v>
      </c>
      <c r="AJ711" s="5">
        <v>29105.0569</v>
      </c>
      <c r="AK711">
        <v>27031.5942</v>
      </c>
      <c r="AL711" s="5" t="str">
        <f t="shared" si="24"/>
        <v>Городской округ Сухой Лог</v>
      </c>
    </row>
    <row r="712" spans="1:38" ht="15" customHeight="1" x14ac:dyDescent="0.25">
      <c r="A712" s="3" t="s">
        <v>1103</v>
      </c>
      <c r="B712" s="3" t="s">
        <v>1632</v>
      </c>
      <c r="C712" s="5">
        <v>83744.997499999998</v>
      </c>
      <c r="D712" s="5">
        <v>83744.997499999998</v>
      </c>
      <c r="E712" s="5">
        <v>75832.596099999995</v>
      </c>
      <c r="F712" t="s">
        <v>7249</v>
      </c>
      <c r="G712" s="5" t="str">
        <f t="shared" si="23"/>
        <v>АВТОВОКЗАЛ</v>
      </c>
      <c r="J712" s="5"/>
      <c r="AF712" t="s">
        <v>7198</v>
      </c>
      <c r="AG712" s="24" t="s">
        <v>5946</v>
      </c>
      <c r="AH712" s="5" t="s">
        <v>7198</v>
      </c>
      <c r="AI712" s="5">
        <v>22501.258099999999</v>
      </c>
      <c r="AJ712" s="5">
        <v>22501.258099999999</v>
      </c>
      <c r="AK712">
        <v>20898.251499999998</v>
      </c>
      <c r="AL712" s="5" t="str">
        <f t="shared" si="24"/>
        <v>Ивдельский городской округ</v>
      </c>
    </row>
    <row r="713" spans="1:38" ht="15" customHeight="1" x14ac:dyDescent="0.25">
      <c r="A713" s="3" t="s">
        <v>1107</v>
      </c>
      <c r="B713" s="3" t="s">
        <v>1655</v>
      </c>
      <c r="C713" s="5">
        <v>79683.445300000007</v>
      </c>
      <c r="D713" s="5">
        <v>79683.445300000007</v>
      </c>
      <c r="E713" s="5">
        <v>72154.784899999999</v>
      </c>
      <c r="F713" t="s">
        <v>7249</v>
      </c>
      <c r="G713" s="5" t="str">
        <f t="shared" si="23"/>
        <v>Шарташский рынок</v>
      </c>
      <c r="J713" s="5"/>
      <c r="AF713" t="s">
        <v>7198</v>
      </c>
      <c r="AG713" s="24" t="s">
        <v>5947</v>
      </c>
      <c r="AH713" s="5" t="s">
        <v>7198</v>
      </c>
      <c r="AI713" s="5">
        <v>22501.258099999999</v>
      </c>
      <c r="AJ713" s="5">
        <v>22501.258099999999</v>
      </c>
      <c r="AK713">
        <v>20898.251499999998</v>
      </c>
      <c r="AL713" s="5" t="str">
        <f t="shared" si="24"/>
        <v>Ивдельский городской округ</v>
      </c>
    </row>
    <row r="714" spans="1:38" ht="15" customHeight="1" x14ac:dyDescent="0.25">
      <c r="A714" s="3" t="s">
        <v>1108</v>
      </c>
      <c r="B714" s="3" t="s">
        <v>1631</v>
      </c>
      <c r="C714" s="5">
        <v>70026.7601</v>
      </c>
      <c r="D714" s="5">
        <v>70026.7601</v>
      </c>
      <c r="E714" s="5">
        <v>63410.482000000004</v>
      </c>
      <c r="F714" t="s">
        <v>7249</v>
      </c>
      <c r="G714" s="5" t="str">
        <f t="shared" si="23"/>
        <v>УРАЛМАШ</v>
      </c>
      <c r="J714" s="5"/>
      <c r="AF714" t="s">
        <v>7198</v>
      </c>
      <c r="AG714" s="24" t="s">
        <v>5948</v>
      </c>
      <c r="AH714" s="5" t="s">
        <v>7198</v>
      </c>
      <c r="AI714" s="5">
        <v>22501.258099999999</v>
      </c>
      <c r="AJ714" s="5">
        <v>22501.258099999999</v>
      </c>
      <c r="AK714">
        <v>20898.251499999998</v>
      </c>
      <c r="AL714" s="5" t="str">
        <f t="shared" si="24"/>
        <v>Ивдельский городской округ</v>
      </c>
    </row>
    <row r="715" spans="1:38" ht="15" customHeight="1" x14ac:dyDescent="0.25">
      <c r="A715" s="3" t="s">
        <v>1109</v>
      </c>
      <c r="B715" s="3" t="s">
        <v>1644</v>
      </c>
      <c r="C715" s="5">
        <v>61980.678599999999</v>
      </c>
      <c r="D715" s="5">
        <v>61980.678599999999</v>
      </c>
      <c r="E715" s="5">
        <v>56124.615700000002</v>
      </c>
      <c r="F715" t="s">
        <v>7249</v>
      </c>
      <c r="G715" s="5" t="str">
        <f t="shared" si="23"/>
        <v>ХИММАШ</v>
      </c>
      <c r="J715" s="5"/>
      <c r="AF715" t="s">
        <v>7198</v>
      </c>
      <c r="AG715" s="24" t="s">
        <v>5949</v>
      </c>
      <c r="AH715" s="5" t="s">
        <v>7198</v>
      </c>
      <c r="AI715" s="5">
        <v>22501.258099999999</v>
      </c>
      <c r="AJ715" s="5">
        <v>22501.258099999999</v>
      </c>
      <c r="AK715">
        <v>20898.251499999998</v>
      </c>
      <c r="AL715" s="5" t="str">
        <f t="shared" si="24"/>
        <v>Ивдельский городской округ</v>
      </c>
    </row>
    <row r="716" spans="1:38" ht="15" customHeight="1" x14ac:dyDescent="0.25">
      <c r="A716" s="3" t="s">
        <v>1110</v>
      </c>
      <c r="B716" s="3" t="s">
        <v>1661</v>
      </c>
      <c r="C716" s="5">
        <v>51175.5573</v>
      </c>
      <c r="D716" s="5">
        <v>51175.5573</v>
      </c>
      <c r="E716" s="5">
        <v>46340.381600000001</v>
      </c>
      <c r="F716" t="s">
        <v>7249</v>
      </c>
      <c r="G716" s="5" t="str">
        <f t="shared" si="23"/>
        <v>СЕВЕРКА</v>
      </c>
      <c r="J716" s="5"/>
      <c r="AF716" t="s">
        <v>7198</v>
      </c>
      <c r="AG716" s="24" t="s">
        <v>5950</v>
      </c>
      <c r="AH716" s="5" t="s">
        <v>7198</v>
      </c>
      <c r="AI716" s="5">
        <v>22501.258099999999</v>
      </c>
      <c r="AJ716" s="5">
        <v>22501.258099999999</v>
      </c>
      <c r="AK716">
        <v>20898.251499999998</v>
      </c>
      <c r="AL716" s="5" t="str">
        <f t="shared" si="24"/>
        <v>Ивдельский городской округ</v>
      </c>
    </row>
    <row r="717" spans="1:38" ht="15" customHeight="1" x14ac:dyDescent="0.25">
      <c r="A717" s="3" t="s">
        <v>1111</v>
      </c>
      <c r="B717" s="3" t="s">
        <v>14</v>
      </c>
      <c r="C717" s="5">
        <v>93989.912800000006</v>
      </c>
      <c r="D717" s="5">
        <v>93989.912800000006</v>
      </c>
      <c r="E717" s="5">
        <v>85109.545199999993</v>
      </c>
      <c r="F717" t="s">
        <v>7249</v>
      </c>
      <c r="G717" s="5" t="str">
        <f t="shared" si="23"/>
        <v>Центр</v>
      </c>
      <c r="J717" s="5"/>
      <c r="AF717" t="s">
        <v>7198</v>
      </c>
      <c r="AG717" s="24" t="s">
        <v>5951</v>
      </c>
      <c r="AH717" s="5" t="s">
        <v>7198</v>
      </c>
      <c r="AI717" s="5">
        <v>22501.258099999999</v>
      </c>
      <c r="AJ717" s="5">
        <v>22501.258099999999</v>
      </c>
      <c r="AK717">
        <v>20898.251499999998</v>
      </c>
      <c r="AL717" s="5" t="str">
        <f t="shared" si="24"/>
        <v>Ивдельский городской округ</v>
      </c>
    </row>
    <row r="718" spans="1:38" ht="15" customHeight="1" x14ac:dyDescent="0.25">
      <c r="A718" s="3" t="s">
        <v>1112</v>
      </c>
      <c r="B718" s="3" t="s">
        <v>1628</v>
      </c>
      <c r="C718" s="5">
        <v>70734.0236</v>
      </c>
      <c r="D718" s="5">
        <v>70734.0236</v>
      </c>
      <c r="E718" s="5">
        <v>64050.9208</v>
      </c>
      <c r="F718" t="s">
        <v>7249</v>
      </c>
      <c r="G718" s="5" t="str">
        <f t="shared" si="23"/>
        <v>ЭЛЬМАШ</v>
      </c>
      <c r="J718" s="5"/>
      <c r="AF718" t="s">
        <v>7198</v>
      </c>
      <c r="AG718" s="24" t="s">
        <v>5952</v>
      </c>
      <c r="AH718" s="5" t="s">
        <v>7198</v>
      </c>
      <c r="AI718" s="5">
        <v>22501.258099999999</v>
      </c>
      <c r="AJ718" s="5">
        <v>22501.258099999999</v>
      </c>
      <c r="AK718">
        <v>20898.251499999998</v>
      </c>
      <c r="AL718" s="5" t="str">
        <f t="shared" si="24"/>
        <v>Ивдельский городской округ</v>
      </c>
    </row>
    <row r="719" spans="1:38" ht="15" customHeight="1" x14ac:dyDescent="0.25">
      <c r="A719" s="3" t="s">
        <v>1113</v>
      </c>
      <c r="B719" s="3" t="s">
        <v>14</v>
      </c>
      <c r="C719" s="5">
        <v>93989.912800000006</v>
      </c>
      <c r="D719" s="5">
        <v>93989.912800000006</v>
      </c>
      <c r="E719" s="5">
        <v>85109.545199999993</v>
      </c>
      <c r="F719" t="s">
        <v>7249</v>
      </c>
      <c r="G719" s="5" t="str">
        <f t="shared" si="23"/>
        <v>Центр</v>
      </c>
      <c r="J719" s="5"/>
      <c r="AF719" t="s">
        <v>7198</v>
      </c>
      <c r="AG719" s="24" t="s">
        <v>5953</v>
      </c>
      <c r="AH719" s="5" t="s">
        <v>7198</v>
      </c>
      <c r="AI719" s="5">
        <v>27800.820599999999</v>
      </c>
      <c r="AJ719" s="5">
        <v>27800.820599999999</v>
      </c>
      <c r="AK719">
        <v>25820.276600000001</v>
      </c>
      <c r="AL719" s="5" t="str">
        <f t="shared" si="24"/>
        <v>Ивдельский городской округ</v>
      </c>
    </row>
    <row r="720" spans="1:38" ht="15" customHeight="1" x14ac:dyDescent="0.25">
      <c r="A720" s="3" t="s">
        <v>1114</v>
      </c>
      <c r="B720" s="3" t="s">
        <v>1638</v>
      </c>
      <c r="C720" s="5">
        <v>63640.311600000001</v>
      </c>
      <c r="D720" s="5">
        <v>63640.311600000001</v>
      </c>
      <c r="E720" s="5">
        <v>57627.4473</v>
      </c>
      <c r="F720" t="s">
        <v>7249</v>
      </c>
      <c r="G720" s="5" t="str">
        <f t="shared" si="23"/>
        <v>УКТУС</v>
      </c>
      <c r="J720" s="5"/>
      <c r="AF720" t="s">
        <v>7198</v>
      </c>
      <c r="AG720" s="24" t="s">
        <v>5954</v>
      </c>
      <c r="AH720" s="5" t="s">
        <v>7198</v>
      </c>
      <c r="AI720" s="5">
        <v>22501.258099999999</v>
      </c>
      <c r="AJ720" s="5">
        <v>22501.258099999999</v>
      </c>
      <c r="AK720">
        <v>20898.251499999998</v>
      </c>
      <c r="AL720" s="5" t="str">
        <f t="shared" si="24"/>
        <v>Ивдельский городской округ</v>
      </c>
    </row>
    <row r="721" spans="1:38" ht="15" customHeight="1" x14ac:dyDescent="0.25">
      <c r="A721" s="3" t="s">
        <v>1115</v>
      </c>
      <c r="B721" s="3" t="s">
        <v>33</v>
      </c>
      <c r="C721" s="5">
        <v>84298.205100000006</v>
      </c>
      <c r="D721" s="5">
        <v>84298.205100000006</v>
      </c>
      <c r="E721" s="5">
        <v>76333.533100000001</v>
      </c>
      <c r="F721" t="s">
        <v>7249</v>
      </c>
      <c r="G721" s="5" t="str">
        <f t="shared" si="23"/>
        <v>ВИЗ</v>
      </c>
      <c r="J721" s="5"/>
      <c r="AF721" t="s">
        <v>7198</v>
      </c>
      <c r="AG721" s="24" t="s">
        <v>5955</v>
      </c>
      <c r="AH721" s="5" t="s">
        <v>7198</v>
      </c>
      <c r="AI721" s="5">
        <v>22501.258099999999</v>
      </c>
      <c r="AJ721" s="5">
        <v>22501.258099999999</v>
      </c>
      <c r="AK721">
        <v>20898.251499999998</v>
      </c>
      <c r="AL721" s="5" t="str">
        <f t="shared" si="24"/>
        <v>Ивдельский городской округ</v>
      </c>
    </row>
    <row r="722" spans="1:38" ht="15" customHeight="1" x14ac:dyDescent="0.25">
      <c r="A722" s="3" t="s">
        <v>1116</v>
      </c>
      <c r="B722" s="3" t="s">
        <v>1664</v>
      </c>
      <c r="C722" s="5">
        <v>53668.506099999999</v>
      </c>
      <c r="D722" s="5">
        <v>53668.506099999999</v>
      </c>
      <c r="E722" s="5">
        <v>48597.792699999998</v>
      </c>
      <c r="F722" t="s">
        <v>7249</v>
      </c>
      <c r="G722" s="5" t="str">
        <f t="shared" si="23"/>
        <v>ИЗОПЛИТ</v>
      </c>
      <c r="J722" s="5"/>
      <c r="AF722" t="s">
        <v>7198</v>
      </c>
      <c r="AG722" s="24" t="s">
        <v>5956</v>
      </c>
      <c r="AH722" s="5" t="s">
        <v>7198</v>
      </c>
      <c r="AI722" s="5">
        <v>22501.258099999999</v>
      </c>
      <c r="AJ722" s="5">
        <v>22501.258099999999</v>
      </c>
      <c r="AK722">
        <v>20898.251499999998</v>
      </c>
      <c r="AL722" s="5" t="str">
        <f t="shared" si="24"/>
        <v>Ивдельский городской округ</v>
      </c>
    </row>
    <row r="723" spans="1:38" ht="15" customHeight="1" x14ac:dyDescent="0.25">
      <c r="A723" s="3" t="s">
        <v>1117</v>
      </c>
      <c r="B723" s="3" t="s">
        <v>1637</v>
      </c>
      <c r="C723" s="5">
        <v>59368.686099999999</v>
      </c>
      <c r="D723" s="5">
        <v>59368.686099999999</v>
      </c>
      <c r="E723" s="5">
        <v>53759.401700000002</v>
      </c>
      <c r="F723" t="s">
        <v>7249</v>
      </c>
      <c r="G723" s="5" t="str">
        <f t="shared" si="23"/>
        <v>Старая сортировка</v>
      </c>
      <c r="J723" s="5"/>
      <c r="AF723" t="s">
        <v>7198</v>
      </c>
      <c r="AG723" s="24" t="s">
        <v>5957</v>
      </c>
      <c r="AH723" s="5" t="s">
        <v>7198</v>
      </c>
      <c r="AI723" s="5">
        <v>22501.258099999999</v>
      </c>
      <c r="AJ723" s="5">
        <v>22501.258099999999</v>
      </c>
      <c r="AK723">
        <v>20898.251499999998</v>
      </c>
      <c r="AL723" s="5" t="str">
        <f t="shared" si="24"/>
        <v>Ивдельский городской округ</v>
      </c>
    </row>
    <row r="724" spans="1:38" ht="15" customHeight="1" x14ac:dyDescent="0.25">
      <c r="A724" s="3" t="s">
        <v>1118</v>
      </c>
      <c r="B724" s="3" t="s">
        <v>1631</v>
      </c>
      <c r="C724" s="5">
        <v>70026.7601</v>
      </c>
      <c r="D724" s="5">
        <v>70026.7601</v>
      </c>
      <c r="E724" s="5">
        <v>63410.482000000004</v>
      </c>
      <c r="F724" t="s">
        <v>7249</v>
      </c>
      <c r="G724" s="5" t="str">
        <f t="shared" si="23"/>
        <v>УРАЛМАШ</v>
      </c>
      <c r="J724" s="5"/>
      <c r="AF724" t="s">
        <v>7198</v>
      </c>
      <c r="AG724" s="24" t="s">
        <v>5958</v>
      </c>
      <c r="AH724" s="5" t="s">
        <v>7198</v>
      </c>
      <c r="AI724" s="5">
        <v>22501.258099999999</v>
      </c>
      <c r="AJ724" s="5">
        <v>22501.258099999999</v>
      </c>
      <c r="AK724">
        <v>20898.251499999998</v>
      </c>
      <c r="AL724" s="5" t="str">
        <f t="shared" si="24"/>
        <v>Ивдельский городской округ</v>
      </c>
    </row>
    <row r="725" spans="1:38" ht="15" customHeight="1" x14ac:dyDescent="0.25">
      <c r="A725" s="3" t="s">
        <v>1119</v>
      </c>
      <c r="B725" s="3" t="s">
        <v>1648</v>
      </c>
      <c r="C725" s="5">
        <v>49782.025399999999</v>
      </c>
      <c r="D725" s="5">
        <v>49782.025399999999</v>
      </c>
      <c r="E725" s="5">
        <v>45078.506800000003</v>
      </c>
      <c r="F725" t="s">
        <v>7249</v>
      </c>
      <c r="G725" s="5" t="str">
        <f t="shared" si="23"/>
        <v>ЧУСОВСКОЕ ОЗЕРО</v>
      </c>
      <c r="J725" s="5"/>
      <c r="AF725" t="s">
        <v>7198</v>
      </c>
      <c r="AG725" s="24" t="s">
        <v>5959</v>
      </c>
      <c r="AH725" s="5" t="s">
        <v>7198</v>
      </c>
      <c r="AI725" s="5">
        <v>22501.258099999999</v>
      </c>
      <c r="AJ725" s="5">
        <v>22501.258099999999</v>
      </c>
      <c r="AK725">
        <v>20898.251499999998</v>
      </c>
      <c r="AL725" s="5" t="str">
        <f t="shared" si="24"/>
        <v>Ивдельский городской округ</v>
      </c>
    </row>
    <row r="726" spans="1:38" ht="15" customHeight="1" x14ac:dyDescent="0.25">
      <c r="A726" s="3" t="s">
        <v>1120</v>
      </c>
      <c r="B726" s="3" t="s">
        <v>1628</v>
      </c>
      <c r="C726" s="5">
        <v>70734.0236</v>
      </c>
      <c r="D726" s="5">
        <v>70734.0236</v>
      </c>
      <c r="E726" s="5">
        <v>64050.9208</v>
      </c>
      <c r="F726" t="s">
        <v>7249</v>
      </c>
      <c r="G726" s="5" t="str">
        <f t="shared" si="23"/>
        <v>ЭЛЬМАШ</v>
      </c>
      <c r="J726" s="5"/>
      <c r="AF726" t="s">
        <v>7198</v>
      </c>
      <c r="AG726" s="24" t="s">
        <v>5960</v>
      </c>
      <c r="AH726" s="5" t="s">
        <v>7198</v>
      </c>
      <c r="AI726" s="5">
        <v>22501.258099999999</v>
      </c>
      <c r="AJ726" s="5">
        <v>22501.258099999999</v>
      </c>
      <c r="AK726">
        <v>20898.251499999998</v>
      </c>
      <c r="AL726" s="5" t="str">
        <f t="shared" si="24"/>
        <v>Ивдельский городской округ</v>
      </c>
    </row>
    <row r="727" spans="1:38" ht="15" customHeight="1" x14ac:dyDescent="0.25">
      <c r="A727" s="3" t="s">
        <v>1121</v>
      </c>
      <c r="B727" s="3" t="s">
        <v>1631</v>
      </c>
      <c r="C727" s="5">
        <v>70026.7601</v>
      </c>
      <c r="D727" s="5">
        <v>70026.7601</v>
      </c>
      <c r="E727" s="5">
        <v>63410.482000000004</v>
      </c>
      <c r="F727" t="s">
        <v>7249</v>
      </c>
      <c r="G727" s="5" t="str">
        <f t="shared" si="23"/>
        <v>УРАЛМАШ</v>
      </c>
      <c r="J727" s="5"/>
      <c r="AF727" t="s">
        <v>7198</v>
      </c>
      <c r="AG727" s="24" t="s">
        <v>5961</v>
      </c>
      <c r="AH727" s="5" t="s">
        <v>7198</v>
      </c>
      <c r="AI727" s="5">
        <v>22501.258099999999</v>
      </c>
      <c r="AJ727" s="5">
        <v>22501.258099999999</v>
      </c>
      <c r="AK727">
        <v>20898.251499999998</v>
      </c>
      <c r="AL727" s="5" t="str">
        <f t="shared" si="24"/>
        <v>Ивдельский городской округ</v>
      </c>
    </row>
    <row r="728" spans="1:38" ht="15" customHeight="1" x14ac:dyDescent="0.25">
      <c r="A728" s="3" t="s">
        <v>1122</v>
      </c>
      <c r="B728" s="3" t="s">
        <v>1632</v>
      </c>
      <c r="C728" s="5">
        <v>83744.997499999998</v>
      </c>
      <c r="D728" s="5">
        <v>83744.997499999998</v>
      </c>
      <c r="E728" s="5">
        <v>75832.596099999995</v>
      </c>
      <c r="F728" t="s">
        <v>7249</v>
      </c>
      <c r="G728" s="5" t="str">
        <f t="shared" si="23"/>
        <v>АВТОВОКЗАЛ</v>
      </c>
      <c r="J728" s="5"/>
      <c r="AF728" t="s">
        <v>7198</v>
      </c>
      <c r="AG728" s="24" t="s">
        <v>5962</v>
      </c>
      <c r="AH728" s="5" t="s">
        <v>7198</v>
      </c>
      <c r="AI728" s="5">
        <v>22501.258099999999</v>
      </c>
      <c r="AJ728" s="5">
        <v>22501.258099999999</v>
      </c>
      <c r="AK728">
        <v>20898.251499999998</v>
      </c>
      <c r="AL728" s="5" t="str">
        <f t="shared" si="24"/>
        <v>Ивдельский городской округ</v>
      </c>
    </row>
    <row r="729" spans="1:38" ht="15" customHeight="1" x14ac:dyDescent="0.25">
      <c r="A729" s="3" t="s">
        <v>1123</v>
      </c>
      <c r="B729" s="3" t="s">
        <v>1633</v>
      </c>
      <c r="C729" s="5">
        <v>77071.442599999995</v>
      </c>
      <c r="D729" s="5">
        <v>77071.442599999995</v>
      </c>
      <c r="E729" s="5">
        <v>69789.570900000006</v>
      </c>
      <c r="F729" t="s">
        <v>7249</v>
      </c>
      <c r="G729" s="5" t="str">
        <f t="shared" si="23"/>
        <v>ВТУЗГОРОДОК</v>
      </c>
      <c r="J729" s="5"/>
      <c r="AF729" t="s">
        <v>7198</v>
      </c>
      <c r="AG729" s="24" t="s">
        <v>5963</v>
      </c>
      <c r="AH729" s="5" t="s">
        <v>7198</v>
      </c>
      <c r="AI729" s="5">
        <v>22501.258099999999</v>
      </c>
      <c r="AJ729" s="5">
        <v>22501.258099999999</v>
      </c>
      <c r="AK729">
        <v>20898.251499999998</v>
      </c>
      <c r="AL729" s="5" t="str">
        <f t="shared" si="24"/>
        <v>Ивдельский городской округ</v>
      </c>
    </row>
    <row r="730" spans="1:38" ht="15" customHeight="1" x14ac:dyDescent="0.25">
      <c r="A730" s="3" t="s">
        <v>1124</v>
      </c>
      <c r="B730" s="3" t="s">
        <v>1628</v>
      </c>
      <c r="C730" s="5">
        <v>70734.0236</v>
      </c>
      <c r="D730" s="5">
        <v>70734.0236</v>
      </c>
      <c r="E730" s="5">
        <v>64050.9208</v>
      </c>
      <c r="F730" t="s">
        <v>7249</v>
      </c>
      <c r="G730" s="5" t="str">
        <f t="shared" si="23"/>
        <v>ЭЛЬМАШ</v>
      </c>
      <c r="J730" s="5"/>
      <c r="AF730" t="s">
        <v>7198</v>
      </c>
      <c r="AG730" s="24" t="s">
        <v>5964</v>
      </c>
      <c r="AH730" s="5" t="s">
        <v>7198</v>
      </c>
      <c r="AI730" s="5">
        <v>22501.258099999999</v>
      </c>
      <c r="AJ730" s="5">
        <v>22501.258099999999</v>
      </c>
      <c r="AK730">
        <v>20898.251499999998</v>
      </c>
      <c r="AL730" s="5" t="str">
        <f t="shared" si="24"/>
        <v>Ивдельский городской округ</v>
      </c>
    </row>
    <row r="731" spans="1:38" ht="15" customHeight="1" x14ac:dyDescent="0.25">
      <c r="A731" s="3" t="s">
        <v>1126</v>
      </c>
      <c r="B731" s="3" t="s">
        <v>1631</v>
      </c>
      <c r="C731" s="5">
        <v>70026.7601</v>
      </c>
      <c r="D731" s="5">
        <v>70026.7601</v>
      </c>
      <c r="E731" s="5">
        <v>63410.482000000004</v>
      </c>
      <c r="F731" t="s">
        <v>7249</v>
      </c>
      <c r="G731" s="5" t="str">
        <f t="shared" si="23"/>
        <v>УРАЛМАШ</v>
      </c>
      <c r="J731" s="5"/>
      <c r="AF731" t="s">
        <v>7198</v>
      </c>
      <c r="AG731" s="24" t="s">
        <v>5965</v>
      </c>
      <c r="AH731" s="5" t="s">
        <v>7198</v>
      </c>
      <c r="AI731" s="5">
        <v>22501.258099999999</v>
      </c>
      <c r="AJ731" s="5">
        <v>22501.258099999999</v>
      </c>
      <c r="AK731">
        <v>20898.251499999998</v>
      </c>
      <c r="AL731" s="5" t="str">
        <f t="shared" si="24"/>
        <v>Ивдельский городской округ</v>
      </c>
    </row>
    <row r="732" spans="1:38" ht="15" customHeight="1" x14ac:dyDescent="0.25">
      <c r="A732" s="3" t="s">
        <v>1127</v>
      </c>
      <c r="B732" s="3" t="s">
        <v>1638</v>
      </c>
      <c r="C732" s="5">
        <v>63640.311600000001</v>
      </c>
      <c r="D732" s="5">
        <v>63640.311600000001</v>
      </c>
      <c r="E732" s="5">
        <v>57627.4473</v>
      </c>
      <c r="F732" t="s">
        <v>7249</v>
      </c>
      <c r="G732" s="5" t="str">
        <f t="shared" si="23"/>
        <v>УКТУС</v>
      </c>
      <c r="J732" s="5"/>
      <c r="AF732" t="s">
        <v>7198</v>
      </c>
      <c r="AG732" s="24" t="s">
        <v>5966</v>
      </c>
      <c r="AH732" s="5" t="s">
        <v>7198</v>
      </c>
      <c r="AI732" s="5">
        <v>22501.258099999999</v>
      </c>
      <c r="AJ732" s="5">
        <v>22501.258099999999</v>
      </c>
      <c r="AK732">
        <v>20898.251499999998</v>
      </c>
      <c r="AL732" s="5" t="str">
        <f t="shared" si="24"/>
        <v>Ивдельский городской округ</v>
      </c>
    </row>
    <row r="733" spans="1:38" ht="15" customHeight="1" x14ac:dyDescent="0.25">
      <c r="A733" s="3" t="s">
        <v>1128</v>
      </c>
      <c r="B733" s="3" t="s">
        <v>1632</v>
      </c>
      <c r="C733" s="5">
        <v>83744.997499999998</v>
      </c>
      <c r="D733" s="5">
        <v>83744.997499999998</v>
      </c>
      <c r="E733" s="5">
        <v>75832.596099999995</v>
      </c>
      <c r="F733" t="s">
        <v>7249</v>
      </c>
      <c r="G733" s="5" t="str">
        <f t="shared" si="23"/>
        <v>АВТОВОКЗАЛ</v>
      </c>
      <c r="J733" s="5"/>
      <c r="AF733" t="s">
        <v>7198</v>
      </c>
      <c r="AG733" s="24" t="s">
        <v>5967</v>
      </c>
      <c r="AH733" s="5" t="s">
        <v>7198</v>
      </c>
      <c r="AI733" s="5">
        <v>22501.258099999999</v>
      </c>
      <c r="AJ733" s="5">
        <v>22501.258099999999</v>
      </c>
      <c r="AK733">
        <v>20898.251499999998</v>
      </c>
      <c r="AL733" s="5" t="str">
        <f t="shared" si="24"/>
        <v>Ивдельский городской округ</v>
      </c>
    </row>
    <row r="734" spans="1:38" ht="15" customHeight="1" x14ac:dyDescent="0.25">
      <c r="A734" s="3" t="s">
        <v>1129</v>
      </c>
      <c r="B734" s="3" t="s">
        <v>1638</v>
      </c>
      <c r="C734" s="5">
        <v>63640.311600000001</v>
      </c>
      <c r="D734" s="5">
        <v>63640.311600000001</v>
      </c>
      <c r="E734" s="5">
        <v>57627.4473</v>
      </c>
      <c r="F734" t="s">
        <v>7249</v>
      </c>
      <c r="G734" s="5" t="str">
        <f t="shared" si="23"/>
        <v>УКТУС</v>
      </c>
      <c r="J734" s="5"/>
      <c r="AF734" t="s">
        <v>7198</v>
      </c>
      <c r="AG734" s="24" t="s">
        <v>5968</v>
      </c>
      <c r="AH734" s="5" t="s">
        <v>7198</v>
      </c>
      <c r="AI734" s="5">
        <v>22501.258099999999</v>
      </c>
      <c r="AJ734" s="5">
        <v>22501.258099999999</v>
      </c>
      <c r="AK734">
        <v>20898.251499999998</v>
      </c>
      <c r="AL734" s="5" t="str">
        <f t="shared" si="24"/>
        <v>Ивдельский городской округ</v>
      </c>
    </row>
    <row r="735" spans="1:38" ht="15" customHeight="1" x14ac:dyDescent="0.25">
      <c r="A735" s="3" t="s">
        <v>1130</v>
      </c>
      <c r="B735" s="3" t="s">
        <v>14</v>
      </c>
      <c r="C735" s="5">
        <v>93989.912800000006</v>
      </c>
      <c r="D735" s="5">
        <v>93989.912800000006</v>
      </c>
      <c r="E735" s="5">
        <v>85109.545199999993</v>
      </c>
      <c r="F735" t="s">
        <v>7249</v>
      </c>
      <c r="G735" s="5" t="str">
        <f t="shared" si="23"/>
        <v>Центр</v>
      </c>
      <c r="J735" s="5"/>
      <c r="AF735" t="s">
        <v>7198</v>
      </c>
      <c r="AG735" s="24" t="s">
        <v>5969</v>
      </c>
      <c r="AH735" s="5" t="s">
        <v>7198</v>
      </c>
      <c r="AI735" s="5">
        <v>22501.258099999999</v>
      </c>
      <c r="AJ735" s="5">
        <v>22501.258099999999</v>
      </c>
      <c r="AK735">
        <v>20898.251499999998</v>
      </c>
      <c r="AL735" s="5" t="str">
        <f t="shared" si="24"/>
        <v>Ивдельский городской округ</v>
      </c>
    </row>
    <row r="736" spans="1:38" ht="15" customHeight="1" x14ac:dyDescent="0.25">
      <c r="A736" s="3" t="s">
        <v>1131</v>
      </c>
      <c r="B736" s="3" t="s">
        <v>1644</v>
      </c>
      <c r="C736" s="5">
        <v>61980.678599999999</v>
      </c>
      <c r="D736" s="5">
        <v>61980.678599999999</v>
      </c>
      <c r="E736" s="5">
        <v>56124.615700000002</v>
      </c>
      <c r="F736" t="s">
        <v>7249</v>
      </c>
      <c r="G736" s="5" t="str">
        <f t="shared" si="23"/>
        <v>ХИММАШ</v>
      </c>
      <c r="J736" s="5"/>
      <c r="AF736" t="s">
        <v>7198</v>
      </c>
      <c r="AG736" s="24" t="s">
        <v>5970</v>
      </c>
      <c r="AH736" s="5" t="s">
        <v>7198</v>
      </c>
      <c r="AI736" s="5">
        <v>22501.258099999999</v>
      </c>
      <c r="AJ736" s="5">
        <v>22501.258099999999</v>
      </c>
      <c r="AK736">
        <v>20898.251499999998</v>
      </c>
      <c r="AL736" s="5" t="str">
        <f t="shared" si="24"/>
        <v>Ивдельский городской округ</v>
      </c>
    </row>
    <row r="737" spans="1:38" ht="15" customHeight="1" x14ac:dyDescent="0.25">
      <c r="A737" s="3" t="s">
        <v>1132</v>
      </c>
      <c r="B737" s="3" t="s">
        <v>1638</v>
      </c>
      <c r="C737" s="5">
        <v>63640.311600000001</v>
      </c>
      <c r="D737" s="5">
        <v>63640.311600000001</v>
      </c>
      <c r="E737" s="5">
        <v>57627.4473</v>
      </c>
      <c r="F737" t="s">
        <v>7249</v>
      </c>
      <c r="G737" s="5" t="str">
        <f t="shared" si="23"/>
        <v>УКТУС</v>
      </c>
      <c r="J737" s="5"/>
      <c r="AF737" t="s">
        <v>7198</v>
      </c>
      <c r="AG737" s="24" t="s">
        <v>5971</v>
      </c>
      <c r="AH737" s="5" t="s">
        <v>7198</v>
      </c>
      <c r="AI737" s="5">
        <v>22501.258099999999</v>
      </c>
      <c r="AJ737" s="5">
        <v>22501.258099999999</v>
      </c>
      <c r="AK737">
        <v>20898.251499999998</v>
      </c>
      <c r="AL737" s="5" t="str">
        <f t="shared" si="24"/>
        <v>Ивдельский городской округ</v>
      </c>
    </row>
    <row r="738" spans="1:38" ht="15" customHeight="1" x14ac:dyDescent="0.25">
      <c r="A738" s="3" t="s">
        <v>1133</v>
      </c>
      <c r="B738" s="3" t="s">
        <v>1657</v>
      </c>
      <c r="C738" s="5">
        <v>54886.9666</v>
      </c>
      <c r="D738" s="5">
        <v>54886.9666</v>
      </c>
      <c r="E738" s="5">
        <v>49701.1319</v>
      </c>
      <c r="F738" t="s">
        <v>7249</v>
      </c>
      <c r="G738" s="5" t="str">
        <f t="shared" si="23"/>
        <v>КОЛЬЦОВО</v>
      </c>
      <c r="J738" s="5"/>
      <c r="AF738" t="s">
        <v>7198</v>
      </c>
      <c r="AG738" s="24" t="s">
        <v>5972</v>
      </c>
      <c r="AH738" s="5" t="s">
        <v>7198</v>
      </c>
      <c r="AI738" s="5">
        <v>22501.258099999999</v>
      </c>
      <c r="AJ738" s="5">
        <v>22501.258099999999</v>
      </c>
      <c r="AK738">
        <v>20898.251499999998</v>
      </c>
      <c r="AL738" s="5" t="str">
        <f t="shared" si="24"/>
        <v>Ивдельский городской округ</v>
      </c>
    </row>
    <row r="739" spans="1:38" ht="15" customHeight="1" x14ac:dyDescent="0.25">
      <c r="A739" s="3" t="s">
        <v>1134</v>
      </c>
      <c r="B739" s="3" t="s">
        <v>1632</v>
      </c>
      <c r="C739" s="5">
        <v>83744.997499999998</v>
      </c>
      <c r="D739" s="5">
        <v>83744.997499999998</v>
      </c>
      <c r="E739" s="5">
        <v>75832.596099999995</v>
      </c>
      <c r="F739" t="s">
        <v>7249</v>
      </c>
      <c r="G739" s="5" t="str">
        <f t="shared" si="23"/>
        <v>АВТОВОКЗАЛ</v>
      </c>
      <c r="J739" s="5"/>
      <c r="AF739" t="s">
        <v>7198</v>
      </c>
      <c r="AG739" s="24" t="s">
        <v>5973</v>
      </c>
      <c r="AH739" s="5" t="s">
        <v>7198</v>
      </c>
      <c r="AI739" s="5">
        <v>22501.258099999999</v>
      </c>
      <c r="AJ739" s="5">
        <v>22501.258099999999</v>
      </c>
      <c r="AK739">
        <v>20898.251499999998</v>
      </c>
      <c r="AL739" s="5" t="str">
        <f t="shared" si="24"/>
        <v>Ивдельский городской округ</v>
      </c>
    </row>
    <row r="740" spans="1:38" ht="15" customHeight="1" x14ac:dyDescent="0.25">
      <c r="A740" s="3" t="s">
        <v>1135</v>
      </c>
      <c r="B740" s="3" t="s">
        <v>14</v>
      </c>
      <c r="C740" s="5">
        <v>93989.912800000006</v>
      </c>
      <c r="D740" s="5">
        <v>93989.912800000006</v>
      </c>
      <c r="E740" s="5">
        <v>85109.545199999993</v>
      </c>
      <c r="F740" t="s">
        <v>7249</v>
      </c>
      <c r="G740" s="5" t="str">
        <f t="shared" si="23"/>
        <v>Центр</v>
      </c>
      <c r="J740" s="5"/>
      <c r="AF740" t="s">
        <v>7198</v>
      </c>
      <c r="AG740" s="24" t="s">
        <v>5974</v>
      </c>
      <c r="AH740" s="5" t="s">
        <v>7198</v>
      </c>
      <c r="AI740" s="5">
        <v>22501.258099999999</v>
      </c>
      <c r="AJ740" s="5">
        <v>22501.258099999999</v>
      </c>
      <c r="AK740">
        <v>20898.251499999998</v>
      </c>
      <c r="AL740" s="5" t="str">
        <f t="shared" si="24"/>
        <v>Ивдельский городской округ</v>
      </c>
    </row>
    <row r="741" spans="1:38" ht="15" customHeight="1" x14ac:dyDescent="0.25">
      <c r="A741" s="3" t="s">
        <v>1136</v>
      </c>
      <c r="B741" s="3" t="s">
        <v>1633</v>
      </c>
      <c r="C741" s="5">
        <v>77071.442599999995</v>
      </c>
      <c r="D741" s="5">
        <v>77071.442599999995</v>
      </c>
      <c r="E741" s="5">
        <v>69789.570900000006</v>
      </c>
      <c r="F741" t="s">
        <v>7249</v>
      </c>
      <c r="G741" s="5" t="str">
        <f t="shared" si="23"/>
        <v>ВТУЗГОРОДОК</v>
      </c>
      <c r="J741" s="5"/>
      <c r="AF741" t="s">
        <v>7198</v>
      </c>
      <c r="AG741" s="24" t="s">
        <v>5975</v>
      </c>
      <c r="AH741" s="5" t="s">
        <v>7198</v>
      </c>
      <c r="AI741" s="5">
        <v>22501.258099999999</v>
      </c>
      <c r="AJ741" s="5">
        <v>22501.258099999999</v>
      </c>
      <c r="AK741">
        <v>20898.251499999998</v>
      </c>
      <c r="AL741" s="5" t="str">
        <f t="shared" si="24"/>
        <v>Ивдельский городской округ</v>
      </c>
    </row>
    <row r="742" spans="1:38" ht="15" customHeight="1" x14ac:dyDescent="0.25">
      <c r="A742" s="3" t="s">
        <v>1137</v>
      </c>
      <c r="B742" s="3" t="s">
        <v>1632</v>
      </c>
      <c r="C742" s="5">
        <v>83744.997499999998</v>
      </c>
      <c r="D742" s="5">
        <v>83744.997499999998</v>
      </c>
      <c r="E742" s="5">
        <v>75832.596099999995</v>
      </c>
      <c r="F742" t="s">
        <v>7249</v>
      </c>
      <c r="G742" s="5" t="str">
        <f t="shared" si="23"/>
        <v>АВТОВОКЗАЛ</v>
      </c>
      <c r="J742" s="5"/>
      <c r="AF742" t="s">
        <v>7198</v>
      </c>
      <c r="AG742" s="24" t="s">
        <v>5976</v>
      </c>
      <c r="AH742" s="5" t="s">
        <v>7198</v>
      </c>
      <c r="AI742" s="5">
        <v>22501.258099999999</v>
      </c>
      <c r="AJ742" s="5">
        <v>22501.258099999999</v>
      </c>
      <c r="AK742">
        <v>20898.251499999998</v>
      </c>
      <c r="AL742" s="5" t="str">
        <f t="shared" si="24"/>
        <v>Ивдельский городской округ</v>
      </c>
    </row>
    <row r="743" spans="1:38" ht="15" customHeight="1" x14ac:dyDescent="0.25">
      <c r="A743" s="3" t="s">
        <v>1138</v>
      </c>
      <c r="B743" s="3" t="s">
        <v>33</v>
      </c>
      <c r="C743" s="5">
        <v>84298.205100000006</v>
      </c>
      <c r="D743" s="5">
        <v>84298.205100000006</v>
      </c>
      <c r="E743" s="5">
        <v>76333.533100000001</v>
      </c>
      <c r="F743" t="s">
        <v>7249</v>
      </c>
      <c r="G743" s="5" t="str">
        <f t="shared" si="23"/>
        <v>ВИЗ</v>
      </c>
      <c r="J743" s="5"/>
      <c r="AF743" t="s">
        <v>7199</v>
      </c>
      <c r="AG743" s="24" t="s">
        <v>5977</v>
      </c>
      <c r="AH743" s="5" t="s">
        <v>7199</v>
      </c>
      <c r="AI743" s="5">
        <v>16218.3393</v>
      </c>
      <c r="AJ743" s="5">
        <v>16218.3393</v>
      </c>
      <c r="AK743">
        <v>15062.9359</v>
      </c>
      <c r="AL743" s="5" t="str">
        <f t="shared" si="24"/>
        <v>Ирбитское муниципальное образование</v>
      </c>
    </row>
    <row r="744" spans="1:38" ht="15" customHeight="1" x14ac:dyDescent="0.25">
      <c r="A744" s="3" t="s">
        <v>1140</v>
      </c>
      <c r="B744" s="3" t="s">
        <v>1644</v>
      </c>
      <c r="C744" s="5">
        <v>61980.678599999999</v>
      </c>
      <c r="D744" s="5">
        <v>61980.678599999999</v>
      </c>
      <c r="E744" s="5">
        <v>56124.615700000002</v>
      </c>
      <c r="F744" t="s">
        <v>7249</v>
      </c>
      <c r="G744" s="5" t="str">
        <f t="shared" si="23"/>
        <v>ХИММАШ</v>
      </c>
      <c r="J744" s="5"/>
      <c r="AF744" t="s">
        <v>7199</v>
      </c>
      <c r="AG744" s="24" t="s">
        <v>5978</v>
      </c>
      <c r="AH744" s="5" t="s">
        <v>7199</v>
      </c>
      <c r="AI744" s="5">
        <v>16218.3393</v>
      </c>
      <c r="AJ744" s="5">
        <v>16218.3393</v>
      </c>
      <c r="AK744">
        <v>15062.9359</v>
      </c>
      <c r="AL744" s="5" t="str">
        <f t="shared" si="24"/>
        <v>Ирбитское муниципальное образование</v>
      </c>
    </row>
    <row r="745" spans="1:38" ht="15" customHeight="1" x14ac:dyDescent="0.25">
      <c r="A745" s="3" t="s">
        <v>1141</v>
      </c>
      <c r="B745" s="3" t="s">
        <v>1662</v>
      </c>
      <c r="C745" s="5">
        <v>46784.877899999999</v>
      </c>
      <c r="D745" s="5">
        <v>46784.877899999999</v>
      </c>
      <c r="E745" s="5">
        <v>42364.543299999998</v>
      </c>
      <c r="F745" t="s">
        <v>7249</v>
      </c>
      <c r="G745" s="5" t="str">
        <f t="shared" si="23"/>
        <v>РУДНЫЙ</v>
      </c>
      <c r="J745" s="5"/>
      <c r="AF745" t="s">
        <v>7199</v>
      </c>
      <c r="AG745" s="24" t="s">
        <v>5979</v>
      </c>
      <c r="AH745" s="5" t="s">
        <v>7199</v>
      </c>
      <c r="AI745" s="5">
        <v>16218.3393</v>
      </c>
      <c r="AJ745" s="5">
        <v>16218.3393</v>
      </c>
      <c r="AK745">
        <v>15062.9359</v>
      </c>
      <c r="AL745" s="5" t="str">
        <f t="shared" si="24"/>
        <v>Ирбитское муниципальное образование</v>
      </c>
    </row>
    <row r="746" spans="1:38" ht="15" customHeight="1" x14ac:dyDescent="0.25">
      <c r="A746" s="3" t="s">
        <v>1142</v>
      </c>
      <c r="B746" s="3" t="s">
        <v>1659</v>
      </c>
      <c r="C746" s="5">
        <v>59746.832600000002</v>
      </c>
      <c r="D746" s="5">
        <v>59746.832600000002</v>
      </c>
      <c r="E746" s="5">
        <v>54101.823700000001</v>
      </c>
      <c r="F746" t="s">
        <v>7249</v>
      </c>
      <c r="G746" s="5" t="str">
        <f t="shared" si="23"/>
        <v>СОВХОЗ</v>
      </c>
      <c r="J746" s="5"/>
      <c r="AF746" t="s">
        <v>7199</v>
      </c>
      <c r="AG746" s="24" t="s">
        <v>5980</v>
      </c>
      <c r="AH746" s="5" t="s">
        <v>7199</v>
      </c>
      <c r="AI746" s="5">
        <v>16218.3393</v>
      </c>
      <c r="AJ746" s="5">
        <v>16218.3393</v>
      </c>
      <c r="AK746">
        <v>15062.9359</v>
      </c>
      <c r="AL746" s="5" t="str">
        <f t="shared" si="24"/>
        <v>Ирбитское муниципальное образование</v>
      </c>
    </row>
    <row r="747" spans="1:38" ht="15" customHeight="1" x14ac:dyDescent="0.25">
      <c r="A747" s="3" t="s">
        <v>1143</v>
      </c>
      <c r="B747" s="3" t="s">
        <v>1638</v>
      </c>
      <c r="C747" s="5">
        <v>63640.311600000001</v>
      </c>
      <c r="D747" s="5">
        <v>63640.311600000001</v>
      </c>
      <c r="E747" s="5">
        <v>57627.4473</v>
      </c>
      <c r="F747" t="s">
        <v>7249</v>
      </c>
      <c r="G747" s="5" t="str">
        <f t="shared" si="23"/>
        <v>УКТУС</v>
      </c>
      <c r="J747" s="5"/>
      <c r="AF747" t="s">
        <v>7199</v>
      </c>
      <c r="AG747" s="24" t="s">
        <v>5981</v>
      </c>
      <c r="AH747" s="5" t="s">
        <v>7199</v>
      </c>
      <c r="AI747" s="5">
        <v>16218.3393</v>
      </c>
      <c r="AJ747" s="5">
        <v>16218.3393</v>
      </c>
      <c r="AK747">
        <v>15062.9359</v>
      </c>
      <c r="AL747" s="5" t="str">
        <f t="shared" si="24"/>
        <v>Ирбитское муниципальное образование</v>
      </c>
    </row>
    <row r="748" spans="1:38" ht="15" customHeight="1" x14ac:dyDescent="0.25">
      <c r="A748" s="3" t="s">
        <v>1145</v>
      </c>
      <c r="B748" s="3" t="s">
        <v>1631</v>
      </c>
      <c r="C748" s="5">
        <v>70026.7601</v>
      </c>
      <c r="D748" s="5">
        <v>70026.7601</v>
      </c>
      <c r="E748" s="5">
        <v>63410.482000000004</v>
      </c>
      <c r="F748" t="s">
        <v>7249</v>
      </c>
      <c r="G748" s="5" t="str">
        <f t="shared" si="23"/>
        <v>УРАЛМАШ</v>
      </c>
      <c r="J748" s="5"/>
      <c r="AF748" t="s">
        <v>7199</v>
      </c>
      <c r="AG748" s="24" t="s">
        <v>5982</v>
      </c>
      <c r="AH748" s="5" t="s">
        <v>7199</v>
      </c>
      <c r="AI748" s="5">
        <v>16218.3393</v>
      </c>
      <c r="AJ748" s="5">
        <v>16218.3393</v>
      </c>
      <c r="AK748">
        <v>15062.9359</v>
      </c>
      <c r="AL748" s="5" t="str">
        <f t="shared" si="24"/>
        <v>Ирбитское муниципальное образование</v>
      </c>
    </row>
    <row r="749" spans="1:38" ht="15" customHeight="1" x14ac:dyDescent="0.25">
      <c r="A749" s="3" t="s">
        <v>1146</v>
      </c>
      <c r="B749" s="3" t="s">
        <v>1636</v>
      </c>
      <c r="C749" s="5">
        <v>52246.960299999999</v>
      </c>
      <c r="D749" s="5">
        <v>52246.960299999999</v>
      </c>
      <c r="E749" s="5">
        <v>47310.556700000001</v>
      </c>
      <c r="F749" t="s">
        <v>7249</v>
      </c>
      <c r="G749" s="5" t="str">
        <f t="shared" si="23"/>
        <v>ГОРНЫЙ ЩИТ</v>
      </c>
      <c r="J749" s="5"/>
      <c r="AF749" t="s">
        <v>7199</v>
      </c>
      <c r="AG749" s="24" t="s">
        <v>5983</v>
      </c>
      <c r="AH749" s="5" t="s">
        <v>7199</v>
      </c>
      <c r="AI749" s="5">
        <v>16218.3393</v>
      </c>
      <c r="AJ749" s="5">
        <v>16218.3393</v>
      </c>
      <c r="AK749">
        <v>15062.9359</v>
      </c>
      <c r="AL749" s="5" t="str">
        <f t="shared" si="24"/>
        <v>Ирбитское муниципальное образование</v>
      </c>
    </row>
    <row r="750" spans="1:38" ht="15" customHeight="1" x14ac:dyDescent="0.25">
      <c r="A750" s="3" t="s">
        <v>1147</v>
      </c>
      <c r="B750" s="3" t="s">
        <v>33</v>
      </c>
      <c r="C750" s="5">
        <v>84298.205100000006</v>
      </c>
      <c r="D750" s="5">
        <v>84298.205100000006</v>
      </c>
      <c r="E750" s="5">
        <v>76333.533100000001</v>
      </c>
      <c r="F750" t="s">
        <v>7249</v>
      </c>
      <c r="G750" s="5" t="str">
        <f t="shared" si="23"/>
        <v>ВИЗ</v>
      </c>
      <c r="J750" s="5"/>
      <c r="AF750" t="s">
        <v>7199</v>
      </c>
      <c r="AG750" s="24" t="s">
        <v>5984</v>
      </c>
      <c r="AH750" s="5" t="s">
        <v>7199</v>
      </c>
      <c r="AI750" s="5">
        <v>16218.3393</v>
      </c>
      <c r="AJ750" s="5">
        <v>16218.3393</v>
      </c>
      <c r="AK750">
        <v>15062.9359</v>
      </c>
      <c r="AL750" s="5" t="str">
        <f t="shared" si="24"/>
        <v>Ирбитское муниципальное образование</v>
      </c>
    </row>
    <row r="751" spans="1:38" ht="15" customHeight="1" x14ac:dyDescent="0.25">
      <c r="A751" s="3" t="s">
        <v>1148</v>
      </c>
      <c r="B751" s="3" t="s">
        <v>1632</v>
      </c>
      <c r="C751" s="5">
        <v>83744.997499999998</v>
      </c>
      <c r="D751" s="5">
        <v>83744.997499999998</v>
      </c>
      <c r="E751" s="5">
        <v>75832.596099999995</v>
      </c>
      <c r="F751" t="s">
        <v>7249</v>
      </c>
      <c r="G751" s="5" t="str">
        <f t="shared" si="23"/>
        <v>АВТОВОКЗАЛ</v>
      </c>
      <c r="J751" s="5"/>
      <c r="AF751" t="s">
        <v>7199</v>
      </c>
      <c r="AG751" s="24" t="s">
        <v>5985</v>
      </c>
      <c r="AH751" s="5" t="s">
        <v>7199</v>
      </c>
      <c r="AI751" s="5">
        <v>16218.3393</v>
      </c>
      <c r="AJ751" s="5">
        <v>16218.3393</v>
      </c>
      <c r="AK751">
        <v>15062.9359</v>
      </c>
      <c r="AL751" s="5" t="str">
        <f t="shared" si="24"/>
        <v>Ирбитское муниципальное образование</v>
      </c>
    </row>
    <row r="752" spans="1:38" ht="15" customHeight="1" x14ac:dyDescent="0.25">
      <c r="A752" s="3" t="s">
        <v>1149</v>
      </c>
      <c r="B752" s="3" t="s">
        <v>1633</v>
      </c>
      <c r="C752" s="5">
        <v>77071.442599999995</v>
      </c>
      <c r="D752" s="5">
        <v>77071.442599999995</v>
      </c>
      <c r="E752" s="5">
        <v>69789.570900000006</v>
      </c>
      <c r="F752" t="s">
        <v>7249</v>
      </c>
      <c r="G752" s="5" t="str">
        <f t="shared" si="23"/>
        <v>ВТУЗГОРОДОК</v>
      </c>
      <c r="J752" s="5"/>
      <c r="AF752" t="s">
        <v>7199</v>
      </c>
      <c r="AG752" s="24" t="s">
        <v>5986</v>
      </c>
      <c r="AH752" s="5" t="s">
        <v>7199</v>
      </c>
      <c r="AI752" s="5">
        <v>16218.3393</v>
      </c>
      <c r="AJ752" s="5">
        <v>16218.3393</v>
      </c>
      <c r="AK752">
        <v>15062.9359</v>
      </c>
      <c r="AL752" s="5" t="str">
        <f t="shared" si="24"/>
        <v>Ирбитское муниципальное образование</v>
      </c>
    </row>
    <row r="753" spans="1:38" ht="15" customHeight="1" x14ac:dyDescent="0.25">
      <c r="A753" s="3" t="s">
        <v>1151</v>
      </c>
      <c r="B753" s="3" t="s">
        <v>14</v>
      </c>
      <c r="C753" s="5">
        <v>93989.912800000006</v>
      </c>
      <c r="D753" s="5">
        <v>93989.912800000006</v>
      </c>
      <c r="E753" s="5">
        <v>85109.545199999993</v>
      </c>
      <c r="F753" t="s">
        <v>7249</v>
      </c>
      <c r="G753" s="5" t="str">
        <f t="shared" si="23"/>
        <v>Центр</v>
      </c>
      <c r="J753" s="5"/>
      <c r="AF753" t="s">
        <v>7199</v>
      </c>
      <c r="AG753" s="24" t="s">
        <v>5987</v>
      </c>
      <c r="AH753" s="5" t="s">
        <v>7199</v>
      </c>
      <c r="AI753" s="5">
        <v>16218.3393</v>
      </c>
      <c r="AJ753" s="5">
        <v>16218.3393</v>
      </c>
      <c r="AK753">
        <v>15062.9359</v>
      </c>
      <c r="AL753" s="5" t="str">
        <f t="shared" si="24"/>
        <v>Ирбитское муниципальное образование</v>
      </c>
    </row>
    <row r="754" spans="1:38" ht="15" customHeight="1" x14ac:dyDescent="0.25">
      <c r="A754" s="3" t="s">
        <v>1152</v>
      </c>
      <c r="B754" s="3" t="s">
        <v>1650</v>
      </c>
      <c r="C754" s="5">
        <v>37590.3603</v>
      </c>
      <c r="D754" s="5">
        <v>37590.3603</v>
      </c>
      <c r="E754" s="5">
        <v>34038.745900000002</v>
      </c>
      <c r="F754" t="s">
        <v>7249</v>
      </c>
      <c r="G754" s="5" t="str">
        <f t="shared" si="23"/>
        <v>ШАБРОВСКИЙ</v>
      </c>
      <c r="J754" s="5"/>
      <c r="AF754" t="s">
        <v>7199</v>
      </c>
      <c r="AG754" s="24" t="s">
        <v>5988</v>
      </c>
      <c r="AH754" s="5" t="s">
        <v>7199</v>
      </c>
      <c r="AI754" s="5">
        <v>16218.3393</v>
      </c>
      <c r="AJ754" s="5">
        <v>16218.3393</v>
      </c>
      <c r="AK754">
        <v>15062.9359</v>
      </c>
      <c r="AL754" s="5" t="str">
        <f t="shared" si="24"/>
        <v>Ирбитское муниципальное образование</v>
      </c>
    </row>
    <row r="755" spans="1:38" ht="15" customHeight="1" x14ac:dyDescent="0.25">
      <c r="A755" s="3" t="s">
        <v>1155</v>
      </c>
      <c r="B755" s="3" t="s">
        <v>1632</v>
      </c>
      <c r="C755" s="5">
        <v>83744.997499999998</v>
      </c>
      <c r="D755" s="5">
        <v>83744.997499999998</v>
      </c>
      <c r="E755" s="5">
        <v>75832.596099999995</v>
      </c>
      <c r="F755" t="s">
        <v>7249</v>
      </c>
      <c r="G755" s="5" t="str">
        <f t="shared" si="23"/>
        <v>АВТОВОКЗАЛ</v>
      </c>
      <c r="J755" s="5"/>
      <c r="AF755" t="s">
        <v>7199</v>
      </c>
      <c r="AG755" s="24" t="s">
        <v>5989</v>
      </c>
      <c r="AH755" s="5" t="s">
        <v>7199</v>
      </c>
      <c r="AI755" s="5">
        <v>16218.3393</v>
      </c>
      <c r="AJ755" s="5">
        <v>16218.3393</v>
      </c>
      <c r="AK755">
        <v>15062.9359</v>
      </c>
      <c r="AL755" s="5" t="str">
        <f t="shared" si="24"/>
        <v>Ирбитское муниципальное образование</v>
      </c>
    </row>
    <row r="756" spans="1:38" ht="15" customHeight="1" x14ac:dyDescent="0.25">
      <c r="A756" s="3" t="s">
        <v>1156</v>
      </c>
      <c r="B756" s="3" t="s">
        <v>1641</v>
      </c>
      <c r="C756" s="5">
        <v>63556.280200000001</v>
      </c>
      <c r="D756" s="5">
        <v>63556.280200000001</v>
      </c>
      <c r="E756" s="5">
        <v>57551.353499999997</v>
      </c>
      <c r="F756" t="s">
        <v>7249</v>
      </c>
      <c r="G756" s="5" t="str">
        <f t="shared" si="23"/>
        <v>СИБИРСКИЙ</v>
      </c>
      <c r="J756" s="5"/>
      <c r="AF756" t="s">
        <v>7199</v>
      </c>
      <c r="AG756" s="24" t="s">
        <v>5990</v>
      </c>
      <c r="AH756" s="5" t="s">
        <v>7199</v>
      </c>
      <c r="AI756" s="5">
        <v>16218.3393</v>
      </c>
      <c r="AJ756" s="5">
        <v>16218.3393</v>
      </c>
      <c r="AK756">
        <v>15062.9359</v>
      </c>
      <c r="AL756" s="5" t="str">
        <f t="shared" si="24"/>
        <v>Ирбитское муниципальное образование</v>
      </c>
    </row>
    <row r="757" spans="1:38" ht="15" customHeight="1" x14ac:dyDescent="0.25">
      <c r="A757" s="3" t="s">
        <v>1157</v>
      </c>
      <c r="B757" s="3" t="s">
        <v>1657</v>
      </c>
      <c r="C757" s="5">
        <v>54886.9666</v>
      </c>
      <c r="D757" s="5">
        <v>54886.9666</v>
      </c>
      <c r="E757" s="5">
        <v>49701.1319</v>
      </c>
      <c r="F757" t="s">
        <v>7249</v>
      </c>
      <c r="G757" s="5" t="str">
        <f t="shared" si="23"/>
        <v>КОЛЬЦОВО</v>
      </c>
      <c r="J757" s="5"/>
      <c r="AF757" t="s">
        <v>7199</v>
      </c>
      <c r="AG757" s="24" t="s">
        <v>5991</v>
      </c>
      <c r="AH757" s="5" t="s">
        <v>7199</v>
      </c>
      <c r="AI757" s="5">
        <v>16218.3393</v>
      </c>
      <c r="AJ757" s="5">
        <v>16218.3393</v>
      </c>
      <c r="AK757">
        <v>15062.9359</v>
      </c>
      <c r="AL757" s="5" t="str">
        <f t="shared" si="24"/>
        <v>Ирбитское муниципальное образование</v>
      </c>
    </row>
    <row r="758" spans="1:38" ht="15" customHeight="1" x14ac:dyDescent="0.25">
      <c r="A758" s="3" t="s">
        <v>1159</v>
      </c>
      <c r="B758" s="3" t="s">
        <v>1631</v>
      </c>
      <c r="C758" s="5">
        <v>70026.7601</v>
      </c>
      <c r="D758" s="5">
        <v>70026.7601</v>
      </c>
      <c r="E758" s="5">
        <v>63410.482000000004</v>
      </c>
      <c r="F758" t="s">
        <v>7249</v>
      </c>
      <c r="G758" s="5" t="str">
        <f t="shared" si="23"/>
        <v>УРАЛМАШ</v>
      </c>
      <c r="J758" s="5"/>
      <c r="AF758" t="s">
        <v>7199</v>
      </c>
      <c r="AG758" s="24" t="s">
        <v>5992</v>
      </c>
      <c r="AH758" s="5" t="s">
        <v>7199</v>
      </c>
      <c r="AI758" s="5">
        <v>16218.3393</v>
      </c>
      <c r="AJ758" s="5">
        <v>16218.3393</v>
      </c>
      <c r="AK758">
        <v>15062.9359</v>
      </c>
      <c r="AL758" s="5" t="str">
        <f t="shared" si="24"/>
        <v>Ирбитское муниципальное образование</v>
      </c>
    </row>
    <row r="759" spans="1:38" ht="15" customHeight="1" x14ac:dyDescent="0.25">
      <c r="A759" s="3" t="s">
        <v>1160</v>
      </c>
      <c r="B759" s="3" t="s">
        <v>14</v>
      </c>
      <c r="C759" s="5">
        <v>93989.912800000006</v>
      </c>
      <c r="D759" s="5">
        <v>93989.912800000006</v>
      </c>
      <c r="E759" s="5">
        <v>85109.545199999993</v>
      </c>
      <c r="F759" t="s">
        <v>7249</v>
      </c>
      <c r="G759" s="5" t="str">
        <f t="shared" si="23"/>
        <v>Центр</v>
      </c>
      <c r="J759" s="5"/>
      <c r="AF759" t="s">
        <v>7199</v>
      </c>
      <c r="AG759" s="24" t="s">
        <v>5993</v>
      </c>
      <c r="AH759" s="5" t="s">
        <v>7199</v>
      </c>
      <c r="AI759" s="5">
        <v>16218.3393</v>
      </c>
      <c r="AJ759" s="5">
        <v>16218.3393</v>
      </c>
      <c r="AK759">
        <v>15062.9359</v>
      </c>
      <c r="AL759" s="5" t="str">
        <f t="shared" si="24"/>
        <v>Ирбитское муниципальное образование</v>
      </c>
    </row>
    <row r="760" spans="1:38" ht="15" customHeight="1" x14ac:dyDescent="0.25">
      <c r="A760" s="3" t="s">
        <v>1162</v>
      </c>
      <c r="B760" s="3" t="s">
        <v>1631</v>
      </c>
      <c r="C760" s="5">
        <v>70026.7601</v>
      </c>
      <c r="D760" s="5">
        <v>70026.7601</v>
      </c>
      <c r="E760" s="5">
        <v>63410.482000000004</v>
      </c>
      <c r="F760" t="s">
        <v>7249</v>
      </c>
      <c r="G760" s="5" t="str">
        <f t="shared" si="23"/>
        <v>УРАЛМАШ</v>
      </c>
      <c r="J760" s="5"/>
      <c r="AF760" t="s">
        <v>7199</v>
      </c>
      <c r="AG760" s="24" t="s">
        <v>5994</v>
      </c>
      <c r="AH760" s="5" t="s">
        <v>7199</v>
      </c>
      <c r="AI760" s="5">
        <v>16218.3393</v>
      </c>
      <c r="AJ760" s="5">
        <v>16218.3393</v>
      </c>
      <c r="AK760">
        <v>15062.9359</v>
      </c>
      <c r="AL760" s="5" t="str">
        <f t="shared" si="24"/>
        <v>Ирбитское муниципальное образование</v>
      </c>
    </row>
    <row r="761" spans="1:38" ht="15" customHeight="1" x14ac:dyDescent="0.25">
      <c r="A761" s="3" t="s">
        <v>1163</v>
      </c>
      <c r="B761" s="3" t="s">
        <v>1631</v>
      </c>
      <c r="C761" s="5">
        <v>70026.7601</v>
      </c>
      <c r="D761" s="5">
        <v>70026.7601</v>
      </c>
      <c r="E761" s="5">
        <v>63410.482000000004</v>
      </c>
      <c r="F761" t="s">
        <v>7249</v>
      </c>
      <c r="G761" s="5" t="str">
        <f t="shared" si="23"/>
        <v>УРАЛМАШ</v>
      </c>
      <c r="J761" s="5"/>
      <c r="AF761" t="s">
        <v>7199</v>
      </c>
      <c r="AG761" s="24" t="s">
        <v>5995</v>
      </c>
      <c r="AH761" s="5" t="s">
        <v>7199</v>
      </c>
      <c r="AI761" s="5">
        <v>16218.3393</v>
      </c>
      <c r="AJ761" s="5">
        <v>16218.3393</v>
      </c>
      <c r="AK761">
        <v>15062.9359</v>
      </c>
      <c r="AL761" s="5" t="str">
        <f t="shared" si="24"/>
        <v>Ирбитское муниципальное образование</v>
      </c>
    </row>
    <row r="762" spans="1:38" ht="15" customHeight="1" x14ac:dyDescent="0.25">
      <c r="A762" s="3" t="s">
        <v>1164</v>
      </c>
      <c r="B762" s="3" t="s">
        <v>1657</v>
      </c>
      <c r="C762" s="5">
        <v>54886.9666</v>
      </c>
      <c r="D762" s="5">
        <v>54886.9666</v>
      </c>
      <c r="E762" s="5">
        <v>49701.1319</v>
      </c>
      <c r="F762" t="s">
        <v>7249</v>
      </c>
      <c r="G762" s="5" t="str">
        <f t="shared" si="23"/>
        <v>КОЛЬЦОВО</v>
      </c>
      <c r="J762" s="5"/>
      <c r="AF762" t="s">
        <v>7199</v>
      </c>
      <c r="AG762" s="24" t="s">
        <v>5996</v>
      </c>
      <c r="AH762" s="5" t="s">
        <v>7199</v>
      </c>
      <c r="AI762" s="5">
        <v>16218.3393</v>
      </c>
      <c r="AJ762" s="5">
        <v>16218.3393</v>
      </c>
      <c r="AK762">
        <v>15062.9359</v>
      </c>
      <c r="AL762" s="5" t="str">
        <f t="shared" si="24"/>
        <v>Ирбитское муниципальное образование</v>
      </c>
    </row>
    <row r="763" spans="1:38" ht="15" customHeight="1" x14ac:dyDescent="0.25">
      <c r="A763" s="3" t="s">
        <v>1165</v>
      </c>
      <c r="B763" s="3" t="s">
        <v>1661</v>
      </c>
      <c r="C763" s="5">
        <v>51175.5573</v>
      </c>
      <c r="D763" s="5">
        <v>51175.5573</v>
      </c>
      <c r="E763" s="5">
        <v>46340.381600000001</v>
      </c>
      <c r="F763" t="s">
        <v>7249</v>
      </c>
      <c r="G763" s="5" t="str">
        <f t="shared" si="23"/>
        <v>СЕВЕРКА</v>
      </c>
      <c r="J763" s="5"/>
      <c r="AF763" t="s">
        <v>7199</v>
      </c>
      <c r="AG763" s="24" t="s">
        <v>5997</v>
      </c>
      <c r="AH763" s="5" t="s">
        <v>7199</v>
      </c>
      <c r="AI763" s="5">
        <v>16218.3393</v>
      </c>
      <c r="AJ763" s="5">
        <v>16218.3393</v>
      </c>
      <c r="AK763">
        <v>15062.9359</v>
      </c>
      <c r="AL763" s="5" t="str">
        <f t="shared" si="24"/>
        <v>Ирбитское муниципальное образование</v>
      </c>
    </row>
    <row r="764" spans="1:38" ht="15" customHeight="1" x14ac:dyDescent="0.25">
      <c r="A764" s="3" t="s">
        <v>1166</v>
      </c>
      <c r="B764" s="3" t="s">
        <v>1647</v>
      </c>
      <c r="C764" s="5">
        <v>63178.133800000003</v>
      </c>
      <c r="D764" s="5">
        <v>63178.133800000003</v>
      </c>
      <c r="E764" s="5">
        <v>57208.931499999999</v>
      </c>
      <c r="F764" t="s">
        <v>7249</v>
      </c>
      <c r="G764" s="5" t="str">
        <f t="shared" si="23"/>
        <v>ШИРОКАЯ РЕЧКА</v>
      </c>
      <c r="J764" s="5"/>
      <c r="AF764" t="s">
        <v>7199</v>
      </c>
      <c r="AG764" s="24" t="s">
        <v>5998</v>
      </c>
      <c r="AH764" s="5" t="s">
        <v>7199</v>
      </c>
      <c r="AI764" s="5">
        <v>16218.3393</v>
      </c>
      <c r="AJ764" s="5">
        <v>16218.3393</v>
      </c>
      <c r="AK764">
        <v>15062.9359</v>
      </c>
      <c r="AL764" s="5" t="str">
        <f t="shared" si="24"/>
        <v>Ирбитское муниципальное образование</v>
      </c>
    </row>
    <row r="765" spans="1:38" ht="15" customHeight="1" x14ac:dyDescent="0.25">
      <c r="A765" s="3" t="s">
        <v>1167</v>
      </c>
      <c r="B765" s="3" t="s">
        <v>1632</v>
      </c>
      <c r="C765" s="5">
        <v>83744.997499999998</v>
      </c>
      <c r="D765" s="5">
        <v>83744.997499999998</v>
      </c>
      <c r="E765" s="5">
        <v>75832.596099999995</v>
      </c>
      <c r="F765" t="s">
        <v>7249</v>
      </c>
      <c r="G765" s="5" t="str">
        <f t="shared" si="23"/>
        <v>АВТОВОКЗАЛ</v>
      </c>
      <c r="J765" s="5"/>
      <c r="AF765" t="s">
        <v>7199</v>
      </c>
      <c r="AG765" s="24" t="s">
        <v>5999</v>
      </c>
      <c r="AH765" s="5" t="s">
        <v>7199</v>
      </c>
      <c r="AI765" s="5">
        <v>16218.3393</v>
      </c>
      <c r="AJ765" s="5">
        <v>16218.3393</v>
      </c>
      <c r="AK765">
        <v>15062.9359</v>
      </c>
      <c r="AL765" s="5" t="str">
        <f t="shared" si="24"/>
        <v>Ирбитское муниципальное образование</v>
      </c>
    </row>
    <row r="766" spans="1:38" ht="15" customHeight="1" x14ac:dyDescent="0.25">
      <c r="A766" s="3" t="s">
        <v>1169</v>
      </c>
      <c r="B766" s="3" t="s">
        <v>1645</v>
      </c>
      <c r="C766" s="5">
        <v>60958.294800000003</v>
      </c>
      <c r="D766" s="5">
        <v>60958.294800000003</v>
      </c>
      <c r="E766" s="5">
        <v>55198.825199999999</v>
      </c>
      <c r="F766" t="s">
        <v>7249</v>
      </c>
      <c r="G766" s="5" t="str">
        <f t="shared" si="23"/>
        <v>ЕЛИЗАВЕТ</v>
      </c>
      <c r="J766" s="5"/>
      <c r="AF766" t="s">
        <v>7199</v>
      </c>
      <c r="AG766" s="24" t="s">
        <v>6000</v>
      </c>
      <c r="AH766" s="5" t="s">
        <v>7199</v>
      </c>
      <c r="AI766" s="5">
        <v>16218.3393</v>
      </c>
      <c r="AJ766" s="5">
        <v>16218.3393</v>
      </c>
      <c r="AK766">
        <v>15062.9359</v>
      </c>
      <c r="AL766" s="5" t="str">
        <f t="shared" si="24"/>
        <v>Ирбитское муниципальное образование</v>
      </c>
    </row>
    <row r="767" spans="1:38" ht="15" customHeight="1" x14ac:dyDescent="0.25">
      <c r="A767" s="3" t="s">
        <v>1172</v>
      </c>
      <c r="B767" s="3" t="s">
        <v>1630</v>
      </c>
      <c r="C767" s="5">
        <v>62652.9401</v>
      </c>
      <c r="D767" s="5">
        <v>62652.9401</v>
      </c>
      <c r="E767" s="5">
        <v>56733.3557</v>
      </c>
      <c r="F767" t="s">
        <v>7249</v>
      </c>
      <c r="G767" s="5" t="str">
        <f t="shared" si="23"/>
        <v>ЧЕРМЕТ</v>
      </c>
      <c r="J767" s="5"/>
      <c r="AF767" t="s">
        <v>7199</v>
      </c>
      <c r="AG767" s="24" t="s">
        <v>6001</v>
      </c>
      <c r="AH767" s="5" t="s">
        <v>7199</v>
      </c>
      <c r="AI767" s="5">
        <v>16218.3393</v>
      </c>
      <c r="AJ767" s="5">
        <v>16218.3393</v>
      </c>
      <c r="AK767">
        <v>15062.9359</v>
      </c>
      <c r="AL767" s="5" t="str">
        <f t="shared" si="24"/>
        <v>Ирбитское муниципальное образование</v>
      </c>
    </row>
    <row r="768" spans="1:38" ht="15" customHeight="1" x14ac:dyDescent="0.25">
      <c r="A768" s="3" t="s">
        <v>1173</v>
      </c>
      <c r="B768" s="3" t="s">
        <v>1669</v>
      </c>
      <c r="C768" s="5">
        <v>60615.160499999998</v>
      </c>
      <c r="D768" s="5">
        <v>60615.160499999998</v>
      </c>
      <c r="E768" s="5">
        <v>54888.112399999998</v>
      </c>
      <c r="F768" t="s">
        <v>7249</v>
      </c>
      <c r="G768" s="5" t="str">
        <f t="shared" si="23"/>
        <v>СОЛНЕЧНЫЙ</v>
      </c>
      <c r="J768" s="5"/>
      <c r="AF768" t="s">
        <v>7199</v>
      </c>
      <c r="AG768" s="24" t="s">
        <v>6002</v>
      </c>
      <c r="AH768" s="5" t="s">
        <v>7199</v>
      </c>
      <c r="AI768" s="5">
        <v>16218.3393</v>
      </c>
      <c r="AJ768" s="5">
        <v>16218.3393</v>
      </c>
      <c r="AK768">
        <v>15062.9359</v>
      </c>
      <c r="AL768" s="5" t="str">
        <f t="shared" si="24"/>
        <v>Ирбитское муниципальное образование</v>
      </c>
    </row>
    <row r="769" spans="1:38" ht="15" customHeight="1" x14ac:dyDescent="0.25">
      <c r="A769" s="3" t="s">
        <v>1174</v>
      </c>
      <c r="B769" s="3" t="s">
        <v>1659</v>
      </c>
      <c r="C769" s="5">
        <v>59746.832600000002</v>
      </c>
      <c r="D769" s="5">
        <v>59746.832600000002</v>
      </c>
      <c r="E769" s="5">
        <v>54101.823700000001</v>
      </c>
      <c r="F769" t="s">
        <v>7249</v>
      </c>
      <c r="G769" s="5" t="str">
        <f t="shared" si="23"/>
        <v>СОВХОЗ</v>
      </c>
      <c r="J769" s="5"/>
      <c r="AF769" t="s">
        <v>7199</v>
      </c>
      <c r="AG769" s="24" t="s">
        <v>6003</v>
      </c>
      <c r="AH769" s="5" t="s">
        <v>7199</v>
      </c>
      <c r="AI769" s="5">
        <v>16218.3393</v>
      </c>
      <c r="AJ769" s="5">
        <v>16218.3393</v>
      </c>
      <c r="AK769">
        <v>15062.9359</v>
      </c>
      <c r="AL769" s="5" t="str">
        <f t="shared" si="24"/>
        <v>Ирбитское муниципальное образование</v>
      </c>
    </row>
    <row r="770" spans="1:38" ht="15" customHeight="1" x14ac:dyDescent="0.25">
      <c r="A770" s="3" t="s">
        <v>1175</v>
      </c>
      <c r="B770" s="3" t="s">
        <v>1645</v>
      </c>
      <c r="C770" s="5">
        <v>60958.294800000003</v>
      </c>
      <c r="D770" s="5">
        <v>60958.294800000003</v>
      </c>
      <c r="E770" s="5">
        <v>55198.825199999999</v>
      </c>
      <c r="F770" t="s">
        <v>7249</v>
      </c>
      <c r="G770" s="5" t="str">
        <f t="shared" si="23"/>
        <v>ЕЛИЗАВЕТ</v>
      </c>
      <c r="J770" s="5"/>
      <c r="AF770" t="s">
        <v>7199</v>
      </c>
      <c r="AG770" s="24" t="s">
        <v>6004</v>
      </c>
      <c r="AH770" s="5" t="s">
        <v>7199</v>
      </c>
      <c r="AI770" s="5">
        <v>16218.3393</v>
      </c>
      <c r="AJ770" s="5">
        <v>16218.3393</v>
      </c>
      <c r="AK770">
        <v>15062.9359</v>
      </c>
      <c r="AL770" s="5" t="str">
        <f t="shared" si="24"/>
        <v>Ирбитское муниципальное образование</v>
      </c>
    </row>
    <row r="771" spans="1:38" ht="15" customHeight="1" x14ac:dyDescent="0.25">
      <c r="A771" s="3" t="s">
        <v>1176</v>
      </c>
      <c r="B771" s="3" t="s">
        <v>1630</v>
      </c>
      <c r="C771" s="5">
        <v>62652.9401</v>
      </c>
      <c r="D771" s="5">
        <v>62652.9401</v>
      </c>
      <c r="E771" s="5">
        <v>56733.3557</v>
      </c>
      <c r="F771" t="s">
        <v>7249</v>
      </c>
      <c r="G771" s="5" t="str">
        <f t="shared" si="23"/>
        <v>ЧЕРМЕТ</v>
      </c>
      <c r="J771" s="5"/>
      <c r="AF771" t="s">
        <v>7199</v>
      </c>
      <c r="AG771" s="24" t="s">
        <v>6005</v>
      </c>
      <c r="AH771" s="5" t="s">
        <v>7199</v>
      </c>
      <c r="AI771" s="5">
        <v>16624.571899999999</v>
      </c>
      <c r="AJ771" s="5">
        <v>16624.571899999999</v>
      </c>
      <c r="AK771">
        <v>15440.2256</v>
      </c>
      <c r="AL771" s="5" t="str">
        <f t="shared" si="24"/>
        <v>Ирбитское муниципальное образование</v>
      </c>
    </row>
    <row r="772" spans="1:38" ht="15" customHeight="1" x14ac:dyDescent="0.25">
      <c r="A772" s="3" t="s">
        <v>1177</v>
      </c>
      <c r="B772" s="3" t="s">
        <v>1628</v>
      </c>
      <c r="C772" s="5">
        <v>70734.0236</v>
      </c>
      <c r="D772" s="5">
        <v>70734.0236</v>
      </c>
      <c r="E772" s="5">
        <v>64050.9208</v>
      </c>
      <c r="F772" t="s">
        <v>7249</v>
      </c>
      <c r="G772" s="5" t="str">
        <f t="shared" ref="G772:G835" si="25">B772</f>
        <v>ЭЛЬМАШ</v>
      </c>
      <c r="J772" s="5"/>
      <c r="AF772" t="s">
        <v>7199</v>
      </c>
      <c r="AG772" s="24" t="s">
        <v>6006</v>
      </c>
      <c r="AH772" s="5" t="s">
        <v>7199</v>
      </c>
      <c r="AI772" s="5">
        <v>16218.3393</v>
      </c>
      <c r="AJ772" s="5">
        <v>16218.3393</v>
      </c>
      <c r="AK772">
        <v>15062.9359</v>
      </c>
      <c r="AL772" s="5" t="str">
        <f t="shared" ref="AL772:AL835" si="26">AF772</f>
        <v>Ирбитское муниципальное образование</v>
      </c>
    </row>
    <row r="773" spans="1:38" ht="15" customHeight="1" x14ac:dyDescent="0.25">
      <c r="A773" s="3" t="s">
        <v>1178</v>
      </c>
      <c r="B773" s="3" t="s">
        <v>1631</v>
      </c>
      <c r="C773" s="5">
        <v>70026.7601</v>
      </c>
      <c r="D773" s="5">
        <v>70026.7601</v>
      </c>
      <c r="E773" s="5">
        <v>63410.482000000004</v>
      </c>
      <c r="F773" t="s">
        <v>7249</v>
      </c>
      <c r="G773" s="5" t="str">
        <f t="shared" si="25"/>
        <v>УРАЛМАШ</v>
      </c>
      <c r="J773" s="5"/>
      <c r="AF773" t="s">
        <v>7199</v>
      </c>
      <c r="AG773" s="24" t="s">
        <v>6007</v>
      </c>
      <c r="AH773" s="5" t="s">
        <v>7199</v>
      </c>
      <c r="AI773" s="5">
        <v>16218.3393</v>
      </c>
      <c r="AJ773" s="5">
        <v>16218.3393</v>
      </c>
      <c r="AK773">
        <v>15062.9359</v>
      </c>
      <c r="AL773" s="5" t="str">
        <f t="shared" si="26"/>
        <v>Ирбитское муниципальное образование</v>
      </c>
    </row>
    <row r="774" spans="1:38" ht="15" customHeight="1" x14ac:dyDescent="0.25">
      <c r="A774" s="3" t="s">
        <v>1179</v>
      </c>
      <c r="B774" s="3" t="s">
        <v>33</v>
      </c>
      <c r="C774" s="5">
        <v>84298.205100000006</v>
      </c>
      <c r="D774" s="5">
        <v>84298.205100000006</v>
      </c>
      <c r="E774" s="5">
        <v>76333.533100000001</v>
      </c>
      <c r="F774" t="s">
        <v>7249</v>
      </c>
      <c r="G774" s="5" t="str">
        <f t="shared" si="25"/>
        <v>ВИЗ</v>
      </c>
      <c r="J774" s="5"/>
      <c r="AF774" t="s">
        <v>7199</v>
      </c>
      <c r="AG774" s="24" t="s">
        <v>6008</v>
      </c>
      <c r="AH774" s="5" t="s">
        <v>7199</v>
      </c>
      <c r="AI774" s="5">
        <v>16624.571899999999</v>
      </c>
      <c r="AJ774" s="5">
        <v>16624.571899999999</v>
      </c>
      <c r="AK774">
        <v>15440.2256</v>
      </c>
      <c r="AL774" s="5" t="str">
        <f t="shared" si="26"/>
        <v>Ирбитское муниципальное образование</v>
      </c>
    </row>
    <row r="775" spans="1:38" ht="15" customHeight="1" x14ac:dyDescent="0.25">
      <c r="A775" s="3" t="s">
        <v>1180</v>
      </c>
      <c r="B775" s="3" t="s">
        <v>1637</v>
      </c>
      <c r="C775" s="5">
        <v>59368.686099999999</v>
      </c>
      <c r="D775" s="5">
        <v>59368.686099999999</v>
      </c>
      <c r="E775" s="5">
        <v>53759.401700000002</v>
      </c>
      <c r="F775" t="s">
        <v>7249</v>
      </c>
      <c r="G775" s="5" t="str">
        <f t="shared" si="25"/>
        <v>Старая сортировка</v>
      </c>
      <c r="J775" s="5"/>
      <c r="AF775" t="s">
        <v>7199</v>
      </c>
      <c r="AG775" s="24" t="s">
        <v>6009</v>
      </c>
      <c r="AH775" s="5" t="s">
        <v>7199</v>
      </c>
      <c r="AI775" s="5">
        <v>16218.3393</v>
      </c>
      <c r="AJ775" s="5">
        <v>16218.3393</v>
      </c>
      <c r="AK775">
        <v>15062.9359</v>
      </c>
      <c r="AL775" s="5" t="str">
        <f t="shared" si="26"/>
        <v>Ирбитское муниципальное образование</v>
      </c>
    </row>
    <row r="776" spans="1:38" ht="15" customHeight="1" x14ac:dyDescent="0.25">
      <c r="A776" s="3" t="s">
        <v>1181</v>
      </c>
      <c r="B776" s="3" t="s">
        <v>1631</v>
      </c>
      <c r="C776" s="5">
        <v>70026.7601</v>
      </c>
      <c r="D776" s="5">
        <v>70026.7601</v>
      </c>
      <c r="E776" s="5">
        <v>63410.482000000004</v>
      </c>
      <c r="F776" t="s">
        <v>7249</v>
      </c>
      <c r="G776" s="5" t="str">
        <f t="shared" si="25"/>
        <v>УРАЛМАШ</v>
      </c>
      <c r="J776" s="5"/>
      <c r="AF776" t="s">
        <v>7199</v>
      </c>
      <c r="AG776" s="24" t="s">
        <v>6010</v>
      </c>
      <c r="AH776" s="5" t="s">
        <v>7199</v>
      </c>
      <c r="AI776" s="5">
        <v>16218.3393</v>
      </c>
      <c r="AJ776" s="5">
        <v>16218.3393</v>
      </c>
      <c r="AK776">
        <v>15062.9359</v>
      </c>
      <c r="AL776" s="5" t="str">
        <f t="shared" si="26"/>
        <v>Ирбитское муниципальное образование</v>
      </c>
    </row>
    <row r="777" spans="1:38" ht="15" customHeight="1" x14ac:dyDescent="0.25">
      <c r="A777" s="3" t="s">
        <v>1182</v>
      </c>
      <c r="B777" s="3" t="s">
        <v>1657</v>
      </c>
      <c r="C777" s="5">
        <v>54886.9666</v>
      </c>
      <c r="D777" s="5">
        <v>54886.9666</v>
      </c>
      <c r="E777" s="5">
        <v>49701.1319</v>
      </c>
      <c r="F777" t="s">
        <v>7249</v>
      </c>
      <c r="G777" s="5" t="str">
        <f t="shared" si="25"/>
        <v>КОЛЬЦОВО</v>
      </c>
      <c r="J777" s="5"/>
      <c r="AF777" t="s">
        <v>7199</v>
      </c>
      <c r="AG777" s="24" t="s">
        <v>6011</v>
      </c>
      <c r="AH777" s="5" t="s">
        <v>7199</v>
      </c>
      <c r="AI777" s="5">
        <v>16218.3393</v>
      </c>
      <c r="AJ777" s="5">
        <v>16218.3393</v>
      </c>
      <c r="AK777">
        <v>15062.9359</v>
      </c>
      <c r="AL777" s="5" t="str">
        <f t="shared" si="26"/>
        <v>Ирбитское муниципальное образование</v>
      </c>
    </row>
    <row r="778" spans="1:38" ht="15" customHeight="1" x14ac:dyDescent="0.25">
      <c r="A778" s="3" t="s">
        <v>1183</v>
      </c>
      <c r="B778" s="3" t="s">
        <v>1650</v>
      </c>
      <c r="C778" s="5">
        <v>37590.3603</v>
      </c>
      <c r="D778" s="5">
        <v>37590.3603</v>
      </c>
      <c r="E778" s="5">
        <v>34038.745900000002</v>
      </c>
      <c r="F778" t="s">
        <v>7249</v>
      </c>
      <c r="G778" s="5" t="str">
        <f t="shared" si="25"/>
        <v>ШАБРОВСКИЙ</v>
      </c>
      <c r="J778" s="5"/>
      <c r="AF778" t="s">
        <v>7199</v>
      </c>
      <c r="AG778" s="24" t="s">
        <v>6012</v>
      </c>
      <c r="AH778" s="5" t="s">
        <v>7199</v>
      </c>
      <c r="AI778" s="5">
        <v>16218.3393</v>
      </c>
      <c r="AJ778" s="5">
        <v>16218.3393</v>
      </c>
      <c r="AK778">
        <v>15062.9359</v>
      </c>
      <c r="AL778" s="5" t="str">
        <f t="shared" si="26"/>
        <v>Ирбитское муниципальное образование</v>
      </c>
    </row>
    <row r="779" spans="1:38" ht="15" customHeight="1" x14ac:dyDescent="0.25">
      <c r="A779" s="3" t="s">
        <v>1184</v>
      </c>
      <c r="B779" s="3" t="s">
        <v>1650</v>
      </c>
      <c r="C779" s="5">
        <v>37590.3603</v>
      </c>
      <c r="D779" s="5">
        <v>37590.3603</v>
      </c>
      <c r="E779" s="5">
        <v>34038.745900000002</v>
      </c>
      <c r="F779" t="s">
        <v>7249</v>
      </c>
      <c r="G779" s="5" t="str">
        <f t="shared" si="25"/>
        <v>ШАБРОВСКИЙ</v>
      </c>
      <c r="J779" s="5"/>
      <c r="AF779" t="s">
        <v>7199</v>
      </c>
      <c r="AG779" s="24" t="s">
        <v>6013</v>
      </c>
      <c r="AH779" s="5" t="s">
        <v>7199</v>
      </c>
      <c r="AI779" s="5">
        <v>16624.571899999999</v>
      </c>
      <c r="AJ779" s="5">
        <v>16624.571899999999</v>
      </c>
      <c r="AK779">
        <v>15440.2256</v>
      </c>
      <c r="AL779" s="5" t="str">
        <f t="shared" si="26"/>
        <v>Ирбитское муниципальное образование</v>
      </c>
    </row>
    <row r="780" spans="1:38" ht="15" customHeight="1" x14ac:dyDescent="0.25">
      <c r="A780" s="3" t="s">
        <v>1185</v>
      </c>
      <c r="B780" s="3" t="s">
        <v>1638</v>
      </c>
      <c r="C780" s="5">
        <v>63640.311600000001</v>
      </c>
      <c r="D780" s="5">
        <v>63640.311600000001</v>
      </c>
      <c r="E780" s="5">
        <v>57627.4473</v>
      </c>
      <c r="F780" t="s">
        <v>7249</v>
      </c>
      <c r="G780" s="5" t="str">
        <f t="shared" si="25"/>
        <v>УКТУС</v>
      </c>
      <c r="J780" s="5"/>
      <c r="AF780" t="s">
        <v>7199</v>
      </c>
      <c r="AG780" s="24" t="s">
        <v>6014</v>
      </c>
      <c r="AH780" s="5" t="s">
        <v>7199</v>
      </c>
      <c r="AI780" s="5">
        <v>16218.3393</v>
      </c>
      <c r="AJ780" s="5">
        <v>16218.3393</v>
      </c>
      <c r="AK780">
        <v>15062.9359</v>
      </c>
      <c r="AL780" s="5" t="str">
        <f t="shared" si="26"/>
        <v>Ирбитское муниципальное образование</v>
      </c>
    </row>
    <row r="781" spans="1:38" ht="15" customHeight="1" x14ac:dyDescent="0.25">
      <c r="A781" s="3" t="s">
        <v>1186</v>
      </c>
      <c r="B781" s="3" t="s">
        <v>1659</v>
      </c>
      <c r="C781" s="5">
        <v>59746.832600000002</v>
      </c>
      <c r="D781" s="5">
        <v>59746.832600000002</v>
      </c>
      <c r="E781" s="5">
        <v>54101.823700000001</v>
      </c>
      <c r="F781" t="s">
        <v>7249</v>
      </c>
      <c r="G781" s="5" t="str">
        <f t="shared" si="25"/>
        <v>СОВХОЗ</v>
      </c>
      <c r="J781" s="5"/>
      <c r="AF781" t="s">
        <v>7199</v>
      </c>
      <c r="AG781" s="24" t="s">
        <v>6015</v>
      </c>
      <c r="AH781" s="5" t="s">
        <v>7199</v>
      </c>
      <c r="AI781" s="5">
        <v>16218.3393</v>
      </c>
      <c r="AJ781" s="5">
        <v>16218.3393</v>
      </c>
      <c r="AK781">
        <v>15062.9359</v>
      </c>
      <c r="AL781" s="5" t="str">
        <f t="shared" si="26"/>
        <v>Ирбитское муниципальное образование</v>
      </c>
    </row>
    <row r="782" spans="1:38" ht="15" customHeight="1" x14ac:dyDescent="0.25">
      <c r="A782" s="3" t="s">
        <v>1188</v>
      </c>
      <c r="B782" s="3" t="s">
        <v>33</v>
      </c>
      <c r="C782" s="5">
        <v>84298.205100000006</v>
      </c>
      <c r="D782" s="5">
        <v>84298.205100000006</v>
      </c>
      <c r="E782" s="5">
        <v>76333.533100000001</v>
      </c>
      <c r="F782" t="s">
        <v>7249</v>
      </c>
      <c r="G782" s="5" t="str">
        <f t="shared" si="25"/>
        <v>ВИЗ</v>
      </c>
      <c r="J782" s="5"/>
      <c r="AF782" t="s">
        <v>7199</v>
      </c>
      <c r="AG782" s="24" t="s">
        <v>6016</v>
      </c>
      <c r="AH782" s="5" t="s">
        <v>7199</v>
      </c>
      <c r="AI782" s="5">
        <v>16218.3393</v>
      </c>
      <c r="AJ782" s="5">
        <v>16218.3393</v>
      </c>
      <c r="AK782">
        <v>15062.9359</v>
      </c>
      <c r="AL782" s="5" t="str">
        <f t="shared" si="26"/>
        <v>Ирбитское муниципальное образование</v>
      </c>
    </row>
    <row r="783" spans="1:38" ht="15" customHeight="1" x14ac:dyDescent="0.25">
      <c r="A783" s="3" t="s">
        <v>1189</v>
      </c>
      <c r="B783" s="3" t="s">
        <v>1636</v>
      </c>
      <c r="C783" s="5">
        <v>52246.960299999999</v>
      </c>
      <c r="D783" s="5">
        <v>52246.960299999999</v>
      </c>
      <c r="E783" s="5">
        <v>47310.556700000001</v>
      </c>
      <c r="F783" t="s">
        <v>7249</v>
      </c>
      <c r="G783" s="5" t="str">
        <f t="shared" si="25"/>
        <v>ГОРНЫЙ ЩИТ</v>
      </c>
      <c r="J783" s="5"/>
      <c r="AF783" t="s">
        <v>7199</v>
      </c>
      <c r="AG783" s="24" t="s">
        <v>6017</v>
      </c>
      <c r="AH783" s="5" t="s">
        <v>7199</v>
      </c>
      <c r="AI783" s="5">
        <v>16218.3393</v>
      </c>
      <c r="AJ783" s="5">
        <v>16218.3393</v>
      </c>
      <c r="AK783">
        <v>15062.9359</v>
      </c>
      <c r="AL783" s="5" t="str">
        <f t="shared" si="26"/>
        <v>Ирбитское муниципальное образование</v>
      </c>
    </row>
    <row r="784" spans="1:38" ht="15" customHeight="1" x14ac:dyDescent="0.25">
      <c r="A784" s="3" t="s">
        <v>1190</v>
      </c>
      <c r="B784" s="3" t="s">
        <v>1628</v>
      </c>
      <c r="C784" s="5">
        <v>70734.0236</v>
      </c>
      <c r="D784" s="5">
        <v>70734.0236</v>
      </c>
      <c r="E784" s="5">
        <v>64050.9208</v>
      </c>
      <c r="F784" t="s">
        <v>7249</v>
      </c>
      <c r="G784" s="5" t="str">
        <f t="shared" si="25"/>
        <v>ЭЛЬМАШ</v>
      </c>
      <c r="J784" s="5"/>
      <c r="AF784" t="s">
        <v>7199</v>
      </c>
      <c r="AG784" s="24" t="s">
        <v>6018</v>
      </c>
      <c r="AH784" s="5" t="s">
        <v>7199</v>
      </c>
      <c r="AI784" s="5">
        <v>16218.3393</v>
      </c>
      <c r="AJ784" s="5">
        <v>16218.3393</v>
      </c>
      <c r="AK784">
        <v>15062.9359</v>
      </c>
      <c r="AL784" s="5" t="str">
        <f t="shared" si="26"/>
        <v>Ирбитское муниципальное образование</v>
      </c>
    </row>
    <row r="785" spans="1:38" ht="15" customHeight="1" x14ac:dyDescent="0.25">
      <c r="A785" s="3" t="s">
        <v>1191</v>
      </c>
      <c r="B785" s="3" t="s">
        <v>1628</v>
      </c>
      <c r="C785" s="5">
        <v>70734.0236</v>
      </c>
      <c r="D785" s="5">
        <v>70734.0236</v>
      </c>
      <c r="E785" s="5">
        <v>64050.9208</v>
      </c>
      <c r="F785" t="s">
        <v>7249</v>
      </c>
      <c r="G785" s="5" t="str">
        <f t="shared" si="25"/>
        <v>ЭЛЬМАШ</v>
      </c>
      <c r="J785" s="5"/>
      <c r="AF785" t="s">
        <v>7199</v>
      </c>
      <c r="AG785" s="24" t="s">
        <v>6019</v>
      </c>
      <c r="AH785" s="5" t="s">
        <v>7199</v>
      </c>
      <c r="AI785" s="5">
        <v>16218.3393</v>
      </c>
      <c r="AJ785" s="5">
        <v>16218.3393</v>
      </c>
      <c r="AK785">
        <v>15062.9359</v>
      </c>
      <c r="AL785" s="5" t="str">
        <f t="shared" si="26"/>
        <v>Ирбитское муниципальное образование</v>
      </c>
    </row>
    <row r="786" spans="1:38" ht="15" customHeight="1" x14ac:dyDescent="0.25">
      <c r="A786" s="3" t="s">
        <v>1192</v>
      </c>
      <c r="B786" s="3" t="s">
        <v>1637</v>
      </c>
      <c r="C786" s="5">
        <v>59368.686099999999</v>
      </c>
      <c r="D786" s="5">
        <v>59368.686099999999</v>
      </c>
      <c r="E786" s="5">
        <v>53759.401700000002</v>
      </c>
      <c r="F786" t="s">
        <v>7249</v>
      </c>
      <c r="G786" s="5" t="str">
        <f t="shared" si="25"/>
        <v>Старая сортировка</v>
      </c>
      <c r="J786" s="5"/>
      <c r="AF786" t="s">
        <v>7199</v>
      </c>
      <c r="AG786" s="24" t="s">
        <v>6020</v>
      </c>
      <c r="AH786" s="5" t="s">
        <v>7199</v>
      </c>
      <c r="AI786" s="5">
        <v>16218.3393</v>
      </c>
      <c r="AJ786" s="5">
        <v>16218.3393</v>
      </c>
      <c r="AK786">
        <v>15062.9359</v>
      </c>
      <c r="AL786" s="5" t="str">
        <f t="shared" si="26"/>
        <v>Ирбитское муниципальное образование</v>
      </c>
    </row>
    <row r="787" spans="1:38" ht="15" customHeight="1" x14ac:dyDescent="0.25">
      <c r="A787" s="3" t="s">
        <v>1193</v>
      </c>
      <c r="B787" s="3" t="s">
        <v>1637</v>
      </c>
      <c r="C787" s="5">
        <v>59368.686099999999</v>
      </c>
      <c r="D787" s="5">
        <v>59368.686099999999</v>
      </c>
      <c r="E787" s="5">
        <v>53759.401700000002</v>
      </c>
      <c r="F787" t="s">
        <v>7249</v>
      </c>
      <c r="G787" s="5" t="str">
        <f t="shared" si="25"/>
        <v>Старая сортировка</v>
      </c>
      <c r="J787" s="5"/>
      <c r="AF787" t="s">
        <v>7199</v>
      </c>
      <c r="AG787" s="24" t="s">
        <v>6021</v>
      </c>
      <c r="AH787" s="5" t="s">
        <v>7199</v>
      </c>
      <c r="AI787" s="5">
        <v>16218.3393</v>
      </c>
      <c r="AJ787" s="5">
        <v>16218.3393</v>
      </c>
      <c r="AK787">
        <v>15062.9359</v>
      </c>
      <c r="AL787" s="5" t="str">
        <f t="shared" si="26"/>
        <v>Ирбитское муниципальное образование</v>
      </c>
    </row>
    <row r="788" spans="1:38" ht="15" customHeight="1" x14ac:dyDescent="0.25">
      <c r="A788" s="3" t="s">
        <v>1194</v>
      </c>
      <c r="B788" s="3" t="s">
        <v>14</v>
      </c>
      <c r="C788" s="5">
        <v>93989.912800000006</v>
      </c>
      <c r="D788" s="5">
        <v>93989.912800000006</v>
      </c>
      <c r="E788" s="5">
        <v>85109.545199999993</v>
      </c>
      <c r="F788" t="s">
        <v>7249</v>
      </c>
      <c r="G788" s="5" t="str">
        <f t="shared" si="25"/>
        <v>Центр</v>
      </c>
      <c r="J788" s="5"/>
      <c r="AF788" t="s">
        <v>7199</v>
      </c>
      <c r="AG788" s="24" t="s">
        <v>6022</v>
      </c>
      <c r="AH788" s="5" t="s">
        <v>7199</v>
      </c>
      <c r="AI788" s="5">
        <v>16218.3393</v>
      </c>
      <c r="AJ788" s="5">
        <v>16218.3393</v>
      </c>
      <c r="AK788">
        <v>15062.9359</v>
      </c>
      <c r="AL788" s="5" t="str">
        <f t="shared" si="26"/>
        <v>Ирбитское муниципальное образование</v>
      </c>
    </row>
    <row r="789" spans="1:38" ht="15" customHeight="1" x14ac:dyDescent="0.25">
      <c r="A789" s="3" t="s">
        <v>1195</v>
      </c>
      <c r="B789" s="3" t="s">
        <v>14</v>
      </c>
      <c r="C789" s="5">
        <v>93989.912800000006</v>
      </c>
      <c r="D789" s="5">
        <v>93989.912800000006</v>
      </c>
      <c r="E789" s="5">
        <v>85109.545199999993</v>
      </c>
      <c r="F789" t="s">
        <v>7249</v>
      </c>
      <c r="G789" s="5" t="str">
        <f t="shared" si="25"/>
        <v>Центр</v>
      </c>
      <c r="J789" s="5"/>
      <c r="AF789" t="s">
        <v>7199</v>
      </c>
      <c r="AG789" s="24" t="s">
        <v>6023</v>
      </c>
      <c r="AH789" s="5" t="s">
        <v>7199</v>
      </c>
      <c r="AI789" s="5">
        <v>16218.3393</v>
      </c>
      <c r="AJ789" s="5">
        <v>16218.3393</v>
      </c>
      <c r="AK789">
        <v>15062.9359</v>
      </c>
      <c r="AL789" s="5" t="str">
        <f t="shared" si="26"/>
        <v>Ирбитское муниципальное образование</v>
      </c>
    </row>
    <row r="790" spans="1:38" ht="15" customHeight="1" x14ac:dyDescent="0.25">
      <c r="A790" s="3" t="s">
        <v>1196</v>
      </c>
      <c r="B790" s="3" t="s">
        <v>1632</v>
      </c>
      <c r="C790" s="5">
        <v>83744.997499999998</v>
      </c>
      <c r="D790" s="5">
        <v>83744.997499999998</v>
      </c>
      <c r="E790" s="5">
        <v>75832.596099999995</v>
      </c>
      <c r="F790" t="s">
        <v>7249</v>
      </c>
      <c r="G790" s="5" t="str">
        <f t="shared" si="25"/>
        <v>АВТОВОКЗАЛ</v>
      </c>
      <c r="J790" s="5"/>
      <c r="AF790" t="s">
        <v>7199</v>
      </c>
      <c r="AG790" s="24" t="s">
        <v>6024</v>
      </c>
      <c r="AH790" s="5" t="s">
        <v>7199</v>
      </c>
      <c r="AI790" s="5">
        <v>16218.3393</v>
      </c>
      <c r="AJ790" s="5">
        <v>16218.3393</v>
      </c>
      <c r="AK790">
        <v>15062.9359</v>
      </c>
      <c r="AL790" s="5" t="str">
        <f t="shared" si="26"/>
        <v>Ирбитское муниципальное образование</v>
      </c>
    </row>
    <row r="791" spans="1:38" ht="15" customHeight="1" x14ac:dyDescent="0.25">
      <c r="A791" s="3" t="s">
        <v>1198</v>
      </c>
      <c r="B791" s="3" t="s">
        <v>14</v>
      </c>
      <c r="C791" s="5">
        <v>93989.912800000006</v>
      </c>
      <c r="D791" s="5">
        <v>93989.912800000006</v>
      </c>
      <c r="E791" s="5">
        <v>85109.545199999993</v>
      </c>
      <c r="F791" t="s">
        <v>7249</v>
      </c>
      <c r="G791" s="5" t="str">
        <f t="shared" si="25"/>
        <v>Центр</v>
      </c>
      <c r="J791" s="5"/>
      <c r="AF791" t="s">
        <v>7199</v>
      </c>
      <c r="AG791" s="24" t="s">
        <v>6025</v>
      </c>
      <c r="AH791" s="5" t="s">
        <v>7199</v>
      </c>
      <c r="AI791" s="5">
        <v>16218.3393</v>
      </c>
      <c r="AJ791" s="5">
        <v>16218.3393</v>
      </c>
      <c r="AK791">
        <v>15062.9359</v>
      </c>
      <c r="AL791" s="5" t="str">
        <f t="shared" si="26"/>
        <v>Ирбитское муниципальное образование</v>
      </c>
    </row>
    <row r="792" spans="1:38" ht="15" customHeight="1" x14ac:dyDescent="0.25">
      <c r="A792" s="3" t="s">
        <v>1200</v>
      </c>
      <c r="B792" s="3" t="s">
        <v>1636</v>
      </c>
      <c r="C792" s="5">
        <v>52246.960299999999</v>
      </c>
      <c r="D792" s="5">
        <v>52246.960299999999</v>
      </c>
      <c r="E792" s="5">
        <v>47310.556700000001</v>
      </c>
      <c r="F792" t="s">
        <v>7249</v>
      </c>
      <c r="G792" s="5" t="str">
        <f t="shared" si="25"/>
        <v>ГОРНЫЙ ЩИТ</v>
      </c>
      <c r="J792" s="5"/>
      <c r="AF792" t="s">
        <v>7199</v>
      </c>
      <c r="AG792" s="24" t="s">
        <v>6026</v>
      </c>
      <c r="AH792" s="5" t="s">
        <v>7199</v>
      </c>
      <c r="AI792" s="5">
        <v>16218.3393</v>
      </c>
      <c r="AJ792" s="5">
        <v>16218.3393</v>
      </c>
      <c r="AK792">
        <v>15062.9359</v>
      </c>
      <c r="AL792" s="5" t="str">
        <f t="shared" si="26"/>
        <v>Ирбитское муниципальное образование</v>
      </c>
    </row>
    <row r="793" spans="1:38" ht="15" customHeight="1" x14ac:dyDescent="0.25">
      <c r="A793" s="3" t="s">
        <v>1201</v>
      </c>
      <c r="B793" s="3" t="s">
        <v>1633</v>
      </c>
      <c r="C793" s="5">
        <v>77071.442599999995</v>
      </c>
      <c r="D793" s="5">
        <v>77071.442599999995</v>
      </c>
      <c r="E793" s="5">
        <v>69789.570900000006</v>
      </c>
      <c r="F793" t="s">
        <v>7249</v>
      </c>
      <c r="G793" s="5" t="str">
        <f t="shared" si="25"/>
        <v>ВТУЗГОРОДОК</v>
      </c>
      <c r="J793" s="5"/>
      <c r="AF793" t="s">
        <v>7199</v>
      </c>
      <c r="AG793" s="24" t="s">
        <v>6027</v>
      </c>
      <c r="AH793" s="5" t="s">
        <v>7199</v>
      </c>
      <c r="AI793" s="5">
        <v>16218.3393</v>
      </c>
      <c r="AJ793" s="5">
        <v>16218.3393</v>
      </c>
      <c r="AK793">
        <v>15062.9359</v>
      </c>
      <c r="AL793" s="5" t="str">
        <f t="shared" si="26"/>
        <v>Ирбитское муниципальное образование</v>
      </c>
    </row>
    <row r="794" spans="1:38" ht="15" customHeight="1" x14ac:dyDescent="0.25">
      <c r="A794" s="3" t="s">
        <v>1202</v>
      </c>
      <c r="B794" s="3" t="s">
        <v>14</v>
      </c>
      <c r="C794" s="5">
        <v>93989.912800000006</v>
      </c>
      <c r="D794" s="5">
        <v>93989.912800000006</v>
      </c>
      <c r="E794" s="5">
        <v>85109.545199999993</v>
      </c>
      <c r="F794" t="s">
        <v>7249</v>
      </c>
      <c r="G794" s="5" t="str">
        <f t="shared" si="25"/>
        <v>Центр</v>
      </c>
      <c r="J794" s="5"/>
      <c r="AF794" t="s">
        <v>7199</v>
      </c>
      <c r="AG794" s="24" t="s">
        <v>6028</v>
      </c>
      <c r="AH794" s="5" t="s">
        <v>7199</v>
      </c>
      <c r="AI794" s="5">
        <v>16218.3393</v>
      </c>
      <c r="AJ794" s="5">
        <v>16218.3393</v>
      </c>
      <c r="AK794">
        <v>15062.9359</v>
      </c>
      <c r="AL794" s="5" t="str">
        <f t="shared" si="26"/>
        <v>Ирбитское муниципальное образование</v>
      </c>
    </row>
    <row r="795" spans="1:38" ht="15" customHeight="1" x14ac:dyDescent="0.25">
      <c r="A795" s="3" t="s">
        <v>1203</v>
      </c>
      <c r="B795" s="3" t="s">
        <v>779</v>
      </c>
      <c r="C795" s="5">
        <v>46784.877899999999</v>
      </c>
      <c r="D795" s="5">
        <v>46784.877899999999</v>
      </c>
      <c r="E795" s="5">
        <v>42364.543299999998</v>
      </c>
      <c r="F795" t="s">
        <v>7249</v>
      </c>
      <c r="G795" s="5" t="str">
        <f t="shared" si="25"/>
        <v>Нижнеисетский</v>
      </c>
      <c r="J795" s="5"/>
      <c r="AF795" t="s">
        <v>7199</v>
      </c>
      <c r="AG795" s="24" t="s">
        <v>6029</v>
      </c>
      <c r="AH795" s="5" t="s">
        <v>7199</v>
      </c>
      <c r="AI795" s="5">
        <v>16218.3393</v>
      </c>
      <c r="AJ795" s="5">
        <v>16218.3393</v>
      </c>
      <c r="AK795">
        <v>15062.9359</v>
      </c>
      <c r="AL795" s="5" t="str">
        <f t="shared" si="26"/>
        <v>Ирбитское муниципальное образование</v>
      </c>
    </row>
    <row r="796" spans="1:38" ht="15" customHeight="1" x14ac:dyDescent="0.25">
      <c r="A796" s="3" t="s">
        <v>1204</v>
      </c>
      <c r="B796" s="3" t="s">
        <v>1643</v>
      </c>
      <c r="C796" s="5">
        <v>76630.280299999999</v>
      </c>
      <c r="D796" s="5">
        <v>76630.280299999999</v>
      </c>
      <c r="E796" s="5">
        <v>69390.088799999998</v>
      </c>
      <c r="F796" t="s">
        <v>7249</v>
      </c>
      <c r="G796" s="5" t="str">
        <f t="shared" si="25"/>
        <v>Ю-З</v>
      </c>
      <c r="J796" s="5"/>
      <c r="AF796" t="s">
        <v>7199</v>
      </c>
      <c r="AG796" s="24" t="s">
        <v>6030</v>
      </c>
      <c r="AH796" s="5" t="s">
        <v>7199</v>
      </c>
      <c r="AI796" s="5">
        <v>16218.3393</v>
      </c>
      <c r="AJ796" s="5">
        <v>16218.3393</v>
      </c>
      <c r="AK796">
        <v>15062.9359</v>
      </c>
      <c r="AL796" s="5" t="str">
        <f t="shared" si="26"/>
        <v>Ирбитское муниципальное образование</v>
      </c>
    </row>
    <row r="797" spans="1:38" ht="15" customHeight="1" x14ac:dyDescent="0.25">
      <c r="A797" s="3" t="s">
        <v>1205</v>
      </c>
      <c r="B797" s="3" t="s">
        <v>1650</v>
      </c>
      <c r="C797" s="5">
        <v>37590.3603</v>
      </c>
      <c r="D797" s="5">
        <v>37590.3603</v>
      </c>
      <c r="E797" s="5">
        <v>34038.745900000002</v>
      </c>
      <c r="F797" t="s">
        <v>7249</v>
      </c>
      <c r="G797" s="5" t="str">
        <f t="shared" si="25"/>
        <v>ШАБРОВСКИЙ</v>
      </c>
      <c r="J797" s="5"/>
      <c r="AF797" t="s">
        <v>7199</v>
      </c>
      <c r="AG797" s="24" t="s">
        <v>6031</v>
      </c>
      <c r="AH797" s="5" t="s">
        <v>7199</v>
      </c>
      <c r="AI797" s="5">
        <v>16218.3393</v>
      </c>
      <c r="AJ797" s="5">
        <v>16218.3393</v>
      </c>
      <c r="AK797">
        <v>15062.9359</v>
      </c>
      <c r="AL797" s="5" t="str">
        <f t="shared" si="26"/>
        <v>Ирбитское муниципальное образование</v>
      </c>
    </row>
    <row r="798" spans="1:38" ht="15" customHeight="1" x14ac:dyDescent="0.25">
      <c r="A798" s="3" t="s">
        <v>1207</v>
      </c>
      <c r="B798" s="3" t="s">
        <v>1644</v>
      </c>
      <c r="C798" s="5">
        <v>61980.678599999999</v>
      </c>
      <c r="D798" s="5">
        <v>61980.678599999999</v>
      </c>
      <c r="E798" s="5">
        <v>56124.615700000002</v>
      </c>
      <c r="F798" t="s">
        <v>7249</v>
      </c>
      <c r="G798" s="5" t="str">
        <f t="shared" si="25"/>
        <v>ХИММАШ</v>
      </c>
      <c r="J798" s="5"/>
      <c r="AF798" t="s">
        <v>7199</v>
      </c>
      <c r="AG798" s="24" t="s">
        <v>6032</v>
      </c>
      <c r="AH798" s="5" t="s">
        <v>7199</v>
      </c>
      <c r="AI798" s="5">
        <v>16218.3393</v>
      </c>
      <c r="AJ798" s="5">
        <v>16218.3393</v>
      </c>
      <c r="AK798">
        <v>15062.9359</v>
      </c>
      <c r="AL798" s="5" t="str">
        <f t="shared" si="26"/>
        <v>Ирбитское муниципальное образование</v>
      </c>
    </row>
    <row r="799" spans="1:38" ht="15" customHeight="1" x14ac:dyDescent="0.25">
      <c r="A799" s="3" t="s">
        <v>1208</v>
      </c>
      <c r="B799" s="3" t="s">
        <v>1631</v>
      </c>
      <c r="C799" s="5">
        <v>70026.7601</v>
      </c>
      <c r="D799" s="5">
        <v>70026.7601</v>
      </c>
      <c r="E799" s="5">
        <v>63410.482000000004</v>
      </c>
      <c r="F799" t="s">
        <v>7249</v>
      </c>
      <c r="G799" s="5" t="str">
        <f t="shared" si="25"/>
        <v>УРАЛМАШ</v>
      </c>
      <c r="J799" s="5"/>
      <c r="AF799" t="s">
        <v>7199</v>
      </c>
      <c r="AG799" s="24" t="s">
        <v>6033</v>
      </c>
      <c r="AH799" s="5" t="s">
        <v>7199</v>
      </c>
      <c r="AI799" s="5">
        <v>16218.3393</v>
      </c>
      <c r="AJ799" s="5">
        <v>16218.3393</v>
      </c>
      <c r="AK799">
        <v>15062.9359</v>
      </c>
      <c r="AL799" s="5" t="str">
        <f t="shared" si="26"/>
        <v>Ирбитское муниципальное образование</v>
      </c>
    </row>
    <row r="800" spans="1:38" ht="15" customHeight="1" x14ac:dyDescent="0.25">
      <c r="A800" s="3" t="s">
        <v>1210</v>
      </c>
      <c r="B800" s="3" t="s">
        <v>1657</v>
      </c>
      <c r="C800" s="5">
        <v>54886.9666</v>
      </c>
      <c r="D800" s="5">
        <v>54886.9666</v>
      </c>
      <c r="E800" s="5">
        <v>49701.1319</v>
      </c>
      <c r="F800" t="s">
        <v>7249</v>
      </c>
      <c r="G800" s="5" t="str">
        <f t="shared" si="25"/>
        <v>КОЛЬЦОВО</v>
      </c>
      <c r="J800" s="5"/>
      <c r="AF800" t="s">
        <v>7199</v>
      </c>
      <c r="AG800" s="24" t="s">
        <v>6034</v>
      </c>
      <c r="AH800" s="5" t="s">
        <v>7199</v>
      </c>
      <c r="AI800" s="5">
        <v>16218.3393</v>
      </c>
      <c r="AJ800" s="5">
        <v>16218.3393</v>
      </c>
      <c r="AK800">
        <v>15062.9359</v>
      </c>
      <c r="AL800" s="5" t="str">
        <f t="shared" si="26"/>
        <v>Ирбитское муниципальное образование</v>
      </c>
    </row>
    <row r="801" spans="1:38" ht="15" customHeight="1" x14ac:dyDescent="0.25">
      <c r="A801" s="3" t="s">
        <v>1211</v>
      </c>
      <c r="B801" s="3" t="s">
        <v>1636</v>
      </c>
      <c r="C801" s="5">
        <v>52246.960299999999</v>
      </c>
      <c r="D801" s="5">
        <v>52246.960299999999</v>
      </c>
      <c r="E801" s="5">
        <v>47310.556700000001</v>
      </c>
      <c r="F801" t="s">
        <v>7249</v>
      </c>
      <c r="G801" s="5" t="str">
        <f t="shared" si="25"/>
        <v>ГОРНЫЙ ЩИТ</v>
      </c>
      <c r="J801" s="5"/>
      <c r="AF801" t="s">
        <v>7199</v>
      </c>
      <c r="AG801" s="24" t="s">
        <v>6035</v>
      </c>
      <c r="AH801" s="5" t="s">
        <v>7199</v>
      </c>
      <c r="AI801" s="5">
        <v>16218.3393</v>
      </c>
      <c r="AJ801" s="5">
        <v>16218.3393</v>
      </c>
      <c r="AK801">
        <v>15062.9359</v>
      </c>
      <c r="AL801" s="5" t="str">
        <f t="shared" si="26"/>
        <v>Ирбитское муниципальное образование</v>
      </c>
    </row>
    <row r="802" spans="1:38" ht="15" customHeight="1" x14ac:dyDescent="0.25">
      <c r="A802" s="3" t="s">
        <v>1214</v>
      </c>
      <c r="B802" s="3" t="s">
        <v>1629</v>
      </c>
      <c r="C802" s="5">
        <v>77743.704100000003</v>
      </c>
      <c r="D802" s="5">
        <v>77743.704100000003</v>
      </c>
      <c r="E802" s="5">
        <v>70398.310800000007</v>
      </c>
      <c r="F802" t="s">
        <v>7249</v>
      </c>
      <c r="G802" s="5" t="str">
        <f t="shared" si="25"/>
        <v>ПИОНЕРСКИЙ</v>
      </c>
      <c r="J802" s="5"/>
      <c r="AF802" t="s">
        <v>7199</v>
      </c>
      <c r="AG802" s="24" t="s">
        <v>6036</v>
      </c>
      <c r="AH802" s="5" t="s">
        <v>7199</v>
      </c>
      <c r="AI802" s="5">
        <v>16218.3393</v>
      </c>
      <c r="AJ802" s="5">
        <v>16218.3393</v>
      </c>
      <c r="AK802">
        <v>15062.9359</v>
      </c>
      <c r="AL802" s="5" t="str">
        <f t="shared" si="26"/>
        <v>Ирбитское муниципальное образование</v>
      </c>
    </row>
    <row r="803" spans="1:38" ht="15" customHeight="1" x14ac:dyDescent="0.25">
      <c r="A803" s="3" t="s">
        <v>1215</v>
      </c>
      <c r="B803" s="3" t="s">
        <v>1638</v>
      </c>
      <c r="C803" s="5">
        <v>63640.311600000001</v>
      </c>
      <c r="D803" s="5">
        <v>63640.311600000001</v>
      </c>
      <c r="E803" s="5">
        <v>57627.4473</v>
      </c>
      <c r="F803" t="s">
        <v>7249</v>
      </c>
      <c r="G803" s="5" t="str">
        <f t="shared" si="25"/>
        <v>УКТУС</v>
      </c>
      <c r="J803" s="5"/>
      <c r="AF803" t="s">
        <v>7199</v>
      </c>
      <c r="AG803" s="24" t="s">
        <v>6037</v>
      </c>
      <c r="AH803" s="5" t="s">
        <v>7199</v>
      </c>
      <c r="AI803" s="5">
        <v>16218.3393</v>
      </c>
      <c r="AJ803" s="5">
        <v>16218.3393</v>
      </c>
      <c r="AK803">
        <v>15062.9359</v>
      </c>
      <c r="AL803" s="5" t="str">
        <f t="shared" si="26"/>
        <v>Ирбитское муниципальное образование</v>
      </c>
    </row>
    <row r="804" spans="1:38" ht="15" customHeight="1" x14ac:dyDescent="0.25">
      <c r="A804" s="3" t="s">
        <v>1216</v>
      </c>
      <c r="B804" s="3" t="s">
        <v>1650</v>
      </c>
      <c r="C804" s="5">
        <v>37590.3603</v>
      </c>
      <c r="D804" s="5">
        <v>37590.3603</v>
      </c>
      <c r="E804" s="5">
        <v>34038.745900000002</v>
      </c>
      <c r="F804" t="s">
        <v>7249</v>
      </c>
      <c r="G804" s="5" t="str">
        <f t="shared" si="25"/>
        <v>ШАБРОВСКИЙ</v>
      </c>
      <c r="J804" s="5"/>
      <c r="AF804" t="s">
        <v>7199</v>
      </c>
      <c r="AG804" s="24" t="s">
        <v>6038</v>
      </c>
      <c r="AH804" s="5" t="s">
        <v>7199</v>
      </c>
      <c r="AI804" s="5">
        <v>16218.3393</v>
      </c>
      <c r="AJ804" s="5">
        <v>16218.3393</v>
      </c>
      <c r="AK804">
        <v>15062.9359</v>
      </c>
      <c r="AL804" s="5" t="str">
        <f t="shared" si="26"/>
        <v>Ирбитское муниципальное образование</v>
      </c>
    </row>
    <row r="805" spans="1:38" ht="15" customHeight="1" x14ac:dyDescent="0.25">
      <c r="A805" s="3" t="s">
        <v>1217</v>
      </c>
      <c r="B805" s="3" t="s">
        <v>1647</v>
      </c>
      <c r="C805" s="5">
        <v>63178.133800000003</v>
      </c>
      <c r="D805" s="5">
        <v>63178.133800000003</v>
      </c>
      <c r="E805" s="5">
        <v>57208.931499999999</v>
      </c>
      <c r="F805" t="s">
        <v>7249</v>
      </c>
      <c r="G805" s="5" t="str">
        <f t="shared" si="25"/>
        <v>ШИРОКАЯ РЕЧКА</v>
      </c>
      <c r="J805" s="5"/>
      <c r="AF805" t="s">
        <v>7199</v>
      </c>
      <c r="AG805" s="24" t="s">
        <v>6039</v>
      </c>
      <c r="AH805" s="5" t="s">
        <v>7199</v>
      </c>
      <c r="AI805" s="5">
        <v>16218.3393</v>
      </c>
      <c r="AJ805" s="5">
        <v>16218.3393</v>
      </c>
      <c r="AK805">
        <v>15062.9359</v>
      </c>
      <c r="AL805" s="5" t="str">
        <f t="shared" si="26"/>
        <v>Ирбитское муниципальное образование</v>
      </c>
    </row>
    <row r="806" spans="1:38" ht="15" customHeight="1" x14ac:dyDescent="0.25">
      <c r="A806" s="3" t="s">
        <v>1218</v>
      </c>
      <c r="B806" s="3" t="s">
        <v>1636</v>
      </c>
      <c r="C806" s="5">
        <v>52246.960299999999</v>
      </c>
      <c r="D806" s="5">
        <v>52246.960299999999</v>
      </c>
      <c r="E806" s="5">
        <v>47310.556700000001</v>
      </c>
      <c r="F806" t="s">
        <v>7249</v>
      </c>
      <c r="G806" s="5" t="str">
        <f t="shared" si="25"/>
        <v>ГОРНЫЙ ЩИТ</v>
      </c>
      <c r="J806" s="5"/>
      <c r="AF806" t="s">
        <v>7199</v>
      </c>
      <c r="AG806" s="24" t="s">
        <v>6040</v>
      </c>
      <c r="AH806" s="5" t="s">
        <v>7199</v>
      </c>
      <c r="AI806" s="5">
        <v>16218.3393</v>
      </c>
      <c r="AJ806" s="5">
        <v>16218.3393</v>
      </c>
      <c r="AK806">
        <v>15062.9359</v>
      </c>
      <c r="AL806" s="5" t="str">
        <f t="shared" si="26"/>
        <v>Ирбитское муниципальное образование</v>
      </c>
    </row>
    <row r="807" spans="1:38" ht="15" customHeight="1" x14ac:dyDescent="0.25">
      <c r="A807" s="3" t="s">
        <v>1219</v>
      </c>
      <c r="B807" s="3" t="s">
        <v>1638</v>
      </c>
      <c r="C807" s="5">
        <v>63640.311600000001</v>
      </c>
      <c r="D807" s="5">
        <v>63640.311600000001</v>
      </c>
      <c r="E807" s="5">
        <v>57627.4473</v>
      </c>
      <c r="F807" t="s">
        <v>7249</v>
      </c>
      <c r="G807" s="5" t="str">
        <f t="shared" si="25"/>
        <v>УКТУС</v>
      </c>
      <c r="J807" s="5"/>
      <c r="AF807" t="s">
        <v>7199</v>
      </c>
      <c r="AG807" s="24" t="s">
        <v>6041</v>
      </c>
      <c r="AH807" s="5" t="s">
        <v>7199</v>
      </c>
      <c r="AI807" s="5">
        <v>16218.3393</v>
      </c>
      <c r="AJ807" s="5">
        <v>16218.3393</v>
      </c>
      <c r="AK807">
        <v>15062.9359</v>
      </c>
      <c r="AL807" s="5" t="str">
        <f t="shared" si="26"/>
        <v>Ирбитское муниципальное образование</v>
      </c>
    </row>
    <row r="808" spans="1:38" ht="15" customHeight="1" x14ac:dyDescent="0.25">
      <c r="A808" s="3" t="s">
        <v>1220</v>
      </c>
      <c r="B808" s="3" t="s">
        <v>1638</v>
      </c>
      <c r="C808" s="5">
        <v>63640.311600000001</v>
      </c>
      <c r="D808" s="5">
        <v>63640.311600000001</v>
      </c>
      <c r="E808" s="5">
        <v>57627.4473</v>
      </c>
      <c r="F808" t="s">
        <v>7249</v>
      </c>
      <c r="G808" s="5" t="str">
        <f t="shared" si="25"/>
        <v>УКТУС</v>
      </c>
      <c r="J808" s="5"/>
      <c r="AF808" t="s">
        <v>7199</v>
      </c>
      <c r="AG808" s="24" t="s">
        <v>6042</v>
      </c>
      <c r="AH808" s="5" t="s">
        <v>7199</v>
      </c>
      <c r="AI808" s="5">
        <v>16218.3393</v>
      </c>
      <c r="AJ808" s="5">
        <v>16218.3393</v>
      </c>
      <c r="AK808">
        <v>15062.9359</v>
      </c>
      <c r="AL808" s="5" t="str">
        <f t="shared" si="26"/>
        <v>Ирбитское муниципальное образование</v>
      </c>
    </row>
    <row r="809" spans="1:38" ht="15" customHeight="1" x14ac:dyDescent="0.25">
      <c r="A809" s="3" t="s">
        <v>1221</v>
      </c>
      <c r="B809" s="3" t="s">
        <v>1665</v>
      </c>
      <c r="C809" s="5">
        <v>55692.278700000003</v>
      </c>
      <c r="D809" s="5">
        <v>55692.278700000003</v>
      </c>
      <c r="E809" s="5">
        <v>50430.350200000001</v>
      </c>
      <c r="F809" t="s">
        <v>7249</v>
      </c>
      <c r="G809" s="5" t="str">
        <f t="shared" si="25"/>
        <v>ПОЛЕВОДСТВО</v>
      </c>
      <c r="J809" s="5"/>
      <c r="AF809" t="s">
        <v>7199</v>
      </c>
      <c r="AG809" s="24" t="s">
        <v>6043</v>
      </c>
      <c r="AH809" s="5" t="s">
        <v>7199</v>
      </c>
      <c r="AI809" s="5">
        <v>16218.3393</v>
      </c>
      <c r="AJ809" s="5">
        <v>16218.3393</v>
      </c>
      <c r="AK809">
        <v>15062.9359</v>
      </c>
      <c r="AL809" s="5" t="str">
        <f t="shared" si="26"/>
        <v>Ирбитское муниципальное образование</v>
      </c>
    </row>
    <row r="810" spans="1:38" ht="15" customHeight="1" x14ac:dyDescent="0.25">
      <c r="A810" s="3" t="s">
        <v>1222</v>
      </c>
      <c r="B810" s="3" t="s">
        <v>1655</v>
      </c>
      <c r="C810" s="5">
        <v>79683.445300000007</v>
      </c>
      <c r="D810" s="5">
        <v>79683.445300000007</v>
      </c>
      <c r="E810" s="5">
        <v>72154.784899999999</v>
      </c>
      <c r="F810" t="s">
        <v>7249</v>
      </c>
      <c r="G810" s="5" t="str">
        <f t="shared" si="25"/>
        <v>Шарташский рынок</v>
      </c>
      <c r="J810" s="5"/>
      <c r="AF810" t="s">
        <v>7199</v>
      </c>
      <c r="AG810" s="24" t="s">
        <v>6044</v>
      </c>
      <c r="AH810" s="5" t="s">
        <v>7199</v>
      </c>
      <c r="AI810" s="5">
        <v>16218.3393</v>
      </c>
      <c r="AJ810" s="5">
        <v>16218.3393</v>
      </c>
      <c r="AK810">
        <v>15062.9359</v>
      </c>
      <c r="AL810" s="5" t="str">
        <f t="shared" si="26"/>
        <v>Ирбитское муниципальное образование</v>
      </c>
    </row>
    <row r="811" spans="1:38" ht="15" customHeight="1" x14ac:dyDescent="0.25">
      <c r="A811" s="3" t="s">
        <v>1223</v>
      </c>
      <c r="B811" s="3" t="s">
        <v>1628</v>
      </c>
      <c r="C811" s="5">
        <v>70734.0236</v>
      </c>
      <c r="D811" s="5">
        <v>70734.0236</v>
      </c>
      <c r="E811" s="5">
        <v>64050.9208</v>
      </c>
      <c r="F811" t="s">
        <v>7249</v>
      </c>
      <c r="G811" s="5" t="str">
        <f t="shared" si="25"/>
        <v>ЭЛЬМАШ</v>
      </c>
      <c r="J811" s="5"/>
      <c r="AF811" t="s">
        <v>7199</v>
      </c>
      <c r="AG811" s="24" t="s">
        <v>6045</v>
      </c>
      <c r="AH811" s="5" t="s">
        <v>7199</v>
      </c>
      <c r="AI811" s="5">
        <v>16218.3393</v>
      </c>
      <c r="AJ811" s="5">
        <v>16218.3393</v>
      </c>
      <c r="AK811">
        <v>15062.9359</v>
      </c>
      <c r="AL811" s="5" t="str">
        <f t="shared" si="26"/>
        <v>Ирбитское муниципальное образование</v>
      </c>
    </row>
    <row r="812" spans="1:38" ht="15" customHeight="1" x14ac:dyDescent="0.25">
      <c r="A812" s="3" t="s">
        <v>1224</v>
      </c>
      <c r="B812" s="3" t="s">
        <v>33</v>
      </c>
      <c r="C812" s="5">
        <v>84298.205100000006</v>
      </c>
      <c r="D812" s="5">
        <v>84298.205100000006</v>
      </c>
      <c r="E812" s="5">
        <v>76333.533100000001</v>
      </c>
      <c r="F812" t="s">
        <v>7249</v>
      </c>
      <c r="G812" s="5" t="str">
        <f t="shared" si="25"/>
        <v>ВИЗ</v>
      </c>
      <c r="J812" s="5"/>
      <c r="AF812" t="s">
        <v>7199</v>
      </c>
      <c r="AG812" s="24" t="s">
        <v>6046</v>
      </c>
      <c r="AH812" s="5" t="s">
        <v>7199</v>
      </c>
      <c r="AI812" s="5">
        <v>16218.3393</v>
      </c>
      <c r="AJ812" s="5">
        <v>16218.3393</v>
      </c>
      <c r="AK812">
        <v>15062.9359</v>
      </c>
      <c r="AL812" s="5" t="str">
        <f t="shared" si="26"/>
        <v>Ирбитское муниципальное образование</v>
      </c>
    </row>
    <row r="813" spans="1:38" ht="15" customHeight="1" x14ac:dyDescent="0.25">
      <c r="A813" s="3" t="s">
        <v>1225</v>
      </c>
      <c r="B813" s="3" t="s">
        <v>1631</v>
      </c>
      <c r="C813" s="5">
        <v>70026.7601</v>
      </c>
      <c r="D813" s="5">
        <v>70026.7601</v>
      </c>
      <c r="E813" s="5">
        <v>63410.482000000004</v>
      </c>
      <c r="F813" t="s">
        <v>7249</v>
      </c>
      <c r="G813" s="5" t="str">
        <f t="shared" si="25"/>
        <v>УРАЛМАШ</v>
      </c>
      <c r="J813" s="5"/>
      <c r="AF813" t="s">
        <v>7199</v>
      </c>
      <c r="AG813" s="24" t="s">
        <v>6047</v>
      </c>
      <c r="AH813" s="5" t="s">
        <v>7199</v>
      </c>
      <c r="AI813" s="5">
        <v>16218.3393</v>
      </c>
      <c r="AJ813" s="5">
        <v>16218.3393</v>
      </c>
      <c r="AK813">
        <v>15062.9359</v>
      </c>
      <c r="AL813" s="5" t="str">
        <f t="shared" si="26"/>
        <v>Ирбитское муниципальное образование</v>
      </c>
    </row>
    <row r="814" spans="1:38" ht="15" customHeight="1" x14ac:dyDescent="0.25">
      <c r="A814" s="3" t="s">
        <v>1226</v>
      </c>
      <c r="B814" s="3" t="s">
        <v>1630</v>
      </c>
      <c r="C814" s="5">
        <v>62652.9401</v>
      </c>
      <c r="D814" s="5">
        <v>62652.9401</v>
      </c>
      <c r="E814" s="5">
        <v>56733.3557</v>
      </c>
      <c r="F814" t="s">
        <v>7249</v>
      </c>
      <c r="G814" s="5" t="str">
        <f t="shared" si="25"/>
        <v>ЧЕРМЕТ</v>
      </c>
      <c r="J814" s="5"/>
      <c r="AF814" t="s">
        <v>7199</v>
      </c>
      <c r="AG814" s="24" t="s">
        <v>6048</v>
      </c>
      <c r="AH814" s="5" t="s">
        <v>7199</v>
      </c>
      <c r="AI814" s="5">
        <v>20038.1296</v>
      </c>
      <c r="AJ814" s="5">
        <v>20038.1296</v>
      </c>
      <c r="AK814">
        <v>18610.597000000002</v>
      </c>
      <c r="AL814" s="5" t="str">
        <f t="shared" si="26"/>
        <v>Ирбитское муниципальное образование</v>
      </c>
    </row>
    <row r="815" spans="1:38" ht="15" customHeight="1" x14ac:dyDescent="0.25">
      <c r="A815" s="3" t="s">
        <v>1230</v>
      </c>
      <c r="B815" s="3" t="s">
        <v>1651</v>
      </c>
      <c r="C815" s="5">
        <v>68129.029500000004</v>
      </c>
      <c r="D815" s="5">
        <v>68129.029500000004</v>
      </c>
      <c r="E815" s="5">
        <v>61692.054799999998</v>
      </c>
      <c r="F815" t="s">
        <v>7249</v>
      </c>
      <c r="G815" s="5" t="str">
        <f t="shared" si="25"/>
        <v>ШАРТАШ</v>
      </c>
      <c r="J815" s="5"/>
      <c r="AF815" t="s">
        <v>7199</v>
      </c>
      <c r="AG815" s="24" t="s">
        <v>6049</v>
      </c>
      <c r="AH815" s="5" t="s">
        <v>7199</v>
      </c>
      <c r="AI815" s="5">
        <v>16218.3393</v>
      </c>
      <c r="AJ815" s="5">
        <v>16218.3393</v>
      </c>
      <c r="AK815">
        <v>15062.9359</v>
      </c>
      <c r="AL815" s="5" t="str">
        <f t="shared" si="26"/>
        <v>Ирбитское муниципальное образование</v>
      </c>
    </row>
    <row r="816" spans="1:38" ht="15" customHeight="1" x14ac:dyDescent="0.25">
      <c r="A816" s="3" t="s">
        <v>1231</v>
      </c>
      <c r="B816" s="3" t="s">
        <v>14</v>
      </c>
      <c r="C816" s="5">
        <v>93989.912800000006</v>
      </c>
      <c r="D816" s="5">
        <v>93989.912800000006</v>
      </c>
      <c r="E816" s="5">
        <v>85109.545199999993</v>
      </c>
      <c r="F816" t="s">
        <v>7249</v>
      </c>
      <c r="G816" s="5" t="str">
        <f t="shared" si="25"/>
        <v>Центр</v>
      </c>
      <c r="J816" s="5"/>
      <c r="AF816" t="s">
        <v>7199</v>
      </c>
      <c r="AG816" s="24" t="s">
        <v>6050</v>
      </c>
      <c r="AH816" s="5" t="s">
        <v>7199</v>
      </c>
      <c r="AI816" s="5">
        <v>16218.3393</v>
      </c>
      <c r="AJ816" s="5">
        <v>16218.3393</v>
      </c>
      <c r="AK816">
        <v>15062.9359</v>
      </c>
      <c r="AL816" s="5" t="str">
        <f t="shared" si="26"/>
        <v>Ирбитское муниципальное образование</v>
      </c>
    </row>
    <row r="817" spans="1:38" ht="15" customHeight="1" x14ac:dyDescent="0.25">
      <c r="A817" s="3" t="s">
        <v>1232</v>
      </c>
      <c r="B817" s="3" t="s">
        <v>1643</v>
      </c>
      <c r="C817" s="5">
        <v>76630.280299999999</v>
      </c>
      <c r="D817" s="5">
        <v>76630.280299999999</v>
      </c>
      <c r="E817" s="5">
        <v>69390.088799999998</v>
      </c>
      <c r="F817" t="s">
        <v>7249</v>
      </c>
      <c r="G817" s="5" t="str">
        <f t="shared" si="25"/>
        <v>Ю-З</v>
      </c>
      <c r="J817" s="5"/>
      <c r="AF817" t="s">
        <v>7199</v>
      </c>
      <c r="AG817" s="24" t="s">
        <v>6051</v>
      </c>
      <c r="AH817" s="5" t="s">
        <v>7199</v>
      </c>
      <c r="AI817" s="5">
        <v>16218.3393</v>
      </c>
      <c r="AJ817" s="5">
        <v>16218.3393</v>
      </c>
      <c r="AK817">
        <v>15062.9359</v>
      </c>
      <c r="AL817" s="5" t="str">
        <f t="shared" si="26"/>
        <v>Ирбитское муниципальное образование</v>
      </c>
    </row>
    <row r="818" spans="1:38" ht="15" customHeight="1" x14ac:dyDescent="0.25">
      <c r="A818" s="3" t="s">
        <v>1234</v>
      </c>
      <c r="B818" s="3" t="s">
        <v>779</v>
      </c>
      <c r="C818" s="5">
        <v>46784.877899999999</v>
      </c>
      <c r="D818" s="5">
        <v>46784.877899999999</v>
      </c>
      <c r="E818" s="5">
        <v>42364.543299999998</v>
      </c>
      <c r="F818" t="s">
        <v>7249</v>
      </c>
      <c r="G818" s="5" t="str">
        <f t="shared" si="25"/>
        <v>Нижнеисетский</v>
      </c>
      <c r="J818" s="5"/>
      <c r="AF818" t="s">
        <v>7199</v>
      </c>
      <c r="AG818" s="24" t="s">
        <v>6052</v>
      </c>
      <c r="AH818" s="5" t="s">
        <v>7199</v>
      </c>
      <c r="AI818" s="5">
        <v>16218.3393</v>
      </c>
      <c r="AJ818" s="5">
        <v>16218.3393</v>
      </c>
      <c r="AK818">
        <v>15062.9359</v>
      </c>
      <c r="AL818" s="5" t="str">
        <f t="shared" si="26"/>
        <v>Ирбитское муниципальное образование</v>
      </c>
    </row>
    <row r="819" spans="1:38" ht="15" customHeight="1" x14ac:dyDescent="0.25">
      <c r="A819" s="3" t="s">
        <v>1235</v>
      </c>
      <c r="B819" s="3" t="s">
        <v>1631</v>
      </c>
      <c r="C819" s="5">
        <v>70026.7601</v>
      </c>
      <c r="D819" s="5">
        <v>70026.7601</v>
      </c>
      <c r="E819" s="5">
        <v>63410.482000000004</v>
      </c>
      <c r="F819" t="s">
        <v>7249</v>
      </c>
      <c r="G819" s="5" t="str">
        <f t="shared" si="25"/>
        <v>УРАЛМАШ</v>
      </c>
      <c r="J819" s="5"/>
      <c r="AF819" t="s">
        <v>7199</v>
      </c>
      <c r="AG819" s="24" t="s">
        <v>6053</v>
      </c>
      <c r="AH819" s="5" t="s">
        <v>7199</v>
      </c>
      <c r="AI819" s="5">
        <v>16218.3393</v>
      </c>
      <c r="AJ819" s="5">
        <v>16218.3393</v>
      </c>
      <c r="AK819">
        <v>15062.9359</v>
      </c>
      <c r="AL819" s="5" t="str">
        <f t="shared" si="26"/>
        <v>Ирбитское муниципальное образование</v>
      </c>
    </row>
    <row r="820" spans="1:38" ht="15" customHeight="1" x14ac:dyDescent="0.25">
      <c r="A820" s="3" t="s">
        <v>1236</v>
      </c>
      <c r="B820" s="3" t="s">
        <v>33</v>
      </c>
      <c r="C820" s="5">
        <v>84298.205100000006</v>
      </c>
      <c r="D820" s="5">
        <v>84298.205100000006</v>
      </c>
      <c r="E820" s="5">
        <v>76333.533100000001</v>
      </c>
      <c r="F820" t="s">
        <v>7249</v>
      </c>
      <c r="G820" s="5" t="str">
        <f t="shared" si="25"/>
        <v>ВИЗ</v>
      </c>
      <c r="J820" s="5"/>
      <c r="AF820" t="s">
        <v>7199</v>
      </c>
      <c r="AG820" s="24" t="s">
        <v>6054</v>
      </c>
      <c r="AH820" s="5" t="s">
        <v>7199</v>
      </c>
      <c r="AI820" s="5">
        <v>16218.3393</v>
      </c>
      <c r="AJ820" s="5">
        <v>16218.3393</v>
      </c>
      <c r="AK820">
        <v>15062.9359</v>
      </c>
      <c r="AL820" s="5" t="str">
        <f t="shared" si="26"/>
        <v>Ирбитское муниципальное образование</v>
      </c>
    </row>
    <row r="821" spans="1:38" ht="15" customHeight="1" x14ac:dyDescent="0.25">
      <c r="A821" s="3" t="s">
        <v>1237</v>
      </c>
      <c r="B821" s="3" t="s">
        <v>1653</v>
      </c>
      <c r="C821" s="5">
        <v>56847.723400000003</v>
      </c>
      <c r="D821" s="5">
        <v>56847.723400000003</v>
      </c>
      <c r="E821" s="5">
        <v>51476.629399999998</v>
      </c>
      <c r="F821" t="s">
        <v>7249</v>
      </c>
      <c r="G821" s="5" t="str">
        <f t="shared" si="25"/>
        <v>ПТИЦЕФАБРИКА</v>
      </c>
      <c r="J821" s="5"/>
      <c r="AF821" t="s">
        <v>7199</v>
      </c>
      <c r="AG821" s="24" t="s">
        <v>6055</v>
      </c>
      <c r="AH821" s="5" t="s">
        <v>7199</v>
      </c>
      <c r="AI821" s="5">
        <v>16218.3393</v>
      </c>
      <c r="AJ821" s="5">
        <v>16218.3393</v>
      </c>
      <c r="AK821">
        <v>15062.9359</v>
      </c>
      <c r="AL821" s="5" t="str">
        <f t="shared" si="26"/>
        <v>Ирбитское муниципальное образование</v>
      </c>
    </row>
    <row r="822" spans="1:38" ht="15" customHeight="1" x14ac:dyDescent="0.25">
      <c r="A822" s="3" t="s">
        <v>1238</v>
      </c>
      <c r="B822" s="3" t="s">
        <v>1655</v>
      </c>
      <c r="C822" s="5">
        <v>79683.445300000007</v>
      </c>
      <c r="D822" s="5">
        <v>79683.445300000007</v>
      </c>
      <c r="E822" s="5">
        <v>72154.784899999999</v>
      </c>
      <c r="F822" t="s">
        <v>7249</v>
      </c>
      <c r="G822" s="5" t="str">
        <f t="shared" si="25"/>
        <v>Шарташский рынок</v>
      </c>
      <c r="J822" s="5"/>
      <c r="AF822" t="s">
        <v>7199</v>
      </c>
      <c r="AG822" s="24" t="s">
        <v>6056</v>
      </c>
      <c r="AH822" s="5" t="s">
        <v>7199</v>
      </c>
      <c r="AI822" s="5">
        <v>16218.3393</v>
      </c>
      <c r="AJ822" s="5">
        <v>16218.3393</v>
      </c>
      <c r="AK822">
        <v>15062.9359</v>
      </c>
      <c r="AL822" s="5" t="str">
        <f t="shared" si="26"/>
        <v>Ирбитское муниципальное образование</v>
      </c>
    </row>
    <row r="823" spans="1:38" ht="15" customHeight="1" x14ac:dyDescent="0.25">
      <c r="A823" s="3" t="s">
        <v>1239</v>
      </c>
      <c r="B823" s="3" t="s">
        <v>14</v>
      </c>
      <c r="C823" s="5">
        <v>93989.912800000006</v>
      </c>
      <c r="D823" s="5">
        <v>93989.912800000006</v>
      </c>
      <c r="E823" s="5">
        <v>85109.545199999993</v>
      </c>
      <c r="F823" t="s">
        <v>7249</v>
      </c>
      <c r="G823" s="5" t="str">
        <f t="shared" si="25"/>
        <v>Центр</v>
      </c>
      <c r="J823" s="5"/>
      <c r="AF823" t="s">
        <v>7199</v>
      </c>
      <c r="AG823" s="24" t="s">
        <v>6057</v>
      </c>
      <c r="AH823" s="5" t="s">
        <v>7199</v>
      </c>
      <c r="AI823" s="5">
        <v>16218.3393</v>
      </c>
      <c r="AJ823" s="5">
        <v>16218.3393</v>
      </c>
      <c r="AK823">
        <v>15062.9359</v>
      </c>
      <c r="AL823" s="5" t="str">
        <f t="shared" si="26"/>
        <v>Ирбитское муниципальное образование</v>
      </c>
    </row>
    <row r="824" spans="1:38" ht="15" customHeight="1" x14ac:dyDescent="0.25">
      <c r="A824" s="3" t="s">
        <v>1240</v>
      </c>
      <c r="B824" s="3" t="s">
        <v>1634</v>
      </c>
      <c r="C824" s="5">
        <v>77064.444199999998</v>
      </c>
      <c r="D824" s="5">
        <v>77064.444199999998</v>
      </c>
      <c r="E824" s="5">
        <v>69783.233200000002</v>
      </c>
      <c r="F824" t="s">
        <v>7249</v>
      </c>
      <c r="G824" s="5" t="str">
        <f t="shared" si="25"/>
        <v>БОТАНИЧЕСКИЙ</v>
      </c>
      <c r="J824" s="5"/>
      <c r="AF824" t="s">
        <v>7199</v>
      </c>
      <c r="AG824" s="24" t="s">
        <v>6058</v>
      </c>
      <c r="AH824" s="5" t="s">
        <v>7199</v>
      </c>
      <c r="AI824" s="5">
        <v>16218.3393</v>
      </c>
      <c r="AJ824" s="5">
        <v>16218.3393</v>
      </c>
      <c r="AK824">
        <v>15062.9359</v>
      </c>
      <c r="AL824" s="5" t="str">
        <f t="shared" si="26"/>
        <v>Ирбитское муниципальное образование</v>
      </c>
    </row>
    <row r="825" spans="1:38" ht="15" customHeight="1" x14ac:dyDescent="0.25">
      <c r="A825" s="3" t="s">
        <v>1241</v>
      </c>
      <c r="B825" s="3" t="s">
        <v>1629</v>
      </c>
      <c r="C825" s="5">
        <v>77743.704100000003</v>
      </c>
      <c r="D825" s="5">
        <v>77743.704100000003</v>
      </c>
      <c r="E825" s="5">
        <v>70398.310800000007</v>
      </c>
      <c r="F825" t="s">
        <v>7249</v>
      </c>
      <c r="G825" s="5" t="str">
        <f t="shared" si="25"/>
        <v>ПИОНЕРСКИЙ</v>
      </c>
      <c r="J825" s="5"/>
      <c r="AF825" t="s">
        <v>7199</v>
      </c>
      <c r="AG825" s="24" t="s">
        <v>6059</v>
      </c>
      <c r="AH825" s="5" t="s">
        <v>7199</v>
      </c>
      <c r="AI825" s="5">
        <v>16218.3393</v>
      </c>
      <c r="AJ825" s="5">
        <v>16218.3393</v>
      </c>
      <c r="AK825">
        <v>15062.9359</v>
      </c>
      <c r="AL825" s="5" t="str">
        <f t="shared" si="26"/>
        <v>Ирбитское муниципальное образование</v>
      </c>
    </row>
    <row r="826" spans="1:38" ht="15" customHeight="1" x14ac:dyDescent="0.25">
      <c r="A826" s="3" t="s">
        <v>1242</v>
      </c>
      <c r="B826" s="3" t="s">
        <v>1666</v>
      </c>
      <c r="C826" s="5">
        <v>46784.877899999999</v>
      </c>
      <c r="D826" s="5">
        <v>46784.877899999999</v>
      </c>
      <c r="E826" s="5">
        <v>42364.543299999998</v>
      </c>
      <c r="F826" t="s">
        <v>7249</v>
      </c>
      <c r="G826" s="5" t="str">
        <f t="shared" si="25"/>
        <v>Сулим.Торфянник</v>
      </c>
      <c r="J826" s="5"/>
      <c r="AF826" t="s">
        <v>7199</v>
      </c>
      <c r="AG826" s="24" t="s">
        <v>6060</v>
      </c>
      <c r="AH826" s="5" t="s">
        <v>7199</v>
      </c>
      <c r="AI826" s="5">
        <v>16218.3393</v>
      </c>
      <c r="AJ826" s="5">
        <v>16218.3393</v>
      </c>
      <c r="AK826">
        <v>15062.9359</v>
      </c>
      <c r="AL826" s="5" t="str">
        <f t="shared" si="26"/>
        <v>Ирбитское муниципальное образование</v>
      </c>
    </row>
    <row r="827" spans="1:38" ht="15" customHeight="1" x14ac:dyDescent="0.25">
      <c r="A827" s="3" t="s">
        <v>1243</v>
      </c>
      <c r="B827" s="3" t="s">
        <v>1629</v>
      </c>
      <c r="C827" s="5">
        <v>77743.704100000003</v>
      </c>
      <c r="D827" s="5">
        <v>77743.704100000003</v>
      </c>
      <c r="E827" s="5">
        <v>70398.310800000007</v>
      </c>
      <c r="F827" t="s">
        <v>7249</v>
      </c>
      <c r="G827" s="5" t="str">
        <f t="shared" si="25"/>
        <v>ПИОНЕРСКИЙ</v>
      </c>
      <c r="J827" s="5"/>
      <c r="AF827" t="s">
        <v>7199</v>
      </c>
      <c r="AG827" s="24" t="s">
        <v>6061</v>
      </c>
      <c r="AH827" s="5" t="s">
        <v>7199</v>
      </c>
      <c r="AI827" s="5">
        <v>16218.3393</v>
      </c>
      <c r="AJ827" s="5">
        <v>16218.3393</v>
      </c>
      <c r="AK827">
        <v>15062.9359</v>
      </c>
      <c r="AL827" s="5" t="str">
        <f t="shared" si="26"/>
        <v>Ирбитское муниципальное образование</v>
      </c>
    </row>
    <row r="828" spans="1:38" ht="15" customHeight="1" x14ac:dyDescent="0.25">
      <c r="A828" s="3" t="s">
        <v>1244</v>
      </c>
      <c r="B828" s="3" t="s">
        <v>14</v>
      </c>
      <c r="C828" s="5">
        <v>93989.912800000006</v>
      </c>
      <c r="D828" s="5">
        <v>93989.912800000006</v>
      </c>
      <c r="E828" s="5">
        <v>85109.545199999993</v>
      </c>
      <c r="F828" t="s">
        <v>7249</v>
      </c>
      <c r="G828" s="5" t="str">
        <f t="shared" si="25"/>
        <v>Центр</v>
      </c>
      <c r="J828" s="5"/>
      <c r="AF828" t="s">
        <v>7199</v>
      </c>
      <c r="AG828" s="24" t="s">
        <v>6062</v>
      </c>
      <c r="AH828" s="5" t="s">
        <v>7199</v>
      </c>
      <c r="AI828" s="5">
        <v>16218.3393</v>
      </c>
      <c r="AJ828" s="5">
        <v>16218.3393</v>
      </c>
      <c r="AK828">
        <v>15062.9359</v>
      </c>
      <c r="AL828" s="5" t="str">
        <f t="shared" si="26"/>
        <v>Ирбитское муниципальное образование</v>
      </c>
    </row>
    <row r="829" spans="1:38" ht="15" customHeight="1" x14ac:dyDescent="0.25">
      <c r="A829" s="3" t="s">
        <v>1246</v>
      </c>
      <c r="B829" s="3" t="s">
        <v>1645</v>
      </c>
      <c r="C829" s="5">
        <v>60958.294800000003</v>
      </c>
      <c r="D829" s="5">
        <v>60958.294800000003</v>
      </c>
      <c r="E829" s="5">
        <v>55198.825199999999</v>
      </c>
      <c r="F829" t="s">
        <v>7249</v>
      </c>
      <c r="G829" s="5" t="str">
        <f t="shared" si="25"/>
        <v>ЕЛИЗАВЕТ</v>
      </c>
      <c r="J829" s="5"/>
      <c r="AF829" t="s">
        <v>7199</v>
      </c>
      <c r="AG829" s="24" t="s">
        <v>6063</v>
      </c>
      <c r="AH829" s="5" t="s">
        <v>7199</v>
      </c>
      <c r="AI829" s="5">
        <v>16218.3393</v>
      </c>
      <c r="AJ829" s="5">
        <v>16218.3393</v>
      </c>
      <c r="AK829">
        <v>15062.9359</v>
      </c>
      <c r="AL829" s="5" t="str">
        <f t="shared" si="26"/>
        <v>Ирбитское муниципальное образование</v>
      </c>
    </row>
    <row r="830" spans="1:38" ht="15" customHeight="1" x14ac:dyDescent="0.25">
      <c r="A830" s="3" t="s">
        <v>1247</v>
      </c>
      <c r="B830" s="3" t="s">
        <v>1629</v>
      </c>
      <c r="C830" s="5">
        <v>77743.704100000003</v>
      </c>
      <c r="D830" s="5">
        <v>77743.704100000003</v>
      </c>
      <c r="E830" s="5">
        <v>70398.310800000007</v>
      </c>
      <c r="F830" t="s">
        <v>7249</v>
      </c>
      <c r="G830" s="5" t="str">
        <f t="shared" si="25"/>
        <v>ПИОНЕРСКИЙ</v>
      </c>
      <c r="J830" s="5"/>
      <c r="AF830" t="s">
        <v>7199</v>
      </c>
      <c r="AG830" s="24" t="s">
        <v>6064</v>
      </c>
      <c r="AH830" s="5" t="s">
        <v>7199</v>
      </c>
      <c r="AI830" s="5">
        <v>16218.3393</v>
      </c>
      <c r="AJ830" s="5">
        <v>16218.3393</v>
      </c>
      <c r="AK830">
        <v>15062.9359</v>
      </c>
      <c r="AL830" s="5" t="str">
        <f t="shared" si="26"/>
        <v>Ирбитское муниципальное образование</v>
      </c>
    </row>
    <row r="831" spans="1:38" ht="15" customHeight="1" x14ac:dyDescent="0.25">
      <c r="A831" s="3" t="s">
        <v>1248</v>
      </c>
      <c r="B831" s="3" t="s">
        <v>1631</v>
      </c>
      <c r="C831" s="5">
        <v>70026.7601</v>
      </c>
      <c r="D831" s="5">
        <v>70026.7601</v>
      </c>
      <c r="E831" s="5">
        <v>63410.482000000004</v>
      </c>
      <c r="F831" t="s">
        <v>7249</v>
      </c>
      <c r="G831" s="5" t="str">
        <f t="shared" si="25"/>
        <v>УРАЛМАШ</v>
      </c>
      <c r="J831" s="5"/>
      <c r="AF831" t="s">
        <v>7199</v>
      </c>
      <c r="AG831" s="24" t="s">
        <v>6065</v>
      </c>
      <c r="AH831" s="5" t="s">
        <v>7199</v>
      </c>
      <c r="AI831" s="5">
        <v>16218.3393</v>
      </c>
      <c r="AJ831" s="5">
        <v>16218.3393</v>
      </c>
      <c r="AK831">
        <v>15062.9359</v>
      </c>
      <c r="AL831" s="5" t="str">
        <f t="shared" si="26"/>
        <v>Ирбитское муниципальное образование</v>
      </c>
    </row>
    <row r="832" spans="1:38" ht="15" customHeight="1" x14ac:dyDescent="0.25">
      <c r="A832" s="3" t="s">
        <v>1250</v>
      </c>
      <c r="B832" s="3" t="s">
        <v>1630</v>
      </c>
      <c r="C832" s="5">
        <v>62652.9401</v>
      </c>
      <c r="D832" s="5">
        <v>62652.9401</v>
      </c>
      <c r="E832" s="5">
        <v>56733.3557</v>
      </c>
      <c r="F832" t="s">
        <v>7249</v>
      </c>
      <c r="G832" s="5" t="str">
        <f t="shared" si="25"/>
        <v>ЧЕРМЕТ</v>
      </c>
      <c r="J832" s="5"/>
      <c r="AF832" t="s">
        <v>7199</v>
      </c>
      <c r="AG832" s="24" t="s">
        <v>6066</v>
      </c>
      <c r="AH832" s="5" t="s">
        <v>7199</v>
      </c>
      <c r="AI832" s="5">
        <v>16218.3393</v>
      </c>
      <c r="AJ832" s="5">
        <v>16218.3393</v>
      </c>
      <c r="AK832">
        <v>15062.9359</v>
      </c>
      <c r="AL832" s="5" t="str">
        <f t="shared" si="26"/>
        <v>Ирбитское муниципальное образование</v>
      </c>
    </row>
    <row r="833" spans="1:38" ht="15" customHeight="1" x14ac:dyDescent="0.25">
      <c r="A833" s="3" t="s">
        <v>1253</v>
      </c>
      <c r="B833" s="3" t="s">
        <v>1630</v>
      </c>
      <c r="C833" s="5">
        <v>62652.9401</v>
      </c>
      <c r="D833" s="5">
        <v>62652.9401</v>
      </c>
      <c r="E833" s="5">
        <v>56733.3557</v>
      </c>
      <c r="F833" t="s">
        <v>7249</v>
      </c>
      <c r="G833" s="5" t="str">
        <f t="shared" si="25"/>
        <v>ЧЕРМЕТ</v>
      </c>
      <c r="J833" s="5"/>
      <c r="AF833" t="s">
        <v>7199</v>
      </c>
      <c r="AG833" s="24" t="s">
        <v>6067</v>
      </c>
      <c r="AH833" s="5" t="s">
        <v>7199</v>
      </c>
      <c r="AI833" s="5">
        <v>16218.3393</v>
      </c>
      <c r="AJ833" s="5">
        <v>16218.3393</v>
      </c>
      <c r="AK833">
        <v>15062.9359</v>
      </c>
      <c r="AL833" s="5" t="str">
        <f t="shared" si="26"/>
        <v>Ирбитское муниципальное образование</v>
      </c>
    </row>
    <row r="834" spans="1:38" ht="15" customHeight="1" x14ac:dyDescent="0.25">
      <c r="A834" s="3" t="s">
        <v>1254</v>
      </c>
      <c r="B834" s="3" t="s">
        <v>1643</v>
      </c>
      <c r="C834" s="5">
        <v>76630.280299999999</v>
      </c>
      <c r="D834" s="5">
        <v>76630.280299999999</v>
      </c>
      <c r="E834" s="5">
        <v>69390.088799999998</v>
      </c>
      <c r="F834" t="s">
        <v>7249</v>
      </c>
      <c r="G834" s="5" t="str">
        <f t="shared" si="25"/>
        <v>Ю-З</v>
      </c>
      <c r="J834" s="5"/>
      <c r="AF834" t="s">
        <v>7199</v>
      </c>
      <c r="AG834" s="24" t="s">
        <v>6068</v>
      </c>
      <c r="AH834" s="5" t="s">
        <v>7199</v>
      </c>
      <c r="AI834" s="5">
        <v>16218.3393</v>
      </c>
      <c r="AJ834" s="5">
        <v>16218.3393</v>
      </c>
      <c r="AK834">
        <v>15062.9359</v>
      </c>
      <c r="AL834" s="5" t="str">
        <f t="shared" si="26"/>
        <v>Ирбитское муниципальное образование</v>
      </c>
    </row>
    <row r="835" spans="1:38" ht="15" customHeight="1" x14ac:dyDescent="0.25">
      <c r="A835" s="3" t="s">
        <v>1255</v>
      </c>
      <c r="B835" s="3" t="s">
        <v>1644</v>
      </c>
      <c r="C835" s="5">
        <v>61980.678599999999</v>
      </c>
      <c r="D835" s="5">
        <v>61980.678599999999</v>
      </c>
      <c r="E835" s="5">
        <v>56124.615700000002</v>
      </c>
      <c r="F835" t="s">
        <v>7249</v>
      </c>
      <c r="G835" s="5" t="str">
        <f t="shared" si="25"/>
        <v>ХИММАШ</v>
      </c>
      <c r="J835" s="5"/>
      <c r="AF835" t="s">
        <v>7199</v>
      </c>
      <c r="AG835" s="24" t="s">
        <v>6069</v>
      </c>
      <c r="AH835" s="5" t="s">
        <v>7199</v>
      </c>
      <c r="AI835" s="5">
        <v>16218.3393</v>
      </c>
      <c r="AJ835" s="5">
        <v>16218.3393</v>
      </c>
      <c r="AK835">
        <v>15062.9359</v>
      </c>
      <c r="AL835" s="5" t="str">
        <f t="shared" si="26"/>
        <v>Ирбитское муниципальное образование</v>
      </c>
    </row>
    <row r="836" spans="1:38" ht="15" customHeight="1" x14ac:dyDescent="0.25">
      <c r="A836" s="3" t="s">
        <v>1256</v>
      </c>
      <c r="B836" s="3" t="s">
        <v>1631</v>
      </c>
      <c r="C836" s="5">
        <v>70026.7601</v>
      </c>
      <c r="D836" s="5">
        <v>70026.7601</v>
      </c>
      <c r="E836" s="5">
        <v>63410.482000000004</v>
      </c>
      <c r="F836" t="s">
        <v>7249</v>
      </c>
      <c r="G836" s="5" t="str">
        <f t="shared" ref="G836:G899" si="27">B836</f>
        <v>УРАЛМАШ</v>
      </c>
      <c r="J836" s="5"/>
      <c r="AF836" t="s">
        <v>7199</v>
      </c>
      <c r="AG836" s="24" t="s">
        <v>6070</v>
      </c>
      <c r="AH836" s="5" t="s">
        <v>7199</v>
      </c>
      <c r="AI836" s="5">
        <v>16218.3393</v>
      </c>
      <c r="AJ836" s="5">
        <v>16218.3393</v>
      </c>
      <c r="AK836">
        <v>15062.9359</v>
      </c>
      <c r="AL836" s="5" t="str">
        <f t="shared" ref="AL836:AL899" si="28">AF836</f>
        <v>Ирбитское муниципальное образование</v>
      </c>
    </row>
    <row r="837" spans="1:38" ht="15" customHeight="1" x14ac:dyDescent="0.25">
      <c r="A837" s="3" t="s">
        <v>1257</v>
      </c>
      <c r="B837" s="3" t="s">
        <v>14</v>
      </c>
      <c r="C837" s="5">
        <v>93989.912800000006</v>
      </c>
      <c r="D837" s="5">
        <v>93989.912800000006</v>
      </c>
      <c r="E837" s="5">
        <v>85109.545199999993</v>
      </c>
      <c r="F837" t="s">
        <v>7249</v>
      </c>
      <c r="G837" s="5" t="str">
        <f t="shared" si="27"/>
        <v>Центр</v>
      </c>
      <c r="J837" s="5"/>
      <c r="AF837" t="s">
        <v>7199</v>
      </c>
      <c r="AG837" s="24" t="s">
        <v>6071</v>
      </c>
      <c r="AH837" s="5" t="s">
        <v>7199</v>
      </c>
      <c r="AI837" s="5">
        <v>16218.3393</v>
      </c>
      <c r="AJ837" s="5">
        <v>16218.3393</v>
      </c>
      <c r="AK837">
        <v>15062.9359</v>
      </c>
      <c r="AL837" s="5" t="str">
        <f t="shared" si="28"/>
        <v>Ирбитское муниципальное образование</v>
      </c>
    </row>
    <row r="838" spans="1:38" ht="15" customHeight="1" x14ac:dyDescent="0.25">
      <c r="A838" s="3" t="s">
        <v>1258</v>
      </c>
      <c r="B838" s="3" t="s">
        <v>1657</v>
      </c>
      <c r="C838" s="5">
        <v>54886.9666</v>
      </c>
      <c r="D838" s="5">
        <v>54886.9666</v>
      </c>
      <c r="E838" s="5">
        <v>49701.1319</v>
      </c>
      <c r="F838" t="s">
        <v>7249</v>
      </c>
      <c r="G838" s="5" t="str">
        <f t="shared" si="27"/>
        <v>КОЛЬЦОВО</v>
      </c>
      <c r="J838" s="5"/>
      <c r="AF838" t="s">
        <v>7199</v>
      </c>
      <c r="AG838" s="24" t="s">
        <v>6072</v>
      </c>
      <c r="AH838" s="5" t="s">
        <v>7199</v>
      </c>
      <c r="AI838" s="5">
        <v>16218.3393</v>
      </c>
      <c r="AJ838" s="5">
        <v>16218.3393</v>
      </c>
      <c r="AK838">
        <v>15062.9359</v>
      </c>
      <c r="AL838" s="5" t="str">
        <f t="shared" si="28"/>
        <v>Ирбитское муниципальное образование</v>
      </c>
    </row>
    <row r="839" spans="1:38" ht="15" customHeight="1" x14ac:dyDescent="0.25">
      <c r="A839" s="3" t="s">
        <v>1260</v>
      </c>
      <c r="B839" s="3" t="s">
        <v>1631</v>
      </c>
      <c r="C839" s="5">
        <v>70026.7601</v>
      </c>
      <c r="D839" s="5">
        <v>70026.7601</v>
      </c>
      <c r="E839" s="5">
        <v>63410.482000000004</v>
      </c>
      <c r="F839" t="s">
        <v>7249</v>
      </c>
      <c r="G839" s="5" t="str">
        <f t="shared" si="27"/>
        <v>УРАЛМАШ</v>
      </c>
      <c r="J839" s="5"/>
      <c r="AF839" t="s">
        <v>7199</v>
      </c>
      <c r="AG839" s="24" t="s">
        <v>6073</v>
      </c>
      <c r="AH839" s="5" t="s">
        <v>7199</v>
      </c>
      <c r="AI839" s="5">
        <v>16218.3393</v>
      </c>
      <c r="AJ839" s="5">
        <v>16218.3393</v>
      </c>
      <c r="AK839">
        <v>15062.9359</v>
      </c>
      <c r="AL839" s="5" t="str">
        <f t="shared" si="28"/>
        <v>Ирбитское муниципальное образование</v>
      </c>
    </row>
    <row r="840" spans="1:38" ht="15" customHeight="1" x14ac:dyDescent="0.25">
      <c r="A840" s="3" t="s">
        <v>1262</v>
      </c>
      <c r="B840" s="3" t="s">
        <v>1629</v>
      </c>
      <c r="C840" s="5">
        <v>77743.704100000003</v>
      </c>
      <c r="D840" s="5">
        <v>77743.704100000003</v>
      </c>
      <c r="E840" s="5">
        <v>70398.310800000007</v>
      </c>
      <c r="F840" t="s">
        <v>7249</v>
      </c>
      <c r="G840" s="5" t="str">
        <f t="shared" si="27"/>
        <v>ПИОНЕРСКИЙ</v>
      </c>
      <c r="J840" s="5"/>
      <c r="AF840" t="s">
        <v>7199</v>
      </c>
      <c r="AG840" s="24" t="s">
        <v>6074</v>
      </c>
      <c r="AH840" s="5" t="s">
        <v>7199</v>
      </c>
      <c r="AI840" s="5">
        <v>16218.3393</v>
      </c>
      <c r="AJ840" s="5">
        <v>16218.3393</v>
      </c>
      <c r="AK840">
        <v>15062.9359</v>
      </c>
      <c r="AL840" s="5" t="str">
        <f t="shared" si="28"/>
        <v>Ирбитское муниципальное образование</v>
      </c>
    </row>
    <row r="841" spans="1:38" ht="15" customHeight="1" x14ac:dyDescent="0.25">
      <c r="A841" s="3" t="s">
        <v>1263</v>
      </c>
      <c r="B841" s="3" t="s">
        <v>14</v>
      </c>
      <c r="C841" s="5">
        <v>93989.912800000006</v>
      </c>
      <c r="D841" s="5">
        <v>93989.912800000006</v>
      </c>
      <c r="E841" s="5">
        <v>85109.545199999993</v>
      </c>
      <c r="F841" t="s">
        <v>7249</v>
      </c>
      <c r="G841" s="5" t="str">
        <f t="shared" si="27"/>
        <v>Центр</v>
      </c>
      <c r="J841" s="5"/>
      <c r="AF841" t="s">
        <v>7199</v>
      </c>
      <c r="AG841" s="24" t="s">
        <v>6075</v>
      </c>
      <c r="AH841" s="5" t="s">
        <v>7199</v>
      </c>
      <c r="AI841" s="5">
        <v>16218.3393</v>
      </c>
      <c r="AJ841" s="5">
        <v>16218.3393</v>
      </c>
      <c r="AK841">
        <v>15062.9359</v>
      </c>
      <c r="AL841" s="5" t="str">
        <f t="shared" si="28"/>
        <v>Ирбитское муниципальное образование</v>
      </c>
    </row>
    <row r="842" spans="1:38" ht="15" customHeight="1" x14ac:dyDescent="0.25">
      <c r="A842" s="3" t="s">
        <v>1264</v>
      </c>
      <c r="B842" s="3" t="s">
        <v>1628</v>
      </c>
      <c r="C842" s="5">
        <v>70734.0236</v>
      </c>
      <c r="D842" s="5">
        <v>70734.0236</v>
      </c>
      <c r="E842" s="5">
        <v>64050.9208</v>
      </c>
      <c r="F842" t="s">
        <v>7249</v>
      </c>
      <c r="G842" s="5" t="str">
        <f t="shared" si="27"/>
        <v>ЭЛЬМАШ</v>
      </c>
      <c r="J842" s="5"/>
      <c r="AF842" t="s">
        <v>7199</v>
      </c>
      <c r="AG842" s="24" t="s">
        <v>6076</v>
      </c>
      <c r="AH842" s="5" t="s">
        <v>7199</v>
      </c>
      <c r="AI842" s="5">
        <v>16218.3393</v>
      </c>
      <c r="AJ842" s="5">
        <v>16218.3393</v>
      </c>
      <c r="AK842">
        <v>15062.9359</v>
      </c>
      <c r="AL842" s="5" t="str">
        <f t="shared" si="28"/>
        <v>Ирбитское муниципальное образование</v>
      </c>
    </row>
    <row r="843" spans="1:38" ht="15" customHeight="1" x14ac:dyDescent="0.25">
      <c r="A843" s="3" t="s">
        <v>1265</v>
      </c>
      <c r="B843" s="3" t="s">
        <v>483</v>
      </c>
      <c r="C843" s="5">
        <v>44242.899599999997</v>
      </c>
      <c r="D843" s="5">
        <v>44242.899599999997</v>
      </c>
      <c r="E843" s="5">
        <v>40062.737300000001</v>
      </c>
      <c r="F843" t="s">
        <v>7249</v>
      </c>
      <c r="G843" s="5" t="str">
        <f t="shared" si="27"/>
        <v>Шувакиш</v>
      </c>
      <c r="J843" s="5"/>
      <c r="AF843" t="s">
        <v>7199</v>
      </c>
      <c r="AG843" s="24" t="s">
        <v>6077</v>
      </c>
      <c r="AH843" s="5" t="s">
        <v>7199</v>
      </c>
      <c r="AI843" s="5">
        <v>16218.3393</v>
      </c>
      <c r="AJ843" s="5">
        <v>16218.3393</v>
      </c>
      <c r="AK843">
        <v>15062.9359</v>
      </c>
      <c r="AL843" s="5" t="str">
        <f t="shared" si="28"/>
        <v>Ирбитское муниципальное образование</v>
      </c>
    </row>
    <row r="844" spans="1:38" ht="15" customHeight="1" x14ac:dyDescent="0.25">
      <c r="A844" s="3" t="s">
        <v>1266</v>
      </c>
      <c r="B844" s="3" t="s">
        <v>1657</v>
      </c>
      <c r="C844" s="5">
        <v>54886.9666</v>
      </c>
      <c r="D844" s="5">
        <v>54886.9666</v>
      </c>
      <c r="E844" s="5">
        <v>49701.1319</v>
      </c>
      <c r="F844" t="s">
        <v>7249</v>
      </c>
      <c r="G844" s="5" t="str">
        <f t="shared" si="27"/>
        <v>КОЛЬЦОВО</v>
      </c>
      <c r="J844" s="5"/>
      <c r="AF844" t="s">
        <v>7199</v>
      </c>
      <c r="AG844" s="24" t="s">
        <v>6078</v>
      </c>
      <c r="AH844" s="5" t="s">
        <v>7199</v>
      </c>
      <c r="AI844" s="5">
        <v>16218.3393</v>
      </c>
      <c r="AJ844" s="5">
        <v>16218.3393</v>
      </c>
      <c r="AK844">
        <v>15062.9359</v>
      </c>
      <c r="AL844" s="5" t="str">
        <f t="shared" si="28"/>
        <v>Ирбитское муниципальное образование</v>
      </c>
    </row>
    <row r="845" spans="1:38" ht="15" customHeight="1" x14ac:dyDescent="0.25">
      <c r="A845" s="3" t="s">
        <v>1267</v>
      </c>
      <c r="B845" s="3" t="s">
        <v>1632</v>
      </c>
      <c r="C845" s="5">
        <v>83744.997499999998</v>
      </c>
      <c r="D845" s="5">
        <v>83744.997499999998</v>
      </c>
      <c r="E845" s="5">
        <v>75832.596099999995</v>
      </c>
      <c r="F845" t="s">
        <v>7249</v>
      </c>
      <c r="G845" s="5" t="str">
        <f t="shared" si="27"/>
        <v>АВТОВОКЗАЛ</v>
      </c>
      <c r="J845" s="5"/>
      <c r="AF845" t="s">
        <v>7199</v>
      </c>
      <c r="AG845" s="24" t="s">
        <v>6079</v>
      </c>
      <c r="AH845" s="5" t="s">
        <v>7199</v>
      </c>
      <c r="AI845" s="5">
        <v>16218.3393</v>
      </c>
      <c r="AJ845" s="5">
        <v>16218.3393</v>
      </c>
      <c r="AK845">
        <v>15062.9359</v>
      </c>
      <c r="AL845" s="5" t="str">
        <f t="shared" si="28"/>
        <v>Ирбитское муниципальное образование</v>
      </c>
    </row>
    <row r="846" spans="1:38" ht="15" customHeight="1" x14ac:dyDescent="0.25">
      <c r="A846" s="3" t="s">
        <v>1268</v>
      </c>
      <c r="B846" s="3" t="s">
        <v>1637</v>
      </c>
      <c r="C846" s="5">
        <v>59368.686099999999</v>
      </c>
      <c r="D846" s="5">
        <v>59368.686099999999</v>
      </c>
      <c r="E846" s="5">
        <v>53759.401700000002</v>
      </c>
      <c r="F846" t="s">
        <v>7249</v>
      </c>
      <c r="G846" s="5" t="str">
        <f t="shared" si="27"/>
        <v>Старая сортировка</v>
      </c>
      <c r="J846" s="5"/>
      <c r="AF846" t="s">
        <v>7199</v>
      </c>
      <c r="AG846" s="24" t="s">
        <v>6080</v>
      </c>
      <c r="AH846" s="5" t="s">
        <v>7199</v>
      </c>
      <c r="AI846" s="5">
        <v>16218.3393</v>
      </c>
      <c r="AJ846" s="5">
        <v>16218.3393</v>
      </c>
      <c r="AK846">
        <v>15062.9359</v>
      </c>
      <c r="AL846" s="5" t="str">
        <f t="shared" si="28"/>
        <v>Ирбитское муниципальное образование</v>
      </c>
    </row>
    <row r="847" spans="1:38" ht="15" customHeight="1" x14ac:dyDescent="0.25">
      <c r="A847" s="3" t="s">
        <v>1269</v>
      </c>
      <c r="B847" s="3" t="s">
        <v>1651</v>
      </c>
      <c r="C847" s="5">
        <v>68129.029500000004</v>
      </c>
      <c r="D847" s="5">
        <v>68129.029500000004</v>
      </c>
      <c r="E847" s="5">
        <v>61692.054799999998</v>
      </c>
      <c r="F847" t="s">
        <v>7249</v>
      </c>
      <c r="G847" s="5" t="str">
        <f t="shared" si="27"/>
        <v>ШАРТАШ</v>
      </c>
      <c r="J847" s="5"/>
      <c r="AF847" t="s">
        <v>7200</v>
      </c>
      <c r="AG847" s="24" t="s">
        <v>6081</v>
      </c>
      <c r="AH847" s="5" t="s">
        <v>7200</v>
      </c>
      <c r="AI847" s="5">
        <v>21994.189900000001</v>
      </c>
      <c r="AJ847" s="5">
        <v>21994.189900000001</v>
      </c>
      <c r="AK847">
        <v>20427.310300000001</v>
      </c>
      <c r="AL847" s="5" t="str">
        <f t="shared" si="28"/>
        <v>Каменский городской округ</v>
      </c>
    </row>
    <row r="848" spans="1:38" ht="15" customHeight="1" x14ac:dyDescent="0.25">
      <c r="A848" s="3" t="s">
        <v>1270</v>
      </c>
      <c r="B848" s="3" t="s">
        <v>1628</v>
      </c>
      <c r="C848" s="5">
        <v>70734.0236</v>
      </c>
      <c r="D848" s="5">
        <v>70734.0236</v>
      </c>
      <c r="E848" s="5">
        <v>64050.9208</v>
      </c>
      <c r="F848" t="s">
        <v>7249</v>
      </c>
      <c r="G848" s="5" t="str">
        <f t="shared" si="27"/>
        <v>ЭЛЬМАШ</v>
      </c>
      <c r="J848" s="5"/>
      <c r="AF848" t="s">
        <v>7200</v>
      </c>
      <c r="AG848" s="24" t="s">
        <v>6082</v>
      </c>
      <c r="AH848" s="5" t="s">
        <v>7200</v>
      </c>
      <c r="AI848" s="5">
        <v>21994.189900000001</v>
      </c>
      <c r="AJ848" s="5">
        <v>21994.189900000001</v>
      </c>
      <c r="AK848">
        <v>20427.310300000001</v>
      </c>
      <c r="AL848" s="5" t="str">
        <f t="shared" si="28"/>
        <v>Каменский городской округ</v>
      </c>
    </row>
    <row r="849" spans="1:38" ht="15" customHeight="1" x14ac:dyDescent="0.25">
      <c r="A849" s="3" t="s">
        <v>1271</v>
      </c>
      <c r="B849" s="3" t="s">
        <v>14</v>
      </c>
      <c r="C849" s="5">
        <v>93989.912800000006</v>
      </c>
      <c r="D849" s="5">
        <v>93989.912800000006</v>
      </c>
      <c r="E849" s="5">
        <v>85109.545199999993</v>
      </c>
      <c r="F849" t="s">
        <v>7249</v>
      </c>
      <c r="G849" s="5" t="str">
        <f t="shared" si="27"/>
        <v>Центр</v>
      </c>
      <c r="J849" s="5"/>
      <c r="AF849" t="s">
        <v>7200</v>
      </c>
      <c r="AG849" s="24" t="s">
        <v>6083</v>
      </c>
      <c r="AH849" s="5" t="s">
        <v>7200</v>
      </c>
      <c r="AI849" s="5">
        <v>21994.189900000001</v>
      </c>
      <c r="AJ849" s="5">
        <v>21994.189900000001</v>
      </c>
      <c r="AK849">
        <v>20427.310300000001</v>
      </c>
      <c r="AL849" s="5" t="str">
        <f t="shared" si="28"/>
        <v>Каменский городской округ</v>
      </c>
    </row>
    <row r="850" spans="1:38" ht="15" customHeight="1" x14ac:dyDescent="0.25">
      <c r="A850" s="3" t="s">
        <v>1272</v>
      </c>
      <c r="B850" s="3" t="s">
        <v>14</v>
      </c>
      <c r="C850" s="5">
        <v>93989.912800000006</v>
      </c>
      <c r="D850" s="5">
        <v>93989.912800000006</v>
      </c>
      <c r="E850" s="5">
        <v>85109.545199999993</v>
      </c>
      <c r="F850" t="s">
        <v>7249</v>
      </c>
      <c r="G850" s="5" t="str">
        <f t="shared" si="27"/>
        <v>Центр</v>
      </c>
      <c r="J850" s="5"/>
      <c r="AF850" t="s">
        <v>7200</v>
      </c>
      <c r="AG850" s="24" t="s">
        <v>6084</v>
      </c>
      <c r="AH850" s="5" t="s">
        <v>7200</v>
      </c>
      <c r="AI850" s="5">
        <v>21994.189900000001</v>
      </c>
      <c r="AJ850" s="5">
        <v>21994.189900000001</v>
      </c>
      <c r="AK850">
        <v>20427.310300000001</v>
      </c>
      <c r="AL850" s="5" t="str">
        <f t="shared" si="28"/>
        <v>Каменский городской округ</v>
      </c>
    </row>
    <row r="851" spans="1:38" ht="15" customHeight="1" x14ac:dyDescent="0.25">
      <c r="A851" s="3" t="s">
        <v>1273</v>
      </c>
      <c r="B851" s="3" t="s">
        <v>1657</v>
      </c>
      <c r="C851" s="5">
        <v>54886.9666</v>
      </c>
      <c r="D851" s="5">
        <v>54886.9666</v>
      </c>
      <c r="E851" s="5">
        <v>49701.1319</v>
      </c>
      <c r="F851" t="s">
        <v>7249</v>
      </c>
      <c r="G851" s="5" t="str">
        <f t="shared" si="27"/>
        <v>КОЛЬЦОВО</v>
      </c>
      <c r="J851" s="5"/>
      <c r="AF851" t="s">
        <v>7200</v>
      </c>
      <c r="AG851" s="24" t="s">
        <v>6085</v>
      </c>
      <c r="AH851" s="5" t="s">
        <v>7200</v>
      </c>
      <c r="AI851" s="5">
        <v>21994.189900000001</v>
      </c>
      <c r="AJ851" s="5">
        <v>21994.189900000001</v>
      </c>
      <c r="AK851">
        <v>20427.310300000001</v>
      </c>
      <c r="AL851" s="5" t="str">
        <f t="shared" si="28"/>
        <v>Каменский городской округ</v>
      </c>
    </row>
    <row r="852" spans="1:38" ht="15" customHeight="1" x14ac:dyDescent="0.25">
      <c r="A852" s="3" t="s">
        <v>1274</v>
      </c>
      <c r="B852" s="3" t="s">
        <v>1631</v>
      </c>
      <c r="C852" s="5">
        <v>70026.7601</v>
      </c>
      <c r="D852" s="5">
        <v>70026.7601</v>
      </c>
      <c r="E852" s="5">
        <v>63410.482000000004</v>
      </c>
      <c r="F852" t="s">
        <v>7249</v>
      </c>
      <c r="G852" s="5" t="str">
        <f t="shared" si="27"/>
        <v>УРАЛМАШ</v>
      </c>
      <c r="J852" s="5"/>
      <c r="AF852" t="s">
        <v>7200</v>
      </c>
      <c r="AG852" s="24" t="s">
        <v>6086</v>
      </c>
      <c r="AH852" s="5" t="s">
        <v>7200</v>
      </c>
      <c r="AI852" s="5">
        <v>21994.189900000001</v>
      </c>
      <c r="AJ852" s="5">
        <v>21994.189900000001</v>
      </c>
      <c r="AK852">
        <v>20427.310300000001</v>
      </c>
      <c r="AL852" s="5" t="str">
        <f t="shared" si="28"/>
        <v>Каменский городской округ</v>
      </c>
    </row>
    <row r="853" spans="1:38" ht="15" customHeight="1" x14ac:dyDescent="0.25">
      <c r="A853" s="3" t="s">
        <v>1275</v>
      </c>
      <c r="B853" s="3" t="s">
        <v>1636</v>
      </c>
      <c r="C853" s="5">
        <v>52246.960299999999</v>
      </c>
      <c r="D853" s="5">
        <v>52246.960299999999</v>
      </c>
      <c r="E853" s="5">
        <v>47310.556700000001</v>
      </c>
      <c r="F853" t="s">
        <v>7249</v>
      </c>
      <c r="G853" s="5" t="str">
        <f t="shared" si="27"/>
        <v>ГОРНЫЙ ЩИТ</v>
      </c>
      <c r="J853" s="5"/>
      <c r="AF853" t="s">
        <v>7200</v>
      </c>
      <c r="AG853" s="24" t="s">
        <v>6087</v>
      </c>
      <c r="AH853" s="5" t="s">
        <v>7200</v>
      </c>
      <c r="AI853" s="5">
        <v>21994.189900000001</v>
      </c>
      <c r="AJ853" s="5">
        <v>21994.189900000001</v>
      </c>
      <c r="AK853">
        <v>20427.310300000001</v>
      </c>
      <c r="AL853" s="5" t="str">
        <f t="shared" si="28"/>
        <v>Каменский городской округ</v>
      </c>
    </row>
    <row r="854" spans="1:38" ht="15" customHeight="1" x14ac:dyDescent="0.25">
      <c r="A854" s="3" t="s">
        <v>1277</v>
      </c>
      <c r="B854" s="3" t="s">
        <v>1657</v>
      </c>
      <c r="C854" s="5">
        <v>54886.9666</v>
      </c>
      <c r="D854" s="5">
        <v>54886.9666</v>
      </c>
      <c r="E854" s="5">
        <v>49701.1319</v>
      </c>
      <c r="F854" t="s">
        <v>7249</v>
      </c>
      <c r="G854" s="5" t="str">
        <f t="shared" si="27"/>
        <v>КОЛЬЦОВО</v>
      </c>
      <c r="J854" s="5"/>
      <c r="AF854" t="s">
        <v>7200</v>
      </c>
      <c r="AG854" s="24" t="s">
        <v>6088</v>
      </c>
      <c r="AH854" s="5" t="s">
        <v>7200</v>
      </c>
      <c r="AI854" s="5">
        <v>21994.189900000001</v>
      </c>
      <c r="AJ854" s="5">
        <v>21994.189900000001</v>
      </c>
      <c r="AK854">
        <v>20427.310300000001</v>
      </c>
      <c r="AL854" s="5" t="str">
        <f t="shared" si="28"/>
        <v>Каменский городской округ</v>
      </c>
    </row>
    <row r="855" spans="1:38" ht="15" customHeight="1" x14ac:dyDescent="0.25">
      <c r="A855" s="3" t="s">
        <v>1278</v>
      </c>
      <c r="B855" s="3" t="s">
        <v>1659</v>
      </c>
      <c r="C855" s="5">
        <v>59746.832600000002</v>
      </c>
      <c r="D855" s="5">
        <v>59746.832600000002</v>
      </c>
      <c r="E855" s="5">
        <v>54101.823700000001</v>
      </c>
      <c r="F855" t="s">
        <v>7249</v>
      </c>
      <c r="G855" s="5" t="str">
        <f t="shared" si="27"/>
        <v>СОВХОЗ</v>
      </c>
      <c r="J855" s="5"/>
      <c r="AF855" t="s">
        <v>7200</v>
      </c>
      <c r="AG855" s="24" t="s">
        <v>6089</v>
      </c>
      <c r="AH855" s="5" t="s">
        <v>7200</v>
      </c>
      <c r="AI855" s="5">
        <v>21994.189900000001</v>
      </c>
      <c r="AJ855" s="5">
        <v>21994.189900000001</v>
      </c>
      <c r="AK855">
        <v>20427.310300000001</v>
      </c>
      <c r="AL855" s="5" t="str">
        <f t="shared" si="28"/>
        <v>Каменский городской округ</v>
      </c>
    </row>
    <row r="856" spans="1:38" ht="15" customHeight="1" x14ac:dyDescent="0.25">
      <c r="A856" s="3" t="s">
        <v>1279</v>
      </c>
      <c r="B856" s="3" t="s">
        <v>1637</v>
      </c>
      <c r="C856" s="5">
        <v>59368.686099999999</v>
      </c>
      <c r="D856" s="5">
        <v>59368.686099999999</v>
      </c>
      <c r="E856" s="5">
        <v>53759.401700000002</v>
      </c>
      <c r="F856" t="s">
        <v>7249</v>
      </c>
      <c r="G856" s="5" t="str">
        <f t="shared" si="27"/>
        <v>Старая сортировка</v>
      </c>
      <c r="J856" s="5"/>
      <c r="AF856" t="s">
        <v>7200</v>
      </c>
      <c r="AG856" s="24" t="s">
        <v>6090</v>
      </c>
      <c r="AH856" s="5" t="s">
        <v>7200</v>
      </c>
      <c r="AI856" s="5">
        <v>21994.189900000001</v>
      </c>
      <c r="AJ856" s="5">
        <v>21994.189900000001</v>
      </c>
      <c r="AK856">
        <v>20427.310300000001</v>
      </c>
      <c r="AL856" s="5" t="str">
        <f t="shared" si="28"/>
        <v>Каменский городской округ</v>
      </c>
    </row>
    <row r="857" spans="1:38" ht="15" customHeight="1" x14ac:dyDescent="0.25">
      <c r="A857" s="3" t="s">
        <v>1280</v>
      </c>
      <c r="B857" s="3" t="s">
        <v>1643</v>
      </c>
      <c r="C857" s="5">
        <v>76630.280299999999</v>
      </c>
      <c r="D857" s="5">
        <v>76630.280299999999</v>
      </c>
      <c r="E857" s="5">
        <v>69390.088799999998</v>
      </c>
      <c r="F857" t="s">
        <v>7249</v>
      </c>
      <c r="G857" s="5" t="str">
        <f t="shared" si="27"/>
        <v>Ю-З</v>
      </c>
      <c r="J857" s="5"/>
      <c r="AF857" t="s">
        <v>7200</v>
      </c>
      <c r="AG857" s="24" t="s">
        <v>6091</v>
      </c>
      <c r="AH857" s="5" t="s">
        <v>7200</v>
      </c>
      <c r="AI857" s="5">
        <v>21994.189900000001</v>
      </c>
      <c r="AJ857" s="5">
        <v>21994.189900000001</v>
      </c>
      <c r="AK857">
        <v>20427.310300000001</v>
      </c>
      <c r="AL857" s="5" t="str">
        <f t="shared" si="28"/>
        <v>Каменский городской округ</v>
      </c>
    </row>
    <row r="858" spans="1:38" ht="15" customHeight="1" x14ac:dyDescent="0.25">
      <c r="A858" s="3" t="s">
        <v>1281</v>
      </c>
      <c r="B858" s="3" t="s">
        <v>779</v>
      </c>
      <c r="C858" s="5">
        <v>46784.877899999999</v>
      </c>
      <c r="D858" s="5">
        <v>46784.877899999999</v>
      </c>
      <c r="E858" s="5">
        <v>42364.543299999998</v>
      </c>
      <c r="F858" t="s">
        <v>7249</v>
      </c>
      <c r="G858" s="5" t="str">
        <f t="shared" si="27"/>
        <v>Нижнеисетский</v>
      </c>
      <c r="J858" s="5"/>
      <c r="AF858" t="s">
        <v>7200</v>
      </c>
      <c r="AG858" s="24" t="s">
        <v>6092</v>
      </c>
      <c r="AH858" s="5" t="s">
        <v>7200</v>
      </c>
      <c r="AI858" s="5">
        <v>21994.189900000001</v>
      </c>
      <c r="AJ858" s="5">
        <v>21994.189900000001</v>
      </c>
      <c r="AK858">
        <v>20427.310300000001</v>
      </c>
      <c r="AL858" s="5" t="str">
        <f t="shared" si="28"/>
        <v>Каменский городской округ</v>
      </c>
    </row>
    <row r="859" spans="1:38" ht="15" customHeight="1" x14ac:dyDescent="0.25">
      <c r="A859" s="3" t="s">
        <v>1282</v>
      </c>
      <c r="B859" s="3" t="s">
        <v>1656</v>
      </c>
      <c r="C859" s="5">
        <v>60173.9879</v>
      </c>
      <c r="D859" s="5">
        <v>60173.9879</v>
      </c>
      <c r="E859" s="5">
        <v>54488.630299999997</v>
      </c>
      <c r="F859" t="s">
        <v>7249</v>
      </c>
      <c r="G859" s="5" t="str">
        <f t="shared" si="27"/>
        <v>МАЛЫЙ ИСТОК</v>
      </c>
      <c r="J859" s="5"/>
      <c r="AF859" t="s">
        <v>7200</v>
      </c>
      <c r="AG859" s="24" t="s">
        <v>6093</v>
      </c>
      <c r="AH859" s="5" t="s">
        <v>7200</v>
      </c>
      <c r="AI859" s="5">
        <v>21994.189900000001</v>
      </c>
      <c r="AJ859" s="5">
        <v>21994.189900000001</v>
      </c>
      <c r="AK859">
        <v>20427.310300000001</v>
      </c>
      <c r="AL859" s="5" t="str">
        <f t="shared" si="28"/>
        <v>Каменский городской округ</v>
      </c>
    </row>
    <row r="860" spans="1:38" ht="15" customHeight="1" x14ac:dyDescent="0.25">
      <c r="A860" s="3" t="s">
        <v>1283</v>
      </c>
      <c r="B860" s="3" t="s">
        <v>1643</v>
      </c>
      <c r="C860" s="5">
        <v>76630.280299999999</v>
      </c>
      <c r="D860" s="5">
        <v>76630.280299999999</v>
      </c>
      <c r="E860" s="5">
        <v>69390.088799999998</v>
      </c>
      <c r="F860" t="s">
        <v>7249</v>
      </c>
      <c r="G860" s="5" t="str">
        <f t="shared" si="27"/>
        <v>Ю-З</v>
      </c>
      <c r="J860" s="5"/>
      <c r="AF860" t="s">
        <v>7200</v>
      </c>
      <c r="AG860" s="24" t="s">
        <v>6094</v>
      </c>
      <c r="AH860" s="5" t="s">
        <v>7200</v>
      </c>
      <c r="AI860" s="5">
        <v>21994.189900000001</v>
      </c>
      <c r="AJ860" s="5">
        <v>21994.189900000001</v>
      </c>
      <c r="AK860">
        <v>20427.310300000001</v>
      </c>
      <c r="AL860" s="5" t="str">
        <f t="shared" si="28"/>
        <v>Каменский городской округ</v>
      </c>
    </row>
    <row r="861" spans="1:38" ht="15" customHeight="1" x14ac:dyDescent="0.25">
      <c r="A861" s="3" t="s">
        <v>1284</v>
      </c>
      <c r="B861" s="3" t="s">
        <v>1650</v>
      </c>
      <c r="C861" s="5">
        <v>37590.3603</v>
      </c>
      <c r="D861" s="5">
        <v>37590.3603</v>
      </c>
      <c r="E861" s="5">
        <v>34038.745900000002</v>
      </c>
      <c r="F861" t="s">
        <v>7249</v>
      </c>
      <c r="G861" s="5" t="str">
        <f t="shared" si="27"/>
        <v>ШАБРОВСКИЙ</v>
      </c>
      <c r="J861" s="5"/>
      <c r="AF861" t="s">
        <v>7200</v>
      </c>
      <c r="AG861" s="24" t="s">
        <v>6095</v>
      </c>
      <c r="AH861" s="5" t="s">
        <v>7200</v>
      </c>
      <c r="AI861" s="5">
        <v>22545.106</v>
      </c>
      <c r="AJ861" s="5">
        <v>22545.106</v>
      </c>
      <c r="AK861">
        <v>20938.971799999999</v>
      </c>
      <c r="AL861" s="5" t="str">
        <f t="shared" si="28"/>
        <v>Каменский городской округ</v>
      </c>
    </row>
    <row r="862" spans="1:38" ht="15" customHeight="1" x14ac:dyDescent="0.25">
      <c r="A862" s="3" t="s">
        <v>1286</v>
      </c>
      <c r="B862" s="3" t="s">
        <v>1650</v>
      </c>
      <c r="C862" s="5">
        <v>37590.3603</v>
      </c>
      <c r="D862" s="5">
        <v>37590.3603</v>
      </c>
      <c r="E862" s="5">
        <v>34038.745900000002</v>
      </c>
      <c r="F862" t="s">
        <v>7249</v>
      </c>
      <c r="G862" s="5" t="str">
        <f t="shared" si="27"/>
        <v>ШАБРОВСКИЙ</v>
      </c>
      <c r="J862" s="5"/>
      <c r="AF862" t="s">
        <v>7200</v>
      </c>
      <c r="AG862" s="24" t="s">
        <v>6096</v>
      </c>
      <c r="AH862" s="5" t="s">
        <v>7200</v>
      </c>
      <c r="AI862" s="5">
        <v>22545.106</v>
      </c>
      <c r="AJ862" s="5">
        <v>22545.106</v>
      </c>
      <c r="AK862">
        <v>20938.971799999999</v>
      </c>
      <c r="AL862" s="5" t="str">
        <f t="shared" si="28"/>
        <v>Каменский городской округ</v>
      </c>
    </row>
    <row r="863" spans="1:38" ht="15" customHeight="1" x14ac:dyDescent="0.25">
      <c r="A863" s="3" t="s">
        <v>1288</v>
      </c>
      <c r="B863" s="3" t="s">
        <v>1628</v>
      </c>
      <c r="C863" s="5">
        <v>70734.0236</v>
      </c>
      <c r="D863" s="5">
        <v>70734.0236</v>
      </c>
      <c r="E863" s="5">
        <v>64050.9208</v>
      </c>
      <c r="F863" t="s">
        <v>7249</v>
      </c>
      <c r="G863" s="5" t="str">
        <f t="shared" si="27"/>
        <v>ЭЛЬМАШ</v>
      </c>
      <c r="J863" s="5"/>
      <c r="AF863" t="s">
        <v>7200</v>
      </c>
      <c r="AG863" s="24" t="s">
        <v>6097</v>
      </c>
      <c r="AH863" s="5" t="s">
        <v>7200</v>
      </c>
      <c r="AI863" s="5">
        <v>21994.189900000001</v>
      </c>
      <c r="AJ863" s="5">
        <v>21994.189900000001</v>
      </c>
      <c r="AK863">
        <v>20427.310300000001</v>
      </c>
      <c r="AL863" s="5" t="str">
        <f t="shared" si="28"/>
        <v>Каменский городской округ</v>
      </c>
    </row>
    <row r="864" spans="1:38" ht="15" customHeight="1" x14ac:dyDescent="0.25">
      <c r="A864" s="3" t="s">
        <v>1289</v>
      </c>
      <c r="B864" s="3" t="s">
        <v>1631</v>
      </c>
      <c r="C864" s="5">
        <v>70026.7601</v>
      </c>
      <c r="D864" s="5">
        <v>70026.7601</v>
      </c>
      <c r="E864" s="5">
        <v>63410.482000000004</v>
      </c>
      <c r="F864" t="s">
        <v>7249</v>
      </c>
      <c r="G864" s="5" t="str">
        <f t="shared" si="27"/>
        <v>УРАЛМАШ</v>
      </c>
      <c r="J864" s="5"/>
      <c r="AF864" t="s">
        <v>7200</v>
      </c>
      <c r="AG864" s="24" t="s">
        <v>6098</v>
      </c>
      <c r="AH864" s="5" t="s">
        <v>7200</v>
      </c>
      <c r="AI864" s="5">
        <v>21994.189900000001</v>
      </c>
      <c r="AJ864" s="5">
        <v>21994.189900000001</v>
      </c>
      <c r="AK864">
        <v>20427.310300000001</v>
      </c>
      <c r="AL864" s="5" t="str">
        <f t="shared" si="28"/>
        <v>Каменский городской округ</v>
      </c>
    </row>
    <row r="865" spans="1:38" ht="15" customHeight="1" x14ac:dyDescent="0.25">
      <c r="A865" s="3" t="s">
        <v>1290</v>
      </c>
      <c r="B865" s="3" t="s">
        <v>1633</v>
      </c>
      <c r="C865" s="5">
        <v>77071.442599999995</v>
      </c>
      <c r="D865" s="5">
        <v>77071.442599999995</v>
      </c>
      <c r="E865" s="5">
        <v>69789.570900000006</v>
      </c>
      <c r="F865" t="s">
        <v>7249</v>
      </c>
      <c r="G865" s="5" t="str">
        <f t="shared" si="27"/>
        <v>ВТУЗГОРОДОК</v>
      </c>
      <c r="J865" s="5"/>
      <c r="AF865" t="s">
        <v>7200</v>
      </c>
      <c r="AG865" s="24" t="s">
        <v>6099</v>
      </c>
      <c r="AH865" s="5" t="s">
        <v>7200</v>
      </c>
      <c r="AI865" s="5">
        <v>21994.189900000001</v>
      </c>
      <c r="AJ865" s="5">
        <v>21994.189900000001</v>
      </c>
      <c r="AK865">
        <v>20427.310300000001</v>
      </c>
      <c r="AL865" s="5" t="str">
        <f t="shared" si="28"/>
        <v>Каменский городской округ</v>
      </c>
    </row>
    <row r="866" spans="1:38" ht="15" customHeight="1" x14ac:dyDescent="0.25">
      <c r="A866" s="3" t="s">
        <v>1291</v>
      </c>
      <c r="B866" s="3" t="s">
        <v>1632</v>
      </c>
      <c r="C866" s="5">
        <v>83744.997499999998</v>
      </c>
      <c r="D866" s="5">
        <v>83744.997499999998</v>
      </c>
      <c r="E866" s="5">
        <v>75832.596099999995</v>
      </c>
      <c r="F866" t="s">
        <v>7249</v>
      </c>
      <c r="G866" s="5" t="str">
        <f t="shared" si="27"/>
        <v>АВТОВОКЗАЛ</v>
      </c>
      <c r="J866" s="5"/>
      <c r="AF866" t="s">
        <v>7200</v>
      </c>
      <c r="AG866" s="24" t="s">
        <v>6100</v>
      </c>
      <c r="AH866" s="5" t="s">
        <v>7200</v>
      </c>
      <c r="AI866" s="5">
        <v>22545.106</v>
      </c>
      <c r="AJ866" s="5">
        <v>22545.106</v>
      </c>
      <c r="AK866">
        <v>20938.971799999999</v>
      </c>
      <c r="AL866" s="5" t="str">
        <f t="shared" si="28"/>
        <v>Каменский городской округ</v>
      </c>
    </row>
    <row r="867" spans="1:38" ht="15" customHeight="1" x14ac:dyDescent="0.25">
      <c r="A867" s="3" t="s">
        <v>1292</v>
      </c>
      <c r="B867" s="3" t="s">
        <v>1654</v>
      </c>
      <c r="C867" s="5">
        <v>56140.449699999997</v>
      </c>
      <c r="D867" s="5">
        <v>56140.449699999997</v>
      </c>
      <c r="E867" s="5">
        <v>50836.1803</v>
      </c>
      <c r="F867" t="s">
        <v>7249</v>
      </c>
      <c r="G867" s="5" t="str">
        <f t="shared" si="27"/>
        <v>ЗАВОКЗАЛЬНЫЙ</v>
      </c>
      <c r="J867" s="5"/>
      <c r="AF867" t="s">
        <v>7200</v>
      </c>
      <c r="AG867" s="24" t="s">
        <v>6101</v>
      </c>
      <c r="AH867" s="5" t="s">
        <v>7200</v>
      </c>
      <c r="AI867" s="5">
        <v>21994.189900000001</v>
      </c>
      <c r="AJ867" s="5">
        <v>21994.189900000001</v>
      </c>
      <c r="AK867">
        <v>20427.310300000001</v>
      </c>
      <c r="AL867" s="5" t="str">
        <f t="shared" si="28"/>
        <v>Каменский городской округ</v>
      </c>
    </row>
    <row r="868" spans="1:38" ht="15" customHeight="1" x14ac:dyDescent="0.25">
      <c r="A868" s="3" t="s">
        <v>1293</v>
      </c>
      <c r="B868" s="3" t="s">
        <v>14</v>
      </c>
      <c r="C868" s="5">
        <v>93989.912800000006</v>
      </c>
      <c r="D868" s="5">
        <v>93989.912800000006</v>
      </c>
      <c r="E868" s="5">
        <v>85109.545199999993</v>
      </c>
      <c r="F868" t="s">
        <v>7249</v>
      </c>
      <c r="G868" s="5" t="str">
        <f t="shared" si="27"/>
        <v>Центр</v>
      </c>
      <c r="J868" s="5"/>
      <c r="AF868" t="s">
        <v>7200</v>
      </c>
      <c r="AG868" s="24" t="s">
        <v>6102</v>
      </c>
      <c r="AH868" s="5" t="s">
        <v>7200</v>
      </c>
      <c r="AI868" s="5">
        <v>21994.189900000001</v>
      </c>
      <c r="AJ868" s="5">
        <v>21994.189900000001</v>
      </c>
      <c r="AK868">
        <v>20427.310300000001</v>
      </c>
      <c r="AL868" s="5" t="str">
        <f t="shared" si="28"/>
        <v>Каменский городской округ</v>
      </c>
    </row>
    <row r="869" spans="1:38" ht="15" customHeight="1" x14ac:dyDescent="0.25">
      <c r="A869" s="3" t="s">
        <v>1294</v>
      </c>
      <c r="B869" s="3" t="s">
        <v>1659</v>
      </c>
      <c r="C869" s="5">
        <v>59746.832600000002</v>
      </c>
      <c r="D869" s="5">
        <v>59746.832600000002</v>
      </c>
      <c r="E869" s="5">
        <v>54101.823700000001</v>
      </c>
      <c r="F869" t="s">
        <v>7249</v>
      </c>
      <c r="G869" s="5" t="str">
        <f t="shared" si="27"/>
        <v>СОВХОЗ</v>
      </c>
      <c r="J869" s="5"/>
      <c r="AF869" t="s">
        <v>7200</v>
      </c>
      <c r="AG869" s="24" t="s">
        <v>6103</v>
      </c>
      <c r="AH869" s="5" t="s">
        <v>7200</v>
      </c>
      <c r="AI869" s="5">
        <v>21994.189900000001</v>
      </c>
      <c r="AJ869" s="5">
        <v>21994.189900000001</v>
      </c>
      <c r="AK869">
        <v>20427.310300000001</v>
      </c>
      <c r="AL869" s="5" t="str">
        <f t="shared" si="28"/>
        <v>Каменский городской округ</v>
      </c>
    </row>
    <row r="870" spans="1:38" ht="15" customHeight="1" x14ac:dyDescent="0.25">
      <c r="A870" s="3" t="s">
        <v>1295</v>
      </c>
      <c r="B870" s="3" t="s">
        <v>1630</v>
      </c>
      <c r="C870" s="5">
        <v>62652.9401</v>
      </c>
      <c r="D870" s="5">
        <v>62652.9401</v>
      </c>
      <c r="E870" s="5">
        <v>56733.3557</v>
      </c>
      <c r="F870" t="s">
        <v>7249</v>
      </c>
      <c r="G870" s="5" t="str">
        <f t="shared" si="27"/>
        <v>ЧЕРМЕТ</v>
      </c>
      <c r="J870" s="5"/>
      <c r="AF870" t="s">
        <v>7200</v>
      </c>
      <c r="AG870" s="24" t="s">
        <v>6104</v>
      </c>
      <c r="AH870" s="5" t="s">
        <v>7200</v>
      </c>
      <c r="AI870" s="5">
        <v>21994.189900000001</v>
      </c>
      <c r="AJ870" s="5">
        <v>21994.189900000001</v>
      </c>
      <c r="AK870">
        <v>20427.310300000001</v>
      </c>
      <c r="AL870" s="5" t="str">
        <f t="shared" si="28"/>
        <v>Каменский городской округ</v>
      </c>
    </row>
    <row r="871" spans="1:38" ht="15" customHeight="1" x14ac:dyDescent="0.25">
      <c r="A871" s="3" t="s">
        <v>1296</v>
      </c>
      <c r="B871" s="3" t="s">
        <v>14</v>
      </c>
      <c r="C871" s="5">
        <v>93989.912800000006</v>
      </c>
      <c r="D871" s="5">
        <v>93989.912800000006</v>
      </c>
      <c r="E871" s="5">
        <v>85109.545199999993</v>
      </c>
      <c r="F871" t="s">
        <v>7249</v>
      </c>
      <c r="G871" s="5" t="str">
        <f t="shared" si="27"/>
        <v>Центр</v>
      </c>
      <c r="J871" s="5"/>
      <c r="AF871" t="s">
        <v>7200</v>
      </c>
      <c r="AG871" s="24" t="s">
        <v>6105</v>
      </c>
      <c r="AH871" s="5" t="s">
        <v>7200</v>
      </c>
      <c r="AI871" s="5">
        <v>21994.189900000001</v>
      </c>
      <c r="AJ871" s="5">
        <v>21994.189900000001</v>
      </c>
      <c r="AK871">
        <v>20427.310300000001</v>
      </c>
      <c r="AL871" s="5" t="str">
        <f t="shared" si="28"/>
        <v>Каменский городской округ</v>
      </c>
    </row>
    <row r="872" spans="1:38" ht="15" customHeight="1" x14ac:dyDescent="0.25">
      <c r="A872" s="3" t="s">
        <v>1297</v>
      </c>
      <c r="B872" s="3" t="s">
        <v>14</v>
      </c>
      <c r="C872" s="5">
        <v>93989.912800000006</v>
      </c>
      <c r="D872" s="5">
        <v>93989.912800000006</v>
      </c>
      <c r="E872" s="5">
        <v>85109.545199999993</v>
      </c>
      <c r="F872" t="s">
        <v>7249</v>
      </c>
      <c r="G872" s="5" t="str">
        <f t="shared" si="27"/>
        <v>Центр</v>
      </c>
      <c r="J872" s="5"/>
      <c r="AF872" t="s">
        <v>7200</v>
      </c>
      <c r="AG872" s="24" t="s">
        <v>6106</v>
      </c>
      <c r="AH872" s="5" t="s">
        <v>7200</v>
      </c>
      <c r="AI872" s="5">
        <v>21994.189900000001</v>
      </c>
      <c r="AJ872" s="5">
        <v>21994.189900000001</v>
      </c>
      <c r="AK872">
        <v>20427.310300000001</v>
      </c>
      <c r="AL872" s="5" t="str">
        <f t="shared" si="28"/>
        <v>Каменский городской округ</v>
      </c>
    </row>
    <row r="873" spans="1:38" ht="15" customHeight="1" x14ac:dyDescent="0.25">
      <c r="A873" s="3" t="s">
        <v>1298</v>
      </c>
      <c r="B873" s="3" t="s">
        <v>33</v>
      </c>
      <c r="C873" s="5">
        <v>84298.205100000006</v>
      </c>
      <c r="D873" s="5">
        <v>84298.205100000006</v>
      </c>
      <c r="E873" s="5">
        <v>76333.533100000001</v>
      </c>
      <c r="F873" t="s">
        <v>7249</v>
      </c>
      <c r="G873" s="5" t="str">
        <f t="shared" si="27"/>
        <v>ВИЗ</v>
      </c>
      <c r="J873" s="5"/>
      <c r="AF873" t="s">
        <v>7200</v>
      </c>
      <c r="AG873" s="24" t="s">
        <v>6107</v>
      </c>
      <c r="AH873" s="5" t="s">
        <v>7200</v>
      </c>
      <c r="AI873" s="5">
        <v>21994.189900000001</v>
      </c>
      <c r="AJ873" s="5">
        <v>21994.189900000001</v>
      </c>
      <c r="AK873">
        <v>20427.310300000001</v>
      </c>
      <c r="AL873" s="5" t="str">
        <f t="shared" si="28"/>
        <v>Каменский городской округ</v>
      </c>
    </row>
    <row r="874" spans="1:38" ht="15" customHeight="1" x14ac:dyDescent="0.25">
      <c r="A874" s="3" t="s">
        <v>1299</v>
      </c>
      <c r="B874" s="3" t="s">
        <v>1638</v>
      </c>
      <c r="C874" s="5">
        <v>63640.311600000001</v>
      </c>
      <c r="D874" s="5">
        <v>63640.311600000001</v>
      </c>
      <c r="E874" s="5">
        <v>57627.4473</v>
      </c>
      <c r="F874" t="s">
        <v>7249</v>
      </c>
      <c r="G874" s="5" t="str">
        <f t="shared" si="27"/>
        <v>УКТУС</v>
      </c>
      <c r="J874" s="5"/>
      <c r="AF874" t="s">
        <v>7200</v>
      </c>
      <c r="AG874" s="24" t="s">
        <v>6108</v>
      </c>
      <c r="AH874" s="5" t="s">
        <v>7200</v>
      </c>
      <c r="AI874" s="5">
        <v>21994.189900000001</v>
      </c>
      <c r="AJ874" s="5">
        <v>21994.189900000001</v>
      </c>
      <c r="AK874">
        <v>20427.310300000001</v>
      </c>
      <c r="AL874" s="5" t="str">
        <f t="shared" si="28"/>
        <v>Каменский городской округ</v>
      </c>
    </row>
    <row r="875" spans="1:38" ht="15" customHeight="1" x14ac:dyDescent="0.25">
      <c r="A875" s="3" t="s">
        <v>1300</v>
      </c>
      <c r="B875" s="3" t="s">
        <v>33</v>
      </c>
      <c r="C875" s="5">
        <v>84298.205100000006</v>
      </c>
      <c r="D875" s="5">
        <v>84298.205100000006</v>
      </c>
      <c r="E875" s="5">
        <v>76333.533100000001</v>
      </c>
      <c r="F875" t="s">
        <v>7249</v>
      </c>
      <c r="G875" s="5" t="str">
        <f t="shared" si="27"/>
        <v>ВИЗ</v>
      </c>
      <c r="J875" s="5"/>
      <c r="AF875" t="s">
        <v>7200</v>
      </c>
      <c r="AG875" s="24" t="s">
        <v>6109</v>
      </c>
      <c r="AH875" s="5" t="s">
        <v>7200</v>
      </c>
      <c r="AI875" s="5">
        <v>21994.189900000001</v>
      </c>
      <c r="AJ875" s="5">
        <v>21994.189900000001</v>
      </c>
      <c r="AK875">
        <v>20427.310300000001</v>
      </c>
      <c r="AL875" s="5" t="str">
        <f t="shared" si="28"/>
        <v>Каменский городской округ</v>
      </c>
    </row>
    <row r="876" spans="1:38" ht="15" customHeight="1" x14ac:dyDescent="0.25">
      <c r="A876" s="3" t="s">
        <v>1301</v>
      </c>
      <c r="B876" s="3" t="s">
        <v>1644</v>
      </c>
      <c r="C876" s="5">
        <v>61980.678599999999</v>
      </c>
      <c r="D876" s="5">
        <v>61980.678599999999</v>
      </c>
      <c r="E876" s="5">
        <v>56124.615700000002</v>
      </c>
      <c r="F876" t="s">
        <v>7249</v>
      </c>
      <c r="G876" s="5" t="str">
        <f t="shared" si="27"/>
        <v>ХИММАШ</v>
      </c>
      <c r="J876" s="5"/>
      <c r="AF876" t="s">
        <v>7200</v>
      </c>
      <c r="AG876" s="24" t="s">
        <v>6110</v>
      </c>
      <c r="AH876" s="5" t="s">
        <v>7200</v>
      </c>
      <c r="AI876" s="5">
        <v>22545.106</v>
      </c>
      <c r="AJ876" s="5">
        <v>22545.106</v>
      </c>
      <c r="AK876">
        <v>20938.971799999999</v>
      </c>
      <c r="AL876" s="5" t="str">
        <f t="shared" si="28"/>
        <v>Каменский городской округ</v>
      </c>
    </row>
    <row r="877" spans="1:38" ht="15" customHeight="1" x14ac:dyDescent="0.25">
      <c r="A877" s="3" t="s">
        <v>1302</v>
      </c>
      <c r="B877" s="3" t="s">
        <v>1643</v>
      </c>
      <c r="C877" s="5">
        <v>76630.280299999999</v>
      </c>
      <c r="D877" s="5">
        <v>76630.280299999999</v>
      </c>
      <c r="E877" s="5">
        <v>69390.088799999998</v>
      </c>
      <c r="F877" t="s">
        <v>7249</v>
      </c>
      <c r="G877" s="5" t="str">
        <f t="shared" si="27"/>
        <v>Ю-З</v>
      </c>
      <c r="J877" s="5"/>
      <c r="AF877" t="s">
        <v>7200</v>
      </c>
      <c r="AG877" s="24" t="s">
        <v>6111</v>
      </c>
      <c r="AH877" s="5" t="s">
        <v>7200</v>
      </c>
      <c r="AI877" s="5">
        <v>27174.326799999999</v>
      </c>
      <c r="AJ877" s="5">
        <v>27174.326799999999</v>
      </c>
      <c r="AK877">
        <v>25238.4048</v>
      </c>
      <c r="AL877" s="5" t="str">
        <f t="shared" si="28"/>
        <v>Каменский городской округ</v>
      </c>
    </row>
    <row r="878" spans="1:38" ht="15" customHeight="1" x14ac:dyDescent="0.25">
      <c r="A878" s="3" t="s">
        <v>1303</v>
      </c>
      <c r="B878" s="3" t="s">
        <v>1636</v>
      </c>
      <c r="C878" s="5">
        <v>52246.960299999999</v>
      </c>
      <c r="D878" s="5">
        <v>52246.960299999999</v>
      </c>
      <c r="E878" s="5">
        <v>47310.556700000001</v>
      </c>
      <c r="F878" t="s">
        <v>7249</v>
      </c>
      <c r="G878" s="5" t="str">
        <f t="shared" si="27"/>
        <v>ГОРНЫЙ ЩИТ</v>
      </c>
      <c r="J878" s="5"/>
      <c r="AF878" t="s">
        <v>7200</v>
      </c>
      <c r="AG878" s="24" t="s">
        <v>6112</v>
      </c>
      <c r="AH878" s="5" t="s">
        <v>7200</v>
      </c>
      <c r="AI878" s="5">
        <v>21994.189900000001</v>
      </c>
      <c r="AJ878" s="5">
        <v>21994.189900000001</v>
      </c>
      <c r="AK878">
        <v>20427.310300000001</v>
      </c>
      <c r="AL878" s="5" t="str">
        <f t="shared" si="28"/>
        <v>Каменский городской округ</v>
      </c>
    </row>
    <row r="879" spans="1:38" ht="15" customHeight="1" x14ac:dyDescent="0.25">
      <c r="A879" s="3" t="s">
        <v>1305</v>
      </c>
      <c r="B879" s="3" t="s">
        <v>1628</v>
      </c>
      <c r="C879" s="5">
        <v>70734.0236</v>
      </c>
      <c r="D879" s="5">
        <v>70734.0236</v>
      </c>
      <c r="E879" s="5">
        <v>64050.9208</v>
      </c>
      <c r="F879" t="s">
        <v>7249</v>
      </c>
      <c r="G879" s="5" t="str">
        <f t="shared" si="27"/>
        <v>ЭЛЬМАШ</v>
      </c>
      <c r="J879" s="5"/>
      <c r="AF879" t="s">
        <v>7200</v>
      </c>
      <c r="AG879" s="24" t="s">
        <v>6113</v>
      </c>
      <c r="AH879" s="5" t="s">
        <v>7200</v>
      </c>
      <c r="AI879" s="5">
        <v>21994.189900000001</v>
      </c>
      <c r="AJ879" s="5">
        <v>21994.189900000001</v>
      </c>
      <c r="AK879">
        <v>20427.310300000001</v>
      </c>
      <c r="AL879" s="5" t="str">
        <f t="shared" si="28"/>
        <v>Каменский городской округ</v>
      </c>
    </row>
    <row r="880" spans="1:38" ht="15" customHeight="1" x14ac:dyDescent="0.25">
      <c r="A880" s="3" t="s">
        <v>1306</v>
      </c>
      <c r="B880" s="3" t="s">
        <v>1642</v>
      </c>
      <c r="C880" s="5">
        <v>81392.097599999994</v>
      </c>
      <c r="D880" s="5">
        <v>81392.097599999994</v>
      </c>
      <c r="E880" s="5">
        <v>73702.001099999994</v>
      </c>
      <c r="F880" t="s">
        <v>7249</v>
      </c>
      <c r="G880" s="5" t="str">
        <f t="shared" si="27"/>
        <v>ПАРКОВЫЙ</v>
      </c>
      <c r="J880" s="5"/>
      <c r="AF880" t="s">
        <v>7200</v>
      </c>
      <c r="AG880" s="24" t="s">
        <v>6114</v>
      </c>
      <c r="AH880" s="5" t="s">
        <v>7200</v>
      </c>
      <c r="AI880" s="5">
        <v>22545.106</v>
      </c>
      <c r="AJ880" s="5">
        <v>22545.106</v>
      </c>
      <c r="AK880">
        <v>20938.971799999999</v>
      </c>
      <c r="AL880" s="5" t="str">
        <f t="shared" si="28"/>
        <v>Каменский городской округ</v>
      </c>
    </row>
    <row r="881" spans="1:38" ht="15" customHeight="1" x14ac:dyDescent="0.25">
      <c r="A881" s="3" t="s">
        <v>1307</v>
      </c>
      <c r="B881" s="3" t="s">
        <v>14</v>
      </c>
      <c r="C881" s="5">
        <v>93989.912800000006</v>
      </c>
      <c r="D881" s="5">
        <v>93989.912800000006</v>
      </c>
      <c r="E881" s="5">
        <v>85109.545199999993</v>
      </c>
      <c r="F881" t="s">
        <v>7249</v>
      </c>
      <c r="G881" s="5" t="str">
        <f t="shared" si="27"/>
        <v>Центр</v>
      </c>
      <c r="J881" s="5"/>
      <c r="AF881" t="s">
        <v>7200</v>
      </c>
      <c r="AG881" s="24" t="s">
        <v>6115</v>
      </c>
      <c r="AH881" s="5" t="s">
        <v>7200</v>
      </c>
      <c r="AI881" s="5">
        <v>21994.189900000001</v>
      </c>
      <c r="AJ881" s="5">
        <v>21994.189900000001</v>
      </c>
      <c r="AK881">
        <v>20427.310300000001</v>
      </c>
      <c r="AL881" s="5" t="str">
        <f t="shared" si="28"/>
        <v>Каменский городской округ</v>
      </c>
    </row>
    <row r="882" spans="1:38" ht="15" customHeight="1" x14ac:dyDescent="0.25">
      <c r="A882" s="3" t="s">
        <v>1309</v>
      </c>
      <c r="B882" s="3" t="s">
        <v>1660</v>
      </c>
      <c r="C882" s="5">
        <v>53262.345800000003</v>
      </c>
      <c r="D882" s="5">
        <v>53262.345800000003</v>
      </c>
      <c r="E882" s="5">
        <v>48230.0095</v>
      </c>
      <c r="F882" t="s">
        <v>7249</v>
      </c>
      <c r="G882" s="5" t="str">
        <f t="shared" si="27"/>
        <v>САДОВЫЙ</v>
      </c>
      <c r="J882" s="5"/>
      <c r="AF882" t="s">
        <v>7200</v>
      </c>
      <c r="AG882" s="24" t="s">
        <v>6116</v>
      </c>
      <c r="AH882" s="5" t="s">
        <v>7200</v>
      </c>
      <c r="AI882" s="5">
        <v>21994.189900000001</v>
      </c>
      <c r="AJ882" s="5">
        <v>21994.189900000001</v>
      </c>
      <c r="AK882">
        <v>20427.310300000001</v>
      </c>
      <c r="AL882" s="5" t="str">
        <f t="shared" si="28"/>
        <v>Каменский городской округ</v>
      </c>
    </row>
    <row r="883" spans="1:38" ht="15" customHeight="1" x14ac:dyDescent="0.25">
      <c r="A883" s="3" t="s">
        <v>1310</v>
      </c>
      <c r="B883" s="3" t="s">
        <v>1628</v>
      </c>
      <c r="C883" s="5">
        <v>70734.0236</v>
      </c>
      <c r="D883" s="5">
        <v>70734.0236</v>
      </c>
      <c r="E883" s="5">
        <v>64050.9208</v>
      </c>
      <c r="F883" t="s">
        <v>7249</v>
      </c>
      <c r="G883" s="5" t="str">
        <f t="shared" si="27"/>
        <v>ЭЛЬМАШ</v>
      </c>
      <c r="J883" s="5"/>
      <c r="AF883" t="s">
        <v>7200</v>
      </c>
      <c r="AG883" s="24" t="s">
        <v>6117</v>
      </c>
      <c r="AH883" s="5" t="s">
        <v>7200</v>
      </c>
      <c r="AI883" s="5">
        <v>21994.189900000001</v>
      </c>
      <c r="AJ883" s="5">
        <v>21994.189900000001</v>
      </c>
      <c r="AK883">
        <v>20427.310300000001</v>
      </c>
      <c r="AL883" s="5" t="str">
        <f t="shared" si="28"/>
        <v>Каменский городской округ</v>
      </c>
    </row>
    <row r="884" spans="1:38" ht="15" customHeight="1" x14ac:dyDescent="0.25">
      <c r="A884" s="3" t="s">
        <v>1311</v>
      </c>
      <c r="B884" s="3" t="s">
        <v>1644</v>
      </c>
      <c r="C884" s="5">
        <v>61980.678599999999</v>
      </c>
      <c r="D884" s="5">
        <v>61980.678599999999</v>
      </c>
      <c r="E884" s="5">
        <v>56124.615700000002</v>
      </c>
      <c r="F884" t="s">
        <v>7249</v>
      </c>
      <c r="G884" s="5" t="str">
        <f t="shared" si="27"/>
        <v>ХИММАШ</v>
      </c>
      <c r="J884" s="5"/>
      <c r="AF884" t="s">
        <v>7200</v>
      </c>
      <c r="AG884" s="24" t="s">
        <v>6118</v>
      </c>
      <c r="AH884" s="5" t="s">
        <v>7200</v>
      </c>
      <c r="AI884" s="5">
        <v>21994.189900000001</v>
      </c>
      <c r="AJ884" s="5">
        <v>21994.189900000001</v>
      </c>
      <c r="AK884">
        <v>20427.310300000001</v>
      </c>
      <c r="AL884" s="5" t="str">
        <f t="shared" si="28"/>
        <v>Каменский городской округ</v>
      </c>
    </row>
    <row r="885" spans="1:38" ht="15" customHeight="1" x14ac:dyDescent="0.25">
      <c r="A885" s="3" t="s">
        <v>1312</v>
      </c>
      <c r="B885" s="3" t="s">
        <v>1639</v>
      </c>
      <c r="C885" s="5">
        <v>53500.443299999999</v>
      </c>
      <c r="D885" s="5">
        <v>53500.443299999999</v>
      </c>
      <c r="E885" s="5">
        <v>48445.605100000001</v>
      </c>
      <c r="F885" t="s">
        <v>7249</v>
      </c>
      <c r="G885" s="5" t="str">
        <f t="shared" si="27"/>
        <v>ИСТОК</v>
      </c>
      <c r="J885" s="5"/>
      <c r="AF885" t="s">
        <v>7200</v>
      </c>
      <c r="AG885" s="24" t="s">
        <v>6119</v>
      </c>
      <c r="AH885" s="5" t="s">
        <v>7200</v>
      </c>
      <c r="AI885" s="5">
        <v>21994.189900000001</v>
      </c>
      <c r="AJ885" s="5">
        <v>21994.189900000001</v>
      </c>
      <c r="AK885">
        <v>20427.310300000001</v>
      </c>
      <c r="AL885" s="5" t="str">
        <f t="shared" si="28"/>
        <v>Каменский городской округ</v>
      </c>
    </row>
    <row r="886" spans="1:38" ht="15" customHeight="1" x14ac:dyDescent="0.25">
      <c r="A886" s="3" t="s">
        <v>1314</v>
      </c>
      <c r="B886" s="3" t="s">
        <v>1643</v>
      </c>
      <c r="C886" s="5">
        <v>76630.280299999999</v>
      </c>
      <c r="D886" s="5">
        <v>76630.280299999999</v>
      </c>
      <c r="E886" s="5">
        <v>69390.088799999998</v>
      </c>
      <c r="F886" t="s">
        <v>7249</v>
      </c>
      <c r="G886" s="5" t="str">
        <f t="shared" si="27"/>
        <v>Ю-З</v>
      </c>
      <c r="J886" s="5"/>
      <c r="AF886" t="s">
        <v>7200</v>
      </c>
      <c r="AG886" s="24" t="s">
        <v>6120</v>
      </c>
      <c r="AH886" s="5" t="s">
        <v>7200</v>
      </c>
      <c r="AI886" s="5">
        <v>21994.189900000001</v>
      </c>
      <c r="AJ886" s="5">
        <v>21994.189900000001</v>
      </c>
      <c r="AK886">
        <v>20427.310300000001</v>
      </c>
      <c r="AL886" s="5" t="str">
        <f t="shared" si="28"/>
        <v>Каменский городской округ</v>
      </c>
    </row>
    <row r="887" spans="1:38" ht="15" customHeight="1" x14ac:dyDescent="0.25">
      <c r="A887" s="3" t="s">
        <v>1315</v>
      </c>
      <c r="B887" s="3" t="s">
        <v>1637</v>
      </c>
      <c r="C887" s="5">
        <v>59368.686099999999</v>
      </c>
      <c r="D887" s="5">
        <v>59368.686099999999</v>
      </c>
      <c r="E887" s="5">
        <v>53759.401700000002</v>
      </c>
      <c r="F887" t="s">
        <v>7249</v>
      </c>
      <c r="G887" s="5" t="str">
        <f t="shared" si="27"/>
        <v>Старая сортировка</v>
      </c>
      <c r="J887" s="5"/>
      <c r="AF887" t="s">
        <v>7200</v>
      </c>
      <c r="AG887" s="24" t="s">
        <v>6121</v>
      </c>
      <c r="AH887" s="5" t="s">
        <v>7200</v>
      </c>
      <c r="AI887" s="5">
        <v>22545.106</v>
      </c>
      <c r="AJ887" s="5">
        <v>22545.106</v>
      </c>
      <c r="AK887">
        <v>20938.971799999999</v>
      </c>
      <c r="AL887" s="5" t="str">
        <f t="shared" si="28"/>
        <v>Каменский городской округ</v>
      </c>
    </row>
    <row r="888" spans="1:38" ht="15" customHeight="1" x14ac:dyDescent="0.25">
      <c r="A888" s="3" t="s">
        <v>1316</v>
      </c>
      <c r="B888" s="3" t="s">
        <v>14</v>
      </c>
      <c r="C888" s="5">
        <v>93989.912800000006</v>
      </c>
      <c r="D888" s="5">
        <v>93989.912800000006</v>
      </c>
      <c r="E888" s="5">
        <v>85109.545199999993</v>
      </c>
      <c r="F888" t="s">
        <v>7249</v>
      </c>
      <c r="G888" s="5" t="str">
        <f t="shared" si="27"/>
        <v>Центр</v>
      </c>
      <c r="J888" s="5"/>
      <c r="AF888" t="s">
        <v>7200</v>
      </c>
      <c r="AG888" s="24" t="s">
        <v>6122</v>
      </c>
      <c r="AH888" s="5" t="s">
        <v>7200</v>
      </c>
      <c r="AI888" s="5">
        <v>22545.106</v>
      </c>
      <c r="AJ888" s="5">
        <v>22545.106</v>
      </c>
      <c r="AK888">
        <v>20938.971799999999</v>
      </c>
      <c r="AL888" s="5" t="str">
        <f t="shared" si="28"/>
        <v>Каменский городской округ</v>
      </c>
    </row>
    <row r="889" spans="1:38" ht="15" customHeight="1" x14ac:dyDescent="0.25">
      <c r="A889" s="3" t="s">
        <v>1319</v>
      </c>
      <c r="B889" s="3" t="s">
        <v>1643</v>
      </c>
      <c r="C889" s="5">
        <v>76630.280299999999</v>
      </c>
      <c r="D889" s="5">
        <v>76630.280299999999</v>
      </c>
      <c r="E889" s="5">
        <v>69390.088799999998</v>
      </c>
      <c r="F889" t="s">
        <v>7249</v>
      </c>
      <c r="G889" s="5" t="str">
        <f t="shared" si="27"/>
        <v>Ю-З</v>
      </c>
      <c r="J889" s="5"/>
      <c r="AF889" t="s">
        <v>7200</v>
      </c>
      <c r="AG889" s="24" t="s">
        <v>6123</v>
      </c>
      <c r="AH889" s="5" t="s">
        <v>7200</v>
      </c>
      <c r="AI889" s="5">
        <v>21994.189900000001</v>
      </c>
      <c r="AJ889" s="5">
        <v>21994.189900000001</v>
      </c>
      <c r="AK889">
        <v>20427.310300000001</v>
      </c>
      <c r="AL889" s="5" t="str">
        <f t="shared" si="28"/>
        <v>Каменский городской округ</v>
      </c>
    </row>
    <row r="890" spans="1:38" ht="15" customHeight="1" x14ac:dyDescent="0.25">
      <c r="A890" s="3" t="s">
        <v>1320</v>
      </c>
      <c r="B890" s="3" t="s">
        <v>1632</v>
      </c>
      <c r="C890" s="5">
        <v>83744.997499999998</v>
      </c>
      <c r="D890" s="5">
        <v>83744.997499999998</v>
      </c>
      <c r="E890" s="5">
        <v>75832.596099999995</v>
      </c>
      <c r="F890" t="s">
        <v>7249</v>
      </c>
      <c r="G890" s="5" t="str">
        <f t="shared" si="27"/>
        <v>АВТОВОКЗАЛ</v>
      </c>
      <c r="J890" s="5"/>
      <c r="AF890" t="s">
        <v>7200</v>
      </c>
      <c r="AG890" s="24" t="s">
        <v>6124</v>
      </c>
      <c r="AH890" s="5" t="s">
        <v>7200</v>
      </c>
      <c r="AI890" s="5">
        <v>21994.189900000001</v>
      </c>
      <c r="AJ890" s="5">
        <v>21994.189900000001</v>
      </c>
      <c r="AK890">
        <v>20427.310300000001</v>
      </c>
      <c r="AL890" s="5" t="str">
        <f t="shared" si="28"/>
        <v>Каменский городской округ</v>
      </c>
    </row>
    <row r="891" spans="1:38" ht="15" customHeight="1" x14ac:dyDescent="0.25">
      <c r="A891" s="3" t="s">
        <v>1321</v>
      </c>
      <c r="B891" s="3" t="s">
        <v>1632</v>
      </c>
      <c r="C891" s="5">
        <v>83744.997499999998</v>
      </c>
      <c r="D891" s="5">
        <v>83744.997499999998</v>
      </c>
      <c r="E891" s="5">
        <v>75832.596099999995</v>
      </c>
      <c r="F891" t="s">
        <v>7249</v>
      </c>
      <c r="G891" s="5" t="str">
        <f t="shared" si="27"/>
        <v>АВТОВОКЗАЛ</v>
      </c>
      <c r="J891" s="5"/>
      <c r="AF891" t="s">
        <v>7200</v>
      </c>
      <c r="AG891" s="24" t="s">
        <v>6125</v>
      </c>
      <c r="AH891" s="5" t="s">
        <v>7200</v>
      </c>
      <c r="AI891" s="5">
        <v>22545.106</v>
      </c>
      <c r="AJ891" s="5">
        <v>22545.106</v>
      </c>
      <c r="AK891">
        <v>20938.971799999999</v>
      </c>
      <c r="AL891" s="5" t="str">
        <f t="shared" si="28"/>
        <v>Каменский городской округ</v>
      </c>
    </row>
    <row r="892" spans="1:38" ht="15" customHeight="1" x14ac:dyDescent="0.25">
      <c r="A892" s="3" t="s">
        <v>1322</v>
      </c>
      <c r="B892" s="3" t="s">
        <v>1632</v>
      </c>
      <c r="C892" s="5">
        <v>83744.997499999998</v>
      </c>
      <c r="D892" s="5">
        <v>83744.997499999998</v>
      </c>
      <c r="E892" s="5">
        <v>75832.596099999995</v>
      </c>
      <c r="F892" t="s">
        <v>7249</v>
      </c>
      <c r="G892" s="5" t="str">
        <f t="shared" si="27"/>
        <v>АВТОВОКЗАЛ</v>
      </c>
      <c r="J892" s="5"/>
      <c r="AF892" t="s">
        <v>7200</v>
      </c>
      <c r="AG892" s="24" t="s">
        <v>6126</v>
      </c>
      <c r="AH892" s="5" t="s">
        <v>7200</v>
      </c>
      <c r="AI892" s="5">
        <v>21994.189900000001</v>
      </c>
      <c r="AJ892" s="5">
        <v>21994.189900000001</v>
      </c>
      <c r="AK892">
        <v>20427.310300000001</v>
      </c>
      <c r="AL892" s="5" t="str">
        <f t="shared" si="28"/>
        <v>Каменский городской округ</v>
      </c>
    </row>
    <row r="893" spans="1:38" ht="15" customHeight="1" x14ac:dyDescent="0.25">
      <c r="A893" s="3" t="s">
        <v>1323</v>
      </c>
      <c r="B893" s="3" t="s">
        <v>1631</v>
      </c>
      <c r="C893" s="5">
        <v>70026.7601</v>
      </c>
      <c r="D893" s="5">
        <v>70026.7601</v>
      </c>
      <c r="E893" s="5">
        <v>63410.482000000004</v>
      </c>
      <c r="F893" t="s">
        <v>7249</v>
      </c>
      <c r="G893" s="5" t="str">
        <f t="shared" si="27"/>
        <v>УРАЛМАШ</v>
      </c>
      <c r="J893" s="5"/>
      <c r="AF893" t="s">
        <v>7200</v>
      </c>
      <c r="AG893" s="24" t="s">
        <v>6127</v>
      </c>
      <c r="AH893" s="5" t="s">
        <v>7200</v>
      </c>
      <c r="AI893" s="5">
        <v>21994.189900000001</v>
      </c>
      <c r="AJ893" s="5">
        <v>21994.189900000001</v>
      </c>
      <c r="AK893">
        <v>20427.310300000001</v>
      </c>
      <c r="AL893" s="5" t="str">
        <f t="shared" si="28"/>
        <v>Каменский городской округ</v>
      </c>
    </row>
    <row r="894" spans="1:38" ht="15" customHeight="1" x14ac:dyDescent="0.25">
      <c r="A894" s="3" t="s">
        <v>1324</v>
      </c>
      <c r="B894" s="3" t="s">
        <v>66</v>
      </c>
      <c r="C894" s="5">
        <v>64795.756300000001</v>
      </c>
      <c r="D894" s="5">
        <v>64795.756300000001</v>
      </c>
      <c r="E894" s="5">
        <v>58673.716200000003</v>
      </c>
      <c r="F894" t="s">
        <v>7249</v>
      </c>
      <c r="G894" s="5" t="str">
        <f t="shared" si="27"/>
        <v>УНЦ</v>
      </c>
      <c r="J894" s="5"/>
      <c r="AF894" t="s">
        <v>7200</v>
      </c>
      <c r="AG894" s="24" t="s">
        <v>6128</v>
      </c>
      <c r="AH894" s="5" t="s">
        <v>7200</v>
      </c>
      <c r="AI894" s="5">
        <v>21994.189900000001</v>
      </c>
      <c r="AJ894" s="5">
        <v>21994.189900000001</v>
      </c>
      <c r="AK894">
        <v>20427.310300000001</v>
      </c>
      <c r="AL894" s="5" t="str">
        <f t="shared" si="28"/>
        <v>Каменский городской округ</v>
      </c>
    </row>
    <row r="895" spans="1:38" ht="15" customHeight="1" x14ac:dyDescent="0.25">
      <c r="A895" s="3" t="s">
        <v>1328</v>
      </c>
      <c r="B895" s="3" t="s">
        <v>1638</v>
      </c>
      <c r="C895" s="5">
        <v>63640.311600000001</v>
      </c>
      <c r="D895" s="5">
        <v>63640.311600000001</v>
      </c>
      <c r="E895" s="5">
        <v>57627.4473</v>
      </c>
      <c r="F895" t="s">
        <v>7249</v>
      </c>
      <c r="G895" s="5" t="str">
        <f t="shared" si="27"/>
        <v>УКТУС</v>
      </c>
      <c r="J895" s="5"/>
      <c r="AF895" t="s">
        <v>7200</v>
      </c>
      <c r="AG895" s="24" t="s">
        <v>6129</v>
      </c>
      <c r="AH895" s="5" t="s">
        <v>7200</v>
      </c>
      <c r="AI895" s="5">
        <v>21994.189900000001</v>
      </c>
      <c r="AJ895" s="5">
        <v>21994.189900000001</v>
      </c>
      <c r="AK895">
        <v>20427.310300000001</v>
      </c>
      <c r="AL895" s="5" t="str">
        <f t="shared" si="28"/>
        <v>Каменский городской округ</v>
      </c>
    </row>
    <row r="896" spans="1:38" ht="15" customHeight="1" x14ac:dyDescent="0.25">
      <c r="A896" s="3" t="s">
        <v>1329</v>
      </c>
      <c r="B896" s="3" t="s">
        <v>779</v>
      </c>
      <c r="C896" s="5">
        <v>46784.877899999999</v>
      </c>
      <c r="D896" s="5">
        <v>46784.877899999999</v>
      </c>
      <c r="E896" s="5">
        <v>42364.543299999998</v>
      </c>
      <c r="F896" t="s">
        <v>7249</v>
      </c>
      <c r="G896" s="5" t="str">
        <f t="shared" si="27"/>
        <v>Нижнеисетский</v>
      </c>
      <c r="J896" s="5"/>
      <c r="AF896" t="s">
        <v>7200</v>
      </c>
      <c r="AG896" s="24" t="s">
        <v>6130</v>
      </c>
      <c r="AH896" s="5" t="s">
        <v>7200</v>
      </c>
      <c r="AI896" s="5">
        <v>21994.189900000001</v>
      </c>
      <c r="AJ896" s="5">
        <v>21994.189900000001</v>
      </c>
      <c r="AK896">
        <v>20427.310300000001</v>
      </c>
      <c r="AL896" s="5" t="str">
        <f t="shared" si="28"/>
        <v>Каменский городской округ</v>
      </c>
    </row>
    <row r="897" spans="1:38" ht="15" customHeight="1" x14ac:dyDescent="0.25">
      <c r="A897" s="3" t="s">
        <v>1330</v>
      </c>
      <c r="B897" s="3" t="s">
        <v>1645</v>
      </c>
      <c r="C897" s="5">
        <v>60958.294800000003</v>
      </c>
      <c r="D897" s="5">
        <v>60958.294800000003</v>
      </c>
      <c r="E897" s="5">
        <v>55198.825199999999</v>
      </c>
      <c r="F897" t="s">
        <v>7249</v>
      </c>
      <c r="G897" s="5" t="str">
        <f t="shared" si="27"/>
        <v>ЕЛИЗАВЕТ</v>
      </c>
      <c r="J897" s="5"/>
      <c r="AF897" t="s">
        <v>7200</v>
      </c>
      <c r="AG897" s="24" t="s">
        <v>6131</v>
      </c>
      <c r="AH897" s="5" t="s">
        <v>7200</v>
      </c>
      <c r="AI897" s="5">
        <v>21994.189900000001</v>
      </c>
      <c r="AJ897" s="5">
        <v>21994.189900000001</v>
      </c>
      <c r="AK897">
        <v>20427.310300000001</v>
      </c>
      <c r="AL897" s="5" t="str">
        <f t="shared" si="28"/>
        <v>Каменский городской округ</v>
      </c>
    </row>
    <row r="898" spans="1:38" ht="15" customHeight="1" x14ac:dyDescent="0.25">
      <c r="A898" s="3" t="s">
        <v>1333</v>
      </c>
      <c r="B898" s="3" t="s">
        <v>1643</v>
      </c>
      <c r="C898" s="5">
        <v>76630.280299999999</v>
      </c>
      <c r="D898" s="5">
        <v>76630.280299999999</v>
      </c>
      <c r="E898" s="5">
        <v>69390.088799999998</v>
      </c>
      <c r="F898" t="s">
        <v>7249</v>
      </c>
      <c r="G898" s="5" t="str">
        <f t="shared" si="27"/>
        <v>Ю-З</v>
      </c>
      <c r="J898" s="5"/>
      <c r="AF898" t="s">
        <v>7200</v>
      </c>
      <c r="AG898" s="24" t="s">
        <v>6132</v>
      </c>
      <c r="AH898" s="5" t="s">
        <v>7200</v>
      </c>
      <c r="AI898" s="5">
        <v>21994.189900000001</v>
      </c>
      <c r="AJ898" s="5">
        <v>21994.189900000001</v>
      </c>
      <c r="AK898">
        <v>20427.310300000001</v>
      </c>
      <c r="AL898" s="5" t="str">
        <f t="shared" si="28"/>
        <v>Каменский городской округ</v>
      </c>
    </row>
    <row r="899" spans="1:38" ht="15" customHeight="1" x14ac:dyDescent="0.25">
      <c r="A899" s="3" t="s">
        <v>1334</v>
      </c>
      <c r="B899" s="3" t="s">
        <v>1632</v>
      </c>
      <c r="C899" s="5">
        <v>83744.997499999998</v>
      </c>
      <c r="D899" s="5">
        <v>83744.997499999998</v>
      </c>
      <c r="E899" s="5">
        <v>75832.596099999995</v>
      </c>
      <c r="F899" t="s">
        <v>7249</v>
      </c>
      <c r="G899" s="5" t="str">
        <f t="shared" si="27"/>
        <v>АВТОВОКЗАЛ</v>
      </c>
      <c r="J899" s="5"/>
      <c r="AF899" t="s">
        <v>7200</v>
      </c>
      <c r="AG899" s="24" t="s">
        <v>6133</v>
      </c>
      <c r="AH899" s="5" t="s">
        <v>7200</v>
      </c>
      <c r="AI899" s="5">
        <v>22545.106</v>
      </c>
      <c r="AJ899" s="5">
        <v>22545.106</v>
      </c>
      <c r="AK899">
        <v>20938.971799999999</v>
      </c>
      <c r="AL899" s="5" t="str">
        <f t="shared" si="28"/>
        <v>Каменский городской округ</v>
      </c>
    </row>
    <row r="900" spans="1:38" ht="15" customHeight="1" x14ac:dyDescent="0.25">
      <c r="A900" s="3" t="s">
        <v>1336</v>
      </c>
      <c r="B900" s="3" t="s">
        <v>14</v>
      </c>
      <c r="C900" s="5">
        <v>93989.912800000006</v>
      </c>
      <c r="D900" s="5">
        <v>93989.912800000006</v>
      </c>
      <c r="E900" s="5">
        <v>85109.545199999993</v>
      </c>
      <c r="F900" t="s">
        <v>7249</v>
      </c>
      <c r="G900" s="5" t="str">
        <f t="shared" ref="G900:G963" si="29">B900</f>
        <v>Центр</v>
      </c>
      <c r="J900" s="5"/>
      <c r="AF900" t="s">
        <v>7200</v>
      </c>
      <c r="AG900" s="24" t="s">
        <v>6134</v>
      </c>
      <c r="AH900" s="5" t="s">
        <v>7200</v>
      </c>
      <c r="AI900" s="5">
        <v>21994.189900000001</v>
      </c>
      <c r="AJ900" s="5">
        <v>21994.189900000001</v>
      </c>
      <c r="AK900">
        <v>20427.310300000001</v>
      </c>
      <c r="AL900" s="5" t="str">
        <f t="shared" ref="AL900:AL963" si="30">AF900</f>
        <v>Каменский городской округ</v>
      </c>
    </row>
    <row r="901" spans="1:38" ht="15" customHeight="1" x14ac:dyDescent="0.25">
      <c r="A901" s="3" t="s">
        <v>1339</v>
      </c>
      <c r="B901" s="3" t="s">
        <v>14</v>
      </c>
      <c r="C901" s="5">
        <v>93989.912800000006</v>
      </c>
      <c r="D901" s="5">
        <v>93989.912800000006</v>
      </c>
      <c r="E901" s="5">
        <v>85109.545199999993</v>
      </c>
      <c r="F901" t="s">
        <v>7249</v>
      </c>
      <c r="G901" s="5" t="str">
        <f t="shared" si="29"/>
        <v>Центр</v>
      </c>
      <c r="J901" s="5"/>
      <c r="AF901" t="s">
        <v>7200</v>
      </c>
      <c r="AG901" s="24" t="s">
        <v>6135</v>
      </c>
      <c r="AH901" s="5" t="s">
        <v>7200</v>
      </c>
      <c r="AI901" s="5">
        <v>21994.189900000001</v>
      </c>
      <c r="AJ901" s="5">
        <v>21994.189900000001</v>
      </c>
      <c r="AK901">
        <v>20427.310300000001</v>
      </c>
      <c r="AL901" s="5" t="str">
        <f t="shared" si="30"/>
        <v>Каменский городской округ</v>
      </c>
    </row>
    <row r="902" spans="1:38" ht="15" customHeight="1" x14ac:dyDescent="0.25">
      <c r="A902" s="3" t="s">
        <v>1340</v>
      </c>
      <c r="B902" s="3" t="s">
        <v>1637</v>
      </c>
      <c r="C902" s="5">
        <v>59368.686099999999</v>
      </c>
      <c r="D902" s="5">
        <v>59368.686099999999</v>
      </c>
      <c r="E902" s="5">
        <v>53759.401700000002</v>
      </c>
      <c r="F902" t="s">
        <v>7249</v>
      </c>
      <c r="G902" s="5" t="str">
        <f t="shared" si="29"/>
        <v>Старая сортировка</v>
      </c>
      <c r="J902" s="5"/>
      <c r="AF902" t="s">
        <v>7200</v>
      </c>
      <c r="AG902" s="24" t="s">
        <v>6136</v>
      </c>
      <c r="AH902" s="5" t="s">
        <v>7200</v>
      </c>
      <c r="AI902" s="5">
        <v>22545.106</v>
      </c>
      <c r="AJ902" s="5">
        <v>22545.106</v>
      </c>
      <c r="AK902">
        <v>20938.971799999999</v>
      </c>
      <c r="AL902" s="5" t="str">
        <f t="shared" si="30"/>
        <v>Каменский городской округ</v>
      </c>
    </row>
    <row r="903" spans="1:38" ht="15" customHeight="1" x14ac:dyDescent="0.25">
      <c r="A903" s="3" t="s">
        <v>1342</v>
      </c>
      <c r="B903" s="3" t="s">
        <v>1636</v>
      </c>
      <c r="C903" s="5">
        <v>52246.960299999999</v>
      </c>
      <c r="D903" s="5">
        <v>52246.960299999999</v>
      </c>
      <c r="E903" s="5">
        <v>47310.556700000001</v>
      </c>
      <c r="F903" t="s">
        <v>7249</v>
      </c>
      <c r="G903" s="5" t="str">
        <f t="shared" si="29"/>
        <v>ГОРНЫЙ ЩИТ</v>
      </c>
      <c r="J903" s="5"/>
      <c r="AF903" t="s">
        <v>7200</v>
      </c>
      <c r="AG903" s="24" t="s">
        <v>6137</v>
      </c>
      <c r="AH903" s="5" t="s">
        <v>7200</v>
      </c>
      <c r="AI903" s="5">
        <v>21994.189900000001</v>
      </c>
      <c r="AJ903" s="5">
        <v>21994.189900000001</v>
      </c>
      <c r="AK903">
        <v>20427.310300000001</v>
      </c>
      <c r="AL903" s="5" t="str">
        <f t="shared" si="30"/>
        <v>Каменский городской округ</v>
      </c>
    </row>
    <row r="904" spans="1:38" ht="15" customHeight="1" x14ac:dyDescent="0.25">
      <c r="A904" s="3" t="s">
        <v>1343</v>
      </c>
      <c r="B904" s="3" t="s">
        <v>1628</v>
      </c>
      <c r="C904" s="5">
        <v>70734.0236</v>
      </c>
      <c r="D904" s="5">
        <v>70734.0236</v>
      </c>
      <c r="E904" s="5">
        <v>64050.9208</v>
      </c>
      <c r="F904" t="s">
        <v>7249</v>
      </c>
      <c r="G904" s="5" t="str">
        <f t="shared" si="29"/>
        <v>ЭЛЬМАШ</v>
      </c>
      <c r="J904" s="5"/>
      <c r="AF904" t="s">
        <v>7200</v>
      </c>
      <c r="AG904" s="24" t="s">
        <v>6138</v>
      </c>
      <c r="AH904" s="5" t="s">
        <v>7200</v>
      </c>
      <c r="AI904" s="5">
        <v>21994.189900000001</v>
      </c>
      <c r="AJ904" s="5">
        <v>21994.189900000001</v>
      </c>
      <c r="AK904">
        <v>20427.310300000001</v>
      </c>
      <c r="AL904" s="5" t="str">
        <f t="shared" si="30"/>
        <v>Каменский городской округ</v>
      </c>
    </row>
    <row r="905" spans="1:38" ht="15" customHeight="1" x14ac:dyDescent="0.25">
      <c r="A905" s="3" t="s">
        <v>1345</v>
      </c>
      <c r="B905" s="3" t="s">
        <v>1627</v>
      </c>
      <c r="C905" s="5">
        <v>56392.543899999997</v>
      </c>
      <c r="D905" s="5">
        <v>56392.543899999997</v>
      </c>
      <c r="E905" s="5">
        <v>51064.4617</v>
      </c>
      <c r="F905" t="s">
        <v>7249</v>
      </c>
      <c r="G905" s="5" t="str">
        <f t="shared" si="29"/>
        <v>КОМПРЕССОРНЫЙ</v>
      </c>
      <c r="J905" s="5"/>
      <c r="AF905" t="s">
        <v>7200</v>
      </c>
      <c r="AG905" s="24" t="s">
        <v>6139</v>
      </c>
      <c r="AH905" s="5" t="s">
        <v>7200</v>
      </c>
      <c r="AI905" s="5">
        <v>21994.189900000001</v>
      </c>
      <c r="AJ905" s="5">
        <v>21994.189900000001</v>
      </c>
      <c r="AK905">
        <v>20427.310300000001</v>
      </c>
      <c r="AL905" s="5" t="str">
        <f t="shared" si="30"/>
        <v>Каменский городской округ</v>
      </c>
    </row>
    <row r="906" spans="1:38" ht="15" customHeight="1" x14ac:dyDescent="0.25">
      <c r="A906" s="3" t="s">
        <v>1346</v>
      </c>
      <c r="B906" s="3" t="s">
        <v>1664</v>
      </c>
      <c r="C906" s="5">
        <v>53668.506099999999</v>
      </c>
      <c r="D906" s="5">
        <v>53668.506099999999</v>
      </c>
      <c r="E906" s="5">
        <v>48597.792699999998</v>
      </c>
      <c r="F906" t="s">
        <v>7249</v>
      </c>
      <c r="G906" s="5" t="str">
        <f t="shared" si="29"/>
        <v>ИЗОПЛИТ</v>
      </c>
      <c r="J906" s="5"/>
      <c r="AF906" t="s">
        <v>7200</v>
      </c>
      <c r="AG906" s="24" t="s">
        <v>6140</v>
      </c>
      <c r="AH906" s="5" t="s">
        <v>7200</v>
      </c>
      <c r="AI906" s="5">
        <v>21994.189900000001</v>
      </c>
      <c r="AJ906" s="5">
        <v>21994.189900000001</v>
      </c>
      <c r="AK906">
        <v>20427.310300000001</v>
      </c>
      <c r="AL906" s="5" t="str">
        <f t="shared" si="30"/>
        <v>Каменский городской округ</v>
      </c>
    </row>
    <row r="907" spans="1:38" ht="15" customHeight="1" x14ac:dyDescent="0.25">
      <c r="A907" s="3" t="s">
        <v>1347</v>
      </c>
      <c r="B907" s="3" t="s">
        <v>1638</v>
      </c>
      <c r="C907" s="5">
        <v>63640.311600000001</v>
      </c>
      <c r="D907" s="5">
        <v>63640.311600000001</v>
      </c>
      <c r="E907" s="5">
        <v>57627.4473</v>
      </c>
      <c r="F907" t="s">
        <v>7249</v>
      </c>
      <c r="G907" s="5" t="str">
        <f t="shared" si="29"/>
        <v>УКТУС</v>
      </c>
      <c r="J907" s="5"/>
      <c r="AF907" t="s">
        <v>7200</v>
      </c>
      <c r="AG907" s="24" t="s">
        <v>6141</v>
      </c>
      <c r="AH907" s="5" t="s">
        <v>7200</v>
      </c>
      <c r="AI907" s="5">
        <v>21994.189900000001</v>
      </c>
      <c r="AJ907" s="5">
        <v>21994.189900000001</v>
      </c>
      <c r="AK907">
        <v>20427.310300000001</v>
      </c>
      <c r="AL907" s="5" t="str">
        <f t="shared" si="30"/>
        <v>Каменский городской округ</v>
      </c>
    </row>
    <row r="908" spans="1:38" ht="15" customHeight="1" x14ac:dyDescent="0.25">
      <c r="A908" s="3" t="s">
        <v>1348</v>
      </c>
      <c r="B908" s="3" t="s">
        <v>1645</v>
      </c>
      <c r="C908" s="5">
        <v>60958.294800000003</v>
      </c>
      <c r="D908" s="5">
        <v>60958.294800000003</v>
      </c>
      <c r="E908" s="5">
        <v>55198.825199999999</v>
      </c>
      <c r="F908" t="s">
        <v>7249</v>
      </c>
      <c r="G908" s="5" t="str">
        <f t="shared" si="29"/>
        <v>ЕЛИЗАВЕТ</v>
      </c>
      <c r="J908" s="5"/>
      <c r="AF908" t="s">
        <v>7200</v>
      </c>
      <c r="AG908" s="24" t="s">
        <v>6142</v>
      </c>
      <c r="AH908" s="5" t="s">
        <v>7200</v>
      </c>
      <c r="AI908" s="5">
        <v>21994.189900000001</v>
      </c>
      <c r="AJ908" s="5">
        <v>21994.189900000001</v>
      </c>
      <c r="AK908">
        <v>20427.310300000001</v>
      </c>
      <c r="AL908" s="5" t="str">
        <f t="shared" si="30"/>
        <v>Каменский городской округ</v>
      </c>
    </row>
    <row r="909" spans="1:38" ht="15" customHeight="1" x14ac:dyDescent="0.25">
      <c r="A909" s="3" t="s">
        <v>1349</v>
      </c>
      <c r="B909" s="3" t="s">
        <v>14</v>
      </c>
      <c r="C909" s="5">
        <v>93989.912800000006</v>
      </c>
      <c r="D909" s="5">
        <v>93989.912800000006</v>
      </c>
      <c r="E909" s="5">
        <v>85109.545199999993</v>
      </c>
      <c r="F909" t="s">
        <v>7249</v>
      </c>
      <c r="G909" s="5" t="str">
        <f t="shared" si="29"/>
        <v>Центр</v>
      </c>
      <c r="J909" s="5"/>
      <c r="AF909" t="s">
        <v>7200</v>
      </c>
      <c r="AG909" s="24" t="s">
        <v>6143</v>
      </c>
      <c r="AH909" s="5" t="s">
        <v>7200</v>
      </c>
      <c r="AI909" s="5">
        <v>21994.189900000001</v>
      </c>
      <c r="AJ909" s="5">
        <v>21994.189900000001</v>
      </c>
      <c r="AK909">
        <v>20427.310300000001</v>
      </c>
      <c r="AL909" s="5" t="str">
        <f t="shared" si="30"/>
        <v>Каменский городской округ</v>
      </c>
    </row>
    <row r="910" spans="1:38" ht="15" customHeight="1" x14ac:dyDescent="0.25">
      <c r="A910" s="3" t="s">
        <v>1350</v>
      </c>
      <c r="B910" s="3" t="s">
        <v>1659</v>
      </c>
      <c r="C910" s="5">
        <v>59746.832600000002</v>
      </c>
      <c r="D910" s="5">
        <v>59746.832600000002</v>
      </c>
      <c r="E910" s="5">
        <v>54101.823700000001</v>
      </c>
      <c r="F910" t="s">
        <v>7249</v>
      </c>
      <c r="G910" s="5" t="str">
        <f t="shared" si="29"/>
        <v>СОВХОЗ</v>
      </c>
      <c r="J910" s="5"/>
      <c r="AF910" t="s">
        <v>7200</v>
      </c>
      <c r="AG910" s="24" t="s">
        <v>6144</v>
      </c>
      <c r="AH910" s="5" t="s">
        <v>7200</v>
      </c>
      <c r="AI910" s="5">
        <v>21994.189900000001</v>
      </c>
      <c r="AJ910" s="5">
        <v>21994.189900000001</v>
      </c>
      <c r="AK910">
        <v>20427.310300000001</v>
      </c>
      <c r="AL910" s="5" t="str">
        <f t="shared" si="30"/>
        <v>Каменский городской округ</v>
      </c>
    </row>
    <row r="911" spans="1:38" ht="15" customHeight="1" x14ac:dyDescent="0.25">
      <c r="A911" s="3" t="s">
        <v>1351</v>
      </c>
      <c r="B911" s="3" t="s">
        <v>1638</v>
      </c>
      <c r="C911" s="5">
        <v>63640.311600000001</v>
      </c>
      <c r="D911" s="5">
        <v>63640.311600000001</v>
      </c>
      <c r="E911" s="5">
        <v>57627.4473</v>
      </c>
      <c r="F911" t="s">
        <v>7249</v>
      </c>
      <c r="G911" s="5" t="str">
        <f t="shared" si="29"/>
        <v>УКТУС</v>
      </c>
      <c r="J911" s="5"/>
      <c r="AF911" t="s">
        <v>7200</v>
      </c>
      <c r="AG911" s="24" t="s">
        <v>6145</v>
      </c>
      <c r="AH911" s="5" t="s">
        <v>7200</v>
      </c>
      <c r="AI911" s="5">
        <v>21994.189900000001</v>
      </c>
      <c r="AJ911" s="5">
        <v>21994.189900000001</v>
      </c>
      <c r="AK911">
        <v>20427.310300000001</v>
      </c>
      <c r="AL911" s="5" t="str">
        <f t="shared" si="30"/>
        <v>Каменский городской округ</v>
      </c>
    </row>
    <row r="912" spans="1:38" ht="15" customHeight="1" x14ac:dyDescent="0.25">
      <c r="A912" s="3" t="s">
        <v>1354</v>
      </c>
      <c r="B912" s="3" t="s">
        <v>14</v>
      </c>
      <c r="C912" s="5">
        <v>93989.912800000006</v>
      </c>
      <c r="D912" s="5">
        <v>93989.912800000006</v>
      </c>
      <c r="E912" s="5">
        <v>85109.545199999993</v>
      </c>
      <c r="F912" t="s">
        <v>7249</v>
      </c>
      <c r="G912" s="5" t="str">
        <f t="shared" si="29"/>
        <v>Центр</v>
      </c>
      <c r="J912" s="5"/>
      <c r="AF912" t="s">
        <v>7200</v>
      </c>
      <c r="AG912" s="24" t="s">
        <v>6146</v>
      </c>
      <c r="AH912" s="5" t="s">
        <v>7200</v>
      </c>
      <c r="AI912" s="5">
        <v>21994.189900000001</v>
      </c>
      <c r="AJ912" s="5">
        <v>21994.189900000001</v>
      </c>
      <c r="AK912">
        <v>20427.310300000001</v>
      </c>
      <c r="AL912" s="5" t="str">
        <f t="shared" si="30"/>
        <v>Каменский городской округ</v>
      </c>
    </row>
    <row r="913" spans="1:38" ht="15" customHeight="1" x14ac:dyDescent="0.25">
      <c r="A913" s="3" t="s">
        <v>1355</v>
      </c>
      <c r="B913" s="3" t="s">
        <v>1651</v>
      </c>
      <c r="C913" s="5">
        <v>68129.029500000004</v>
      </c>
      <c r="D913" s="5">
        <v>68129.029500000004</v>
      </c>
      <c r="E913" s="5">
        <v>61692.054799999998</v>
      </c>
      <c r="F913" t="s">
        <v>7249</v>
      </c>
      <c r="G913" s="5" t="str">
        <f t="shared" si="29"/>
        <v>ШАРТАШ</v>
      </c>
      <c r="J913" s="5"/>
      <c r="AF913" t="s">
        <v>7200</v>
      </c>
      <c r="AG913" s="24" t="s">
        <v>6147</v>
      </c>
      <c r="AH913" s="5" t="s">
        <v>7200</v>
      </c>
      <c r="AI913" s="5">
        <v>21994.189900000001</v>
      </c>
      <c r="AJ913" s="5">
        <v>21994.189900000001</v>
      </c>
      <c r="AK913">
        <v>20427.310300000001</v>
      </c>
      <c r="AL913" s="5" t="str">
        <f t="shared" si="30"/>
        <v>Каменский городской округ</v>
      </c>
    </row>
    <row r="914" spans="1:38" ht="15" customHeight="1" x14ac:dyDescent="0.25">
      <c r="A914" s="3" t="s">
        <v>1357</v>
      </c>
      <c r="B914" s="3" t="s">
        <v>1638</v>
      </c>
      <c r="C914" s="5">
        <v>63640.311600000001</v>
      </c>
      <c r="D914" s="5">
        <v>63640.311600000001</v>
      </c>
      <c r="E914" s="5">
        <v>57627.4473</v>
      </c>
      <c r="F914" t="s">
        <v>7249</v>
      </c>
      <c r="G914" s="5" t="str">
        <f t="shared" si="29"/>
        <v>УКТУС</v>
      </c>
      <c r="J914" s="5"/>
      <c r="AF914" t="s">
        <v>7201</v>
      </c>
      <c r="AG914" s="24" t="s">
        <v>6148</v>
      </c>
      <c r="AH914" s="5" t="s">
        <v>7201</v>
      </c>
      <c r="AI914" s="5">
        <v>25258.450099999998</v>
      </c>
      <c r="AJ914" s="5">
        <v>25258.450099999998</v>
      </c>
      <c r="AK914">
        <v>23459.0262</v>
      </c>
      <c r="AL914" s="5" t="str">
        <f t="shared" si="30"/>
        <v>Камышловский городской округ</v>
      </c>
    </row>
    <row r="915" spans="1:38" ht="15" customHeight="1" x14ac:dyDescent="0.25">
      <c r="A915" s="3" t="s">
        <v>1358</v>
      </c>
      <c r="B915" s="3" t="s">
        <v>1647</v>
      </c>
      <c r="C915" s="5">
        <v>63178.133800000003</v>
      </c>
      <c r="D915" s="5">
        <v>63178.133800000003</v>
      </c>
      <c r="E915" s="5">
        <v>57208.931499999999</v>
      </c>
      <c r="F915" t="s">
        <v>7249</v>
      </c>
      <c r="G915" s="5" t="str">
        <f t="shared" si="29"/>
        <v>ШИРОКАЯ РЕЧКА</v>
      </c>
      <c r="J915" s="5"/>
      <c r="AF915" t="s">
        <v>7201</v>
      </c>
      <c r="AG915" s="24" t="s">
        <v>6149</v>
      </c>
      <c r="AH915" s="5" t="s">
        <v>7201</v>
      </c>
      <c r="AI915" s="5">
        <v>31207.400600000001</v>
      </c>
      <c r="AJ915" s="5">
        <v>31207.400600000001</v>
      </c>
      <c r="AK915">
        <v>28984.165700000001</v>
      </c>
      <c r="AL915" s="5" t="str">
        <f t="shared" si="30"/>
        <v>Камышловский городской округ</v>
      </c>
    </row>
    <row r="916" spans="1:38" ht="15" customHeight="1" x14ac:dyDescent="0.25">
      <c r="A916" s="3" t="s">
        <v>1359</v>
      </c>
      <c r="B916" s="3" t="s">
        <v>1631</v>
      </c>
      <c r="C916" s="5">
        <v>70026.7601</v>
      </c>
      <c r="D916" s="5">
        <v>70026.7601</v>
      </c>
      <c r="E916" s="5">
        <v>63410.482000000004</v>
      </c>
      <c r="F916" t="s">
        <v>7249</v>
      </c>
      <c r="G916" s="5" t="str">
        <f t="shared" si="29"/>
        <v>УРАЛМАШ</v>
      </c>
      <c r="J916" s="5"/>
      <c r="AF916" t="s">
        <v>7202</v>
      </c>
      <c r="AG916" s="24" t="s">
        <v>6150</v>
      </c>
      <c r="AH916" s="5" t="s">
        <v>7202</v>
      </c>
      <c r="AI916" s="5">
        <v>23055.869500000001</v>
      </c>
      <c r="AJ916" s="5">
        <v>23055.869500000001</v>
      </c>
      <c r="AK916">
        <v>21413.350299999998</v>
      </c>
      <c r="AL916" s="5" t="str">
        <f t="shared" si="30"/>
        <v>Качканарский городской округ</v>
      </c>
    </row>
    <row r="917" spans="1:38" ht="15" customHeight="1" x14ac:dyDescent="0.25">
      <c r="A917" s="3" t="s">
        <v>1360</v>
      </c>
      <c r="B917" s="3" t="s">
        <v>1636</v>
      </c>
      <c r="C917" s="5">
        <v>52246.960299999999</v>
      </c>
      <c r="D917" s="5">
        <v>52246.960299999999</v>
      </c>
      <c r="E917" s="5">
        <v>47310.556700000001</v>
      </c>
      <c r="F917" t="s">
        <v>7249</v>
      </c>
      <c r="G917" s="5" t="str">
        <f t="shared" si="29"/>
        <v>ГОРНЫЙ ЩИТ</v>
      </c>
      <c r="J917" s="5"/>
      <c r="AF917" t="s">
        <v>7202</v>
      </c>
      <c r="AG917" s="24" t="s">
        <v>6151</v>
      </c>
      <c r="AH917" s="5" t="s">
        <v>7202</v>
      </c>
      <c r="AI917" s="5">
        <v>23055.869500000001</v>
      </c>
      <c r="AJ917" s="5">
        <v>23055.869500000001</v>
      </c>
      <c r="AK917">
        <v>21413.350299999998</v>
      </c>
      <c r="AL917" s="5" t="str">
        <f t="shared" si="30"/>
        <v>Качканарский городской округ</v>
      </c>
    </row>
    <row r="918" spans="1:38" ht="15" customHeight="1" x14ac:dyDescent="0.25">
      <c r="A918" s="3" t="s">
        <v>1362</v>
      </c>
      <c r="B918" s="3" t="s">
        <v>1638</v>
      </c>
      <c r="C918" s="5">
        <v>63640.311600000001</v>
      </c>
      <c r="D918" s="5">
        <v>63640.311600000001</v>
      </c>
      <c r="E918" s="5">
        <v>57627.4473</v>
      </c>
      <c r="F918" t="s">
        <v>7249</v>
      </c>
      <c r="G918" s="5" t="str">
        <f t="shared" si="29"/>
        <v>УКТУС</v>
      </c>
      <c r="J918" s="5"/>
      <c r="AF918" t="s">
        <v>7202</v>
      </c>
      <c r="AG918" s="24" t="s">
        <v>6152</v>
      </c>
      <c r="AH918" s="5" t="s">
        <v>7202</v>
      </c>
      <c r="AI918" s="5">
        <v>23055.869500000001</v>
      </c>
      <c r="AJ918" s="5">
        <v>23055.869500000001</v>
      </c>
      <c r="AK918">
        <v>21413.350299999998</v>
      </c>
      <c r="AL918" s="5" t="str">
        <f t="shared" si="30"/>
        <v>Качканарский городской округ</v>
      </c>
    </row>
    <row r="919" spans="1:38" ht="15" customHeight="1" x14ac:dyDescent="0.25">
      <c r="A919" s="3" t="s">
        <v>1363</v>
      </c>
      <c r="B919" s="3" t="s">
        <v>1631</v>
      </c>
      <c r="C919" s="5">
        <v>70026.7601</v>
      </c>
      <c r="D919" s="5">
        <v>70026.7601</v>
      </c>
      <c r="E919" s="5">
        <v>63410.482000000004</v>
      </c>
      <c r="F919" t="s">
        <v>7249</v>
      </c>
      <c r="G919" s="5" t="str">
        <f t="shared" si="29"/>
        <v>УРАЛМАШ</v>
      </c>
      <c r="J919" s="5"/>
      <c r="AF919" t="s">
        <v>7202</v>
      </c>
      <c r="AG919" s="24" t="s">
        <v>6153</v>
      </c>
      <c r="AH919" s="5" t="s">
        <v>7202</v>
      </c>
      <c r="AI919" s="5">
        <v>28486.0569</v>
      </c>
      <c r="AJ919" s="5">
        <v>28486.0569</v>
      </c>
      <c r="AK919">
        <v>26456.6898</v>
      </c>
      <c r="AL919" s="5" t="str">
        <f t="shared" si="30"/>
        <v>Качканарский городской округ</v>
      </c>
    </row>
    <row r="920" spans="1:38" ht="15" customHeight="1" x14ac:dyDescent="0.25">
      <c r="A920" s="3" t="s">
        <v>1364</v>
      </c>
      <c r="B920" s="3" t="s">
        <v>1630</v>
      </c>
      <c r="C920" s="5">
        <v>62652.9401</v>
      </c>
      <c r="D920" s="5">
        <v>62652.9401</v>
      </c>
      <c r="E920" s="5">
        <v>56733.3557</v>
      </c>
      <c r="F920" t="s">
        <v>7249</v>
      </c>
      <c r="G920" s="5" t="str">
        <f t="shared" si="29"/>
        <v>ЧЕРМЕТ</v>
      </c>
      <c r="J920" s="5"/>
      <c r="AF920" t="s">
        <v>7203</v>
      </c>
      <c r="AG920" s="24" t="s">
        <v>6154</v>
      </c>
      <c r="AH920" s="5" t="s">
        <v>7203</v>
      </c>
      <c r="AI920" s="5">
        <v>17727.663400000001</v>
      </c>
      <c r="AJ920" s="5">
        <v>17727.663400000001</v>
      </c>
      <c r="AK920">
        <v>16464.735700000001</v>
      </c>
      <c r="AL920" s="5" t="str">
        <f t="shared" si="30"/>
        <v>Кировградский городской округ</v>
      </c>
    </row>
    <row r="921" spans="1:38" ht="15" customHeight="1" x14ac:dyDescent="0.25">
      <c r="A921" s="3" t="s">
        <v>1365</v>
      </c>
      <c r="B921" s="3" t="s">
        <v>14</v>
      </c>
      <c r="C921" s="5">
        <v>93989.912800000006</v>
      </c>
      <c r="D921" s="5">
        <v>93989.912800000006</v>
      </c>
      <c r="E921" s="5">
        <v>85109.545199999993</v>
      </c>
      <c r="F921" t="s">
        <v>7249</v>
      </c>
      <c r="G921" s="5" t="str">
        <f t="shared" si="29"/>
        <v>Центр</v>
      </c>
      <c r="J921" s="5"/>
      <c r="AF921" t="s">
        <v>7203</v>
      </c>
      <c r="AG921" s="24" t="s">
        <v>6155</v>
      </c>
      <c r="AH921" s="5" t="s">
        <v>7203</v>
      </c>
      <c r="AI921" s="5">
        <v>17727.663400000001</v>
      </c>
      <c r="AJ921" s="5">
        <v>17727.663400000001</v>
      </c>
      <c r="AK921">
        <v>16464.735700000001</v>
      </c>
      <c r="AL921" s="5" t="str">
        <f t="shared" si="30"/>
        <v>Кировградский городской округ</v>
      </c>
    </row>
    <row r="922" spans="1:38" ht="15" customHeight="1" x14ac:dyDescent="0.25">
      <c r="A922" s="3" t="s">
        <v>1367</v>
      </c>
      <c r="B922" s="3" t="s">
        <v>1654</v>
      </c>
      <c r="C922" s="5">
        <v>56140.449699999997</v>
      </c>
      <c r="D922" s="5">
        <v>56140.449699999997</v>
      </c>
      <c r="E922" s="5">
        <v>50836.1803</v>
      </c>
      <c r="F922" t="s">
        <v>7249</v>
      </c>
      <c r="G922" s="5" t="str">
        <f t="shared" si="29"/>
        <v>ЗАВОКЗАЛЬНЫЙ</v>
      </c>
      <c r="J922" s="5"/>
      <c r="AF922" t="s">
        <v>7203</v>
      </c>
      <c r="AG922" s="24" t="s">
        <v>6156</v>
      </c>
      <c r="AH922" s="5" t="s">
        <v>7203</v>
      </c>
      <c r="AI922" s="5">
        <v>17727.663400000001</v>
      </c>
      <c r="AJ922" s="5">
        <v>17727.663400000001</v>
      </c>
      <c r="AK922">
        <v>16464.735700000001</v>
      </c>
      <c r="AL922" s="5" t="str">
        <f t="shared" si="30"/>
        <v>Кировградский городской округ</v>
      </c>
    </row>
    <row r="923" spans="1:38" ht="15" customHeight="1" x14ac:dyDescent="0.25">
      <c r="A923" s="3" t="s">
        <v>1368</v>
      </c>
      <c r="B923" s="3" t="s">
        <v>1668</v>
      </c>
      <c r="C923" s="5">
        <v>51343.6201</v>
      </c>
      <c r="D923" s="5">
        <v>51343.6201</v>
      </c>
      <c r="E923" s="5">
        <v>46492.558799999999</v>
      </c>
      <c r="F923" t="s">
        <v>7249</v>
      </c>
      <c r="G923" s="5" t="str">
        <f t="shared" si="29"/>
        <v>МЕДНЫЙ</v>
      </c>
      <c r="J923" s="5"/>
      <c r="AF923" t="s">
        <v>7203</v>
      </c>
      <c r="AG923" s="24" t="s">
        <v>6157</v>
      </c>
      <c r="AH923" s="5" t="s">
        <v>7203</v>
      </c>
      <c r="AI923" s="5">
        <v>21902.933099999998</v>
      </c>
      <c r="AJ923" s="5">
        <v>21902.933099999998</v>
      </c>
      <c r="AK923">
        <v>20342.5563</v>
      </c>
      <c r="AL923" s="5" t="str">
        <f t="shared" si="30"/>
        <v>Кировградский городской округ</v>
      </c>
    </row>
    <row r="924" spans="1:38" ht="15" customHeight="1" x14ac:dyDescent="0.25">
      <c r="A924" s="3" t="s">
        <v>1369</v>
      </c>
      <c r="B924" s="3" t="s">
        <v>14</v>
      </c>
      <c r="C924" s="5">
        <v>93989.912800000006</v>
      </c>
      <c r="D924" s="5">
        <v>93989.912800000006</v>
      </c>
      <c r="E924" s="5">
        <v>85109.545199999993</v>
      </c>
      <c r="F924" t="s">
        <v>7249</v>
      </c>
      <c r="G924" s="5" t="str">
        <f t="shared" si="29"/>
        <v>Центр</v>
      </c>
      <c r="J924" s="5"/>
      <c r="AF924" t="s">
        <v>7203</v>
      </c>
      <c r="AG924" s="24" t="s">
        <v>6158</v>
      </c>
      <c r="AH924" s="5" t="s">
        <v>7203</v>
      </c>
      <c r="AI924" s="5">
        <v>17727.663400000001</v>
      </c>
      <c r="AJ924" s="5">
        <v>17727.663400000001</v>
      </c>
      <c r="AK924">
        <v>16464.735700000001</v>
      </c>
      <c r="AL924" s="5" t="str">
        <f t="shared" si="30"/>
        <v>Кировградский городской округ</v>
      </c>
    </row>
    <row r="925" spans="1:38" ht="15" customHeight="1" x14ac:dyDescent="0.25">
      <c r="A925" s="3" t="s">
        <v>1372</v>
      </c>
      <c r="B925" s="3" t="s">
        <v>1650</v>
      </c>
      <c r="C925" s="5">
        <v>37590.3603</v>
      </c>
      <c r="D925" s="5">
        <v>37590.3603</v>
      </c>
      <c r="E925" s="5">
        <v>34038.745900000002</v>
      </c>
      <c r="F925" t="s">
        <v>7249</v>
      </c>
      <c r="G925" s="5" t="str">
        <f t="shared" si="29"/>
        <v>ШАБРОВСКИЙ</v>
      </c>
      <c r="J925" s="5"/>
      <c r="AF925" t="s">
        <v>7203</v>
      </c>
      <c r="AG925" s="24" t="s">
        <v>6159</v>
      </c>
      <c r="AH925" s="5" t="s">
        <v>7203</v>
      </c>
      <c r="AI925" s="5">
        <v>17727.663400000001</v>
      </c>
      <c r="AJ925" s="5">
        <v>17727.663400000001</v>
      </c>
      <c r="AK925">
        <v>16464.735700000001</v>
      </c>
      <c r="AL925" s="5" t="str">
        <f t="shared" si="30"/>
        <v>Кировградский городской округ</v>
      </c>
    </row>
    <row r="926" spans="1:38" ht="15" customHeight="1" x14ac:dyDescent="0.25">
      <c r="A926" s="3" t="s">
        <v>1373</v>
      </c>
      <c r="B926" s="3" t="s">
        <v>1650</v>
      </c>
      <c r="C926" s="5">
        <v>37590.3603</v>
      </c>
      <c r="D926" s="5">
        <v>37590.3603</v>
      </c>
      <c r="E926" s="5">
        <v>34038.745900000002</v>
      </c>
      <c r="F926" t="s">
        <v>7249</v>
      </c>
      <c r="G926" s="5" t="str">
        <f t="shared" si="29"/>
        <v>ШАБРОВСКИЙ</v>
      </c>
      <c r="J926" s="5"/>
      <c r="AF926" t="s">
        <v>7203</v>
      </c>
      <c r="AG926" s="24" t="s">
        <v>6160</v>
      </c>
      <c r="AH926" s="5" t="s">
        <v>7203</v>
      </c>
      <c r="AI926" s="5">
        <v>17727.663400000001</v>
      </c>
      <c r="AJ926" s="5">
        <v>17727.663400000001</v>
      </c>
      <c r="AK926">
        <v>16464.735700000001</v>
      </c>
      <c r="AL926" s="5" t="str">
        <f t="shared" si="30"/>
        <v>Кировградский городской округ</v>
      </c>
    </row>
    <row r="927" spans="1:38" ht="15" customHeight="1" x14ac:dyDescent="0.25">
      <c r="A927" s="3" t="s">
        <v>1374</v>
      </c>
      <c r="B927" s="3" t="s">
        <v>1645</v>
      </c>
      <c r="C927" s="5">
        <v>60958.294800000003</v>
      </c>
      <c r="D927" s="5">
        <v>60958.294800000003</v>
      </c>
      <c r="E927" s="5">
        <v>55198.825199999999</v>
      </c>
      <c r="F927" t="s">
        <v>7249</v>
      </c>
      <c r="G927" s="5" t="str">
        <f t="shared" si="29"/>
        <v>ЕЛИЗАВЕТ</v>
      </c>
      <c r="J927" s="5"/>
      <c r="AF927" t="s">
        <v>7203</v>
      </c>
      <c r="AG927" s="24" t="s">
        <v>6161</v>
      </c>
      <c r="AH927" s="5" t="s">
        <v>7203</v>
      </c>
      <c r="AI927" s="5">
        <v>17727.663400000001</v>
      </c>
      <c r="AJ927" s="5">
        <v>17727.663400000001</v>
      </c>
      <c r="AK927">
        <v>16464.735700000001</v>
      </c>
      <c r="AL927" s="5" t="str">
        <f t="shared" si="30"/>
        <v>Кировградский городской округ</v>
      </c>
    </row>
    <row r="928" spans="1:38" ht="15" customHeight="1" x14ac:dyDescent="0.25">
      <c r="A928" s="3" t="s">
        <v>1375</v>
      </c>
      <c r="B928" s="3" t="s">
        <v>1650</v>
      </c>
      <c r="C928" s="5">
        <v>37590.3603</v>
      </c>
      <c r="D928" s="5">
        <v>37590.3603</v>
      </c>
      <c r="E928" s="5">
        <v>34038.745900000002</v>
      </c>
      <c r="F928" t="s">
        <v>7249</v>
      </c>
      <c r="G928" s="5" t="str">
        <f t="shared" si="29"/>
        <v>ШАБРОВСКИЙ</v>
      </c>
      <c r="J928" s="5"/>
      <c r="AF928" t="s">
        <v>7203</v>
      </c>
      <c r="AG928" s="24" t="s">
        <v>6162</v>
      </c>
      <c r="AH928" s="5" t="s">
        <v>7203</v>
      </c>
      <c r="AI928" s="5">
        <v>17727.663400000001</v>
      </c>
      <c r="AJ928" s="5">
        <v>17727.663400000001</v>
      </c>
      <c r="AK928">
        <v>16464.735700000001</v>
      </c>
      <c r="AL928" s="5" t="str">
        <f t="shared" si="30"/>
        <v>Кировградский городской округ</v>
      </c>
    </row>
    <row r="929" spans="1:38" ht="15" customHeight="1" x14ac:dyDescent="0.25">
      <c r="A929" s="3" t="s">
        <v>1378</v>
      </c>
      <c r="B929" s="3" t="s">
        <v>1643</v>
      </c>
      <c r="C929" s="5">
        <v>76630.280299999999</v>
      </c>
      <c r="D929" s="5">
        <v>76630.280299999999</v>
      </c>
      <c r="E929" s="5">
        <v>69390.088799999998</v>
      </c>
      <c r="F929" t="s">
        <v>7249</v>
      </c>
      <c r="G929" s="5" t="str">
        <f t="shared" si="29"/>
        <v>Ю-З</v>
      </c>
      <c r="J929" s="5"/>
      <c r="AF929" t="s">
        <v>7203</v>
      </c>
      <c r="AG929" s="24" t="s">
        <v>6163</v>
      </c>
      <c r="AH929" s="5" t="s">
        <v>7203</v>
      </c>
      <c r="AI929" s="5">
        <v>17727.663400000001</v>
      </c>
      <c r="AJ929" s="5">
        <v>17727.663400000001</v>
      </c>
      <c r="AK929">
        <v>16464.735700000001</v>
      </c>
      <c r="AL929" s="5" t="str">
        <f t="shared" si="30"/>
        <v>Кировградский городской округ</v>
      </c>
    </row>
    <row r="930" spans="1:38" ht="15" customHeight="1" x14ac:dyDescent="0.25">
      <c r="A930" s="3" t="s">
        <v>1379</v>
      </c>
      <c r="B930" s="3" t="s">
        <v>1636</v>
      </c>
      <c r="C930" s="5">
        <v>52246.960299999999</v>
      </c>
      <c r="D930" s="5">
        <v>52246.960299999999</v>
      </c>
      <c r="E930" s="5">
        <v>47310.556700000001</v>
      </c>
      <c r="F930" t="s">
        <v>7249</v>
      </c>
      <c r="G930" s="5" t="str">
        <f t="shared" si="29"/>
        <v>ГОРНЫЙ ЩИТ</v>
      </c>
      <c r="J930" s="5"/>
      <c r="AF930" t="s">
        <v>7204</v>
      </c>
      <c r="AG930" s="24" t="s">
        <v>6164</v>
      </c>
      <c r="AH930" s="5" t="s">
        <v>7204</v>
      </c>
      <c r="AI930" s="5">
        <v>15453.768099999999</v>
      </c>
      <c r="AJ930" s="5">
        <v>15453.768099999999</v>
      </c>
      <c r="AK930">
        <v>14352.8339</v>
      </c>
      <c r="AL930" s="5" t="str">
        <f t="shared" si="30"/>
        <v>Кушвинский городской округ</v>
      </c>
    </row>
    <row r="931" spans="1:38" ht="15" customHeight="1" x14ac:dyDescent="0.25">
      <c r="A931" s="3" t="s">
        <v>1381</v>
      </c>
      <c r="B931" s="3" t="s">
        <v>1650</v>
      </c>
      <c r="C931" s="5">
        <v>37590.3603</v>
      </c>
      <c r="D931" s="5">
        <v>37590.3603</v>
      </c>
      <c r="E931" s="5">
        <v>34038.745900000002</v>
      </c>
      <c r="F931" t="s">
        <v>7249</v>
      </c>
      <c r="G931" s="5" t="str">
        <f t="shared" si="29"/>
        <v>ШАБРОВСКИЙ</v>
      </c>
      <c r="J931" s="5"/>
      <c r="AF931" t="s">
        <v>7204</v>
      </c>
      <c r="AG931" s="24" t="s">
        <v>6165</v>
      </c>
      <c r="AH931" s="5" t="s">
        <v>7204</v>
      </c>
      <c r="AI931" s="5">
        <v>15453.768099999999</v>
      </c>
      <c r="AJ931" s="5">
        <v>15453.768099999999</v>
      </c>
      <c r="AK931">
        <v>14352.8339</v>
      </c>
      <c r="AL931" s="5" t="str">
        <f t="shared" si="30"/>
        <v>Кушвинский городской округ</v>
      </c>
    </row>
    <row r="932" spans="1:38" ht="15" customHeight="1" x14ac:dyDescent="0.25">
      <c r="A932" s="3" t="s">
        <v>1382</v>
      </c>
      <c r="B932" s="3" t="s">
        <v>1636</v>
      </c>
      <c r="C932" s="5">
        <v>52246.960299999999</v>
      </c>
      <c r="D932" s="5">
        <v>52246.960299999999</v>
      </c>
      <c r="E932" s="5">
        <v>47310.556700000001</v>
      </c>
      <c r="F932" t="s">
        <v>7249</v>
      </c>
      <c r="G932" s="5" t="str">
        <f t="shared" si="29"/>
        <v>ГОРНЫЙ ЩИТ</v>
      </c>
      <c r="J932" s="5"/>
      <c r="AF932" t="s">
        <v>7204</v>
      </c>
      <c r="AG932" s="24" t="s">
        <v>6166</v>
      </c>
      <c r="AH932" s="5" t="s">
        <v>7204</v>
      </c>
      <c r="AI932" s="5">
        <v>15840.8534</v>
      </c>
      <c r="AJ932" s="5">
        <v>15840.8534</v>
      </c>
      <c r="AK932">
        <v>14712.349200000001</v>
      </c>
      <c r="AL932" s="5" t="str">
        <f t="shared" si="30"/>
        <v>Кушвинский городской округ</v>
      </c>
    </row>
    <row r="933" spans="1:38" ht="15" customHeight="1" x14ac:dyDescent="0.25">
      <c r="A933" s="3" t="s">
        <v>1383</v>
      </c>
      <c r="B933" s="3" t="s">
        <v>33</v>
      </c>
      <c r="C933" s="5">
        <v>84298.205100000006</v>
      </c>
      <c r="D933" s="5">
        <v>84298.205100000006</v>
      </c>
      <c r="E933" s="5">
        <v>76333.533100000001</v>
      </c>
      <c r="F933" t="s">
        <v>7249</v>
      </c>
      <c r="G933" s="5" t="str">
        <f t="shared" si="29"/>
        <v>ВИЗ</v>
      </c>
      <c r="J933" s="5"/>
      <c r="AF933" t="s">
        <v>7204</v>
      </c>
      <c r="AG933" s="24" t="s">
        <v>6167</v>
      </c>
      <c r="AH933" s="5" t="s">
        <v>7204</v>
      </c>
      <c r="AI933" s="5">
        <v>15453.768099999999</v>
      </c>
      <c r="AJ933" s="5">
        <v>15453.768099999999</v>
      </c>
      <c r="AK933">
        <v>14352.8339</v>
      </c>
      <c r="AL933" s="5" t="str">
        <f t="shared" si="30"/>
        <v>Кушвинский городской округ</v>
      </c>
    </row>
    <row r="934" spans="1:38" ht="15" customHeight="1" x14ac:dyDescent="0.25">
      <c r="A934" s="3" t="s">
        <v>1384</v>
      </c>
      <c r="B934" s="3" t="s">
        <v>1663</v>
      </c>
      <c r="C934" s="5">
        <v>44242.899599999997</v>
      </c>
      <c r="D934" s="5">
        <v>44242.899599999997</v>
      </c>
      <c r="E934" s="5">
        <v>40062.737300000001</v>
      </c>
      <c r="F934" t="s">
        <v>7249</v>
      </c>
      <c r="G934" s="5" t="str">
        <f t="shared" si="29"/>
        <v>ШУВАКИШ</v>
      </c>
      <c r="J934" s="5"/>
      <c r="AF934" t="s">
        <v>7204</v>
      </c>
      <c r="AG934" s="24" t="s">
        <v>6168</v>
      </c>
      <c r="AH934" s="5" t="s">
        <v>7204</v>
      </c>
      <c r="AI934" s="5">
        <v>15453.768099999999</v>
      </c>
      <c r="AJ934" s="5">
        <v>15453.768099999999</v>
      </c>
      <c r="AK934">
        <v>14352.8339</v>
      </c>
      <c r="AL934" s="5" t="str">
        <f t="shared" si="30"/>
        <v>Кушвинский городской округ</v>
      </c>
    </row>
    <row r="935" spans="1:38" ht="15" customHeight="1" x14ac:dyDescent="0.25">
      <c r="A935" s="3" t="s">
        <v>1386</v>
      </c>
      <c r="B935" s="3" t="s">
        <v>1630</v>
      </c>
      <c r="C935" s="5">
        <v>62652.9401</v>
      </c>
      <c r="D935" s="5">
        <v>62652.9401</v>
      </c>
      <c r="E935" s="5">
        <v>56733.3557</v>
      </c>
      <c r="F935" t="s">
        <v>7249</v>
      </c>
      <c r="G935" s="5" t="str">
        <f t="shared" si="29"/>
        <v>ЧЕРМЕТ</v>
      </c>
      <c r="J935" s="5"/>
      <c r="AF935" t="s">
        <v>7204</v>
      </c>
      <c r="AG935" s="24" t="s">
        <v>6169</v>
      </c>
      <c r="AH935" s="5" t="s">
        <v>7204</v>
      </c>
      <c r="AI935" s="5">
        <v>15453.768099999999</v>
      </c>
      <c r="AJ935" s="5">
        <v>15453.768099999999</v>
      </c>
      <c r="AK935">
        <v>14352.8339</v>
      </c>
      <c r="AL935" s="5" t="str">
        <f t="shared" si="30"/>
        <v>Кушвинский городской округ</v>
      </c>
    </row>
    <row r="936" spans="1:38" ht="15" customHeight="1" x14ac:dyDescent="0.25">
      <c r="A936" s="3" t="s">
        <v>1387</v>
      </c>
      <c r="B936" s="3" t="s">
        <v>1629</v>
      </c>
      <c r="C936" s="5">
        <v>77743.704100000003</v>
      </c>
      <c r="D936" s="5">
        <v>77743.704100000003</v>
      </c>
      <c r="E936" s="5">
        <v>70398.310800000007</v>
      </c>
      <c r="F936" t="s">
        <v>7249</v>
      </c>
      <c r="G936" s="5" t="str">
        <f t="shared" si="29"/>
        <v>ПИОНЕРСКИЙ</v>
      </c>
      <c r="J936" s="5"/>
      <c r="AF936" t="s">
        <v>7204</v>
      </c>
      <c r="AG936" s="24" t="s">
        <v>6170</v>
      </c>
      <c r="AH936" s="5" t="s">
        <v>7204</v>
      </c>
      <c r="AI936" s="5">
        <v>15453.768099999999</v>
      </c>
      <c r="AJ936" s="5">
        <v>15453.768099999999</v>
      </c>
      <c r="AK936">
        <v>14352.8339</v>
      </c>
      <c r="AL936" s="5" t="str">
        <f t="shared" si="30"/>
        <v>Кушвинский городской округ</v>
      </c>
    </row>
    <row r="937" spans="1:38" ht="15" customHeight="1" x14ac:dyDescent="0.25">
      <c r="A937" s="3" t="s">
        <v>1388</v>
      </c>
      <c r="B937" s="3" t="s">
        <v>1630</v>
      </c>
      <c r="C937" s="5">
        <v>62652.9401</v>
      </c>
      <c r="D937" s="5">
        <v>62652.9401</v>
      </c>
      <c r="E937" s="5">
        <v>56733.3557</v>
      </c>
      <c r="F937" t="s">
        <v>7249</v>
      </c>
      <c r="G937" s="5" t="str">
        <f t="shared" si="29"/>
        <v>ЧЕРМЕТ</v>
      </c>
      <c r="J937" s="5"/>
      <c r="AF937" t="s">
        <v>7204</v>
      </c>
      <c r="AG937" s="24" t="s">
        <v>6171</v>
      </c>
      <c r="AH937" s="5" t="s">
        <v>7204</v>
      </c>
      <c r="AI937" s="5">
        <v>19093.491099999999</v>
      </c>
      <c r="AJ937" s="5">
        <v>19093.491099999999</v>
      </c>
      <c r="AK937">
        <v>17733.257900000001</v>
      </c>
      <c r="AL937" s="5" t="str">
        <f t="shared" si="30"/>
        <v>Кушвинский городской округ</v>
      </c>
    </row>
    <row r="938" spans="1:38" ht="15" customHeight="1" x14ac:dyDescent="0.25">
      <c r="A938" s="3" t="s">
        <v>1389</v>
      </c>
      <c r="B938" s="3" t="s">
        <v>14</v>
      </c>
      <c r="C938" s="5">
        <v>93989.912800000006</v>
      </c>
      <c r="D938" s="5">
        <v>93989.912800000006</v>
      </c>
      <c r="E938" s="5">
        <v>85109.545199999993</v>
      </c>
      <c r="F938" t="s">
        <v>7249</v>
      </c>
      <c r="G938" s="5" t="str">
        <f t="shared" si="29"/>
        <v>Центр</v>
      </c>
      <c r="J938" s="5"/>
      <c r="AF938" t="s">
        <v>7204</v>
      </c>
      <c r="AG938" s="24" t="s">
        <v>6172</v>
      </c>
      <c r="AH938" s="5" t="s">
        <v>7204</v>
      </c>
      <c r="AI938" s="5">
        <v>15453.768099999999</v>
      </c>
      <c r="AJ938" s="5">
        <v>15453.768099999999</v>
      </c>
      <c r="AK938">
        <v>14352.8339</v>
      </c>
      <c r="AL938" s="5" t="str">
        <f t="shared" si="30"/>
        <v>Кушвинский городской округ</v>
      </c>
    </row>
    <row r="939" spans="1:38" ht="15" customHeight="1" x14ac:dyDescent="0.25">
      <c r="A939" s="3" t="s">
        <v>1390</v>
      </c>
      <c r="B939" s="3" t="s">
        <v>1643</v>
      </c>
      <c r="C939" s="5">
        <v>76630.280299999999</v>
      </c>
      <c r="D939" s="5">
        <v>76630.280299999999</v>
      </c>
      <c r="E939" s="5">
        <v>69390.088799999998</v>
      </c>
      <c r="F939" t="s">
        <v>7249</v>
      </c>
      <c r="G939" s="5" t="str">
        <f t="shared" si="29"/>
        <v>Ю-З</v>
      </c>
      <c r="J939" s="5"/>
      <c r="AF939" t="s">
        <v>7204</v>
      </c>
      <c r="AG939" s="24" t="s">
        <v>6173</v>
      </c>
      <c r="AH939" s="5" t="s">
        <v>7204</v>
      </c>
      <c r="AI939" s="5">
        <v>15453.768099999999</v>
      </c>
      <c r="AJ939" s="5">
        <v>15453.768099999999</v>
      </c>
      <c r="AK939">
        <v>14352.8339</v>
      </c>
      <c r="AL939" s="5" t="str">
        <f t="shared" si="30"/>
        <v>Кушвинский городской округ</v>
      </c>
    </row>
    <row r="940" spans="1:38" ht="15" customHeight="1" x14ac:dyDescent="0.25">
      <c r="A940" s="3" t="s">
        <v>1392</v>
      </c>
      <c r="B940" s="3" t="s">
        <v>14</v>
      </c>
      <c r="C940" s="5">
        <v>93989.912800000006</v>
      </c>
      <c r="D940" s="5">
        <v>93989.912800000006</v>
      </c>
      <c r="E940" s="5">
        <v>85109.545199999993</v>
      </c>
      <c r="F940" t="s">
        <v>7249</v>
      </c>
      <c r="G940" s="5" t="str">
        <f t="shared" si="29"/>
        <v>Центр</v>
      </c>
      <c r="J940" s="5"/>
      <c r="AF940" t="s">
        <v>7204</v>
      </c>
      <c r="AG940" s="24" t="s">
        <v>6174</v>
      </c>
      <c r="AH940" s="5" t="s">
        <v>7204</v>
      </c>
      <c r="AI940" s="5">
        <v>15453.768099999999</v>
      </c>
      <c r="AJ940" s="5">
        <v>15453.768099999999</v>
      </c>
      <c r="AK940">
        <v>14352.8339</v>
      </c>
      <c r="AL940" s="5" t="str">
        <f t="shared" si="30"/>
        <v>Кушвинский городской округ</v>
      </c>
    </row>
    <row r="941" spans="1:38" ht="15" customHeight="1" x14ac:dyDescent="0.25">
      <c r="A941" s="3" t="s">
        <v>1393</v>
      </c>
      <c r="B941" s="3" t="s">
        <v>33</v>
      </c>
      <c r="C941" s="5">
        <v>84298.205100000006</v>
      </c>
      <c r="D941" s="5">
        <v>84298.205100000006</v>
      </c>
      <c r="E941" s="5">
        <v>76333.533100000001</v>
      </c>
      <c r="F941" t="s">
        <v>7249</v>
      </c>
      <c r="G941" s="5" t="str">
        <f t="shared" si="29"/>
        <v>ВИЗ</v>
      </c>
      <c r="J941" s="5"/>
      <c r="AF941" t="s">
        <v>7204</v>
      </c>
      <c r="AG941" s="24" t="s">
        <v>6175</v>
      </c>
      <c r="AH941" s="5" t="s">
        <v>7204</v>
      </c>
      <c r="AI941" s="5">
        <v>15453.768099999999</v>
      </c>
      <c r="AJ941" s="5">
        <v>15453.768099999999</v>
      </c>
      <c r="AK941">
        <v>14352.8339</v>
      </c>
      <c r="AL941" s="5" t="str">
        <f t="shared" si="30"/>
        <v>Кушвинский городской округ</v>
      </c>
    </row>
    <row r="942" spans="1:38" ht="15" customHeight="1" x14ac:dyDescent="0.25">
      <c r="A942" s="3" t="s">
        <v>1394</v>
      </c>
      <c r="B942" s="3" t="s">
        <v>1652</v>
      </c>
      <c r="C942" s="5">
        <v>71105.171700000006</v>
      </c>
      <c r="D942" s="5">
        <v>71105.171700000006</v>
      </c>
      <c r="E942" s="5">
        <v>64387.005100000002</v>
      </c>
      <c r="F942" t="s">
        <v>7249</v>
      </c>
      <c r="G942" s="5" t="str">
        <f t="shared" si="29"/>
        <v>ЗАРЕЧНЫЙ</v>
      </c>
      <c r="J942" s="5"/>
      <c r="AF942" t="s">
        <v>7204</v>
      </c>
      <c r="AG942" s="24" t="s">
        <v>6176</v>
      </c>
      <c r="AH942" s="5" t="s">
        <v>7204</v>
      </c>
      <c r="AI942" s="5">
        <v>15453.768099999999</v>
      </c>
      <c r="AJ942" s="5">
        <v>15453.768099999999</v>
      </c>
      <c r="AK942">
        <v>14352.8339</v>
      </c>
      <c r="AL942" s="5" t="str">
        <f t="shared" si="30"/>
        <v>Кушвинский городской округ</v>
      </c>
    </row>
    <row r="943" spans="1:38" ht="15" customHeight="1" x14ac:dyDescent="0.25">
      <c r="A943" s="3" t="s">
        <v>1397</v>
      </c>
      <c r="B943" s="3" t="s">
        <v>1659</v>
      </c>
      <c r="C943" s="5">
        <v>59746.832600000002</v>
      </c>
      <c r="D943" s="5">
        <v>59746.832600000002</v>
      </c>
      <c r="E943" s="5">
        <v>54101.823700000001</v>
      </c>
      <c r="F943" t="s">
        <v>7249</v>
      </c>
      <c r="G943" s="5" t="str">
        <f t="shared" si="29"/>
        <v>СОВХОЗ</v>
      </c>
      <c r="J943" s="5"/>
      <c r="AF943" t="s">
        <v>7204</v>
      </c>
      <c r="AG943" s="24" t="s">
        <v>6177</v>
      </c>
      <c r="AH943" s="5" t="s">
        <v>7204</v>
      </c>
      <c r="AI943" s="5">
        <v>15453.768099999999</v>
      </c>
      <c r="AJ943" s="5">
        <v>15453.768099999999</v>
      </c>
      <c r="AK943">
        <v>14352.8339</v>
      </c>
      <c r="AL943" s="5" t="str">
        <f t="shared" si="30"/>
        <v>Кушвинский городской округ</v>
      </c>
    </row>
    <row r="944" spans="1:38" ht="15" customHeight="1" x14ac:dyDescent="0.25">
      <c r="A944" s="3" t="s">
        <v>1398</v>
      </c>
      <c r="B944" s="3" t="s">
        <v>1630</v>
      </c>
      <c r="C944" s="5">
        <v>62652.9401</v>
      </c>
      <c r="D944" s="5">
        <v>62652.9401</v>
      </c>
      <c r="E944" s="5">
        <v>56733.3557</v>
      </c>
      <c r="F944" t="s">
        <v>7249</v>
      </c>
      <c r="G944" s="5" t="str">
        <f t="shared" si="29"/>
        <v>ЧЕРМЕТ</v>
      </c>
      <c r="J944" s="5"/>
      <c r="AF944" t="s">
        <v>7205</v>
      </c>
      <c r="AG944" s="24" t="s">
        <v>6178</v>
      </c>
      <c r="AH944" s="5" t="s">
        <v>7205</v>
      </c>
      <c r="AI944" s="5">
        <v>18797.2703</v>
      </c>
      <c r="AJ944" s="5">
        <v>18797.2703</v>
      </c>
      <c r="AK944">
        <v>17458.135300000002</v>
      </c>
      <c r="AL944" s="5" t="str">
        <f t="shared" si="30"/>
        <v>Малышевский городской округ</v>
      </c>
    </row>
    <row r="945" spans="1:38" ht="15" customHeight="1" x14ac:dyDescent="0.25">
      <c r="A945" s="3" t="s">
        <v>1399</v>
      </c>
      <c r="B945" s="3" t="s">
        <v>1638</v>
      </c>
      <c r="C945" s="5">
        <v>63640.311600000001</v>
      </c>
      <c r="D945" s="5">
        <v>63640.311600000001</v>
      </c>
      <c r="E945" s="5">
        <v>57627.4473</v>
      </c>
      <c r="F945" t="s">
        <v>7249</v>
      </c>
      <c r="G945" s="5" t="str">
        <f t="shared" si="29"/>
        <v>УКТУС</v>
      </c>
      <c r="J945" s="5"/>
      <c r="AF945" t="s">
        <v>7205</v>
      </c>
      <c r="AG945" s="24" t="s">
        <v>6179</v>
      </c>
      <c r="AH945" s="5" t="s">
        <v>7205</v>
      </c>
      <c r="AI945" s="5">
        <v>19268.098000000002</v>
      </c>
      <c r="AJ945" s="5">
        <v>19268.098000000002</v>
      </c>
      <c r="AK945">
        <v>17895.426899999999</v>
      </c>
      <c r="AL945" s="5" t="str">
        <f t="shared" si="30"/>
        <v>Малышевский городской округ</v>
      </c>
    </row>
    <row r="946" spans="1:38" ht="15" customHeight="1" x14ac:dyDescent="0.25">
      <c r="A946" s="3" t="s">
        <v>1401</v>
      </c>
      <c r="B946" s="3" t="s">
        <v>66</v>
      </c>
      <c r="C946" s="5">
        <v>64795.756300000001</v>
      </c>
      <c r="D946" s="5">
        <v>64795.756300000001</v>
      </c>
      <c r="E946" s="5">
        <v>58673.716200000003</v>
      </c>
      <c r="F946" t="s">
        <v>7249</v>
      </c>
      <c r="G946" s="5" t="str">
        <f t="shared" si="29"/>
        <v>УНЦ</v>
      </c>
      <c r="J946" s="5"/>
      <c r="AF946" t="s">
        <v>7205</v>
      </c>
      <c r="AG946" s="24" t="s">
        <v>6180</v>
      </c>
      <c r="AH946" s="5" t="s">
        <v>7205</v>
      </c>
      <c r="AI946" s="5">
        <v>23224.448400000001</v>
      </c>
      <c r="AJ946" s="5">
        <v>23224.448400000001</v>
      </c>
      <c r="AK946">
        <v>21569.9247</v>
      </c>
      <c r="AL946" s="5" t="str">
        <f t="shared" si="30"/>
        <v>Малышевский городской округ</v>
      </c>
    </row>
    <row r="947" spans="1:38" ht="15" customHeight="1" x14ac:dyDescent="0.25">
      <c r="A947" s="3" t="s">
        <v>1402</v>
      </c>
      <c r="B947" s="3" t="s">
        <v>1656</v>
      </c>
      <c r="C947" s="5">
        <v>60173.9879</v>
      </c>
      <c r="D947" s="5">
        <v>60173.9879</v>
      </c>
      <c r="E947" s="5">
        <v>54488.630299999997</v>
      </c>
      <c r="F947" t="s">
        <v>7249</v>
      </c>
      <c r="G947" s="5" t="str">
        <f t="shared" si="29"/>
        <v>МАЛЫЙ ИСТОК</v>
      </c>
      <c r="J947" s="5"/>
      <c r="AF947" t="s">
        <v>7205</v>
      </c>
      <c r="AG947" s="24" t="s">
        <v>6181</v>
      </c>
      <c r="AH947" s="5" t="s">
        <v>7205</v>
      </c>
      <c r="AI947" s="5">
        <v>18797.2703</v>
      </c>
      <c r="AJ947" s="5">
        <v>18797.2703</v>
      </c>
      <c r="AK947">
        <v>17458.135300000002</v>
      </c>
      <c r="AL947" s="5" t="str">
        <f t="shared" si="30"/>
        <v>Малышевский городской округ</v>
      </c>
    </row>
    <row r="948" spans="1:38" ht="15" customHeight="1" x14ac:dyDescent="0.25">
      <c r="A948" s="3" t="s">
        <v>1403</v>
      </c>
      <c r="B948" s="3" t="s">
        <v>1643</v>
      </c>
      <c r="C948" s="5">
        <v>76630.280299999999</v>
      </c>
      <c r="D948" s="5">
        <v>76630.280299999999</v>
      </c>
      <c r="E948" s="5">
        <v>69390.088799999998</v>
      </c>
      <c r="F948" t="s">
        <v>7249</v>
      </c>
      <c r="G948" s="5" t="str">
        <f t="shared" si="29"/>
        <v>Ю-З</v>
      </c>
      <c r="J948" s="5"/>
      <c r="AF948" t="s">
        <v>7205</v>
      </c>
      <c r="AG948" s="24" t="s">
        <v>6182</v>
      </c>
      <c r="AH948" s="5" t="s">
        <v>7205</v>
      </c>
      <c r="AI948" s="5">
        <v>18797.2703</v>
      </c>
      <c r="AJ948" s="5">
        <v>18797.2703</v>
      </c>
      <c r="AK948">
        <v>17458.135300000002</v>
      </c>
      <c r="AL948" s="5" t="str">
        <f t="shared" si="30"/>
        <v>Малышевский городской округ</v>
      </c>
    </row>
    <row r="949" spans="1:38" ht="15" customHeight="1" x14ac:dyDescent="0.25">
      <c r="A949" s="3" t="s">
        <v>1404</v>
      </c>
      <c r="B949" s="3" t="s">
        <v>1644</v>
      </c>
      <c r="C949" s="5">
        <v>61980.678599999999</v>
      </c>
      <c r="D949" s="5">
        <v>61980.678599999999</v>
      </c>
      <c r="E949" s="5">
        <v>56124.615700000002</v>
      </c>
      <c r="F949" t="s">
        <v>7249</v>
      </c>
      <c r="G949" s="5" t="str">
        <f t="shared" si="29"/>
        <v>ХИММАШ</v>
      </c>
      <c r="J949" s="5"/>
      <c r="AF949" t="s">
        <v>7206</v>
      </c>
      <c r="AG949" s="24" t="s">
        <v>6183</v>
      </c>
      <c r="AH949" s="5" t="s">
        <v>7206</v>
      </c>
      <c r="AI949" s="5">
        <v>16669.947400000001</v>
      </c>
      <c r="AJ949" s="5">
        <v>16669.947400000001</v>
      </c>
      <c r="AK949">
        <v>15482.3704</v>
      </c>
      <c r="AL949" s="5" t="str">
        <f t="shared" si="30"/>
        <v>Махнёвское муниципальное образование</v>
      </c>
    </row>
    <row r="950" spans="1:38" ht="15" customHeight="1" x14ac:dyDescent="0.25">
      <c r="A950" s="3" t="s">
        <v>1405</v>
      </c>
      <c r="B950" s="3" t="s">
        <v>1628</v>
      </c>
      <c r="C950" s="5">
        <v>70734.0236</v>
      </c>
      <c r="D950" s="5">
        <v>70734.0236</v>
      </c>
      <c r="E950" s="5">
        <v>64050.9208</v>
      </c>
      <c r="F950" t="s">
        <v>7249</v>
      </c>
      <c r="G950" s="5" t="str">
        <f t="shared" si="29"/>
        <v>ЭЛЬМАШ</v>
      </c>
      <c r="J950" s="5"/>
      <c r="AF950" t="s">
        <v>7206</v>
      </c>
      <c r="AG950" s="24" t="s">
        <v>6184</v>
      </c>
      <c r="AH950" s="5" t="s">
        <v>7206</v>
      </c>
      <c r="AI950" s="5">
        <v>16669.947400000001</v>
      </c>
      <c r="AJ950" s="5">
        <v>16669.947400000001</v>
      </c>
      <c r="AK950">
        <v>15482.3704</v>
      </c>
      <c r="AL950" s="5" t="str">
        <f t="shared" si="30"/>
        <v>Махнёвское муниципальное образование</v>
      </c>
    </row>
    <row r="951" spans="1:38" ht="15" customHeight="1" x14ac:dyDescent="0.25">
      <c r="A951" s="3" t="s">
        <v>1406</v>
      </c>
      <c r="B951" s="3" t="s">
        <v>1660</v>
      </c>
      <c r="C951" s="5">
        <v>53262.345800000003</v>
      </c>
      <c r="D951" s="5">
        <v>53262.345800000003</v>
      </c>
      <c r="E951" s="5">
        <v>48230.0095</v>
      </c>
      <c r="F951" t="s">
        <v>7249</v>
      </c>
      <c r="G951" s="5" t="str">
        <f t="shared" si="29"/>
        <v>САДОВЫЙ</v>
      </c>
      <c r="J951" s="5"/>
      <c r="AF951" t="s">
        <v>7206</v>
      </c>
      <c r="AG951" s="24" t="s">
        <v>6185</v>
      </c>
      <c r="AH951" s="5" t="s">
        <v>7206</v>
      </c>
      <c r="AI951" s="5">
        <v>16669.947400000001</v>
      </c>
      <c r="AJ951" s="5">
        <v>16669.947400000001</v>
      </c>
      <c r="AK951">
        <v>15482.3704</v>
      </c>
      <c r="AL951" s="5" t="str">
        <f t="shared" si="30"/>
        <v>Махнёвское муниципальное образование</v>
      </c>
    </row>
    <row r="952" spans="1:38" ht="15" customHeight="1" x14ac:dyDescent="0.25">
      <c r="A952" s="3" t="s">
        <v>1407</v>
      </c>
      <c r="B952" s="3" t="s">
        <v>1636</v>
      </c>
      <c r="C952" s="5">
        <v>52246.960299999999</v>
      </c>
      <c r="D952" s="5">
        <v>52246.960299999999</v>
      </c>
      <c r="E952" s="5">
        <v>47310.556700000001</v>
      </c>
      <c r="F952" t="s">
        <v>7249</v>
      </c>
      <c r="G952" s="5" t="str">
        <f t="shared" si="29"/>
        <v>ГОРНЫЙ ЩИТ</v>
      </c>
      <c r="J952" s="5"/>
      <c r="AF952" t="s">
        <v>7206</v>
      </c>
      <c r="AG952" s="24" t="s">
        <v>6186</v>
      </c>
      <c r="AH952" s="5" t="s">
        <v>7206</v>
      </c>
      <c r="AI952" s="5">
        <v>16669.947400000001</v>
      </c>
      <c r="AJ952" s="5">
        <v>16669.947400000001</v>
      </c>
      <c r="AK952">
        <v>15482.3704</v>
      </c>
      <c r="AL952" s="5" t="str">
        <f t="shared" si="30"/>
        <v>Махнёвское муниципальное образование</v>
      </c>
    </row>
    <row r="953" spans="1:38" ht="15" customHeight="1" x14ac:dyDescent="0.25">
      <c r="A953" s="3" t="s">
        <v>1409</v>
      </c>
      <c r="B953" s="3" t="s">
        <v>1629</v>
      </c>
      <c r="C953" s="5">
        <v>77743.704100000003</v>
      </c>
      <c r="D953" s="5">
        <v>77743.704100000003</v>
      </c>
      <c r="E953" s="5">
        <v>70398.310800000007</v>
      </c>
      <c r="F953" t="s">
        <v>7249</v>
      </c>
      <c r="G953" s="5" t="str">
        <f t="shared" si="29"/>
        <v>ПИОНЕРСКИЙ</v>
      </c>
      <c r="J953" s="5"/>
      <c r="AF953" t="s">
        <v>7206</v>
      </c>
      <c r="AG953" s="24" t="s">
        <v>6187</v>
      </c>
      <c r="AH953" s="5" t="s">
        <v>7206</v>
      </c>
      <c r="AI953" s="5">
        <v>16669.947400000001</v>
      </c>
      <c r="AJ953" s="5">
        <v>16669.947400000001</v>
      </c>
      <c r="AK953">
        <v>15482.3704</v>
      </c>
      <c r="AL953" s="5" t="str">
        <f t="shared" si="30"/>
        <v>Махнёвское муниципальное образование</v>
      </c>
    </row>
    <row r="954" spans="1:38" ht="15" customHeight="1" x14ac:dyDescent="0.25">
      <c r="A954" s="3" t="s">
        <v>1410</v>
      </c>
      <c r="B954" s="3" t="s">
        <v>1633</v>
      </c>
      <c r="C954" s="5">
        <v>77071.442599999995</v>
      </c>
      <c r="D954" s="5">
        <v>77071.442599999995</v>
      </c>
      <c r="E954" s="5">
        <v>69789.570900000006</v>
      </c>
      <c r="F954" t="s">
        <v>7249</v>
      </c>
      <c r="G954" s="5" t="str">
        <f t="shared" si="29"/>
        <v>ВТУЗГОРОДОК</v>
      </c>
      <c r="J954" s="5"/>
      <c r="AF954" t="s">
        <v>7206</v>
      </c>
      <c r="AG954" s="24" t="s">
        <v>6188</v>
      </c>
      <c r="AH954" s="5" t="s">
        <v>7206</v>
      </c>
      <c r="AI954" s="5">
        <v>16669.947400000001</v>
      </c>
      <c r="AJ954" s="5">
        <v>16669.947400000001</v>
      </c>
      <c r="AK954">
        <v>15482.3704</v>
      </c>
      <c r="AL954" s="5" t="str">
        <f t="shared" si="30"/>
        <v>Махнёвское муниципальное образование</v>
      </c>
    </row>
    <row r="955" spans="1:38" ht="15" customHeight="1" x14ac:dyDescent="0.25">
      <c r="A955" s="3" t="s">
        <v>1411</v>
      </c>
      <c r="B955" s="3" t="s">
        <v>1650</v>
      </c>
      <c r="C955" s="5">
        <v>37590.3603</v>
      </c>
      <c r="D955" s="5">
        <v>37590.3603</v>
      </c>
      <c r="E955" s="5">
        <v>34038.745900000002</v>
      </c>
      <c r="F955" t="s">
        <v>7249</v>
      </c>
      <c r="G955" s="5" t="str">
        <f t="shared" si="29"/>
        <v>ШАБРОВСКИЙ</v>
      </c>
      <c r="J955" s="5"/>
      <c r="AF955" t="s">
        <v>7206</v>
      </c>
      <c r="AG955" s="24" t="s">
        <v>6189</v>
      </c>
      <c r="AH955" s="5" t="s">
        <v>7206</v>
      </c>
      <c r="AI955" s="5">
        <v>16669.947400000001</v>
      </c>
      <c r="AJ955" s="5">
        <v>16669.947400000001</v>
      </c>
      <c r="AK955">
        <v>15482.3704</v>
      </c>
      <c r="AL955" s="5" t="str">
        <f t="shared" si="30"/>
        <v>Махнёвское муниципальное образование</v>
      </c>
    </row>
    <row r="956" spans="1:38" ht="15" customHeight="1" x14ac:dyDescent="0.25">
      <c r="A956" s="3" t="s">
        <v>1412</v>
      </c>
      <c r="B956" s="3" t="s">
        <v>1657</v>
      </c>
      <c r="C956" s="5">
        <v>54886.9666</v>
      </c>
      <c r="D956" s="5">
        <v>54886.9666</v>
      </c>
      <c r="E956" s="5">
        <v>49701.1319</v>
      </c>
      <c r="F956" t="s">
        <v>7249</v>
      </c>
      <c r="G956" s="5" t="str">
        <f t="shared" si="29"/>
        <v>КОЛЬЦОВО</v>
      </c>
      <c r="J956" s="5"/>
      <c r="AF956" t="s">
        <v>7206</v>
      </c>
      <c r="AG956" s="24" t="s">
        <v>6190</v>
      </c>
      <c r="AH956" s="5" t="s">
        <v>7206</v>
      </c>
      <c r="AI956" s="5">
        <v>16669.947400000001</v>
      </c>
      <c r="AJ956" s="5">
        <v>16669.947400000001</v>
      </c>
      <c r="AK956">
        <v>15482.3704</v>
      </c>
      <c r="AL956" s="5" t="str">
        <f t="shared" si="30"/>
        <v>Махнёвское муниципальное образование</v>
      </c>
    </row>
    <row r="957" spans="1:38" ht="15" customHeight="1" x14ac:dyDescent="0.25">
      <c r="A957" s="3" t="s">
        <v>1413</v>
      </c>
      <c r="B957" s="3" t="s">
        <v>1640</v>
      </c>
      <c r="C957" s="5">
        <v>64914.8</v>
      </c>
      <c r="D957" s="5">
        <v>64914.8</v>
      </c>
      <c r="E957" s="5">
        <v>58781.519200000002</v>
      </c>
      <c r="F957" t="s">
        <v>7249</v>
      </c>
      <c r="G957" s="5" t="str">
        <f t="shared" si="29"/>
        <v>Новая сортировка</v>
      </c>
      <c r="J957" s="5"/>
      <c r="AF957" t="s">
        <v>7206</v>
      </c>
      <c r="AG957" s="24" t="s">
        <v>6191</v>
      </c>
      <c r="AH957" s="5" t="s">
        <v>7206</v>
      </c>
      <c r="AI957" s="5">
        <v>16669.947400000001</v>
      </c>
      <c r="AJ957" s="5">
        <v>16669.947400000001</v>
      </c>
      <c r="AK957">
        <v>15482.3704</v>
      </c>
      <c r="AL957" s="5" t="str">
        <f t="shared" si="30"/>
        <v>Махнёвское муниципальное образование</v>
      </c>
    </row>
    <row r="958" spans="1:38" ht="15" customHeight="1" x14ac:dyDescent="0.25">
      <c r="A958" s="3" t="s">
        <v>1414</v>
      </c>
      <c r="B958" s="3" t="s">
        <v>66</v>
      </c>
      <c r="C958" s="5">
        <v>64795.756300000001</v>
      </c>
      <c r="D958" s="5">
        <v>64795.756300000001</v>
      </c>
      <c r="E958" s="5">
        <v>58673.716200000003</v>
      </c>
      <c r="F958" t="s">
        <v>7249</v>
      </c>
      <c r="G958" s="5" t="str">
        <f t="shared" si="29"/>
        <v>УНЦ</v>
      </c>
      <c r="J958" s="5"/>
      <c r="AF958" t="s">
        <v>7206</v>
      </c>
      <c r="AG958" s="24" t="s">
        <v>6192</v>
      </c>
      <c r="AH958" s="5" t="s">
        <v>7206</v>
      </c>
      <c r="AI958" s="5">
        <v>16669.947400000001</v>
      </c>
      <c r="AJ958" s="5">
        <v>16669.947400000001</v>
      </c>
      <c r="AK958">
        <v>15482.3704</v>
      </c>
      <c r="AL958" s="5" t="str">
        <f t="shared" si="30"/>
        <v>Махнёвское муниципальное образование</v>
      </c>
    </row>
    <row r="959" spans="1:38" ht="15" customHeight="1" x14ac:dyDescent="0.25">
      <c r="A959" s="3" t="s">
        <v>1415</v>
      </c>
      <c r="B959" s="3" t="s">
        <v>1650</v>
      </c>
      <c r="C959" s="5">
        <v>37590.3603</v>
      </c>
      <c r="D959" s="5">
        <v>37590.3603</v>
      </c>
      <c r="E959" s="5">
        <v>34038.745900000002</v>
      </c>
      <c r="F959" t="s">
        <v>7249</v>
      </c>
      <c r="G959" s="5" t="str">
        <f t="shared" si="29"/>
        <v>ШАБРОВСКИЙ</v>
      </c>
      <c r="J959" s="5"/>
      <c r="AF959" t="s">
        <v>7206</v>
      </c>
      <c r="AG959" s="24" t="s">
        <v>6193</v>
      </c>
      <c r="AH959" s="5" t="s">
        <v>7206</v>
      </c>
      <c r="AI959" s="5">
        <v>16669.947400000001</v>
      </c>
      <c r="AJ959" s="5">
        <v>16669.947400000001</v>
      </c>
      <c r="AK959">
        <v>15482.3704</v>
      </c>
      <c r="AL959" s="5" t="str">
        <f t="shared" si="30"/>
        <v>Махнёвское муниципальное образование</v>
      </c>
    </row>
    <row r="960" spans="1:38" ht="15" customHeight="1" x14ac:dyDescent="0.25">
      <c r="A960" s="3" t="s">
        <v>1417</v>
      </c>
      <c r="B960" s="3" t="s">
        <v>779</v>
      </c>
      <c r="C960" s="5">
        <v>46784.877899999999</v>
      </c>
      <c r="D960" s="5">
        <v>46784.877899999999</v>
      </c>
      <c r="E960" s="5">
        <v>42364.543299999998</v>
      </c>
      <c r="F960" t="s">
        <v>7249</v>
      </c>
      <c r="G960" s="5" t="str">
        <f t="shared" si="29"/>
        <v>Нижнеисетский</v>
      </c>
      <c r="J960" s="5"/>
      <c r="AF960" t="s">
        <v>7206</v>
      </c>
      <c r="AG960" s="24" t="s">
        <v>6194</v>
      </c>
      <c r="AH960" s="5" t="s">
        <v>7206</v>
      </c>
      <c r="AI960" s="5">
        <v>16669.947400000001</v>
      </c>
      <c r="AJ960" s="5">
        <v>16669.947400000001</v>
      </c>
      <c r="AK960">
        <v>15482.3704</v>
      </c>
      <c r="AL960" s="5" t="str">
        <f t="shared" si="30"/>
        <v>Махнёвское муниципальное образование</v>
      </c>
    </row>
    <row r="961" spans="1:38" ht="15" customHeight="1" x14ac:dyDescent="0.25">
      <c r="A961" s="3" t="s">
        <v>1418</v>
      </c>
      <c r="B961" s="3" t="s">
        <v>1638</v>
      </c>
      <c r="C961" s="5">
        <v>63640.311600000001</v>
      </c>
      <c r="D961" s="5">
        <v>63640.311600000001</v>
      </c>
      <c r="E961" s="5">
        <v>57627.4473</v>
      </c>
      <c r="F961" t="s">
        <v>7249</v>
      </c>
      <c r="G961" s="5" t="str">
        <f t="shared" si="29"/>
        <v>УКТУС</v>
      </c>
      <c r="J961" s="5"/>
      <c r="AF961" t="s">
        <v>7206</v>
      </c>
      <c r="AG961" s="24" t="s">
        <v>6195</v>
      </c>
      <c r="AH961" s="5" t="s">
        <v>7206</v>
      </c>
      <c r="AI961" s="5">
        <v>16669.947400000001</v>
      </c>
      <c r="AJ961" s="5">
        <v>16669.947400000001</v>
      </c>
      <c r="AK961">
        <v>15482.3704</v>
      </c>
      <c r="AL961" s="5" t="str">
        <f t="shared" si="30"/>
        <v>Махнёвское муниципальное образование</v>
      </c>
    </row>
    <row r="962" spans="1:38" ht="15" customHeight="1" x14ac:dyDescent="0.25">
      <c r="A962" s="3" t="s">
        <v>1419</v>
      </c>
      <c r="B962" s="3" t="s">
        <v>1664</v>
      </c>
      <c r="C962" s="5">
        <v>53668.506099999999</v>
      </c>
      <c r="D962" s="5">
        <v>53668.506099999999</v>
      </c>
      <c r="E962" s="5">
        <v>48597.792699999998</v>
      </c>
      <c r="F962" t="s">
        <v>7249</v>
      </c>
      <c r="G962" s="5" t="str">
        <f t="shared" si="29"/>
        <v>ИЗОПЛИТ</v>
      </c>
      <c r="J962" s="5"/>
      <c r="AF962" t="s">
        <v>7206</v>
      </c>
      <c r="AG962" s="24" t="s">
        <v>6196</v>
      </c>
      <c r="AH962" s="5" t="s">
        <v>7206</v>
      </c>
      <c r="AI962" s="5">
        <v>16669.947400000001</v>
      </c>
      <c r="AJ962" s="5">
        <v>16669.947400000001</v>
      </c>
      <c r="AK962">
        <v>15482.3704</v>
      </c>
      <c r="AL962" s="5" t="str">
        <f t="shared" si="30"/>
        <v>Махнёвское муниципальное образование</v>
      </c>
    </row>
    <row r="963" spans="1:38" ht="15" customHeight="1" x14ac:dyDescent="0.25">
      <c r="A963" s="3" t="s">
        <v>1420</v>
      </c>
      <c r="B963" s="3" t="s">
        <v>1636</v>
      </c>
      <c r="C963" s="5">
        <v>52246.960299999999</v>
      </c>
      <c r="D963" s="5">
        <v>52246.960299999999</v>
      </c>
      <c r="E963" s="5">
        <v>47310.556700000001</v>
      </c>
      <c r="F963" t="s">
        <v>7249</v>
      </c>
      <c r="G963" s="5" t="str">
        <f t="shared" si="29"/>
        <v>ГОРНЫЙ ЩИТ</v>
      </c>
      <c r="J963" s="5"/>
      <c r="AF963" t="s">
        <v>7206</v>
      </c>
      <c r="AG963" s="24" t="s">
        <v>6197</v>
      </c>
      <c r="AH963" s="5" t="s">
        <v>7206</v>
      </c>
      <c r="AI963" s="5">
        <v>16669.947400000001</v>
      </c>
      <c r="AJ963" s="5">
        <v>16669.947400000001</v>
      </c>
      <c r="AK963">
        <v>15482.3704</v>
      </c>
      <c r="AL963" s="5" t="str">
        <f t="shared" si="30"/>
        <v>Махнёвское муниципальное образование</v>
      </c>
    </row>
    <row r="964" spans="1:38" ht="15" customHeight="1" x14ac:dyDescent="0.25">
      <c r="A964" s="3" t="s">
        <v>1421</v>
      </c>
      <c r="B964" s="3" t="s">
        <v>1654</v>
      </c>
      <c r="C964" s="5">
        <v>56140.449699999997</v>
      </c>
      <c r="D964" s="5">
        <v>56140.449699999997</v>
      </c>
      <c r="E964" s="5">
        <v>50836.1803</v>
      </c>
      <c r="F964" t="s">
        <v>7249</v>
      </c>
      <c r="G964" s="5" t="str">
        <f t="shared" ref="G964:G1027" si="31">B964</f>
        <v>ЗАВОКЗАЛЬНЫЙ</v>
      </c>
      <c r="J964" s="5"/>
      <c r="AF964" t="s">
        <v>7206</v>
      </c>
      <c r="AG964" s="24" t="s">
        <v>6198</v>
      </c>
      <c r="AH964" s="5" t="s">
        <v>7206</v>
      </c>
      <c r="AI964" s="5">
        <v>16669.947400000001</v>
      </c>
      <c r="AJ964" s="5">
        <v>16669.947400000001</v>
      </c>
      <c r="AK964">
        <v>15482.3704</v>
      </c>
      <c r="AL964" s="5" t="str">
        <f t="shared" ref="AL964:AL1027" si="32">AF964</f>
        <v>Махнёвское муниципальное образование</v>
      </c>
    </row>
    <row r="965" spans="1:38" ht="15" customHeight="1" x14ac:dyDescent="0.25">
      <c r="A965" s="3" t="s">
        <v>1423</v>
      </c>
      <c r="B965" s="3" t="s">
        <v>1657</v>
      </c>
      <c r="C965" s="5">
        <v>54886.9666</v>
      </c>
      <c r="D965" s="5">
        <v>54886.9666</v>
      </c>
      <c r="E965" s="5">
        <v>49701.1319</v>
      </c>
      <c r="F965" t="s">
        <v>7249</v>
      </c>
      <c r="G965" s="5" t="str">
        <f t="shared" si="31"/>
        <v>КОЛЬЦОВО</v>
      </c>
      <c r="J965" s="5"/>
      <c r="AF965" t="s">
        <v>7206</v>
      </c>
      <c r="AG965" s="24" t="s">
        <v>6199</v>
      </c>
      <c r="AH965" s="5" t="s">
        <v>7206</v>
      </c>
      <c r="AI965" s="5">
        <v>16669.947400000001</v>
      </c>
      <c r="AJ965" s="5">
        <v>16669.947400000001</v>
      </c>
      <c r="AK965">
        <v>15482.3704</v>
      </c>
      <c r="AL965" s="5" t="str">
        <f t="shared" si="32"/>
        <v>Махнёвское муниципальное образование</v>
      </c>
    </row>
    <row r="966" spans="1:38" ht="15" customHeight="1" x14ac:dyDescent="0.25">
      <c r="A966" s="3" t="s">
        <v>1425</v>
      </c>
      <c r="B966" s="3" t="s">
        <v>1664</v>
      </c>
      <c r="C966" s="5">
        <v>53668.506099999999</v>
      </c>
      <c r="D966" s="5">
        <v>53668.506099999999</v>
      </c>
      <c r="E966" s="5">
        <v>48597.792699999998</v>
      </c>
      <c r="F966" t="s">
        <v>7249</v>
      </c>
      <c r="G966" s="5" t="str">
        <f t="shared" si="31"/>
        <v>ИЗОПЛИТ</v>
      </c>
      <c r="J966" s="5"/>
      <c r="AF966" t="s">
        <v>7206</v>
      </c>
      <c r="AG966" s="24" t="s">
        <v>6200</v>
      </c>
      <c r="AH966" s="5" t="s">
        <v>7206</v>
      </c>
      <c r="AI966" s="5">
        <v>16669.947400000001</v>
      </c>
      <c r="AJ966" s="5">
        <v>16669.947400000001</v>
      </c>
      <c r="AK966">
        <v>15482.3704</v>
      </c>
      <c r="AL966" s="5" t="str">
        <f t="shared" si="32"/>
        <v>Махнёвское муниципальное образование</v>
      </c>
    </row>
    <row r="967" spans="1:38" ht="15" customHeight="1" x14ac:dyDescent="0.25">
      <c r="A967" s="3" t="s">
        <v>1426</v>
      </c>
      <c r="B967" s="3" t="s">
        <v>1639</v>
      </c>
      <c r="C967" s="5">
        <v>53500.443299999999</v>
      </c>
      <c r="D967" s="5">
        <v>53500.443299999999</v>
      </c>
      <c r="E967" s="5">
        <v>48445.605100000001</v>
      </c>
      <c r="F967" t="s">
        <v>7249</v>
      </c>
      <c r="G967" s="5" t="str">
        <f t="shared" si="31"/>
        <v>ИСТОК</v>
      </c>
      <c r="J967" s="5"/>
      <c r="AF967" t="s">
        <v>7206</v>
      </c>
      <c r="AG967" s="24" t="s">
        <v>6201</v>
      </c>
      <c r="AH967" s="5" t="s">
        <v>7206</v>
      </c>
      <c r="AI967" s="5">
        <v>16669.947400000001</v>
      </c>
      <c r="AJ967" s="5">
        <v>16669.947400000001</v>
      </c>
      <c r="AK967">
        <v>15482.3704</v>
      </c>
      <c r="AL967" s="5" t="str">
        <f t="shared" si="32"/>
        <v>Махнёвское муниципальное образование</v>
      </c>
    </row>
    <row r="968" spans="1:38" ht="15" customHeight="1" x14ac:dyDescent="0.25">
      <c r="A968" s="3" t="s">
        <v>1428</v>
      </c>
      <c r="B968" s="3" t="s">
        <v>779</v>
      </c>
      <c r="C968" s="5">
        <v>46784.877899999999</v>
      </c>
      <c r="D968" s="5">
        <v>46784.877899999999</v>
      </c>
      <c r="E968" s="5">
        <v>42364.543299999998</v>
      </c>
      <c r="F968" t="s">
        <v>7249</v>
      </c>
      <c r="G968" s="5" t="str">
        <f t="shared" si="31"/>
        <v>Нижнеисетский</v>
      </c>
      <c r="J968" s="5"/>
      <c r="AF968" t="s">
        <v>7206</v>
      </c>
      <c r="AG968" s="24" t="s">
        <v>6202</v>
      </c>
      <c r="AH968" s="5" t="s">
        <v>7206</v>
      </c>
      <c r="AI968" s="5">
        <v>20596.105899999999</v>
      </c>
      <c r="AJ968" s="5">
        <v>20596.105899999999</v>
      </c>
      <c r="AK968">
        <v>19128.8233</v>
      </c>
      <c r="AL968" s="5" t="str">
        <f t="shared" si="32"/>
        <v>Махнёвское муниципальное образование</v>
      </c>
    </row>
    <row r="969" spans="1:38" ht="15" customHeight="1" x14ac:dyDescent="0.25">
      <c r="A969" s="3" t="s">
        <v>1429</v>
      </c>
      <c r="B969" s="3" t="s">
        <v>1635</v>
      </c>
      <c r="C969" s="5">
        <v>57793.0844</v>
      </c>
      <c r="D969" s="5">
        <v>57793.0844</v>
      </c>
      <c r="E969" s="5">
        <v>52332.6639</v>
      </c>
      <c r="F969" t="s">
        <v>7249</v>
      </c>
      <c r="G969" s="5" t="str">
        <f t="shared" si="31"/>
        <v>ЛЕЧЕБНЫЙ</v>
      </c>
      <c r="J969" s="5"/>
      <c r="AF969" t="s">
        <v>7206</v>
      </c>
      <c r="AG969" s="24" t="s">
        <v>6203</v>
      </c>
      <c r="AH969" s="5" t="s">
        <v>7206</v>
      </c>
      <c r="AI969" s="5">
        <v>16669.947400000001</v>
      </c>
      <c r="AJ969" s="5">
        <v>16669.947400000001</v>
      </c>
      <c r="AK969">
        <v>15482.3704</v>
      </c>
      <c r="AL969" s="5" t="str">
        <f t="shared" si="32"/>
        <v>Махнёвское муниципальное образование</v>
      </c>
    </row>
    <row r="970" spans="1:38" ht="15" customHeight="1" x14ac:dyDescent="0.25">
      <c r="A970" s="3" t="s">
        <v>1430</v>
      </c>
      <c r="B970" s="3" t="s">
        <v>1640</v>
      </c>
      <c r="C970" s="5">
        <v>64914.8</v>
      </c>
      <c r="D970" s="5">
        <v>64914.8</v>
      </c>
      <c r="E970" s="5">
        <v>58781.519200000002</v>
      </c>
      <c r="F970" t="s">
        <v>7249</v>
      </c>
      <c r="G970" s="5" t="str">
        <f t="shared" si="31"/>
        <v>Новая сортировка</v>
      </c>
      <c r="J970" s="5"/>
      <c r="AF970" t="s">
        <v>7206</v>
      </c>
      <c r="AG970" s="24" t="s">
        <v>6204</v>
      </c>
      <c r="AH970" s="5" t="s">
        <v>7206</v>
      </c>
      <c r="AI970" s="5">
        <v>16669.947400000001</v>
      </c>
      <c r="AJ970" s="5">
        <v>16669.947400000001</v>
      </c>
      <c r="AK970">
        <v>15482.3704</v>
      </c>
      <c r="AL970" s="5" t="str">
        <f t="shared" si="32"/>
        <v>Махнёвское муниципальное образование</v>
      </c>
    </row>
    <row r="971" spans="1:38" ht="15" customHeight="1" x14ac:dyDescent="0.25">
      <c r="A971" s="3" t="s">
        <v>1431</v>
      </c>
      <c r="B971" s="3" t="s">
        <v>33</v>
      </c>
      <c r="C971" s="5">
        <v>84298.205100000006</v>
      </c>
      <c r="D971" s="5">
        <v>84298.205100000006</v>
      </c>
      <c r="E971" s="5">
        <v>76333.533100000001</v>
      </c>
      <c r="F971" t="s">
        <v>7249</v>
      </c>
      <c r="G971" s="5" t="str">
        <f t="shared" si="31"/>
        <v>ВИЗ</v>
      </c>
      <c r="J971" s="5"/>
      <c r="AF971" t="s">
        <v>7206</v>
      </c>
      <c r="AG971" s="24" t="s">
        <v>6205</v>
      </c>
      <c r="AH971" s="5" t="s">
        <v>7206</v>
      </c>
      <c r="AI971" s="5">
        <v>16669.947400000001</v>
      </c>
      <c r="AJ971" s="5">
        <v>16669.947400000001</v>
      </c>
      <c r="AK971">
        <v>15482.3704</v>
      </c>
      <c r="AL971" s="5" t="str">
        <f t="shared" si="32"/>
        <v>Махнёвское муниципальное образование</v>
      </c>
    </row>
    <row r="972" spans="1:38" ht="15" customHeight="1" x14ac:dyDescent="0.25">
      <c r="A972" s="3" t="s">
        <v>1432</v>
      </c>
      <c r="B972" s="3" t="s">
        <v>1643</v>
      </c>
      <c r="C972" s="5">
        <v>76630.280299999999</v>
      </c>
      <c r="D972" s="5">
        <v>76630.280299999999</v>
      </c>
      <c r="E972" s="5">
        <v>69390.088799999998</v>
      </c>
      <c r="F972" t="s">
        <v>7249</v>
      </c>
      <c r="G972" s="5" t="str">
        <f t="shared" si="31"/>
        <v>Ю-З</v>
      </c>
      <c r="J972" s="5"/>
      <c r="AF972" t="s">
        <v>7206</v>
      </c>
      <c r="AG972" s="24" t="s">
        <v>6206</v>
      </c>
      <c r="AH972" s="5" t="s">
        <v>7206</v>
      </c>
      <c r="AI972" s="5">
        <v>16669.947400000001</v>
      </c>
      <c r="AJ972" s="5">
        <v>16669.947400000001</v>
      </c>
      <c r="AK972">
        <v>15482.3704</v>
      </c>
      <c r="AL972" s="5" t="str">
        <f t="shared" si="32"/>
        <v>Махнёвское муниципальное образование</v>
      </c>
    </row>
    <row r="973" spans="1:38" ht="15" customHeight="1" x14ac:dyDescent="0.25">
      <c r="A973" s="3" t="s">
        <v>1433</v>
      </c>
      <c r="B973" s="3" t="s">
        <v>14</v>
      </c>
      <c r="C973" s="5">
        <v>93989.912800000006</v>
      </c>
      <c r="D973" s="5">
        <v>93989.912800000006</v>
      </c>
      <c r="E973" s="5">
        <v>85109.545199999993</v>
      </c>
      <c r="F973" t="s">
        <v>7249</v>
      </c>
      <c r="G973" s="5" t="str">
        <f t="shared" si="31"/>
        <v>Центр</v>
      </c>
      <c r="J973" s="5"/>
      <c r="AF973" t="s">
        <v>7206</v>
      </c>
      <c r="AG973" s="24" t="s">
        <v>6207</v>
      </c>
      <c r="AH973" s="5" t="s">
        <v>7206</v>
      </c>
      <c r="AI973" s="5">
        <v>16669.947400000001</v>
      </c>
      <c r="AJ973" s="5">
        <v>16669.947400000001</v>
      </c>
      <c r="AK973">
        <v>15482.3704</v>
      </c>
      <c r="AL973" s="5" t="str">
        <f t="shared" si="32"/>
        <v>Махнёвское муниципальное образование</v>
      </c>
    </row>
    <row r="974" spans="1:38" ht="15" customHeight="1" x14ac:dyDescent="0.25">
      <c r="A974" s="3" t="s">
        <v>1434</v>
      </c>
      <c r="B974" s="3" t="s">
        <v>33</v>
      </c>
      <c r="C974" s="5">
        <v>84298.205100000006</v>
      </c>
      <c r="D974" s="5">
        <v>84298.205100000006</v>
      </c>
      <c r="E974" s="5">
        <v>76333.533100000001</v>
      </c>
      <c r="F974" t="s">
        <v>7249</v>
      </c>
      <c r="G974" s="5" t="str">
        <f t="shared" si="31"/>
        <v>ВИЗ</v>
      </c>
      <c r="J974" s="5"/>
      <c r="AF974" t="s">
        <v>7206</v>
      </c>
      <c r="AG974" s="24" t="s">
        <v>6208</v>
      </c>
      <c r="AH974" s="5" t="s">
        <v>7206</v>
      </c>
      <c r="AI974" s="5">
        <v>16669.947400000001</v>
      </c>
      <c r="AJ974" s="5">
        <v>16669.947400000001</v>
      </c>
      <c r="AK974">
        <v>15482.3704</v>
      </c>
      <c r="AL974" s="5" t="str">
        <f t="shared" si="32"/>
        <v>Махнёвское муниципальное образование</v>
      </c>
    </row>
    <row r="975" spans="1:38" ht="15" customHeight="1" x14ac:dyDescent="0.25">
      <c r="A975" s="3" t="s">
        <v>1436</v>
      </c>
      <c r="B975" s="3" t="s">
        <v>1630</v>
      </c>
      <c r="C975" s="5">
        <v>62652.9401</v>
      </c>
      <c r="D975" s="5">
        <v>62652.9401</v>
      </c>
      <c r="E975" s="5">
        <v>56733.3557</v>
      </c>
      <c r="F975" t="s">
        <v>7249</v>
      </c>
      <c r="G975" s="5" t="str">
        <f t="shared" si="31"/>
        <v>ЧЕРМЕТ</v>
      </c>
      <c r="J975" s="5"/>
      <c r="AF975" t="s">
        <v>7206</v>
      </c>
      <c r="AG975" s="24" t="s">
        <v>6209</v>
      </c>
      <c r="AH975" s="5" t="s">
        <v>7206</v>
      </c>
      <c r="AI975" s="5">
        <v>16669.947400000001</v>
      </c>
      <c r="AJ975" s="5">
        <v>16669.947400000001</v>
      </c>
      <c r="AK975">
        <v>15482.3704</v>
      </c>
      <c r="AL975" s="5" t="str">
        <f t="shared" si="32"/>
        <v>Махнёвское муниципальное образование</v>
      </c>
    </row>
    <row r="976" spans="1:38" ht="15" customHeight="1" x14ac:dyDescent="0.25">
      <c r="A976" s="3" t="s">
        <v>1437</v>
      </c>
      <c r="B976" s="3" t="s">
        <v>779</v>
      </c>
      <c r="C976" s="5">
        <v>46784.877899999999</v>
      </c>
      <c r="D976" s="5">
        <v>46784.877899999999</v>
      </c>
      <c r="E976" s="5">
        <v>42364.543299999998</v>
      </c>
      <c r="F976" t="s">
        <v>7249</v>
      </c>
      <c r="G976" s="5" t="str">
        <f t="shared" si="31"/>
        <v>Нижнеисетский</v>
      </c>
      <c r="J976" s="5"/>
      <c r="AF976" t="s">
        <v>7206</v>
      </c>
      <c r="AG976" s="24" t="s">
        <v>6210</v>
      </c>
      <c r="AH976" s="5" t="s">
        <v>7206</v>
      </c>
      <c r="AI976" s="5">
        <v>16669.947400000001</v>
      </c>
      <c r="AJ976" s="5">
        <v>16669.947400000001</v>
      </c>
      <c r="AK976">
        <v>15482.3704</v>
      </c>
      <c r="AL976" s="5" t="str">
        <f t="shared" si="32"/>
        <v>Махнёвское муниципальное образование</v>
      </c>
    </row>
    <row r="977" spans="1:38" ht="15" customHeight="1" x14ac:dyDescent="0.25">
      <c r="A977" s="3" t="s">
        <v>1438</v>
      </c>
      <c r="B977" s="3" t="s">
        <v>14</v>
      </c>
      <c r="C977" s="5">
        <v>93989.912800000006</v>
      </c>
      <c r="D977" s="5">
        <v>93989.912800000006</v>
      </c>
      <c r="E977" s="5">
        <v>85109.545199999993</v>
      </c>
      <c r="F977" t="s">
        <v>7249</v>
      </c>
      <c r="G977" s="5" t="str">
        <f t="shared" si="31"/>
        <v>Центр</v>
      </c>
      <c r="J977" s="5"/>
      <c r="AF977" t="s">
        <v>7206</v>
      </c>
      <c r="AG977" s="24" t="s">
        <v>6211</v>
      </c>
      <c r="AH977" s="5" t="s">
        <v>7206</v>
      </c>
      <c r="AI977" s="5">
        <v>16669.947400000001</v>
      </c>
      <c r="AJ977" s="5">
        <v>16669.947400000001</v>
      </c>
      <c r="AK977">
        <v>15482.3704</v>
      </c>
      <c r="AL977" s="5" t="str">
        <f t="shared" si="32"/>
        <v>Махнёвское муниципальное образование</v>
      </c>
    </row>
    <row r="978" spans="1:38" ht="15" customHeight="1" x14ac:dyDescent="0.25">
      <c r="A978" s="3" t="s">
        <v>1439</v>
      </c>
      <c r="B978" s="3" t="s">
        <v>1659</v>
      </c>
      <c r="C978" s="5">
        <v>59746.832600000002</v>
      </c>
      <c r="D978" s="5">
        <v>59746.832600000002</v>
      </c>
      <c r="E978" s="5">
        <v>54101.823700000001</v>
      </c>
      <c r="F978" t="s">
        <v>7249</v>
      </c>
      <c r="G978" s="5" t="str">
        <f t="shared" si="31"/>
        <v>СОВХОЗ</v>
      </c>
      <c r="J978" s="5"/>
      <c r="AF978" t="s">
        <v>7206</v>
      </c>
      <c r="AG978" s="24" t="s">
        <v>6212</v>
      </c>
      <c r="AH978" s="5" t="s">
        <v>7206</v>
      </c>
      <c r="AI978" s="5">
        <v>16669.947400000001</v>
      </c>
      <c r="AJ978" s="5">
        <v>16669.947400000001</v>
      </c>
      <c r="AK978">
        <v>15482.3704</v>
      </c>
      <c r="AL978" s="5" t="str">
        <f t="shared" si="32"/>
        <v>Махнёвское муниципальное образование</v>
      </c>
    </row>
    <row r="979" spans="1:38" ht="15" customHeight="1" x14ac:dyDescent="0.25">
      <c r="A979" s="3" t="s">
        <v>1440</v>
      </c>
      <c r="B979" s="3" t="s">
        <v>1650</v>
      </c>
      <c r="C979" s="5">
        <v>37590.3603</v>
      </c>
      <c r="D979" s="5">
        <v>37590.3603</v>
      </c>
      <c r="E979" s="5">
        <v>34038.745900000002</v>
      </c>
      <c r="F979" t="s">
        <v>7249</v>
      </c>
      <c r="G979" s="5" t="str">
        <f t="shared" si="31"/>
        <v>ШАБРОВСКИЙ</v>
      </c>
      <c r="J979" s="5"/>
      <c r="AF979" t="s">
        <v>7206</v>
      </c>
      <c r="AG979" s="24" t="s">
        <v>6213</v>
      </c>
      <c r="AH979" s="5" t="s">
        <v>7206</v>
      </c>
      <c r="AI979" s="5">
        <v>16669.947400000001</v>
      </c>
      <c r="AJ979" s="5">
        <v>16669.947400000001</v>
      </c>
      <c r="AK979">
        <v>15482.3704</v>
      </c>
      <c r="AL979" s="5" t="str">
        <f t="shared" si="32"/>
        <v>Махнёвское муниципальное образование</v>
      </c>
    </row>
    <row r="980" spans="1:38" ht="15" customHeight="1" x14ac:dyDescent="0.25">
      <c r="A980" s="3" t="s">
        <v>1441</v>
      </c>
      <c r="B980" s="3" t="s">
        <v>1661</v>
      </c>
      <c r="C980" s="5">
        <v>51175.5573</v>
      </c>
      <c r="D980" s="5">
        <v>51175.5573</v>
      </c>
      <c r="E980" s="5">
        <v>46340.381600000001</v>
      </c>
      <c r="F980" t="s">
        <v>7249</v>
      </c>
      <c r="G980" s="5" t="str">
        <f t="shared" si="31"/>
        <v>СЕВЕРКА</v>
      </c>
      <c r="J980" s="5"/>
      <c r="AF980" t="s">
        <v>7206</v>
      </c>
      <c r="AG980" s="24" t="s">
        <v>6214</v>
      </c>
      <c r="AH980" s="5" t="s">
        <v>7206</v>
      </c>
      <c r="AI980" s="5">
        <v>16669.947400000001</v>
      </c>
      <c r="AJ980" s="5">
        <v>16669.947400000001</v>
      </c>
      <c r="AK980">
        <v>15482.3704</v>
      </c>
      <c r="AL980" s="5" t="str">
        <f t="shared" si="32"/>
        <v>Махнёвское муниципальное образование</v>
      </c>
    </row>
    <row r="981" spans="1:38" ht="15" customHeight="1" x14ac:dyDescent="0.25">
      <c r="A981" s="3" t="s">
        <v>1442</v>
      </c>
      <c r="B981" s="3" t="s">
        <v>1636</v>
      </c>
      <c r="C981" s="5">
        <v>52246.960299999999</v>
      </c>
      <c r="D981" s="5">
        <v>52246.960299999999</v>
      </c>
      <c r="E981" s="5">
        <v>47310.556700000001</v>
      </c>
      <c r="F981" t="s">
        <v>7249</v>
      </c>
      <c r="G981" s="5" t="str">
        <f t="shared" si="31"/>
        <v>ГОРНЫЙ ЩИТ</v>
      </c>
      <c r="J981" s="5"/>
      <c r="AF981" t="s">
        <v>7206</v>
      </c>
      <c r="AG981" s="24" t="s">
        <v>6215</v>
      </c>
      <c r="AH981" s="5" t="s">
        <v>7206</v>
      </c>
      <c r="AI981" s="5">
        <v>16669.947400000001</v>
      </c>
      <c r="AJ981" s="5">
        <v>16669.947400000001</v>
      </c>
      <c r="AK981">
        <v>15482.3704</v>
      </c>
      <c r="AL981" s="5" t="str">
        <f t="shared" si="32"/>
        <v>Махнёвское муниципальное образование</v>
      </c>
    </row>
    <row r="982" spans="1:38" ht="15" customHeight="1" x14ac:dyDescent="0.25">
      <c r="A982" s="3" t="s">
        <v>1443</v>
      </c>
      <c r="B982" s="3" t="s">
        <v>1630</v>
      </c>
      <c r="C982" s="5">
        <v>62652.9401</v>
      </c>
      <c r="D982" s="5">
        <v>62652.9401</v>
      </c>
      <c r="E982" s="5">
        <v>56733.3557</v>
      </c>
      <c r="F982" t="s">
        <v>7249</v>
      </c>
      <c r="G982" s="5" t="str">
        <f t="shared" si="31"/>
        <v>ЧЕРМЕТ</v>
      </c>
      <c r="J982" s="5"/>
      <c r="AF982" t="s">
        <v>7206</v>
      </c>
      <c r="AG982" s="24" t="s">
        <v>6216</v>
      </c>
      <c r="AH982" s="5" t="s">
        <v>7206</v>
      </c>
      <c r="AI982" s="5">
        <v>16669.947400000001</v>
      </c>
      <c r="AJ982" s="5">
        <v>16669.947400000001</v>
      </c>
      <c r="AK982">
        <v>15482.3704</v>
      </c>
      <c r="AL982" s="5" t="str">
        <f t="shared" si="32"/>
        <v>Махнёвское муниципальное образование</v>
      </c>
    </row>
    <row r="983" spans="1:38" ht="15" customHeight="1" x14ac:dyDescent="0.25">
      <c r="A983" s="3" t="s">
        <v>1444</v>
      </c>
      <c r="B983" s="3" t="s">
        <v>1659</v>
      </c>
      <c r="C983" s="5">
        <v>59746.832600000002</v>
      </c>
      <c r="D983" s="5">
        <v>59746.832600000002</v>
      </c>
      <c r="E983" s="5">
        <v>54101.823700000001</v>
      </c>
      <c r="F983" t="s">
        <v>7249</v>
      </c>
      <c r="G983" s="5" t="str">
        <f t="shared" si="31"/>
        <v>СОВХОЗ</v>
      </c>
      <c r="J983" s="5"/>
      <c r="AF983" t="s">
        <v>7206</v>
      </c>
      <c r="AG983" s="24" t="s">
        <v>6217</v>
      </c>
      <c r="AH983" s="5" t="s">
        <v>7206</v>
      </c>
      <c r="AI983" s="5">
        <v>16669.947400000001</v>
      </c>
      <c r="AJ983" s="5">
        <v>16669.947400000001</v>
      </c>
      <c r="AK983">
        <v>15482.3704</v>
      </c>
      <c r="AL983" s="5" t="str">
        <f t="shared" si="32"/>
        <v>Махнёвское муниципальное образование</v>
      </c>
    </row>
    <row r="984" spans="1:38" ht="15" customHeight="1" x14ac:dyDescent="0.25">
      <c r="A984" s="3" t="s">
        <v>1446</v>
      </c>
      <c r="B984" s="3" t="s">
        <v>1653</v>
      </c>
      <c r="C984" s="5">
        <v>56847.723400000003</v>
      </c>
      <c r="D984" s="5">
        <v>56847.723400000003</v>
      </c>
      <c r="E984" s="5">
        <v>51476.629399999998</v>
      </c>
      <c r="F984" t="s">
        <v>7249</v>
      </c>
      <c r="G984" s="5" t="str">
        <f t="shared" si="31"/>
        <v>ПТИЦЕФАБРИКА</v>
      </c>
      <c r="J984" s="5"/>
      <c r="AF984" t="s">
        <v>7206</v>
      </c>
      <c r="AG984" s="24" t="s">
        <v>6218</v>
      </c>
      <c r="AH984" s="5" t="s">
        <v>7206</v>
      </c>
      <c r="AI984" s="5">
        <v>16669.947400000001</v>
      </c>
      <c r="AJ984" s="5">
        <v>16669.947400000001</v>
      </c>
      <c r="AK984">
        <v>15482.3704</v>
      </c>
      <c r="AL984" s="5" t="str">
        <f t="shared" si="32"/>
        <v>Махнёвское муниципальное образование</v>
      </c>
    </row>
    <row r="985" spans="1:38" ht="15" customHeight="1" x14ac:dyDescent="0.25">
      <c r="A985" s="3" t="s">
        <v>1448</v>
      </c>
      <c r="B985" s="3" t="s">
        <v>1659</v>
      </c>
      <c r="C985" s="5">
        <v>59746.832600000002</v>
      </c>
      <c r="D985" s="5">
        <v>59746.832600000002</v>
      </c>
      <c r="E985" s="5">
        <v>54101.823700000001</v>
      </c>
      <c r="F985" t="s">
        <v>7249</v>
      </c>
      <c r="G985" s="5" t="str">
        <f t="shared" si="31"/>
        <v>СОВХОЗ</v>
      </c>
      <c r="J985" s="5"/>
      <c r="AF985" t="s">
        <v>7206</v>
      </c>
      <c r="AG985" s="24" t="s">
        <v>6219</v>
      </c>
      <c r="AH985" s="5" t="s">
        <v>7206</v>
      </c>
      <c r="AI985" s="5">
        <v>16669.947400000001</v>
      </c>
      <c r="AJ985" s="5">
        <v>16669.947400000001</v>
      </c>
      <c r="AK985">
        <v>15482.3704</v>
      </c>
      <c r="AL985" s="5" t="str">
        <f t="shared" si="32"/>
        <v>Махнёвское муниципальное образование</v>
      </c>
    </row>
    <row r="986" spans="1:38" ht="15" customHeight="1" x14ac:dyDescent="0.25">
      <c r="A986" s="3" t="s">
        <v>1450</v>
      </c>
      <c r="B986" s="3" t="s">
        <v>1644</v>
      </c>
      <c r="C986" s="5">
        <v>61980.678599999999</v>
      </c>
      <c r="D986" s="5">
        <v>61980.678599999999</v>
      </c>
      <c r="E986" s="5">
        <v>56124.615700000002</v>
      </c>
      <c r="F986" t="s">
        <v>7249</v>
      </c>
      <c r="G986" s="5" t="str">
        <f t="shared" si="31"/>
        <v>ХИММАШ</v>
      </c>
      <c r="J986" s="5"/>
      <c r="AF986" t="s">
        <v>7206</v>
      </c>
      <c r="AG986" s="24" t="s">
        <v>6220</v>
      </c>
      <c r="AH986" s="5" t="s">
        <v>7206</v>
      </c>
      <c r="AI986" s="5">
        <v>16669.947400000001</v>
      </c>
      <c r="AJ986" s="5">
        <v>16669.947400000001</v>
      </c>
      <c r="AK986">
        <v>15482.3704</v>
      </c>
      <c r="AL986" s="5" t="str">
        <f t="shared" si="32"/>
        <v>Махнёвское муниципальное образование</v>
      </c>
    </row>
    <row r="987" spans="1:38" ht="15" customHeight="1" x14ac:dyDescent="0.25">
      <c r="A987" s="3" t="s">
        <v>1451</v>
      </c>
      <c r="B987" s="3" t="s">
        <v>1633</v>
      </c>
      <c r="C987" s="5">
        <v>77071.442599999995</v>
      </c>
      <c r="D987" s="5">
        <v>77071.442599999995</v>
      </c>
      <c r="E987" s="5">
        <v>69789.570900000006</v>
      </c>
      <c r="F987" t="s">
        <v>7249</v>
      </c>
      <c r="G987" s="5" t="str">
        <f t="shared" si="31"/>
        <v>ВТУЗГОРОДОК</v>
      </c>
      <c r="J987" s="5"/>
      <c r="AF987" t="s">
        <v>7206</v>
      </c>
      <c r="AG987" s="24" t="s">
        <v>6221</v>
      </c>
      <c r="AH987" s="5" t="s">
        <v>7206</v>
      </c>
      <c r="AI987" s="5">
        <v>16669.947400000001</v>
      </c>
      <c r="AJ987" s="5">
        <v>16669.947400000001</v>
      </c>
      <c r="AK987">
        <v>15482.3704</v>
      </c>
      <c r="AL987" s="5" t="str">
        <f t="shared" si="32"/>
        <v>Махнёвское муниципальное образование</v>
      </c>
    </row>
    <row r="988" spans="1:38" ht="15" customHeight="1" x14ac:dyDescent="0.25">
      <c r="A988" s="3" t="s">
        <v>1452</v>
      </c>
      <c r="B988" s="3" t="s">
        <v>1643</v>
      </c>
      <c r="C988" s="5">
        <v>76630.280299999999</v>
      </c>
      <c r="D988" s="5">
        <v>76630.280299999999</v>
      </c>
      <c r="E988" s="5">
        <v>69390.088799999998</v>
      </c>
      <c r="F988" t="s">
        <v>7249</v>
      </c>
      <c r="G988" s="5" t="str">
        <f t="shared" si="31"/>
        <v>Ю-З</v>
      </c>
      <c r="J988" s="5"/>
      <c r="AF988" t="s">
        <v>7206</v>
      </c>
      <c r="AG988" s="24" t="s">
        <v>6222</v>
      </c>
      <c r="AH988" s="5" t="s">
        <v>7206</v>
      </c>
      <c r="AI988" s="5">
        <v>16669.947400000001</v>
      </c>
      <c r="AJ988" s="5">
        <v>16669.947400000001</v>
      </c>
      <c r="AK988">
        <v>15482.3704</v>
      </c>
      <c r="AL988" s="5" t="str">
        <f t="shared" si="32"/>
        <v>Махнёвское муниципальное образование</v>
      </c>
    </row>
    <row r="989" spans="1:38" ht="15" customHeight="1" x14ac:dyDescent="0.25">
      <c r="A989" s="3" t="s">
        <v>1453</v>
      </c>
      <c r="B989" s="3" t="s">
        <v>1637</v>
      </c>
      <c r="C989" s="5">
        <v>59368.686099999999</v>
      </c>
      <c r="D989" s="5">
        <v>59368.686099999999</v>
      </c>
      <c r="E989" s="5">
        <v>53759.401700000002</v>
      </c>
      <c r="F989" t="s">
        <v>7249</v>
      </c>
      <c r="G989" s="5" t="str">
        <f t="shared" si="31"/>
        <v>Старая сортировка</v>
      </c>
      <c r="J989" s="5"/>
      <c r="AF989" t="s">
        <v>7206</v>
      </c>
      <c r="AG989" s="24" t="s">
        <v>6223</v>
      </c>
      <c r="AH989" s="5" t="s">
        <v>7206</v>
      </c>
      <c r="AI989" s="5">
        <v>16669.947400000001</v>
      </c>
      <c r="AJ989" s="5">
        <v>16669.947400000001</v>
      </c>
      <c r="AK989">
        <v>15482.3704</v>
      </c>
      <c r="AL989" s="5" t="str">
        <f t="shared" si="32"/>
        <v>Махнёвское муниципальное образование</v>
      </c>
    </row>
    <row r="990" spans="1:38" ht="15" customHeight="1" x14ac:dyDescent="0.25">
      <c r="A990" s="3" t="s">
        <v>1454</v>
      </c>
      <c r="B990" s="3" t="s">
        <v>33</v>
      </c>
      <c r="C990" s="5">
        <v>84298.205100000006</v>
      </c>
      <c r="D990" s="5">
        <v>84298.205100000006</v>
      </c>
      <c r="E990" s="5">
        <v>76333.533100000001</v>
      </c>
      <c r="F990" t="s">
        <v>7249</v>
      </c>
      <c r="G990" s="5" t="str">
        <f t="shared" si="31"/>
        <v>ВИЗ</v>
      </c>
      <c r="J990" s="5"/>
      <c r="AF990" t="s">
        <v>7207</v>
      </c>
      <c r="AG990" s="24" t="s">
        <v>6224</v>
      </c>
      <c r="AH990" s="5" t="s">
        <v>7207</v>
      </c>
      <c r="AI990" s="5">
        <v>31212.571899999999</v>
      </c>
      <c r="AJ990" s="5">
        <v>31212.571899999999</v>
      </c>
      <c r="AK990">
        <v>28988.965400000001</v>
      </c>
      <c r="AL990" s="5" t="str">
        <f t="shared" si="32"/>
        <v>муниципальное образование «поселок Уральский»</v>
      </c>
    </row>
    <row r="991" spans="1:38" ht="15" customHeight="1" x14ac:dyDescent="0.25">
      <c r="A991" s="3" t="s">
        <v>1455</v>
      </c>
      <c r="B991" s="3" t="s">
        <v>1651</v>
      </c>
      <c r="C991" s="5">
        <v>68129.029500000004</v>
      </c>
      <c r="D991" s="5">
        <v>68129.029500000004</v>
      </c>
      <c r="E991" s="5">
        <v>61692.054799999998</v>
      </c>
      <c r="F991" t="s">
        <v>7249</v>
      </c>
      <c r="G991" s="5" t="str">
        <f t="shared" si="31"/>
        <v>ШАРТАШ</v>
      </c>
      <c r="J991" s="5"/>
      <c r="AF991" t="s">
        <v>7207</v>
      </c>
      <c r="AG991" s="24" t="s">
        <v>6225</v>
      </c>
      <c r="AH991" s="5" t="s">
        <v>7207</v>
      </c>
      <c r="AI991" s="5">
        <v>38563.848700000002</v>
      </c>
      <c r="AJ991" s="5">
        <v>38563.848700000002</v>
      </c>
      <c r="AK991">
        <v>35816.534899999999</v>
      </c>
      <c r="AL991" s="5" t="str">
        <f t="shared" si="32"/>
        <v>муниципальное образование «поселок Уральский»</v>
      </c>
    </row>
    <row r="992" spans="1:38" ht="15" customHeight="1" x14ac:dyDescent="0.25">
      <c r="A992" s="3" t="s">
        <v>1456</v>
      </c>
      <c r="B992" s="3" t="s">
        <v>1643</v>
      </c>
      <c r="C992" s="5">
        <v>76630.280299999999</v>
      </c>
      <c r="D992" s="5">
        <v>76630.280299999999</v>
      </c>
      <c r="E992" s="5">
        <v>69390.088799999998</v>
      </c>
      <c r="F992" t="s">
        <v>7249</v>
      </c>
      <c r="G992" s="5" t="str">
        <f t="shared" si="31"/>
        <v>Ю-З</v>
      </c>
      <c r="J992" s="5"/>
      <c r="AF992" t="s">
        <v>7208</v>
      </c>
      <c r="AG992" s="24" t="s">
        <v>6226</v>
      </c>
      <c r="AH992" s="5" t="s">
        <v>7208</v>
      </c>
      <c r="AI992" s="5">
        <v>18444.691500000001</v>
      </c>
      <c r="AJ992" s="5">
        <v>18444.691500000001</v>
      </c>
      <c r="AK992">
        <v>17130.680199999999</v>
      </c>
      <c r="AL992" s="5" t="str">
        <f t="shared" si="32"/>
        <v>Муниципальное образование Алапаевское</v>
      </c>
    </row>
    <row r="993" spans="1:38" ht="15" customHeight="1" x14ac:dyDescent="0.25">
      <c r="A993" s="3" t="s">
        <v>1457</v>
      </c>
      <c r="B993" s="3" t="s">
        <v>33</v>
      </c>
      <c r="C993" s="5">
        <v>84298.205100000006</v>
      </c>
      <c r="D993" s="5">
        <v>84298.205100000006</v>
      </c>
      <c r="E993" s="5">
        <v>76333.533100000001</v>
      </c>
      <c r="F993" t="s">
        <v>7249</v>
      </c>
      <c r="G993" s="5" t="str">
        <f t="shared" si="31"/>
        <v>ВИЗ</v>
      </c>
      <c r="J993" s="5"/>
      <c r="AF993" t="s">
        <v>7208</v>
      </c>
      <c r="AG993" s="24" t="s">
        <v>6227</v>
      </c>
      <c r="AH993" s="5" t="s">
        <v>7208</v>
      </c>
      <c r="AI993" s="5">
        <v>18444.691500000001</v>
      </c>
      <c r="AJ993" s="5">
        <v>18444.691500000001</v>
      </c>
      <c r="AK993">
        <v>17130.680199999999</v>
      </c>
      <c r="AL993" s="5" t="str">
        <f t="shared" si="32"/>
        <v>Муниципальное образование Алапаевское</v>
      </c>
    </row>
    <row r="994" spans="1:38" ht="15" customHeight="1" x14ac:dyDescent="0.25">
      <c r="A994" s="3" t="s">
        <v>1458</v>
      </c>
      <c r="B994" s="3" t="s">
        <v>14</v>
      </c>
      <c r="C994" s="5">
        <v>93989.912800000006</v>
      </c>
      <c r="D994" s="5">
        <v>93989.912800000006</v>
      </c>
      <c r="E994" s="5">
        <v>85109.545199999993</v>
      </c>
      <c r="F994" t="s">
        <v>7249</v>
      </c>
      <c r="G994" s="5" t="str">
        <f t="shared" si="31"/>
        <v>Центр</v>
      </c>
      <c r="J994" s="5"/>
      <c r="AF994" t="s">
        <v>7208</v>
      </c>
      <c r="AG994" s="24" t="s">
        <v>6228</v>
      </c>
      <c r="AH994" s="5" t="s">
        <v>7208</v>
      </c>
      <c r="AI994" s="5">
        <v>18444.691500000001</v>
      </c>
      <c r="AJ994" s="5">
        <v>18444.691500000001</v>
      </c>
      <c r="AK994">
        <v>17130.680199999999</v>
      </c>
      <c r="AL994" s="5" t="str">
        <f t="shared" si="32"/>
        <v>Муниципальное образование Алапаевское</v>
      </c>
    </row>
    <row r="995" spans="1:38" ht="15" customHeight="1" x14ac:dyDescent="0.25">
      <c r="A995" s="3" t="s">
        <v>1459</v>
      </c>
      <c r="B995" s="3" t="s">
        <v>1635</v>
      </c>
      <c r="C995" s="5">
        <v>57793.0844</v>
      </c>
      <c r="D995" s="5">
        <v>57793.0844</v>
      </c>
      <c r="E995" s="5">
        <v>52332.6639</v>
      </c>
      <c r="F995" t="s">
        <v>7249</v>
      </c>
      <c r="G995" s="5" t="str">
        <f t="shared" si="31"/>
        <v>ЛЕЧЕБНЫЙ</v>
      </c>
      <c r="J995" s="5"/>
      <c r="AF995" t="s">
        <v>7208</v>
      </c>
      <c r="AG995" s="24" t="s">
        <v>6229</v>
      </c>
      <c r="AH995" s="5" t="s">
        <v>7208</v>
      </c>
      <c r="AI995" s="5">
        <v>18444.691500000001</v>
      </c>
      <c r="AJ995" s="5">
        <v>18444.691500000001</v>
      </c>
      <c r="AK995">
        <v>17130.680199999999</v>
      </c>
      <c r="AL995" s="5" t="str">
        <f t="shared" si="32"/>
        <v>Муниципальное образование Алапаевское</v>
      </c>
    </row>
    <row r="996" spans="1:38" ht="15" customHeight="1" x14ac:dyDescent="0.25">
      <c r="A996" s="3" t="s">
        <v>1460</v>
      </c>
      <c r="B996" s="3" t="s">
        <v>1631</v>
      </c>
      <c r="C996" s="5">
        <v>70026.7601</v>
      </c>
      <c r="D996" s="5">
        <v>70026.7601</v>
      </c>
      <c r="E996" s="5">
        <v>63410.482000000004</v>
      </c>
      <c r="F996" t="s">
        <v>7249</v>
      </c>
      <c r="G996" s="5" t="str">
        <f t="shared" si="31"/>
        <v>УРАЛМАШ</v>
      </c>
      <c r="J996" s="5"/>
      <c r="AF996" t="s">
        <v>7208</v>
      </c>
      <c r="AG996" s="24" t="s">
        <v>6230</v>
      </c>
      <c r="AH996" s="5" t="s">
        <v>7208</v>
      </c>
      <c r="AI996" s="5">
        <v>18444.691500000001</v>
      </c>
      <c r="AJ996" s="5">
        <v>18444.691500000001</v>
      </c>
      <c r="AK996">
        <v>17130.680199999999</v>
      </c>
      <c r="AL996" s="5" t="str">
        <f t="shared" si="32"/>
        <v>Муниципальное образование Алапаевское</v>
      </c>
    </row>
    <row r="997" spans="1:38" ht="15" customHeight="1" x14ac:dyDescent="0.25">
      <c r="A997" s="3" t="s">
        <v>1461</v>
      </c>
      <c r="B997" s="3" t="s">
        <v>1637</v>
      </c>
      <c r="C997" s="5">
        <v>59368.686099999999</v>
      </c>
      <c r="D997" s="5">
        <v>59368.686099999999</v>
      </c>
      <c r="E997" s="5">
        <v>53759.401700000002</v>
      </c>
      <c r="F997" t="s">
        <v>7249</v>
      </c>
      <c r="G997" s="5" t="str">
        <f t="shared" si="31"/>
        <v>Старая сортировка</v>
      </c>
      <c r="J997" s="5"/>
      <c r="AF997" t="s">
        <v>7208</v>
      </c>
      <c r="AG997" s="24" t="s">
        <v>6231</v>
      </c>
      <c r="AH997" s="5" t="s">
        <v>7208</v>
      </c>
      <c r="AI997" s="5">
        <v>18906.7042</v>
      </c>
      <c r="AJ997" s="5">
        <v>18906.7042</v>
      </c>
      <c r="AK997">
        <v>17559.776099999999</v>
      </c>
      <c r="AL997" s="5" t="str">
        <f t="shared" si="32"/>
        <v>Муниципальное образование Алапаевское</v>
      </c>
    </row>
    <row r="998" spans="1:38" ht="15" customHeight="1" x14ac:dyDescent="0.25">
      <c r="A998" s="3" t="s">
        <v>1463</v>
      </c>
      <c r="B998" s="3" t="s">
        <v>1645</v>
      </c>
      <c r="C998" s="5">
        <v>60958.294800000003</v>
      </c>
      <c r="D998" s="5">
        <v>60958.294800000003</v>
      </c>
      <c r="E998" s="5">
        <v>55198.825199999999</v>
      </c>
      <c r="F998" t="s">
        <v>7249</v>
      </c>
      <c r="G998" s="5" t="str">
        <f t="shared" si="31"/>
        <v>ЕЛИЗАВЕТ</v>
      </c>
      <c r="J998" s="5"/>
      <c r="AF998" t="s">
        <v>7208</v>
      </c>
      <c r="AG998" s="24" t="s">
        <v>6232</v>
      </c>
      <c r="AH998" s="5" t="s">
        <v>7208</v>
      </c>
      <c r="AI998" s="5">
        <v>18444.691500000001</v>
      </c>
      <c r="AJ998" s="5">
        <v>18444.691500000001</v>
      </c>
      <c r="AK998">
        <v>17130.680199999999</v>
      </c>
      <c r="AL998" s="5" t="str">
        <f t="shared" si="32"/>
        <v>Муниципальное образование Алапаевское</v>
      </c>
    </row>
    <row r="999" spans="1:38" ht="15" customHeight="1" x14ac:dyDescent="0.25">
      <c r="A999" s="3" t="s">
        <v>1464</v>
      </c>
      <c r="B999" s="3" t="s">
        <v>1637</v>
      </c>
      <c r="C999" s="5">
        <v>59368.686099999999</v>
      </c>
      <c r="D999" s="5">
        <v>59368.686099999999</v>
      </c>
      <c r="E999" s="5">
        <v>53759.401700000002</v>
      </c>
      <c r="F999" t="s">
        <v>7249</v>
      </c>
      <c r="G999" s="5" t="str">
        <f t="shared" si="31"/>
        <v>Старая сортировка</v>
      </c>
      <c r="J999" s="5"/>
      <c r="AF999" t="s">
        <v>7208</v>
      </c>
      <c r="AG999" s="24" t="s">
        <v>6233</v>
      </c>
      <c r="AH999" s="5" t="s">
        <v>7208</v>
      </c>
      <c r="AI999" s="5">
        <v>18444.691500000001</v>
      </c>
      <c r="AJ999" s="5">
        <v>18444.691500000001</v>
      </c>
      <c r="AK999">
        <v>17130.680199999999</v>
      </c>
      <c r="AL999" s="5" t="str">
        <f t="shared" si="32"/>
        <v>Муниципальное образование Алапаевское</v>
      </c>
    </row>
    <row r="1000" spans="1:38" ht="15" customHeight="1" x14ac:dyDescent="0.25">
      <c r="A1000" s="3" t="s">
        <v>1465</v>
      </c>
      <c r="B1000" s="3" t="s">
        <v>209</v>
      </c>
      <c r="C1000" s="5">
        <v>69382.512499999997</v>
      </c>
      <c r="D1000" s="5">
        <v>69382.512499999997</v>
      </c>
      <c r="E1000" s="5">
        <v>62827.103199999998</v>
      </c>
      <c r="F1000" t="s">
        <v>7249</v>
      </c>
      <c r="G1000" s="5" t="str">
        <f t="shared" si="31"/>
        <v>ЖБИ</v>
      </c>
      <c r="J1000" s="5"/>
      <c r="AF1000" t="s">
        <v>7208</v>
      </c>
      <c r="AG1000" s="24" t="s">
        <v>6234</v>
      </c>
      <c r="AH1000" s="5" t="s">
        <v>7208</v>
      </c>
      <c r="AI1000" s="5">
        <v>18444.691500000001</v>
      </c>
      <c r="AJ1000" s="5">
        <v>18444.691500000001</v>
      </c>
      <c r="AK1000">
        <v>17130.680199999999</v>
      </c>
      <c r="AL1000" s="5" t="str">
        <f t="shared" si="32"/>
        <v>Муниципальное образование Алапаевское</v>
      </c>
    </row>
    <row r="1001" spans="1:38" ht="15" customHeight="1" x14ac:dyDescent="0.25">
      <c r="A1001" s="3" t="s">
        <v>1467</v>
      </c>
      <c r="B1001" s="3" t="s">
        <v>1631</v>
      </c>
      <c r="C1001" s="5">
        <v>70026.7601</v>
      </c>
      <c r="D1001" s="5">
        <v>70026.7601</v>
      </c>
      <c r="E1001" s="5">
        <v>63410.482000000004</v>
      </c>
      <c r="F1001" t="s">
        <v>7249</v>
      </c>
      <c r="G1001" s="5" t="str">
        <f t="shared" si="31"/>
        <v>УРАЛМАШ</v>
      </c>
      <c r="J1001" s="5"/>
      <c r="AF1001" t="s">
        <v>7208</v>
      </c>
      <c r="AG1001" s="24" t="s">
        <v>6235</v>
      </c>
      <c r="AH1001" s="5" t="s">
        <v>7208</v>
      </c>
      <c r="AI1001" s="5">
        <v>18444.691500000001</v>
      </c>
      <c r="AJ1001" s="5">
        <v>18444.691500000001</v>
      </c>
      <c r="AK1001">
        <v>17130.680199999999</v>
      </c>
      <c r="AL1001" s="5" t="str">
        <f t="shared" si="32"/>
        <v>Муниципальное образование Алапаевское</v>
      </c>
    </row>
    <row r="1002" spans="1:38" ht="15" customHeight="1" x14ac:dyDescent="0.25">
      <c r="A1002" s="3" t="s">
        <v>1468</v>
      </c>
      <c r="B1002" s="3" t="s">
        <v>1629</v>
      </c>
      <c r="C1002" s="5">
        <v>77743.704100000003</v>
      </c>
      <c r="D1002" s="5">
        <v>77743.704100000003</v>
      </c>
      <c r="E1002" s="5">
        <v>70398.310800000007</v>
      </c>
      <c r="F1002" t="s">
        <v>7249</v>
      </c>
      <c r="G1002" s="5" t="str">
        <f t="shared" si="31"/>
        <v>ПИОНЕРСКИЙ</v>
      </c>
      <c r="J1002" s="5"/>
      <c r="AF1002" t="s">
        <v>7208</v>
      </c>
      <c r="AG1002" s="24" t="s">
        <v>6236</v>
      </c>
      <c r="AH1002" s="5" t="s">
        <v>7208</v>
      </c>
      <c r="AI1002" s="5">
        <v>22788.8393</v>
      </c>
      <c r="AJ1002" s="5">
        <v>22788.8393</v>
      </c>
      <c r="AK1002">
        <v>21165.353899999998</v>
      </c>
      <c r="AL1002" s="5" t="str">
        <f t="shared" si="32"/>
        <v>Муниципальное образование Алапаевское</v>
      </c>
    </row>
    <row r="1003" spans="1:38" ht="15" customHeight="1" x14ac:dyDescent="0.25">
      <c r="A1003" s="3" t="s">
        <v>1470</v>
      </c>
      <c r="B1003" s="3" t="s">
        <v>66</v>
      </c>
      <c r="C1003" s="5">
        <v>64795.756300000001</v>
      </c>
      <c r="D1003" s="5">
        <v>64795.756300000001</v>
      </c>
      <c r="E1003" s="5">
        <v>58673.716200000003</v>
      </c>
      <c r="F1003" t="s">
        <v>7249</v>
      </c>
      <c r="G1003" s="5" t="str">
        <f t="shared" si="31"/>
        <v>УНЦ</v>
      </c>
      <c r="J1003" s="5"/>
      <c r="AF1003" t="s">
        <v>7208</v>
      </c>
      <c r="AG1003" s="24" t="s">
        <v>6237</v>
      </c>
      <c r="AH1003" s="5" t="s">
        <v>7208</v>
      </c>
      <c r="AI1003" s="5">
        <v>18444.691500000001</v>
      </c>
      <c r="AJ1003" s="5">
        <v>18444.691500000001</v>
      </c>
      <c r="AK1003">
        <v>17130.680199999999</v>
      </c>
      <c r="AL1003" s="5" t="str">
        <f t="shared" si="32"/>
        <v>Муниципальное образование Алапаевское</v>
      </c>
    </row>
    <row r="1004" spans="1:38" ht="15" customHeight="1" x14ac:dyDescent="0.25">
      <c r="A1004" s="3" t="s">
        <v>1471</v>
      </c>
      <c r="B1004" s="3" t="s">
        <v>1651</v>
      </c>
      <c r="C1004" s="5">
        <v>68129.029500000004</v>
      </c>
      <c r="D1004" s="5">
        <v>68129.029500000004</v>
      </c>
      <c r="E1004" s="5">
        <v>61692.054799999998</v>
      </c>
      <c r="F1004" t="s">
        <v>7249</v>
      </c>
      <c r="G1004" s="5" t="str">
        <f t="shared" si="31"/>
        <v>ШАРТАШ</v>
      </c>
      <c r="J1004" s="5"/>
      <c r="AF1004" t="s">
        <v>7208</v>
      </c>
      <c r="AG1004" s="24" t="s">
        <v>6238</v>
      </c>
      <c r="AH1004" s="5" t="s">
        <v>7208</v>
      </c>
      <c r="AI1004" s="5">
        <v>18444.691500000001</v>
      </c>
      <c r="AJ1004" s="5">
        <v>18444.691500000001</v>
      </c>
      <c r="AK1004">
        <v>17130.680199999999</v>
      </c>
      <c r="AL1004" s="5" t="str">
        <f t="shared" si="32"/>
        <v>Муниципальное образование Алапаевское</v>
      </c>
    </row>
    <row r="1005" spans="1:38" ht="15" customHeight="1" x14ac:dyDescent="0.25">
      <c r="A1005" s="3" t="s">
        <v>1472</v>
      </c>
      <c r="B1005" s="3" t="s">
        <v>209</v>
      </c>
      <c r="C1005" s="5">
        <v>69382.512499999997</v>
      </c>
      <c r="D1005" s="5">
        <v>69382.512499999997</v>
      </c>
      <c r="E1005" s="5">
        <v>62827.103199999998</v>
      </c>
      <c r="F1005" t="s">
        <v>7249</v>
      </c>
      <c r="G1005" s="5" t="str">
        <f t="shared" si="31"/>
        <v>ЖБИ</v>
      </c>
      <c r="J1005" s="5"/>
      <c r="AF1005" t="s">
        <v>7208</v>
      </c>
      <c r="AG1005" s="24" t="s">
        <v>6239</v>
      </c>
      <c r="AH1005" s="5" t="s">
        <v>7208</v>
      </c>
      <c r="AI1005" s="5">
        <v>18444.691500000001</v>
      </c>
      <c r="AJ1005" s="5">
        <v>18444.691500000001</v>
      </c>
      <c r="AK1005">
        <v>17130.680199999999</v>
      </c>
      <c r="AL1005" s="5" t="str">
        <f t="shared" si="32"/>
        <v>Муниципальное образование Алапаевское</v>
      </c>
    </row>
    <row r="1006" spans="1:38" ht="15" customHeight="1" x14ac:dyDescent="0.25">
      <c r="A1006" s="3" t="s">
        <v>1477</v>
      </c>
      <c r="B1006" s="3" t="s">
        <v>1654</v>
      </c>
      <c r="C1006" s="5">
        <v>56140.449699999997</v>
      </c>
      <c r="D1006" s="5">
        <v>56140.449699999997</v>
      </c>
      <c r="E1006" s="5">
        <v>50836.1803</v>
      </c>
      <c r="F1006" t="s">
        <v>7249</v>
      </c>
      <c r="G1006" s="5" t="str">
        <f t="shared" si="31"/>
        <v>ЗАВОКЗАЛЬНЫЙ</v>
      </c>
      <c r="J1006" s="5"/>
      <c r="AF1006" t="s">
        <v>7208</v>
      </c>
      <c r="AG1006" s="24" t="s">
        <v>6240</v>
      </c>
      <c r="AH1006" s="5" t="s">
        <v>7208</v>
      </c>
      <c r="AI1006" s="5">
        <v>18444.691500000001</v>
      </c>
      <c r="AJ1006" s="5">
        <v>18444.691500000001</v>
      </c>
      <c r="AK1006">
        <v>17130.680199999999</v>
      </c>
      <c r="AL1006" s="5" t="str">
        <f t="shared" si="32"/>
        <v>Муниципальное образование Алапаевское</v>
      </c>
    </row>
    <row r="1007" spans="1:38" ht="15" customHeight="1" x14ac:dyDescent="0.25">
      <c r="A1007" s="3" t="s">
        <v>1478</v>
      </c>
      <c r="B1007" s="3" t="s">
        <v>1630</v>
      </c>
      <c r="C1007" s="5">
        <v>62652.9401</v>
      </c>
      <c r="D1007" s="5">
        <v>62652.9401</v>
      </c>
      <c r="E1007" s="5">
        <v>56733.3557</v>
      </c>
      <c r="F1007" t="s">
        <v>7249</v>
      </c>
      <c r="G1007" s="5" t="str">
        <f t="shared" si="31"/>
        <v>ЧЕРМЕТ</v>
      </c>
      <c r="J1007" s="5"/>
      <c r="AF1007" t="s">
        <v>7208</v>
      </c>
      <c r="AG1007" s="24" t="s">
        <v>6241</v>
      </c>
      <c r="AH1007" s="5" t="s">
        <v>7208</v>
      </c>
      <c r="AI1007" s="5">
        <v>18444.691500000001</v>
      </c>
      <c r="AJ1007" s="5">
        <v>18444.691500000001</v>
      </c>
      <c r="AK1007">
        <v>17130.680199999999</v>
      </c>
      <c r="AL1007" s="5" t="str">
        <f t="shared" si="32"/>
        <v>Муниципальное образование Алапаевское</v>
      </c>
    </row>
    <row r="1008" spans="1:38" ht="15" customHeight="1" x14ac:dyDescent="0.25">
      <c r="A1008" s="3" t="s">
        <v>1480</v>
      </c>
      <c r="B1008" s="3" t="s">
        <v>1664</v>
      </c>
      <c r="C1008" s="5">
        <v>53668.506099999999</v>
      </c>
      <c r="D1008" s="5">
        <v>53668.506099999999</v>
      </c>
      <c r="E1008" s="5">
        <v>48597.792699999998</v>
      </c>
      <c r="F1008" t="s">
        <v>7249</v>
      </c>
      <c r="G1008" s="5" t="str">
        <f t="shared" si="31"/>
        <v>ИЗОПЛИТ</v>
      </c>
      <c r="J1008" s="5"/>
      <c r="AF1008" t="s">
        <v>7208</v>
      </c>
      <c r="AG1008" s="24" t="s">
        <v>6242</v>
      </c>
      <c r="AH1008" s="5" t="s">
        <v>7208</v>
      </c>
      <c r="AI1008" s="5">
        <v>18444.691500000001</v>
      </c>
      <c r="AJ1008" s="5">
        <v>18444.691500000001</v>
      </c>
      <c r="AK1008">
        <v>17130.680199999999</v>
      </c>
      <c r="AL1008" s="5" t="str">
        <f t="shared" si="32"/>
        <v>Муниципальное образование Алапаевское</v>
      </c>
    </row>
    <row r="1009" spans="1:38" ht="15" customHeight="1" x14ac:dyDescent="0.25">
      <c r="A1009" s="3" t="s">
        <v>1481</v>
      </c>
      <c r="B1009" s="3" t="s">
        <v>1633</v>
      </c>
      <c r="C1009" s="5">
        <v>77071.442599999995</v>
      </c>
      <c r="D1009" s="5">
        <v>77071.442599999995</v>
      </c>
      <c r="E1009" s="5">
        <v>69789.570900000006</v>
      </c>
      <c r="F1009" t="s">
        <v>7249</v>
      </c>
      <c r="G1009" s="5" t="str">
        <f t="shared" si="31"/>
        <v>ВТУЗГОРОДОК</v>
      </c>
      <c r="J1009" s="5"/>
      <c r="AF1009" t="s">
        <v>7208</v>
      </c>
      <c r="AG1009" s="24" t="s">
        <v>6243</v>
      </c>
      <c r="AH1009" s="5" t="s">
        <v>7208</v>
      </c>
      <c r="AI1009" s="5">
        <v>18444.691500000001</v>
      </c>
      <c r="AJ1009" s="5">
        <v>18444.691500000001</v>
      </c>
      <c r="AK1009">
        <v>17130.680199999999</v>
      </c>
      <c r="AL1009" s="5" t="str">
        <f t="shared" si="32"/>
        <v>Муниципальное образование Алапаевское</v>
      </c>
    </row>
    <row r="1010" spans="1:38" ht="15" customHeight="1" x14ac:dyDescent="0.25">
      <c r="A1010" s="3" t="s">
        <v>1483</v>
      </c>
      <c r="B1010" s="3" t="s">
        <v>1647</v>
      </c>
      <c r="C1010" s="5">
        <v>63178.133800000003</v>
      </c>
      <c r="D1010" s="5">
        <v>63178.133800000003</v>
      </c>
      <c r="E1010" s="5">
        <v>57208.931499999999</v>
      </c>
      <c r="F1010" t="s">
        <v>7249</v>
      </c>
      <c r="G1010" s="5" t="str">
        <f t="shared" si="31"/>
        <v>ШИРОКАЯ РЕЧКА</v>
      </c>
      <c r="J1010" s="5"/>
      <c r="AF1010" t="s">
        <v>7208</v>
      </c>
      <c r="AG1010" s="24" t="s">
        <v>6244</v>
      </c>
      <c r="AH1010" s="5" t="s">
        <v>7208</v>
      </c>
      <c r="AI1010" s="5">
        <v>18444.691500000001</v>
      </c>
      <c r="AJ1010" s="5">
        <v>18444.691500000001</v>
      </c>
      <c r="AK1010">
        <v>17130.680199999999</v>
      </c>
      <c r="AL1010" s="5" t="str">
        <f t="shared" si="32"/>
        <v>Муниципальное образование Алапаевское</v>
      </c>
    </row>
    <row r="1011" spans="1:38" ht="15" customHeight="1" x14ac:dyDescent="0.25">
      <c r="A1011" s="3" t="s">
        <v>1484</v>
      </c>
      <c r="B1011" s="3" t="s">
        <v>1657</v>
      </c>
      <c r="C1011" s="5">
        <v>54886.9666</v>
      </c>
      <c r="D1011" s="5">
        <v>54886.9666</v>
      </c>
      <c r="E1011" s="5">
        <v>49701.1319</v>
      </c>
      <c r="F1011" t="s">
        <v>7249</v>
      </c>
      <c r="G1011" s="5" t="str">
        <f t="shared" si="31"/>
        <v>КОЛЬЦОВО</v>
      </c>
      <c r="J1011" s="5"/>
      <c r="AF1011" t="s">
        <v>7208</v>
      </c>
      <c r="AG1011" s="24" t="s">
        <v>6245</v>
      </c>
      <c r="AH1011" s="5" t="s">
        <v>7208</v>
      </c>
      <c r="AI1011" s="5">
        <v>18444.691500000001</v>
      </c>
      <c r="AJ1011" s="5">
        <v>18444.691500000001</v>
      </c>
      <c r="AK1011">
        <v>17130.680199999999</v>
      </c>
      <c r="AL1011" s="5" t="str">
        <f t="shared" si="32"/>
        <v>Муниципальное образование Алапаевское</v>
      </c>
    </row>
    <row r="1012" spans="1:38" ht="15" customHeight="1" x14ac:dyDescent="0.25">
      <c r="A1012" s="3" t="s">
        <v>1485</v>
      </c>
      <c r="B1012" s="3" t="s">
        <v>1651</v>
      </c>
      <c r="C1012" s="5">
        <v>68129.029500000004</v>
      </c>
      <c r="D1012" s="5">
        <v>68129.029500000004</v>
      </c>
      <c r="E1012" s="5">
        <v>61692.054799999998</v>
      </c>
      <c r="F1012" t="s">
        <v>7249</v>
      </c>
      <c r="G1012" s="5" t="str">
        <f t="shared" si="31"/>
        <v>ШАРТАШ</v>
      </c>
      <c r="J1012" s="5"/>
      <c r="AF1012" t="s">
        <v>7208</v>
      </c>
      <c r="AG1012" s="24" t="s">
        <v>6246</v>
      </c>
      <c r="AH1012" s="5" t="s">
        <v>7208</v>
      </c>
      <c r="AI1012" s="5">
        <v>18444.691500000001</v>
      </c>
      <c r="AJ1012" s="5">
        <v>18444.691500000001</v>
      </c>
      <c r="AK1012">
        <v>17130.680199999999</v>
      </c>
      <c r="AL1012" s="5" t="str">
        <f t="shared" si="32"/>
        <v>Муниципальное образование Алапаевское</v>
      </c>
    </row>
    <row r="1013" spans="1:38" ht="15" customHeight="1" x14ac:dyDescent="0.25">
      <c r="A1013" s="3" t="s">
        <v>1490</v>
      </c>
      <c r="B1013" s="3" t="s">
        <v>1656</v>
      </c>
      <c r="C1013" s="5">
        <v>60173.9879</v>
      </c>
      <c r="D1013" s="5">
        <v>60173.9879</v>
      </c>
      <c r="E1013" s="5">
        <v>54488.630299999997</v>
      </c>
      <c r="F1013" t="s">
        <v>7249</v>
      </c>
      <c r="G1013" s="5" t="str">
        <f t="shared" si="31"/>
        <v>МАЛЫЙ ИСТОК</v>
      </c>
      <c r="J1013" s="5"/>
      <c r="AF1013" t="s">
        <v>7208</v>
      </c>
      <c r="AG1013" s="24" t="s">
        <v>6247</v>
      </c>
      <c r="AH1013" s="5" t="s">
        <v>7208</v>
      </c>
      <c r="AI1013" s="5">
        <v>18444.691500000001</v>
      </c>
      <c r="AJ1013" s="5">
        <v>18444.691500000001</v>
      </c>
      <c r="AK1013">
        <v>17130.680199999999</v>
      </c>
      <c r="AL1013" s="5" t="str">
        <f t="shared" si="32"/>
        <v>Муниципальное образование Алапаевское</v>
      </c>
    </row>
    <row r="1014" spans="1:38" ht="15" customHeight="1" x14ac:dyDescent="0.25">
      <c r="A1014" s="3" t="s">
        <v>1491</v>
      </c>
      <c r="B1014" s="3" t="s">
        <v>1637</v>
      </c>
      <c r="C1014" s="5">
        <v>59368.686099999999</v>
      </c>
      <c r="D1014" s="5">
        <v>59368.686099999999</v>
      </c>
      <c r="E1014" s="5">
        <v>53759.401700000002</v>
      </c>
      <c r="F1014" t="s">
        <v>7249</v>
      </c>
      <c r="G1014" s="5" t="str">
        <f t="shared" si="31"/>
        <v>Старая сортировка</v>
      </c>
      <c r="J1014" s="5"/>
      <c r="AF1014" t="s">
        <v>7208</v>
      </c>
      <c r="AG1014" s="24" t="s">
        <v>6248</v>
      </c>
      <c r="AH1014" s="5" t="s">
        <v>7208</v>
      </c>
      <c r="AI1014" s="5">
        <v>18444.691500000001</v>
      </c>
      <c r="AJ1014" s="5">
        <v>18444.691500000001</v>
      </c>
      <c r="AK1014">
        <v>17130.680199999999</v>
      </c>
      <c r="AL1014" s="5" t="str">
        <f t="shared" si="32"/>
        <v>Муниципальное образование Алапаевское</v>
      </c>
    </row>
    <row r="1015" spans="1:38" ht="15" customHeight="1" x14ac:dyDescent="0.25">
      <c r="A1015" s="3" t="s">
        <v>1492</v>
      </c>
      <c r="B1015" s="3" t="s">
        <v>1643</v>
      </c>
      <c r="C1015" s="5">
        <v>76630.280299999999</v>
      </c>
      <c r="D1015" s="5">
        <v>76630.280299999999</v>
      </c>
      <c r="E1015" s="5">
        <v>69390.088799999998</v>
      </c>
      <c r="F1015" t="s">
        <v>7249</v>
      </c>
      <c r="G1015" s="5" t="str">
        <f t="shared" si="31"/>
        <v>Ю-З</v>
      </c>
      <c r="J1015" s="5"/>
      <c r="AF1015" t="s">
        <v>7208</v>
      </c>
      <c r="AG1015" s="24" t="s">
        <v>6249</v>
      </c>
      <c r="AH1015" s="5" t="s">
        <v>7208</v>
      </c>
      <c r="AI1015" s="5">
        <v>18444.691500000001</v>
      </c>
      <c r="AJ1015" s="5">
        <v>18444.691500000001</v>
      </c>
      <c r="AK1015">
        <v>17130.680199999999</v>
      </c>
      <c r="AL1015" s="5" t="str">
        <f t="shared" si="32"/>
        <v>Муниципальное образование Алапаевское</v>
      </c>
    </row>
    <row r="1016" spans="1:38" ht="15" customHeight="1" x14ac:dyDescent="0.25">
      <c r="A1016" s="3" t="s">
        <v>1496</v>
      </c>
      <c r="B1016" s="3" t="s">
        <v>66</v>
      </c>
      <c r="C1016" s="5">
        <v>64795.756300000001</v>
      </c>
      <c r="D1016" s="5">
        <v>64795.756300000001</v>
      </c>
      <c r="E1016" s="5">
        <v>58673.716200000003</v>
      </c>
      <c r="F1016" t="s">
        <v>7249</v>
      </c>
      <c r="G1016" s="5" t="str">
        <f t="shared" si="31"/>
        <v>УНЦ</v>
      </c>
      <c r="J1016" s="5"/>
      <c r="AF1016" t="s">
        <v>7208</v>
      </c>
      <c r="AG1016" s="24" t="s">
        <v>6250</v>
      </c>
      <c r="AH1016" s="5" t="s">
        <v>7208</v>
      </c>
      <c r="AI1016" s="5">
        <v>18444.691500000001</v>
      </c>
      <c r="AJ1016" s="5">
        <v>18444.691500000001</v>
      </c>
      <c r="AK1016">
        <v>17130.680199999999</v>
      </c>
      <c r="AL1016" s="5" t="str">
        <f t="shared" si="32"/>
        <v>Муниципальное образование Алапаевское</v>
      </c>
    </row>
    <row r="1017" spans="1:38" ht="15" customHeight="1" x14ac:dyDescent="0.25">
      <c r="A1017" s="3" t="s">
        <v>1497</v>
      </c>
      <c r="B1017" s="3" t="s">
        <v>1627</v>
      </c>
      <c r="C1017" s="5">
        <v>56392.543899999997</v>
      </c>
      <c r="D1017" s="5">
        <v>56392.543899999997</v>
      </c>
      <c r="E1017" s="5">
        <v>51064.4617</v>
      </c>
      <c r="F1017" t="s">
        <v>7249</v>
      </c>
      <c r="G1017" s="5" t="str">
        <f t="shared" si="31"/>
        <v>КОМПРЕССОРНЫЙ</v>
      </c>
      <c r="J1017" s="5"/>
      <c r="AF1017" t="s">
        <v>7208</v>
      </c>
      <c r="AG1017" s="24" t="s">
        <v>6251</v>
      </c>
      <c r="AH1017" s="5" t="s">
        <v>7208</v>
      </c>
      <c r="AI1017" s="5">
        <v>18906.7042</v>
      </c>
      <c r="AJ1017" s="5">
        <v>18906.7042</v>
      </c>
      <c r="AK1017">
        <v>17559.776099999999</v>
      </c>
      <c r="AL1017" s="5" t="str">
        <f t="shared" si="32"/>
        <v>Муниципальное образование Алапаевское</v>
      </c>
    </row>
    <row r="1018" spans="1:38" ht="15" customHeight="1" x14ac:dyDescent="0.25">
      <c r="A1018" s="3" t="s">
        <v>1498</v>
      </c>
      <c r="B1018" s="3" t="s">
        <v>1627</v>
      </c>
      <c r="C1018" s="5">
        <v>56392.543899999997</v>
      </c>
      <c r="D1018" s="5">
        <v>56392.543899999997</v>
      </c>
      <c r="E1018" s="5">
        <v>51064.4617</v>
      </c>
      <c r="F1018" t="s">
        <v>7249</v>
      </c>
      <c r="G1018" s="5" t="str">
        <f t="shared" si="31"/>
        <v>КОМПРЕССОРНЫЙ</v>
      </c>
      <c r="J1018" s="5"/>
      <c r="AF1018" t="s">
        <v>7208</v>
      </c>
      <c r="AG1018" s="24" t="s">
        <v>6252</v>
      </c>
      <c r="AH1018" s="5" t="s">
        <v>7208</v>
      </c>
      <c r="AI1018" s="5">
        <v>18444.691500000001</v>
      </c>
      <c r="AJ1018" s="5">
        <v>18444.691500000001</v>
      </c>
      <c r="AK1018">
        <v>17130.680199999999</v>
      </c>
      <c r="AL1018" s="5" t="str">
        <f t="shared" si="32"/>
        <v>Муниципальное образование Алапаевское</v>
      </c>
    </row>
    <row r="1019" spans="1:38" ht="15" customHeight="1" x14ac:dyDescent="0.25">
      <c r="A1019" s="3" t="s">
        <v>1500</v>
      </c>
      <c r="B1019" s="3" t="s">
        <v>1636</v>
      </c>
      <c r="C1019" s="5">
        <v>52246.960299999999</v>
      </c>
      <c r="D1019" s="5">
        <v>52246.960299999999</v>
      </c>
      <c r="E1019" s="5">
        <v>47310.556700000001</v>
      </c>
      <c r="F1019" t="s">
        <v>7249</v>
      </c>
      <c r="G1019" s="5" t="str">
        <f t="shared" si="31"/>
        <v>ГОРНЫЙ ЩИТ</v>
      </c>
      <c r="J1019" s="5"/>
      <c r="AF1019" t="s">
        <v>7208</v>
      </c>
      <c r="AG1019" s="24" t="s">
        <v>6253</v>
      </c>
      <c r="AH1019" s="5" t="s">
        <v>7208</v>
      </c>
      <c r="AI1019" s="5">
        <v>18444.691500000001</v>
      </c>
      <c r="AJ1019" s="5">
        <v>18444.691500000001</v>
      </c>
      <c r="AK1019">
        <v>17130.680199999999</v>
      </c>
      <c r="AL1019" s="5" t="str">
        <f t="shared" si="32"/>
        <v>Муниципальное образование Алапаевское</v>
      </c>
    </row>
    <row r="1020" spans="1:38" ht="15" customHeight="1" x14ac:dyDescent="0.25">
      <c r="A1020" s="3" t="s">
        <v>1501</v>
      </c>
      <c r="B1020" s="3" t="s">
        <v>1632</v>
      </c>
      <c r="C1020" s="5">
        <v>83744.997499999998</v>
      </c>
      <c r="D1020" s="5">
        <v>83744.997499999998</v>
      </c>
      <c r="E1020" s="5">
        <v>75832.596099999995</v>
      </c>
      <c r="F1020" t="s">
        <v>7249</v>
      </c>
      <c r="G1020" s="5" t="str">
        <f t="shared" si="31"/>
        <v>АВТОВОКЗАЛ</v>
      </c>
      <c r="J1020" s="5"/>
      <c r="AF1020" t="s">
        <v>7208</v>
      </c>
      <c r="AG1020" s="24" t="s">
        <v>6254</v>
      </c>
      <c r="AH1020" s="5" t="s">
        <v>7208</v>
      </c>
      <c r="AI1020" s="5">
        <v>18444.691500000001</v>
      </c>
      <c r="AJ1020" s="5">
        <v>18444.691500000001</v>
      </c>
      <c r="AK1020">
        <v>17130.680199999999</v>
      </c>
      <c r="AL1020" s="5" t="str">
        <f t="shared" si="32"/>
        <v>Муниципальное образование Алапаевское</v>
      </c>
    </row>
    <row r="1021" spans="1:38" ht="15" customHeight="1" x14ac:dyDescent="0.25">
      <c r="A1021" s="3" t="s">
        <v>1502</v>
      </c>
      <c r="B1021" s="3" t="s">
        <v>1643</v>
      </c>
      <c r="C1021" s="5">
        <v>76630.280299999999</v>
      </c>
      <c r="D1021" s="5">
        <v>76630.280299999999</v>
      </c>
      <c r="E1021" s="5">
        <v>69390.088799999998</v>
      </c>
      <c r="F1021" t="s">
        <v>7249</v>
      </c>
      <c r="G1021" s="5" t="str">
        <f t="shared" si="31"/>
        <v>Ю-З</v>
      </c>
      <c r="J1021" s="5"/>
      <c r="AF1021" t="s">
        <v>7208</v>
      </c>
      <c r="AG1021" s="24" t="s">
        <v>6255</v>
      </c>
      <c r="AH1021" s="5" t="s">
        <v>7208</v>
      </c>
      <c r="AI1021" s="5">
        <v>18444.691500000001</v>
      </c>
      <c r="AJ1021" s="5">
        <v>18444.691500000001</v>
      </c>
      <c r="AK1021">
        <v>17130.680199999999</v>
      </c>
      <c r="AL1021" s="5" t="str">
        <f t="shared" si="32"/>
        <v>Муниципальное образование Алапаевское</v>
      </c>
    </row>
    <row r="1022" spans="1:38" ht="15" customHeight="1" x14ac:dyDescent="0.25">
      <c r="A1022" s="3" t="s">
        <v>1503</v>
      </c>
      <c r="B1022" s="3" t="s">
        <v>1631</v>
      </c>
      <c r="C1022" s="5">
        <v>70026.7601</v>
      </c>
      <c r="D1022" s="5">
        <v>70026.7601</v>
      </c>
      <c r="E1022" s="5">
        <v>63410.482000000004</v>
      </c>
      <c r="F1022" t="s">
        <v>7249</v>
      </c>
      <c r="G1022" s="5" t="str">
        <f t="shared" si="31"/>
        <v>УРАЛМАШ</v>
      </c>
      <c r="J1022" s="5"/>
      <c r="AF1022" t="s">
        <v>7208</v>
      </c>
      <c r="AG1022" s="24" t="s">
        <v>6256</v>
      </c>
      <c r="AH1022" s="5" t="s">
        <v>7208</v>
      </c>
      <c r="AI1022" s="5">
        <v>18444.691500000001</v>
      </c>
      <c r="AJ1022" s="5">
        <v>18444.691500000001</v>
      </c>
      <c r="AK1022">
        <v>17130.680199999999</v>
      </c>
      <c r="AL1022" s="5" t="str">
        <f t="shared" si="32"/>
        <v>Муниципальное образование Алапаевское</v>
      </c>
    </row>
    <row r="1023" spans="1:38" ht="15" customHeight="1" x14ac:dyDescent="0.25">
      <c r="A1023" s="3" t="s">
        <v>1504</v>
      </c>
      <c r="B1023" s="3" t="s">
        <v>1648</v>
      </c>
      <c r="C1023" s="5">
        <v>49782.025399999999</v>
      </c>
      <c r="D1023" s="5">
        <v>49782.025399999999</v>
      </c>
      <c r="E1023" s="5">
        <v>45078.506800000003</v>
      </c>
      <c r="F1023" t="s">
        <v>7249</v>
      </c>
      <c r="G1023" s="5" t="str">
        <f t="shared" si="31"/>
        <v>ЧУСОВСКОЕ ОЗЕРО</v>
      </c>
      <c r="J1023" s="5"/>
      <c r="AF1023" t="s">
        <v>7208</v>
      </c>
      <c r="AG1023" s="24" t="s">
        <v>6257</v>
      </c>
      <c r="AH1023" s="5" t="s">
        <v>7208</v>
      </c>
      <c r="AI1023" s="5">
        <v>18444.691500000001</v>
      </c>
      <c r="AJ1023" s="5">
        <v>18444.691500000001</v>
      </c>
      <c r="AK1023">
        <v>17130.680199999999</v>
      </c>
      <c r="AL1023" s="5" t="str">
        <f t="shared" si="32"/>
        <v>Муниципальное образование Алапаевское</v>
      </c>
    </row>
    <row r="1024" spans="1:38" ht="15" customHeight="1" x14ac:dyDescent="0.25">
      <c r="A1024" s="3" t="s">
        <v>1505</v>
      </c>
      <c r="B1024" s="3" t="s">
        <v>1635</v>
      </c>
      <c r="C1024" s="5">
        <v>57793.0844</v>
      </c>
      <c r="D1024" s="5">
        <v>57793.0844</v>
      </c>
      <c r="E1024" s="5">
        <v>52332.6639</v>
      </c>
      <c r="F1024" t="s">
        <v>7249</v>
      </c>
      <c r="G1024" s="5" t="str">
        <f t="shared" si="31"/>
        <v>ЛЕЧЕБНЫЙ</v>
      </c>
      <c r="J1024" s="5"/>
      <c r="AF1024" t="s">
        <v>7208</v>
      </c>
      <c r="AG1024" s="24" t="s">
        <v>6258</v>
      </c>
      <c r="AH1024" s="5" t="s">
        <v>7208</v>
      </c>
      <c r="AI1024" s="5">
        <v>18444.691500000001</v>
      </c>
      <c r="AJ1024" s="5">
        <v>18444.691500000001</v>
      </c>
      <c r="AK1024">
        <v>17130.680199999999</v>
      </c>
      <c r="AL1024" s="5" t="str">
        <f t="shared" si="32"/>
        <v>Муниципальное образование Алапаевское</v>
      </c>
    </row>
    <row r="1025" spans="1:38" ht="15" customHeight="1" x14ac:dyDescent="0.25">
      <c r="A1025" s="3" t="s">
        <v>1506</v>
      </c>
      <c r="B1025" s="3" t="s">
        <v>1632</v>
      </c>
      <c r="C1025" s="5">
        <v>83744.997499999998</v>
      </c>
      <c r="D1025" s="5">
        <v>83744.997499999998</v>
      </c>
      <c r="E1025" s="5">
        <v>75832.596099999995</v>
      </c>
      <c r="F1025" t="s">
        <v>7249</v>
      </c>
      <c r="G1025" s="5" t="str">
        <f t="shared" si="31"/>
        <v>АВТОВОКЗАЛ</v>
      </c>
      <c r="J1025" s="5"/>
      <c r="AF1025" t="s">
        <v>7208</v>
      </c>
      <c r="AG1025" s="24" t="s">
        <v>6259</v>
      </c>
      <c r="AH1025" s="5" t="s">
        <v>7208</v>
      </c>
      <c r="AI1025" s="5">
        <v>18444.691500000001</v>
      </c>
      <c r="AJ1025" s="5">
        <v>18444.691500000001</v>
      </c>
      <c r="AK1025">
        <v>17130.680199999999</v>
      </c>
      <c r="AL1025" s="5" t="str">
        <f t="shared" si="32"/>
        <v>Муниципальное образование Алапаевское</v>
      </c>
    </row>
    <row r="1026" spans="1:38" ht="15" customHeight="1" x14ac:dyDescent="0.25">
      <c r="A1026" s="3" t="s">
        <v>1507</v>
      </c>
      <c r="B1026" s="3" t="s">
        <v>1643</v>
      </c>
      <c r="C1026" s="5">
        <v>76630.280299999999</v>
      </c>
      <c r="D1026" s="5">
        <v>76630.280299999999</v>
      </c>
      <c r="E1026" s="5">
        <v>69390.088799999998</v>
      </c>
      <c r="F1026" t="s">
        <v>7249</v>
      </c>
      <c r="G1026" s="5" t="str">
        <f t="shared" si="31"/>
        <v>Ю-З</v>
      </c>
      <c r="J1026" s="5"/>
      <c r="AF1026" t="s">
        <v>7208</v>
      </c>
      <c r="AG1026" s="24" t="s">
        <v>6260</v>
      </c>
      <c r="AH1026" s="5" t="s">
        <v>7208</v>
      </c>
      <c r="AI1026" s="5">
        <v>18906.7042</v>
      </c>
      <c r="AJ1026" s="5">
        <v>18906.7042</v>
      </c>
      <c r="AK1026">
        <v>17559.776099999999</v>
      </c>
      <c r="AL1026" s="5" t="str">
        <f t="shared" si="32"/>
        <v>Муниципальное образование Алапаевское</v>
      </c>
    </row>
    <row r="1027" spans="1:38" ht="15" customHeight="1" x14ac:dyDescent="0.25">
      <c r="A1027" s="3" t="s">
        <v>1508</v>
      </c>
      <c r="B1027" s="3" t="s">
        <v>33</v>
      </c>
      <c r="C1027" s="5">
        <v>84298.205100000006</v>
      </c>
      <c r="D1027" s="5">
        <v>84298.205100000006</v>
      </c>
      <c r="E1027" s="5">
        <v>76333.533100000001</v>
      </c>
      <c r="F1027" t="s">
        <v>7249</v>
      </c>
      <c r="G1027" s="5" t="str">
        <f t="shared" si="31"/>
        <v>ВИЗ</v>
      </c>
      <c r="J1027" s="5"/>
      <c r="AF1027" t="s">
        <v>7208</v>
      </c>
      <c r="AG1027" s="24" t="s">
        <v>6261</v>
      </c>
      <c r="AH1027" s="5" t="s">
        <v>7208</v>
      </c>
      <c r="AI1027" s="5">
        <v>18444.691500000001</v>
      </c>
      <c r="AJ1027" s="5">
        <v>18444.691500000001</v>
      </c>
      <c r="AK1027">
        <v>17130.680199999999</v>
      </c>
      <c r="AL1027" s="5" t="str">
        <f t="shared" si="32"/>
        <v>Муниципальное образование Алапаевское</v>
      </c>
    </row>
    <row r="1028" spans="1:38" ht="15" customHeight="1" x14ac:dyDescent="0.25">
      <c r="A1028" s="3" t="s">
        <v>1509</v>
      </c>
      <c r="B1028" s="3" t="s">
        <v>1631</v>
      </c>
      <c r="C1028" s="5">
        <v>70026.7601</v>
      </c>
      <c r="D1028" s="5">
        <v>70026.7601</v>
      </c>
      <c r="E1028" s="5">
        <v>63410.482000000004</v>
      </c>
      <c r="F1028" t="s">
        <v>7249</v>
      </c>
      <c r="G1028" s="5" t="str">
        <f t="shared" ref="G1028:G1091" si="33">B1028</f>
        <v>УРАЛМАШ</v>
      </c>
      <c r="J1028" s="5"/>
      <c r="AF1028" t="s">
        <v>7208</v>
      </c>
      <c r="AG1028" s="24" t="s">
        <v>6262</v>
      </c>
      <c r="AH1028" s="5" t="s">
        <v>7208</v>
      </c>
      <c r="AI1028" s="5">
        <v>18906.7042</v>
      </c>
      <c r="AJ1028" s="5">
        <v>18906.7042</v>
      </c>
      <c r="AK1028">
        <v>17559.776099999999</v>
      </c>
      <c r="AL1028" s="5" t="str">
        <f t="shared" ref="AL1028:AL1091" si="34">AF1028</f>
        <v>Муниципальное образование Алапаевское</v>
      </c>
    </row>
    <row r="1029" spans="1:38" ht="15" customHeight="1" x14ac:dyDescent="0.25">
      <c r="A1029" s="3" t="s">
        <v>1510</v>
      </c>
      <c r="B1029" s="3" t="s">
        <v>1651</v>
      </c>
      <c r="C1029" s="5">
        <v>68129.029500000004</v>
      </c>
      <c r="D1029" s="5">
        <v>68129.029500000004</v>
      </c>
      <c r="E1029" s="5">
        <v>61692.054799999998</v>
      </c>
      <c r="F1029" t="s">
        <v>7249</v>
      </c>
      <c r="G1029" s="5" t="str">
        <f t="shared" si="33"/>
        <v>ШАРТАШ</v>
      </c>
      <c r="J1029" s="5"/>
      <c r="AF1029" t="s">
        <v>7208</v>
      </c>
      <c r="AG1029" s="24" t="s">
        <v>6263</v>
      </c>
      <c r="AH1029" s="5" t="s">
        <v>7208</v>
      </c>
      <c r="AI1029" s="5">
        <v>18444.691500000001</v>
      </c>
      <c r="AJ1029" s="5">
        <v>18444.691500000001</v>
      </c>
      <c r="AK1029">
        <v>17130.680199999999</v>
      </c>
      <c r="AL1029" s="5" t="str">
        <f t="shared" si="34"/>
        <v>Муниципальное образование Алапаевское</v>
      </c>
    </row>
    <row r="1030" spans="1:38" ht="15" customHeight="1" x14ac:dyDescent="0.25">
      <c r="A1030" s="3" t="s">
        <v>1511</v>
      </c>
      <c r="B1030" s="3" t="s">
        <v>779</v>
      </c>
      <c r="C1030" s="5">
        <v>46784.877899999999</v>
      </c>
      <c r="D1030" s="5">
        <v>46784.877899999999</v>
      </c>
      <c r="E1030" s="5">
        <v>42364.543299999998</v>
      </c>
      <c r="F1030" t="s">
        <v>7249</v>
      </c>
      <c r="G1030" s="5" t="str">
        <f t="shared" si="33"/>
        <v>Нижнеисетский</v>
      </c>
      <c r="J1030" s="5"/>
      <c r="AF1030" t="s">
        <v>7208</v>
      </c>
      <c r="AG1030" s="24" t="s">
        <v>6264</v>
      </c>
      <c r="AH1030" s="5" t="s">
        <v>7208</v>
      </c>
      <c r="AI1030" s="5">
        <v>18444.691500000001</v>
      </c>
      <c r="AJ1030" s="5">
        <v>18444.691500000001</v>
      </c>
      <c r="AK1030">
        <v>17130.680199999999</v>
      </c>
      <c r="AL1030" s="5" t="str">
        <f t="shared" si="34"/>
        <v>Муниципальное образование Алапаевское</v>
      </c>
    </row>
    <row r="1031" spans="1:38" ht="15" customHeight="1" x14ac:dyDescent="0.25">
      <c r="A1031" s="3" t="s">
        <v>1512</v>
      </c>
      <c r="B1031" s="3" t="s">
        <v>1665</v>
      </c>
      <c r="C1031" s="5">
        <v>55692.278700000003</v>
      </c>
      <c r="D1031" s="5">
        <v>55692.278700000003</v>
      </c>
      <c r="E1031" s="5">
        <v>50430.350200000001</v>
      </c>
      <c r="F1031" t="s">
        <v>7249</v>
      </c>
      <c r="G1031" s="5" t="str">
        <f t="shared" si="33"/>
        <v>ПОЛЕВОДСТВО</v>
      </c>
      <c r="J1031" s="5"/>
      <c r="AF1031" t="s">
        <v>7208</v>
      </c>
      <c r="AG1031" s="24" t="s">
        <v>6265</v>
      </c>
      <c r="AH1031" s="5" t="s">
        <v>7208</v>
      </c>
      <c r="AI1031" s="5">
        <v>18444.691500000001</v>
      </c>
      <c r="AJ1031" s="5">
        <v>18444.691500000001</v>
      </c>
      <c r="AK1031">
        <v>17130.680199999999</v>
      </c>
      <c r="AL1031" s="5" t="str">
        <f t="shared" si="34"/>
        <v>Муниципальное образование Алапаевское</v>
      </c>
    </row>
    <row r="1032" spans="1:38" ht="15" customHeight="1" x14ac:dyDescent="0.25">
      <c r="A1032" s="3" t="s">
        <v>1514</v>
      </c>
      <c r="B1032" s="3" t="s">
        <v>779</v>
      </c>
      <c r="C1032" s="5">
        <v>46784.877899999999</v>
      </c>
      <c r="D1032" s="5">
        <v>46784.877899999999</v>
      </c>
      <c r="E1032" s="5">
        <v>42364.543299999998</v>
      </c>
      <c r="F1032" t="s">
        <v>7249</v>
      </c>
      <c r="G1032" s="5" t="str">
        <f t="shared" si="33"/>
        <v>Нижнеисетский</v>
      </c>
      <c r="J1032" s="5"/>
      <c r="AF1032" t="s">
        <v>7208</v>
      </c>
      <c r="AG1032" s="24" t="s">
        <v>6266</v>
      </c>
      <c r="AH1032" s="5" t="s">
        <v>7208</v>
      </c>
      <c r="AI1032" s="5">
        <v>18444.691500000001</v>
      </c>
      <c r="AJ1032" s="5">
        <v>18444.691500000001</v>
      </c>
      <c r="AK1032">
        <v>17130.680199999999</v>
      </c>
      <c r="AL1032" s="5" t="str">
        <f t="shared" si="34"/>
        <v>Муниципальное образование Алапаевское</v>
      </c>
    </row>
    <row r="1033" spans="1:38" ht="15" customHeight="1" x14ac:dyDescent="0.25">
      <c r="A1033" s="3" t="s">
        <v>1515</v>
      </c>
      <c r="B1033" s="3" t="s">
        <v>1644</v>
      </c>
      <c r="C1033" s="5">
        <v>61980.678599999999</v>
      </c>
      <c r="D1033" s="5">
        <v>61980.678599999999</v>
      </c>
      <c r="E1033" s="5">
        <v>56124.615700000002</v>
      </c>
      <c r="F1033" t="s">
        <v>7249</v>
      </c>
      <c r="G1033" s="5" t="str">
        <f t="shared" si="33"/>
        <v>ХИММАШ</v>
      </c>
      <c r="J1033" s="5"/>
      <c r="AF1033" t="s">
        <v>7208</v>
      </c>
      <c r="AG1033" s="24" t="s">
        <v>6267</v>
      </c>
      <c r="AH1033" s="5" t="s">
        <v>7208</v>
      </c>
      <c r="AI1033" s="5">
        <v>18444.691500000001</v>
      </c>
      <c r="AJ1033" s="5">
        <v>18444.691500000001</v>
      </c>
      <c r="AK1033">
        <v>17130.680199999999</v>
      </c>
      <c r="AL1033" s="5" t="str">
        <f t="shared" si="34"/>
        <v>Муниципальное образование Алапаевское</v>
      </c>
    </row>
    <row r="1034" spans="1:38" ht="15" customHeight="1" x14ac:dyDescent="0.25">
      <c r="A1034" s="3" t="s">
        <v>1516</v>
      </c>
      <c r="B1034" s="3" t="s">
        <v>1637</v>
      </c>
      <c r="C1034" s="5">
        <v>59368.686099999999</v>
      </c>
      <c r="D1034" s="5">
        <v>59368.686099999999</v>
      </c>
      <c r="E1034" s="5">
        <v>53759.401700000002</v>
      </c>
      <c r="F1034" t="s">
        <v>7249</v>
      </c>
      <c r="G1034" s="5" t="str">
        <f t="shared" si="33"/>
        <v>Старая сортировка</v>
      </c>
      <c r="J1034" s="5"/>
      <c r="AF1034" t="s">
        <v>7208</v>
      </c>
      <c r="AG1034" s="24" t="s">
        <v>6268</v>
      </c>
      <c r="AH1034" s="5" t="s">
        <v>7208</v>
      </c>
      <c r="AI1034" s="5">
        <v>18444.691500000001</v>
      </c>
      <c r="AJ1034" s="5">
        <v>18444.691500000001</v>
      </c>
      <c r="AK1034">
        <v>17130.680199999999</v>
      </c>
      <c r="AL1034" s="5" t="str">
        <f t="shared" si="34"/>
        <v>Муниципальное образование Алапаевское</v>
      </c>
    </row>
    <row r="1035" spans="1:38" ht="15" customHeight="1" x14ac:dyDescent="0.25">
      <c r="A1035" s="3" t="s">
        <v>1517</v>
      </c>
      <c r="B1035" s="3" t="s">
        <v>1635</v>
      </c>
      <c r="C1035" s="5">
        <v>57793.0844</v>
      </c>
      <c r="D1035" s="5">
        <v>57793.0844</v>
      </c>
      <c r="E1035" s="5">
        <v>52332.6639</v>
      </c>
      <c r="F1035" t="s">
        <v>7249</v>
      </c>
      <c r="G1035" s="5" t="str">
        <f t="shared" si="33"/>
        <v>ЛЕЧЕБНЫЙ</v>
      </c>
      <c r="J1035" s="5"/>
      <c r="AF1035" t="s">
        <v>7208</v>
      </c>
      <c r="AG1035" s="24" t="s">
        <v>6269</v>
      </c>
      <c r="AH1035" s="5" t="s">
        <v>7208</v>
      </c>
      <c r="AI1035" s="5">
        <v>18444.691500000001</v>
      </c>
      <c r="AJ1035" s="5">
        <v>18444.691500000001</v>
      </c>
      <c r="AK1035">
        <v>17130.680199999999</v>
      </c>
      <c r="AL1035" s="5" t="str">
        <f t="shared" si="34"/>
        <v>Муниципальное образование Алапаевское</v>
      </c>
    </row>
    <row r="1036" spans="1:38" ht="15" customHeight="1" x14ac:dyDescent="0.25">
      <c r="A1036" s="3" t="s">
        <v>1518</v>
      </c>
      <c r="B1036" s="3" t="s">
        <v>1654</v>
      </c>
      <c r="C1036" s="5">
        <v>56140.449699999997</v>
      </c>
      <c r="D1036" s="5">
        <v>56140.449699999997</v>
      </c>
      <c r="E1036" s="5">
        <v>50836.1803</v>
      </c>
      <c r="F1036" t="s">
        <v>7249</v>
      </c>
      <c r="G1036" s="5" t="str">
        <f t="shared" si="33"/>
        <v>ЗАВОКЗАЛЬНЫЙ</v>
      </c>
      <c r="J1036" s="5"/>
      <c r="AF1036" t="s">
        <v>7208</v>
      </c>
      <c r="AG1036" s="24" t="s">
        <v>6270</v>
      </c>
      <c r="AH1036" s="5" t="s">
        <v>7208</v>
      </c>
      <c r="AI1036" s="5">
        <v>18444.691500000001</v>
      </c>
      <c r="AJ1036" s="5">
        <v>18444.691500000001</v>
      </c>
      <c r="AK1036">
        <v>17130.680199999999</v>
      </c>
      <c r="AL1036" s="5" t="str">
        <f t="shared" si="34"/>
        <v>Муниципальное образование Алапаевское</v>
      </c>
    </row>
    <row r="1037" spans="1:38" ht="15" customHeight="1" x14ac:dyDescent="0.25">
      <c r="A1037" s="3" t="s">
        <v>1521</v>
      </c>
      <c r="B1037" s="3" t="s">
        <v>1631</v>
      </c>
      <c r="C1037" s="5">
        <v>70026.7601</v>
      </c>
      <c r="D1037" s="5">
        <v>70026.7601</v>
      </c>
      <c r="E1037" s="5">
        <v>63410.482000000004</v>
      </c>
      <c r="F1037" t="s">
        <v>7249</v>
      </c>
      <c r="G1037" s="5" t="str">
        <f t="shared" si="33"/>
        <v>УРАЛМАШ</v>
      </c>
      <c r="J1037" s="5"/>
      <c r="AF1037" t="s">
        <v>7208</v>
      </c>
      <c r="AG1037" s="24" t="s">
        <v>6271</v>
      </c>
      <c r="AH1037" s="5" t="s">
        <v>7208</v>
      </c>
      <c r="AI1037" s="5">
        <v>18444.691500000001</v>
      </c>
      <c r="AJ1037" s="5">
        <v>18444.691500000001</v>
      </c>
      <c r="AK1037">
        <v>17130.680199999999</v>
      </c>
      <c r="AL1037" s="5" t="str">
        <f t="shared" si="34"/>
        <v>Муниципальное образование Алапаевское</v>
      </c>
    </row>
    <row r="1038" spans="1:38" ht="15" customHeight="1" x14ac:dyDescent="0.25">
      <c r="A1038" s="3" t="s">
        <v>1523</v>
      </c>
      <c r="B1038" s="3" t="s">
        <v>66</v>
      </c>
      <c r="C1038" s="5">
        <v>64795.756300000001</v>
      </c>
      <c r="D1038" s="5">
        <v>64795.756300000001</v>
      </c>
      <c r="E1038" s="5">
        <v>58673.716200000003</v>
      </c>
      <c r="F1038" t="s">
        <v>7249</v>
      </c>
      <c r="G1038" s="5" t="str">
        <f t="shared" si="33"/>
        <v>УНЦ</v>
      </c>
      <c r="J1038" s="5"/>
      <c r="AF1038" t="s">
        <v>7208</v>
      </c>
      <c r="AG1038" s="24" t="s">
        <v>6272</v>
      </c>
      <c r="AH1038" s="5" t="s">
        <v>7208</v>
      </c>
      <c r="AI1038" s="5">
        <v>18444.691500000001</v>
      </c>
      <c r="AJ1038" s="5">
        <v>18444.691500000001</v>
      </c>
      <c r="AK1038">
        <v>17130.680199999999</v>
      </c>
      <c r="AL1038" s="5" t="str">
        <f t="shared" si="34"/>
        <v>Муниципальное образование Алапаевское</v>
      </c>
    </row>
    <row r="1039" spans="1:38" ht="15" customHeight="1" x14ac:dyDescent="0.25">
      <c r="A1039" s="3" t="s">
        <v>1524</v>
      </c>
      <c r="B1039" s="3" t="s">
        <v>1639</v>
      </c>
      <c r="C1039" s="5">
        <v>53500.443299999999</v>
      </c>
      <c r="D1039" s="5">
        <v>53500.443299999999</v>
      </c>
      <c r="E1039" s="5">
        <v>48445.605100000001</v>
      </c>
      <c r="F1039" t="s">
        <v>7249</v>
      </c>
      <c r="G1039" s="5" t="str">
        <f t="shared" si="33"/>
        <v>ИСТОК</v>
      </c>
      <c r="J1039" s="5"/>
      <c r="AF1039" t="s">
        <v>7208</v>
      </c>
      <c r="AG1039" s="24" t="s">
        <v>6273</v>
      </c>
      <c r="AH1039" s="5" t="s">
        <v>7208</v>
      </c>
      <c r="AI1039" s="5">
        <v>18444.691500000001</v>
      </c>
      <c r="AJ1039" s="5">
        <v>18444.691500000001</v>
      </c>
      <c r="AK1039">
        <v>17130.680199999999</v>
      </c>
      <c r="AL1039" s="5" t="str">
        <f t="shared" si="34"/>
        <v>Муниципальное образование Алапаевское</v>
      </c>
    </row>
    <row r="1040" spans="1:38" ht="15" customHeight="1" x14ac:dyDescent="0.25">
      <c r="A1040" s="3" t="s">
        <v>1525</v>
      </c>
      <c r="B1040" s="3" t="s">
        <v>14</v>
      </c>
      <c r="C1040" s="5">
        <v>93989.912800000006</v>
      </c>
      <c r="D1040" s="5">
        <v>93989.912800000006</v>
      </c>
      <c r="E1040" s="5">
        <v>85109.545199999993</v>
      </c>
      <c r="F1040" t="s">
        <v>7249</v>
      </c>
      <c r="G1040" s="5" t="str">
        <f t="shared" si="33"/>
        <v>Центр</v>
      </c>
      <c r="J1040" s="5"/>
      <c r="AF1040" t="s">
        <v>7208</v>
      </c>
      <c r="AG1040" s="24" t="s">
        <v>6274</v>
      </c>
      <c r="AH1040" s="5" t="s">
        <v>7208</v>
      </c>
      <c r="AI1040" s="5">
        <v>18444.691500000001</v>
      </c>
      <c r="AJ1040" s="5">
        <v>18444.691500000001</v>
      </c>
      <c r="AK1040">
        <v>17130.680199999999</v>
      </c>
      <c r="AL1040" s="5" t="str">
        <f t="shared" si="34"/>
        <v>Муниципальное образование Алапаевское</v>
      </c>
    </row>
    <row r="1041" spans="1:38" ht="15" customHeight="1" x14ac:dyDescent="0.25">
      <c r="A1041" s="3" t="s">
        <v>1526</v>
      </c>
      <c r="B1041" s="3" t="s">
        <v>33</v>
      </c>
      <c r="C1041" s="5">
        <v>84298.205100000006</v>
      </c>
      <c r="D1041" s="5">
        <v>84298.205100000006</v>
      </c>
      <c r="E1041" s="5">
        <v>76333.533100000001</v>
      </c>
      <c r="F1041" t="s">
        <v>7249</v>
      </c>
      <c r="G1041" s="5" t="str">
        <f t="shared" si="33"/>
        <v>ВИЗ</v>
      </c>
      <c r="J1041" s="5"/>
      <c r="AF1041" t="s">
        <v>7208</v>
      </c>
      <c r="AG1041" s="24" t="s">
        <v>6275</v>
      </c>
      <c r="AH1041" s="5" t="s">
        <v>7208</v>
      </c>
      <c r="AI1041" s="5">
        <v>18444.691500000001</v>
      </c>
      <c r="AJ1041" s="5">
        <v>18444.691500000001</v>
      </c>
      <c r="AK1041">
        <v>17130.680199999999</v>
      </c>
      <c r="AL1041" s="5" t="str">
        <f t="shared" si="34"/>
        <v>Муниципальное образование Алапаевское</v>
      </c>
    </row>
    <row r="1042" spans="1:38" ht="15" customHeight="1" x14ac:dyDescent="0.25">
      <c r="A1042" s="3" t="s">
        <v>1527</v>
      </c>
      <c r="B1042" s="3" t="s">
        <v>1637</v>
      </c>
      <c r="C1042" s="5">
        <v>59368.686099999999</v>
      </c>
      <c r="D1042" s="5">
        <v>59368.686099999999</v>
      </c>
      <c r="E1042" s="5">
        <v>53759.401700000002</v>
      </c>
      <c r="F1042" t="s">
        <v>7249</v>
      </c>
      <c r="G1042" s="5" t="str">
        <f t="shared" si="33"/>
        <v>Старая сортировка</v>
      </c>
      <c r="J1042" s="5"/>
      <c r="AF1042" t="s">
        <v>7208</v>
      </c>
      <c r="AG1042" s="24" t="s">
        <v>6276</v>
      </c>
      <c r="AH1042" s="5" t="s">
        <v>7208</v>
      </c>
      <c r="AI1042" s="5">
        <v>18444.691500000001</v>
      </c>
      <c r="AJ1042" s="5">
        <v>18444.691500000001</v>
      </c>
      <c r="AK1042">
        <v>17130.680199999999</v>
      </c>
      <c r="AL1042" s="5" t="str">
        <f t="shared" si="34"/>
        <v>Муниципальное образование Алапаевское</v>
      </c>
    </row>
    <row r="1043" spans="1:38" ht="15" customHeight="1" x14ac:dyDescent="0.25">
      <c r="A1043" s="3" t="s">
        <v>1528</v>
      </c>
      <c r="B1043" s="3" t="s">
        <v>1639</v>
      </c>
      <c r="C1043" s="5">
        <v>53500.443299999999</v>
      </c>
      <c r="D1043" s="5">
        <v>53500.443299999999</v>
      </c>
      <c r="E1043" s="5">
        <v>48445.605100000001</v>
      </c>
      <c r="F1043" t="s">
        <v>7249</v>
      </c>
      <c r="G1043" s="5" t="str">
        <f t="shared" si="33"/>
        <v>ИСТОК</v>
      </c>
      <c r="J1043" s="5"/>
      <c r="AF1043" t="s">
        <v>7208</v>
      </c>
      <c r="AG1043" s="24" t="s">
        <v>6277</v>
      </c>
      <c r="AH1043" s="5" t="s">
        <v>7208</v>
      </c>
      <c r="AI1043" s="5">
        <v>18444.691500000001</v>
      </c>
      <c r="AJ1043" s="5">
        <v>18444.691500000001</v>
      </c>
      <c r="AK1043">
        <v>17130.680199999999</v>
      </c>
      <c r="AL1043" s="5" t="str">
        <f t="shared" si="34"/>
        <v>Муниципальное образование Алапаевское</v>
      </c>
    </row>
    <row r="1044" spans="1:38" ht="15" customHeight="1" x14ac:dyDescent="0.25">
      <c r="A1044" s="3" t="s">
        <v>1529</v>
      </c>
      <c r="B1044" s="3" t="s">
        <v>1668</v>
      </c>
      <c r="C1044" s="5">
        <v>51343.6201</v>
      </c>
      <c r="D1044" s="5">
        <v>51343.6201</v>
      </c>
      <c r="E1044" s="5">
        <v>46492.558799999999</v>
      </c>
      <c r="F1044" t="s">
        <v>7249</v>
      </c>
      <c r="G1044" s="5" t="str">
        <f t="shared" si="33"/>
        <v>МЕДНЫЙ</v>
      </c>
      <c r="J1044" s="5"/>
      <c r="AF1044" t="s">
        <v>7208</v>
      </c>
      <c r="AG1044" s="24" t="s">
        <v>6278</v>
      </c>
      <c r="AH1044" s="5" t="s">
        <v>7208</v>
      </c>
      <c r="AI1044" s="5">
        <v>18444.691500000001</v>
      </c>
      <c r="AJ1044" s="5">
        <v>18444.691500000001</v>
      </c>
      <c r="AK1044">
        <v>17130.680199999999</v>
      </c>
      <c r="AL1044" s="5" t="str">
        <f t="shared" si="34"/>
        <v>Муниципальное образование Алапаевское</v>
      </c>
    </row>
    <row r="1045" spans="1:38" ht="15" customHeight="1" x14ac:dyDescent="0.25">
      <c r="A1045" s="3" t="s">
        <v>1530</v>
      </c>
      <c r="B1045" s="3" t="s">
        <v>1650</v>
      </c>
      <c r="C1045" s="5">
        <v>37590.3603</v>
      </c>
      <c r="D1045" s="5">
        <v>37590.3603</v>
      </c>
      <c r="E1045" s="5">
        <v>34038.745900000002</v>
      </c>
      <c r="F1045" t="s">
        <v>7249</v>
      </c>
      <c r="G1045" s="5" t="str">
        <f t="shared" si="33"/>
        <v>ШАБРОВСКИЙ</v>
      </c>
      <c r="J1045" s="5"/>
      <c r="AF1045" t="s">
        <v>7208</v>
      </c>
      <c r="AG1045" s="24" t="s">
        <v>6279</v>
      </c>
      <c r="AH1045" s="5" t="s">
        <v>7208</v>
      </c>
      <c r="AI1045" s="5">
        <v>18444.691500000001</v>
      </c>
      <c r="AJ1045" s="5">
        <v>18444.691500000001</v>
      </c>
      <c r="AK1045">
        <v>17130.680199999999</v>
      </c>
      <c r="AL1045" s="5" t="str">
        <f t="shared" si="34"/>
        <v>Муниципальное образование Алапаевское</v>
      </c>
    </row>
    <row r="1046" spans="1:38" ht="15" customHeight="1" x14ac:dyDescent="0.25">
      <c r="A1046" s="3" t="s">
        <v>1531</v>
      </c>
      <c r="B1046" s="3" t="s">
        <v>14</v>
      </c>
      <c r="C1046" s="5">
        <v>93989.912800000006</v>
      </c>
      <c r="D1046" s="5">
        <v>93989.912800000006</v>
      </c>
      <c r="E1046" s="5">
        <v>85109.545199999993</v>
      </c>
      <c r="F1046" t="s">
        <v>7249</v>
      </c>
      <c r="G1046" s="5" t="str">
        <f t="shared" si="33"/>
        <v>Центр</v>
      </c>
      <c r="J1046" s="5"/>
      <c r="AF1046" t="s">
        <v>7208</v>
      </c>
      <c r="AG1046" s="24" t="s">
        <v>6280</v>
      </c>
      <c r="AH1046" s="5" t="s">
        <v>7208</v>
      </c>
      <c r="AI1046" s="5">
        <v>18444.691500000001</v>
      </c>
      <c r="AJ1046" s="5">
        <v>18444.691500000001</v>
      </c>
      <c r="AK1046">
        <v>17130.680199999999</v>
      </c>
      <c r="AL1046" s="5" t="str">
        <f t="shared" si="34"/>
        <v>Муниципальное образование Алапаевское</v>
      </c>
    </row>
    <row r="1047" spans="1:38" ht="15" customHeight="1" x14ac:dyDescent="0.25">
      <c r="A1047" s="3" t="s">
        <v>1532</v>
      </c>
      <c r="B1047" s="3" t="s">
        <v>1633</v>
      </c>
      <c r="C1047" s="5">
        <v>77071.442599999995</v>
      </c>
      <c r="D1047" s="5">
        <v>77071.442599999995</v>
      </c>
      <c r="E1047" s="5">
        <v>69789.570900000006</v>
      </c>
      <c r="F1047" t="s">
        <v>7249</v>
      </c>
      <c r="G1047" s="5" t="str">
        <f t="shared" si="33"/>
        <v>ВТУЗГОРОДОК</v>
      </c>
      <c r="J1047" s="5"/>
      <c r="AF1047" t="s">
        <v>7208</v>
      </c>
      <c r="AG1047" s="24" t="s">
        <v>6281</v>
      </c>
      <c r="AH1047" s="5" t="s">
        <v>7208</v>
      </c>
      <c r="AI1047" s="5">
        <v>18444.691500000001</v>
      </c>
      <c r="AJ1047" s="5">
        <v>18444.691500000001</v>
      </c>
      <c r="AK1047">
        <v>17130.680199999999</v>
      </c>
      <c r="AL1047" s="5" t="str">
        <f t="shared" si="34"/>
        <v>Муниципальное образование Алапаевское</v>
      </c>
    </row>
    <row r="1048" spans="1:38" ht="15" customHeight="1" x14ac:dyDescent="0.25">
      <c r="A1048" s="3" t="s">
        <v>1533</v>
      </c>
      <c r="B1048" s="3" t="s">
        <v>1662</v>
      </c>
      <c r="C1048" s="5">
        <v>46784.877899999999</v>
      </c>
      <c r="D1048" s="5">
        <v>46784.877899999999</v>
      </c>
      <c r="E1048" s="5">
        <v>42364.543299999998</v>
      </c>
      <c r="F1048" t="s">
        <v>7249</v>
      </c>
      <c r="G1048" s="5" t="str">
        <f t="shared" si="33"/>
        <v>РУДНЫЙ</v>
      </c>
      <c r="J1048" s="5"/>
      <c r="AF1048" t="s">
        <v>7208</v>
      </c>
      <c r="AG1048" s="24" t="s">
        <v>6282</v>
      </c>
      <c r="AH1048" s="5" t="s">
        <v>7208</v>
      </c>
      <c r="AI1048" s="5">
        <v>18444.691500000001</v>
      </c>
      <c r="AJ1048" s="5">
        <v>18444.691500000001</v>
      </c>
      <c r="AK1048">
        <v>17130.680199999999</v>
      </c>
      <c r="AL1048" s="5" t="str">
        <f t="shared" si="34"/>
        <v>Муниципальное образование Алапаевское</v>
      </c>
    </row>
    <row r="1049" spans="1:38" ht="15" customHeight="1" x14ac:dyDescent="0.25">
      <c r="A1049" s="3" t="s">
        <v>1534</v>
      </c>
      <c r="B1049" s="3" t="s">
        <v>33</v>
      </c>
      <c r="C1049" s="5">
        <v>84298.205100000006</v>
      </c>
      <c r="D1049" s="5">
        <v>84298.205100000006</v>
      </c>
      <c r="E1049" s="5">
        <v>76333.533100000001</v>
      </c>
      <c r="F1049" t="s">
        <v>7249</v>
      </c>
      <c r="G1049" s="5" t="str">
        <f t="shared" si="33"/>
        <v>ВИЗ</v>
      </c>
      <c r="J1049" s="5"/>
      <c r="AF1049" t="s">
        <v>7208</v>
      </c>
      <c r="AG1049" s="24" t="s">
        <v>6283</v>
      </c>
      <c r="AH1049" s="5" t="s">
        <v>7208</v>
      </c>
      <c r="AI1049" s="5">
        <v>18444.691500000001</v>
      </c>
      <c r="AJ1049" s="5">
        <v>18444.691500000001</v>
      </c>
      <c r="AK1049">
        <v>17130.680199999999</v>
      </c>
      <c r="AL1049" s="5" t="str">
        <f t="shared" si="34"/>
        <v>Муниципальное образование Алапаевское</v>
      </c>
    </row>
    <row r="1050" spans="1:38" ht="15" customHeight="1" x14ac:dyDescent="0.25">
      <c r="A1050" s="3" t="s">
        <v>1535</v>
      </c>
      <c r="B1050" s="3" t="s">
        <v>1643</v>
      </c>
      <c r="C1050" s="5">
        <v>76630.280299999999</v>
      </c>
      <c r="D1050" s="5">
        <v>76630.280299999999</v>
      </c>
      <c r="E1050" s="5">
        <v>69390.088799999998</v>
      </c>
      <c r="F1050" t="s">
        <v>7249</v>
      </c>
      <c r="G1050" s="5" t="str">
        <f t="shared" si="33"/>
        <v>Ю-З</v>
      </c>
      <c r="J1050" s="5"/>
      <c r="AF1050" t="s">
        <v>7208</v>
      </c>
      <c r="AG1050" s="24" t="s">
        <v>6284</v>
      </c>
      <c r="AH1050" s="5" t="s">
        <v>7208</v>
      </c>
      <c r="AI1050" s="5">
        <v>18444.691500000001</v>
      </c>
      <c r="AJ1050" s="5">
        <v>18444.691500000001</v>
      </c>
      <c r="AK1050">
        <v>17130.680199999999</v>
      </c>
      <c r="AL1050" s="5" t="str">
        <f t="shared" si="34"/>
        <v>Муниципальное образование Алапаевское</v>
      </c>
    </row>
    <row r="1051" spans="1:38" ht="15" customHeight="1" x14ac:dyDescent="0.25">
      <c r="A1051" s="3" t="s">
        <v>1536</v>
      </c>
      <c r="B1051" s="3" t="s">
        <v>33</v>
      </c>
      <c r="C1051" s="5">
        <v>84298.205100000006</v>
      </c>
      <c r="D1051" s="5">
        <v>84298.205100000006</v>
      </c>
      <c r="E1051" s="5">
        <v>76333.533100000001</v>
      </c>
      <c r="F1051" t="s">
        <v>7249</v>
      </c>
      <c r="G1051" s="5" t="str">
        <f t="shared" si="33"/>
        <v>ВИЗ</v>
      </c>
      <c r="J1051" s="5"/>
      <c r="AF1051" t="s">
        <v>7208</v>
      </c>
      <c r="AG1051" s="24" t="s">
        <v>6285</v>
      </c>
      <c r="AH1051" s="5" t="s">
        <v>7208</v>
      </c>
      <c r="AI1051" s="5">
        <v>18444.691500000001</v>
      </c>
      <c r="AJ1051" s="5">
        <v>18444.691500000001</v>
      </c>
      <c r="AK1051">
        <v>17130.680199999999</v>
      </c>
      <c r="AL1051" s="5" t="str">
        <f t="shared" si="34"/>
        <v>Муниципальное образование Алапаевское</v>
      </c>
    </row>
    <row r="1052" spans="1:38" ht="15" customHeight="1" x14ac:dyDescent="0.25">
      <c r="A1052" s="3" t="s">
        <v>1537</v>
      </c>
      <c r="B1052" s="3" t="s">
        <v>33</v>
      </c>
      <c r="C1052" s="5">
        <v>84298.205100000006</v>
      </c>
      <c r="D1052" s="5">
        <v>84298.205100000006</v>
      </c>
      <c r="E1052" s="5">
        <v>76333.533100000001</v>
      </c>
      <c r="F1052" t="s">
        <v>7249</v>
      </c>
      <c r="G1052" s="5" t="str">
        <f t="shared" si="33"/>
        <v>ВИЗ</v>
      </c>
      <c r="J1052" s="5"/>
      <c r="AF1052" t="s">
        <v>7208</v>
      </c>
      <c r="AG1052" s="24" t="s">
        <v>6286</v>
      </c>
      <c r="AH1052" s="5" t="s">
        <v>7208</v>
      </c>
      <c r="AI1052" s="5">
        <v>18444.691500000001</v>
      </c>
      <c r="AJ1052" s="5">
        <v>18444.691500000001</v>
      </c>
      <c r="AK1052">
        <v>17130.680199999999</v>
      </c>
      <c r="AL1052" s="5" t="str">
        <f t="shared" si="34"/>
        <v>Муниципальное образование Алапаевское</v>
      </c>
    </row>
    <row r="1053" spans="1:38" ht="15" customHeight="1" x14ac:dyDescent="0.25">
      <c r="A1053" s="3" t="s">
        <v>1539</v>
      </c>
      <c r="B1053" s="3" t="s">
        <v>1631</v>
      </c>
      <c r="C1053" s="5">
        <v>70026.7601</v>
      </c>
      <c r="D1053" s="5">
        <v>70026.7601</v>
      </c>
      <c r="E1053" s="5">
        <v>63410.482000000004</v>
      </c>
      <c r="F1053" t="s">
        <v>7249</v>
      </c>
      <c r="G1053" s="5" t="str">
        <f t="shared" si="33"/>
        <v>УРАЛМАШ</v>
      </c>
      <c r="J1053" s="5"/>
      <c r="AF1053" t="s">
        <v>7208</v>
      </c>
      <c r="AG1053" s="24" t="s">
        <v>6287</v>
      </c>
      <c r="AH1053" s="5" t="s">
        <v>7208</v>
      </c>
      <c r="AI1053" s="5">
        <v>18444.691500000001</v>
      </c>
      <c r="AJ1053" s="5">
        <v>18444.691500000001</v>
      </c>
      <c r="AK1053">
        <v>17130.680199999999</v>
      </c>
      <c r="AL1053" s="5" t="str">
        <f t="shared" si="34"/>
        <v>Муниципальное образование Алапаевское</v>
      </c>
    </row>
    <row r="1054" spans="1:38" ht="15" customHeight="1" x14ac:dyDescent="0.25">
      <c r="A1054" s="3" t="s">
        <v>1541</v>
      </c>
      <c r="B1054" s="3" t="s">
        <v>1641</v>
      </c>
      <c r="C1054" s="5">
        <v>63556.280200000001</v>
      </c>
      <c r="D1054" s="5">
        <v>63556.280200000001</v>
      </c>
      <c r="E1054" s="5">
        <v>57551.353499999997</v>
      </c>
      <c r="F1054" t="s">
        <v>7249</v>
      </c>
      <c r="G1054" s="5" t="str">
        <f t="shared" si="33"/>
        <v>СИБИРСКИЙ</v>
      </c>
      <c r="J1054" s="5"/>
      <c r="AF1054" t="s">
        <v>7208</v>
      </c>
      <c r="AG1054" s="24" t="s">
        <v>6288</v>
      </c>
      <c r="AH1054" s="5" t="s">
        <v>7208</v>
      </c>
      <c r="AI1054" s="5">
        <v>18444.691500000001</v>
      </c>
      <c r="AJ1054" s="5">
        <v>18444.691500000001</v>
      </c>
      <c r="AK1054">
        <v>17130.680199999999</v>
      </c>
      <c r="AL1054" s="5" t="str">
        <f t="shared" si="34"/>
        <v>Муниципальное образование Алапаевское</v>
      </c>
    </row>
    <row r="1055" spans="1:38" ht="15" customHeight="1" x14ac:dyDescent="0.25">
      <c r="A1055" s="3" t="s">
        <v>1542</v>
      </c>
      <c r="B1055" s="3" t="s">
        <v>1631</v>
      </c>
      <c r="C1055" s="5">
        <v>70026.7601</v>
      </c>
      <c r="D1055" s="5">
        <v>70026.7601</v>
      </c>
      <c r="E1055" s="5">
        <v>63410.482000000004</v>
      </c>
      <c r="F1055" t="s">
        <v>7249</v>
      </c>
      <c r="G1055" s="5" t="str">
        <f t="shared" si="33"/>
        <v>УРАЛМАШ</v>
      </c>
      <c r="J1055" s="5"/>
      <c r="AF1055" t="s">
        <v>7208</v>
      </c>
      <c r="AG1055" s="24" t="s">
        <v>6289</v>
      </c>
      <c r="AH1055" s="5" t="s">
        <v>7208</v>
      </c>
      <c r="AI1055" s="5">
        <v>18444.691500000001</v>
      </c>
      <c r="AJ1055" s="5">
        <v>18444.691500000001</v>
      </c>
      <c r="AK1055">
        <v>17130.680199999999</v>
      </c>
      <c r="AL1055" s="5" t="str">
        <f t="shared" si="34"/>
        <v>Муниципальное образование Алапаевское</v>
      </c>
    </row>
    <row r="1056" spans="1:38" ht="15" customHeight="1" x14ac:dyDescent="0.25">
      <c r="A1056" s="3" t="s">
        <v>1543</v>
      </c>
      <c r="B1056" s="3" t="s">
        <v>1643</v>
      </c>
      <c r="C1056" s="5">
        <v>76630.280299999999</v>
      </c>
      <c r="D1056" s="5">
        <v>76630.280299999999</v>
      </c>
      <c r="E1056" s="5">
        <v>69390.088799999998</v>
      </c>
      <c r="F1056" t="s">
        <v>7249</v>
      </c>
      <c r="G1056" s="5" t="str">
        <f t="shared" si="33"/>
        <v>Ю-З</v>
      </c>
      <c r="J1056" s="5"/>
      <c r="AF1056" t="s">
        <v>7208</v>
      </c>
      <c r="AG1056" s="24" t="s">
        <v>6290</v>
      </c>
      <c r="AH1056" s="5" t="s">
        <v>7208</v>
      </c>
      <c r="AI1056" s="5">
        <v>18444.691500000001</v>
      </c>
      <c r="AJ1056" s="5">
        <v>18444.691500000001</v>
      </c>
      <c r="AK1056">
        <v>17130.680199999999</v>
      </c>
      <c r="AL1056" s="5" t="str">
        <f t="shared" si="34"/>
        <v>Муниципальное образование Алапаевское</v>
      </c>
    </row>
    <row r="1057" spans="1:38" ht="15" customHeight="1" x14ac:dyDescent="0.25">
      <c r="A1057" s="3" t="s">
        <v>1546</v>
      </c>
      <c r="B1057" s="3" t="s">
        <v>14</v>
      </c>
      <c r="C1057" s="5">
        <v>93989.912800000006</v>
      </c>
      <c r="D1057" s="5">
        <v>93989.912800000006</v>
      </c>
      <c r="E1057" s="5">
        <v>85109.545199999993</v>
      </c>
      <c r="F1057" t="s">
        <v>7249</v>
      </c>
      <c r="G1057" s="5" t="str">
        <f t="shared" si="33"/>
        <v>Центр</v>
      </c>
      <c r="J1057" s="5"/>
      <c r="AF1057" t="s">
        <v>7208</v>
      </c>
      <c r="AG1057" s="24" t="s">
        <v>6291</v>
      </c>
      <c r="AH1057" s="5" t="s">
        <v>7208</v>
      </c>
      <c r="AI1057" s="5">
        <v>18444.691500000001</v>
      </c>
      <c r="AJ1057" s="5">
        <v>18444.691500000001</v>
      </c>
      <c r="AK1057">
        <v>17130.680199999999</v>
      </c>
      <c r="AL1057" s="5" t="str">
        <f t="shared" si="34"/>
        <v>Муниципальное образование Алапаевское</v>
      </c>
    </row>
    <row r="1058" spans="1:38" ht="15" customHeight="1" x14ac:dyDescent="0.25">
      <c r="A1058" s="3" t="s">
        <v>1548</v>
      </c>
      <c r="B1058" s="3" t="s">
        <v>1651</v>
      </c>
      <c r="C1058" s="5">
        <v>68129.029500000004</v>
      </c>
      <c r="D1058" s="5">
        <v>68129.029500000004</v>
      </c>
      <c r="E1058" s="5">
        <v>61692.054799999998</v>
      </c>
      <c r="F1058" t="s">
        <v>7249</v>
      </c>
      <c r="G1058" s="5" t="str">
        <f t="shared" si="33"/>
        <v>ШАРТАШ</v>
      </c>
      <c r="J1058" s="5"/>
      <c r="AF1058" t="s">
        <v>7208</v>
      </c>
      <c r="AG1058" s="24" t="s">
        <v>6292</v>
      </c>
      <c r="AH1058" s="5" t="s">
        <v>7208</v>
      </c>
      <c r="AI1058" s="5">
        <v>18444.691500000001</v>
      </c>
      <c r="AJ1058" s="5">
        <v>18444.691500000001</v>
      </c>
      <c r="AK1058">
        <v>17130.680199999999</v>
      </c>
      <c r="AL1058" s="5" t="str">
        <f t="shared" si="34"/>
        <v>Муниципальное образование Алапаевское</v>
      </c>
    </row>
    <row r="1059" spans="1:38" ht="15" customHeight="1" x14ac:dyDescent="0.25">
      <c r="A1059" s="3" t="s">
        <v>1549</v>
      </c>
      <c r="B1059" s="3" t="s">
        <v>1628</v>
      </c>
      <c r="C1059" s="5">
        <v>70734.0236</v>
      </c>
      <c r="D1059" s="5">
        <v>70734.0236</v>
      </c>
      <c r="E1059" s="5">
        <v>64050.9208</v>
      </c>
      <c r="F1059" t="s">
        <v>7249</v>
      </c>
      <c r="G1059" s="5" t="str">
        <f t="shared" si="33"/>
        <v>ЭЛЬМАШ</v>
      </c>
      <c r="J1059" s="5"/>
      <c r="AF1059" t="s">
        <v>7208</v>
      </c>
      <c r="AG1059" s="24" t="s">
        <v>6293</v>
      </c>
      <c r="AH1059" s="5" t="s">
        <v>7208</v>
      </c>
      <c r="AI1059" s="5">
        <v>18444.691500000001</v>
      </c>
      <c r="AJ1059" s="5">
        <v>18444.691500000001</v>
      </c>
      <c r="AK1059">
        <v>17130.680199999999</v>
      </c>
      <c r="AL1059" s="5" t="str">
        <f t="shared" si="34"/>
        <v>Муниципальное образование Алапаевское</v>
      </c>
    </row>
    <row r="1060" spans="1:38" ht="15" customHeight="1" x14ac:dyDescent="0.25">
      <c r="A1060" s="3" t="s">
        <v>1551</v>
      </c>
      <c r="B1060" s="3" t="s">
        <v>1643</v>
      </c>
      <c r="C1060" s="5">
        <v>76630.280299999999</v>
      </c>
      <c r="D1060" s="5">
        <v>76630.280299999999</v>
      </c>
      <c r="E1060" s="5">
        <v>69390.088799999998</v>
      </c>
      <c r="F1060" t="s">
        <v>7249</v>
      </c>
      <c r="G1060" s="5" t="str">
        <f t="shared" si="33"/>
        <v>Ю-З</v>
      </c>
      <c r="J1060" s="5"/>
      <c r="AF1060" t="s">
        <v>7208</v>
      </c>
      <c r="AG1060" s="24" t="s">
        <v>6294</v>
      </c>
      <c r="AH1060" s="5" t="s">
        <v>7208</v>
      </c>
      <c r="AI1060" s="5">
        <v>18444.691500000001</v>
      </c>
      <c r="AJ1060" s="5">
        <v>18444.691500000001</v>
      </c>
      <c r="AK1060">
        <v>17130.680199999999</v>
      </c>
      <c r="AL1060" s="5" t="str">
        <f t="shared" si="34"/>
        <v>Муниципальное образование Алапаевское</v>
      </c>
    </row>
    <row r="1061" spans="1:38" ht="15" customHeight="1" x14ac:dyDescent="0.25">
      <c r="A1061" s="3" t="s">
        <v>1552</v>
      </c>
      <c r="B1061" s="3" t="s">
        <v>1659</v>
      </c>
      <c r="C1061" s="5">
        <v>59746.832600000002</v>
      </c>
      <c r="D1061" s="5">
        <v>59746.832600000002</v>
      </c>
      <c r="E1061" s="5">
        <v>54101.823700000001</v>
      </c>
      <c r="F1061" t="s">
        <v>7249</v>
      </c>
      <c r="G1061" s="5" t="str">
        <f t="shared" si="33"/>
        <v>СОВХОЗ</v>
      </c>
      <c r="J1061" s="5"/>
      <c r="AF1061" t="s">
        <v>7208</v>
      </c>
      <c r="AG1061" s="24" t="s">
        <v>6295</v>
      </c>
      <c r="AH1061" s="5" t="s">
        <v>7208</v>
      </c>
      <c r="AI1061" s="5">
        <v>18444.691500000001</v>
      </c>
      <c r="AJ1061" s="5">
        <v>18444.691500000001</v>
      </c>
      <c r="AK1061">
        <v>17130.680199999999</v>
      </c>
      <c r="AL1061" s="5" t="str">
        <f t="shared" si="34"/>
        <v>Муниципальное образование Алапаевское</v>
      </c>
    </row>
    <row r="1062" spans="1:38" ht="15" customHeight="1" x14ac:dyDescent="0.25">
      <c r="A1062" s="3" t="s">
        <v>1553</v>
      </c>
      <c r="B1062" s="3" t="s">
        <v>1643</v>
      </c>
      <c r="C1062" s="5">
        <v>76630.280299999999</v>
      </c>
      <c r="D1062" s="5">
        <v>76630.280299999999</v>
      </c>
      <c r="E1062" s="5">
        <v>69390.088799999998</v>
      </c>
      <c r="F1062" t="s">
        <v>7249</v>
      </c>
      <c r="G1062" s="5" t="str">
        <f t="shared" si="33"/>
        <v>Ю-З</v>
      </c>
      <c r="J1062" s="5"/>
      <c r="AF1062" t="s">
        <v>7208</v>
      </c>
      <c r="AG1062" s="24" t="s">
        <v>6296</v>
      </c>
      <c r="AH1062" s="5" t="s">
        <v>7208</v>
      </c>
      <c r="AI1062" s="5">
        <v>18444.691500000001</v>
      </c>
      <c r="AJ1062" s="5">
        <v>18444.691500000001</v>
      </c>
      <c r="AK1062">
        <v>17130.680199999999</v>
      </c>
      <c r="AL1062" s="5" t="str">
        <f t="shared" si="34"/>
        <v>Муниципальное образование Алапаевское</v>
      </c>
    </row>
    <row r="1063" spans="1:38" ht="15" customHeight="1" x14ac:dyDescent="0.25">
      <c r="A1063" s="3" t="s">
        <v>1555</v>
      </c>
      <c r="B1063" s="3" t="s">
        <v>14</v>
      </c>
      <c r="C1063" s="5">
        <v>93989.912800000006</v>
      </c>
      <c r="D1063" s="5">
        <v>93989.912800000006</v>
      </c>
      <c r="E1063" s="5">
        <v>85109.545199999993</v>
      </c>
      <c r="F1063" t="s">
        <v>7249</v>
      </c>
      <c r="G1063" s="5" t="str">
        <f t="shared" si="33"/>
        <v>Центр</v>
      </c>
      <c r="J1063" s="5"/>
      <c r="AF1063" t="s">
        <v>7208</v>
      </c>
      <c r="AG1063" s="24" t="s">
        <v>6297</v>
      </c>
      <c r="AH1063" s="5" t="s">
        <v>7208</v>
      </c>
      <c r="AI1063" s="5">
        <v>18444.691500000001</v>
      </c>
      <c r="AJ1063" s="5">
        <v>18444.691500000001</v>
      </c>
      <c r="AK1063">
        <v>17130.680199999999</v>
      </c>
      <c r="AL1063" s="5" t="str">
        <f t="shared" si="34"/>
        <v>Муниципальное образование Алапаевское</v>
      </c>
    </row>
    <row r="1064" spans="1:38" ht="15" customHeight="1" x14ac:dyDescent="0.25">
      <c r="A1064" s="3" t="s">
        <v>1556</v>
      </c>
      <c r="B1064" s="3" t="s">
        <v>33</v>
      </c>
      <c r="C1064" s="5">
        <v>84298.205100000006</v>
      </c>
      <c r="D1064" s="5">
        <v>84298.205100000006</v>
      </c>
      <c r="E1064" s="5">
        <v>76333.533100000001</v>
      </c>
      <c r="F1064" t="s">
        <v>7249</v>
      </c>
      <c r="G1064" s="5" t="str">
        <f t="shared" si="33"/>
        <v>ВИЗ</v>
      </c>
      <c r="J1064" s="5"/>
      <c r="AF1064" t="s">
        <v>7208</v>
      </c>
      <c r="AG1064" s="24" t="s">
        <v>6298</v>
      </c>
      <c r="AH1064" s="5" t="s">
        <v>7208</v>
      </c>
      <c r="AI1064" s="5">
        <v>18444.691500000001</v>
      </c>
      <c r="AJ1064" s="5">
        <v>18444.691500000001</v>
      </c>
      <c r="AK1064">
        <v>17130.680199999999</v>
      </c>
      <c r="AL1064" s="5" t="str">
        <f t="shared" si="34"/>
        <v>Муниципальное образование Алапаевское</v>
      </c>
    </row>
    <row r="1065" spans="1:38" ht="15" customHeight="1" x14ac:dyDescent="0.25">
      <c r="A1065" s="3" t="s">
        <v>1557</v>
      </c>
      <c r="B1065" s="3" t="s">
        <v>1647</v>
      </c>
      <c r="C1065" s="5">
        <v>63178.133800000003</v>
      </c>
      <c r="D1065" s="5">
        <v>63178.133800000003</v>
      </c>
      <c r="E1065" s="5">
        <v>57208.931499999999</v>
      </c>
      <c r="F1065" t="s">
        <v>7249</v>
      </c>
      <c r="G1065" s="5" t="str">
        <f t="shared" si="33"/>
        <v>ШИРОКАЯ РЕЧКА</v>
      </c>
      <c r="J1065" s="5"/>
      <c r="AF1065" t="s">
        <v>7209</v>
      </c>
      <c r="AG1065" s="24" t="s">
        <v>6299</v>
      </c>
      <c r="AH1065" s="5" t="s">
        <v>7209</v>
      </c>
      <c r="AI1065" s="5">
        <v>22802.3302</v>
      </c>
      <c r="AJ1065" s="5">
        <v>22802.3302</v>
      </c>
      <c r="AK1065">
        <v>21177.874500000002</v>
      </c>
      <c r="AL1065" s="5" t="str">
        <f t="shared" si="34"/>
        <v>Муниципальное образование город Алапаевск</v>
      </c>
    </row>
    <row r="1066" spans="1:38" ht="15" customHeight="1" x14ac:dyDescent="0.25">
      <c r="A1066" s="3" t="s">
        <v>1558</v>
      </c>
      <c r="B1066" s="3" t="s">
        <v>1640</v>
      </c>
      <c r="C1066" s="5">
        <v>64914.8</v>
      </c>
      <c r="D1066" s="5">
        <v>64914.8</v>
      </c>
      <c r="E1066" s="5">
        <v>58781.519200000002</v>
      </c>
      <c r="F1066" t="s">
        <v>7249</v>
      </c>
      <c r="G1066" s="5" t="str">
        <f t="shared" si="33"/>
        <v>Новая сортировка</v>
      </c>
      <c r="J1066" s="5"/>
      <c r="AF1066" t="s">
        <v>7209</v>
      </c>
      <c r="AG1066" s="24" t="s">
        <v>6300</v>
      </c>
      <c r="AH1066" s="5" t="s">
        <v>7209</v>
      </c>
      <c r="AI1066" s="5">
        <v>28172.804899999999</v>
      </c>
      <c r="AJ1066" s="5">
        <v>28172.804899999999</v>
      </c>
      <c r="AK1066">
        <v>26165.7539</v>
      </c>
      <c r="AL1066" s="5" t="str">
        <f t="shared" si="34"/>
        <v>Муниципальное образование город Алапаевск</v>
      </c>
    </row>
    <row r="1067" spans="1:38" ht="15" customHeight="1" x14ac:dyDescent="0.25">
      <c r="A1067" s="3" t="s">
        <v>1559</v>
      </c>
      <c r="B1067" s="3" t="s">
        <v>1650</v>
      </c>
      <c r="C1067" s="5">
        <v>37590.3603</v>
      </c>
      <c r="D1067" s="5">
        <v>37590.3603</v>
      </c>
      <c r="E1067" s="5">
        <v>34038.745900000002</v>
      </c>
      <c r="F1067" t="s">
        <v>7249</v>
      </c>
      <c r="G1067" s="5" t="str">
        <f t="shared" si="33"/>
        <v>ШАБРОВСКИЙ</v>
      </c>
      <c r="J1067" s="5"/>
      <c r="AF1067" t="s">
        <v>7209</v>
      </c>
      <c r="AG1067" s="24" t="s">
        <v>6301</v>
      </c>
      <c r="AH1067" s="5" t="s">
        <v>7209</v>
      </c>
      <c r="AI1067" s="5">
        <v>23373.487700000001</v>
      </c>
      <c r="AJ1067" s="5">
        <v>23373.487700000001</v>
      </c>
      <c r="AK1067">
        <v>21708.342700000001</v>
      </c>
      <c r="AL1067" s="5" t="str">
        <f t="shared" si="34"/>
        <v>Муниципальное образование город Алапаевск</v>
      </c>
    </row>
    <row r="1068" spans="1:38" ht="15" customHeight="1" x14ac:dyDescent="0.25">
      <c r="A1068" s="3" t="s">
        <v>1560</v>
      </c>
      <c r="B1068" s="3" t="s">
        <v>33</v>
      </c>
      <c r="C1068" s="5">
        <v>84298.205100000006</v>
      </c>
      <c r="D1068" s="5">
        <v>84298.205100000006</v>
      </c>
      <c r="E1068" s="5">
        <v>76333.533100000001</v>
      </c>
      <c r="F1068" t="s">
        <v>7249</v>
      </c>
      <c r="G1068" s="5" t="str">
        <f t="shared" si="33"/>
        <v>ВИЗ</v>
      </c>
      <c r="J1068" s="5"/>
      <c r="AF1068" t="s">
        <v>7209</v>
      </c>
      <c r="AG1068" s="24" t="s">
        <v>6302</v>
      </c>
      <c r="AH1068" s="5" t="s">
        <v>7209</v>
      </c>
      <c r="AI1068" s="5">
        <v>22802.3302</v>
      </c>
      <c r="AJ1068" s="5">
        <v>22802.3302</v>
      </c>
      <c r="AK1068">
        <v>21177.874500000002</v>
      </c>
      <c r="AL1068" s="5" t="str">
        <f t="shared" si="34"/>
        <v>Муниципальное образование город Алапаевск</v>
      </c>
    </row>
    <row r="1069" spans="1:38" ht="15" customHeight="1" x14ac:dyDescent="0.25">
      <c r="A1069" s="3" t="s">
        <v>1561</v>
      </c>
      <c r="B1069" s="3" t="s">
        <v>33</v>
      </c>
      <c r="C1069" s="5">
        <v>84298.205100000006</v>
      </c>
      <c r="D1069" s="5">
        <v>84298.205100000006</v>
      </c>
      <c r="E1069" s="5">
        <v>76333.533100000001</v>
      </c>
      <c r="F1069" t="s">
        <v>7249</v>
      </c>
      <c r="G1069" s="5" t="str">
        <f t="shared" si="33"/>
        <v>ВИЗ</v>
      </c>
      <c r="J1069" s="5"/>
      <c r="AF1069" t="s">
        <v>7209</v>
      </c>
      <c r="AG1069" s="24" t="s">
        <v>6303</v>
      </c>
      <c r="AH1069" s="5" t="s">
        <v>7209</v>
      </c>
      <c r="AI1069" s="5">
        <v>23373.487700000001</v>
      </c>
      <c r="AJ1069" s="5">
        <v>23373.487700000001</v>
      </c>
      <c r="AK1069">
        <v>21708.342700000001</v>
      </c>
      <c r="AL1069" s="5" t="str">
        <f t="shared" si="34"/>
        <v>Муниципальное образование город Алапаевск</v>
      </c>
    </row>
    <row r="1070" spans="1:38" ht="15" customHeight="1" x14ac:dyDescent="0.25">
      <c r="A1070" s="3" t="s">
        <v>1562</v>
      </c>
      <c r="B1070" s="3" t="s">
        <v>33</v>
      </c>
      <c r="C1070" s="5">
        <v>84298.205100000006</v>
      </c>
      <c r="D1070" s="5">
        <v>84298.205100000006</v>
      </c>
      <c r="E1070" s="5">
        <v>76333.533100000001</v>
      </c>
      <c r="F1070" t="s">
        <v>7249</v>
      </c>
      <c r="G1070" s="5" t="str">
        <f t="shared" si="33"/>
        <v>ВИЗ</v>
      </c>
      <c r="J1070" s="5"/>
      <c r="AF1070" t="s">
        <v>7209</v>
      </c>
      <c r="AG1070" s="24" t="s">
        <v>6304</v>
      </c>
      <c r="AH1070" s="5" t="s">
        <v>7209</v>
      </c>
      <c r="AI1070" s="5">
        <v>22802.3302</v>
      </c>
      <c r="AJ1070" s="5">
        <v>22802.3302</v>
      </c>
      <c r="AK1070">
        <v>21177.874500000002</v>
      </c>
      <c r="AL1070" s="5" t="str">
        <f t="shared" si="34"/>
        <v>Муниципальное образование город Алапаевск</v>
      </c>
    </row>
    <row r="1071" spans="1:38" ht="15" customHeight="1" x14ac:dyDescent="0.25">
      <c r="A1071" s="3" t="s">
        <v>1563</v>
      </c>
      <c r="B1071" s="3" t="s">
        <v>1636</v>
      </c>
      <c r="C1071" s="5">
        <v>52246.960299999999</v>
      </c>
      <c r="D1071" s="5">
        <v>52246.960299999999</v>
      </c>
      <c r="E1071" s="5">
        <v>47310.556700000001</v>
      </c>
      <c r="F1071" t="s">
        <v>7249</v>
      </c>
      <c r="G1071" s="5" t="str">
        <f t="shared" si="33"/>
        <v>ГОРНЫЙ ЩИТ</v>
      </c>
      <c r="J1071" s="5"/>
      <c r="AF1071" t="s">
        <v>7209</v>
      </c>
      <c r="AG1071" s="24" t="s">
        <v>6305</v>
      </c>
      <c r="AH1071" s="5" t="s">
        <v>7209</v>
      </c>
      <c r="AI1071" s="5">
        <v>22802.3302</v>
      </c>
      <c r="AJ1071" s="5">
        <v>22802.3302</v>
      </c>
      <c r="AK1071">
        <v>21177.874500000002</v>
      </c>
      <c r="AL1071" s="5" t="str">
        <f t="shared" si="34"/>
        <v>Муниципальное образование город Алапаевск</v>
      </c>
    </row>
    <row r="1072" spans="1:38" ht="15" customHeight="1" x14ac:dyDescent="0.25">
      <c r="A1072" s="3" t="s">
        <v>1564</v>
      </c>
      <c r="B1072" s="3" t="s">
        <v>1662</v>
      </c>
      <c r="C1072" s="5">
        <v>46784.877899999999</v>
      </c>
      <c r="D1072" s="5">
        <v>46784.877899999999</v>
      </c>
      <c r="E1072" s="5">
        <v>42364.543299999998</v>
      </c>
      <c r="F1072" t="s">
        <v>7249</v>
      </c>
      <c r="G1072" s="5" t="str">
        <f t="shared" si="33"/>
        <v>РУДНЫЙ</v>
      </c>
      <c r="J1072" s="5"/>
      <c r="AF1072" t="s">
        <v>7209</v>
      </c>
      <c r="AG1072" s="24" t="s">
        <v>6306</v>
      </c>
      <c r="AH1072" s="5" t="s">
        <v>7209</v>
      </c>
      <c r="AI1072" s="5">
        <v>22802.3302</v>
      </c>
      <c r="AJ1072" s="5">
        <v>22802.3302</v>
      </c>
      <c r="AK1072">
        <v>21177.874500000002</v>
      </c>
      <c r="AL1072" s="5" t="str">
        <f t="shared" si="34"/>
        <v>Муниципальное образование город Алапаевск</v>
      </c>
    </row>
    <row r="1073" spans="1:38" ht="15" customHeight="1" x14ac:dyDescent="0.25">
      <c r="A1073" s="3" t="s">
        <v>1565</v>
      </c>
      <c r="B1073" s="3" t="s">
        <v>1638</v>
      </c>
      <c r="C1073" s="5">
        <v>63640.311600000001</v>
      </c>
      <c r="D1073" s="5">
        <v>63640.311600000001</v>
      </c>
      <c r="E1073" s="5">
        <v>57627.4473</v>
      </c>
      <c r="F1073" t="s">
        <v>7249</v>
      </c>
      <c r="G1073" s="5" t="str">
        <f t="shared" si="33"/>
        <v>УКТУС</v>
      </c>
      <c r="J1073" s="5"/>
      <c r="AF1073" t="s">
        <v>7209</v>
      </c>
      <c r="AG1073" s="24" t="s">
        <v>6307</v>
      </c>
      <c r="AH1073" s="5" t="s">
        <v>7209</v>
      </c>
      <c r="AI1073" s="5">
        <v>22802.3302</v>
      </c>
      <c r="AJ1073" s="5">
        <v>22802.3302</v>
      </c>
      <c r="AK1073">
        <v>21177.874500000002</v>
      </c>
      <c r="AL1073" s="5" t="str">
        <f t="shared" si="34"/>
        <v>Муниципальное образование город Алапаевск</v>
      </c>
    </row>
    <row r="1074" spans="1:38" ht="15" customHeight="1" x14ac:dyDescent="0.25">
      <c r="A1074" s="3" t="s">
        <v>1567</v>
      </c>
      <c r="B1074" s="3" t="s">
        <v>14</v>
      </c>
      <c r="C1074" s="5">
        <v>93989.912800000006</v>
      </c>
      <c r="D1074" s="5">
        <v>93989.912800000006</v>
      </c>
      <c r="E1074" s="5">
        <v>85109.545199999993</v>
      </c>
      <c r="F1074" t="s">
        <v>7249</v>
      </c>
      <c r="G1074" s="5" t="str">
        <f t="shared" si="33"/>
        <v>Центр</v>
      </c>
      <c r="J1074" s="5"/>
      <c r="AF1074" t="s">
        <v>7209</v>
      </c>
      <c r="AG1074" s="24" t="s">
        <v>6308</v>
      </c>
      <c r="AH1074" s="5" t="s">
        <v>7209</v>
      </c>
      <c r="AI1074" s="5">
        <v>22802.3302</v>
      </c>
      <c r="AJ1074" s="5">
        <v>22802.3302</v>
      </c>
      <c r="AK1074">
        <v>21177.874500000002</v>
      </c>
      <c r="AL1074" s="5" t="str">
        <f t="shared" si="34"/>
        <v>Муниципальное образование город Алапаевск</v>
      </c>
    </row>
    <row r="1075" spans="1:38" ht="15" customHeight="1" x14ac:dyDescent="0.25">
      <c r="A1075" s="3" t="s">
        <v>1568</v>
      </c>
      <c r="B1075" s="3" t="s">
        <v>33</v>
      </c>
      <c r="C1075" s="5">
        <v>84298.205100000006</v>
      </c>
      <c r="D1075" s="5">
        <v>84298.205100000006</v>
      </c>
      <c r="E1075" s="5">
        <v>76333.533100000001</v>
      </c>
      <c r="F1075" t="s">
        <v>7249</v>
      </c>
      <c r="G1075" s="5" t="str">
        <f t="shared" si="33"/>
        <v>ВИЗ</v>
      </c>
      <c r="J1075" s="5"/>
      <c r="AF1075" t="s">
        <v>7209</v>
      </c>
      <c r="AG1075" s="24" t="s">
        <v>6309</v>
      </c>
      <c r="AH1075" s="5" t="s">
        <v>7209</v>
      </c>
      <c r="AI1075" s="5">
        <v>23373.487700000001</v>
      </c>
      <c r="AJ1075" s="5">
        <v>23373.487700000001</v>
      </c>
      <c r="AK1075">
        <v>21708.342700000001</v>
      </c>
      <c r="AL1075" s="5" t="str">
        <f t="shared" si="34"/>
        <v>Муниципальное образование город Алапаевск</v>
      </c>
    </row>
    <row r="1076" spans="1:38" ht="15" customHeight="1" x14ac:dyDescent="0.25">
      <c r="A1076" s="3" t="s">
        <v>1569</v>
      </c>
      <c r="B1076" s="3" t="s">
        <v>1651</v>
      </c>
      <c r="C1076" s="5">
        <v>68129.029500000004</v>
      </c>
      <c r="D1076" s="5">
        <v>68129.029500000004</v>
      </c>
      <c r="E1076" s="5">
        <v>61692.054799999998</v>
      </c>
      <c r="F1076" t="s">
        <v>7249</v>
      </c>
      <c r="G1076" s="5" t="str">
        <f t="shared" si="33"/>
        <v>ШАРТАШ</v>
      </c>
      <c r="J1076" s="5"/>
      <c r="AF1076" t="s">
        <v>7210</v>
      </c>
      <c r="AG1076" s="24" t="s">
        <v>6310</v>
      </c>
      <c r="AH1076" s="5" t="s">
        <v>7210</v>
      </c>
      <c r="AI1076" s="5">
        <v>28229.5759</v>
      </c>
      <c r="AJ1076" s="5">
        <v>28229.5759</v>
      </c>
      <c r="AK1076">
        <v>26218.4787</v>
      </c>
      <c r="AL1076" s="5" t="str">
        <f t="shared" si="34"/>
        <v>Муниципальное образование город Ирбит</v>
      </c>
    </row>
    <row r="1077" spans="1:38" ht="15" customHeight="1" x14ac:dyDescent="0.25">
      <c r="A1077" s="3" t="s">
        <v>1570</v>
      </c>
      <c r="B1077" s="3" t="s">
        <v>1657</v>
      </c>
      <c r="C1077" s="5">
        <v>54886.9666</v>
      </c>
      <c r="D1077" s="5">
        <v>54886.9666</v>
      </c>
      <c r="E1077" s="5">
        <v>49701.1319</v>
      </c>
      <c r="F1077" t="s">
        <v>7249</v>
      </c>
      <c r="G1077" s="5" t="str">
        <f t="shared" si="33"/>
        <v>КОЛЬЦОВО</v>
      </c>
      <c r="J1077" s="5"/>
      <c r="AF1077" t="s">
        <v>7210</v>
      </c>
      <c r="AG1077" s="24" t="s">
        <v>6311</v>
      </c>
      <c r="AH1077" s="5" t="s">
        <v>7210</v>
      </c>
      <c r="AI1077" s="5">
        <v>34878.2857</v>
      </c>
      <c r="AJ1077" s="5">
        <v>34878.2857</v>
      </c>
      <c r="AK1077">
        <v>32393.532599999999</v>
      </c>
      <c r="AL1077" s="5" t="str">
        <f t="shared" si="34"/>
        <v>Муниципальное образование город Ирбит</v>
      </c>
    </row>
    <row r="1078" spans="1:38" ht="15" customHeight="1" x14ac:dyDescent="0.25">
      <c r="A1078" s="3" t="s">
        <v>1571</v>
      </c>
      <c r="B1078" s="3" t="s">
        <v>66</v>
      </c>
      <c r="C1078" s="5">
        <v>64795.756300000001</v>
      </c>
      <c r="D1078" s="5">
        <v>64795.756300000001</v>
      </c>
      <c r="E1078" s="5">
        <v>58673.716200000003</v>
      </c>
      <c r="F1078" t="s">
        <v>7249</v>
      </c>
      <c r="G1078" s="5" t="str">
        <f t="shared" si="33"/>
        <v>УНЦ</v>
      </c>
      <c r="J1078" s="5"/>
      <c r="AF1078" t="s">
        <v>7211</v>
      </c>
      <c r="AG1078" s="24" t="s">
        <v>5196</v>
      </c>
      <c r="AH1078" s="5" t="s">
        <v>7211</v>
      </c>
      <c r="AI1078" s="5">
        <v>25238.569899999999</v>
      </c>
      <c r="AJ1078" s="5">
        <v>25238.569899999999</v>
      </c>
      <c r="AK1078">
        <v>24735.775000000001</v>
      </c>
      <c r="AL1078" s="5" t="str">
        <f t="shared" si="34"/>
        <v>Муниципальное образование город Каменск-Уральский</v>
      </c>
    </row>
    <row r="1079" spans="1:38" ht="15" customHeight="1" x14ac:dyDescent="0.25">
      <c r="A1079" s="3" t="s">
        <v>1573</v>
      </c>
      <c r="B1079" s="3" t="s">
        <v>1643</v>
      </c>
      <c r="C1079" s="5">
        <v>76630.280299999999</v>
      </c>
      <c r="D1079" s="5">
        <v>76630.280299999999</v>
      </c>
      <c r="E1079" s="5">
        <v>69390.088799999998</v>
      </c>
      <c r="F1079" t="s">
        <v>7249</v>
      </c>
      <c r="G1079" s="5" t="str">
        <f t="shared" si="33"/>
        <v>Ю-З</v>
      </c>
      <c r="J1079" s="5"/>
      <c r="AF1079" t="s">
        <v>7211</v>
      </c>
      <c r="AG1079" s="24" t="s">
        <v>6312</v>
      </c>
      <c r="AH1079" s="5" t="s">
        <v>7211</v>
      </c>
      <c r="AI1079" s="5">
        <v>25238.569899999999</v>
      </c>
      <c r="AJ1079" s="5">
        <v>25238.569899999999</v>
      </c>
      <c r="AK1079">
        <v>24735.775000000001</v>
      </c>
      <c r="AL1079" s="5" t="str">
        <f t="shared" si="34"/>
        <v>Муниципальное образование город Каменск-Уральский</v>
      </c>
    </row>
    <row r="1080" spans="1:38" ht="15" customHeight="1" x14ac:dyDescent="0.25">
      <c r="A1080" s="3" t="s">
        <v>1574</v>
      </c>
      <c r="B1080" s="3" t="s">
        <v>1631</v>
      </c>
      <c r="C1080" s="5">
        <v>70026.7601</v>
      </c>
      <c r="D1080" s="5">
        <v>70026.7601</v>
      </c>
      <c r="E1080" s="5">
        <v>63410.482000000004</v>
      </c>
      <c r="F1080" t="s">
        <v>7249</v>
      </c>
      <c r="G1080" s="5" t="str">
        <f t="shared" si="33"/>
        <v>УРАЛМАШ</v>
      </c>
      <c r="J1080" s="5"/>
      <c r="AF1080" t="s">
        <v>7211</v>
      </c>
      <c r="AG1080" s="24" t="s">
        <v>5205</v>
      </c>
      <c r="AH1080" s="5" t="s">
        <v>7211</v>
      </c>
      <c r="AI1080" s="5">
        <v>25238.569899999999</v>
      </c>
      <c r="AJ1080" s="5">
        <v>25238.569899999999</v>
      </c>
      <c r="AK1080">
        <v>24735.775000000001</v>
      </c>
      <c r="AL1080" s="5" t="str">
        <f t="shared" si="34"/>
        <v>Муниципальное образование город Каменск-Уральский</v>
      </c>
    </row>
    <row r="1081" spans="1:38" ht="15" customHeight="1" x14ac:dyDescent="0.25">
      <c r="A1081" s="3" t="s">
        <v>1575</v>
      </c>
      <c r="B1081" s="3" t="s">
        <v>14</v>
      </c>
      <c r="C1081" s="5">
        <v>93989.912800000006</v>
      </c>
      <c r="D1081" s="5">
        <v>93989.912800000006</v>
      </c>
      <c r="E1081" s="5">
        <v>85109.545199999993</v>
      </c>
      <c r="F1081" t="s">
        <v>7249</v>
      </c>
      <c r="G1081" s="5" t="str">
        <f t="shared" si="33"/>
        <v>Центр</v>
      </c>
      <c r="J1081" s="5"/>
      <c r="AF1081" t="s">
        <v>7211</v>
      </c>
      <c r="AG1081" s="24" t="s">
        <v>6313</v>
      </c>
      <c r="AH1081" s="5" t="s">
        <v>7211</v>
      </c>
      <c r="AI1081" s="5">
        <v>25238.569899999999</v>
      </c>
      <c r="AJ1081" s="5">
        <v>25238.569899999999</v>
      </c>
      <c r="AK1081">
        <v>24735.775000000001</v>
      </c>
      <c r="AL1081" s="5" t="str">
        <f t="shared" si="34"/>
        <v>Муниципальное образование город Каменск-Уральский</v>
      </c>
    </row>
    <row r="1082" spans="1:38" ht="15" customHeight="1" x14ac:dyDescent="0.25">
      <c r="A1082" s="3" t="s">
        <v>1576</v>
      </c>
      <c r="B1082" s="3" t="s">
        <v>1637</v>
      </c>
      <c r="C1082" s="5">
        <v>59368.686099999999</v>
      </c>
      <c r="D1082" s="5">
        <v>59368.686099999999</v>
      </c>
      <c r="E1082" s="5">
        <v>53759.401700000002</v>
      </c>
      <c r="F1082" t="s">
        <v>7249</v>
      </c>
      <c r="G1082" s="5" t="str">
        <f t="shared" si="33"/>
        <v>Старая сортировка</v>
      </c>
      <c r="J1082" s="5"/>
      <c r="AF1082" t="s">
        <v>7211</v>
      </c>
      <c r="AG1082" s="24" t="s">
        <v>6314</v>
      </c>
      <c r="AH1082" s="5" t="s">
        <v>7211</v>
      </c>
      <c r="AI1082" s="5">
        <v>25238.569899999999</v>
      </c>
      <c r="AJ1082" s="5">
        <v>25238.569899999999</v>
      </c>
      <c r="AK1082">
        <v>24735.775000000001</v>
      </c>
      <c r="AL1082" s="5" t="str">
        <f t="shared" si="34"/>
        <v>Муниципальное образование город Каменск-Уральский</v>
      </c>
    </row>
    <row r="1083" spans="1:38" ht="15" customHeight="1" x14ac:dyDescent="0.25">
      <c r="A1083" s="3" t="s">
        <v>1577</v>
      </c>
      <c r="B1083" s="3" t="s">
        <v>1631</v>
      </c>
      <c r="C1083" s="5">
        <v>70026.7601</v>
      </c>
      <c r="D1083" s="5">
        <v>70026.7601</v>
      </c>
      <c r="E1083" s="5">
        <v>63410.482000000004</v>
      </c>
      <c r="F1083" t="s">
        <v>7249</v>
      </c>
      <c r="G1083" s="5" t="str">
        <f t="shared" si="33"/>
        <v>УРАЛМАШ</v>
      </c>
      <c r="J1083" s="5"/>
      <c r="AF1083" t="s">
        <v>7211</v>
      </c>
      <c r="AG1083" s="24" t="s">
        <v>5211</v>
      </c>
      <c r="AH1083" s="5" t="s">
        <v>7211</v>
      </c>
      <c r="AI1083" s="5">
        <v>25238.569899999999</v>
      </c>
      <c r="AJ1083" s="5">
        <v>25238.569899999999</v>
      </c>
      <c r="AK1083">
        <v>24735.775000000001</v>
      </c>
      <c r="AL1083" s="5" t="str">
        <f t="shared" si="34"/>
        <v>Муниципальное образование город Каменск-Уральский</v>
      </c>
    </row>
    <row r="1084" spans="1:38" ht="15" customHeight="1" x14ac:dyDescent="0.25">
      <c r="A1084" s="3" t="s">
        <v>1578</v>
      </c>
      <c r="B1084" s="3" t="s">
        <v>1639</v>
      </c>
      <c r="C1084" s="5">
        <v>53500.443299999999</v>
      </c>
      <c r="D1084" s="5">
        <v>53500.443299999999</v>
      </c>
      <c r="E1084" s="5">
        <v>48445.605100000001</v>
      </c>
      <c r="F1084" t="s">
        <v>7249</v>
      </c>
      <c r="G1084" s="5" t="str">
        <f t="shared" si="33"/>
        <v>ИСТОК</v>
      </c>
      <c r="J1084" s="5"/>
      <c r="AF1084" t="s">
        <v>7211</v>
      </c>
      <c r="AG1084" s="24" t="s">
        <v>6315</v>
      </c>
      <c r="AH1084" s="5" t="s">
        <v>7211</v>
      </c>
      <c r="AI1084" s="5">
        <v>25238.569899999999</v>
      </c>
      <c r="AJ1084" s="5">
        <v>25238.569899999999</v>
      </c>
      <c r="AK1084">
        <v>24735.775000000001</v>
      </c>
      <c r="AL1084" s="5" t="str">
        <f t="shared" si="34"/>
        <v>Муниципальное образование город Каменск-Уральский</v>
      </c>
    </row>
    <row r="1085" spans="1:38" ht="15" customHeight="1" x14ac:dyDescent="0.25">
      <c r="A1085" s="3" t="s">
        <v>1579</v>
      </c>
      <c r="B1085" s="3" t="s">
        <v>1631</v>
      </c>
      <c r="C1085" s="5">
        <v>70026.7601</v>
      </c>
      <c r="D1085" s="5">
        <v>70026.7601</v>
      </c>
      <c r="E1085" s="5">
        <v>63410.482000000004</v>
      </c>
      <c r="F1085" t="s">
        <v>7249</v>
      </c>
      <c r="G1085" s="5" t="str">
        <f t="shared" si="33"/>
        <v>УРАЛМАШ</v>
      </c>
      <c r="J1085" s="5"/>
      <c r="AF1085" t="s">
        <v>7212</v>
      </c>
      <c r="AG1085" s="24" t="s">
        <v>6316</v>
      </c>
      <c r="AH1085" s="5" t="s">
        <v>7212</v>
      </c>
      <c r="AI1085" s="5">
        <v>22350.722099999999</v>
      </c>
      <c r="AJ1085" s="5">
        <v>22350.722099999999</v>
      </c>
      <c r="AK1085">
        <v>20758.439999999999</v>
      </c>
      <c r="AL1085" s="5" t="str">
        <f t="shared" si="34"/>
        <v>муниципальное образование Камышловский муниципальный район</v>
      </c>
    </row>
    <row r="1086" spans="1:38" ht="15" customHeight="1" x14ac:dyDescent="0.25">
      <c r="A1086" s="3" t="s">
        <v>1580</v>
      </c>
      <c r="B1086" s="3" t="s">
        <v>1659</v>
      </c>
      <c r="C1086" s="5">
        <v>59746.832600000002</v>
      </c>
      <c r="D1086" s="5">
        <v>59746.832600000002</v>
      </c>
      <c r="E1086" s="5">
        <v>54101.823700000001</v>
      </c>
      <c r="F1086" t="s">
        <v>7249</v>
      </c>
      <c r="G1086" s="5" t="str">
        <f t="shared" si="33"/>
        <v>СОВХОЗ</v>
      </c>
      <c r="J1086" s="5"/>
      <c r="AF1086" t="s">
        <v>7212</v>
      </c>
      <c r="AG1086" s="24" t="s">
        <v>6317</v>
      </c>
      <c r="AH1086" s="5" t="s">
        <v>7212</v>
      </c>
      <c r="AI1086" s="5">
        <v>22350.722099999999</v>
      </c>
      <c r="AJ1086" s="5">
        <v>22350.722099999999</v>
      </c>
      <c r="AK1086">
        <v>20758.439999999999</v>
      </c>
      <c r="AL1086" s="5" t="str">
        <f t="shared" si="34"/>
        <v>муниципальное образование Камышловский муниципальный район</v>
      </c>
    </row>
    <row r="1087" spans="1:38" ht="15" customHeight="1" x14ac:dyDescent="0.25">
      <c r="A1087" s="3" t="s">
        <v>1581</v>
      </c>
      <c r="B1087" s="3" t="s">
        <v>1637</v>
      </c>
      <c r="C1087" s="5">
        <v>59368.686099999999</v>
      </c>
      <c r="D1087" s="5">
        <v>59368.686099999999</v>
      </c>
      <c r="E1087" s="5">
        <v>53759.401700000002</v>
      </c>
      <c r="F1087" t="s">
        <v>7249</v>
      </c>
      <c r="G1087" s="5" t="str">
        <f t="shared" si="33"/>
        <v>Старая сортировка</v>
      </c>
      <c r="J1087" s="5"/>
      <c r="AF1087" t="s">
        <v>7212</v>
      </c>
      <c r="AG1087" s="24" t="s">
        <v>6318</v>
      </c>
      <c r="AH1087" s="5" t="s">
        <v>7212</v>
      </c>
      <c r="AI1087" s="5">
        <v>22350.722099999999</v>
      </c>
      <c r="AJ1087" s="5">
        <v>22350.722099999999</v>
      </c>
      <c r="AK1087">
        <v>20758.439999999999</v>
      </c>
      <c r="AL1087" s="5" t="str">
        <f t="shared" si="34"/>
        <v>муниципальное образование Камышловский муниципальный район</v>
      </c>
    </row>
    <row r="1088" spans="1:38" ht="15" customHeight="1" x14ac:dyDescent="0.25">
      <c r="A1088" s="3" t="s">
        <v>1582</v>
      </c>
      <c r="B1088" s="3" t="s">
        <v>1638</v>
      </c>
      <c r="C1088" s="5">
        <v>63640.311600000001</v>
      </c>
      <c r="D1088" s="5">
        <v>63640.311600000001</v>
      </c>
      <c r="E1088" s="5">
        <v>57627.4473</v>
      </c>
      <c r="F1088" t="s">
        <v>7249</v>
      </c>
      <c r="G1088" s="5" t="str">
        <f t="shared" si="33"/>
        <v>УКТУС</v>
      </c>
      <c r="J1088" s="5"/>
      <c r="AF1088" t="s">
        <v>7212</v>
      </c>
      <c r="AG1088" s="24" t="s">
        <v>6319</v>
      </c>
      <c r="AH1088" s="5" t="s">
        <v>7212</v>
      </c>
      <c r="AI1088" s="5">
        <v>22350.722099999999</v>
      </c>
      <c r="AJ1088" s="5">
        <v>22350.722099999999</v>
      </c>
      <c r="AK1088">
        <v>20758.439999999999</v>
      </c>
      <c r="AL1088" s="5" t="str">
        <f t="shared" si="34"/>
        <v>муниципальное образование Камышловский муниципальный район</v>
      </c>
    </row>
    <row r="1089" spans="1:38" ht="15" customHeight="1" x14ac:dyDescent="0.25">
      <c r="A1089" s="3" t="s">
        <v>1583</v>
      </c>
      <c r="B1089" s="3" t="s">
        <v>1661</v>
      </c>
      <c r="C1089" s="5">
        <v>51175.5573</v>
      </c>
      <c r="D1089" s="5">
        <v>51175.5573</v>
      </c>
      <c r="E1089" s="5">
        <v>46340.381600000001</v>
      </c>
      <c r="F1089" t="s">
        <v>7249</v>
      </c>
      <c r="G1089" s="5" t="str">
        <f t="shared" si="33"/>
        <v>СЕВЕРКА</v>
      </c>
      <c r="J1089" s="5"/>
      <c r="AF1089" t="s">
        <v>7212</v>
      </c>
      <c r="AG1089" s="24" t="s">
        <v>6320</v>
      </c>
      <c r="AH1089" s="5" t="s">
        <v>7212</v>
      </c>
      <c r="AI1089" s="5">
        <v>22350.722099999999</v>
      </c>
      <c r="AJ1089" s="5">
        <v>22350.722099999999</v>
      </c>
      <c r="AK1089">
        <v>20758.439999999999</v>
      </c>
      <c r="AL1089" s="5" t="str">
        <f t="shared" si="34"/>
        <v>муниципальное образование Камышловский муниципальный район</v>
      </c>
    </row>
    <row r="1090" spans="1:38" ht="15" customHeight="1" x14ac:dyDescent="0.25">
      <c r="A1090" s="3" t="s">
        <v>1584</v>
      </c>
      <c r="B1090" s="3" t="s">
        <v>1639</v>
      </c>
      <c r="C1090" s="5">
        <v>53500.443299999999</v>
      </c>
      <c r="D1090" s="5">
        <v>53500.443299999999</v>
      </c>
      <c r="E1090" s="5">
        <v>48445.605100000001</v>
      </c>
      <c r="F1090" t="s">
        <v>7249</v>
      </c>
      <c r="G1090" s="5" t="str">
        <f t="shared" si="33"/>
        <v>ИСТОК</v>
      </c>
      <c r="J1090" s="5"/>
      <c r="AF1090" t="s">
        <v>7212</v>
      </c>
      <c r="AG1090" s="24" t="s">
        <v>6321</v>
      </c>
      <c r="AH1090" s="5" t="s">
        <v>7212</v>
      </c>
      <c r="AI1090" s="5">
        <v>22350.722099999999</v>
      </c>
      <c r="AJ1090" s="5">
        <v>22350.722099999999</v>
      </c>
      <c r="AK1090">
        <v>20758.439999999999</v>
      </c>
      <c r="AL1090" s="5" t="str">
        <f t="shared" si="34"/>
        <v>муниципальное образование Камышловский муниципальный район</v>
      </c>
    </row>
    <row r="1091" spans="1:38" ht="15" customHeight="1" x14ac:dyDescent="0.25">
      <c r="A1091" s="3" t="s">
        <v>1585</v>
      </c>
      <c r="B1091" s="3" t="s">
        <v>14</v>
      </c>
      <c r="C1091" s="5">
        <v>93989.912800000006</v>
      </c>
      <c r="D1091" s="5">
        <v>93989.912800000006</v>
      </c>
      <c r="E1091" s="5">
        <v>85109.545199999993</v>
      </c>
      <c r="F1091" t="s">
        <v>7249</v>
      </c>
      <c r="G1091" s="5" t="str">
        <f t="shared" si="33"/>
        <v>Центр</v>
      </c>
      <c r="J1091" s="5"/>
      <c r="AF1091" t="s">
        <v>7212</v>
      </c>
      <c r="AG1091" s="24" t="s">
        <v>6322</v>
      </c>
      <c r="AH1091" s="5" t="s">
        <v>7212</v>
      </c>
      <c r="AI1091" s="5">
        <v>22350.722099999999</v>
      </c>
      <c r="AJ1091" s="5">
        <v>22350.722099999999</v>
      </c>
      <c r="AK1091">
        <v>20758.439999999999</v>
      </c>
      <c r="AL1091" s="5" t="str">
        <f t="shared" si="34"/>
        <v>муниципальное образование Камышловский муниципальный район</v>
      </c>
    </row>
    <row r="1092" spans="1:38" ht="15" customHeight="1" x14ac:dyDescent="0.25">
      <c r="A1092" s="3" t="s">
        <v>1586</v>
      </c>
      <c r="B1092" s="3" t="s">
        <v>779</v>
      </c>
      <c r="C1092" s="5">
        <v>46784.877899999999</v>
      </c>
      <c r="D1092" s="5">
        <v>46784.877899999999</v>
      </c>
      <c r="E1092" s="5">
        <v>42364.543299999998</v>
      </c>
      <c r="F1092" t="s">
        <v>7249</v>
      </c>
      <c r="G1092" s="5" t="str">
        <f t="shared" ref="G1092:G1155" si="35">B1092</f>
        <v>Нижнеисетский</v>
      </c>
      <c r="J1092" s="5"/>
      <c r="AF1092" t="s">
        <v>7212</v>
      </c>
      <c r="AG1092" s="24" t="s">
        <v>6323</v>
      </c>
      <c r="AH1092" s="5" t="s">
        <v>7212</v>
      </c>
      <c r="AI1092" s="5">
        <v>22350.722099999999</v>
      </c>
      <c r="AJ1092" s="5">
        <v>22350.722099999999</v>
      </c>
      <c r="AK1092">
        <v>20758.439999999999</v>
      </c>
      <c r="AL1092" s="5" t="str">
        <f t="shared" ref="AL1092:AL1155" si="36">AF1092</f>
        <v>муниципальное образование Камышловский муниципальный район</v>
      </c>
    </row>
    <row r="1093" spans="1:38" ht="15" customHeight="1" x14ac:dyDescent="0.25">
      <c r="A1093" s="3" t="s">
        <v>1587</v>
      </c>
      <c r="B1093" s="3" t="s">
        <v>1638</v>
      </c>
      <c r="C1093" s="5">
        <v>63640.311600000001</v>
      </c>
      <c r="D1093" s="5">
        <v>63640.311600000001</v>
      </c>
      <c r="E1093" s="5">
        <v>57627.4473</v>
      </c>
      <c r="F1093" t="s">
        <v>7249</v>
      </c>
      <c r="G1093" s="5" t="str">
        <f t="shared" si="35"/>
        <v>УКТУС</v>
      </c>
      <c r="J1093" s="5"/>
      <c r="AF1093" t="s">
        <v>7212</v>
      </c>
      <c r="AG1093" s="24" t="s">
        <v>6324</v>
      </c>
      <c r="AH1093" s="5" t="s">
        <v>7212</v>
      </c>
      <c r="AI1093" s="5">
        <v>22350.722099999999</v>
      </c>
      <c r="AJ1093" s="5">
        <v>22350.722099999999</v>
      </c>
      <c r="AK1093">
        <v>20758.439999999999</v>
      </c>
      <c r="AL1093" s="5" t="str">
        <f t="shared" si="36"/>
        <v>муниципальное образование Камышловский муниципальный район</v>
      </c>
    </row>
    <row r="1094" spans="1:38" ht="15" customHeight="1" x14ac:dyDescent="0.25">
      <c r="A1094" s="3" t="s">
        <v>1588</v>
      </c>
      <c r="B1094" s="3" t="s">
        <v>1650</v>
      </c>
      <c r="C1094" s="5">
        <v>37590.3603</v>
      </c>
      <c r="D1094" s="5">
        <v>37590.3603</v>
      </c>
      <c r="E1094" s="5">
        <v>34038.745900000002</v>
      </c>
      <c r="F1094" t="s">
        <v>7249</v>
      </c>
      <c r="G1094" s="5" t="str">
        <f t="shared" si="35"/>
        <v>ШАБРОВСКИЙ</v>
      </c>
      <c r="J1094" s="5"/>
      <c r="AF1094" t="s">
        <v>7212</v>
      </c>
      <c r="AG1094" s="24" t="s">
        <v>6325</v>
      </c>
      <c r="AH1094" s="5" t="s">
        <v>7212</v>
      </c>
      <c r="AI1094" s="5">
        <v>22350.722099999999</v>
      </c>
      <c r="AJ1094" s="5">
        <v>22350.722099999999</v>
      </c>
      <c r="AK1094">
        <v>20758.439999999999</v>
      </c>
      <c r="AL1094" s="5" t="str">
        <f t="shared" si="36"/>
        <v>муниципальное образование Камышловский муниципальный район</v>
      </c>
    </row>
    <row r="1095" spans="1:38" ht="15" customHeight="1" x14ac:dyDescent="0.25">
      <c r="A1095" s="3" t="s">
        <v>1589</v>
      </c>
      <c r="B1095" s="3" t="s">
        <v>1665</v>
      </c>
      <c r="C1095" s="5">
        <v>55692.278700000003</v>
      </c>
      <c r="D1095" s="5">
        <v>55692.278700000003</v>
      </c>
      <c r="E1095" s="5">
        <v>50430.350200000001</v>
      </c>
      <c r="F1095" t="s">
        <v>7249</v>
      </c>
      <c r="G1095" s="5" t="str">
        <f t="shared" si="35"/>
        <v>ПОЛЕВОДСТВО</v>
      </c>
      <c r="J1095" s="5"/>
      <c r="AF1095" t="s">
        <v>7212</v>
      </c>
      <c r="AG1095" s="24" t="s">
        <v>6326</v>
      </c>
      <c r="AH1095" s="5" t="s">
        <v>7212</v>
      </c>
      <c r="AI1095" s="5">
        <v>22350.722099999999</v>
      </c>
      <c r="AJ1095" s="5">
        <v>22350.722099999999</v>
      </c>
      <c r="AK1095">
        <v>20758.439999999999</v>
      </c>
      <c r="AL1095" s="5" t="str">
        <f t="shared" si="36"/>
        <v>муниципальное образование Камышловский муниципальный район</v>
      </c>
    </row>
    <row r="1096" spans="1:38" ht="15" customHeight="1" x14ac:dyDescent="0.25">
      <c r="A1096" s="3" t="s">
        <v>1590</v>
      </c>
      <c r="B1096" s="3" t="s">
        <v>1632</v>
      </c>
      <c r="C1096" s="5">
        <v>83744.997499999998</v>
      </c>
      <c r="D1096" s="5">
        <v>83744.997499999998</v>
      </c>
      <c r="E1096" s="5">
        <v>75832.596099999995</v>
      </c>
      <c r="F1096" t="s">
        <v>7249</v>
      </c>
      <c r="G1096" s="5" t="str">
        <f t="shared" si="35"/>
        <v>АВТОВОКЗАЛ</v>
      </c>
      <c r="J1096" s="5"/>
      <c r="AF1096" t="s">
        <v>7212</v>
      </c>
      <c r="AG1096" s="24" t="s">
        <v>6327</v>
      </c>
      <c r="AH1096" s="5" t="s">
        <v>7212</v>
      </c>
      <c r="AI1096" s="5">
        <v>22910.566699999999</v>
      </c>
      <c r="AJ1096" s="5">
        <v>22910.566699999999</v>
      </c>
      <c r="AK1096">
        <v>21278.400399999999</v>
      </c>
      <c r="AL1096" s="5" t="str">
        <f t="shared" si="36"/>
        <v>муниципальное образование Камышловский муниципальный район</v>
      </c>
    </row>
    <row r="1097" spans="1:38" ht="15" customHeight="1" x14ac:dyDescent="0.25">
      <c r="A1097" s="3" t="s">
        <v>1591</v>
      </c>
      <c r="B1097" s="3" t="s">
        <v>1638</v>
      </c>
      <c r="C1097" s="5">
        <v>63640.311600000001</v>
      </c>
      <c r="D1097" s="5">
        <v>63640.311600000001</v>
      </c>
      <c r="E1097" s="5">
        <v>57627.4473</v>
      </c>
      <c r="F1097" t="s">
        <v>7249</v>
      </c>
      <c r="G1097" s="5" t="str">
        <f t="shared" si="35"/>
        <v>УКТУС</v>
      </c>
      <c r="J1097" s="5"/>
      <c r="AF1097" t="s">
        <v>7212</v>
      </c>
      <c r="AG1097" s="24" t="s">
        <v>6328</v>
      </c>
      <c r="AH1097" s="5" t="s">
        <v>7212</v>
      </c>
      <c r="AI1097" s="5">
        <v>22350.722099999999</v>
      </c>
      <c r="AJ1097" s="5">
        <v>22350.722099999999</v>
      </c>
      <c r="AK1097">
        <v>20758.439999999999</v>
      </c>
      <c r="AL1097" s="5" t="str">
        <f t="shared" si="36"/>
        <v>муниципальное образование Камышловский муниципальный район</v>
      </c>
    </row>
    <row r="1098" spans="1:38" ht="15" customHeight="1" x14ac:dyDescent="0.25">
      <c r="A1098" s="3" t="s">
        <v>1592</v>
      </c>
      <c r="B1098" s="3" t="s">
        <v>1647</v>
      </c>
      <c r="C1098" s="5">
        <v>63178.133800000003</v>
      </c>
      <c r="D1098" s="5">
        <v>63178.133800000003</v>
      </c>
      <c r="E1098" s="5">
        <v>57208.931499999999</v>
      </c>
      <c r="F1098" t="s">
        <v>7249</v>
      </c>
      <c r="G1098" s="5" t="str">
        <f t="shared" si="35"/>
        <v>ШИРОКАЯ РЕЧКА</v>
      </c>
      <c r="J1098" s="5"/>
      <c r="AF1098" t="s">
        <v>7212</v>
      </c>
      <c r="AG1098" s="24" t="s">
        <v>6329</v>
      </c>
      <c r="AH1098" s="5" t="s">
        <v>7212</v>
      </c>
      <c r="AI1098" s="5">
        <v>22350.722099999999</v>
      </c>
      <c r="AJ1098" s="5">
        <v>22350.722099999999</v>
      </c>
      <c r="AK1098">
        <v>20758.439999999999</v>
      </c>
      <c r="AL1098" s="5" t="str">
        <f t="shared" si="36"/>
        <v>муниципальное образование Камышловский муниципальный район</v>
      </c>
    </row>
    <row r="1099" spans="1:38" ht="15" customHeight="1" x14ac:dyDescent="0.25">
      <c r="A1099" s="3" t="s">
        <v>1593</v>
      </c>
      <c r="B1099" s="3" t="s">
        <v>1629</v>
      </c>
      <c r="C1099" s="5">
        <v>77743.704100000003</v>
      </c>
      <c r="D1099" s="5">
        <v>77743.704100000003</v>
      </c>
      <c r="E1099" s="5">
        <v>70398.310800000007</v>
      </c>
      <c r="F1099" t="s">
        <v>7249</v>
      </c>
      <c r="G1099" s="5" t="str">
        <f t="shared" si="35"/>
        <v>ПИОНЕРСКИЙ</v>
      </c>
      <c r="J1099" s="5"/>
      <c r="AF1099" t="s">
        <v>7212</v>
      </c>
      <c r="AG1099" s="24" t="s">
        <v>6330</v>
      </c>
      <c r="AH1099" s="5" t="s">
        <v>7212</v>
      </c>
      <c r="AI1099" s="5">
        <v>22350.722099999999</v>
      </c>
      <c r="AJ1099" s="5">
        <v>22350.722099999999</v>
      </c>
      <c r="AK1099">
        <v>20758.439999999999</v>
      </c>
      <c r="AL1099" s="5" t="str">
        <f t="shared" si="36"/>
        <v>муниципальное образование Камышловский муниципальный район</v>
      </c>
    </row>
    <row r="1100" spans="1:38" ht="15" customHeight="1" x14ac:dyDescent="0.25">
      <c r="A1100" s="3" t="s">
        <v>1594</v>
      </c>
      <c r="B1100" s="3" t="s">
        <v>1643</v>
      </c>
      <c r="C1100" s="5">
        <v>76630.280299999999</v>
      </c>
      <c r="D1100" s="5">
        <v>76630.280299999999</v>
      </c>
      <c r="E1100" s="5">
        <v>69390.088799999998</v>
      </c>
      <c r="F1100" t="s">
        <v>7249</v>
      </c>
      <c r="G1100" s="5" t="str">
        <f t="shared" si="35"/>
        <v>Ю-З</v>
      </c>
      <c r="J1100" s="5"/>
      <c r="AF1100" t="s">
        <v>7212</v>
      </c>
      <c r="AG1100" s="24" t="s">
        <v>6331</v>
      </c>
      <c r="AH1100" s="5" t="s">
        <v>7212</v>
      </c>
      <c r="AI1100" s="5">
        <v>22350.722099999999</v>
      </c>
      <c r="AJ1100" s="5">
        <v>22350.722099999999</v>
      </c>
      <c r="AK1100">
        <v>20758.439999999999</v>
      </c>
      <c r="AL1100" s="5" t="str">
        <f t="shared" si="36"/>
        <v>муниципальное образование Камышловский муниципальный район</v>
      </c>
    </row>
    <row r="1101" spans="1:38" ht="15" customHeight="1" x14ac:dyDescent="0.25">
      <c r="A1101" s="3" t="s">
        <v>1595</v>
      </c>
      <c r="B1101" s="3" t="s">
        <v>1643</v>
      </c>
      <c r="C1101" s="5">
        <v>76630.280299999999</v>
      </c>
      <c r="D1101" s="5">
        <v>76630.280299999999</v>
      </c>
      <c r="E1101" s="5">
        <v>69390.088799999998</v>
      </c>
      <c r="F1101" t="s">
        <v>7249</v>
      </c>
      <c r="G1101" s="5" t="str">
        <f t="shared" si="35"/>
        <v>Ю-З</v>
      </c>
      <c r="J1101" s="5"/>
      <c r="AF1101" t="s">
        <v>7212</v>
      </c>
      <c r="AG1101" s="24" t="s">
        <v>6332</v>
      </c>
      <c r="AH1101" s="5" t="s">
        <v>7212</v>
      </c>
      <c r="AI1101" s="5">
        <v>22350.722099999999</v>
      </c>
      <c r="AJ1101" s="5">
        <v>22350.722099999999</v>
      </c>
      <c r="AK1101">
        <v>20758.439999999999</v>
      </c>
      <c r="AL1101" s="5" t="str">
        <f t="shared" si="36"/>
        <v>муниципальное образование Камышловский муниципальный район</v>
      </c>
    </row>
    <row r="1102" spans="1:38" ht="15" customHeight="1" x14ac:dyDescent="0.25">
      <c r="A1102" s="3" t="s">
        <v>1596</v>
      </c>
      <c r="B1102" s="3" t="s">
        <v>33</v>
      </c>
      <c r="C1102" s="5">
        <v>84298.205100000006</v>
      </c>
      <c r="D1102" s="5">
        <v>84298.205100000006</v>
      </c>
      <c r="E1102" s="5">
        <v>76333.533100000001</v>
      </c>
      <c r="F1102" t="s">
        <v>7249</v>
      </c>
      <c r="G1102" s="5" t="str">
        <f t="shared" si="35"/>
        <v>ВИЗ</v>
      </c>
      <c r="J1102" s="5"/>
      <c r="AF1102" t="s">
        <v>7212</v>
      </c>
      <c r="AG1102" s="24" t="s">
        <v>6333</v>
      </c>
      <c r="AH1102" s="5" t="s">
        <v>7212</v>
      </c>
      <c r="AI1102" s="5">
        <v>22350.722099999999</v>
      </c>
      <c r="AJ1102" s="5">
        <v>22350.722099999999</v>
      </c>
      <c r="AK1102">
        <v>20758.439999999999</v>
      </c>
      <c r="AL1102" s="5" t="str">
        <f t="shared" si="36"/>
        <v>муниципальное образование Камышловский муниципальный район</v>
      </c>
    </row>
    <row r="1103" spans="1:38" ht="15" customHeight="1" x14ac:dyDescent="0.25">
      <c r="A1103" s="3" t="s">
        <v>1598</v>
      </c>
      <c r="B1103" s="3" t="s">
        <v>33</v>
      </c>
      <c r="C1103" s="5">
        <v>84298.205100000006</v>
      </c>
      <c r="D1103" s="5">
        <v>84298.205100000006</v>
      </c>
      <c r="E1103" s="5">
        <v>76333.533100000001</v>
      </c>
      <c r="F1103" t="s">
        <v>7249</v>
      </c>
      <c r="G1103" s="5" t="str">
        <f t="shared" si="35"/>
        <v>ВИЗ</v>
      </c>
      <c r="J1103" s="5"/>
      <c r="AF1103" t="s">
        <v>7212</v>
      </c>
      <c r="AG1103" s="24" t="s">
        <v>6334</v>
      </c>
      <c r="AH1103" s="5" t="s">
        <v>7212</v>
      </c>
      <c r="AI1103" s="5">
        <v>22350.722099999999</v>
      </c>
      <c r="AJ1103" s="5">
        <v>22350.722099999999</v>
      </c>
      <c r="AK1103">
        <v>20758.439999999999</v>
      </c>
      <c r="AL1103" s="5" t="str">
        <f t="shared" si="36"/>
        <v>муниципальное образование Камышловский муниципальный район</v>
      </c>
    </row>
    <row r="1104" spans="1:38" ht="15" customHeight="1" x14ac:dyDescent="0.25">
      <c r="A1104" s="3" t="s">
        <v>1599</v>
      </c>
      <c r="B1104" s="3" t="s">
        <v>1632</v>
      </c>
      <c r="C1104" s="5">
        <v>83744.997499999998</v>
      </c>
      <c r="D1104" s="5">
        <v>83744.997499999998</v>
      </c>
      <c r="E1104" s="5">
        <v>75832.596099999995</v>
      </c>
      <c r="F1104" t="s">
        <v>7249</v>
      </c>
      <c r="G1104" s="5" t="str">
        <f t="shared" si="35"/>
        <v>АВТОВОКЗАЛ</v>
      </c>
      <c r="J1104" s="5"/>
      <c r="AF1104" t="s">
        <v>7212</v>
      </c>
      <c r="AG1104" s="24" t="s">
        <v>6335</v>
      </c>
      <c r="AH1104" s="5" t="s">
        <v>7212</v>
      </c>
      <c r="AI1104" s="5">
        <v>22350.722099999999</v>
      </c>
      <c r="AJ1104" s="5">
        <v>22350.722099999999</v>
      </c>
      <c r="AK1104">
        <v>20758.439999999999</v>
      </c>
      <c r="AL1104" s="5" t="str">
        <f t="shared" si="36"/>
        <v>муниципальное образование Камышловский муниципальный район</v>
      </c>
    </row>
    <row r="1105" spans="1:38" ht="15" customHeight="1" x14ac:dyDescent="0.25">
      <c r="A1105" s="3" t="s">
        <v>1602</v>
      </c>
      <c r="B1105" s="3" t="s">
        <v>1627</v>
      </c>
      <c r="C1105" s="5">
        <v>56392.543899999997</v>
      </c>
      <c r="D1105" s="5">
        <v>56392.543899999997</v>
      </c>
      <c r="E1105" s="5">
        <v>51064.4617</v>
      </c>
      <c r="F1105" t="s">
        <v>7249</v>
      </c>
      <c r="G1105" s="5" t="str">
        <f t="shared" si="35"/>
        <v>КОМПРЕССОРНЫЙ</v>
      </c>
      <c r="J1105" s="5"/>
      <c r="AF1105" t="s">
        <v>7212</v>
      </c>
      <c r="AG1105" s="24" t="s">
        <v>6336</v>
      </c>
      <c r="AH1105" s="5" t="s">
        <v>7212</v>
      </c>
      <c r="AI1105" s="5">
        <v>22350.722099999999</v>
      </c>
      <c r="AJ1105" s="5">
        <v>22350.722099999999</v>
      </c>
      <c r="AK1105">
        <v>20758.439999999999</v>
      </c>
      <c r="AL1105" s="5" t="str">
        <f t="shared" si="36"/>
        <v>муниципальное образование Камышловский муниципальный район</v>
      </c>
    </row>
    <row r="1106" spans="1:38" ht="15" customHeight="1" x14ac:dyDescent="0.25">
      <c r="A1106" s="3" t="s">
        <v>1603</v>
      </c>
      <c r="B1106" s="3" t="s">
        <v>1629</v>
      </c>
      <c r="C1106" s="5">
        <v>77743.704100000003</v>
      </c>
      <c r="D1106" s="5">
        <v>77743.704100000003</v>
      </c>
      <c r="E1106" s="5">
        <v>70398.310800000007</v>
      </c>
      <c r="F1106" t="s">
        <v>7249</v>
      </c>
      <c r="G1106" s="5" t="str">
        <f t="shared" si="35"/>
        <v>ПИОНЕРСКИЙ</v>
      </c>
      <c r="J1106" s="5"/>
      <c r="AF1106" t="s">
        <v>7212</v>
      </c>
      <c r="AG1106" s="24" t="s">
        <v>6337</v>
      </c>
      <c r="AH1106" s="5" t="s">
        <v>7212</v>
      </c>
      <c r="AI1106" s="5">
        <v>22350.722099999999</v>
      </c>
      <c r="AJ1106" s="5">
        <v>22350.722099999999</v>
      </c>
      <c r="AK1106">
        <v>20758.439999999999</v>
      </c>
      <c r="AL1106" s="5" t="str">
        <f t="shared" si="36"/>
        <v>муниципальное образование Камышловский муниципальный район</v>
      </c>
    </row>
    <row r="1107" spans="1:38" ht="15" customHeight="1" x14ac:dyDescent="0.25">
      <c r="A1107" s="3" t="s">
        <v>1604</v>
      </c>
      <c r="B1107" s="3" t="s">
        <v>1643</v>
      </c>
      <c r="C1107" s="5">
        <v>76630.280299999999</v>
      </c>
      <c r="D1107" s="5">
        <v>76630.280299999999</v>
      </c>
      <c r="E1107" s="5">
        <v>69390.088799999998</v>
      </c>
      <c r="F1107" t="s">
        <v>7249</v>
      </c>
      <c r="G1107" s="5" t="str">
        <f t="shared" si="35"/>
        <v>Ю-З</v>
      </c>
      <c r="J1107" s="5"/>
      <c r="AF1107" t="s">
        <v>7212</v>
      </c>
      <c r="AG1107" s="24" t="s">
        <v>6338</v>
      </c>
      <c r="AH1107" s="5" t="s">
        <v>7212</v>
      </c>
      <c r="AI1107" s="5">
        <v>22350.722099999999</v>
      </c>
      <c r="AJ1107" s="5">
        <v>22350.722099999999</v>
      </c>
      <c r="AK1107">
        <v>20758.439999999999</v>
      </c>
      <c r="AL1107" s="5" t="str">
        <f t="shared" si="36"/>
        <v>муниципальное образование Камышловский муниципальный район</v>
      </c>
    </row>
    <row r="1108" spans="1:38" ht="15" customHeight="1" x14ac:dyDescent="0.25">
      <c r="A1108" s="3" t="s">
        <v>1605</v>
      </c>
      <c r="B1108" s="3" t="s">
        <v>1667</v>
      </c>
      <c r="C1108" s="5">
        <v>56546.599699999999</v>
      </c>
      <c r="D1108" s="5">
        <v>56546.599699999999</v>
      </c>
      <c r="E1108" s="5">
        <v>51203.963499999998</v>
      </c>
      <c r="F1108" t="s">
        <v>7249</v>
      </c>
      <c r="G1108" s="5" t="str">
        <f t="shared" si="35"/>
        <v>КАЛИНОВСКИЙ</v>
      </c>
      <c r="J1108" s="5"/>
      <c r="AF1108" t="s">
        <v>7212</v>
      </c>
      <c r="AG1108" s="24" t="s">
        <v>6339</v>
      </c>
      <c r="AH1108" s="5" t="s">
        <v>7212</v>
      </c>
      <c r="AI1108" s="5">
        <v>22350.722099999999</v>
      </c>
      <c r="AJ1108" s="5">
        <v>22350.722099999999</v>
      </c>
      <c r="AK1108">
        <v>20758.439999999999</v>
      </c>
      <c r="AL1108" s="5" t="str">
        <f t="shared" si="36"/>
        <v>муниципальное образование Камышловский муниципальный район</v>
      </c>
    </row>
    <row r="1109" spans="1:38" ht="15" customHeight="1" x14ac:dyDescent="0.25">
      <c r="A1109" s="3" t="s">
        <v>1606</v>
      </c>
      <c r="B1109" s="3" t="s">
        <v>1667</v>
      </c>
      <c r="C1109" s="5">
        <v>56546.599699999999</v>
      </c>
      <c r="D1109" s="5">
        <v>56546.599699999999</v>
      </c>
      <c r="E1109" s="5">
        <v>51203.963499999998</v>
      </c>
      <c r="F1109" t="s">
        <v>7249</v>
      </c>
      <c r="G1109" s="5" t="str">
        <f t="shared" si="35"/>
        <v>КАЛИНОВСКИЙ</v>
      </c>
      <c r="J1109" s="5"/>
      <c r="AF1109" t="s">
        <v>7212</v>
      </c>
      <c r="AG1109" s="24" t="s">
        <v>6340</v>
      </c>
      <c r="AH1109" s="5" t="s">
        <v>7212</v>
      </c>
      <c r="AI1109" s="5">
        <v>22350.722099999999</v>
      </c>
      <c r="AJ1109" s="5">
        <v>22350.722099999999</v>
      </c>
      <c r="AK1109">
        <v>20758.439999999999</v>
      </c>
      <c r="AL1109" s="5" t="str">
        <f t="shared" si="36"/>
        <v>муниципальное образование Камышловский муниципальный район</v>
      </c>
    </row>
    <row r="1110" spans="1:38" ht="15" customHeight="1" x14ac:dyDescent="0.25">
      <c r="A1110" s="3" t="s">
        <v>1607</v>
      </c>
      <c r="B1110" s="3" t="s">
        <v>33</v>
      </c>
      <c r="C1110" s="5">
        <v>84298.205100000006</v>
      </c>
      <c r="D1110" s="5">
        <v>84298.205100000006</v>
      </c>
      <c r="E1110" s="5">
        <v>76333.533100000001</v>
      </c>
      <c r="F1110" t="s">
        <v>7249</v>
      </c>
      <c r="G1110" s="5" t="str">
        <f t="shared" si="35"/>
        <v>ВИЗ</v>
      </c>
      <c r="J1110" s="5"/>
      <c r="AF1110" t="s">
        <v>7212</v>
      </c>
      <c r="AG1110" s="24" t="s">
        <v>6341</v>
      </c>
      <c r="AH1110" s="5" t="s">
        <v>7212</v>
      </c>
      <c r="AI1110" s="5">
        <v>22350.722099999999</v>
      </c>
      <c r="AJ1110" s="5">
        <v>22350.722099999999</v>
      </c>
      <c r="AK1110">
        <v>20758.439999999999</v>
      </c>
      <c r="AL1110" s="5" t="str">
        <f t="shared" si="36"/>
        <v>муниципальное образование Камышловский муниципальный район</v>
      </c>
    </row>
    <row r="1111" spans="1:38" ht="15" customHeight="1" x14ac:dyDescent="0.25">
      <c r="A1111" s="3" t="s">
        <v>1609</v>
      </c>
      <c r="B1111" s="3" t="s">
        <v>1643</v>
      </c>
      <c r="C1111" s="5">
        <v>76630.280299999999</v>
      </c>
      <c r="D1111" s="5">
        <v>76630.280299999999</v>
      </c>
      <c r="E1111" s="5">
        <v>69390.088799999998</v>
      </c>
      <c r="F1111" t="s">
        <v>7249</v>
      </c>
      <c r="G1111" s="5" t="str">
        <f t="shared" si="35"/>
        <v>Ю-З</v>
      </c>
      <c r="J1111" s="5"/>
      <c r="AF1111" t="s">
        <v>7212</v>
      </c>
      <c r="AG1111" s="24" t="s">
        <v>6342</v>
      </c>
      <c r="AH1111" s="5" t="s">
        <v>7212</v>
      </c>
      <c r="AI1111" s="5">
        <v>22350.722099999999</v>
      </c>
      <c r="AJ1111" s="5">
        <v>22350.722099999999</v>
      </c>
      <c r="AK1111">
        <v>20758.439999999999</v>
      </c>
      <c r="AL1111" s="5" t="str">
        <f t="shared" si="36"/>
        <v>муниципальное образование Камышловский муниципальный район</v>
      </c>
    </row>
    <row r="1112" spans="1:38" ht="15" customHeight="1" x14ac:dyDescent="0.25">
      <c r="A1112" s="3" t="s">
        <v>1610</v>
      </c>
      <c r="B1112" s="3" t="s">
        <v>14</v>
      </c>
      <c r="C1112" s="5">
        <v>93989.912800000006</v>
      </c>
      <c r="D1112" s="5">
        <v>93989.912800000006</v>
      </c>
      <c r="E1112" s="5">
        <v>85109.545199999993</v>
      </c>
      <c r="F1112" t="s">
        <v>7249</v>
      </c>
      <c r="G1112" s="5" t="str">
        <f t="shared" si="35"/>
        <v>Центр</v>
      </c>
      <c r="J1112" s="5"/>
      <c r="AF1112" t="s">
        <v>7212</v>
      </c>
      <c r="AG1112" s="24" t="s">
        <v>6343</v>
      </c>
      <c r="AH1112" s="5" t="s">
        <v>7212</v>
      </c>
      <c r="AI1112" s="5">
        <v>22350.722099999999</v>
      </c>
      <c r="AJ1112" s="5">
        <v>22350.722099999999</v>
      </c>
      <c r="AK1112">
        <v>20758.439999999999</v>
      </c>
      <c r="AL1112" s="5" t="str">
        <f t="shared" si="36"/>
        <v>муниципальное образование Камышловский муниципальный район</v>
      </c>
    </row>
    <row r="1113" spans="1:38" ht="15" customHeight="1" x14ac:dyDescent="0.25">
      <c r="A1113" s="3" t="s">
        <v>1611</v>
      </c>
      <c r="B1113" s="3" t="s">
        <v>1655</v>
      </c>
      <c r="C1113" s="5">
        <v>79683.445300000007</v>
      </c>
      <c r="D1113" s="5">
        <v>79683.445300000007</v>
      </c>
      <c r="E1113" s="5">
        <v>72154.784899999999</v>
      </c>
      <c r="F1113" t="s">
        <v>7249</v>
      </c>
      <c r="G1113" s="5" t="str">
        <f t="shared" si="35"/>
        <v>Шарташский рынок</v>
      </c>
      <c r="J1113" s="5"/>
      <c r="AF1113" t="s">
        <v>7212</v>
      </c>
      <c r="AG1113" s="24" t="s">
        <v>6344</v>
      </c>
      <c r="AH1113" s="5" t="s">
        <v>7212</v>
      </c>
      <c r="AI1113" s="5">
        <v>22350.722099999999</v>
      </c>
      <c r="AJ1113" s="5">
        <v>22350.722099999999</v>
      </c>
      <c r="AK1113">
        <v>20758.439999999999</v>
      </c>
      <c r="AL1113" s="5" t="str">
        <f t="shared" si="36"/>
        <v>муниципальное образование Камышловский муниципальный район</v>
      </c>
    </row>
    <row r="1114" spans="1:38" ht="15" customHeight="1" x14ac:dyDescent="0.25">
      <c r="A1114" s="3" t="s">
        <v>1612</v>
      </c>
      <c r="B1114" s="3" t="s">
        <v>1631</v>
      </c>
      <c r="C1114" s="5">
        <v>70026.7601</v>
      </c>
      <c r="D1114" s="5">
        <v>70026.7601</v>
      </c>
      <c r="E1114" s="5">
        <v>63410.482000000004</v>
      </c>
      <c r="F1114" t="s">
        <v>7249</v>
      </c>
      <c r="G1114" s="5" t="str">
        <f t="shared" si="35"/>
        <v>УРАЛМАШ</v>
      </c>
      <c r="J1114" s="5"/>
      <c r="AF1114" t="s">
        <v>7212</v>
      </c>
      <c r="AG1114" s="24" t="s">
        <v>6345</v>
      </c>
      <c r="AH1114" s="5" t="s">
        <v>7212</v>
      </c>
      <c r="AI1114" s="5">
        <v>22350.722099999999</v>
      </c>
      <c r="AJ1114" s="5">
        <v>22350.722099999999</v>
      </c>
      <c r="AK1114">
        <v>20758.439999999999</v>
      </c>
      <c r="AL1114" s="5" t="str">
        <f t="shared" si="36"/>
        <v>муниципальное образование Камышловский муниципальный район</v>
      </c>
    </row>
    <row r="1115" spans="1:38" ht="15" customHeight="1" x14ac:dyDescent="0.25">
      <c r="A1115" s="3" t="s">
        <v>1614</v>
      </c>
      <c r="B1115" s="3" t="s">
        <v>33</v>
      </c>
      <c r="C1115" s="5">
        <v>84298.205100000006</v>
      </c>
      <c r="D1115" s="5">
        <v>84298.205100000006</v>
      </c>
      <c r="E1115" s="5">
        <v>76333.533100000001</v>
      </c>
      <c r="F1115" t="s">
        <v>7249</v>
      </c>
      <c r="G1115" s="5" t="str">
        <f t="shared" si="35"/>
        <v>ВИЗ</v>
      </c>
      <c r="J1115" s="5"/>
      <c r="AF1115" t="s">
        <v>7212</v>
      </c>
      <c r="AG1115" s="24" t="s">
        <v>6346</v>
      </c>
      <c r="AH1115" s="5" t="s">
        <v>7212</v>
      </c>
      <c r="AI1115" s="5">
        <v>22350.722099999999</v>
      </c>
      <c r="AJ1115" s="5">
        <v>22350.722099999999</v>
      </c>
      <c r="AK1115">
        <v>20758.439999999999</v>
      </c>
      <c r="AL1115" s="5" t="str">
        <f t="shared" si="36"/>
        <v>муниципальное образование Камышловский муниципальный район</v>
      </c>
    </row>
    <row r="1116" spans="1:38" ht="15" customHeight="1" x14ac:dyDescent="0.25">
      <c r="A1116" s="3" t="s">
        <v>1616</v>
      </c>
      <c r="B1116" s="3" t="s">
        <v>33</v>
      </c>
      <c r="C1116" s="5">
        <v>84298.205100000006</v>
      </c>
      <c r="D1116" s="5">
        <v>84298.205100000006</v>
      </c>
      <c r="E1116" s="5">
        <v>76333.533100000001</v>
      </c>
      <c r="F1116" t="s">
        <v>7249</v>
      </c>
      <c r="G1116" s="5" t="str">
        <f t="shared" si="35"/>
        <v>ВИЗ</v>
      </c>
      <c r="J1116" s="5"/>
      <c r="AF1116" t="s">
        <v>7212</v>
      </c>
      <c r="AG1116" s="24" t="s">
        <v>6347</v>
      </c>
      <c r="AH1116" s="5" t="s">
        <v>7212</v>
      </c>
      <c r="AI1116" s="5">
        <v>22350.722099999999</v>
      </c>
      <c r="AJ1116" s="5">
        <v>22350.722099999999</v>
      </c>
      <c r="AK1116">
        <v>20758.439999999999</v>
      </c>
      <c r="AL1116" s="5" t="str">
        <f t="shared" si="36"/>
        <v>муниципальное образование Камышловский муниципальный район</v>
      </c>
    </row>
    <row r="1117" spans="1:38" ht="15" customHeight="1" x14ac:dyDescent="0.25">
      <c r="A1117" s="3" t="s">
        <v>1617</v>
      </c>
      <c r="B1117" s="3" t="s">
        <v>14</v>
      </c>
      <c r="C1117" s="5">
        <v>93989.912800000006</v>
      </c>
      <c r="D1117" s="5">
        <v>93989.912800000006</v>
      </c>
      <c r="E1117" s="5">
        <v>85109.545199999993</v>
      </c>
      <c r="F1117" t="s">
        <v>7249</v>
      </c>
      <c r="G1117" s="5" t="str">
        <f t="shared" si="35"/>
        <v>Центр</v>
      </c>
      <c r="J1117" s="5"/>
      <c r="AF1117" t="s">
        <v>7212</v>
      </c>
      <c r="AG1117" s="24" t="s">
        <v>6348</v>
      </c>
      <c r="AH1117" s="5" t="s">
        <v>7212</v>
      </c>
      <c r="AI1117" s="5">
        <v>22350.722099999999</v>
      </c>
      <c r="AJ1117" s="5">
        <v>22350.722099999999</v>
      </c>
      <c r="AK1117">
        <v>20758.439999999999</v>
      </c>
      <c r="AL1117" s="5" t="str">
        <f t="shared" si="36"/>
        <v>муниципальное образование Камышловский муниципальный район</v>
      </c>
    </row>
    <row r="1118" spans="1:38" ht="15" customHeight="1" x14ac:dyDescent="0.25">
      <c r="A1118" s="3" t="s">
        <v>1618</v>
      </c>
      <c r="B1118" s="3" t="s">
        <v>1640</v>
      </c>
      <c r="C1118" s="5">
        <v>64914.8</v>
      </c>
      <c r="D1118" s="5">
        <v>64914.8</v>
      </c>
      <c r="E1118" s="5">
        <v>58781.519200000002</v>
      </c>
      <c r="F1118" t="s">
        <v>7249</v>
      </c>
      <c r="G1118" s="5" t="str">
        <f t="shared" si="35"/>
        <v>Новая сортировка</v>
      </c>
      <c r="J1118" s="5"/>
      <c r="AF1118" t="s">
        <v>7212</v>
      </c>
      <c r="AG1118" s="24" t="s">
        <v>6349</v>
      </c>
      <c r="AH1118" s="5" t="s">
        <v>7212</v>
      </c>
      <c r="AI1118" s="5">
        <v>22350.722099999999</v>
      </c>
      <c r="AJ1118" s="5">
        <v>22350.722099999999</v>
      </c>
      <c r="AK1118">
        <v>20758.439999999999</v>
      </c>
      <c r="AL1118" s="5" t="str">
        <f t="shared" si="36"/>
        <v>муниципальное образование Камышловский муниципальный район</v>
      </c>
    </row>
    <row r="1119" spans="1:38" ht="15" customHeight="1" x14ac:dyDescent="0.25">
      <c r="A1119" s="3" t="s">
        <v>1621</v>
      </c>
      <c r="B1119" s="3" t="s">
        <v>1631</v>
      </c>
      <c r="C1119" s="5">
        <v>70026.7601</v>
      </c>
      <c r="D1119" s="5">
        <v>70026.7601</v>
      </c>
      <c r="E1119" s="5">
        <v>63410.482000000004</v>
      </c>
      <c r="F1119" t="s">
        <v>7249</v>
      </c>
      <c r="G1119" s="5" t="str">
        <f t="shared" si="35"/>
        <v>УРАЛМАШ</v>
      </c>
      <c r="J1119" s="5"/>
      <c r="AF1119" t="s">
        <v>7212</v>
      </c>
      <c r="AG1119" s="24" t="s">
        <v>6350</v>
      </c>
      <c r="AH1119" s="5" t="s">
        <v>7212</v>
      </c>
      <c r="AI1119" s="5">
        <v>22350.722099999999</v>
      </c>
      <c r="AJ1119" s="5">
        <v>22350.722099999999</v>
      </c>
      <c r="AK1119">
        <v>20758.439999999999</v>
      </c>
      <c r="AL1119" s="5" t="str">
        <f t="shared" si="36"/>
        <v>муниципальное образование Камышловский муниципальный район</v>
      </c>
    </row>
    <row r="1120" spans="1:38" ht="15" customHeight="1" x14ac:dyDescent="0.25">
      <c r="A1120" s="3" t="s">
        <v>1670</v>
      </c>
      <c r="B1120" s="3" t="s">
        <v>1637</v>
      </c>
      <c r="C1120" s="5">
        <v>59368.686099999999</v>
      </c>
      <c r="D1120" s="5">
        <v>59368.686099999999</v>
      </c>
      <c r="E1120" s="5">
        <v>53759.401700000002</v>
      </c>
      <c r="F1120" t="s">
        <v>7249</v>
      </c>
      <c r="G1120" s="5" t="str">
        <f t="shared" si="35"/>
        <v>Старая сортировка</v>
      </c>
      <c r="J1120" s="5"/>
      <c r="AF1120" t="s">
        <v>7212</v>
      </c>
      <c r="AG1120" s="24" t="s">
        <v>6351</v>
      </c>
      <c r="AH1120" s="5" t="s">
        <v>7212</v>
      </c>
      <c r="AI1120" s="5">
        <v>22350.722099999999</v>
      </c>
      <c r="AJ1120" s="5">
        <v>22350.722099999999</v>
      </c>
      <c r="AK1120">
        <v>20758.439999999999</v>
      </c>
      <c r="AL1120" s="5" t="str">
        <f t="shared" si="36"/>
        <v>муниципальное образование Камышловский муниципальный район</v>
      </c>
    </row>
    <row r="1121" spans="1:38" ht="15" customHeight="1" x14ac:dyDescent="0.25">
      <c r="A1121" s="3" t="s">
        <v>1671</v>
      </c>
      <c r="B1121" s="3" t="s">
        <v>1672</v>
      </c>
      <c r="C1121" s="5">
        <v>60173.9879</v>
      </c>
      <c r="D1121" s="5">
        <v>60173.9879</v>
      </c>
      <c r="E1121" s="5">
        <v>54488.630299999997</v>
      </c>
      <c r="F1121" t="s">
        <v>7249</v>
      </c>
      <c r="G1121" s="5" t="str">
        <f t="shared" si="35"/>
        <v>Малый Исток</v>
      </c>
      <c r="J1121" s="5"/>
      <c r="AF1121" t="s">
        <v>7212</v>
      </c>
      <c r="AG1121" s="24" t="s">
        <v>6352</v>
      </c>
      <c r="AH1121" s="5" t="s">
        <v>7212</v>
      </c>
      <c r="AI1121" s="5">
        <v>22350.722099999999</v>
      </c>
      <c r="AJ1121" s="5">
        <v>22350.722099999999</v>
      </c>
      <c r="AK1121">
        <v>20758.439999999999</v>
      </c>
      <c r="AL1121" s="5" t="str">
        <f t="shared" si="36"/>
        <v>муниципальное образование Камышловский муниципальный район</v>
      </c>
    </row>
    <row r="1122" spans="1:38" ht="15" customHeight="1" x14ac:dyDescent="0.25">
      <c r="A1122" s="3" t="s">
        <v>80</v>
      </c>
      <c r="B1122" s="3" t="s">
        <v>1646</v>
      </c>
      <c r="C1122" s="5">
        <v>61763.596599999997</v>
      </c>
      <c r="D1122" s="5">
        <v>61763.596599999997</v>
      </c>
      <c r="E1122" s="5">
        <v>55928.0435</v>
      </c>
      <c r="F1122" t="s">
        <v>7249</v>
      </c>
      <c r="G1122" s="5" t="str">
        <f t="shared" si="35"/>
        <v>АКАДЕМИЧЕСКИЙ</v>
      </c>
      <c r="J1122" s="5"/>
      <c r="AF1122" t="s">
        <v>7212</v>
      </c>
      <c r="AG1122" s="24" t="s">
        <v>6353</v>
      </c>
      <c r="AH1122" s="5" t="s">
        <v>7212</v>
      </c>
      <c r="AI1122" s="5">
        <v>22350.722099999999</v>
      </c>
      <c r="AJ1122" s="5">
        <v>22350.722099999999</v>
      </c>
      <c r="AK1122">
        <v>20758.439999999999</v>
      </c>
      <c r="AL1122" s="5" t="str">
        <f t="shared" si="36"/>
        <v>муниципальное образование Камышловский муниципальный район</v>
      </c>
    </row>
    <row r="1123" spans="1:38" ht="15" customHeight="1" x14ac:dyDescent="0.25">
      <c r="A1123" s="5" t="s">
        <v>1023</v>
      </c>
      <c r="B1123" s="5" t="s">
        <v>1673</v>
      </c>
      <c r="C1123" s="5">
        <v>35563.243300000002</v>
      </c>
      <c r="D1123" s="5">
        <v>35563.243300000002</v>
      </c>
      <c r="E1123" s="5">
        <v>31984.905299999999</v>
      </c>
      <c r="F1123" t="s">
        <v>7249</v>
      </c>
      <c r="G1123" s="5" t="str">
        <f t="shared" si="35"/>
        <v>УАЗ-III - 49 кв.</v>
      </c>
      <c r="J1123" s="5"/>
      <c r="AF1123" t="s">
        <v>7212</v>
      </c>
      <c r="AG1123" s="24" t="s">
        <v>6354</v>
      </c>
      <c r="AH1123" s="5" t="s">
        <v>7212</v>
      </c>
      <c r="AI1123" s="5">
        <v>22350.722099999999</v>
      </c>
      <c r="AJ1123" s="5">
        <v>22350.722099999999</v>
      </c>
      <c r="AK1123">
        <v>20758.439999999999</v>
      </c>
      <c r="AL1123" s="5" t="str">
        <f t="shared" si="36"/>
        <v>муниципальное образование Камышловский муниципальный район</v>
      </c>
    </row>
    <row r="1124" spans="1:38" ht="15" customHeight="1" x14ac:dyDescent="0.25">
      <c r="A1124" s="5" t="s">
        <v>48</v>
      </c>
      <c r="B1124" s="5" t="s">
        <v>1673</v>
      </c>
      <c r="C1124" s="5">
        <v>35563.243300000002</v>
      </c>
      <c r="D1124" s="5">
        <v>35563.243300000002</v>
      </c>
      <c r="E1124" s="5">
        <v>31984.905299999999</v>
      </c>
      <c r="F1124" s="5" t="s">
        <v>7249</v>
      </c>
      <c r="G1124" s="5" t="str">
        <f t="shared" si="35"/>
        <v>УАЗ-III - 49 кв.</v>
      </c>
      <c r="J1124" s="5"/>
      <c r="AF1124" t="s">
        <v>7212</v>
      </c>
      <c r="AG1124" s="24" t="s">
        <v>6355</v>
      </c>
      <c r="AH1124" s="5" t="s">
        <v>7212</v>
      </c>
      <c r="AI1124" s="5">
        <v>22350.722099999999</v>
      </c>
      <c r="AJ1124" s="5">
        <v>22350.722099999999</v>
      </c>
      <c r="AK1124">
        <v>20758.439999999999</v>
      </c>
      <c r="AL1124" s="5" t="str">
        <f t="shared" si="36"/>
        <v>муниципальное образование Камышловский муниципальный район</v>
      </c>
    </row>
    <row r="1125" spans="1:38" ht="15" customHeight="1" x14ac:dyDescent="0.25">
      <c r="A1125" s="5" t="s">
        <v>1474</v>
      </c>
      <c r="B1125" s="5" t="s">
        <v>1673</v>
      </c>
      <c r="C1125" s="5">
        <v>35563.243300000002</v>
      </c>
      <c r="D1125" s="5">
        <v>35563.243300000002</v>
      </c>
      <c r="E1125" s="5">
        <v>31984.905299999999</v>
      </c>
      <c r="F1125" s="5" t="s">
        <v>7249</v>
      </c>
      <c r="G1125" s="5" t="str">
        <f t="shared" si="35"/>
        <v>УАЗ-III - 49 кв.</v>
      </c>
      <c r="J1125" s="5"/>
      <c r="AF1125" t="s">
        <v>7212</v>
      </c>
      <c r="AG1125" s="24" t="s">
        <v>6356</v>
      </c>
      <c r="AH1125" s="5" t="s">
        <v>7212</v>
      </c>
      <c r="AI1125" s="5">
        <v>22350.722099999999</v>
      </c>
      <c r="AJ1125" s="5">
        <v>22350.722099999999</v>
      </c>
      <c r="AK1125">
        <v>20758.439999999999</v>
      </c>
      <c r="AL1125" s="5" t="str">
        <f t="shared" si="36"/>
        <v>муниципальное образование Камышловский муниципальный район</v>
      </c>
    </row>
    <row r="1126" spans="1:38" ht="15" customHeight="1" x14ac:dyDescent="0.25">
      <c r="A1126" s="5" t="s">
        <v>651</v>
      </c>
      <c r="B1126" s="5" t="s">
        <v>1673</v>
      </c>
      <c r="C1126" s="5">
        <v>35563.243300000002</v>
      </c>
      <c r="D1126" s="5">
        <v>35563.243300000002</v>
      </c>
      <c r="E1126" s="5">
        <v>31984.905299999999</v>
      </c>
      <c r="F1126" s="5" t="s">
        <v>7249</v>
      </c>
      <c r="G1126" s="5" t="str">
        <f t="shared" si="35"/>
        <v>УАЗ-III - 49 кв.</v>
      </c>
      <c r="J1126" s="5"/>
      <c r="AF1126" t="s">
        <v>7212</v>
      </c>
      <c r="AG1126" s="24" t="s">
        <v>6357</v>
      </c>
      <c r="AH1126" s="5" t="s">
        <v>7212</v>
      </c>
      <c r="AI1126" s="5">
        <v>22350.722099999999</v>
      </c>
      <c r="AJ1126" s="5">
        <v>22350.722099999999</v>
      </c>
      <c r="AK1126">
        <v>20758.439999999999</v>
      </c>
      <c r="AL1126" s="5" t="str">
        <f t="shared" si="36"/>
        <v>муниципальное образование Камышловский муниципальный район</v>
      </c>
    </row>
    <row r="1127" spans="1:38" ht="15" customHeight="1" x14ac:dyDescent="0.25">
      <c r="A1127" s="5" t="s">
        <v>198</v>
      </c>
      <c r="B1127" s="5" t="s">
        <v>1673</v>
      </c>
      <c r="C1127" s="5">
        <v>35563.243300000002</v>
      </c>
      <c r="D1127" s="5">
        <v>35563.243300000002</v>
      </c>
      <c r="E1127" s="5">
        <v>31984.905299999999</v>
      </c>
      <c r="F1127" s="5" t="s">
        <v>7249</v>
      </c>
      <c r="G1127" s="5" t="str">
        <f t="shared" si="35"/>
        <v>УАЗ-III - 49 кв.</v>
      </c>
      <c r="J1127" s="5"/>
      <c r="AF1127" t="s">
        <v>7212</v>
      </c>
      <c r="AG1127" s="24" t="s">
        <v>6358</v>
      </c>
      <c r="AH1127" s="5" t="s">
        <v>7212</v>
      </c>
      <c r="AI1127" s="5">
        <v>22350.722099999999</v>
      </c>
      <c r="AJ1127" s="5">
        <v>22350.722099999999</v>
      </c>
      <c r="AK1127">
        <v>20758.439999999999</v>
      </c>
      <c r="AL1127" s="5" t="str">
        <f t="shared" si="36"/>
        <v>муниципальное образование Камышловский муниципальный район</v>
      </c>
    </row>
    <row r="1128" spans="1:38" ht="15" customHeight="1" x14ac:dyDescent="0.25">
      <c r="A1128" s="5" t="s">
        <v>572</v>
      </c>
      <c r="B1128" s="5" t="s">
        <v>1673</v>
      </c>
      <c r="C1128" s="5">
        <v>35563.243300000002</v>
      </c>
      <c r="D1128" s="5">
        <v>35563.243300000002</v>
      </c>
      <c r="E1128" s="5">
        <v>31984.905299999999</v>
      </c>
      <c r="F1128" s="5" t="s">
        <v>7249</v>
      </c>
      <c r="G1128" s="5" t="str">
        <f t="shared" si="35"/>
        <v>УАЗ-III - 49 кв.</v>
      </c>
      <c r="J1128" s="5"/>
      <c r="AF1128" t="s">
        <v>7212</v>
      </c>
      <c r="AG1128" s="24" t="s">
        <v>6359</v>
      </c>
      <c r="AH1128" s="5" t="s">
        <v>7212</v>
      </c>
      <c r="AI1128" s="5">
        <v>22350.722099999999</v>
      </c>
      <c r="AJ1128" s="5">
        <v>22350.722099999999</v>
      </c>
      <c r="AK1128">
        <v>20758.439999999999</v>
      </c>
      <c r="AL1128" s="5" t="str">
        <f t="shared" si="36"/>
        <v>муниципальное образование Камышловский муниципальный район</v>
      </c>
    </row>
    <row r="1129" spans="1:38" ht="15" customHeight="1" x14ac:dyDescent="0.25">
      <c r="A1129" s="5" t="s">
        <v>124</v>
      </c>
      <c r="B1129" s="5" t="s">
        <v>1673</v>
      </c>
      <c r="C1129" s="5">
        <v>35563.243300000002</v>
      </c>
      <c r="D1129" s="5">
        <v>35563.243300000002</v>
      </c>
      <c r="E1129" s="5">
        <v>31984.905299999999</v>
      </c>
      <c r="F1129" s="5" t="s">
        <v>7249</v>
      </c>
      <c r="G1129" s="5" t="str">
        <f t="shared" si="35"/>
        <v>УАЗ-III - 49 кв.</v>
      </c>
      <c r="J1129" s="5"/>
      <c r="AF1129" t="s">
        <v>7212</v>
      </c>
      <c r="AG1129" s="24" t="s">
        <v>6360</v>
      </c>
      <c r="AH1129" s="5" t="s">
        <v>7212</v>
      </c>
      <c r="AI1129" s="5">
        <v>22350.722099999999</v>
      </c>
      <c r="AJ1129" s="5">
        <v>22350.722099999999</v>
      </c>
      <c r="AK1129">
        <v>20758.439999999999</v>
      </c>
      <c r="AL1129" s="5" t="str">
        <f t="shared" si="36"/>
        <v>муниципальное образование Камышловский муниципальный район</v>
      </c>
    </row>
    <row r="1130" spans="1:38" ht="15" customHeight="1" x14ac:dyDescent="0.25">
      <c r="A1130" s="5" t="s">
        <v>941</v>
      </c>
      <c r="B1130" s="5" t="s">
        <v>1674</v>
      </c>
      <c r="C1130" s="5">
        <v>29199.565200000001</v>
      </c>
      <c r="D1130" s="5">
        <v>29199.565200000001</v>
      </c>
      <c r="E1130" s="5">
        <v>26261.5317</v>
      </c>
      <c r="F1130" s="5" t="s">
        <v>7249</v>
      </c>
      <c r="G1130" s="5" t="str">
        <f t="shared" si="35"/>
        <v>УАЗ</v>
      </c>
      <c r="J1130" s="5"/>
      <c r="AF1130" t="s">
        <v>7212</v>
      </c>
      <c r="AG1130" s="24" t="s">
        <v>6361</v>
      </c>
      <c r="AH1130" s="5" t="s">
        <v>7212</v>
      </c>
      <c r="AI1130" s="5">
        <v>22350.722099999999</v>
      </c>
      <c r="AJ1130" s="5">
        <v>22350.722099999999</v>
      </c>
      <c r="AK1130">
        <v>20758.439999999999</v>
      </c>
      <c r="AL1130" s="5" t="str">
        <f t="shared" si="36"/>
        <v>муниципальное образование Камышловский муниципальный район</v>
      </c>
    </row>
    <row r="1131" spans="1:38" ht="15" customHeight="1" x14ac:dyDescent="0.25">
      <c r="A1131" s="5" t="s">
        <v>149</v>
      </c>
      <c r="B1131" s="5" t="s">
        <v>1675</v>
      </c>
      <c r="C1131" s="5">
        <v>35756.285400000001</v>
      </c>
      <c r="D1131" s="5">
        <v>35756.285400000001</v>
      </c>
      <c r="E1131" s="5">
        <v>32158.5213</v>
      </c>
      <c r="F1131" s="5" t="s">
        <v>7249</v>
      </c>
      <c r="G1131" s="5" t="str">
        <f t="shared" si="35"/>
        <v>УАЗ-II</v>
      </c>
      <c r="J1131" s="5"/>
      <c r="AF1131" t="s">
        <v>7212</v>
      </c>
      <c r="AG1131" s="24" t="s">
        <v>6362</v>
      </c>
      <c r="AH1131" s="5" t="s">
        <v>7212</v>
      </c>
      <c r="AI1131" s="5">
        <v>22350.722099999999</v>
      </c>
      <c r="AJ1131" s="5">
        <v>22350.722099999999</v>
      </c>
      <c r="AK1131">
        <v>20758.439999999999</v>
      </c>
      <c r="AL1131" s="5" t="str">
        <f t="shared" si="36"/>
        <v>муниципальное образование Камышловский муниципальный район</v>
      </c>
    </row>
    <row r="1132" spans="1:38" ht="15" customHeight="1" x14ac:dyDescent="0.25">
      <c r="A1132" s="5" t="s">
        <v>366</v>
      </c>
      <c r="B1132" s="5" t="s">
        <v>1676</v>
      </c>
      <c r="C1132" s="5">
        <v>28848.8855</v>
      </c>
      <c r="D1132" s="5">
        <v>28848.8855</v>
      </c>
      <c r="E1132" s="5">
        <v>25946.143</v>
      </c>
      <c r="F1132" s="5" t="s">
        <v>7249</v>
      </c>
      <c r="G1132" s="5" t="str">
        <f t="shared" si="35"/>
        <v>Чкаловский</v>
      </c>
      <c r="J1132" s="5"/>
      <c r="AF1132" t="s">
        <v>7212</v>
      </c>
      <c r="AG1132" s="24" t="s">
        <v>6363</v>
      </c>
      <c r="AH1132" s="5" t="s">
        <v>7212</v>
      </c>
      <c r="AI1132" s="5">
        <v>22350.722099999999</v>
      </c>
      <c r="AJ1132" s="5">
        <v>22350.722099999999</v>
      </c>
      <c r="AK1132">
        <v>20758.439999999999</v>
      </c>
      <c r="AL1132" s="5" t="str">
        <f t="shared" si="36"/>
        <v>муниципальное образование Камышловский муниципальный район</v>
      </c>
    </row>
    <row r="1133" spans="1:38" ht="15" customHeight="1" x14ac:dyDescent="0.25">
      <c r="A1133" s="5" t="s">
        <v>684</v>
      </c>
      <c r="B1133" s="5" t="s">
        <v>1677</v>
      </c>
      <c r="C1133" s="5">
        <v>39105.413099999998</v>
      </c>
      <c r="D1133" s="5">
        <v>39105.413099999998</v>
      </c>
      <c r="E1133" s="5">
        <v>35170.666700000002</v>
      </c>
      <c r="F1133" s="5" t="s">
        <v>7249</v>
      </c>
      <c r="G1133" s="5" t="str">
        <f t="shared" si="35"/>
        <v>Октябрьский</v>
      </c>
      <c r="J1133" s="5"/>
      <c r="AF1133" t="s">
        <v>7212</v>
      </c>
      <c r="AG1133" s="24" t="s">
        <v>6364</v>
      </c>
      <c r="AH1133" s="5" t="s">
        <v>7212</v>
      </c>
      <c r="AI1133" s="5">
        <v>22350.722099999999</v>
      </c>
      <c r="AJ1133" s="5">
        <v>22350.722099999999</v>
      </c>
      <c r="AK1133">
        <v>20758.439999999999</v>
      </c>
      <c r="AL1133" s="5" t="str">
        <f t="shared" si="36"/>
        <v>муниципальное образование Камышловский муниципальный район</v>
      </c>
    </row>
    <row r="1134" spans="1:38" ht="15" customHeight="1" x14ac:dyDescent="0.25">
      <c r="A1134" s="5" t="s">
        <v>440</v>
      </c>
      <c r="B1134" s="5" t="s">
        <v>1677</v>
      </c>
      <c r="C1134" s="5">
        <v>39105.413099999998</v>
      </c>
      <c r="D1134" s="5">
        <v>39105.413099999998</v>
      </c>
      <c r="E1134" s="5">
        <v>35170.666700000002</v>
      </c>
      <c r="F1134" s="5" t="s">
        <v>7249</v>
      </c>
      <c r="G1134" s="5" t="str">
        <f t="shared" si="35"/>
        <v>Октябрьский</v>
      </c>
      <c r="J1134" s="5"/>
      <c r="AF1134" t="s">
        <v>7212</v>
      </c>
      <c r="AG1134" s="24" t="s">
        <v>6365</v>
      </c>
      <c r="AH1134" s="5" t="s">
        <v>7212</v>
      </c>
      <c r="AI1134" s="5">
        <v>22350.722099999999</v>
      </c>
      <c r="AJ1134" s="5">
        <v>22350.722099999999</v>
      </c>
      <c r="AK1134">
        <v>20758.439999999999</v>
      </c>
      <c r="AL1134" s="5" t="str">
        <f t="shared" si="36"/>
        <v>муниципальное образование Камышловский муниципальный район</v>
      </c>
    </row>
    <row r="1135" spans="1:38" ht="15" customHeight="1" x14ac:dyDescent="0.25">
      <c r="A1135" s="5" t="s">
        <v>367</v>
      </c>
      <c r="B1135" s="5" t="s">
        <v>1677</v>
      </c>
      <c r="C1135" s="5">
        <v>39105.413099999998</v>
      </c>
      <c r="D1135" s="5">
        <v>39105.413099999998</v>
      </c>
      <c r="E1135" s="5">
        <v>35170.666700000002</v>
      </c>
      <c r="F1135" s="5" t="s">
        <v>7249</v>
      </c>
      <c r="G1135" s="5" t="str">
        <f t="shared" si="35"/>
        <v>Октябрьский</v>
      </c>
      <c r="J1135" s="5"/>
      <c r="AF1135" t="s">
        <v>7212</v>
      </c>
      <c r="AG1135" s="24" t="s">
        <v>6366</v>
      </c>
      <c r="AH1135" s="5" t="s">
        <v>7212</v>
      </c>
      <c r="AI1135" s="5">
        <v>22350.722099999999</v>
      </c>
      <c r="AJ1135" s="5">
        <v>22350.722099999999</v>
      </c>
      <c r="AK1135">
        <v>20758.439999999999</v>
      </c>
      <c r="AL1135" s="5" t="str">
        <f t="shared" si="36"/>
        <v>муниципальное образование Камышловский муниципальный район</v>
      </c>
    </row>
    <row r="1136" spans="1:38" ht="15" customHeight="1" x14ac:dyDescent="0.25">
      <c r="A1136" s="5" t="s">
        <v>305</v>
      </c>
      <c r="B1136" s="5" t="s">
        <v>1677</v>
      </c>
      <c r="C1136" s="5">
        <v>39105.413099999998</v>
      </c>
      <c r="D1136" s="5">
        <v>39105.413099999998</v>
      </c>
      <c r="E1136" s="5">
        <v>35170.666700000002</v>
      </c>
      <c r="F1136" s="5" t="s">
        <v>7249</v>
      </c>
      <c r="G1136" s="5" t="str">
        <f t="shared" si="35"/>
        <v>Октябрьский</v>
      </c>
      <c r="J1136" s="5"/>
      <c r="AF1136" t="s">
        <v>7212</v>
      </c>
      <c r="AG1136" s="24" t="s">
        <v>6367</v>
      </c>
      <c r="AH1136" s="5" t="s">
        <v>7212</v>
      </c>
      <c r="AI1136" s="5">
        <v>22350.722099999999</v>
      </c>
      <c r="AJ1136" s="5">
        <v>22350.722099999999</v>
      </c>
      <c r="AK1136">
        <v>20758.439999999999</v>
      </c>
      <c r="AL1136" s="5" t="str">
        <f t="shared" si="36"/>
        <v>муниципальное образование Камышловский муниципальный район</v>
      </c>
    </row>
    <row r="1137" spans="1:38" ht="15" customHeight="1" x14ac:dyDescent="0.25">
      <c r="A1137" s="5" t="s">
        <v>1615</v>
      </c>
      <c r="B1137" s="5" t="s">
        <v>1677</v>
      </c>
      <c r="C1137" s="5">
        <v>39105.413099999998</v>
      </c>
      <c r="D1137" s="5">
        <v>39105.413099999998</v>
      </c>
      <c r="E1137" s="5">
        <v>35170.666700000002</v>
      </c>
      <c r="F1137" s="5" t="s">
        <v>7249</v>
      </c>
      <c r="G1137" s="5" t="str">
        <f t="shared" si="35"/>
        <v>Октябрьский</v>
      </c>
      <c r="J1137" s="5"/>
      <c r="AF1137" t="s">
        <v>7212</v>
      </c>
      <c r="AG1137" s="24" t="s">
        <v>6368</v>
      </c>
      <c r="AH1137" s="5" t="s">
        <v>7212</v>
      </c>
      <c r="AI1137" s="5">
        <v>22350.722099999999</v>
      </c>
      <c r="AJ1137" s="5">
        <v>22350.722099999999</v>
      </c>
      <c r="AK1137">
        <v>20758.439999999999</v>
      </c>
      <c r="AL1137" s="5" t="str">
        <f t="shared" si="36"/>
        <v>муниципальное образование Камышловский муниципальный район</v>
      </c>
    </row>
    <row r="1138" spans="1:38" ht="15" customHeight="1" x14ac:dyDescent="0.25">
      <c r="A1138" s="5" t="s">
        <v>774</v>
      </c>
      <c r="B1138" s="5" t="s">
        <v>1677</v>
      </c>
      <c r="C1138" s="5">
        <v>39105.413099999998</v>
      </c>
      <c r="D1138" s="5">
        <v>39105.413099999998</v>
      </c>
      <c r="E1138" s="5">
        <v>35170.666700000002</v>
      </c>
      <c r="F1138" s="5" t="s">
        <v>7249</v>
      </c>
      <c r="G1138" s="5" t="str">
        <f t="shared" si="35"/>
        <v>Октябрьский</v>
      </c>
      <c r="J1138" s="5"/>
      <c r="AF1138" t="s">
        <v>7212</v>
      </c>
      <c r="AG1138" s="24" t="s">
        <v>6369</v>
      </c>
      <c r="AH1138" s="5" t="s">
        <v>7212</v>
      </c>
      <c r="AI1138" s="5">
        <v>22350.722099999999</v>
      </c>
      <c r="AJ1138" s="5">
        <v>22350.722099999999</v>
      </c>
      <c r="AK1138">
        <v>20758.439999999999</v>
      </c>
      <c r="AL1138" s="5" t="str">
        <f t="shared" si="36"/>
        <v>муниципальное образование Камышловский муниципальный район</v>
      </c>
    </row>
    <row r="1139" spans="1:38" ht="15" customHeight="1" x14ac:dyDescent="0.25">
      <c r="A1139" s="5" t="s">
        <v>278</v>
      </c>
      <c r="B1139" s="5" t="s">
        <v>1677</v>
      </c>
      <c r="C1139" s="5">
        <v>39105.413099999998</v>
      </c>
      <c r="D1139" s="5">
        <v>39105.413099999998</v>
      </c>
      <c r="E1139" s="5">
        <v>35170.666700000002</v>
      </c>
      <c r="F1139" s="5" t="s">
        <v>7249</v>
      </c>
      <c r="G1139" s="5" t="str">
        <f t="shared" si="35"/>
        <v>Октябрьский</v>
      </c>
      <c r="J1139" s="5"/>
      <c r="AF1139" t="s">
        <v>7212</v>
      </c>
      <c r="AG1139" s="24" t="s">
        <v>6370</v>
      </c>
      <c r="AH1139" s="5" t="s">
        <v>7212</v>
      </c>
      <c r="AI1139" s="5">
        <v>22350.722099999999</v>
      </c>
      <c r="AJ1139" s="5">
        <v>22350.722099999999</v>
      </c>
      <c r="AK1139">
        <v>20758.439999999999</v>
      </c>
      <c r="AL1139" s="5" t="str">
        <f t="shared" si="36"/>
        <v>муниципальное образование Камышловский муниципальный район</v>
      </c>
    </row>
    <row r="1140" spans="1:38" ht="15" customHeight="1" x14ac:dyDescent="0.25">
      <c r="A1140" s="5" t="s">
        <v>765</v>
      </c>
      <c r="B1140" s="5" t="s">
        <v>1677</v>
      </c>
      <c r="C1140" s="5">
        <v>39105.413099999998</v>
      </c>
      <c r="D1140" s="5">
        <v>39105.413099999998</v>
      </c>
      <c r="E1140" s="5">
        <v>35170.666700000002</v>
      </c>
      <c r="F1140" s="5" t="s">
        <v>7249</v>
      </c>
      <c r="G1140" s="5" t="str">
        <f t="shared" si="35"/>
        <v>Октябрьский</v>
      </c>
      <c r="J1140" s="5"/>
      <c r="AF1140" t="s">
        <v>7213</v>
      </c>
      <c r="AG1140" s="24" t="s">
        <v>6371</v>
      </c>
      <c r="AH1140" s="5" t="s">
        <v>7213</v>
      </c>
      <c r="AI1140" s="5">
        <v>24537.468700000001</v>
      </c>
      <c r="AJ1140" s="5">
        <v>24537.468700000001</v>
      </c>
      <c r="AK1140">
        <v>22789.396700000001</v>
      </c>
      <c r="AL1140" s="5" t="str">
        <f t="shared" si="36"/>
        <v>Муниципальное образование Красноуфимский округ</v>
      </c>
    </row>
    <row r="1141" spans="1:38" ht="15" customHeight="1" x14ac:dyDescent="0.25">
      <c r="A1141" s="5" t="s">
        <v>846</v>
      </c>
      <c r="B1141" s="5" t="s">
        <v>1677</v>
      </c>
      <c r="C1141" s="5">
        <v>39105.413099999998</v>
      </c>
      <c r="D1141" s="5">
        <v>39105.413099999998</v>
      </c>
      <c r="E1141" s="5">
        <v>35170.666700000002</v>
      </c>
      <c r="F1141" s="5" t="s">
        <v>7249</v>
      </c>
      <c r="G1141" s="5" t="str">
        <f t="shared" si="35"/>
        <v>Октябрьский</v>
      </c>
      <c r="J1141" s="5"/>
      <c r="AF1141" t="s">
        <v>7213</v>
      </c>
      <c r="AG1141" s="24" t="s">
        <v>6372</v>
      </c>
      <c r="AH1141" s="5" t="s">
        <v>7213</v>
      </c>
      <c r="AI1141" s="5">
        <v>24537.468700000001</v>
      </c>
      <c r="AJ1141" s="5">
        <v>24537.468700000001</v>
      </c>
      <c r="AK1141">
        <v>22789.396700000001</v>
      </c>
      <c r="AL1141" s="5" t="str">
        <f t="shared" si="36"/>
        <v>Муниципальное образование Красноуфимский округ</v>
      </c>
    </row>
    <row r="1142" spans="1:38" ht="15" customHeight="1" x14ac:dyDescent="0.25">
      <c r="A1142" s="5" t="s">
        <v>551</v>
      </c>
      <c r="B1142" s="5" t="s">
        <v>1677</v>
      </c>
      <c r="C1142" s="5">
        <v>39105.413099999998</v>
      </c>
      <c r="D1142" s="5">
        <v>39105.413099999998</v>
      </c>
      <c r="E1142" s="5">
        <v>35170.666700000002</v>
      </c>
      <c r="F1142" s="5" t="s">
        <v>7249</v>
      </c>
      <c r="G1142" s="5" t="str">
        <f t="shared" si="35"/>
        <v>Октябрьский</v>
      </c>
      <c r="J1142" s="5"/>
      <c r="AF1142" t="s">
        <v>7213</v>
      </c>
      <c r="AG1142" s="24" t="s">
        <v>6373</v>
      </c>
      <c r="AH1142" s="5" t="s">
        <v>7213</v>
      </c>
      <c r="AI1142" s="5">
        <v>24537.468700000001</v>
      </c>
      <c r="AJ1142" s="5">
        <v>24537.468700000001</v>
      </c>
      <c r="AK1142">
        <v>22789.396700000001</v>
      </c>
      <c r="AL1142" s="5" t="str">
        <f t="shared" si="36"/>
        <v>Муниципальное образование Красноуфимский округ</v>
      </c>
    </row>
    <row r="1143" spans="1:38" ht="15" customHeight="1" x14ac:dyDescent="0.25">
      <c r="A1143" s="5" t="s">
        <v>1462</v>
      </c>
      <c r="B1143" s="5" t="s">
        <v>1677</v>
      </c>
      <c r="C1143" s="5">
        <v>39105.413099999998</v>
      </c>
      <c r="D1143" s="5">
        <v>39105.413099999998</v>
      </c>
      <c r="E1143" s="5">
        <v>35170.666700000002</v>
      </c>
      <c r="F1143" s="5" t="s">
        <v>7249</v>
      </c>
      <c r="G1143" s="5" t="str">
        <f t="shared" si="35"/>
        <v>Октябрьский</v>
      </c>
      <c r="J1143" s="5"/>
      <c r="AF1143" t="s">
        <v>7213</v>
      </c>
      <c r="AG1143" s="24" t="s">
        <v>6374</v>
      </c>
      <c r="AH1143" s="5" t="s">
        <v>7213</v>
      </c>
      <c r="AI1143" s="5">
        <v>24537.468700000001</v>
      </c>
      <c r="AJ1143" s="5">
        <v>24537.468700000001</v>
      </c>
      <c r="AK1143">
        <v>22789.396700000001</v>
      </c>
      <c r="AL1143" s="5" t="str">
        <f t="shared" si="36"/>
        <v>Муниципальное образование Красноуфимский округ</v>
      </c>
    </row>
    <row r="1144" spans="1:38" ht="15" customHeight="1" x14ac:dyDescent="0.25">
      <c r="A1144" s="5" t="s">
        <v>369</v>
      </c>
      <c r="B1144" s="5" t="s">
        <v>1677</v>
      </c>
      <c r="C1144" s="5">
        <v>39105.413099999998</v>
      </c>
      <c r="D1144" s="5">
        <v>39105.413099999998</v>
      </c>
      <c r="E1144" s="5">
        <v>35170.666700000002</v>
      </c>
      <c r="F1144" s="5" t="s">
        <v>7249</v>
      </c>
      <c r="G1144" s="5" t="str">
        <f t="shared" si="35"/>
        <v>Октябрьский</v>
      </c>
      <c r="J1144" s="5"/>
      <c r="AF1144" t="s">
        <v>7213</v>
      </c>
      <c r="AG1144" s="24" t="s">
        <v>6375</v>
      </c>
      <c r="AH1144" s="5" t="s">
        <v>7213</v>
      </c>
      <c r="AI1144" s="5">
        <v>24537.468700000001</v>
      </c>
      <c r="AJ1144" s="5">
        <v>24537.468700000001</v>
      </c>
      <c r="AK1144">
        <v>22789.396700000001</v>
      </c>
      <c r="AL1144" s="5" t="str">
        <f t="shared" si="36"/>
        <v>Муниципальное образование Красноуфимский округ</v>
      </c>
    </row>
    <row r="1145" spans="1:38" ht="15" customHeight="1" x14ac:dyDescent="0.25">
      <c r="A1145" s="5" t="s">
        <v>1170</v>
      </c>
      <c r="B1145" s="5" t="s">
        <v>1677</v>
      </c>
      <c r="C1145" s="5">
        <v>39105.413099999998</v>
      </c>
      <c r="D1145" s="5">
        <v>39105.413099999998</v>
      </c>
      <c r="E1145" s="5">
        <v>35170.666700000002</v>
      </c>
      <c r="F1145" s="5" t="s">
        <v>7249</v>
      </c>
      <c r="G1145" s="5" t="str">
        <f t="shared" si="35"/>
        <v>Октябрьский</v>
      </c>
      <c r="J1145" s="5"/>
      <c r="AF1145" t="s">
        <v>7213</v>
      </c>
      <c r="AG1145" s="24" t="s">
        <v>6376</v>
      </c>
      <c r="AH1145" s="5" t="s">
        <v>7213</v>
      </c>
      <c r="AI1145" s="5">
        <v>25152.081900000001</v>
      </c>
      <c r="AJ1145" s="5">
        <v>25152.081900000001</v>
      </c>
      <c r="AK1145">
        <v>23360.2343</v>
      </c>
      <c r="AL1145" s="5" t="str">
        <f t="shared" si="36"/>
        <v>Муниципальное образование Красноуфимский округ</v>
      </c>
    </row>
    <row r="1146" spans="1:38" ht="15" customHeight="1" x14ac:dyDescent="0.25">
      <c r="A1146" s="5" t="s">
        <v>845</v>
      </c>
      <c r="B1146" s="5" t="s">
        <v>1677</v>
      </c>
      <c r="C1146" s="5">
        <v>39105.413099999998</v>
      </c>
      <c r="D1146" s="5">
        <v>39105.413099999998</v>
      </c>
      <c r="E1146" s="5">
        <v>35170.666700000002</v>
      </c>
      <c r="F1146" s="5" t="s">
        <v>7249</v>
      </c>
      <c r="G1146" s="5" t="str">
        <f t="shared" si="35"/>
        <v>Октябрьский</v>
      </c>
      <c r="J1146" s="5"/>
      <c r="AF1146" t="s">
        <v>7213</v>
      </c>
      <c r="AG1146" s="24" t="s">
        <v>6377</v>
      </c>
      <c r="AH1146" s="5" t="s">
        <v>7213</v>
      </c>
      <c r="AI1146" s="5">
        <v>24537.468700000001</v>
      </c>
      <c r="AJ1146" s="5">
        <v>24537.468700000001</v>
      </c>
      <c r="AK1146">
        <v>22789.396700000001</v>
      </c>
      <c r="AL1146" s="5" t="str">
        <f t="shared" si="36"/>
        <v>Муниципальное образование Красноуфимский округ</v>
      </c>
    </row>
    <row r="1147" spans="1:38" ht="15" customHeight="1" x14ac:dyDescent="0.25">
      <c r="A1147" s="5" t="s">
        <v>930</v>
      </c>
      <c r="B1147" s="5" t="s">
        <v>1677</v>
      </c>
      <c r="C1147" s="5">
        <v>39105.413099999998</v>
      </c>
      <c r="D1147" s="5">
        <v>39105.413099999998</v>
      </c>
      <c r="E1147" s="5">
        <v>35170.666700000002</v>
      </c>
      <c r="F1147" s="5" t="s">
        <v>7249</v>
      </c>
      <c r="G1147" s="5" t="str">
        <f t="shared" si="35"/>
        <v>Октябрьский</v>
      </c>
      <c r="J1147" s="5"/>
      <c r="AF1147" t="s">
        <v>7213</v>
      </c>
      <c r="AG1147" s="24" t="s">
        <v>6378</v>
      </c>
      <c r="AH1147" s="5" t="s">
        <v>7213</v>
      </c>
      <c r="AI1147" s="5">
        <v>24537.468700000001</v>
      </c>
      <c r="AJ1147" s="5">
        <v>24537.468700000001</v>
      </c>
      <c r="AK1147">
        <v>22789.396700000001</v>
      </c>
      <c r="AL1147" s="5" t="str">
        <f t="shared" si="36"/>
        <v>Муниципальное образование Красноуфимский округ</v>
      </c>
    </row>
    <row r="1148" spans="1:38" ht="15" customHeight="1" x14ac:dyDescent="0.25">
      <c r="A1148" s="5" t="s">
        <v>789</v>
      </c>
      <c r="B1148" s="5" t="s">
        <v>1677</v>
      </c>
      <c r="C1148" s="5">
        <v>39105.413099999998</v>
      </c>
      <c r="D1148" s="5">
        <v>39105.413099999998</v>
      </c>
      <c r="E1148" s="5">
        <v>35170.666700000002</v>
      </c>
      <c r="F1148" s="5" t="s">
        <v>7249</v>
      </c>
      <c r="G1148" s="5" t="str">
        <f t="shared" si="35"/>
        <v>Октябрьский</v>
      </c>
      <c r="J1148" s="5"/>
      <c r="AF1148" t="s">
        <v>7213</v>
      </c>
      <c r="AG1148" s="24" t="s">
        <v>6379</v>
      </c>
      <c r="AH1148" s="5" t="s">
        <v>7213</v>
      </c>
      <c r="AI1148" s="5">
        <v>24537.468700000001</v>
      </c>
      <c r="AJ1148" s="5">
        <v>24537.468700000001</v>
      </c>
      <c r="AK1148">
        <v>22789.396700000001</v>
      </c>
      <c r="AL1148" s="5" t="str">
        <f t="shared" si="36"/>
        <v>Муниципальное образование Красноуфимский округ</v>
      </c>
    </row>
    <row r="1149" spans="1:38" ht="15" customHeight="1" x14ac:dyDescent="0.25">
      <c r="A1149" s="5" t="s">
        <v>715</v>
      </c>
      <c r="B1149" s="5" t="s">
        <v>1677</v>
      </c>
      <c r="C1149" s="5">
        <v>39105.413099999998</v>
      </c>
      <c r="D1149" s="5">
        <v>39105.413099999998</v>
      </c>
      <c r="E1149" s="5">
        <v>35170.666700000002</v>
      </c>
      <c r="F1149" s="5" t="s">
        <v>7249</v>
      </c>
      <c r="G1149" s="5" t="str">
        <f t="shared" si="35"/>
        <v>Октябрьский</v>
      </c>
      <c r="J1149" s="5"/>
      <c r="AF1149" t="s">
        <v>7213</v>
      </c>
      <c r="AG1149" s="24" t="s">
        <v>6380</v>
      </c>
      <c r="AH1149" s="5" t="s">
        <v>7213</v>
      </c>
      <c r="AI1149" s="5">
        <v>24537.468700000001</v>
      </c>
      <c r="AJ1149" s="5">
        <v>24537.468700000001</v>
      </c>
      <c r="AK1149">
        <v>22789.396700000001</v>
      </c>
      <c r="AL1149" s="5" t="str">
        <f t="shared" si="36"/>
        <v>Муниципальное образование Красноуфимский округ</v>
      </c>
    </row>
    <row r="1150" spans="1:38" ht="15" customHeight="1" x14ac:dyDescent="0.25">
      <c r="A1150" s="5" t="s">
        <v>746</v>
      </c>
      <c r="B1150" s="5" t="s">
        <v>1677</v>
      </c>
      <c r="C1150" s="5">
        <v>39105.413099999998</v>
      </c>
      <c r="D1150" s="5">
        <v>39105.413099999998</v>
      </c>
      <c r="E1150" s="5">
        <v>35170.666700000002</v>
      </c>
      <c r="F1150" s="5" t="s">
        <v>7249</v>
      </c>
      <c r="G1150" s="5" t="str">
        <f t="shared" si="35"/>
        <v>Октябрьский</v>
      </c>
      <c r="J1150" s="5"/>
      <c r="AF1150" t="s">
        <v>7213</v>
      </c>
      <c r="AG1150" s="24" t="s">
        <v>6381</v>
      </c>
      <c r="AH1150" s="5" t="s">
        <v>7213</v>
      </c>
      <c r="AI1150" s="5">
        <v>24537.468700000001</v>
      </c>
      <c r="AJ1150" s="5">
        <v>24537.468700000001</v>
      </c>
      <c r="AK1150">
        <v>22789.396700000001</v>
      </c>
      <c r="AL1150" s="5" t="str">
        <f t="shared" si="36"/>
        <v>Муниципальное образование Красноуфимский округ</v>
      </c>
    </row>
    <row r="1151" spans="1:38" ht="15" customHeight="1" x14ac:dyDescent="0.25">
      <c r="A1151" s="5" t="s">
        <v>15</v>
      </c>
      <c r="B1151" s="5" t="s">
        <v>1677</v>
      </c>
      <c r="C1151" s="5">
        <v>39105.413099999998</v>
      </c>
      <c r="D1151" s="5">
        <v>39105.413099999998</v>
      </c>
      <c r="E1151" s="5">
        <v>35170.666700000002</v>
      </c>
      <c r="F1151" s="5" t="s">
        <v>7249</v>
      </c>
      <c r="G1151" s="5" t="str">
        <f t="shared" si="35"/>
        <v>Октябрьский</v>
      </c>
      <c r="J1151" s="5"/>
      <c r="AF1151" t="s">
        <v>7213</v>
      </c>
      <c r="AG1151" s="24" t="s">
        <v>6382</v>
      </c>
      <c r="AH1151" s="5" t="s">
        <v>7213</v>
      </c>
      <c r="AI1151" s="5">
        <v>24537.468700000001</v>
      </c>
      <c r="AJ1151" s="5">
        <v>24537.468700000001</v>
      </c>
      <c r="AK1151">
        <v>22789.396700000001</v>
      </c>
      <c r="AL1151" s="5" t="str">
        <f t="shared" si="36"/>
        <v>Муниципальное образование Красноуфимский округ</v>
      </c>
    </row>
    <row r="1152" spans="1:38" ht="15" customHeight="1" x14ac:dyDescent="0.25">
      <c r="A1152" s="5" t="s">
        <v>1519</v>
      </c>
      <c r="B1152" s="5" t="s">
        <v>1677</v>
      </c>
      <c r="C1152" s="5">
        <v>39105.413099999998</v>
      </c>
      <c r="D1152" s="5">
        <v>39105.413099999998</v>
      </c>
      <c r="E1152" s="5">
        <v>35170.666700000002</v>
      </c>
      <c r="F1152" s="5" t="s">
        <v>7249</v>
      </c>
      <c r="G1152" s="5" t="str">
        <f t="shared" si="35"/>
        <v>Октябрьский</v>
      </c>
      <c r="J1152" s="5"/>
      <c r="AF1152" t="s">
        <v>7213</v>
      </c>
      <c r="AG1152" s="24" t="s">
        <v>6383</v>
      </c>
      <c r="AH1152" s="5" t="s">
        <v>7213</v>
      </c>
      <c r="AI1152" s="5">
        <v>24537.468700000001</v>
      </c>
      <c r="AJ1152" s="5">
        <v>24537.468700000001</v>
      </c>
      <c r="AK1152">
        <v>22789.396700000001</v>
      </c>
      <c r="AL1152" s="5" t="str">
        <f t="shared" si="36"/>
        <v>Муниципальное образование Красноуфимский округ</v>
      </c>
    </row>
    <row r="1153" spans="1:38" ht="15" customHeight="1" x14ac:dyDescent="0.25">
      <c r="A1153" s="5" t="s">
        <v>454</v>
      </c>
      <c r="B1153" s="5" t="s">
        <v>1677</v>
      </c>
      <c r="C1153" s="5">
        <v>39105.413099999998</v>
      </c>
      <c r="D1153" s="5">
        <v>39105.413099999998</v>
      </c>
      <c r="E1153" s="5">
        <v>35170.666700000002</v>
      </c>
      <c r="F1153" s="5" t="s">
        <v>7249</v>
      </c>
      <c r="G1153" s="5" t="str">
        <f t="shared" si="35"/>
        <v>Октябрьский</v>
      </c>
      <c r="J1153" s="5"/>
      <c r="AF1153" t="s">
        <v>7213</v>
      </c>
      <c r="AG1153" s="24" t="s">
        <v>6384</v>
      </c>
      <c r="AH1153" s="5" t="s">
        <v>7213</v>
      </c>
      <c r="AI1153" s="5">
        <v>24537.468700000001</v>
      </c>
      <c r="AJ1153" s="5">
        <v>24537.468700000001</v>
      </c>
      <c r="AK1153">
        <v>22789.396700000001</v>
      </c>
      <c r="AL1153" s="5" t="str">
        <f t="shared" si="36"/>
        <v>Муниципальное образование Красноуфимский округ</v>
      </c>
    </row>
    <row r="1154" spans="1:38" ht="15" customHeight="1" x14ac:dyDescent="0.25">
      <c r="A1154" s="5" t="s">
        <v>1154</v>
      </c>
      <c r="B1154" s="5" t="s">
        <v>1677</v>
      </c>
      <c r="C1154" s="5">
        <v>39105.413099999998</v>
      </c>
      <c r="D1154" s="5">
        <v>39105.413099999998</v>
      </c>
      <c r="E1154" s="5">
        <v>35170.666700000002</v>
      </c>
      <c r="F1154" s="5" t="s">
        <v>7249</v>
      </c>
      <c r="G1154" s="5" t="str">
        <f t="shared" si="35"/>
        <v>Октябрьский</v>
      </c>
      <c r="J1154" s="5"/>
      <c r="AF1154" t="s">
        <v>7213</v>
      </c>
      <c r="AG1154" s="24" t="s">
        <v>6385</v>
      </c>
      <c r="AH1154" s="5" t="s">
        <v>7213</v>
      </c>
      <c r="AI1154" s="5">
        <v>24537.468700000001</v>
      </c>
      <c r="AJ1154" s="5">
        <v>24537.468700000001</v>
      </c>
      <c r="AK1154">
        <v>22789.396700000001</v>
      </c>
      <c r="AL1154" s="5" t="str">
        <f t="shared" si="36"/>
        <v>Муниципальное образование Красноуфимский округ</v>
      </c>
    </row>
    <row r="1155" spans="1:38" ht="15" customHeight="1" x14ac:dyDescent="0.25">
      <c r="A1155" s="5" t="s">
        <v>364</v>
      </c>
      <c r="B1155" s="5" t="s">
        <v>1677</v>
      </c>
      <c r="C1155" s="5">
        <v>39105.413099999998</v>
      </c>
      <c r="D1155" s="5">
        <v>39105.413099999998</v>
      </c>
      <c r="E1155" s="5">
        <v>35170.666700000002</v>
      </c>
      <c r="F1155" s="5" t="s">
        <v>7249</v>
      </c>
      <c r="G1155" s="5" t="str">
        <f t="shared" si="35"/>
        <v>Октябрьский</v>
      </c>
      <c r="J1155" s="5"/>
      <c r="AF1155" t="s">
        <v>7213</v>
      </c>
      <c r="AG1155" s="24" t="s">
        <v>6386</v>
      </c>
      <c r="AH1155" s="5" t="s">
        <v>7213</v>
      </c>
      <c r="AI1155" s="5">
        <v>24537.468700000001</v>
      </c>
      <c r="AJ1155" s="5">
        <v>24537.468700000001</v>
      </c>
      <c r="AK1155">
        <v>22789.396700000001</v>
      </c>
      <c r="AL1155" s="5" t="str">
        <f t="shared" si="36"/>
        <v>Муниципальное образование Красноуфимский округ</v>
      </c>
    </row>
    <row r="1156" spans="1:38" ht="15" customHeight="1" x14ac:dyDescent="0.25">
      <c r="A1156" s="5" t="s">
        <v>747</v>
      </c>
      <c r="B1156" s="5" t="s">
        <v>1677</v>
      </c>
      <c r="C1156" s="5">
        <v>39105.413099999998</v>
      </c>
      <c r="D1156" s="5">
        <v>39105.413099999998</v>
      </c>
      <c r="E1156" s="5">
        <v>35170.666700000002</v>
      </c>
      <c r="F1156" s="5" t="s">
        <v>7249</v>
      </c>
      <c r="G1156" s="5" t="str">
        <f t="shared" ref="G1156:G1219" si="37">B1156</f>
        <v>Октябрьский</v>
      </c>
      <c r="J1156" s="5"/>
      <c r="AF1156" t="s">
        <v>7213</v>
      </c>
      <c r="AG1156" s="24" t="s">
        <v>6387</v>
      </c>
      <c r="AH1156" s="5" t="s">
        <v>7213</v>
      </c>
      <c r="AI1156" s="5">
        <v>24537.468700000001</v>
      </c>
      <c r="AJ1156" s="5">
        <v>24537.468700000001</v>
      </c>
      <c r="AK1156">
        <v>22789.396700000001</v>
      </c>
      <c r="AL1156" s="5" t="str">
        <f t="shared" ref="AL1156:AL1219" si="38">AF1156</f>
        <v>Муниципальное образование Красноуфимский округ</v>
      </c>
    </row>
    <row r="1157" spans="1:38" ht="15" customHeight="1" x14ac:dyDescent="0.25">
      <c r="A1157" s="5" t="s">
        <v>1249</v>
      </c>
      <c r="B1157" s="5" t="s">
        <v>1677</v>
      </c>
      <c r="C1157" s="5">
        <v>39105.413099999998</v>
      </c>
      <c r="D1157" s="5">
        <v>39105.413099999998</v>
      </c>
      <c r="E1157" s="5">
        <v>35170.666700000002</v>
      </c>
      <c r="F1157" s="5" t="s">
        <v>7249</v>
      </c>
      <c r="G1157" s="5" t="str">
        <f t="shared" si="37"/>
        <v>Октябрьский</v>
      </c>
      <c r="J1157" s="5"/>
      <c r="AF1157" t="s">
        <v>7213</v>
      </c>
      <c r="AG1157" s="24" t="s">
        <v>6388</v>
      </c>
      <c r="AH1157" s="5" t="s">
        <v>7213</v>
      </c>
      <c r="AI1157" s="5">
        <v>24537.468700000001</v>
      </c>
      <c r="AJ1157" s="5">
        <v>24537.468700000001</v>
      </c>
      <c r="AK1157">
        <v>22789.396700000001</v>
      </c>
      <c r="AL1157" s="5" t="str">
        <f t="shared" si="38"/>
        <v>Муниципальное образование Красноуфимский округ</v>
      </c>
    </row>
    <row r="1158" spans="1:38" ht="15" customHeight="1" x14ac:dyDescent="0.25">
      <c r="A1158" s="5" t="s">
        <v>824</v>
      </c>
      <c r="B1158" s="5" t="s">
        <v>1677</v>
      </c>
      <c r="C1158" s="5">
        <v>39105.413099999998</v>
      </c>
      <c r="D1158" s="5">
        <v>39105.413099999998</v>
      </c>
      <c r="E1158" s="5">
        <v>35170.666700000002</v>
      </c>
      <c r="F1158" s="5" t="s">
        <v>7249</v>
      </c>
      <c r="G1158" s="5" t="str">
        <f t="shared" si="37"/>
        <v>Октябрьский</v>
      </c>
      <c r="J1158" s="5"/>
      <c r="AF1158" t="s">
        <v>7213</v>
      </c>
      <c r="AG1158" s="24" t="s">
        <v>6389</v>
      </c>
      <c r="AH1158" s="5" t="s">
        <v>7213</v>
      </c>
      <c r="AI1158" s="5">
        <v>24537.468700000001</v>
      </c>
      <c r="AJ1158" s="5">
        <v>24537.468700000001</v>
      </c>
      <c r="AK1158">
        <v>22789.396700000001</v>
      </c>
      <c r="AL1158" s="5" t="str">
        <f t="shared" si="38"/>
        <v>Муниципальное образование Красноуфимский округ</v>
      </c>
    </row>
    <row r="1159" spans="1:38" ht="15" customHeight="1" x14ac:dyDescent="0.25">
      <c r="A1159" s="5" t="s">
        <v>291</v>
      </c>
      <c r="B1159" s="5" t="s">
        <v>1677</v>
      </c>
      <c r="C1159" s="5">
        <v>39105.413099999998</v>
      </c>
      <c r="D1159" s="5">
        <v>39105.413099999998</v>
      </c>
      <c r="E1159" s="5">
        <v>35170.666700000002</v>
      </c>
      <c r="F1159" s="5" t="s">
        <v>7249</v>
      </c>
      <c r="G1159" s="5" t="str">
        <f t="shared" si="37"/>
        <v>Октябрьский</v>
      </c>
      <c r="J1159" s="5"/>
      <c r="AF1159" t="s">
        <v>7213</v>
      </c>
      <c r="AG1159" s="24" t="s">
        <v>6390</v>
      </c>
      <c r="AH1159" s="5" t="s">
        <v>7213</v>
      </c>
      <c r="AI1159" s="5">
        <v>24537.468700000001</v>
      </c>
      <c r="AJ1159" s="5">
        <v>24537.468700000001</v>
      </c>
      <c r="AK1159">
        <v>22789.396700000001</v>
      </c>
      <c r="AL1159" s="5" t="str">
        <f t="shared" si="38"/>
        <v>Муниципальное образование Красноуфимский округ</v>
      </c>
    </row>
    <row r="1160" spans="1:38" ht="15" customHeight="1" x14ac:dyDescent="0.25">
      <c r="A1160" s="5" t="s">
        <v>1513</v>
      </c>
      <c r="B1160" s="5" t="s">
        <v>1677</v>
      </c>
      <c r="C1160" s="5">
        <v>39105.413099999998</v>
      </c>
      <c r="D1160" s="5">
        <v>39105.413099999998</v>
      </c>
      <c r="E1160" s="5">
        <v>35170.666700000002</v>
      </c>
      <c r="F1160" s="5" t="s">
        <v>7249</v>
      </c>
      <c r="G1160" s="5" t="str">
        <f t="shared" si="37"/>
        <v>Октябрьский</v>
      </c>
      <c r="J1160" s="5"/>
      <c r="AF1160" t="s">
        <v>7213</v>
      </c>
      <c r="AG1160" s="24" t="s">
        <v>6391</v>
      </c>
      <c r="AH1160" s="5" t="s">
        <v>7213</v>
      </c>
      <c r="AI1160" s="5">
        <v>24537.468700000001</v>
      </c>
      <c r="AJ1160" s="5">
        <v>24537.468700000001</v>
      </c>
      <c r="AK1160">
        <v>22789.396700000001</v>
      </c>
      <c r="AL1160" s="5" t="str">
        <f t="shared" si="38"/>
        <v>Муниципальное образование Красноуфимский округ</v>
      </c>
    </row>
    <row r="1161" spans="1:38" ht="15" customHeight="1" x14ac:dyDescent="0.25">
      <c r="A1161" s="5" t="s">
        <v>448</v>
      </c>
      <c r="B1161" s="5" t="s">
        <v>1677</v>
      </c>
      <c r="C1161" s="5">
        <v>39105.413099999998</v>
      </c>
      <c r="D1161" s="5">
        <v>39105.413099999998</v>
      </c>
      <c r="E1161" s="5">
        <v>35170.666700000002</v>
      </c>
      <c r="F1161" s="5" t="s">
        <v>7249</v>
      </c>
      <c r="G1161" s="5" t="str">
        <f t="shared" si="37"/>
        <v>Октябрьский</v>
      </c>
      <c r="J1161" s="5"/>
      <c r="AF1161" t="s">
        <v>7213</v>
      </c>
      <c r="AG1161" s="24" t="s">
        <v>6392</v>
      </c>
      <c r="AH1161" s="5" t="s">
        <v>7213</v>
      </c>
      <c r="AI1161" s="5">
        <v>24537.468700000001</v>
      </c>
      <c r="AJ1161" s="5">
        <v>24537.468700000001</v>
      </c>
      <c r="AK1161">
        <v>22789.396700000001</v>
      </c>
      <c r="AL1161" s="5" t="str">
        <f t="shared" si="38"/>
        <v>Муниципальное образование Красноуфимский округ</v>
      </c>
    </row>
    <row r="1162" spans="1:38" ht="15" customHeight="1" x14ac:dyDescent="0.25">
      <c r="A1162" s="5" t="s">
        <v>1520</v>
      </c>
      <c r="B1162" s="5" t="s">
        <v>1677</v>
      </c>
      <c r="C1162" s="5">
        <v>39105.413099999998</v>
      </c>
      <c r="D1162" s="5">
        <v>39105.413099999998</v>
      </c>
      <c r="E1162" s="5">
        <v>35170.666700000002</v>
      </c>
      <c r="F1162" s="5" t="s">
        <v>7249</v>
      </c>
      <c r="G1162" s="5" t="str">
        <f t="shared" si="37"/>
        <v>Октябрьский</v>
      </c>
      <c r="J1162" s="5"/>
      <c r="AF1162" t="s">
        <v>7213</v>
      </c>
      <c r="AG1162" s="24" t="s">
        <v>6393</v>
      </c>
      <c r="AH1162" s="5" t="s">
        <v>7213</v>
      </c>
      <c r="AI1162" s="5">
        <v>24537.468700000001</v>
      </c>
      <c r="AJ1162" s="5">
        <v>24537.468700000001</v>
      </c>
      <c r="AK1162">
        <v>22789.396700000001</v>
      </c>
      <c r="AL1162" s="5" t="str">
        <f t="shared" si="38"/>
        <v>Муниципальное образование Красноуфимский округ</v>
      </c>
    </row>
    <row r="1163" spans="1:38" ht="15" customHeight="1" x14ac:dyDescent="0.25">
      <c r="A1163" s="5" t="s">
        <v>770</v>
      </c>
      <c r="B1163" s="5" t="s">
        <v>1677</v>
      </c>
      <c r="C1163" s="5">
        <v>39105.413099999998</v>
      </c>
      <c r="D1163" s="5">
        <v>39105.413099999998</v>
      </c>
      <c r="E1163" s="5">
        <v>35170.666700000002</v>
      </c>
      <c r="F1163" s="5" t="s">
        <v>7249</v>
      </c>
      <c r="G1163" s="5" t="str">
        <f t="shared" si="37"/>
        <v>Октябрьский</v>
      </c>
      <c r="J1163" s="5"/>
      <c r="AF1163" t="s">
        <v>7213</v>
      </c>
      <c r="AG1163" s="24" t="s">
        <v>6394</v>
      </c>
      <c r="AH1163" s="5" t="s">
        <v>7213</v>
      </c>
      <c r="AI1163" s="5">
        <v>24537.468700000001</v>
      </c>
      <c r="AJ1163" s="5">
        <v>24537.468700000001</v>
      </c>
      <c r="AK1163">
        <v>22789.396700000001</v>
      </c>
      <c r="AL1163" s="5" t="str">
        <f t="shared" si="38"/>
        <v>Муниципальное образование Красноуфимский округ</v>
      </c>
    </row>
    <row r="1164" spans="1:38" ht="15" customHeight="1" x14ac:dyDescent="0.25">
      <c r="A1164" s="5" t="s">
        <v>1105</v>
      </c>
      <c r="B1164" s="5" t="s">
        <v>1677</v>
      </c>
      <c r="C1164" s="5">
        <v>39105.413099999998</v>
      </c>
      <c r="D1164" s="5">
        <v>39105.413099999998</v>
      </c>
      <c r="E1164" s="5">
        <v>35170.666700000002</v>
      </c>
      <c r="F1164" s="5" t="s">
        <v>7249</v>
      </c>
      <c r="G1164" s="5" t="str">
        <f t="shared" si="37"/>
        <v>Октябрьский</v>
      </c>
      <c r="J1164" s="5"/>
      <c r="AF1164" t="s">
        <v>7213</v>
      </c>
      <c r="AG1164" s="24" t="s">
        <v>6395</v>
      </c>
      <c r="AH1164" s="5" t="s">
        <v>7213</v>
      </c>
      <c r="AI1164" s="5">
        <v>24537.468700000001</v>
      </c>
      <c r="AJ1164" s="5">
        <v>24537.468700000001</v>
      </c>
      <c r="AK1164">
        <v>22789.396700000001</v>
      </c>
      <c r="AL1164" s="5" t="str">
        <f t="shared" si="38"/>
        <v>Муниципальное образование Красноуфимский округ</v>
      </c>
    </row>
    <row r="1165" spans="1:38" ht="15" customHeight="1" x14ac:dyDescent="0.25">
      <c r="A1165" s="5" t="s">
        <v>315</v>
      </c>
      <c r="B1165" s="5" t="s">
        <v>1677</v>
      </c>
      <c r="C1165" s="5">
        <v>39105.413099999998</v>
      </c>
      <c r="D1165" s="5">
        <v>39105.413099999998</v>
      </c>
      <c r="E1165" s="5">
        <v>35170.666700000002</v>
      </c>
      <c r="F1165" s="5" t="s">
        <v>7249</v>
      </c>
      <c r="G1165" s="5" t="str">
        <f t="shared" si="37"/>
        <v>Октябрьский</v>
      </c>
      <c r="J1165" s="5"/>
      <c r="AF1165" t="s">
        <v>7213</v>
      </c>
      <c r="AG1165" s="24" t="s">
        <v>6396</v>
      </c>
      <c r="AH1165" s="5" t="s">
        <v>7213</v>
      </c>
      <c r="AI1165" s="5">
        <v>25152.081900000001</v>
      </c>
      <c r="AJ1165" s="5">
        <v>25152.081900000001</v>
      </c>
      <c r="AK1165">
        <v>23360.2343</v>
      </c>
      <c r="AL1165" s="5" t="str">
        <f t="shared" si="38"/>
        <v>Муниципальное образование Красноуфимский округ</v>
      </c>
    </row>
    <row r="1166" spans="1:38" ht="15" customHeight="1" x14ac:dyDescent="0.25">
      <c r="A1166" s="5" t="s">
        <v>764</v>
      </c>
      <c r="B1166" s="5" t="s">
        <v>1677</v>
      </c>
      <c r="C1166" s="5">
        <v>39105.413099999998</v>
      </c>
      <c r="D1166" s="5">
        <v>39105.413099999998</v>
      </c>
      <c r="E1166" s="5">
        <v>35170.666700000002</v>
      </c>
      <c r="F1166" s="5" t="s">
        <v>7249</v>
      </c>
      <c r="G1166" s="5" t="str">
        <f t="shared" si="37"/>
        <v>Октябрьский</v>
      </c>
      <c r="J1166" s="5"/>
      <c r="AF1166" t="s">
        <v>7213</v>
      </c>
      <c r="AG1166" s="24" t="s">
        <v>6397</v>
      </c>
      <c r="AH1166" s="5" t="s">
        <v>7213</v>
      </c>
      <c r="AI1166" s="5">
        <v>25152.081900000001</v>
      </c>
      <c r="AJ1166" s="5">
        <v>25152.081900000001</v>
      </c>
      <c r="AK1166">
        <v>23360.2343</v>
      </c>
      <c r="AL1166" s="5" t="str">
        <f t="shared" si="38"/>
        <v>Муниципальное образование Красноуфимский округ</v>
      </c>
    </row>
    <row r="1167" spans="1:38" ht="15" customHeight="1" x14ac:dyDescent="0.25">
      <c r="A1167" s="5" t="s">
        <v>444</v>
      </c>
      <c r="B1167" s="5" t="s">
        <v>1677</v>
      </c>
      <c r="C1167" s="5">
        <v>39105.413099999998</v>
      </c>
      <c r="D1167" s="5">
        <v>39105.413099999998</v>
      </c>
      <c r="E1167" s="5">
        <v>35170.666700000002</v>
      </c>
      <c r="F1167" s="5" t="s">
        <v>7249</v>
      </c>
      <c r="G1167" s="5" t="str">
        <f t="shared" si="37"/>
        <v>Октябрьский</v>
      </c>
      <c r="J1167" s="5"/>
      <c r="AF1167" t="s">
        <v>7213</v>
      </c>
      <c r="AG1167" s="24" t="s">
        <v>6398</v>
      </c>
      <c r="AH1167" s="5" t="s">
        <v>7213</v>
      </c>
      <c r="AI1167" s="5">
        <v>24537.468700000001</v>
      </c>
      <c r="AJ1167" s="5">
        <v>24537.468700000001</v>
      </c>
      <c r="AK1167">
        <v>22789.396700000001</v>
      </c>
      <c r="AL1167" s="5" t="str">
        <f t="shared" si="38"/>
        <v>Муниципальное образование Красноуфимский округ</v>
      </c>
    </row>
    <row r="1168" spans="1:38" ht="15" customHeight="1" x14ac:dyDescent="0.25">
      <c r="A1168" s="5" t="s">
        <v>365</v>
      </c>
      <c r="B1168" s="5" t="s">
        <v>1677</v>
      </c>
      <c r="C1168" s="5">
        <v>39105.413099999998</v>
      </c>
      <c r="D1168" s="5">
        <v>39105.413099999998</v>
      </c>
      <c r="E1168" s="5">
        <v>35170.666700000002</v>
      </c>
      <c r="F1168" s="5" t="s">
        <v>7249</v>
      </c>
      <c r="G1168" s="5" t="str">
        <f t="shared" si="37"/>
        <v>Октябрьский</v>
      </c>
      <c r="J1168" s="5"/>
      <c r="AF1168" t="s">
        <v>7213</v>
      </c>
      <c r="AG1168" s="24" t="s">
        <v>6399</v>
      </c>
      <c r="AH1168" s="5" t="s">
        <v>7213</v>
      </c>
      <c r="AI1168" s="5">
        <v>24537.468700000001</v>
      </c>
      <c r="AJ1168" s="5">
        <v>24537.468700000001</v>
      </c>
      <c r="AK1168">
        <v>22789.396700000001</v>
      </c>
      <c r="AL1168" s="5" t="str">
        <f t="shared" si="38"/>
        <v>Муниципальное образование Красноуфимский округ</v>
      </c>
    </row>
    <row r="1169" spans="1:38" ht="15" customHeight="1" x14ac:dyDescent="0.25">
      <c r="A1169" s="5" t="s">
        <v>513</v>
      </c>
      <c r="B1169" s="5" t="s">
        <v>1677</v>
      </c>
      <c r="C1169" s="5">
        <v>39105.413099999998</v>
      </c>
      <c r="D1169" s="5">
        <v>39105.413099999998</v>
      </c>
      <c r="E1169" s="5">
        <v>35170.666700000002</v>
      </c>
      <c r="F1169" s="5" t="s">
        <v>7249</v>
      </c>
      <c r="G1169" s="5" t="str">
        <f t="shared" si="37"/>
        <v>Октябрьский</v>
      </c>
      <c r="J1169" s="5"/>
      <c r="AF1169" t="s">
        <v>7213</v>
      </c>
      <c r="AG1169" s="24" t="s">
        <v>6400</v>
      </c>
      <c r="AH1169" s="5" t="s">
        <v>7213</v>
      </c>
      <c r="AI1169" s="5">
        <v>24537.468700000001</v>
      </c>
      <c r="AJ1169" s="5">
        <v>24537.468700000001</v>
      </c>
      <c r="AK1169">
        <v>22789.396700000001</v>
      </c>
      <c r="AL1169" s="5" t="str">
        <f t="shared" si="38"/>
        <v>Муниципальное образование Красноуфимский округ</v>
      </c>
    </row>
    <row r="1170" spans="1:38" ht="15" customHeight="1" x14ac:dyDescent="0.25">
      <c r="A1170" s="5" t="s">
        <v>1308</v>
      </c>
      <c r="B1170" s="5" t="s">
        <v>1677</v>
      </c>
      <c r="C1170" s="5">
        <v>39105.413099999998</v>
      </c>
      <c r="D1170" s="5">
        <v>39105.413099999998</v>
      </c>
      <c r="E1170" s="5">
        <v>35170.666700000002</v>
      </c>
      <c r="F1170" s="5" t="s">
        <v>7249</v>
      </c>
      <c r="G1170" s="5" t="str">
        <f t="shared" si="37"/>
        <v>Октябрьский</v>
      </c>
      <c r="J1170" s="5"/>
      <c r="AF1170" t="s">
        <v>7213</v>
      </c>
      <c r="AG1170" s="24" t="s">
        <v>6401</v>
      </c>
      <c r="AH1170" s="5" t="s">
        <v>7213</v>
      </c>
      <c r="AI1170" s="5">
        <v>24537.468700000001</v>
      </c>
      <c r="AJ1170" s="5">
        <v>24537.468700000001</v>
      </c>
      <c r="AK1170">
        <v>22789.396700000001</v>
      </c>
      <c r="AL1170" s="5" t="str">
        <f t="shared" si="38"/>
        <v>Муниципальное образование Красноуфимский округ</v>
      </c>
    </row>
    <row r="1171" spans="1:38" ht="15" customHeight="1" x14ac:dyDescent="0.25">
      <c r="A1171" s="5" t="s">
        <v>1007</v>
      </c>
      <c r="B1171" s="5" t="s">
        <v>1677</v>
      </c>
      <c r="C1171" s="5">
        <v>39105.413099999998</v>
      </c>
      <c r="D1171" s="5">
        <v>39105.413099999998</v>
      </c>
      <c r="E1171" s="5">
        <v>35170.666700000002</v>
      </c>
      <c r="F1171" s="5" t="s">
        <v>7249</v>
      </c>
      <c r="G1171" s="5" t="str">
        <f t="shared" si="37"/>
        <v>Октябрьский</v>
      </c>
      <c r="J1171" s="5"/>
      <c r="AF1171" t="s">
        <v>7213</v>
      </c>
      <c r="AG1171" s="24" t="s">
        <v>6402</v>
      </c>
      <c r="AH1171" s="5" t="s">
        <v>7213</v>
      </c>
      <c r="AI1171" s="5">
        <v>24537.468700000001</v>
      </c>
      <c r="AJ1171" s="5">
        <v>24537.468700000001</v>
      </c>
      <c r="AK1171">
        <v>22789.396700000001</v>
      </c>
      <c r="AL1171" s="5" t="str">
        <f t="shared" si="38"/>
        <v>Муниципальное образование Красноуфимский округ</v>
      </c>
    </row>
    <row r="1172" spans="1:38" ht="15" customHeight="1" x14ac:dyDescent="0.25">
      <c r="A1172" s="5" t="s">
        <v>1062</v>
      </c>
      <c r="B1172" s="5" t="s">
        <v>1677</v>
      </c>
      <c r="C1172" s="5">
        <v>39105.413099999998</v>
      </c>
      <c r="D1172" s="5">
        <v>39105.413099999998</v>
      </c>
      <c r="E1172" s="5">
        <v>35170.666700000002</v>
      </c>
      <c r="F1172" s="5" t="s">
        <v>7249</v>
      </c>
      <c r="G1172" s="5" t="str">
        <f t="shared" si="37"/>
        <v>Октябрьский</v>
      </c>
      <c r="J1172" s="5"/>
      <c r="AF1172" t="s">
        <v>7213</v>
      </c>
      <c r="AG1172" s="24" t="s">
        <v>6403</v>
      </c>
      <c r="AH1172" s="5" t="s">
        <v>7213</v>
      </c>
      <c r="AI1172" s="5">
        <v>24537.468700000001</v>
      </c>
      <c r="AJ1172" s="5">
        <v>24537.468700000001</v>
      </c>
      <c r="AK1172">
        <v>22789.396700000001</v>
      </c>
      <c r="AL1172" s="5" t="str">
        <f t="shared" si="38"/>
        <v>Муниципальное образование Красноуфимский округ</v>
      </c>
    </row>
    <row r="1173" spans="1:38" ht="15" customHeight="1" x14ac:dyDescent="0.25">
      <c r="A1173" s="5" t="s">
        <v>1187</v>
      </c>
      <c r="B1173" s="5" t="s">
        <v>1677</v>
      </c>
      <c r="C1173" s="5">
        <v>39105.413099999998</v>
      </c>
      <c r="D1173" s="5">
        <v>39105.413099999998</v>
      </c>
      <c r="E1173" s="5">
        <v>35170.666700000002</v>
      </c>
      <c r="F1173" s="5" t="s">
        <v>7249</v>
      </c>
      <c r="G1173" s="5" t="str">
        <f t="shared" si="37"/>
        <v>Октябрьский</v>
      </c>
      <c r="J1173" s="5"/>
      <c r="AF1173" t="s">
        <v>7213</v>
      </c>
      <c r="AG1173" s="24" t="s">
        <v>6404</v>
      </c>
      <c r="AH1173" s="5" t="s">
        <v>7213</v>
      </c>
      <c r="AI1173" s="5">
        <v>30316.601699999999</v>
      </c>
      <c r="AJ1173" s="5">
        <v>30316.601699999999</v>
      </c>
      <c r="AK1173">
        <v>28156.826400000002</v>
      </c>
      <c r="AL1173" s="5" t="str">
        <f t="shared" si="38"/>
        <v>Муниципальное образование Красноуфимский округ</v>
      </c>
    </row>
    <row r="1174" spans="1:38" ht="15" customHeight="1" x14ac:dyDescent="0.25">
      <c r="A1174" s="5" t="s">
        <v>790</v>
      </c>
      <c r="B1174" s="5" t="s">
        <v>1677</v>
      </c>
      <c r="C1174" s="5">
        <v>39105.413099999998</v>
      </c>
      <c r="D1174" s="5">
        <v>39105.413099999998</v>
      </c>
      <c r="E1174" s="5">
        <v>35170.666700000002</v>
      </c>
      <c r="F1174" s="5" t="s">
        <v>7249</v>
      </c>
      <c r="G1174" s="5" t="str">
        <f t="shared" si="37"/>
        <v>Октябрьский</v>
      </c>
      <c r="J1174" s="5"/>
      <c r="AF1174" t="s">
        <v>7213</v>
      </c>
      <c r="AG1174" s="24" t="s">
        <v>6405</v>
      </c>
      <c r="AH1174" s="5" t="s">
        <v>7213</v>
      </c>
      <c r="AI1174" s="5">
        <v>24537.468700000001</v>
      </c>
      <c r="AJ1174" s="5">
        <v>24537.468700000001</v>
      </c>
      <c r="AK1174">
        <v>22789.396700000001</v>
      </c>
      <c r="AL1174" s="5" t="str">
        <f t="shared" si="38"/>
        <v>Муниципальное образование Красноуфимский округ</v>
      </c>
    </row>
    <row r="1175" spans="1:38" ht="15" customHeight="1" x14ac:dyDescent="0.25">
      <c r="A1175" s="5" t="s">
        <v>139</v>
      </c>
      <c r="B1175" s="5" t="s">
        <v>1677</v>
      </c>
      <c r="C1175" s="5">
        <v>39105.413099999998</v>
      </c>
      <c r="D1175" s="5">
        <v>39105.413099999998</v>
      </c>
      <c r="E1175" s="5">
        <v>35170.666700000002</v>
      </c>
      <c r="F1175" s="5" t="s">
        <v>7249</v>
      </c>
      <c r="G1175" s="5" t="str">
        <f t="shared" si="37"/>
        <v>Октябрьский</v>
      </c>
      <c r="J1175" s="5"/>
      <c r="AF1175" t="s">
        <v>7213</v>
      </c>
      <c r="AG1175" s="24" t="s">
        <v>6406</v>
      </c>
      <c r="AH1175" s="5" t="s">
        <v>7213</v>
      </c>
      <c r="AI1175" s="5">
        <v>24537.468700000001</v>
      </c>
      <c r="AJ1175" s="5">
        <v>24537.468700000001</v>
      </c>
      <c r="AK1175">
        <v>22789.396700000001</v>
      </c>
      <c r="AL1175" s="5" t="str">
        <f t="shared" si="38"/>
        <v>Муниципальное образование Красноуфимский округ</v>
      </c>
    </row>
    <row r="1176" spans="1:38" ht="15" customHeight="1" x14ac:dyDescent="0.25">
      <c r="A1176" s="5" t="s">
        <v>207</v>
      </c>
      <c r="B1176" s="5" t="s">
        <v>1677</v>
      </c>
      <c r="C1176" s="5">
        <v>39105.413099999998</v>
      </c>
      <c r="D1176" s="5">
        <v>39105.413099999998</v>
      </c>
      <c r="E1176" s="5">
        <v>35170.666700000002</v>
      </c>
      <c r="F1176" s="5" t="s">
        <v>7249</v>
      </c>
      <c r="G1176" s="5" t="str">
        <f t="shared" si="37"/>
        <v>Октябрьский</v>
      </c>
      <c r="J1176" s="5"/>
      <c r="AF1176" t="s">
        <v>7213</v>
      </c>
      <c r="AG1176" s="24" t="s">
        <v>6407</v>
      </c>
      <c r="AH1176" s="5" t="s">
        <v>7213</v>
      </c>
      <c r="AI1176" s="5">
        <v>24537.468700000001</v>
      </c>
      <c r="AJ1176" s="5">
        <v>24537.468700000001</v>
      </c>
      <c r="AK1176">
        <v>22789.396700000001</v>
      </c>
      <c r="AL1176" s="5" t="str">
        <f t="shared" si="38"/>
        <v>Муниципальное образование Красноуфимский округ</v>
      </c>
    </row>
    <row r="1177" spans="1:38" ht="15" customHeight="1" x14ac:dyDescent="0.25">
      <c r="A1177" s="5" t="s">
        <v>290</v>
      </c>
      <c r="B1177" s="5" t="s">
        <v>1678</v>
      </c>
      <c r="C1177" s="5">
        <v>37400.280599999998</v>
      </c>
      <c r="D1177" s="5">
        <v>37400.280599999998</v>
      </c>
      <c r="E1177" s="5">
        <v>33637.106500000002</v>
      </c>
      <c r="F1177" s="5" t="s">
        <v>7249</v>
      </c>
      <c r="G1177" s="5" t="str">
        <f t="shared" si="37"/>
        <v>Южный</v>
      </c>
      <c r="J1177" s="5"/>
      <c r="AF1177" t="s">
        <v>7213</v>
      </c>
      <c r="AG1177" s="24" t="s">
        <v>6408</v>
      </c>
      <c r="AH1177" s="5" t="s">
        <v>7213</v>
      </c>
      <c r="AI1177" s="5">
        <v>24537.468700000001</v>
      </c>
      <c r="AJ1177" s="5">
        <v>24537.468700000001</v>
      </c>
      <c r="AK1177">
        <v>22789.396700000001</v>
      </c>
      <c r="AL1177" s="5" t="str">
        <f t="shared" si="38"/>
        <v>Муниципальное образование Красноуфимский округ</v>
      </c>
    </row>
    <row r="1178" spans="1:38" ht="15" customHeight="1" x14ac:dyDescent="0.25">
      <c r="A1178" s="5" t="s">
        <v>280</v>
      </c>
      <c r="B1178" s="5" t="s">
        <v>1678</v>
      </c>
      <c r="C1178" s="5">
        <v>37400.280599999998</v>
      </c>
      <c r="D1178" s="5">
        <v>37400.280599999998</v>
      </c>
      <c r="E1178" s="5">
        <v>33637.106500000002</v>
      </c>
      <c r="F1178" s="5" t="s">
        <v>7249</v>
      </c>
      <c r="G1178" s="5" t="str">
        <f t="shared" si="37"/>
        <v>Южный</v>
      </c>
      <c r="J1178" s="5"/>
      <c r="AF1178" t="s">
        <v>7213</v>
      </c>
      <c r="AG1178" s="24" t="s">
        <v>6409</v>
      </c>
      <c r="AH1178" s="5" t="s">
        <v>7213</v>
      </c>
      <c r="AI1178" s="5">
        <v>24537.468700000001</v>
      </c>
      <c r="AJ1178" s="5">
        <v>24537.468700000001</v>
      </c>
      <c r="AK1178">
        <v>22789.396700000001</v>
      </c>
      <c r="AL1178" s="5" t="str">
        <f t="shared" si="38"/>
        <v>Муниципальное образование Красноуфимский округ</v>
      </c>
    </row>
    <row r="1179" spans="1:38" ht="15" customHeight="1" x14ac:dyDescent="0.25">
      <c r="A1179" s="5" t="s">
        <v>970</v>
      </c>
      <c r="B1179" s="5" t="s">
        <v>1678</v>
      </c>
      <c r="C1179" s="5">
        <v>37400.280599999998</v>
      </c>
      <c r="D1179" s="5">
        <v>37400.280599999998</v>
      </c>
      <c r="E1179" s="5">
        <v>33637.106500000002</v>
      </c>
      <c r="F1179" s="5" t="s">
        <v>7249</v>
      </c>
      <c r="G1179" s="5" t="str">
        <f t="shared" si="37"/>
        <v>Южный</v>
      </c>
      <c r="J1179" s="5"/>
      <c r="AF1179" t="s">
        <v>7213</v>
      </c>
      <c r="AG1179" s="24" t="s">
        <v>6410</v>
      </c>
      <c r="AH1179" s="5" t="s">
        <v>7213</v>
      </c>
      <c r="AI1179" s="5">
        <v>24537.468700000001</v>
      </c>
      <c r="AJ1179" s="5">
        <v>24537.468700000001</v>
      </c>
      <c r="AK1179">
        <v>22789.396700000001</v>
      </c>
      <c r="AL1179" s="5" t="str">
        <f t="shared" si="38"/>
        <v>Муниципальное образование Красноуфимский округ</v>
      </c>
    </row>
    <row r="1180" spans="1:38" ht="15" customHeight="1" x14ac:dyDescent="0.25">
      <c r="A1180" s="5" t="s">
        <v>1033</v>
      </c>
      <c r="B1180" s="5" t="s">
        <v>1679</v>
      </c>
      <c r="C1180" s="5">
        <v>28855.326499999999</v>
      </c>
      <c r="D1180" s="5">
        <v>28855.326499999999</v>
      </c>
      <c r="E1180" s="5">
        <v>25951.933700000001</v>
      </c>
      <c r="F1180" s="5" t="s">
        <v>7249</v>
      </c>
      <c r="G1180" s="5" t="str">
        <f t="shared" si="37"/>
        <v>Ст.Каменск-Хозспособ</v>
      </c>
      <c r="J1180" s="5"/>
      <c r="AF1180" t="s">
        <v>7213</v>
      </c>
      <c r="AG1180" s="24" t="s">
        <v>6411</v>
      </c>
      <c r="AH1180" s="5" t="s">
        <v>7213</v>
      </c>
      <c r="AI1180" s="5">
        <v>25152.081900000001</v>
      </c>
      <c r="AJ1180" s="5">
        <v>25152.081900000001</v>
      </c>
      <c r="AK1180">
        <v>23360.2343</v>
      </c>
      <c r="AL1180" s="5" t="str">
        <f t="shared" si="38"/>
        <v>Муниципальное образование Красноуфимский округ</v>
      </c>
    </row>
    <row r="1181" spans="1:38" ht="15" customHeight="1" x14ac:dyDescent="0.25">
      <c r="A1181" s="22" t="s">
        <v>1326</v>
      </c>
      <c r="B1181" s="22" t="s">
        <v>7234</v>
      </c>
      <c r="C1181" s="5">
        <v>25238.569899999999</v>
      </c>
      <c r="D1181" s="5">
        <v>25238.569899999999</v>
      </c>
      <c r="E1181" s="5">
        <v>24735.775000000001</v>
      </c>
      <c r="F1181" s="5" t="s">
        <v>7249</v>
      </c>
      <c r="G1181" s="5" t="str">
        <f t="shared" si="37"/>
        <v>МОНАСТЫРКА</v>
      </c>
      <c r="J1181" s="5"/>
      <c r="AF1181" t="s">
        <v>7213</v>
      </c>
      <c r="AG1181" s="24" t="s">
        <v>6412</v>
      </c>
      <c r="AH1181" s="5" t="s">
        <v>7213</v>
      </c>
      <c r="AI1181" s="5">
        <v>24537.468700000001</v>
      </c>
      <c r="AJ1181" s="5">
        <v>24537.468700000001</v>
      </c>
      <c r="AK1181">
        <v>22789.396700000001</v>
      </c>
      <c r="AL1181" s="5" t="str">
        <f t="shared" si="38"/>
        <v>Муниципальное образование Красноуфимский округ</v>
      </c>
    </row>
    <row r="1182" spans="1:38" ht="15" customHeight="1" x14ac:dyDescent="0.25">
      <c r="A1182" s="22" t="s">
        <v>1313</v>
      </c>
      <c r="B1182" s="22" t="s">
        <v>7234</v>
      </c>
      <c r="C1182" s="5">
        <v>25238.569899999999</v>
      </c>
      <c r="D1182" s="5">
        <v>25238.569899999999</v>
      </c>
      <c r="E1182" s="5">
        <v>24735.775000000001</v>
      </c>
      <c r="F1182" s="5" t="s">
        <v>7249</v>
      </c>
      <c r="G1182" s="5" t="str">
        <f t="shared" si="37"/>
        <v>МОНАСТЫРКА</v>
      </c>
      <c r="J1182" s="5"/>
      <c r="AF1182" t="s">
        <v>7213</v>
      </c>
      <c r="AG1182" s="24" t="s">
        <v>6413</v>
      </c>
      <c r="AH1182" s="5" t="s">
        <v>7213</v>
      </c>
      <c r="AI1182" s="5">
        <v>24537.468700000001</v>
      </c>
      <c r="AJ1182" s="5">
        <v>24537.468700000001</v>
      </c>
      <c r="AK1182">
        <v>22789.396700000001</v>
      </c>
      <c r="AL1182" s="5" t="str">
        <f t="shared" si="38"/>
        <v>Муниципальное образование Красноуфимский округ</v>
      </c>
    </row>
    <row r="1183" spans="1:38" ht="15" customHeight="1" x14ac:dyDescent="0.25">
      <c r="A1183" s="5" t="s">
        <v>1424</v>
      </c>
      <c r="B1183" s="5" t="s">
        <v>1679</v>
      </c>
      <c r="C1183" s="5">
        <v>28855.326499999999</v>
      </c>
      <c r="D1183" s="5">
        <v>28855.326499999999</v>
      </c>
      <c r="E1183" s="5">
        <v>25951.933700000001</v>
      </c>
      <c r="F1183" s="5" t="s">
        <v>7249</v>
      </c>
      <c r="G1183" s="5" t="str">
        <f t="shared" si="37"/>
        <v>Ст.Каменск-Хозспособ</v>
      </c>
      <c r="J1183" s="5"/>
      <c r="AF1183" t="s">
        <v>7213</v>
      </c>
      <c r="AG1183" s="24" t="s">
        <v>6414</v>
      </c>
      <c r="AH1183" s="5" t="s">
        <v>7213</v>
      </c>
      <c r="AI1183" s="5">
        <v>24537.468700000001</v>
      </c>
      <c r="AJ1183" s="5">
        <v>24537.468700000001</v>
      </c>
      <c r="AK1183">
        <v>22789.396700000001</v>
      </c>
      <c r="AL1183" s="5" t="str">
        <f t="shared" si="38"/>
        <v>Муниципальное образование Красноуфимский округ</v>
      </c>
    </row>
    <row r="1184" spans="1:38" ht="15" customHeight="1" x14ac:dyDescent="0.25">
      <c r="A1184" s="5" t="s">
        <v>1400</v>
      </c>
      <c r="B1184" s="5" t="s">
        <v>1680</v>
      </c>
      <c r="C1184" s="5">
        <v>29151.309799999999</v>
      </c>
      <c r="D1184" s="5">
        <v>29151.309799999999</v>
      </c>
      <c r="E1184" s="5">
        <v>26218.127700000001</v>
      </c>
      <c r="F1184" s="5" t="s">
        <v>7249</v>
      </c>
      <c r="G1184" s="5" t="str">
        <f t="shared" si="37"/>
        <v>Северный</v>
      </c>
      <c r="J1184" s="5"/>
      <c r="AF1184" t="s">
        <v>7213</v>
      </c>
      <c r="AG1184" s="24" t="s">
        <v>6415</v>
      </c>
      <c r="AH1184" s="5" t="s">
        <v>7213</v>
      </c>
      <c r="AI1184" s="5">
        <v>24537.468700000001</v>
      </c>
      <c r="AJ1184" s="5">
        <v>24537.468700000001</v>
      </c>
      <c r="AK1184">
        <v>22789.396700000001</v>
      </c>
      <c r="AL1184" s="5" t="str">
        <f t="shared" si="38"/>
        <v>Муниципальное образование Красноуфимский округ</v>
      </c>
    </row>
    <row r="1185" spans="1:38" ht="15" customHeight="1" x14ac:dyDescent="0.25">
      <c r="A1185" s="5" t="s">
        <v>1385</v>
      </c>
      <c r="B1185" s="5" t="s">
        <v>1680</v>
      </c>
      <c r="C1185" s="5">
        <v>29151.309799999999</v>
      </c>
      <c r="D1185" s="5">
        <v>29151.309799999999</v>
      </c>
      <c r="E1185" s="5">
        <v>26218.127700000001</v>
      </c>
      <c r="F1185" s="5" t="s">
        <v>7249</v>
      </c>
      <c r="G1185" s="5" t="str">
        <f t="shared" si="37"/>
        <v>Северный</v>
      </c>
      <c r="J1185" s="5"/>
      <c r="AF1185" t="s">
        <v>7213</v>
      </c>
      <c r="AG1185" s="24" t="s">
        <v>6416</v>
      </c>
      <c r="AH1185" s="5" t="s">
        <v>7213</v>
      </c>
      <c r="AI1185" s="5">
        <v>24537.468700000001</v>
      </c>
      <c r="AJ1185" s="5">
        <v>24537.468700000001</v>
      </c>
      <c r="AK1185">
        <v>22789.396700000001</v>
      </c>
      <c r="AL1185" s="5" t="str">
        <f t="shared" si="38"/>
        <v>Муниципальное образование Красноуфимский округ</v>
      </c>
    </row>
    <row r="1186" spans="1:38" ht="15" customHeight="1" x14ac:dyDescent="0.25">
      <c r="A1186" s="5" t="s">
        <v>1027</v>
      </c>
      <c r="B1186" s="5" t="s">
        <v>1680</v>
      </c>
      <c r="C1186" s="5">
        <v>29151.309799999999</v>
      </c>
      <c r="D1186" s="5">
        <v>29151.309799999999</v>
      </c>
      <c r="E1186" s="5">
        <v>26218.127700000001</v>
      </c>
      <c r="F1186" s="5" t="s">
        <v>7249</v>
      </c>
      <c r="G1186" s="5" t="str">
        <f t="shared" si="37"/>
        <v>Северный</v>
      </c>
      <c r="J1186" s="5"/>
      <c r="AF1186" t="s">
        <v>7213</v>
      </c>
      <c r="AG1186" s="24" t="s">
        <v>6417</v>
      </c>
      <c r="AH1186" s="5" t="s">
        <v>7213</v>
      </c>
      <c r="AI1186" s="5">
        <v>24537.468700000001</v>
      </c>
      <c r="AJ1186" s="5">
        <v>24537.468700000001</v>
      </c>
      <c r="AK1186">
        <v>22789.396700000001</v>
      </c>
      <c r="AL1186" s="5" t="str">
        <f t="shared" si="38"/>
        <v>Муниципальное образование Красноуфимский округ</v>
      </c>
    </row>
    <row r="1187" spans="1:38" ht="15" customHeight="1" x14ac:dyDescent="0.25">
      <c r="A1187" s="5" t="s">
        <v>825</v>
      </c>
      <c r="B1187" s="5" t="s">
        <v>1680</v>
      </c>
      <c r="C1187" s="5">
        <v>29151.309799999999</v>
      </c>
      <c r="D1187" s="5">
        <v>29151.309799999999</v>
      </c>
      <c r="E1187" s="5">
        <v>26218.127700000001</v>
      </c>
      <c r="F1187" s="5" t="s">
        <v>7249</v>
      </c>
      <c r="G1187" s="5" t="str">
        <f t="shared" si="37"/>
        <v>Северный</v>
      </c>
      <c r="J1187" s="5"/>
      <c r="AF1187" t="s">
        <v>7213</v>
      </c>
      <c r="AG1187" s="24" t="s">
        <v>6418</v>
      </c>
      <c r="AH1187" s="5" t="s">
        <v>7213</v>
      </c>
      <c r="AI1187" s="5">
        <v>25152.081900000001</v>
      </c>
      <c r="AJ1187" s="5">
        <v>25152.081900000001</v>
      </c>
      <c r="AK1187">
        <v>23360.2343</v>
      </c>
      <c r="AL1187" s="5" t="str">
        <f t="shared" si="38"/>
        <v>Муниципальное образование Красноуфимский округ</v>
      </c>
    </row>
    <row r="1188" spans="1:38" ht="15" customHeight="1" x14ac:dyDescent="0.25">
      <c r="A1188" s="5" t="s">
        <v>1259</v>
      </c>
      <c r="B1188" s="5" t="s">
        <v>1680</v>
      </c>
      <c r="C1188" s="5">
        <v>29151.309799999999</v>
      </c>
      <c r="D1188" s="5">
        <v>29151.309799999999</v>
      </c>
      <c r="E1188" s="5">
        <v>26218.127700000001</v>
      </c>
      <c r="F1188" s="5" t="s">
        <v>7249</v>
      </c>
      <c r="G1188" s="5" t="str">
        <f t="shared" si="37"/>
        <v>Северный</v>
      </c>
      <c r="J1188" s="5"/>
      <c r="AF1188" t="s">
        <v>7213</v>
      </c>
      <c r="AG1188" s="24" t="s">
        <v>6419</v>
      </c>
      <c r="AH1188" s="5" t="s">
        <v>7213</v>
      </c>
      <c r="AI1188" s="5">
        <v>24537.468700000001</v>
      </c>
      <c r="AJ1188" s="5">
        <v>24537.468700000001</v>
      </c>
      <c r="AK1188">
        <v>22789.396700000001</v>
      </c>
      <c r="AL1188" s="5" t="str">
        <f t="shared" si="38"/>
        <v>Муниципальное образование Красноуфимский округ</v>
      </c>
    </row>
    <row r="1189" spans="1:38" ht="15" customHeight="1" x14ac:dyDescent="0.25">
      <c r="A1189" s="5" t="s">
        <v>182</v>
      </c>
      <c r="B1189" s="5" t="s">
        <v>1680</v>
      </c>
      <c r="C1189" s="5">
        <v>29151.309799999999</v>
      </c>
      <c r="D1189" s="5">
        <v>29151.309799999999</v>
      </c>
      <c r="E1189" s="5">
        <v>26218.127700000001</v>
      </c>
      <c r="F1189" s="5" t="s">
        <v>7249</v>
      </c>
      <c r="G1189" s="5" t="str">
        <f t="shared" si="37"/>
        <v>Северный</v>
      </c>
      <c r="J1189" s="5"/>
      <c r="AF1189" t="s">
        <v>7213</v>
      </c>
      <c r="AG1189" s="24" t="s">
        <v>6420</v>
      </c>
      <c r="AH1189" s="5" t="s">
        <v>7213</v>
      </c>
      <c r="AI1189" s="5">
        <v>24537.468700000001</v>
      </c>
      <c r="AJ1189" s="5">
        <v>24537.468700000001</v>
      </c>
      <c r="AK1189">
        <v>22789.396700000001</v>
      </c>
      <c r="AL1189" s="5" t="str">
        <f t="shared" si="38"/>
        <v>Муниципальное образование Красноуфимский округ</v>
      </c>
    </row>
    <row r="1190" spans="1:38" ht="15" customHeight="1" x14ac:dyDescent="0.25">
      <c r="A1190" s="5" t="s">
        <v>1371</v>
      </c>
      <c r="B1190" s="5" t="s">
        <v>1680</v>
      </c>
      <c r="C1190" s="5">
        <v>29151.309799999999</v>
      </c>
      <c r="D1190" s="5">
        <v>29151.309799999999</v>
      </c>
      <c r="E1190" s="5">
        <v>26218.127700000001</v>
      </c>
      <c r="F1190" s="5" t="s">
        <v>7249</v>
      </c>
      <c r="G1190" s="5" t="str">
        <f t="shared" si="37"/>
        <v>Северный</v>
      </c>
      <c r="J1190" s="5"/>
      <c r="AF1190" t="s">
        <v>7213</v>
      </c>
      <c r="AG1190" s="24" t="s">
        <v>6421</v>
      </c>
      <c r="AH1190" s="5" t="s">
        <v>7213</v>
      </c>
      <c r="AI1190" s="5">
        <v>24537.468700000001</v>
      </c>
      <c r="AJ1190" s="5">
        <v>24537.468700000001</v>
      </c>
      <c r="AK1190">
        <v>22789.396700000001</v>
      </c>
      <c r="AL1190" s="5" t="str">
        <f t="shared" si="38"/>
        <v>Муниципальное образование Красноуфимский округ</v>
      </c>
    </row>
    <row r="1191" spans="1:38" ht="15" customHeight="1" x14ac:dyDescent="0.25">
      <c r="A1191" s="5" t="s">
        <v>419</v>
      </c>
      <c r="B1191" s="5" t="s">
        <v>1679</v>
      </c>
      <c r="C1191" s="5">
        <v>28855.326499999999</v>
      </c>
      <c r="D1191" s="5">
        <v>28855.326499999999</v>
      </c>
      <c r="E1191" s="5">
        <v>25951.933700000001</v>
      </c>
      <c r="F1191" s="5" t="s">
        <v>7249</v>
      </c>
      <c r="G1191" s="5" t="str">
        <f t="shared" si="37"/>
        <v>Ст.Каменск-Хозспособ</v>
      </c>
      <c r="J1191" s="5"/>
      <c r="AF1191" t="s">
        <v>7213</v>
      </c>
      <c r="AG1191" s="24" t="s">
        <v>6422</v>
      </c>
      <c r="AH1191" s="5" t="s">
        <v>7213</v>
      </c>
      <c r="AI1191" s="5">
        <v>24537.468700000001</v>
      </c>
      <c r="AJ1191" s="5">
        <v>24537.468700000001</v>
      </c>
      <c r="AK1191">
        <v>22789.396700000001</v>
      </c>
      <c r="AL1191" s="5" t="str">
        <f t="shared" si="38"/>
        <v>Муниципальное образование Красноуфимский округ</v>
      </c>
    </row>
    <row r="1192" spans="1:38" ht="15" customHeight="1" x14ac:dyDescent="0.25">
      <c r="A1192" s="5" t="s">
        <v>463</v>
      </c>
      <c r="B1192" s="5" t="s">
        <v>1674</v>
      </c>
      <c r="C1192" s="5">
        <v>29199.565200000001</v>
      </c>
      <c r="D1192" s="5">
        <v>29199.565200000001</v>
      </c>
      <c r="E1192" s="5">
        <v>26261.5317</v>
      </c>
      <c r="F1192" s="5" t="s">
        <v>7249</v>
      </c>
      <c r="G1192" s="5" t="str">
        <f t="shared" si="37"/>
        <v>УАЗ</v>
      </c>
      <c r="J1192" s="5"/>
      <c r="AF1192" t="s">
        <v>7213</v>
      </c>
      <c r="AG1192" s="24" t="s">
        <v>6423</v>
      </c>
      <c r="AH1192" s="5" t="s">
        <v>7213</v>
      </c>
      <c r="AI1192" s="5">
        <v>24537.468700000001</v>
      </c>
      <c r="AJ1192" s="5">
        <v>24537.468700000001</v>
      </c>
      <c r="AK1192">
        <v>22789.396700000001</v>
      </c>
      <c r="AL1192" s="5" t="str">
        <f t="shared" si="38"/>
        <v>Муниципальное образование Красноуфимский округ</v>
      </c>
    </row>
    <row r="1193" spans="1:38" ht="15" customHeight="1" x14ac:dyDescent="0.25">
      <c r="A1193" s="5" t="s">
        <v>263</v>
      </c>
      <c r="B1193" s="5" t="s">
        <v>1674</v>
      </c>
      <c r="C1193" s="5">
        <v>29199.565200000001</v>
      </c>
      <c r="D1193" s="5">
        <v>29199.565200000001</v>
      </c>
      <c r="E1193" s="5">
        <v>26261.5317</v>
      </c>
      <c r="F1193" s="5" t="s">
        <v>7249</v>
      </c>
      <c r="G1193" s="5" t="str">
        <f t="shared" si="37"/>
        <v>УАЗ</v>
      </c>
      <c r="J1193" s="5"/>
      <c r="AF1193" t="s">
        <v>7213</v>
      </c>
      <c r="AG1193" s="24" t="s">
        <v>6424</v>
      </c>
      <c r="AH1193" s="5" t="s">
        <v>7213</v>
      </c>
      <c r="AI1193" s="5">
        <v>24537.468700000001</v>
      </c>
      <c r="AJ1193" s="5">
        <v>24537.468700000001</v>
      </c>
      <c r="AK1193">
        <v>22789.396700000001</v>
      </c>
      <c r="AL1193" s="5" t="str">
        <f t="shared" si="38"/>
        <v>Муниципальное образование Красноуфимский округ</v>
      </c>
    </row>
    <row r="1194" spans="1:38" ht="15" customHeight="1" x14ac:dyDescent="0.25">
      <c r="A1194" s="5" t="s">
        <v>197</v>
      </c>
      <c r="B1194" s="5" t="s">
        <v>1674</v>
      </c>
      <c r="C1194" s="5">
        <v>29199.565200000001</v>
      </c>
      <c r="D1194" s="5">
        <v>29199.565200000001</v>
      </c>
      <c r="E1194" s="5">
        <v>26261.5317</v>
      </c>
      <c r="F1194" s="5" t="s">
        <v>7249</v>
      </c>
      <c r="G1194" s="5" t="str">
        <f t="shared" si="37"/>
        <v>УАЗ</v>
      </c>
      <c r="J1194" s="5"/>
      <c r="AF1194" t="s">
        <v>7213</v>
      </c>
      <c r="AG1194" s="24" t="s">
        <v>6425</v>
      </c>
      <c r="AH1194" s="5" t="s">
        <v>7213</v>
      </c>
      <c r="AI1194" s="5">
        <v>24537.468700000001</v>
      </c>
      <c r="AJ1194" s="5">
        <v>24537.468700000001</v>
      </c>
      <c r="AK1194">
        <v>22789.396700000001</v>
      </c>
      <c r="AL1194" s="5" t="str">
        <f t="shared" si="38"/>
        <v>Муниципальное образование Красноуфимский округ</v>
      </c>
    </row>
    <row r="1195" spans="1:38" ht="15" customHeight="1" x14ac:dyDescent="0.25">
      <c r="A1195" s="5" t="s">
        <v>652</v>
      </c>
      <c r="B1195" s="5" t="s">
        <v>1674</v>
      </c>
      <c r="C1195" s="5">
        <v>29199.565200000001</v>
      </c>
      <c r="D1195" s="5">
        <v>29199.565200000001</v>
      </c>
      <c r="E1195" s="5">
        <v>26261.5317</v>
      </c>
      <c r="F1195" s="5" t="s">
        <v>7249</v>
      </c>
      <c r="G1195" s="5" t="str">
        <f t="shared" si="37"/>
        <v>УАЗ</v>
      </c>
      <c r="J1195" s="5"/>
      <c r="AF1195" t="s">
        <v>7213</v>
      </c>
      <c r="AG1195" s="24" t="s">
        <v>6426</v>
      </c>
      <c r="AH1195" s="5" t="s">
        <v>7213</v>
      </c>
      <c r="AI1195" s="5">
        <v>24537.468700000001</v>
      </c>
      <c r="AJ1195" s="5">
        <v>24537.468700000001</v>
      </c>
      <c r="AK1195">
        <v>22789.396700000001</v>
      </c>
      <c r="AL1195" s="5" t="str">
        <f t="shared" si="38"/>
        <v>Муниципальное образование Красноуфимский округ</v>
      </c>
    </row>
    <row r="1196" spans="1:38" ht="15" customHeight="1" x14ac:dyDescent="0.25">
      <c r="A1196" s="5" t="s">
        <v>968</v>
      </c>
      <c r="B1196" s="5" t="s">
        <v>1674</v>
      </c>
      <c r="C1196" s="5">
        <v>29199.565200000001</v>
      </c>
      <c r="D1196" s="5">
        <v>29199.565200000001</v>
      </c>
      <c r="E1196" s="5">
        <v>26261.5317</v>
      </c>
      <c r="F1196" s="5" t="s">
        <v>7249</v>
      </c>
      <c r="G1196" s="5" t="str">
        <f t="shared" si="37"/>
        <v>УАЗ</v>
      </c>
      <c r="J1196" s="5"/>
      <c r="AF1196" t="s">
        <v>7213</v>
      </c>
      <c r="AG1196" s="24" t="s">
        <v>6427</v>
      </c>
      <c r="AH1196" s="5" t="s">
        <v>7213</v>
      </c>
      <c r="AI1196" s="5">
        <v>24537.468700000001</v>
      </c>
      <c r="AJ1196" s="5">
        <v>24537.468700000001</v>
      </c>
      <c r="AK1196">
        <v>22789.396700000001</v>
      </c>
      <c r="AL1196" s="5" t="str">
        <f t="shared" si="38"/>
        <v>Муниципальное образование Красноуфимский округ</v>
      </c>
    </row>
    <row r="1197" spans="1:38" ht="15" customHeight="1" x14ac:dyDescent="0.25">
      <c r="A1197" s="5" t="s">
        <v>694</v>
      </c>
      <c r="B1197" s="5" t="s">
        <v>1674</v>
      </c>
      <c r="C1197" s="5">
        <v>29199.565200000001</v>
      </c>
      <c r="D1197" s="5">
        <v>29199.565200000001</v>
      </c>
      <c r="E1197" s="5">
        <v>26261.5317</v>
      </c>
      <c r="F1197" s="5" t="s">
        <v>7249</v>
      </c>
      <c r="G1197" s="5" t="str">
        <f t="shared" si="37"/>
        <v>УАЗ</v>
      </c>
      <c r="J1197" s="5"/>
      <c r="AF1197" t="s">
        <v>7213</v>
      </c>
      <c r="AG1197" s="24" t="s">
        <v>6428</v>
      </c>
      <c r="AH1197" s="5" t="s">
        <v>7213</v>
      </c>
      <c r="AI1197" s="5">
        <v>24537.468700000001</v>
      </c>
      <c r="AJ1197" s="5">
        <v>24537.468700000001</v>
      </c>
      <c r="AK1197">
        <v>22789.396700000001</v>
      </c>
      <c r="AL1197" s="5" t="str">
        <f t="shared" si="38"/>
        <v>Муниципальное образование Красноуфимский округ</v>
      </c>
    </row>
    <row r="1198" spans="1:38" ht="15" customHeight="1" x14ac:dyDescent="0.25">
      <c r="A1198" s="5" t="s">
        <v>695</v>
      </c>
      <c r="B1198" s="5" t="s">
        <v>1674</v>
      </c>
      <c r="C1198" s="5">
        <v>29199.565200000001</v>
      </c>
      <c r="D1198" s="5">
        <v>29199.565200000001</v>
      </c>
      <c r="E1198" s="5">
        <v>26261.5317</v>
      </c>
      <c r="F1198" s="5" t="s">
        <v>7249</v>
      </c>
      <c r="G1198" s="5" t="str">
        <f t="shared" si="37"/>
        <v>УАЗ</v>
      </c>
      <c r="J1198" s="5"/>
      <c r="AF1198" t="s">
        <v>7213</v>
      </c>
      <c r="AG1198" s="24" t="s">
        <v>6429</v>
      </c>
      <c r="AH1198" s="5" t="s">
        <v>7213</v>
      </c>
      <c r="AI1198" s="5">
        <v>24537.468700000001</v>
      </c>
      <c r="AJ1198" s="5">
        <v>24537.468700000001</v>
      </c>
      <c r="AK1198">
        <v>22789.396700000001</v>
      </c>
      <c r="AL1198" s="5" t="str">
        <f t="shared" si="38"/>
        <v>Муниципальное образование Красноуфимский округ</v>
      </c>
    </row>
    <row r="1199" spans="1:38" ht="15" customHeight="1" x14ac:dyDescent="0.25">
      <c r="A1199" s="5" t="s">
        <v>696</v>
      </c>
      <c r="B1199" s="5" t="s">
        <v>1674</v>
      </c>
      <c r="C1199" s="5">
        <v>29199.565200000001</v>
      </c>
      <c r="D1199" s="5">
        <v>29199.565200000001</v>
      </c>
      <c r="E1199" s="5">
        <v>26261.5317</v>
      </c>
      <c r="F1199" s="5" t="s">
        <v>7249</v>
      </c>
      <c r="G1199" s="5" t="str">
        <f t="shared" si="37"/>
        <v>УАЗ</v>
      </c>
      <c r="J1199" s="5"/>
      <c r="AF1199" t="s">
        <v>7213</v>
      </c>
      <c r="AG1199" s="24" t="s">
        <v>6430</v>
      </c>
      <c r="AH1199" s="5" t="s">
        <v>7213</v>
      </c>
      <c r="AI1199" s="5">
        <v>24537.468700000001</v>
      </c>
      <c r="AJ1199" s="5">
        <v>24537.468700000001</v>
      </c>
      <c r="AK1199">
        <v>22789.396700000001</v>
      </c>
      <c r="AL1199" s="5" t="str">
        <f t="shared" si="38"/>
        <v>Муниципальное образование Красноуфимский округ</v>
      </c>
    </row>
    <row r="1200" spans="1:38" ht="15" customHeight="1" x14ac:dyDescent="0.25">
      <c r="A1200" s="5" t="s">
        <v>605</v>
      </c>
      <c r="B1200" s="5" t="s">
        <v>1674</v>
      </c>
      <c r="C1200" s="5">
        <v>29199.565200000001</v>
      </c>
      <c r="D1200" s="5">
        <v>29199.565200000001</v>
      </c>
      <c r="E1200" s="5">
        <v>26261.5317</v>
      </c>
      <c r="F1200" s="5" t="s">
        <v>7249</v>
      </c>
      <c r="G1200" s="5" t="str">
        <f t="shared" si="37"/>
        <v>УАЗ</v>
      </c>
      <c r="J1200" s="5"/>
      <c r="AF1200" t="s">
        <v>7213</v>
      </c>
      <c r="AG1200" s="24" t="s">
        <v>6431</v>
      </c>
      <c r="AH1200" s="5" t="s">
        <v>7213</v>
      </c>
      <c r="AI1200" s="5">
        <v>24537.468700000001</v>
      </c>
      <c r="AJ1200" s="5">
        <v>24537.468700000001</v>
      </c>
      <c r="AK1200">
        <v>22789.396700000001</v>
      </c>
      <c r="AL1200" s="5" t="str">
        <f t="shared" si="38"/>
        <v>Муниципальное образование Красноуфимский округ</v>
      </c>
    </row>
    <row r="1201" spans="1:38" ht="15" customHeight="1" x14ac:dyDescent="0.25">
      <c r="A1201" s="5" t="s">
        <v>729</v>
      </c>
      <c r="B1201" s="5" t="s">
        <v>1674</v>
      </c>
      <c r="C1201" s="5">
        <v>29199.565200000001</v>
      </c>
      <c r="D1201" s="5">
        <v>29199.565200000001</v>
      </c>
      <c r="E1201" s="5">
        <v>26261.5317</v>
      </c>
      <c r="F1201" s="5" t="s">
        <v>7249</v>
      </c>
      <c r="G1201" s="5" t="str">
        <f t="shared" si="37"/>
        <v>УАЗ</v>
      </c>
      <c r="J1201" s="5"/>
      <c r="AF1201" t="s">
        <v>7213</v>
      </c>
      <c r="AG1201" s="24" t="s">
        <v>6432</v>
      </c>
      <c r="AH1201" s="5" t="s">
        <v>7213</v>
      </c>
      <c r="AI1201" s="5">
        <v>24537.468700000001</v>
      </c>
      <c r="AJ1201" s="5">
        <v>24537.468700000001</v>
      </c>
      <c r="AK1201">
        <v>22789.396700000001</v>
      </c>
      <c r="AL1201" s="5" t="str">
        <f t="shared" si="38"/>
        <v>Муниципальное образование Красноуфимский округ</v>
      </c>
    </row>
    <row r="1202" spans="1:38" ht="15" customHeight="1" x14ac:dyDescent="0.25">
      <c r="A1202" s="5" t="s">
        <v>629</v>
      </c>
      <c r="B1202" s="5" t="s">
        <v>1674</v>
      </c>
      <c r="C1202" s="5">
        <v>29199.565200000001</v>
      </c>
      <c r="D1202" s="5">
        <v>29199.565200000001</v>
      </c>
      <c r="E1202" s="5">
        <v>26261.5317</v>
      </c>
      <c r="F1202" s="5" t="s">
        <v>7249</v>
      </c>
      <c r="G1202" s="5" t="str">
        <f t="shared" si="37"/>
        <v>УАЗ</v>
      </c>
      <c r="J1202" s="5"/>
      <c r="AF1202" t="s">
        <v>7213</v>
      </c>
      <c r="AG1202" s="24" t="s">
        <v>6433</v>
      </c>
      <c r="AH1202" s="5" t="s">
        <v>7213</v>
      </c>
      <c r="AI1202" s="5">
        <v>24537.468700000001</v>
      </c>
      <c r="AJ1202" s="5">
        <v>24537.468700000001</v>
      </c>
      <c r="AK1202">
        <v>22789.396700000001</v>
      </c>
      <c r="AL1202" s="5" t="str">
        <f t="shared" si="38"/>
        <v>Муниципальное образование Красноуфимский округ</v>
      </c>
    </row>
    <row r="1203" spans="1:38" ht="15" customHeight="1" x14ac:dyDescent="0.25">
      <c r="A1203" s="5" t="s">
        <v>195</v>
      </c>
      <c r="B1203" s="5" t="s">
        <v>1674</v>
      </c>
      <c r="C1203" s="5">
        <v>29199.565200000001</v>
      </c>
      <c r="D1203" s="5">
        <v>29199.565200000001</v>
      </c>
      <c r="E1203" s="5">
        <v>26261.5317</v>
      </c>
      <c r="F1203" s="5" t="s">
        <v>7249</v>
      </c>
      <c r="G1203" s="5" t="str">
        <f t="shared" si="37"/>
        <v>УАЗ</v>
      </c>
      <c r="J1203" s="5"/>
      <c r="AF1203" t="s">
        <v>7213</v>
      </c>
      <c r="AG1203" s="24" t="s">
        <v>6434</v>
      </c>
      <c r="AH1203" s="5" t="s">
        <v>7213</v>
      </c>
      <c r="AI1203" s="5">
        <v>24537.468700000001</v>
      </c>
      <c r="AJ1203" s="5">
        <v>24537.468700000001</v>
      </c>
      <c r="AK1203">
        <v>22789.396700000001</v>
      </c>
      <c r="AL1203" s="5" t="str">
        <f t="shared" si="38"/>
        <v>Муниципальное образование Красноуфимский округ</v>
      </c>
    </row>
    <row r="1204" spans="1:38" ht="15" customHeight="1" x14ac:dyDescent="0.25">
      <c r="A1204" s="5" t="s">
        <v>736</v>
      </c>
      <c r="B1204" s="5" t="s">
        <v>1674</v>
      </c>
      <c r="C1204" s="5">
        <v>29199.565200000001</v>
      </c>
      <c r="D1204" s="5">
        <v>29199.565200000001</v>
      </c>
      <c r="E1204" s="5">
        <v>26261.5317</v>
      </c>
      <c r="F1204" s="5" t="s">
        <v>7249</v>
      </c>
      <c r="G1204" s="5" t="str">
        <f t="shared" si="37"/>
        <v>УАЗ</v>
      </c>
      <c r="J1204" s="5"/>
      <c r="AF1204" t="s">
        <v>7213</v>
      </c>
      <c r="AG1204" s="24" t="s">
        <v>6435</v>
      </c>
      <c r="AH1204" s="5" t="s">
        <v>7213</v>
      </c>
      <c r="AI1204" s="5">
        <v>24537.468700000001</v>
      </c>
      <c r="AJ1204" s="5">
        <v>24537.468700000001</v>
      </c>
      <c r="AK1204">
        <v>22789.396700000001</v>
      </c>
      <c r="AL1204" s="5" t="str">
        <f t="shared" si="38"/>
        <v>Муниципальное образование Красноуфимский округ</v>
      </c>
    </row>
    <row r="1205" spans="1:38" ht="15" customHeight="1" x14ac:dyDescent="0.25">
      <c r="A1205" s="5" t="s">
        <v>830</v>
      </c>
      <c r="B1205" s="5" t="s">
        <v>1674</v>
      </c>
      <c r="C1205" s="5">
        <v>29199.565200000001</v>
      </c>
      <c r="D1205" s="5">
        <v>29199.565200000001</v>
      </c>
      <c r="E1205" s="5">
        <v>26261.5317</v>
      </c>
      <c r="F1205" s="5" t="s">
        <v>7249</v>
      </c>
      <c r="G1205" s="5" t="str">
        <f t="shared" si="37"/>
        <v>УАЗ</v>
      </c>
      <c r="J1205" s="5"/>
      <c r="AF1205" t="s">
        <v>7213</v>
      </c>
      <c r="AG1205" s="24" t="s">
        <v>6436</v>
      </c>
      <c r="AH1205" s="5" t="s">
        <v>7213</v>
      </c>
      <c r="AI1205" s="5">
        <v>24537.468700000001</v>
      </c>
      <c r="AJ1205" s="5">
        <v>24537.468700000001</v>
      </c>
      <c r="AK1205">
        <v>22789.396700000001</v>
      </c>
      <c r="AL1205" s="5" t="str">
        <f t="shared" si="38"/>
        <v>Муниципальное образование Красноуфимский округ</v>
      </c>
    </row>
    <row r="1206" spans="1:38" ht="15" customHeight="1" x14ac:dyDescent="0.25">
      <c r="A1206" s="5" t="s">
        <v>333</v>
      </c>
      <c r="B1206" s="5" t="s">
        <v>1674</v>
      </c>
      <c r="C1206" s="5">
        <v>29199.565200000001</v>
      </c>
      <c r="D1206" s="5">
        <v>29199.565200000001</v>
      </c>
      <c r="E1206" s="5">
        <v>26261.5317</v>
      </c>
      <c r="F1206" s="5" t="s">
        <v>7249</v>
      </c>
      <c r="G1206" s="5" t="str">
        <f t="shared" si="37"/>
        <v>УАЗ</v>
      </c>
      <c r="J1206" s="5"/>
      <c r="AF1206" t="s">
        <v>7213</v>
      </c>
      <c r="AG1206" s="24" t="s">
        <v>6437</v>
      </c>
      <c r="AH1206" s="5" t="s">
        <v>7213</v>
      </c>
      <c r="AI1206" s="5">
        <v>24537.468700000001</v>
      </c>
      <c r="AJ1206" s="5">
        <v>24537.468700000001</v>
      </c>
      <c r="AK1206">
        <v>22789.396700000001</v>
      </c>
      <c r="AL1206" s="5" t="str">
        <f t="shared" si="38"/>
        <v>Муниципальное образование Красноуфимский округ</v>
      </c>
    </row>
    <row r="1207" spans="1:38" ht="15" customHeight="1" x14ac:dyDescent="0.25">
      <c r="A1207" s="5" t="s">
        <v>847</v>
      </c>
      <c r="B1207" s="5" t="s">
        <v>1674</v>
      </c>
      <c r="C1207" s="5">
        <v>29199.565200000001</v>
      </c>
      <c r="D1207" s="5">
        <v>29199.565200000001</v>
      </c>
      <c r="E1207" s="5">
        <v>26261.5317</v>
      </c>
      <c r="F1207" s="5" t="s">
        <v>7249</v>
      </c>
      <c r="G1207" s="5" t="str">
        <f t="shared" si="37"/>
        <v>УАЗ</v>
      </c>
      <c r="J1207" s="5"/>
      <c r="AF1207" t="s">
        <v>7213</v>
      </c>
      <c r="AG1207" s="24" t="s">
        <v>6438</v>
      </c>
      <c r="AH1207" s="5" t="s">
        <v>7213</v>
      </c>
      <c r="AI1207" s="5">
        <v>24537.468700000001</v>
      </c>
      <c r="AJ1207" s="5">
        <v>24537.468700000001</v>
      </c>
      <c r="AK1207">
        <v>22789.396700000001</v>
      </c>
      <c r="AL1207" s="5" t="str">
        <f t="shared" si="38"/>
        <v>Муниципальное образование Красноуфимский округ</v>
      </c>
    </row>
    <row r="1208" spans="1:38" ht="15" customHeight="1" x14ac:dyDescent="0.25">
      <c r="A1208" s="5" t="s">
        <v>650</v>
      </c>
      <c r="B1208" s="5" t="s">
        <v>1674</v>
      </c>
      <c r="C1208" s="5">
        <v>29199.565200000001</v>
      </c>
      <c r="D1208" s="5">
        <v>29199.565200000001</v>
      </c>
      <c r="E1208" s="5">
        <v>26261.5317</v>
      </c>
      <c r="F1208" s="5" t="s">
        <v>7249</v>
      </c>
      <c r="G1208" s="5" t="str">
        <f t="shared" si="37"/>
        <v>УАЗ</v>
      </c>
      <c r="J1208" s="5"/>
      <c r="AF1208" t="s">
        <v>7214</v>
      </c>
      <c r="AG1208" s="24" t="s">
        <v>6439</v>
      </c>
      <c r="AH1208" s="5" t="s">
        <v>7214</v>
      </c>
      <c r="AI1208" s="5">
        <v>26177.521000000001</v>
      </c>
      <c r="AJ1208" s="5">
        <v>26177.521000000001</v>
      </c>
      <c r="AK1208">
        <v>24312.614300000001</v>
      </c>
      <c r="AL1208" s="5" t="str">
        <f t="shared" si="38"/>
        <v>Невьянский городской округ</v>
      </c>
    </row>
    <row r="1209" spans="1:38" ht="15" customHeight="1" x14ac:dyDescent="0.25">
      <c r="A1209" s="5" t="s">
        <v>631</v>
      </c>
      <c r="B1209" s="5" t="s">
        <v>1674</v>
      </c>
      <c r="C1209" s="5">
        <v>29199.565200000001</v>
      </c>
      <c r="D1209" s="5">
        <v>29199.565200000001</v>
      </c>
      <c r="E1209" s="5">
        <v>26261.5317</v>
      </c>
      <c r="F1209" s="5" t="s">
        <v>7249</v>
      </c>
      <c r="G1209" s="5" t="str">
        <f t="shared" si="37"/>
        <v>УАЗ</v>
      </c>
      <c r="J1209" s="5"/>
      <c r="AF1209" t="s">
        <v>7214</v>
      </c>
      <c r="AG1209" s="24" t="s">
        <v>6440</v>
      </c>
      <c r="AH1209" s="5" t="s">
        <v>7214</v>
      </c>
      <c r="AI1209" s="5">
        <v>26177.521000000001</v>
      </c>
      <c r="AJ1209" s="5">
        <v>26177.521000000001</v>
      </c>
      <c r="AK1209">
        <v>24312.614300000001</v>
      </c>
      <c r="AL1209" s="5" t="str">
        <f t="shared" si="38"/>
        <v>Невьянский городской округ</v>
      </c>
    </row>
    <row r="1210" spans="1:38" ht="15" customHeight="1" x14ac:dyDescent="0.25">
      <c r="A1210" s="5" t="s">
        <v>848</v>
      </c>
      <c r="B1210" s="5" t="s">
        <v>1674</v>
      </c>
      <c r="C1210" s="5">
        <v>29199.565200000001</v>
      </c>
      <c r="D1210" s="5">
        <v>29199.565200000001</v>
      </c>
      <c r="E1210" s="5">
        <v>26261.5317</v>
      </c>
      <c r="F1210" s="5" t="s">
        <v>7249</v>
      </c>
      <c r="G1210" s="5" t="str">
        <f t="shared" si="37"/>
        <v>УАЗ</v>
      </c>
      <c r="J1210" s="5"/>
      <c r="AF1210" t="s">
        <v>7214</v>
      </c>
      <c r="AG1210" s="24" t="s">
        <v>6441</v>
      </c>
      <c r="AH1210" s="5" t="s">
        <v>7214</v>
      </c>
      <c r="AI1210" s="5">
        <v>26177.521000000001</v>
      </c>
      <c r="AJ1210" s="5">
        <v>26177.521000000001</v>
      </c>
      <c r="AK1210">
        <v>24312.614300000001</v>
      </c>
      <c r="AL1210" s="5" t="str">
        <f t="shared" si="38"/>
        <v>Невьянский городской округ</v>
      </c>
    </row>
    <row r="1211" spans="1:38" ht="15" customHeight="1" x14ac:dyDescent="0.25">
      <c r="A1211" s="5" t="s">
        <v>1466</v>
      </c>
      <c r="B1211" s="5" t="s">
        <v>1674</v>
      </c>
      <c r="C1211" s="5">
        <v>29199.565200000001</v>
      </c>
      <c r="D1211" s="5">
        <v>29199.565200000001</v>
      </c>
      <c r="E1211" s="5">
        <v>26261.5317</v>
      </c>
      <c r="F1211" s="5" t="s">
        <v>7249</v>
      </c>
      <c r="G1211" s="5" t="str">
        <f t="shared" si="37"/>
        <v>УАЗ</v>
      </c>
      <c r="J1211" s="5"/>
      <c r="AF1211" t="s">
        <v>7214</v>
      </c>
      <c r="AG1211" s="24" t="s">
        <v>6442</v>
      </c>
      <c r="AH1211" s="5" t="s">
        <v>7214</v>
      </c>
      <c r="AI1211" s="5">
        <v>26177.521000000001</v>
      </c>
      <c r="AJ1211" s="5">
        <v>26177.521000000001</v>
      </c>
      <c r="AK1211">
        <v>24312.614300000001</v>
      </c>
      <c r="AL1211" s="5" t="str">
        <f t="shared" si="38"/>
        <v>Невьянский городской округ</v>
      </c>
    </row>
    <row r="1212" spans="1:38" ht="15" customHeight="1" x14ac:dyDescent="0.25">
      <c r="A1212" s="5" t="s">
        <v>241</v>
      </c>
      <c r="B1212" s="5" t="s">
        <v>1674</v>
      </c>
      <c r="C1212" s="5">
        <v>29199.565200000001</v>
      </c>
      <c r="D1212" s="5">
        <v>29199.565200000001</v>
      </c>
      <c r="E1212" s="5">
        <v>26261.5317</v>
      </c>
      <c r="F1212" s="5" t="s">
        <v>7249</v>
      </c>
      <c r="G1212" s="5" t="str">
        <f t="shared" si="37"/>
        <v>УАЗ</v>
      </c>
      <c r="J1212" s="5"/>
      <c r="AF1212" t="s">
        <v>7214</v>
      </c>
      <c r="AG1212" s="24" t="s">
        <v>6443</v>
      </c>
      <c r="AH1212" s="5" t="s">
        <v>7214</v>
      </c>
      <c r="AI1212" s="5">
        <v>26177.521000000001</v>
      </c>
      <c r="AJ1212" s="5">
        <v>26177.521000000001</v>
      </c>
      <c r="AK1212">
        <v>24312.614300000001</v>
      </c>
      <c r="AL1212" s="5" t="str">
        <f t="shared" si="38"/>
        <v>Невьянский городской округ</v>
      </c>
    </row>
    <row r="1213" spans="1:38" ht="15" customHeight="1" x14ac:dyDescent="0.25">
      <c r="A1213" s="5" t="s">
        <v>199</v>
      </c>
      <c r="B1213" s="5" t="s">
        <v>1675</v>
      </c>
      <c r="C1213" s="5">
        <v>35756.285400000001</v>
      </c>
      <c r="D1213" s="5">
        <v>35756.285400000001</v>
      </c>
      <c r="E1213" s="5">
        <v>32158.5213</v>
      </c>
      <c r="F1213" s="5" t="s">
        <v>7249</v>
      </c>
      <c r="G1213" s="5" t="str">
        <f t="shared" si="37"/>
        <v>УАЗ-II</v>
      </c>
      <c r="J1213" s="5"/>
      <c r="AF1213" t="s">
        <v>7214</v>
      </c>
      <c r="AG1213" s="24" t="s">
        <v>6444</v>
      </c>
      <c r="AH1213" s="5" t="s">
        <v>7214</v>
      </c>
      <c r="AI1213" s="5">
        <v>26177.521000000001</v>
      </c>
      <c r="AJ1213" s="5">
        <v>26177.521000000001</v>
      </c>
      <c r="AK1213">
        <v>24312.614300000001</v>
      </c>
      <c r="AL1213" s="5" t="str">
        <f t="shared" si="38"/>
        <v>Невьянский городской округ</v>
      </c>
    </row>
    <row r="1214" spans="1:38" ht="15" customHeight="1" x14ac:dyDescent="0.25">
      <c r="A1214" s="5" t="s">
        <v>602</v>
      </c>
      <c r="B1214" s="5" t="s">
        <v>1675</v>
      </c>
      <c r="C1214" s="5">
        <v>35756.285400000001</v>
      </c>
      <c r="D1214" s="5">
        <v>35756.285400000001</v>
      </c>
      <c r="E1214" s="5">
        <v>32158.5213</v>
      </c>
      <c r="F1214" s="5" t="s">
        <v>7249</v>
      </c>
      <c r="G1214" s="5" t="str">
        <f t="shared" si="37"/>
        <v>УАЗ-II</v>
      </c>
      <c r="J1214" s="5"/>
      <c r="AF1214" t="s">
        <v>7214</v>
      </c>
      <c r="AG1214" s="24" t="s">
        <v>6445</v>
      </c>
      <c r="AH1214" s="5" t="s">
        <v>7214</v>
      </c>
      <c r="AI1214" s="5">
        <v>26177.521000000001</v>
      </c>
      <c r="AJ1214" s="5">
        <v>26177.521000000001</v>
      </c>
      <c r="AK1214">
        <v>24312.614300000001</v>
      </c>
      <c r="AL1214" s="5" t="str">
        <f t="shared" si="38"/>
        <v>Невьянский городской округ</v>
      </c>
    </row>
    <row r="1215" spans="1:38" ht="15" customHeight="1" x14ac:dyDescent="0.25">
      <c r="A1215" s="5" t="s">
        <v>521</v>
      </c>
      <c r="B1215" s="5" t="s">
        <v>1675</v>
      </c>
      <c r="C1215" s="5">
        <v>35756.285400000001</v>
      </c>
      <c r="D1215" s="5">
        <v>35756.285400000001</v>
      </c>
      <c r="E1215" s="5">
        <v>32158.5213</v>
      </c>
      <c r="F1215" s="5" t="s">
        <v>7249</v>
      </c>
      <c r="G1215" s="5" t="str">
        <f t="shared" si="37"/>
        <v>УАЗ-II</v>
      </c>
      <c r="J1215" s="5"/>
      <c r="AF1215" t="s">
        <v>7214</v>
      </c>
      <c r="AG1215" s="24" t="s">
        <v>6446</v>
      </c>
      <c r="AH1215" s="5" t="s">
        <v>7214</v>
      </c>
      <c r="AI1215" s="5">
        <v>26177.521000000001</v>
      </c>
      <c r="AJ1215" s="5">
        <v>26177.521000000001</v>
      </c>
      <c r="AK1215">
        <v>24312.614300000001</v>
      </c>
      <c r="AL1215" s="5" t="str">
        <f t="shared" si="38"/>
        <v>Невьянский городской округ</v>
      </c>
    </row>
    <row r="1216" spans="1:38" ht="15" customHeight="1" x14ac:dyDescent="0.25">
      <c r="A1216" s="5" t="s">
        <v>445</v>
      </c>
      <c r="B1216" s="5" t="s">
        <v>1675</v>
      </c>
      <c r="C1216" s="5">
        <v>35756.285400000001</v>
      </c>
      <c r="D1216" s="5">
        <v>35756.285400000001</v>
      </c>
      <c r="E1216" s="5">
        <v>32158.5213</v>
      </c>
      <c r="F1216" s="5" t="s">
        <v>7249</v>
      </c>
      <c r="G1216" s="5" t="str">
        <f t="shared" si="37"/>
        <v>УАЗ-II</v>
      </c>
      <c r="J1216" s="5"/>
      <c r="AF1216" t="s">
        <v>7214</v>
      </c>
      <c r="AG1216" s="24" t="s">
        <v>6447</v>
      </c>
      <c r="AH1216" s="5" t="s">
        <v>7214</v>
      </c>
      <c r="AI1216" s="5">
        <v>26177.521000000001</v>
      </c>
      <c r="AJ1216" s="5">
        <v>26177.521000000001</v>
      </c>
      <c r="AK1216">
        <v>24312.614300000001</v>
      </c>
      <c r="AL1216" s="5" t="str">
        <f t="shared" si="38"/>
        <v>Невьянский городской округ</v>
      </c>
    </row>
    <row r="1217" spans="1:38" ht="15" customHeight="1" x14ac:dyDescent="0.25">
      <c r="A1217" s="5" t="s">
        <v>600</v>
      </c>
      <c r="B1217" s="5" t="s">
        <v>1675</v>
      </c>
      <c r="C1217" s="5">
        <v>35756.285400000001</v>
      </c>
      <c r="D1217" s="5">
        <v>35756.285400000001</v>
      </c>
      <c r="E1217" s="5">
        <v>32158.5213</v>
      </c>
      <c r="F1217" s="5" t="s">
        <v>7249</v>
      </c>
      <c r="G1217" s="5" t="str">
        <f t="shared" si="37"/>
        <v>УАЗ-II</v>
      </c>
      <c r="J1217" s="5"/>
      <c r="AF1217" t="s">
        <v>7214</v>
      </c>
      <c r="AG1217" s="24" t="s">
        <v>6448</v>
      </c>
      <c r="AH1217" s="5" t="s">
        <v>7214</v>
      </c>
      <c r="AI1217" s="5">
        <v>26177.521000000001</v>
      </c>
      <c r="AJ1217" s="5">
        <v>26177.521000000001</v>
      </c>
      <c r="AK1217">
        <v>24312.614300000001</v>
      </c>
      <c r="AL1217" s="5" t="str">
        <f t="shared" si="38"/>
        <v>Невьянский городской округ</v>
      </c>
    </row>
    <row r="1218" spans="1:38" ht="15" customHeight="1" x14ac:dyDescent="0.25">
      <c r="A1218" s="5" t="s">
        <v>86</v>
      </c>
      <c r="B1218" s="5" t="s">
        <v>1675</v>
      </c>
      <c r="C1218" s="5">
        <v>35756.285400000001</v>
      </c>
      <c r="D1218" s="5">
        <v>35756.285400000001</v>
      </c>
      <c r="E1218" s="5">
        <v>32158.5213</v>
      </c>
      <c r="F1218" s="5" t="s">
        <v>7249</v>
      </c>
      <c r="G1218" s="5" t="str">
        <f t="shared" si="37"/>
        <v>УАЗ-II</v>
      </c>
      <c r="J1218" s="5"/>
      <c r="AF1218" t="s">
        <v>7214</v>
      </c>
      <c r="AG1218" s="24" t="s">
        <v>6449</v>
      </c>
      <c r="AH1218" s="5" t="s">
        <v>7214</v>
      </c>
      <c r="AI1218" s="5">
        <v>26177.521000000001</v>
      </c>
      <c r="AJ1218" s="5">
        <v>26177.521000000001</v>
      </c>
      <c r="AK1218">
        <v>24312.614300000001</v>
      </c>
      <c r="AL1218" s="5" t="str">
        <f t="shared" si="38"/>
        <v>Невьянский городской округ</v>
      </c>
    </row>
    <row r="1219" spans="1:38" ht="15" customHeight="1" x14ac:dyDescent="0.25">
      <c r="A1219" s="5" t="s">
        <v>639</v>
      </c>
      <c r="B1219" s="5" t="s">
        <v>1675</v>
      </c>
      <c r="C1219" s="5">
        <v>35756.285400000001</v>
      </c>
      <c r="D1219" s="5">
        <v>35756.285400000001</v>
      </c>
      <c r="E1219" s="5">
        <v>32158.5213</v>
      </c>
      <c r="F1219" s="5" t="s">
        <v>7249</v>
      </c>
      <c r="G1219" s="5" t="str">
        <f t="shared" si="37"/>
        <v>УАЗ-II</v>
      </c>
      <c r="J1219" s="5"/>
      <c r="AF1219" t="s">
        <v>7214</v>
      </c>
      <c r="AG1219" s="24" t="s">
        <v>6450</v>
      </c>
      <c r="AH1219" s="5" t="s">
        <v>7214</v>
      </c>
      <c r="AI1219" s="5">
        <v>26177.521000000001</v>
      </c>
      <c r="AJ1219" s="5">
        <v>26177.521000000001</v>
      </c>
      <c r="AK1219">
        <v>24312.614300000001</v>
      </c>
      <c r="AL1219" s="5" t="str">
        <f t="shared" si="38"/>
        <v>Невьянский городской округ</v>
      </c>
    </row>
    <row r="1220" spans="1:38" ht="15" customHeight="1" x14ac:dyDescent="0.25">
      <c r="A1220" s="5" t="s">
        <v>1095</v>
      </c>
      <c r="B1220" s="5" t="s">
        <v>1675</v>
      </c>
      <c r="C1220" s="5">
        <v>35756.285400000001</v>
      </c>
      <c r="D1220" s="5">
        <v>35756.285400000001</v>
      </c>
      <c r="E1220" s="5">
        <v>32158.5213</v>
      </c>
      <c r="F1220" s="5" t="s">
        <v>7249</v>
      </c>
      <c r="G1220" s="5" t="str">
        <f t="shared" ref="G1220:G1283" si="39">B1220</f>
        <v>УАЗ-II</v>
      </c>
      <c r="J1220" s="5"/>
      <c r="AF1220" t="s">
        <v>7214</v>
      </c>
      <c r="AG1220" s="24" t="s">
        <v>6451</v>
      </c>
      <c r="AH1220" s="5" t="s">
        <v>7214</v>
      </c>
      <c r="AI1220" s="5">
        <v>26177.521000000001</v>
      </c>
      <c r="AJ1220" s="5">
        <v>26177.521000000001</v>
      </c>
      <c r="AK1220">
        <v>24312.614300000001</v>
      </c>
      <c r="AL1220" s="5" t="str">
        <f t="shared" ref="AL1220:AL1283" si="40">AF1220</f>
        <v>Невьянский городской округ</v>
      </c>
    </row>
    <row r="1221" spans="1:38" ht="15" customHeight="1" x14ac:dyDescent="0.25">
      <c r="A1221" s="5" t="s">
        <v>205</v>
      </c>
      <c r="B1221" s="5" t="s">
        <v>1675</v>
      </c>
      <c r="C1221" s="5">
        <v>35756.285400000001</v>
      </c>
      <c r="D1221" s="5">
        <v>35756.285400000001</v>
      </c>
      <c r="E1221" s="5">
        <v>32158.5213</v>
      </c>
      <c r="F1221" s="5" t="s">
        <v>7249</v>
      </c>
      <c r="G1221" s="5" t="str">
        <f t="shared" si="39"/>
        <v>УАЗ-II</v>
      </c>
      <c r="J1221" s="5"/>
      <c r="AF1221" t="s">
        <v>7214</v>
      </c>
      <c r="AG1221" s="24" t="s">
        <v>6452</v>
      </c>
      <c r="AH1221" s="5" t="s">
        <v>7214</v>
      </c>
      <c r="AI1221" s="5">
        <v>26177.521000000001</v>
      </c>
      <c r="AJ1221" s="5">
        <v>26177.521000000001</v>
      </c>
      <c r="AK1221">
        <v>24312.614300000001</v>
      </c>
      <c r="AL1221" s="5" t="str">
        <f t="shared" si="40"/>
        <v>Невьянский городской округ</v>
      </c>
    </row>
    <row r="1222" spans="1:38" ht="15" customHeight="1" x14ac:dyDescent="0.25">
      <c r="A1222" s="5" t="s">
        <v>649</v>
      </c>
      <c r="B1222" s="5" t="s">
        <v>1675</v>
      </c>
      <c r="C1222" s="5">
        <v>35756.285400000001</v>
      </c>
      <c r="D1222" s="5">
        <v>35756.285400000001</v>
      </c>
      <c r="E1222" s="5">
        <v>32158.5213</v>
      </c>
      <c r="F1222" s="5" t="s">
        <v>7249</v>
      </c>
      <c r="G1222" s="5" t="str">
        <f t="shared" si="39"/>
        <v>УАЗ-II</v>
      </c>
      <c r="J1222" s="5"/>
      <c r="AF1222" t="s">
        <v>7214</v>
      </c>
      <c r="AG1222" s="24" t="s">
        <v>6453</v>
      </c>
      <c r="AH1222" s="5" t="s">
        <v>7214</v>
      </c>
      <c r="AI1222" s="5">
        <v>26177.521000000001</v>
      </c>
      <c r="AJ1222" s="5">
        <v>26177.521000000001</v>
      </c>
      <c r="AK1222">
        <v>24312.614300000001</v>
      </c>
      <c r="AL1222" s="5" t="str">
        <f t="shared" si="40"/>
        <v>Невьянский городской округ</v>
      </c>
    </row>
    <row r="1223" spans="1:38" ht="15" customHeight="1" x14ac:dyDescent="0.25">
      <c r="A1223" s="5" t="s">
        <v>573</v>
      </c>
      <c r="B1223" s="5" t="s">
        <v>1675</v>
      </c>
      <c r="C1223" s="5">
        <v>35756.285400000001</v>
      </c>
      <c r="D1223" s="5">
        <v>35756.285400000001</v>
      </c>
      <c r="E1223" s="5">
        <v>32158.5213</v>
      </c>
      <c r="F1223" s="5" t="s">
        <v>7249</v>
      </c>
      <c r="G1223" s="5" t="str">
        <f t="shared" si="39"/>
        <v>УАЗ-II</v>
      </c>
      <c r="J1223" s="5"/>
      <c r="AF1223" t="s">
        <v>7214</v>
      </c>
      <c r="AG1223" s="24" t="s">
        <v>6454</v>
      </c>
      <c r="AH1223" s="5" t="s">
        <v>7214</v>
      </c>
      <c r="AI1223" s="5">
        <v>26177.521000000001</v>
      </c>
      <c r="AJ1223" s="5">
        <v>26177.521000000001</v>
      </c>
      <c r="AK1223">
        <v>24312.614300000001</v>
      </c>
      <c r="AL1223" s="5" t="str">
        <f t="shared" si="40"/>
        <v>Невьянский городской округ</v>
      </c>
    </row>
    <row r="1224" spans="1:38" ht="15" customHeight="1" x14ac:dyDescent="0.25">
      <c r="A1224" s="5" t="s">
        <v>512</v>
      </c>
      <c r="B1224" s="5" t="s">
        <v>1675</v>
      </c>
      <c r="C1224" s="5">
        <v>35756.285400000001</v>
      </c>
      <c r="D1224" s="5">
        <v>35756.285400000001</v>
      </c>
      <c r="E1224" s="5">
        <v>32158.5213</v>
      </c>
      <c r="F1224" s="5" t="s">
        <v>7249</v>
      </c>
      <c r="G1224" s="5" t="str">
        <f t="shared" si="39"/>
        <v>УАЗ-II</v>
      </c>
      <c r="J1224" s="5"/>
      <c r="AF1224" t="s">
        <v>7214</v>
      </c>
      <c r="AG1224" s="24" t="s">
        <v>6455</v>
      </c>
      <c r="AH1224" s="5" t="s">
        <v>7214</v>
      </c>
      <c r="AI1224" s="5">
        <v>26177.521000000001</v>
      </c>
      <c r="AJ1224" s="5">
        <v>26177.521000000001</v>
      </c>
      <c r="AK1224">
        <v>24312.614300000001</v>
      </c>
      <c r="AL1224" s="5" t="str">
        <f t="shared" si="40"/>
        <v>Невьянский городской округ</v>
      </c>
    </row>
    <row r="1225" spans="1:38" ht="15" customHeight="1" x14ac:dyDescent="0.25">
      <c r="A1225" s="5" t="s">
        <v>598</v>
      </c>
      <c r="B1225" s="5" t="s">
        <v>1675</v>
      </c>
      <c r="C1225" s="5">
        <v>35756.285400000001</v>
      </c>
      <c r="D1225" s="5">
        <v>35756.285400000001</v>
      </c>
      <c r="E1225" s="5">
        <v>32158.5213</v>
      </c>
      <c r="F1225" s="5" t="s">
        <v>7249</v>
      </c>
      <c r="G1225" s="5" t="str">
        <f t="shared" si="39"/>
        <v>УАЗ-II</v>
      </c>
      <c r="J1225" s="5"/>
      <c r="AF1225" t="s">
        <v>7214</v>
      </c>
      <c r="AG1225" s="24" t="s">
        <v>6456</v>
      </c>
      <c r="AH1225" s="5" t="s">
        <v>7214</v>
      </c>
      <c r="AI1225" s="5">
        <v>32342.9238</v>
      </c>
      <c r="AJ1225" s="5">
        <v>32342.9238</v>
      </c>
      <c r="AK1225">
        <v>30038.795399999999</v>
      </c>
      <c r="AL1225" s="5" t="str">
        <f t="shared" si="40"/>
        <v>Невьянский городской округ</v>
      </c>
    </row>
    <row r="1226" spans="1:38" ht="15" customHeight="1" x14ac:dyDescent="0.25">
      <c r="A1226" s="5" t="s">
        <v>368</v>
      </c>
      <c r="B1226" s="5" t="s">
        <v>1675</v>
      </c>
      <c r="C1226" s="5">
        <v>35756.285400000001</v>
      </c>
      <c r="D1226" s="5">
        <v>35756.285400000001</v>
      </c>
      <c r="E1226" s="5">
        <v>32158.5213</v>
      </c>
      <c r="F1226" s="5" t="s">
        <v>7249</v>
      </c>
      <c r="G1226" s="5" t="str">
        <f t="shared" si="39"/>
        <v>УАЗ-II</v>
      </c>
      <c r="J1226" s="5"/>
      <c r="AF1226" t="s">
        <v>7214</v>
      </c>
      <c r="AG1226" s="24" t="s">
        <v>6457</v>
      </c>
      <c r="AH1226" s="5" t="s">
        <v>7214</v>
      </c>
      <c r="AI1226" s="5">
        <v>26177.521000000001</v>
      </c>
      <c r="AJ1226" s="5">
        <v>26177.521000000001</v>
      </c>
      <c r="AK1226">
        <v>24312.614300000001</v>
      </c>
      <c r="AL1226" s="5" t="str">
        <f t="shared" si="40"/>
        <v>Невьянский городской округ</v>
      </c>
    </row>
    <row r="1227" spans="1:38" ht="15" customHeight="1" x14ac:dyDescent="0.25">
      <c r="A1227" s="5" t="s">
        <v>864</v>
      </c>
      <c r="B1227" s="5" t="s">
        <v>1675</v>
      </c>
      <c r="C1227" s="5">
        <v>35756.285400000001</v>
      </c>
      <c r="D1227" s="5">
        <v>35756.285400000001</v>
      </c>
      <c r="E1227" s="5">
        <v>32158.5213</v>
      </c>
      <c r="F1227" s="5" t="s">
        <v>7249</v>
      </c>
      <c r="G1227" s="5" t="str">
        <f t="shared" si="39"/>
        <v>УАЗ-II</v>
      </c>
      <c r="J1227" s="5"/>
      <c r="AF1227" t="s">
        <v>7214</v>
      </c>
      <c r="AG1227" s="24" t="s">
        <v>6458</v>
      </c>
      <c r="AH1227" s="5" t="s">
        <v>7214</v>
      </c>
      <c r="AI1227" s="5">
        <v>26177.521000000001</v>
      </c>
      <c r="AJ1227" s="5">
        <v>26177.521000000001</v>
      </c>
      <c r="AK1227">
        <v>24312.614300000001</v>
      </c>
      <c r="AL1227" s="5" t="str">
        <f t="shared" si="40"/>
        <v>Невьянский городской округ</v>
      </c>
    </row>
    <row r="1228" spans="1:38" ht="15" customHeight="1" x14ac:dyDescent="0.25">
      <c r="A1228" s="5" t="s">
        <v>1435</v>
      </c>
      <c r="B1228" s="5" t="s">
        <v>1675</v>
      </c>
      <c r="C1228" s="5">
        <v>35756.285400000001</v>
      </c>
      <c r="D1228" s="5">
        <v>35756.285400000001</v>
      </c>
      <c r="E1228" s="5">
        <v>32158.5213</v>
      </c>
      <c r="F1228" s="5" t="s">
        <v>7249</v>
      </c>
      <c r="G1228" s="5" t="str">
        <f t="shared" si="39"/>
        <v>УАЗ-II</v>
      </c>
      <c r="J1228" s="5"/>
      <c r="AF1228" t="s">
        <v>7214</v>
      </c>
      <c r="AG1228" s="24" t="s">
        <v>6459</v>
      </c>
      <c r="AH1228" s="5" t="s">
        <v>7214</v>
      </c>
      <c r="AI1228" s="5">
        <v>26177.521000000001</v>
      </c>
      <c r="AJ1228" s="5">
        <v>26177.521000000001</v>
      </c>
      <c r="AK1228">
        <v>24312.614300000001</v>
      </c>
      <c r="AL1228" s="5" t="str">
        <f t="shared" si="40"/>
        <v>Невьянский городской округ</v>
      </c>
    </row>
    <row r="1229" spans="1:38" ht="15" customHeight="1" x14ac:dyDescent="0.25">
      <c r="A1229" s="5" t="s">
        <v>552</v>
      </c>
      <c r="B1229" s="5" t="s">
        <v>1675</v>
      </c>
      <c r="C1229" s="5">
        <v>35756.285400000001</v>
      </c>
      <c r="D1229" s="5">
        <v>35756.285400000001</v>
      </c>
      <c r="E1229" s="5">
        <v>32158.5213</v>
      </c>
      <c r="F1229" s="5" t="s">
        <v>7249</v>
      </c>
      <c r="G1229" s="5" t="str">
        <f t="shared" si="39"/>
        <v>УАЗ-II</v>
      </c>
      <c r="J1229" s="5"/>
      <c r="AF1229" t="s">
        <v>7214</v>
      </c>
      <c r="AG1229" s="24" t="s">
        <v>6460</v>
      </c>
      <c r="AH1229" s="5" t="s">
        <v>7214</v>
      </c>
      <c r="AI1229" s="5">
        <v>26177.521000000001</v>
      </c>
      <c r="AJ1229" s="5">
        <v>26177.521000000001</v>
      </c>
      <c r="AK1229">
        <v>24312.614300000001</v>
      </c>
      <c r="AL1229" s="5" t="str">
        <f t="shared" si="40"/>
        <v>Невьянский городской округ</v>
      </c>
    </row>
    <row r="1230" spans="1:38" ht="15" customHeight="1" x14ac:dyDescent="0.25">
      <c r="A1230" s="5" t="s">
        <v>289</v>
      </c>
      <c r="B1230" s="5" t="s">
        <v>1675</v>
      </c>
      <c r="C1230" s="5">
        <v>35756.285400000001</v>
      </c>
      <c r="D1230" s="5">
        <v>35756.285400000001</v>
      </c>
      <c r="E1230" s="5">
        <v>32158.5213</v>
      </c>
      <c r="F1230" s="5" t="s">
        <v>7249</v>
      </c>
      <c r="G1230" s="5" t="str">
        <f t="shared" si="39"/>
        <v>УАЗ-II</v>
      </c>
      <c r="J1230" s="5"/>
      <c r="AF1230" t="s">
        <v>7214</v>
      </c>
      <c r="AG1230" s="24" t="s">
        <v>6461</v>
      </c>
      <c r="AH1230" s="5" t="s">
        <v>7214</v>
      </c>
      <c r="AI1230" s="5">
        <v>26177.521000000001</v>
      </c>
      <c r="AJ1230" s="5">
        <v>26177.521000000001</v>
      </c>
      <c r="AK1230">
        <v>24312.614300000001</v>
      </c>
      <c r="AL1230" s="5" t="str">
        <f t="shared" si="40"/>
        <v>Невьянский городской округ</v>
      </c>
    </row>
    <row r="1231" spans="1:38" ht="15" customHeight="1" x14ac:dyDescent="0.25">
      <c r="A1231" s="5" t="s">
        <v>977</v>
      </c>
      <c r="B1231" s="5" t="s">
        <v>1675</v>
      </c>
      <c r="C1231" s="5">
        <v>35756.285400000001</v>
      </c>
      <c r="D1231" s="5">
        <v>35756.285400000001</v>
      </c>
      <c r="E1231" s="5">
        <v>32158.5213</v>
      </c>
      <c r="F1231" s="5" t="s">
        <v>7249</v>
      </c>
      <c r="G1231" s="5" t="str">
        <f t="shared" si="39"/>
        <v>УАЗ-II</v>
      </c>
      <c r="J1231" s="5"/>
      <c r="AF1231" t="s">
        <v>7214</v>
      </c>
      <c r="AG1231" s="24" t="s">
        <v>6462</v>
      </c>
      <c r="AH1231" s="5" t="s">
        <v>7214</v>
      </c>
      <c r="AI1231" s="5">
        <v>26177.521000000001</v>
      </c>
      <c r="AJ1231" s="5">
        <v>26177.521000000001</v>
      </c>
      <c r="AK1231">
        <v>24312.614300000001</v>
      </c>
      <c r="AL1231" s="5" t="str">
        <f t="shared" si="40"/>
        <v>Невьянский городской округ</v>
      </c>
    </row>
    <row r="1232" spans="1:38" ht="15" customHeight="1" x14ac:dyDescent="0.25">
      <c r="A1232" s="5" t="s">
        <v>455</v>
      </c>
      <c r="B1232" s="5" t="s">
        <v>1675</v>
      </c>
      <c r="C1232" s="5">
        <v>35756.285400000001</v>
      </c>
      <c r="D1232" s="5">
        <v>35756.285400000001</v>
      </c>
      <c r="E1232" s="5">
        <v>32158.5213</v>
      </c>
      <c r="F1232" s="5" t="s">
        <v>7249</v>
      </c>
      <c r="G1232" s="5" t="str">
        <f t="shared" si="39"/>
        <v>УАЗ-II</v>
      </c>
      <c r="J1232" s="5"/>
      <c r="AF1232" t="s">
        <v>7214</v>
      </c>
      <c r="AG1232" s="24" t="s">
        <v>6463</v>
      </c>
      <c r="AH1232" s="5" t="s">
        <v>7214</v>
      </c>
      <c r="AI1232" s="5">
        <v>26177.521000000001</v>
      </c>
      <c r="AJ1232" s="5">
        <v>26177.521000000001</v>
      </c>
      <c r="AK1232">
        <v>24312.614300000001</v>
      </c>
      <c r="AL1232" s="5" t="str">
        <f t="shared" si="40"/>
        <v>Невьянский городской округ</v>
      </c>
    </row>
    <row r="1233" spans="1:38" ht="15" customHeight="1" x14ac:dyDescent="0.25">
      <c r="A1233" s="5" t="s">
        <v>1597</v>
      </c>
      <c r="B1233" s="5" t="s">
        <v>1675</v>
      </c>
      <c r="C1233" s="5">
        <v>35756.285400000001</v>
      </c>
      <c r="D1233" s="5">
        <v>35756.285400000001</v>
      </c>
      <c r="E1233" s="5">
        <v>32158.5213</v>
      </c>
      <c r="F1233" s="5" t="s">
        <v>7249</v>
      </c>
      <c r="G1233" s="5" t="str">
        <f t="shared" si="39"/>
        <v>УАЗ-II</v>
      </c>
      <c r="J1233" s="5"/>
      <c r="AF1233" t="s">
        <v>7214</v>
      </c>
      <c r="AG1233" s="24" t="s">
        <v>6464</v>
      </c>
      <c r="AH1233" s="5" t="s">
        <v>7214</v>
      </c>
      <c r="AI1233" s="5">
        <v>26177.521000000001</v>
      </c>
      <c r="AJ1233" s="5">
        <v>26177.521000000001</v>
      </c>
      <c r="AK1233">
        <v>24312.614300000001</v>
      </c>
      <c r="AL1233" s="5" t="str">
        <f t="shared" si="40"/>
        <v>Невьянский городской округ</v>
      </c>
    </row>
    <row r="1234" spans="1:38" ht="15" customHeight="1" x14ac:dyDescent="0.25">
      <c r="A1234" s="5" t="s">
        <v>1613</v>
      </c>
      <c r="B1234" s="5" t="s">
        <v>1675</v>
      </c>
      <c r="C1234" s="5">
        <v>35756.285400000001</v>
      </c>
      <c r="D1234" s="5">
        <v>35756.285400000001</v>
      </c>
      <c r="E1234" s="5">
        <v>32158.5213</v>
      </c>
      <c r="F1234" s="5" t="s">
        <v>7249</v>
      </c>
      <c r="G1234" s="5" t="str">
        <f t="shared" si="39"/>
        <v>УАЗ-II</v>
      </c>
      <c r="J1234" s="5"/>
      <c r="AF1234" t="s">
        <v>7214</v>
      </c>
      <c r="AG1234" s="24" t="s">
        <v>6465</v>
      </c>
      <c r="AH1234" s="5" t="s">
        <v>7214</v>
      </c>
      <c r="AI1234" s="5">
        <v>26177.521000000001</v>
      </c>
      <c r="AJ1234" s="5">
        <v>26177.521000000001</v>
      </c>
      <c r="AK1234">
        <v>24312.614300000001</v>
      </c>
      <c r="AL1234" s="5" t="str">
        <f t="shared" si="40"/>
        <v>Невьянский городской округ</v>
      </c>
    </row>
    <row r="1235" spans="1:38" ht="15" customHeight="1" x14ac:dyDescent="0.25">
      <c r="A1235" s="5" t="s">
        <v>640</v>
      </c>
      <c r="B1235" s="5" t="s">
        <v>1675</v>
      </c>
      <c r="C1235" s="5">
        <v>35756.285400000001</v>
      </c>
      <c r="D1235" s="5">
        <v>35756.285400000001</v>
      </c>
      <c r="E1235" s="5">
        <v>32158.5213</v>
      </c>
      <c r="F1235" s="5" t="s">
        <v>7249</v>
      </c>
      <c r="G1235" s="5" t="str">
        <f t="shared" si="39"/>
        <v>УАЗ-II</v>
      </c>
      <c r="J1235" s="5"/>
      <c r="AF1235" t="s">
        <v>7214</v>
      </c>
      <c r="AG1235" s="24" t="s">
        <v>6466</v>
      </c>
      <c r="AH1235" s="5" t="s">
        <v>7214</v>
      </c>
      <c r="AI1235" s="5">
        <v>26177.521000000001</v>
      </c>
      <c r="AJ1235" s="5">
        <v>26177.521000000001</v>
      </c>
      <c r="AK1235">
        <v>24312.614300000001</v>
      </c>
      <c r="AL1235" s="5" t="str">
        <f t="shared" si="40"/>
        <v>Невьянский городской округ</v>
      </c>
    </row>
    <row r="1236" spans="1:38" ht="15" customHeight="1" x14ac:dyDescent="0.25">
      <c r="A1236" s="5" t="s">
        <v>969</v>
      </c>
      <c r="B1236" s="5" t="s">
        <v>1673</v>
      </c>
      <c r="C1236" s="5">
        <v>35563.243300000002</v>
      </c>
      <c r="D1236" s="5">
        <v>35563.243300000002</v>
      </c>
      <c r="E1236" s="5">
        <v>31984.905299999999</v>
      </c>
      <c r="F1236" s="5" t="s">
        <v>7249</v>
      </c>
      <c r="G1236" s="5" t="str">
        <f t="shared" si="39"/>
        <v>УАЗ-III - 49 кв.</v>
      </c>
      <c r="J1236" s="5"/>
      <c r="AF1236" t="s">
        <v>7214</v>
      </c>
      <c r="AG1236" s="24" t="s">
        <v>6467</v>
      </c>
      <c r="AH1236" s="5" t="s">
        <v>7214</v>
      </c>
      <c r="AI1236" s="5">
        <v>26177.521000000001</v>
      </c>
      <c r="AJ1236" s="5">
        <v>26177.521000000001</v>
      </c>
      <c r="AK1236">
        <v>24312.614300000001</v>
      </c>
      <c r="AL1236" s="5" t="str">
        <f t="shared" si="40"/>
        <v>Невьянский городской округ</v>
      </c>
    </row>
    <row r="1237" spans="1:38" ht="15" customHeight="1" x14ac:dyDescent="0.25">
      <c r="A1237" s="5" t="s">
        <v>1486</v>
      </c>
      <c r="B1237" s="5" t="s">
        <v>1673</v>
      </c>
      <c r="C1237" s="5">
        <v>35563.243300000002</v>
      </c>
      <c r="D1237" s="5">
        <v>35563.243300000002</v>
      </c>
      <c r="E1237" s="5">
        <v>31984.905299999999</v>
      </c>
      <c r="F1237" s="5" t="s">
        <v>7249</v>
      </c>
      <c r="G1237" s="5" t="str">
        <f t="shared" si="39"/>
        <v>УАЗ-III - 49 кв.</v>
      </c>
      <c r="J1237" s="5"/>
      <c r="AF1237" t="s">
        <v>7214</v>
      </c>
      <c r="AG1237" s="24" t="s">
        <v>6468</v>
      </c>
      <c r="AH1237" s="5" t="s">
        <v>7214</v>
      </c>
      <c r="AI1237" s="5">
        <v>26177.521000000001</v>
      </c>
      <c r="AJ1237" s="5">
        <v>26177.521000000001</v>
      </c>
      <c r="AK1237">
        <v>24312.614300000001</v>
      </c>
      <c r="AL1237" s="5" t="str">
        <f t="shared" si="40"/>
        <v>Невьянский городской округ</v>
      </c>
    </row>
    <row r="1238" spans="1:38" ht="15" customHeight="1" x14ac:dyDescent="0.25">
      <c r="A1238" s="5" t="s">
        <v>1447</v>
      </c>
      <c r="B1238" s="5" t="s">
        <v>1673</v>
      </c>
      <c r="C1238" s="5">
        <v>35563.243300000002</v>
      </c>
      <c r="D1238" s="5">
        <v>35563.243300000002</v>
      </c>
      <c r="E1238" s="5">
        <v>31984.905299999999</v>
      </c>
      <c r="F1238" s="5" t="s">
        <v>7249</v>
      </c>
      <c r="G1238" s="5" t="str">
        <f t="shared" si="39"/>
        <v>УАЗ-III - 49 кв.</v>
      </c>
      <c r="J1238" s="5"/>
      <c r="AF1238" t="s">
        <v>7214</v>
      </c>
      <c r="AG1238" s="24" t="s">
        <v>6469</v>
      </c>
      <c r="AH1238" s="5" t="s">
        <v>7214</v>
      </c>
      <c r="AI1238" s="5">
        <v>26177.521000000001</v>
      </c>
      <c r="AJ1238" s="5">
        <v>26177.521000000001</v>
      </c>
      <c r="AK1238">
        <v>24312.614300000001</v>
      </c>
      <c r="AL1238" s="5" t="str">
        <f t="shared" si="40"/>
        <v>Невьянский городской округ</v>
      </c>
    </row>
    <row r="1239" spans="1:38" ht="15" customHeight="1" x14ac:dyDescent="0.25">
      <c r="A1239" s="5" t="s">
        <v>647</v>
      </c>
      <c r="B1239" s="5" t="s">
        <v>1673</v>
      </c>
      <c r="C1239" s="5">
        <v>35563.243300000002</v>
      </c>
      <c r="D1239" s="5">
        <v>35563.243300000002</v>
      </c>
      <c r="E1239" s="5">
        <v>31984.905299999999</v>
      </c>
      <c r="F1239" s="5" t="s">
        <v>7249</v>
      </c>
      <c r="G1239" s="5" t="str">
        <f t="shared" si="39"/>
        <v>УАЗ-III - 49 кв.</v>
      </c>
      <c r="J1239" s="5"/>
      <c r="AF1239" t="s">
        <v>7214</v>
      </c>
      <c r="AG1239" s="24" t="s">
        <v>6470</v>
      </c>
      <c r="AH1239" s="5" t="s">
        <v>7214</v>
      </c>
      <c r="AI1239" s="5">
        <v>26177.521000000001</v>
      </c>
      <c r="AJ1239" s="5">
        <v>26177.521000000001</v>
      </c>
      <c r="AK1239">
        <v>24312.614300000001</v>
      </c>
      <c r="AL1239" s="5" t="str">
        <f t="shared" si="40"/>
        <v>Невьянский городской округ</v>
      </c>
    </row>
    <row r="1240" spans="1:38" ht="15" customHeight="1" x14ac:dyDescent="0.25">
      <c r="A1240" s="5" t="s">
        <v>1014</v>
      </c>
      <c r="B1240" s="5" t="s">
        <v>1673</v>
      </c>
      <c r="C1240" s="5">
        <v>35563.243300000002</v>
      </c>
      <c r="D1240" s="5">
        <v>35563.243300000002</v>
      </c>
      <c r="E1240" s="5">
        <v>31984.905299999999</v>
      </c>
      <c r="F1240" s="5" t="s">
        <v>7249</v>
      </c>
      <c r="G1240" s="5" t="str">
        <f t="shared" si="39"/>
        <v>УАЗ-III - 49 кв.</v>
      </c>
      <c r="J1240" s="5"/>
      <c r="AF1240" t="s">
        <v>7214</v>
      </c>
      <c r="AG1240" s="24" t="s">
        <v>6471</v>
      </c>
      <c r="AH1240" s="5" t="s">
        <v>7214</v>
      </c>
      <c r="AI1240" s="5">
        <v>26177.521000000001</v>
      </c>
      <c r="AJ1240" s="5">
        <v>26177.521000000001</v>
      </c>
      <c r="AK1240">
        <v>24312.614300000001</v>
      </c>
      <c r="AL1240" s="5" t="str">
        <f t="shared" si="40"/>
        <v>Невьянский городской округ</v>
      </c>
    </row>
    <row r="1241" spans="1:38" ht="15" customHeight="1" x14ac:dyDescent="0.25">
      <c r="A1241" s="5" t="s">
        <v>951</v>
      </c>
      <c r="B1241" s="5" t="s">
        <v>1673</v>
      </c>
      <c r="C1241" s="5">
        <v>35563.243300000002</v>
      </c>
      <c r="D1241" s="5">
        <v>35563.243300000002</v>
      </c>
      <c r="E1241" s="5">
        <v>31984.905299999999</v>
      </c>
      <c r="F1241" s="5" t="s">
        <v>7249</v>
      </c>
      <c r="G1241" s="5" t="str">
        <f t="shared" si="39"/>
        <v>УАЗ-III - 49 кв.</v>
      </c>
      <c r="J1241" s="5"/>
      <c r="AF1241" t="s">
        <v>7214</v>
      </c>
      <c r="AG1241" s="24" t="s">
        <v>6472</v>
      </c>
      <c r="AH1241" s="5" t="s">
        <v>7214</v>
      </c>
      <c r="AI1241" s="5">
        <v>26177.521000000001</v>
      </c>
      <c r="AJ1241" s="5">
        <v>26177.521000000001</v>
      </c>
      <c r="AK1241">
        <v>24312.614300000001</v>
      </c>
      <c r="AL1241" s="5" t="str">
        <f t="shared" si="40"/>
        <v>Невьянский городской округ</v>
      </c>
    </row>
    <row r="1242" spans="1:38" ht="15" customHeight="1" x14ac:dyDescent="0.25">
      <c r="A1242" s="5" t="s">
        <v>1096</v>
      </c>
      <c r="B1242" s="5" t="s">
        <v>1673</v>
      </c>
      <c r="C1242" s="5">
        <v>35563.243300000002</v>
      </c>
      <c r="D1242" s="5">
        <v>35563.243300000002</v>
      </c>
      <c r="E1242" s="5">
        <v>31984.905299999999</v>
      </c>
      <c r="F1242" s="5" t="s">
        <v>7249</v>
      </c>
      <c r="G1242" s="5" t="str">
        <f t="shared" si="39"/>
        <v>УАЗ-III - 49 кв.</v>
      </c>
      <c r="J1242" s="5"/>
      <c r="AF1242" t="s">
        <v>7214</v>
      </c>
      <c r="AG1242" s="24" t="s">
        <v>6473</v>
      </c>
      <c r="AH1242" s="5" t="s">
        <v>7214</v>
      </c>
      <c r="AI1242" s="5">
        <v>26177.521000000001</v>
      </c>
      <c r="AJ1242" s="5">
        <v>26177.521000000001</v>
      </c>
      <c r="AK1242">
        <v>24312.614300000001</v>
      </c>
      <c r="AL1242" s="5" t="str">
        <f t="shared" si="40"/>
        <v>Невьянский городской округ</v>
      </c>
    </row>
    <row r="1243" spans="1:38" ht="15" customHeight="1" x14ac:dyDescent="0.25">
      <c r="A1243" s="5" t="s">
        <v>1251</v>
      </c>
      <c r="B1243" s="5" t="s">
        <v>1673</v>
      </c>
      <c r="C1243" s="5">
        <v>35563.243300000002</v>
      </c>
      <c r="D1243" s="5">
        <v>35563.243300000002</v>
      </c>
      <c r="E1243" s="5">
        <v>31984.905299999999</v>
      </c>
      <c r="F1243" s="5" t="s">
        <v>7249</v>
      </c>
      <c r="G1243" s="5" t="str">
        <f t="shared" si="39"/>
        <v>УАЗ-III - 49 кв.</v>
      </c>
      <c r="J1243" s="5"/>
      <c r="AF1243" t="s">
        <v>7214</v>
      </c>
      <c r="AG1243" s="24" t="s">
        <v>6474</v>
      </c>
      <c r="AH1243" s="5" t="s">
        <v>7214</v>
      </c>
      <c r="AI1243" s="5">
        <v>26177.521000000001</v>
      </c>
      <c r="AJ1243" s="5">
        <v>26177.521000000001</v>
      </c>
      <c r="AK1243">
        <v>24312.614300000001</v>
      </c>
      <c r="AL1243" s="5" t="str">
        <f t="shared" si="40"/>
        <v>Невьянский городской округ</v>
      </c>
    </row>
    <row r="1244" spans="1:38" ht="15" customHeight="1" x14ac:dyDescent="0.25">
      <c r="A1244" s="5" t="s">
        <v>313</v>
      </c>
      <c r="B1244" s="5" t="s">
        <v>1673</v>
      </c>
      <c r="C1244" s="5">
        <v>35563.243300000002</v>
      </c>
      <c r="D1244" s="5">
        <v>35563.243300000002</v>
      </c>
      <c r="E1244" s="5">
        <v>31984.905299999999</v>
      </c>
      <c r="F1244" s="5" t="s">
        <v>7249</v>
      </c>
      <c r="G1244" s="5" t="str">
        <f t="shared" si="39"/>
        <v>УАЗ-III - 49 кв.</v>
      </c>
      <c r="J1244" s="5"/>
      <c r="AF1244" t="s">
        <v>7214</v>
      </c>
      <c r="AG1244" s="24" t="s">
        <v>6475</v>
      </c>
      <c r="AH1244" s="5" t="s">
        <v>7214</v>
      </c>
      <c r="AI1244" s="5">
        <v>26177.521000000001</v>
      </c>
      <c r="AJ1244" s="5">
        <v>26177.521000000001</v>
      </c>
      <c r="AK1244">
        <v>24312.614300000001</v>
      </c>
      <c r="AL1244" s="5" t="str">
        <f t="shared" si="40"/>
        <v>Невьянский городской округ</v>
      </c>
    </row>
    <row r="1245" spans="1:38" ht="15" customHeight="1" x14ac:dyDescent="0.25">
      <c r="A1245" s="5" t="s">
        <v>599</v>
      </c>
      <c r="B1245" s="5" t="s">
        <v>1673</v>
      </c>
      <c r="C1245" s="5">
        <v>35563.243300000002</v>
      </c>
      <c r="D1245" s="5">
        <v>35563.243300000002</v>
      </c>
      <c r="E1245" s="5">
        <v>31984.905299999999</v>
      </c>
      <c r="F1245" s="5" t="s">
        <v>7249</v>
      </c>
      <c r="G1245" s="5" t="str">
        <f t="shared" si="39"/>
        <v>УАЗ-III - 49 кв.</v>
      </c>
      <c r="J1245" s="5"/>
      <c r="AF1245" t="s">
        <v>7214</v>
      </c>
      <c r="AG1245" s="24" t="s">
        <v>6476</v>
      </c>
      <c r="AH1245" s="5" t="s">
        <v>7214</v>
      </c>
      <c r="AI1245" s="5">
        <v>26177.521000000001</v>
      </c>
      <c r="AJ1245" s="5">
        <v>26177.521000000001</v>
      </c>
      <c r="AK1245">
        <v>24312.614300000001</v>
      </c>
      <c r="AL1245" s="5" t="str">
        <f t="shared" si="40"/>
        <v>Невьянский городской округ</v>
      </c>
    </row>
    <row r="1246" spans="1:38" ht="15" customHeight="1" x14ac:dyDescent="0.25">
      <c r="A1246" s="5" t="s">
        <v>921</v>
      </c>
      <c r="B1246" s="5" t="s">
        <v>1673</v>
      </c>
      <c r="C1246" s="5">
        <v>35563.243300000002</v>
      </c>
      <c r="D1246" s="5">
        <v>35563.243300000002</v>
      </c>
      <c r="E1246" s="5">
        <v>31984.905299999999</v>
      </c>
      <c r="F1246" s="5" t="s">
        <v>7249</v>
      </c>
      <c r="G1246" s="5" t="str">
        <f t="shared" si="39"/>
        <v>УАЗ-III - 49 кв.</v>
      </c>
      <c r="J1246" s="5"/>
      <c r="AF1246" t="s">
        <v>7214</v>
      </c>
      <c r="AG1246" s="24" t="s">
        <v>6477</v>
      </c>
      <c r="AH1246" s="5" t="s">
        <v>7214</v>
      </c>
      <c r="AI1246" s="5">
        <v>26177.521000000001</v>
      </c>
      <c r="AJ1246" s="5">
        <v>26177.521000000001</v>
      </c>
      <c r="AK1246">
        <v>24312.614300000001</v>
      </c>
      <c r="AL1246" s="5" t="str">
        <f t="shared" si="40"/>
        <v>Невьянский городской округ</v>
      </c>
    </row>
    <row r="1247" spans="1:38" ht="15" customHeight="1" x14ac:dyDescent="0.25">
      <c r="A1247" s="5" t="s">
        <v>1325</v>
      </c>
      <c r="B1247" s="5" t="s">
        <v>1673</v>
      </c>
      <c r="C1247" s="5">
        <v>35563.243300000002</v>
      </c>
      <c r="D1247" s="5">
        <v>35563.243300000002</v>
      </c>
      <c r="E1247" s="5">
        <v>31984.905299999999</v>
      </c>
      <c r="F1247" s="5" t="s">
        <v>7249</v>
      </c>
      <c r="G1247" s="5" t="str">
        <f t="shared" si="39"/>
        <v>УАЗ-III - 49 кв.</v>
      </c>
      <c r="J1247" s="5"/>
      <c r="AF1247" t="s">
        <v>7215</v>
      </c>
      <c r="AG1247" s="24" t="s">
        <v>6478</v>
      </c>
      <c r="AH1247" s="5" t="s">
        <v>7215</v>
      </c>
      <c r="AI1247" s="5">
        <v>20346.210299999999</v>
      </c>
      <c r="AJ1247" s="5">
        <v>20346.210299999999</v>
      </c>
      <c r="AK1247">
        <v>18896.733100000001</v>
      </c>
      <c r="AL1247" s="5" t="str">
        <f t="shared" si="40"/>
        <v>Нижнесергинский муниципальный район</v>
      </c>
    </row>
    <row r="1248" spans="1:38" ht="15" customHeight="1" x14ac:dyDescent="0.25">
      <c r="A1248" s="5" t="s">
        <v>511</v>
      </c>
      <c r="B1248" s="5" t="s">
        <v>1673</v>
      </c>
      <c r="C1248" s="5">
        <v>35563.243300000002</v>
      </c>
      <c r="D1248" s="5">
        <v>35563.243300000002</v>
      </c>
      <c r="E1248" s="5">
        <v>31984.905299999999</v>
      </c>
      <c r="F1248" s="5" t="s">
        <v>7249</v>
      </c>
      <c r="G1248" s="5" t="str">
        <f t="shared" si="39"/>
        <v>УАЗ-III - 49 кв.</v>
      </c>
      <c r="J1248" s="5"/>
      <c r="AF1248" t="s">
        <v>7215</v>
      </c>
      <c r="AG1248" s="24" t="s">
        <v>6479</v>
      </c>
      <c r="AH1248" s="5" t="s">
        <v>7215</v>
      </c>
      <c r="AI1248" s="5">
        <v>20346.210299999999</v>
      </c>
      <c r="AJ1248" s="5">
        <v>20346.210299999999</v>
      </c>
      <c r="AK1248">
        <v>18896.733100000001</v>
      </c>
      <c r="AL1248" s="5" t="str">
        <f t="shared" si="40"/>
        <v>Нижнесергинский муниципальный район</v>
      </c>
    </row>
    <row r="1249" spans="1:38" ht="15" customHeight="1" x14ac:dyDescent="0.25">
      <c r="A1249" s="5" t="s">
        <v>1361</v>
      </c>
      <c r="B1249" s="5" t="s">
        <v>1673</v>
      </c>
      <c r="C1249" s="5">
        <v>35563.243300000002</v>
      </c>
      <c r="D1249" s="5">
        <v>35563.243300000002</v>
      </c>
      <c r="E1249" s="5">
        <v>31984.905299999999</v>
      </c>
      <c r="F1249" s="5" t="s">
        <v>7249</v>
      </c>
      <c r="G1249" s="5" t="str">
        <f t="shared" si="39"/>
        <v>УАЗ-III - 49 кв.</v>
      </c>
      <c r="J1249" s="5"/>
      <c r="AF1249" t="s">
        <v>7215</v>
      </c>
      <c r="AG1249" s="24" t="s">
        <v>6480</v>
      </c>
      <c r="AH1249" s="5" t="s">
        <v>7215</v>
      </c>
      <c r="AI1249" s="5">
        <v>20346.210299999999</v>
      </c>
      <c r="AJ1249" s="5">
        <v>20346.210299999999</v>
      </c>
      <c r="AK1249">
        <v>18896.733100000001</v>
      </c>
      <c r="AL1249" s="5" t="str">
        <f t="shared" si="40"/>
        <v>Нижнесергинский муниципальный район</v>
      </c>
    </row>
    <row r="1250" spans="1:38" ht="15" customHeight="1" x14ac:dyDescent="0.25">
      <c r="A1250" s="5" t="s">
        <v>384</v>
      </c>
      <c r="B1250" s="5" t="s">
        <v>1681</v>
      </c>
      <c r="C1250" s="5">
        <v>32172.2909</v>
      </c>
      <c r="D1250" s="5">
        <v>32172.2909</v>
      </c>
      <c r="E1250" s="5">
        <v>28935.146499999999</v>
      </c>
      <c r="F1250" s="5" t="s">
        <v>7249</v>
      </c>
      <c r="G1250" s="5" t="str">
        <f t="shared" si="39"/>
        <v>Ленин-Олимп</v>
      </c>
      <c r="J1250" s="5"/>
      <c r="AF1250" t="s">
        <v>7215</v>
      </c>
      <c r="AG1250" s="24" t="s">
        <v>6481</v>
      </c>
      <c r="AH1250" s="5" t="s">
        <v>7215</v>
      </c>
      <c r="AI1250" s="5">
        <v>25138.2091</v>
      </c>
      <c r="AJ1250" s="5">
        <v>25138.2091</v>
      </c>
      <c r="AK1250">
        <v>23347.342100000002</v>
      </c>
      <c r="AL1250" s="5" t="str">
        <f t="shared" si="40"/>
        <v>Нижнесергинский муниципальный район</v>
      </c>
    </row>
    <row r="1251" spans="1:38" ht="15" customHeight="1" x14ac:dyDescent="0.25">
      <c r="A1251" s="5" t="s">
        <v>946</v>
      </c>
      <c r="B1251" s="5" t="s">
        <v>1681</v>
      </c>
      <c r="C1251" s="5">
        <v>32172.2909</v>
      </c>
      <c r="D1251" s="5">
        <v>32172.2909</v>
      </c>
      <c r="E1251" s="5">
        <v>28935.146499999999</v>
      </c>
      <c r="F1251" s="5" t="s">
        <v>7249</v>
      </c>
      <c r="G1251" s="5" t="str">
        <f t="shared" si="39"/>
        <v>Ленин-Олимп</v>
      </c>
      <c r="J1251" s="5"/>
      <c r="AF1251" t="s">
        <v>7215</v>
      </c>
      <c r="AG1251" s="24" t="s">
        <v>6482</v>
      </c>
      <c r="AH1251" s="5" t="s">
        <v>7215</v>
      </c>
      <c r="AI1251" s="5">
        <v>20346.210299999999</v>
      </c>
      <c r="AJ1251" s="5">
        <v>20346.210299999999</v>
      </c>
      <c r="AK1251">
        <v>18896.733100000001</v>
      </c>
      <c r="AL1251" s="5" t="str">
        <f t="shared" si="40"/>
        <v>Нижнесергинский муниципальный район</v>
      </c>
    </row>
    <row r="1252" spans="1:38" ht="15" customHeight="1" x14ac:dyDescent="0.25">
      <c r="A1252" s="5" t="s">
        <v>132</v>
      </c>
      <c r="B1252" s="5" t="s">
        <v>1681</v>
      </c>
      <c r="C1252" s="5">
        <v>32172.2909</v>
      </c>
      <c r="D1252" s="5">
        <v>32172.2909</v>
      </c>
      <c r="E1252" s="5">
        <v>28935.146499999999</v>
      </c>
      <c r="F1252" s="5" t="s">
        <v>7249</v>
      </c>
      <c r="G1252" s="5" t="str">
        <f t="shared" si="39"/>
        <v>Ленин-Олимп</v>
      </c>
      <c r="J1252" s="5"/>
      <c r="AF1252" t="s">
        <v>7215</v>
      </c>
      <c r="AG1252" s="24" t="s">
        <v>6483</v>
      </c>
      <c r="AH1252" s="5" t="s">
        <v>7215</v>
      </c>
      <c r="AI1252" s="5">
        <v>20346.210299999999</v>
      </c>
      <c r="AJ1252" s="5">
        <v>20346.210299999999</v>
      </c>
      <c r="AK1252">
        <v>18896.733100000001</v>
      </c>
      <c r="AL1252" s="5" t="str">
        <f t="shared" si="40"/>
        <v>Нижнесергинский муниципальный район</v>
      </c>
    </row>
    <row r="1253" spans="1:38" ht="15" customHeight="1" x14ac:dyDescent="0.25">
      <c r="A1253" s="5" t="s">
        <v>1233</v>
      </c>
      <c r="B1253" s="5" t="s">
        <v>1681</v>
      </c>
      <c r="C1253" s="5">
        <v>32172.2909</v>
      </c>
      <c r="D1253" s="5">
        <v>32172.2909</v>
      </c>
      <c r="E1253" s="5">
        <v>28935.146499999999</v>
      </c>
      <c r="F1253" s="5" t="s">
        <v>7249</v>
      </c>
      <c r="G1253" s="5" t="str">
        <f t="shared" si="39"/>
        <v>Ленин-Олимп</v>
      </c>
      <c r="J1253" s="5"/>
      <c r="AF1253" t="s">
        <v>7215</v>
      </c>
      <c r="AG1253" s="24" t="s">
        <v>6484</v>
      </c>
      <c r="AH1253" s="5" t="s">
        <v>7215</v>
      </c>
      <c r="AI1253" s="5">
        <v>20346.210299999999</v>
      </c>
      <c r="AJ1253" s="5">
        <v>20346.210299999999</v>
      </c>
      <c r="AK1253">
        <v>18896.733100000001</v>
      </c>
      <c r="AL1253" s="5" t="str">
        <f t="shared" si="40"/>
        <v>Нижнесергинский муниципальный район</v>
      </c>
    </row>
    <row r="1254" spans="1:38" ht="15" customHeight="1" x14ac:dyDescent="0.25">
      <c r="A1254" s="5" t="s">
        <v>670</v>
      </c>
      <c r="B1254" s="5" t="s">
        <v>1681</v>
      </c>
      <c r="C1254" s="5">
        <v>32172.2909</v>
      </c>
      <c r="D1254" s="5">
        <v>32172.2909</v>
      </c>
      <c r="E1254" s="5">
        <v>28935.146499999999</v>
      </c>
      <c r="F1254" s="5" t="s">
        <v>7249</v>
      </c>
      <c r="G1254" s="5" t="str">
        <f t="shared" si="39"/>
        <v>Ленин-Олимп</v>
      </c>
      <c r="J1254" s="5"/>
      <c r="AF1254" t="s">
        <v>7215</v>
      </c>
      <c r="AG1254" s="24" t="s">
        <v>6485</v>
      </c>
      <c r="AH1254" s="5" t="s">
        <v>7215</v>
      </c>
      <c r="AI1254" s="5">
        <v>25138.2091</v>
      </c>
      <c r="AJ1254" s="5">
        <v>25138.2091</v>
      </c>
      <c r="AK1254">
        <v>23347.342100000002</v>
      </c>
      <c r="AL1254" s="5" t="str">
        <f t="shared" si="40"/>
        <v>Нижнесергинский муниципальный район</v>
      </c>
    </row>
    <row r="1255" spans="1:38" ht="15" customHeight="1" x14ac:dyDescent="0.25">
      <c r="A1255" s="5" t="s">
        <v>1171</v>
      </c>
      <c r="B1255" s="5" t="s">
        <v>1681</v>
      </c>
      <c r="C1255" s="5">
        <v>32172.2909</v>
      </c>
      <c r="D1255" s="5">
        <v>32172.2909</v>
      </c>
      <c r="E1255" s="5">
        <v>28935.146499999999</v>
      </c>
      <c r="F1255" s="5" t="s">
        <v>7249</v>
      </c>
      <c r="G1255" s="5" t="str">
        <f t="shared" si="39"/>
        <v>Ленин-Олимп</v>
      </c>
      <c r="J1255" s="5"/>
      <c r="AF1255" t="s">
        <v>7215</v>
      </c>
      <c r="AG1255" s="24" t="s">
        <v>6486</v>
      </c>
      <c r="AH1255" s="5" t="s">
        <v>7215</v>
      </c>
      <c r="AI1255" s="5">
        <v>25138.2091</v>
      </c>
      <c r="AJ1255" s="5">
        <v>25138.2091</v>
      </c>
      <c r="AK1255">
        <v>23347.342100000002</v>
      </c>
      <c r="AL1255" s="5" t="str">
        <f t="shared" si="40"/>
        <v>Нижнесергинский муниципальный район</v>
      </c>
    </row>
    <row r="1256" spans="1:38" ht="15" customHeight="1" x14ac:dyDescent="0.25">
      <c r="A1256" s="5" t="s">
        <v>948</v>
      </c>
      <c r="B1256" s="5" t="s">
        <v>1681</v>
      </c>
      <c r="C1256" s="5">
        <v>32172.2909</v>
      </c>
      <c r="D1256" s="5">
        <v>32172.2909</v>
      </c>
      <c r="E1256" s="5">
        <v>28935.146499999999</v>
      </c>
      <c r="F1256" s="5" t="s">
        <v>7249</v>
      </c>
      <c r="G1256" s="5" t="str">
        <f t="shared" si="39"/>
        <v>Ленин-Олимп</v>
      </c>
      <c r="J1256" s="5"/>
      <c r="AF1256" t="s">
        <v>7215</v>
      </c>
      <c r="AG1256" s="24" t="s">
        <v>6487</v>
      </c>
      <c r="AH1256" s="5" t="s">
        <v>7215</v>
      </c>
      <c r="AI1256" s="5">
        <v>20346.210299999999</v>
      </c>
      <c r="AJ1256" s="5">
        <v>20346.210299999999</v>
      </c>
      <c r="AK1256">
        <v>18896.733100000001</v>
      </c>
      <c r="AL1256" s="5" t="str">
        <f t="shared" si="40"/>
        <v>Нижнесергинский муниципальный район</v>
      </c>
    </row>
    <row r="1257" spans="1:38" ht="15" customHeight="1" x14ac:dyDescent="0.25">
      <c r="A1257" s="5" t="s">
        <v>630</v>
      </c>
      <c r="B1257" s="5" t="s">
        <v>1681</v>
      </c>
      <c r="C1257" s="5">
        <v>32172.2909</v>
      </c>
      <c r="D1257" s="5">
        <v>32172.2909</v>
      </c>
      <c r="E1257" s="5">
        <v>28935.146499999999</v>
      </c>
      <c r="F1257" s="5" t="s">
        <v>7249</v>
      </c>
      <c r="G1257" s="5" t="str">
        <f t="shared" si="39"/>
        <v>Ленин-Олимп</v>
      </c>
      <c r="J1257" s="5"/>
      <c r="AF1257" t="s">
        <v>7215</v>
      </c>
      <c r="AG1257" s="24" t="s">
        <v>6488</v>
      </c>
      <c r="AH1257" s="5" t="s">
        <v>7215</v>
      </c>
      <c r="AI1257" s="5">
        <v>20346.210299999999</v>
      </c>
      <c r="AJ1257" s="5">
        <v>20346.210299999999</v>
      </c>
      <c r="AK1257">
        <v>18896.733100000001</v>
      </c>
      <c r="AL1257" s="5" t="str">
        <f t="shared" si="40"/>
        <v>Нижнесергинский муниципальный район</v>
      </c>
    </row>
    <row r="1258" spans="1:38" ht="15" customHeight="1" x14ac:dyDescent="0.25">
      <c r="A1258" s="5" t="s">
        <v>206</v>
      </c>
      <c r="B1258" s="5" t="s">
        <v>1681</v>
      </c>
      <c r="C1258" s="5">
        <v>32172.2909</v>
      </c>
      <c r="D1258" s="5">
        <v>32172.2909</v>
      </c>
      <c r="E1258" s="5">
        <v>28935.146499999999</v>
      </c>
      <c r="F1258" s="5" t="s">
        <v>7249</v>
      </c>
      <c r="G1258" s="5" t="str">
        <f t="shared" si="39"/>
        <v>Ленин-Олимп</v>
      </c>
      <c r="J1258" s="5"/>
      <c r="AF1258" t="s">
        <v>7215</v>
      </c>
      <c r="AG1258" s="24" t="s">
        <v>6489</v>
      </c>
      <c r="AH1258" s="5" t="s">
        <v>7215</v>
      </c>
      <c r="AI1258" s="5">
        <v>20346.210299999999</v>
      </c>
      <c r="AJ1258" s="5">
        <v>20346.210299999999</v>
      </c>
      <c r="AK1258">
        <v>18896.733100000001</v>
      </c>
      <c r="AL1258" s="5" t="str">
        <f t="shared" si="40"/>
        <v>Нижнесергинский муниципальный район</v>
      </c>
    </row>
    <row r="1259" spans="1:38" ht="15" customHeight="1" x14ac:dyDescent="0.25">
      <c r="A1259" s="5" t="s">
        <v>1494</v>
      </c>
      <c r="B1259" s="5" t="s">
        <v>1681</v>
      </c>
      <c r="C1259" s="5">
        <v>32172.2909</v>
      </c>
      <c r="D1259" s="5">
        <v>32172.2909</v>
      </c>
      <c r="E1259" s="5">
        <v>28935.146499999999</v>
      </c>
      <c r="F1259" s="5" t="s">
        <v>7249</v>
      </c>
      <c r="G1259" s="5" t="str">
        <f t="shared" si="39"/>
        <v>Ленин-Олимп</v>
      </c>
      <c r="J1259" s="5"/>
      <c r="AF1259" t="s">
        <v>7215</v>
      </c>
      <c r="AG1259" s="24" t="s">
        <v>6490</v>
      </c>
      <c r="AH1259" s="5" t="s">
        <v>7215</v>
      </c>
      <c r="AI1259" s="5">
        <v>20346.210299999999</v>
      </c>
      <c r="AJ1259" s="5">
        <v>20346.210299999999</v>
      </c>
      <c r="AK1259">
        <v>18896.733100000001</v>
      </c>
      <c r="AL1259" s="5" t="str">
        <f t="shared" si="40"/>
        <v>Нижнесергинский муниципальный район</v>
      </c>
    </row>
    <row r="1260" spans="1:38" ht="15" customHeight="1" x14ac:dyDescent="0.25">
      <c r="A1260" s="5" t="s">
        <v>1227</v>
      </c>
      <c r="B1260" s="5" t="s">
        <v>1681</v>
      </c>
      <c r="C1260" s="5">
        <v>32172.2909</v>
      </c>
      <c r="D1260" s="5">
        <v>32172.2909</v>
      </c>
      <c r="E1260" s="5">
        <v>28935.146499999999</v>
      </c>
      <c r="F1260" s="5" t="s">
        <v>7249</v>
      </c>
      <c r="G1260" s="5" t="str">
        <f t="shared" si="39"/>
        <v>Ленин-Олимп</v>
      </c>
      <c r="J1260" s="5"/>
      <c r="AF1260" t="s">
        <v>7215</v>
      </c>
      <c r="AG1260" s="24" t="s">
        <v>6491</v>
      </c>
      <c r="AH1260" s="5" t="s">
        <v>7215</v>
      </c>
      <c r="AI1260" s="5">
        <v>20346.210299999999</v>
      </c>
      <c r="AJ1260" s="5">
        <v>20346.210299999999</v>
      </c>
      <c r="AK1260">
        <v>18896.733100000001</v>
      </c>
      <c r="AL1260" s="5" t="str">
        <f t="shared" si="40"/>
        <v>Нижнесергинский муниципальный район</v>
      </c>
    </row>
    <row r="1261" spans="1:38" ht="15" customHeight="1" x14ac:dyDescent="0.25">
      <c r="A1261" s="5" t="s">
        <v>745</v>
      </c>
      <c r="B1261" s="5" t="s">
        <v>1681</v>
      </c>
      <c r="C1261" s="5">
        <v>32172.2909</v>
      </c>
      <c r="D1261" s="5">
        <v>32172.2909</v>
      </c>
      <c r="E1261" s="5">
        <v>28935.146499999999</v>
      </c>
      <c r="F1261" s="5" t="s">
        <v>7249</v>
      </c>
      <c r="G1261" s="5" t="str">
        <f t="shared" si="39"/>
        <v>Ленин-Олимп</v>
      </c>
      <c r="J1261" s="5"/>
      <c r="AF1261" t="s">
        <v>7215</v>
      </c>
      <c r="AG1261" s="24" t="s">
        <v>6492</v>
      </c>
      <c r="AH1261" s="5" t="s">
        <v>7215</v>
      </c>
      <c r="AI1261" s="5">
        <v>20346.210299999999</v>
      </c>
      <c r="AJ1261" s="5">
        <v>20346.210299999999</v>
      </c>
      <c r="AK1261">
        <v>18896.733100000001</v>
      </c>
      <c r="AL1261" s="5" t="str">
        <f t="shared" si="40"/>
        <v>Нижнесергинский муниципальный район</v>
      </c>
    </row>
    <row r="1262" spans="1:38" ht="15" customHeight="1" x14ac:dyDescent="0.25">
      <c r="A1262" s="5" t="s">
        <v>1493</v>
      </c>
      <c r="B1262" s="5" t="s">
        <v>1681</v>
      </c>
      <c r="C1262" s="5">
        <v>32172.2909</v>
      </c>
      <c r="D1262" s="5">
        <v>32172.2909</v>
      </c>
      <c r="E1262" s="5">
        <v>28935.146499999999</v>
      </c>
      <c r="F1262" s="5" t="s">
        <v>7249</v>
      </c>
      <c r="G1262" s="5" t="str">
        <f t="shared" si="39"/>
        <v>Ленин-Олимп</v>
      </c>
      <c r="J1262" s="5"/>
      <c r="AF1262" t="s">
        <v>7215</v>
      </c>
      <c r="AG1262" s="24" t="s">
        <v>6493</v>
      </c>
      <c r="AH1262" s="5" t="s">
        <v>7215</v>
      </c>
      <c r="AI1262" s="5">
        <v>20346.210299999999</v>
      </c>
      <c r="AJ1262" s="5">
        <v>20346.210299999999</v>
      </c>
      <c r="AK1262">
        <v>18896.733100000001</v>
      </c>
      <c r="AL1262" s="5" t="str">
        <f t="shared" si="40"/>
        <v>Нижнесергинский муниципальный район</v>
      </c>
    </row>
    <row r="1263" spans="1:38" ht="15" customHeight="1" x14ac:dyDescent="0.25">
      <c r="A1263" s="5" t="s">
        <v>1540</v>
      </c>
      <c r="B1263" s="5" t="s">
        <v>1681</v>
      </c>
      <c r="C1263" s="5">
        <v>32172.2909</v>
      </c>
      <c r="D1263" s="5">
        <v>32172.2909</v>
      </c>
      <c r="E1263" s="5">
        <v>28935.146499999999</v>
      </c>
      <c r="F1263" s="5" t="s">
        <v>7249</v>
      </c>
      <c r="G1263" s="5" t="str">
        <f t="shared" si="39"/>
        <v>Ленин-Олимп</v>
      </c>
      <c r="J1263" s="5"/>
      <c r="AF1263" t="s">
        <v>7215</v>
      </c>
      <c r="AG1263" s="24" t="s">
        <v>6494</v>
      </c>
      <c r="AH1263" s="5" t="s">
        <v>7215</v>
      </c>
      <c r="AI1263" s="5">
        <v>20346.210299999999</v>
      </c>
      <c r="AJ1263" s="5">
        <v>20346.210299999999</v>
      </c>
      <c r="AK1263">
        <v>18896.733100000001</v>
      </c>
      <c r="AL1263" s="5" t="str">
        <f t="shared" si="40"/>
        <v>Нижнесергинский муниципальный район</v>
      </c>
    </row>
    <row r="1264" spans="1:38" ht="15" customHeight="1" x14ac:dyDescent="0.25">
      <c r="A1264" s="5" t="s">
        <v>791</v>
      </c>
      <c r="B1264" s="5" t="s">
        <v>1681</v>
      </c>
      <c r="C1264" s="5">
        <v>32172.2909</v>
      </c>
      <c r="D1264" s="5">
        <v>32172.2909</v>
      </c>
      <c r="E1264" s="5">
        <v>28935.146499999999</v>
      </c>
      <c r="F1264" s="5" t="s">
        <v>7249</v>
      </c>
      <c r="G1264" s="5" t="str">
        <f t="shared" si="39"/>
        <v>Ленин-Олимп</v>
      </c>
      <c r="J1264" s="5"/>
      <c r="AF1264" t="s">
        <v>7215</v>
      </c>
      <c r="AG1264" s="24" t="s">
        <v>6495</v>
      </c>
      <c r="AH1264" s="5" t="s">
        <v>7215</v>
      </c>
      <c r="AI1264" s="5">
        <v>20346.210299999999</v>
      </c>
      <c r="AJ1264" s="5">
        <v>20346.210299999999</v>
      </c>
      <c r="AK1264">
        <v>18896.733100000001</v>
      </c>
      <c r="AL1264" s="5" t="str">
        <f t="shared" si="40"/>
        <v>Нижнесергинский муниципальный район</v>
      </c>
    </row>
    <row r="1265" spans="1:38" ht="15" customHeight="1" x14ac:dyDescent="0.25">
      <c r="A1265" s="5" t="s">
        <v>1212</v>
      </c>
      <c r="B1265" s="5" t="s">
        <v>1681</v>
      </c>
      <c r="C1265" s="5">
        <v>32172.2909</v>
      </c>
      <c r="D1265" s="5">
        <v>32172.2909</v>
      </c>
      <c r="E1265" s="5">
        <v>28935.146499999999</v>
      </c>
      <c r="F1265" s="5" t="s">
        <v>7249</v>
      </c>
      <c r="G1265" s="5" t="str">
        <f t="shared" si="39"/>
        <v>Ленин-Олимп</v>
      </c>
      <c r="J1265" s="5"/>
      <c r="AF1265" t="s">
        <v>7215</v>
      </c>
      <c r="AG1265" s="24" t="s">
        <v>6496</v>
      </c>
      <c r="AH1265" s="5" t="s">
        <v>7215</v>
      </c>
      <c r="AI1265" s="5">
        <v>25138.2091</v>
      </c>
      <c r="AJ1265" s="5">
        <v>25138.2091</v>
      </c>
      <c r="AK1265">
        <v>23347.342100000002</v>
      </c>
      <c r="AL1265" s="5" t="str">
        <f t="shared" si="40"/>
        <v>Нижнесергинский муниципальный район</v>
      </c>
    </row>
    <row r="1266" spans="1:38" ht="15" customHeight="1" x14ac:dyDescent="0.25">
      <c r="A1266" s="5" t="s">
        <v>792</v>
      </c>
      <c r="B1266" s="5" t="s">
        <v>1681</v>
      </c>
      <c r="C1266" s="5">
        <v>32172.2909</v>
      </c>
      <c r="D1266" s="5">
        <v>32172.2909</v>
      </c>
      <c r="E1266" s="5">
        <v>28935.146499999999</v>
      </c>
      <c r="F1266" s="5" t="s">
        <v>7249</v>
      </c>
      <c r="G1266" s="5" t="str">
        <f t="shared" si="39"/>
        <v>Ленин-Олимп</v>
      </c>
      <c r="J1266" s="5"/>
      <c r="AF1266" t="s">
        <v>7215</v>
      </c>
      <c r="AG1266" s="24" t="s">
        <v>6497</v>
      </c>
      <c r="AH1266" s="5" t="s">
        <v>7215</v>
      </c>
      <c r="AI1266" s="5">
        <v>20346.210299999999</v>
      </c>
      <c r="AJ1266" s="5">
        <v>20346.210299999999</v>
      </c>
      <c r="AK1266">
        <v>18896.733100000001</v>
      </c>
      <c r="AL1266" s="5" t="str">
        <f t="shared" si="40"/>
        <v>Нижнесергинский муниципальный район</v>
      </c>
    </row>
    <row r="1267" spans="1:38" ht="15" customHeight="1" x14ac:dyDescent="0.25">
      <c r="A1267" s="5" t="s">
        <v>793</v>
      </c>
      <c r="B1267" s="5" t="s">
        <v>1681</v>
      </c>
      <c r="C1267" s="5">
        <v>32172.2909</v>
      </c>
      <c r="D1267" s="5">
        <v>32172.2909</v>
      </c>
      <c r="E1267" s="5">
        <v>28935.146499999999</v>
      </c>
      <c r="F1267" s="5" t="s">
        <v>7249</v>
      </c>
      <c r="G1267" s="5" t="str">
        <f t="shared" si="39"/>
        <v>Ленин-Олимп</v>
      </c>
      <c r="J1267" s="5"/>
      <c r="AF1267" t="s">
        <v>7215</v>
      </c>
      <c r="AG1267" s="24" t="s">
        <v>6498</v>
      </c>
      <c r="AH1267" s="5" t="s">
        <v>7215</v>
      </c>
      <c r="AI1267" s="5">
        <v>20346.210299999999</v>
      </c>
      <c r="AJ1267" s="5">
        <v>20346.210299999999</v>
      </c>
      <c r="AK1267">
        <v>18896.733100000001</v>
      </c>
      <c r="AL1267" s="5" t="str">
        <f t="shared" si="40"/>
        <v>Нижнесергинский муниципальный район</v>
      </c>
    </row>
    <row r="1268" spans="1:38" ht="15" customHeight="1" x14ac:dyDescent="0.25">
      <c r="A1268" s="5" t="s">
        <v>194</v>
      </c>
      <c r="B1268" s="5" t="s">
        <v>1681</v>
      </c>
      <c r="C1268" s="5">
        <v>32172.2909</v>
      </c>
      <c r="D1268" s="5">
        <v>32172.2909</v>
      </c>
      <c r="E1268" s="5">
        <v>28935.146499999999</v>
      </c>
      <c r="F1268" s="5" t="s">
        <v>7249</v>
      </c>
      <c r="G1268" s="5" t="str">
        <f t="shared" si="39"/>
        <v>Ленин-Олимп</v>
      </c>
      <c r="J1268" s="5"/>
      <c r="AF1268" t="s">
        <v>7215</v>
      </c>
      <c r="AG1268" s="24" t="s">
        <v>6499</v>
      </c>
      <c r="AH1268" s="5" t="s">
        <v>7215</v>
      </c>
      <c r="AI1268" s="5">
        <v>25138.2091</v>
      </c>
      <c r="AJ1268" s="5">
        <v>25138.2091</v>
      </c>
      <c r="AK1268">
        <v>23347.342100000002</v>
      </c>
      <c r="AL1268" s="5" t="str">
        <f t="shared" si="40"/>
        <v>Нижнесергинский муниципальный район</v>
      </c>
    </row>
    <row r="1269" spans="1:38" ht="15" customHeight="1" x14ac:dyDescent="0.25">
      <c r="A1269" s="5" t="s">
        <v>677</v>
      </c>
      <c r="B1269" s="5" t="s">
        <v>1681</v>
      </c>
      <c r="C1269" s="5">
        <v>32172.2909</v>
      </c>
      <c r="D1269" s="5">
        <v>32172.2909</v>
      </c>
      <c r="E1269" s="5">
        <v>28935.146499999999</v>
      </c>
      <c r="F1269" s="5" t="s">
        <v>7249</v>
      </c>
      <c r="G1269" s="5" t="str">
        <f t="shared" si="39"/>
        <v>Ленин-Олимп</v>
      </c>
      <c r="J1269" s="5"/>
      <c r="AF1269" t="s">
        <v>7215</v>
      </c>
      <c r="AG1269" s="24" t="s">
        <v>6500</v>
      </c>
      <c r="AH1269" s="5" t="s">
        <v>7215</v>
      </c>
      <c r="AI1269" s="5">
        <v>20346.210299999999</v>
      </c>
      <c r="AJ1269" s="5">
        <v>20346.210299999999</v>
      </c>
      <c r="AK1269">
        <v>18896.733100000001</v>
      </c>
      <c r="AL1269" s="5" t="str">
        <f t="shared" si="40"/>
        <v>Нижнесергинский муниципальный район</v>
      </c>
    </row>
    <row r="1270" spans="1:38" ht="15" customHeight="1" x14ac:dyDescent="0.25">
      <c r="A1270" s="5" t="s">
        <v>184</v>
      </c>
      <c r="B1270" s="5" t="s">
        <v>1682</v>
      </c>
      <c r="C1270" s="5">
        <v>38278.589899999999</v>
      </c>
      <c r="D1270" s="5">
        <v>38278.589899999999</v>
      </c>
      <c r="E1270" s="5">
        <v>34427.0285</v>
      </c>
      <c r="F1270" s="5" t="s">
        <v>7249</v>
      </c>
      <c r="G1270" s="5" t="str">
        <f t="shared" si="39"/>
        <v>Трубников</v>
      </c>
      <c r="J1270" s="5"/>
      <c r="AF1270" t="s">
        <v>7215</v>
      </c>
      <c r="AG1270" s="24" t="s">
        <v>6501</v>
      </c>
      <c r="AH1270" s="5" t="s">
        <v>7215</v>
      </c>
      <c r="AI1270" s="5">
        <v>20346.210299999999</v>
      </c>
      <c r="AJ1270" s="5">
        <v>20346.210299999999</v>
      </c>
      <c r="AK1270">
        <v>18896.733100000001</v>
      </c>
      <c r="AL1270" s="5" t="str">
        <f t="shared" si="40"/>
        <v>Нижнесергинский муниципальный район</v>
      </c>
    </row>
    <row r="1271" spans="1:38" ht="15" customHeight="1" x14ac:dyDescent="0.25">
      <c r="A1271" s="5" t="s">
        <v>418</v>
      </c>
      <c r="B1271" s="5" t="s">
        <v>1682</v>
      </c>
      <c r="C1271" s="5">
        <v>38278.589899999999</v>
      </c>
      <c r="D1271" s="5">
        <v>38278.589899999999</v>
      </c>
      <c r="E1271" s="5">
        <v>34427.0285</v>
      </c>
      <c r="F1271" s="5" t="s">
        <v>7249</v>
      </c>
      <c r="G1271" s="5" t="str">
        <f t="shared" si="39"/>
        <v>Трубников</v>
      </c>
      <c r="J1271" s="5"/>
      <c r="AF1271" t="s">
        <v>7215</v>
      </c>
      <c r="AG1271" s="24" t="s">
        <v>6502</v>
      </c>
      <c r="AH1271" s="5" t="s">
        <v>7215</v>
      </c>
      <c r="AI1271" s="5">
        <v>20346.210299999999</v>
      </c>
      <c r="AJ1271" s="5">
        <v>20346.210299999999</v>
      </c>
      <c r="AK1271">
        <v>18896.733100000001</v>
      </c>
      <c r="AL1271" s="5" t="str">
        <f t="shared" si="40"/>
        <v>Нижнесергинский муниципальный район</v>
      </c>
    </row>
    <row r="1272" spans="1:38" ht="15" customHeight="1" x14ac:dyDescent="0.25">
      <c r="A1272" s="5" t="s">
        <v>748</v>
      </c>
      <c r="B1272" s="5" t="s">
        <v>1682</v>
      </c>
      <c r="C1272" s="5">
        <v>38278.589899999999</v>
      </c>
      <c r="D1272" s="5">
        <v>38278.589899999999</v>
      </c>
      <c r="E1272" s="5">
        <v>34427.0285</v>
      </c>
      <c r="F1272" s="5" t="s">
        <v>7249</v>
      </c>
      <c r="G1272" s="5" t="str">
        <f t="shared" si="39"/>
        <v>Трубников</v>
      </c>
      <c r="J1272" s="5"/>
      <c r="AF1272" t="s">
        <v>7215</v>
      </c>
      <c r="AG1272" s="24" t="s">
        <v>6503</v>
      </c>
      <c r="AH1272" s="5" t="s">
        <v>7215</v>
      </c>
      <c r="AI1272" s="5">
        <v>20346.210299999999</v>
      </c>
      <c r="AJ1272" s="5">
        <v>20346.210299999999</v>
      </c>
      <c r="AK1272">
        <v>18896.733100000001</v>
      </c>
      <c r="AL1272" s="5" t="str">
        <f t="shared" si="40"/>
        <v>Нижнесергинский муниципальный район</v>
      </c>
    </row>
    <row r="1273" spans="1:38" ht="15" customHeight="1" x14ac:dyDescent="0.25">
      <c r="A1273" s="5" t="s">
        <v>1125</v>
      </c>
      <c r="B1273" s="5" t="s">
        <v>1682</v>
      </c>
      <c r="C1273" s="5">
        <v>38278.589899999999</v>
      </c>
      <c r="D1273" s="5">
        <v>38278.589899999999</v>
      </c>
      <c r="E1273" s="5">
        <v>34427.0285</v>
      </c>
      <c r="F1273" s="5" t="s">
        <v>7249</v>
      </c>
      <c r="G1273" s="5" t="str">
        <f t="shared" si="39"/>
        <v>Трубников</v>
      </c>
      <c r="J1273" s="5"/>
      <c r="AF1273" t="s">
        <v>7215</v>
      </c>
      <c r="AG1273" s="24" t="s">
        <v>6504</v>
      </c>
      <c r="AH1273" s="5" t="s">
        <v>7215</v>
      </c>
      <c r="AI1273" s="5">
        <v>20346.210299999999</v>
      </c>
      <c r="AJ1273" s="5">
        <v>20346.210299999999</v>
      </c>
      <c r="AK1273">
        <v>18896.733100000001</v>
      </c>
      <c r="AL1273" s="5" t="str">
        <f t="shared" si="40"/>
        <v>Нижнесергинский муниципальный район</v>
      </c>
    </row>
    <row r="1274" spans="1:38" ht="15" customHeight="1" x14ac:dyDescent="0.25">
      <c r="A1274" s="5" t="s">
        <v>855</v>
      </c>
      <c r="B1274" s="5" t="s">
        <v>1682</v>
      </c>
      <c r="C1274" s="5">
        <v>38278.589899999999</v>
      </c>
      <c r="D1274" s="5">
        <v>38278.589899999999</v>
      </c>
      <c r="E1274" s="5">
        <v>34427.0285</v>
      </c>
      <c r="F1274" s="5" t="s">
        <v>7249</v>
      </c>
      <c r="G1274" s="5" t="str">
        <f t="shared" si="39"/>
        <v>Трубников</v>
      </c>
      <c r="J1274" s="5"/>
      <c r="AF1274" t="s">
        <v>7215</v>
      </c>
      <c r="AG1274" s="24" t="s">
        <v>6505</v>
      </c>
      <c r="AH1274" s="5" t="s">
        <v>7215</v>
      </c>
      <c r="AI1274" s="5">
        <v>20346.210299999999</v>
      </c>
      <c r="AJ1274" s="5">
        <v>20346.210299999999</v>
      </c>
      <c r="AK1274">
        <v>18896.733100000001</v>
      </c>
      <c r="AL1274" s="5" t="str">
        <f t="shared" si="40"/>
        <v>Нижнесергинский муниципальный район</v>
      </c>
    </row>
    <row r="1275" spans="1:38" ht="15" customHeight="1" x14ac:dyDescent="0.25">
      <c r="A1275" s="5" t="s">
        <v>446</v>
      </c>
      <c r="B1275" s="5" t="s">
        <v>1682</v>
      </c>
      <c r="C1275" s="5">
        <v>38278.589899999999</v>
      </c>
      <c r="D1275" s="5">
        <v>38278.589899999999</v>
      </c>
      <c r="E1275" s="5">
        <v>34427.0285</v>
      </c>
      <c r="F1275" s="5" t="s">
        <v>7249</v>
      </c>
      <c r="G1275" s="5" t="str">
        <f t="shared" si="39"/>
        <v>Трубников</v>
      </c>
      <c r="J1275" s="5"/>
      <c r="AF1275" t="s">
        <v>7215</v>
      </c>
      <c r="AG1275" s="24" t="s">
        <v>6506</v>
      </c>
      <c r="AH1275" s="5" t="s">
        <v>7215</v>
      </c>
      <c r="AI1275" s="5">
        <v>20346.210299999999</v>
      </c>
      <c r="AJ1275" s="5">
        <v>20346.210299999999</v>
      </c>
      <c r="AK1275">
        <v>18896.733100000001</v>
      </c>
      <c r="AL1275" s="5" t="str">
        <f t="shared" si="40"/>
        <v>Нижнесергинский муниципальный район</v>
      </c>
    </row>
    <row r="1276" spans="1:38" ht="15" customHeight="1" x14ac:dyDescent="0.25">
      <c r="A1276" s="5" t="s">
        <v>757</v>
      </c>
      <c r="B1276" s="5" t="s">
        <v>1682</v>
      </c>
      <c r="C1276" s="5">
        <v>38278.589899999999</v>
      </c>
      <c r="D1276" s="5">
        <v>38278.589899999999</v>
      </c>
      <c r="E1276" s="5">
        <v>34427.0285</v>
      </c>
      <c r="F1276" s="5" t="s">
        <v>7249</v>
      </c>
      <c r="G1276" s="5" t="str">
        <f t="shared" si="39"/>
        <v>Трубников</v>
      </c>
      <c r="J1276" s="5"/>
      <c r="AF1276" t="s">
        <v>7215</v>
      </c>
      <c r="AG1276" s="24" t="s">
        <v>6507</v>
      </c>
      <c r="AH1276" s="5" t="s">
        <v>7215</v>
      </c>
      <c r="AI1276" s="5">
        <v>20346.210299999999</v>
      </c>
      <c r="AJ1276" s="5">
        <v>20346.210299999999</v>
      </c>
      <c r="AK1276">
        <v>18896.733100000001</v>
      </c>
      <c r="AL1276" s="5" t="str">
        <f t="shared" si="40"/>
        <v>Нижнесергинский муниципальный район</v>
      </c>
    </row>
    <row r="1277" spans="1:38" ht="15" customHeight="1" x14ac:dyDescent="0.25">
      <c r="A1277" s="5" t="s">
        <v>1044</v>
      </c>
      <c r="B1277" s="5" t="s">
        <v>1679</v>
      </c>
      <c r="C1277" s="5">
        <v>28855.326499999999</v>
      </c>
      <c r="D1277" s="5">
        <v>28855.326499999999</v>
      </c>
      <c r="E1277" s="5">
        <v>25951.933700000001</v>
      </c>
      <c r="F1277" s="5" t="s">
        <v>7249</v>
      </c>
      <c r="G1277" s="5" t="str">
        <f t="shared" si="39"/>
        <v>Ст.Каменск-Хозспособ</v>
      </c>
      <c r="J1277" s="5"/>
      <c r="AF1277" t="s">
        <v>7215</v>
      </c>
      <c r="AG1277" s="24" t="s">
        <v>6508</v>
      </c>
      <c r="AH1277" s="5" t="s">
        <v>7215</v>
      </c>
      <c r="AI1277" s="5">
        <v>20346.210299999999</v>
      </c>
      <c r="AJ1277" s="5">
        <v>20346.210299999999</v>
      </c>
      <c r="AK1277">
        <v>18896.733100000001</v>
      </c>
      <c r="AL1277" s="5" t="str">
        <f t="shared" si="40"/>
        <v>Нижнесергинский муниципальный район</v>
      </c>
    </row>
    <row r="1278" spans="1:38" ht="15" customHeight="1" x14ac:dyDescent="0.25">
      <c r="A1278" s="5" t="s">
        <v>347</v>
      </c>
      <c r="B1278" s="5" t="s">
        <v>1679</v>
      </c>
      <c r="C1278" s="5">
        <v>28855.326499999999</v>
      </c>
      <c r="D1278" s="5">
        <v>28855.326499999999</v>
      </c>
      <c r="E1278" s="5">
        <v>25951.933700000001</v>
      </c>
      <c r="F1278" s="5" t="s">
        <v>7249</v>
      </c>
      <c r="G1278" s="5" t="str">
        <f t="shared" si="39"/>
        <v>Ст.Каменск-Хозспособ</v>
      </c>
      <c r="J1278" s="5"/>
      <c r="AF1278" t="s">
        <v>7215</v>
      </c>
      <c r="AG1278" s="24" t="s">
        <v>6509</v>
      </c>
      <c r="AH1278" s="5" t="s">
        <v>7215</v>
      </c>
      <c r="AI1278" s="5">
        <v>20346.210299999999</v>
      </c>
      <c r="AJ1278" s="5">
        <v>20346.210299999999</v>
      </c>
      <c r="AK1278">
        <v>18896.733100000001</v>
      </c>
      <c r="AL1278" s="5" t="str">
        <f t="shared" si="40"/>
        <v>Нижнесергинский муниципальный район</v>
      </c>
    </row>
    <row r="1279" spans="1:38" ht="15" customHeight="1" x14ac:dyDescent="0.25">
      <c r="A1279" s="5" t="s">
        <v>1317</v>
      </c>
      <c r="B1279" s="5" t="s">
        <v>1679</v>
      </c>
      <c r="C1279" s="5">
        <v>28855.326499999999</v>
      </c>
      <c r="D1279" s="5">
        <v>28855.326499999999</v>
      </c>
      <c r="E1279" s="5">
        <v>25951.933700000001</v>
      </c>
      <c r="F1279" s="5" t="s">
        <v>7249</v>
      </c>
      <c r="G1279" s="5" t="str">
        <f t="shared" si="39"/>
        <v>Ст.Каменск-Хозспособ</v>
      </c>
      <c r="J1279" s="5"/>
      <c r="AF1279" t="s">
        <v>7215</v>
      </c>
      <c r="AG1279" s="24" t="s">
        <v>6510</v>
      </c>
      <c r="AH1279" s="5" t="s">
        <v>7215</v>
      </c>
      <c r="AI1279" s="5">
        <v>20346.210299999999</v>
      </c>
      <c r="AJ1279" s="5">
        <v>20346.210299999999</v>
      </c>
      <c r="AK1279">
        <v>18896.733100000001</v>
      </c>
      <c r="AL1279" s="5" t="str">
        <f t="shared" si="40"/>
        <v>Нижнесергинский муниципальный район</v>
      </c>
    </row>
    <row r="1280" spans="1:38" ht="15" customHeight="1" x14ac:dyDescent="0.25">
      <c r="A1280" s="5" t="s">
        <v>298</v>
      </c>
      <c r="B1280" s="5" t="s">
        <v>1679</v>
      </c>
      <c r="C1280" s="5">
        <v>28855.326499999999</v>
      </c>
      <c r="D1280" s="5">
        <v>28855.326499999999</v>
      </c>
      <c r="E1280" s="5">
        <v>25951.933700000001</v>
      </c>
      <c r="F1280" s="5" t="s">
        <v>7249</v>
      </c>
      <c r="G1280" s="5" t="str">
        <f t="shared" si="39"/>
        <v>Ст.Каменск-Хозспособ</v>
      </c>
      <c r="J1280" s="5"/>
      <c r="AF1280" t="s">
        <v>7215</v>
      </c>
      <c r="AG1280" s="24" t="s">
        <v>6511</v>
      </c>
      <c r="AH1280" s="5" t="s">
        <v>7215</v>
      </c>
      <c r="AI1280" s="5">
        <v>20346.210299999999</v>
      </c>
      <c r="AJ1280" s="5">
        <v>20346.210299999999</v>
      </c>
      <c r="AK1280">
        <v>18896.733100000001</v>
      </c>
      <c r="AL1280" s="5" t="str">
        <f t="shared" si="40"/>
        <v>Нижнесергинский муниципальный район</v>
      </c>
    </row>
    <row r="1281" spans="1:38" ht="15" customHeight="1" x14ac:dyDescent="0.25">
      <c r="A1281" s="5" t="s">
        <v>1161</v>
      </c>
      <c r="B1281" s="5" t="s">
        <v>1679</v>
      </c>
      <c r="C1281" s="5">
        <v>28855.326499999999</v>
      </c>
      <c r="D1281" s="5">
        <v>28855.326499999999</v>
      </c>
      <c r="E1281" s="5">
        <v>25951.933700000001</v>
      </c>
      <c r="F1281" s="5" t="s">
        <v>7249</v>
      </c>
      <c r="G1281" s="5" t="str">
        <f t="shared" si="39"/>
        <v>Ст.Каменск-Хозспособ</v>
      </c>
      <c r="J1281" s="5"/>
      <c r="AF1281" t="s">
        <v>7215</v>
      </c>
      <c r="AG1281" s="24" t="s">
        <v>6512</v>
      </c>
      <c r="AH1281" s="5" t="s">
        <v>7215</v>
      </c>
      <c r="AI1281" s="5">
        <v>20346.210299999999</v>
      </c>
      <c r="AJ1281" s="5">
        <v>20346.210299999999</v>
      </c>
      <c r="AK1281">
        <v>18896.733100000001</v>
      </c>
      <c r="AL1281" s="5" t="str">
        <f t="shared" si="40"/>
        <v>Нижнесергинский муниципальный район</v>
      </c>
    </row>
    <row r="1282" spans="1:38" ht="15" customHeight="1" x14ac:dyDescent="0.25">
      <c r="A1282" s="5" t="s">
        <v>1338</v>
      </c>
      <c r="B1282" s="5" t="s">
        <v>1679</v>
      </c>
      <c r="C1282" s="5">
        <v>28855.326499999999</v>
      </c>
      <c r="D1282" s="5">
        <v>28855.326499999999</v>
      </c>
      <c r="E1282" s="5">
        <v>25951.933700000001</v>
      </c>
      <c r="F1282" s="5" t="s">
        <v>7249</v>
      </c>
      <c r="G1282" s="5" t="str">
        <f t="shared" si="39"/>
        <v>Ст.Каменск-Хозспособ</v>
      </c>
      <c r="J1282" s="5"/>
      <c r="AF1282" t="s">
        <v>7215</v>
      </c>
      <c r="AG1282" s="24" t="s">
        <v>6513</v>
      </c>
      <c r="AH1282" s="5" t="s">
        <v>7215</v>
      </c>
      <c r="AI1282" s="5">
        <v>20346.210299999999</v>
      </c>
      <c r="AJ1282" s="5">
        <v>20346.210299999999</v>
      </c>
      <c r="AK1282">
        <v>18896.733100000001</v>
      </c>
      <c r="AL1282" s="5" t="str">
        <f t="shared" si="40"/>
        <v>Нижнесергинский муниципальный район</v>
      </c>
    </row>
    <row r="1283" spans="1:38" ht="15" customHeight="1" x14ac:dyDescent="0.25">
      <c r="A1283" s="5" t="s">
        <v>285</v>
      </c>
      <c r="B1283" s="5" t="s">
        <v>1679</v>
      </c>
      <c r="C1283" s="5">
        <v>28855.326499999999</v>
      </c>
      <c r="D1283" s="5">
        <v>28855.326499999999</v>
      </c>
      <c r="E1283" s="5">
        <v>25951.933700000001</v>
      </c>
      <c r="F1283" s="5" t="s">
        <v>7249</v>
      </c>
      <c r="G1283" s="5" t="str">
        <f t="shared" si="39"/>
        <v>Ст.Каменск-Хозспособ</v>
      </c>
      <c r="J1283" s="5"/>
      <c r="AF1283" t="s">
        <v>7215</v>
      </c>
      <c r="AG1283" s="24" t="s">
        <v>6514</v>
      </c>
      <c r="AH1283" s="5" t="s">
        <v>7215</v>
      </c>
      <c r="AI1283" s="5">
        <v>20346.210299999999</v>
      </c>
      <c r="AJ1283" s="5">
        <v>20346.210299999999</v>
      </c>
      <c r="AK1283">
        <v>18896.733100000001</v>
      </c>
      <c r="AL1283" s="5" t="str">
        <f t="shared" si="40"/>
        <v>Нижнесергинский муниципальный район</v>
      </c>
    </row>
    <row r="1284" spans="1:38" ht="15" customHeight="1" x14ac:dyDescent="0.25">
      <c r="A1284" s="5" t="s">
        <v>137</v>
      </c>
      <c r="B1284" s="5" t="s">
        <v>1679</v>
      </c>
      <c r="C1284" s="5">
        <v>28855.326499999999</v>
      </c>
      <c r="D1284" s="5">
        <v>28855.326499999999</v>
      </c>
      <c r="E1284" s="5">
        <v>25951.933700000001</v>
      </c>
      <c r="F1284" s="5" t="s">
        <v>7249</v>
      </c>
      <c r="G1284" s="5" t="str">
        <f t="shared" ref="G1284:G1347" si="41">B1284</f>
        <v>Ст.Каменск-Хозспособ</v>
      </c>
      <c r="J1284" s="5"/>
      <c r="AF1284" t="s">
        <v>7215</v>
      </c>
      <c r="AG1284" s="24" t="s">
        <v>6515</v>
      </c>
      <c r="AH1284" s="5" t="s">
        <v>7215</v>
      </c>
      <c r="AI1284" s="5">
        <v>20346.210299999999</v>
      </c>
      <c r="AJ1284" s="5">
        <v>20346.210299999999</v>
      </c>
      <c r="AK1284">
        <v>18896.733100000001</v>
      </c>
      <c r="AL1284" s="5" t="str">
        <f t="shared" ref="AL1284:AL1347" si="42">AF1284</f>
        <v>Нижнесергинский муниципальный район</v>
      </c>
    </row>
    <row r="1285" spans="1:38" ht="15" customHeight="1" x14ac:dyDescent="0.25">
      <c r="A1285" s="5" t="s">
        <v>447</v>
      </c>
      <c r="B1285" s="5" t="s">
        <v>1679</v>
      </c>
      <c r="C1285" s="5">
        <v>28855.326499999999</v>
      </c>
      <c r="D1285" s="5">
        <v>28855.326499999999</v>
      </c>
      <c r="E1285" s="5">
        <v>25951.933700000001</v>
      </c>
      <c r="F1285" s="5" t="s">
        <v>7249</v>
      </c>
      <c r="G1285" s="5" t="str">
        <f t="shared" si="41"/>
        <v>Ст.Каменск-Хозспособ</v>
      </c>
      <c r="J1285" s="5"/>
      <c r="AF1285" t="s">
        <v>7215</v>
      </c>
      <c r="AG1285" s="24" t="s">
        <v>6516</v>
      </c>
      <c r="AH1285" s="5" t="s">
        <v>7215</v>
      </c>
      <c r="AI1285" s="5">
        <v>20346.210299999999</v>
      </c>
      <c r="AJ1285" s="5">
        <v>20346.210299999999</v>
      </c>
      <c r="AK1285">
        <v>18896.733100000001</v>
      </c>
      <c r="AL1285" s="5" t="str">
        <f t="shared" si="42"/>
        <v>Нижнесергинский муниципальный район</v>
      </c>
    </row>
    <row r="1286" spans="1:38" ht="15" customHeight="1" x14ac:dyDescent="0.25">
      <c r="A1286" s="5" t="s">
        <v>1601</v>
      </c>
      <c r="B1286" s="5" t="s">
        <v>1679</v>
      </c>
      <c r="C1286" s="5">
        <v>28855.326499999999</v>
      </c>
      <c r="D1286" s="5">
        <v>28855.326499999999</v>
      </c>
      <c r="E1286" s="5">
        <v>25951.933700000001</v>
      </c>
      <c r="F1286" s="5" t="s">
        <v>7249</v>
      </c>
      <c r="G1286" s="5" t="str">
        <f t="shared" si="41"/>
        <v>Ст.Каменск-Хозспособ</v>
      </c>
      <c r="J1286" s="5"/>
      <c r="AF1286" t="s">
        <v>7216</v>
      </c>
      <c r="AG1286" s="24" t="s">
        <v>6517</v>
      </c>
      <c r="AH1286" s="5" t="s">
        <v>7216</v>
      </c>
      <c r="AI1286" s="5">
        <v>22837.982400000001</v>
      </c>
      <c r="AJ1286" s="5">
        <v>22837.982400000001</v>
      </c>
      <c r="AK1286">
        <v>21210.987499999999</v>
      </c>
      <c r="AL1286" s="5" t="str">
        <f t="shared" si="42"/>
        <v>Нижнетуринский городской округ</v>
      </c>
    </row>
    <row r="1287" spans="1:38" ht="15" customHeight="1" x14ac:dyDescent="0.25">
      <c r="A1287" s="5" t="s">
        <v>613</v>
      </c>
      <c r="B1287" s="5" t="s">
        <v>1679</v>
      </c>
      <c r="C1287" s="5">
        <v>28855.326499999999</v>
      </c>
      <c r="D1287" s="5">
        <v>28855.326499999999</v>
      </c>
      <c r="E1287" s="5">
        <v>25951.933700000001</v>
      </c>
      <c r="F1287" s="5" t="s">
        <v>7249</v>
      </c>
      <c r="G1287" s="5" t="str">
        <f t="shared" si="41"/>
        <v>Ст.Каменск-Хозспособ</v>
      </c>
      <c r="J1287" s="5"/>
      <c r="AF1287" t="s">
        <v>7216</v>
      </c>
      <c r="AG1287" s="24" t="s">
        <v>6518</v>
      </c>
      <c r="AH1287" s="5" t="s">
        <v>7216</v>
      </c>
      <c r="AI1287" s="5">
        <v>22837.982400000001</v>
      </c>
      <c r="AJ1287" s="5">
        <v>22837.982400000001</v>
      </c>
      <c r="AK1287">
        <v>21210.987499999999</v>
      </c>
      <c r="AL1287" s="5" t="str">
        <f t="shared" si="42"/>
        <v>Нижнетуринский городской округ</v>
      </c>
    </row>
    <row r="1288" spans="1:38" ht="15" customHeight="1" x14ac:dyDescent="0.25">
      <c r="A1288" s="5" t="s">
        <v>1024</v>
      </c>
      <c r="B1288" s="5" t="s">
        <v>1679</v>
      </c>
      <c r="C1288" s="5">
        <v>28855.326499999999</v>
      </c>
      <c r="D1288" s="5">
        <v>28855.326499999999</v>
      </c>
      <c r="E1288" s="5">
        <v>25951.933700000001</v>
      </c>
      <c r="F1288" s="5" t="s">
        <v>7249</v>
      </c>
      <c r="G1288" s="5" t="str">
        <f t="shared" si="41"/>
        <v>Ст.Каменск-Хозспособ</v>
      </c>
      <c r="J1288" s="5"/>
      <c r="AF1288" t="s">
        <v>7216</v>
      </c>
      <c r="AG1288" s="24" t="s">
        <v>6519</v>
      </c>
      <c r="AH1288" s="5" t="s">
        <v>7216</v>
      </c>
      <c r="AI1288" s="5">
        <v>22837.982400000001</v>
      </c>
      <c r="AJ1288" s="5">
        <v>22837.982400000001</v>
      </c>
      <c r="AK1288">
        <v>21210.987499999999</v>
      </c>
      <c r="AL1288" s="5" t="str">
        <f t="shared" si="42"/>
        <v>Нижнетуринский городской округ</v>
      </c>
    </row>
    <row r="1289" spans="1:38" ht="15" customHeight="1" x14ac:dyDescent="0.25">
      <c r="A1289" s="5" t="s">
        <v>1049</v>
      </c>
      <c r="B1289" s="5" t="s">
        <v>1679</v>
      </c>
      <c r="C1289" s="5">
        <v>28855.326499999999</v>
      </c>
      <c r="D1289" s="5">
        <v>28855.326499999999</v>
      </c>
      <c r="E1289" s="5">
        <v>25951.933700000001</v>
      </c>
      <c r="F1289" s="5" t="s">
        <v>7249</v>
      </c>
      <c r="G1289" s="5" t="str">
        <f t="shared" si="41"/>
        <v>Ст.Каменск-Хозспособ</v>
      </c>
      <c r="J1289" s="5"/>
      <c r="AF1289" t="s">
        <v>7216</v>
      </c>
      <c r="AG1289" s="24" t="s">
        <v>6520</v>
      </c>
      <c r="AH1289" s="5" t="s">
        <v>7216</v>
      </c>
      <c r="AI1289" s="5">
        <v>22837.982400000001</v>
      </c>
      <c r="AJ1289" s="5">
        <v>22837.982400000001</v>
      </c>
      <c r="AK1289">
        <v>21210.987499999999</v>
      </c>
      <c r="AL1289" s="5" t="str">
        <f t="shared" si="42"/>
        <v>Нижнетуринский городской округ</v>
      </c>
    </row>
    <row r="1290" spans="1:38" ht="15" customHeight="1" x14ac:dyDescent="0.25">
      <c r="A1290" s="5" t="s">
        <v>1422</v>
      </c>
      <c r="B1290" s="5" t="s">
        <v>1679</v>
      </c>
      <c r="C1290" s="5">
        <v>28855.326499999999</v>
      </c>
      <c r="D1290" s="5">
        <v>28855.326499999999</v>
      </c>
      <c r="E1290" s="5">
        <v>25951.933700000001</v>
      </c>
      <c r="F1290" s="5" t="s">
        <v>7249</v>
      </c>
      <c r="G1290" s="5" t="str">
        <f t="shared" si="41"/>
        <v>Ст.Каменск-Хозспособ</v>
      </c>
      <c r="J1290" s="5"/>
      <c r="AF1290" t="s">
        <v>7216</v>
      </c>
      <c r="AG1290" s="24" t="s">
        <v>6521</v>
      </c>
      <c r="AH1290" s="5" t="s">
        <v>7216</v>
      </c>
      <c r="AI1290" s="5">
        <v>22837.982400000001</v>
      </c>
      <c r="AJ1290" s="5">
        <v>22837.982400000001</v>
      </c>
      <c r="AK1290">
        <v>21210.987499999999</v>
      </c>
      <c r="AL1290" s="5" t="str">
        <f t="shared" si="42"/>
        <v>Нижнетуринский городской округ</v>
      </c>
    </row>
    <row r="1291" spans="1:38" ht="15" customHeight="1" x14ac:dyDescent="0.25">
      <c r="A1291" s="5" t="s">
        <v>1060</v>
      </c>
      <c r="B1291" s="5" t="s">
        <v>1679</v>
      </c>
      <c r="C1291" s="5">
        <v>28855.326499999999</v>
      </c>
      <c r="D1291" s="5">
        <v>28855.326499999999</v>
      </c>
      <c r="E1291" s="5">
        <v>25951.933700000001</v>
      </c>
      <c r="F1291" s="5" t="s">
        <v>7249</v>
      </c>
      <c r="G1291" s="5" t="str">
        <f t="shared" si="41"/>
        <v>Ст.Каменск-Хозспособ</v>
      </c>
      <c r="J1291" s="5"/>
      <c r="AF1291" t="s">
        <v>7216</v>
      </c>
      <c r="AG1291" s="24" t="s">
        <v>6522</v>
      </c>
      <c r="AH1291" s="5" t="s">
        <v>7216</v>
      </c>
      <c r="AI1291" s="5">
        <v>22837.982400000001</v>
      </c>
      <c r="AJ1291" s="5">
        <v>22837.982400000001</v>
      </c>
      <c r="AK1291">
        <v>21210.987499999999</v>
      </c>
      <c r="AL1291" s="5" t="str">
        <f t="shared" si="42"/>
        <v>Нижнетуринский городской округ</v>
      </c>
    </row>
    <row r="1292" spans="1:38" ht="15" customHeight="1" x14ac:dyDescent="0.25">
      <c r="A1292" s="5" t="s">
        <v>733</v>
      </c>
      <c r="B1292" s="5" t="s">
        <v>1679</v>
      </c>
      <c r="C1292" s="5">
        <v>28855.326499999999</v>
      </c>
      <c r="D1292" s="5">
        <v>28855.326499999999</v>
      </c>
      <c r="E1292" s="5">
        <v>25951.933700000001</v>
      </c>
      <c r="F1292" s="5" t="s">
        <v>7249</v>
      </c>
      <c r="G1292" s="5" t="str">
        <f t="shared" si="41"/>
        <v>Ст.Каменск-Хозспособ</v>
      </c>
      <c r="J1292" s="5"/>
      <c r="AF1292" t="s">
        <v>7216</v>
      </c>
      <c r="AG1292" s="24" t="s">
        <v>6523</v>
      </c>
      <c r="AH1292" s="5" t="s">
        <v>7216</v>
      </c>
      <c r="AI1292" s="5">
        <v>22837.982400000001</v>
      </c>
      <c r="AJ1292" s="5">
        <v>22837.982400000001</v>
      </c>
      <c r="AK1292">
        <v>21210.987499999999</v>
      </c>
      <c r="AL1292" s="5" t="str">
        <f t="shared" si="42"/>
        <v>Нижнетуринский городской округ</v>
      </c>
    </row>
    <row r="1293" spans="1:38" ht="15" customHeight="1" x14ac:dyDescent="0.25">
      <c r="A1293" s="5" t="s">
        <v>907</v>
      </c>
      <c r="B1293" s="5" t="s">
        <v>1679</v>
      </c>
      <c r="C1293" s="5">
        <v>28855.326499999999</v>
      </c>
      <c r="D1293" s="5">
        <v>28855.326499999999</v>
      </c>
      <c r="E1293" s="5">
        <v>25951.933700000001</v>
      </c>
      <c r="F1293" s="5" t="s">
        <v>7249</v>
      </c>
      <c r="G1293" s="5" t="str">
        <f t="shared" si="41"/>
        <v>Ст.Каменск-Хозспособ</v>
      </c>
      <c r="J1293" s="5"/>
      <c r="AF1293" t="s">
        <v>7216</v>
      </c>
      <c r="AG1293" s="24" t="s">
        <v>6524</v>
      </c>
      <c r="AH1293" s="5" t="s">
        <v>7216</v>
      </c>
      <c r="AI1293" s="5">
        <v>22837.982400000001</v>
      </c>
      <c r="AJ1293" s="5">
        <v>22837.982400000001</v>
      </c>
      <c r="AK1293">
        <v>21210.987499999999</v>
      </c>
      <c r="AL1293" s="5" t="str">
        <f t="shared" si="42"/>
        <v>Нижнетуринский городской округ</v>
      </c>
    </row>
    <row r="1294" spans="1:38" ht="15" customHeight="1" x14ac:dyDescent="0.25">
      <c r="A1294" s="5" t="s">
        <v>831</v>
      </c>
      <c r="B1294" s="5" t="s">
        <v>1679</v>
      </c>
      <c r="C1294" s="5">
        <v>28855.326499999999</v>
      </c>
      <c r="D1294" s="5">
        <v>28855.326499999999</v>
      </c>
      <c r="E1294" s="5">
        <v>25951.933700000001</v>
      </c>
      <c r="F1294" s="5" t="s">
        <v>7249</v>
      </c>
      <c r="G1294" s="5" t="str">
        <f t="shared" si="41"/>
        <v>Ст.Каменск-Хозспособ</v>
      </c>
      <c r="J1294" s="5"/>
      <c r="AF1294" t="s">
        <v>7216</v>
      </c>
      <c r="AG1294" s="24" t="s">
        <v>6525</v>
      </c>
      <c r="AH1294" s="5" t="s">
        <v>7216</v>
      </c>
      <c r="AI1294" s="5">
        <v>22837.982400000001</v>
      </c>
      <c r="AJ1294" s="5">
        <v>22837.982400000001</v>
      </c>
      <c r="AK1294">
        <v>21210.987499999999</v>
      </c>
      <c r="AL1294" s="5" t="str">
        <f t="shared" si="42"/>
        <v>Нижнетуринский городской округ</v>
      </c>
    </row>
    <row r="1295" spans="1:38" ht="15" customHeight="1" x14ac:dyDescent="0.25">
      <c r="A1295" s="5" t="s">
        <v>1550</v>
      </c>
      <c r="B1295" s="5" t="s">
        <v>1676</v>
      </c>
      <c r="C1295" s="5">
        <v>28848.8855</v>
      </c>
      <c r="D1295" s="5">
        <v>28848.8855</v>
      </c>
      <c r="E1295" s="5">
        <v>25946.143</v>
      </c>
      <c r="F1295" s="5" t="s">
        <v>7249</v>
      </c>
      <c r="G1295" s="5" t="str">
        <f t="shared" si="41"/>
        <v>Чкаловский</v>
      </c>
      <c r="J1295" s="5"/>
      <c r="AF1295" t="s">
        <v>7216</v>
      </c>
      <c r="AG1295" s="24" t="s">
        <v>6526</v>
      </c>
      <c r="AH1295" s="5" t="s">
        <v>7216</v>
      </c>
      <c r="AI1295" s="5">
        <v>22837.982400000001</v>
      </c>
      <c r="AJ1295" s="5">
        <v>22837.982400000001</v>
      </c>
      <c r="AK1295">
        <v>21210.987499999999</v>
      </c>
      <c r="AL1295" s="5" t="str">
        <f t="shared" si="42"/>
        <v>Нижнетуринский городской округ</v>
      </c>
    </row>
    <row r="1296" spans="1:38" ht="15" customHeight="1" x14ac:dyDescent="0.25">
      <c r="A1296" s="5" t="s">
        <v>1344</v>
      </c>
      <c r="B1296" s="5" t="s">
        <v>1676</v>
      </c>
      <c r="C1296" s="5">
        <v>28848.8855</v>
      </c>
      <c r="D1296" s="5">
        <v>28848.8855</v>
      </c>
      <c r="E1296" s="5">
        <v>25946.143</v>
      </c>
      <c r="F1296" s="5" t="s">
        <v>7249</v>
      </c>
      <c r="G1296" s="5" t="str">
        <f t="shared" si="41"/>
        <v>Чкаловский</v>
      </c>
      <c r="J1296" s="5"/>
      <c r="AF1296" t="s">
        <v>7216</v>
      </c>
      <c r="AG1296" s="24" t="s">
        <v>6527</v>
      </c>
      <c r="AH1296" s="5" t="s">
        <v>7216</v>
      </c>
      <c r="AI1296" s="5">
        <v>22837.982400000001</v>
      </c>
      <c r="AJ1296" s="5">
        <v>22837.982400000001</v>
      </c>
      <c r="AK1296">
        <v>21210.987499999999</v>
      </c>
      <c r="AL1296" s="5" t="str">
        <f t="shared" si="42"/>
        <v>Нижнетуринский городской округ</v>
      </c>
    </row>
    <row r="1297" spans="1:38" ht="15" customHeight="1" x14ac:dyDescent="0.25">
      <c r="A1297" s="5" t="s">
        <v>1544</v>
      </c>
      <c r="B1297" s="5" t="s">
        <v>1676</v>
      </c>
      <c r="C1297" s="5">
        <v>28848.8855</v>
      </c>
      <c r="D1297" s="5">
        <v>28848.8855</v>
      </c>
      <c r="E1297" s="5">
        <v>25946.143</v>
      </c>
      <c r="F1297" s="5" t="s">
        <v>7249</v>
      </c>
      <c r="G1297" s="5" t="str">
        <f t="shared" si="41"/>
        <v>Чкаловский</v>
      </c>
      <c r="J1297" s="5"/>
      <c r="AF1297" t="s">
        <v>7216</v>
      </c>
      <c r="AG1297" s="24" t="s">
        <v>6528</v>
      </c>
      <c r="AH1297" s="5" t="s">
        <v>7216</v>
      </c>
      <c r="AI1297" s="5">
        <v>22837.982400000001</v>
      </c>
      <c r="AJ1297" s="5">
        <v>22837.982400000001</v>
      </c>
      <c r="AK1297">
        <v>21210.987499999999</v>
      </c>
      <c r="AL1297" s="5" t="str">
        <f t="shared" si="42"/>
        <v>Нижнетуринский городской округ</v>
      </c>
    </row>
    <row r="1298" spans="1:38" ht="15" customHeight="1" x14ac:dyDescent="0.25">
      <c r="A1298" s="5" t="s">
        <v>1144</v>
      </c>
      <c r="B1298" s="5" t="s">
        <v>1676</v>
      </c>
      <c r="C1298" s="5">
        <v>28848.8855</v>
      </c>
      <c r="D1298" s="5">
        <v>28848.8855</v>
      </c>
      <c r="E1298" s="5">
        <v>25946.143</v>
      </c>
      <c r="F1298" s="5" t="s">
        <v>7249</v>
      </c>
      <c r="G1298" s="5" t="str">
        <f t="shared" si="41"/>
        <v>Чкаловский</v>
      </c>
      <c r="J1298" s="5"/>
      <c r="AF1298" t="s">
        <v>7216</v>
      </c>
      <c r="AG1298" s="24" t="s">
        <v>6529</v>
      </c>
      <c r="AH1298" s="5" t="s">
        <v>7216</v>
      </c>
      <c r="AI1298" s="5">
        <v>22837.982400000001</v>
      </c>
      <c r="AJ1298" s="5">
        <v>22837.982400000001</v>
      </c>
      <c r="AK1298">
        <v>21210.987499999999</v>
      </c>
      <c r="AL1298" s="5" t="str">
        <f t="shared" si="42"/>
        <v>Нижнетуринский городской округ</v>
      </c>
    </row>
    <row r="1299" spans="1:38" ht="15" customHeight="1" x14ac:dyDescent="0.25">
      <c r="A1299" s="5" t="s">
        <v>1252</v>
      </c>
      <c r="B1299" s="5" t="s">
        <v>1676</v>
      </c>
      <c r="C1299" s="5">
        <v>28848.8855</v>
      </c>
      <c r="D1299" s="5">
        <v>28848.8855</v>
      </c>
      <c r="E1299" s="5">
        <v>25946.143</v>
      </c>
      <c r="F1299" s="5" t="s">
        <v>7249</v>
      </c>
      <c r="G1299" s="5" t="str">
        <f t="shared" si="41"/>
        <v>Чкаловский</v>
      </c>
      <c r="J1299" s="5"/>
      <c r="AF1299" t="s">
        <v>7216</v>
      </c>
      <c r="AG1299" s="24" t="s">
        <v>6530</v>
      </c>
      <c r="AH1299" s="5" t="s">
        <v>7216</v>
      </c>
      <c r="AI1299" s="5">
        <v>22837.982400000001</v>
      </c>
      <c r="AJ1299" s="5">
        <v>22837.982400000001</v>
      </c>
      <c r="AK1299">
        <v>21210.987499999999</v>
      </c>
      <c r="AL1299" s="5" t="str">
        <f t="shared" si="42"/>
        <v>Нижнетуринский городской округ</v>
      </c>
    </row>
    <row r="1300" spans="1:38" ht="15" customHeight="1" x14ac:dyDescent="0.25">
      <c r="A1300" s="5" t="s">
        <v>204</v>
      </c>
      <c r="B1300" s="5" t="s">
        <v>1676</v>
      </c>
      <c r="C1300" s="5">
        <v>28848.8855</v>
      </c>
      <c r="D1300" s="5">
        <v>28848.8855</v>
      </c>
      <c r="E1300" s="5">
        <v>25946.143</v>
      </c>
      <c r="F1300" s="5" t="s">
        <v>7249</v>
      </c>
      <c r="G1300" s="5" t="str">
        <f t="shared" si="41"/>
        <v>Чкаловский</v>
      </c>
      <c r="J1300" s="5"/>
      <c r="AF1300" t="s">
        <v>7216</v>
      </c>
      <c r="AG1300" s="24" t="s">
        <v>6531</v>
      </c>
      <c r="AH1300" s="5" t="s">
        <v>7216</v>
      </c>
      <c r="AI1300" s="5">
        <v>22837.982400000001</v>
      </c>
      <c r="AJ1300" s="5">
        <v>22837.982400000001</v>
      </c>
      <c r="AK1300">
        <v>21210.987499999999</v>
      </c>
      <c r="AL1300" s="5" t="str">
        <f t="shared" si="42"/>
        <v>Нижнетуринский городской округ</v>
      </c>
    </row>
    <row r="1301" spans="1:38" ht="15" customHeight="1" x14ac:dyDescent="0.25">
      <c r="A1301" s="5" t="s">
        <v>1139</v>
      </c>
      <c r="B1301" s="5" t="s">
        <v>1676</v>
      </c>
      <c r="C1301" s="5">
        <v>28848.8855</v>
      </c>
      <c r="D1301" s="5">
        <v>28848.8855</v>
      </c>
      <c r="E1301" s="5">
        <v>25946.143</v>
      </c>
      <c r="F1301" s="5" t="s">
        <v>7249</v>
      </c>
      <c r="G1301" s="5" t="str">
        <f t="shared" si="41"/>
        <v>Чкаловский</v>
      </c>
      <c r="J1301" s="5"/>
      <c r="AF1301" t="s">
        <v>7216</v>
      </c>
      <c r="AG1301" s="24" t="s">
        <v>6532</v>
      </c>
      <c r="AH1301" s="5" t="s">
        <v>7216</v>
      </c>
      <c r="AI1301" s="5">
        <v>28216.859199999999</v>
      </c>
      <c r="AJ1301" s="5">
        <v>28216.859199999999</v>
      </c>
      <c r="AK1301">
        <v>26206.670300000002</v>
      </c>
      <c r="AL1301" s="5" t="str">
        <f t="shared" si="42"/>
        <v>Нижнетуринский городской округ</v>
      </c>
    </row>
    <row r="1302" spans="1:38" ht="15" customHeight="1" x14ac:dyDescent="0.25">
      <c r="A1302" s="5" t="s">
        <v>829</v>
      </c>
      <c r="B1302" s="5" t="s">
        <v>1676</v>
      </c>
      <c r="C1302" s="5">
        <v>28848.8855</v>
      </c>
      <c r="D1302" s="5">
        <v>28848.8855</v>
      </c>
      <c r="E1302" s="5">
        <v>25946.143</v>
      </c>
      <c r="F1302" s="5" t="s">
        <v>7249</v>
      </c>
      <c r="G1302" s="5" t="str">
        <f t="shared" si="41"/>
        <v>Чкаловский</v>
      </c>
      <c r="J1302" s="5"/>
      <c r="AF1302" t="s">
        <v>7216</v>
      </c>
      <c r="AG1302" s="24" t="s">
        <v>6533</v>
      </c>
      <c r="AH1302" s="5" t="s">
        <v>7216</v>
      </c>
      <c r="AI1302" s="5">
        <v>22837.982400000001</v>
      </c>
      <c r="AJ1302" s="5">
        <v>22837.982400000001</v>
      </c>
      <c r="AK1302">
        <v>21210.987499999999</v>
      </c>
      <c r="AL1302" s="5" t="str">
        <f t="shared" si="42"/>
        <v>Нижнетуринский городской округ</v>
      </c>
    </row>
    <row r="1303" spans="1:38" ht="15" customHeight="1" x14ac:dyDescent="0.25">
      <c r="A1303" s="5" t="s">
        <v>724</v>
      </c>
      <c r="B1303" s="5" t="s">
        <v>1676</v>
      </c>
      <c r="C1303" s="5">
        <v>28848.8855</v>
      </c>
      <c r="D1303" s="5">
        <v>28848.8855</v>
      </c>
      <c r="E1303" s="5">
        <v>25946.143</v>
      </c>
      <c r="F1303" s="5" t="s">
        <v>7249</v>
      </c>
      <c r="G1303" s="5" t="str">
        <f t="shared" si="41"/>
        <v>Чкаловский</v>
      </c>
      <c r="J1303" s="5"/>
      <c r="AF1303" t="s">
        <v>7216</v>
      </c>
      <c r="AG1303" s="24" t="s">
        <v>6534</v>
      </c>
      <c r="AH1303" s="5" t="s">
        <v>7216</v>
      </c>
      <c r="AI1303" s="5">
        <v>22837.982400000001</v>
      </c>
      <c r="AJ1303" s="5">
        <v>22837.982400000001</v>
      </c>
      <c r="AK1303">
        <v>21210.987499999999</v>
      </c>
      <c r="AL1303" s="5" t="str">
        <f t="shared" si="42"/>
        <v>Нижнетуринский городской округ</v>
      </c>
    </row>
    <row r="1304" spans="1:38" ht="15" customHeight="1" x14ac:dyDescent="0.25">
      <c r="A1304" s="5" t="s">
        <v>64</v>
      </c>
      <c r="B1304" s="5" t="s">
        <v>1676</v>
      </c>
      <c r="C1304" s="5">
        <v>28848.8855</v>
      </c>
      <c r="D1304" s="5">
        <v>28848.8855</v>
      </c>
      <c r="E1304" s="5">
        <v>25946.143</v>
      </c>
      <c r="F1304" s="5" t="s">
        <v>7249</v>
      </c>
      <c r="G1304" s="5" t="str">
        <f t="shared" si="41"/>
        <v>Чкаловский</v>
      </c>
      <c r="J1304" s="5"/>
      <c r="AF1304" t="s">
        <v>7216</v>
      </c>
      <c r="AG1304" s="24" t="s">
        <v>6535</v>
      </c>
      <c r="AH1304" s="5" t="s">
        <v>7216</v>
      </c>
      <c r="AI1304" s="5">
        <v>22837.982400000001</v>
      </c>
      <c r="AJ1304" s="5">
        <v>22837.982400000001</v>
      </c>
      <c r="AK1304">
        <v>21210.987499999999</v>
      </c>
      <c r="AL1304" s="5" t="str">
        <f t="shared" si="42"/>
        <v>Нижнетуринский городской округ</v>
      </c>
    </row>
    <row r="1305" spans="1:38" ht="15" customHeight="1" x14ac:dyDescent="0.25">
      <c r="A1305" s="5" t="s">
        <v>18</v>
      </c>
      <c r="B1305" s="5" t="s">
        <v>1676</v>
      </c>
      <c r="C1305" s="5">
        <v>28848.8855</v>
      </c>
      <c r="D1305" s="5">
        <v>28848.8855</v>
      </c>
      <c r="E1305" s="5">
        <v>25946.143</v>
      </c>
      <c r="F1305" s="5" t="s">
        <v>7249</v>
      </c>
      <c r="G1305" s="5" t="str">
        <f t="shared" si="41"/>
        <v>Чкаловский</v>
      </c>
      <c r="J1305" s="5"/>
      <c r="AF1305" t="s">
        <v>7216</v>
      </c>
      <c r="AG1305" s="24" t="s">
        <v>6536</v>
      </c>
      <c r="AH1305" s="5" t="s">
        <v>7216</v>
      </c>
      <c r="AI1305" s="5">
        <v>22837.982400000001</v>
      </c>
      <c r="AJ1305" s="5">
        <v>22837.982400000001</v>
      </c>
      <c r="AK1305">
        <v>21210.987499999999</v>
      </c>
      <c r="AL1305" s="5" t="str">
        <f t="shared" si="42"/>
        <v>Нижнетуринский городской округ</v>
      </c>
    </row>
    <row r="1306" spans="1:38" ht="15" customHeight="1" x14ac:dyDescent="0.25">
      <c r="A1306" s="5" t="s">
        <v>426</v>
      </c>
      <c r="B1306" s="5" t="s">
        <v>1676</v>
      </c>
      <c r="C1306" s="5">
        <v>28848.8855</v>
      </c>
      <c r="D1306" s="5">
        <v>28848.8855</v>
      </c>
      <c r="E1306" s="5">
        <v>25946.143</v>
      </c>
      <c r="F1306" s="5" t="s">
        <v>7249</v>
      </c>
      <c r="G1306" s="5" t="str">
        <f t="shared" si="41"/>
        <v>Чкаловский</v>
      </c>
      <c r="J1306" s="5"/>
      <c r="AF1306" t="s">
        <v>7216</v>
      </c>
      <c r="AG1306" s="24" t="s">
        <v>6537</v>
      </c>
      <c r="AH1306" s="5" t="s">
        <v>7216</v>
      </c>
      <c r="AI1306" s="5">
        <v>22837.982400000001</v>
      </c>
      <c r="AJ1306" s="5">
        <v>22837.982400000001</v>
      </c>
      <c r="AK1306">
        <v>21210.987499999999</v>
      </c>
      <c r="AL1306" s="5" t="str">
        <f t="shared" si="42"/>
        <v>Нижнетуринский городской округ</v>
      </c>
    </row>
    <row r="1307" spans="1:38" ht="15" customHeight="1" x14ac:dyDescent="0.25">
      <c r="A1307" s="5" t="s">
        <v>251</v>
      </c>
      <c r="B1307" s="5" t="s">
        <v>1676</v>
      </c>
      <c r="C1307" s="5">
        <v>28848.8855</v>
      </c>
      <c r="D1307" s="5">
        <v>28848.8855</v>
      </c>
      <c r="E1307" s="5">
        <v>25946.143</v>
      </c>
      <c r="F1307" s="5" t="s">
        <v>7249</v>
      </c>
      <c r="G1307" s="5" t="str">
        <f t="shared" si="41"/>
        <v>Чкаловский</v>
      </c>
      <c r="J1307" s="5"/>
      <c r="AF1307" t="s">
        <v>7216</v>
      </c>
      <c r="AG1307" s="24" t="s">
        <v>6538</v>
      </c>
      <c r="AH1307" s="5" t="s">
        <v>7216</v>
      </c>
      <c r="AI1307" s="5">
        <v>22837.982400000001</v>
      </c>
      <c r="AJ1307" s="5">
        <v>22837.982400000001</v>
      </c>
      <c r="AK1307">
        <v>21210.987499999999</v>
      </c>
      <c r="AL1307" s="5" t="str">
        <f t="shared" si="42"/>
        <v>Нижнетуринский городской округ</v>
      </c>
    </row>
    <row r="1308" spans="1:38" ht="15" customHeight="1" x14ac:dyDescent="0.25">
      <c r="A1308" s="5" t="s">
        <v>438</v>
      </c>
      <c r="B1308" s="5" t="s">
        <v>1676</v>
      </c>
      <c r="C1308" s="5">
        <v>28848.8855</v>
      </c>
      <c r="D1308" s="5">
        <v>28848.8855</v>
      </c>
      <c r="E1308" s="5">
        <v>25946.143</v>
      </c>
      <c r="F1308" s="5" t="s">
        <v>7249</v>
      </c>
      <c r="G1308" s="5" t="str">
        <f t="shared" si="41"/>
        <v>Чкаловский</v>
      </c>
      <c r="J1308" s="5"/>
      <c r="AF1308" t="s">
        <v>7216</v>
      </c>
      <c r="AG1308" s="24" t="s">
        <v>6539</v>
      </c>
      <c r="AH1308" s="5" t="s">
        <v>7216</v>
      </c>
      <c r="AI1308" s="5">
        <v>22837.982400000001</v>
      </c>
      <c r="AJ1308" s="5">
        <v>22837.982400000001</v>
      </c>
      <c r="AK1308">
        <v>21210.987499999999</v>
      </c>
      <c r="AL1308" s="5" t="str">
        <f t="shared" si="42"/>
        <v>Нижнетуринский городской округ</v>
      </c>
    </row>
    <row r="1309" spans="1:38" ht="15" customHeight="1" x14ac:dyDescent="0.25">
      <c r="A1309" s="5" t="s">
        <v>252</v>
      </c>
      <c r="B1309" s="5" t="s">
        <v>1676</v>
      </c>
      <c r="C1309" s="5">
        <v>28848.8855</v>
      </c>
      <c r="D1309" s="5">
        <v>28848.8855</v>
      </c>
      <c r="E1309" s="5">
        <v>25946.143</v>
      </c>
      <c r="F1309" s="5" t="s">
        <v>7249</v>
      </c>
      <c r="G1309" s="5" t="str">
        <f t="shared" si="41"/>
        <v>Чкаловский</v>
      </c>
      <c r="J1309" s="5"/>
      <c r="AF1309" t="s">
        <v>7217</v>
      </c>
      <c r="AG1309" s="24" t="s">
        <v>6540</v>
      </c>
      <c r="AH1309" s="5" t="s">
        <v>7217</v>
      </c>
      <c r="AI1309" s="5">
        <v>13679.024100000001</v>
      </c>
      <c r="AJ1309" s="5">
        <v>13679.024100000001</v>
      </c>
      <c r="AK1309">
        <v>12704.523999999999</v>
      </c>
      <c r="AL1309" s="5" t="str">
        <f t="shared" si="42"/>
        <v>Новолялинский городской округ</v>
      </c>
    </row>
    <row r="1310" spans="1:38" ht="15" customHeight="1" x14ac:dyDescent="0.25">
      <c r="A1310" s="5" t="s">
        <v>1034</v>
      </c>
      <c r="B1310" s="5" t="s">
        <v>1676</v>
      </c>
      <c r="C1310" s="5">
        <v>28848.8855</v>
      </c>
      <c r="D1310" s="5">
        <v>28848.8855</v>
      </c>
      <c r="E1310" s="5">
        <v>25946.143</v>
      </c>
      <c r="F1310" s="5" t="s">
        <v>7249</v>
      </c>
      <c r="G1310" s="5" t="str">
        <f t="shared" si="41"/>
        <v>Чкаловский</v>
      </c>
      <c r="J1310" s="5"/>
      <c r="AF1310" t="s">
        <v>7217</v>
      </c>
      <c r="AG1310" s="24" t="s">
        <v>6541</v>
      </c>
      <c r="AH1310" s="5" t="s">
        <v>7217</v>
      </c>
      <c r="AI1310" s="5">
        <v>13679.024100000001</v>
      </c>
      <c r="AJ1310" s="5">
        <v>13679.024100000001</v>
      </c>
      <c r="AK1310">
        <v>12704.523999999999</v>
      </c>
      <c r="AL1310" s="5" t="str">
        <f t="shared" si="42"/>
        <v>Новолялинский городской округ</v>
      </c>
    </row>
    <row r="1311" spans="1:38" ht="15" customHeight="1" x14ac:dyDescent="0.25">
      <c r="A1311" s="5" t="s">
        <v>601</v>
      </c>
      <c r="B1311" s="5" t="s">
        <v>1676</v>
      </c>
      <c r="C1311" s="5">
        <v>28848.8855</v>
      </c>
      <c r="D1311" s="5">
        <v>28848.8855</v>
      </c>
      <c r="E1311" s="5">
        <v>25946.143</v>
      </c>
      <c r="F1311" s="5" t="s">
        <v>7249</v>
      </c>
      <c r="G1311" s="5" t="str">
        <f t="shared" si="41"/>
        <v>Чкаловский</v>
      </c>
      <c r="J1311" s="5"/>
      <c r="AF1311" t="s">
        <v>7217</v>
      </c>
      <c r="AG1311" s="24" t="s">
        <v>6542</v>
      </c>
      <c r="AH1311" s="5" t="s">
        <v>7217</v>
      </c>
      <c r="AI1311" s="5">
        <v>13679.024100000001</v>
      </c>
      <c r="AJ1311" s="5">
        <v>13679.024100000001</v>
      </c>
      <c r="AK1311">
        <v>12704.523999999999</v>
      </c>
      <c r="AL1311" s="5" t="str">
        <f t="shared" si="42"/>
        <v>Новолялинский городской округ</v>
      </c>
    </row>
    <row r="1312" spans="1:38" ht="15" customHeight="1" x14ac:dyDescent="0.25">
      <c r="A1312" s="5" t="s">
        <v>1370</v>
      </c>
      <c r="B1312" s="5" t="s">
        <v>1676</v>
      </c>
      <c r="C1312" s="5">
        <v>28848.8855</v>
      </c>
      <c r="D1312" s="5">
        <v>28848.8855</v>
      </c>
      <c r="E1312" s="5">
        <v>25946.143</v>
      </c>
      <c r="F1312" s="5" t="s">
        <v>7249</v>
      </c>
      <c r="G1312" s="5" t="str">
        <f t="shared" si="41"/>
        <v>Чкаловский</v>
      </c>
      <c r="J1312" s="5"/>
      <c r="AF1312" t="s">
        <v>7217</v>
      </c>
      <c r="AG1312" s="24" t="s">
        <v>6543</v>
      </c>
      <c r="AH1312" s="5" t="s">
        <v>7217</v>
      </c>
      <c r="AI1312" s="5">
        <v>13679.024100000001</v>
      </c>
      <c r="AJ1312" s="5">
        <v>13679.024100000001</v>
      </c>
      <c r="AK1312">
        <v>12704.523999999999</v>
      </c>
      <c r="AL1312" s="5" t="str">
        <f t="shared" si="42"/>
        <v>Новолялинский городской округ</v>
      </c>
    </row>
    <row r="1313" spans="1:38" ht="15" customHeight="1" x14ac:dyDescent="0.25">
      <c r="A1313" s="5" t="s">
        <v>883</v>
      </c>
      <c r="B1313" s="5" t="s">
        <v>1676</v>
      </c>
      <c r="C1313" s="5">
        <v>28848.8855</v>
      </c>
      <c r="D1313" s="5">
        <v>28848.8855</v>
      </c>
      <c r="E1313" s="5">
        <v>25946.143</v>
      </c>
      <c r="F1313" s="5" t="s">
        <v>7249</v>
      </c>
      <c r="G1313" s="5" t="str">
        <f t="shared" si="41"/>
        <v>Чкаловский</v>
      </c>
      <c r="J1313" s="5"/>
      <c r="AF1313" t="s">
        <v>7217</v>
      </c>
      <c r="AG1313" s="24" t="s">
        <v>6544</v>
      </c>
      <c r="AH1313" s="5" t="s">
        <v>7217</v>
      </c>
      <c r="AI1313" s="5">
        <v>13679.024100000001</v>
      </c>
      <c r="AJ1313" s="5">
        <v>13679.024100000001</v>
      </c>
      <c r="AK1313">
        <v>12704.523999999999</v>
      </c>
      <c r="AL1313" s="5" t="str">
        <f t="shared" si="42"/>
        <v>Новолялинский городской округ</v>
      </c>
    </row>
    <row r="1314" spans="1:38" ht="15" customHeight="1" x14ac:dyDescent="0.25">
      <c r="A1314" s="5" t="s">
        <v>1522</v>
      </c>
      <c r="B1314" s="5" t="s">
        <v>1676</v>
      </c>
      <c r="C1314" s="5">
        <v>28848.8855</v>
      </c>
      <c r="D1314" s="5">
        <v>28848.8855</v>
      </c>
      <c r="E1314" s="5">
        <v>25946.143</v>
      </c>
      <c r="F1314" s="5" t="s">
        <v>7249</v>
      </c>
      <c r="G1314" s="5" t="str">
        <f t="shared" si="41"/>
        <v>Чкаловский</v>
      </c>
      <c r="J1314" s="5"/>
      <c r="AF1314" t="s">
        <v>7217</v>
      </c>
      <c r="AG1314" s="24" t="s">
        <v>6545</v>
      </c>
      <c r="AH1314" s="5" t="s">
        <v>7217</v>
      </c>
      <c r="AI1314" s="5">
        <v>13679.024100000001</v>
      </c>
      <c r="AJ1314" s="5">
        <v>13679.024100000001</v>
      </c>
      <c r="AK1314">
        <v>12704.523999999999</v>
      </c>
      <c r="AL1314" s="5" t="str">
        <f t="shared" si="42"/>
        <v>Новолялинский городской округ</v>
      </c>
    </row>
    <row r="1315" spans="1:38" ht="15" customHeight="1" x14ac:dyDescent="0.25">
      <c r="A1315" s="5" t="s">
        <v>1276</v>
      </c>
      <c r="B1315" s="5" t="s">
        <v>1676</v>
      </c>
      <c r="C1315" s="5">
        <v>28848.8855</v>
      </c>
      <c r="D1315" s="5">
        <v>28848.8855</v>
      </c>
      <c r="E1315" s="5">
        <v>25946.143</v>
      </c>
      <c r="F1315" s="5" t="s">
        <v>7249</v>
      </c>
      <c r="G1315" s="5" t="str">
        <f t="shared" si="41"/>
        <v>Чкаловский</v>
      </c>
      <c r="J1315" s="5"/>
      <c r="AF1315" t="s">
        <v>7217</v>
      </c>
      <c r="AG1315" s="24" t="s">
        <v>6546</v>
      </c>
      <c r="AH1315" s="5" t="s">
        <v>7217</v>
      </c>
      <c r="AI1315" s="5">
        <v>13679.024100000001</v>
      </c>
      <c r="AJ1315" s="5">
        <v>13679.024100000001</v>
      </c>
      <c r="AK1315">
        <v>12704.523999999999</v>
      </c>
      <c r="AL1315" s="5" t="str">
        <f t="shared" si="42"/>
        <v>Новолялинский городской округ</v>
      </c>
    </row>
    <row r="1316" spans="1:38" ht="15" customHeight="1" x14ac:dyDescent="0.25">
      <c r="A1316" s="5" t="s">
        <v>1476</v>
      </c>
      <c r="B1316" s="5" t="s">
        <v>1676</v>
      </c>
      <c r="C1316" s="5">
        <v>28848.8855</v>
      </c>
      <c r="D1316" s="5">
        <v>28848.8855</v>
      </c>
      <c r="E1316" s="5">
        <v>25946.143</v>
      </c>
      <c r="F1316" s="5" t="s">
        <v>7249</v>
      </c>
      <c r="G1316" s="5" t="str">
        <f t="shared" si="41"/>
        <v>Чкаловский</v>
      </c>
      <c r="J1316" s="5"/>
      <c r="AF1316" t="s">
        <v>7217</v>
      </c>
      <c r="AG1316" s="24" t="s">
        <v>6547</v>
      </c>
      <c r="AH1316" s="5" t="s">
        <v>7217</v>
      </c>
      <c r="AI1316" s="5">
        <v>14021.6525</v>
      </c>
      <c r="AJ1316" s="5">
        <v>14021.6525</v>
      </c>
      <c r="AK1316">
        <v>13022.741</v>
      </c>
      <c r="AL1316" s="5" t="str">
        <f t="shared" si="42"/>
        <v>Новолялинский городской округ</v>
      </c>
    </row>
    <row r="1317" spans="1:38" ht="15" customHeight="1" x14ac:dyDescent="0.25">
      <c r="A1317" s="5" t="s">
        <v>874</v>
      </c>
      <c r="B1317" s="5" t="s">
        <v>1676</v>
      </c>
      <c r="C1317" s="5">
        <v>28848.8855</v>
      </c>
      <c r="D1317" s="5">
        <v>28848.8855</v>
      </c>
      <c r="E1317" s="5">
        <v>25946.143</v>
      </c>
      <c r="F1317" s="5" t="s">
        <v>7249</v>
      </c>
      <c r="G1317" s="5" t="str">
        <f t="shared" si="41"/>
        <v>Чкаловский</v>
      </c>
      <c r="J1317" s="5"/>
      <c r="AF1317" t="s">
        <v>7217</v>
      </c>
      <c r="AG1317" s="24" t="s">
        <v>6548</v>
      </c>
      <c r="AH1317" s="5" t="s">
        <v>7217</v>
      </c>
      <c r="AI1317" s="5">
        <v>13679.024100000001</v>
      </c>
      <c r="AJ1317" s="5">
        <v>13679.024100000001</v>
      </c>
      <c r="AK1317">
        <v>12704.523999999999</v>
      </c>
      <c r="AL1317" s="5" t="str">
        <f t="shared" si="42"/>
        <v>Новолялинский городской округ</v>
      </c>
    </row>
    <row r="1318" spans="1:38" ht="15" customHeight="1" x14ac:dyDescent="0.25">
      <c r="A1318" s="5" t="s">
        <v>240</v>
      </c>
      <c r="B1318" s="5" t="s">
        <v>1676</v>
      </c>
      <c r="C1318" s="5">
        <v>28848.8855</v>
      </c>
      <c r="D1318" s="5">
        <v>28848.8855</v>
      </c>
      <c r="E1318" s="5">
        <v>25946.143</v>
      </c>
      <c r="F1318" s="5" t="s">
        <v>7249</v>
      </c>
      <c r="G1318" s="5" t="str">
        <f t="shared" si="41"/>
        <v>Чкаловский</v>
      </c>
      <c r="J1318" s="5"/>
      <c r="AF1318" t="s">
        <v>7217</v>
      </c>
      <c r="AG1318" s="24" t="s">
        <v>6549</v>
      </c>
      <c r="AH1318" s="5" t="s">
        <v>7217</v>
      </c>
      <c r="AI1318" s="5">
        <v>13679.024100000001</v>
      </c>
      <c r="AJ1318" s="5">
        <v>13679.024100000001</v>
      </c>
      <c r="AK1318">
        <v>12704.523999999999</v>
      </c>
      <c r="AL1318" s="5" t="str">
        <f t="shared" si="42"/>
        <v>Новолялинский городской округ</v>
      </c>
    </row>
    <row r="1319" spans="1:38" ht="15" customHeight="1" x14ac:dyDescent="0.25">
      <c r="A1319" s="5" t="s">
        <v>641</v>
      </c>
      <c r="B1319" s="5" t="s">
        <v>1676</v>
      </c>
      <c r="C1319" s="5">
        <v>28848.8855</v>
      </c>
      <c r="D1319" s="5">
        <v>28848.8855</v>
      </c>
      <c r="E1319" s="5">
        <v>25946.143</v>
      </c>
      <c r="F1319" s="5" t="s">
        <v>7249</v>
      </c>
      <c r="G1319" s="5" t="str">
        <f t="shared" si="41"/>
        <v>Чкаловский</v>
      </c>
      <c r="J1319" s="5"/>
      <c r="AF1319" t="s">
        <v>7217</v>
      </c>
      <c r="AG1319" s="24" t="s">
        <v>6550</v>
      </c>
      <c r="AH1319" s="5" t="s">
        <v>7217</v>
      </c>
      <c r="AI1319" s="5">
        <v>13679.024100000001</v>
      </c>
      <c r="AJ1319" s="5">
        <v>13679.024100000001</v>
      </c>
      <c r="AK1319">
        <v>12704.523999999999</v>
      </c>
      <c r="AL1319" s="5" t="str">
        <f t="shared" si="42"/>
        <v>Новолялинский городской округ</v>
      </c>
    </row>
    <row r="1320" spans="1:38" ht="15" customHeight="1" x14ac:dyDescent="0.25">
      <c r="A1320" s="5" t="s">
        <v>1475</v>
      </c>
      <c r="B1320" s="5" t="s">
        <v>1681</v>
      </c>
      <c r="C1320" s="5">
        <v>32172.2909</v>
      </c>
      <c r="D1320" s="5">
        <v>32172.2909</v>
      </c>
      <c r="E1320" s="5">
        <v>28935.146499999999</v>
      </c>
      <c r="F1320" s="5" t="s">
        <v>7249</v>
      </c>
      <c r="G1320" s="5" t="str">
        <f t="shared" si="41"/>
        <v>Ленин-Олимп</v>
      </c>
      <c r="J1320" s="5"/>
      <c r="AF1320" t="s">
        <v>7217</v>
      </c>
      <c r="AG1320" s="24" t="s">
        <v>6551</v>
      </c>
      <c r="AH1320" s="5" t="s">
        <v>7217</v>
      </c>
      <c r="AI1320" s="5">
        <v>16900.747299999999</v>
      </c>
      <c r="AJ1320" s="5">
        <v>16900.747299999999</v>
      </c>
      <c r="AK1320">
        <v>15696.7273</v>
      </c>
      <c r="AL1320" s="5" t="str">
        <f t="shared" si="42"/>
        <v>Новолялинский городской округ</v>
      </c>
    </row>
    <row r="1321" spans="1:38" ht="15" customHeight="1" x14ac:dyDescent="0.25">
      <c r="A1321" s="5" t="s">
        <v>1168</v>
      </c>
      <c r="B1321" s="5" t="s">
        <v>1679</v>
      </c>
      <c r="C1321" s="5">
        <v>28855.326499999999</v>
      </c>
      <c r="D1321" s="5">
        <v>28855.326499999999</v>
      </c>
      <c r="E1321" s="5">
        <v>25951.933700000001</v>
      </c>
      <c r="F1321" s="5" t="s">
        <v>7249</v>
      </c>
      <c r="G1321" s="5" t="str">
        <f t="shared" si="41"/>
        <v>Ст.Каменск-Хозспособ</v>
      </c>
      <c r="J1321" s="5"/>
      <c r="AF1321" t="s">
        <v>7217</v>
      </c>
      <c r="AG1321" s="24" t="s">
        <v>6552</v>
      </c>
      <c r="AH1321" s="5" t="s">
        <v>7217</v>
      </c>
      <c r="AI1321" s="5">
        <v>13679.024100000001</v>
      </c>
      <c r="AJ1321" s="5">
        <v>13679.024100000001</v>
      </c>
      <c r="AK1321">
        <v>12704.523999999999</v>
      </c>
      <c r="AL1321" s="5" t="str">
        <f t="shared" si="42"/>
        <v>Новолялинский городской округ</v>
      </c>
    </row>
    <row r="1322" spans="1:38" ht="15" customHeight="1" x14ac:dyDescent="0.25">
      <c r="A1322" s="5" t="s">
        <v>1341</v>
      </c>
      <c r="B1322" s="5" t="s">
        <v>1679</v>
      </c>
      <c r="C1322" s="5">
        <v>28855.326499999999</v>
      </c>
      <c r="D1322" s="5">
        <v>28855.326499999999</v>
      </c>
      <c r="E1322" s="5">
        <v>25951.933700000001</v>
      </c>
      <c r="F1322" s="5" t="s">
        <v>7249</v>
      </c>
      <c r="G1322" s="5" t="str">
        <f t="shared" si="41"/>
        <v>Ст.Каменск-Хозспособ</v>
      </c>
      <c r="J1322" s="5"/>
      <c r="AF1322" t="s">
        <v>7217</v>
      </c>
      <c r="AG1322" s="24" t="s">
        <v>6553</v>
      </c>
      <c r="AH1322" s="5" t="s">
        <v>7217</v>
      </c>
      <c r="AI1322" s="5">
        <v>13679.024100000001</v>
      </c>
      <c r="AJ1322" s="5">
        <v>13679.024100000001</v>
      </c>
      <c r="AK1322">
        <v>12704.523999999999</v>
      </c>
      <c r="AL1322" s="5" t="str">
        <f t="shared" si="42"/>
        <v>Новолялинский городской округ</v>
      </c>
    </row>
    <row r="1323" spans="1:38" ht="15" customHeight="1" x14ac:dyDescent="0.25">
      <c r="A1323" s="5" t="s">
        <v>527</v>
      </c>
      <c r="B1323" s="5" t="s">
        <v>1679</v>
      </c>
      <c r="C1323" s="5">
        <v>28855.326499999999</v>
      </c>
      <c r="D1323" s="5">
        <v>28855.326499999999</v>
      </c>
      <c r="E1323" s="5">
        <v>25951.933700000001</v>
      </c>
      <c r="F1323" s="5" t="s">
        <v>7249</v>
      </c>
      <c r="G1323" s="5" t="str">
        <f t="shared" si="41"/>
        <v>Ст.Каменск-Хозспособ</v>
      </c>
      <c r="J1323" s="5"/>
      <c r="AF1323" t="s">
        <v>7217</v>
      </c>
      <c r="AG1323" s="24" t="s">
        <v>6554</v>
      </c>
      <c r="AH1323" s="5" t="s">
        <v>7217</v>
      </c>
      <c r="AI1323" s="5">
        <v>13679.024100000001</v>
      </c>
      <c r="AJ1323" s="5">
        <v>13679.024100000001</v>
      </c>
      <c r="AK1323">
        <v>12704.523999999999</v>
      </c>
      <c r="AL1323" s="5" t="str">
        <f t="shared" si="42"/>
        <v>Новолялинский городской округ</v>
      </c>
    </row>
    <row r="1324" spans="1:38" ht="15" customHeight="1" x14ac:dyDescent="0.25">
      <c r="A1324" s="5" t="s">
        <v>1396</v>
      </c>
      <c r="B1324" s="5" t="s">
        <v>1679</v>
      </c>
      <c r="C1324" s="5">
        <v>28855.326499999999</v>
      </c>
      <c r="D1324" s="5">
        <v>28855.326499999999</v>
      </c>
      <c r="E1324" s="5">
        <v>25951.933700000001</v>
      </c>
      <c r="F1324" s="5" t="s">
        <v>7249</v>
      </c>
      <c r="G1324" s="5" t="str">
        <f t="shared" si="41"/>
        <v>Ст.Каменск-Хозспособ</v>
      </c>
      <c r="J1324" s="5"/>
      <c r="AF1324" t="s">
        <v>7217</v>
      </c>
      <c r="AG1324" s="24" t="s">
        <v>6555</v>
      </c>
      <c r="AH1324" s="5" t="s">
        <v>7217</v>
      </c>
      <c r="AI1324" s="5">
        <v>13679.024100000001</v>
      </c>
      <c r="AJ1324" s="5">
        <v>13679.024100000001</v>
      </c>
      <c r="AK1324">
        <v>12704.523999999999</v>
      </c>
      <c r="AL1324" s="5" t="str">
        <f t="shared" si="42"/>
        <v>Новолялинский городской округ</v>
      </c>
    </row>
    <row r="1325" spans="1:38" ht="15" customHeight="1" x14ac:dyDescent="0.25">
      <c r="A1325" s="5" t="s">
        <v>936</v>
      </c>
      <c r="B1325" s="5" t="s">
        <v>1679</v>
      </c>
      <c r="C1325" s="5">
        <v>28855.326499999999</v>
      </c>
      <c r="D1325" s="5">
        <v>28855.326499999999</v>
      </c>
      <c r="E1325" s="5">
        <v>25951.933700000001</v>
      </c>
      <c r="F1325" s="5" t="s">
        <v>7249</v>
      </c>
      <c r="G1325" s="5" t="str">
        <f t="shared" si="41"/>
        <v>Ст.Каменск-Хозспособ</v>
      </c>
      <c r="J1325" s="5"/>
      <c r="AF1325" t="s">
        <v>7217</v>
      </c>
      <c r="AG1325" s="24" t="s">
        <v>6556</v>
      </c>
      <c r="AH1325" s="5" t="s">
        <v>7217</v>
      </c>
      <c r="AI1325" s="5">
        <v>13679.024100000001</v>
      </c>
      <c r="AJ1325" s="5">
        <v>13679.024100000001</v>
      </c>
      <c r="AK1325">
        <v>12704.523999999999</v>
      </c>
      <c r="AL1325" s="5" t="str">
        <f t="shared" si="42"/>
        <v>Новолялинский городской округ</v>
      </c>
    </row>
    <row r="1326" spans="1:38" ht="15" customHeight="1" x14ac:dyDescent="0.25">
      <c r="A1326" s="5" t="s">
        <v>1206</v>
      </c>
      <c r="B1326" s="5" t="s">
        <v>1679</v>
      </c>
      <c r="C1326" s="5">
        <v>28855.326499999999</v>
      </c>
      <c r="D1326" s="5">
        <v>28855.326499999999</v>
      </c>
      <c r="E1326" s="5">
        <v>25951.933700000001</v>
      </c>
      <c r="F1326" s="5" t="s">
        <v>7249</v>
      </c>
      <c r="G1326" s="5" t="str">
        <f t="shared" si="41"/>
        <v>Ст.Каменск-Хозспособ</v>
      </c>
      <c r="J1326" s="5"/>
      <c r="AF1326" t="s">
        <v>7217</v>
      </c>
      <c r="AG1326" s="24" t="s">
        <v>6557</v>
      </c>
      <c r="AH1326" s="5" t="s">
        <v>7217</v>
      </c>
      <c r="AI1326" s="5">
        <v>13679.024100000001</v>
      </c>
      <c r="AJ1326" s="5">
        <v>13679.024100000001</v>
      </c>
      <c r="AK1326">
        <v>12704.523999999999</v>
      </c>
      <c r="AL1326" s="5" t="str">
        <f t="shared" si="42"/>
        <v>Новолялинский городской округ</v>
      </c>
    </row>
    <row r="1327" spans="1:38" ht="15" customHeight="1" x14ac:dyDescent="0.25">
      <c r="A1327" s="5" t="s">
        <v>714</v>
      </c>
      <c r="B1327" s="5" t="s">
        <v>1679</v>
      </c>
      <c r="C1327" s="5">
        <v>28855.326499999999</v>
      </c>
      <c r="D1327" s="5">
        <v>28855.326499999999</v>
      </c>
      <c r="E1327" s="5">
        <v>25951.933700000001</v>
      </c>
      <c r="F1327" s="5" t="s">
        <v>7249</v>
      </c>
      <c r="G1327" s="5" t="str">
        <f t="shared" si="41"/>
        <v>Ст.Каменск-Хозспособ</v>
      </c>
      <c r="J1327" s="5"/>
      <c r="AF1327" t="s">
        <v>7217</v>
      </c>
      <c r="AG1327" s="24" t="s">
        <v>6558</v>
      </c>
      <c r="AH1327" s="5" t="s">
        <v>7217</v>
      </c>
      <c r="AI1327" s="5">
        <v>13679.024100000001</v>
      </c>
      <c r="AJ1327" s="5">
        <v>13679.024100000001</v>
      </c>
      <c r="AK1327">
        <v>12704.523999999999</v>
      </c>
      <c r="AL1327" s="5" t="str">
        <f t="shared" si="42"/>
        <v>Новолялинский городской округ</v>
      </c>
    </row>
    <row r="1328" spans="1:38" ht="15" customHeight="1" x14ac:dyDescent="0.25">
      <c r="A1328" s="5" t="s">
        <v>1106</v>
      </c>
      <c r="B1328" s="5" t="s">
        <v>1679</v>
      </c>
      <c r="C1328" s="5">
        <v>28855.326499999999</v>
      </c>
      <c r="D1328" s="5">
        <v>28855.326499999999</v>
      </c>
      <c r="E1328" s="5">
        <v>25951.933700000001</v>
      </c>
      <c r="F1328" s="5" t="s">
        <v>7249</v>
      </c>
      <c r="G1328" s="5" t="str">
        <f t="shared" si="41"/>
        <v>Ст.Каменск-Хозспособ</v>
      </c>
      <c r="J1328" s="5"/>
      <c r="AF1328" t="s">
        <v>7217</v>
      </c>
      <c r="AG1328" s="24" t="s">
        <v>6559</v>
      </c>
      <c r="AH1328" s="5" t="s">
        <v>7217</v>
      </c>
      <c r="AI1328" s="5">
        <v>13679.024100000001</v>
      </c>
      <c r="AJ1328" s="5">
        <v>13679.024100000001</v>
      </c>
      <c r="AK1328">
        <v>12704.523999999999</v>
      </c>
      <c r="AL1328" s="5" t="str">
        <f t="shared" si="42"/>
        <v>Новолялинский городской округ</v>
      </c>
    </row>
    <row r="1329" spans="1:38" ht="15" customHeight="1" x14ac:dyDescent="0.25">
      <c r="A1329" s="5" t="s">
        <v>1487</v>
      </c>
      <c r="B1329" s="5" t="s">
        <v>1679</v>
      </c>
      <c r="C1329" s="5">
        <v>28855.326499999999</v>
      </c>
      <c r="D1329" s="5">
        <v>28855.326499999999</v>
      </c>
      <c r="E1329" s="5">
        <v>25951.933700000001</v>
      </c>
      <c r="F1329" s="5" t="s">
        <v>7249</v>
      </c>
      <c r="G1329" s="5" t="str">
        <f t="shared" si="41"/>
        <v>Ст.Каменск-Хозспособ</v>
      </c>
      <c r="J1329" s="5"/>
      <c r="AF1329" t="s">
        <v>7217</v>
      </c>
      <c r="AG1329" s="24" t="s">
        <v>6560</v>
      </c>
      <c r="AH1329" s="5" t="s">
        <v>7217</v>
      </c>
      <c r="AI1329" s="5">
        <v>13679.024100000001</v>
      </c>
      <c r="AJ1329" s="5">
        <v>13679.024100000001</v>
      </c>
      <c r="AK1329">
        <v>12704.523999999999</v>
      </c>
      <c r="AL1329" s="5" t="str">
        <f t="shared" si="42"/>
        <v>Новолялинский городской округ</v>
      </c>
    </row>
    <row r="1330" spans="1:38" ht="15" customHeight="1" x14ac:dyDescent="0.25">
      <c r="A1330" s="5" t="s">
        <v>1572</v>
      </c>
      <c r="B1330" s="5" t="s">
        <v>1679</v>
      </c>
      <c r="C1330" s="5">
        <v>28855.326499999999</v>
      </c>
      <c r="D1330" s="5">
        <v>28855.326499999999</v>
      </c>
      <c r="E1330" s="5">
        <v>25951.933700000001</v>
      </c>
      <c r="F1330" s="5" t="s">
        <v>7249</v>
      </c>
      <c r="G1330" s="5" t="str">
        <f t="shared" si="41"/>
        <v>Ст.Каменск-Хозспособ</v>
      </c>
      <c r="J1330" s="5"/>
      <c r="AF1330" t="s">
        <v>7217</v>
      </c>
      <c r="AG1330" s="24" t="s">
        <v>6561</v>
      </c>
      <c r="AH1330" s="5" t="s">
        <v>7217</v>
      </c>
      <c r="AI1330" s="5">
        <v>13679.024100000001</v>
      </c>
      <c r="AJ1330" s="5">
        <v>13679.024100000001</v>
      </c>
      <c r="AK1330">
        <v>12704.523999999999</v>
      </c>
      <c r="AL1330" s="5" t="str">
        <f t="shared" si="42"/>
        <v>Новолялинский городской округ</v>
      </c>
    </row>
    <row r="1331" spans="1:38" ht="15" customHeight="1" x14ac:dyDescent="0.25">
      <c r="A1331" s="5" t="s">
        <v>1600</v>
      </c>
      <c r="B1331" s="5" t="s">
        <v>1679</v>
      </c>
      <c r="C1331" s="5">
        <v>28855.326499999999</v>
      </c>
      <c r="D1331" s="5">
        <v>28855.326499999999</v>
      </c>
      <c r="E1331" s="5">
        <v>25951.933700000001</v>
      </c>
      <c r="F1331" s="5" t="s">
        <v>7249</v>
      </c>
      <c r="G1331" s="5" t="str">
        <f t="shared" si="41"/>
        <v>Ст.Каменск-Хозспособ</v>
      </c>
      <c r="J1331" s="5"/>
      <c r="AF1331" t="s">
        <v>7217</v>
      </c>
      <c r="AG1331" s="24" t="s">
        <v>6562</v>
      </c>
      <c r="AH1331" s="5" t="s">
        <v>7217</v>
      </c>
      <c r="AI1331" s="5">
        <v>13679.024100000001</v>
      </c>
      <c r="AJ1331" s="5">
        <v>13679.024100000001</v>
      </c>
      <c r="AK1331">
        <v>12704.523999999999</v>
      </c>
      <c r="AL1331" s="5" t="str">
        <f t="shared" si="42"/>
        <v>Новолялинский городской округ</v>
      </c>
    </row>
    <row r="1332" spans="1:38" ht="15" customHeight="1" x14ac:dyDescent="0.25">
      <c r="A1332" s="5" t="s">
        <v>662</v>
      </c>
      <c r="B1332" s="5" t="s">
        <v>1679</v>
      </c>
      <c r="C1332" s="5">
        <v>28855.326499999999</v>
      </c>
      <c r="D1332" s="5">
        <v>28855.326499999999</v>
      </c>
      <c r="E1332" s="5">
        <v>25951.933700000001</v>
      </c>
      <c r="F1332" s="5" t="s">
        <v>7249</v>
      </c>
      <c r="G1332" s="5" t="str">
        <f t="shared" si="41"/>
        <v>Ст.Каменск-Хозспособ</v>
      </c>
      <c r="J1332" s="5"/>
      <c r="AF1332" t="s">
        <v>7217</v>
      </c>
      <c r="AG1332" s="24" t="s">
        <v>6563</v>
      </c>
      <c r="AH1332" s="5" t="s">
        <v>7217</v>
      </c>
      <c r="AI1332" s="5">
        <v>13679.024100000001</v>
      </c>
      <c r="AJ1332" s="5">
        <v>13679.024100000001</v>
      </c>
      <c r="AK1332">
        <v>12704.523999999999</v>
      </c>
      <c r="AL1332" s="5" t="str">
        <f t="shared" si="42"/>
        <v>Новолялинский городской округ</v>
      </c>
    </row>
    <row r="1333" spans="1:38" ht="15" customHeight="1" x14ac:dyDescent="0.25">
      <c r="A1333" s="5" t="s">
        <v>1377</v>
      </c>
      <c r="B1333" s="5" t="s">
        <v>1679</v>
      </c>
      <c r="C1333" s="5">
        <v>28855.326499999999</v>
      </c>
      <c r="D1333" s="5">
        <v>28855.326499999999</v>
      </c>
      <c r="E1333" s="5">
        <v>25951.933700000001</v>
      </c>
      <c r="F1333" s="5" t="s">
        <v>7249</v>
      </c>
      <c r="G1333" s="5" t="str">
        <f t="shared" si="41"/>
        <v>Ст.Каменск-Хозспособ</v>
      </c>
      <c r="J1333" s="5"/>
      <c r="AF1333" t="s">
        <v>7217</v>
      </c>
      <c r="AG1333" s="24" t="s">
        <v>6564</v>
      </c>
      <c r="AH1333" s="5" t="s">
        <v>7217</v>
      </c>
      <c r="AI1333" s="5">
        <v>13679.024100000001</v>
      </c>
      <c r="AJ1333" s="5">
        <v>13679.024100000001</v>
      </c>
      <c r="AK1333">
        <v>12704.523999999999</v>
      </c>
      <c r="AL1333" s="5" t="str">
        <f t="shared" si="42"/>
        <v>Новолялинский городской округ</v>
      </c>
    </row>
    <row r="1334" spans="1:38" ht="15" customHeight="1" x14ac:dyDescent="0.25">
      <c r="A1334" s="5" t="s">
        <v>1331</v>
      </c>
      <c r="B1334" s="5" t="s">
        <v>1679</v>
      </c>
      <c r="C1334" s="5">
        <v>28855.326499999999</v>
      </c>
      <c r="D1334" s="5">
        <v>28855.326499999999</v>
      </c>
      <c r="E1334" s="5">
        <v>25951.933700000001</v>
      </c>
      <c r="F1334" s="5" t="s">
        <v>7249</v>
      </c>
      <c r="G1334" s="5" t="str">
        <f t="shared" si="41"/>
        <v>Ст.Каменск-Хозспособ</v>
      </c>
      <c r="J1334" s="5"/>
      <c r="AF1334" t="s">
        <v>7218</v>
      </c>
      <c r="AG1334" s="24" t="s">
        <v>6565</v>
      </c>
      <c r="AH1334" s="5" t="s">
        <v>7218</v>
      </c>
      <c r="AI1334" s="5">
        <v>20772.3334</v>
      </c>
      <c r="AJ1334" s="5">
        <v>20772.3334</v>
      </c>
      <c r="AK1334">
        <v>20358.5141</v>
      </c>
      <c r="AL1334" s="5" t="str">
        <f t="shared" si="42"/>
        <v>Новоуральский городской округ</v>
      </c>
    </row>
    <row r="1335" spans="1:38" ht="15" customHeight="1" x14ac:dyDescent="0.25">
      <c r="A1335" s="5" t="s">
        <v>922</v>
      </c>
      <c r="B1335" s="5" t="s">
        <v>1679</v>
      </c>
      <c r="C1335" s="5">
        <v>28855.326499999999</v>
      </c>
      <c r="D1335" s="5">
        <v>28855.326499999999</v>
      </c>
      <c r="E1335" s="5">
        <v>25951.933700000001</v>
      </c>
      <c r="F1335" s="5" t="s">
        <v>7249</v>
      </c>
      <c r="G1335" s="5" t="str">
        <f t="shared" si="41"/>
        <v>Ст.Каменск-Хозспособ</v>
      </c>
      <c r="J1335" s="5"/>
      <c r="AF1335" t="s">
        <v>7218</v>
      </c>
      <c r="AG1335" s="24" t="s">
        <v>6566</v>
      </c>
      <c r="AH1335" s="5" t="s">
        <v>7218</v>
      </c>
      <c r="AI1335" s="5">
        <v>20772.3334</v>
      </c>
      <c r="AJ1335" s="5">
        <v>20772.3334</v>
      </c>
      <c r="AK1335">
        <v>20358.5141</v>
      </c>
      <c r="AL1335" s="5" t="str">
        <f t="shared" si="42"/>
        <v>Новоуральский городской округ</v>
      </c>
    </row>
    <row r="1336" spans="1:38" ht="15" customHeight="1" x14ac:dyDescent="0.25">
      <c r="A1336" s="5" t="s">
        <v>1228</v>
      </c>
      <c r="B1336" s="5" t="s">
        <v>1679</v>
      </c>
      <c r="C1336" s="5">
        <v>28855.326499999999</v>
      </c>
      <c r="D1336" s="5">
        <v>28855.326499999999</v>
      </c>
      <c r="E1336" s="5">
        <v>25951.933700000001</v>
      </c>
      <c r="F1336" s="5" t="s">
        <v>7249</v>
      </c>
      <c r="G1336" s="5" t="str">
        <f t="shared" si="41"/>
        <v>Ст.Каменск-Хозспособ</v>
      </c>
      <c r="J1336" s="5"/>
      <c r="AF1336" t="s">
        <v>7218</v>
      </c>
      <c r="AG1336" s="24" t="s">
        <v>6567</v>
      </c>
      <c r="AH1336" s="5" t="s">
        <v>7218</v>
      </c>
      <c r="AI1336" s="5">
        <v>20772.3334</v>
      </c>
      <c r="AJ1336" s="5">
        <v>20772.3334</v>
      </c>
      <c r="AK1336">
        <v>20358.5141</v>
      </c>
      <c r="AL1336" s="5" t="str">
        <f t="shared" si="42"/>
        <v>Новоуральский городской округ</v>
      </c>
    </row>
    <row r="1337" spans="1:38" ht="15" customHeight="1" x14ac:dyDescent="0.25">
      <c r="A1337" s="5" t="s">
        <v>1337</v>
      </c>
      <c r="B1337" s="5" t="s">
        <v>1679</v>
      </c>
      <c r="C1337" s="5">
        <v>28855.326499999999</v>
      </c>
      <c r="D1337" s="5">
        <v>28855.326499999999</v>
      </c>
      <c r="E1337" s="5">
        <v>25951.933700000001</v>
      </c>
      <c r="F1337" s="5" t="s">
        <v>7249</v>
      </c>
      <c r="G1337" s="5" t="str">
        <f t="shared" si="41"/>
        <v>Ст.Каменск-Хозспособ</v>
      </c>
      <c r="J1337" s="5"/>
      <c r="AF1337" t="s">
        <v>7218</v>
      </c>
      <c r="AG1337" s="24" t="s">
        <v>6568</v>
      </c>
      <c r="AH1337" s="5" t="s">
        <v>7218</v>
      </c>
      <c r="AI1337" s="5">
        <v>27822.4143</v>
      </c>
      <c r="AJ1337" s="5">
        <v>27822.4143</v>
      </c>
      <c r="AK1337">
        <v>27268.1332</v>
      </c>
      <c r="AL1337" s="5" t="str">
        <f t="shared" si="42"/>
        <v>Новоуральский городской округ</v>
      </c>
    </row>
    <row r="1338" spans="1:38" ht="15" customHeight="1" x14ac:dyDescent="0.25">
      <c r="A1338" s="5" t="s">
        <v>1048</v>
      </c>
      <c r="B1338" s="5" t="s">
        <v>1679</v>
      </c>
      <c r="C1338" s="5">
        <v>28855.326499999999</v>
      </c>
      <c r="D1338" s="5">
        <v>28855.326499999999</v>
      </c>
      <c r="E1338" s="5">
        <v>25951.933700000001</v>
      </c>
      <c r="F1338" s="5" t="s">
        <v>7249</v>
      </c>
      <c r="G1338" s="5" t="str">
        <f t="shared" si="41"/>
        <v>Ст.Каменск-Хозспособ</v>
      </c>
      <c r="J1338" s="5"/>
      <c r="AF1338" t="s">
        <v>7218</v>
      </c>
      <c r="AG1338" s="24" t="s">
        <v>6569</v>
      </c>
      <c r="AH1338" s="5" t="s">
        <v>7218</v>
      </c>
      <c r="AI1338" s="5">
        <v>20772.3334</v>
      </c>
      <c r="AJ1338" s="5">
        <v>20772.3334</v>
      </c>
      <c r="AK1338">
        <v>20358.5141</v>
      </c>
      <c r="AL1338" s="5" t="str">
        <f t="shared" si="42"/>
        <v>Новоуральский городской округ</v>
      </c>
    </row>
    <row r="1339" spans="1:38" ht="15" customHeight="1" x14ac:dyDescent="0.25">
      <c r="A1339" s="5" t="s">
        <v>1391</v>
      </c>
      <c r="B1339" s="5" t="s">
        <v>1679</v>
      </c>
      <c r="C1339" s="5">
        <v>28855.326499999999</v>
      </c>
      <c r="D1339" s="5">
        <v>28855.326499999999</v>
      </c>
      <c r="E1339" s="5">
        <v>25951.933700000001</v>
      </c>
      <c r="F1339" s="5" t="s">
        <v>7249</v>
      </c>
      <c r="G1339" s="5" t="str">
        <f t="shared" si="41"/>
        <v>Ст.Каменск-Хозспособ</v>
      </c>
      <c r="J1339" s="5"/>
      <c r="AF1339" t="s">
        <v>7218</v>
      </c>
      <c r="AG1339" s="24" t="s">
        <v>6570</v>
      </c>
      <c r="AH1339" s="5" t="s">
        <v>7218</v>
      </c>
      <c r="AI1339" s="5">
        <v>23028.547200000001</v>
      </c>
      <c r="AJ1339" s="5">
        <v>23028.547200000001</v>
      </c>
      <c r="AK1339">
        <v>22569.7755</v>
      </c>
      <c r="AL1339" s="5" t="str">
        <f t="shared" si="42"/>
        <v>Новоуральский городской округ</v>
      </c>
    </row>
    <row r="1340" spans="1:38" ht="15" customHeight="1" x14ac:dyDescent="0.25">
      <c r="A1340" s="5" t="s">
        <v>716</v>
      </c>
      <c r="B1340" s="5" t="s">
        <v>1679</v>
      </c>
      <c r="C1340" s="5">
        <v>28855.326499999999</v>
      </c>
      <c r="D1340" s="5">
        <v>28855.326499999999</v>
      </c>
      <c r="E1340" s="5">
        <v>25951.933700000001</v>
      </c>
      <c r="F1340" s="5" t="s">
        <v>7249</v>
      </c>
      <c r="G1340" s="5" t="str">
        <f t="shared" si="41"/>
        <v>Ст.Каменск-Хозспособ</v>
      </c>
      <c r="J1340" s="5"/>
      <c r="AF1340" t="s">
        <v>7218</v>
      </c>
      <c r="AG1340" s="24" t="s">
        <v>6571</v>
      </c>
      <c r="AH1340" s="5" t="s">
        <v>7218</v>
      </c>
      <c r="AI1340" s="5">
        <v>23028.547200000001</v>
      </c>
      <c r="AJ1340" s="5">
        <v>23028.547200000001</v>
      </c>
      <c r="AK1340">
        <v>22569.7755</v>
      </c>
      <c r="AL1340" s="5" t="str">
        <f t="shared" si="42"/>
        <v>Новоуральский городской округ</v>
      </c>
    </row>
    <row r="1341" spans="1:38" ht="15" customHeight="1" x14ac:dyDescent="0.25">
      <c r="A1341" s="5" t="s">
        <v>1287</v>
      </c>
      <c r="B1341" s="5" t="s">
        <v>1679</v>
      </c>
      <c r="C1341" s="5">
        <v>28855.326499999999</v>
      </c>
      <c r="D1341" s="5">
        <v>28855.326499999999</v>
      </c>
      <c r="E1341" s="5">
        <v>25951.933700000001</v>
      </c>
      <c r="F1341" s="5" t="s">
        <v>7249</v>
      </c>
      <c r="G1341" s="5" t="str">
        <f t="shared" si="41"/>
        <v>Ст.Каменск-Хозспособ</v>
      </c>
      <c r="J1341" s="5"/>
      <c r="AF1341" t="s">
        <v>7219</v>
      </c>
      <c r="AG1341" s="24" t="s">
        <v>6572</v>
      </c>
      <c r="AH1341" s="5" t="s">
        <v>7219</v>
      </c>
      <c r="AI1341" s="5">
        <v>29414.077000000001</v>
      </c>
      <c r="AJ1341" s="5">
        <v>29414.077000000001</v>
      </c>
      <c r="AK1341">
        <v>28828.0867</v>
      </c>
      <c r="AL1341" s="5" t="str">
        <f t="shared" si="42"/>
        <v>Полевской городской округ</v>
      </c>
    </row>
    <row r="1342" spans="1:38" ht="15" customHeight="1" x14ac:dyDescent="0.25">
      <c r="A1342" s="5" t="s">
        <v>1376</v>
      </c>
      <c r="B1342" s="5" t="s">
        <v>1679</v>
      </c>
      <c r="C1342" s="5">
        <v>28855.326499999999</v>
      </c>
      <c r="D1342" s="5">
        <v>28855.326499999999</v>
      </c>
      <c r="E1342" s="5">
        <v>25951.933700000001</v>
      </c>
      <c r="F1342" s="5" t="s">
        <v>7249</v>
      </c>
      <c r="G1342" s="5" t="str">
        <f t="shared" si="41"/>
        <v>Ст.Каменск-Хозспособ</v>
      </c>
      <c r="J1342" s="5"/>
      <c r="AF1342" t="s">
        <v>7219</v>
      </c>
      <c r="AG1342" s="24" t="s">
        <v>6573</v>
      </c>
      <c r="AH1342" s="5" t="s">
        <v>7219</v>
      </c>
      <c r="AI1342" s="5">
        <v>29414.077000000001</v>
      </c>
      <c r="AJ1342" s="5">
        <v>29414.077000000001</v>
      </c>
      <c r="AK1342">
        <v>28828.0867</v>
      </c>
      <c r="AL1342" s="5" t="str">
        <f t="shared" si="42"/>
        <v>Полевской городской округ</v>
      </c>
    </row>
    <row r="1343" spans="1:38" ht="15" customHeight="1" x14ac:dyDescent="0.25">
      <c r="A1343" s="5" t="s">
        <v>1153</v>
      </c>
      <c r="B1343" s="5" t="s">
        <v>1679</v>
      </c>
      <c r="C1343" s="5">
        <v>28855.326499999999</v>
      </c>
      <c r="D1343" s="5">
        <v>28855.326499999999</v>
      </c>
      <c r="E1343" s="5">
        <v>25951.933700000001</v>
      </c>
      <c r="F1343" s="5" t="s">
        <v>7249</v>
      </c>
      <c r="G1343" s="5" t="str">
        <f t="shared" si="41"/>
        <v>Ст.Каменск-Хозспособ</v>
      </c>
      <c r="J1343" s="5"/>
      <c r="AF1343" t="s">
        <v>7219</v>
      </c>
      <c r="AG1343" s="24" t="s">
        <v>6574</v>
      </c>
      <c r="AH1343" s="5" t="s">
        <v>7219</v>
      </c>
      <c r="AI1343" s="5">
        <v>29414.077000000001</v>
      </c>
      <c r="AJ1343" s="5">
        <v>29414.077000000001</v>
      </c>
      <c r="AK1343">
        <v>28828.0867</v>
      </c>
      <c r="AL1343" s="5" t="str">
        <f t="shared" si="42"/>
        <v>Полевской городской округ</v>
      </c>
    </row>
    <row r="1344" spans="1:38" ht="15" customHeight="1" x14ac:dyDescent="0.25">
      <c r="A1344" s="5" t="s">
        <v>1554</v>
      </c>
      <c r="B1344" s="5" t="s">
        <v>1679</v>
      </c>
      <c r="C1344" s="5">
        <v>28855.326499999999</v>
      </c>
      <c r="D1344" s="5">
        <v>28855.326499999999</v>
      </c>
      <c r="E1344" s="5">
        <v>25951.933700000001</v>
      </c>
      <c r="F1344" s="5" t="s">
        <v>7249</v>
      </c>
      <c r="G1344" s="5" t="str">
        <f t="shared" si="41"/>
        <v>Ст.Каменск-Хозспособ</v>
      </c>
      <c r="J1344" s="5"/>
      <c r="AF1344" t="s">
        <v>7219</v>
      </c>
      <c r="AG1344" s="24" t="s">
        <v>6575</v>
      </c>
      <c r="AH1344" s="5" t="s">
        <v>7219</v>
      </c>
      <c r="AI1344" s="5">
        <v>29414.077000000001</v>
      </c>
      <c r="AJ1344" s="5">
        <v>29414.077000000001</v>
      </c>
      <c r="AK1344">
        <v>28828.0867</v>
      </c>
      <c r="AL1344" s="5" t="str">
        <f t="shared" si="42"/>
        <v>Полевской городской округ</v>
      </c>
    </row>
    <row r="1345" spans="1:38" ht="15" customHeight="1" x14ac:dyDescent="0.25">
      <c r="A1345" s="5" t="s">
        <v>1416</v>
      </c>
      <c r="B1345" s="5" t="s">
        <v>1679</v>
      </c>
      <c r="C1345" s="5">
        <v>28855.326499999999</v>
      </c>
      <c r="D1345" s="5">
        <v>28855.326499999999</v>
      </c>
      <c r="E1345" s="5">
        <v>25951.933700000001</v>
      </c>
      <c r="F1345" s="5" t="s">
        <v>7249</v>
      </c>
      <c r="G1345" s="5" t="str">
        <f t="shared" si="41"/>
        <v>Ст.Каменск-Хозспособ</v>
      </c>
      <c r="J1345" s="5"/>
      <c r="AF1345" t="s">
        <v>7219</v>
      </c>
      <c r="AG1345" s="24" t="s">
        <v>6576</v>
      </c>
      <c r="AH1345" s="5" t="s">
        <v>7219</v>
      </c>
      <c r="AI1345" s="5">
        <v>29414.077000000001</v>
      </c>
      <c r="AJ1345" s="5">
        <v>29414.077000000001</v>
      </c>
      <c r="AK1345">
        <v>28828.0867</v>
      </c>
      <c r="AL1345" s="5" t="str">
        <f t="shared" si="42"/>
        <v>Полевской городской округ</v>
      </c>
    </row>
    <row r="1346" spans="1:38" ht="15" customHeight="1" x14ac:dyDescent="0.25">
      <c r="A1346" s="5" t="s">
        <v>1335</v>
      </c>
      <c r="B1346" s="5" t="s">
        <v>1679</v>
      </c>
      <c r="C1346" s="5">
        <v>28855.326499999999</v>
      </c>
      <c r="D1346" s="5">
        <v>28855.326499999999</v>
      </c>
      <c r="E1346" s="5">
        <v>25951.933700000001</v>
      </c>
      <c r="F1346" s="5" t="s">
        <v>7249</v>
      </c>
      <c r="G1346" s="5" t="str">
        <f t="shared" si="41"/>
        <v>Ст.Каменск-Хозспособ</v>
      </c>
      <c r="J1346" s="5"/>
      <c r="AF1346" t="s">
        <v>7219</v>
      </c>
      <c r="AG1346" s="24" t="s">
        <v>6577</v>
      </c>
      <c r="AH1346" s="5" t="s">
        <v>7219</v>
      </c>
      <c r="AI1346" s="5">
        <v>29414.077000000001</v>
      </c>
      <c r="AJ1346" s="5">
        <v>29414.077000000001</v>
      </c>
      <c r="AK1346">
        <v>28828.0867</v>
      </c>
      <c r="AL1346" s="5" t="str">
        <f t="shared" si="42"/>
        <v>Полевской городской округ</v>
      </c>
    </row>
    <row r="1347" spans="1:38" ht="15" customHeight="1" x14ac:dyDescent="0.25">
      <c r="A1347" s="5" t="s">
        <v>1608</v>
      </c>
      <c r="B1347" s="5" t="s">
        <v>1679</v>
      </c>
      <c r="C1347" s="5">
        <v>28855.326499999999</v>
      </c>
      <c r="D1347" s="5">
        <v>28855.326499999999</v>
      </c>
      <c r="E1347" s="5">
        <v>25951.933700000001</v>
      </c>
      <c r="F1347" s="5" t="s">
        <v>7249</v>
      </c>
      <c r="G1347" s="5" t="str">
        <f t="shared" si="41"/>
        <v>Ст.Каменск-Хозспособ</v>
      </c>
      <c r="J1347" s="5"/>
      <c r="AF1347" t="s">
        <v>7219</v>
      </c>
      <c r="AG1347" s="24" t="s">
        <v>6578</v>
      </c>
      <c r="AH1347" s="5" t="s">
        <v>7219</v>
      </c>
      <c r="AI1347" s="5">
        <v>29414.077000000001</v>
      </c>
      <c r="AJ1347" s="5">
        <v>29414.077000000001</v>
      </c>
      <c r="AK1347">
        <v>28828.0867</v>
      </c>
      <c r="AL1347" s="5" t="str">
        <f t="shared" si="42"/>
        <v>Полевской городской округ</v>
      </c>
    </row>
    <row r="1348" spans="1:38" ht="15" customHeight="1" x14ac:dyDescent="0.25">
      <c r="A1348" s="5" t="s">
        <v>606</v>
      </c>
      <c r="B1348" s="5" t="s">
        <v>1679</v>
      </c>
      <c r="C1348" s="5">
        <v>28855.326499999999</v>
      </c>
      <c r="D1348" s="5">
        <v>28855.326499999999</v>
      </c>
      <c r="E1348" s="5">
        <v>25951.933700000001</v>
      </c>
      <c r="F1348" s="5" t="s">
        <v>7249</v>
      </c>
      <c r="G1348" s="5" t="str">
        <f t="shared" ref="G1348:G1411" si="43">B1348</f>
        <v>Ст.Каменск-Хозспособ</v>
      </c>
      <c r="J1348" s="5"/>
      <c r="AF1348" t="s">
        <v>7219</v>
      </c>
      <c r="AG1348" s="24" t="s">
        <v>6579</v>
      </c>
      <c r="AH1348" s="5" t="s">
        <v>7219</v>
      </c>
      <c r="AI1348" s="5">
        <v>29414.077000000001</v>
      </c>
      <c r="AJ1348" s="5">
        <v>29414.077000000001</v>
      </c>
      <c r="AK1348">
        <v>28828.0867</v>
      </c>
      <c r="AL1348" s="5" t="str">
        <f t="shared" ref="AL1348:AL1411" si="44">AF1348</f>
        <v>Полевской городской округ</v>
      </c>
    </row>
    <row r="1349" spans="1:38" ht="15" customHeight="1" x14ac:dyDescent="0.25">
      <c r="A1349" s="5" t="s">
        <v>1213</v>
      </c>
      <c r="B1349" s="5" t="s">
        <v>1679</v>
      </c>
      <c r="C1349" s="5">
        <v>28855.326499999999</v>
      </c>
      <c r="D1349" s="5">
        <v>28855.326499999999</v>
      </c>
      <c r="E1349" s="5">
        <v>25951.933700000001</v>
      </c>
      <c r="F1349" s="5" t="s">
        <v>7249</v>
      </c>
      <c r="G1349" s="5" t="str">
        <f t="shared" si="43"/>
        <v>Ст.Каменск-Хозспособ</v>
      </c>
      <c r="J1349" s="5"/>
      <c r="AF1349" t="s">
        <v>7219</v>
      </c>
      <c r="AG1349" s="24" t="s">
        <v>6580</v>
      </c>
      <c r="AH1349" s="5" t="s">
        <v>7219</v>
      </c>
      <c r="AI1349" s="5">
        <v>29414.077000000001</v>
      </c>
      <c r="AJ1349" s="5">
        <v>29414.077000000001</v>
      </c>
      <c r="AK1349">
        <v>28828.0867</v>
      </c>
      <c r="AL1349" s="5" t="str">
        <f t="shared" si="44"/>
        <v>Полевской городской округ</v>
      </c>
    </row>
    <row r="1350" spans="1:38" ht="15" customHeight="1" x14ac:dyDescent="0.25">
      <c r="A1350" s="5" t="s">
        <v>991</v>
      </c>
      <c r="B1350" s="5" t="s">
        <v>1679</v>
      </c>
      <c r="C1350" s="5">
        <v>28855.326499999999</v>
      </c>
      <c r="D1350" s="5">
        <v>28855.326499999999</v>
      </c>
      <c r="E1350" s="5">
        <v>25951.933700000001</v>
      </c>
      <c r="F1350" s="5" t="s">
        <v>7249</v>
      </c>
      <c r="G1350" s="5" t="str">
        <f t="shared" si="43"/>
        <v>Ст.Каменск-Хозспособ</v>
      </c>
      <c r="J1350" s="5"/>
      <c r="AF1350" t="s">
        <v>7219</v>
      </c>
      <c r="AG1350" s="24" t="s">
        <v>6581</v>
      </c>
      <c r="AH1350" s="5" t="s">
        <v>7219</v>
      </c>
      <c r="AI1350" s="5">
        <v>29414.077000000001</v>
      </c>
      <c r="AJ1350" s="5">
        <v>29414.077000000001</v>
      </c>
      <c r="AK1350">
        <v>28828.0867</v>
      </c>
      <c r="AL1350" s="5" t="str">
        <f t="shared" si="44"/>
        <v>Полевской городской округ</v>
      </c>
    </row>
    <row r="1351" spans="1:38" ht="15" customHeight="1" x14ac:dyDescent="0.25">
      <c r="A1351" s="5" t="s">
        <v>1538</v>
      </c>
      <c r="B1351" s="5" t="s">
        <v>1679</v>
      </c>
      <c r="C1351" s="5">
        <v>28855.326499999999</v>
      </c>
      <c r="D1351" s="5">
        <v>28855.326499999999</v>
      </c>
      <c r="E1351" s="5">
        <v>25951.933700000001</v>
      </c>
      <c r="F1351" s="5" t="s">
        <v>7249</v>
      </c>
      <c r="G1351" s="5" t="str">
        <f t="shared" si="43"/>
        <v>Ст.Каменск-Хозспособ</v>
      </c>
      <c r="J1351" s="5"/>
      <c r="AF1351" t="s">
        <v>7219</v>
      </c>
      <c r="AG1351" s="24" t="s">
        <v>6582</v>
      </c>
      <c r="AH1351" s="5" t="s">
        <v>7219</v>
      </c>
      <c r="AI1351" s="5">
        <v>29414.077000000001</v>
      </c>
      <c r="AJ1351" s="5">
        <v>29414.077000000001</v>
      </c>
      <c r="AK1351">
        <v>28828.0867</v>
      </c>
      <c r="AL1351" s="5" t="str">
        <f t="shared" si="44"/>
        <v>Полевской городской округ</v>
      </c>
    </row>
    <row r="1352" spans="1:38" ht="15" customHeight="1" x14ac:dyDescent="0.25">
      <c r="A1352" s="5" t="s">
        <v>377</v>
      </c>
      <c r="B1352" s="5" t="s">
        <v>1679</v>
      </c>
      <c r="C1352" s="5">
        <v>28855.326499999999</v>
      </c>
      <c r="D1352" s="5">
        <v>28855.326499999999</v>
      </c>
      <c r="E1352" s="5">
        <v>25951.933700000001</v>
      </c>
      <c r="F1352" s="5" t="s">
        <v>7249</v>
      </c>
      <c r="G1352" s="5" t="str">
        <f t="shared" si="43"/>
        <v>Ст.Каменск-Хозспособ</v>
      </c>
      <c r="J1352" s="5"/>
      <c r="AF1352" t="s">
        <v>7219</v>
      </c>
      <c r="AG1352" s="24" t="s">
        <v>6583</v>
      </c>
      <c r="AH1352" s="5" t="s">
        <v>7219</v>
      </c>
      <c r="AI1352" s="5">
        <v>29414.077000000001</v>
      </c>
      <c r="AJ1352" s="5">
        <v>29414.077000000001</v>
      </c>
      <c r="AK1352">
        <v>28828.0867</v>
      </c>
      <c r="AL1352" s="5" t="str">
        <f t="shared" si="44"/>
        <v>Полевской городской округ</v>
      </c>
    </row>
    <row r="1353" spans="1:38" ht="15" customHeight="1" x14ac:dyDescent="0.25">
      <c r="A1353" s="5" t="s">
        <v>863</v>
      </c>
      <c r="B1353" s="5" t="s">
        <v>7234</v>
      </c>
      <c r="C1353" s="5">
        <v>25238.569899999999</v>
      </c>
      <c r="D1353" s="5">
        <v>25238.569899999999</v>
      </c>
      <c r="E1353" s="5">
        <v>24735.775000000001</v>
      </c>
      <c r="F1353" s="5" t="s">
        <v>7249</v>
      </c>
      <c r="G1353" s="5" t="str">
        <f t="shared" si="43"/>
        <v>МОНАСТЫРКА</v>
      </c>
      <c r="J1353" s="5"/>
      <c r="AF1353" t="s">
        <v>7219</v>
      </c>
      <c r="AG1353" s="24" t="s">
        <v>6584</v>
      </c>
      <c r="AH1353" s="5" t="s">
        <v>7219</v>
      </c>
      <c r="AI1353" s="5">
        <v>39397.133500000004</v>
      </c>
      <c r="AJ1353" s="5">
        <v>39397.133500000004</v>
      </c>
      <c r="AK1353">
        <v>38612.258900000001</v>
      </c>
      <c r="AL1353" s="5" t="str">
        <f t="shared" si="44"/>
        <v>Полевской городской округ</v>
      </c>
    </row>
    <row r="1354" spans="1:38" ht="15" customHeight="1" x14ac:dyDescent="0.25">
      <c r="A1354" s="5" t="s">
        <v>1366</v>
      </c>
      <c r="B1354" s="5" t="s">
        <v>1683</v>
      </c>
      <c r="C1354" s="5">
        <v>40018.9617</v>
      </c>
      <c r="D1354" s="5">
        <v>40018.9617</v>
      </c>
      <c r="E1354" s="5">
        <v>35129.2961</v>
      </c>
      <c r="F1354" t="s">
        <v>7249</v>
      </c>
      <c r="G1354" s="5" t="str">
        <f t="shared" si="43"/>
        <v>Алт_Гальян_М-Кушва</v>
      </c>
      <c r="J1354" s="5"/>
      <c r="AF1354" t="s">
        <v>7219</v>
      </c>
      <c r="AG1354" s="24" t="s">
        <v>6585</v>
      </c>
      <c r="AH1354" s="5" t="s">
        <v>7219</v>
      </c>
      <c r="AI1354" s="5">
        <v>29414.077000000001</v>
      </c>
      <c r="AJ1354" s="5">
        <v>29414.077000000001</v>
      </c>
      <c r="AK1354">
        <v>28828.0867</v>
      </c>
      <c r="AL1354" s="5" t="str">
        <f t="shared" si="44"/>
        <v>Полевской городской округ</v>
      </c>
    </row>
    <row r="1355" spans="1:38" ht="15" customHeight="1" x14ac:dyDescent="0.25">
      <c r="A1355" s="5" t="s">
        <v>393</v>
      </c>
      <c r="B1355" s="5" t="s">
        <v>1683</v>
      </c>
      <c r="C1355" s="5">
        <v>40018.9617</v>
      </c>
      <c r="D1355" s="5">
        <v>40018.9617</v>
      </c>
      <c r="E1355" s="5">
        <v>35129.2961</v>
      </c>
      <c r="F1355" s="5" t="s">
        <v>7249</v>
      </c>
      <c r="G1355" s="5" t="str">
        <f t="shared" si="43"/>
        <v>Алт_Гальян_М-Кушва</v>
      </c>
      <c r="J1355" s="5"/>
      <c r="AF1355" t="s">
        <v>7219</v>
      </c>
      <c r="AG1355" s="24" t="s">
        <v>6586</v>
      </c>
      <c r="AH1355" s="5" t="s">
        <v>7219</v>
      </c>
      <c r="AI1355" s="5">
        <v>29414.077000000001</v>
      </c>
      <c r="AJ1355" s="5">
        <v>29414.077000000001</v>
      </c>
      <c r="AK1355">
        <v>28828.0867</v>
      </c>
      <c r="AL1355" s="5" t="str">
        <f t="shared" si="44"/>
        <v>Полевской городской округ</v>
      </c>
    </row>
    <row r="1356" spans="1:38" ht="15" customHeight="1" x14ac:dyDescent="0.25">
      <c r="A1356" s="5" t="s">
        <v>349</v>
      </c>
      <c r="B1356" s="5" t="s">
        <v>1683</v>
      </c>
      <c r="C1356" s="5">
        <v>40018.9617</v>
      </c>
      <c r="D1356" s="5">
        <v>40018.9617</v>
      </c>
      <c r="E1356" s="5">
        <v>35129.2961</v>
      </c>
      <c r="F1356" s="5" t="s">
        <v>7249</v>
      </c>
      <c r="G1356" s="5" t="str">
        <f t="shared" si="43"/>
        <v>Алт_Гальян_М-Кушва</v>
      </c>
      <c r="J1356" s="5"/>
      <c r="AF1356" t="s">
        <v>7220</v>
      </c>
      <c r="AG1356" s="24" t="s">
        <v>6587</v>
      </c>
      <c r="AH1356" s="5" t="s">
        <v>7220</v>
      </c>
      <c r="AI1356" s="5">
        <v>18119.8478</v>
      </c>
      <c r="AJ1356" s="5">
        <v>18119.8478</v>
      </c>
      <c r="AK1356">
        <v>16828.978500000001</v>
      </c>
      <c r="AL1356" s="5" t="str">
        <f t="shared" si="44"/>
        <v>Пышминский городской округ</v>
      </c>
    </row>
    <row r="1357" spans="1:38" ht="15" customHeight="1" x14ac:dyDescent="0.25">
      <c r="A1357" s="5" t="s">
        <v>1445</v>
      </c>
      <c r="B1357" s="5" t="s">
        <v>1683</v>
      </c>
      <c r="C1357" s="5">
        <v>40018.9617</v>
      </c>
      <c r="D1357" s="5">
        <v>40018.9617</v>
      </c>
      <c r="E1357" s="5">
        <v>35129.2961</v>
      </c>
      <c r="F1357" s="5" t="s">
        <v>7249</v>
      </c>
      <c r="G1357" s="5" t="str">
        <f t="shared" si="43"/>
        <v>Алт_Гальян_М-Кушва</v>
      </c>
      <c r="J1357" s="5"/>
      <c r="AF1357" t="s">
        <v>7220</v>
      </c>
      <c r="AG1357" s="24" t="s">
        <v>6588</v>
      </c>
      <c r="AH1357" s="5" t="s">
        <v>7220</v>
      </c>
      <c r="AI1357" s="5">
        <v>18119.8478</v>
      </c>
      <c r="AJ1357" s="5">
        <v>18119.8478</v>
      </c>
      <c r="AK1357">
        <v>16828.978500000001</v>
      </c>
      <c r="AL1357" s="5" t="str">
        <f t="shared" si="44"/>
        <v>Пышминский городской округ</v>
      </c>
    </row>
    <row r="1358" spans="1:38" ht="15" customHeight="1" x14ac:dyDescent="0.25">
      <c r="A1358" s="5" t="s">
        <v>332</v>
      </c>
      <c r="B1358" s="5" t="s">
        <v>1683</v>
      </c>
      <c r="C1358" s="5">
        <v>40018.9617</v>
      </c>
      <c r="D1358" s="5">
        <v>40018.9617</v>
      </c>
      <c r="E1358" s="5">
        <v>35129.2961</v>
      </c>
      <c r="F1358" s="5" t="s">
        <v>7249</v>
      </c>
      <c r="G1358" s="5" t="str">
        <f t="shared" si="43"/>
        <v>Алт_Гальян_М-Кушва</v>
      </c>
      <c r="J1358" s="5"/>
      <c r="AF1358" t="s">
        <v>7220</v>
      </c>
      <c r="AG1358" s="24" t="s">
        <v>6589</v>
      </c>
      <c r="AH1358" s="5" t="s">
        <v>7220</v>
      </c>
      <c r="AI1358" s="5">
        <v>18119.8478</v>
      </c>
      <c r="AJ1358" s="5">
        <v>18119.8478</v>
      </c>
      <c r="AK1358">
        <v>16828.978500000001</v>
      </c>
      <c r="AL1358" s="5" t="str">
        <f t="shared" si="44"/>
        <v>Пышминский городской округ</v>
      </c>
    </row>
    <row r="1359" spans="1:38" ht="15" customHeight="1" x14ac:dyDescent="0.25">
      <c r="A1359" s="5" t="s">
        <v>71</v>
      </c>
      <c r="B1359" s="5" t="s">
        <v>1683</v>
      </c>
      <c r="C1359" s="5">
        <v>40018.9617</v>
      </c>
      <c r="D1359" s="5">
        <v>40018.9617</v>
      </c>
      <c r="E1359" s="5">
        <v>35129.2961</v>
      </c>
      <c r="F1359" s="5" t="s">
        <v>7249</v>
      </c>
      <c r="G1359" s="5" t="str">
        <f t="shared" si="43"/>
        <v>Алт_Гальян_М-Кушва</v>
      </c>
      <c r="J1359" s="5"/>
      <c r="AF1359" t="s">
        <v>7220</v>
      </c>
      <c r="AG1359" s="24" t="s">
        <v>6590</v>
      </c>
      <c r="AH1359" s="5" t="s">
        <v>7220</v>
      </c>
      <c r="AI1359" s="5">
        <v>18119.8478</v>
      </c>
      <c r="AJ1359" s="5">
        <v>18119.8478</v>
      </c>
      <c r="AK1359">
        <v>16828.978500000001</v>
      </c>
      <c r="AL1359" s="5" t="str">
        <f t="shared" si="44"/>
        <v>Пышминский городской округ</v>
      </c>
    </row>
    <row r="1360" spans="1:38" ht="15" customHeight="1" x14ac:dyDescent="0.25">
      <c r="A1360" s="5" t="s">
        <v>113</v>
      </c>
      <c r="B1360" s="5" t="s">
        <v>1683</v>
      </c>
      <c r="C1360" s="5">
        <v>40018.9617</v>
      </c>
      <c r="D1360" s="5">
        <v>40018.9617</v>
      </c>
      <c r="E1360" s="5">
        <v>35129.2961</v>
      </c>
      <c r="F1360" s="5" t="s">
        <v>7249</v>
      </c>
      <c r="G1360" s="5" t="str">
        <f t="shared" si="43"/>
        <v>Алт_Гальян_М-Кушва</v>
      </c>
      <c r="J1360" s="5"/>
      <c r="AF1360" t="s">
        <v>7220</v>
      </c>
      <c r="AG1360" s="24" t="s">
        <v>6591</v>
      </c>
      <c r="AH1360" s="5" t="s">
        <v>7220</v>
      </c>
      <c r="AI1360" s="5">
        <v>18119.8478</v>
      </c>
      <c r="AJ1360" s="5">
        <v>18119.8478</v>
      </c>
      <c r="AK1360">
        <v>16828.978500000001</v>
      </c>
      <c r="AL1360" s="5" t="str">
        <f t="shared" si="44"/>
        <v>Пышминский городской округ</v>
      </c>
    </row>
    <row r="1361" spans="1:38" ht="15" customHeight="1" x14ac:dyDescent="0.25">
      <c r="A1361" s="5" t="s">
        <v>247</v>
      </c>
      <c r="B1361" s="5" t="s">
        <v>1683</v>
      </c>
      <c r="C1361" s="5">
        <v>40018.9617</v>
      </c>
      <c r="D1361" s="5">
        <v>40018.9617</v>
      </c>
      <c r="E1361" s="5">
        <v>35129.2961</v>
      </c>
      <c r="F1361" s="5" t="s">
        <v>7249</v>
      </c>
      <c r="G1361" s="5" t="str">
        <f t="shared" si="43"/>
        <v>Алт_Гальян_М-Кушва</v>
      </c>
      <c r="J1361" s="5"/>
      <c r="AF1361" t="s">
        <v>7220</v>
      </c>
      <c r="AG1361" s="24" t="s">
        <v>6592</v>
      </c>
      <c r="AH1361" s="5" t="s">
        <v>7220</v>
      </c>
      <c r="AI1361" s="5">
        <v>18119.8478</v>
      </c>
      <c r="AJ1361" s="5">
        <v>18119.8478</v>
      </c>
      <c r="AK1361">
        <v>16828.978500000001</v>
      </c>
      <c r="AL1361" s="5" t="str">
        <f t="shared" si="44"/>
        <v>Пышминский городской округ</v>
      </c>
    </row>
    <row r="1362" spans="1:38" ht="15" customHeight="1" x14ac:dyDescent="0.25">
      <c r="A1362" s="5" t="s">
        <v>381</v>
      </c>
      <c r="B1362" s="5" t="s">
        <v>1683</v>
      </c>
      <c r="C1362" s="5">
        <v>40018.9617</v>
      </c>
      <c r="D1362" s="5">
        <v>40018.9617</v>
      </c>
      <c r="E1362" s="5">
        <v>35129.2961</v>
      </c>
      <c r="F1362" s="5" t="s">
        <v>7249</v>
      </c>
      <c r="G1362" s="5" t="str">
        <f t="shared" si="43"/>
        <v>Алт_Гальян_М-Кушва</v>
      </c>
      <c r="J1362" s="5"/>
      <c r="AF1362" t="s">
        <v>7220</v>
      </c>
      <c r="AG1362" s="24" t="s">
        <v>6593</v>
      </c>
      <c r="AH1362" s="5" t="s">
        <v>7220</v>
      </c>
      <c r="AI1362" s="5">
        <v>18119.8478</v>
      </c>
      <c r="AJ1362" s="5">
        <v>18119.8478</v>
      </c>
      <c r="AK1362">
        <v>16828.978500000001</v>
      </c>
      <c r="AL1362" s="5" t="str">
        <f t="shared" si="44"/>
        <v>Пышминский городской округ</v>
      </c>
    </row>
    <row r="1363" spans="1:38" ht="15" customHeight="1" x14ac:dyDescent="0.25">
      <c r="A1363" s="5" t="s">
        <v>330</v>
      </c>
      <c r="B1363" s="5" t="s">
        <v>1683</v>
      </c>
      <c r="C1363" s="5">
        <v>40018.9617</v>
      </c>
      <c r="D1363" s="5">
        <v>40018.9617</v>
      </c>
      <c r="E1363" s="5">
        <v>35129.2961</v>
      </c>
      <c r="F1363" s="5" t="s">
        <v>7249</v>
      </c>
      <c r="G1363" s="5" t="str">
        <f t="shared" si="43"/>
        <v>Алт_Гальян_М-Кушва</v>
      </c>
      <c r="J1363" s="5"/>
      <c r="AF1363" t="s">
        <v>7220</v>
      </c>
      <c r="AG1363" s="24" t="s">
        <v>6594</v>
      </c>
      <c r="AH1363" s="5" t="s">
        <v>7220</v>
      </c>
      <c r="AI1363" s="5">
        <v>18119.8478</v>
      </c>
      <c r="AJ1363" s="5">
        <v>18119.8478</v>
      </c>
      <c r="AK1363">
        <v>16828.978500000001</v>
      </c>
      <c r="AL1363" s="5" t="str">
        <f t="shared" si="44"/>
        <v>Пышминский городской округ</v>
      </c>
    </row>
    <row r="1364" spans="1:38" ht="15" customHeight="1" x14ac:dyDescent="0.25">
      <c r="A1364" s="5" t="s">
        <v>238</v>
      </c>
      <c r="B1364" s="5" t="s">
        <v>1683</v>
      </c>
      <c r="C1364" s="5">
        <v>40018.9617</v>
      </c>
      <c r="D1364" s="5">
        <v>40018.9617</v>
      </c>
      <c r="E1364" s="5">
        <v>35129.2961</v>
      </c>
      <c r="F1364" s="5" t="s">
        <v>7249</v>
      </c>
      <c r="G1364" s="5" t="str">
        <f t="shared" si="43"/>
        <v>Алт_Гальян_М-Кушва</v>
      </c>
      <c r="J1364" s="5"/>
      <c r="AF1364" t="s">
        <v>7220</v>
      </c>
      <c r="AG1364" s="24" t="s">
        <v>6595</v>
      </c>
      <c r="AH1364" s="5" t="s">
        <v>7220</v>
      </c>
      <c r="AI1364" s="5">
        <v>18119.8478</v>
      </c>
      <c r="AJ1364" s="5">
        <v>18119.8478</v>
      </c>
      <c r="AK1364">
        <v>16828.978500000001</v>
      </c>
      <c r="AL1364" s="5" t="str">
        <f t="shared" si="44"/>
        <v>Пышминский городской округ</v>
      </c>
    </row>
    <row r="1365" spans="1:38" ht="15" customHeight="1" x14ac:dyDescent="0.25">
      <c r="A1365" s="5" t="s">
        <v>443</v>
      </c>
      <c r="B1365" s="5" t="s">
        <v>1683</v>
      </c>
      <c r="C1365" s="5">
        <v>40018.9617</v>
      </c>
      <c r="D1365" s="5">
        <v>40018.9617</v>
      </c>
      <c r="E1365" s="5">
        <v>35129.2961</v>
      </c>
      <c r="F1365" s="5" t="s">
        <v>7249</v>
      </c>
      <c r="G1365" s="5" t="str">
        <f t="shared" si="43"/>
        <v>Алт_Гальян_М-Кушва</v>
      </c>
      <c r="J1365" s="5"/>
      <c r="AF1365" t="s">
        <v>7220</v>
      </c>
      <c r="AG1365" s="24" t="s">
        <v>6596</v>
      </c>
      <c r="AH1365" s="5" t="s">
        <v>7220</v>
      </c>
      <c r="AI1365" s="5">
        <v>18119.8478</v>
      </c>
      <c r="AJ1365" s="5">
        <v>18119.8478</v>
      </c>
      <c r="AK1365">
        <v>16828.978500000001</v>
      </c>
      <c r="AL1365" s="5" t="str">
        <f t="shared" si="44"/>
        <v>Пышминский городской округ</v>
      </c>
    </row>
    <row r="1366" spans="1:38" ht="15" customHeight="1" x14ac:dyDescent="0.25">
      <c r="A1366" s="5" t="s">
        <v>24</v>
      </c>
      <c r="B1366" s="5" t="s">
        <v>1683</v>
      </c>
      <c r="C1366" s="5">
        <v>40018.9617</v>
      </c>
      <c r="D1366" s="5">
        <v>40018.9617</v>
      </c>
      <c r="E1366" s="5">
        <v>35129.2961</v>
      </c>
      <c r="F1366" s="5" t="s">
        <v>7249</v>
      </c>
      <c r="G1366" s="5" t="str">
        <f t="shared" si="43"/>
        <v>Алт_Гальян_М-Кушва</v>
      </c>
      <c r="J1366" s="5"/>
      <c r="AF1366" t="s">
        <v>7220</v>
      </c>
      <c r="AG1366" s="24" t="s">
        <v>6597</v>
      </c>
      <c r="AH1366" s="5" t="s">
        <v>7220</v>
      </c>
      <c r="AI1366" s="5">
        <v>18119.8478</v>
      </c>
      <c r="AJ1366" s="5">
        <v>18119.8478</v>
      </c>
      <c r="AK1366">
        <v>16828.978500000001</v>
      </c>
      <c r="AL1366" s="5" t="str">
        <f t="shared" si="44"/>
        <v>Пышминский городской округ</v>
      </c>
    </row>
    <row r="1367" spans="1:38" ht="15" customHeight="1" x14ac:dyDescent="0.25">
      <c r="A1367" s="5" t="s">
        <v>434</v>
      </c>
      <c r="B1367" s="5" t="s">
        <v>1683</v>
      </c>
      <c r="C1367" s="5">
        <v>40018.9617</v>
      </c>
      <c r="D1367" s="5">
        <v>40018.9617</v>
      </c>
      <c r="E1367" s="5">
        <v>35129.2961</v>
      </c>
      <c r="F1367" s="5" t="s">
        <v>7249</v>
      </c>
      <c r="G1367" s="5" t="str">
        <f t="shared" si="43"/>
        <v>Алт_Гальян_М-Кушва</v>
      </c>
      <c r="J1367" s="5"/>
      <c r="AF1367" t="s">
        <v>7220</v>
      </c>
      <c r="AG1367" s="24" t="s">
        <v>6598</v>
      </c>
      <c r="AH1367" s="5" t="s">
        <v>7220</v>
      </c>
      <c r="AI1367" s="5">
        <v>18119.8478</v>
      </c>
      <c r="AJ1367" s="5">
        <v>18119.8478</v>
      </c>
      <c r="AK1367">
        <v>16828.978500000001</v>
      </c>
      <c r="AL1367" s="5" t="str">
        <f t="shared" si="44"/>
        <v>Пышминский городской округ</v>
      </c>
    </row>
    <row r="1368" spans="1:38" ht="15" customHeight="1" x14ac:dyDescent="0.25">
      <c r="A1368" s="5" t="s">
        <v>219</v>
      </c>
      <c r="B1368" s="5" t="s">
        <v>1683</v>
      </c>
      <c r="C1368" s="5">
        <v>40018.9617</v>
      </c>
      <c r="D1368" s="5">
        <v>40018.9617</v>
      </c>
      <c r="E1368" s="5">
        <v>35129.2961</v>
      </c>
      <c r="F1368" s="5" t="s">
        <v>7249</v>
      </c>
      <c r="G1368" s="5" t="str">
        <f t="shared" si="43"/>
        <v>Алт_Гальян_М-Кушва</v>
      </c>
      <c r="J1368" s="5"/>
      <c r="AF1368" t="s">
        <v>7220</v>
      </c>
      <c r="AG1368" s="24" t="s">
        <v>6599</v>
      </c>
      <c r="AH1368" s="5" t="s">
        <v>7220</v>
      </c>
      <c r="AI1368" s="5">
        <v>18119.8478</v>
      </c>
      <c r="AJ1368" s="5">
        <v>18119.8478</v>
      </c>
      <c r="AK1368">
        <v>16828.978500000001</v>
      </c>
      <c r="AL1368" s="5" t="str">
        <f t="shared" si="44"/>
        <v>Пышминский городской округ</v>
      </c>
    </row>
    <row r="1369" spans="1:38" ht="15" customHeight="1" x14ac:dyDescent="0.25">
      <c r="A1369" s="5" t="s">
        <v>142</v>
      </c>
      <c r="B1369" s="5" t="s">
        <v>1683</v>
      </c>
      <c r="C1369" s="5">
        <v>40018.9617</v>
      </c>
      <c r="D1369" s="5">
        <v>40018.9617</v>
      </c>
      <c r="E1369" s="5">
        <v>35129.2961</v>
      </c>
      <c r="F1369" s="5" t="s">
        <v>7249</v>
      </c>
      <c r="G1369" s="5" t="str">
        <f t="shared" si="43"/>
        <v>Алт_Гальян_М-Кушва</v>
      </c>
      <c r="J1369" s="5"/>
      <c r="AF1369" t="s">
        <v>7220</v>
      </c>
      <c r="AG1369" s="24" t="s">
        <v>6600</v>
      </c>
      <c r="AH1369" s="5" t="s">
        <v>7220</v>
      </c>
      <c r="AI1369" s="5">
        <v>18119.8478</v>
      </c>
      <c r="AJ1369" s="5">
        <v>18119.8478</v>
      </c>
      <c r="AK1369">
        <v>16828.978500000001</v>
      </c>
      <c r="AL1369" s="5" t="str">
        <f t="shared" si="44"/>
        <v>Пышминский городской округ</v>
      </c>
    </row>
    <row r="1370" spans="1:38" ht="15" customHeight="1" x14ac:dyDescent="0.25">
      <c r="A1370" s="5" t="s">
        <v>130</v>
      </c>
      <c r="B1370" s="5" t="s">
        <v>1683</v>
      </c>
      <c r="C1370" s="5">
        <v>40018.9617</v>
      </c>
      <c r="D1370" s="5">
        <v>40018.9617</v>
      </c>
      <c r="E1370" s="5">
        <v>35129.2961</v>
      </c>
      <c r="F1370" s="5" t="s">
        <v>7249</v>
      </c>
      <c r="G1370" s="5" t="str">
        <f t="shared" si="43"/>
        <v>Алт_Гальян_М-Кушва</v>
      </c>
      <c r="J1370" s="5"/>
      <c r="AF1370" t="s">
        <v>7220</v>
      </c>
      <c r="AG1370" s="24" t="s">
        <v>6601</v>
      </c>
      <c r="AH1370" s="5" t="s">
        <v>7220</v>
      </c>
      <c r="AI1370" s="5">
        <v>18119.8478</v>
      </c>
      <c r="AJ1370" s="5">
        <v>18119.8478</v>
      </c>
      <c r="AK1370">
        <v>16828.978500000001</v>
      </c>
      <c r="AL1370" s="5" t="str">
        <f t="shared" si="44"/>
        <v>Пышминский городской округ</v>
      </c>
    </row>
    <row r="1371" spans="1:38" ht="15" customHeight="1" x14ac:dyDescent="0.25">
      <c r="A1371" s="5" t="s">
        <v>122</v>
      </c>
      <c r="B1371" s="5" t="s">
        <v>1683</v>
      </c>
      <c r="C1371" s="5">
        <v>40018.9617</v>
      </c>
      <c r="D1371" s="5">
        <v>40018.9617</v>
      </c>
      <c r="E1371" s="5">
        <v>35129.2961</v>
      </c>
      <c r="F1371" s="5" t="s">
        <v>7249</v>
      </c>
      <c r="G1371" s="5" t="str">
        <f t="shared" si="43"/>
        <v>Алт_Гальян_М-Кушва</v>
      </c>
      <c r="J1371" s="5"/>
      <c r="AF1371" t="s">
        <v>7220</v>
      </c>
      <c r="AG1371" s="24" t="s">
        <v>6602</v>
      </c>
      <c r="AH1371" s="5" t="s">
        <v>7220</v>
      </c>
      <c r="AI1371" s="5">
        <v>18119.8478</v>
      </c>
      <c r="AJ1371" s="5">
        <v>18119.8478</v>
      </c>
      <c r="AK1371">
        <v>16828.978500000001</v>
      </c>
      <c r="AL1371" s="5" t="str">
        <f t="shared" si="44"/>
        <v>Пышминский городской округ</v>
      </c>
    </row>
    <row r="1372" spans="1:38" ht="15" customHeight="1" x14ac:dyDescent="0.25">
      <c r="A1372" s="5" t="s">
        <v>697</v>
      </c>
      <c r="B1372" s="5" t="s">
        <v>1683</v>
      </c>
      <c r="C1372" s="5">
        <v>40018.9617</v>
      </c>
      <c r="D1372" s="5">
        <v>40018.9617</v>
      </c>
      <c r="E1372" s="5">
        <v>35129.2961</v>
      </c>
      <c r="F1372" s="5" t="s">
        <v>7249</v>
      </c>
      <c r="G1372" s="5" t="str">
        <f t="shared" si="43"/>
        <v>Алт_Гальян_М-Кушва</v>
      </c>
      <c r="J1372" s="5"/>
      <c r="AF1372" t="s">
        <v>7220</v>
      </c>
      <c r="AG1372" s="24" t="s">
        <v>6603</v>
      </c>
      <c r="AH1372" s="5" t="s">
        <v>7220</v>
      </c>
      <c r="AI1372" s="5">
        <v>18119.8478</v>
      </c>
      <c r="AJ1372" s="5">
        <v>18119.8478</v>
      </c>
      <c r="AK1372">
        <v>16828.978500000001</v>
      </c>
      <c r="AL1372" s="5" t="str">
        <f t="shared" si="44"/>
        <v>Пышминский городской округ</v>
      </c>
    </row>
    <row r="1373" spans="1:38" ht="15" customHeight="1" x14ac:dyDescent="0.25">
      <c r="A1373" s="5" t="s">
        <v>382</v>
      </c>
      <c r="B1373" s="5" t="s">
        <v>1683</v>
      </c>
      <c r="C1373" s="5">
        <v>40018.9617</v>
      </c>
      <c r="D1373" s="5">
        <v>40018.9617</v>
      </c>
      <c r="E1373" s="5">
        <v>35129.2961</v>
      </c>
      <c r="F1373" s="5" t="s">
        <v>7249</v>
      </c>
      <c r="G1373" s="5" t="str">
        <f t="shared" si="43"/>
        <v>Алт_Гальян_М-Кушва</v>
      </c>
      <c r="J1373" s="5"/>
      <c r="AF1373" t="s">
        <v>7220</v>
      </c>
      <c r="AG1373" s="24" t="s">
        <v>6604</v>
      </c>
      <c r="AH1373" s="5" t="s">
        <v>7220</v>
      </c>
      <c r="AI1373" s="5">
        <v>18119.8478</v>
      </c>
      <c r="AJ1373" s="5">
        <v>18119.8478</v>
      </c>
      <c r="AK1373">
        <v>16828.978500000001</v>
      </c>
      <c r="AL1373" s="5" t="str">
        <f t="shared" si="44"/>
        <v>Пышминский городской округ</v>
      </c>
    </row>
    <row r="1374" spans="1:38" ht="15" customHeight="1" x14ac:dyDescent="0.25">
      <c r="A1374" s="5" t="s">
        <v>1158</v>
      </c>
      <c r="B1374" s="5" t="s">
        <v>1683</v>
      </c>
      <c r="C1374" s="5">
        <v>40018.9617</v>
      </c>
      <c r="D1374" s="5">
        <v>40018.9617</v>
      </c>
      <c r="E1374" s="5">
        <v>35129.2961</v>
      </c>
      <c r="F1374" s="5" t="s">
        <v>7249</v>
      </c>
      <c r="G1374" s="5" t="str">
        <f t="shared" si="43"/>
        <v>Алт_Гальян_М-Кушва</v>
      </c>
      <c r="J1374" s="5"/>
      <c r="AF1374" t="s">
        <v>7220</v>
      </c>
      <c r="AG1374" s="24" t="s">
        <v>6605</v>
      </c>
      <c r="AH1374" s="5" t="s">
        <v>7220</v>
      </c>
      <c r="AI1374" s="5">
        <v>18119.8478</v>
      </c>
      <c r="AJ1374" s="5">
        <v>18119.8478</v>
      </c>
      <c r="AK1374">
        <v>16828.978500000001</v>
      </c>
      <c r="AL1374" s="5" t="str">
        <f t="shared" si="44"/>
        <v>Пышминский городской округ</v>
      </c>
    </row>
    <row r="1375" spans="1:38" ht="15" customHeight="1" x14ac:dyDescent="0.25">
      <c r="A1375" s="5" t="s">
        <v>344</v>
      </c>
      <c r="B1375" s="5" t="s">
        <v>1683</v>
      </c>
      <c r="C1375" s="5">
        <v>40018.9617</v>
      </c>
      <c r="D1375" s="5">
        <v>40018.9617</v>
      </c>
      <c r="E1375" s="5">
        <v>35129.2961</v>
      </c>
      <c r="F1375" s="5" t="s">
        <v>7249</v>
      </c>
      <c r="G1375" s="5" t="str">
        <f t="shared" si="43"/>
        <v>Алт_Гальян_М-Кушва</v>
      </c>
      <c r="J1375" s="5"/>
      <c r="AF1375" t="s">
        <v>7220</v>
      </c>
      <c r="AG1375" s="24" t="s">
        <v>6606</v>
      </c>
      <c r="AH1375" s="5" t="s">
        <v>7220</v>
      </c>
      <c r="AI1375" s="5">
        <v>18119.8478</v>
      </c>
      <c r="AJ1375" s="5">
        <v>18119.8478</v>
      </c>
      <c r="AK1375">
        <v>16828.978500000001</v>
      </c>
      <c r="AL1375" s="5" t="str">
        <f t="shared" si="44"/>
        <v>Пышминский городской округ</v>
      </c>
    </row>
    <row r="1376" spans="1:38" ht="15" customHeight="1" x14ac:dyDescent="0.25">
      <c r="A1376" s="5" t="s">
        <v>659</v>
      </c>
      <c r="B1376" s="5" t="s">
        <v>1683</v>
      </c>
      <c r="C1376" s="5">
        <v>40018.9617</v>
      </c>
      <c r="D1376" s="5">
        <v>40018.9617</v>
      </c>
      <c r="E1376" s="5">
        <v>35129.2961</v>
      </c>
      <c r="F1376" s="5" t="s">
        <v>7249</v>
      </c>
      <c r="G1376" s="5" t="str">
        <f t="shared" si="43"/>
        <v>Алт_Гальян_М-Кушва</v>
      </c>
      <c r="J1376" s="5"/>
      <c r="AF1376" t="s">
        <v>7220</v>
      </c>
      <c r="AG1376" s="24" t="s">
        <v>6607</v>
      </c>
      <c r="AH1376" s="5" t="s">
        <v>7220</v>
      </c>
      <c r="AI1376" s="5">
        <v>18119.8478</v>
      </c>
      <c r="AJ1376" s="5">
        <v>18119.8478</v>
      </c>
      <c r="AK1376">
        <v>16828.978500000001</v>
      </c>
      <c r="AL1376" s="5" t="str">
        <f t="shared" si="44"/>
        <v>Пышминский городской округ</v>
      </c>
    </row>
    <row r="1377" spans="1:38" ht="15" customHeight="1" x14ac:dyDescent="0.25">
      <c r="A1377" s="5" t="s">
        <v>1545</v>
      </c>
      <c r="B1377" s="5" t="s">
        <v>1683</v>
      </c>
      <c r="C1377" s="5">
        <v>40018.9617</v>
      </c>
      <c r="D1377" s="5">
        <v>40018.9617</v>
      </c>
      <c r="E1377" s="5">
        <v>35129.2961</v>
      </c>
      <c r="F1377" s="5" t="s">
        <v>7249</v>
      </c>
      <c r="G1377" s="5" t="str">
        <f t="shared" si="43"/>
        <v>Алт_Гальян_М-Кушва</v>
      </c>
      <c r="J1377" s="5"/>
      <c r="AF1377" t="s">
        <v>7220</v>
      </c>
      <c r="AG1377" s="24" t="s">
        <v>6608</v>
      </c>
      <c r="AH1377" s="5" t="s">
        <v>7220</v>
      </c>
      <c r="AI1377" s="5">
        <v>22387.489000000001</v>
      </c>
      <c r="AJ1377" s="5">
        <v>22387.489000000001</v>
      </c>
      <c r="AK1377">
        <v>20792.595499999999</v>
      </c>
      <c r="AL1377" s="5" t="str">
        <f t="shared" si="44"/>
        <v>Пышминский городской округ</v>
      </c>
    </row>
    <row r="1378" spans="1:38" ht="15" customHeight="1" x14ac:dyDescent="0.25">
      <c r="A1378" s="5" t="s">
        <v>307</v>
      </c>
      <c r="B1378" s="5" t="s">
        <v>1683</v>
      </c>
      <c r="C1378" s="5">
        <v>40018.9617</v>
      </c>
      <c r="D1378" s="5">
        <v>40018.9617</v>
      </c>
      <c r="E1378" s="5">
        <v>35129.2961</v>
      </c>
      <c r="F1378" s="5" t="s">
        <v>7249</v>
      </c>
      <c r="G1378" s="5" t="str">
        <f t="shared" si="43"/>
        <v>Алт_Гальян_М-Кушва</v>
      </c>
      <c r="J1378" s="5"/>
      <c r="AF1378" t="s">
        <v>7220</v>
      </c>
      <c r="AG1378" s="24" t="s">
        <v>6609</v>
      </c>
      <c r="AH1378" s="5" t="s">
        <v>7220</v>
      </c>
      <c r="AI1378" s="5">
        <v>18119.8478</v>
      </c>
      <c r="AJ1378" s="5">
        <v>18119.8478</v>
      </c>
      <c r="AK1378">
        <v>16828.978500000001</v>
      </c>
      <c r="AL1378" s="5" t="str">
        <f t="shared" si="44"/>
        <v>Пышминский городской округ</v>
      </c>
    </row>
    <row r="1379" spans="1:38" ht="15" customHeight="1" x14ac:dyDescent="0.25">
      <c r="A1379" s="5" t="s">
        <v>52</v>
      </c>
      <c r="B1379" s="5" t="s">
        <v>1683</v>
      </c>
      <c r="C1379" s="5">
        <v>40018.9617</v>
      </c>
      <c r="D1379" s="5">
        <v>40018.9617</v>
      </c>
      <c r="E1379" s="5">
        <v>35129.2961</v>
      </c>
      <c r="F1379" s="5" t="s">
        <v>7249</v>
      </c>
      <c r="G1379" s="5" t="str">
        <f t="shared" si="43"/>
        <v>Алт_Гальян_М-Кушва</v>
      </c>
      <c r="J1379" s="5"/>
      <c r="AF1379" t="s">
        <v>7220</v>
      </c>
      <c r="AG1379" s="24" t="s">
        <v>6610</v>
      </c>
      <c r="AH1379" s="5" t="s">
        <v>7220</v>
      </c>
      <c r="AI1379" s="5">
        <v>18119.8478</v>
      </c>
      <c r="AJ1379" s="5">
        <v>18119.8478</v>
      </c>
      <c r="AK1379">
        <v>16828.978500000001</v>
      </c>
      <c r="AL1379" s="5" t="str">
        <f t="shared" si="44"/>
        <v>Пышминский городской округ</v>
      </c>
    </row>
    <row r="1380" spans="1:38" ht="15" customHeight="1" x14ac:dyDescent="0.25">
      <c r="A1380" s="5" t="s">
        <v>1245</v>
      </c>
      <c r="B1380" s="5" t="s">
        <v>1683</v>
      </c>
      <c r="C1380" s="5">
        <v>40018.9617</v>
      </c>
      <c r="D1380" s="5">
        <v>40018.9617</v>
      </c>
      <c r="E1380" s="5">
        <v>35129.2961</v>
      </c>
      <c r="F1380" s="5" t="s">
        <v>7249</v>
      </c>
      <c r="G1380" s="5" t="str">
        <f t="shared" si="43"/>
        <v>Алт_Гальян_М-Кушва</v>
      </c>
      <c r="J1380" s="5"/>
      <c r="AF1380" t="s">
        <v>7220</v>
      </c>
      <c r="AG1380" s="24" t="s">
        <v>6611</v>
      </c>
      <c r="AH1380" s="5" t="s">
        <v>7220</v>
      </c>
      <c r="AI1380" s="5">
        <v>18119.8478</v>
      </c>
      <c r="AJ1380" s="5">
        <v>18119.8478</v>
      </c>
      <c r="AK1380">
        <v>16828.978500000001</v>
      </c>
      <c r="AL1380" s="5" t="str">
        <f t="shared" si="44"/>
        <v>Пышминский городской округ</v>
      </c>
    </row>
    <row r="1381" spans="1:38" ht="15" customHeight="1" x14ac:dyDescent="0.25">
      <c r="A1381" s="5" t="s">
        <v>771</v>
      </c>
      <c r="B1381" s="5" t="s">
        <v>1683</v>
      </c>
      <c r="C1381" s="5">
        <v>40018.9617</v>
      </c>
      <c r="D1381" s="5">
        <v>40018.9617</v>
      </c>
      <c r="E1381" s="5">
        <v>35129.2961</v>
      </c>
      <c r="F1381" s="5" t="s">
        <v>7249</v>
      </c>
      <c r="G1381" s="5" t="str">
        <f t="shared" si="43"/>
        <v>Алт_Гальян_М-Кушва</v>
      </c>
      <c r="J1381" s="5"/>
      <c r="AF1381" t="s">
        <v>7220</v>
      </c>
      <c r="AG1381" s="24" t="s">
        <v>6612</v>
      </c>
      <c r="AH1381" s="5" t="s">
        <v>7220</v>
      </c>
      <c r="AI1381" s="5">
        <v>18119.8478</v>
      </c>
      <c r="AJ1381" s="5">
        <v>18119.8478</v>
      </c>
      <c r="AK1381">
        <v>16828.978500000001</v>
      </c>
      <c r="AL1381" s="5" t="str">
        <f t="shared" si="44"/>
        <v>Пышминский городской округ</v>
      </c>
    </row>
    <row r="1382" spans="1:38" ht="15" customHeight="1" x14ac:dyDescent="0.25">
      <c r="A1382" s="5" t="s">
        <v>1261</v>
      </c>
      <c r="B1382" s="5" t="s">
        <v>1683</v>
      </c>
      <c r="C1382" s="5">
        <v>40018.9617</v>
      </c>
      <c r="D1382" s="5">
        <v>40018.9617</v>
      </c>
      <c r="E1382" s="5">
        <v>35129.2961</v>
      </c>
      <c r="F1382" s="5" t="s">
        <v>7249</v>
      </c>
      <c r="G1382" s="5" t="str">
        <f t="shared" si="43"/>
        <v>Алт_Гальян_М-Кушва</v>
      </c>
      <c r="J1382" s="5"/>
      <c r="AF1382" t="s">
        <v>7220</v>
      </c>
      <c r="AG1382" s="24" t="s">
        <v>6613</v>
      </c>
      <c r="AH1382" s="5" t="s">
        <v>7220</v>
      </c>
      <c r="AI1382" s="5">
        <v>18119.8478</v>
      </c>
      <c r="AJ1382" s="5">
        <v>18119.8478</v>
      </c>
      <c r="AK1382">
        <v>16828.978500000001</v>
      </c>
      <c r="AL1382" s="5" t="str">
        <f t="shared" si="44"/>
        <v>Пышминский городской округ</v>
      </c>
    </row>
    <row r="1383" spans="1:38" ht="15" customHeight="1" x14ac:dyDescent="0.25">
      <c r="A1383" s="5" t="s">
        <v>767</v>
      </c>
      <c r="B1383" s="5" t="s">
        <v>1683</v>
      </c>
      <c r="C1383" s="5">
        <v>40018.9617</v>
      </c>
      <c r="D1383" s="5">
        <v>40018.9617</v>
      </c>
      <c r="E1383" s="5">
        <v>35129.2961</v>
      </c>
      <c r="F1383" s="5" t="s">
        <v>7249</v>
      </c>
      <c r="G1383" s="5" t="str">
        <f t="shared" si="43"/>
        <v>Алт_Гальян_М-Кушва</v>
      </c>
      <c r="J1383" s="5"/>
      <c r="AF1383" t="s">
        <v>7220</v>
      </c>
      <c r="AG1383" s="24" t="s">
        <v>6614</v>
      </c>
      <c r="AH1383" s="5" t="s">
        <v>7220</v>
      </c>
      <c r="AI1383" s="5">
        <v>18119.8478</v>
      </c>
      <c r="AJ1383" s="5">
        <v>18119.8478</v>
      </c>
      <c r="AK1383">
        <v>16828.978500000001</v>
      </c>
      <c r="AL1383" s="5" t="str">
        <f t="shared" si="44"/>
        <v>Пышминский городской округ</v>
      </c>
    </row>
    <row r="1384" spans="1:38" ht="15" customHeight="1" x14ac:dyDescent="0.25">
      <c r="A1384" s="5" t="s">
        <v>47</v>
      </c>
      <c r="B1384" s="5" t="s">
        <v>1683</v>
      </c>
      <c r="C1384" s="5">
        <v>40018.9617</v>
      </c>
      <c r="D1384" s="5">
        <v>40018.9617</v>
      </c>
      <c r="E1384" s="5">
        <v>35129.2961</v>
      </c>
      <c r="F1384" s="5" t="s">
        <v>7249</v>
      </c>
      <c r="G1384" s="5" t="str">
        <f t="shared" si="43"/>
        <v>Алт_Гальян_М-Кушва</v>
      </c>
      <c r="J1384" s="5"/>
      <c r="AF1384" t="s">
        <v>7220</v>
      </c>
      <c r="AG1384" s="24" t="s">
        <v>6615</v>
      </c>
      <c r="AH1384" s="5" t="s">
        <v>7220</v>
      </c>
      <c r="AI1384" s="5">
        <v>18119.8478</v>
      </c>
      <c r="AJ1384" s="5">
        <v>18119.8478</v>
      </c>
      <c r="AK1384">
        <v>16828.978500000001</v>
      </c>
      <c r="AL1384" s="5" t="str">
        <f t="shared" si="44"/>
        <v>Пышминский городской округ</v>
      </c>
    </row>
    <row r="1385" spans="1:38" ht="15" customHeight="1" x14ac:dyDescent="0.25">
      <c r="A1385" s="5" t="s">
        <v>768</v>
      </c>
      <c r="B1385" s="5" t="s">
        <v>1683</v>
      </c>
      <c r="C1385" s="5">
        <v>40018.9617</v>
      </c>
      <c r="D1385" s="5">
        <v>40018.9617</v>
      </c>
      <c r="E1385" s="5">
        <v>35129.2961</v>
      </c>
      <c r="F1385" s="5" t="s">
        <v>7249</v>
      </c>
      <c r="G1385" s="5" t="str">
        <f t="shared" si="43"/>
        <v>Алт_Гальян_М-Кушва</v>
      </c>
      <c r="J1385" s="5"/>
      <c r="AF1385" t="s">
        <v>7220</v>
      </c>
      <c r="AG1385" s="24" t="s">
        <v>6616</v>
      </c>
      <c r="AH1385" s="5" t="s">
        <v>7220</v>
      </c>
      <c r="AI1385" s="5">
        <v>18119.8478</v>
      </c>
      <c r="AJ1385" s="5">
        <v>18119.8478</v>
      </c>
      <c r="AK1385">
        <v>16828.978500000001</v>
      </c>
      <c r="AL1385" s="5" t="str">
        <f t="shared" si="44"/>
        <v>Пышминский городской округ</v>
      </c>
    </row>
    <row r="1386" spans="1:38" ht="15" customHeight="1" x14ac:dyDescent="0.25">
      <c r="A1386" s="5" t="s">
        <v>191</v>
      </c>
      <c r="B1386" s="5" t="s">
        <v>1684</v>
      </c>
      <c r="C1386" s="5">
        <v>40625.090199999999</v>
      </c>
      <c r="D1386" s="5">
        <v>40625.090199999999</v>
      </c>
      <c r="E1386" s="5">
        <v>35661.364300000001</v>
      </c>
      <c r="F1386" s="5" t="s">
        <v>7249</v>
      </c>
      <c r="G1386" s="5" t="str">
        <f t="shared" si="43"/>
        <v>Ваг_Стар_Пихтовы-г</v>
      </c>
      <c r="J1386" s="5"/>
      <c r="AF1386" t="s">
        <v>7220</v>
      </c>
      <c r="AG1386" s="24" t="s">
        <v>6617</v>
      </c>
      <c r="AH1386" s="5" t="s">
        <v>7220</v>
      </c>
      <c r="AI1386" s="5">
        <v>18119.8478</v>
      </c>
      <c r="AJ1386" s="5">
        <v>18119.8478</v>
      </c>
      <c r="AK1386">
        <v>16828.978500000001</v>
      </c>
      <c r="AL1386" s="5" t="str">
        <f t="shared" si="44"/>
        <v>Пышминский городской округ</v>
      </c>
    </row>
    <row r="1387" spans="1:38" ht="15" customHeight="1" x14ac:dyDescent="0.25">
      <c r="A1387" s="5" t="s">
        <v>1449</v>
      </c>
      <c r="B1387" s="5" t="s">
        <v>1684</v>
      </c>
      <c r="C1387" s="5">
        <v>40625.090199999999</v>
      </c>
      <c r="D1387" s="5">
        <v>40625.090199999999</v>
      </c>
      <c r="E1387" s="5">
        <v>35661.364300000001</v>
      </c>
      <c r="F1387" s="5" t="s">
        <v>7249</v>
      </c>
      <c r="G1387" s="5" t="str">
        <f t="shared" si="43"/>
        <v>Ваг_Стар_Пихтовы-г</v>
      </c>
      <c r="J1387" s="5"/>
      <c r="AF1387" t="s">
        <v>7220</v>
      </c>
      <c r="AG1387" s="24" t="s">
        <v>6618</v>
      </c>
      <c r="AH1387" s="5" t="s">
        <v>7220</v>
      </c>
      <c r="AI1387" s="5">
        <v>18119.8478</v>
      </c>
      <c r="AJ1387" s="5">
        <v>18119.8478</v>
      </c>
      <c r="AK1387">
        <v>16828.978500000001</v>
      </c>
      <c r="AL1387" s="5" t="str">
        <f t="shared" si="44"/>
        <v>Пышминский городской округ</v>
      </c>
    </row>
    <row r="1388" spans="1:38" ht="15" customHeight="1" x14ac:dyDescent="0.25">
      <c r="A1388" s="5" t="s">
        <v>159</v>
      </c>
      <c r="B1388" s="5" t="s">
        <v>1684</v>
      </c>
      <c r="C1388" s="5">
        <v>40625.090199999999</v>
      </c>
      <c r="D1388" s="5">
        <v>40625.090199999999</v>
      </c>
      <c r="E1388" s="5">
        <v>35661.364300000001</v>
      </c>
      <c r="F1388" s="5" t="s">
        <v>7249</v>
      </c>
      <c r="G1388" s="5" t="str">
        <f t="shared" si="43"/>
        <v>Ваг_Стар_Пихтовы-г</v>
      </c>
      <c r="J1388" s="5"/>
      <c r="AF1388" t="s">
        <v>7220</v>
      </c>
      <c r="AG1388" s="24" t="s">
        <v>6619</v>
      </c>
      <c r="AH1388" s="5" t="s">
        <v>7220</v>
      </c>
      <c r="AI1388" s="5">
        <v>18119.8478</v>
      </c>
      <c r="AJ1388" s="5">
        <v>18119.8478</v>
      </c>
      <c r="AK1388">
        <v>16828.978500000001</v>
      </c>
      <c r="AL1388" s="5" t="str">
        <f t="shared" si="44"/>
        <v>Пышминский городской округ</v>
      </c>
    </row>
    <row r="1389" spans="1:38" ht="15" customHeight="1" x14ac:dyDescent="0.25">
      <c r="A1389" s="5" t="s">
        <v>621</v>
      </c>
      <c r="B1389" s="5" t="s">
        <v>1684</v>
      </c>
      <c r="C1389" s="5">
        <v>40625.090199999999</v>
      </c>
      <c r="D1389" s="5">
        <v>40625.090199999999</v>
      </c>
      <c r="E1389" s="5">
        <v>35661.364300000001</v>
      </c>
      <c r="F1389" s="5" t="s">
        <v>7249</v>
      </c>
      <c r="G1389" s="5" t="str">
        <f t="shared" si="43"/>
        <v>Ваг_Стар_Пихтовы-г</v>
      </c>
      <c r="J1389" s="5"/>
      <c r="AF1389" t="s">
        <v>7220</v>
      </c>
      <c r="AG1389" s="24" t="s">
        <v>6620</v>
      </c>
      <c r="AH1389" s="5" t="s">
        <v>7220</v>
      </c>
      <c r="AI1389" s="5">
        <v>18119.8478</v>
      </c>
      <c r="AJ1389" s="5">
        <v>18119.8478</v>
      </c>
      <c r="AK1389">
        <v>16828.978500000001</v>
      </c>
      <c r="AL1389" s="5" t="str">
        <f t="shared" si="44"/>
        <v>Пышминский городской округ</v>
      </c>
    </row>
    <row r="1390" spans="1:38" ht="15" customHeight="1" x14ac:dyDescent="0.25">
      <c r="A1390" s="5" t="s">
        <v>155</v>
      </c>
      <c r="B1390" s="5" t="s">
        <v>1684</v>
      </c>
      <c r="C1390" s="5">
        <v>40625.090199999999</v>
      </c>
      <c r="D1390" s="5">
        <v>40625.090199999999</v>
      </c>
      <c r="E1390" s="5">
        <v>35661.364300000001</v>
      </c>
      <c r="F1390" s="5" t="s">
        <v>7249</v>
      </c>
      <c r="G1390" s="5" t="str">
        <f t="shared" si="43"/>
        <v>Ваг_Стар_Пихтовы-г</v>
      </c>
      <c r="J1390" s="5"/>
      <c r="AF1390" t="s">
        <v>7220</v>
      </c>
      <c r="AG1390" s="24" t="s">
        <v>6621</v>
      </c>
      <c r="AH1390" s="5" t="s">
        <v>7220</v>
      </c>
      <c r="AI1390" s="5">
        <v>18119.8478</v>
      </c>
      <c r="AJ1390" s="5">
        <v>18119.8478</v>
      </c>
      <c r="AK1390">
        <v>16828.978500000001</v>
      </c>
      <c r="AL1390" s="5" t="str">
        <f t="shared" si="44"/>
        <v>Пышминский городской округ</v>
      </c>
    </row>
    <row r="1391" spans="1:38" ht="15" customHeight="1" x14ac:dyDescent="0.25">
      <c r="A1391" s="5" t="s">
        <v>927</v>
      </c>
      <c r="B1391" s="5" t="s">
        <v>1684</v>
      </c>
      <c r="C1391" s="5">
        <v>40625.090199999999</v>
      </c>
      <c r="D1391" s="5">
        <v>40625.090199999999</v>
      </c>
      <c r="E1391" s="5">
        <v>35661.364300000001</v>
      </c>
      <c r="F1391" s="5" t="s">
        <v>7249</v>
      </c>
      <c r="G1391" s="5" t="str">
        <f t="shared" si="43"/>
        <v>Ваг_Стар_Пихтовы-г</v>
      </c>
      <c r="J1391" s="5"/>
      <c r="AF1391" t="s">
        <v>7220</v>
      </c>
      <c r="AG1391" s="24" t="s">
        <v>6622</v>
      </c>
      <c r="AH1391" s="5" t="s">
        <v>7220</v>
      </c>
      <c r="AI1391" s="5">
        <v>18119.8478</v>
      </c>
      <c r="AJ1391" s="5">
        <v>18119.8478</v>
      </c>
      <c r="AK1391">
        <v>16828.978500000001</v>
      </c>
      <c r="AL1391" s="5" t="str">
        <f t="shared" si="44"/>
        <v>Пышминский городской округ</v>
      </c>
    </row>
    <row r="1392" spans="1:38" ht="15" customHeight="1" x14ac:dyDescent="0.25">
      <c r="A1392" s="5" t="s">
        <v>167</v>
      </c>
      <c r="B1392" s="5" t="s">
        <v>1684</v>
      </c>
      <c r="C1392" s="5">
        <v>40625.090199999999</v>
      </c>
      <c r="D1392" s="5">
        <v>40625.090199999999</v>
      </c>
      <c r="E1392" s="5">
        <v>35661.364300000001</v>
      </c>
      <c r="F1392" s="5" t="s">
        <v>7249</v>
      </c>
      <c r="G1392" s="5" t="str">
        <f t="shared" si="43"/>
        <v>Ваг_Стар_Пихтовы-г</v>
      </c>
      <c r="J1392" s="5"/>
      <c r="AF1392" t="s">
        <v>7220</v>
      </c>
      <c r="AG1392" s="24" t="s">
        <v>6623</v>
      </c>
      <c r="AH1392" s="5" t="s">
        <v>7220</v>
      </c>
      <c r="AI1392" s="5">
        <v>18119.8478</v>
      </c>
      <c r="AJ1392" s="5">
        <v>18119.8478</v>
      </c>
      <c r="AK1392">
        <v>16828.978500000001</v>
      </c>
      <c r="AL1392" s="5" t="str">
        <f t="shared" si="44"/>
        <v>Пышминский городской округ</v>
      </c>
    </row>
    <row r="1393" spans="1:38" ht="15" customHeight="1" x14ac:dyDescent="0.25">
      <c r="A1393" s="5" t="s">
        <v>177</v>
      </c>
      <c r="B1393" s="5" t="s">
        <v>1684</v>
      </c>
      <c r="C1393" s="5">
        <v>40625.090199999999</v>
      </c>
      <c r="D1393" s="5">
        <v>40625.090199999999</v>
      </c>
      <c r="E1393" s="5">
        <v>35661.364300000001</v>
      </c>
      <c r="F1393" s="5" t="s">
        <v>7249</v>
      </c>
      <c r="G1393" s="5" t="str">
        <f t="shared" si="43"/>
        <v>Ваг_Стар_Пихтовы-г</v>
      </c>
      <c r="J1393" s="5"/>
      <c r="AF1393" t="s">
        <v>7220</v>
      </c>
      <c r="AG1393" s="24" t="s">
        <v>6624</v>
      </c>
      <c r="AH1393" s="5" t="s">
        <v>7220</v>
      </c>
      <c r="AI1393" s="5">
        <v>18119.8478</v>
      </c>
      <c r="AJ1393" s="5">
        <v>18119.8478</v>
      </c>
      <c r="AK1393">
        <v>16828.978500000001</v>
      </c>
      <c r="AL1393" s="5" t="str">
        <f t="shared" si="44"/>
        <v>Пышминский городской округ</v>
      </c>
    </row>
    <row r="1394" spans="1:38" ht="15" customHeight="1" x14ac:dyDescent="0.25">
      <c r="A1394" s="5" t="s">
        <v>147</v>
      </c>
      <c r="B1394" s="5" t="s">
        <v>1684</v>
      </c>
      <c r="C1394" s="5">
        <v>40625.090199999999</v>
      </c>
      <c r="D1394" s="5">
        <v>40625.090199999999</v>
      </c>
      <c r="E1394" s="5">
        <v>35661.364300000001</v>
      </c>
      <c r="F1394" s="5" t="s">
        <v>7249</v>
      </c>
      <c r="G1394" s="5" t="str">
        <f t="shared" si="43"/>
        <v>Ваг_Стар_Пихтовы-г</v>
      </c>
      <c r="J1394" s="5"/>
      <c r="AF1394" t="s">
        <v>7220</v>
      </c>
      <c r="AG1394" s="24" t="s">
        <v>6625</v>
      </c>
      <c r="AH1394" s="5" t="s">
        <v>7220</v>
      </c>
      <c r="AI1394" s="5">
        <v>18119.8478</v>
      </c>
      <c r="AJ1394" s="5">
        <v>18119.8478</v>
      </c>
      <c r="AK1394">
        <v>16828.978500000001</v>
      </c>
      <c r="AL1394" s="5" t="str">
        <f t="shared" si="44"/>
        <v>Пышминский городской округ</v>
      </c>
    </row>
    <row r="1395" spans="1:38" ht="15" customHeight="1" x14ac:dyDescent="0.25">
      <c r="A1395" s="5" t="s">
        <v>226</v>
      </c>
      <c r="B1395" s="5" t="s">
        <v>1684</v>
      </c>
      <c r="C1395" s="5">
        <v>40625.090199999999</v>
      </c>
      <c r="D1395" s="5">
        <v>40625.090199999999</v>
      </c>
      <c r="E1395" s="5">
        <v>35661.364300000001</v>
      </c>
      <c r="F1395" s="5" t="s">
        <v>7249</v>
      </c>
      <c r="G1395" s="5" t="str">
        <f t="shared" si="43"/>
        <v>Ваг_Стар_Пихтовы-г</v>
      </c>
      <c r="J1395" s="5"/>
      <c r="AF1395" t="s">
        <v>7220</v>
      </c>
      <c r="AG1395" s="24" t="s">
        <v>6626</v>
      </c>
      <c r="AH1395" s="5" t="s">
        <v>7220</v>
      </c>
      <c r="AI1395" s="5">
        <v>18119.8478</v>
      </c>
      <c r="AJ1395" s="5">
        <v>18119.8478</v>
      </c>
      <c r="AK1395">
        <v>16828.978500000001</v>
      </c>
      <c r="AL1395" s="5" t="str">
        <f t="shared" si="44"/>
        <v>Пышминский городской округ</v>
      </c>
    </row>
    <row r="1396" spans="1:38" ht="15" customHeight="1" x14ac:dyDescent="0.25">
      <c r="A1396" s="5" t="s">
        <v>112</v>
      </c>
      <c r="B1396" s="5" t="s">
        <v>1684</v>
      </c>
      <c r="C1396" s="5">
        <v>40625.090199999999</v>
      </c>
      <c r="D1396" s="5">
        <v>40625.090199999999</v>
      </c>
      <c r="E1396" s="5">
        <v>35661.364300000001</v>
      </c>
      <c r="F1396" s="5" t="s">
        <v>7249</v>
      </c>
      <c r="G1396" s="5" t="str">
        <f t="shared" si="43"/>
        <v>Ваг_Стар_Пихтовы-г</v>
      </c>
      <c r="J1396" s="5"/>
      <c r="AF1396" t="s">
        <v>7220</v>
      </c>
      <c r="AG1396" s="24" t="s">
        <v>6627</v>
      </c>
      <c r="AH1396" s="5" t="s">
        <v>7220</v>
      </c>
      <c r="AI1396" s="5">
        <v>18119.8478</v>
      </c>
      <c r="AJ1396" s="5">
        <v>18119.8478</v>
      </c>
      <c r="AK1396">
        <v>16828.978500000001</v>
      </c>
      <c r="AL1396" s="5" t="str">
        <f t="shared" si="44"/>
        <v>Пышминский городской округ</v>
      </c>
    </row>
    <row r="1397" spans="1:38" ht="15" customHeight="1" x14ac:dyDescent="0.25">
      <c r="A1397" s="5" t="s">
        <v>73</v>
      </c>
      <c r="B1397" s="5" t="s">
        <v>1684</v>
      </c>
      <c r="C1397" s="5">
        <v>40625.090199999999</v>
      </c>
      <c r="D1397" s="5">
        <v>40625.090199999999</v>
      </c>
      <c r="E1397" s="5">
        <v>35661.364300000001</v>
      </c>
      <c r="F1397" s="5" t="s">
        <v>7249</v>
      </c>
      <c r="G1397" s="5" t="str">
        <f t="shared" si="43"/>
        <v>Ваг_Стар_Пихтовы-г</v>
      </c>
      <c r="J1397" s="5"/>
      <c r="AF1397" t="s">
        <v>7220</v>
      </c>
      <c r="AG1397" s="24" t="s">
        <v>6628</v>
      </c>
      <c r="AH1397" s="5" t="s">
        <v>7220</v>
      </c>
      <c r="AI1397" s="5">
        <v>18119.8478</v>
      </c>
      <c r="AJ1397" s="5">
        <v>18119.8478</v>
      </c>
      <c r="AK1397">
        <v>16828.978500000001</v>
      </c>
      <c r="AL1397" s="5" t="str">
        <f t="shared" si="44"/>
        <v>Пышминский городской округ</v>
      </c>
    </row>
    <row r="1398" spans="1:38" ht="15" customHeight="1" x14ac:dyDescent="0.25">
      <c r="A1398" s="5" t="s">
        <v>125</v>
      </c>
      <c r="B1398" s="5" t="s">
        <v>1684</v>
      </c>
      <c r="C1398" s="5">
        <v>40625.090199999999</v>
      </c>
      <c r="D1398" s="5">
        <v>40625.090199999999</v>
      </c>
      <c r="E1398" s="5">
        <v>35661.364300000001</v>
      </c>
      <c r="F1398" s="5" t="s">
        <v>7249</v>
      </c>
      <c r="G1398" s="5" t="str">
        <f t="shared" si="43"/>
        <v>Ваг_Стар_Пихтовы-г</v>
      </c>
      <c r="J1398" s="5"/>
      <c r="AF1398" t="s">
        <v>7220</v>
      </c>
      <c r="AG1398" s="24" t="s">
        <v>6629</v>
      </c>
      <c r="AH1398" s="5" t="s">
        <v>7220</v>
      </c>
      <c r="AI1398" s="5">
        <v>18119.8478</v>
      </c>
      <c r="AJ1398" s="5">
        <v>18119.8478</v>
      </c>
      <c r="AK1398">
        <v>16828.978500000001</v>
      </c>
      <c r="AL1398" s="5" t="str">
        <f t="shared" si="44"/>
        <v>Пышминский городской округ</v>
      </c>
    </row>
    <row r="1399" spans="1:38" ht="15" customHeight="1" x14ac:dyDescent="0.25">
      <c r="A1399" s="5" t="s">
        <v>173</v>
      </c>
      <c r="B1399" s="5" t="s">
        <v>1684</v>
      </c>
      <c r="C1399" s="5">
        <v>40625.090199999999</v>
      </c>
      <c r="D1399" s="5">
        <v>40625.090199999999</v>
      </c>
      <c r="E1399" s="5">
        <v>35661.364300000001</v>
      </c>
      <c r="F1399" s="5" t="s">
        <v>7249</v>
      </c>
      <c r="G1399" s="5" t="str">
        <f t="shared" si="43"/>
        <v>Ваг_Стар_Пихтовы-г</v>
      </c>
      <c r="J1399" s="5"/>
      <c r="AF1399" t="s">
        <v>7220</v>
      </c>
      <c r="AG1399" s="24" t="s">
        <v>6630</v>
      </c>
      <c r="AH1399" s="5" t="s">
        <v>7220</v>
      </c>
      <c r="AI1399" s="5">
        <v>18119.8478</v>
      </c>
      <c r="AJ1399" s="5">
        <v>18119.8478</v>
      </c>
      <c r="AK1399">
        <v>16828.978500000001</v>
      </c>
      <c r="AL1399" s="5" t="str">
        <f t="shared" si="44"/>
        <v>Пышминский городской округ</v>
      </c>
    </row>
    <row r="1400" spans="1:38" ht="15" customHeight="1" x14ac:dyDescent="0.25">
      <c r="A1400" s="5" t="s">
        <v>331</v>
      </c>
      <c r="B1400" s="5" t="s">
        <v>1684</v>
      </c>
      <c r="C1400" s="5">
        <v>40625.090199999999</v>
      </c>
      <c r="D1400" s="5">
        <v>40625.090199999999</v>
      </c>
      <c r="E1400" s="5">
        <v>35661.364300000001</v>
      </c>
      <c r="F1400" s="5" t="s">
        <v>7249</v>
      </c>
      <c r="G1400" s="5" t="str">
        <f t="shared" si="43"/>
        <v>Ваг_Стар_Пихтовы-г</v>
      </c>
      <c r="J1400" s="5"/>
      <c r="AF1400" t="s">
        <v>7220</v>
      </c>
      <c r="AG1400" s="24" t="s">
        <v>6631</v>
      </c>
      <c r="AH1400" s="5" t="s">
        <v>7220</v>
      </c>
      <c r="AI1400" s="5">
        <v>18119.8478</v>
      </c>
      <c r="AJ1400" s="5">
        <v>18119.8478</v>
      </c>
      <c r="AK1400">
        <v>16828.978500000001</v>
      </c>
      <c r="AL1400" s="5" t="str">
        <f t="shared" si="44"/>
        <v>Пышминский городской округ</v>
      </c>
    </row>
    <row r="1401" spans="1:38" ht="15" customHeight="1" x14ac:dyDescent="0.25">
      <c r="A1401" s="5" t="s">
        <v>237</v>
      </c>
      <c r="B1401" s="5" t="s">
        <v>1684</v>
      </c>
      <c r="C1401" s="5">
        <v>40625.090199999999</v>
      </c>
      <c r="D1401" s="5">
        <v>40625.090199999999</v>
      </c>
      <c r="E1401" s="5">
        <v>35661.364300000001</v>
      </c>
      <c r="F1401" s="5" t="s">
        <v>7249</v>
      </c>
      <c r="G1401" s="5" t="str">
        <f t="shared" si="43"/>
        <v>Ваг_Стар_Пихтовы-г</v>
      </c>
      <c r="J1401" s="5"/>
      <c r="AF1401" t="s">
        <v>7221</v>
      </c>
      <c r="AG1401" s="24" t="s">
        <v>6632</v>
      </c>
      <c r="AH1401" s="5" t="s">
        <v>7221</v>
      </c>
      <c r="AI1401" s="5">
        <v>24925.6895</v>
      </c>
      <c r="AJ1401" s="5">
        <v>24925.6895</v>
      </c>
      <c r="AK1401">
        <v>23149.964800000002</v>
      </c>
      <c r="AL1401" s="5" t="str">
        <f t="shared" si="44"/>
        <v>Режевской городской округ</v>
      </c>
    </row>
    <row r="1402" spans="1:38" ht="15" customHeight="1" x14ac:dyDescent="0.25">
      <c r="A1402" s="5" t="s">
        <v>1229</v>
      </c>
      <c r="B1402" s="5" t="s">
        <v>1684</v>
      </c>
      <c r="C1402" s="5">
        <v>40625.090199999999</v>
      </c>
      <c r="D1402" s="5">
        <v>40625.090199999999</v>
      </c>
      <c r="E1402" s="5">
        <v>35661.364300000001</v>
      </c>
      <c r="F1402" s="5" t="s">
        <v>7249</v>
      </c>
      <c r="G1402" s="5" t="str">
        <f t="shared" si="43"/>
        <v>Ваг_Стар_Пихтовы-г</v>
      </c>
      <c r="J1402" s="5"/>
      <c r="AF1402" t="s">
        <v>7221</v>
      </c>
      <c r="AG1402" s="24" t="s">
        <v>6633</v>
      </c>
      <c r="AH1402" s="5" t="s">
        <v>7221</v>
      </c>
      <c r="AI1402" s="5">
        <v>24925.6895</v>
      </c>
      <c r="AJ1402" s="5">
        <v>24925.6895</v>
      </c>
      <c r="AK1402">
        <v>23149.964800000002</v>
      </c>
      <c r="AL1402" s="5" t="str">
        <f t="shared" si="44"/>
        <v>Режевской городской округ</v>
      </c>
    </row>
    <row r="1403" spans="1:38" ht="15" customHeight="1" x14ac:dyDescent="0.25">
      <c r="A1403" s="5" t="s">
        <v>535</v>
      </c>
      <c r="B1403" s="5" t="s">
        <v>1684</v>
      </c>
      <c r="C1403" s="5">
        <v>40625.090199999999</v>
      </c>
      <c r="D1403" s="5">
        <v>40625.090199999999</v>
      </c>
      <c r="E1403" s="5">
        <v>35661.364300000001</v>
      </c>
      <c r="F1403" s="5" t="s">
        <v>7249</v>
      </c>
      <c r="G1403" s="5" t="str">
        <f t="shared" si="43"/>
        <v>Ваг_Стар_Пихтовы-г</v>
      </c>
      <c r="J1403" s="5"/>
      <c r="AF1403" t="s">
        <v>7221</v>
      </c>
      <c r="AG1403" s="24" t="s">
        <v>6634</v>
      </c>
      <c r="AH1403" s="5" t="s">
        <v>7221</v>
      </c>
      <c r="AI1403" s="5">
        <v>24925.6895</v>
      </c>
      <c r="AJ1403" s="5">
        <v>24925.6895</v>
      </c>
      <c r="AK1403">
        <v>23149.964800000002</v>
      </c>
      <c r="AL1403" s="5" t="str">
        <f t="shared" si="44"/>
        <v>Режевской городской округ</v>
      </c>
    </row>
    <row r="1404" spans="1:38" ht="15" customHeight="1" x14ac:dyDescent="0.25">
      <c r="A1404" s="5" t="s">
        <v>1482</v>
      </c>
      <c r="B1404" s="5" t="s">
        <v>1684</v>
      </c>
      <c r="C1404" s="5">
        <v>40625.090199999999</v>
      </c>
      <c r="D1404" s="5">
        <v>40625.090199999999</v>
      </c>
      <c r="E1404" s="5">
        <v>35661.364300000001</v>
      </c>
      <c r="F1404" s="5" t="s">
        <v>7249</v>
      </c>
      <c r="G1404" s="5" t="str">
        <f t="shared" si="43"/>
        <v>Ваг_Стар_Пихтовы-г</v>
      </c>
      <c r="J1404" s="5"/>
      <c r="AF1404" t="s">
        <v>7221</v>
      </c>
      <c r="AG1404" s="24" t="s">
        <v>6635</v>
      </c>
      <c r="AH1404" s="5" t="s">
        <v>7221</v>
      </c>
      <c r="AI1404" s="5">
        <v>25550.0363</v>
      </c>
      <c r="AJ1404" s="5">
        <v>25550.0363</v>
      </c>
      <c r="AK1404">
        <v>23729.834200000001</v>
      </c>
      <c r="AL1404" s="5" t="str">
        <f t="shared" si="44"/>
        <v>Режевской городской округ</v>
      </c>
    </row>
    <row r="1405" spans="1:38" ht="15" customHeight="1" x14ac:dyDescent="0.25">
      <c r="A1405" s="5" t="s">
        <v>294</v>
      </c>
      <c r="B1405" s="5" t="s">
        <v>1684</v>
      </c>
      <c r="C1405" s="5">
        <v>40625.090199999999</v>
      </c>
      <c r="D1405" s="5">
        <v>40625.090199999999</v>
      </c>
      <c r="E1405" s="5">
        <v>35661.364300000001</v>
      </c>
      <c r="F1405" s="5" t="s">
        <v>7249</v>
      </c>
      <c r="G1405" s="5" t="str">
        <f t="shared" si="43"/>
        <v>Ваг_Стар_Пихтовы-г</v>
      </c>
      <c r="J1405" s="5"/>
      <c r="AF1405" t="s">
        <v>7221</v>
      </c>
      <c r="AG1405" s="24" t="s">
        <v>6636</v>
      </c>
      <c r="AH1405" s="5" t="s">
        <v>7221</v>
      </c>
      <c r="AI1405" s="5">
        <v>24925.6895</v>
      </c>
      <c r="AJ1405" s="5">
        <v>24925.6895</v>
      </c>
      <c r="AK1405">
        <v>23149.964800000002</v>
      </c>
      <c r="AL1405" s="5" t="str">
        <f t="shared" si="44"/>
        <v>Режевской городской округ</v>
      </c>
    </row>
    <row r="1406" spans="1:38" ht="15" customHeight="1" x14ac:dyDescent="0.25">
      <c r="A1406" s="5" t="s">
        <v>625</v>
      </c>
      <c r="B1406" s="5" t="s">
        <v>1684</v>
      </c>
      <c r="C1406" s="5">
        <v>40625.090199999999</v>
      </c>
      <c r="D1406" s="5">
        <v>40625.090199999999</v>
      </c>
      <c r="E1406" s="5">
        <v>35661.364300000001</v>
      </c>
      <c r="F1406" s="5" t="s">
        <v>7249</v>
      </c>
      <c r="G1406" s="5" t="str">
        <f t="shared" si="43"/>
        <v>Ваг_Стар_Пихтовы-г</v>
      </c>
      <c r="J1406" s="5"/>
      <c r="AF1406" t="s">
        <v>7221</v>
      </c>
      <c r="AG1406" s="24" t="s">
        <v>6637</v>
      </c>
      <c r="AH1406" s="5" t="s">
        <v>7221</v>
      </c>
      <c r="AI1406" s="5">
        <v>24925.6895</v>
      </c>
      <c r="AJ1406" s="5">
        <v>24925.6895</v>
      </c>
      <c r="AK1406">
        <v>23149.964800000002</v>
      </c>
      <c r="AL1406" s="5" t="str">
        <f t="shared" si="44"/>
        <v>Режевской городской округ</v>
      </c>
    </row>
    <row r="1407" spans="1:38" ht="15" customHeight="1" x14ac:dyDescent="0.25">
      <c r="A1407" s="5" t="s">
        <v>430</v>
      </c>
      <c r="B1407" s="5" t="s">
        <v>1685</v>
      </c>
      <c r="C1407" s="5">
        <v>36513.6518</v>
      </c>
      <c r="D1407" s="5">
        <v>36513.6518</v>
      </c>
      <c r="E1407" s="5">
        <v>32052.276999999998</v>
      </c>
      <c r="F1407" s="5" t="s">
        <v>7249</v>
      </c>
      <c r="G1407" s="5" t="str">
        <f t="shared" si="43"/>
        <v>Выя_Леб_Горб_Кр-Кам</v>
      </c>
      <c r="J1407" s="5"/>
      <c r="AF1407" t="s">
        <v>7221</v>
      </c>
      <c r="AG1407" s="24" t="s">
        <v>6638</v>
      </c>
      <c r="AH1407" s="5" t="s">
        <v>7221</v>
      </c>
      <c r="AI1407" s="5">
        <v>24925.6895</v>
      </c>
      <c r="AJ1407" s="5">
        <v>24925.6895</v>
      </c>
      <c r="AK1407">
        <v>23149.964800000002</v>
      </c>
      <c r="AL1407" s="5" t="str">
        <f t="shared" si="44"/>
        <v>Режевской городской округ</v>
      </c>
    </row>
    <row r="1408" spans="1:38" ht="15" customHeight="1" x14ac:dyDescent="0.25">
      <c r="A1408" s="5" t="s">
        <v>163</v>
      </c>
      <c r="B1408" s="5" t="s">
        <v>1685</v>
      </c>
      <c r="C1408" s="5">
        <v>36513.6518</v>
      </c>
      <c r="D1408" s="5">
        <v>36513.6518</v>
      </c>
      <c r="E1408" s="5">
        <v>32052.276999999998</v>
      </c>
      <c r="F1408" s="5" t="s">
        <v>7249</v>
      </c>
      <c r="G1408" s="5" t="str">
        <f t="shared" si="43"/>
        <v>Выя_Леб_Горб_Кр-Кам</v>
      </c>
      <c r="J1408" s="5"/>
      <c r="AF1408" t="s">
        <v>7221</v>
      </c>
      <c r="AG1408" s="24" t="s">
        <v>6639</v>
      </c>
      <c r="AH1408" s="5" t="s">
        <v>7221</v>
      </c>
      <c r="AI1408" s="5">
        <v>24925.6895</v>
      </c>
      <c r="AJ1408" s="5">
        <v>24925.6895</v>
      </c>
      <c r="AK1408">
        <v>23149.964800000002</v>
      </c>
      <c r="AL1408" s="5" t="str">
        <f t="shared" si="44"/>
        <v>Режевской городской округ</v>
      </c>
    </row>
    <row r="1409" spans="1:38" ht="15" customHeight="1" x14ac:dyDescent="0.25">
      <c r="A1409" s="5" t="s">
        <v>386</v>
      </c>
      <c r="B1409" s="5" t="s">
        <v>1685</v>
      </c>
      <c r="C1409" s="5">
        <v>36513.6518</v>
      </c>
      <c r="D1409" s="5">
        <v>36513.6518</v>
      </c>
      <c r="E1409" s="5">
        <v>32052.276999999998</v>
      </c>
      <c r="F1409" s="5" t="s">
        <v>7249</v>
      </c>
      <c r="G1409" s="5" t="str">
        <f t="shared" si="43"/>
        <v>Выя_Леб_Горб_Кр-Кам</v>
      </c>
      <c r="J1409" s="5"/>
      <c r="AF1409" t="s">
        <v>7221</v>
      </c>
      <c r="AG1409" s="24" t="s">
        <v>6640</v>
      </c>
      <c r="AH1409" s="5" t="s">
        <v>7221</v>
      </c>
      <c r="AI1409" s="5">
        <v>24925.6895</v>
      </c>
      <c r="AJ1409" s="5">
        <v>24925.6895</v>
      </c>
      <c r="AK1409">
        <v>23149.964800000002</v>
      </c>
      <c r="AL1409" s="5" t="str">
        <f t="shared" si="44"/>
        <v>Режевской городской округ</v>
      </c>
    </row>
    <row r="1410" spans="1:38" ht="15" customHeight="1" x14ac:dyDescent="0.25">
      <c r="A1410" s="5" t="s">
        <v>1427</v>
      </c>
      <c r="B1410" s="5" t="s">
        <v>1685</v>
      </c>
      <c r="C1410" s="5">
        <v>36513.6518</v>
      </c>
      <c r="D1410" s="5">
        <v>36513.6518</v>
      </c>
      <c r="E1410" s="5">
        <v>32052.276999999998</v>
      </c>
      <c r="F1410" s="5" t="s">
        <v>7249</v>
      </c>
      <c r="G1410" s="5" t="str">
        <f t="shared" si="43"/>
        <v>Выя_Леб_Горб_Кр-Кам</v>
      </c>
      <c r="J1410" s="5"/>
      <c r="AF1410" t="s">
        <v>7221</v>
      </c>
      <c r="AG1410" s="24" t="s">
        <v>6641</v>
      </c>
      <c r="AH1410" s="5" t="s">
        <v>7221</v>
      </c>
      <c r="AI1410" s="5">
        <v>25550.0363</v>
      </c>
      <c r="AJ1410" s="5">
        <v>25550.0363</v>
      </c>
      <c r="AK1410">
        <v>23729.834200000001</v>
      </c>
      <c r="AL1410" s="5" t="str">
        <f t="shared" si="44"/>
        <v>Режевской городской округ</v>
      </c>
    </row>
    <row r="1411" spans="1:38" ht="15" customHeight="1" x14ac:dyDescent="0.25">
      <c r="A1411" s="5" t="s">
        <v>773</v>
      </c>
      <c r="B1411" s="5" t="s">
        <v>1685</v>
      </c>
      <c r="C1411" s="5">
        <v>36513.6518</v>
      </c>
      <c r="D1411" s="5">
        <v>36513.6518</v>
      </c>
      <c r="E1411" s="5">
        <v>32052.276999999998</v>
      </c>
      <c r="F1411" s="5" t="s">
        <v>7249</v>
      </c>
      <c r="G1411" s="5" t="str">
        <f t="shared" si="43"/>
        <v>Выя_Леб_Горб_Кр-Кам</v>
      </c>
      <c r="J1411" s="5"/>
      <c r="AF1411" t="s">
        <v>7221</v>
      </c>
      <c r="AG1411" s="24" t="s">
        <v>6642</v>
      </c>
      <c r="AH1411" s="5" t="s">
        <v>7221</v>
      </c>
      <c r="AI1411" s="5">
        <v>24925.6895</v>
      </c>
      <c r="AJ1411" s="5">
        <v>24925.6895</v>
      </c>
      <c r="AK1411">
        <v>23149.964800000002</v>
      </c>
      <c r="AL1411" s="5" t="str">
        <f t="shared" si="44"/>
        <v>Режевской городской округ</v>
      </c>
    </row>
    <row r="1412" spans="1:38" ht="15" customHeight="1" x14ac:dyDescent="0.25">
      <c r="A1412" s="5" t="s">
        <v>540</v>
      </c>
      <c r="B1412" s="5" t="s">
        <v>1685</v>
      </c>
      <c r="C1412" s="5">
        <v>36513.6518</v>
      </c>
      <c r="D1412" s="5">
        <v>36513.6518</v>
      </c>
      <c r="E1412" s="5">
        <v>32052.276999999998</v>
      </c>
      <c r="F1412" s="5" t="s">
        <v>7249</v>
      </c>
      <c r="G1412" s="5" t="str">
        <f t="shared" ref="G1412:G1475" si="45">B1412</f>
        <v>Выя_Леб_Горб_Кр-Кам</v>
      </c>
      <c r="J1412" s="5"/>
      <c r="AF1412" t="s">
        <v>7221</v>
      </c>
      <c r="AG1412" s="24" t="s">
        <v>6643</v>
      </c>
      <c r="AH1412" s="5" t="s">
        <v>7221</v>
      </c>
      <c r="AI1412" s="5">
        <v>24925.6895</v>
      </c>
      <c r="AJ1412" s="5">
        <v>24925.6895</v>
      </c>
      <c r="AK1412">
        <v>23149.964800000002</v>
      </c>
      <c r="AL1412" s="5" t="str">
        <f t="shared" ref="AL1412:AL1475" si="46">AF1412</f>
        <v>Режевской городской округ</v>
      </c>
    </row>
    <row r="1413" spans="1:38" ht="15" customHeight="1" x14ac:dyDescent="0.25">
      <c r="A1413" s="5" t="s">
        <v>43</v>
      </c>
      <c r="B1413" s="5" t="s">
        <v>1685</v>
      </c>
      <c r="C1413" s="5">
        <v>36513.6518</v>
      </c>
      <c r="D1413" s="5">
        <v>36513.6518</v>
      </c>
      <c r="E1413" s="5">
        <v>32052.276999999998</v>
      </c>
      <c r="F1413" s="5" t="s">
        <v>7249</v>
      </c>
      <c r="G1413" s="5" t="str">
        <f t="shared" si="45"/>
        <v>Выя_Леб_Горб_Кр-Кам</v>
      </c>
      <c r="J1413" s="5"/>
      <c r="AF1413" t="s">
        <v>7221</v>
      </c>
      <c r="AG1413" s="24" t="s">
        <v>6644</v>
      </c>
      <c r="AH1413" s="5" t="s">
        <v>7221</v>
      </c>
      <c r="AI1413" s="5">
        <v>24925.6895</v>
      </c>
      <c r="AJ1413" s="5">
        <v>24925.6895</v>
      </c>
      <c r="AK1413">
        <v>23149.964800000002</v>
      </c>
      <c r="AL1413" s="5" t="str">
        <f t="shared" si="46"/>
        <v>Режевской городской округ</v>
      </c>
    </row>
    <row r="1414" spans="1:38" ht="15" customHeight="1" x14ac:dyDescent="0.25">
      <c r="A1414" s="5" t="s">
        <v>487</v>
      </c>
      <c r="B1414" s="5" t="s">
        <v>1685</v>
      </c>
      <c r="C1414" s="5">
        <v>36513.6518</v>
      </c>
      <c r="D1414" s="5">
        <v>36513.6518</v>
      </c>
      <c r="E1414" s="5">
        <v>32052.276999999998</v>
      </c>
      <c r="F1414" s="5" t="s">
        <v>7249</v>
      </c>
      <c r="G1414" s="5" t="str">
        <f t="shared" si="45"/>
        <v>Выя_Леб_Горб_Кр-Кам</v>
      </c>
      <c r="J1414" s="5"/>
      <c r="AF1414" t="s">
        <v>7221</v>
      </c>
      <c r="AG1414" s="24" t="s">
        <v>6645</v>
      </c>
      <c r="AH1414" s="5" t="s">
        <v>7221</v>
      </c>
      <c r="AI1414" s="5">
        <v>24925.6895</v>
      </c>
      <c r="AJ1414" s="5">
        <v>24925.6895</v>
      </c>
      <c r="AK1414">
        <v>23149.964800000002</v>
      </c>
      <c r="AL1414" s="5" t="str">
        <f t="shared" si="46"/>
        <v>Режевской городской округ</v>
      </c>
    </row>
    <row r="1415" spans="1:38" ht="15" customHeight="1" x14ac:dyDescent="0.25">
      <c r="A1415" s="5" t="s">
        <v>804</v>
      </c>
      <c r="B1415" s="5" t="s">
        <v>1685</v>
      </c>
      <c r="C1415" s="5">
        <v>36513.6518</v>
      </c>
      <c r="D1415" s="5">
        <v>36513.6518</v>
      </c>
      <c r="E1415" s="5">
        <v>32052.276999999998</v>
      </c>
      <c r="F1415" s="5" t="s">
        <v>7249</v>
      </c>
      <c r="G1415" s="5" t="str">
        <f t="shared" si="45"/>
        <v>Выя_Леб_Горб_Кр-Кам</v>
      </c>
      <c r="J1415" s="5"/>
      <c r="AF1415" t="s">
        <v>7221</v>
      </c>
      <c r="AG1415" s="24" t="s">
        <v>6646</v>
      </c>
      <c r="AH1415" s="5" t="s">
        <v>7221</v>
      </c>
      <c r="AI1415" s="5">
        <v>24925.6895</v>
      </c>
      <c r="AJ1415" s="5">
        <v>24925.6895</v>
      </c>
      <c r="AK1415">
        <v>23149.964800000002</v>
      </c>
      <c r="AL1415" s="5" t="str">
        <f t="shared" si="46"/>
        <v>Режевской городской округ</v>
      </c>
    </row>
    <row r="1416" spans="1:38" ht="15" customHeight="1" x14ac:dyDescent="0.25">
      <c r="A1416" s="5" t="s">
        <v>805</v>
      </c>
      <c r="B1416" s="5" t="s">
        <v>1685</v>
      </c>
      <c r="C1416" s="5">
        <v>36513.6518</v>
      </c>
      <c r="D1416" s="5">
        <v>36513.6518</v>
      </c>
      <c r="E1416" s="5">
        <v>32052.276999999998</v>
      </c>
      <c r="F1416" s="5" t="s">
        <v>7249</v>
      </c>
      <c r="G1416" s="5" t="str">
        <f t="shared" si="45"/>
        <v>Выя_Леб_Горб_Кр-Кам</v>
      </c>
      <c r="J1416" s="5"/>
      <c r="AF1416" t="s">
        <v>7221</v>
      </c>
      <c r="AG1416" s="24" t="s">
        <v>6647</v>
      </c>
      <c r="AH1416" s="5" t="s">
        <v>7221</v>
      </c>
      <c r="AI1416" s="5">
        <v>24925.6895</v>
      </c>
      <c r="AJ1416" s="5">
        <v>24925.6895</v>
      </c>
      <c r="AK1416">
        <v>23149.964800000002</v>
      </c>
      <c r="AL1416" s="5" t="str">
        <f t="shared" si="46"/>
        <v>Режевской городской округ</v>
      </c>
    </row>
    <row r="1417" spans="1:38" ht="15" customHeight="1" x14ac:dyDescent="0.25">
      <c r="A1417" s="5" t="s">
        <v>26</v>
      </c>
      <c r="B1417" s="5" t="s">
        <v>1685</v>
      </c>
      <c r="C1417" s="5">
        <v>36513.6518</v>
      </c>
      <c r="D1417" s="5">
        <v>36513.6518</v>
      </c>
      <c r="E1417" s="5">
        <v>32052.276999999998</v>
      </c>
      <c r="F1417" s="5" t="s">
        <v>7249</v>
      </c>
      <c r="G1417" s="5" t="str">
        <f t="shared" si="45"/>
        <v>Выя_Леб_Горб_Кр-Кам</v>
      </c>
      <c r="J1417" s="5"/>
      <c r="AF1417" t="s">
        <v>7221</v>
      </c>
      <c r="AG1417" s="24" t="s">
        <v>6648</v>
      </c>
      <c r="AH1417" s="5" t="s">
        <v>7221</v>
      </c>
      <c r="AI1417" s="5">
        <v>25550.0363</v>
      </c>
      <c r="AJ1417" s="5">
        <v>25550.0363</v>
      </c>
      <c r="AK1417">
        <v>23729.834200000001</v>
      </c>
      <c r="AL1417" s="5" t="str">
        <f t="shared" si="46"/>
        <v>Режевской городской округ</v>
      </c>
    </row>
    <row r="1418" spans="1:38" ht="15" customHeight="1" x14ac:dyDescent="0.25">
      <c r="A1418" s="5" t="s">
        <v>106</v>
      </c>
      <c r="B1418" s="5" t="s">
        <v>1685</v>
      </c>
      <c r="C1418" s="5">
        <v>36513.6518</v>
      </c>
      <c r="D1418" s="5">
        <v>36513.6518</v>
      </c>
      <c r="E1418" s="5">
        <v>32052.276999999998</v>
      </c>
      <c r="F1418" s="5" t="s">
        <v>7249</v>
      </c>
      <c r="G1418" s="5" t="str">
        <f t="shared" si="45"/>
        <v>Выя_Леб_Горб_Кр-Кам</v>
      </c>
      <c r="J1418" s="5"/>
      <c r="AF1418" t="s">
        <v>7221</v>
      </c>
      <c r="AG1418" s="24" t="s">
        <v>6649</v>
      </c>
      <c r="AH1418" s="5" t="s">
        <v>7221</v>
      </c>
      <c r="AI1418" s="5">
        <v>24925.6895</v>
      </c>
      <c r="AJ1418" s="5">
        <v>24925.6895</v>
      </c>
      <c r="AK1418">
        <v>23149.964800000002</v>
      </c>
      <c r="AL1418" s="5" t="str">
        <f t="shared" si="46"/>
        <v>Режевской городской округ</v>
      </c>
    </row>
    <row r="1419" spans="1:38" ht="15" customHeight="1" x14ac:dyDescent="0.25">
      <c r="A1419" s="5" t="s">
        <v>801</v>
      </c>
      <c r="B1419" s="5" t="s">
        <v>1685</v>
      </c>
      <c r="C1419" s="5">
        <v>36513.6518</v>
      </c>
      <c r="D1419" s="5">
        <v>36513.6518</v>
      </c>
      <c r="E1419" s="5">
        <v>32052.276999999998</v>
      </c>
      <c r="F1419" s="5" t="s">
        <v>7249</v>
      </c>
      <c r="G1419" s="5" t="str">
        <f t="shared" si="45"/>
        <v>Выя_Леб_Горб_Кр-Кам</v>
      </c>
      <c r="J1419" s="5"/>
      <c r="AF1419" t="s">
        <v>7221</v>
      </c>
      <c r="AG1419" s="24" t="s">
        <v>6650</v>
      </c>
      <c r="AH1419" s="5" t="s">
        <v>7221</v>
      </c>
      <c r="AI1419" s="5">
        <v>24925.6895</v>
      </c>
      <c r="AJ1419" s="5">
        <v>24925.6895</v>
      </c>
      <c r="AK1419">
        <v>23149.964800000002</v>
      </c>
      <c r="AL1419" s="5" t="str">
        <f t="shared" si="46"/>
        <v>Режевской городской округ</v>
      </c>
    </row>
    <row r="1420" spans="1:38" ht="15" customHeight="1" x14ac:dyDescent="0.25">
      <c r="A1420" s="5" t="s">
        <v>306</v>
      </c>
      <c r="B1420" s="5" t="s">
        <v>1685</v>
      </c>
      <c r="C1420" s="5">
        <v>36513.6518</v>
      </c>
      <c r="D1420" s="5">
        <v>36513.6518</v>
      </c>
      <c r="E1420" s="5">
        <v>32052.276999999998</v>
      </c>
      <c r="F1420" s="5" t="s">
        <v>7249</v>
      </c>
      <c r="G1420" s="5" t="str">
        <f t="shared" si="45"/>
        <v>Выя_Леб_Горб_Кр-Кам</v>
      </c>
      <c r="J1420" s="5"/>
      <c r="AF1420" t="s">
        <v>7221</v>
      </c>
      <c r="AG1420" s="24" t="s">
        <v>6651</v>
      </c>
      <c r="AH1420" s="5" t="s">
        <v>7221</v>
      </c>
      <c r="AI1420" s="5">
        <v>24925.6895</v>
      </c>
      <c r="AJ1420" s="5">
        <v>24925.6895</v>
      </c>
      <c r="AK1420">
        <v>23149.964800000002</v>
      </c>
      <c r="AL1420" s="5" t="str">
        <f t="shared" si="46"/>
        <v>Режевской городской округ</v>
      </c>
    </row>
    <row r="1421" spans="1:38" ht="15" customHeight="1" x14ac:dyDescent="0.25">
      <c r="A1421" s="5" t="s">
        <v>37</v>
      </c>
      <c r="B1421" s="5" t="s">
        <v>1685</v>
      </c>
      <c r="C1421" s="5">
        <v>36513.6518</v>
      </c>
      <c r="D1421" s="5">
        <v>36513.6518</v>
      </c>
      <c r="E1421" s="5">
        <v>32052.276999999998</v>
      </c>
      <c r="F1421" s="5" t="s">
        <v>7249</v>
      </c>
      <c r="G1421" s="5" t="str">
        <f t="shared" si="45"/>
        <v>Выя_Леб_Горб_Кр-Кам</v>
      </c>
      <c r="J1421" s="5"/>
      <c r="AF1421" t="s">
        <v>7221</v>
      </c>
      <c r="AG1421" s="24" t="s">
        <v>6652</v>
      </c>
      <c r="AH1421" s="5" t="s">
        <v>7221</v>
      </c>
      <c r="AI1421" s="5">
        <v>24925.6895</v>
      </c>
      <c r="AJ1421" s="5">
        <v>24925.6895</v>
      </c>
      <c r="AK1421">
        <v>23149.964800000002</v>
      </c>
      <c r="AL1421" s="5" t="str">
        <f t="shared" si="46"/>
        <v>Режевской городской округ</v>
      </c>
    </row>
    <row r="1422" spans="1:38" ht="15" customHeight="1" x14ac:dyDescent="0.25">
      <c r="A1422" s="5" t="s">
        <v>160</v>
      </c>
      <c r="B1422" s="5" t="s">
        <v>1685</v>
      </c>
      <c r="C1422" s="5">
        <v>36513.6518</v>
      </c>
      <c r="D1422" s="5">
        <v>36513.6518</v>
      </c>
      <c r="E1422" s="5">
        <v>32052.276999999998</v>
      </c>
      <c r="F1422" s="5" t="s">
        <v>7249</v>
      </c>
      <c r="G1422" s="5" t="str">
        <f t="shared" si="45"/>
        <v>Выя_Леб_Горб_Кр-Кам</v>
      </c>
      <c r="J1422" s="5"/>
      <c r="AF1422" t="s">
        <v>7221</v>
      </c>
      <c r="AG1422" s="24" t="s">
        <v>6653</v>
      </c>
      <c r="AH1422" s="5" t="s">
        <v>7221</v>
      </c>
      <c r="AI1422" s="5">
        <v>24925.6895</v>
      </c>
      <c r="AJ1422" s="5">
        <v>24925.6895</v>
      </c>
      <c r="AK1422">
        <v>23149.964800000002</v>
      </c>
      <c r="AL1422" s="5" t="str">
        <f t="shared" si="46"/>
        <v>Режевской городской округ</v>
      </c>
    </row>
    <row r="1423" spans="1:38" ht="15" customHeight="1" x14ac:dyDescent="0.25">
      <c r="A1423" s="5" t="s">
        <v>161</v>
      </c>
      <c r="B1423" s="5" t="s">
        <v>1685</v>
      </c>
      <c r="C1423" s="5">
        <v>36513.6518</v>
      </c>
      <c r="D1423" s="5">
        <v>36513.6518</v>
      </c>
      <c r="E1423" s="5">
        <v>32052.276999999998</v>
      </c>
      <c r="F1423" s="5" t="s">
        <v>7249</v>
      </c>
      <c r="G1423" s="5" t="str">
        <f t="shared" si="45"/>
        <v>Выя_Леб_Горб_Кр-Кам</v>
      </c>
      <c r="J1423" s="5"/>
      <c r="AF1423" t="s">
        <v>7221</v>
      </c>
      <c r="AG1423" s="24" t="s">
        <v>6654</v>
      </c>
      <c r="AH1423" s="5" t="s">
        <v>7221</v>
      </c>
      <c r="AI1423" s="5">
        <v>24925.6895</v>
      </c>
      <c r="AJ1423" s="5">
        <v>24925.6895</v>
      </c>
      <c r="AK1423">
        <v>23149.964800000002</v>
      </c>
      <c r="AL1423" s="5" t="str">
        <f t="shared" si="46"/>
        <v>Режевской городской округ</v>
      </c>
    </row>
    <row r="1424" spans="1:38" ht="15" customHeight="1" x14ac:dyDescent="0.25">
      <c r="A1424" s="5" t="s">
        <v>175</v>
      </c>
      <c r="B1424" s="5" t="s">
        <v>1685</v>
      </c>
      <c r="C1424" s="5">
        <v>36513.6518</v>
      </c>
      <c r="D1424" s="5">
        <v>36513.6518</v>
      </c>
      <c r="E1424" s="5">
        <v>32052.276999999998</v>
      </c>
      <c r="F1424" s="5" t="s">
        <v>7249</v>
      </c>
      <c r="G1424" s="5" t="str">
        <f t="shared" si="45"/>
        <v>Выя_Леб_Горб_Кр-Кам</v>
      </c>
      <c r="J1424" s="5"/>
      <c r="AF1424" t="s">
        <v>7221</v>
      </c>
      <c r="AG1424" s="24" t="s">
        <v>6655</v>
      </c>
      <c r="AH1424" s="5" t="s">
        <v>7221</v>
      </c>
      <c r="AI1424" s="5">
        <v>24925.6895</v>
      </c>
      <c r="AJ1424" s="5">
        <v>24925.6895</v>
      </c>
      <c r="AK1424">
        <v>23149.964800000002</v>
      </c>
      <c r="AL1424" s="5" t="str">
        <f t="shared" si="46"/>
        <v>Режевской городской округ</v>
      </c>
    </row>
    <row r="1425" spans="1:38" ht="15" customHeight="1" x14ac:dyDescent="0.25">
      <c r="A1425" s="5" t="s">
        <v>91</v>
      </c>
      <c r="B1425" s="5" t="s">
        <v>1685</v>
      </c>
      <c r="C1425" s="5">
        <v>36513.6518</v>
      </c>
      <c r="D1425" s="5">
        <v>36513.6518</v>
      </c>
      <c r="E1425" s="5">
        <v>32052.276999999998</v>
      </c>
      <c r="F1425" s="5" t="s">
        <v>7249</v>
      </c>
      <c r="G1425" s="5" t="str">
        <f t="shared" si="45"/>
        <v>Выя_Леб_Горб_Кр-Кам</v>
      </c>
      <c r="J1425" s="5"/>
      <c r="AF1425" t="s">
        <v>7221</v>
      </c>
      <c r="AG1425" s="24" t="s">
        <v>6656</v>
      </c>
      <c r="AH1425" s="5" t="s">
        <v>7221</v>
      </c>
      <c r="AI1425" s="5">
        <v>30796.264999999999</v>
      </c>
      <c r="AJ1425" s="5">
        <v>30796.264999999999</v>
      </c>
      <c r="AK1425">
        <v>28602.313600000001</v>
      </c>
      <c r="AL1425" s="5" t="str">
        <f t="shared" si="46"/>
        <v>Режевской городской округ</v>
      </c>
    </row>
    <row r="1426" spans="1:38" ht="15" customHeight="1" x14ac:dyDescent="0.25">
      <c r="A1426" s="5" t="s">
        <v>136</v>
      </c>
      <c r="B1426" s="5" t="s">
        <v>1685</v>
      </c>
      <c r="C1426" s="5">
        <v>36513.6518</v>
      </c>
      <c r="D1426" s="5">
        <v>36513.6518</v>
      </c>
      <c r="E1426" s="5">
        <v>32052.276999999998</v>
      </c>
      <c r="F1426" s="5" t="s">
        <v>7249</v>
      </c>
      <c r="G1426" s="5" t="str">
        <f t="shared" si="45"/>
        <v>Выя_Леб_Горб_Кр-Кам</v>
      </c>
      <c r="J1426" s="5"/>
      <c r="AF1426" t="s">
        <v>7221</v>
      </c>
      <c r="AG1426" s="24" t="s">
        <v>6657</v>
      </c>
      <c r="AH1426" s="5" t="s">
        <v>7221</v>
      </c>
      <c r="AI1426" s="5">
        <v>24925.6895</v>
      </c>
      <c r="AJ1426" s="5">
        <v>24925.6895</v>
      </c>
      <c r="AK1426">
        <v>23149.964800000002</v>
      </c>
      <c r="AL1426" s="5" t="str">
        <f t="shared" si="46"/>
        <v>Режевской городской округ</v>
      </c>
    </row>
    <row r="1427" spans="1:38" ht="15" customHeight="1" x14ac:dyDescent="0.25">
      <c r="A1427" s="5" t="s">
        <v>144</v>
      </c>
      <c r="B1427" s="5" t="s">
        <v>1685</v>
      </c>
      <c r="C1427" s="5">
        <v>36513.6518</v>
      </c>
      <c r="D1427" s="5">
        <v>36513.6518</v>
      </c>
      <c r="E1427" s="5">
        <v>32052.276999999998</v>
      </c>
      <c r="F1427" s="5" t="s">
        <v>7249</v>
      </c>
      <c r="G1427" s="5" t="str">
        <f t="shared" si="45"/>
        <v>Выя_Леб_Горб_Кр-Кам</v>
      </c>
      <c r="J1427" s="5"/>
      <c r="AF1427" t="s">
        <v>7221</v>
      </c>
      <c r="AG1427" s="24" t="s">
        <v>6658</v>
      </c>
      <c r="AH1427" s="5" t="s">
        <v>7221</v>
      </c>
      <c r="AI1427" s="5">
        <v>24925.6895</v>
      </c>
      <c r="AJ1427" s="5">
        <v>24925.6895</v>
      </c>
      <c r="AK1427">
        <v>23149.964800000002</v>
      </c>
      <c r="AL1427" s="5" t="str">
        <f t="shared" si="46"/>
        <v>Режевской городской округ</v>
      </c>
    </row>
    <row r="1428" spans="1:38" ht="15" customHeight="1" x14ac:dyDescent="0.25">
      <c r="A1428" s="5" t="s">
        <v>504</v>
      </c>
      <c r="B1428" s="5" t="s">
        <v>1685</v>
      </c>
      <c r="C1428" s="5">
        <v>36513.6518</v>
      </c>
      <c r="D1428" s="5">
        <v>36513.6518</v>
      </c>
      <c r="E1428" s="5">
        <v>32052.276999999998</v>
      </c>
      <c r="F1428" s="5" t="s">
        <v>7249</v>
      </c>
      <c r="G1428" s="5" t="str">
        <f t="shared" si="45"/>
        <v>Выя_Леб_Горб_Кр-Кам</v>
      </c>
      <c r="J1428" s="5"/>
      <c r="AF1428" t="s">
        <v>7221</v>
      </c>
      <c r="AG1428" s="24" t="s">
        <v>6659</v>
      </c>
      <c r="AH1428" s="5" t="s">
        <v>7221</v>
      </c>
      <c r="AI1428" s="5">
        <v>24925.6895</v>
      </c>
      <c r="AJ1428" s="5">
        <v>24925.6895</v>
      </c>
      <c r="AK1428">
        <v>23149.964800000002</v>
      </c>
      <c r="AL1428" s="5" t="str">
        <f t="shared" si="46"/>
        <v>Режевской городской округ</v>
      </c>
    </row>
    <row r="1429" spans="1:38" ht="15" customHeight="1" x14ac:dyDescent="0.25">
      <c r="A1429" s="5" t="s">
        <v>40</v>
      </c>
      <c r="B1429" s="5" t="s">
        <v>1685</v>
      </c>
      <c r="C1429" s="5">
        <v>36513.6518</v>
      </c>
      <c r="D1429" s="5">
        <v>36513.6518</v>
      </c>
      <c r="E1429" s="5">
        <v>32052.276999999998</v>
      </c>
      <c r="F1429" s="5" t="s">
        <v>7249</v>
      </c>
      <c r="G1429" s="5" t="str">
        <f t="shared" si="45"/>
        <v>Выя_Леб_Горб_Кр-Кам</v>
      </c>
      <c r="J1429" s="5"/>
      <c r="AF1429" t="s">
        <v>7221</v>
      </c>
      <c r="AG1429" s="24" t="s">
        <v>6660</v>
      </c>
      <c r="AH1429" s="5" t="s">
        <v>7221</v>
      </c>
      <c r="AI1429" s="5">
        <v>24925.6895</v>
      </c>
      <c r="AJ1429" s="5">
        <v>24925.6895</v>
      </c>
      <c r="AK1429">
        <v>23149.964800000002</v>
      </c>
      <c r="AL1429" s="5" t="str">
        <f t="shared" si="46"/>
        <v>Режевской городской округ</v>
      </c>
    </row>
    <row r="1430" spans="1:38" ht="15" customHeight="1" x14ac:dyDescent="0.25">
      <c r="A1430" s="5" t="s">
        <v>379</v>
      </c>
      <c r="B1430" s="5" t="s">
        <v>1685</v>
      </c>
      <c r="C1430" s="5">
        <v>36513.6518</v>
      </c>
      <c r="D1430" s="5">
        <v>36513.6518</v>
      </c>
      <c r="E1430" s="5">
        <v>32052.276999999998</v>
      </c>
      <c r="F1430" s="5" t="s">
        <v>7249</v>
      </c>
      <c r="G1430" s="5" t="str">
        <f t="shared" si="45"/>
        <v>Выя_Леб_Горб_Кр-Кам</v>
      </c>
      <c r="J1430" s="5"/>
      <c r="AF1430" t="s">
        <v>7221</v>
      </c>
      <c r="AG1430" s="24" t="s">
        <v>6661</v>
      </c>
      <c r="AH1430" s="5" t="s">
        <v>7221</v>
      </c>
      <c r="AI1430" s="5">
        <v>24925.6895</v>
      </c>
      <c r="AJ1430" s="5">
        <v>24925.6895</v>
      </c>
      <c r="AK1430">
        <v>23149.964800000002</v>
      </c>
      <c r="AL1430" s="5" t="str">
        <f t="shared" si="46"/>
        <v>Режевской городской округ</v>
      </c>
    </row>
    <row r="1431" spans="1:38" ht="15" customHeight="1" x14ac:dyDescent="0.25">
      <c r="A1431" s="5" t="s">
        <v>643</v>
      </c>
      <c r="B1431" s="5" t="s">
        <v>1685</v>
      </c>
      <c r="C1431" s="5">
        <v>36513.6518</v>
      </c>
      <c r="D1431" s="5">
        <v>36513.6518</v>
      </c>
      <c r="E1431" s="5">
        <v>32052.276999999998</v>
      </c>
      <c r="F1431" s="5" t="s">
        <v>7249</v>
      </c>
      <c r="G1431" s="5" t="str">
        <f t="shared" si="45"/>
        <v>Выя_Леб_Горб_Кр-Кам</v>
      </c>
      <c r="J1431" s="5"/>
      <c r="AF1431" t="s">
        <v>7221</v>
      </c>
      <c r="AG1431" s="24" t="s">
        <v>6662</v>
      </c>
      <c r="AH1431" s="5" t="s">
        <v>7221</v>
      </c>
      <c r="AI1431" s="5">
        <v>24925.6895</v>
      </c>
      <c r="AJ1431" s="5">
        <v>24925.6895</v>
      </c>
      <c r="AK1431">
        <v>23149.964800000002</v>
      </c>
      <c r="AL1431" s="5" t="str">
        <f t="shared" si="46"/>
        <v>Режевской городской округ</v>
      </c>
    </row>
    <row r="1432" spans="1:38" ht="15" customHeight="1" x14ac:dyDescent="0.25">
      <c r="A1432" s="5" t="s">
        <v>158</v>
      </c>
      <c r="B1432" s="5" t="s">
        <v>1685</v>
      </c>
      <c r="C1432" s="5">
        <v>36513.6518</v>
      </c>
      <c r="D1432" s="5">
        <v>36513.6518</v>
      </c>
      <c r="E1432" s="5">
        <v>32052.276999999998</v>
      </c>
      <c r="F1432" s="5" t="s">
        <v>7249</v>
      </c>
      <c r="G1432" s="5" t="str">
        <f t="shared" si="45"/>
        <v>Выя_Леб_Горб_Кр-Кам</v>
      </c>
      <c r="J1432" s="5"/>
      <c r="AF1432" t="s">
        <v>7221</v>
      </c>
      <c r="AG1432" s="24" t="s">
        <v>6663</v>
      </c>
      <c r="AH1432" s="5" t="s">
        <v>7221</v>
      </c>
      <c r="AI1432" s="5">
        <v>25550.0363</v>
      </c>
      <c r="AJ1432" s="5">
        <v>25550.0363</v>
      </c>
      <c r="AK1432">
        <v>23729.834200000001</v>
      </c>
      <c r="AL1432" s="5" t="str">
        <f t="shared" si="46"/>
        <v>Режевской городской округ</v>
      </c>
    </row>
    <row r="1433" spans="1:38" ht="15" customHeight="1" x14ac:dyDescent="0.25">
      <c r="A1433" s="5" t="s">
        <v>766</v>
      </c>
      <c r="B1433" s="5" t="s">
        <v>1685</v>
      </c>
      <c r="C1433" s="5">
        <v>36513.6518</v>
      </c>
      <c r="D1433" s="5">
        <v>36513.6518</v>
      </c>
      <c r="E1433" s="5">
        <v>32052.276999999998</v>
      </c>
      <c r="F1433" s="5" t="s">
        <v>7249</v>
      </c>
      <c r="G1433" s="5" t="str">
        <f t="shared" si="45"/>
        <v>Выя_Леб_Горб_Кр-Кам</v>
      </c>
      <c r="J1433" s="5"/>
      <c r="AF1433" t="s">
        <v>7222</v>
      </c>
      <c r="AG1433" s="24" t="s">
        <v>6664</v>
      </c>
      <c r="AH1433" s="5" t="s">
        <v>7222</v>
      </c>
      <c r="AI1433" s="5">
        <v>12851.075800000001</v>
      </c>
      <c r="AJ1433" s="5">
        <v>12851.075800000001</v>
      </c>
      <c r="AK1433">
        <v>11935.555700000001</v>
      </c>
      <c r="AL1433" s="5" t="str">
        <f t="shared" si="46"/>
        <v>Североуральский городской округ</v>
      </c>
    </row>
    <row r="1434" spans="1:38" ht="15" customHeight="1" x14ac:dyDescent="0.25">
      <c r="A1434" s="5" t="s">
        <v>833</v>
      </c>
      <c r="B1434" s="5" t="s">
        <v>1686</v>
      </c>
      <c r="C1434" s="5">
        <v>24299.835599999999</v>
      </c>
      <c r="D1434" s="5">
        <v>24299.835599999999</v>
      </c>
      <c r="E1434" s="5">
        <v>21330.794900000001</v>
      </c>
      <c r="F1434" s="5" t="s">
        <v>7249</v>
      </c>
      <c r="G1434" s="5" t="str">
        <f t="shared" si="45"/>
        <v>Евст_В-Черм</v>
      </c>
      <c r="J1434" s="5"/>
      <c r="AF1434" t="s">
        <v>7222</v>
      </c>
      <c r="AG1434" s="24" t="s">
        <v>6665</v>
      </c>
      <c r="AH1434" s="5" t="s">
        <v>7222</v>
      </c>
      <c r="AI1434" s="5">
        <v>12851.075800000001</v>
      </c>
      <c r="AJ1434" s="5">
        <v>12851.075800000001</v>
      </c>
      <c r="AK1434">
        <v>11935.555700000001</v>
      </c>
      <c r="AL1434" s="5" t="str">
        <f t="shared" si="46"/>
        <v>Североуральский городской округ</v>
      </c>
    </row>
    <row r="1435" spans="1:38" ht="15" customHeight="1" x14ac:dyDescent="0.25">
      <c r="A1435" s="5" t="s">
        <v>929</v>
      </c>
      <c r="B1435" s="5" t="s">
        <v>1686</v>
      </c>
      <c r="C1435" s="5">
        <v>24299.835599999999</v>
      </c>
      <c r="D1435" s="5">
        <v>24299.835599999999</v>
      </c>
      <c r="E1435" s="5">
        <v>21330.794900000001</v>
      </c>
      <c r="F1435" s="5" t="s">
        <v>7249</v>
      </c>
      <c r="G1435" s="5" t="str">
        <f t="shared" si="45"/>
        <v>Евст_В-Черм</v>
      </c>
      <c r="J1435" s="5"/>
      <c r="AF1435" t="s">
        <v>7222</v>
      </c>
      <c r="AG1435" s="24" t="s">
        <v>6666</v>
      </c>
      <c r="AH1435" s="5" t="s">
        <v>7222</v>
      </c>
      <c r="AI1435" s="5">
        <v>12851.075800000001</v>
      </c>
      <c r="AJ1435" s="5">
        <v>12851.075800000001</v>
      </c>
      <c r="AK1435">
        <v>11935.555700000001</v>
      </c>
      <c r="AL1435" s="5" t="str">
        <f t="shared" si="46"/>
        <v>Североуральский городской округ</v>
      </c>
    </row>
    <row r="1436" spans="1:38" ht="15" customHeight="1" x14ac:dyDescent="0.25">
      <c r="A1436" s="5" t="s">
        <v>42</v>
      </c>
      <c r="B1436" s="5" t="s">
        <v>1687</v>
      </c>
      <c r="C1436" s="5">
        <v>30591.135900000001</v>
      </c>
      <c r="D1436" s="5">
        <v>30591.135900000001</v>
      </c>
      <c r="E1436" s="5">
        <v>26853.405500000001</v>
      </c>
      <c r="F1436" s="5" t="s">
        <v>7249</v>
      </c>
      <c r="G1436" s="5" t="str">
        <f t="shared" si="45"/>
        <v>Рудник_Север</v>
      </c>
      <c r="J1436" s="5"/>
      <c r="AF1436" t="s">
        <v>7222</v>
      </c>
      <c r="AG1436" s="24" t="s">
        <v>6667</v>
      </c>
      <c r="AH1436" s="5" t="s">
        <v>7222</v>
      </c>
      <c r="AI1436" s="5">
        <v>12851.075800000001</v>
      </c>
      <c r="AJ1436" s="5">
        <v>12851.075800000001</v>
      </c>
      <c r="AK1436">
        <v>11935.555700000001</v>
      </c>
      <c r="AL1436" s="5" t="str">
        <f t="shared" si="46"/>
        <v>Североуральский городской округ</v>
      </c>
    </row>
    <row r="1437" spans="1:38" ht="15" customHeight="1" x14ac:dyDescent="0.25">
      <c r="A1437" s="5" t="s">
        <v>618</v>
      </c>
      <c r="B1437" s="5" t="s">
        <v>1687</v>
      </c>
      <c r="C1437" s="5">
        <v>30591.135900000001</v>
      </c>
      <c r="D1437" s="5">
        <v>30591.135900000001</v>
      </c>
      <c r="E1437" s="5">
        <v>26853.405500000001</v>
      </c>
      <c r="F1437" s="5" t="s">
        <v>7249</v>
      </c>
      <c r="G1437" s="5" t="str">
        <f t="shared" si="45"/>
        <v>Рудник_Север</v>
      </c>
      <c r="J1437" s="5"/>
      <c r="AF1437" t="s">
        <v>7222</v>
      </c>
      <c r="AG1437" s="24" t="s">
        <v>6668</v>
      </c>
      <c r="AH1437" s="5" t="s">
        <v>7222</v>
      </c>
      <c r="AI1437" s="5">
        <v>13172.9674</v>
      </c>
      <c r="AJ1437" s="5">
        <v>13172.9674</v>
      </c>
      <c r="AK1437">
        <v>12234.5118</v>
      </c>
      <c r="AL1437" s="5" t="str">
        <f t="shared" si="46"/>
        <v>Североуральский городской округ</v>
      </c>
    </row>
    <row r="1438" spans="1:38" ht="15" customHeight="1" x14ac:dyDescent="0.25">
      <c r="A1438" s="5" t="s">
        <v>435</v>
      </c>
      <c r="B1438" s="5" t="s">
        <v>1687</v>
      </c>
      <c r="C1438" s="5">
        <v>30591.135900000001</v>
      </c>
      <c r="D1438" s="5">
        <v>30591.135900000001</v>
      </c>
      <c r="E1438" s="5">
        <v>26853.405500000001</v>
      </c>
      <c r="F1438" s="5" t="s">
        <v>7249</v>
      </c>
      <c r="G1438" s="5" t="str">
        <f t="shared" si="45"/>
        <v>Рудник_Север</v>
      </c>
      <c r="J1438" s="5"/>
      <c r="AF1438" t="s">
        <v>7222</v>
      </c>
      <c r="AG1438" s="24" t="s">
        <v>6669</v>
      </c>
      <c r="AH1438" s="5" t="s">
        <v>7222</v>
      </c>
      <c r="AI1438" s="5">
        <v>13172.9674</v>
      </c>
      <c r="AJ1438" s="5">
        <v>13172.9674</v>
      </c>
      <c r="AK1438">
        <v>12234.5118</v>
      </c>
      <c r="AL1438" s="5" t="str">
        <f t="shared" si="46"/>
        <v>Североуральский городской округ</v>
      </c>
    </row>
    <row r="1439" spans="1:38" ht="15" customHeight="1" x14ac:dyDescent="0.25">
      <c r="A1439" s="5" t="s">
        <v>1285</v>
      </c>
      <c r="B1439" s="5" t="s">
        <v>1687</v>
      </c>
      <c r="C1439" s="5">
        <v>30591.135900000001</v>
      </c>
      <c r="D1439" s="5">
        <v>30591.135900000001</v>
      </c>
      <c r="E1439" s="5">
        <v>26853.405500000001</v>
      </c>
      <c r="F1439" s="5" t="s">
        <v>7249</v>
      </c>
      <c r="G1439" s="5" t="str">
        <f t="shared" si="45"/>
        <v>Рудник_Север</v>
      </c>
      <c r="J1439" s="5"/>
      <c r="AF1439" t="s">
        <v>7222</v>
      </c>
      <c r="AG1439" s="24" t="s">
        <v>6670</v>
      </c>
      <c r="AH1439" s="5" t="s">
        <v>7222</v>
      </c>
      <c r="AI1439" s="5">
        <v>15877.795899999999</v>
      </c>
      <c r="AJ1439" s="5">
        <v>15877.795899999999</v>
      </c>
      <c r="AK1439">
        <v>14746.6492</v>
      </c>
      <c r="AL1439" s="5" t="str">
        <f t="shared" si="46"/>
        <v>Североуральский городской округ</v>
      </c>
    </row>
    <row r="1440" spans="1:38" ht="15" customHeight="1" x14ac:dyDescent="0.25">
      <c r="A1440" s="5" t="s">
        <v>1566</v>
      </c>
      <c r="B1440" s="5" t="s">
        <v>1687</v>
      </c>
      <c r="C1440" s="5">
        <v>30591.135900000001</v>
      </c>
      <c r="D1440" s="5">
        <v>30591.135900000001</v>
      </c>
      <c r="E1440" s="5">
        <v>26853.405500000001</v>
      </c>
      <c r="F1440" s="5" t="s">
        <v>7249</v>
      </c>
      <c r="G1440" s="5" t="str">
        <f t="shared" si="45"/>
        <v>Рудник_Север</v>
      </c>
      <c r="J1440" s="5"/>
      <c r="AF1440" t="s">
        <v>7222</v>
      </c>
      <c r="AG1440" s="24" t="s">
        <v>6671</v>
      </c>
      <c r="AH1440" s="5" t="s">
        <v>7222</v>
      </c>
      <c r="AI1440" s="5">
        <v>12851.075800000001</v>
      </c>
      <c r="AJ1440" s="5">
        <v>12851.075800000001</v>
      </c>
      <c r="AK1440">
        <v>11935.555700000001</v>
      </c>
      <c r="AL1440" s="5" t="str">
        <f t="shared" si="46"/>
        <v>Североуральский городской округ</v>
      </c>
    </row>
    <row r="1441" spans="1:38" ht="15" customHeight="1" x14ac:dyDescent="0.25">
      <c r="A1441" s="5" t="s">
        <v>561</v>
      </c>
      <c r="B1441" s="5" t="s">
        <v>1687</v>
      </c>
      <c r="C1441" s="5">
        <v>30591.135900000001</v>
      </c>
      <c r="D1441" s="5">
        <v>30591.135900000001</v>
      </c>
      <c r="E1441" s="5">
        <v>26853.405500000001</v>
      </c>
      <c r="F1441" s="5" t="s">
        <v>7249</v>
      </c>
      <c r="G1441" s="5" t="str">
        <f t="shared" si="45"/>
        <v>Рудник_Север</v>
      </c>
      <c r="J1441" s="5"/>
      <c r="AF1441" t="s">
        <v>7222</v>
      </c>
      <c r="AG1441" s="24" t="s">
        <v>6672</v>
      </c>
      <c r="AH1441" s="5" t="s">
        <v>7222</v>
      </c>
      <c r="AI1441" s="5">
        <v>13172.9674</v>
      </c>
      <c r="AJ1441" s="5">
        <v>13172.9674</v>
      </c>
      <c r="AK1441">
        <v>12234.5118</v>
      </c>
      <c r="AL1441" s="5" t="str">
        <f t="shared" si="46"/>
        <v>Североуральский городской округ</v>
      </c>
    </row>
    <row r="1442" spans="1:38" ht="15" customHeight="1" x14ac:dyDescent="0.25">
      <c r="A1442" s="5" t="s">
        <v>405</v>
      </c>
      <c r="B1442" s="5" t="s">
        <v>1687</v>
      </c>
      <c r="C1442" s="5">
        <v>30591.135900000001</v>
      </c>
      <c r="D1442" s="5">
        <v>30591.135900000001</v>
      </c>
      <c r="E1442" s="5">
        <v>26853.405500000001</v>
      </c>
      <c r="F1442" s="5" t="s">
        <v>7249</v>
      </c>
      <c r="G1442" s="5" t="str">
        <f t="shared" si="45"/>
        <v>Рудник_Север</v>
      </c>
      <c r="J1442" s="5"/>
      <c r="AF1442" t="s">
        <v>7222</v>
      </c>
      <c r="AG1442" s="24" t="s">
        <v>6673</v>
      </c>
      <c r="AH1442" s="5" t="s">
        <v>7222</v>
      </c>
      <c r="AI1442" s="5">
        <v>13172.9674</v>
      </c>
      <c r="AJ1442" s="5">
        <v>13172.9674</v>
      </c>
      <c r="AK1442">
        <v>12234.5118</v>
      </c>
      <c r="AL1442" s="5" t="str">
        <f t="shared" si="46"/>
        <v>Североуральский городской округ</v>
      </c>
    </row>
    <row r="1443" spans="1:38" ht="15" customHeight="1" x14ac:dyDescent="0.25">
      <c r="A1443" s="5" t="s">
        <v>127</v>
      </c>
      <c r="B1443" s="5" t="s">
        <v>1687</v>
      </c>
      <c r="C1443" s="5">
        <v>30591.135900000001</v>
      </c>
      <c r="D1443" s="5">
        <v>30591.135900000001</v>
      </c>
      <c r="E1443" s="5">
        <v>26853.405500000001</v>
      </c>
      <c r="F1443" s="5" t="s">
        <v>7249</v>
      </c>
      <c r="G1443" s="5" t="str">
        <f t="shared" si="45"/>
        <v>Рудник_Север</v>
      </c>
      <c r="J1443" s="5"/>
      <c r="AF1443" t="s">
        <v>7223</v>
      </c>
      <c r="AG1443" s="24" t="s">
        <v>6674</v>
      </c>
      <c r="AH1443" s="5" t="s">
        <v>7223</v>
      </c>
      <c r="AI1443" s="5">
        <v>22991.026699999999</v>
      </c>
      <c r="AJ1443" s="5">
        <v>22991.026699999999</v>
      </c>
      <c r="AK1443">
        <v>22532.998299999999</v>
      </c>
      <c r="AL1443" s="5" t="str">
        <f t="shared" si="46"/>
        <v>Серовский городской округ</v>
      </c>
    </row>
    <row r="1444" spans="1:38" ht="15" customHeight="1" x14ac:dyDescent="0.25">
      <c r="A1444" s="5" t="s">
        <v>1488</v>
      </c>
      <c r="B1444" s="5" t="s">
        <v>1687</v>
      </c>
      <c r="C1444" s="5">
        <v>30591.135900000001</v>
      </c>
      <c r="D1444" s="5">
        <v>30591.135900000001</v>
      </c>
      <c r="E1444" s="5">
        <v>26853.405500000001</v>
      </c>
      <c r="F1444" s="5" t="s">
        <v>7249</v>
      </c>
      <c r="G1444" s="5" t="str">
        <f t="shared" si="45"/>
        <v>Рудник_Север</v>
      </c>
      <c r="J1444" s="5"/>
      <c r="AF1444" t="s">
        <v>7223</v>
      </c>
      <c r="AG1444" s="24" t="s">
        <v>6675</v>
      </c>
      <c r="AH1444" s="5" t="s">
        <v>7223</v>
      </c>
      <c r="AI1444" s="5">
        <v>22991.026699999999</v>
      </c>
      <c r="AJ1444" s="5">
        <v>22991.026699999999</v>
      </c>
      <c r="AK1444">
        <v>22532.998299999999</v>
      </c>
      <c r="AL1444" s="5" t="str">
        <f t="shared" si="46"/>
        <v>Серовский городской округ</v>
      </c>
    </row>
    <row r="1445" spans="1:38" ht="15" customHeight="1" x14ac:dyDescent="0.25">
      <c r="A1445" s="5" t="s">
        <v>671</v>
      </c>
      <c r="B1445" s="5" t="s">
        <v>1687</v>
      </c>
      <c r="C1445" s="5">
        <v>30591.135900000001</v>
      </c>
      <c r="D1445" s="5">
        <v>30591.135900000001</v>
      </c>
      <c r="E1445" s="5">
        <v>26853.405500000001</v>
      </c>
      <c r="F1445" s="5" t="s">
        <v>7249</v>
      </c>
      <c r="G1445" s="5" t="str">
        <f t="shared" si="45"/>
        <v>Рудник_Север</v>
      </c>
      <c r="J1445" s="5"/>
      <c r="AF1445" t="s">
        <v>7223</v>
      </c>
      <c r="AG1445" s="24" t="s">
        <v>6676</v>
      </c>
      <c r="AH1445" s="5" t="s">
        <v>7223</v>
      </c>
      <c r="AI1445" s="5">
        <v>22991.026699999999</v>
      </c>
      <c r="AJ1445" s="5">
        <v>22991.026699999999</v>
      </c>
      <c r="AK1445">
        <v>22532.998299999999</v>
      </c>
      <c r="AL1445" s="5" t="str">
        <f t="shared" si="46"/>
        <v>Серовский городской округ</v>
      </c>
    </row>
    <row r="1446" spans="1:38" ht="15" customHeight="1" x14ac:dyDescent="0.25">
      <c r="A1446" s="5" t="s">
        <v>145</v>
      </c>
      <c r="B1446" s="5" t="s">
        <v>1687</v>
      </c>
      <c r="C1446" s="5">
        <v>30591.135900000001</v>
      </c>
      <c r="D1446" s="5">
        <v>30591.135900000001</v>
      </c>
      <c r="E1446" s="5">
        <v>26853.405500000001</v>
      </c>
      <c r="F1446" s="5" t="s">
        <v>7249</v>
      </c>
      <c r="G1446" s="5" t="str">
        <f t="shared" si="45"/>
        <v>Рудник_Север</v>
      </c>
      <c r="J1446" s="5"/>
      <c r="AF1446" t="s">
        <v>7223</v>
      </c>
      <c r="AG1446" s="24" t="s">
        <v>6677</v>
      </c>
      <c r="AH1446" s="5" t="s">
        <v>7223</v>
      </c>
      <c r="AI1446" s="5">
        <v>22991.026699999999</v>
      </c>
      <c r="AJ1446" s="5">
        <v>22991.026699999999</v>
      </c>
      <c r="AK1446">
        <v>22532.998299999999</v>
      </c>
      <c r="AL1446" s="5" t="str">
        <f t="shared" si="46"/>
        <v>Серовский городской округ</v>
      </c>
    </row>
    <row r="1447" spans="1:38" ht="15" customHeight="1" x14ac:dyDescent="0.25">
      <c r="A1447" s="5" t="s">
        <v>660</v>
      </c>
      <c r="B1447" s="5" t="s">
        <v>1687</v>
      </c>
      <c r="C1447" s="5">
        <v>30591.135900000001</v>
      </c>
      <c r="D1447" s="5">
        <v>30591.135900000001</v>
      </c>
      <c r="E1447" s="5">
        <v>26853.405500000001</v>
      </c>
      <c r="F1447" s="5" t="s">
        <v>7249</v>
      </c>
      <c r="G1447" s="5" t="str">
        <f t="shared" si="45"/>
        <v>Рудник_Север</v>
      </c>
      <c r="J1447" s="5"/>
      <c r="AF1447" t="s">
        <v>7223</v>
      </c>
      <c r="AG1447" s="24" t="s">
        <v>6678</v>
      </c>
      <c r="AH1447" s="5" t="s">
        <v>7223</v>
      </c>
      <c r="AI1447" s="5">
        <v>22991.026699999999</v>
      </c>
      <c r="AJ1447" s="5">
        <v>22991.026699999999</v>
      </c>
      <c r="AK1447">
        <v>22532.998299999999</v>
      </c>
      <c r="AL1447" s="5" t="str">
        <f t="shared" si="46"/>
        <v>Серовский городской округ</v>
      </c>
    </row>
    <row r="1448" spans="1:38" ht="15" customHeight="1" x14ac:dyDescent="0.25">
      <c r="A1448" s="5" t="s">
        <v>1304</v>
      </c>
      <c r="B1448" s="5" t="s">
        <v>1688</v>
      </c>
      <c r="C1448" s="5">
        <v>29893.73</v>
      </c>
      <c r="D1448" s="5">
        <v>29893.73</v>
      </c>
      <c r="E1448" s="5">
        <v>26241.207699999999</v>
      </c>
      <c r="F1448" s="5" t="s">
        <v>7249</v>
      </c>
      <c r="G1448" s="5" t="str">
        <f t="shared" si="45"/>
        <v>Сух_Г-Кам_Н_Кушва_Н-Черм</v>
      </c>
      <c r="J1448" s="5"/>
      <c r="AF1448" t="s">
        <v>7223</v>
      </c>
      <c r="AG1448" s="24" t="s">
        <v>6679</v>
      </c>
      <c r="AH1448" s="5" t="s">
        <v>7223</v>
      </c>
      <c r="AI1448" s="5">
        <v>22991.026699999999</v>
      </c>
      <c r="AJ1448" s="5">
        <v>22991.026699999999</v>
      </c>
      <c r="AK1448">
        <v>22532.998299999999</v>
      </c>
      <c r="AL1448" s="5" t="str">
        <f t="shared" si="46"/>
        <v>Серовский городской округ</v>
      </c>
    </row>
    <row r="1449" spans="1:38" ht="15" customHeight="1" x14ac:dyDescent="0.25">
      <c r="A1449" s="5" t="s">
        <v>1352</v>
      </c>
      <c r="B1449" s="5" t="s">
        <v>1688</v>
      </c>
      <c r="C1449" s="5">
        <v>29893.73</v>
      </c>
      <c r="D1449" s="5">
        <v>29893.73</v>
      </c>
      <c r="E1449" s="5">
        <v>26241.207699999999</v>
      </c>
      <c r="F1449" s="5" t="s">
        <v>7249</v>
      </c>
      <c r="G1449" s="5" t="str">
        <f t="shared" si="45"/>
        <v>Сух_Г-Кам_Н_Кушва_Н-Черм</v>
      </c>
      <c r="J1449" s="5"/>
      <c r="AF1449" t="s">
        <v>7223</v>
      </c>
      <c r="AG1449" s="24" t="s">
        <v>6680</v>
      </c>
      <c r="AH1449" s="5" t="s">
        <v>7223</v>
      </c>
      <c r="AI1449" s="5">
        <v>22991.026699999999</v>
      </c>
      <c r="AJ1449" s="5">
        <v>22991.026699999999</v>
      </c>
      <c r="AK1449">
        <v>22532.998299999999</v>
      </c>
      <c r="AL1449" s="5" t="str">
        <f t="shared" si="46"/>
        <v>Серовский городской округ</v>
      </c>
    </row>
    <row r="1450" spans="1:38" ht="15" customHeight="1" x14ac:dyDescent="0.25">
      <c r="A1450" s="5" t="s">
        <v>1197</v>
      </c>
      <c r="B1450" s="5" t="s">
        <v>1688</v>
      </c>
      <c r="C1450" s="5">
        <v>29893.73</v>
      </c>
      <c r="D1450" s="5">
        <v>29893.73</v>
      </c>
      <c r="E1450" s="5">
        <v>26241.207699999999</v>
      </c>
      <c r="F1450" s="5" t="s">
        <v>7249</v>
      </c>
      <c r="G1450" s="5" t="str">
        <f t="shared" si="45"/>
        <v>Сух_Г-Кам_Н_Кушва_Н-Черм</v>
      </c>
      <c r="J1450" s="5"/>
      <c r="AF1450" t="s">
        <v>7223</v>
      </c>
      <c r="AG1450" s="24" t="s">
        <v>6681</v>
      </c>
      <c r="AH1450" s="5" t="s">
        <v>7223</v>
      </c>
      <c r="AI1450" s="5">
        <v>22991.026699999999</v>
      </c>
      <c r="AJ1450" s="5">
        <v>22991.026699999999</v>
      </c>
      <c r="AK1450">
        <v>22532.998299999999</v>
      </c>
      <c r="AL1450" s="5" t="str">
        <f t="shared" si="46"/>
        <v>Серовский городской округ</v>
      </c>
    </row>
    <row r="1451" spans="1:38" ht="15" customHeight="1" x14ac:dyDescent="0.25">
      <c r="A1451" s="5" t="s">
        <v>642</v>
      </c>
      <c r="B1451" s="5" t="s">
        <v>1688</v>
      </c>
      <c r="C1451" s="5">
        <v>29893.73</v>
      </c>
      <c r="D1451" s="5">
        <v>29893.73</v>
      </c>
      <c r="E1451" s="5">
        <v>26241.207699999999</v>
      </c>
      <c r="F1451" s="5" t="s">
        <v>7249</v>
      </c>
      <c r="G1451" s="5" t="str">
        <f t="shared" si="45"/>
        <v>Сух_Г-Кам_Н_Кушва_Н-Черм</v>
      </c>
      <c r="J1451" s="5"/>
      <c r="AF1451" t="s">
        <v>7223</v>
      </c>
      <c r="AG1451" s="24" t="s">
        <v>6682</v>
      </c>
      <c r="AH1451" s="5" t="s">
        <v>7223</v>
      </c>
      <c r="AI1451" s="5">
        <v>22991.026699999999</v>
      </c>
      <c r="AJ1451" s="5">
        <v>22991.026699999999</v>
      </c>
      <c r="AK1451">
        <v>22532.998299999999</v>
      </c>
      <c r="AL1451" s="5" t="str">
        <f t="shared" si="46"/>
        <v>Серовский городской округ</v>
      </c>
    </row>
    <row r="1452" spans="1:38" ht="15" customHeight="1" x14ac:dyDescent="0.25">
      <c r="A1452" s="5" t="s">
        <v>928</v>
      </c>
      <c r="B1452" s="5" t="s">
        <v>1688</v>
      </c>
      <c r="C1452" s="5">
        <v>29893.73</v>
      </c>
      <c r="D1452" s="5">
        <v>29893.73</v>
      </c>
      <c r="E1452" s="5">
        <v>26241.207699999999</v>
      </c>
      <c r="F1452" s="5" t="s">
        <v>7249</v>
      </c>
      <c r="G1452" s="5" t="str">
        <f t="shared" si="45"/>
        <v>Сух_Г-Кам_Н_Кушва_Н-Черм</v>
      </c>
      <c r="J1452" s="5"/>
      <c r="AF1452" t="s">
        <v>7223</v>
      </c>
      <c r="AG1452" s="24" t="s">
        <v>6683</v>
      </c>
      <c r="AH1452" s="5" t="s">
        <v>7223</v>
      </c>
      <c r="AI1452" s="5">
        <v>25488.217799999999</v>
      </c>
      <c r="AJ1452" s="5">
        <v>25488.217799999999</v>
      </c>
      <c r="AK1452">
        <v>24980.447700000001</v>
      </c>
      <c r="AL1452" s="5" t="str">
        <f t="shared" si="46"/>
        <v>Серовский городской округ</v>
      </c>
    </row>
    <row r="1453" spans="1:38" ht="15" customHeight="1" x14ac:dyDescent="0.25">
      <c r="A1453" s="5" t="s">
        <v>484</v>
      </c>
      <c r="B1453" s="5" t="s">
        <v>1688</v>
      </c>
      <c r="C1453" s="5">
        <v>29893.73</v>
      </c>
      <c r="D1453" s="5">
        <v>29893.73</v>
      </c>
      <c r="E1453" s="5">
        <v>26241.207699999999</v>
      </c>
      <c r="F1453" s="5" t="s">
        <v>7249</v>
      </c>
      <c r="G1453" s="5" t="str">
        <f t="shared" si="45"/>
        <v>Сух_Г-Кам_Н_Кушва_Н-Черм</v>
      </c>
      <c r="J1453" s="5"/>
      <c r="AF1453" t="s">
        <v>7223</v>
      </c>
      <c r="AG1453" s="24" t="s">
        <v>6684</v>
      </c>
      <c r="AH1453" s="5" t="s">
        <v>7223</v>
      </c>
      <c r="AI1453" s="5">
        <v>25488.217799999999</v>
      </c>
      <c r="AJ1453" s="5">
        <v>25488.217799999999</v>
      </c>
      <c r="AK1453">
        <v>24980.447700000001</v>
      </c>
      <c r="AL1453" s="5" t="str">
        <f t="shared" si="46"/>
        <v>Серовский городской округ</v>
      </c>
    </row>
    <row r="1454" spans="1:38" ht="15" customHeight="1" x14ac:dyDescent="0.25">
      <c r="A1454" s="5" t="s">
        <v>722</v>
      </c>
      <c r="B1454" s="5" t="s">
        <v>1688</v>
      </c>
      <c r="C1454" s="5">
        <v>29893.73</v>
      </c>
      <c r="D1454" s="5">
        <v>29893.73</v>
      </c>
      <c r="E1454" s="5">
        <v>26241.207699999999</v>
      </c>
      <c r="F1454" s="5" t="s">
        <v>7249</v>
      </c>
      <c r="G1454" s="5" t="str">
        <f t="shared" si="45"/>
        <v>Сух_Г-Кам_Н_Кушва_Н-Черм</v>
      </c>
      <c r="J1454" s="5"/>
      <c r="AF1454" t="s">
        <v>7223</v>
      </c>
      <c r="AG1454" s="24" t="s">
        <v>6685</v>
      </c>
      <c r="AH1454" s="5" t="s">
        <v>7223</v>
      </c>
      <c r="AI1454" s="5">
        <v>22991.026699999999</v>
      </c>
      <c r="AJ1454" s="5">
        <v>22991.026699999999</v>
      </c>
      <c r="AK1454">
        <v>22532.998299999999</v>
      </c>
      <c r="AL1454" s="5" t="str">
        <f t="shared" si="46"/>
        <v>Серовский городской округ</v>
      </c>
    </row>
    <row r="1455" spans="1:38" ht="15" customHeight="1" x14ac:dyDescent="0.25">
      <c r="A1455" s="5" t="s">
        <v>987</v>
      </c>
      <c r="B1455" s="5" t="s">
        <v>1688</v>
      </c>
      <c r="C1455" s="5">
        <v>29893.73</v>
      </c>
      <c r="D1455" s="5">
        <v>29893.73</v>
      </c>
      <c r="E1455" s="5">
        <v>26241.207699999999</v>
      </c>
      <c r="F1455" s="5" t="s">
        <v>7249</v>
      </c>
      <c r="G1455" s="5" t="str">
        <f t="shared" si="45"/>
        <v>Сух_Г-Кам_Н_Кушва_Н-Черм</v>
      </c>
      <c r="J1455" s="5"/>
      <c r="AF1455" t="s">
        <v>7223</v>
      </c>
      <c r="AG1455" s="24" t="s">
        <v>6686</v>
      </c>
      <c r="AH1455" s="5" t="s">
        <v>7223</v>
      </c>
      <c r="AI1455" s="5">
        <v>22991.026699999999</v>
      </c>
      <c r="AJ1455" s="5">
        <v>22991.026699999999</v>
      </c>
      <c r="AK1455">
        <v>22532.998299999999</v>
      </c>
      <c r="AL1455" s="5" t="str">
        <f t="shared" si="46"/>
        <v>Серовский городской округ</v>
      </c>
    </row>
    <row r="1456" spans="1:38" ht="15" customHeight="1" x14ac:dyDescent="0.25">
      <c r="A1456" s="5" t="s">
        <v>1005</v>
      </c>
      <c r="B1456" s="5" t="s">
        <v>1688</v>
      </c>
      <c r="C1456" s="5">
        <v>29893.73</v>
      </c>
      <c r="D1456" s="5">
        <v>29893.73</v>
      </c>
      <c r="E1456" s="5">
        <v>26241.207699999999</v>
      </c>
      <c r="F1456" s="5" t="s">
        <v>7249</v>
      </c>
      <c r="G1456" s="5" t="str">
        <f t="shared" si="45"/>
        <v>Сух_Г-Кам_Н_Кушва_Н-Черм</v>
      </c>
      <c r="J1456" s="5"/>
      <c r="AF1456" t="s">
        <v>7223</v>
      </c>
      <c r="AG1456" s="24" t="s">
        <v>6687</v>
      </c>
      <c r="AH1456" s="5" t="s">
        <v>7223</v>
      </c>
      <c r="AI1456" s="5">
        <v>22991.026699999999</v>
      </c>
      <c r="AJ1456" s="5">
        <v>22991.026699999999</v>
      </c>
      <c r="AK1456">
        <v>22532.998299999999</v>
      </c>
      <c r="AL1456" s="5" t="str">
        <f t="shared" si="46"/>
        <v>Серовский городской округ</v>
      </c>
    </row>
    <row r="1457" spans="1:38" ht="15" customHeight="1" x14ac:dyDescent="0.25">
      <c r="A1457" s="5" t="s">
        <v>609</v>
      </c>
      <c r="B1457" s="5" t="s">
        <v>1688</v>
      </c>
      <c r="C1457" s="5">
        <v>29893.73</v>
      </c>
      <c r="D1457" s="5">
        <v>29893.73</v>
      </c>
      <c r="E1457" s="5">
        <v>26241.207699999999</v>
      </c>
      <c r="F1457" s="5" t="s">
        <v>7249</v>
      </c>
      <c r="G1457" s="5" t="str">
        <f t="shared" si="45"/>
        <v>Сух_Г-Кам_Н_Кушва_Н-Черм</v>
      </c>
      <c r="J1457" s="5"/>
      <c r="AF1457" t="s">
        <v>7223</v>
      </c>
      <c r="AG1457" s="24" t="s">
        <v>6688</v>
      </c>
      <c r="AH1457" s="5" t="s">
        <v>7223</v>
      </c>
      <c r="AI1457" s="5">
        <v>22991.026699999999</v>
      </c>
      <c r="AJ1457" s="5">
        <v>22991.026699999999</v>
      </c>
      <c r="AK1457">
        <v>22532.998299999999</v>
      </c>
      <c r="AL1457" s="5" t="str">
        <f t="shared" si="46"/>
        <v>Серовский городской округ</v>
      </c>
    </row>
    <row r="1458" spans="1:38" ht="15" customHeight="1" x14ac:dyDescent="0.25">
      <c r="A1458" s="5" t="s">
        <v>1473</v>
      </c>
      <c r="B1458" s="5" t="s">
        <v>1688</v>
      </c>
      <c r="C1458" s="5">
        <v>29893.73</v>
      </c>
      <c r="D1458" s="5">
        <v>29893.73</v>
      </c>
      <c r="E1458" s="5">
        <v>26241.207699999999</v>
      </c>
      <c r="F1458" s="5" t="s">
        <v>7249</v>
      </c>
      <c r="G1458" s="5" t="str">
        <f t="shared" si="45"/>
        <v>Сух_Г-Кам_Н_Кушва_Н-Черм</v>
      </c>
      <c r="J1458" s="5"/>
      <c r="AF1458" t="s">
        <v>7223</v>
      </c>
      <c r="AG1458" s="24" t="s">
        <v>6689</v>
      </c>
      <c r="AH1458" s="5" t="s">
        <v>7223</v>
      </c>
      <c r="AI1458" s="5">
        <v>22991.026699999999</v>
      </c>
      <c r="AJ1458" s="5">
        <v>22991.026699999999</v>
      </c>
      <c r="AK1458">
        <v>22532.998299999999</v>
      </c>
      <c r="AL1458" s="5" t="str">
        <f t="shared" si="46"/>
        <v>Серовский городской округ</v>
      </c>
    </row>
    <row r="1459" spans="1:38" ht="15" customHeight="1" x14ac:dyDescent="0.25">
      <c r="A1459" s="5" t="s">
        <v>54</v>
      </c>
      <c r="B1459" s="5" t="s">
        <v>1688</v>
      </c>
      <c r="C1459" s="5">
        <v>29893.73</v>
      </c>
      <c r="D1459" s="5">
        <v>29893.73</v>
      </c>
      <c r="E1459" s="5">
        <v>26241.207699999999</v>
      </c>
      <c r="F1459" s="5" t="s">
        <v>7249</v>
      </c>
      <c r="G1459" s="5" t="str">
        <f t="shared" si="45"/>
        <v>Сух_Г-Кам_Н_Кушва_Н-Черм</v>
      </c>
      <c r="J1459" s="5"/>
      <c r="AF1459" t="s">
        <v>7223</v>
      </c>
      <c r="AG1459" s="24" t="s">
        <v>6690</v>
      </c>
      <c r="AH1459" s="5" t="s">
        <v>7223</v>
      </c>
      <c r="AI1459" s="5">
        <v>22991.026699999999</v>
      </c>
      <c r="AJ1459" s="5">
        <v>22991.026699999999</v>
      </c>
      <c r="AK1459">
        <v>22532.998299999999</v>
      </c>
      <c r="AL1459" s="5" t="str">
        <f t="shared" si="46"/>
        <v>Серовский городской округ</v>
      </c>
    </row>
    <row r="1460" spans="1:38" ht="15" customHeight="1" x14ac:dyDescent="0.25">
      <c r="A1460" s="5" t="s">
        <v>345</v>
      </c>
      <c r="B1460" s="5" t="s">
        <v>1688</v>
      </c>
      <c r="C1460" s="5">
        <v>29893.73</v>
      </c>
      <c r="D1460" s="5">
        <v>29893.73</v>
      </c>
      <c r="E1460" s="5">
        <v>26241.207699999999</v>
      </c>
      <c r="F1460" s="5" t="s">
        <v>7249</v>
      </c>
      <c r="G1460" s="5" t="str">
        <f t="shared" si="45"/>
        <v>Сух_Г-Кам_Н_Кушва_Н-Черм</v>
      </c>
      <c r="J1460" s="5"/>
      <c r="AF1460" t="s">
        <v>7223</v>
      </c>
      <c r="AG1460" s="24" t="s">
        <v>6691</v>
      </c>
      <c r="AH1460" s="5" t="s">
        <v>7223</v>
      </c>
      <c r="AI1460" s="5">
        <v>22991.026699999999</v>
      </c>
      <c r="AJ1460" s="5">
        <v>22991.026699999999</v>
      </c>
      <c r="AK1460">
        <v>22532.998299999999</v>
      </c>
      <c r="AL1460" s="5" t="str">
        <f t="shared" si="46"/>
        <v>Серовский городской округ</v>
      </c>
    </row>
    <row r="1461" spans="1:38" ht="15" customHeight="1" x14ac:dyDescent="0.25">
      <c r="A1461" s="5" t="s">
        <v>176</v>
      </c>
      <c r="B1461" s="5" t="s">
        <v>1688</v>
      </c>
      <c r="C1461" s="5">
        <v>29893.73</v>
      </c>
      <c r="D1461" s="5">
        <v>29893.73</v>
      </c>
      <c r="E1461" s="5">
        <v>26241.207699999999</v>
      </c>
      <c r="F1461" s="5" t="s">
        <v>7249</v>
      </c>
      <c r="G1461" s="5" t="str">
        <f t="shared" si="45"/>
        <v>Сух_Г-Кам_Н_Кушва_Н-Черм</v>
      </c>
      <c r="J1461" s="5"/>
      <c r="AF1461" t="s">
        <v>7223</v>
      </c>
      <c r="AG1461" s="24" t="s">
        <v>6692</v>
      </c>
      <c r="AH1461" s="5" t="s">
        <v>7223</v>
      </c>
      <c r="AI1461" s="5">
        <v>22991.026699999999</v>
      </c>
      <c r="AJ1461" s="5">
        <v>22991.026699999999</v>
      </c>
      <c r="AK1461">
        <v>22532.998299999999</v>
      </c>
      <c r="AL1461" s="5" t="str">
        <f t="shared" si="46"/>
        <v>Серовский городской округ</v>
      </c>
    </row>
    <row r="1462" spans="1:38" ht="15" customHeight="1" x14ac:dyDescent="0.25">
      <c r="A1462" s="5" t="s">
        <v>236</v>
      </c>
      <c r="B1462" s="5" t="s">
        <v>1688</v>
      </c>
      <c r="C1462" s="5">
        <v>29893.73</v>
      </c>
      <c r="D1462" s="5">
        <v>29893.73</v>
      </c>
      <c r="E1462" s="5">
        <v>26241.207699999999</v>
      </c>
      <c r="F1462" s="5" t="s">
        <v>7249</v>
      </c>
      <c r="G1462" s="5" t="str">
        <f t="shared" si="45"/>
        <v>Сух_Г-Кам_Н_Кушва_Н-Черм</v>
      </c>
      <c r="J1462" s="5"/>
      <c r="AF1462" t="s">
        <v>7223</v>
      </c>
      <c r="AG1462" s="24" t="s">
        <v>6693</v>
      </c>
      <c r="AH1462" s="5" t="s">
        <v>7223</v>
      </c>
      <c r="AI1462" s="5">
        <v>22991.026699999999</v>
      </c>
      <c r="AJ1462" s="5">
        <v>22991.026699999999</v>
      </c>
      <c r="AK1462">
        <v>22532.998299999999</v>
      </c>
      <c r="AL1462" s="5" t="str">
        <f t="shared" si="46"/>
        <v>Серовский городской округ</v>
      </c>
    </row>
    <row r="1463" spans="1:38" ht="15" customHeight="1" x14ac:dyDescent="0.25">
      <c r="A1463" s="5" t="s">
        <v>279</v>
      </c>
      <c r="B1463" s="5" t="s">
        <v>1688</v>
      </c>
      <c r="C1463" s="5">
        <v>29893.73</v>
      </c>
      <c r="D1463" s="5">
        <v>29893.73</v>
      </c>
      <c r="E1463" s="5">
        <v>26241.207699999999</v>
      </c>
      <c r="F1463" s="5" t="s">
        <v>7249</v>
      </c>
      <c r="G1463" s="5" t="str">
        <f t="shared" si="45"/>
        <v>Сух_Г-Кам_Н_Кушва_Н-Черм</v>
      </c>
      <c r="J1463" s="5"/>
      <c r="AF1463" t="s">
        <v>7223</v>
      </c>
      <c r="AG1463" s="24" t="s">
        <v>6694</v>
      </c>
      <c r="AH1463" s="5" t="s">
        <v>7223</v>
      </c>
      <c r="AI1463" s="5">
        <v>22991.026699999999</v>
      </c>
      <c r="AJ1463" s="5">
        <v>22991.026699999999</v>
      </c>
      <c r="AK1463">
        <v>22532.998299999999</v>
      </c>
      <c r="AL1463" s="5" t="str">
        <f t="shared" si="46"/>
        <v>Серовский городской округ</v>
      </c>
    </row>
    <row r="1464" spans="1:38" ht="15" customHeight="1" x14ac:dyDescent="0.25">
      <c r="A1464" s="5" t="s">
        <v>620</v>
      </c>
      <c r="B1464" s="5" t="s">
        <v>1688</v>
      </c>
      <c r="C1464" s="5">
        <v>29893.73</v>
      </c>
      <c r="D1464" s="5">
        <v>29893.73</v>
      </c>
      <c r="E1464" s="5">
        <v>26241.207699999999</v>
      </c>
      <c r="F1464" s="5" t="s">
        <v>7249</v>
      </c>
      <c r="G1464" s="5" t="str">
        <f t="shared" si="45"/>
        <v>Сух_Г-Кам_Н_Кушва_Н-Черм</v>
      </c>
      <c r="J1464" s="5"/>
      <c r="AF1464" t="s">
        <v>7223</v>
      </c>
      <c r="AG1464" s="24" t="s">
        <v>6695</v>
      </c>
      <c r="AH1464" s="5" t="s">
        <v>7223</v>
      </c>
      <c r="AI1464" s="5">
        <v>22991.026699999999</v>
      </c>
      <c r="AJ1464" s="5">
        <v>22991.026699999999</v>
      </c>
      <c r="AK1464">
        <v>22532.998299999999</v>
      </c>
      <c r="AL1464" s="5" t="str">
        <f t="shared" si="46"/>
        <v>Серовский городской округ</v>
      </c>
    </row>
    <row r="1465" spans="1:38" ht="15" customHeight="1" x14ac:dyDescent="0.25">
      <c r="A1465" s="5" t="s">
        <v>148</v>
      </c>
      <c r="B1465" s="5" t="s">
        <v>1688</v>
      </c>
      <c r="C1465" s="5">
        <v>29893.73</v>
      </c>
      <c r="D1465" s="5">
        <v>29893.73</v>
      </c>
      <c r="E1465" s="5">
        <v>26241.207699999999</v>
      </c>
      <c r="F1465" s="5" t="s">
        <v>7249</v>
      </c>
      <c r="G1465" s="5" t="str">
        <f t="shared" si="45"/>
        <v>Сух_Г-Кам_Н_Кушва_Н-Черм</v>
      </c>
      <c r="J1465" s="5"/>
      <c r="AF1465" t="s">
        <v>7223</v>
      </c>
      <c r="AG1465" s="24" t="s">
        <v>6696</v>
      </c>
      <c r="AH1465" s="5" t="s">
        <v>7223</v>
      </c>
      <c r="AI1465" s="5">
        <v>22991.026699999999</v>
      </c>
      <c r="AJ1465" s="5">
        <v>22991.026699999999</v>
      </c>
      <c r="AK1465">
        <v>22532.998299999999</v>
      </c>
      <c r="AL1465" s="5" t="str">
        <f t="shared" si="46"/>
        <v>Серовский городской округ</v>
      </c>
    </row>
    <row r="1466" spans="1:38" ht="15" customHeight="1" x14ac:dyDescent="0.25">
      <c r="A1466" s="5" t="s">
        <v>50</v>
      </c>
      <c r="B1466" s="5" t="s">
        <v>1688</v>
      </c>
      <c r="C1466" s="5">
        <v>29893.73</v>
      </c>
      <c r="D1466" s="5">
        <v>29893.73</v>
      </c>
      <c r="E1466" s="5">
        <v>26241.207699999999</v>
      </c>
      <c r="F1466" s="5" t="s">
        <v>7249</v>
      </c>
      <c r="G1466" s="5" t="str">
        <f t="shared" si="45"/>
        <v>Сух_Г-Кам_Н_Кушва_Н-Черм</v>
      </c>
      <c r="J1466" s="5"/>
      <c r="AF1466" t="s">
        <v>7223</v>
      </c>
      <c r="AG1466" s="24" t="s">
        <v>6697</v>
      </c>
      <c r="AH1466" s="5" t="s">
        <v>7223</v>
      </c>
      <c r="AI1466" s="5">
        <v>22991.026699999999</v>
      </c>
      <c r="AJ1466" s="5">
        <v>22991.026699999999</v>
      </c>
      <c r="AK1466">
        <v>22532.998299999999</v>
      </c>
      <c r="AL1466" s="5" t="str">
        <f t="shared" si="46"/>
        <v>Серовский городской округ</v>
      </c>
    </row>
    <row r="1467" spans="1:38" ht="15" customHeight="1" x14ac:dyDescent="0.25">
      <c r="A1467" s="5" t="s">
        <v>309</v>
      </c>
      <c r="B1467" s="5" t="s">
        <v>1688</v>
      </c>
      <c r="C1467" s="5">
        <v>29893.73</v>
      </c>
      <c r="D1467" s="5">
        <v>29893.73</v>
      </c>
      <c r="E1467" s="5">
        <v>26241.207699999999</v>
      </c>
      <c r="F1467" s="5" t="s">
        <v>7249</v>
      </c>
      <c r="G1467" s="5" t="str">
        <f t="shared" si="45"/>
        <v>Сух_Г-Кам_Н_Кушва_Н-Черм</v>
      </c>
      <c r="J1467" s="5"/>
      <c r="AF1467" t="s">
        <v>7223</v>
      </c>
      <c r="AG1467" s="24" t="s">
        <v>6698</v>
      </c>
      <c r="AH1467" s="5" t="s">
        <v>7223</v>
      </c>
      <c r="AI1467" s="5">
        <v>22991.026699999999</v>
      </c>
      <c r="AJ1467" s="5">
        <v>22991.026699999999</v>
      </c>
      <c r="AK1467">
        <v>22532.998299999999</v>
      </c>
      <c r="AL1467" s="5" t="str">
        <f t="shared" si="46"/>
        <v>Серовский городской округ</v>
      </c>
    </row>
    <row r="1468" spans="1:38" ht="15" customHeight="1" x14ac:dyDescent="0.25">
      <c r="A1468" s="5" t="s">
        <v>94</v>
      </c>
      <c r="B1468" s="5" t="s">
        <v>1688</v>
      </c>
      <c r="C1468" s="5">
        <v>29893.73</v>
      </c>
      <c r="D1468" s="5">
        <v>29893.73</v>
      </c>
      <c r="E1468" s="5">
        <v>26241.207699999999</v>
      </c>
      <c r="F1468" s="5" t="s">
        <v>7249</v>
      </c>
      <c r="G1468" s="5" t="str">
        <f t="shared" si="45"/>
        <v>Сух_Г-Кам_Н_Кушва_Н-Черм</v>
      </c>
      <c r="J1468" s="5"/>
      <c r="AF1468" t="s">
        <v>7223</v>
      </c>
      <c r="AG1468" s="24" t="s">
        <v>6699</v>
      </c>
      <c r="AH1468" s="5" t="s">
        <v>7223</v>
      </c>
      <c r="AI1468" s="5">
        <v>22991.026699999999</v>
      </c>
      <c r="AJ1468" s="5">
        <v>22991.026699999999</v>
      </c>
      <c r="AK1468">
        <v>22532.998299999999</v>
      </c>
      <c r="AL1468" s="5" t="str">
        <f t="shared" si="46"/>
        <v>Серовский городской округ</v>
      </c>
    </row>
    <row r="1469" spans="1:38" ht="15" customHeight="1" x14ac:dyDescent="0.25">
      <c r="A1469" s="5" t="s">
        <v>114</v>
      </c>
      <c r="B1469" s="5" t="s">
        <v>1688</v>
      </c>
      <c r="C1469" s="5">
        <v>29893.73</v>
      </c>
      <c r="D1469" s="5">
        <v>29893.73</v>
      </c>
      <c r="E1469" s="5">
        <v>26241.207699999999</v>
      </c>
      <c r="F1469" s="5" t="s">
        <v>7249</v>
      </c>
      <c r="G1469" s="5" t="str">
        <f t="shared" si="45"/>
        <v>Сух_Г-Кам_Н_Кушва_Н-Черм</v>
      </c>
      <c r="J1469" s="5"/>
      <c r="AF1469" t="s">
        <v>7223</v>
      </c>
      <c r="AG1469" s="24" t="s">
        <v>6700</v>
      </c>
      <c r="AH1469" s="5" t="s">
        <v>7223</v>
      </c>
      <c r="AI1469" s="5">
        <v>22991.026699999999</v>
      </c>
      <c r="AJ1469" s="5">
        <v>22991.026699999999</v>
      </c>
      <c r="AK1469">
        <v>22532.998299999999</v>
      </c>
      <c r="AL1469" s="5" t="str">
        <f t="shared" si="46"/>
        <v>Серовский городской округ</v>
      </c>
    </row>
    <row r="1470" spans="1:38" ht="15" customHeight="1" x14ac:dyDescent="0.25">
      <c r="A1470" s="5" t="s">
        <v>496</v>
      </c>
      <c r="B1470" s="5" t="s">
        <v>1688</v>
      </c>
      <c r="C1470" s="5">
        <v>29893.73</v>
      </c>
      <c r="D1470" s="5">
        <v>29893.73</v>
      </c>
      <c r="E1470" s="5">
        <v>26241.207699999999</v>
      </c>
      <c r="F1470" s="5" t="s">
        <v>7249</v>
      </c>
      <c r="G1470" s="5" t="str">
        <f t="shared" si="45"/>
        <v>Сух_Г-Кам_Н_Кушва_Н-Черм</v>
      </c>
      <c r="J1470" s="5"/>
      <c r="AF1470" t="s">
        <v>7223</v>
      </c>
      <c r="AG1470" s="24" t="s">
        <v>6701</v>
      </c>
      <c r="AH1470" s="5" t="s">
        <v>7223</v>
      </c>
      <c r="AI1470" s="5">
        <v>22991.026699999999</v>
      </c>
      <c r="AJ1470" s="5">
        <v>22991.026699999999</v>
      </c>
      <c r="AK1470">
        <v>22532.998299999999</v>
      </c>
      <c r="AL1470" s="5" t="str">
        <f t="shared" si="46"/>
        <v>Серовский городской округ</v>
      </c>
    </row>
    <row r="1471" spans="1:38" ht="15" customHeight="1" x14ac:dyDescent="0.25">
      <c r="A1471" s="5" t="s">
        <v>501</v>
      </c>
      <c r="B1471" s="5" t="s">
        <v>1689</v>
      </c>
      <c r="C1471" s="5">
        <v>34023.428</v>
      </c>
      <c r="D1471" s="5">
        <v>34023.428</v>
      </c>
      <c r="E1471" s="5">
        <v>29866.3148</v>
      </c>
      <c r="F1471" s="5" t="s">
        <v>7249</v>
      </c>
      <c r="G1471" s="5" t="str">
        <f t="shared" si="45"/>
        <v>Тагил_Кирп</v>
      </c>
      <c r="J1471" s="5"/>
      <c r="AF1471" t="s">
        <v>7223</v>
      </c>
      <c r="AG1471" s="24" t="s">
        <v>6702</v>
      </c>
      <c r="AH1471" s="5" t="s">
        <v>7223</v>
      </c>
      <c r="AI1471" s="5">
        <v>22991.026699999999</v>
      </c>
      <c r="AJ1471" s="5">
        <v>22991.026699999999</v>
      </c>
      <c r="AK1471">
        <v>22532.998299999999</v>
      </c>
      <c r="AL1471" s="5" t="str">
        <f t="shared" si="46"/>
        <v>Серовский городской округ</v>
      </c>
    </row>
    <row r="1472" spans="1:38" ht="15" customHeight="1" x14ac:dyDescent="0.25">
      <c r="A1472" s="5" t="s">
        <v>854</v>
      </c>
      <c r="B1472" s="5" t="s">
        <v>1689</v>
      </c>
      <c r="C1472" s="5">
        <v>34023.428</v>
      </c>
      <c r="D1472" s="5">
        <v>34023.428</v>
      </c>
      <c r="E1472" s="5">
        <v>29866.3148</v>
      </c>
      <c r="F1472" s="5" t="s">
        <v>7249</v>
      </c>
      <c r="G1472" s="5" t="str">
        <f t="shared" si="45"/>
        <v>Тагил_Кирп</v>
      </c>
      <c r="J1472" s="5"/>
      <c r="AF1472" t="s">
        <v>7223</v>
      </c>
      <c r="AG1472" s="24" t="s">
        <v>6703</v>
      </c>
      <c r="AH1472" s="5" t="s">
        <v>7223</v>
      </c>
      <c r="AI1472" s="5">
        <v>22991.026699999999</v>
      </c>
      <c r="AJ1472" s="5">
        <v>22991.026699999999</v>
      </c>
      <c r="AK1472">
        <v>22532.998299999999</v>
      </c>
      <c r="AL1472" s="5" t="str">
        <f t="shared" si="46"/>
        <v>Серовский городской округ</v>
      </c>
    </row>
    <row r="1473" spans="1:38" ht="15" customHeight="1" x14ac:dyDescent="0.25">
      <c r="A1473" s="5" t="s">
        <v>954</v>
      </c>
      <c r="B1473" s="5" t="s">
        <v>1689</v>
      </c>
      <c r="C1473" s="5">
        <v>34023.428</v>
      </c>
      <c r="D1473" s="5">
        <v>34023.428</v>
      </c>
      <c r="E1473" s="5">
        <v>29866.3148</v>
      </c>
      <c r="F1473" s="5" t="s">
        <v>7249</v>
      </c>
      <c r="G1473" s="5" t="str">
        <f t="shared" si="45"/>
        <v>Тагил_Кирп</v>
      </c>
      <c r="J1473" s="5"/>
      <c r="AF1473" t="s">
        <v>7223</v>
      </c>
      <c r="AG1473" s="24" t="s">
        <v>6704</v>
      </c>
      <c r="AH1473" s="5" t="s">
        <v>7223</v>
      </c>
      <c r="AI1473" s="5">
        <v>22991.026699999999</v>
      </c>
      <c r="AJ1473" s="5">
        <v>22991.026699999999</v>
      </c>
      <c r="AK1473">
        <v>22532.998299999999</v>
      </c>
      <c r="AL1473" s="5" t="str">
        <f t="shared" si="46"/>
        <v>Серовский городской округ</v>
      </c>
    </row>
    <row r="1474" spans="1:38" ht="15" customHeight="1" x14ac:dyDescent="0.25">
      <c r="A1474" s="5" t="s">
        <v>1209</v>
      </c>
      <c r="B1474" s="5" t="s">
        <v>1689</v>
      </c>
      <c r="C1474" s="5">
        <v>34023.428</v>
      </c>
      <c r="D1474" s="5">
        <v>34023.428</v>
      </c>
      <c r="E1474" s="5">
        <v>29866.3148</v>
      </c>
      <c r="F1474" s="5" t="s">
        <v>7249</v>
      </c>
      <c r="G1474" s="5" t="str">
        <f t="shared" si="45"/>
        <v>Тагил_Кирп</v>
      </c>
      <c r="J1474" s="5"/>
      <c r="AF1474" t="s">
        <v>7223</v>
      </c>
      <c r="AG1474" s="24" t="s">
        <v>6705</v>
      </c>
      <c r="AH1474" s="5" t="s">
        <v>7223</v>
      </c>
      <c r="AI1474" s="5">
        <v>30794.1077</v>
      </c>
      <c r="AJ1474" s="5">
        <v>30794.1077</v>
      </c>
      <c r="AK1474">
        <v>30180.63</v>
      </c>
      <c r="AL1474" s="5" t="str">
        <f t="shared" si="46"/>
        <v>Серовский городской округ</v>
      </c>
    </row>
    <row r="1475" spans="1:38" ht="15" customHeight="1" x14ac:dyDescent="0.25">
      <c r="A1475" s="5" t="s">
        <v>20</v>
      </c>
      <c r="B1475" s="5" t="s">
        <v>1689</v>
      </c>
      <c r="C1475" s="5">
        <v>34023.428</v>
      </c>
      <c r="D1475" s="5">
        <v>34023.428</v>
      </c>
      <c r="E1475" s="5">
        <v>29866.3148</v>
      </c>
      <c r="F1475" s="5" t="s">
        <v>7249</v>
      </c>
      <c r="G1475" s="5" t="str">
        <f t="shared" si="45"/>
        <v>Тагил_Кирп</v>
      </c>
      <c r="J1475" s="5"/>
      <c r="AF1475" t="s">
        <v>7223</v>
      </c>
      <c r="AG1475" s="24" t="s">
        <v>6706</v>
      </c>
      <c r="AH1475" s="5" t="s">
        <v>7223</v>
      </c>
      <c r="AI1475" s="5">
        <v>22991.026699999999</v>
      </c>
      <c r="AJ1475" s="5">
        <v>22991.026699999999</v>
      </c>
      <c r="AK1475">
        <v>22532.998299999999</v>
      </c>
      <c r="AL1475" s="5" t="str">
        <f t="shared" si="46"/>
        <v>Серовский городской округ</v>
      </c>
    </row>
    <row r="1476" spans="1:38" ht="15" customHeight="1" x14ac:dyDescent="0.25">
      <c r="A1476" s="5" t="s">
        <v>1318</v>
      </c>
      <c r="B1476" s="5" t="s">
        <v>1689</v>
      </c>
      <c r="C1476" s="5">
        <v>34023.428</v>
      </c>
      <c r="D1476" s="5">
        <v>34023.428</v>
      </c>
      <c r="E1476" s="5">
        <v>29866.3148</v>
      </c>
      <c r="F1476" s="5" t="s">
        <v>7249</v>
      </c>
      <c r="G1476" s="5" t="str">
        <f t="shared" ref="G1476:G1539" si="47">B1476</f>
        <v>Тагил_Кирп</v>
      </c>
      <c r="J1476" s="5"/>
      <c r="AF1476" t="s">
        <v>7223</v>
      </c>
      <c r="AG1476" s="24" t="s">
        <v>6707</v>
      </c>
      <c r="AH1476" s="5" t="s">
        <v>7223</v>
      </c>
      <c r="AI1476" s="5">
        <v>22991.026699999999</v>
      </c>
      <c r="AJ1476" s="5">
        <v>22991.026699999999</v>
      </c>
      <c r="AK1476">
        <v>22532.998299999999</v>
      </c>
      <c r="AL1476" s="5" t="str">
        <f t="shared" ref="AL1476:AL1539" si="48">AF1476</f>
        <v>Серовский городской округ</v>
      </c>
    </row>
    <row r="1477" spans="1:38" ht="15" customHeight="1" x14ac:dyDescent="0.25">
      <c r="A1477" s="5" t="s">
        <v>1004</v>
      </c>
      <c r="B1477" s="5" t="s">
        <v>1689</v>
      </c>
      <c r="C1477" s="5">
        <v>34023.428</v>
      </c>
      <c r="D1477" s="5">
        <v>34023.428</v>
      </c>
      <c r="E1477" s="5">
        <v>29866.3148</v>
      </c>
      <c r="F1477" s="5" t="s">
        <v>7249</v>
      </c>
      <c r="G1477" s="5" t="str">
        <f t="shared" si="47"/>
        <v>Тагил_Кирп</v>
      </c>
      <c r="J1477" s="5"/>
      <c r="AF1477" t="s">
        <v>7223</v>
      </c>
      <c r="AG1477" s="24" t="s">
        <v>6708</v>
      </c>
      <c r="AH1477" s="5" t="s">
        <v>7223</v>
      </c>
      <c r="AI1477" s="5">
        <v>22991.026699999999</v>
      </c>
      <c r="AJ1477" s="5">
        <v>22991.026699999999</v>
      </c>
      <c r="AK1477">
        <v>22532.998299999999</v>
      </c>
      <c r="AL1477" s="5" t="str">
        <f t="shared" si="48"/>
        <v>Серовский городской округ</v>
      </c>
    </row>
    <row r="1478" spans="1:38" ht="15" customHeight="1" x14ac:dyDescent="0.25">
      <c r="A1478" s="5" t="s">
        <v>138</v>
      </c>
      <c r="B1478" s="5" t="s">
        <v>1689</v>
      </c>
      <c r="C1478" s="5">
        <v>34023.428</v>
      </c>
      <c r="D1478" s="5">
        <v>34023.428</v>
      </c>
      <c r="E1478" s="5">
        <v>29866.3148</v>
      </c>
      <c r="F1478" s="5" t="s">
        <v>7249</v>
      </c>
      <c r="G1478" s="5" t="str">
        <f t="shared" si="47"/>
        <v>Тагил_Кирп</v>
      </c>
      <c r="J1478" s="5"/>
      <c r="AF1478" t="s">
        <v>7223</v>
      </c>
      <c r="AG1478" s="24" t="s">
        <v>6709</v>
      </c>
      <c r="AH1478" s="5" t="s">
        <v>7223</v>
      </c>
      <c r="AI1478" s="5">
        <v>22991.026699999999</v>
      </c>
      <c r="AJ1478" s="5">
        <v>22991.026699999999</v>
      </c>
      <c r="AK1478">
        <v>22532.998299999999</v>
      </c>
      <c r="AL1478" s="5" t="str">
        <f t="shared" si="48"/>
        <v>Серовский городской округ</v>
      </c>
    </row>
    <row r="1479" spans="1:38" ht="15" customHeight="1" x14ac:dyDescent="0.25">
      <c r="A1479" s="5" t="s">
        <v>141</v>
      </c>
      <c r="B1479" s="5" t="s">
        <v>1689</v>
      </c>
      <c r="C1479" s="5">
        <v>34023.428</v>
      </c>
      <c r="D1479" s="5">
        <v>34023.428</v>
      </c>
      <c r="E1479" s="5">
        <v>29866.3148</v>
      </c>
      <c r="F1479" s="5" t="s">
        <v>7249</v>
      </c>
      <c r="G1479" s="5" t="str">
        <f t="shared" si="47"/>
        <v>Тагил_Кирп</v>
      </c>
      <c r="J1479" s="5"/>
      <c r="AF1479" t="s">
        <v>7223</v>
      </c>
      <c r="AG1479" s="24" t="s">
        <v>6710</v>
      </c>
      <c r="AH1479" s="5" t="s">
        <v>7223</v>
      </c>
      <c r="AI1479" s="5">
        <v>22991.026699999999</v>
      </c>
      <c r="AJ1479" s="5">
        <v>22991.026699999999</v>
      </c>
      <c r="AK1479">
        <v>22532.998299999999</v>
      </c>
      <c r="AL1479" s="5" t="str">
        <f t="shared" si="48"/>
        <v>Серовский городской округ</v>
      </c>
    </row>
    <row r="1480" spans="1:38" ht="15" customHeight="1" x14ac:dyDescent="0.25">
      <c r="A1480" s="5" t="s">
        <v>334</v>
      </c>
      <c r="B1480" s="5" t="s">
        <v>1689</v>
      </c>
      <c r="C1480" s="5">
        <v>34023.428</v>
      </c>
      <c r="D1480" s="5">
        <v>34023.428</v>
      </c>
      <c r="E1480" s="5">
        <v>29866.3148</v>
      </c>
      <c r="F1480" s="5" t="s">
        <v>7249</v>
      </c>
      <c r="G1480" s="5" t="str">
        <f t="shared" si="47"/>
        <v>Тагил_Кирп</v>
      </c>
      <c r="J1480" s="5"/>
      <c r="AF1480" t="s">
        <v>7223</v>
      </c>
      <c r="AG1480" s="24" t="s">
        <v>6711</v>
      </c>
      <c r="AH1480" s="5" t="s">
        <v>7223</v>
      </c>
      <c r="AI1480" s="5">
        <v>22991.026699999999</v>
      </c>
      <c r="AJ1480" s="5">
        <v>22991.026699999999</v>
      </c>
      <c r="AK1480">
        <v>22532.998299999999</v>
      </c>
      <c r="AL1480" s="5" t="str">
        <f t="shared" si="48"/>
        <v>Серовский городской округ</v>
      </c>
    </row>
    <row r="1481" spans="1:38" ht="15" customHeight="1" x14ac:dyDescent="0.25">
      <c r="A1481" s="5" t="s">
        <v>503</v>
      </c>
      <c r="B1481" s="5" t="s">
        <v>1689</v>
      </c>
      <c r="C1481" s="5">
        <v>34023.428</v>
      </c>
      <c r="D1481" s="5">
        <v>34023.428</v>
      </c>
      <c r="E1481" s="5">
        <v>29866.3148</v>
      </c>
      <c r="F1481" s="5" t="s">
        <v>7249</v>
      </c>
      <c r="G1481" s="5" t="str">
        <f t="shared" si="47"/>
        <v>Тагил_Кирп</v>
      </c>
      <c r="J1481" s="5"/>
      <c r="AF1481" t="s">
        <v>7224</v>
      </c>
      <c r="AG1481" s="24" t="s">
        <v>6712</v>
      </c>
      <c r="AH1481" s="5" t="s">
        <v>7224</v>
      </c>
      <c r="AI1481" s="5">
        <v>22738.942800000001</v>
      </c>
      <c r="AJ1481" s="5">
        <v>22738.942800000001</v>
      </c>
      <c r="AK1481">
        <v>21119.008099999999</v>
      </c>
      <c r="AL1481" s="5" t="str">
        <f t="shared" si="48"/>
        <v>Слободо-Туринский муниципальный район</v>
      </c>
    </row>
    <row r="1482" spans="1:38" ht="15" customHeight="1" x14ac:dyDescent="0.25">
      <c r="A1482" s="5" t="s">
        <v>85</v>
      </c>
      <c r="B1482" s="5" t="s">
        <v>1689</v>
      </c>
      <c r="C1482" s="5">
        <v>34023.428</v>
      </c>
      <c r="D1482" s="5">
        <v>34023.428</v>
      </c>
      <c r="E1482" s="5">
        <v>29866.3148</v>
      </c>
      <c r="F1482" s="5" t="s">
        <v>7249</v>
      </c>
      <c r="G1482" s="5" t="str">
        <f t="shared" si="47"/>
        <v>Тагил_Кирп</v>
      </c>
      <c r="J1482" s="5"/>
      <c r="AF1482" t="s">
        <v>7224</v>
      </c>
      <c r="AG1482" s="24" t="s">
        <v>6713</v>
      </c>
      <c r="AH1482" s="5" t="s">
        <v>7224</v>
      </c>
      <c r="AI1482" s="5">
        <v>22738.942800000001</v>
      </c>
      <c r="AJ1482" s="5">
        <v>22738.942800000001</v>
      </c>
      <c r="AK1482">
        <v>21119.008099999999</v>
      </c>
      <c r="AL1482" s="5" t="str">
        <f t="shared" si="48"/>
        <v>Слободо-Туринский муниципальный район</v>
      </c>
    </row>
    <row r="1483" spans="1:38" ht="15" customHeight="1" x14ac:dyDescent="0.25">
      <c r="A1483" s="5" t="s">
        <v>417</v>
      </c>
      <c r="B1483" s="5" t="s">
        <v>1689</v>
      </c>
      <c r="C1483" s="5">
        <v>34023.428</v>
      </c>
      <c r="D1483" s="5">
        <v>34023.428</v>
      </c>
      <c r="E1483" s="5">
        <v>29866.3148</v>
      </c>
      <c r="F1483" s="5" t="s">
        <v>7249</v>
      </c>
      <c r="G1483" s="5" t="str">
        <f t="shared" si="47"/>
        <v>Тагил_Кирп</v>
      </c>
      <c r="J1483" s="5"/>
      <c r="AF1483" t="s">
        <v>7224</v>
      </c>
      <c r="AG1483" s="24" t="s">
        <v>6714</v>
      </c>
      <c r="AH1483" s="5" t="s">
        <v>7224</v>
      </c>
      <c r="AI1483" s="5">
        <v>22738.942800000001</v>
      </c>
      <c r="AJ1483" s="5">
        <v>22738.942800000001</v>
      </c>
      <c r="AK1483">
        <v>21119.008099999999</v>
      </c>
      <c r="AL1483" s="5" t="str">
        <f t="shared" si="48"/>
        <v>Слободо-Туринский муниципальный район</v>
      </c>
    </row>
    <row r="1484" spans="1:38" ht="15" customHeight="1" x14ac:dyDescent="0.25">
      <c r="A1484" s="5" t="s">
        <v>850</v>
      </c>
      <c r="B1484" s="5" t="s">
        <v>1689</v>
      </c>
      <c r="C1484" s="5">
        <v>34023.428</v>
      </c>
      <c r="D1484" s="5">
        <v>34023.428</v>
      </c>
      <c r="E1484" s="5">
        <v>29866.3148</v>
      </c>
      <c r="F1484" s="5" t="s">
        <v>7249</v>
      </c>
      <c r="G1484" s="5" t="str">
        <f t="shared" si="47"/>
        <v>Тагил_Кирп</v>
      </c>
      <c r="J1484" s="5"/>
      <c r="AF1484" t="s">
        <v>7224</v>
      </c>
      <c r="AG1484" s="24" t="s">
        <v>6715</v>
      </c>
      <c r="AH1484" s="5" t="s">
        <v>7224</v>
      </c>
      <c r="AI1484" s="5">
        <v>22738.942800000001</v>
      </c>
      <c r="AJ1484" s="5">
        <v>22738.942800000001</v>
      </c>
      <c r="AK1484">
        <v>21119.008099999999</v>
      </c>
      <c r="AL1484" s="5" t="str">
        <f t="shared" si="48"/>
        <v>Слободо-Туринский муниципальный район</v>
      </c>
    </row>
    <row r="1485" spans="1:38" ht="15" customHeight="1" x14ac:dyDescent="0.25">
      <c r="A1485" s="5" t="s">
        <v>281</v>
      </c>
      <c r="B1485" s="5" t="s">
        <v>5230</v>
      </c>
      <c r="C1485" s="5">
        <v>45477.761700000003</v>
      </c>
      <c r="D1485" s="5">
        <v>45477.761700000003</v>
      </c>
      <c r="E1485" s="5">
        <v>39921.119500000001</v>
      </c>
      <c r="F1485" s="5" t="s">
        <v>7249</v>
      </c>
      <c r="G1485" s="5" t="str">
        <f t="shared" si="47"/>
        <v>Центр-Тагил</v>
      </c>
      <c r="J1485" s="5"/>
      <c r="AF1485" t="s">
        <v>7224</v>
      </c>
      <c r="AG1485" s="24" t="s">
        <v>6716</v>
      </c>
      <c r="AH1485" s="5" t="s">
        <v>7224</v>
      </c>
      <c r="AI1485" s="5">
        <v>22738.942800000001</v>
      </c>
      <c r="AJ1485" s="5">
        <v>22738.942800000001</v>
      </c>
      <c r="AK1485">
        <v>21119.008099999999</v>
      </c>
      <c r="AL1485" s="5" t="str">
        <f t="shared" si="48"/>
        <v>Слободо-Туринский муниципальный район</v>
      </c>
    </row>
    <row r="1486" spans="1:38" ht="15" customHeight="1" x14ac:dyDescent="0.25">
      <c r="A1486" s="5" t="s">
        <v>200</v>
      </c>
      <c r="B1486" s="5" t="s">
        <v>5230</v>
      </c>
      <c r="C1486" s="5">
        <v>45477.761700000003</v>
      </c>
      <c r="D1486" s="5">
        <v>45477.761700000003</v>
      </c>
      <c r="E1486" s="5">
        <v>39921.119500000001</v>
      </c>
      <c r="F1486" s="5" t="s">
        <v>7249</v>
      </c>
      <c r="G1486" s="5" t="str">
        <f t="shared" si="47"/>
        <v>Центр-Тагил</v>
      </c>
      <c r="J1486" s="5"/>
      <c r="AF1486" t="s">
        <v>7224</v>
      </c>
      <c r="AG1486" s="24" t="s">
        <v>6717</v>
      </c>
      <c r="AH1486" s="5" t="s">
        <v>7224</v>
      </c>
      <c r="AI1486" s="5">
        <v>22738.942800000001</v>
      </c>
      <c r="AJ1486" s="5">
        <v>22738.942800000001</v>
      </c>
      <c r="AK1486">
        <v>21119.008099999999</v>
      </c>
      <c r="AL1486" s="5" t="str">
        <f t="shared" si="48"/>
        <v>Слободо-Туринский муниципальный район</v>
      </c>
    </row>
    <row r="1487" spans="1:38" ht="15" customHeight="1" x14ac:dyDescent="0.25">
      <c r="A1487" s="5" t="s">
        <v>157</v>
      </c>
      <c r="B1487" s="5" t="s">
        <v>5230</v>
      </c>
      <c r="C1487" s="5">
        <v>45477.761700000003</v>
      </c>
      <c r="D1487" s="5">
        <v>45477.761700000003</v>
      </c>
      <c r="E1487" s="5">
        <v>39921.119500000001</v>
      </c>
      <c r="F1487" s="5" t="s">
        <v>7249</v>
      </c>
      <c r="G1487" s="5" t="str">
        <f t="shared" si="47"/>
        <v>Центр-Тагил</v>
      </c>
      <c r="J1487" s="5"/>
      <c r="AF1487" t="s">
        <v>7224</v>
      </c>
      <c r="AG1487" s="24" t="s">
        <v>6718</v>
      </c>
      <c r="AH1487" s="5" t="s">
        <v>7224</v>
      </c>
      <c r="AI1487" s="5">
        <v>22738.942800000001</v>
      </c>
      <c r="AJ1487" s="5">
        <v>22738.942800000001</v>
      </c>
      <c r="AK1487">
        <v>21119.008099999999</v>
      </c>
      <c r="AL1487" s="5" t="str">
        <f t="shared" si="48"/>
        <v>Слободо-Туринский муниципальный район</v>
      </c>
    </row>
    <row r="1488" spans="1:38" ht="15" customHeight="1" x14ac:dyDescent="0.25">
      <c r="A1488" s="5" t="s">
        <v>348</v>
      </c>
      <c r="B1488" s="5" t="s">
        <v>5230</v>
      </c>
      <c r="C1488" s="5">
        <v>45477.761700000003</v>
      </c>
      <c r="D1488" s="5">
        <v>45477.761700000003</v>
      </c>
      <c r="E1488" s="5">
        <v>39921.119500000001</v>
      </c>
      <c r="F1488" s="5" t="s">
        <v>7249</v>
      </c>
      <c r="G1488" s="5" t="str">
        <f t="shared" si="47"/>
        <v>Центр-Тагил</v>
      </c>
      <c r="J1488" s="5"/>
      <c r="AF1488" t="s">
        <v>7224</v>
      </c>
      <c r="AG1488" s="24" t="s">
        <v>6719</v>
      </c>
      <c r="AH1488" s="5" t="s">
        <v>7224</v>
      </c>
      <c r="AI1488" s="5">
        <v>22738.942800000001</v>
      </c>
      <c r="AJ1488" s="5">
        <v>22738.942800000001</v>
      </c>
      <c r="AK1488">
        <v>21119.008099999999</v>
      </c>
      <c r="AL1488" s="5" t="str">
        <f t="shared" si="48"/>
        <v>Слободо-Туринский муниципальный район</v>
      </c>
    </row>
    <row r="1489" spans="1:38" ht="15" customHeight="1" x14ac:dyDescent="0.25">
      <c r="A1489" s="5" t="s">
        <v>319</v>
      </c>
      <c r="B1489" s="5" t="s">
        <v>5230</v>
      </c>
      <c r="C1489" s="5">
        <v>45477.761700000003</v>
      </c>
      <c r="D1489" s="5">
        <v>45477.761700000003</v>
      </c>
      <c r="E1489" s="5">
        <v>39921.119500000001</v>
      </c>
      <c r="F1489" s="5" t="s">
        <v>7249</v>
      </c>
      <c r="G1489" s="5" t="str">
        <f t="shared" si="47"/>
        <v>Центр-Тагил</v>
      </c>
      <c r="J1489" s="5"/>
      <c r="AF1489" t="s">
        <v>7224</v>
      </c>
      <c r="AG1489" s="24" t="s">
        <v>6720</v>
      </c>
      <c r="AH1489" s="5" t="s">
        <v>7224</v>
      </c>
      <c r="AI1489" s="5">
        <v>22738.942800000001</v>
      </c>
      <c r="AJ1489" s="5">
        <v>22738.942800000001</v>
      </c>
      <c r="AK1489">
        <v>21119.008099999999</v>
      </c>
      <c r="AL1489" s="5" t="str">
        <f t="shared" si="48"/>
        <v>Слободо-Туринский муниципальный район</v>
      </c>
    </row>
    <row r="1490" spans="1:38" ht="15" customHeight="1" x14ac:dyDescent="0.25">
      <c r="A1490" s="5" t="s">
        <v>308</v>
      </c>
      <c r="B1490" s="5" t="s">
        <v>5230</v>
      </c>
      <c r="C1490" s="5">
        <v>45477.761700000003</v>
      </c>
      <c r="D1490" s="5">
        <v>45477.761700000003</v>
      </c>
      <c r="E1490" s="5">
        <v>39921.119500000001</v>
      </c>
      <c r="F1490" s="5" t="s">
        <v>7249</v>
      </c>
      <c r="G1490" s="5" t="str">
        <f t="shared" si="47"/>
        <v>Центр-Тагил</v>
      </c>
      <c r="J1490" s="5"/>
      <c r="AF1490" t="s">
        <v>7224</v>
      </c>
      <c r="AG1490" s="24" t="s">
        <v>6721</v>
      </c>
      <c r="AH1490" s="5" t="s">
        <v>7224</v>
      </c>
      <c r="AI1490" s="5">
        <v>22738.942800000001</v>
      </c>
      <c r="AJ1490" s="5">
        <v>22738.942800000001</v>
      </c>
      <c r="AK1490">
        <v>21119.008099999999</v>
      </c>
      <c r="AL1490" s="5" t="str">
        <f t="shared" si="48"/>
        <v>Слободо-Туринский муниципальный район</v>
      </c>
    </row>
    <row r="1491" spans="1:38" ht="15" customHeight="1" x14ac:dyDescent="0.25">
      <c r="A1491" s="5" t="s">
        <v>358</v>
      </c>
      <c r="B1491" s="5" t="s">
        <v>5230</v>
      </c>
      <c r="C1491" s="5">
        <v>45477.761700000003</v>
      </c>
      <c r="D1491" s="5">
        <v>45477.761700000003</v>
      </c>
      <c r="E1491" s="5">
        <v>39921.119500000001</v>
      </c>
      <c r="F1491" s="5" t="s">
        <v>7249</v>
      </c>
      <c r="G1491" s="5" t="str">
        <f t="shared" si="47"/>
        <v>Центр-Тагил</v>
      </c>
      <c r="J1491" s="5"/>
      <c r="AF1491" t="s">
        <v>7224</v>
      </c>
      <c r="AG1491" s="24" t="s">
        <v>6722</v>
      </c>
      <c r="AH1491" s="5" t="s">
        <v>7224</v>
      </c>
      <c r="AI1491" s="5">
        <v>22738.942800000001</v>
      </c>
      <c r="AJ1491" s="5">
        <v>22738.942800000001</v>
      </c>
      <c r="AK1491">
        <v>21119.008099999999</v>
      </c>
      <c r="AL1491" s="5" t="str">
        <f t="shared" si="48"/>
        <v>Слободо-Туринский муниципальный район</v>
      </c>
    </row>
    <row r="1492" spans="1:38" ht="15" customHeight="1" x14ac:dyDescent="0.25">
      <c r="A1492" s="5" t="s">
        <v>107</v>
      </c>
      <c r="B1492" s="5" t="s">
        <v>5230</v>
      </c>
      <c r="C1492" s="5">
        <v>45477.761700000003</v>
      </c>
      <c r="D1492" s="5">
        <v>45477.761700000003</v>
      </c>
      <c r="E1492" s="5">
        <v>39921.119500000001</v>
      </c>
      <c r="F1492" s="5" t="s">
        <v>7249</v>
      </c>
      <c r="G1492" s="5" t="str">
        <f t="shared" si="47"/>
        <v>Центр-Тагил</v>
      </c>
      <c r="J1492" s="5"/>
      <c r="AF1492" t="s">
        <v>7224</v>
      </c>
      <c r="AG1492" s="24" t="s">
        <v>6723</v>
      </c>
      <c r="AH1492" s="5" t="s">
        <v>7224</v>
      </c>
      <c r="AI1492" s="5">
        <v>22738.942800000001</v>
      </c>
      <c r="AJ1492" s="5">
        <v>22738.942800000001</v>
      </c>
      <c r="AK1492">
        <v>21119.008099999999</v>
      </c>
      <c r="AL1492" s="5" t="str">
        <f t="shared" si="48"/>
        <v>Слободо-Туринский муниципальный район</v>
      </c>
    </row>
    <row r="1493" spans="1:38" ht="15" customHeight="1" x14ac:dyDescent="0.25">
      <c r="A1493" s="5" t="s">
        <v>391</v>
      </c>
      <c r="B1493" s="5" t="s">
        <v>5230</v>
      </c>
      <c r="C1493" s="5">
        <v>45477.761700000003</v>
      </c>
      <c r="D1493" s="5">
        <v>45477.761700000003</v>
      </c>
      <c r="E1493" s="5">
        <v>39921.119500000001</v>
      </c>
      <c r="F1493" s="5" t="s">
        <v>7249</v>
      </c>
      <c r="G1493" s="5" t="str">
        <f t="shared" si="47"/>
        <v>Центр-Тагил</v>
      </c>
      <c r="J1493" s="5"/>
      <c r="AF1493" t="s">
        <v>7224</v>
      </c>
      <c r="AG1493" s="24" t="s">
        <v>6724</v>
      </c>
      <c r="AH1493" s="5" t="s">
        <v>7224</v>
      </c>
      <c r="AI1493" s="5">
        <v>22738.942800000001</v>
      </c>
      <c r="AJ1493" s="5">
        <v>22738.942800000001</v>
      </c>
      <c r="AK1493">
        <v>21119.008099999999</v>
      </c>
      <c r="AL1493" s="5" t="str">
        <f t="shared" si="48"/>
        <v>Слободо-Туринский муниципальный район</v>
      </c>
    </row>
    <row r="1494" spans="1:38" ht="15" customHeight="1" x14ac:dyDescent="0.25">
      <c r="A1494" s="5" t="s">
        <v>1327</v>
      </c>
      <c r="B1494" s="5" t="s">
        <v>5230</v>
      </c>
      <c r="C1494" s="5">
        <v>45477.761700000003</v>
      </c>
      <c r="D1494" s="5">
        <v>45477.761700000003</v>
      </c>
      <c r="E1494" s="5">
        <v>39921.119500000001</v>
      </c>
      <c r="F1494" s="5" t="s">
        <v>7249</v>
      </c>
      <c r="G1494" s="5" t="str">
        <f t="shared" si="47"/>
        <v>Центр-Тагил</v>
      </c>
      <c r="J1494" s="5"/>
      <c r="AF1494" t="s">
        <v>7224</v>
      </c>
      <c r="AG1494" s="24" t="s">
        <v>6725</v>
      </c>
      <c r="AH1494" s="5" t="s">
        <v>7224</v>
      </c>
      <c r="AI1494" s="5">
        <v>22738.942800000001</v>
      </c>
      <c r="AJ1494" s="5">
        <v>22738.942800000001</v>
      </c>
      <c r="AK1494">
        <v>21119.008099999999</v>
      </c>
      <c r="AL1494" s="5" t="str">
        <f t="shared" si="48"/>
        <v>Слободо-Туринский муниципальный район</v>
      </c>
    </row>
    <row r="1495" spans="1:38" ht="15" customHeight="1" x14ac:dyDescent="0.25">
      <c r="A1495" s="5" t="s">
        <v>719</v>
      </c>
      <c r="B1495" s="5" t="s">
        <v>5230</v>
      </c>
      <c r="C1495" s="5">
        <v>45477.761700000003</v>
      </c>
      <c r="D1495" s="5">
        <v>45477.761700000003</v>
      </c>
      <c r="E1495" s="5">
        <v>39921.119500000001</v>
      </c>
      <c r="F1495" s="5" t="s">
        <v>7249</v>
      </c>
      <c r="G1495" s="5" t="str">
        <f t="shared" si="47"/>
        <v>Центр-Тагил</v>
      </c>
      <c r="J1495" s="5"/>
      <c r="AF1495" t="s">
        <v>7224</v>
      </c>
      <c r="AG1495" s="24" t="s">
        <v>6726</v>
      </c>
      <c r="AH1495" s="5" t="s">
        <v>7224</v>
      </c>
      <c r="AI1495" s="5">
        <v>22738.942800000001</v>
      </c>
      <c r="AJ1495" s="5">
        <v>22738.942800000001</v>
      </c>
      <c r="AK1495">
        <v>21119.008099999999</v>
      </c>
      <c r="AL1495" s="5" t="str">
        <f t="shared" si="48"/>
        <v>Слободо-Туринский муниципальный район</v>
      </c>
    </row>
    <row r="1496" spans="1:38" ht="15" customHeight="1" x14ac:dyDescent="0.25">
      <c r="A1496" s="5" t="s">
        <v>962</v>
      </c>
      <c r="B1496" s="5" t="s">
        <v>5230</v>
      </c>
      <c r="C1496" s="5">
        <v>45477.761700000003</v>
      </c>
      <c r="D1496" s="5">
        <v>45477.761700000003</v>
      </c>
      <c r="E1496" s="5">
        <v>39921.119500000001</v>
      </c>
      <c r="F1496" s="5" t="s">
        <v>7249</v>
      </c>
      <c r="G1496" s="5" t="str">
        <f t="shared" si="47"/>
        <v>Центр-Тагил</v>
      </c>
      <c r="J1496" s="5"/>
      <c r="AF1496" t="s">
        <v>7224</v>
      </c>
      <c r="AG1496" s="24" t="s">
        <v>6727</v>
      </c>
      <c r="AH1496" s="5" t="s">
        <v>7224</v>
      </c>
      <c r="AI1496" s="5">
        <v>22738.942800000001</v>
      </c>
      <c r="AJ1496" s="5">
        <v>22738.942800000001</v>
      </c>
      <c r="AK1496">
        <v>21119.008099999999</v>
      </c>
      <c r="AL1496" s="5" t="str">
        <f t="shared" si="48"/>
        <v>Слободо-Туринский муниципальный район</v>
      </c>
    </row>
    <row r="1497" spans="1:38" ht="15" customHeight="1" x14ac:dyDescent="0.25">
      <c r="A1497" s="5" t="s">
        <v>270</v>
      </c>
      <c r="B1497" s="5" t="s">
        <v>5230</v>
      </c>
      <c r="C1497" s="5">
        <v>45477.761700000003</v>
      </c>
      <c r="D1497" s="5">
        <v>45477.761700000003</v>
      </c>
      <c r="E1497" s="5">
        <v>39921.119500000001</v>
      </c>
      <c r="F1497" s="5" t="s">
        <v>7249</v>
      </c>
      <c r="G1497" s="5" t="str">
        <f t="shared" si="47"/>
        <v>Центр-Тагил</v>
      </c>
      <c r="J1497" s="5"/>
      <c r="AF1497" t="s">
        <v>7224</v>
      </c>
      <c r="AG1497" s="24" t="s">
        <v>6728</v>
      </c>
      <c r="AH1497" s="5" t="s">
        <v>7224</v>
      </c>
      <c r="AI1497" s="5">
        <v>22738.942800000001</v>
      </c>
      <c r="AJ1497" s="5">
        <v>22738.942800000001</v>
      </c>
      <c r="AK1497">
        <v>21119.008099999999</v>
      </c>
      <c r="AL1497" s="5" t="str">
        <f t="shared" si="48"/>
        <v>Слободо-Туринский муниципальный район</v>
      </c>
    </row>
    <row r="1498" spans="1:38" ht="15" customHeight="1" x14ac:dyDescent="0.25">
      <c r="A1498" s="5" t="s">
        <v>28</v>
      </c>
      <c r="B1498" s="5" t="s">
        <v>5230</v>
      </c>
      <c r="C1498" s="5">
        <v>45477.761700000003</v>
      </c>
      <c r="D1498" s="5">
        <v>45477.761700000003</v>
      </c>
      <c r="E1498" s="5">
        <v>39921.119500000001</v>
      </c>
      <c r="F1498" s="5" t="s">
        <v>7249</v>
      </c>
      <c r="G1498" s="5" t="str">
        <f t="shared" si="47"/>
        <v>Центр-Тагил</v>
      </c>
      <c r="J1498" s="5"/>
      <c r="AF1498" t="s">
        <v>7224</v>
      </c>
      <c r="AG1498" s="24" t="s">
        <v>6729</v>
      </c>
      <c r="AH1498" s="5" t="s">
        <v>7224</v>
      </c>
      <c r="AI1498" s="5">
        <v>22738.942800000001</v>
      </c>
      <c r="AJ1498" s="5">
        <v>22738.942800000001</v>
      </c>
      <c r="AK1498">
        <v>21119.008099999999</v>
      </c>
      <c r="AL1498" s="5" t="str">
        <f t="shared" si="48"/>
        <v>Слободо-Туринский муниципальный район</v>
      </c>
    </row>
    <row r="1499" spans="1:38" ht="15" customHeight="1" x14ac:dyDescent="0.25">
      <c r="A1499" s="5" t="s">
        <v>156</v>
      </c>
      <c r="B1499" s="5" t="s">
        <v>5230</v>
      </c>
      <c r="C1499" s="5">
        <v>45477.761700000003</v>
      </c>
      <c r="D1499" s="5">
        <v>45477.761700000003</v>
      </c>
      <c r="E1499" s="5">
        <v>39921.119500000001</v>
      </c>
      <c r="F1499" s="5" t="s">
        <v>7249</v>
      </c>
      <c r="G1499" s="5" t="str">
        <f t="shared" si="47"/>
        <v>Центр-Тагил</v>
      </c>
      <c r="J1499" s="5"/>
      <c r="AF1499" t="s">
        <v>7224</v>
      </c>
      <c r="AG1499" s="24" t="s">
        <v>6730</v>
      </c>
      <c r="AH1499" s="5" t="s">
        <v>7224</v>
      </c>
      <c r="AI1499" s="5">
        <v>22738.942800000001</v>
      </c>
      <c r="AJ1499" s="5">
        <v>22738.942800000001</v>
      </c>
      <c r="AK1499">
        <v>21119.008099999999</v>
      </c>
      <c r="AL1499" s="5" t="str">
        <f t="shared" si="48"/>
        <v>Слободо-Туринский муниципальный район</v>
      </c>
    </row>
    <row r="1500" spans="1:38" ht="15" customHeight="1" x14ac:dyDescent="0.25">
      <c r="A1500" s="5" t="s">
        <v>56</v>
      </c>
      <c r="B1500" s="5" t="s">
        <v>5230</v>
      </c>
      <c r="C1500" s="5">
        <v>45477.761700000003</v>
      </c>
      <c r="D1500" s="5">
        <v>45477.761700000003</v>
      </c>
      <c r="E1500" s="5">
        <v>39921.119500000001</v>
      </c>
      <c r="F1500" s="5" t="s">
        <v>7249</v>
      </c>
      <c r="G1500" s="5" t="str">
        <f t="shared" si="47"/>
        <v>Центр-Тагил</v>
      </c>
      <c r="J1500" s="5"/>
      <c r="AF1500" t="s">
        <v>7224</v>
      </c>
      <c r="AG1500" s="24" t="s">
        <v>6731</v>
      </c>
      <c r="AH1500" s="5" t="s">
        <v>7224</v>
      </c>
      <c r="AI1500" s="5">
        <v>22738.942800000001</v>
      </c>
      <c r="AJ1500" s="5">
        <v>22738.942800000001</v>
      </c>
      <c r="AK1500">
        <v>21119.008099999999</v>
      </c>
      <c r="AL1500" s="5" t="str">
        <f t="shared" si="48"/>
        <v>Слободо-Туринский муниципальный район</v>
      </c>
    </row>
    <row r="1501" spans="1:38" ht="15" customHeight="1" x14ac:dyDescent="0.25">
      <c r="A1501" s="4" t="s">
        <v>61</v>
      </c>
      <c r="B1501" s="4" t="s">
        <v>1690</v>
      </c>
      <c r="C1501" s="6">
        <v>41385.677100000001</v>
      </c>
      <c r="D1501" s="6">
        <v>41385.677100000001</v>
      </c>
      <c r="E1501" s="6">
        <v>37671.780200000001</v>
      </c>
      <c r="F1501" t="s">
        <v>7249</v>
      </c>
      <c r="G1501" s="5" t="str">
        <f t="shared" si="47"/>
        <v>Веер</v>
      </c>
      <c r="J1501" s="5"/>
      <c r="AF1501" t="s">
        <v>7224</v>
      </c>
      <c r="AG1501" s="24" t="s">
        <v>6732</v>
      </c>
      <c r="AH1501" s="5" t="s">
        <v>7224</v>
      </c>
      <c r="AI1501" s="5">
        <v>22738.942800000001</v>
      </c>
      <c r="AJ1501" s="5">
        <v>22738.942800000001</v>
      </c>
      <c r="AK1501">
        <v>21119.008099999999</v>
      </c>
      <c r="AL1501" s="5" t="str">
        <f t="shared" si="48"/>
        <v>Слободо-Туринский муниципальный район</v>
      </c>
    </row>
    <row r="1502" spans="1:38" ht="15" customHeight="1" x14ac:dyDescent="0.25">
      <c r="A1502" s="7" t="s">
        <v>1469</v>
      </c>
      <c r="B1502" s="7" t="s">
        <v>1691</v>
      </c>
      <c r="C1502" s="7">
        <v>36244.5985</v>
      </c>
      <c r="D1502" s="7">
        <v>36244.5985</v>
      </c>
      <c r="E1502" s="7">
        <v>32992.053800000002</v>
      </c>
      <c r="F1502" s="5" t="s">
        <v>7249</v>
      </c>
      <c r="G1502" s="5" t="str">
        <f t="shared" si="47"/>
        <v>ДинСанПод</v>
      </c>
      <c r="J1502" s="5"/>
      <c r="AF1502" t="s">
        <v>7224</v>
      </c>
      <c r="AG1502" s="24" t="s">
        <v>6733</v>
      </c>
      <c r="AH1502" s="5" t="s">
        <v>7224</v>
      </c>
      <c r="AI1502" s="5">
        <v>22738.942800000001</v>
      </c>
      <c r="AJ1502" s="5">
        <v>22738.942800000001</v>
      </c>
      <c r="AK1502">
        <v>21119.008099999999</v>
      </c>
      <c r="AL1502" s="5" t="str">
        <f t="shared" si="48"/>
        <v>Слободо-Туринский муниципальный район</v>
      </c>
    </row>
    <row r="1503" spans="1:38" ht="15" customHeight="1" x14ac:dyDescent="0.25">
      <c r="A1503" s="7" t="s">
        <v>324</v>
      </c>
      <c r="B1503" s="7" t="s">
        <v>1691</v>
      </c>
      <c r="C1503" s="7">
        <v>36244.5985</v>
      </c>
      <c r="D1503" s="7">
        <v>36244.5985</v>
      </c>
      <c r="E1503" s="7">
        <v>32992.053800000002</v>
      </c>
      <c r="F1503" s="5" t="s">
        <v>7249</v>
      </c>
      <c r="G1503" s="5" t="str">
        <f t="shared" si="47"/>
        <v>ДинСанПод</v>
      </c>
      <c r="J1503" s="5"/>
      <c r="AF1503" t="s">
        <v>7224</v>
      </c>
      <c r="AG1503" s="24" t="s">
        <v>6734</v>
      </c>
      <c r="AH1503" s="5" t="s">
        <v>7224</v>
      </c>
      <c r="AI1503" s="5">
        <v>22738.942800000001</v>
      </c>
      <c r="AJ1503" s="5">
        <v>22738.942800000001</v>
      </c>
      <c r="AK1503">
        <v>21119.008099999999</v>
      </c>
      <c r="AL1503" s="5" t="str">
        <f t="shared" si="48"/>
        <v>Слободо-Туринский муниципальный район</v>
      </c>
    </row>
    <row r="1504" spans="1:38" ht="15" customHeight="1" x14ac:dyDescent="0.25">
      <c r="A1504" s="7" t="s">
        <v>453</v>
      </c>
      <c r="B1504" s="7" t="s">
        <v>1691</v>
      </c>
      <c r="C1504" s="7">
        <v>36244.5985</v>
      </c>
      <c r="D1504" s="7">
        <v>36244.5985</v>
      </c>
      <c r="E1504" s="7">
        <v>32992.053800000002</v>
      </c>
      <c r="F1504" s="5" t="s">
        <v>7249</v>
      </c>
      <c r="G1504" s="5" t="str">
        <f t="shared" si="47"/>
        <v>ДинСанПод</v>
      </c>
      <c r="J1504" s="5"/>
      <c r="AF1504" t="s">
        <v>7224</v>
      </c>
      <c r="AG1504" s="24" t="s">
        <v>6735</v>
      </c>
      <c r="AH1504" s="5" t="s">
        <v>7224</v>
      </c>
      <c r="AI1504" s="5">
        <v>22738.942800000001</v>
      </c>
      <c r="AJ1504" s="5">
        <v>22738.942800000001</v>
      </c>
      <c r="AK1504">
        <v>21119.008099999999</v>
      </c>
      <c r="AL1504" s="5" t="str">
        <f t="shared" si="48"/>
        <v>Слободо-Туринский муниципальный район</v>
      </c>
    </row>
    <row r="1505" spans="1:38" ht="15" customHeight="1" x14ac:dyDescent="0.25">
      <c r="A1505" s="7" t="s">
        <v>1332</v>
      </c>
      <c r="B1505" s="7" t="s">
        <v>1691</v>
      </c>
      <c r="C1505" s="7">
        <v>36244.5985</v>
      </c>
      <c r="D1505" s="7">
        <v>36244.5985</v>
      </c>
      <c r="E1505" s="7">
        <v>32992.053800000002</v>
      </c>
      <c r="F1505" s="5" t="s">
        <v>7249</v>
      </c>
      <c r="G1505" s="5" t="str">
        <f t="shared" si="47"/>
        <v>ДинСанПод</v>
      </c>
      <c r="J1505" s="5"/>
      <c r="AF1505" t="s">
        <v>7224</v>
      </c>
      <c r="AG1505" s="24" t="s">
        <v>6736</v>
      </c>
      <c r="AH1505" s="5" t="s">
        <v>7224</v>
      </c>
      <c r="AI1505" s="5">
        <v>22738.942800000001</v>
      </c>
      <c r="AJ1505" s="5">
        <v>22738.942800000001</v>
      </c>
      <c r="AK1505">
        <v>21119.008099999999</v>
      </c>
      <c r="AL1505" s="5" t="str">
        <f t="shared" si="48"/>
        <v>Слободо-Туринский муниципальный район</v>
      </c>
    </row>
    <row r="1506" spans="1:38" ht="15" customHeight="1" x14ac:dyDescent="0.25">
      <c r="A1506" s="7" t="s">
        <v>68</v>
      </c>
      <c r="B1506" s="7" t="s">
        <v>1691</v>
      </c>
      <c r="C1506" s="7">
        <v>36244.5985</v>
      </c>
      <c r="D1506" s="7">
        <v>36244.5985</v>
      </c>
      <c r="E1506" s="7">
        <v>32992.053800000002</v>
      </c>
      <c r="F1506" s="5" t="s">
        <v>7249</v>
      </c>
      <c r="G1506" s="5" t="str">
        <f t="shared" si="47"/>
        <v>ДинСанПод</v>
      </c>
      <c r="J1506" s="5"/>
      <c r="AF1506" t="s">
        <v>7224</v>
      </c>
      <c r="AG1506" s="24" t="s">
        <v>6737</v>
      </c>
      <c r="AH1506" s="5" t="s">
        <v>7224</v>
      </c>
      <c r="AI1506" s="5">
        <v>22738.942800000001</v>
      </c>
      <c r="AJ1506" s="5">
        <v>22738.942800000001</v>
      </c>
      <c r="AK1506">
        <v>21119.008099999999</v>
      </c>
      <c r="AL1506" s="5" t="str">
        <f t="shared" si="48"/>
        <v>Слободо-Туринский муниципальный район</v>
      </c>
    </row>
    <row r="1507" spans="1:38" ht="15" customHeight="1" x14ac:dyDescent="0.25">
      <c r="A1507" s="7" t="s">
        <v>794</v>
      </c>
      <c r="B1507" s="7" t="s">
        <v>1691</v>
      </c>
      <c r="C1507" s="7">
        <v>36244.5985</v>
      </c>
      <c r="D1507" s="7">
        <v>36244.5985</v>
      </c>
      <c r="E1507" s="7">
        <v>32992.053800000002</v>
      </c>
      <c r="F1507" s="5" t="s">
        <v>7249</v>
      </c>
      <c r="G1507" s="5" t="str">
        <f t="shared" si="47"/>
        <v>ДинСанПод</v>
      </c>
      <c r="J1507" s="5"/>
      <c r="AF1507" t="s">
        <v>7224</v>
      </c>
      <c r="AG1507" s="24" t="s">
        <v>6738</v>
      </c>
      <c r="AH1507" s="5" t="s">
        <v>7224</v>
      </c>
      <c r="AI1507" s="5">
        <v>22738.942800000001</v>
      </c>
      <c r="AJ1507" s="5">
        <v>22738.942800000001</v>
      </c>
      <c r="AK1507">
        <v>21119.008099999999</v>
      </c>
      <c r="AL1507" s="5" t="str">
        <f t="shared" si="48"/>
        <v>Слободо-Туринский муниципальный район</v>
      </c>
    </row>
    <row r="1508" spans="1:38" ht="15" customHeight="1" x14ac:dyDescent="0.25">
      <c r="A1508" s="7" t="s">
        <v>77</v>
      </c>
      <c r="B1508" s="7" t="s">
        <v>1691</v>
      </c>
      <c r="C1508" s="7">
        <v>36244.5985</v>
      </c>
      <c r="D1508" s="7">
        <v>36244.5985</v>
      </c>
      <c r="E1508" s="7">
        <v>32992.053800000002</v>
      </c>
      <c r="F1508" s="5" t="s">
        <v>7249</v>
      </c>
      <c r="G1508" s="5" t="str">
        <f t="shared" si="47"/>
        <v>ДинСанПод</v>
      </c>
      <c r="J1508" s="5"/>
      <c r="AF1508" t="s">
        <v>7224</v>
      </c>
      <c r="AG1508" s="24" t="s">
        <v>6739</v>
      </c>
      <c r="AH1508" s="5" t="s">
        <v>7224</v>
      </c>
      <c r="AI1508" s="5">
        <v>22738.942800000001</v>
      </c>
      <c r="AJ1508" s="5">
        <v>22738.942800000001</v>
      </c>
      <c r="AK1508">
        <v>21119.008099999999</v>
      </c>
      <c r="AL1508" s="5" t="str">
        <f t="shared" si="48"/>
        <v>Слободо-Туринский муниципальный район</v>
      </c>
    </row>
    <row r="1509" spans="1:38" ht="15" customHeight="1" x14ac:dyDescent="0.25">
      <c r="A1509" s="7" t="s">
        <v>239</v>
      </c>
      <c r="B1509" s="7" t="s">
        <v>1691</v>
      </c>
      <c r="C1509" s="7">
        <v>36244.5985</v>
      </c>
      <c r="D1509" s="7">
        <v>36244.5985</v>
      </c>
      <c r="E1509" s="7">
        <v>32992.053800000002</v>
      </c>
      <c r="F1509" s="5" t="s">
        <v>7249</v>
      </c>
      <c r="G1509" s="5" t="str">
        <f t="shared" si="47"/>
        <v>ДинСанПод</v>
      </c>
      <c r="J1509" s="5"/>
      <c r="AF1509" t="s">
        <v>7224</v>
      </c>
      <c r="AG1509" s="24" t="s">
        <v>6740</v>
      </c>
      <c r="AH1509" s="5" t="s">
        <v>7224</v>
      </c>
      <c r="AI1509" s="5">
        <v>22738.942800000001</v>
      </c>
      <c r="AJ1509" s="5">
        <v>22738.942800000001</v>
      </c>
      <c r="AK1509">
        <v>21119.008099999999</v>
      </c>
      <c r="AL1509" s="5" t="str">
        <f t="shared" si="48"/>
        <v>Слободо-Туринский муниципальный район</v>
      </c>
    </row>
    <row r="1510" spans="1:38" ht="15" customHeight="1" x14ac:dyDescent="0.25">
      <c r="A1510" s="7" t="s">
        <v>215</v>
      </c>
      <c r="B1510" s="7" t="s">
        <v>1691</v>
      </c>
      <c r="C1510" s="7">
        <v>36244.5985</v>
      </c>
      <c r="D1510" s="7">
        <v>36244.5985</v>
      </c>
      <c r="E1510" s="7">
        <v>32992.053800000002</v>
      </c>
      <c r="F1510" s="5" t="s">
        <v>7249</v>
      </c>
      <c r="G1510" s="5" t="str">
        <f t="shared" si="47"/>
        <v>ДинСанПод</v>
      </c>
      <c r="J1510" s="5"/>
      <c r="AF1510" t="s">
        <v>7224</v>
      </c>
      <c r="AG1510" s="24" t="s">
        <v>6741</v>
      </c>
      <c r="AH1510" s="5" t="s">
        <v>7224</v>
      </c>
      <c r="AI1510" s="5">
        <v>22738.942800000001</v>
      </c>
      <c r="AJ1510" s="5">
        <v>22738.942800000001</v>
      </c>
      <c r="AK1510">
        <v>21119.008099999999</v>
      </c>
      <c r="AL1510" s="5" t="str">
        <f t="shared" si="48"/>
        <v>Слободо-Туринский муниципальный район</v>
      </c>
    </row>
    <row r="1511" spans="1:38" ht="15" customHeight="1" x14ac:dyDescent="0.25">
      <c r="A1511" s="7" t="s">
        <v>429</v>
      </c>
      <c r="B1511" s="7" t="s">
        <v>1692</v>
      </c>
      <c r="C1511" s="7">
        <v>38366.254699999998</v>
      </c>
      <c r="D1511" s="7">
        <v>38366.254699999998</v>
      </c>
      <c r="E1511" s="7">
        <v>34923.320599999999</v>
      </c>
      <c r="F1511" s="5" t="s">
        <v>7249</v>
      </c>
      <c r="G1511" s="5" t="str">
        <f t="shared" si="47"/>
        <v>Западный</v>
      </c>
      <c r="J1511" s="5"/>
      <c r="AF1511" t="s">
        <v>7224</v>
      </c>
      <c r="AG1511" s="24" t="s">
        <v>6742</v>
      </c>
      <c r="AH1511" s="5" t="s">
        <v>7224</v>
      </c>
      <c r="AI1511" s="5">
        <v>22738.942800000001</v>
      </c>
      <c r="AJ1511" s="5">
        <v>22738.942800000001</v>
      </c>
      <c r="AK1511">
        <v>21119.008099999999</v>
      </c>
      <c r="AL1511" s="5" t="str">
        <f t="shared" si="48"/>
        <v>Слободо-Туринский муниципальный район</v>
      </c>
    </row>
    <row r="1512" spans="1:38" ht="15" customHeight="1" x14ac:dyDescent="0.25">
      <c r="A1512" s="7" t="s">
        <v>318</v>
      </c>
      <c r="B1512" s="7" t="s">
        <v>1692</v>
      </c>
      <c r="C1512" s="7">
        <v>38366.254699999998</v>
      </c>
      <c r="D1512" s="7">
        <v>38366.254699999998</v>
      </c>
      <c r="E1512" s="7">
        <v>34923.320599999999</v>
      </c>
      <c r="F1512" s="5" t="s">
        <v>7249</v>
      </c>
      <c r="G1512" s="5" t="str">
        <f t="shared" si="47"/>
        <v>Западный</v>
      </c>
      <c r="J1512" s="5"/>
      <c r="AF1512" t="s">
        <v>7224</v>
      </c>
      <c r="AG1512" s="24" t="s">
        <v>6743</v>
      </c>
      <c r="AH1512" s="5" t="s">
        <v>7224</v>
      </c>
      <c r="AI1512" s="5">
        <v>22738.942800000001</v>
      </c>
      <c r="AJ1512" s="5">
        <v>22738.942800000001</v>
      </c>
      <c r="AK1512">
        <v>21119.008099999999</v>
      </c>
      <c r="AL1512" s="5" t="str">
        <f t="shared" si="48"/>
        <v>Слободо-Туринский муниципальный район</v>
      </c>
    </row>
    <row r="1513" spans="1:38" ht="15" customHeight="1" x14ac:dyDescent="0.25">
      <c r="A1513" s="7" t="s">
        <v>189</v>
      </c>
      <c r="B1513" s="7" t="s">
        <v>1693</v>
      </c>
      <c r="C1513" s="7">
        <v>32948.938800000004</v>
      </c>
      <c r="D1513" s="7">
        <v>32948.938800000004</v>
      </c>
      <c r="E1513" s="7">
        <v>29992.139899999998</v>
      </c>
      <c r="F1513" s="5" t="s">
        <v>7249</v>
      </c>
      <c r="G1513" s="5" t="str">
        <f t="shared" si="47"/>
        <v>Магнитка</v>
      </c>
      <c r="J1513" s="5"/>
      <c r="AF1513" t="s">
        <v>7224</v>
      </c>
      <c r="AG1513" s="24" t="s">
        <v>6744</v>
      </c>
      <c r="AH1513" s="5" t="s">
        <v>7224</v>
      </c>
      <c r="AI1513" s="5">
        <v>22738.942800000001</v>
      </c>
      <c r="AJ1513" s="5">
        <v>22738.942800000001</v>
      </c>
      <c r="AK1513">
        <v>21119.008099999999</v>
      </c>
      <c r="AL1513" s="5" t="str">
        <f t="shared" si="48"/>
        <v>Слободо-Туринский муниципальный район</v>
      </c>
    </row>
    <row r="1514" spans="1:38" ht="15" customHeight="1" x14ac:dyDescent="0.25">
      <c r="A1514" s="7" t="s">
        <v>806</v>
      </c>
      <c r="B1514" s="7" t="s">
        <v>1693</v>
      </c>
      <c r="C1514" s="7">
        <v>32948.938800000004</v>
      </c>
      <c r="D1514" s="7">
        <v>32948.938800000004</v>
      </c>
      <c r="E1514" s="7">
        <v>29992.139899999998</v>
      </c>
      <c r="F1514" s="5" t="s">
        <v>7249</v>
      </c>
      <c r="G1514" s="5" t="str">
        <f t="shared" si="47"/>
        <v>Магнитка</v>
      </c>
      <c r="J1514" s="5"/>
      <c r="AF1514" t="s">
        <v>7224</v>
      </c>
      <c r="AG1514" s="24" t="s">
        <v>6745</v>
      </c>
      <c r="AH1514" s="5" t="s">
        <v>7224</v>
      </c>
      <c r="AI1514" s="5">
        <v>22738.942800000001</v>
      </c>
      <c r="AJ1514" s="5">
        <v>22738.942800000001</v>
      </c>
      <c r="AK1514">
        <v>21119.008099999999</v>
      </c>
      <c r="AL1514" s="5" t="str">
        <f t="shared" si="48"/>
        <v>Слободо-Туринский муниципальный район</v>
      </c>
    </row>
    <row r="1515" spans="1:38" ht="15" customHeight="1" x14ac:dyDescent="0.25">
      <c r="A1515" s="7" t="s">
        <v>876</v>
      </c>
      <c r="B1515" s="7" t="s">
        <v>1693</v>
      </c>
      <c r="C1515" s="7">
        <v>32948.938800000004</v>
      </c>
      <c r="D1515" s="7">
        <v>32948.938800000004</v>
      </c>
      <c r="E1515" s="7">
        <v>29992.139899999998</v>
      </c>
      <c r="F1515" s="5" t="s">
        <v>7249</v>
      </c>
      <c r="G1515" s="5" t="str">
        <f t="shared" si="47"/>
        <v>Магнитка</v>
      </c>
      <c r="J1515" s="5"/>
      <c r="AF1515" t="s">
        <v>7224</v>
      </c>
      <c r="AG1515" s="24" t="s">
        <v>6746</v>
      </c>
      <c r="AH1515" s="5" t="s">
        <v>7224</v>
      </c>
      <c r="AI1515" s="5">
        <v>22738.942800000001</v>
      </c>
      <c r="AJ1515" s="5">
        <v>22738.942800000001</v>
      </c>
      <c r="AK1515">
        <v>21119.008099999999</v>
      </c>
      <c r="AL1515" s="5" t="str">
        <f t="shared" si="48"/>
        <v>Слободо-Туринский муниципальный район</v>
      </c>
    </row>
    <row r="1516" spans="1:38" ht="15" customHeight="1" x14ac:dyDescent="0.25">
      <c r="A1516" s="7" t="s">
        <v>591</v>
      </c>
      <c r="B1516" s="7" t="s">
        <v>1693</v>
      </c>
      <c r="C1516" s="7">
        <v>32948.938800000004</v>
      </c>
      <c r="D1516" s="7">
        <v>32948.938800000004</v>
      </c>
      <c r="E1516" s="7">
        <v>29992.139899999998</v>
      </c>
      <c r="F1516" s="5" t="s">
        <v>7249</v>
      </c>
      <c r="G1516" s="5" t="str">
        <f t="shared" si="47"/>
        <v>Магнитка</v>
      </c>
      <c r="J1516" s="5"/>
      <c r="AF1516" t="s">
        <v>7224</v>
      </c>
      <c r="AG1516" s="24" t="s">
        <v>6747</v>
      </c>
      <c r="AH1516" s="5" t="s">
        <v>7224</v>
      </c>
      <c r="AI1516" s="5">
        <v>22738.942800000001</v>
      </c>
      <c r="AJ1516" s="5">
        <v>22738.942800000001</v>
      </c>
      <c r="AK1516">
        <v>21119.008099999999</v>
      </c>
      <c r="AL1516" s="5" t="str">
        <f t="shared" si="48"/>
        <v>Слободо-Туринский муниципальный район</v>
      </c>
    </row>
    <row r="1517" spans="1:38" ht="15" customHeight="1" x14ac:dyDescent="0.25">
      <c r="A1517" s="7" t="s">
        <v>646</v>
      </c>
      <c r="B1517" s="7" t="s">
        <v>1694</v>
      </c>
      <c r="C1517" s="7">
        <v>26641.525799999999</v>
      </c>
      <c r="D1517" s="7">
        <v>26641.525799999999</v>
      </c>
      <c r="E1517" s="8">
        <v>24250.754499999999</v>
      </c>
      <c r="F1517" s="5" t="s">
        <v>7249</v>
      </c>
      <c r="G1517" s="5" t="str">
        <f t="shared" si="47"/>
        <v>Первомайский</v>
      </c>
      <c r="J1517" s="5"/>
      <c r="AF1517" t="s">
        <v>7224</v>
      </c>
      <c r="AG1517" s="24" t="s">
        <v>6748</v>
      </c>
      <c r="AH1517" s="5" t="s">
        <v>7224</v>
      </c>
      <c r="AI1517" s="5">
        <v>22738.942800000001</v>
      </c>
      <c r="AJ1517" s="5">
        <v>22738.942800000001</v>
      </c>
      <c r="AK1517">
        <v>21119.008099999999</v>
      </c>
      <c r="AL1517" s="5" t="str">
        <f t="shared" si="48"/>
        <v>Слободо-Туринский муниципальный район</v>
      </c>
    </row>
    <row r="1518" spans="1:38" ht="15" customHeight="1" x14ac:dyDescent="0.25">
      <c r="A1518" s="7" t="s">
        <v>134</v>
      </c>
      <c r="B1518" s="7" t="s">
        <v>1695</v>
      </c>
      <c r="C1518" s="7">
        <v>40100.412600000003</v>
      </c>
      <c r="D1518" s="7">
        <v>40100.412600000003</v>
      </c>
      <c r="E1518" s="7">
        <v>36501.853799999997</v>
      </c>
      <c r="F1518" s="5" t="s">
        <v>7249</v>
      </c>
      <c r="G1518" s="5" t="str">
        <f t="shared" si="47"/>
        <v>Соцгород</v>
      </c>
      <c r="J1518" s="5"/>
      <c r="AF1518" t="s">
        <v>7224</v>
      </c>
      <c r="AG1518" s="24" t="s">
        <v>6749</v>
      </c>
      <c r="AH1518" s="5" t="s">
        <v>7224</v>
      </c>
      <c r="AI1518" s="5">
        <v>22738.942800000001</v>
      </c>
      <c r="AJ1518" s="5">
        <v>22738.942800000001</v>
      </c>
      <c r="AK1518">
        <v>21119.008099999999</v>
      </c>
      <c r="AL1518" s="5" t="str">
        <f t="shared" si="48"/>
        <v>Слободо-Туринский муниципальный район</v>
      </c>
    </row>
    <row r="1519" spans="1:38" ht="15" customHeight="1" x14ac:dyDescent="0.25">
      <c r="A1519" s="7" t="s">
        <v>410</v>
      </c>
      <c r="B1519" s="7" t="s">
        <v>1695</v>
      </c>
      <c r="C1519" s="7">
        <v>40100.412600000003</v>
      </c>
      <c r="D1519" s="7">
        <v>40100.412600000003</v>
      </c>
      <c r="E1519" s="7">
        <v>36501.853799999997</v>
      </c>
      <c r="F1519" s="5" t="s">
        <v>7249</v>
      </c>
      <c r="G1519" s="5" t="str">
        <f t="shared" si="47"/>
        <v>Соцгород</v>
      </c>
      <c r="J1519" s="5"/>
      <c r="AF1519" t="s">
        <v>7224</v>
      </c>
      <c r="AG1519" s="24" t="s">
        <v>6750</v>
      </c>
      <c r="AH1519" s="5" t="s">
        <v>7224</v>
      </c>
      <c r="AI1519" s="5">
        <v>22738.942800000001</v>
      </c>
      <c r="AJ1519" s="5">
        <v>22738.942800000001</v>
      </c>
      <c r="AK1519">
        <v>21119.008099999999</v>
      </c>
      <c r="AL1519" s="5" t="str">
        <f t="shared" si="48"/>
        <v>Слободо-Туринский муниципальный район</v>
      </c>
    </row>
    <row r="1520" spans="1:38" ht="15" customHeight="1" x14ac:dyDescent="0.25">
      <c r="A1520" s="7" t="s">
        <v>735</v>
      </c>
      <c r="B1520" s="7" t="s">
        <v>1696</v>
      </c>
      <c r="C1520" s="7">
        <v>36808.582300000002</v>
      </c>
      <c r="D1520" s="7">
        <v>36808.582300000002</v>
      </c>
      <c r="E1520" s="7">
        <v>33505.428800000002</v>
      </c>
      <c r="F1520" s="5" t="s">
        <v>7249</v>
      </c>
      <c r="G1520" s="5" t="str">
        <f t="shared" si="47"/>
        <v>Талица</v>
      </c>
      <c r="J1520" s="5"/>
      <c r="AF1520" t="s">
        <v>7224</v>
      </c>
      <c r="AG1520" s="24" t="s">
        <v>6751</v>
      </c>
      <c r="AH1520" s="5" t="s">
        <v>7224</v>
      </c>
      <c r="AI1520" s="5">
        <v>22738.942800000001</v>
      </c>
      <c r="AJ1520" s="5">
        <v>22738.942800000001</v>
      </c>
      <c r="AK1520">
        <v>21119.008099999999</v>
      </c>
      <c r="AL1520" s="5" t="str">
        <f t="shared" si="48"/>
        <v>Слободо-Туринский муниципальный район</v>
      </c>
    </row>
    <row r="1521" spans="1:38" ht="15" customHeight="1" x14ac:dyDescent="0.25">
      <c r="A1521" s="7" t="s">
        <v>518</v>
      </c>
      <c r="B1521" s="7" t="s">
        <v>1696</v>
      </c>
      <c r="C1521" s="7">
        <v>36808.582300000002</v>
      </c>
      <c r="D1521" s="7">
        <v>36808.582300000002</v>
      </c>
      <c r="E1521" s="7">
        <v>33505.428800000002</v>
      </c>
      <c r="F1521" s="5" t="s">
        <v>7249</v>
      </c>
      <c r="G1521" s="5" t="str">
        <f t="shared" si="47"/>
        <v>Талица</v>
      </c>
      <c r="J1521" s="5"/>
      <c r="AF1521" t="s">
        <v>7224</v>
      </c>
      <c r="AG1521" s="24" t="s">
        <v>6752</v>
      </c>
      <c r="AH1521" s="5" t="s">
        <v>7224</v>
      </c>
      <c r="AI1521" s="5">
        <v>22738.942800000001</v>
      </c>
      <c r="AJ1521" s="5">
        <v>22738.942800000001</v>
      </c>
      <c r="AK1521">
        <v>21119.008099999999</v>
      </c>
      <c r="AL1521" s="5" t="str">
        <f t="shared" si="48"/>
        <v>Слободо-Туринский муниципальный район</v>
      </c>
    </row>
    <row r="1522" spans="1:38" ht="15" customHeight="1" x14ac:dyDescent="0.25">
      <c r="A1522" s="7" t="s">
        <v>79</v>
      </c>
      <c r="B1522" s="7" t="s">
        <v>1697</v>
      </c>
      <c r="C1522" s="7">
        <v>42713.148200000003</v>
      </c>
      <c r="D1522" s="7">
        <v>42713.148200000003</v>
      </c>
      <c r="E1522" s="7">
        <v>38880.125099999997</v>
      </c>
      <c r="F1522" s="5" t="s">
        <v>7249</v>
      </c>
      <c r="G1522" s="5" t="str">
        <f t="shared" si="47"/>
        <v>Техгород</v>
      </c>
      <c r="J1522" s="5"/>
      <c r="AF1522" t="s">
        <v>7224</v>
      </c>
      <c r="AG1522" s="24" t="s">
        <v>6753</v>
      </c>
      <c r="AH1522" s="5" t="s">
        <v>7224</v>
      </c>
      <c r="AI1522" s="5">
        <v>22738.942800000001</v>
      </c>
      <c r="AJ1522" s="5">
        <v>22738.942800000001</v>
      </c>
      <c r="AK1522">
        <v>21119.008099999999</v>
      </c>
      <c r="AL1522" s="5" t="str">
        <f t="shared" si="48"/>
        <v>Слободо-Туринский муниципальный район</v>
      </c>
    </row>
    <row r="1523" spans="1:38" ht="15" customHeight="1" x14ac:dyDescent="0.25">
      <c r="A1523" s="7" t="s">
        <v>22</v>
      </c>
      <c r="B1523" s="7" t="s">
        <v>1698</v>
      </c>
      <c r="C1523" s="7">
        <v>38473.686099999999</v>
      </c>
      <c r="D1523" s="7">
        <v>38473.686099999999</v>
      </c>
      <c r="E1523" s="7">
        <v>35021.100899999998</v>
      </c>
      <c r="F1523" s="5" t="s">
        <v>7249</v>
      </c>
      <c r="G1523" s="5" t="str">
        <f t="shared" si="47"/>
        <v>Хромпик</v>
      </c>
      <c r="J1523" s="5"/>
      <c r="AF1523" t="s">
        <v>7224</v>
      </c>
      <c r="AG1523" s="24" t="s">
        <v>6754</v>
      </c>
      <c r="AH1523" s="5" t="s">
        <v>7224</v>
      </c>
      <c r="AI1523" s="5">
        <v>22738.942800000001</v>
      </c>
      <c r="AJ1523" s="5">
        <v>22738.942800000001</v>
      </c>
      <c r="AK1523">
        <v>21119.008099999999</v>
      </c>
      <c r="AL1523" s="5" t="str">
        <f t="shared" si="48"/>
        <v>Слободо-Туринский муниципальный район</v>
      </c>
    </row>
    <row r="1524" spans="1:38" ht="15" customHeight="1" x14ac:dyDescent="0.25">
      <c r="A1524" s="7" t="s">
        <v>82</v>
      </c>
      <c r="B1524" s="7" t="s">
        <v>7298</v>
      </c>
      <c r="C1524" s="7">
        <v>39931.596299999997</v>
      </c>
      <c r="D1524" s="7">
        <v>39931.596299999997</v>
      </c>
      <c r="E1524" s="7">
        <v>36348.1901</v>
      </c>
      <c r="F1524" s="5" t="s">
        <v>7249</v>
      </c>
      <c r="G1524" s="5" t="str">
        <f t="shared" si="47"/>
        <v>Центр-Перв</v>
      </c>
      <c r="J1524" s="5"/>
      <c r="AF1524" t="s">
        <v>7224</v>
      </c>
      <c r="AG1524" s="24" t="s">
        <v>6755</v>
      </c>
      <c r="AH1524" s="5" t="s">
        <v>7224</v>
      </c>
      <c r="AI1524" s="5">
        <v>22738.942800000001</v>
      </c>
      <c r="AJ1524" s="5">
        <v>22738.942800000001</v>
      </c>
      <c r="AK1524">
        <v>21119.008099999999</v>
      </c>
      <c r="AL1524" s="5" t="str">
        <f t="shared" si="48"/>
        <v>Слободо-Туринский муниципальный район</v>
      </c>
    </row>
    <row r="1525" spans="1:38" ht="15" customHeight="1" x14ac:dyDescent="0.25">
      <c r="A1525" s="7" t="s">
        <v>645</v>
      </c>
      <c r="B1525" s="7" t="s">
        <v>1699</v>
      </c>
      <c r="C1525" s="7">
        <v>34007.852099999996</v>
      </c>
      <c r="D1525" s="7">
        <v>34007.852099999996</v>
      </c>
      <c r="E1525" s="7">
        <v>30956.028900000001</v>
      </c>
      <c r="F1525" s="5" t="s">
        <v>7249</v>
      </c>
      <c r="G1525" s="5" t="str">
        <f t="shared" si="47"/>
        <v>Шайтанка</v>
      </c>
      <c r="J1525" s="5"/>
      <c r="AF1525" t="s">
        <v>7224</v>
      </c>
      <c r="AG1525" s="24" t="s">
        <v>6756</v>
      </c>
      <c r="AH1525" s="5" t="s">
        <v>7224</v>
      </c>
      <c r="AI1525" s="5">
        <v>22738.942800000001</v>
      </c>
      <c r="AJ1525" s="5">
        <v>22738.942800000001</v>
      </c>
      <c r="AK1525">
        <v>21119.008099999999</v>
      </c>
      <c r="AL1525" s="5" t="str">
        <f t="shared" si="48"/>
        <v>Слободо-Туринский муниципальный район</v>
      </c>
    </row>
    <row r="1526" spans="1:38" ht="15" customHeight="1" x14ac:dyDescent="0.25">
      <c r="A1526" s="7" t="s">
        <v>320</v>
      </c>
      <c r="B1526" s="7" t="s">
        <v>1699</v>
      </c>
      <c r="C1526" s="7">
        <v>34007.852099999996</v>
      </c>
      <c r="D1526" s="7">
        <v>34007.852099999996</v>
      </c>
      <c r="E1526" s="7">
        <v>30956.028900000001</v>
      </c>
      <c r="F1526" s="5" t="s">
        <v>7249</v>
      </c>
      <c r="G1526" s="5" t="str">
        <f t="shared" si="47"/>
        <v>Шайтанка</v>
      </c>
      <c r="J1526" s="5"/>
      <c r="AF1526" t="s">
        <v>7224</v>
      </c>
      <c r="AG1526" s="24" t="s">
        <v>6757</v>
      </c>
      <c r="AH1526" s="5" t="s">
        <v>7224</v>
      </c>
      <c r="AI1526" s="5">
        <v>22738.942800000001</v>
      </c>
      <c r="AJ1526" s="5">
        <v>22738.942800000001</v>
      </c>
      <c r="AK1526">
        <v>21119.008099999999</v>
      </c>
      <c r="AL1526" s="5" t="str">
        <f t="shared" si="48"/>
        <v>Слободо-Туринский муниципальный район</v>
      </c>
    </row>
    <row r="1527" spans="1:38" ht="15" customHeight="1" x14ac:dyDescent="0.25">
      <c r="A1527" s="7" t="s">
        <v>1047</v>
      </c>
      <c r="B1527" s="7" t="s">
        <v>1699</v>
      </c>
      <c r="C1527" s="7">
        <v>34007.852099999996</v>
      </c>
      <c r="D1527" s="7">
        <v>34007.852099999996</v>
      </c>
      <c r="E1527" s="7">
        <v>30956.028900000001</v>
      </c>
      <c r="F1527" s="5" t="s">
        <v>7249</v>
      </c>
      <c r="G1527" s="5" t="str">
        <f t="shared" si="47"/>
        <v>Шайтанка</v>
      </c>
      <c r="J1527" s="5"/>
      <c r="AF1527" t="s">
        <v>7224</v>
      </c>
      <c r="AG1527" s="24" t="s">
        <v>6758</v>
      </c>
      <c r="AH1527" s="5" t="s">
        <v>7224</v>
      </c>
      <c r="AI1527" s="5">
        <v>22738.942800000001</v>
      </c>
      <c r="AJ1527" s="5">
        <v>22738.942800000001</v>
      </c>
      <c r="AK1527">
        <v>21119.008099999999</v>
      </c>
      <c r="AL1527" s="5" t="str">
        <f t="shared" si="48"/>
        <v>Слободо-Туринский муниципальный район</v>
      </c>
    </row>
    <row r="1528" spans="1:38" ht="15" customHeight="1" x14ac:dyDescent="0.25">
      <c r="A1528" s="7" t="s">
        <v>1408</v>
      </c>
      <c r="B1528" s="7" t="s">
        <v>1699</v>
      </c>
      <c r="C1528" s="7">
        <v>34007.852099999996</v>
      </c>
      <c r="D1528" s="7">
        <v>34007.852099999996</v>
      </c>
      <c r="E1528" s="7">
        <v>30956.028900000001</v>
      </c>
      <c r="F1528" s="5" t="s">
        <v>7249</v>
      </c>
      <c r="G1528" s="5" t="str">
        <f t="shared" si="47"/>
        <v>Шайтанка</v>
      </c>
      <c r="J1528" s="5"/>
      <c r="AF1528" t="s">
        <v>7224</v>
      </c>
      <c r="AG1528" s="24" t="s">
        <v>6759</v>
      </c>
      <c r="AH1528" s="5" t="s">
        <v>7224</v>
      </c>
      <c r="AI1528" s="5">
        <v>22738.942800000001</v>
      </c>
      <c r="AJ1528" s="5">
        <v>22738.942800000001</v>
      </c>
      <c r="AK1528">
        <v>21119.008099999999</v>
      </c>
      <c r="AL1528" s="5" t="str">
        <f t="shared" si="48"/>
        <v>Слободо-Туринский муниципальный район</v>
      </c>
    </row>
    <row r="1529" spans="1:38" ht="15" customHeight="1" x14ac:dyDescent="0.25">
      <c r="A1529" s="7" t="s">
        <v>1199</v>
      </c>
      <c r="B1529" s="7" t="s">
        <v>1699</v>
      </c>
      <c r="C1529" s="7">
        <v>34007.852099999996</v>
      </c>
      <c r="D1529" s="7">
        <v>34007.852099999996</v>
      </c>
      <c r="E1529" s="7">
        <v>30956.028900000001</v>
      </c>
      <c r="F1529" s="5" t="s">
        <v>7249</v>
      </c>
      <c r="G1529" s="5" t="str">
        <f t="shared" si="47"/>
        <v>Шайтанка</v>
      </c>
      <c r="J1529" s="5"/>
      <c r="L1529" s="5" t="s">
        <v>5165</v>
      </c>
      <c r="AF1529" t="s">
        <v>7224</v>
      </c>
      <c r="AG1529" s="24" t="s">
        <v>6760</v>
      </c>
      <c r="AH1529" s="5" t="s">
        <v>7224</v>
      </c>
      <c r="AI1529" s="5">
        <v>22738.942800000001</v>
      </c>
      <c r="AJ1529" s="5">
        <v>22738.942800000001</v>
      </c>
      <c r="AK1529">
        <v>21119.008099999999</v>
      </c>
      <c r="AL1529" s="5" t="str">
        <f t="shared" si="48"/>
        <v>Слободо-Туринский муниципальный район</v>
      </c>
    </row>
    <row r="1530" spans="1:38" ht="25.5" customHeight="1" x14ac:dyDescent="0.25">
      <c r="A1530" s="10" t="s">
        <v>1700</v>
      </c>
      <c r="B1530" s="11" t="s">
        <v>1699</v>
      </c>
      <c r="C1530" s="5">
        <v>34007.852099999996</v>
      </c>
      <c r="D1530" s="5">
        <v>34007.852099999996</v>
      </c>
      <c r="E1530" s="5">
        <v>30956.028900000001</v>
      </c>
      <c r="G1530" s="5" t="str">
        <f t="shared" si="47"/>
        <v>Шайтанка</v>
      </c>
      <c r="J1530" s="5"/>
      <c r="AF1530" t="s">
        <v>7225</v>
      </c>
      <c r="AG1530" s="24" t="s">
        <v>6761</v>
      </c>
      <c r="AH1530" s="5" t="s">
        <v>7225</v>
      </c>
      <c r="AI1530" s="5">
        <v>13782.017</v>
      </c>
      <c r="AJ1530" s="5">
        <v>13782.017</v>
      </c>
      <c r="AK1530">
        <v>12800.178</v>
      </c>
      <c r="AL1530" s="5" t="str">
        <f t="shared" si="48"/>
        <v>Сосьвинский городской округ</v>
      </c>
    </row>
    <row r="1531" spans="1:38" ht="25.5" customHeight="1" x14ac:dyDescent="0.25">
      <c r="A1531" s="10" t="s">
        <v>1701</v>
      </c>
      <c r="B1531" s="11" t="s">
        <v>1699</v>
      </c>
      <c r="C1531" s="5">
        <v>34007.852099999996</v>
      </c>
      <c r="D1531" s="5">
        <v>34007.852099999996</v>
      </c>
      <c r="E1531" s="5">
        <v>30956.028900000001</v>
      </c>
      <c r="G1531" s="5" t="str">
        <f t="shared" si="47"/>
        <v>Шайтанка</v>
      </c>
      <c r="J1531" s="5"/>
      <c r="AF1531" t="s">
        <v>7225</v>
      </c>
      <c r="AG1531" s="24" t="s">
        <v>6762</v>
      </c>
      <c r="AH1531" s="5" t="s">
        <v>7225</v>
      </c>
      <c r="AI1531" s="5">
        <v>14127.2363</v>
      </c>
      <c r="AJ1531" s="5">
        <v>14127.2363</v>
      </c>
      <c r="AK1531">
        <v>13120.8</v>
      </c>
      <c r="AL1531" s="5" t="str">
        <f t="shared" si="48"/>
        <v>Сосьвинский городской округ</v>
      </c>
    </row>
    <row r="1532" spans="1:38" ht="25.5" customHeight="1" x14ac:dyDescent="0.25">
      <c r="A1532" s="10" t="s">
        <v>1702</v>
      </c>
      <c r="B1532" s="11" t="s">
        <v>1691</v>
      </c>
      <c r="C1532" s="5">
        <v>36244.5985</v>
      </c>
      <c r="D1532" s="5">
        <v>36244.5985</v>
      </c>
      <c r="E1532" s="5">
        <v>32992.053800000002</v>
      </c>
      <c r="G1532" s="5" t="str">
        <f t="shared" si="47"/>
        <v>ДинСанПод</v>
      </c>
      <c r="J1532" s="5"/>
      <c r="AF1532" t="s">
        <v>7225</v>
      </c>
      <c r="AG1532" s="24" t="s">
        <v>6763</v>
      </c>
      <c r="AH1532" s="5" t="s">
        <v>7225</v>
      </c>
      <c r="AI1532" s="5">
        <v>13782.017</v>
      </c>
      <c r="AJ1532" s="5">
        <v>13782.017</v>
      </c>
      <c r="AK1532">
        <v>12800.178</v>
      </c>
      <c r="AL1532" s="5" t="str">
        <f t="shared" si="48"/>
        <v>Сосьвинский городской округ</v>
      </c>
    </row>
    <row r="1533" spans="1:38" ht="25.5" customHeight="1" x14ac:dyDescent="0.25">
      <c r="A1533" s="10" t="s">
        <v>1703</v>
      </c>
      <c r="B1533" s="11" t="s">
        <v>1660</v>
      </c>
      <c r="C1533" s="5">
        <v>53262.345800000003</v>
      </c>
      <c r="D1533" s="5">
        <v>53262.345800000003</v>
      </c>
      <c r="E1533" s="5">
        <v>48230.0095</v>
      </c>
      <c r="G1533" s="5" t="str">
        <f t="shared" si="47"/>
        <v>САДОВЫЙ</v>
      </c>
      <c r="J1533" s="5"/>
      <c r="AF1533" t="s">
        <v>7225</v>
      </c>
      <c r="AG1533" s="24" t="s">
        <v>6764</v>
      </c>
      <c r="AH1533" s="5" t="s">
        <v>7225</v>
      </c>
      <c r="AI1533" s="5">
        <v>13782.017</v>
      </c>
      <c r="AJ1533" s="5">
        <v>13782.017</v>
      </c>
      <c r="AK1533">
        <v>12800.178</v>
      </c>
      <c r="AL1533" s="5" t="str">
        <f t="shared" si="48"/>
        <v>Сосьвинский городской округ</v>
      </c>
    </row>
    <row r="1534" spans="1:38" ht="25.5" customHeight="1" x14ac:dyDescent="0.25">
      <c r="A1534" s="10" t="s">
        <v>1704</v>
      </c>
      <c r="B1534" s="11" t="s">
        <v>1691</v>
      </c>
      <c r="C1534" s="5">
        <v>36244.5985</v>
      </c>
      <c r="D1534" s="5">
        <v>36244.5985</v>
      </c>
      <c r="E1534" s="5">
        <v>32992.053800000002</v>
      </c>
      <c r="G1534" s="5" t="str">
        <f t="shared" si="47"/>
        <v>ДинСанПод</v>
      </c>
      <c r="J1534" s="5"/>
      <c r="AF1534" t="s">
        <v>7225</v>
      </c>
      <c r="AG1534" s="24" t="s">
        <v>6765</v>
      </c>
      <c r="AH1534" s="5" t="s">
        <v>7225</v>
      </c>
      <c r="AI1534" s="5">
        <v>13782.017</v>
      </c>
      <c r="AJ1534" s="5">
        <v>13782.017</v>
      </c>
      <c r="AK1534">
        <v>12800.178</v>
      </c>
      <c r="AL1534" s="5" t="str">
        <f t="shared" si="48"/>
        <v>Сосьвинский городской округ</v>
      </c>
    </row>
    <row r="1535" spans="1:38" ht="25.5" customHeight="1" x14ac:dyDescent="0.25">
      <c r="A1535" s="20" t="s">
        <v>1705</v>
      </c>
      <c r="B1535" s="22">
        <v>1003</v>
      </c>
      <c r="C1535" s="5">
        <v>21261.0285</v>
      </c>
      <c r="D1535" s="5">
        <v>21261.0285</v>
      </c>
      <c r="E1535" s="5">
        <v>20837.465199999999</v>
      </c>
      <c r="G1535" s="5">
        <f t="shared" si="47"/>
        <v>1003</v>
      </c>
      <c r="J1535" s="5"/>
      <c r="AF1535" t="s">
        <v>7225</v>
      </c>
      <c r="AG1535" s="24" t="s">
        <v>6766</v>
      </c>
      <c r="AH1535" s="5" t="s">
        <v>7225</v>
      </c>
      <c r="AI1535" s="5">
        <v>13782.017</v>
      </c>
      <c r="AJ1535" s="5">
        <v>13782.017</v>
      </c>
      <c r="AK1535">
        <v>12800.178</v>
      </c>
      <c r="AL1535" s="5" t="str">
        <f t="shared" si="48"/>
        <v>Сосьвинский городской округ</v>
      </c>
    </row>
    <row r="1536" spans="1:38" ht="25.5" customHeight="1" x14ac:dyDescent="0.25">
      <c r="A1536" s="20" t="s">
        <v>1706</v>
      </c>
      <c r="B1536" s="22">
        <v>1003</v>
      </c>
      <c r="C1536" s="5">
        <v>21261.0285</v>
      </c>
      <c r="D1536" s="5">
        <v>21261.0285</v>
      </c>
      <c r="E1536" s="5">
        <v>20837.465199999999</v>
      </c>
      <c r="G1536" s="5">
        <f t="shared" si="47"/>
        <v>1003</v>
      </c>
      <c r="J1536" s="5"/>
      <c r="AF1536" t="s">
        <v>7225</v>
      </c>
      <c r="AG1536" s="24" t="s">
        <v>6767</v>
      </c>
      <c r="AH1536" s="5" t="s">
        <v>7225</v>
      </c>
      <c r="AI1536" s="5">
        <v>13782.017</v>
      </c>
      <c r="AJ1536" s="5">
        <v>13782.017</v>
      </c>
      <c r="AK1536">
        <v>12800.178</v>
      </c>
      <c r="AL1536" s="5" t="str">
        <f t="shared" si="48"/>
        <v>Сосьвинский городской округ</v>
      </c>
    </row>
    <row r="1537" spans="1:38" ht="25.5" customHeight="1" x14ac:dyDescent="0.25">
      <c r="A1537" s="20" t="s">
        <v>1707</v>
      </c>
      <c r="B1537" s="22">
        <v>1003</v>
      </c>
      <c r="C1537" s="5">
        <v>21261.0285</v>
      </c>
      <c r="D1537" s="5">
        <v>21261.0285</v>
      </c>
      <c r="E1537" s="5">
        <v>20837.465199999999</v>
      </c>
      <c r="G1537" s="5">
        <f t="shared" si="47"/>
        <v>1003</v>
      </c>
      <c r="J1537" s="5"/>
      <c r="AF1537" t="s">
        <v>7225</v>
      </c>
      <c r="AG1537" s="24" t="s">
        <v>6768</v>
      </c>
      <c r="AH1537" s="5" t="s">
        <v>7225</v>
      </c>
      <c r="AI1537" s="5">
        <v>13782.017</v>
      </c>
      <c r="AJ1537" s="5">
        <v>13782.017</v>
      </c>
      <c r="AK1537">
        <v>12800.178</v>
      </c>
      <c r="AL1537" s="5" t="str">
        <f t="shared" si="48"/>
        <v>Сосьвинский городской округ</v>
      </c>
    </row>
    <row r="1538" spans="1:38" ht="25.5" customHeight="1" x14ac:dyDescent="0.25">
      <c r="A1538" s="10" t="s">
        <v>1708</v>
      </c>
      <c r="B1538" s="11" t="s">
        <v>1691</v>
      </c>
      <c r="C1538" s="5">
        <v>36244.5985</v>
      </c>
      <c r="D1538" s="5">
        <v>36244.5985</v>
      </c>
      <c r="E1538" s="5">
        <v>32992.053800000002</v>
      </c>
      <c r="G1538" s="5" t="str">
        <f t="shared" si="47"/>
        <v>ДинСанПод</v>
      </c>
      <c r="J1538" s="5"/>
      <c r="AF1538" t="s">
        <v>7225</v>
      </c>
      <c r="AG1538" s="24" t="s">
        <v>6769</v>
      </c>
      <c r="AH1538" s="5" t="s">
        <v>7225</v>
      </c>
      <c r="AI1538" s="5">
        <v>13782.017</v>
      </c>
      <c r="AJ1538" s="5">
        <v>13782.017</v>
      </c>
      <c r="AK1538">
        <v>12800.178</v>
      </c>
      <c r="AL1538" s="5" t="str">
        <f t="shared" si="48"/>
        <v>Сосьвинский городской округ</v>
      </c>
    </row>
    <row r="1539" spans="1:38" ht="25.5" customHeight="1" x14ac:dyDescent="0.25">
      <c r="A1539" s="20" t="s">
        <v>1709</v>
      </c>
      <c r="B1539" s="22">
        <v>1003</v>
      </c>
      <c r="C1539" s="5">
        <v>21261.0285</v>
      </c>
      <c r="D1539" s="5">
        <v>21261.0285</v>
      </c>
      <c r="E1539" s="5">
        <v>20837.465199999999</v>
      </c>
      <c r="G1539" s="5">
        <f t="shared" si="47"/>
        <v>1003</v>
      </c>
      <c r="J1539" s="5"/>
      <c r="AF1539" t="s">
        <v>7225</v>
      </c>
      <c r="AG1539" s="24" t="s">
        <v>6770</v>
      </c>
      <c r="AH1539" s="5" t="s">
        <v>7225</v>
      </c>
      <c r="AI1539" s="5">
        <v>13782.017</v>
      </c>
      <c r="AJ1539" s="5">
        <v>13782.017</v>
      </c>
      <c r="AK1539">
        <v>12800.178</v>
      </c>
      <c r="AL1539" s="5" t="str">
        <f t="shared" si="48"/>
        <v>Сосьвинский городской округ</v>
      </c>
    </row>
    <row r="1540" spans="1:38" ht="25.5" customHeight="1" x14ac:dyDescent="0.25">
      <c r="A1540" s="10" t="s">
        <v>1710</v>
      </c>
      <c r="B1540" s="11" t="s">
        <v>1395</v>
      </c>
      <c r="C1540" s="5">
        <v>27332.119299999998</v>
      </c>
      <c r="D1540" s="5">
        <v>27332.119299999998</v>
      </c>
      <c r="E1540" s="5">
        <v>24879.3747</v>
      </c>
      <c r="G1540" s="5" t="str">
        <f t="shared" ref="G1540:G1603" si="49">B1540</f>
        <v>СОВХОЗ ПЕРВОУРАЛЬСКИЙ</v>
      </c>
      <c r="J1540" s="5"/>
      <c r="AF1540" t="s">
        <v>7225</v>
      </c>
      <c r="AG1540" s="24" t="s">
        <v>6771</v>
      </c>
      <c r="AH1540" s="5" t="s">
        <v>7225</v>
      </c>
      <c r="AI1540" s="5">
        <v>13782.017</v>
      </c>
      <c r="AJ1540" s="5">
        <v>13782.017</v>
      </c>
      <c r="AK1540">
        <v>12800.178</v>
      </c>
      <c r="AL1540" s="5" t="str">
        <f t="shared" ref="AL1540:AL1603" si="50">AF1540</f>
        <v>Сосьвинский городской округ</v>
      </c>
    </row>
    <row r="1541" spans="1:38" ht="25.5" customHeight="1" x14ac:dyDescent="0.25">
      <c r="A1541" s="10" t="s">
        <v>1711</v>
      </c>
      <c r="B1541" s="11" t="s">
        <v>1395</v>
      </c>
      <c r="C1541" s="5">
        <v>27332.119299999998</v>
      </c>
      <c r="D1541" s="5">
        <v>27332.119299999998</v>
      </c>
      <c r="E1541" s="5">
        <v>24879.3747</v>
      </c>
      <c r="G1541" s="5" t="str">
        <f t="shared" si="49"/>
        <v>СОВХОЗ ПЕРВОУРАЛЬСКИЙ</v>
      </c>
      <c r="J1541" s="5"/>
      <c r="AF1541" t="s">
        <v>7225</v>
      </c>
      <c r="AG1541" s="24" t="s">
        <v>6772</v>
      </c>
      <c r="AH1541" s="5" t="s">
        <v>7225</v>
      </c>
      <c r="AI1541" s="5">
        <v>13782.017</v>
      </c>
      <c r="AJ1541" s="5">
        <v>13782.017</v>
      </c>
      <c r="AK1541">
        <v>12800.178</v>
      </c>
      <c r="AL1541" s="5" t="str">
        <f t="shared" si="50"/>
        <v>Сосьвинский городской округ</v>
      </c>
    </row>
    <row r="1542" spans="1:38" ht="25.5" customHeight="1" x14ac:dyDescent="0.25">
      <c r="A1542" s="10" t="s">
        <v>1712</v>
      </c>
      <c r="B1542" s="11" t="s">
        <v>1395</v>
      </c>
      <c r="C1542" s="5">
        <v>27332.119299999998</v>
      </c>
      <c r="D1542" s="5">
        <v>27332.119299999998</v>
      </c>
      <c r="E1542" s="5">
        <v>24879.3747</v>
      </c>
      <c r="G1542" s="5" t="str">
        <f t="shared" si="49"/>
        <v>СОВХОЗ ПЕРВОУРАЛЬСКИЙ</v>
      </c>
      <c r="J1542" s="5"/>
      <c r="AF1542" t="s">
        <v>7225</v>
      </c>
      <c r="AG1542" s="24" t="s">
        <v>6773</v>
      </c>
      <c r="AH1542" s="5" t="s">
        <v>7225</v>
      </c>
      <c r="AI1542" s="5">
        <v>13782.017</v>
      </c>
      <c r="AJ1542" s="5">
        <v>13782.017</v>
      </c>
      <c r="AK1542">
        <v>12800.178</v>
      </c>
      <c r="AL1542" s="5" t="str">
        <f t="shared" si="50"/>
        <v>Сосьвинский городской округ</v>
      </c>
    </row>
    <row r="1543" spans="1:38" ht="25.5" customHeight="1" x14ac:dyDescent="0.25">
      <c r="A1543" s="20" t="s">
        <v>1713</v>
      </c>
      <c r="B1543" s="22">
        <v>1003</v>
      </c>
      <c r="C1543" s="5">
        <v>21261.0285</v>
      </c>
      <c r="D1543" s="5">
        <v>21261.0285</v>
      </c>
      <c r="E1543" s="5">
        <v>20837.465199999999</v>
      </c>
      <c r="G1543" s="5">
        <f t="shared" si="49"/>
        <v>1003</v>
      </c>
      <c r="J1543" s="5"/>
      <c r="AF1543" t="s">
        <v>7225</v>
      </c>
      <c r="AG1543" s="24" t="s">
        <v>6774</v>
      </c>
      <c r="AH1543" s="5" t="s">
        <v>7225</v>
      </c>
      <c r="AI1543" s="5">
        <v>13782.017</v>
      </c>
      <c r="AJ1543" s="5">
        <v>13782.017</v>
      </c>
      <c r="AK1543">
        <v>12800.178</v>
      </c>
      <c r="AL1543" s="5" t="str">
        <f t="shared" si="50"/>
        <v>Сосьвинский городской округ</v>
      </c>
    </row>
    <row r="1544" spans="1:38" ht="25.5" customHeight="1" x14ac:dyDescent="0.25">
      <c r="A1544" s="20" t="s">
        <v>1714</v>
      </c>
      <c r="B1544" s="22">
        <v>1003</v>
      </c>
      <c r="C1544" s="5">
        <v>21261.0285</v>
      </c>
      <c r="D1544" s="5">
        <v>21261.0285</v>
      </c>
      <c r="E1544" s="5">
        <v>20837.465199999999</v>
      </c>
      <c r="G1544" s="5">
        <f t="shared" si="49"/>
        <v>1003</v>
      </c>
      <c r="J1544" s="5"/>
      <c r="AF1544" t="s">
        <v>7225</v>
      </c>
      <c r="AG1544" s="24" t="s">
        <v>6775</v>
      </c>
      <c r="AH1544" s="5" t="s">
        <v>7225</v>
      </c>
      <c r="AI1544" s="5">
        <v>13782.017</v>
      </c>
      <c r="AJ1544" s="5">
        <v>13782.017</v>
      </c>
      <c r="AK1544">
        <v>12800.178</v>
      </c>
      <c r="AL1544" s="5" t="str">
        <f t="shared" si="50"/>
        <v>Сосьвинский городской округ</v>
      </c>
    </row>
    <row r="1545" spans="1:38" ht="25.5" customHeight="1" x14ac:dyDescent="0.25">
      <c r="A1545" s="10" t="s">
        <v>1715</v>
      </c>
      <c r="B1545" s="11" t="s">
        <v>1699</v>
      </c>
      <c r="C1545" s="5">
        <v>34007.852099999996</v>
      </c>
      <c r="D1545" s="5">
        <v>34007.852099999996</v>
      </c>
      <c r="E1545" s="5">
        <v>30956.028900000001</v>
      </c>
      <c r="G1545" s="5" t="str">
        <f t="shared" si="49"/>
        <v>Шайтанка</v>
      </c>
      <c r="J1545" s="5"/>
      <c r="AF1545" t="s">
        <v>7225</v>
      </c>
      <c r="AG1545" s="24" t="s">
        <v>6776</v>
      </c>
      <c r="AH1545" s="5" t="s">
        <v>7225</v>
      </c>
      <c r="AI1545" s="5">
        <v>13782.017</v>
      </c>
      <c r="AJ1545" s="5">
        <v>13782.017</v>
      </c>
      <c r="AK1545">
        <v>12800.178</v>
      </c>
      <c r="AL1545" s="5" t="str">
        <f t="shared" si="50"/>
        <v>Сосьвинский городской округ</v>
      </c>
    </row>
    <row r="1546" spans="1:38" ht="25.5" customHeight="1" x14ac:dyDescent="0.25">
      <c r="A1546" s="10" t="s">
        <v>1716</v>
      </c>
      <c r="B1546" s="11" t="s">
        <v>1395</v>
      </c>
      <c r="C1546" s="5">
        <v>27332.119299999998</v>
      </c>
      <c r="D1546" s="5">
        <v>27332.119299999998</v>
      </c>
      <c r="E1546" s="5">
        <v>24879.3747</v>
      </c>
      <c r="G1546" s="5" t="str">
        <f t="shared" si="49"/>
        <v>СОВХОЗ ПЕРВОУРАЛЬСКИЙ</v>
      </c>
      <c r="J1546" s="5"/>
      <c r="AF1546" t="s">
        <v>7225</v>
      </c>
      <c r="AG1546" s="24" t="s">
        <v>6777</v>
      </c>
      <c r="AH1546" s="5" t="s">
        <v>7225</v>
      </c>
      <c r="AI1546" s="5">
        <v>13782.017</v>
      </c>
      <c r="AJ1546" s="5">
        <v>13782.017</v>
      </c>
      <c r="AK1546">
        <v>12800.178</v>
      </c>
      <c r="AL1546" s="5" t="str">
        <f t="shared" si="50"/>
        <v>Сосьвинский городской округ</v>
      </c>
    </row>
    <row r="1547" spans="1:38" ht="25.5" customHeight="1" x14ac:dyDescent="0.25">
      <c r="A1547" s="10" t="s">
        <v>1717</v>
      </c>
      <c r="B1547" s="11" t="s">
        <v>1696</v>
      </c>
      <c r="C1547" s="5">
        <v>36808.582300000002</v>
      </c>
      <c r="D1547" s="5">
        <v>36808.582300000002</v>
      </c>
      <c r="E1547" s="5">
        <v>33505.428800000002</v>
      </c>
      <c r="G1547" s="5" t="str">
        <f t="shared" si="49"/>
        <v>Талица</v>
      </c>
      <c r="J1547" s="5"/>
      <c r="AF1547" t="s">
        <v>7225</v>
      </c>
      <c r="AG1547" s="24" t="s">
        <v>6778</v>
      </c>
      <c r="AH1547" s="5" t="s">
        <v>7225</v>
      </c>
      <c r="AI1547" s="5">
        <v>13782.017</v>
      </c>
      <c r="AJ1547" s="5">
        <v>13782.017</v>
      </c>
      <c r="AK1547">
        <v>12800.178</v>
      </c>
      <c r="AL1547" s="5" t="str">
        <f t="shared" si="50"/>
        <v>Сосьвинский городской округ</v>
      </c>
    </row>
    <row r="1548" spans="1:38" ht="25.5" customHeight="1" x14ac:dyDescent="0.25">
      <c r="A1548" s="10" t="s">
        <v>1718</v>
      </c>
      <c r="B1548" s="11" t="s">
        <v>1395</v>
      </c>
      <c r="C1548" s="5">
        <v>27332.119299999998</v>
      </c>
      <c r="D1548" s="5">
        <v>27332.119299999998</v>
      </c>
      <c r="E1548" s="5">
        <v>24879.3747</v>
      </c>
      <c r="G1548" s="5" t="str">
        <f t="shared" si="49"/>
        <v>СОВХОЗ ПЕРВОУРАЛЬСКИЙ</v>
      </c>
      <c r="J1548" s="5"/>
      <c r="AF1548" t="s">
        <v>7225</v>
      </c>
      <c r="AG1548" s="24" t="s">
        <v>6779</v>
      </c>
      <c r="AH1548" s="5" t="s">
        <v>7225</v>
      </c>
      <c r="AI1548" s="5">
        <v>17028.007300000001</v>
      </c>
      <c r="AJ1548" s="5">
        <v>17028.007300000001</v>
      </c>
      <c r="AK1548">
        <v>15814.914199999999</v>
      </c>
      <c r="AL1548" s="5" t="str">
        <f t="shared" si="50"/>
        <v>Сосьвинский городской округ</v>
      </c>
    </row>
    <row r="1549" spans="1:38" ht="25.5" customHeight="1" x14ac:dyDescent="0.25">
      <c r="A1549" s="10" t="s">
        <v>1719</v>
      </c>
      <c r="B1549" s="11" t="s">
        <v>1395</v>
      </c>
      <c r="C1549" s="5">
        <v>27332.119299999998</v>
      </c>
      <c r="D1549" s="5">
        <v>27332.119299999998</v>
      </c>
      <c r="E1549" s="5">
        <v>24879.3747</v>
      </c>
      <c r="G1549" s="5" t="str">
        <f t="shared" si="49"/>
        <v>СОВХОЗ ПЕРВОУРАЛЬСКИЙ</v>
      </c>
      <c r="J1549" s="5"/>
      <c r="AF1549" t="s">
        <v>7225</v>
      </c>
      <c r="AG1549" s="24" t="s">
        <v>6780</v>
      </c>
      <c r="AH1549" s="5" t="s">
        <v>7225</v>
      </c>
      <c r="AI1549" s="5">
        <v>13782.017</v>
      </c>
      <c r="AJ1549" s="5">
        <v>13782.017</v>
      </c>
      <c r="AK1549">
        <v>12800.178</v>
      </c>
      <c r="AL1549" s="5" t="str">
        <f t="shared" si="50"/>
        <v>Сосьвинский городской округ</v>
      </c>
    </row>
    <row r="1550" spans="1:38" ht="25.5" customHeight="1" x14ac:dyDescent="0.25">
      <c r="A1550" s="10" t="s">
        <v>1720</v>
      </c>
      <c r="B1550" s="11" t="s">
        <v>1395</v>
      </c>
      <c r="C1550" s="5">
        <v>27332.119299999998</v>
      </c>
      <c r="D1550" s="5">
        <v>27332.119299999998</v>
      </c>
      <c r="E1550" s="5">
        <v>24879.3747</v>
      </c>
      <c r="G1550" s="5" t="str">
        <f t="shared" si="49"/>
        <v>СОВХОЗ ПЕРВОУРАЛЬСКИЙ</v>
      </c>
      <c r="J1550" s="5"/>
      <c r="AF1550" t="s">
        <v>7225</v>
      </c>
      <c r="AG1550" s="24" t="s">
        <v>6781</v>
      </c>
      <c r="AH1550" s="5" t="s">
        <v>7225</v>
      </c>
      <c r="AI1550" s="5">
        <v>13782.017</v>
      </c>
      <c r="AJ1550" s="5">
        <v>13782.017</v>
      </c>
      <c r="AK1550">
        <v>12800.178</v>
      </c>
      <c r="AL1550" s="5" t="str">
        <f t="shared" si="50"/>
        <v>Сосьвинский городской округ</v>
      </c>
    </row>
    <row r="1551" spans="1:38" ht="25.5" customHeight="1" x14ac:dyDescent="0.25">
      <c r="A1551" s="10" t="s">
        <v>1721</v>
      </c>
      <c r="B1551" s="11" t="s">
        <v>1699</v>
      </c>
      <c r="C1551" s="5">
        <v>34007.852099999996</v>
      </c>
      <c r="D1551" s="5">
        <v>34007.852099999996</v>
      </c>
      <c r="E1551" s="5">
        <v>30956.028900000001</v>
      </c>
      <c r="G1551" s="5" t="str">
        <f t="shared" si="49"/>
        <v>Шайтанка</v>
      </c>
      <c r="J1551" s="5"/>
      <c r="AF1551" t="s">
        <v>7225</v>
      </c>
      <c r="AG1551" s="24" t="s">
        <v>6782</v>
      </c>
      <c r="AH1551" s="5" t="s">
        <v>7225</v>
      </c>
      <c r="AI1551" s="5">
        <v>13782.017</v>
      </c>
      <c r="AJ1551" s="5">
        <v>13782.017</v>
      </c>
      <c r="AK1551">
        <v>12800.178</v>
      </c>
      <c r="AL1551" s="5" t="str">
        <f t="shared" si="50"/>
        <v>Сосьвинский городской округ</v>
      </c>
    </row>
    <row r="1552" spans="1:38" ht="25.5" customHeight="1" x14ac:dyDescent="0.25">
      <c r="A1552" s="10" t="s">
        <v>1722</v>
      </c>
      <c r="B1552" s="11" t="s">
        <v>1691</v>
      </c>
      <c r="C1552" s="5">
        <v>36244.5985</v>
      </c>
      <c r="D1552" s="5">
        <v>36244.5985</v>
      </c>
      <c r="E1552" s="5">
        <v>32992.053800000002</v>
      </c>
      <c r="G1552" s="5" t="str">
        <f t="shared" si="49"/>
        <v>ДинСанПод</v>
      </c>
      <c r="J1552" s="5"/>
      <c r="AF1552" t="s">
        <v>7225</v>
      </c>
      <c r="AG1552" s="24" t="s">
        <v>6783</v>
      </c>
      <c r="AH1552" s="5" t="s">
        <v>7225</v>
      </c>
      <c r="AI1552" s="5">
        <v>13782.017</v>
      </c>
      <c r="AJ1552" s="5">
        <v>13782.017</v>
      </c>
      <c r="AK1552">
        <v>12800.178</v>
      </c>
      <c r="AL1552" s="5" t="str">
        <f t="shared" si="50"/>
        <v>Сосьвинский городской округ</v>
      </c>
    </row>
    <row r="1553" spans="1:38" ht="25.5" customHeight="1" x14ac:dyDescent="0.25">
      <c r="A1553" s="10" t="s">
        <v>1723</v>
      </c>
      <c r="B1553" s="11" t="s">
        <v>1395</v>
      </c>
      <c r="C1553" s="5">
        <v>27332.119299999998</v>
      </c>
      <c r="D1553" s="5">
        <v>27332.119299999998</v>
      </c>
      <c r="E1553" s="5">
        <v>24879.3747</v>
      </c>
      <c r="G1553" s="5" t="str">
        <f t="shared" si="49"/>
        <v>СОВХОЗ ПЕРВОУРАЛЬСКИЙ</v>
      </c>
      <c r="J1553" s="5"/>
      <c r="AF1553" t="s">
        <v>7225</v>
      </c>
      <c r="AG1553" s="24" t="s">
        <v>6784</v>
      </c>
      <c r="AH1553" s="5" t="s">
        <v>7225</v>
      </c>
      <c r="AI1553" s="5">
        <v>13782.017</v>
      </c>
      <c r="AJ1553" s="5">
        <v>13782.017</v>
      </c>
      <c r="AK1553">
        <v>12800.178</v>
      </c>
      <c r="AL1553" s="5" t="str">
        <f t="shared" si="50"/>
        <v>Сосьвинский городской округ</v>
      </c>
    </row>
    <row r="1554" spans="1:38" ht="25.5" customHeight="1" x14ac:dyDescent="0.25">
      <c r="A1554" s="10" t="s">
        <v>1724</v>
      </c>
      <c r="B1554" s="11" t="s">
        <v>1395</v>
      </c>
      <c r="C1554" s="5">
        <v>27332.119299999998</v>
      </c>
      <c r="D1554" s="5">
        <v>27332.119299999998</v>
      </c>
      <c r="E1554" s="5">
        <v>24879.3747</v>
      </c>
      <c r="G1554" s="5" t="str">
        <f t="shared" si="49"/>
        <v>СОВХОЗ ПЕРВОУРАЛЬСКИЙ</v>
      </c>
      <c r="J1554" s="5"/>
      <c r="AF1554" t="s">
        <v>7225</v>
      </c>
      <c r="AG1554" s="24" t="s">
        <v>6785</v>
      </c>
      <c r="AH1554" s="5" t="s">
        <v>7225</v>
      </c>
      <c r="AI1554" s="5">
        <v>13782.017</v>
      </c>
      <c r="AJ1554" s="5">
        <v>13782.017</v>
      </c>
      <c r="AK1554">
        <v>12800.178</v>
      </c>
      <c r="AL1554" s="5" t="str">
        <f t="shared" si="50"/>
        <v>Сосьвинский городской округ</v>
      </c>
    </row>
    <row r="1555" spans="1:38" ht="25.5" customHeight="1" x14ac:dyDescent="0.25">
      <c r="A1555" s="10" t="s">
        <v>1725</v>
      </c>
      <c r="B1555" s="11" t="s">
        <v>1395</v>
      </c>
      <c r="C1555" s="5">
        <v>27332.119299999998</v>
      </c>
      <c r="D1555" s="5">
        <v>27332.119299999998</v>
      </c>
      <c r="E1555" s="5">
        <v>24879.3747</v>
      </c>
      <c r="G1555" s="5" t="str">
        <f t="shared" si="49"/>
        <v>СОВХОЗ ПЕРВОУРАЛЬСКИЙ</v>
      </c>
      <c r="J1555" s="5"/>
      <c r="AF1555" t="s">
        <v>7226</v>
      </c>
      <c r="AG1555" s="24" t="s">
        <v>6786</v>
      </c>
      <c r="AH1555" s="5" t="s">
        <v>7226</v>
      </c>
      <c r="AI1555" s="5">
        <v>36346.662499999999</v>
      </c>
      <c r="AJ1555" s="5">
        <v>36346.662499999999</v>
      </c>
      <c r="AK1555">
        <v>33757.306199999999</v>
      </c>
      <c r="AL1555" s="5" t="str">
        <f t="shared" si="50"/>
        <v>Сысертский городской округ</v>
      </c>
    </row>
    <row r="1556" spans="1:38" ht="25.5" customHeight="1" x14ac:dyDescent="0.25">
      <c r="A1556" s="20" t="s">
        <v>1619</v>
      </c>
      <c r="B1556" s="22" t="s">
        <v>7240</v>
      </c>
      <c r="C1556" s="5">
        <v>21261.0285</v>
      </c>
      <c r="D1556" s="5">
        <v>21261.0285</v>
      </c>
      <c r="E1556" s="5">
        <v>20837.465199999999</v>
      </c>
      <c r="G1556" s="5" t="str">
        <f t="shared" si="49"/>
        <v>п.Чащино</v>
      </c>
      <c r="J1556" s="5"/>
      <c r="AF1556" t="s">
        <v>7226</v>
      </c>
      <c r="AG1556" s="24" t="s">
        <v>6787</v>
      </c>
      <c r="AH1556" s="5" t="s">
        <v>7226</v>
      </c>
      <c r="AI1556" s="5">
        <v>36346.662499999999</v>
      </c>
      <c r="AJ1556" s="5">
        <v>36346.662499999999</v>
      </c>
      <c r="AK1556">
        <v>33757.306199999999</v>
      </c>
      <c r="AL1556" s="5" t="str">
        <f t="shared" si="50"/>
        <v>Сысертский городской округ</v>
      </c>
    </row>
    <row r="1557" spans="1:38" ht="25.5" customHeight="1" x14ac:dyDescent="0.25">
      <c r="A1557" s="10" t="s">
        <v>1356</v>
      </c>
      <c r="B1557" s="11" t="s">
        <v>7242</v>
      </c>
      <c r="C1557" s="5">
        <v>27104.663700000001</v>
      </c>
      <c r="D1557" s="5">
        <v>27104.663700000001</v>
      </c>
      <c r="E1557" s="5">
        <v>26564.688900000001</v>
      </c>
      <c r="G1557" s="5" t="str">
        <f t="shared" si="49"/>
        <v>КК возле Первоуральска которые должны считаться как область</v>
      </c>
      <c r="AF1557" t="s">
        <v>7226</v>
      </c>
      <c r="AG1557" s="24" t="s">
        <v>6788</v>
      </c>
      <c r="AH1557" s="5" t="s">
        <v>7226</v>
      </c>
      <c r="AI1557" s="5">
        <v>36346.662499999999</v>
      </c>
      <c r="AJ1557" s="5">
        <v>36346.662499999999</v>
      </c>
      <c r="AK1557">
        <v>33757.306199999999</v>
      </c>
      <c r="AL1557" s="5" t="str">
        <f t="shared" si="50"/>
        <v>Сысертский городской округ</v>
      </c>
    </row>
    <row r="1558" spans="1:38" ht="25.5" customHeight="1" x14ac:dyDescent="0.25">
      <c r="A1558" s="10" t="s">
        <v>1726</v>
      </c>
      <c r="B1558" s="11" t="s">
        <v>1691</v>
      </c>
      <c r="C1558" s="5">
        <v>36244.5985</v>
      </c>
      <c r="D1558" s="5">
        <v>36244.5985</v>
      </c>
      <c r="E1558" s="5">
        <v>32992.053800000002</v>
      </c>
      <c r="G1558" s="5" t="str">
        <f t="shared" si="49"/>
        <v>ДинСанПод</v>
      </c>
      <c r="J1558" s="5"/>
      <c r="AF1558" t="s">
        <v>7226</v>
      </c>
      <c r="AG1558" s="24" t="s">
        <v>6789</v>
      </c>
      <c r="AH1558" s="5" t="s">
        <v>7226</v>
      </c>
      <c r="AI1558" s="5">
        <v>36346.662499999999</v>
      </c>
      <c r="AJ1558" s="5">
        <v>36346.662499999999</v>
      </c>
      <c r="AK1558">
        <v>33757.306199999999</v>
      </c>
      <c r="AL1558" s="5" t="str">
        <f t="shared" si="50"/>
        <v>Сысертский городской округ</v>
      </c>
    </row>
    <row r="1559" spans="1:38" ht="25.5" customHeight="1" x14ac:dyDescent="0.25">
      <c r="A1559" s="20" t="s">
        <v>1727</v>
      </c>
      <c r="B1559" s="22">
        <v>1003</v>
      </c>
      <c r="C1559" s="5">
        <v>21261.0285</v>
      </c>
      <c r="D1559" s="5">
        <v>21261.0285</v>
      </c>
      <c r="E1559" s="5">
        <v>20837.465199999999</v>
      </c>
      <c r="G1559" s="5">
        <f t="shared" si="49"/>
        <v>1003</v>
      </c>
      <c r="J1559" s="5"/>
      <c r="AF1559" t="s">
        <v>7226</v>
      </c>
      <c r="AG1559" s="24" t="s">
        <v>6790</v>
      </c>
      <c r="AH1559" s="5" t="s">
        <v>7226</v>
      </c>
      <c r="AI1559" s="5">
        <v>36346.662499999999</v>
      </c>
      <c r="AJ1559" s="5">
        <v>36346.662499999999</v>
      </c>
      <c r="AK1559">
        <v>33757.306199999999</v>
      </c>
      <c r="AL1559" s="5" t="str">
        <f t="shared" si="50"/>
        <v>Сысертский городской округ</v>
      </c>
    </row>
    <row r="1560" spans="1:38" ht="25.5" customHeight="1" x14ac:dyDescent="0.25">
      <c r="A1560" s="10" t="s">
        <v>1728</v>
      </c>
      <c r="B1560" s="11" t="s">
        <v>1395</v>
      </c>
      <c r="C1560" s="5">
        <v>27332.119299999998</v>
      </c>
      <c r="D1560" s="5">
        <v>27332.119299999998</v>
      </c>
      <c r="E1560" s="5">
        <v>24879.3747</v>
      </c>
      <c r="G1560" s="5" t="str">
        <f t="shared" si="49"/>
        <v>СОВХОЗ ПЕРВОУРАЛЬСКИЙ</v>
      </c>
      <c r="J1560" s="5"/>
      <c r="AF1560" t="s">
        <v>7226</v>
      </c>
      <c r="AG1560" s="24" t="s">
        <v>6791</v>
      </c>
      <c r="AH1560" s="5" t="s">
        <v>7226</v>
      </c>
      <c r="AI1560" s="5">
        <v>37257.083500000001</v>
      </c>
      <c r="AJ1560" s="5">
        <v>37257.083500000001</v>
      </c>
      <c r="AK1560">
        <v>34602.863799999999</v>
      </c>
      <c r="AL1560" s="5" t="str">
        <f t="shared" si="50"/>
        <v>Сысертский городской округ</v>
      </c>
    </row>
    <row r="1561" spans="1:38" ht="25.5" customHeight="1" x14ac:dyDescent="0.25">
      <c r="A1561" s="10" t="s">
        <v>1729</v>
      </c>
      <c r="B1561" s="11" t="s">
        <v>1699</v>
      </c>
      <c r="C1561" s="5">
        <v>34007.852099999996</v>
      </c>
      <c r="D1561" s="5">
        <v>34007.852099999996</v>
      </c>
      <c r="E1561" s="5">
        <v>30956.028900000001</v>
      </c>
      <c r="G1561" s="5" t="str">
        <f t="shared" si="49"/>
        <v>Шайтанка</v>
      </c>
      <c r="J1561" s="5"/>
      <c r="AF1561" t="s">
        <v>7226</v>
      </c>
      <c r="AG1561" s="24" t="s">
        <v>6792</v>
      </c>
      <c r="AH1561" s="5" t="s">
        <v>7226</v>
      </c>
      <c r="AI1561" s="5">
        <v>37257.083500000001</v>
      </c>
      <c r="AJ1561" s="5">
        <v>37257.083500000001</v>
      </c>
      <c r="AK1561">
        <v>34602.863799999999</v>
      </c>
      <c r="AL1561" s="5" t="str">
        <f t="shared" si="50"/>
        <v>Сысертский городской округ</v>
      </c>
    </row>
    <row r="1562" spans="1:38" ht="25.5" customHeight="1" x14ac:dyDescent="0.25">
      <c r="A1562" s="20" t="s">
        <v>1730</v>
      </c>
      <c r="B1562" s="22">
        <v>1003</v>
      </c>
      <c r="C1562" s="5">
        <v>21261.0285</v>
      </c>
      <c r="D1562" s="5">
        <v>21261.0285</v>
      </c>
      <c r="E1562" s="5">
        <v>20837.465199999999</v>
      </c>
      <c r="G1562" s="5">
        <f t="shared" si="49"/>
        <v>1003</v>
      </c>
      <c r="J1562" s="5"/>
      <c r="AF1562" t="s">
        <v>7226</v>
      </c>
      <c r="AG1562" s="24" t="s">
        <v>6793</v>
      </c>
      <c r="AH1562" s="5" t="s">
        <v>7226</v>
      </c>
      <c r="AI1562" s="5">
        <v>37257.083500000001</v>
      </c>
      <c r="AJ1562" s="5">
        <v>37257.083500000001</v>
      </c>
      <c r="AK1562">
        <v>34602.863799999999</v>
      </c>
      <c r="AL1562" s="5" t="str">
        <f t="shared" si="50"/>
        <v>Сысертский городской округ</v>
      </c>
    </row>
    <row r="1563" spans="1:38" ht="25.5" customHeight="1" x14ac:dyDescent="0.25">
      <c r="A1563" s="10" t="s">
        <v>1731</v>
      </c>
      <c r="B1563" s="11" t="s">
        <v>1699</v>
      </c>
      <c r="C1563" s="5">
        <v>34007.852099999996</v>
      </c>
      <c r="D1563" s="5">
        <v>34007.852099999996</v>
      </c>
      <c r="E1563" s="5">
        <v>30956.028900000001</v>
      </c>
      <c r="G1563" s="5" t="str">
        <f t="shared" si="49"/>
        <v>Шайтанка</v>
      </c>
      <c r="J1563" s="5"/>
      <c r="AF1563" t="s">
        <v>7226</v>
      </c>
      <c r="AG1563" s="24" t="s">
        <v>6794</v>
      </c>
      <c r="AH1563" s="5" t="s">
        <v>7226</v>
      </c>
      <c r="AI1563" s="5">
        <v>37257.083500000001</v>
      </c>
      <c r="AJ1563" s="5">
        <v>37257.083500000001</v>
      </c>
      <c r="AK1563">
        <v>34602.863799999999</v>
      </c>
      <c r="AL1563" s="5" t="str">
        <f t="shared" si="50"/>
        <v>Сысертский городской округ</v>
      </c>
    </row>
    <row r="1564" spans="1:38" ht="25.5" customHeight="1" x14ac:dyDescent="0.25">
      <c r="A1564" s="10" t="s">
        <v>1732</v>
      </c>
      <c r="B1564" s="11" t="s">
        <v>1395</v>
      </c>
      <c r="C1564" s="5">
        <v>27332.119299999998</v>
      </c>
      <c r="D1564" s="5">
        <v>27332.119299999998</v>
      </c>
      <c r="E1564" s="5">
        <v>24879.3747</v>
      </c>
      <c r="G1564" s="5" t="str">
        <f t="shared" si="49"/>
        <v>СОВХОЗ ПЕРВОУРАЛЬСКИЙ</v>
      </c>
      <c r="J1564" s="5"/>
      <c r="AF1564" t="s">
        <v>7226</v>
      </c>
      <c r="AG1564" s="24" t="s">
        <v>6795</v>
      </c>
      <c r="AH1564" s="5" t="s">
        <v>7226</v>
      </c>
      <c r="AI1564" s="5">
        <v>36346.662499999999</v>
      </c>
      <c r="AJ1564" s="5">
        <v>36346.662499999999</v>
      </c>
      <c r="AK1564">
        <v>33757.306199999999</v>
      </c>
      <c r="AL1564" s="5" t="str">
        <f t="shared" si="50"/>
        <v>Сысертский городской округ</v>
      </c>
    </row>
    <row r="1565" spans="1:38" ht="25.5" customHeight="1" x14ac:dyDescent="0.25">
      <c r="A1565" s="10" t="s">
        <v>1733</v>
      </c>
      <c r="B1565" s="11" t="s">
        <v>1691</v>
      </c>
      <c r="C1565" s="5">
        <v>36244.5985</v>
      </c>
      <c r="D1565" s="5">
        <v>36244.5985</v>
      </c>
      <c r="E1565" s="5">
        <v>32992.053800000002</v>
      </c>
      <c r="G1565" s="5" t="str">
        <f t="shared" si="49"/>
        <v>ДинСанПод</v>
      </c>
      <c r="J1565" s="5"/>
      <c r="AF1565" t="s">
        <v>7226</v>
      </c>
      <c r="AG1565" s="24" t="s">
        <v>6796</v>
      </c>
      <c r="AH1565" s="5" t="s">
        <v>7226</v>
      </c>
      <c r="AI1565" s="5">
        <v>37257.083500000001</v>
      </c>
      <c r="AJ1565" s="5">
        <v>37257.083500000001</v>
      </c>
      <c r="AK1565">
        <v>34602.863799999999</v>
      </c>
      <c r="AL1565" s="5" t="str">
        <f t="shared" si="50"/>
        <v>Сысертский городской округ</v>
      </c>
    </row>
    <row r="1566" spans="1:38" ht="25.5" customHeight="1" x14ac:dyDescent="0.25">
      <c r="A1566" s="10" t="s">
        <v>1734</v>
      </c>
      <c r="B1566" s="11" t="s">
        <v>1395</v>
      </c>
      <c r="C1566" s="5">
        <v>27332.119299999998</v>
      </c>
      <c r="D1566" s="5">
        <v>27332.119299999998</v>
      </c>
      <c r="E1566" s="5">
        <v>24879.3747</v>
      </c>
      <c r="G1566" s="5" t="str">
        <f t="shared" si="49"/>
        <v>СОВХОЗ ПЕРВОУРАЛЬСКИЙ</v>
      </c>
      <c r="J1566" s="5"/>
      <c r="AF1566" t="s">
        <v>7226</v>
      </c>
      <c r="AG1566" s="24" t="s">
        <v>6797</v>
      </c>
      <c r="AH1566" s="5" t="s">
        <v>7226</v>
      </c>
      <c r="AI1566" s="5">
        <v>36346.662499999999</v>
      </c>
      <c r="AJ1566" s="5">
        <v>36346.662499999999</v>
      </c>
      <c r="AK1566">
        <v>33757.306199999999</v>
      </c>
      <c r="AL1566" s="5" t="str">
        <f t="shared" si="50"/>
        <v>Сысертский городской округ</v>
      </c>
    </row>
    <row r="1567" spans="1:38" ht="25.5" customHeight="1" x14ac:dyDescent="0.25">
      <c r="A1567" s="10" t="s">
        <v>1735</v>
      </c>
      <c r="B1567" s="11" t="s">
        <v>1395</v>
      </c>
      <c r="C1567" s="5">
        <v>27332.119299999998</v>
      </c>
      <c r="D1567" s="5">
        <v>27332.119299999998</v>
      </c>
      <c r="E1567" s="5">
        <v>24879.3747</v>
      </c>
      <c r="G1567" s="5" t="str">
        <f t="shared" si="49"/>
        <v>СОВХОЗ ПЕРВОУРАЛЬСКИЙ</v>
      </c>
      <c r="J1567" s="5"/>
      <c r="AF1567" t="s">
        <v>7226</v>
      </c>
      <c r="AG1567" s="24" t="s">
        <v>6798</v>
      </c>
      <c r="AH1567" s="5" t="s">
        <v>7226</v>
      </c>
      <c r="AI1567" s="5">
        <v>36346.662499999999</v>
      </c>
      <c r="AJ1567" s="5">
        <v>36346.662499999999</v>
      </c>
      <c r="AK1567">
        <v>33757.306199999999</v>
      </c>
      <c r="AL1567" s="5" t="str">
        <f t="shared" si="50"/>
        <v>Сысертский городской округ</v>
      </c>
    </row>
    <row r="1568" spans="1:38" ht="25.5" customHeight="1" x14ac:dyDescent="0.25">
      <c r="A1568" s="10" t="s">
        <v>1736</v>
      </c>
      <c r="B1568" s="11" t="s">
        <v>1699</v>
      </c>
      <c r="C1568" s="5">
        <v>34007.852099999996</v>
      </c>
      <c r="D1568" s="5">
        <v>34007.852099999996</v>
      </c>
      <c r="E1568" s="5">
        <v>30956.028900000001</v>
      </c>
      <c r="G1568" s="5" t="str">
        <f t="shared" si="49"/>
        <v>Шайтанка</v>
      </c>
      <c r="J1568" s="5"/>
      <c r="AF1568" t="s">
        <v>7226</v>
      </c>
      <c r="AG1568" s="24" t="s">
        <v>6799</v>
      </c>
      <c r="AH1568" s="5" t="s">
        <v>7226</v>
      </c>
      <c r="AI1568" s="5">
        <v>37257.083500000001</v>
      </c>
      <c r="AJ1568" s="5">
        <v>37257.083500000001</v>
      </c>
      <c r="AK1568">
        <v>34602.863799999999</v>
      </c>
      <c r="AL1568" s="5" t="str">
        <f t="shared" si="50"/>
        <v>Сысертский городской округ</v>
      </c>
    </row>
    <row r="1569" spans="1:38" ht="25.5" customHeight="1" x14ac:dyDescent="0.25">
      <c r="A1569" s="10" t="s">
        <v>1737</v>
      </c>
      <c r="B1569" s="11" t="s">
        <v>1691</v>
      </c>
      <c r="C1569" s="5">
        <v>36244.5985</v>
      </c>
      <c r="D1569" s="5">
        <v>36244.5985</v>
      </c>
      <c r="E1569" s="5">
        <v>32992.053800000002</v>
      </c>
      <c r="G1569" s="5" t="str">
        <f t="shared" si="49"/>
        <v>ДинСанПод</v>
      </c>
      <c r="J1569" s="5"/>
      <c r="AF1569" t="s">
        <v>7226</v>
      </c>
      <c r="AG1569" s="24" t="s">
        <v>6800</v>
      </c>
      <c r="AH1569" s="5" t="s">
        <v>7226</v>
      </c>
      <c r="AI1569" s="5">
        <v>36346.662499999999</v>
      </c>
      <c r="AJ1569" s="5">
        <v>36346.662499999999</v>
      </c>
      <c r="AK1569">
        <v>33757.306199999999</v>
      </c>
      <c r="AL1569" s="5" t="str">
        <f t="shared" si="50"/>
        <v>Сысертский городской округ</v>
      </c>
    </row>
    <row r="1570" spans="1:38" ht="25.5" customHeight="1" x14ac:dyDescent="0.25">
      <c r="A1570" s="20" t="s">
        <v>1738</v>
      </c>
      <c r="B1570" s="22">
        <v>1003</v>
      </c>
      <c r="C1570" s="5">
        <v>21261.0285</v>
      </c>
      <c r="D1570" s="5">
        <v>21261.0285</v>
      </c>
      <c r="E1570" s="5">
        <v>20837.465199999999</v>
      </c>
      <c r="G1570" s="5">
        <f t="shared" si="49"/>
        <v>1003</v>
      </c>
      <c r="J1570" s="5"/>
      <c r="AF1570" t="s">
        <v>7226</v>
      </c>
      <c r="AG1570" s="24" t="s">
        <v>6801</v>
      </c>
      <c r="AH1570" s="5" t="s">
        <v>7226</v>
      </c>
      <c r="AI1570" s="5">
        <v>36346.662499999999</v>
      </c>
      <c r="AJ1570" s="5">
        <v>36346.662499999999</v>
      </c>
      <c r="AK1570">
        <v>33757.306199999999</v>
      </c>
      <c r="AL1570" s="5" t="str">
        <f t="shared" si="50"/>
        <v>Сысертский городской округ</v>
      </c>
    </row>
    <row r="1571" spans="1:38" ht="25.5" customHeight="1" x14ac:dyDescent="0.25">
      <c r="A1571" s="10" t="s">
        <v>1739</v>
      </c>
      <c r="B1571" s="11" t="s">
        <v>1699</v>
      </c>
      <c r="C1571" s="5">
        <v>34007.852099999996</v>
      </c>
      <c r="D1571" s="5">
        <v>34007.852099999996</v>
      </c>
      <c r="E1571" s="5">
        <v>30956.028900000001</v>
      </c>
      <c r="G1571" s="5" t="str">
        <f t="shared" si="49"/>
        <v>Шайтанка</v>
      </c>
      <c r="J1571" s="5"/>
      <c r="AF1571" t="s">
        <v>7226</v>
      </c>
      <c r="AG1571" s="24" t="s">
        <v>6802</v>
      </c>
      <c r="AH1571" s="5" t="s">
        <v>7226</v>
      </c>
      <c r="AI1571" s="5">
        <v>37257.083500000001</v>
      </c>
      <c r="AJ1571" s="5">
        <v>37257.083500000001</v>
      </c>
      <c r="AK1571">
        <v>34602.863799999999</v>
      </c>
      <c r="AL1571" s="5" t="str">
        <f t="shared" si="50"/>
        <v>Сысертский городской округ</v>
      </c>
    </row>
    <row r="1572" spans="1:38" ht="25.5" customHeight="1" x14ac:dyDescent="0.25">
      <c r="A1572" s="10" t="s">
        <v>1740</v>
      </c>
      <c r="B1572" s="11" t="s">
        <v>1395</v>
      </c>
      <c r="C1572" s="5">
        <v>27332.119299999998</v>
      </c>
      <c r="D1572" s="5">
        <v>27332.119299999998</v>
      </c>
      <c r="E1572" s="5">
        <v>24879.3747</v>
      </c>
      <c r="G1572" s="5" t="str">
        <f t="shared" si="49"/>
        <v>СОВХОЗ ПЕРВОУРАЛЬСКИЙ</v>
      </c>
      <c r="J1572" s="5"/>
      <c r="AF1572" t="s">
        <v>7226</v>
      </c>
      <c r="AG1572" s="24" t="s">
        <v>6803</v>
      </c>
      <c r="AH1572" s="5" t="s">
        <v>7226</v>
      </c>
      <c r="AI1572" s="5">
        <v>36346.662499999999</v>
      </c>
      <c r="AJ1572" s="5">
        <v>36346.662499999999</v>
      </c>
      <c r="AK1572">
        <v>33757.306199999999</v>
      </c>
      <c r="AL1572" s="5" t="str">
        <f t="shared" si="50"/>
        <v>Сысертский городской округ</v>
      </c>
    </row>
    <row r="1573" spans="1:38" ht="25.5" customHeight="1" x14ac:dyDescent="0.25">
      <c r="A1573" s="10" t="s">
        <v>1741</v>
      </c>
      <c r="B1573" s="11" t="s">
        <v>1691</v>
      </c>
      <c r="C1573" s="5">
        <v>36244.5985</v>
      </c>
      <c r="D1573" s="5">
        <v>36244.5985</v>
      </c>
      <c r="E1573" s="5">
        <v>32992.053800000002</v>
      </c>
      <c r="G1573" s="5" t="str">
        <f t="shared" si="49"/>
        <v>ДинСанПод</v>
      </c>
      <c r="J1573" s="5"/>
      <c r="AF1573" t="s">
        <v>7226</v>
      </c>
      <c r="AG1573" s="24" t="s">
        <v>6804</v>
      </c>
      <c r="AH1573" s="5" t="s">
        <v>7226</v>
      </c>
      <c r="AI1573" s="5">
        <v>36346.662499999999</v>
      </c>
      <c r="AJ1573" s="5">
        <v>36346.662499999999</v>
      </c>
      <c r="AK1573">
        <v>33757.306199999999</v>
      </c>
      <c r="AL1573" s="5" t="str">
        <f t="shared" si="50"/>
        <v>Сысертский городской округ</v>
      </c>
    </row>
    <row r="1574" spans="1:38" ht="25.5" customHeight="1" x14ac:dyDescent="0.25">
      <c r="A1574" s="20" t="s">
        <v>1742</v>
      </c>
      <c r="B1574" s="22">
        <v>1003</v>
      </c>
      <c r="C1574" s="5">
        <v>21261.0285</v>
      </c>
      <c r="D1574" s="5">
        <v>21261.0285</v>
      </c>
      <c r="E1574" s="5">
        <v>20837.465199999999</v>
      </c>
      <c r="G1574" s="5">
        <f t="shared" si="49"/>
        <v>1003</v>
      </c>
      <c r="J1574" s="5"/>
      <c r="AF1574" t="s">
        <v>7226</v>
      </c>
      <c r="AG1574" s="24" t="s">
        <v>6805</v>
      </c>
      <c r="AH1574" s="5" t="s">
        <v>7226</v>
      </c>
      <c r="AI1574" s="5">
        <v>36346.662499999999</v>
      </c>
      <c r="AJ1574" s="5">
        <v>36346.662499999999</v>
      </c>
      <c r="AK1574">
        <v>33757.306199999999</v>
      </c>
      <c r="AL1574" s="5" t="str">
        <f t="shared" si="50"/>
        <v>Сысертский городской округ</v>
      </c>
    </row>
    <row r="1575" spans="1:38" ht="25.5" customHeight="1" x14ac:dyDescent="0.25">
      <c r="A1575" s="20" t="s">
        <v>1743</v>
      </c>
      <c r="B1575" s="22">
        <v>1003</v>
      </c>
      <c r="C1575" s="5">
        <v>21261.0285</v>
      </c>
      <c r="D1575" s="5">
        <v>21261.0285</v>
      </c>
      <c r="E1575" s="5">
        <v>20837.465199999999</v>
      </c>
      <c r="G1575" s="5">
        <f t="shared" si="49"/>
        <v>1003</v>
      </c>
      <c r="J1575" s="5"/>
      <c r="AF1575" t="s">
        <v>7226</v>
      </c>
      <c r="AG1575" s="24" t="s">
        <v>6806</v>
      </c>
      <c r="AH1575" s="5" t="s">
        <v>7226</v>
      </c>
      <c r="AI1575" s="5">
        <v>36346.662499999999</v>
      </c>
      <c r="AJ1575" s="5">
        <v>36346.662499999999</v>
      </c>
      <c r="AK1575">
        <v>33757.306199999999</v>
      </c>
      <c r="AL1575" s="5" t="str">
        <f t="shared" si="50"/>
        <v>Сысертский городской округ</v>
      </c>
    </row>
    <row r="1576" spans="1:38" ht="25.5" customHeight="1" x14ac:dyDescent="0.25">
      <c r="A1576" s="10" t="s">
        <v>1744</v>
      </c>
      <c r="B1576" s="11" t="s">
        <v>1395</v>
      </c>
      <c r="C1576" s="5">
        <v>27332.119299999998</v>
      </c>
      <c r="D1576" s="5">
        <v>27332.119299999998</v>
      </c>
      <c r="E1576" s="5">
        <v>24879.3747</v>
      </c>
      <c r="G1576" s="5" t="str">
        <f t="shared" si="49"/>
        <v>СОВХОЗ ПЕРВОУРАЛЬСКИЙ</v>
      </c>
      <c r="J1576" s="5"/>
      <c r="AF1576" t="s">
        <v>7226</v>
      </c>
      <c r="AG1576" s="24" t="s">
        <v>6807</v>
      </c>
      <c r="AH1576" s="5" t="s">
        <v>7226</v>
      </c>
      <c r="AI1576" s="5">
        <v>36346.662499999999</v>
      </c>
      <c r="AJ1576" s="5">
        <v>36346.662499999999</v>
      </c>
      <c r="AK1576">
        <v>33757.306199999999</v>
      </c>
      <c r="AL1576" s="5" t="str">
        <f t="shared" si="50"/>
        <v>Сысертский городской округ</v>
      </c>
    </row>
    <row r="1577" spans="1:38" ht="25.5" customHeight="1" x14ac:dyDescent="0.25">
      <c r="A1577" s="10" t="s">
        <v>1745</v>
      </c>
      <c r="B1577" s="11" t="s">
        <v>1395</v>
      </c>
      <c r="C1577" s="5">
        <v>27332.119299999998</v>
      </c>
      <c r="D1577" s="5">
        <v>27332.119299999998</v>
      </c>
      <c r="E1577" s="5">
        <v>24879.3747</v>
      </c>
      <c r="G1577" s="5" t="str">
        <f t="shared" si="49"/>
        <v>СОВХОЗ ПЕРВОУРАЛЬСКИЙ</v>
      </c>
      <c r="J1577" s="5"/>
      <c r="AF1577" t="s">
        <v>7226</v>
      </c>
      <c r="AG1577" s="24" t="s">
        <v>6808</v>
      </c>
      <c r="AH1577" s="5" t="s">
        <v>7226</v>
      </c>
      <c r="AI1577" s="5">
        <v>36346.662499999999</v>
      </c>
      <c r="AJ1577" s="5">
        <v>36346.662499999999</v>
      </c>
      <c r="AK1577">
        <v>33757.306199999999</v>
      </c>
      <c r="AL1577" s="5" t="str">
        <f t="shared" si="50"/>
        <v>Сысертский городской округ</v>
      </c>
    </row>
    <row r="1578" spans="1:38" ht="25.5" customHeight="1" x14ac:dyDescent="0.25">
      <c r="A1578" s="10" t="s">
        <v>1746</v>
      </c>
      <c r="B1578" s="11" t="s">
        <v>1699</v>
      </c>
      <c r="C1578" s="5">
        <v>34007.852099999996</v>
      </c>
      <c r="D1578" s="5">
        <v>34007.852099999996</v>
      </c>
      <c r="E1578" s="5">
        <v>30956.028900000001</v>
      </c>
      <c r="G1578" s="5" t="str">
        <f t="shared" si="49"/>
        <v>Шайтанка</v>
      </c>
      <c r="J1578" s="5"/>
      <c r="AF1578" t="s">
        <v>7226</v>
      </c>
      <c r="AG1578" s="24" t="s">
        <v>6809</v>
      </c>
      <c r="AH1578" s="5" t="s">
        <v>7226</v>
      </c>
      <c r="AI1578" s="5">
        <v>37257.083500000001</v>
      </c>
      <c r="AJ1578" s="5">
        <v>37257.083500000001</v>
      </c>
      <c r="AK1578">
        <v>34602.863799999999</v>
      </c>
      <c r="AL1578" s="5" t="str">
        <f t="shared" si="50"/>
        <v>Сысертский городской округ</v>
      </c>
    </row>
    <row r="1579" spans="1:38" ht="25.5" customHeight="1" x14ac:dyDescent="0.25">
      <c r="A1579" s="10" t="s">
        <v>1747</v>
      </c>
      <c r="B1579" s="11" t="s">
        <v>1699</v>
      </c>
      <c r="C1579" s="5">
        <v>34007.852099999996</v>
      </c>
      <c r="D1579" s="5">
        <v>34007.852099999996</v>
      </c>
      <c r="E1579" s="5">
        <v>30956.028900000001</v>
      </c>
      <c r="G1579" s="5" t="str">
        <f t="shared" si="49"/>
        <v>Шайтанка</v>
      </c>
      <c r="J1579" s="5"/>
      <c r="AF1579" t="s">
        <v>7226</v>
      </c>
      <c r="AG1579" s="24" t="s">
        <v>6810</v>
      </c>
      <c r="AH1579" s="5" t="s">
        <v>7226</v>
      </c>
      <c r="AI1579" s="5">
        <v>36346.662499999999</v>
      </c>
      <c r="AJ1579" s="5">
        <v>36346.662499999999</v>
      </c>
      <c r="AK1579">
        <v>33757.306199999999</v>
      </c>
      <c r="AL1579" s="5" t="str">
        <f t="shared" si="50"/>
        <v>Сысертский городской округ</v>
      </c>
    </row>
    <row r="1580" spans="1:38" ht="25.5" customHeight="1" x14ac:dyDescent="0.25">
      <c r="A1580" s="10" t="s">
        <v>1748</v>
      </c>
      <c r="B1580" s="11" t="s">
        <v>1395</v>
      </c>
      <c r="C1580" s="5">
        <v>27332.119299999998</v>
      </c>
      <c r="D1580" s="5">
        <v>27332.119299999998</v>
      </c>
      <c r="E1580" s="5">
        <v>24879.3747</v>
      </c>
      <c r="G1580" s="5" t="str">
        <f t="shared" si="49"/>
        <v>СОВХОЗ ПЕРВОУРАЛЬСКИЙ</v>
      </c>
      <c r="J1580" s="5"/>
      <c r="AF1580" t="s">
        <v>7226</v>
      </c>
      <c r="AG1580" s="24" t="s">
        <v>6811</v>
      </c>
      <c r="AH1580" s="5" t="s">
        <v>7226</v>
      </c>
      <c r="AI1580" s="5">
        <v>37257.083500000001</v>
      </c>
      <c r="AJ1580" s="5">
        <v>37257.083500000001</v>
      </c>
      <c r="AK1580">
        <v>34602.863799999999</v>
      </c>
      <c r="AL1580" s="5" t="str">
        <f t="shared" si="50"/>
        <v>Сысертский городской округ</v>
      </c>
    </row>
    <row r="1581" spans="1:38" ht="25.5" customHeight="1" x14ac:dyDescent="0.25">
      <c r="A1581" s="10" t="s">
        <v>1749</v>
      </c>
      <c r="B1581" s="11" t="s">
        <v>1395</v>
      </c>
      <c r="C1581" s="5">
        <v>27332.119299999998</v>
      </c>
      <c r="D1581" s="5">
        <v>27332.119299999998</v>
      </c>
      <c r="E1581" s="5">
        <v>24879.3747</v>
      </c>
      <c r="G1581" s="5" t="str">
        <f t="shared" si="49"/>
        <v>СОВХОЗ ПЕРВОУРАЛЬСКИЙ</v>
      </c>
      <c r="J1581" s="5"/>
      <c r="AF1581" t="s">
        <v>7226</v>
      </c>
      <c r="AG1581" s="24" t="s">
        <v>6812</v>
      </c>
      <c r="AH1581" s="5" t="s">
        <v>7226</v>
      </c>
      <c r="AI1581" s="5">
        <v>36346.662499999999</v>
      </c>
      <c r="AJ1581" s="5">
        <v>36346.662499999999</v>
      </c>
      <c r="AK1581">
        <v>33757.306199999999</v>
      </c>
      <c r="AL1581" s="5" t="str">
        <f t="shared" si="50"/>
        <v>Сысертский городской округ</v>
      </c>
    </row>
    <row r="1582" spans="1:38" ht="25.5" customHeight="1" x14ac:dyDescent="0.25">
      <c r="A1582" s="10" t="s">
        <v>1750</v>
      </c>
      <c r="B1582" s="11" t="s">
        <v>1395</v>
      </c>
      <c r="C1582" s="5">
        <v>27332.119299999998</v>
      </c>
      <c r="D1582" s="5">
        <v>27332.119299999998</v>
      </c>
      <c r="E1582" s="5">
        <v>24879.3747</v>
      </c>
      <c r="G1582" s="5" t="str">
        <f t="shared" si="49"/>
        <v>СОВХОЗ ПЕРВОУРАЛЬСКИЙ</v>
      </c>
      <c r="J1582" s="5"/>
      <c r="AF1582" t="s">
        <v>7226</v>
      </c>
      <c r="AG1582" s="24" t="s">
        <v>6813</v>
      </c>
      <c r="AH1582" s="5" t="s">
        <v>7226</v>
      </c>
      <c r="AI1582" s="5">
        <v>37257.083500000001</v>
      </c>
      <c r="AJ1582" s="5">
        <v>37257.083500000001</v>
      </c>
      <c r="AK1582">
        <v>34602.863799999999</v>
      </c>
      <c r="AL1582" s="5" t="str">
        <f t="shared" si="50"/>
        <v>Сысертский городской округ</v>
      </c>
    </row>
    <row r="1583" spans="1:38" ht="25.5" customHeight="1" x14ac:dyDescent="0.25">
      <c r="A1583" s="10" t="s">
        <v>1751</v>
      </c>
      <c r="B1583" s="11" t="s">
        <v>1395</v>
      </c>
      <c r="C1583" s="5">
        <v>27332.119299999998</v>
      </c>
      <c r="D1583" s="5">
        <v>27332.119299999998</v>
      </c>
      <c r="E1583" s="5">
        <v>24879.3747</v>
      </c>
      <c r="G1583" s="5" t="str">
        <f t="shared" si="49"/>
        <v>СОВХОЗ ПЕРВОУРАЛЬСКИЙ</v>
      </c>
      <c r="J1583" s="5"/>
      <c r="AF1583" t="s">
        <v>7226</v>
      </c>
      <c r="AG1583" s="24" t="s">
        <v>6814</v>
      </c>
      <c r="AH1583" s="5" t="s">
        <v>7226</v>
      </c>
      <c r="AI1583" s="5">
        <v>37257.083500000001</v>
      </c>
      <c r="AJ1583" s="5">
        <v>37257.083500000001</v>
      </c>
      <c r="AK1583">
        <v>34602.863799999999</v>
      </c>
      <c r="AL1583" s="5" t="str">
        <f t="shared" si="50"/>
        <v>Сысертский городской округ</v>
      </c>
    </row>
    <row r="1584" spans="1:38" ht="25.5" customHeight="1" x14ac:dyDescent="0.25">
      <c r="A1584" s="10" t="s">
        <v>1752</v>
      </c>
      <c r="B1584" s="11" t="s">
        <v>1693</v>
      </c>
      <c r="C1584" s="5">
        <v>32948.938800000004</v>
      </c>
      <c r="D1584" s="5">
        <v>32948.938800000004</v>
      </c>
      <c r="E1584" s="5">
        <v>29992.139899999998</v>
      </c>
      <c r="G1584" s="5" t="str">
        <f t="shared" si="49"/>
        <v>Магнитка</v>
      </c>
      <c r="J1584" s="5"/>
      <c r="AF1584" t="s">
        <v>7226</v>
      </c>
      <c r="AG1584" s="24" t="s">
        <v>6815</v>
      </c>
      <c r="AH1584" s="5" t="s">
        <v>7226</v>
      </c>
      <c r="AI1584" s="5">
        <v>36346.662499999999</v>
      </c>
      <c r="AJ1584" s="5">
        <v>36346.662499999999</v>
      </c>
      <c r="AK1584">
        <v>33757.306199999999</v>
      </c>
      <c r="AL1584" s="5" t="str">
        <f t="shared" si="50"/>
        <v>Сысертский городской округ</v>
      </c>
    </row>
    <row r="1585" spans="1:38" ht="25.5" customHeight="1" x14ac:dyDescent="0.25">
      <c r="A1585" s="10" t="s">
        <v>1753</v>
      </c>
      <c r="B1585" s="11" t="s">
        <v>1395</v>
      </c>
      <c r="C1585" s="5">
        <v>27332.119299999998</v>
      </c>
      <c r="D1585" s="5">
        <v>27332.119299999998</v>
      </c>
      <c r="E1585" s="5">
        <v>24879.3747</v>
      </c>
      <c r="G1585" s="5" t="str">
        <f t="shared" si="49"/>
        <v>СОВХОЗ ПЕРВОУРАЛЬСКИЙ</v>
      </c>
      <c r="J1585" s="5"/>
      <c r="AF1585" t="s">
        <v>7226</v>
      </c>
      <c r="AG1585" s="24" t="s">
        <v>6816</v>
      </c>
      <c r="AH1585" s="5" t="s">
        <v>7226</v>
      </c>
      <c r="AI1585" s="5">
        <v>36346.662499999999</v>
      </c>
      <c r="AJ1585" s="5">
        <v>36346.662499999999</v>
      </c>
      <c r="AK1585">
        <v>33757.306199999999</v>
      </c>
      <c r="AL1585" s="5" t="str">
        <f t="shared" si="50"/>
        <v>Сысертский городской округ</v>
      </c>
    </row>
    <row r="1586" spans="1:38" ht="25.5" customHeight="1" x14ac:dyDescent="0.25">
      <c r="A1586" s="10" t="s">
        <v>1754</v>
      </c>
      <c r="B1586" s="11" t="s">
        <v>1691</v>
      </c>
      <c r="C1586" s="5">
        <v>36244.5985</v>
      </c>
      <c r="D1586" s="5">
        <v>36244.5985</v>
      </c>
      <c r="E1586" s="5">
        <v>32992.053800000002</v>
      </c>
      <c r="G1586" s="5" t="str">
        <f t="shared" si="49"/>
        <v>ДинСанПод</v>
      </c>
      <c r="J1586" s="5"/>
      <c r="AF1586" t="s">
        <v>7226</v>
      </c>
      <c r="AG1586" s="24" t="s">
        <v>6817</v>
      </c>
      <c r="AH1586" s="5" t="s">
        <v>7226</v>
      </c>
      <c r="AI1586" s="5">
        <v>44907.140899999999</v>
      </c>
      <c r="AJ1586" s="5">
        <v>44907.140899999999</v>
      </c>
      <c r="AK1586">
        <v>41707.919600000001</v>
      </c>
      <c r="AL1586" s="5" t="str">
        <f t="shared" si="50"/>
        <v>Сысертский городской округ</v>
      </c>
    </row>
    <row r="1587" spans="1:38" ht="25.5" customHeight="1" x14ac:dyDescent="0.25">
      <c r="A1587" s="10" t="s">
        <v>1755</v>
      </c>
      <c r="B1587" s="11" t="s">
        <v>1693</v>
      </c>
      <c r="C1587" s="5">
        <v>32948.938800000004</v>
      </c>
      <c r="D1587" s="5">
        <v>32948.938800000004</v>
      </c>
      <c r="E1587" s="5">
        <v>29992.139899999998</v>
      </c>
      <c r="G1587" s="5" t="str">
        <f t="shared" si="49"/>
        <v>Магнитка</v>
      </c>
      <c r="J1587" s="5"/>
      <c r="AF1587" t="s">
        <v>7226</v>
      </c>
      <c r="AG1587" s="24" t="s">
        <v>6818</v>
      </c>
      <c r="AH1587" s="5" t="s">
        <v>7226</v>
      </c>
      <c r="AI1587" s="5">
        <v>36346.662499999999</v>
      </c>
      <c r="AJ1587" s="5">
        <v>36346.662499999999</v>
      </c>
      <c r="AK1587">
        <v>33757.306199999999</v>
      </c>
      <c r="AL1587" s="5" t="str">
        <f t="shared" si="50"/>
        <v>Сысертский городской округ</v>
      </c>
    </row>
    <row r="1588" spans="1:38" ht="25.5" customHeight="1" x14ac:dyDescent="0.25">
      <c r="A1588" s="20" t="s">
        <v>1756</v>
      </c>
      <c r="B1588" s="22">
        <v>1003</v>
      </c>
      <c r="C1588" s="5">
        <v>21261.0285</v>
      </c>
      <c r="D1588" s="5">
        <v>21261.0285</v>
      </c>
      <c r="E1588" s="5">
        <v>20837.465199999999</v>
      </c>
      <c r="G1588" s="5">
        <f t="shared" si="49"/>
        <v>1003</v>
      </c>
      <c r="J1588" s="5"/>
      <c r="AF1588" t="s">
        <v>7226</v>
      </c>
      <c r="AG1588" s="24" t="s">
        <v>6819</v>
      </c>
      <c r="AH1588" s="5" t="s">
        <v>7226</v>
      </c>
      <c r="AI1588" s="5">
        <v>36346.662499999999</v>
      </c>
      <c r="AJ1588" s="5">
        <v>36346.662499999999</v>
      </c>
      <c r="AK1588">
        <v>33757.306199999999</v>
      </c>
      <c r="AL1588" s="5" t="str">
        <f t="shared" si="50"/>
        <v>Сысертский городской округ</v>
      </c>
    </row>
    <row r="1589" spans="1:38" ht="25.5" customHeight="1" x14ac:dyDescent="0.25">
      <c r="A1589" s="20" t="s">
        <v>1757</v>
      </c>
      <c r="B1589" s="22">
        <v>1003</v>
      </c>
      <c r="C1589" s="5">
        <v>21261.0285</v>
      </c>
      <c r="D1589" s="5">
        <v>21261.0285</v>
      </c>
      <c r="E1589" s="5">
        <v>20837.465199999999</v>
      </c>
      <c r="G1589" s="5">
        <f t="shared" si="49"/>
        <v>1003</v>
      </c>
      <c r="J1589" s="5"/>
      <c r="AF1589" t="s">
        <v>7226</v>
      </c>
      <c r="AG1589" s="24" t="s">
        <v>6820</v>
      </c>
      <c r="AH1589" s="5" t="s">
        <v>7226</v>
      </c>
      <c r="AI1589" s="5">
        <v>36346.662499999999</v>
      </c>
      <c r="AJ1589" s="5">
        <v>36346.662499999999</v>
      </c>
      <c r="AK1589">
        <v>33757.306199999999</v>
      </c>
      <c r="AL1589" s="5" t="str">
        <f t="shared" si="50"/>
        <v>Сысертский городской округ</v>
      </c>
    </row>
    <row r="1590" spans="1:38" ht="25.5" customHeight="1" x14ac:dyDescent="0.25">
      <c r="A1590" s="10" t="s">
        <v>1758</v>
      </c>
      <c r="B1590" s="11" t="s">
        <v>1395</v>
      </c>
      <c r="C1590" s="5">
        <v>27332.119299999998</v>
      </c>
      <c r="D1590" s="5">
        <v>27332.119299999998</v>
      </c>
      <c r="E1590" s="5">
        <v>24879.3747</v>
      </c>
      <c r="G1590" s="5" t="str">
        <f t="shared" si="49"/>
        <v>СОВХОЗ ПЕРВОУРАЛЬСКИЙ</v>
      </c>
      <c r="J1590" s="5"/>
      <c r="AF1590" t="s">
        <v>7226</v>
      </c>
      <c r="AG1590" s="24" t="s">
        <v>6821</v>
      </c>
      <c r="AH1590" s="5" t="s">
        <v>7226</v>
      </c>
      <c r="AI1590" s="5">
        <v>36346.662499999999</v>
      </c>
      <c r="AJ1590" s="5">
        <v>36346.662499999999</v>
      </c>
      <c r="AK1590">
        <v>33757.306199999999</v>
      </c>
      <c r="AL1590" s="5" t="str">
        <f t="shared" si="50"/>
        <v>Сысертский городской округ</v>
      </c>
    </row>
    <row r="1591" spans="1:38" ht="25.5" customHeight="1" x14ac:dyDescent="0.25">
      <c r="A1591" s="10" t="s">
        <v>1759</v>
      </c>
      <c r="B1591" s="11" t="s">
        <v>1395</v>
      </c>
      <c r="C1591" s="5">
        <v>27332.119299999998</v>
      </c>
      <c r="D1591" s="5">
        <v>27332.119299999998</v>
      </c>
      <c r="E1591" s="5">
        <v>24879.3747</v>
      </c>
      <c r="G1591" s="5" t="str">
        <f t="shared" si="49"/>
        <v>СОВХОЗ ПЕРВОУРАЛЬСКИЙ</v>
      </c>
      <c r="J1591" s="5"/>
      <c r="AF1591" t="s">
        <v>7226</v>
      </c>
      <c r="AG1591" s="24" t="s">
        <v>6822</v>
      </c>
      <c r="AH1591" s="5" t="s">
        <v>7226</v>
      </c>
      <c r="AI1591" s="5">
        <v>36346.662499999999</v>
      </c>
      <c r="AJ1591" s="5">
        <v>36346.662499999999</v>
      </c>
      <c r="AK1591">
        <v>33757.306199999999</v>
      </c>
      <c r="AL1591" s="5" t="str">
        <f t="shared" si="50"/>
        <v>Сысертский городской округ</v>
      </c>
    </row>
    <row r="1592" spans="1:38" ht="25.5" customHeight="1" x14ac:dyDescent="0.25">
      <c r="A1592" s="20" t="s">
        <v>1760</v>
      </c>
      <c r="B1592" s="22">
        <v>1003</v>
      </c>
      <c r="C1592" s="5">
        <v>21261.0285</v>
      </c>
      <c r="D1592" s="5">
        <v>21261.0285</v>
      </c>
      <c r="E1592" s="5">
        <v>20837.465199999999</v>
      </c>
      <c r="G1592" s="5">
        <f t="shared" si="49"/>
        <v>1003</v>
      </c>
      <c r="J1592" s="5"/>
      <c r="AF1592" t="s">
        <v>7226</v>
      </c>
      <c r="AG1592" s="24" t="s">
        <v>6823</v>
      </c>
      <c r="AH1592" s="5" t="s">
        <v>7226</v>
      </c>
      <c r="AI1592" s="5">
        <v>36346.662499999999</v>
      </c>
      <c r="AJ1592" s="5">
        <v>36346.662499999999</v>
      </c>
      <c r="AK1592">
        <v>33757.306199999999</v>
      </c>
      <c r="AL1592" s="5" t="str">
        <f t="shared" si="50"/>
        <v>Сысертский городской округ</v>
      </c>
    </row>
    <row r="1593" spans="1:38" ht="25.5" customHeight="1" x14ac:dyDescent="0.25">
      <c r="A1593" s="20" t="s">
        <v>1761</v>
      </c>
      <c r="B1593" s="22">
        <v>1003</v>
      </c>
      <c r="C1593" s="5">
        <v>21261.0285</v>
      </c>
      <c r="D1593" s="5">
        <v>21261.0285</v>
      </c>
      <c r="E1593" s="5">
        <v>20837.465199999999</v>
      </c>
      <c r="G1593" s="5">
        <f t="shared" si="49"/>
        <v>1003</v>
      </c>
      <c r="J1593" s="5"/>
      <c r="AF1593" t="s">
        <v>7226</v>
      </c>
      <c r="AG1593" s="24" t="s">
        <v>6824</v>
      </c>
      <c r="AH1593" s="5" t="s">
        <v>7226</v>
      </c>
      <c r="AI1593" s="5">
        <v>36346.662499999999</v>
      </c>
      <c r="AJ1593" s="5">
        <v>36346.662499999999</v>
      </c>
      <c r="AK1593">
        <v>33757.306199999999</v>
      </c>
      <c r="AL1593" s="5" t="str">
        <f t="shared" si="50"/>
        <v>Сысертский городской округ</v>
      </c>
    </row>
    <row r="1594" spans="1:38" ht="25.5" customHeight="1" x14ac:dyDescent="0.25">
      <c r="A1594" s="10" t="s">
        <v>1762</v>
      </c>
      <c r="B1594" s="11" t="s">
        <v>1691</v>
      </c>
      <c r="C1594" s="5">
        <v>36244.5985</v>
      </c>
      <c r="D1594" s="5">
        <v>36244.5985</v>
      </c>
      <c r="E1594" s="5">
        <v>32992.053800000002</v>
      </c>
      <c r="G1594" s="5" t="str">
        <f t="shared" si="49"/>
        <v>ДинСанПод</v>
      </c>
      <c r="J1594" s="5"/>
      <c r="AF1594" t="s">
        <v>7226</v>
      </c>
      <c r="AG1594" s="24" t="s">
        <v>6825</v>
      </c>
      <c r="AH1594" s="5" t="s">
        <v>7226</v>
      </c>
      <c r="AI1594" s="5">
        <v>36346.662499999999</v>
      </c>
      <c r="AJ1594" s="5">
        <v>36346.662499999999</v>
      </c>
      <c r="AK1594">
        <v>33757.306199999999</v>
      </c>
      <c r="AL1594" s="5" t="str">
        <f t="shared" si="50"/>
        <v>Сысертский городской округ</v>
      </c>
    </row>
    <row r="1595" spans="1:38" ht="25.5" customHeight="1" x14ac:dyDescent="0.25">
      <c r="A1595" s="10" t="s">
        <v>1763</v>
      </c>
      <c r="B1595" s="11" t="s">
        <v>1395</v>
      </c>
      <c r="C1595" s="5">
        <v>27332.119299999998</v>
      </c>
      <c r="D1595" s="5">
        <v>27332.119299999998</v>
      </c>
      <c r="E1595" s="5">
        <v>24879.3747</v>
      </c>
      <c r="G1595" s="5" t="str">
        <f t="shared" si="49"/>
        <v>СОВХОЗ ПЕРВОУРАЛЬСКИЙ</v>
      </c>
      <c r="J1595" s="5"/>
      <c r="AF1595" t="s">
        <v>7226</v>
      </c>
      <c r="AG1595" s="24" t="s">
        <v>6826</v>
      </c>
      <c r="AH1595" s="5" t="s">
        <v>7226</v>
      </c>
      <c r="AI1595" s="5">
        <v>36346.662499999999</v>
      </c>
      <c r="AJ1595" s="5">
        <v>36346.662499999999</v>
      </c>
      <c r="AK1595">
        <v>33757.306199999999</v>
      </c>
      <c r="AL1595" s="5" t="str">
        <f t="shared" si="50"/>
        <v>Сысертский городской округ</v>
      </c>
    </row>
    <row r="1596" spans="1:38" ht="25.5" customHeight="1" x14ac:dyDescent="0.25">
      <c r="A1596" s="10" t="s">
        <v>1764</v>
      </c>
      <c r="B1596" s="11" t="s">
        <v>1699</v>
      </c>
      <c r="C1596" s="5">
        <v>34007.852099999996</v>
      </c>
      <c r="D1596" s="5">
        <v>34007.852099999996</v>
      </c>
      <c r="E1596" s="5">
        <v>30956.028900000001</v>
      </c>
      <c r="G1596" s="5" t="str">
        <f t="shared" si="49"/>
        <v>Шайтанка</v>
      </c>
      <c r="J1596" s="5"/>
      <c r="AF1596" t="s">
        <v>7227</v>
      </c>
      <c r="AG1596" s="24" t="s">
        <v>6827</v>
      </c>
      <c r="AH1596" s="5" t="s">
        <v>7227</v>
      </c>
      <c r="AI1596" s="5">
        <v>10284.0254</v>
      </c>
      <c r="AJ1596" s="5">
        <v>10284.0254</v>
      </c>
      <c r="AK1596">
        <v>9551.3801000000003</v>
      </c>
      <c r="AL1596" s="5" t="str">
        <f t="shared" si="50"/>
        <v>Таборинский муниципальный район</v>
      </c>
    </row>
    <row r="1597" spans="1:38" ht="25.5" customHeight="1" x14ac:dyDescent="0.25">
      <c r="A1597" s="10" t="s">
        <v>1765</v>
      </c>
      <c r="B1597" s="11" t="s">
        <v>1696</v>
      </c>
      <c r="C1597" s="5">
        <v>36808.582300000002</v>
      </c>
      <c r="D1597" s="5">
        <v>36808.582300000002</v>
      </c>
      <c r="E1597" s="5">
        <v>33505.428800000002</v>
      </c>
      <c r="G1597" s="5" t="str">
        <f t="shared" si="49"/>
        <v>Талица</v>
      </c>
      <c r="J1597" s="5"/>
      <c r="AF1597" t="s">
        <v>7227</v>
      </c>
      <c r="AG1597" s="24" t="s">
        <v>6828</v>
      </c>
      <c r="AH1597" s="5" t="s">
        <v>7227</v>
      </c>
      <c r="AI1597" s="5">
        <v>10284.0254</v>
      </c>
      <c r="AJ1597" s="5">
        <v>10284.0254</v>
      </c>
      <c r="AK1597">
        <v>9551.3801000000003</v>
      </c>
      <c r="AL1597" s="5" t="str">
        <f t="shared" si="50"/>
        <v>Таборинский муниципальный район</v>
      </c>
    </row>
    <row r="1598" spans="1:38" ht="25.5" customHeight="1" x14ac:dyDescent="0.25">
      <c r="A1598" s="10" t="s">
        <v>1766</v>
      </c>
      <c r="B1598" s="11" t="s">
        <v>1395</v>
      </c>
      <c r="C1598" s="5">
        <v>27332.119299999998</v>
      </c>
      <c r="D1598" s="5">
        <v>27332.119299999998</v>
      </c>
      <c r="E1598" s="5">
        <v>24879.3747</v>
      </c>
      <c r="G1598" s="5" t="str">
        <f t="shared" si="49"/>
        <v>СОВХОЗ ПЕРВОУРАЛЬСКИЙ</v>
      </c>
      <c r="J1598" s="5"/>
      <c r="AF1598" t="s">
        <v>7227</v>
      </c>
      <c r="AG1598" s="24" t="s">
        <v>6829</v>
      </c>
      <c r="AH1598" s="5" t="s">
        <v>7227</v>
      </c>
      <c r="AI1598" s="5">
        <v>10284.0254</v>
      </c>
      <c r="AJ1598" s="5">
        <v>10284.0254</v>
      </c>
      <c r="AK1598">
        <v>9551.3801000000003</v>
      </c>
      <c r="AL1598" s="5" t="str">
        <f t="shared" si="50"/>
        <v>Таборинский муниципальный район</v>
      </c>
    </row>
    <row r="1599" spans="1:38" ht="25.5" customHeight="1" x14ac:dyDescent="0.25">
      <c r="A1599" s="10" t="s">
        <v>1767</v>
      </c>
      <c r="B1599" s="11" t="s">
        <v>1395</v>
      </c>
      <c r="C1599" s="5">
        <v>27332.119299999998</v>
      </c>
      <c r="D1599" s="5">
        <v>27332.119299999998</v>
      </c>
      <c r="E1599" s="5">
        <v>24879.3747</v>
      </c>
      <c r="G1599" s="5" t="str">
        <f t="shared" si="49"/>
        <v>СОВХОЗ ПЕРВОУРАЛЬСКИЙ</v>
      </c>
      <c r="J1599" s="5"/>
      <c r="AF1599" t="s">
        <v>7227</v>
      </c>
      <c r="AG1599" s="24" t="s">
        <v>6830</v>
      </c>
      <c r="AH1599" s="5" t="s">
        <v>7227</v>
      </c>
      <c r="AI1599" s="5">
        <v>10284.0254</v>
      </c>
      <c r="AJ1599" s="5">
        <v>10284.0254</v>
      </c>
      <c r="AK1599">
        <v>9551.3801000000003</v>
      </c>
      <c r="AL1599" s="5" t="str">
        <f t="shared" si="50"/>
        <v>Таборинский муниципальный район</v>
      </c>
    </row>
    <row r="1600" spans="1:38" ht="25.5" customHeight="1" x14ac:dyDescent="0.25">
      <c r="A1600" s="10" t="s">
        <v>1768</v>
      </c>
      <c r="B1600" s="11" t="s">
        <v>1395</v>
      </c>
      <c r="C1600" s="5">
        <v>27332.119299999998</v>
      </c>
      <c r="D1600" s="5">
        <v>27332.119299999998</v>
      </c>
      <c r="E1600" s="5">
        <v>24879.3747</v>
      </c>
      <c r="G1600" s="5" t="str">
        <f t="shared" si="49"/>
        <v>СОВХОЗ ПЕРВОУРАЛЬСКИЙ</v>
      </c>
      <c r="J1600" s="5"/>
      <c r="AF1600" t="s">
        <v>7227</v>
      </c>
      <c r="AG1600" s="24" t="s">
        <v>6831</v>
      </c>
      <c r="AH1600" s="5" t="s">
        <v>7227</v>
      </c>
      <c r="AI1600" s="5">
        <v>10284.0254</v>
      </c>
      <c r="AJ1600" s="5">
        <v>10284.0254</v>
      </c>
      <c r="AK1600">
        <v>9551.3801000000003</v>
      </c>
      <c r="AL1600" s="5" t="str">
        <f t="shared" si="50"/>
        <v>Таборинский муниципальный район</v>
      </c>
    </row>
    <row r="1601" spans="1:38" ht="25.5" customHeight="1" x14ac:dyDescent="0.25">
      <c r="A1601" s="10" t="s">
        <v>1769</v>
      </c>
      <c r="B1601" s="11" t="s">
        <v>1395</v>
      </c>
      <c r="C1601" s="5">
        <v>27332.119299999998</v>
      </c>
      <c r="D1601" s="5">
        <v>27332.119299999998</v>
      </c>
      <c r="E1601" s="5">
        <v>24879.3747</v>
      </c>
      <c r="G1601" s="5" t="str">
        <f t="shared" si="49"/>
        <v>СОВХОЗ ПЕРВОУРАЛЬСКИЙ</v>
      </c>
      <c r="J1601" s="5"/>
      <c r="AF1601" t="s">
        <v>7227</v>
      </c>
      <c r="AG1601" s="24" t="s">
        <v>6832</v>
      </c>
      <c r="AH1601" s="5" t="s">
        <v>7227</v>
      </c>
      <c r="AI1601" s="5">
        <v>10284.0254</v>
      </c>
      <c r="AJ1601" s="5">
        <v>10284.0254</v>
      </c>
      <c r="AK1601">
        <v>9551.3801000000003</v>
      </c>
      <c r="AL1601" s="5" t="str">
        <f t="shared" si="50"/>
        <v>Таборинский муниципальный район</v>
      </c>
    </row>
    <row r="1602" spans="1:38" ht="25.5" customHeight="1" x14ac:dyDescent="0.25">
      <c r="A1602" s="10" t="s">
        <v>1770</v>
      </c>
      <c r="B1602" s="11" t="s">
        <v>1395</v>
      </c>
      <c r="C1602" s="5">
        <v>27332.119299999998</v>
      </c>
      <c r="D1602" s="5">
        <v>27332.119299999998</v>
      </c>
      <c r="E1602" s="5">
        <v>24879.3747</v>
      </c>
      <c r="G1602" s="5" t="str">
        <f t="shared" si="49"/>
        <v>СОВХОЗ ПЕРВОУРАЛЬСКИЙ</v>
      </c>
      <c r="J1602" s="5"/>
      <c r="AF1602" t="s">
        <v>7227</v>
      </c>
      <c r="AG1602" s="24" t="s">
        <v>6833</v>
      </c>
      <c r="AH1602" s="5" t="s">
        <v>7227</v>
      </c>
      <c r="AI1602" s="5">
        <v>10284.0254</v>
      </c>
      <c r="AJ1602" s="5">
        <v>10284.0254</v>
      </c>
      <c r="AK1602">
        <v>9551.3801000000003</v>
      </c>
      <c r="AL1602" s="5" t="str">
        <f t="shared" si="50"/>
        <v>Таборинский муниципальный район</v>
      </c>
    </row>
    <row r="1603" spans="1:38" ht="25.5" customHeight="1" x14ac:dyDescent="0.25">
      <c r="A1603" s="10" t="s">
        <v>1771</v>
      </c>
      <c r="B1603" s="11" t="s">
        <v>1691</v>
      </c>
      <c r="C1603" s="5">
        <v>36244.5985</v>
      </c>
      <c r="D1603" s="5">
        <v>36244.5985</v>
      </c>
      <c r="E1603" s="5">
        <v>32992.053800000002</v>
      </c>
      <c r="G1603" s="5" t="str">
        <f t="shared" si="49"/>
        <v>ДинСанПод</v>
      </c>
      <c r="J1603" s="5"/>
      <c r="AF1603" t="s">
        <v>7227</v>
      </c>
      <c r="AG1603" s="24" t="s">
        <v>6834</v>
      </c>
      <c r="AH1603" s="5" t="s">
        <v>7227</v>
      </c>
      <c r="AI1603" s="5">
        <v>10284.0254</v>
      </c>
      <c r="AJ1603" s="5">
        <v>10284.0254</v>
      </c>
      <c r="AK1603">
        <v>9551.3801000000003</v>
      </c>
      <c r="AL1603" s="5" t="str">
        <f t="shared" si="50"/>
        <v>Таборинский муниципальный район</v>
      </c>
    </row>
    <row r="1604" spans="1:38" ht="25.5" customHeight="1" x14ac:dyDescent="0.25">
      <c r="A1604" s="10" t="s">
        <v>1772</v>
      </c>
      <c r="B1604" s="11" t="s">
        <v>1699</v>
      </c>
      <c r="C1604" s="5">
        <v>34007.852099999996</v>
      </c>
      <c r="D1604" s="5">
        <v>34007.852099999996</v>
      </c>
      <c r="E1604" s="5">
        <v>30956.028900000001</v>
      </c>
      <c r="G1604" s="5" t="str">
        <f t="shared" ref="G1604:G1667" si="51">B1604</f>
        <v>Шайтанка</v>
      </c>
      <c r="J1604" s="5"/>
      <c r="AF1604" t="s">
        <v>7227</v>
      </c>
      <c r="AG1604" s="24" t="s">
        <v>6835</v>
      </c>
      <c r="AH1604" s="5" t="s">
        <v>7227</v>
      </c>
      <c r="AI1604" s="5">
        <v>10284.0254</v>
      </c>
      <c r="AJ1604" s="5">
        <v>10284.0254</v>
      </c>
      <c r="AK1604">
        <v>9551.3801000000003</v>
      </c>
      <c r="AL1604" s="5" t="str">
        <f t="shared" ref="AL1604:AL1667" si="52">AF1604</f>
        <v>Таборинский муниципальный район</v>
      </c>
    </row>
    <row r="1605" spans="1:38" ht="25.5" customHeight="1" x14ac:dyDescent="0.25">
      <c r="A1605" s="10" t="s">
        <v>1773</v>
      </c>
      <c r="B1605" s="11" t="s">
        <v>1395</v>
      </c>
      <c r="C1605" s="5">
        <v>27332.119299999998</v>
      </c>
      <c r="D1605" s="5">
        <v>27332.119299999998</v>
      </c>
      <c r="E1605" s="5">
        <v>24879.3747</v>
      </c>
      <c r="G1605" s="5" t="str">
        <f t="shared" si="51"/>
        <v>СОВХОЗ ПЕРВОУРАЛЬСКИЙ</v>
      </c>
      <c r="J1605" s="5"/>
      <c r="AF1605" t="s">
        <v>7227</v>
      </c>
      <c r="AG1605" s="24" t="s">
        <v>6836</v>
      </c>
      <c r="AH1605" s="5" t="s">
        <v>7227</v>
      </c>
      <c r="AI1605" s="5">
        <v>10284.0254</v>
      </c>
      <c r="AJ1605" s="5">
        <v>10284.0254</v>
      </c>
      <c r="AK1605">
        <v>9551.3801000000003</v>
      </c>
      <c r="AL1605" s="5" t="str">
        <f t="shared" si="52"/>
        <v>Таборинский муниципальный район</v>
      </c>
    </row>
    <row r="1606" spans="1:38" ht="25.5" customHeight="1" x14ac:dyDescent="0.25">
      <c r="A1606" s="10" t="s">
        <v>1774</v>
      </c>
      <c r="B1606" s="11" t="s">
        <v>1696</v>
      </c>
      <c r="C1606" s="5">
        <v>36808.582300000002</v>
      </c>
      <c r="D1606" s="5">
        <v>36808.582300000002</v>
      </c>
      <c r="E1606" s="5">
        <v>33505.428800000002</v>
      </c>
      <c r="G1606" s="5" t="str">
        <f t="shared" si="51"/>
        <v>Талица</v>
      </c>
      <c r="J1606" s="5"/>
      <c r="AF1606" t="s">
        <v>7227</v>
      </c>
      <c r="AG1606" s="24" t="s">
        <v>6837</v>
      </c>
      <c r="AH1606" s="5" t="s">
        <v>7227</v>
      </c>
      <c r="AI1606" s="5">
        <v>10284.0254</v>
      </c>
      <c r="AJ1606" s="5">
        <v>10284.0254</v>
      </c>
      <c r="AK1606">
        <v>9551.3801000000003</v>
      </c>
      <c r="AL1606" s="5" t="str">
        <f t="shared" si="52"/>
        <v>Таборинский муниципальный район</v>
      </c>
    </row>
    <row r="1607" spans="1:38" ht="25.5" customHeight="1" x14ac:dyDescent="0.25">
      <c r="A1607" s="10" t="s">
        <v>1775</v>
      </c>
      <c r="B1607" s="11" t="s">
        <v>1699</v>
      </c>
      <c r="C1607" s="5">
        <v>34007.852099999996</v>
      </c>
      <c r="D1607" s="5">
        <v>34007.852099999996</v>
      </c>
      <c r="E1607" s="5">
        <v>30956.028900000001</v>
      </c>
      <c r="G1607" s="5" t="str">
        <f t="shared" si="51"/>
        <v>Шайтанка</v>
      </c>
      <c r="J1607" s="5"/>
      <c r="AF1607" t="s">
        <v>7227</v>
      </c>
      <c r="AG1607" s="24" t="s">
        <v>6838</v>
      </c>
      <c r="AH1607" s="5" t="s">
        <v>7227</v>
      </c>
      <c r="AI1607" s="5">
        <v>10284.0254</v>
      </c>
      <c r="AJ1607" s="5">
        <v>10284.0254</v>
      </c>
      <c r="AK1607">
        <v>9551.3801000000003</v>
      </c>
      <c r="AL1607" s="5" t="str">
        <f t="shared" si="52"/>
        <v>Таборинский муниципальный район</v>
      </c>
    </row>
    <row r="1608" spans="1:38" ht="25.5" customHeight="1" x14ac:dyDescent="0.25">
      <c r="A1608" s="10" t="s">
        <v>1776</v>
      </c>
      <c r="B1608" s="11" t="s">
        <v>1696</v>
      </c>
      <c r="C1608" s="5">
        <v>36808.582300000002</v>
      </c>
      <c r="D1608" s="5">
        <v>36808.582300000002</v>
      </c>
      <c r="E1608" s="5">
        <v>33505.428800000002</v>
      </c>
      <c r="G1608" s="5" t="str">
        <f t="shared" si="51"/>
        <v>Талица</v>
      </c>
      <c r="J1608" s="5"/>
      <c r="AF1608" t="s">
        <v>7227</v>
      </c>
      <c r="AG1608" s="24" t="s">
        <v>6839</v>
      </c>
      <c r="AH1608" s="5" t="s">
        <v>7227</v>
      </c>
      <c r="AI1608" s="5">
        <v>10284.0254</v>
      </c>
      <c r="AJ1608" s="5">
        <v>10284.0254</v>
      </c>
      <c r="AK1608">
        <v>9551.3801000000003</v>
      </c>
      <c r="AL1608" s="5" t="str">
        <f t="shared" si="52"/>
        <v>Таборинский муниципальный район</v>
      </c>
    </row>
    <row r="1609" spans="1:38" ht="25.5" customHeight="1" x14ac:dyDescent="0.25">
      <c r="A1609" s="10" t="s">
        <v>1777</v>
      </c>
      <c r="B1609" s="11" t="s">
        <v>1395</v>
      </c>
      <c r="C1609" s="5">
        <v>27332.119299999998</v>
      </c>
      <c r="D1609" s="5">
        <v>27332.119299999998</v>
      </c>
      <c r="E1609" s="5">
        <v>24879.3747</v>
      </c>
      <c r="G1609" s="5" t="str">
        <f t="shared" si="51"/>
        <v>СОВХОЗ ПЕРВОУРАЛЬСКИЙ</v>
      </c>
      <c r="J1609" s="5"/>
      <c r="AF1609" t="s">
        <v>7227</v>
      </c>
      <c r="AG1609" s="24" t="s">
        <v>6840</v>
      </c>
      <c r="AH1609" s="5" t="s">
        <v>7227</v>
      </c>
      <c r="AI1609" s="5">
        <v>10284.0254</v>
      </c>
      <c r="AJ1609" s="5">
        <v>10284.0254</v>
      </c>
      <c r="AK1609">
        <v>9551.3801000000003</v>
      </c>
      <c r="AL1609" s="5" t="str">
        <f t="shared" si="52"/>
        <v>Таборинский муниципальный район</v>
      </c>
    </row>
    <row r="1610" spans="1:38" ht="25.5" customHeight="1" x14ac:dyDescent="0.25">
      <c r="A1610" s="10" t="s">
        <v>1778</v>
      </c>
      <c r="B1610" s="11" t="s">
        <v>1395</v>
      </c>
      <c r="C1610" s="5">
        <v>27332.119299999998</v>
      </c>
      <c r="D1610" s="5">
        <v>27332.119299999998</v>
      </c>
      <c r="E1610" s="5">
        <v>24879.3747</v>
      </c>
      <c r="G1610" s="5" t="str">
        <f t="shared" si="51"/>
        <v>СОВХОЗ ПЕРВОУРАЛЬСКИЙ</v>
      </c>
      <c r="J1610" s="5"/>
      <c r="AF1610" t="s">
        <v>7227</v>
      </c>
      <c r="AG1610" s="24" t="s">
        <v>6841</v>
      </c>
      <c r="AH1610" s="5" t="s">
        <v>7227</v>
      </c>
      <c r="AI1610" s="5">
        <v>10284.0254</v>
      </c>
      <c r="AJ1610" s="5">
        <v>10284.0254</v>
      </c>
      <c r="AK1610">
        <v>9551.3801000000003</v>
      </c>
      <c r="AL1610" s="5" t="str">
        <f t="shared" si="52"/>
        <v>Таборинский муниципальный район</v>
      </c>
    </row>
    <row r="1611" spans="1:38" ht="25.5" customHeight="1" x14ac:dyDescent="0.25">
      <c r="A1611" s="10" t="s">
        <v>1779</v>
      </c>
      <c r="B1611" s="11" t="s">
        <v>1693</v>
      </c>
      <c r="C1611" s="5">
        <v>32948.938800000004</v>
      </c>
      <c r="D1611" s="5">
        <v>32948.938800000004</v>
      </c>
      <c r="E1611" s="5">
        <v>29992.139899999998</v>
      </c>
      <c r="G1611" s="5" t="str">
        <f t="shared" si="51"/>
        <v>Магнитка</v>
      </c>
      <c r="J1611" s="5"/>
      <c r="AF1611" t="s">
        <v>7227</v>
      </c>
      <c r="AG1611" s="24" t="s">
        <v>6842</v>
      </c>
      <c r="AH1611" s="5" t="s">
        <v>7227</v>
      </c>
      <c r="AI1611" s="5">
        <v>10284.0254</v>
      </c>
      <c r="AJ1611" s="5">
        <v>10284.0254</v>
      </c>
      <c r="AK1611">
        <v>9551.3801000000003</v>
      </c>
      <c r="AL1611" s="5" t="str">
        <f t="shared" si="52"/>
        <v>Таборинский муниципальный район</v>
      </c>
    </row>
    <row r="1612" spans="1:38" ht="25.5" customHeight="1" x14ac:dyDescent="0.25">
      <c r="A1612" s="10" t="s">
        <v>1780</v>
      </c>
      <c r="B1612" s="11" t="s">
        <v>1691</v>
      </c>
      <c r="C1612" s="5">
        <v>36244.5985</v>
      </c>
      <c r="D1612" s="5">
        <v>36244.5985</v>
      </c>
      <c r="E1612" s="5">
        <v>32992.053800000002</v>
      </c>
      <c r="G1612" s="5" t="str">
        <f t="shared" si="51"/>
        <v>ДинСанПод</v>
      </c>
      <c r="J1612" s="5"/>
      <c r="AF1612" t="s">
        <v>7227</v>
      </c>
      <c r="AG1612" s="24" t="s">
        <v>6843</v>
      </c>
      <c r="AH1612" s="5" t="s">
        <v>7227</v>
      </c>
      <c r="AI1612" s="5">
        <v>10284.0254</v>
      </c>
      <c r="AJ1612" s="5">
        <v>10284.0254</v>
      </c>
      <c r="AK1612">
        <v>9551.3801000000003</v>
      </c>
      <c r="AL1612" s="5" t="str">
        <f t="shared" si="52"/>
        <v>Таборинский муниципальный район</v>
      </c>
    </row>
    <row r="1613" spans="1:38" ht="25.5" customHeight="1" x14ac:dyDescent="0.25">
      <c r="A1613" s="20" t="s">
        <v>1781</v>
      </c>
      <c r="B1613" s="22">
        <v>1003</v>
      </c>
      <c r="C1613" s="5">
        <v>21261.0285</v>
      </c>
      <c r="D1613" s="5">
        <v>21261.0285</v>
      </c>
      <c r="E1613" s="5">
        <v>20837.465199999999</v>
      </c>
      <c r="G1613" s="5">
        <f t="shared" si="51"/>
        <v>1003</v>
      </c>
      <c r="J1613" s="5"/>
      <c r="AF1613" t="s">
        <v>7227</v>
      </c>
      <c r="AG1613" s="24" t="s">
        <v>6844</v>
      </c>
      <c r="AH1613" s="5" t="s">
        <v>7227</v>
      </c>
      <c r="AI1613" s="5">
        <v>10284.0254</v>
      </c>
      <c r="AJ1613" s="5">
        <v>10284.0254</v>
      </c>
      <c r="AK1613">
        <v>9551.3801000000003</v>
      </c>
      <c r="AL1613" s="5" t="str">
        <f t="shared" si="52"/>
        <v>Таборинский муниципальный район</v>
      </c>
    </row>
    <row r="1614" spans="1:38" ht="25.5" customHeight="1" x14ac:dyDescent="0.25">
      <c r="A1614" s="10" t="s">
        <v>1782</v>
      </c>
      <c r="B1614" s="11" t="s">
        <v>1395</v>
      </c>
      <c r="C1614" s="5">
        <v>27332.119299999998</v>
      </c>
      <c r="D1614" s="5">
        <v>27332.119299999998</v>
      </c>
      <c r="E1614" s="5">
        <v>24879.3747</v>
      </c>
      <c r="G1614" s="5" t="str">
        <f t="shared" si="51"/>
        <v>СОВХОЗ ПЕРВОУРАЛЬСКИЙ</v>
      </c>
      <c r="J1614" s="5"/>
      <c r="AF1614" t="s">
        <v>7227</v>
      </c>
      <c r="AG1614" s="24" t="s">
        <v>6845</v>
      </c>
      <c r="AH1614" s="5" t="s">
        <v>7227</v>
      </c>
      <c r="AI1614" s="5">
        <v>10284.0254</v>
      </c>
      <c r="AJ1614" s="5">
        <v>10284.0254</v>
      </c>
      <c r="AK1614">
        <v>9551.3801000000003</v>
      </c>
      <c r="AL1614" s="5" t="str">
        <f t="shared" si="52"/>
        <v>Таборинский муниципальный район</v>
      </c>
    </row>
    <row r="1615" spans="1:38" ht="25.5" customHeight="1" x14ac:dyDescent="0.25">
      <c r="A1615" s="20" t="s">
        <v>1783</v>
      </c>
      <c r="B1615" s="22">
        <v>1003</v>
      </c>
      <c r="C1615" s="5">
        <v>21261.0285</v>
      </c>
      <c r="D1615" s="5">
        <v>21261.0285</v>
      </c>
      <c r="E1615" s="5">
        <v>20837.465199999999</v>
      </c>
      <c r="G1615" s="5">
        <f t="shared" si="51"/>
        <v>1003</v>
      </c>
      <c r="J1615" s="5"/>
      <c r="AF1615" t="s">
        <v>7227</v>
      </c>
      <c r="AG1615" s="24" t="s">
        <v>6846</v>
      </c>
      <c r="AH1615" s="5" t="s">
        <v>7227</v>
      </c>
      <c r="AI1615" s="5">
        <v>10284.0254</v>
      </c>
      <c r="AJ1615" s="5">
        <v>10284.0254</v>
      </c>
      <c r="AK1615">
        <v>9551.3801000000003</v>
      </c>
      <c r="AL1615" s="5" t="str">
        <f t="shared" si="52"/>
        <v>Таборинский муниципальный район</v>
      </c>
    </row>
    <row r="1616" spans="1:38" ht="25.5" customHeight="1" x14ac:dyDescent="0.25">
      <c r="A1616" s="10" t="s">
        <v>1784</v>
      </c>
      <c r="B1616" s="11" t="s">
        <v>1395</v>
      </c>
      <c r="C1616" s="5">
        <v>27332.119299999998</v>
      </c>
      <c r="D1616" s="5">
        <v>27332.119299999998</v>
      </c>
      <c r="E1616" s="5">
        <v>24879.3747</v>
      </c>
      <c r="G1616" s="5" t="str">
        <f t="shared" si="51"/>
        <v>СОВХОЗ ПЕРВОУРАЛЬСКИЙ</v>
      </c>
      <c r="J1616" s="5"/>
      <c r="AF1616" t="s">
        <v>7227</v>
      </c>
      <c r="AG1616" s="24" t="s">
        <v>6847</v>
      </c>
      <c r="AH1616" s="5" t="s">
        <v>7227</v>
      </c>
      <c r="AI1616" s="5">
        <v>10284.0254</v>
      </c>
      <c r="AJ1616" s="5">
        <v>10284.0254</v>
      </c>
      <c r="AK1616">
        <v>9551.3801000000003</v>
      </c>
      <c r="AL1616" s="5" t="str">
        <f t="shared" si="52"/>
        <v>Таборинский муниципальный район</v>
      </c>
    </row>
    <row r="1617" spans="1:38" ht="25.5" customHeight="1" x14ac:dyDescent="0.25">
      <c r="A1617" s="10" t="s">
        <v>1785</v>
      </c>
      <c r="B1617" s="11" t="s">
        <v>1395</v>
      </c>
      <c r="C1617" s="5">
        <v>27332.119299999998</v>
      </c>
      <c r="D1617" s="5">
        <v>27332.119299999998</v>
      </c>
      <c r="E1617" s="5">
        <v>24879.3747</v>
      </c>
      <c r="G1617" s="5" t="str">
        <f t="shared" si="51"/>
        <v>СОВХОЗ ПЕРВОУРАЛЬСКИЙ</v>
      </c>
      <c r="J1617" s="5"/>
      <c r="AF1617" t="s">
        <v>7227</v>
      </c>
      <c r="AG1617" s="24" t="s">
        <v>6848</v>
      </c>
      <c r="AH1617" s="5" t="s">
        <v>7227</v>
      </c>
      <c r="AI1617" s="5">
        <v>10541.6212</v>
      </c>
      <c r="AJ1617" s="5">
        <v>10541.6212</v>
      </c>
      <c r="AK1617">
        <v>9790.6337999999996</v>
      </c>
      <c r="AL1617" s="5" t="str">
        <f t="shared" si="52"/>
        <v>Таборинский муниципальный район</v>
      </c>
    </row>
    <row r="1618" spans="1:38" ht="25.5" customHeight="1" x14ac:dyDescent="0.25">
      <c r="A1618" s="20" t="s">
        <v>1786</v>
      </c>
      <c r="B1618" s="22">
        <v>1003</v>
      </c>
      <c r="C1618" s="5">
        <v>21261.0285</v>
      </c>
      <c r="D1618" s="5">
        <v>21261.0285</v>
      </c>
      <c r="E1618" s="5">
        <v>20837.465199999999</v>
      </c>
      <c r="G1618" s="5">
        <f t="shared" si="51"/>
        <v>1003</v>
      </c>
      <c r="J1618" s="5"/>
      <c r="AF1618" t="s">
        <v>7227</v>
      </c>
      <c r="AG1618" s="24" t="s">
        <v>6849</v>
      </c>
      <c r="AH1618" s="5" t="s">
        <v>7227</v>
      </c>
      <c r="AI1618" s="5">
        <v>10284.0254</v>
      </c>
      <c r="AJ1618" s="5">
        <v>10284.0254</v>
      </c>
      <c r="AK1618">
        <v>9551.3801000000003</v>
      </c>
      <c r="AL1618" s="5" t="str">
        <f t="shared" si="52"/>
        <v>Таборинский муниципальный район</v>
      </c>
    </row>
    <row r="1619" spans="1:38" ht="25.5" customHeight="1" x14ac:dyDescent="0.25">
      <c r="A1619" s="10" t="s">
        <v>1787</v>
      </c>
      <c r="B1619" s="11" t="s">
        <v>1395</v>
      </c>
      <c r="C1619" s="5">
        <v>27332.119299999998</v>
      </c>
      <c r="D1619" s="5">
        <v>27332.119299999998</v>
      </c>
      <c r="E1619" s="5">
        <v>24879.3747</v>
      </c>
      <c r="G1619" s="5" t="str">
        <f t="shared" si="51"/>
        <v>СОВХОЗ ПЕРВОУРАЛЬСКИЙ</v>
      </c>
      <c r="J1619" s="5"/>
      <c r="AF1619" t="s">
        <v>7227</v>
      </c>
      <c r="AG1619" s="24" t="s">
        <v>6850</v>
      </c>
      <c r="AH1619" s="5" t="s">
        <v>7227</v>
      </c>
      <c r="AI1619" s="5">
        <v>10284.0254</v>
      </c>
      <c r="AJ1619" s="5">
        <v>10284.0254</v>
      </c>
      <c r="AK1619">
        <v>9551.3801000000003</v>
      </c>
      <c r="AL1619" s="5" t="str">
        <f t="shared" si="52"/>
        <v>Таборинский муниципальный район</v>
      </c>
    </row>
    <row r="1620" spans="1:38" ht="25.5" customHeight="1" x14ac:dyDescent="0.25">
      <c r="A1620" s="20" t="s">
        <v>191</v>
      </c>
      <c r="B1620" s="22">
        <v>1003</v>
      </c>
      <c r="C1620" s="5">
        <v>21261.0285</v>
      </c>
      <c r="D1620" s="5">
        <v>21261.0285</v>
      </c>
      <c r="E1620" s="5">
        <v>20837.465199999999</v>
      </c>
      <c r="G1620" s="5">
        <f t="shared" si="51"/>
        <v>1003</v>
      </c>
      <c r="J1620" s="5"/>
      <c r="AF1620" t="s">
        <v>7227</v>
      </c>
      <c r="AG1620" s="24" t="s">
        <v>6851</v>
      </c>
      <c r="AH1620" s="5" t="s">
        <v>7227</v>
      </c>
      <c r="AI1620" s="5">
        <v>10284.0254</v>
      </c>
      <c r="AJ1620" s="5">
        <v>10284.0254</v>
      </c>
      <c r="AK1620">
        <v>9551.3801000000003</v>
      </c>
      <c r="AL1620" s="5" t="str">
        <f t="shared" si="52"/>
        <v>Таборинский муниципальный район</v>
      </c>
    </row>
    <row r="1621" spans="1:38" ht="25.5" customHeight="1" x14ac:dyDescent="0.25">
      <c r="A1621" s="10" t="s">
        <v>1788</v>
      </c>
      <c r="B1621" s="11" t="s">
        <v>1699</v>
      </c>
      <c r="C1621" s="5">
        <v>34007.852099999996</v>
      </c>
      <c r="D1621" s="5">
        <v>34007.852099999996</v>
      </c>
      <c r="E1621" s="5">
        <v>30956.028900000001</v>
      </c>
      <c r="G1621" s="5" t="str">
        <f t="shared" si="51"/>
        <v>Шайтанка</v>
      </c>
      <c r="J1621" s="5"/>
      <c r="AF1621" t="s">
        <v>7227</v>
      </c>
      <c r="AG1621" s="24" t="s">
        <v>6852</v>
      </c>
      <c r="AH1621" s="5" t="s">
        <v>7227</v>
      </c>
      <c r="AI1621" s="5">
        <v>10284.0254</v>
      </c>
      <c r="AJ1621" s="5">
        <v>10284.0254</v>
      </c>
      <c r="AK1621">
        <v>9551.3801000000003</v>
      </c>
      <c r="AL1621" s="5" t="str">
        <f t="shared" si="52"/>
        <v>Таборинский муниципальный район</v>
      </c>
    </row>
    <row r="1622" spans="1:38" ht="25.5" customHeight="1" x14ac:dyDescent="0.25">
      <c r="A1622" s="10" t="s">
        <v>1789</v>
      </c>
      <c r="B1622" s="11" t="s">
        <v>1691</v>
      </c>
      <c r="C1622" s="5">
        <v>36244.5985</v>
      </c>
      <c r="D1622" s="5">
        <v>36244.5985</v>
      </c>
      <c r="E1622" s="5">
        <v>32992.053800000002</v>
      </c>
      <c r="G1622" s="5" t="str">
        <f t="shared" si="51"/>
        <v>ДинСанПод</v>
      </c>
      <c r="J1622" s="5"/>
      <c r="AF1622" t="s">
        <v>7227</v>
      </c>
      <c r="AG1622" s="24" t="s">
        <v>6853</v>
      </c>
      <c r="AH1622" s="5" t="s">
        <v>7227</v>
      </c>
      <c r="AI1622" s="5">
        <v>10284.0254</v>
      </c>
      <c r="AJ1622" s="5">
        <v>10284.0254</v>
      </c>
      <c r="AK1622">
        <v>9551.3801000000003</v>
      </c>
      <c r="AL1622" s="5" t="str">
        <f t="shared" si="52"/>
        <v>Таборинский муниципальный район</v>
      </c>
    </row>
    <row r="1623" spans="1:38" ht="25.5" customHeight="1" x14ac:dyDescent="0.25">
      <c r="A1623" s="10" t="s">
        <v>1790</v>
      </c>
      <c r="B1623" s="11" t="s">
        <v>1395</v>
      </c>
      <c r="C1623" s="5">
        <v>27332.119299999998</v>
      </c>
      <c r="D1623" s="5">
        <v>27332.119299999998</v>
      </c>
      <c r="E1623" s="5">
        <v>24879.3747</v>
      </c>
      <c r="G1623" s="5" t="str">
        <f t="shared" si="51"/>
        <v>СОВХОЗ ПЕРВОУРАЛЬСКИЙ</v>
      </c>
      <c r="J1623" s="5"/>
      <c r="AF1623" t="s">
        <v>7227</v>
      </c>
      <c r="AG1623" s="24" t="s">
        <v>6854</v>
      </c>
      <c r="AH1623" s="5" t="s">
        <v>7227</v>
      </c>
      <c r="AI1623" s="5">
        <v>10284.0254</v>
      </c>
      <c r="AJ1623" s="5">
        <v>10284.0254</v>
      </c>
      <c r="AK1623">
        <v>9551.3801000000003</v>
      </c>
      <c r="AL1623" s="5" t="str">
        <f t="shared" si="52"/>
        <v>Таборинский муниципальный район</v>
      </c>
    </row>
    <row r="1624" spans="1:38" ht="25.5" customHeight="1" x14ac:dyDescent="0.25">
      <c r="A1624" s="10" t="s">
        <v>1791</v>
      </c>
      <c r="B1624" s="11" t="s">
        <v>1395</v>
      </c>
      <c r="C1624" s="5">
        <v>27332.119299999998</v>
      </c>
      <c r="D1624" s="5">
        <v>27332.119299999998</v>
      </c>
      <c r="E1624" s="5">
        <v>24879.3747</v>
      </c>
      <c r="G1624" s="5" t="str">
        <f t="shared" si="51"/>
        <v>СОВХОЗ ПЕРВОУРАЛЬСКИЙ</v>
      </c>
      <c r="J1624" s="5"/>
      <c r="AF1624" t="s">
        <v>7227</v>
      </c>
      <c r="AG1624" s="24" t="s">
        <v>6855</v>
      </c>
      <c r="AH1624" s="5" t="s">
        <v>7227</v>
      </c>
      <c r="AI1624" s="5">
        <v>10284.0254</v>
      </c>
      <c r="AJ1624" s="5">
        <v>10284.0254</v>
      </c>
      <c r="AK1624">
        <v>9551.3801000000003</v>
      </c>
      <c r="AL1624" s="5" t="str">
        <f t="shared" si="52"/>
        <v>Таборинский муниципальный район</v>
      </c>
    </row>
    <row r="1625" spans="1:38" ht="25.5" customHeight="1" x14ac:dyDescent="0.25">
      <c r="A1625" s="10" t="s">
        <v>1792</v>
      </c>
      <c r="B1625" s="11" t="s">
        <v>1691</v>
      </c>
      <c r="C1625" s="5">
        <v>36244.5985</v>
      </c>
      <c r="D1625" s="5">
        <v>36244.5985</v>
      </c>
      <c r="E1625" s="5">
        <v>32992.053800000002</v>
      </c>
      <c r="G1625" s="5" t="str">
        <f t="shared" si="51"/>
        <v>ДинСанПод</v>
      </c>
      <c r="J1625" s="5"/>
      <c r="AF1625" t="s">
        <v>7227</v>
      </c>
      <c r="AG1625" s="24" t="s">
        <v>6856</v>
      </c>
      <c r="AH1625" s="5" t="s">
        <v>7227</v>
      </c>
      <c r="AI1625" s="5">
        <v>10284.0254</v>
      </c>
      <c r="AJ1625" s="5">
        <v>10284.0254</v>
      </c>
      <c r="AK1625">
        <v>9551.3801000000003</v>
      </c>
      <c r="AL1625" s="5" t="str">
        <f t="shared" si="52"/>
        <v>Таборинский муниципальный район</v>
      </c>
    </row>
    <row r="1626" spans="1:38" ht="25.5" customHeight="1" x14ac:dyDescent="0.25">
      <c r="A1626" s="10" t="s">
        <v>1793</v>
      </c>
      <c r="B1626" s="11" t="s">
        <v>1693</v>
      </c>
      <c r="C1626" s="5">
        <v>32948.938800000004</v>
      </c>
      <c r="D1626" s="5">
        <v>32948.938800000004</v>
      </c>
      <c r="E1626" s="5">
        <v>29992.139899999998</v>
      </c>
      <c r="G1626" s="5" t="str">
        <f t="shared" si="51"/>
        <v>Магнитка</v>
      </c>
      <c r="J1626" s="5"/>
      <c r="AF1626" t="s">
        <v>7227</v>
      </c>
      <c r="AG1626" s="24" t="s">
        <v>6857</v>
      </c>
      <c r="AH1626" s="5" t="s">
        <v>7227</v>
      </c>
      <c r="AI1626" s="5">
        <v>10284.0254</v>
      </c>
      <c r="AJ1626" s="5">
        <v>10284.0254</v>
      </c>
      <c r="AK1626">
        <v>9551.3801000000003</v>
      </c>
      <c r="AL1626" s="5" t="str">
        <f t="shared" si="52"/>
        <v>Таборинский муниципальный район</v>
      </c>
    </row>
    <row r="1627" spans="1:38" ht="25.5" customHeight="1" x14ac:dyDescent="0.25">
      <c r="A1627" s="10" t="s">
        <v>1794</v>
      </c>
      <c r="B1627" s="11" t="s">
        <v>1691</v>
      </c>
      <c r="C1627" s="5">
        <v>36244.5985</v>
      </c>
      <c r="D1627" s="5">
        <v>36244.5985</v>
      </c>
      <c r="E1627" s="5">
        <v>32992.053800000002</v>
      </c>
      <c r="G1627" s="5" t="str">
        <f t="shared" si="51"/>
        <v>ДинСанПод</v>
      </c>
      <c r="J1627" s="5"/>
      <c r="AF1627" t="s">
        <v>7227</v>
      </c>
      <c r="AG1627" s="24" t="s">
        <v>6858</v>
      </c>
      <c r="AH1627" s="5" t="s">
        <v>7227</v>
      </c>
      <c r="AI1627" s="5">
        <v>10284.0254</v>
      </c>
      <c r="AJ1627" s="5">
        <v>10284.0254</v>
      </c>
      <c r="AK1627">
        <v>9551.3801000000003</v>
      </c>
      <c r="AL1627" s="5" t="str">
        <f t="shared" si="52"/>
        <v>Таборинский муниципальный район</v>
      </c>
    </row>
    <row r="1628" spans="1:38" ht="25.5" customHeight="1" x14ac:dyDescent="0.25">
      <c r="A1628" s="10" t="s">
        <v>1795</v>
      </c>
      <c r="B1628" s="11" t="s">
        <v>1691</v>
      </c>
      <c r="C1628" s="5">
        <v>36244.5985</v>
      </c>
      <c r="D1628" s="5">
        <v>36244.5985</v>
      </c>
      <c r="E1628" s="5">
        <v>32992.053800000002</v>
      </c>
      <c r="G1628" s="5" t="str">
        <f t="shared" si="51"/>
        <v>ДинСанПод</v>
      </c>
      <c r="J1628" s="5"/>
      <c r="AF1628" t="s">
        <v>7227</v>
      </c>
      <c r="AG1628" s="24" t="s">
        <v>6859</v>
      </c>
      <c r="AH1628" s="5" t="s">
        <v>7227</v>
      </c>
      <c r="AI1628" s="5">
        <v>10284.0254</v>
      </c>
      <c r="AJ1628" s="5">
        <v>10284.0254</v>
      </c>
      <c r="AK1628">
        <v>9551.3801000000003</v>
      </c>
      <c r="AL1628" s="5" t="str">
        <f t="shared" si="52"/>
        <v>Таборинский муниципальный район</v>
      </c>
    </row>
    <row r="1629" spans="1:38" ht="25.5" customHeight="1" x14ac:dyDescent="0.25">
      <c r="A1629" s="10" t="s">
        <v>1796</v>
      </c>
      <c r="B1629" s="11" t="s">
        <v>1691</v>
      </c>
      <c r="C1629" s="5">
        <v>36244.5985</v>
      </c>
      <c r="D1629" s="5">
        <v>36244.5985</v>
      </c>
      <c r="E1629" s="5">
        <v>32992.053800000002</v>
      </c>
      <c r="G1629" s="5" t="str">
        <f t="shared" si="51"/>
        <v>ДинСанПод</v>
      </c>
      <c r="J1629" s="5"/>
      <c r="AF1629" t="s">
        <v>7227</v>
      </c>
      <c r="AG1629" s="24" t="s">
        <v>6860</v>
      </c>
      <c r="AH1629" s="5" t="s">
        <v>7227</v>
      </c>
      <c r="AI1629" s="5">
        <v>10284.0254</v>
      </c>
      <c r="AJ1629" s="5">
        <v>10284.0254</v>
      </c>
      <c r="AK1629">
        <v>9551.3801000000003</v>
      </c>
      <c r="AL1629" s="5" t="str">
        <f t="shared" si="52"/>
        <v>Таборинский муниципальный район</v>
      </c>
    </row>
    <row r="1630" spans="1:38" ht="25.5" customHeight="1" x14ac:dyDescent="0.25">
      <c r="A1630" s="10" t="s">
        <v>1797</v>
      </c>
      <c r="B1630" s="11" t="s">
        <v>1688</v>
      </c>
      <c r="C1630" s="5">
        <v>29893.73</v>
      </c>
      <c r="D1630" s="5">
        <v>29893.73</v>
      </c>
      <c r="E1630" s="5">
        <v>26241.207699999999</v>
      </c>
      <c r="G1630" s="5" t="str">
        <f t="shared" si="51"/>
        <v>Сух_Г-Кам_Н_Кушва_Н-Черм</v>
      </c>
      <c r="J1630" s="5"/>
      <c r="AF1630" t="s">
        <v>7228</v>
      </c>
      <c r="AG1630" s="24" t="s">
        <v>6861</v>
      </c>
      <c r="AH1630" s="5" t="s">
        <v>7228</v>
      </c>
      <c r="AI1630" s="5">
        <v>21510.882799999999</v>
      </c>
      <c r="AJ1630" s="5">
        <v>21510.882799999999</v>
      </c>
      <c r="AK1630">
        <v>19978.437399999999</v>
      </c>
      <c r="AL1630" s="5" t="str">
        <f t="shared" si="52"/>
        <v>Тавдинский городской округ</v>
      </c>
    </row>
    <row r="1631" spans="1:38" ht="25.5" customHeight="1" x14ac:dyDescent="0.25">
      <c r="A1631" s="10" t="s">
        <v>79</v>
      </c>
      <c r="B1631" s="11" t="s">
        <v>1697</v>
      </c>
      <c r="C1631" s="5">
        <v>42713.148200000003</v>
      </c>
      <c r="D1631" s="5">
        <v>42713.148200000003</v>
      </c>
      <c r="E1631" s="5">
        <v>38880.125099999997</v>
      </c>
      <c r="G1631" s="5" t="str">
        <f t="shared" si="51"/>
        <v>Техгород</v>
      </c>
      <c r="J1631" s="5"/>
      <c r="AF1631" t="s">
        <v>7228</v>
      </c>
      <c r="AG1631" s="24" t="s">
        <v>6862</v>
      </c>
      <c r="AH1631" s="5" t="s">
        <v>7228</v>
      </c>
      <c r="AI1631" s="5">
        <v>22049.691200000001</v>
      </c>
      <c r="AJ1631" s="5">
        <v>22049.691200000001</v>
      </c>
      <c r="AK1631">
        <v>20478.8583</v>
      </c>
      <c r="AL1631" s="5" t="str">
        <f t="shared" si="52"/>
        <v>Тавдинский городской округ</v>
      </c>
    </row>
    <row r="1632" spans="1:38" ht="25.5" customHeight="1" x14ac:dyDescent="0.25">
      <c r="A1632" s="10" t="s">
        <v>113</v>
      </c>
      <c r="B1632" s="11" t="s">
        <v>1683</v>
      </c>
      <c r="C1632" s="5">
        <v>40018.9617</v>
      </c>
      <c r="D1632" s="5">
        <v>40018.9617</v>
      </c>
      <c r="E1632" s="5">
        <v>35129.2961</v>
      </c>
      <c r="G1632" s="5" t="str">
        <f t="shared" si="51"/>
        <v>Алт_Гальян_М-Кушва</v>
      </c>
      <c r="J1632" s="5"/>
      <c r="AF1632" t="s">
        <v>7228</v>
      </c>
      <c r="AG1632" s="24" t="s">
        <v>6863</v>
      </c>
      <c r="AH1632" s="5" t="s">
        <v>7228</v>
      </c>
      <c r="AI1632" s="5">
        <v>21510.882799999999</v>
      </c>
      <c r="AJ1632" s="5">
        <v>21510.882799999999</v>
      </c>
      <c r="AK1632">
        <v>19978.437399999999</v>
      </c>
      <c r="AL1632" s="5" t="str">
        <f t="shared" si="52"/>
        <v>Тавдинский городской округ</v>
      </c>
    </row>
    <row r="1633" spans="1:38" ht="25.5" customHeight="1" x14ac:dyDescent="0.25">
      <c r="A1633" s="10" t="s">
        <v>1798</v>
      </c>
      <c r="B1633" s="11" t="s">
        <v>1650</v>
      </c>
      <c r="C1633" s="5">
        <v>37590.3603</v>
      </c>
      <c r="D1633" s="5">
        <v>37590.3603</v>
      </c>
      <c r="E1633" s="5">
        <v>34038.745900000002</v>
      </c>
      <c r="G1633" s="5" t="str">
        <f t="shared" si="51"/>
        <v>ШАБРОВСКИЙ</v>
      </c>
      <c r="J1633" s="5"/>
      <c r="AF1633" t="s">
        <v>7228</v>
      </c>
      <c r="AG1633" s="24" t="s">
        <v>6864</v>
      </c>
      <c r="AH1633" s="5" t="s">
        <v>7228</v>
      </c>
      <c r="AI1633" s="5">
        <v>21510.882799999999</v>
      </c>
      <c r="AJ1633" s="5">
        <v>21510.882799999999</v>
      </c>
      <c r="AK1633">
        <v>19978.437399999999</v>
      </c>
      <c r="AL1633" s="5" t="str">
        <f t="shared" si="52"/>
        <v>Тавдинский городской округ</v>
      </c>
    </row>
    <row r="1634" spans="1:38" ht="25.5" customHeight="1" x14ac:dyDescent="0.25">
      <c r="A1634" s="10" t="s">
        <v>1799</v>
      </c>
      <c r="B1634" s="11" t="s">
        <v>1679</v>
      </c>
      <c r="C1634" s="5">
        <v>28855.326499999999</v>
      </c>
      <c r="D1634" s="5">
        <v>28855.326499999999</v>
      </c>
      <c r="E1634" s="5">
        <v>25951.933700000001</v>
      </c>
      <c r="G1634" s="5" t="str">
        <f t="shared" si="51"/>
        <v>Ст.Каменск-Хозспособ</v>
      </c>
      <c r="J1634" s="5"/>
      <c r="AF1634" t="s">
        <v>7228</v>
      </c>
      <c r="AG1634" s="24" t="s">
        <v>6865</v>
      </c>
      <c r="AH1634" s="5" t="s">
        <v>7228</v>
      </c>
      <c r="AI1634" s="5">
        <v>21510.882799999999</v>
      </c>
      <c r="AJ1634" s="5">
        <v>21510.882799999999</v>
      </c>
      <c r="AK1634">
        <v>19978.437399999999</v>
      </c>
      <c r="AL1634" s="5" t="str">
        <f t="shared" si="52"/>
        <v>Тавдинский городской округ</v>
      </c>
    </row>
    <row r="1635" spans="1:38" ht="25.5" customHeight="1" x14ac:dyDescent="0.25">
      <c r="A1635" s="10" t="s">
        <v>1800</v>
      </c>
      <c r="B1635" s="11" t="s">
        <v>1699</v>
      </c>
      <c r="C1635" s="5">
        <v>34007.852099999996</v>
      </c>
      <c r="D1635" s="5">
        <v>34007.852099999996</v>
      </c>
      <c r="E1635" s="5">
        <v>30956.028900000001</v>
      </c>
      <c r="G1635" s="5" t="str">
        <f t="shared" si="51"/>
        <v>Шайтанка</v>
      </c>
      <c r="J1635" s="5"/>
      <c r="AF1635" t="s">
        <v>7228</v>
      </c>
      <c r="AG1635" s="24" t="s">
        <v>6866</v>
      </c>
      <c r="AH1635" s="5" t="s">
        <v>7228</v>
      </c>
      <c r="AI1635" s="5">
        <v>21510.882799999999</v>
      </c>
      <c r="AJ1635" s="5">
        <v>21510.882799999999</v>
      </c>
      <c r="AK1635">
        <v>19978.437399999999</v>
      </c>
      <c r="AL1635" s="5" t="str">
        <f t="shared" si="52"/>
        <v>Тавдинский городской округ</v>
      </c>
    </row>
    <row r="1636" spans="1:38" ht="25.5" customHeight="1" x14ac:dyDescent="0.25">
      <c r="A1636" s="10" t="s">
        <v>1801</v>
      </c>
      <c r="B1636" s="11" t="s">
        <v>1395</v>
      </c>
      <c r="C1636" s="5">
        <v>27332.119299999998</v>
      </c>
      <c r="D1636" s="5">
        <v>27332.119299999998</v>
      </c>
      <c r="E1636" s="5">
        <v>24879.3747</v>
      </c>
      <c r="G1636" s="5" t="str">
        <f t="shared" si="51"/>
        <v>СОВХОЗ ПЕРВОУРАЛЬСКИЙ</v>
      </c>
      <c r="J1636" s="5"/>
      <c r="AF1636" t="s">
        <v>7228</v>
      </c>
      <c r="AG1636" s="24" t="s">
        <v>6867</v>
      </c>
      <c r="AH1636" s="5" t="s">
        <v>7228</v>
      </c>
      <c r="AI1636" s="5">
        <v>21510.882799999999</v>
      </c>
      <c r="AJ1636" s="5">
        <v>21510.882799999999</v>
      </c>
      <c r="AK1636">
        <v>19978.437399999999</v>
      </c>
      <c r="AL1636" s="5" t="str">
        <f t="shared" si="52"/>
        <v>Тавдинский городской округ</v>
      </c>
    </row>
    <row r="1637" spans="1:38" ht="25.5" customHeight="1" x14ac:dyDescent="0.25">
      <c r="A1637" s="10" t="s">
        <v>1802</v>
      </c>
      <c r="B1637" s="11" t="s">
        <v>1680</v>
      </c>
      <c r="C1637" s="5">
        <v>29151.309799999999</v>
      </c>
      <c r="D1637" s="5">
        <v>29151.309799999999</v>
      </c>
      <c r="E1637" s="5">
        <v>26218.127700000001</v>
      </c>
      <c r="G1637" s="5" t="str">
        <f t="shared" si="51"/>
        <v>Северный</v>
      </c>
      <c r="J1637" s="5"/>
      <c r="AF1637" t="s">
        <v>7228</v>
      </c>
      <c r="AG1637" s="24" t="s">
        <v>6868</v>
      </c>
      <c r="AH1637" s="5" t="s">
        <v>7228</v>
      </c>
      <c r="AI1637" s="5">
        <v>21510.882799999999</v>
      </c>
      <c r="AJ1637" s="5">
        <v>21510.882799999999</v>
      </c>
      <c r="AK1637">
        <v>19978.437399999999</v>
      </c>
      <c r="AL1637" s="5" t="str">
        <f t="shared" si="52"/>
        <v>Тавдинский городской округ</v>
      </c>
    </row>
    <row r="1638" spans="1:38" ht="25.5" customHeight="1" x14ac:dyDescent="0.25">
      <c r="A1638" s="10" t="s">
        <v>1803</v>
      </c>
      <c r="B1638" s="11" t="s">
        <v>1679</v>
      </c>
      <c r="C1638" s="5">
        <v>28855.326499999999</v>
      </c>
      <c r="D1638" s="5">
        <v>28855.326499999999</v>
      </c>
      <c r="E1638" s="5">
        <v>25951.933700000001</v>
      </c>
      <c r="G1638" s="5" t="str">
        <f t="shared" si="51"/>
        <v>Ст.Каменск-Хозспособ</v>
      </c>
      <c r="J1638" s="5"/>
      <c r="AF1638" t="s">
        <v>7228</v>
      </c>
      <c r="AG1638" s="24" t="s">
        <v>6869</v>
      </c>
      <c r="AH1638" s="5" t="s">
        <v>7228</v>
      </c>
      <c r="AI1638" s="5">
        <v>21510.882799999999</v>
      </c>
      <c r="AJ1638" s="5">
        <v>21510.882799999999</v>
      </c>
      <c r="AK1638">
        <v>19978.437399999999</v>
      </c>
      <c r="AL1638" s="5" t="str">
        <f t="shared" si="52"/>
        <v>Тавдинский городской округ</v>
      </c>
    </row>
    <row r="1639" spans="1:38" ht="25.5" customHeight="1" x14ac:dyDescent="0.25">
      <c r="A1639" s="20" t="s">
        <v>1620</v>
      </c>
      <c r="B1639" s="22" t="s">
        <v>7239</v>
      </c>
      <c r="C1639" s="5">
        <v>21261.0285</v>
      </c>
      <c r="D1639" s="5">
        <v>21261.0285</v>
      </c>
      <c r="E1639" s="5">
        <v>20837.465199999999</v>
      </c>
      <c r="G1639" s="5" t="str">
        <f t="shared" si="51"/>
        <v>п.Висимо-Уткинск</v>
      </c>
      <c r="J1639" s="5"/>
      <c r="AF1639" t="s">
        <v>7228</v>
      </c>
      <c r="AG1639" s="24" t="s">
        <v>6870</v>
      </c>
      <c r="AH1639" s="5" t="s">
        <v>7228</v>
      </c>
      <c r="AI1639" s="5">
        <v>21510.882799999999</v>
      </c>
      <c r="AJ1639" s="5">
        <v>21510.882799999999</v>
      </c>
      <c r="AK1639">
        <v>19978.437399999999</v>
      </c>
      <c r="AL1639" s="5" t="str">
        <f t="shared" si="52"/>
        <v>Тавдинский городской округ</v>
      </c>
    </row>
    <row r="1640" spans="1:38" ht="25.5" customHeight="1" x14ac:dyDescent="0.25">
      <c r="A1640" s="10" t="s">
        <v>661</v>
      </c>
      <c r="B1640" s="11" t="s">
        <v>7242</v>
      </c>
      <c r="C1640" s="5">
        <v>27104.663700000001</v>
      </c>
      <c r="D1640" s="5">
        <v>27104.663700000001</v>
      </c>
      <c r="E1640" s="5">
        <v>26564.688900000001</v>
      </c>
      <c r="G1640" s="5" t="str">
        <f t="shared" si="51"/>
        <v>КК возле Первоуральска которые должны считаться как область</v>
      </c>
      <c r="J1640" s="5"/>
      <c r="AF1640" t="s">
        <v>7228</v>
      </c>
      <c r="AG1640" s="24" t="s">
        <v>6871</v>
      </c>
      <c r="AH1640" s="5" t="s">
        <v>7228</v>
      </c>
      <c r="AI1640" s="5">
        <v>21510.882799999999</v>
      </c>
      <c r="AJ1640" s="5">
        <v>21510.882799999999</v>
      </c>
      <c r="AK1640">
        <v>19978.437399999999</v>
      </c>
      <c r="AL1640" s="5" t="str">
        <f t="shared" si="52"/>
        <v>Тавдинский городской округ</v>
      </c>
    </row>
    <row r="1641" spans="1:38" ht="25.5" customHeight="1" x14ac:dyDescent="0.25">
      <c r="A1641" s="10" t="s">
        <v>1804</v>
      </c>
      <c r="B1641" s="11" t="s">
        <v>1691</v>
      </c>
      <c r="C1641" s="5">
        <v>36244.5985</v>
      </c>
      <c r="D1641" s="5">
        <v>36244.5985</v>
      </c>
      <c r="E1641" s="5">
        <v>32992.053800000002</v>
      </c>
      <c r="G1641" s="5" t="str">
        <f t="shared" si="51"/>
        <v>ДинСанПод</v>
      </c>
      <c r="J1641" s="5"/>
      <c r="AF1641" t="s">
        <v>7228</v>
      </c>
      <c r="AG1641" s="24" t="s">
        <v>6872</v>
      </c>
      <c r="AH1641" s="5" t="s">
        <v>7228</v>
      </c>
      <c r="AI1641" s="5">
        <v>21510.882799999999</v>
      </c>
      <c r="AJ1641" s="5">
        <v>21510.882799999999</v>
      </c>
      <c r="AK1641">
        <v>19978.437399999999</v>
      </c>
      <c r="AL1641" s="5" t="str">
        <f t="shared" si="52"/>
        <v>Тавдинский городской округ</v>
      </c>
    </row>
    <row r="1642" spans="1:38" ht="25.5" customHeight="1" x14ac:dyDescent="0.25">
      <c r="A1642" s="10" t="s">
        <v>1805</v>
      </c>
      <c r="B1642" s="11" t="s">
        <v>1683</v>
      </c>
      <c r="C1642" s="5">
        <v>40018.9617</v>
      </c>
      <c r="D1642" s="5">
        <v>40018.9617</v>
      </c>
      <c r="E1642" s="5">
        <v>35129.2961</v>
      </c>
      <c r="G1642" s="5" t="str">
        <f t="shared" si="51"/>
        <v>Алт_Гальян_М-Кушва</v>
      </c>
      <c r="J1642" s="5"/>
      <c r="AF1642" t="s">
        <v>7228</v>
      </c>
      <c r="AG1642" s="24" t="s">
        <v>6873</v>
      </c>
      <c r="AH1642" s="5" t="s">
        <v>7228</v>
      </c>
      <c r="AI1642" s="5">
        <v>21510.882799999999</v>
      </c>
      <c r="AJ1642" s="5">
        <v>21510.882799999999</v>
      </c>
      <c r="AK1642">
        <v>19978.437399999999</v>
      </c>
      <c r="AL1642" s="5" t="str">
        <f t="shared" si="52"/>
        <v>Тавдинский городской округ</v>
      </c>
    </row>
    <row r="1643" spans="1:38" ht="25.5" customHeight="1" x14ac:dyDescent="0.25">
      <c r="A1643" s="10" t="s">
        <v>1806</v>
      </c>
      <c r="B1643" s="11" t="s">
        <v>1686</v>
      </c>
      <c r="C1643" s="5">
        <v>24299.835599999999</v>
      </c>
      <c r="D1643" s="5">
        <v>24299.835599999999</v>
      </c>
      <c r="E1643" s="5">
        <v>21330.794900000001</v>
      </c>
      <c r="G1643" s="5" t="str">
        <f t="shared" si="51"/>
        <v>Евст_В-Черм</v>
      </c>
      <c r="J1643" s="5"/>
      <c r="AF1643" t="s">
        <v>7228</v>
      </c>
      <c r="AG1643" s="24" t="s">
        <v>6874</v>
      </c>
      <c r="AH1643" s="5" t="s">
        <v>7228</v>
      </c>
      <c r="AI1643" s="5">
        <v>21510.882799999999</v>
      </c>
      <c r="AJ1643" s="5">
        <v>21510.882799999999</v>
      </c>
      <c r="AK1643">
        <v>19978.437399999999</v>
      </c>
      <c r="AL1643" s="5" t="str">
        <f t="shared" si="52"/>
        <v>Тавдинский городской округ</v>
      </c>
    </row>
    <row r="1644" spans="1:38" ht="25.5" customHeight="1" x14ac:dyDescent="0.25">
      <c r="A1644" s="10" t="s">
        <v>1807</v>
      </c>
      <c r="B1644" s="11" t="s">
        <v>1688</v>
      </c>
      <c r="C1644" s="5">
        <v>29893.73</v>
      </c>
      <c r="D1644" s="5">
        <v>29893.73</v>
      </c>
      <c r="E1644" s="5">
        <v>26241.207699999999</v>
      </c>
      <c r="G1644" s="5" t="str">
        <f t="shared" si="51"/>
        <v>Сух_Г-Кам_Н_Кушва_Н-Черм</v>
      </c>
      <c r="J1644" s="5"/>
      <c r="AF1644" t="s">
        <v>7228</v>
      </c>
      <c r="AG1644" s="24" t="s">
        <v>6875</v>
      </c>
      <c r="AH1644" s="5" t="s">
        <v>7228</v>
      </c>
      <c r="AI1644" s="5">
        <v>21510.882799999999</v>
      </c>
      <c r="AJ1644" s="5">
        <v>21510.882799999999</v>
      </c>
      <c r="AK1644">
        <v>19978.437399999999</v>
      </c>
      <c r="AL1644" s="5" t="str">
        <f t="shared" si="52"/>
        <v>Тавдинский городской округ</v>
      </c>
    </row>
    <row r="1645" spans="1:38" ht="25.5" customHeight="1" x14ac:dyDescent="0.25">
      <c r="A1645" s="10" t="s">
        <v>850</v>
      </c>
      <c r="B1645" s="11" t="s">
        <v>1689</v>
      </c>
      <c r="C1645" s="5">
        <v>34023.428</v>
      </c>
      <c r="D1645" s="5">
        <v>34023.428</v>
      </c>
      <c r="E1645" s="5">
        <v>29866.3148</v>
      </c>
      <c r="G1645" s="5" t="str">
        <f t="shared" si="51"/>
        <v>Тагил_Кирп</v>
      </c>
      <c r="J1645" s="5"/>
      <c r="AF1645" t="s">
        <v>7228</v>
      </c>
      <c r="AG1645" s="24" t="s">
        <v>6876</v>
      </c>
      <c r="AH1645" s="5" t="s">
        <v>7228</v>
      </c>
      <c r="AI1645" s="5">
        <v>21510.882799999999</v>
      </c>
      <c r="AJ1645" s="5">
        <v>21510.882799999999</v>
      </c>
      <c r="AK1645">
        <v>19978.437399999999</v>
      </c>
      <c r="AL1645" s="5" t="str">
        <f t="shared" si="52"/>
        <v>Тавдинский городской округ</v>
      </c>
    </row>
    <row r="1646" spans="1:38" ht="25.5" customHeight="1" x14ac:dyDescent="0.25">
      <c r="A1646" s="10" t="s">
        <v>1808</v>
      </c>
      <c r="B1646" s="11" t="s">
        <v>1676</v>
      </c>
      <c r="C1646" s="5">
        <v>28848.8855</v>
      </c>
      <c r="D1646" s="5">
        <v>28848.8855</v>
      </c>
      <c r="E1646" s="5">
        <v>25946.143</v>
      </c>
      <c r="G1646" s="5" t="str">
        <f t="shared" si="51"/>
        <v>Чкаловский</v>
      </c>
      <c r="J1646" s="5"/>
      <c r="AF1646" t="s">
        <v>7228</v>
      </c>
      <c r="AG1646" s="24" t="s">
        <v>6877</v>
      </c>
      <c r="AH1646" s="5" t="s">
        <v>7228</v>
      </c>
      <c r="AI1646" s="5">
        <v>21510.882799999999</v>
      </c>
      <c r="AJ1646" s="5">
        <v>21510.882799999999</v>
      </c>
      <c r="AK1646">
        <v>19978.437399999999</v>
      </c>
      <c r="AL1646" s="5" t="str">
        <f t="shared" si="52"/>
        <v>Тавдинский городской округ</v>
      </c>
    </row>
    <row r="1647" spans="1:38" ht="25.5" customHeight="1" x14ac:dyDescent="0.25">
      <c r="A1647" s="10" t="s">
        <v>1809</v>
      </c>
      <c r="B1647" s="11" t="s">
        <v>1679</v>
      </c>
      <c r="C1647" s="5">
        <v>28855.326499999999</v>
      </c>
      <c r="D1647" s="5">
        <v>28855.326499999999</v>
      </c>
      <c r="E1647" s="5">
        <v>25951.933700000001</v>
      </c>
      <c r="G1647" s="5" t="str">
        <f t="shared" si="51"/>
        <v>Ст.Каменск-Хозспособ</v>
      </c>
      <c r="J1647" s="5"/>
      <c r="AF1647" t="s">
        <v>7228</v>
      </c>
      <c r="AG1647" s="24" t="s">
        <v>6878</v>
      </c>
      <c r="AH1647" s="5" t="s">
        <v>7228</v>
      </c>
      <c r="AI1647" s="5">
        <v>21510.882799999999</v>
      </c>
      <c r="AJ1647" s="5">
        <v>21510.882799999999</v>
      </c>
      <c r="AK1647">
        <v>19978.437399999999</v>
      </c>
      <c r="AL1647" s="5" t="str">
        <f t="shared" si="52"/>
        <v>Тавдинский городской округ</v>
      </c>
    </row>
    <row r="1648" spans="1:38" ht="25.5" customHeight="1" x14ac:dyDescent="0.25">
      <c r="A1648" s="10" t="s">
        <v>1810</v>
      </c>
      <c r="B1648" s="11" t="s">
        <v>1683</v>
      </c>
      <c r="C1648" s="5">
        <v>40018.9617</v>
      </c>
      <c r="D1648" s="5">
        <v>40018.9617</v>
      </c>
      <c r="E1648" s="5">
        <v>35129.2961</v>
      </c>
      <c r="G1648" s="5" t="str">
        <f t="shared" si="51"/>
        <v>Алт_Гальян_М-Кушва</v>
      </c>
      <c r="J1648" s="5"/>
      <c r="AF1648" t="s">
        <v>7228</v>
      </c>
      <c r="AG1648" s="24" t="s">
        <v>6879</v>
      </c>
      <c r="AH1648" s="5" t="s">
        <v>7228</v>
      </c>
      <c r="AI1648" s="5">
        <v>21510.882799999999</v>
      </c>
      <c r="AJ1648" s="5">
        <v>21510.882799999999</v>
      </c>
      <c r="AK1648">
        <v>19978.437399999999</v>
      </c>
      <c r="AL1648" s="5" t="str">
        <f t="shared" si="52"/>
        <v>Тавдинский городской округ</v>
      </c>
    </row>
    <row r="1649" spans="1:38" ht="25.5" customHeight="1" x14ac:dyDescent="0.25">
      <c r="A1649" s="10" t="s">
        <v>1811</v>
      </c>
      <c r="B1649" s="11" t="s">
        <v>1695</v>
      </c>
      <c r="C1649" s="5">
        <v>40100.412600000003</v>
      </c>
      <c r="D1649" s="5">
        <v>40100.412600000003</v>
      </c>
      <c r="E1649" s="5">
        <v>36501.853799999997</v>
      </c>
      <c r="G1649" s="5" t="str">
        <f t="shared" si="51"/>
        <v>Соцгород</v>
      </c>
      <c r="J1649" s="5"/>
      <c r="AF1649" t="s">
        <v>7228</v>
      </c>
      <c r="AG1649" s="24" t="s">
        <v>6880</v>
      </c>
      <c r="AH1649" s="5" t="s">
        <v>7228</v>
      </c>
      <c r="AI1649" s="5">
        <v>21510.882799999999</v>
      </c>
      <c r="AJ1649" s="5">
        <v>21510.882799999999</v>
      </c>
      <c r="AK1649">
        <v>19978.437399999999</v>
      </c>
      <c r="AL1649" s="5" t="str">
        <f t="shared" si="52"/>
        <v>Тавдинский городской округ</v>
      </c>
    </row>
    <row r="1650" spans="1:38" ht="25.5" customHeight="1" x14ac:dyDescent="0.25">
      <c r="A1650" s="10" t="s">
        <v>144</v>
      </c>
      <c r="B1650" s="11" t="s">
        <v>1685</v>
      </c>
      <c r="C1650" s="5">
        <v>36513.6518</v>
      </c>
      <c r="D1650" s="5">
        <v>36513.6518</v>
      </c>
      <c r="E1650" s="5">
        <v>32052.276999999998</v>
      </c>
      <c r="G1650" s="5" t="str">
        <f t="shared" si="51"/>
        <v>Выя_Леб_Горб_Кр-Кам</v>
      </c>
      <c r="J1650" s="5"/>
      <c r="AF1650" t="s">
        <v>7228</v>
      </c>
      <c r="AG1650" s="24" t="s">
        <v>6881</v>
      </c>
      <c r="AH1650" s="5" t="s">
        <v>7228</v>
      </c>
      <c r="AI1650" s="5">
        <v>21510.882799999999</v>
      </c>
      <c r="AJ1650" s="5">
        <v>21510.882799999999</v>
      </c>
      <c r="AK1650">
        <v>19978.437399999999</v>
      </c>
      <c r="AL1650" s="5" t="str">
        <f t="shared" si="52"/>
        <v>Тавдинский городской округ</v>
      </c>
    </row>
    <row r="1651" spans="1:38" ht="25.5" customHeight="1" x14ac:dyDescent="0.25">
      <c r="A1651" s="10" t="s">
        <v>1812</v>
      </c>
      <c r="B1651" s="11" t="s">
        <v>1679</v>
      </c>
      <c r="C1651" s="5">
        <v>28855.326499999999</v>
      </c>
      <c r="D1651" s="5">
        <v>28855.326499999999</v>
      </c>
      <c r="E1651" s="5">
        <v>25951.933700000001</v>
      </c>
      <c r="G1651" s="5" t="str">
        <f t="shared" si="51"/>
        <v>Ст.Каменск-Хозспособ</v>
      </c>
      <c r="J1651" s="5"/>
      <c r="AF1651" t="s">
        <v>7228</v>
      </c>
      <c r="AG1651" s="24" t="s">
        <v>6882</v>
      </c>
      <c r="AH1651" s="5" t="s">
        <v>7228</v>
      </c>
      <c r="AI1651" s="5">
        <v>21510.882799999999</v>
      </c>
      <c r="AJ1651" s="5">
        <v>21510.882799999999</v>
      </c>
      <c r="AK1651">
        <v>19978.437399999999</v>
      </c>
      <c r="AL1651" s="5" t="str">
        <f t="shared" si="52"/>
        <v>Тавдинский городской округ</v>
      </c>
    </row>
    <row r="1652" spans="1:38" ht="25.5" customHeight="1" x14ac:dyDescent="0.25">
      <c r="A1652" s="10" t="s">
        <v>1813</v>
      </c>
      <c r="B1652" s="11" t="s">
        <v>1684</v>
      </c>
      <c r="C1652" s="5">
        <v>40625.090199999999</v>
      </c>
      <c r="D1652" s="5">
        <v>40625.090199999999</v>
      </c>
      <c r="E1652" s="5">
        <v>35661.364300000001</v>
      </c>
      <c r="G1652" s="5" t="str">
        <f t="shared" si="51"/>
        <v>Ваг_Стар_Пихтовы-г</v>
      </c>
      <c r="J1652" s="5"/>
      <c r="AF1652" t="s">
        <v>7228</v>
      </c>
      <c r="AG1652" s="24" t="s">
        <v>6883</v>
      </c>
      <c r="AH1652" s="5" t="s">
        <v>7228</v>
      </c>
      <c r="AI1652" s="5">
        <v>21510.882799999999</v>
      </c>
      <c r="AJ1652" s="5">
        <v>21510.882799999999</v>
      </c>
      <c r="AK1652">
        <v>19978.437399999999</v>
      </c>
      <c r="AL1652" s="5" t="str">
        <f t="shared" si="52"/>
        <v>Тавдинский городской округ</v>
      </c>
    </row>
    <row r="1653" spans="1:38" ht="25.5" customHeight="1" x14ac:dyDescent="0.25">
      <c r="A1653" s="10" t="s">
        <v>1445</v>
      </c>
      <c r="B1653" s="11" t="s">
        <v>1683</v>
      </c>
      <c r="C1653" s="5">
        <v>40018.9617</v>
      </c>
      <c r="D1653" s="5">
        <v>40018.9617</v>
      </c>
      <c r="E1653" s="5">
        <v>35129.2961</v>
      </c>
      <c r="G1653" s="5" t="str">
        <f t="shared" si="51"/>
        <v>Алт_Гальян_М-Кушва</v>
      </c>
      <c r="J1653" s="5"/>
      <c r="AF1653" t="s">
        <v>7228</v>
      </c>
      <c r="AG1653" s="24" t="s">
        <v>6884</v>
      </c>
      <c r="AH1653" s="5" t="s">
        <v>7228</v>
      </c>
      <c r="AI1653" s="5">
        <v>21510.882799999999</v>
      </c>
      <c r="AJ1653" s="5">
        <v>21510.882799999999</v>
      </c>
      <c r="AK1653">
        <v>19978.437399999999</v>
      </c>
      <c r="AL1653" s="5" t="str">
        <f t="shared" si="52"/>
        <v>Тавдинский городской округ</v>
      </c>
    </row>
    <row r="1654" spans="1:38" ht="25.5" customHeight="1" x14ac:dyDescent="0.25">
      <c r="A1654" s="10" t="s">
        <v>618</v>
      </c>
      <c r="B1654" s="11" t="s">
        <v>1687</v>
      </c>
      <c r="C1654" s="5">
        <v>30591.135900000001</v>
      </c>
      <c r="D1654" s="5">
        <v>30591.135900000001</v>
      </c>
      <c r="E1654" s="5">
        <v>26853.405500000001</v>
      </c>
      <c r="G1654" s="5" t="str">
        <f t="shared" si="51"/>
        <v>Рудник_Север</v>
      </c>
      <c r="J1654" s="5"/>
      <c r="AF1654" t="s">
        <v>7228</v>
      </c>
      <c r="AG1654" s="24" t="s">
        <v>6885</v>
      </c>
      <c r="AH1654" s="5" t="s">
        <v>7228</v>
      </c>
      <c r="AI1654" s="5">
        <v>21510.882799999999</v>
      </c>
      <c r="AJ1654" s="5">
        <v>21510.882799999999</v>
      </c>
      <c r="AK1654">
        <v>19978.437399999999</v>
      </c>
      <c r="AL1654" s="5" t="str">
        <f t="shared" si="52"/>
        <v>Тавдинский городской округ</v>
      </c>
    </row>
    <row r="1655" spans="1:38" ht="25.5" customHeight="1" x14ac:dyDescent="0.25">
      <c r="A1655" s="10" t="s">
        <v>1814</v>
      </c>
      <c r="B1655" s="11" t="s">
        <v>1676</v>
      </c>
      <c r="C1655" s="5">
        <v>28848.8855</v>
      </c>
      <c r="D1655" s="5">
        <v>28848.8855</v>
      </c>
      <c r="E1655" s="5">
        <v>25946.143</v>
      </c>
      <c r="G1655" s="5" t="str">
        <f t="shared" si="51"/>
        <v>Чкаловский</v>
      </c>
      <c r="J1655" s="5"/>
      <c r="AF1655" t="s">
        <v>7228</v>
      </c>
      <c r="AG1655" s="24" t="s">
        <v>6886</v>
      </c>
      <c r="AH1655" s="5" t="s">
        <v>7228</v>
      </c>
      <c r="AI1655" s="5">
        <v>21510.882799999999</v>
      </c>
      <c r="AJ1655" s="5">
        <v>21510.882799999999</v>
      </c>
      <c r="AK1655">
        <v>19978.437399999999</v>
      </c>
      <c r="AL1655" s="5" t="str">
        <f t="shared" si="52"/>
        <v>Тавдинский городской округ</v>
      </c>
    </row>
    <row r="1656" spans="1:38" ht="25.5" customHeight="1" x14ac:dyDescent="0.25">
      <c r="A1656" s="10" t="s">
        <v>1815</v>
      </c>
      <c r="B1656" s="11" t="s">
        <v>1687</v>
      </c>
      <c r="C1656" s="5">
        <v>30591.135900000001</v>
      </c>
      <c r="D1656" s="5">
        <v>30591.135900000001</v>
      </c>
      <c r="E1656" s="5">
        <v>26853.405500000001</v>
      </c>
      <c r="G1656" s="5" t="str">
        <f t="shared" si="51"/>
        <v>Рудник_Север</v>
      </c>
      <c r="J1656" s="5"/>
      <c r="AF1656" t="s">
        <v>7228</v>
      </c>
      <c r="AG1656" s="24" t="s">
        <v>6887</v>
      </c>
      <c r="AH1656" s="5" t="s">
        <v>7228</v>
      </c>
      <c r="AI1656" s="5">
        <v>21510.882799999999</v>
      </c>
      <c r="AJ1656" s="5">
        <v>21510.882799999999</v>
      </c>
      <c r="AK1656">
        <v>19978.437399999999</v>
      </c>
      <c r="AL1656" s="5" t="str">
        <f t="shared" si="52"/>
        <v>Тавдинский городской округ</v>
      </c>
    </row>
    <row r="1657" spans="1:38" ht="25.5" customHeight="1" x14ac:dyDescent="0.25">
      <c r="A1657" s="10" t="s">
        <v>1816</v>
      </c>
      <c r="B1657" s="11" t="s">
        <v>1691</v>
      </c>
      <c r="C1657" s="5">
        <v>36244.5985</v>
      </c>
      <c r="D1657" s="5">
        <v>36244.5985</v>
      </c>
      <c r="E1657" s="5">
        <v>32992.053800000002</v>
      </c>
      <c r="G1657" s="5" t="str">
        <f t="shared" si="51"/>
        <v>ДинСанПод</v>
      </c>
      <c r="J1657" s="5"/>
      <c r="AF1657" t="s">
        <v>7228</v>
      </c>
      <c r="AG1657" s="24" t="s">
        <v>6888</v>
      </c>
      <c r="AH1657" s="5" t="s">
        <v>7228</v>
      </c>
      <c r="AI1657" s="5">
        <v>21510.882799999999</v>
      </c>
      <c r="AJ1657" s="5">
        <v>21510.882799999999</v>
      </c>
      <c r="AK1657">
        <v>19978.437399999999</v>
      </c>
      <c r="AL1657" s="5" t="str">
        <f t="shared" si="52"/>
        <v>Тавдинский городской округ</v>
      </c>
    </row>
    <row r="1658" spans="1:38" ht="25.5" customHeight="1" x14ac:dyDescent="0.25">
      <c r="A1658" s="10" t="s">
        <v>1817</v>
      </c>
      <c r="B1658" s="11" t="s">
        <v>1679</v>
      </c>
      <c r="C1658" s="5">
        <v>28855.326499999999</v>
      </c>
      <c r="D1658" s="5">
        <v>28855.326499999999</v>
      </c>
      <c r="E1658" s="5">
        <v>25951.933700000001</v>
      </c>
      <c r="G1658" s="5" t="str">
        <f t="shared" si="51"/>
        <v>Ст.Каменск-Хозспособ</v>
      </c>
      <c r="J1658" s="5"/>
      <c r="AF1658" t="s">
        <v>7228</v>
      </c>
      <c r="AG1658" s="24" t="s">
        <v>6889</v>
      </c>
      <c r="AH1658" s="5" t="s">
        <v>7228</v>
      </c>
      <c r="AI1658" s="5">
        <v>21510.882799999999</v>
      </c>
      <c r="AJ1658" s="5">
        <v>21510.882799999999</v>
      </c>
      <c r="AK1658">
        <v>19978.437399999999</v>
      </c>
      <c r="AL1658" s="5" t="str">
        <f t="shared" si="52"/>
        <v>Тавдинский городской округ</v>
      </c>
    </row>
    <row r="1659" spans="1:38" ht="25.5" customHeight="1" x14ac:dyDescent="0.25">
      <c r="A1659" s="10" t="s">
        <v>1818</v>
      </c>
      <c r="B1659" s="11" t="s">
        <v>1685</v>
      </c>
      <c r="C1659" s="5">
        <v>36513.6518</v>
      </c>
      <c r="D1659" s="5">
        <v>36513.6518</v>
      </c>
      <c r="E1659" s="5">
        <v>32052.276999999998</v>
      </c>
      <c r="G1659" s="5" t="str">
        <f t="shared" si="51"/>
        <v>Выя_Леб_Горб_Кр-Кам</v>
      </c>
      <c r="J1659" s="5"/>
      <c r="AF1659" t="s">
        <v>7228</v>
      </c>
      <c r="AG1659" s="24" t="s">
        <v>6890</v>
      </c>
      <c r="AH1659" s="5" t="s">
        <v>7228</v>
      </c>
      <c r="AI1659" s="5">
        <v>21510.882799999999</v>
      </c>
      <c r="AJ1659" s="5">
        <v>21510.882799999999</v>
      </c>
      <c r="AK1659">
        <v>19978.437399999999</v>
      </c>
      <c r="AL1659" s="5" t="str">
        <f t="shared" si="52"/>
        <v>Тавдинский городской округ</v>
      </c>
    </row>
    <row r="1660" spans="1:38" ht="25.5" customHeight="1" x14ac:dyDescent="0.25">
      <c r="A1660" s="10" t="s">
        <v>1819</v>
      </c>
      <c r="B1660" s="11" t="s">
        <v>1687</v>
      </c>
      <c r="C1660" s="5">
        <v>30591.135900000001</v>
      </c>
      <c r="D1660" s="5">
        <v>30591.135900000001</v>
      </c>
      <c r="E1660" s="5">
        <v>26853.405500000001</v>
      </c>
      <c r="G1660" s="5" t="str">
        <f t="shared" si="51"/>
        <v>Рудник_Север</v>
      </c>
      <c r="J1660" s="5"/>
      <c r="AF1660" t="s">
        <v>7228</v>
      </c>
      <c r="AG1660" s="24" t="s">
        <v>6891</v>
      </c>
      <c r="AH1660" s="5" t="s">
        <v>7228</v>
      </c>
      <c r="AI1660" s="5">
        <v>21510.882799999999</v>
      </c>
      <c r="AJ1660" s="5">
        <v>21510.882799999999</v>
      </c>
      <c r="AK1660">
        <v>19978.437399999999</v>
      </c>
      <c r="AL1660" s="5" t="str">
        <f t="shared" si="52"/>
        <v>Тавдинский городской округ</v>
      </c>
    </row>
    <row r="1661" spans="1:38" ht="25.5" customHeight="1" x14ac:dyDescent="0.25">
      <c r="A1661" s="10" t="s">
        <v>1820</v>
      </c>
      <c r="B1661" s="11" t="s">
        <v>1693</v>
      </c>
      <c r="C1661" s="5">
        <v>32948.938800000004</v>
      </c>
      <c r="D1661" s="5">
        <v>32948.938800000004</v>
      </c>
      <c r="E1661" s="5">
        <v>29992.139899999998</v>
      </c>
      <c r="G1661" s="5" t="str">
        <f t="shared" si="51"/>
        <v>Магнитка</v>
      </c>
      <c r="J1661" s="5"/>
      <c r="AF1661" t="s">
        <v>7228</v>
      </c>
      <c r="AG1661" s="24" t="s">
        <v>6892</v>
      </c>
      <c r="AH1661" s="5" t="s">
        <v>7228</v>
      </c>
      <c r="AI1661" s="5">
        <v>21510.882799999999</v>
      </c>
      <c r="AJ1661" s="5">
        <v>21510.882799999999</v>
      </c>
      <c r="AK1661">
        <v>19978.437399999999</v>
      </c>
      <c r="AL1661" s="5" t="str">
        <f t="shared" si="52"/>
        <v>Тавдинский городской округ</v>
      </c>
    </row>
    <row r="1662" spans="1:38" ht="25.5" customHeight="1" x14ac:dyDescent="0.25">
      <c r="A1662" s="10" t="s">
        <v>1547</v>
      </c>
      <c r="B1662" s="11" t="s">
        <v>7242</v>
      </c>
      <c r="C1662" s="5">
        <v>27104.663700000001</v>
      </c>
      <c r="D1662" s="5">
        <v>27104.663700000001</v>
      </c>
      <c r="E1662" s="5">
        <v>26564.688900000001</v>
      </c>
      <c r="G1662" s="5" t="str">
        <f t="shared" si="51"/>
        <v>КК возле Первоуральска которые должны считаться как область</v>
      </c>
      <c r="J1662" s="5"/>
      <c r="AF1662" t="s">
        <v>7228</v>
      </c>
      <c r="AG1662" s="24" t="s">
        <v>6893</v>
      </c>
      <c r="AH1662" s="5" t="s">
        <v>7228</v>
      </c>
      <c r="AI1662" s="5">
        <v>21510.882799999999</v>
      </c>
      <c r="AJ1662" s="5">
        <v>21510.882799999999</v>
      </c>
      <c r="AK1662">
        <v>19978.437399999999</v>
      </c>
      <c r="AL1662" s="5" t="str">
        <f t="shared" si="52"/>
        <v>Тавдинский городской округ</v>
      </c>
    </row>
    <row r="1663" spans="1:38" ht="25.5" customHeight="1" x14ac:dyDescent="0.25">
      <c r="A1663" s="10" t="s">
        <v>1821</v>
      </c>
      <c r="B1663" s="11" t="s">
        <v>1682</v>
      </c>
      <c r="C1663" s="5">
        <v>38278.589899999999</v>
      </c>
      <c r="D1663" s="5">
        <v>38278.589899999999</v>
      </c>
      <c r="E1663" s="5">
        <v>34427.0285</v>
      </c>
      <c r="G1663" s="5" t="str">
        <f t="shared" si="51"/>
        <v>Трубников</v>
      </c>
      <c r="J1663" s="5"/>
      <c r="AF1663" t="s">
        <v>7228</v>
      </c>
      <c r="AG1663" s="24" t="s">
        <v>6894</v>
      </c>
      <c r="AH1663" s="5" t="s">
        <v>7228</v>
      </c>
      <c r="AI1663" s="5">
        <v>21510.882799999999</v>
      </c>
      <c r="AJ1663" s="5">
        <v>21510.882799999999</v>
      </c>
      <c r="AK1663">
        <v>19978.437399999999</v>
      </c>
      <c r="AL1663" s="5" t="str">
        <f t="shared" si="52"/>
        <v>Тавдинский городской округ</v>
      </c>
    </row>
    <row r="1664" spans="1:38" ht="25.5" customHeight="1" x14ac:dyDescent="0.25">
      <c r="A1664" s="10" t="s">
        <v>1822</v>
      </c>
      <c r="B1664" s="11" t="s">
        <v>1696</v>
      </c>
      <c r="C1664" s="5">
        <v>36808.582300000002</v>
      </c>
      <c r="D1664" s="5">
        <v>36808.582300000002</v>
      </c>
      <c r="E1664" s="5">
        <v>33505.428800000002</v>
      </c>
      <c r="G1664" s="5" t="str">
        <f t="shared" si="51"/>
        <v>Талица</v>
      </c>
      <c r="J1664" s="5"/>
      <c r="AF1664" t="s">
        <v>7228</v>
      </c>
      <c r="AG1664" s="24" t="s">
        <v>6895</v>
      </c>
      <c r="AH1664" s="5" t="s">
        <v>7228</v>
      </c>
      <c r="AI1664" s="5">
        <v>26577.1888</v>
      </c>
      <c r="AJ1664" s="5">
        <v>26577.1888</v>
      </c>
      <c r="AK1664">
        <v>24683.813999999998</v>
      </c>
      <c r="AL1664" s="5" t="str">
        <f t="shared" si="52"/>
        <v>Тавдинский городской округ</v>
      </c>
    </row>
    <row r="1665" spans="1:38" ht="25.5" customHeight="1" x14ac:dyDescent="0.25">
      <c r="A1665" s="10" t="s">
        <v>1823</v>
      </c>
      <c r="B1665" s="11" t="s">
        <v>1688</v>
      </c>
      <c r="C1665" s="5">
        <v>29893.73</v>
      </c>
      <c r="D1665" s="5">
        <v>29893.73</v>
      </c>
      <c r="E1665" s="5">
        <v>26241.207699999999</v>
      </c>
      <c r="G1665" s="5" t="str">
        <f t="shared" si="51"/>
        <v>Сух_Г-Кам_Н_Кушва_Н-Черм</v>
      </c>
      <c r="J1665" s="5"/>
      <c r="AF1665" t="s">
        <v>7228</v>
      </c>
      <c r="AG1665" s="24" t="s">
        <v>6896</v>
      </c>
      <c r="AH1665" s="5" t="s">
        <v>7228</v>
      </c>
      <c r="AI1665" s="5">
        <v>21510.882799999999</v>
      </c>
      <c r="AJ1665" s="5">
        <v>21510.882799999999</v>
      </c>
      <c r="AK1665">
        <v>19978.437399999999</v>
      </c>
      <c r="AL1665" s="5" t="str">
        <f t="shared" si="52"/>
        <v>Тавдинский городской округ</v>
      </c>
    </row>
    <row r="1666" spans="1:38" ht="25.5" customHeight="1" x14ac:dyDescent="0.25">
      <c r="A1666" s="10" t="s">
        <v>1824</v>
      </c>
      <c r="B1666" s="11" t="s">
        <v>1676</v>
      </c>
      <c r="C1666" s="5">
        <v>28848.8855</v>
      </c>
      <c r="D1666" s="5">
        <v>28848.8855</v>
      </c>
      <c r="E1666" s="5">
        <v>25946.143</v>
      </c>
      <c r="G1666" s="5" t="str">
        <f t="shared" si="51"/>
        <v>Чкаловский</v>
      </c>
      <c r="J1666" s="5"/>
      <c r="AF1666" t="s">
        <v>7228</v>
      </c>
      <c r="AG1666" s="24" t="s">
        <v>6897</v>
      </c>
      <c r="AH1666" s="5" t="s">
        <v>7228</v>
      </c>
      <c r="AI1666" s="5">
        <v>21510.882799999999</v>
      </c>
      <c r="AJ1666" s="5">
        <v>21510.882799999999</v>
      </c>
      <c r="AK1666">
        <v>19978.437399999999</v>
      </c>
      <c r="AL1666" s="5" t="str">
        <f t="shared" si="52"/>
        <v>Тавдинский городской округ</v>
      </c>
    </row>
    <row r="1667" spans="1:38" x14ac:dyDescent="0.25">
      <c r="A1667" s="10" t="s">
        <v>1825</v>
      </c>
      <c r="B1667" s="11" t="s">
        <v>1681</v>
      </c>
      <c r="C1667" s="5">
        <v>32172.2909</v>
      </c>
      <c r="D1667" s="5">
        <v>32172.2909</v>
      </c>
      <c r="E1667" s="5">
        <v>28935.146499999999</v>
      </c>
      <c r="G1667" s="5" t="str">
        <f t="shared" si="51"/>
        <v>Ленин-Олимп</v>
      </c>
      <c r="J1667" s="5"/>
      <c r="AF1667" t="s">
        <v>7228</v>
      </c>
      <c r="AG1667" s="24" t="s">
        <v>6898</v>
      </c>
      <c r="AH1667" s="5" t="s">
        <v>7228</v>
      </c>
      <c r="AI1667" s="5">
        <v>21510.882799999999</v>
      </c>
      <c r="AJ1667" s="5">
        <v>21510.882799999999</v>
      </c>
      <c r="AK1667">
        <v>19978.437399999999</v>
      </c>
      <c r="AL1667" s="5" t="str">
        <f t="shared" si="52"/>
        <v>Тавдинский городской округ</v>
      </c>
    </row>
    <row r="1668" spans="1:38" ht="25.5" customHeight="1" x14ac:dyDescent="0.25">
      <c r="A1668" s="10" t="s">
        <v>806</v>
      </c>
      <c r="B1668" s="11" t="s">
        <v>1693</v>
      </c>
      <c r="C1668" s="5">
        <v>32948.938800000004</v>
      </c>
      <c r="D1668" s="5">
        <v>32948.938800000004</v>
      </c>
      <c r="E1668" s="5">
        <v>29992.139899999998</v>
      </c>
      <c r="G1668" s="5" t="str">
        <f t="shared" ref="G1668:G1731" si="53">B1668</f>
        <v>Магнитка</v>
      </c>
      <c r="J1668" s="5"/>
      <c r="AF1668" t="s">
        <v>7228</v>
      </c>
      <c r="AG1668" s="24" t="s">
        <v>6899</v>
      </c>
      <c r="AH1668" s="5" t="s">
        <v>7228</v>
      </c>
      <c r="AI1668" s="5">
        <v>21510.882799999999</v>
      </c>
      <c r="AJ1668" s="5">
        <v>21510.882799999999</v>
      </c>
      <c r="AK1668">
        <v>19978.437399999999</v>
      </c>
      <c r="AL1668" s="5" t="str">
        <f t="shared" ref="AL1668:AL1731" si="54">AF1668</f>
        <v>Тавдинский городской округ</v>
      </c>
    </row>
    <row r="1669" spans="1:38" ht="25.5" customHeight="1" x14ac:dyDescent="0.25">
      <c r="A1669" s="10" t="s">
        <v>1826</v>
      </c>
      <c r="B1669" s="11" t="s">
        <v>1683</v>
      </c>
      <c r="C1669" s="5">
        <v>40018.9617</v>
      </c>
      <c r="D1669" s="5">
        <v>40018.9617</v>
      </c>
      <c r="E1669" s="5">
        <v>35129.2961</v>
      </c>
      <c r="G1669" s="5" t="str">
        <f t="shared" si="53"/>
        <v>Алт_Гальян_М-Кушва</v>
      </c>
      <c r="J1669" s="5"/>
      <c r="AF1669" t="s">
        <v>7228</v>
      </c>
      <c r="AG1669" s="24" t="s">
        <v>6900</v>
      </c>
      <c r="AH1669" s="5" t="s">
        <v>7228</v>
      </c>
      <c r="AI1669" s="5">
        <v>21510.882799999999</v>
      </c>
      <c r="AJ1669" s="5">
        <v>21510.882799999999</v>
      </c>
      <c r="AK1669">
        <v>19978.437399999999</v>
      </c>
      <c r="AL1669" s="5" t="str">
        <f t="shared" si="54"/>
        <v>Тавдинский городской округ</v>
      </c>
    </row>
    <row r="1670" spans="1:38" ht="25.5" customHeight="1" x14ac:dyDescent="0.25">
      <c r="A1670" s="10" t="s">
        <v>1827</v>
      </c>
      <c r="B1670" s="11" t="s">
        <v>1689</v>
      </c>
      <c r="C1670" s="5">
        <v>34023.428</v>
      </c>
      <c r="D1670" s="5">
        <v>34023.428</v>
      </c>
      <c r="E1670" s="5">
        <v>29866.3148</v>
      </c>
      <c r="G1670" s="5" t="str">
        <f t="shared" si="53"/>
        <v>Тагил_Кирп</v>
      </c>
      <c r="J1670" s="5"/>
      <c r="AF1670" t="s">
        <v>7228</v>
      </c>
      <c r="AG1670" s="24" t="s">
        <v>6901</v>
      </c>
      <c r="AH1670" s="5" t="s">
        <v>7228</v>
      </c>
      <c r="AI1670" s="5">
        <v>21510.882799999999</v>
      </c>
      <c r="AJ1670" s="5">
        <v>21510.882799999999</v>
      </c>
      <c r="AK1670">
        <v>19978.437399999999</v>
      </c>
      <c r="AL1670" s="5" t="str">
        <f t="shared" si="54"/>
        <v>Тавдинский городской округ</v>
      </c>
    </row>
    <row r="1671" spans="1:38" ht="25.5" customHeight="1" x14ac:dyDescent="0.25">
      <c r="A1671" s="10" t="s">
        <v>1828</v>
      </c>
      <c r="B1671" s="11" t="s">
        <v>1696</v>
      </c>
      <c r="C1671" s="5">
        <v>36808.582300000002</v>
      </c>
      <c r="D1671" s="5">
        <v>36808.582300000002</v>
      </c>
      <c r="E1671" s="5">
        <v>33505.428800000002</v>
      </c>
      <c r="G1671" s="5" t="str">
        <f t="shared" si="53"/>
        <v>Талица</v>
      </c>
      <c r="J1671" s="5"/>
      <c r="AF1671" t="s">
        <v>7228</v>
      </c>
      <c r="AG1671" s="24" t="s">
        <v>6902</v>
      </c>
      <c r="AH1671" s="5" t="s">
        <v>7228</v>
      </c>
      <c r="AI1671" s="5">
        <v>21510.882799999999</v>
      </c>
      <c r="AJ1671" s="5">
        <v>21510.882799999999</v>
      </c>
      <c r="AK1671">
        <v>19978.437399999999</v>
      </c>
      <c r="AL1671" s="5" t="str">
        <f t="shared" si="54"/>
        <v>Тавдинский городской округ</v>
      </c>
    </row>
    <row r="1672" spans="1:38" ht="25.5" customHeight="1" x14ac:dyDescent="0.25">
      <c r="A1672" s="10" t="s">
        <v>1000</v>
      </c>
      <c r="B1672" s="11" t="s">
        <v>7242</v>
      </c>
      <c r="C1672" s="5">
        <v>27104.663700000001</v>
      </c>
      <c r="D1672" s="5">
        <v>27104.663700000001</v>
      </c>
      <c r="E1672" s="5">
        <v>26564.688900000001</v>
      </c>
      <c r="G1672" s="5" t="str">
        <f t="shared" si="53"/>
        <v>КК возле Первоуральска которые должны считаться как область</v>
      </c>
      <c r="J1672" s="5"/>
      <c r="AF1672" t="s">
        <v>7228</v>
      </c>
      <c r="AG1672" s="24" t="s">
        <v>6903</v>
      </c>
      <c r="AH1672" s="5" t="s">
        <v>7228</v>
      </c>
      <c r="AI1672" s="5">
        <v>21510.882799999999</v>
      </c>
      <c r="AJ1672" s="5">
        <v>21510.882799999999</v>
      </c>
      <c r="AK1672">
        <v>19978.437399999999</v>
      </c>
      <c r="AL1672" s="5" t="str">
        <f t="shared" si="54"/>
        <v>Тавдинский городской округ</v>
      </c>
    </row>
    <row r="1673" spans="1:38" ht="25.5" customHeight="1" x14ac:dyDescent="0.25">
      <c r="A1673" s="10" t="s">
        <v>1829</v>
      </c>
      <c r="B1673" s="11" t="s">
        <v>1676</v>
      </c>
      <c r="C1673" s="5">
        <v>28848.8855</v>
      </c>
      <c r="D1673" s="5">
        <v>28848.8855</v>
      </c>
      <c r="E1673" s="5">
        <v>25946.143</v>
      </c>
      <c r="G1673" s="5" t="str">
        <f t="shared" si="53"/>
        <v>Чкаловский</v>
      </c>
      <c r="J1673" s="5"/>
      <c r="AF1673" t="s">
        <v>7228</v>
      </c>
      <c r="AG1673" s="24" t="s">
        <v>6904</v>
      </c>
      <c r="AH1673" s="5" t="s">
        <v>7228</v>
      </c>
      <c r="AI1673" s="5">
        <v>21510.882799999999</v>
      </c>
      <c r="AJ1673" s="5">
        <v>21510.882799999999</v>
      </c>
      <c r="AK1673">
        <v>19978.437399999999</v>
      </c>
      <c r="AL1673" s="5" t="str">
        <f t="shared" si="54"/>
        <v>Тавдинский городской округ</v>
      </c>
    </row>
    <row r="1674" spans="1:38" ht="25.5" customHeight="1" x14ac:dyDescent="0.25">
      <c r="A1674" s="10" t="s">
        <v>1830</v>
      </c>
      <c r="B1674" s="11" t="s">
        <v>1674</v>
      </c>
      <c r="C1674" s="5">
        <v>29199.565200000001</v>
      </c>
      <c r="D1674" s="5">
        <v>29199.565200000001</v>
      </c>
      <c r="E1674" s="5">
        <v>26261.5317</v>
      </c>
      <c r="G1674" s="5" t="str">
        <f t="shared" si="53"/>
        <v>УАЗ</v>
      </c>
      <c r="J1674" s="5"/>
      <c r="AF1674" t="s">
        <v>7228</v>
      </c>
      <c r="AG1674" s="24" t="s">
        <v>6905</v>
      </c>
      <c r="AH1674" s="5" t="s">
        <v>7228</v>
      </c>
      <c r="AI1674" s="5">
        <v>21510.882799999999</v>
      </c>
      <c r="AJ1674" s="5">
        <v>21510.882799999999</v>
      </c>
      <c r="AK1674">
        <v>19978.437399999999</v>
      </c>
      <c r="AL1674" s="5" t="str">
        <f t="shared" si="54"/>
        <v>Тавдинский городской округ</v>
      </c>
    </row>
    <row r="1675" spans="1:38" ht="25.5" customHeight="1" x14ac:dyDescent="0.25">
      <c r="A1675" s="10" t="s">
        <v>1831</v>
      </c>
      <c r="B1675" s="11" t="s">
        <v>1687</v>
      </c>
      <c r="C1675" s="5">
        <v>30591.135900000001</v>
      </c>
      <c r="D1675" s="5">
        <v>30591.135900000001</v>
      </c>
      <c r="E1675" s="5">
        <v>26853.405500000001</v>
      </c>
      <c r="G1675" s="5" t="str">
        <f t="shared" si="53"/>
        <v>Рудник_Север</v>
      </c>
      <c r="J1675" s="5"/>
      <c r="AF1675" t="s">
        <v>7228</v>
      </c>
      <c r="AG1675" s="24" t="s">
        <v>6906</v>
      </c>
      <c r="AH1675" s="5" t="s">
        <v>7228</v>
      </c>
      <c r="AI1675" s="5">
        <v>21510.882799999999</v>
      </c>
      <c r="AJ1675" s="5">
        <v>21510.882799999999</v>
      </c>
      <c r="AK1675">
        <v>19978.437399999999</v>
      </c>
      <c r="AL1675" s="5" t="str">
        <f t="shared" si="54"/>
        <v>Тавдинский городской округ</v>
      </c>
    </row>
    <row r="1676" spans="1:38" x14ac:dyDescent="0.25">
      <c r="A1676" s="10" t="s">
        <v>1832</v>
      </c>
      <c r="B1676" s="11" t="s">
        <v>1674</v>
      </c>
      <c r="C1676" s="5">
        <v>29199.565200000001</v>
      </c>
      <c r="D1676" s="5">
        <v>29199.565200000001</v>
      </c>
      <c r="E1676" s="5">
        <v>26261.5317</v>
      </c>
      <c r="G1676" s="5" t="str">
        <f t="shared" si="53"/>
        <v>УАЗ</v>
      </c>
      <c r="J1676" s="5"/>
      <c r="AF1676" t="s">
        <v>7229</v>
      </c>
      <c r="AG1676" s="24" t="s">
        <v>6907</v>
      </c>
      <c r="AH1676" s="5" t="s">
        <v>7229</v>
      </c>
      <c r="AI1676" s="5">
        <v>22283.381300000001</v>
      </c>
      <c r="AJ1676" s="5">
        <v>22283.381300000001</v>
      </c>
      <c r="AK1676">
        <v>20695.899000000001</v>
      </c>
      <c r="AL1676" s="5" t="str">
        <f t="shared" si="54"/>
        <v>Талицкий городской округ</v>
      </c>
    </row>
    <row r="1677" spans="1:38" ht="25.5" customHeight="1" x14ac:dyDescent="0.25">
      <c r="A1677" s="10" t="s">
        <v>454</v>
      </c>
      <c r="B1677" s="11" t="s">
        <v>1677</v>
      </c>
      <c r="C1677" s="5">
        <v>39105.413099999998</v>
      </c>
      <c r="D1677" s="5">
        <v>39105.413099999998</v>
      </c>
      <c r="E1677" s="5">
        <v>35170.666700000002</v>
      </c>
      <c r="G1677" s="5" t="str">
        <f t="shared" si="53"/>
        <v>Октябрьский</v>
      </c>
      <c r="J1677" s="5"/>
      <c r="AF1677" t="s">
        <v>7229</v>
      </c>
      <c r="AG1677" s="24" t="s">
        <v>6908</v>
      </c>
      <c r="AH1677" s="5" t="s">
        <v>7229</v>
      </c>
      <c r="AI1677" s="5">
        <v>22283.381300000001</v>
      </c>
      <c r="AJ1677" s="5">
        <v>22283.381300000001</v>
      </c>
      <c r="AK1677">
        <v>20695.899000000001</v>
      </c>
      <c r="AL1677" s="5" t="str">
        <f t="shared" si="54"/>
        <v>Талицкий городской округ</v>
      </c>
    </row>
    <row r="1678" spans="1:38" ht="25.5" customHeight="1" x14ac:dyDescent="0.25">
      <c r="A1678" s="10" t="s">
        <v>1833</v>
      </c>
      <c r="B1678" s="11" t="s">
        <v>1683</v>
      </c>
      <c r="C1678" s="5">
        <v>40018.9617</v>
      </c>
      <c r="D1678" s="5">
        <v>40018.9617</v>
      </c>
      <c r="E1678" s="5">
        <v>35129.2961</v>
      </c>
      <c r="G1678" s="5" t="str">
        <f t="shared" si="53"/>
        <v>Алт_Гальян_М-Кушва</v>
      </c>
      <c r="J1678" s="5"/>
      <c r="AF1678" t="s">
        <v>7229</v>
      </c>
      <c r="AG1678" s="24" t="s">
        <v>6909</v>
      </c>
      <c r="AH1678" s="5" t="s">
        <v>7229</v>
      </c>
      <c r="AI1678" s="5">
        <v>22283.381300000001</v>
      </c>
      <c r="AJ1678" s="5">
        <v>22283.381300000001</v>
      </c>
      <c r="AK1678">
        <v>20695.899000000001</v>
      </c>
      <c r="AL1678" s="5" t="str">
        <f t="shared" si="54"/>
        <v>Талицкий городской округ</v>
      </c>
    </row>
    <row r="1679" spans="1:38" x14ac:dyDescent="0.25">
      <c r="A1679" s="10" t="s">
        <v>1834</v>
      </c>
      <c r="B1679" s="11" t="s">
        <v>1681</v>
      </c>
      <c r="C1679" s="5">
        <v>32172.2909</v>
      </c>
      <c r="D1679" s="5">
        <v>32172.2909</v>
      </c>
      <c r="E1679" s="5">
        <v>28935.146499999999</v>
      </c>
      <c r="G1679" s="5" t="str">
        <f t="shared" si="53"/>
        <v>Ленин-Олимп</v>
      </c>
      <c r="J1679" s="5"/>
      <c r="AF1679" t="s">
        <v>7229</v>
      </c>
      <c r="AG1679" s="24" t="s">
        <v>6910</v>
      </c>
      <c r="AH1679" s="5" t="s">
        <v>7229</v>
      </c>
      <c r="AI1679" s="5">
        <v>22283.381300000001</v>
      </c>
      <c r="AJ1679" s="5">
        <v>22283.381300000001</v>
      </c>
      <c r="AK1679">
        <v>20695.899000000001</v>
      </c>
      <c r="AL1679" s="5" t="str">
        <f t="shared" si="54"/>
        <v>Талицкий городской округ</v>
      </c>
    </row>
    <row r="1680" spans="1:38" ht="25.5" customHeight="1" x14ac:dyDescent="0.25">
      <c r="A1680" s="10" t="s">
        <v>1835</v>
      </c>
      <c r="B1680" s="11" t="s">
        <v>1677</v>
      </c>
      <c r="C1680" s="5">
        <v>39105.413099999998</v>
      </c>
      <c r="D1680" s="5">
        <v>39105.413099999998</v>
      </c>
      <c r="E1680" s="5">
        <v>35170.666700000002</v>
      </c>
      <c r="G1680" s="5" t="str">
        <f t="shared" si="53"/>
        <v>Октябрьский</v>
      </c>
      <c r="J1680" s="5"/>
      <c r="AF1680" t="s">
        <v>7229</v>
      </c>
      <c r="AG1680" s="24" t="s">
        <v>6911</v>
      </c>
      <c r="AH1680" s="5" t="s">
        <v>7229</v>
      </c>
      <c r="AI1680" s="5">
        <v>22283.381300000001</v>
      </c>
      <c r="AJ1680" s="5">
        <v>22283.381300000001</v>
      </c>
      <c r="AK1680">
        <v>20695.899000000001</v>
      </c>
      <c r="AL1680" s="5" t="str">
        <f t="shared" si="54"/>
        <v>Талицкий городской округ</v>
      </c>
    </row>
    <row r="1681" spans="1:38" x14ac:dyDescent="0.25">
      <c r="A1681" s="10" t="s">
        <v>1836</v>
      </c>
      <c r="B1681" s="11" t="s">
        <v>1674</v>
      </c>
      <c r="C1681" s="5">
        <v>29199.565200000001</v>
      </c>
      <c r="D1681" s="5">
        <v>29199.565200000001</v>
      </c>
      <c r="E1681" s="5">
        <v>26261.5317</v>
      </c>
      <c r="G1681" s="5" t="str">
        <f t="shared" si="53"/>
        <v>УАЗ</v>
      </c>
      <c r="J1681" s="5"/>
      <c r="AF1681" t="s">
        <v>7229</v>
      </c>
      <c r="AG1681" s="24" t="s">
        <v>6912</v>
      </c>
      <c r="AH1681" s="5" t="s">
        <v>7229</v>
      </c>
      <c r="AI1681" s="5">
        <v>22283.381300000001</v>
      </c>
      <c r="AJ1681" s="5">
        <v>22283.381300000001</v>
      </c>
      <c r="AK1681">
        <v>20695.899000000001</v>
      </c>
      <c r="AL1681" s="5" t="str">
        <f t="shared" si="54"/>
        <v>Талицкий городской округ</v>
      </c>
    </row>
    <row r="1682" spans="1:38" ht="25.5" customHeight="1" x14ac:dyDescent="0.25">
      <c r="A1682" s="10" t="s">
        <v>1837</v>
      </c>
      <c r="B1682" s="11" t="s">
        <v>1679</v>
      </c>
      <c r="C1682" s="5">
        <v>28855.326499999999</v>
      </c>
      <c r="D1682" s="5">
        <v>28855.326499999999</v>
      </c>
      <c r="E1682" s="5">
        <v>25951.933700000001</v>
      </c>
      <c r="G1682" s="5" t="str">
        <f t="shared" si="53"/>
        <v>Ст.Каменск-Хозспособ</v>
      </c>
      <c r="J1682" s="5"/>
      <c r="AF1682" t="s">
        <v>7229</v>
      </c>
      <c r="AG1682" s="24" t="s">
        <v>6913</v>
      </c>
      <c r="AH1682" s="5" t="s">
        <v>7229</v>
      </c>
      <c r="AI1682" s="5">
        <v>22283.381300000001</v>
      </c>
      <c r="AJ1682" s="5">
        <v>22283.381300000001</v>
      </c>
      <c r="AK1682">
        <v>20695.899000000001</v>
      </c>
      <c r="AL1682" s="5" t="str">
        <f t="shared" si="54"/>
        <v>Талицкий городской округ</v>
      </c>
    </row>
    <row r="1683" spans="1:38" ht="25.5" customHeight="1" x14ac:dyDescent="0.25">
      <c r="A1683" s="10" t="s">
        <v>1838</v>
      </c>
      <c r="B1683" s="11" t="s">
        <v>1395</v>
      </c>
      <c r="C1683" s="5">
        <v>27332.119299999998</v>
      </c>
      <c r="D1683" s="5">
        <v>27332.119299999998</v>
      </c>
      <c r="E1683" s="5">
        <v>24879.3747</v>
      </c>
      <c r="G1683" s="5" t="str">
        <f t="shared" si="53"/>
        <v>СОВХОЗ ПЕРВОУРАЛЬСКИЙ</v>
      </c>
      <c r="J1683" s="5"/>
      <c r="AF1683" t="s">
        <v>7229</v>
      </c>
      <c r="AG1683" s="24" t="s">
        <v>6914</v>
      </c>
      <c r="AH1683" s="5" t="s">
        <v>7229</v>
      </c>
      <c r="AI1683" s="5">
        <v>22283.381300000001</v>
      </c>
      <c r="AJ1683" s="5">
        <v>22283.381300000001</v>
      </c>
      <c r="AK1683">
        <v>20695.899000000001</v>
      </c>
      <c r="AL1683" s="5" t="str">
        <f t="shared" si="54"/>
        <v>Талицкий городской округ</v>
      </c>
    </row>
    <row r="1684" spans="1:38" ht="25.5" customHeight="1" x14ac:dyDescent="0.25">
      <c r="A1684" s="10" t="s">
        <v>1839</v>
      </c>
      <c r="B1684" s="11" t="s">
        <v>1686</v>
      </c>
      <c r="C1684" s="5">
        <v>24299.835599999999</v>
      </c>
      <c r="D1684" s="5">
        <v>24299.835599999999</v>
      </c>
      <c r="E1684" s="5">
        <v>21330.794900000001</v>
      </c>
      <c r="G1684" s="5" t="str">
        <f t="shared" si="53"/>
        <v>Евст_В-Черм</v>
      </c>
      <c r="J1684" s="5"/>
      <c r="AF1684" t="s">
        <v>7229</v>
      </c>
      <c r="AG1684" s="24" t="s">
        <v>6915</v>
      </c>
      <c r="AH1684" s="5" t="s">
        <v>7229</v>
      </c>
      <c r="AI1684" s="5">
        <v>22283.381300000001</v>
      </c>
      <c r="AJ1684" s="5">
        <v>22283.381300000001</v>
      </c>
      <c r="AK1684">
        <v>20695.899000000001</v>
      </c>
      <c r="AL1684" s="5" t="str">
        <f t="shared" si="54"/>
        <v>Талицкий городской округ</v>
      </c>
    </row>
    <row r="1685" spans="1:38" ht="25.5" customHeight="1" x14ac:dyDescent="0.25">
      <c r="A1685" s="10" t="s">
        <v>735</v>
      </c>
      <c r="B1685" s="11" t="s">
        <v>1696</v>
      </c>
      <c r="C1685" s="5">
        <v>36808.582300000002</v>
      </c>
      <c r="D1685" s="5">
        <v>36808.582300000002</v>
      </c>
      <c r="E1685" s="5">
        <v>33505.428800000002</v>
      </c>
      <c r="G1685" s="5" t="str">
        <f t="shared" si="53"/>
        <v>Талица</v>
      </c>
      <c r="J1685" s="5"/>
      <c r="AF1685" t="s">
        <v>7229</v>
      </c>
      <c r="AG1685" s="24" t="s">
        <v>6916</v>
      </c>
      <c r="AH1685" s="5" t="s">
        <v>7229</v>
      </c>
      <c r="AI1685" s="5">
        <v>22283.381300000001</v>
      </c>
      <c r="AJ1685" s="5">
        <v>22283.381300000001</v>
      </c>
      <c r="AK1685">
        <v>20695.899000000001</v>
      </c>
      <c r="AL1685" s="5" t="str">
        <f t="shared" si="54"/>
        <v>Талицкий городской округ</v>
      </c>
    </row>
    <row r="1686" spans="1:38" ht="25.5" customHeight="1" x14ac:dyDescent="0.25">
      <c r="A1686" s="10" t="s">
        <v>1840</v>
      </c>
      <c r="B1686" s="11" t="s">
        <v>1688</v>
      </c>
      <c r="C1686" s="5">
        <v>29893.73</v>
      </c>
      <c r="D1686" s="5">
        <v>29893.73</v>
      </c>
      <c r="E1686" s="5">
        <v>26241.207699999999</v>
      </c>
      <c r="G1686" s="5" t="str">
        <f t="shared" si="53"/>
        <v>Сух_Г-Кам_Н_Кушва_Н-Черм</v>
      </c>
      <c r="J1686" s="5"/>
      <c r="AF1686" t="s">
        <v>7229</v>
      </c>
      <c r="AG1686" s="24" t="s">
        <v>6917</v>
      </c>
      <c r="AH1686" s="5" t="s">
        <v>7229</v>
      </c>
      <c r="AI1686" s="5">
        <v>22283.381300000001</v>
      </c>
      <c r="AJ1686" s="5">
        <v>22283.381300000001</v>
      </c>
      <c r="AK1686">
        <v>20695.899000000001</v>
      </c>
      <c r="AL1686" s="5" t="str">
        <f t="shared" si="54"/>
        <v>Талицкий городской округ</v>
      </c>
    </row>
    <row r="1687" spans="1:38" ht="25.5" customHeight="1" x14ac:dyDescent="0.25">
      <c r="A1687" s="10" t="s">
        <v>518</v>
      </c>
      <c r="B1687" s="11" t="s">
        <v>1696</v>
      </c>
      <c r="C1687" s="5">
        <v>36808.582300000002</v>
      </c>
      <c r="D1687" s="5">
        <v>36808.582300000002</v>
      </c>
      <c r="E1687" s="5">
        <v>33505.428800000002</v>
      </c>
      <c r="G1687" s="5" t="str">
        <f t="shared" si="53"/>
        <v>Талица</v>
      </c>
      <c r="J1687" s="5"/>
      <c r="AF1687" t="s">
        <v>7229</v>
      </c>
      <c r="AG1687" s="24" t="s">
        <v>6918</v>
      </c>
      <c r="AH1687" s="5" t="s">
        <v>7229</v>
      </c>
      <c r="AI1687" s="5">
        <v>22283.381300000001</v>
      </c>
      <c r="AJ1687" s="5">
        <v>22283.381300000001</v>
      </c>
      <c r="AK1687">
        <v>20695.899000000001</v>
      </c>
      <c r="AL1687" s="5" t="str">
        <f t="shared" si="54"/>
        <v>Талицкий городской округ</v>
      </c>
    </row>
    <row r="1688" spans="1:38" ht="25.5" customHeight="1" x14ac:dyDescent="0.25">
      <c r="A1688" s="10" t="s">
        <v>405</v>
      </c>
      <c r="B1688" s="11" t="s">
        <v>1687</v>
      </c>
      <c r="C1688" s="5">
        <v>30591.135900000001</v>
      </c>
      <c r="D1688" s="5">
        <v>30591.135900000001</v>
      </c>
      <c r="E1688" s="5">
        <v>26853.405500000001</v>
      </c>
      <c r="G1688" s="5" t="str">
        <f t="shared" si="53"/>
        <v>Рудник_Север</v>
      </c>
      <c r="J1688" s="5"/>
      <c r="AF1688" t="s">
        <v>7229</v>
      </c>
      <c r="AG1688" s="24" t="s">
        <v>6919</v>
      </c>
      <c r="AH1688" s="5" t="s">
        <v>7229</v>
      </c>
      <c r="AI1688" s="5">
        <v>22283.381300000001</v>
      </c>
      <c r="AJ1688" s="5">
        <v>22283.381300000001</v>
      </c>
      <c r="AK1688">
        <v>20695.899000000001</v>
      </c>
      <c r="AL1688" s="5" t="str">
        <f t="shared" si="54"/>
        <v>Талицкий городской округ</v>
      </c>
    </row>
    <row r="1689" spans="1:38" ht="25.5" customHeight="1" x14ac:dyDescent="0.25">
      <c r="A1689" s="10" t="s">
        <v>1841</v>
      </c>
      <c r="B1689" s="11" t="s">
        <v>1688</v>
      </c>
      <c r="C1689" s="5">
        <v>29893.73</v>
      </c>
      <c r="D1689" s="5">
        <v>29893.73</v>
      </c>
      <c r="E1689" s="5">
        <v>26241.207699999999</v>
      </c>
      <c r="G1689" s="5" t="str">
        <f t="shared" si="53"/>
        <v>Сух_Г-Кам_Н_Кушва_Н-Черм</v>
      </c>
      <c r="J1689" s="5"/>
      <c r="AF1689" t="s">
        <v>7229</v>
      </c>
      <c r="AG1689" s="24" t="s">
        <v>6920</v>
      </c>
      <c r="AH1689" s="5" t="s">
        <v>7229</v>
      </c>
      <c r="AI1689" s="5">
        <v>22283.381300000001</v>
      </c>
      <c r="AJ1689" s="5">
        <v>22283.381300000001</v>
      </c>
      <c r="AK1689">
        <v>20695.899000000001</v>
      </c>
      <c r="AL1689" s="5" t="str">
        <f t="shared" si="54"/>
        <v>Талицкий городской округ</v>
      </c>
    </row>
    <row r="1690" spans="1:38" ht="25.5" customHeight="1" x14ac:dyDescent="0.25">
      <c r="A1690" s="10" t="s">
        <v>148</v>
      </c>
      <c r="B1690" s="11" t="s">
        <v>1688</v>
      </c>
      <c r="C1690" s="5">
        <v>29893.73</v>
      </c>
      <c r="D1690" s="5">
        <v>29893.73</v>
      </c>
      <c r="E1690" s="5">
        <v>26241.207699999999</v>
      </c>
      <c r="G1690" s="5" t="str">
        <f t="shared" si="53"/>
        <v>Сух_Г-Кам_Н_Кушва_Н-Черм</v>
      </c>
      <c r="J1690" s="5"/>
      <c r="AF1690" t="s">
        <v>7229</v>
      </c>
      <c r="AG1690" s="24" t="s">
        <v>6921</v>
      </c>
      <c r="AH1690" s="5" t="s">
        <v>7229</v>
      </c>
      <c r="AI1690" s="5">
        <v>22841.533200000002</v>
      </c>
      <c r="AJ1690" s="5">
        <v>22841.533200000002</v>
      </c>
      <c r="AK1690">
        <v>21214.290499999999</v>
      </c>
      <c r="AL1690" s="5" t="str">
        <f t="shared" si="54"/>
        <v>Талицкий городской округ</v>
      </c>
    </row>
    <row r="1691" spans="1:38" ht="25.5" customHeight="1" x14ac:dyDescent="0.25">
      <c r="A1691" s="10" t="s">
        <v>1842</v>
      </c>
      <c r="B1691" s="11" t="s">
        <v>1679</v>
      </c>
      <c r="C1691" s="5">
        <v>28855.326499999999</v>
      </c>
      <c r="D1691" s="5">
        <v>28855.326499999999</v>
      </c>
      <c r="E1691" s="5">
        <v>25951.933700000001</v>
      </c>
      <c r="G1691" s="5" t="str">
        <f t="shared" si="53"/>
        <v>Ст.Каменск-Хозспособ</v>
      </c>
      <c r="J1691" s="5"/>
      <c r="AF1691" t="s">
        <v>7229</v>
      </c>
      <c r="AG1691" s="24" t="s">
        <v>6922</v>
      </c>
      <c r="AH1691" s="5" t="s">
        <v>7229</v>
      </c>
      <c r="AI1691" s="5">
        <v>22283.381300000001</v>
      </c>
      <c r="AJ1691" s="5">
        <v>22283.381300000001</v>
      </c>
      <c r="AK1691">
        <v>20695.899000000001</v>
      </c>
      <c r="AL1691" s="5" t="str">
        <f t="shared" si="54"/>
        <v>Талицкий городской округ</v>
      </c>
    </row>
    <row r="1692" spans="1:38" ht="25.5" customHeight="1" x14ac:dyDescent="0.25">
      <c r="A1692" s="10" t="s">
        <v>941</v>
      </c>
      <c r="B1692" s="11" t="s">
        <v>1674</v>
      </c>
      <c r="C1692" s="5">
        <v>29199.565200000001</v>
      </c>
      <c r="D1692" s="5">
        <v>29199.565200000001</v>
      </c>
      <c r="E1692" s="5">
        <v>26261.5317</v>
      </c>
      <c r="G1692" s="5" t="str">
        <f t="shared" si="53"/>
        <v>УАЗ</v>
      </c>
      <c r="J1692" s="5"/>
      <c r="AF1692" t="s">
        <v>7229</v>
      </c>
      <c r="AG1692" s="24" t="s">
        <v>6923</v>
      </c>
      <c r="AH1692" s="5" t="s">
        <v>7229</v>
      </c>
      <c r="AI1692" s="5">
        <v>22283.381300000001</v>
      </c>
      <c r="AJ1692" s="5">
        <v>22283.381300000001</v>
      </c>
      <c r="AK1692">
        <v>20695.899000000001</v>
      </c>
      <c r="AL1692" s="5" t="str">
        <f t="shared" si="54"/>
        <v>Талицкий городской округ</v>
      </c>
    </row>
    <row r="1693" spans="1:38" ht="25.5" customHeight="1" x14ac:dyDescent="0.25">
      <c r="A1693" s="10" t="s">
        <v>1843</v>
      </c>
      <c r="B1693" s="11" t="s">
        <v>1689</v>
      </c>
      <c r="C1693" s="5">
        <v>34023.428</v>
      </c>
      <c r="D1693" s="5">
        <v>34023.428</v>
      </c>
      <c r="E1693" s="5">
        <v>29866.3148</v>
      </c>
      <c r="G1693" s="5" t="str">
        <f t="shared" si="53"/>
        <v>Тагил_Кирп</v>
      </c>
      <c r="J1693" s="5"/>
      <c r="AF1693" t="s">
        <v>7229</v>
      </c>
      <c r="AG1693" s="24" t="s">
        <v>6924</v>
      </c>
      <c r="AH1693" s="5" t="s">
        <v>7229</v>
      </c>
      <c r="AI1693" s="5">
        <v>22283.381300000001</v>
      </c>
      <c r="AJ1693" s="5">
        <v>22283.381300000001</v>
      </c>
      <c r="AK1693">
        <v>20695.899000000001</v>
      </c>
      <c r="AL1693" s="5" t="str">
        <f t="shared" si="54"/>
        <v>Талицкий городской округ</v>
      </c>
    </row>
    <row r="1694" spans="1:38" ht="25.5" customHeight="1" x14ac:dyDescent="0.25">
      <c r="A1694" s="10" t="s">
        <v>1844</v>
      </c>
      <c r="B1694" s="11" t="s">
        <v>1683</v>
      </c>
      <c r="C1694" s="5">
        <v>40018.9617</v>
      </c>
      <c r="D1694" s="5">
        <v>40018.9617</v>
      </c>
      <c r="E1694" s="5">
        <v>35129.2961</v>
      </c>
      <c r="G1694" s="5" t="str">
        <f t="shared" si="53"/>
        <v>Алт_Гальян_М-Кушва</v>
      </c>
      <c r="J1694" s="5"/>
      <c r="AF1694" t="s">
        <v>7229</v>
      </c>
      <c r="AG1694" s="24" t="s">
        <v>6925</v>
      </c>
      <c r="AH1694" s="5" t="s">
        <v>7229</v>
      </c>
      <c r="AI1694" s="5">
        <v>22283.381300000001</v>
      </c>
      <c r="AJ1694" s="5">
        <v>22283.381300000001</v>
      </c>
      <c r="AK1694">
        <v>20695.899000000001</v>
      </c>
      <c r="AL1694" s="5" t="str">
        <f t="shared" si="54"/>
        <v>Талицкий городской округ</v>
      </c>
    </row>
    <row r="1695" spans="1:38" ht="25.5" customHeight="1" x14ac:dyDescent="0.25">
      <c r="A1695" s="10" t="s">
        <v>1212</v>
      </c>
      <c r="B1695" s="11" t="s">
        <v>1681</v>
      </c>
      <c r="C1695" s="5">
        <v>32172.2909</v>
      </c>
      <c r="D1695" s="5">
        <v>32172.2909</v>
      </c>
      <c r="E1695" s="5">
        <v>28935.146499999999</v>
      </c>
      <c r="G1695" s="5" t="str">
        <f t="shared" si="53"/>
        <v>Ленин-Олимп</v>
      </c>
      <c r="J1695" s="5"/>
      <c r="AF1695" t="s">
        <v>7229</v>
      </c>
      <c r="AG1695" s="24" t="s">
        <v>6926</v>
      </c>
      <c r="AH1695" s="5" t="s">
        <v>7229</v>
      </c>
      <c r="AI1695" s="5">
        <v>22283.381300000001</v>
      </c>
      <c r="AJ1695" s="5">
        <v>22283.381300000001</v>
      </c>
      <c r="AK1695">
        <v>20695.899000000001</v>
      </c>
      <c r="AL1695" s="5" t="str">
        <f t="shared" si="54"/>
        <v>Талицкий городской округ</v>
      </c>
    </row>
    <row r="1696" spans="1:38" ht="25.5" customHeight="1" x14ac:dyDescent="0.25">
      <c r="A1696" s="20" t="s">
        <v>1150</v>
      </c>
      <c r="B1696" s="22" t="s">
        <v>7238</v>
      </c>
      <c r="C1696" s="5">
        <v>21261.0285</v>
      </c>
      <c r="D1696" s="5">
        <v>21261.0285</v>
      </c>
      <c r="E1696" s="5">
        <v>20837.465199999999</v>
      </c>
      <c r="G1696" s="5" t="str">
        <f t="shared" si="53"/>
        <v>с.Сулем</v>
      </c>
      <c r="J1696" s="5"/>
      <c r="AF1696" t="s">
        <v>7229</v>
      </c>
      <c r="AG1696" s="24" t="s">
        <v>6927</v>
      </c>
      <c r="AH1696" s="5" t="s">
        <v>7229</v>
      </c>
      <c r="AI1696" s="5">
        <v>22283.381300000001</v>
      </c>
      <c r="AJ1696" s="5">
        <v>22283.381300000001</v>
      </c>
      <c r="AK1696">
        <v>20695.899000000001</v>
      </c>
      <c r="AL1696" s="5" t="str">
        <f t="shared" si="54"/>
        <v>Талицкий городской округ</v>
      </c>
    </row>
    <row r="1697" spans="1:38" ht="25.5" customHeight="1" x14ac:dyDescent="0.25">
      <c r="A1697" s="10" t="s">
        <v>662</v>
      </c>
      <c r="B1697" s="11" t="s">
        <v>1679</v>
      </c>
      <c r="C1697" s="5">
        <v>28855.326499999999</v>
      </c>
      <c r="D1697" s="5">
        <v>28855.326499999999</v>
      </c>
      <c r="E1697" s="5">
        <v>25951.933700000001</v>
      </c>
      <c r="G1697" s="5" t="str">
        <f t="shared" si="53"/>
        <v>Ст.Каменск-Хозспособ</v>
      </c>
      <c r="J1697" s="5"/>
      <c r="AF1697" t="s">
        <v>7229</v>
      </c>
      <c r="AG1697" s="24" t="s">
        <v>6928</v>
      </c>
      <c r="AH1697" s="5" t="s">
        <v>7229</v>
      </c>
      <c r="AI1697" s="5">
        <v>22283.381300000001</v>
      </c>
      <c r="AJ1697" s="5">
        <v>22283.381300000001</v>
      </c>
      <c r="AK1697">
        <v>20695.899000000001</v>
      </c>
      <c r="AL1697" s="5" t="str">
        <f t="shared" si="54"/>
        <v>Талицкий городской округ</v>
      </c>
    </row>
    <row r="1698" spans="1:38" ht="25.5" customHeight="1" x14ac:dyDescent="0.25">
      <c r="A1698" s="10" t="s">
        <v>1845</v>
      </c>
      <c r="B1698" s="11" t="s">
        <v>1676</v>
      </c>
      <c r="C1698" s="5">
        <v>28848.8855</v>
      </c>
      <c r="D1698" s="5">
        <v>28848.8855</v>
      </c>
      <c r="E1698" s="5">
        <v>25946.143</v>
      </c>
      <c r="G1698" s="5" t="str">
        <f t="shared" si="53"/>
        <v>Чкаловский</v>
      </c>
      <c r="J1698" s="5"/>
      <c r="AF1698" t="s">
        <v>7229</v>
      </c>
      <c r="AG1698" s="24" t="s">
        <v>6929</v>
      </c>
      <c r="AH1698" s="5" t="s">
        <v>7229</v>
      </c>
      <c r="AI1698" s="5">
        <v>22283.381300000001</v>
      </c>
      <c r="AJ1698" s="5">
        <v>22283.381300000001</v>
      </c>
      <c r="AK1698">
        <v>20695.899000000001</v>
      </c>
      <c r="AL1698" s="5" t="str">
        <f t="shared" si="54"/>
        <v>Талицкий городской округ</v>
      </c>
    </row>
    <row r="1699" spans="1:38" ht="25.5" customHeight="1" x14ac:dyDescent="0.25">
      <c r="A1699" s="10" t="s">
        <v>1846</v>
      </c>
      <c r="B1699" s="11" t="s">
        <v>1395</v>
      </c>
      <c r="C1699" s="5">
        <v>27332.119299999998</v>
      </c>
      <c r="D1699" s="5">
        <v>27332.119299999998</v>
      </c>
      <c r="E1699" s="5">
        <v>24879.3747</v>
      </c>
      <c r="G1699" s="5" t="str">
        <f t="shared" si="53"/>
        <v>СОВХОЗ ПЕРВОУРАЛЬСКИЙ</v>
      </c>
      <c r="J1699" s="5"/>
      <c r="AF1699" t="s">
        <v>7229</v>
      </c>
      <c r="AG1699" s="24" t="s">
        <v>6930</v>
      </c>
      <c r="AH1699" s="5" t="s">
        <v>7229</v>
      </c>
      <c r="AI1699" s="5">
        <v>22283.381300000001</v>
      </c>
      <c r="AJ1699" s="5">
        <v>22283.381300000001</v>
      </c>
      <c r="AK1699">
        <v>20695.899000000001</v>
      </c>
      <c r="AL1699" s="5" t="str">
        <f t="shared" si="54"/>
        <v>Талицкий городской округ</v>
      </c>
    </row>
    <row r="1700" spans="1:38" ht="25.5" customHeight="1" x14ac:dyDescent="0.25">
      <c r="A1700" s="10" t="s">
        <v>150</v>
      </c>
      <c r="B1700" s="11" t="s">
        <v>1695</v>
      </c>
      <c r="C1700" s="5">
        <v>40100.412600000003</v>
      </c>
      <c r="D1700" s="5">
        <v>40100.412600000003</v>
      </c>
      <c r="E1700" s="5">
        <v>36501.853799999997</v>
      </c>
      <c r="G1700" s="5" t="str">
        <f t="shared" si="53"/>
        <v>Соцгород</v>
      </c>
      <c r="J1700" s="5"/>
      <c r="AF1700" t="s">
        <v>7229</v>
      </c>
      <c r="AG1700" s="24" t="s">
        <v>6931</v>
      </c>
      <c r="AH1700" s="5" t="s">
        <v>7229</v>
      </c>
      <c r="AI1700" s="5">
        <v>22283.381300000001</v>
      </c>
      <c r="AJ1700" s="5">
        <v>22283.381300000001</v>
      </c>
      <c r="AK1700">
        <v>20695.899000000001</v>
      </c>
      <c r="AL1700" s="5" t="str">
        <f t="shared" si="54"/>
        <v>Талицкий городской округ</v>
      </c>
    </row>
    <row r="1701" spans="1:38" ht="25.5" customHeight="1" x14ac:dyDescent="0.25">
      <c r="A1701" s="10" t="s">
        <v>1847</v>
      </c>
      <c r="B1701" s="11" t="s">
        <v>1699</v>
      </c>
      <c r="C1701" s="5">
        <v>34007.852099999996</v>
      </c>
      <c r="D1701" s="5">
        <v>34007.852099999996</v>
      </c>
      <c r="E1701" s="5">
        <v>30956.028900000001</v>
      </c>
      <c r="G1701" s="5" t="str">
        <f t="shared" si="53"/>
        <v>Шайтанка</v>
      </c>
      <c r="J1701" s="5"/>
      <c r="AF1701" t="s">
        <v>7229</v>
      </c>
      <c r="AG1701" s="24" t="s">
        <v>6932</v>
      </c>
      <c r="AH1701" s="5" t="s">
        <v>7229</v>
      </c>
      <c r="AI1701" s="5">
        <v>22283.381300000001</v>
      </c>
      <c r="AJ1701" s="5">
        <v>22283.381300000001</v>
      </c>
      <c r="AK1701">
        <v>20695.899000000001</v>
      </c>
      <c r="AL1701" s="5" t="str">
        <f t="shared" si="54"/>
        <v>Талицкий городской округ</v>
      </c>
    </row>
    <row r="1702" spans="1:38" ht="25.5" customHeight="1" x14ac:dyDescent="0.25">
      <c r="A1702" s="10" t="s">
        <v>430</v>
      </c>
      <c r="B1702" s="11" t="s">
        <v>1685</v>
      </c>
      <c r="C1702" s="5">
        <v>36513.6518</v>
      </c>
      <c r="D1702" s="5">
        <v>36513.6518</v>
      </c>
      <c r="E1702" s="5">
        <v>32052.276999999998</v>
      </c>
      <c r="G1702" s="5" t="str">
        <f t="shared" si="53"/>
        <v>Выя_Леб_Горб_Кр-Кам</v>
      </c>
      <c r="J1702" s="5"/>
      <c r="AF1702" t="s">
        <v>7229</v>
      </c>
      <c r="AG1702" s="24" t="s">
        <v>6933</v>
      </c>
      <c r="AH1702" s="5" t="s">
        <v>7229</v>
      </c>
      <c r="AI1702" s="5">
        <v>22283.381300000001</v>
      </c>
      <c r="AJ1702" s="5">
        <v>22283.381300000001</v>
      </c>
      <c r="AK1702">
        <v>20695.899000000001</v>
      </c>
      <c r="AL1702" s="5" t="str">
        <f t="shared" si="54"/>
        <v>Талицкий городской округ</v>
      </c>
    </row>
    <row r="1703" spans="1:38" ht="25.5" customHeight="1" x14ac:dyDescent="0.25">
      <c r="A1703" s="10" t="s">
        <v>646</v>
      </c>
      <c r="B1703" s="11" t="s">
        <v>1694</v>
      </c>
      <c r="C1703" s="5">
        <v>26641.525799999999</v>
      </c>
      <c r="D1703" s="5">
        <v>26641.525799999999</v>
      </c>
      <c r="E1703" s="5">
        <v>24250.754499999999</v>
      </c>
      <c r="G1703" s="5" t="str">
        <f t="shared" si="53"/>
        <v>Первомайский</v>
      </c>
      <c r="J1703" s="5"/>
      <c r="AF1703" t="s">
        <v>7229</v>
      </c>
      <c r="AG1703" s="24" t="s">
        <v>6934</v>
      </c>
      <c r="AH1703" s="5" t="s">
        <v>7229</v>
      </c>
      <c r="AI1703" s="5">
        <v>22283.381300000001</v>
      </c>
      <c r="AJ1703" s="5">
        <v>22283.381300000001</v>
      </c>
      <c r="AK1703">
        <v>20695.899000000001</v>
      </c>
      <c r="AL1703" s="5" t="str">
        <f t="shared" si="54"/>
        <v>Талицкий городской округ</v>
      </c>
    </row>
    <row r="1704" spans="1:38" ht="25.5" customHeight="1" x14ac:dyDescent="0.25">
      <c r="A1704" s="10" t="s">
        <v>1848</v>
      </c>
      <c r="B1704" s="11" t="s">
        <v>1676</v>
      </c>
      <c r="C1704" s="5">
        <v>28848.8855</v>
      </c>
      <c r="D1704" s="5">
        <v>28848.8855</v>
      </c>
      <c r="E1704" s="5">
        <v>25946.143</v>
      </c>
      <c r="G1704" s="5" t="str">
        <f t="shared" si="53"/>
        <v>Чкаловский</v>
      </c>
      <c r="J1704" s="5"/>
      <c r="AF1704" t="s">
        <v>7229</v>
      </c>
      <c r="AG1704" s="24" t="s">
        <v>6935</v>
      </c>
      <c r="AH1704" s="5" t="s">
        <v>7229</v>
      </c>
      <c r="AI1704" s="5">
        <v>22283.381300000001</v>
      </c>
      <c r="AJ1704" s="5">
        <v>22283.381300000001</v>
      </c>
      <c r="AK1704">
        <v>20695.899000000001</v>
      </c>
      <c r="AL1704" s="5" t="str">
        <f t="shared" si="54"/>
        <v>Талицкий городской округ</v>
      </c>
    </row>
    <row r="1705" spans="1:38" ht="25.5" customHeight="1" x14ac:dyDescent="0.25">
      <c r="A1705" s="10" t="s">
        <v>1849</v>
      </c>
      <c r="B1705" s="11" t="s">
        <v>1695</v>
      </c>
      <c r="C1705" s="5">
        <v>40100.412600000003</v>
      </c>
      <c r="D1705" s="5">
        <v>40100.412600000003</v>
      </c>
      <c r="E1705" s="5">
        <v>36501.853799999997</v>
      </c>
      <c r="G1705" s="5" t="str">
        <f t="shared" si="53"/>
        <v>Соцгород</v>
      </c>
      <c r="J1705" s="5"/>
      <c r="AF1705" t="s">
        <v>7229</v>
      </c>
      <c r="AG1705" s="24" t="s">
        <v>6936</v>
      </c>
      <c r="AH1705" s="5" t="s">
        <v>7229</v>
      </c>
      <c r="AI1705" s="5">
        <v>22283.381300000001</v>
      </c>
      <c r="AJ1705" s="5">
        <v>22283.381300000001</v>
      </c>
      <c r="AK1705">
        <v>20695.899000000001</v>
      </c>
      <c r="AL1705" s="5" t="str">
        <f t="shared" si="54"/>
        <v>Талицкий городской округ</v>
      </c>
    </row>
    <row r="1706" spans="1:38" ht="25.5" customHeight="1" x14ac:dyDescent="0.25">
      <c r="A1706" s="10" t="s">
        <v>1850</v>
      </c>
      <c r="B1706" s="11" t="s">
        <v>1699</v>
      </c>
      <c r="C1706" s="5">
        <v>34007.852099999996</v>
      </c>
      <c r="D1706" s="5">
        <v>34007.852099999996</v>
      </c>
      <c r="E1706" s="5">
        <v>30956.028900000001</v>
      </c>
      <c r="G1706" s="5" t="str">
        <f t="shared" si="53"/>
        <v>Шайтанка</v>
      </c>
      <c r="J1706" s="5"/>
      <c r="AF1706" t="s">
        <v>7229</v>
      </c>
      <c r="AG1706" s="24" t="s">
        <v>6937</v>
      </c>
      <c r="AH1706" s="5" t="s">
        <v>7229</v>
      </c>
      <c r="AI1706" s="5">
        <v>22283.381300000001</v>
      </c>
      <c r="AJ1706" s="5">
        <v>22283.381300000001</v>
      </c>
      <c r="AK1706">
        <v>20695.899000000001</v>
      </c>
      <c r="AL1706" s="5" t="str">
        <f t="shared" si="54"/>
        <v>Талицкий городской округ</v>
      </c>
    </row>
    <row r="1707" spans="1:38" ht="25.5" customHeight="1" x14ac:dyDescent="0.25">
      <c r="A1707" s="10" t="s">
        <v>1851</v>
      </c>
      <c r="B1707" s="11" t="s">
        <v>1699</v>
      </c>
      <c r="C1707" s="5">
        <v>34007.852099999996</v>
      </c>
      <c r="D1707" s="5">
        <v>34007.852099999996</v>
      </c>
      <c r="E1707" s="5">
        <v>30956.028900000001</v>
      </c>
      <c r="G1707" s="5" t="str">
        <f t="shared" si="53"/>
        <v>Шайтанка</v>
      </c>
      <c r="J1707" s="5"/>
      <c r="AF1707" t="s">
        <v>7229</v>
      </c>
      <c r="AG1707" s="24" t="s">
        <v>6938</v>
      </c>
      <c r="AH1707" s="5" t="s">
        <v>7229</v>
      </c>
      <c r="AI1707" s="5">
        <v>22283.381300000001</v>
      </c>
      <c r="AJ1707" s="5">
        <v>22283.381300000001</v>
      </c>
      <c r="AK1707">
        <v>20695.899000000001</v>
      </c>
      <c r="AL1707" s="5" t="str">
        <f t="shared" si="54"/>
        <v>Талицкий городской округ</v>
      </c>
    </row>
    <row r="1708" spans="1:38" ht="25.5" customHeight="1" x14ac:dyDescent="0.25">
      <c r="A1708" s="10" t="s">
        <v>1852</v>
      </c>
      <c r="B1708" s="11" t="s">
        <v>1679</v>
      </c>
      <c r="C1708" s="5">
        <v>28855.326499999999</v>
      </c>
      <c r="D1708" s="5">
        <v>28855.326499999999</v>
      </c>
      <c r="E1708" s="5">
        <v>25951.933700000001</v>
      </c>
      <c r="G1708" s="5" t="str">
        <f t="shared" si="53"/>
        <v>Ст.Каменск-Хозспособ</v>
      </c>
      <c r="J1708" s="5"/>
      <c r="AF1708" t="s">
        <v>7229</v>
      </c>
      <c r="AG1708" s="24" t="s">
        <v>6939</v>
      </c>
      <c r="AH1708" s="5" t="s">
        <v>7229</v>
      </c>
      <c r="AI1708" s="5">
        <v>22283.381300000001</v>
      </c>
      <c r="AJ1708" s="5">
        <v>22283.381300000001</v>
      </c>
      <c r="AK1708">
        <v>20695.899000000001</v>
      </c>
      <c r="AL1708" s="5" t="str">
        <f t="shared" si="54"/>
        <v>Талицкий городской округ</v>
      </c>
    </row>
    <row r="1709" spans="1:38" ht="25.5" customHeight="1" x14ac:dyDescent="0.25">
      <c r="A1709" s="10" t="s">
        <v>851</v>
      </c>
      <c r="B1709" s="11" t="s">
        <v>7242</v>
      </c>
      <c r="C1709" s="5">
        <v>27104.663700000001</v>
      </c>
      <c r="D1709" s="5">
        <v>27104.663700000001</v>
      </c>
      <c r="E1709" s="5">
        <v>26564.688900000001</v>
      </c>
      <c r="G1709" s="5" t="str">
        <f t="shared" si="53"/>
        <v>КК возле Первоуральска которые должны считаться как область</v>
      </c>
      <c r="J1709" s="5"/>
      <c r="AF1709" t="s">
        <v>7229</v>
      </c>
      <c r="AG1709" s="24" t="s">
        <v>6940</v>
      </c>
      <c r="AH1709" s="5" t="s">
        <v>7229</v>
      </c>
      <c r="AI1709" s="5">
        <v>22283.381300000001</v>
      </c>
      <c r="AJ1709" s="5">
        <v>22283.381300000001</v>
      </c>
      <c r="AK1709">
        <v>20695.899000000001</v>
      </c>
      <c r="AL1709" s="5" t="str">
        <f t="shared" si="54"/>
        <v>Талицкий городской округ</v>
      </c>
    </row>
    <row r="1710" spans="1:38" ht="25.5" customHeight="1" x14ac:dyDescent="0.25">
      <c r="A1710" s="10" t="s">
        <v>1853</v>
      </c>
      <c r="B1710" s="11" t="s">
        <v>1684</v>
      </c>
      <c r="C1710" s="5">
        <v>40625.090199999999</v>
      </c>
      <c r="D1710" s="5">
        <v>40625.090199999999</v>
      </c>
      <c r="E1710" s="5">
        <v>35661.364300000001</v>
      </c>
      <c r="G1710" s="5" t="str">
        <f t="shared" si="53"/>
        <v>Ваг_Стар_Пихтовы-г</v>
      </c>
      <c r="J1710" s="5"/>
      <c r="AF1710" t="s">
        <v>7229</v>
      </c>
      <c r="AG1710" s="24" t="s">
        <v>6941</v>
      </c>
      <c r="AH1710" s="5" t="s">
        <v>7229</v>
      </c>
      <c r="AI1710" s="5">
        <v>22283.381300000001</v>
      </c>
      <c r="AJ1710" s="5">
        <v>22283.381300000001</v>
      </c>
      <c r="AK1710">
        <v>20695.899000000001</v>
      </c>
      <c r="AL1710" s="5" t="str">
        <f t="shared" si="54"/>
        <v>Талицкий городской округ</v>
      </c>
    </row>
    <row r="1711" spans="1:38" ht="25.5" customHeight="1" x14ac:dyDescent="0.25">
      <c r="A1711" s="10" t="s">
        <v>1854</v>
      </c>
      <c r="B1711" s="11" t="s">
        <v>1691</v>
      </c>
      <c r="C1711" s="5">
        <v>36244.5985</v>
      </c>
      <c r="D1711" s="5">
        <v>36244.5985</v>
      </c>
      <c r="E1711" s="5">
        <v>32992.053800000002</v>
      </c>
      <c r="G1711" s="5" t="str">
        <f t="shared" si="53"/>
        <v>ДинСанПод</v>
      </c>
      <c r="J1711" s="5"/>
      <c r="AF1711" t="s">
        <v>7229</v>
      </c>
      <c r="AG1711" s="24" t="s">
        <v>6942</v>
      </c>
      <c r="AH1711" s="5" t="s">
        <v>7229</v>
      </c>
      <c r="AI1711" s="5">
        <v>22283.381300000001</v>
      </c>
      <c r="AJ1711" s="5">
        <v>22283.381300000001</v>
      </c>
      <c r="AK1711">
        <v>20695.899000000001</v>
      </c>
      <c r="AL1711" s="5" t="str">
        <f t="shared" si="54"/>
        <v>Талицкий городской округ</v>
      </c>
    </row>
    <row r="1712" spans="1:38" ht="25.5" customHeight="1" x14ac:dyDescent="0.25">
      <c r="A1712" s="10" t="s">
        <v>805</v>
      </c>
      <c r="B1712" s="11" t="s">
        <v>1685</v>
      </c>
      <c r="C1712" s="5">
        <v>36513.6518</v>
      </c>
      <c r="D1712" s="5">
        <v>36513.6518</v>
      </c>
      <c r="E1712" s="5">
        <v>32052.276999999998</v>
      </c>
      <c r="G1712" s="5" t="str">
        <f t="shared" si="53"/>
        <v>Выя_Леб_Горб_Кр-Кам</v>
      </c>
      <c r="J1712" s="5"/>
      <c r="AF1712" t="s">
        <v>7229</v>
      </c>
      <c r="AG1712" s="24" t="s">
        <v>6943</v>
      </c>
      <c r="AH1712" s="5" t="s">
        <v>7229</v>
      </c>
      <c r="AI1712" s="5">
        <v>22283.381300000001</v>
      </c>
      <c r="AJ1712" s="5">
        <v>22283.381300000001</v>
      </c>
      <c r="AK1712">
        <v>20695.899000000001</v>
      </c>
      <c r="AL1712" s="5" t="str">
        <f t="shared" si="54"/>
        <v>Талицкий городской округ</v>
      </c>
    </row>
    <row r="1713" spans="1:38" ht="25.5" customHeight="1" x14ac:dyDescent="0.25">
      <c r="A1713" s="10" t="s">
        <v>1855</v>
      </c>
      <c r="B1713" s="11" t="s">
        <v>1679</v>
      </c>
      <c r="C1713" s="5">
        <v>28855.326499999999</v>
      </c>
      <c r="D1713" s="5">
        <v>28855.326499999999</v>
      </c>
      <c r="E1713" s="5">
        <v>25951.933700000001</v>
      </c>
      <c r="G1713" s="5" t="str">
        <f t="shared" si="53"/>
        <v>Ст.Каменск-Хозспособ</v>
      </c>
      <c r="J1713" s="5"/>
      <c r="AF1713" t="s">
        <v>7229</v>
      </c>
      <c r="AG1713" s="24" t="s">
        <v>6944</v>
      </c>
      <c r="AH1713" s="5" t="s">
        <v>7229</v>
      </c>
      <c r="AI1713" s="5">
        <v>22283.381300000001</v>
      </c>
      <c r="AJ1713" s="5">
        <v>22283.381300000001</v>
      </c>
      <c r="AK1713">
        <v>20695.899000000001</v>
      </c>
      <c r="AL1713" s="5" t="str">
        <f t="shared" si="54"/>
        <v>Талицкий городской округ</v>
      </c>
    </row>
    <row r="1714" spans="1:38" ht="25.5" customHeight="1" x14ac:dyDescent="0.25">
      <c r="A1714" s="10" t="s">
        <v>1856</v>
      </c>
      <c r="B1714" s="11" t="s">
        <v>1676</v>
      </c>
      <c r="C1714" s="5">
        <v>28848.8855</v>
      </c>
      <c r="D1714" s="5">
        <v>28848.8855</v>
      </c>
      <c r="E1714" s="5">
        <v>25946.143</v>
      </c>
      <c r="G1714" s="5" t="str">
        <f t="shared" si="53"/>
        <v>Чкаловский</v>
      </c>
      <c r="J1714" s="5"/>
      <c r="AF1714" t="s">
        <v>7229</v>
      </c>
      <c r="AG1714" s="24" t="s">
        <v>6945</v>
      </c>
      <c r="AH1714" s="5" t="s">
        <v>7229</v>
      </c>
      <c r="AI1714" s="5">
        <v>22283.381300000001</v>
      </c>
      <c r="AJ1714" s="5">
        <v>22283.381300000001</v>
      </c>
      <c r="AK1714">
        <v>20695.899000000001</v>
      </c>
      <c r="AL1714" s="5" t="str">
        <f t="shared" si="54"/>
        <v>Талицкий городской округ</v>
      </c>
    </row>
    <row r="1715" spans="1:38" ht="25.5" customHeight="1" x14ac:dyDescent="0.25">
      <c r="A1715" s="10" t="s">
        <v>1857</v>
      </c>
      <c r="B1715" s="11" t="s">
        <v>1683</v>
      </c>
      <c r="C1715" s="5">
        <v>40018.9617</v>
      </c>
      <c r="D1715" s="5">
        <v>40018.9617</v>
      </c>
      <c r="E1715" s="5">
        <v>35129.2961</v>
      </c>
      <c r="G1715" s="5" t="str">
        <f t="shared" si="53"/>
        <v>Алт_Гальян_М-Кушва</v>
      </c>
      <c r="J1715" s="5"/>
      <c r="AF1715" t="s">
        <v>7229</v>
      </c>
      <c r="AG1715" s="24" t="s">
        <v>6946</v>
      </c>
      <c r="AH1715" s="5" t="s">
        <v>7229</v>
      </c>
      <c r="AI1715" s="5">
        <v>22283.381300000001</v>
      </c>
      <c r="AJ1715" s="5">
        <v>22283.381300000001</v>
      </c>
      <c r="AK1715">
        <v>20695.899000000001</v>
      </c>
      <c r="AL1715" s="5" t="str">
        <f t="shared" si="54"/>
        <v>Талицкий городской округ</v>
      </c>
    </row>
    <row r="1716" spans="1:38" ht="25.5" customHeight="1" x14ac:dyDescent="0.25">
      <c r="A1716" s="10" t="s">
        <v>954</v>
      </c>
      <c r="B1716" s="11" t="s">
        <v>1689</v>
      </c>
      <c r="C1716" s="5">
        <v>34023.428</v>
      </c>
      <c r="D1716" s="5">
        <v>34023.428</v>
      </c>
      <c r="E1716" s="5">
        <v>29866.3148</v>
      </c>
      <c r="G1716" s="5" t="str">
        <f t="shared" si="53"/>
        <v>Тагил_Кирп</v>
      </c>
      <c r="J1716" s="5"/>
      <c r="AF1716" t="s">
        <v>7229</v>
      </c>
      <c r="AG1716" s="24" t="s">
        <v>6947</v>
      </c>
      <c r="AH1716" s="5" t="s">
        <v>7229</v>
      </c>
      <c r="AI1716" s="5">
        <v>22283.381300000001</v>
      </c>
      <c r="AJ1716" s="5">
        <v>22283.381300000001</v>
      </c>
      <c r="AK1716">
        <v>20695.899000000001</v>
      </c>
      <c r="AL1716" s="5" t="str">
        <f t="shared" si="54"/>
        <v>Талицкий городской округ</v>
      </c>
    </row>
    <row r="1717" spans="1:38" x14ac:dyDescent="0.25">
      <c r="A1717" s="10" t="s">
        <v>1858</v>
      </c>
      <c r="B1717" s="11" t="s">
        <v>1674</v>
      </c>
      <c r="C1717" s="5">
        <v>29199.565200000001</v>
      </c>
      <c r="D1717" s="5">
        <v>29199.565200000001</v>
      </c>
      <c r="E1717" s="5">
        <v>26261.5317</v>
      </c>
      <c r="G1717" s="5" t="str">
        <f t="shared" si="53"/>
        <v>УАЗ</v>
      </c>
      <c r="J1717" s="5"/>
      <c r="AF1717" t="s">
        <v>7229</v>
      </c>
      <c r="AG1717" s="24" t="s">
        <v>6948</v>
      </c>
      <c r="AH1717" s="5" t="s">
        <v>7229</v>
      </c>
      <c r="AI1717" s="5">
        <v>22283.381300000001</v>
      </c>
      <c r="AJ1717" s="5">
        <v>22283.381300000001</v>
      </c>
      <c r="AK1717">
        <v>20695.899000000001</v>
      </c>
      <c r="AL1717" s="5" t="str">
        <f t="shared" si="54"/>
        <v>Талицкий городской округ</v>
      </c>
    </row>
    <row r="1718" spans="1:38" ht="25.5" customHeight="1" x14ac:dyDescent="0.25">
      <c r="A1718" s="10" t="s">
        <v>1859</v>
      </c>
      <c r="B1718" s="11" t="s">
        <v>1636</v>
      </c>
      <c r="C1718" s="5">
        <v>52246.960299999999</v>
      </c>
      <c r="D1718" s="5">
        <v>52246.960299999999</v>
      </c>
      <c r="E1718" s="5">
        <v>47310.556700000001</v>
      </c>
      <c r="G1718" s="5" t="str">
        <f t="shared" si="53"/>
        <v>ГОРНЫЙ ЩИТ</v>
      </c>
      <c r="J1718" s="5"/>
      <c r="AF1718" t="s">
        <v>7229</v>
      </c>
      <c r="AG1718" s="24" t="s">
        <v>6949</v>
      </c>
      <c r="AH1718" s="5" t="s">
        <v>7229</v>
      </c>
      <c r="AI1718" s="5">
        <v>22283.381300000001</v>
      </c>
      <c r="AJ1718" s="5">
        <v>22283.381300000001</v>
      </c>
      <c r="AK1718">
        <v>20695.899000000001</v>
      </c>
      <c r="AL1718" s="5" t="str">
        <f t="shared" si="54"/>
        <v>Талицкий городской округ</v>
      </c>
    </row>
    <row r="1719" spans="1:38" ht="25.5" customHeight="1" x14ac:dyDescent="0.25">
      <c r="A1719" s="10" t="s">
        <v>1860</v>
      </c>
      <c r="B1719" s="11" t="s">
        <v>1699</v>
      </c>
      <c r="C1719" s="5">
        <v>34007.852099999996</v>
      </c>
      <c r="D1719" s="5">
        <v>34007.852099999996</v>
      </c>
      <c r="E1719" s="5">
        <v>30956.028900000001</v>
      </c>
      <c r="G1719" s="5" t="str">
        <f t="shared" si="53"/>
        <v>Шайтанка</v>
      </c>
      <c r="J1719" s="5"/>
      <c r="AF1719" t="s">
        <v>7229</v>
      </c>
      <c r="AG1719" s="24" t="s">
        <v>6950</v>
      </c>
      <c r="AH1719" s="5" t="s">
        <v>7229</v>
      </c>
      <c r="AI1719" s="5">
        <v>22283.381300000001</v>
      </c>
      <c r="AJ1719" s="5">
        <v>22283.381300000001</v>
      </c>
      <c r="AK1719">
        <v>20695.899000000001</v>
      </c>
      <c r="AL1719" s="5" t="str">
        <f t="shared" si="54"/>
        <v>Талицкий городской округ</v>
      </c>
    </row>
    <row r="1720" spans="1:38" ht="25.5" customHeight="1" x14ac:dyDescent="0.25">
      <c r="A1720" s="10" t="s">
        <v>52</v>
      </c>
      <c r="B1720" s="11" t="s">
        <v>1683</v>
      </c>
      <c r="C1720" s="5">
        <v>40018.9617</v>
      </c>
      <c r="D1720" s="5">
        <v>40018.9617</v>
      </c>
      <c r="E1720" s="5">
        <v>35129.2961</v>
      </c>
      <c r="G1720" s="5" t="str">
        <f t="shared" si="53"/>
        <v>Алт_Гальян_М-Кушва</v>
      </c>
      <c r="J1720" s="5"/>
      <c r="AF1720" t="s">
        <v>7229</v>
      </c>
      <c r="AG1720" s="24" t="s">
        <v>6951</v>
      </c>
      <c r="AH1720" s="5" t="s">
        <v>7229</v>
      </c>
      <c r="AI1720" s="5">
        <v>22283.381300000001</v>
      </c>
      <c r="AJ1720" s="5">
        <v>22283.381300000001</v>
      </c>
      <c r="AK1720">
        <v>20695.899000000001</v>
      </c>
      <c r="AL1720" s="5" t="str">
        <f t="shared" si="54"/>
        <v>Талицкий городской округ</v>
      </c>
    </row>
    <row r="1721" spans="1:38" ht="25.5" customHeight="1" x14ac:dyDescent="0.25">
      <c r="A1721" s="10" t="s">
        <v>107</v>
      </c>
      <c r="B1721" s="11" t="s">
        <v>5230</v>
      </c>
      <c r="C1721" s="5">
        <v>45477.761700000003</v>
      </c>
      <c r="D1721" s="5">
        <v>45477.761700000003</v>
      </c>
      <c r="E1721" s="5">
        <v>39921.119500000001</v>
      </c>
      <c r="G1721" s="5" t="str">
        <f t="shared" si="53"/>
        <v>Центр-Тагил</v>
      </c>
      <c r="J1721" s="5"/>
      <c r="AF1721" t="s">
        <v>7229</v>
      </c>
      <c r="AG1721" s="24" t="s">
        <v>6952</v>
      </c>
      <c r="AH1721" s="5" t="s">
        <v>7229</v>
      </c>
      <c r="AI1721" s="5">
        <v>22283.381300000001</v>
      </c>
      <c r="AJ1721" s="5">
        <v>22283.381300000001</v>
      </c>
      <c r="AK1721">
        <v>20695.899000000001</v>
      </c>
      <c r="AL1721" s="5" t="str">
        <f t="shared" si="54"/>
        <v>Талицкий городской округ</v>
      </c>
    </row>
    <row r="1722" spans="1:38" ht="25.5" customHeight="1" x14ac:dyDescent="0.25">
      <c r="A1722" s="10" t="s">
        <v>1861</v>
      </c>
      <c r="B1722" s="11" t="s">
        <v>1677</v>
      </c>
      <c r="C1722" s="5">
        <v>39105.413099999998</v>
      </c>
      <c r="D1722" s="5">
        <v>39105.413099999998</v>
      </c>
      <c r="E1722" s="5">
        <v>35170.666700000002</v>
      </c>
      <c r="G1722" s="5" t="str">
        <f t="shared" si="53"/>
        <v>Октябрьский</v>
      </c>
      <c r="J1722" s="5"/>
      <c r="AF1722" t="s">
        <v>7229</v>
      </c>
      <c r="AG1722" s="24" t="s">
        <v>6953</v>
      </c>
      <c r="AH1722" s="5" t="s">
        <v>7229</v>
      </c>
      <c r="AI1722" s="5">
        <v>22283.381300000001</v>
      </c>
      <c r="AJ1722" s="5">
        <v>22283.381300000001</v>
      </c>
      <c r="AK1722">
        <v>20695.899000000001</v>
      </c>
      <c r="AL1722" s="5" t="str">
        <f t="shared" si="54"/>
        <v>Талицкий городской округ</v>
      </c>
    </row>
    <row r="1723" spans="1:38" x14ac:dyDescent="0.25">
      <c r="A1723" s="10" t="s">
        <v>1862</v>
      </c>
      <c r="B1723" s="11" t="s">
        <v>1674</v>
      </c>
      <c r="C1723" s="5">
        <v>29199.565200000001</v>
      </c>
      <c r="D1723" s="5">
        <v>29199.565200000001</v>
      </c>
      <c r="E1723" s="5">
        <v>26261.5317</v>
      </c>
      <c r="G1723" s="5" t="str">
        <f t="shared" si="53"/>
        <v>УАЗ</v>
      </c>
      <c r="J1723" s="5"/>
      <c r="AF1723" t="s">
        <v>7229</v>
      </c>
      <c r="AG1723" s="24" t="s">
        <v>6954</v>
      </c>
      <c r="AH1723" s="5" t="s">
        <v>7229</v>
      </c>
      <c r="AI1723" s="5">
        <v>22283.381300000001</v>
      </c>
      <c r="AJ1723" s="5">
        <v>22283.381300000001</v>
      </c>
      <c r="AK1723">
        <v>20695.899000000001</v>
      </c>
      <c r="AL1723" s="5" t="str">
        <f t="shared" si="54"/>
        <v>Талицкий городской округ</v>
      </c>
    </row>
    <row r="1724" spans="1:38" ht="25.5" customHeight="1" x14ac:dyDescent="0.25">
      <c r="A1724" s="10" t="s">
        <v>410</v>
      </c>
      <c r="B1724" s="11" t="s">
        <v>1695</v>
      </c>
      <c r="C1724" s="5">
        <v>40100.412600000003</v>
      </c>
      <c r="D1724" s="5">
        <v>40100.412600000003</v>
      </c>
      <c r="E1724" s="5">
        <v>36501.853799999997</v>
      </c>
      <c r="G1724" s="5" t="str">
        <f t="shared" si="53"/>
        <v>Соцгород</v>
      </c>
      <c r="J1724" s="5"/>
      <c r="AF1724" t="s">
        <v>7229</v>
      </c>
      <c r="AG1724" s="24" t="s">
        <v>6955</v>
      </c>
      <c r="AH1724" s="5" t="s">
        <v>7229</v>
      </c>
      <c r="AI1724" s="5">
        <v>22283.381300000001</v>
      </c>
      <c r="AJ1724" s="5">
        <v>22283.381300000001</v>
      </c>
      <c r="AK1724">
        <v>20695.899000000001</v>
      </c>
      <c r="AL1724" s="5" t="str">
        <f t="shared" si="54"/>
        <v>Талицкий городской округ</v>
      </c>
    </row>
    <row r="1725" spans="1:38" ht="25.5" customHeight="1" x14ac:dyDescent="0.25">
      <c r="A1725" s="10" t="s">
        <v>22</v>
      </c>
      <c r="B1725" s="11" t="s">
        <v>1698</v>
      </c>
      <c r="C1725" s="5">
        <v>38473.686099999999</v>
      </c>
      <c r="D1725" s="5">
        <v>38473.686099999999</v>
      </c>
      <c r="E1725" s="5">
        <v>35021.100899999998</v>
      </c>
      <c r="G1725" s="5" t="str">
        <f t="shared" si="53"/>
        <v>Хромпик</v>
      </c>
      <c r="J1725" s="5"/>
      <c r="AF1725" t="s">
        <v>7229</v>
      </c>
      <c r="AG1725" s="24" t="s">
        <v>6956</v>
      </c>
      <c r="AH1725" s="5" t="s">
        <v>7229</v>
      </c>
      <c r="AI1725" s="5">
        <v>22283.381300000001</v>
      </c>
      <c r="AJ1725" s="5">
        <v>22283.381300000001</v>
      </c>
      <c r="AK1725">
        <v>20695.899000000001</v>
      </c>
      <c r="AL1725" s="5" t="str">
        <f t="shared" si="54"/>
        <v>Талицкий городской округ</v>
      </c>
    </row>
    <row r="1726" spans="1:38" ht="25.5" customHeight="1" x14ac:dyDescent="0.25">
      <c r="A1726" s="10" t="s">
        <v>1863</v>
      </c>
      <c r="B1726" s="11" t="s">
        <v>1677</v>
      </c>
      <c r="C1726" s="5">
        <v>39105.413099999998</v>
      </c>
      <c r="D1726" s="5">
        <v>39105.413099999998</v>
      </c>
      <c r="E1726" s="5">
        <v>35170.666700000002</v>
      </c>
      <c r="G1726" s="5" t="str">
        <f t="shared" si="53"/>
        <v>Октябрьский</v>
      </c>
      <c r="J1726" s="5"/>
      <c r="AF1726" t="s">
        <v>7229</v>
      </c>
      <c r="AG1726" s="24" t="s">
        <v>6957</v>
      </c>
      <c r="AH1726" s="5" t="s">
        <v>7229</v>
      </c>
      <c r="AI1726" s="5">
        <v>22283.381300000001</v>
      </c>
      <c r="AJ1726" s="5">
        <v>22283.381300000001</v>
      </c>
      <c r="AK1726">
        <v>20695.899000000001</v>
      </c>
      <c r="AL1726" s="5" t="str">
        <f t="shared" si="54"/>
        <v>Талицкий городской округ</v>
      </c>
    </row>
    <row r="1727" spans="1:38" ht="25.5" customHeight="1" x14ac:dyDescent="0.25">
      <c r="A1727" s="10" t="s">
        <v>1864</v>
      </c>
      <c r="B1727" s="11" t="s">
        <v>1681</v>
      </c>
      <c r="C1727" s="5">
        <v>32172.2909</v>
      </c>
      <c r="D1727" s="5">
        <v>32172.2909</v>
      </c>
      <c r="E1727" s="5">
        <v>28935.146499999999</v>
      </c>
      <c r="G1727" s="5" t="str">
        <f t="shared" si="53"/>
        <v>Ленин-Олимп</v>
      </c>
      <c r="J1727" s="5"/>
      <c r="AF1727" t="s">
        <v>7229</v>
      </c>
      <c r="AG1727" s="24" t="s">
        <v>6958</v>
      </c>
      <c r="AH1727" s="5" t="s">
        <v>7229</v>
      </c>
      <c r="AI1727" s="5">
        <v>22283.381300000001</v>
      </c>
      <c r="AJ1727" s="5">
        <v>22283.381300000001</v>
      </c>
      <c r="AK1727">
        <v>20695.899000000001</v>
      </c>
      <c r="AL1727" s="5" t="str">
        <f t="shared" si="54"/>
        <v>Талицкий городской округ</v>
      </c>
    </row>
    <row r="1728" spans="1:38" ht="25.5" customHeight="1" x14ac:dyDescent="0.25">
      <c r="A1728" s="10" t="s">
        <v>1865</v>
      </c>
      <c r="B1728" s="11" t="s">
        <v>1684</v>
      </c>
      <c r="C1728" s="5">
        <v>40625.090199999999</v>
      </c>
      <c r="D1728" s="5">
        <v>40625.090199999999</v>
      </c>
      <c r="E1728" s="5">
        <v>35661.364300000001</v>
      </c>
      <c r="G1728" s="5" t="str">
        <f t="shared" si="53"/>
        <v>Ваг_Стар_Пихтовы-г</v>
      </c>
      <c r="J1728" s="5"/>
      <c r="AF1728" t="s">
        <v>7229</v>
      </c>
      <c r="AG1728" s="24" t="s">
        <v>6959</v>
      </c>
      <c r="AH1728" s="5" t="s">
        <v>7229</v>
      </c>
      <c r="AI1728" s="5">
        <v>22283.381300000001</v>
      </c>
      <c r="AJ1728" s="5">
        <v>22283.381300000001</v>
      </c>
      <c r="AK1728">
        <v>20695.899000000001</v>
      </c>
      <c r="AL1728" s="5" t="str">
        <f t="shared" si="54"/>
        <v>Талицкий городской округ</v>
      </c>
    </row>
    <row r="1729" spans="1:38" ht="25.5" customHeight="1" x14ac:dyDescent="0.25">
      <c r="A1729" s="10" t="s">
        <v>1462</v>
      </c>
      <c r="B1729" s="11" t="s">
        <v>1677</v>
      </c>
      <c r="C1729" s="5">
        <v>39105.413099999998</v>
      </c>
      <c r="D1729" s="5">
        <v>39105.413099999998</v>
      </c>
      <c r="E1729" s="5">
        <v>35170.666700000002</v>
      </c>
      <c r="G1729" s="5" t="str">
        <f t="shared" si="53"/>
        <v>Октябрьский</v>
      </c>
      <c r="J1729" s="5"/>
      <c r="AF1729" t="s">
        <v>7229</v>
      </c>
      <c r="AG1729" s="24" t="s">
        <v>6960</v>
      </c>
      <c r="AH1729" s="5" t="s">
        <v>7229</v>
      </c>
      <c r="AI1729" s="5">
        <v>22283.381300000001</v>
      </c>
      <c r="AJ1729" s="5">
        <v>22283.381300000001</v>
      </c>
      <c r="AK1729">
        <v>20695.899000000001</v>
      </c>
      <c r="AL1729" s="5" t="str">
        <f t="shared" si="54"/>
        <v>Талицкий городской округ</v>
      </c>
    </row>
    <row r="1730" spans="1:38" ht="25.5" customHeight="1" x14ac:dyDescent="0.25">
      <c r="A1730" s="10" t="s">
        <v>134</v>
      </c>
      <c r="B1730" s="11" t="s">
        <v>1695</v>
      </c>
      <c r="C1730" s="5">
        <v>40100.412600000003</v>
      </c>
      <c r="D1730" s="5">
        <v>40100.412600000003</v>
      </c>
      <c r="E1730" s="5">
        <v>36501.853799999997</v>
      </c>
      <c r="G1730" s="5" t="str">
        <f t="shared" si="53"/>
        <v>Соцгород</v>
      </c>
      <c r="J1730" s="5"/>
      <c r="AF1730" t="s">
        <v>7229</v>
      </c>
      <c r="AG1730" s="24" t="s">
        <v>6961</v>
      </c>
      <c r="AH1730" s="5" t="s">
        <v>7229</v>
      </c>
      <c r="AI1730" s="5">
        <v>22283.381300000001</v>
      </c>
      <c r="AJ1730" s="5">
        <v>22283.381300000001</v>
      </c>
      <c r="AK1730">
        <v>20695.899000000001</v>
      </c>
      <c r="AL1730" s="5" t="str">
        <f t="shared" si="54"/>
        <v>Талицкий городской округ</v>
      </c>
    </row>
    <row r="1731" spans="1:38" ht="25.5" customHeight="1" x14ac:dyDescent="0.25">
      <c r="A1731" s="10" t="s">
        <v>1866</v>
      </c>
      <c r="B1731" s="11" t="s">
        <v>1699</v>
      </c>
      <c r="C1731" s="5">
        <v>34007.852099999996</v>
      </c>
      <c r="D1731" s="5">
        <v>34007.852099999996</v>
      </c>
      <c r="E1731" s="5">
        <v>30956.028900000001</v>
      </c>
      <c r="G1731" s="5" t="str">
        <f t="shared" si="53"/>
        <v>Шайтанка</v>
      </c>
      <c r="J1731" s="5"/>
      <c r="AF1731" t="s">
        <v>7229</v>
      </c>
      <c r="AG1731" s="24" t="s">
        <v>6962</v>
      </c>
      <c r="AH1731" s="5" t="s">
        <v>7229</v>
      </c>
      <c r="AI1731" s="5">
        <v>22283.381300000001</v>
      </c>
      <c r="AJ1731" s="5">
        <v>22283.381300000001</v>
      </c>
      <c r="AK1731">
        <v>20695.899000000001</v>
      </c>
      <c r="AL1731" s="5" t="str">
        <f t="shared" si="54"/>
        <v>Талицкий городской округ</v>
      </c>
    </row>
    <row r="1732" spans="1:38" ht="25.5" customHeight="1" x14ac:dyDescent="0.25">
      <c r="A1732" s="10" t="s">
        <v>1867</v>
      </c>
      <c r="B1732" s="11" t="s">
        <v>1691</v>
      </c>
      <c r="C1732" s="5">
        <v>36244.5985</v>
      </c>
      <c r="D1732" s="5">
        <v>36244.5985</v>
      </c>
      <c r="E1732" s="5">
        <v>32992.053800000002</v>
      </c>
      <c r="G1732" s="5" t="str">
        <f t="shared" ref="G1732:G1795" si="55">B1732</f>
        <v>ДинСанПод</v>
      </c>
      <c r="J1732" s="5"/>
      <c r="AF1732" t="s">
        <v>7229</v>
      </c>
      <c r="AG1732" s="24" t="s">
        <v>6963</v>
      </c>
      <c r="AH1732" s="5" t="s">
        <v>7229</v>
      </c>
      <c r="AI1732" s="5">
        <v>22283.381300000001</v>
      </c>
      <c r="AJ1732" s="5">
        <v>22283.381300000001</v>
      </c>
      <c r="AK1732">
        <v>20695.899000000001</v>
      </c>
      <c r="AL1732" s="5" t="str">
        <f t="shared" ref="AL1732:AL1795" si="56">AF1732</f>
        <v>Талицкий городской округ</v>
      </c>
    </row>
    <row r="1733" spans="1:38" ht="25.5" customHeight="1" x14ac:dyDescent="0.25">
      <c r="A1733" s="10" t="s">
        <v>1868</v>
      </c>
      <c r="B1733" s="11" t="s">
        <v>1676</v>
      </c>
      <c r="C1733" s="5">
        <v>28848.8855</v>
      </c>
      <c r="D1733" s="5">
        <v>28848.8855</v>
      </c>
      <c r="E1733" s="5">
        <v>25946.143</v>
      </c>
      <c r="G1733" s="5" t="str">
        <f t="shared" si="55"/>
        <v>Чкаловский</v>
      </c>
      <c r="J1733" s="5"/>
      <c r="AF1733" t="s">
        <v>7229</v>
      </c>
      <c r="AG1733" s="24" t="s">
        <v>6964</v>
      </c>
      <c r="AH1733" s="5" t="s">
        <v>7229</v>
      </c>
      <c r="AI1733" s="5">
        <v>22283.381300000001</v>
      </c>
      <c r="AJ1733" s="5">
        <v>22283.381300000001</v>
      </c>
      <c r="AK1733">
        <v>20695.899000000001</v>
      </c>
      <c r="AL1733" s="5" t="str">
        <f t="shared" si="56"/>
        <v>Талицкий городской округ</v>
      </c>
    </row>
    <row r="1734" spans="1:38" ht="25.5" customHeight="1" x14ac:dyDescent="0.25">
      <c r="A1734" s="10" t="s">
        <v>1869</v>
      </c>
      <c r="B1734" s="11" t="s">
        <v>1699</v>
      </c>
      <c r="C1734" s="5">
        <v>34007.852099999996</v>
      </c>
      <c r="D1734" s="5">
        <v>34007.852099999996</v>
      </c>
      <c r="E1734" s="5">
        <v>30956.028900000001</v>
      </c>
      <c r="G1734" s="5" t="str">
        <f t="shared" si="55"/>
        <v>Шайтанка</v>
      </c>
      <c r="J1734" s="5"/>
      <c r="AF1734" t="s">
        <v>7229</v>
      </c>
      <c r="AG1734" s="24" t="s">
        <v>6965</v>
      </c>
      <c r="AH1734" s="5" t="s">
        <v>7229</v>
      </c>
      <c r="AI1734" s="5">
        <v>22283.381300000001</v>
      </c>
      <c r="AJ1734" s="5">
        <v>22283.381300000001</v>
      </c>
      <c r="AK1734">
        <v>20695.899000000001</v>
      </c>
      <c r="AL1734" s="5" t="str">
        <f t="shared" si="56"/>
        <v>Талицкий городской округ</v>
      </c>
    </row>
    <row r="1735" spans="1:38" ht="25.5" customHeight="1" x14ac:dyDescent="0.25">
      <c r="A1735" s="10" t="s">
        <v>1870</v>
      </c>
      <c r="B1735" s="11" t="s">
        <v>1685</v>
      </c>
      <c r="C1735" s="5">
        <v>36513.6518</v>
      </c>
      <c r="D1735" s="5">
        <v>36513.6518</v>
      </c>
      <c r="E1735" s="5">
        <v>32052.276999999998</v>
      </c>
      <c r="G1735" s="5" t="str">
        <f t="shared" si="55"/>
        <v>Выя_Леб_Горб_Кр-Кам</v>
      </c>
      <c r="J1735" s="5"/>
      <c r="AF1735" t="s">
        <v>7229</v>
      </c>
      <c r="AG1735" s="24" t="s">
        <v>6966</v>
      </c>
      <c r="AH1735" s="5" t="s">
        <v>7229</v>
      </c>
      <c r="AI1735" s="5">
        <v>22283.381300000001</v>
      </c>
      <c r="AJ1735" s="5">
        <v>22283.381300000001</v>
      </c>
      <c r="AK1735">
        <v>20695.899000000001</v>
      </c>
      <c r="AL1735" s="5" t="str">
        <f t="shared" si="56"/>
        <v>Талицкий городской округ</v>
      </c>
    </row>
    <row r="1736" spans="1:38" ht="25.5" customHeight="1" x14ac:dyDescent="0.25">
      <c r="A1736" s="10" t="s">
        <v>1871</v>
      </c>
      <c r="B1736" s="11" t="s">
        <v>1695</v>
      </c>
      <c r="C1736" s="5">
        <v>40100.412600000003</v>
      </c>
      <c r="D1736" s="5">
        <v>40100.412600000003</v>
      </c>
      <c r="E1736" s="5">
        <v>36501.853799999997</v>
      </c>
      <c r="G1736" s="5" t="str">
        <f t="shared" si="55"/>
        <v>Соцгород</v>
      </c>
      <c r="J1736" s="5"/>
      <c r="AF1736" t="s">
        <v>7229</v>
      </c>
      <c r="AG1736" s="24" t="s">
        <v>6967</v>
      </c>
      <c r="AH1736" s="5" t="s">
        <v>7229</v>
      </c>
      <c r="AI1736" s="5">
        <v>22283.381300000001</v>
      </c>
      <c r="AJ1736" s="5">
        <v>22283.381300000001</v>
      </c>
      <c r="AK1736">
        <v>20695.899000000001</v>
      </c>
      <c r="AL1736" s="5" t="str">
        <f t="shared" si="56"/>
        <v>Талицкий городской округ</v>
      </c>
    </row>
    <row r="1737" spans="1:38" ht="25.5" customHeight="1" x14ac:dyDescent="0.25">
      <c r="A1737" s="10" t="s">
        <v>453</v>
      </c>
      <c r="B1737" s="11" t="s">
        <v>1691</v>
      </c>
      <c r="C1737" s="5">
        <v>36244.5985</v>
      </c>
      <c r="D1737" s="5">
        <v>36244.5985</v>
      </c>
      <c r="E1737" s="5">
        <v>32992.053800000002</v>
      </c>
      <c r="G1737" s="5" t="str">
        <f t="shared" si="55"/>
        <v>ДинСанПод</v>
      </c>
      <c r="J1737" s="5"/>
      <c r="AF1737" t="s">
        <v>7229</v>
      </c>
      <c r="AG1737" s="24" t="s">
        <v>6968</v>
      </c>
      <c r="AH1737" s="5" t="s">
        <v>7229</v>
      </c>
      <c r="AI1737" s="5">
        <v>22283.381300000001</v>
      </c>
      <c r="AJ1737" s="5">
        <v>22283.381300000001</v>
      </c>
      <c r="AK1737">
        <v>20695.899000000001</v>
      </c>
      <c r="AL1737" s="5" t="str">
        <f t="shared" si="56"/>
        <v>Талицкий городской округ</v>
      </c>
    </row>
    <row r="1738" spans="1:38" ht="25.5" customHeight="1" x14ac:dyDescent="0.25">
      <c r="A1738" s="10" t="s">
        <v>561</v>
      </c>
      <c r="B1738" s="11" t="s">
        <v>1687</v>
      </c>
      <c r="C1738" s="5">
        <v>30591.135900000001</v>
      </c>
      <c r="D1738" s="5">
        <v>30591.135900000001</v>
      </c>
      <c r="E1738" s="5">
        <v>26853.405500000001</v>
      </c>
      <c r="G1738" s="5" t="str">
        <f t="shared" si="55"/>
        <v>Рудник_Север</v>
      </c>
      <c r="J1738" s="5"/>
      <c r="AF1738" t="s">
        <v>7229</v>
      </c>
      <c r="AG1738" s="24" t="s">
        <v>6969</v>
      </c>
      <c r="AH1738" s="5" t="s">
        <v>7229</v>
      </c>
      <c r="AI1738" s="5">
        <v>22283.381300000001</v>
      </c>
      <c r="AJ1738" s="5">
        <v>22283.381300000001</v>
      </c>
      <c r="AK1738">
        <v>20695.899000000001</v>
      </c>
      <c r="AL1738" s="5" t="str">
        <f t="shared" si="56"/>
        <v>Талицкий городской округ</v>
      </c>
    </row>
    <row r="1739" spans="1:38" ht="25.5" customHeight="1" x14ac:dyDescent="0.25">
      <c r="A1739" s="10" t="s">
        <v>1304</v>
      </c>
      <c r="B1739" s="11" t="s">
        <v>1688</v>
      </c>
      <c r="C1739" s="5">
        <v>29893.73</v>
      </c>
      <c r="D1739" s="5">
        <v>29893.73</v>
      </c>
      <c r="E1739" s="5">
        <v>26241.207699999999</v>
      </c>
      <c r="G1739" s="5" t="str">
        <f t="shared" si="55"/>
        <v>Сух_Г-Кам_Н_Кушва_Н-Черм</v>
      </c>
      <c r="J1739" s="5"/>
      <c r="AF1739" t="s">
        <v>7229</v>
      </c>
      <c r="AG1739" s="24" t="s">
        <v>6970</v>
      </c>
      <c r="AH1739" s="5" t="s">
        <v>7229</v>
      </c>
      <c r="AI1739" s="5">
        <v>22283.381300000001</v>
      </c>
      <c r="AJ1739" s="5">
        <v>22283.381300000001</v>
      </c>
      <c r="AK1739">
        <v>20695.899000000001</v>
      </c>
      <c r="AL1739" s="5" t="str">
        <f t="shared" si="56"/>
        <v>Талицкий городской округ</v>
      </c>
    </row>
    <row r="1740" spans="1:38" ht="25.5" customHeight="1" x14ac:dyDescent="0.25">
      <c r="A1740" s="10" t="s">
        <v>1872</v>
      </c>
      <c r="B1740" s="11" t="s">
        <v>1676</v>
      </c>
      <c r="C1740" s="5">
        <v>28848.8855</v>
      </c>
      <c r="D1740" s="5">
        <v>28848.8855</v>
      </c>
      <c r="E1740" s="5">
        <v>25946.143</v>
      </c>
      <c r="G1740" s="5" t="str">
        <f t="shared" si="55"/>
        <v>Чкаловский</v>
      </c>
      <c r="J1740" s="5"/>
      <c r="AF1740" t="s">
        <v>7229</v>
      </c>
      <c r="AG1740" s="24" t="s">
        <v>6971</v>
      </c>
      <c r="AH1740" s="5" t="s">
        <v>7229</v>
      </c>
      <c r="AI1740" s="5">
        <v>22283.381300000001</v>
      </c>
      <c r="AJ1740" s="5">
        <v>22283.381300000001</v>
      </c>
      <c r="AK1740">
        <v>20695.899000000001</v>
      </c>
      <c r="AL1740" s="5" t="str">
        <f t="shared" si="56"/>
        <v>Талицкий городской округ</v>
      </c>
    </row>
    <row r="1741" spans="1:38" ht="25.5" customHeight="1" x14ac:dyDescent="0.25">
      <c r="A1741" s="10" t="s">
        <v>1873</v>
      </c>
      <c r="B1741" s="11" t="s">
        <v>1679</v>
      </c>
      <c r="C1741" s="5">
        <v>28855.326499999999</v>
      </c>
      <c r="D1741" s="5">
        <v>28855.326499999999</v>
      </c>
      <c r="E1741" s="5">
        <v>25951.933700000001</v>
      </c>
      <c r="G1741" s="5" t="str">
        <f t="shared" si="55"/>
        <v>Ст.Каменск-Хозспособ</v>
      </c>
      <c r="J1741" s="5"/>
      <c r="AF1741" t="s">
        <v>7229</v>
      </c>
      <c r="AG1741" s="24" t="s">
        <v>6972</v>
      </c>
      <c r="AH1741" s="5" t="s">
        <v>7229</v>
      </c>
      <c r="AI1741" s="5">
        <v>22283.381300000001</v>
      </c>
      <c r="AJ1741" s="5">
        <v>22283.381300000001</v>
      </c>
      <c r="AK1741">
        <v>20695.899000000001</v>
      </c>
      <c r="AL1741" s="5" t="str">
        <f t="shared" si="56"/>
        <v>Талицкий городской округ</v>
      </c>
    </row>
    <row r="1742" spans="1:38" ht="25.5" customHeight="1" x14ac:dyDescent="0.25">
      <c r="A1742" s="10" t="s">
        <v>1197</v>
      </c>
      <c r="B1742" s="11" t="s">
        <v>1688</v>
      </c>
      <c r="C1742" s="5">
        <v>29893.73</v>
      </c>
      <c r="D1742" s="5">
        <v>29893.73</v>
      </c>
      <c r="E1742" s="5">
        <v>26241.207699999999</v>
      </c>
      <c r="G1742" s="5" t="str">
        <f t="shared" si="55"/>
        <v>Сух_Г-Кам_Н_Кушва_Н-Черм</v>
      </c>
      <c r="J1742" s="5"/>
      <c r="AF1742" t="s">
        <v>7229</v>
      </c>
      <c r="AG1742" s="24" t="s">
        <v>6973</v>
      </c>
      <c r="AH1742" s="5" t="s">
        <v>7229</v>
      </c>
      <c r="AI1742" s="5">
        <v>22283.381300000001</v>
      </c>
      <c r="AJ1742" s="5">
        <v>22283.381300000001</v>
      </c>
      <c r="AK1742">
        <v>20695.899000000001</v>
      </c>
      <c r="AL1742" s="5" t="str">
        <f t="shared" si="56"/>
        <v>Талицкий городской округ</v>
      </c>
    </row>
    <row r="1743" spans="1:38" ht="25.5" customHeight="1" x14ac:dyDescent="0.25">
      <c r="A1743" s="10" t="s">
        <v>1874</v>
      </c>
      <c r="B1743" s="11" t="s">
        <v>1674</v>
      </c>
      <c r="C1743" s="5">
        <v>29199.565200000001</v>
      </c>
      <c r="D1743" s="5">
        <v>29199.565200000001</v>
      </c>
      <c r="E1743" s="5">
        <v>26261.5317</v>
      </c>
      <c r="G1743" s="5" t="str">
        <f t="shared" si="55"/>
        <v>УАЗ</v>
      </c>
      <c r="J1743" s="5"/>
      <c r="AF1743" t="s">
        <v>7229</v>
      </c>
      <c r="AG1743" s="24" t="s">
        <v>6974</v>
      </c>
      <c r="AH1743" s="5" t="s">
        <v>7229</v>
      </c>
      <c r="AI1743" s="5">
        <v>22283.381300000001</v>
      </c>
      <c r="AJ1743" s="5">
        <v>22283.381300000001</v>
      </c>
      <c r="AK1743">
        <v>20695.899000000001</v>
      </c>
      <c r="AL1743" s="5" t="str">
        <f t="shared" si="56"/>
        <v>Талицкий городской округ</v>
      </c>
    </row>
    <row r="1744" spans="1:38" ht="25.5" customHeight="1" x14ac:dyDescent="0.25">
      <c r="A1744" s="10" t="s">
        <v>1875</v>
      </c>
      <c r="B1744" s="11" t="s">
        <v>1635</v>
      </c>
      <c r="C1744" s="5">
        <v>57793.0844</v>
      </c>
      <c r="D1744" s="5">
        <v>57793.0844</v>
      </c>
      <c r="E1744" s="5">
        <v>52332.6639</v>
      </c>
      <c r="G1744" s="5" t="str">
        <f t="shared" si="55"/>
        <v>ЛЕЧЕБНЫЙ</v>
      </c>
      <c r="J1744" s="5"/>
      <c r="AF1744" t="s">
        <v>7229</v>
      </c>
      <c r="AG1744" s="24" t="s">
        <v>6975</v>
      </c>
      <c r="AH1744" s="5" t="s">
        <v>7229</v>
      </c>
      <c r="AI1744" s="5">
        <v>22283.381300000001</v>
      </c>
      <c r="AJ1744" s="5">
        <v>22283.381300000001</v>
      </c>
      <c r="AK1744">
        <v>20695.899000000001</v>
      </c>
      <c r="AL1744" s="5" t="str">
        <f t="shared" si="56"/>
        <v>Талицкий городской округ</v>
      </c>
    </row>
    <row r="1745" spans="1:38" ht="25.5" customHeight="1" x14ac:dyDescent="0.25">
      <c r="A1745" s="10" t="s">
        <v>927</v>
      </c>
      <c r="B1745" s="11" t="s">
        <v>1684</v>
      </c>
      <c r="C1745" s="5">
        <v>40625.090199999999</v>
      </c>
      <c r="D1745" s="5">
        <v>40625.090199999999</v>
      </c>
      <c r="E1745" s="5">
        <v>35661.364300000001</v>
      </c>
      <c r="G1745" s="5" t="str">
        <f t="shared" si="55"/>
        <v>Ваг_Стар_Пихтовы-г</v>
      </c>
      <c r="J1745" s="5"/>
      <c r="AF1745" t="s">
        <v>7229</v>
      </c>
      <c r="AG1745" s="24" t="s">
        <v>6976</v>
      </c>
      <c r="AH1745" s="5" t="s">
        <v>7229</v>
      </c>
      <c r="AI1745" s="5">
        <v>22283.381300000001</v>
      </c>
      <c r="AJ1745" s="5">
        <v>22283.381300000001</v>
      </c>
      <c r="AK1745">
        <v>20695.899000000001</v>
      </c>
      <c r="AL1745" s="5" t="str">
        <f t="shared" si="56"/>
        <v>Талицкий городской округ</v>
      </c>
    </row>
    <row r="1746" spans="1:38" ht="25.5" customHeight="1" x14ac:dyDescent="0.25">
      <c r="A1746" s="10" t="s">
        <v>1876</v>
      </c>
      <c r="B1746" s="11" t="s">
        <v>1691</v>
      </c>
      <c r="C1746" s="5">
        <v>36244.5985</v>
      </c>
      <c r="D1746" s="5">
        <v>36244.5985</v>
      </c>
      <c r="E1746" s="5">
        <v>32992.053800000002</v>
      </c>
      <c r="G1746" s="5" t="str">
        <f t="shared" si="55"/>
        <v>ДинСанПод</v>
      </c>
      <c r="J1746" s="5"/>
      <c r="AF1746" t="s">
        <v>7229</v>
      </c>
      <c r="AG1746" s="24" t="s">
        <v>6977</v>
      </c>
      <c r="AH1746" s="5" t="s">
        <v>7229</v>
      </c>
      <c r="AI1746" s="5">
        <v>22841.533200000002</v>
      </c>
      <c r="AJ1746" s="5">
        <v>22841.533200000002</v>
      </c>
      <c r="AK1746">
        <v>21214.290499999999</v>
      </c>
      <c r="AL1746" s="5" t="str">
        <f t="shared" si="56"/>
        <v>Талицкий городской округ</v>
      </c>
    </row>
    <row r="1747" spans="1:38" ht="25.5" customHeight="1" x14ac:dyDescent="0.25">
      <c r="A1747" s="10" t="s">
        <v>1877</v>
      </c>
      <c r="B1747" s="11" t="s">
        <v>1684</v>
      </c>
      <c r="C1747" s="5">
        <v>40625.090199999999</v>
      </c>
      <c r="D1747" s="5">
        <v>40625.090199999999</v>
      </c>
      <c r="E1747" s="5">
        <v>35661.364300000001</v>
      </c>
      <c r="G1747" s="5" t="str">
        <f t="shared" si="55"/>
        <v>Ваг_Стар_Пихтовы-г</v>
      </c>
      <c r="J1747" s="5"/>
      <c r="AF1747" t="s">
        <v>7229</v>
      </c>
      <c r="AG1747" s="24" t="s">
        <v>6978</v>
      </c>
      <c r="AH1747" s="5" t="s">
        <v>7229</v>
      </c>
      <c r="AI1747" s="5">
        <v>22283.381300000001</v>
      </c>
      <c r="AJ1747" s="5">
        <v>22283.381300000001</v>
      </c>
      <c r="AK1747">
        <v>20695.899000000001</v>
      </c>
      <c r="AL1747" s="5" t="str">
        <f t="shared" si="56"/>
        <v>Талицкий городской округ</v>
      </c>
    </row>
    <row r="1748" spans="1:38" ht="25.5" customHeight="1" x14ac:dyDescent="0.25">
      <c r="A1748" s="10" t="s">
        <v>1878</v>
      </c>
      <c r="B1748" s="11" t="s">
        <v>1685</v>
      </c>
      <c r="C1748" s="5">
        <v>36513.6518</v>
      </c>
      <c r="D1748" s="5">
        <v>36513.6518</v>
      </c>
      <c r="E1748" s="5">
        <v>32052.276999999998</v>
      </c>
      <c r="G1748" s="5" t="str">
        <f t="shared" si="55"/>
        <v>Выя_Леб_Горб_Кр-Кам</v>
      </c>
      <c r="J1748" s="5"/>
      <c r="AF1748" t="s">
        <v>7229</v>
      </c>
      <c r="AG1748" s="24" t="s">
        <v>6979</v>
      </c>
      <c r="AH1748" s="5" t="s">
        <v>7229</v>
      </c>
      <c r="AI1748" s="5">
        <v>22283.381300000001</v>
      </c>
      <c r="AJ1748" s="5">
        <v>22283.381300000001</v>
      </c>
      <c r="AK1748">
        <v>20695.899000000001</v>
      </c>
      <c r="AL1748" s="5" t="str">
        <f t="shared" si="56"/>
        <v>Талицкий городской округ</v>
      </c>
    </row>
    <row r="1749" spans="1:38" ht="25.5" customHeight="1" x14ac:dyDescent="0.25">
      <c r="A1749" s="10" t="s">
        <v>1879</v>
      </c>
      <c r="B1749" s="11" t="s">
        <v>1699</v>
      </c>
      <c r="C1749" s="5">
        <v>34007.852099999996</v>
      </c>
      <c r="D1749" s="5">
        <v>34007.852099999996</v>
      </c>
      <c r="E1749" s="5">
        <v>30956.028900000001</v>
      </c>
      <c r="G1749" s="5" t="str">
        <f t="shared" si="55"/>
        <v>Шайтанка</v>
      </c>
      <c r="J1749" s="5"/>
      <c r="AF1749" t="s">
        <v>7229</v>
      </c>
      <c r="AG1749" s="24" t="s">
        <v>6980</v>
      </c>
      <c r="AH1749" s="5" t="s">
        <v>7229</v>
      </c>
      <c r="AI1749" s="5">
        <v>22283.381300000001</v>
      </c>
      <c r="AJ1749" s="5">
        <v>22283.381300000001</v>
      </c>
      <c r="AK1749">
        <v>20695.899000000001</v>
      </c>
      <c r="AL1749" s="5" t="str">
        <f t="shared" si="56"/>
        <v>Талицкий городской округ</v>
      </c>
    </row>
    <row r="1750" spans="1:38" ht="25.5" customHeight="1" x14ac:dyDescent="0.25">
      <c r="A1750" s="10" t="s">
        <v>1880</v>
      </c>
      <c r="B1750" s="11" t="s">
        <v>1698</v>
      </c>
      <c r="C1750" s="5">
        <v>38473.686099999999</v>
      </c>
      <c r="D1750" s="5">
        <v>38473.686099999999</v>
      </c>
      <c r="E1750" s="5">
        <v>35021.100899999998</v>
      </c>
      <c r="G1750" s="5" t="str">
        <f t="shared" si="55"/>
        <v>Хромпик</v>
      </c>
      <c r="J1750" s="5"/>
      <c r="AF1750" t="s">
        <v>7229</v>
      </c>
      <c r="AG1750" s="24" t="s">
        <v>6981</v>
      </c>
      <c r="AH1750" s="5" t="s">
        <v>7229</v>
      </c>
      <c r="AI1750" s="5">
        <v>22283.381300000001</v>
      </c>
      <c r="AJ1750" s="5">
        <v>22283.381300000001</v>
      </c>
      <c r="AK1750">
        <v>20695.899000000001</v>
      </c>
      <c r="AL1750" s="5" t="str">
        <f t="shared" si="56"/>
        <v>Талицкий городской округ</v>
      </c>
    </row>
    <row r="1751" spans="1:38" ht="25.5" customHeight="1" x14ac:dyDescent="0.25">
      <c r="A1751" s="10" t="s">
        <v>1881</v>
      </c>
      <c r="B1751" s="11" t="s">
        <v>1699</v>
      </c>
      <c r="C1751" s="5">
        <v>34007.852099999996</v>
      </c>
      <c r="D1751" s="5">
        <v>34007.852099999996</v>
      </c>
      <c r="E1751" s="5">
        <v>30956.028900000001</v>
      </c>
      <c r="G1751" s="5" t="str">
        <f t="shared" si="55"/>
        <v>Шайтанка</v>
      </c>
      <c r="J1751" s="5"/>
      <c r="AF1751" t="s">
        <v>7229</v>
      </c>
      <c r="AG1751" s="24" t="s">
        <v>6982</v>
      </c>
      <c r="AH1751" s="5" t="s">
        <v>7229</v>
      </c>
      <c r="AI1751" s="5">
        <v>22283.381300000001</v>
      </c>
      <c r="AJ1751" s="5">
        <v>22283.381300000001</v>
      </c>
      <c r="AK1751">
        <v>20695.899000000001</v>
      </c>
      <c r="AL1751" s="5" t="str">
        <f t="shared" si="56"/>
        <v>Талицкий городской округ</v>
      </c>
    </row>
    <row r="1752" spans="1:38" ht="25.5" customHeight="1" x14ac:dyDescent="0.25">
      <c r="A1752" s="10" t="s">
        <v>207</v>
      </c>
      <c r="B1752" s="11" t="s">
        <v>1677</v>
      </c>
      <c r="C1752" s="5">
        <v>39105.413099999998</v>
      </c>
      <c r="D1752" s="5">
        <v>39105.413099999998</v>
      </c>
      <c r="E1752" s="5">
        <v>35170.666700000002</v>
      </c>
      <c r="G1752" s="5" t="str">
        <f t="shared" si="55"/>
        <v>Октябрьский</v>
      </c>
      <c r="J1752" s="5"/>
      <c r="AF1752" t="s">
        <v>7229</v>
      </c>
      <c r="AG1752" s="24" t="s">
        <v>6983</v>
      </c>
      <c r="AH1752" s="5" t="s">
        <v>7229</v>
      </c>
      <c r="AI1752" s="5">
        <v>22283.381300000001</v>
      </c>
      <c r="AJ1752" s="5">
        <v>22283.381300000001</v>
      </c>
      <c r="AK1752">
        <v>20695.899000000001</v>
      </c>
      <c r="AL1752" s="5" t="str">
        <f t="shared" si="56"/>
        <v>Талицкий городской округ</v>
      </c>
    </row>
    <row r="1753" spans="1:38" ht="25.5" customHeight="1" x14ac:dyDescent="0.25">
      <c r="A1753" s="10" t="s">
        <v>1013</v>
      </c>
      <c r="B1753" s="11" t="s">
        <v>7242</v>
      </c>
      <c r="C1753" s="5">
        <v>27104.663700000001</v>
      </c>
      <c r="D1753" s="5">
        <v>27104.663700000001</v>
      </c>
      <c r="E1753" s="5">
        <v>26564.688900000001</v>
      </c>
      <c r="G1753" s="5" t="str">
        <f t="shared" si="55"/>
        <v>КК возле Первоуральска которые должны считаться как область</v>
      </c>
      <c r="J1753" s="5"/>
      <c r="AF1753" t="s">
        <v>7229</v>
      </c>
      <c r="AG1753" s="24" t="s">
        <v>6984</v>
      </c>
      <c r="AH1753" s="5" t="s">
        <v>7229</v>
      </c>
      <c r="AI1753" s="5">
        <v>22283.381300000001</v>
      </c>
      <c r="AJ1753" s="5">
        <v>22283.381300000001</v>
      </c>
      <c r="AK1753">
        <v>20695.899000000001</v>
      </c>
      <c r="AL1753" s="5" t="str">
        <f t="shared" si="56"/>
        <v>Талицкий городской округ</v>
      </c>
    </row>
    <row r="1754" spans="1:38" ht="25.5" customHeight="1" x14ac:dyDescent="0.25">
      <c r="A1754" s="10" t="s">
        <v>1882</v>
      </c>
      <c r="B1754" s="11" t="s">
        <v>1684</v>
      </c>
      <c r="C1754" s="5">
        <v>40625.090199999999</v>
      </c>
      <c r="D1754" s="5">
        <v>40625.090199999999</v>
      </c>
      <c r="E1754" s="5">
        <v>35661.364300000001</v>
      </c>
      <c r="G1754" s="5" t="str">
        <f t="shared" si="55"/>
        <v>Ваг_Стар_Пихтовы-г</v>
      </c>
      <c r="J1754" s="5"/>
      <c r="AF1754" t="s">
        <v>7229</v>
      </c>
      <c r="AG1754" s="24" t="s">
        <v>6985</v>
      </c>
      <c r="AH1754" s="5" t="s">
        <v>7229</v>
      </c>
      <c r="AI1754" s="5">
        <v>22283.381300000001</v>
      </c>
      <c r="AJ1754" s="5">
        <v>22283.381300000001</v>
      </c>
      <c r="AK1754">
        <v>20695.899000000001</v>
      </c>
      <c r="AL1754" s="5" t="str">
        <f t="shared" si="56"/>
        <v>Талицкий городской округ</v>
      </c>
    </row>
    <row r="1755" spans="1:38" ht="25.5" customHeight="1" x14ac:dyDescent="0.25">
      <c r="A1755" s="10" t="s">
        <v>50</v>
      </c>
      <c r="B1755" s="11" t="s">
        <v>1688</v>
      </c>
      <c r="C1755" s="5">
        <v>29893.73</v>
      </c>
      <c r="D1755" s="5">
        <v>29893.73</v>
      </c>
      <c r="E1755" s="5">
        <v>26241.207699999999</v>
      </c>
      <c r="G1755" s="5" t="str">
        <f t="shared" si="55"/>
        <v>Сух_Г-Кам_Н_Кушва_Н-Черм</v>
      </c>
      <c r="J1755" s="5"/>
      <c r="AF1755" t="s">
        <v>7229</v>
      </c>
      <c r="AG1755" s="24" t="s">
        <v>6986</v>
      </c>
      <c r="AH1755" s="5" t="s">
        <v>7229</v>
      </c>
      <c r="AI1755" s="5">
        <v>22283.381300000001</v>
      </c>
      <c r="AJ1755" s="5">
        <v>22283.381300000001</v>
      </c>
      <c r="AK1755">
        <v>20695.899000000001</v>
      </c>
      <c r="AL1755" s="5" t="str">
        <f t="shared" si="56"/>
        <v>Талицкий городской округ</v>
      </c>
    </row>
    <row r="1756" spans="1:38" ht="25.5" customHeight="1" x14ac:dyDescent="0.25">
      <c r="A1756" s="10" t="s">
        <v>318</v>
      </c>
      <c r="B1756" s="11" t="s">
        <v>1692</v>
      </c>
      <c r="C1756" s="5">
        <v>38366.254699999998</v>
      </c>
      <c r="D1756" s="5">
        <v>38366.254699999998</v>
      </c>
      <c r="E1756" s="5">
        <v>34923.320599999999</v>
      </c>
      <c r="G1756" s="5" t="str">
        <f t="shared" si="55"/>
        <v>Западный</v>
      </c>
      <c r="J1756" s="5"/>
      <c r="AF1756" t="s">
        <v>7229</v>
      </c>
      <c r="AG1756" s="24" t="s">
        <v>6987</v>
      </c>
      <c r="AH1756" s="5" t="s">
        <v>7229</v>
      </c>
      <c r="AI1756" s="5">
        <v>22283.381300000001</v>
      </c>
      <c r="AJ1756" s="5">
        <v>22283.381300000001</v>
      </c>
      <c r="AK1756">
        <v>20695.899000000001</v>
      </c>
      <c r="AL1756" s="5" t="str">
        <f t="shared" si="56"/>
        <v>Талицкий городской округ</v>
      </c>
    </row>
    <row r="1757" spans="1:38" ht="25.5" customHeight="1" x14ac:dyDescent="0.25">
      <c r="A1757" s="10" t="s">
        <v>1883</v>
      </c>
      <c r="B1757" s="11" t="s">
        <v>1691</v>
      </c>
      <c r="C1757" s="5">
        <v>36244.5985</v>
      </c>
      <c r="D1757" s="5">
        <v>36244.5985</v>
      </c>
      <c r="E1757" s="5">
        <v>32992.053800000002</v>
      </c>
      <c r="G1757" s="5" t="str">
        <f t="shared" si="55"/>
        <v>ДинСанПод</v>
      </c>
      <c r="J1757" s="5"/>
      <c r="AF1757" t="s">
        <v>7229</v>
      </c>
      <c r="AG1757" s="24" t="s">
        <v>6988</v>
      </c>
      <c r="AH1757" s="5" t="s">
        <v>7229</v>
      </c>
      <c r="AI1757" s="5">
        <v>22283.381300000001</v>
      </c>
      <c r="AJ1757" s="5">
        <v>22283.381300000001</v>
      </c>
      <c r="AK1757">
        <v>20695.899000000001</v>
      </c>
      <c r="AL1757" s="5" t="str">
        <f t="shared" si="56"/>
        <v>Талицкий городской округ</v>
      </c>
    </row>
    <row r="1758" spans="1:38" ht="25.5" customHeight="1" x14ac:dyDescent="0.25">
      <c r="A1758" s="10" t="s">
        <v>71</v>
      </c>
      <c r="B1758" s="5" t="s">
        <v>1683</v>
      </c>
      <c r="C1758" s="5">
        <v>40018.9617</v>
      </c>
      <c r="D1758" s="5">
        <v>40018.9617</v>
      </c>
      <c r="E1758" s="5">
        <v>35129.2961</v>
      </c>
      <c r="G1758" s="5" t="str">
        <f t="shared" si="55"/>
        <v>Алт_Гальян_М-Кушва</v>
      </c>
      <c r="J1758" s="5"/>
      <c r="AF1758" t="s">
        <v>7229</v>
      </c>
      <c r="AG1758" s="24" t="s">
        <v>6989</v>
      </c>
      <c r="AH1758" s="5" t="s">
        <v>7229</v>
      </c>
      <c r="AI1758" s="5">
        <v>27531.622899999998</v>
      </c>
      <c r="AJ1758" s="5">
        <v>27531.622899999998</v>
      </c>
      <c r="AK1758">
        <v>25570.257099999999</v>
      </c>
      <c r="AL1758" s="5" t="str">
        <f t="shared" si="56"/>
        <v>Талицкий городской округ</v>
      </c>
    </row>
    <row r="1759" spans="1:38" ht="25.5" customHeight="1" x14ac:dyDescent="0.25">
      <c r="A1759" s="10" t="s">
        <v>1884</v>
      </c>
      <c r="B1759" s="11" t="s">
        <v>1691</v>
      </c>
      <c r="C1759" s="5">
        <v>36244.5985</v>
      </c>
      <c r="D1759" s="5">
        <v>36244.5985</v>
      </c>
      <c r="E1759" s="5">
        <v>32992.053800000002</v>
      </c>
      <c r="G1759" s="5" t="str">
        <f t="shared" si="55"/>
        <v>ДинСанПод</v>
      </c>
      <c r="J1759" s="5"/>
      <c r="AF1759" t="s">
        <v>7229</v>
      </c>
      <c r="AG1759" s="24" t="s">
        <v>6990</v>
      </c>
      <c r="AH1759" s="5" t="s">
        <v>7229</v>
      </c>
      <c r="AI1759" s="5">
        <v>22283.381300000001</v>
      </c>
      <c r="AJ1759" s="5">
        <v>22283.381300000001</v>
      </c>
      <c r="AK1759">
        <v>20695.899000000001</v>
      </c>
      <c r="AL1759" s="5" t="str">
        <f t="shared" si="56"/>
        <v>Талицкий городской округ</v>
      </c>
    </row>
    <row r="1760" spans="1:38" ht="25.5" customHeight="1" x14ac:dyDescent="0.25">
      <c r="A1760" s="10" t="s">
        <v>1885</v>
      </c>
      <c r="B1760" s="11" t="s">
        <v>1699</v>
      </c>
      <c r="C1760" s="5">
        <v>34007.852099999996</v>
      </c>
      <c r="D1760" s="5">
        <v>34007.852099999996</v>
      </c>
      <c r="E1760" s="5">
        <v>30956.028900000001</v>
      </c>
      <c r="G1760" s="5" t="str">
        <f t="shared" si="55"/>
        <v>Шайтанка</v>
      </c>
      <c r="J1760" s="5"/>
      <c r="AF1760" t="s">
        <v>7229</v>
      </c>
      <c r="AG1760" s="24" t="s">
        <v>6991</v>
      </c>
      <c r="AH1760" s="5" t="s">
        <v>7229</v>
      </c>
      <c r="AI1760" s="5">
        <v>22283.381300000001</v>
      </c>
      <c r="AJ1760" s="5">
        <v>22283.381300000001</v>
      </c>
      <c r="AK1760">
        <v>20695.899000000001</v>
      </c>
      <c r="AL1760" s="5" t="str">
        <f t="shared" si="56"/>
        <v>Талицкий городской округ</v>
      </c>
    </row>
    <row r="1761" spans="1:38" ht="25.5" customHeight="1" x14ac:dyDescent="0.25">
      <c r="A1761" s="10" t="s">
        <v>1886</v>
      </c>
      <c r="B1761" s="11" t="s">
        <v>1683</v>
      </c>
      <c r="C1761" s="5">
        <v>40018.9617</v>
      </c>
      <c r="D1761" s="5">
        <v>40018.9617</v>
      </c>
      <c r="E1761" s="5">
        <v>35129.2961</v>
      </c>
      <c r="G1761" s="5" t="str">
        <f t="shared" si="55"/>
        <v>Алт_Гальян_М-Кушва</v>
      </c>
      <c r="J1761" s="5"/>
      <c r="AF1761" t="s">
        <v>7229</v>
      </c>
      <c r="AG1761" s="24" t="s">
        <v>6992</v>
      </c>
      <c r="AH1761" s="5" t="s">
        <v>7229</v>
      </c>
      <c r="AI1761" s="5">
        <v>22283.381300000001</v>
      </c>
      <c r="AJ1761" s="5">
        <v>22283.381300000001</v>
      </c>
      <c r="AK1761">
        <v>20695.899000000001</v>
      </c>
      <c r="AL1761" s="5" t="str">
        <f t="shared" si="56"/>
        <v>Талицкий городской округ</v>
      </c>
    </row>
    <row r="1762" spans="1:38" ht="25.5" customHeight="1" x14ac:dyDescent="0.25">
      <c r="A1762" s="10" t="s">
        <v>1887</v>
      </c>
      <c r="B1762" s="11" t="s">
        <v>1675</v>
      </c>
      <c r="C1762" s="5">
        <v>35756.285400000001</v>
      </c>
      <c r="D1762" s="5">
        <v>35756.285400000001</v>
      </c>
      <c r="E1762" s="5">
        <v>32158.5213</v>
      </c>
      <c r="G1762" s="5" t="str">
        <f t="shared" si="55"/>
        <v>УАЗ-II</v>
      </c>
      <c r="J1762" s="5"/>
      <c r="AF1762" t="s">
        <v>7229</v>
      </c>
      <c r="AG1762" s="24" t="s">
        <v>6993</v>
      </c>
      <c r="AH1762" s="5" t="s">
        <v>7229</v>
      </c>
      <c r="AI1762" s="5">
        <v>22841.533200000002</v>
      </c>
      <c r="AJ1762" s="5">
        <v>22841.533200000002</v>
      </c>
      <c r="AK1762">
        <v>21214.290499999999</v>
      </c>
      <c r="AL1762" s="5" t="str">
        <f t="shared" si="56"/>
        <v>Талицкий городской округ</v>
      </c>
    </row>
    <row r="1763" spans="1:38" ht="25.5" customHeight="1" x14ac:dyDescent="0.25">
      <c r="A1763" s="10" t="s">
        <v>82</v>
      </c>
      <c r="B1763" s="11" t="s">
        <v>7298</v>
      </c>
      <c r="C1763" s="7">
        <v>39931.596299999997</v>
      </c>
      <c r="D1763" s="7">
        <v>39931.596299999997</v>
      </c>
      <c r="E1763" s="7">
        <v>36348.1901</v>
      </c>
      <c r="G1763" s="5" t="str">
        <f t="shared" si="55"/>
        <v>Центр-Перв</v>
      </c>
      <c r="J1763" s="5"/>
      <c r="AF1763" t="s">
        <v>7229</v>
      </c>
      <c r="AG1763" s="24" t="s">
        <v>6994</v>
      </c>
      <c r="AH1763" s="5" t="s">
        <v>7229</v>
      </c>
      <c r="AI1763" s="5">
        <v>22283.381300000001</v>
      </c>
      <c r="AJ1763" s="5">
        <v>22283.381300000001</v>
      </c>
      <c r="AK1763">
        <v>20695.899000000001</v>
      </c>
      <c r="AL1763" s="5" t="str">
        <f t="shared" si="56"/>
        <v>Талицкий городской округ</v>
      </c>
    </row>
    <row r="1764" spans="1:38" ht="25.5" customHeight="1" x14ac:dyDescent="0.25">
      <c r="A1764" s="10" t="s">
        <v>1588</v>
      </c>
      <c r="B1764" s="11" t="s">
        <v>1650</v>
      </c>
      <c r="C1764" s="5">
        <v>37590.3603</v>
      </c>
      <c r="D1764" s="5">
        <v>37590.3603</v>
      </c>
      <c r="E1764" s="5">
        <v>34038.745900000002</v>
      </c>
      <c r="G1764" s="5" t="str">
        <f t="shared" si="55"/>
        <v>ШАБРОВСКИЙ</v>
      </c>
      <c r="J1764" s="5"/>
      <c r="AF1764" t="s">
        <v>7229</v>
      </c>
      <c r="AG1764" s="24" t="s">
        <v>6995</v>
      </c>
      <c r="AH1764" s="5" t="s">
        <v>7229</v>
      </c>
      <c r="AI1764" s="5">
        <v>22283.381300000001</v>
      </c>
      <c r="AJ1764" s="5">
        <v>22283.381300000001</v>
      </c>
      <c r="AK1764">
        <v>20695.899000000001</v>
      </c>
      <c r="AL1764" s="5" t="str">
        <f t="shared" si="56"/>
        <v>Талицкий городской округ</v>
      </c>
    </row>
    <row r="1765" spans="1:38" ht="25.5" customHeight="1" x14ac:dyDescent="0.25">
      <c r="A1765" s="10" t="s">
        <v>1888</v>
      </c>
      <c r="B1765" s="11" t="s">
        <v>1691</v>
      </c>
      <c r="C1765" s="5">
        <v>36244.5985</v>
      </c>
      <c r="D1765" s="5">
        <v>36244.5985</v>
      </c>
      <c r="E1765" s="5">
        <v>32992.053800000002</v>
      </c>
      <c r="G1765" s="5" t="str">
        <f t="shared" si="55"/>
        <v>ДинСанПод</v>
      </c>
      <c r="J1765" s="5"/>
      <c r="AF1765" t="s">
        <v>7229</v>
      </c>
      <c r="AG1765" s="24" t="s">
        <v>6996</v>
      </c>
      <c r="AH1765" s="5" t="s">
        <v>7229</v>
      </c>
      <c r="AI1765" s="5">
        <v>22283.381300000001</v>
      </c>
      <c r="AJ1765" s="5">
        <v>22283.381300000001</v>
      </c>
      <c r="AK1765">
        <v>20695.899000000001</v>
      </c>
      <c r="AL1765" s="5" t="str">
        <f t="shared" si="56"/>
        <v>Талицкий городской округ</v>
      </c>
    </row>
    <row r="1766" spans="1:38" ht="25.5" customHeight="1" x14ac:dyDescent="0.25">
      <c r="A1766" s="10" t="s">
        <v>833</v>
      </c>
      <c r="B1766" s="5" t="s">
        <v>1686</v>
      </c>
      <c r="C1766" s="5">
        <v>24299.835599999999</v>
      </c>
      <c r="D1766" s="5">
        <v>24299.835599999999</v>
      </c>
      <c r="E1766" s="5">
        <v>21330.794900000001</v>
      </c>
      <c r="G1766" s="5" t="str">
        <f t="shared" si="55"/>
        <v>Евст_В-Черм</v>
      </c>
      <c r="J1766" s="5"/>
      <c r="AF1766" t="s">
        <v>7229</v>
      </c>
      <c r="AG1766" s="24" t="s">
        <v>6997</v>
      </c>
      <c r="AH1766" s="5" t="s">
        <v>7229</v>
      </c>
      <c r="AI1766" s="5">
        <v>22283.381300000001</v>
      </c>
      <c r="AJ1766" s="5">
        <v>22283.381300000001</v>
      </c>
      <c r="AK1766">
        <v>20695.899000000001</v>
      </c>
      <c r="AL1766" s="5" t="str">
        <f t="shared" si="56"/>
        <v>Талицкий городской округ</v>
      </c>
    </row>
    <row r="1767" spans="1:38" ht="25.5" customHeight="1" x14ac:dyDescent="0.25">
      <c r="A1767" s="10" t="s">
        <v>1566</v>
      </c>
      <c r="B1767" s="11" t="s">
        <v>1687</v>
      </c>
      <c r="C1767" s="5">
        <v>30591.135900000001</v>
      </c>
      <c r="D1767" s="5">
        <v>30591.135900000001</v>
      </c>
      <c r="E1767" s="5">
        <v>26853.405500000001</v>
      </c>
      <c r="G1767" s="5" t="str">
        <f t="shared" si="55"/>
        <v>Рудник_Север</v>
      </c>
      <c r="J1767" s="5"/>
      <c r="AF1767" t="s">
        <v>7229</v>
      </c>
      <c r="AG1767" s="24" t="s">
        <v>6998</v>
      </c>
      <c r="AH1767" s="5" t="s">
        <v>7229</v>
      </c>
      <c r="AI1767" s="5">
        <v>22283.381300000001</v>
      </c>
      <c r="AJ1767" s="5">
        <v>22283.381300000001</v>
      </c>
      <c r="AK1767">
        <v>20695.899000000001</v>
      </c>
      <c r="AL1767" s="5" t="str">
        <f t="shared" si="56"/>
        <v>Талицкий городской округ</v>
      </c>
    </row>
    <row r="1768" spans="1:38" ht="25.5" customHeight="1" x14ac:dyDescent="0.25">
      <c r="A1768" s="10" t="s">
        <v>1889</v>
      </c>
      <c r="B1768" s="11" t="s">
        <v>1665</v>
      </c>
      <c r="C1768" s="5">
        <v>55692.278700000003</v>
      </c>
      <c r="D1768" s="5">
        <v>55692.278700000003</v>
      </c>
      <c r="E1768" s="5">
        <v>50430.350200000001</v>
      </c>
      <c r="G1768" s="5" t="str">
        <f t="shared" si="55"/>
        <v>ПОЛЕВОДСТВО</v>
      </c>
      <c r="J1768" s="5"/>
      <c r="AF1768" t="s">
        <v>7229</v>
      </c>
      <c r="AG1768" s="24" t="s">
        <v>6999</v>
      </c>
      <c r="AH1768" s="5" t="s">
        <v>7229</v>
      </c>
      <c r="AI1768" s="5">
        <v>22283.381300000001</v>
      </c>
      <c r="AJ1768" s="5">
        <v>22283.381300000001</v>
      </c>
      <c r="AK1768">
        <v>20695.899000000001</v>
      </c>
      <c r="AL1768" s="5" t="str">
        <f t="shared" si="56"/>
        <v>Талицкий городской округ</v>
      </c>
    </row>
    <row r="1769" spans="1:38" ht="25.5" customHeight="1" x14ac:dyDescent="0.25">
      <c r="A1769" s="10" t="s">
        <v>1890</v>
      </c>
      <c r="B1769" s="11" t="s">
        <v>1679</v>
      </c>
      <c r="C1769" s="5">
        <v>28855.326499999999</v>
      </c>
      <c r="D1769" s="5">
        <v>28855.326499999999</v>
      </c>
      <c r="E1769" s="5">
        <v>25951.933700000001</v>
      </c>
      <c r="G1769" s="5" t="str">
        <f t="shared" si="55"/>
        <v>Ст.Каменск-Хозспособ</v>
      </c>
      <c r="J1769" s="5"/>
      <c r="AF1769" t="s">
        <v>7229</v>
      </c>
      <c r="AG1769" s="24" t="s">
        <v>7000</v>
      </c>
      <c r="AH1769" s="5" t="s">
        <v>7229</v>
      </c>
      <c r="AI1769" s="5">
        <v>22283.381300000001</v>
      </c>
      <c r="AJ1769" s="5">
        <v>22283.381300000001</v>
      </c>
      <c r="AK1769">
        <v>20695.899000000001</v>
      </c>
      <c r="AL1769" s="5" t="str">
        <f t="shared" si="56"/>
        <v>Талицкий городской округ</v>
      </c>
    </row>
    <row r="1770" spans="1:38" ht="25.5" customHeight="1" x14ac:dyDescent="0.25">
      <c r="A1770" s="10" t="s">
        <v>20</v>
      </c>
      <c r="B1770" s="11" t="s">
        <v>1689</v>
      </c>
      <c r="C1770" s="5">
        <v>34023.428</v>
      </c>
      <c r="D1770" s="5">
        <v>34023.428</v>
      </c>
      <c r="E1770" s="5">
        <v>29866.3148</v>
      </c>
      <c r="G1770" s="5" t="str">
        <f t="shared" si="55"/>
        <v>Тагил_Кирп</v>
      </c>
      <c r="J1770" s="5"/>
      <c r="AF1770" t="s">
        <v>7229</v>
      </c>
      <c r="AG1770" s="24" t="s">
        <v>7001</v>
      </c>
      <c r="AH1770" s="5" t="s">
        <v>7229</v>
      </c>
      <c r="AI1770" s="5">
        <v>22283.381300000001</v>
      </c>
      <c r="AJ1770" s="5">
        <v>22283.381300000001</v>
      </c>
      <c r="AK1770">
        <v>20695.899000000001</v>
      </c>
      <c r="AL1770" s="5" t="str">
        <f t="shared" si="56"/>
        <v>Талицкий городской округ</v>
      </c>
    </row>
    <row r="1771" spans="1:38" ht="25.5" customHeight="1" x14ac:dyDescent="0.25">
      <c r="A1771" s="10" t="s">
        <v>225</v>
      </c>
      <c r="B1771" s="11" t="s">
        <v>7242</v>
      </c>
      <c r="C1771" s="5">
        <v>27104.663700000001</v>
      </c>
      <c r="D1771" s="5">
        <v>27104.663700000001</v>
      </c>
      <c r="E1771" s="5">
        <v>26564.688900000001</v>
      </c>
      <c r="G1771" s="5" t="str">
        <f t="shared" si="55"/>
        <v>КК возле Первоуральска которые должны считаться как область</v>
      </c>
      <c r="J1771" s="5"/>
      <c r="AF1771" t="s">
        <v>7229</v>
      </c>
      <c r="AG1771" s="24" t="s">
        <v>7002</v>
      </c>
      <c r="AH1771" s="5" t="s">
        <v>7229</v>
      </c>
      <c r="AI1771" s="5">
        <v>22283.381300000001</v>
      </c>
      <c r="AJ1771" s="5">
        <v>22283.381300000001</v>
      </c>
      <c r="AK1771">
        <v>20695.899000000001</v>
      </c>
      <c r="AL1771" s="5" t="str">
        <f t="shared" si="56"/>
        <v>Талицкий городской округ</v>
      </c>
    </row>
    <row r="1772" spans="1:38" ht="25.5" customHeight="1" x14ac:dyDescent="0.25">
      <c r="A1772" s="10" t="s">
        <v>1891</v>
      </c>
      <c r="B1772" s="11" t="s">
        <v>1691</v>
      </c>
      <c r="C1772" s="5">
        <v>36244.5985</v>
      </c>
      <c r="D1772" s="5">
        <v>36244.5985</v>
      </c>
      <c r="E1772" s="5">
        <v>32992.053800000002</v>
      </c>
      <c r="G1772" s="5" t="str">
        <f t="shared" si="55"/>
        <v>ДинСанПод</v>
      </c>
      <c r="J1772" s="5"/>
      <c r="AF1772" t="s">
        <v>7230</v>
      </c>
      <c r="AG1772" s="24" t="s">
        <v>7003</v>
      </c>
      <c r="AH1772" s="5" t="s">
        <v>7230</v>
      </c>
      <c r="AI1772" s="5">
        <v>17216.6315</v>
      </c>
      <c r="AJ1772" s="5">
        <v>17216.6315</v>
      </c>
      <c r="AK1772">
        <v>15990.1095</v>
      </c>
      <c r="AL1772" s="5" t="str">
        <f t="shared" si="56"/>
        <v>Тугулымский городской округ</v>
      </c>
    </row>
    <row r="1773" spans="1:38" ht="25.5" customHeight="1" x14ac:dyDescent="0.25">
      <c r="A1773" s="10" t="s">
        <v>1892</v>
      </c>
      <c r="B1773" s="11" t="s">
        <v>1691</v>
      </c>
      <c r="C1773" s="5">
        <v>36244.5985</v>
      </c>
      <c r="D1773" s="5">
        <v>36244.5985</v>
      </c>
      <c r="E1773" s="5">
        <v>32992.053800000002</v>
      </c>
      <c r="G1773" s="5" t="str">
        <f t="shared" si="55"/>
        <v>ДинСанПод</v>
      </c>
      <c r="J1773" s="5"/>
      <c r="AF1773" t="s">
        <v>7230</v>
      </c>
      <c r="AG1773" s="24" t="s">
        <v>7004</v>
      </c>
      <c r="AH1773" s="5" t="s">
        <v>7230</v>
      </c>
      <c r="AI1773" s="5">
        <v>17216.6315</v>
      </c>
      <c r="AJ1773" s="5">
        <v>17216.6315</v>
      </c>
      <c r="AK1773">
        <v>15990.1095</v>
      </c>
      <c r="AL1773" s="5" t="str">
        <f t="shared" si="56"/>
        <v>Тугулымский городской округ</v>
      </c>
    </row>
    <row r="1774" spans="1:38" ht="25.5" customHeight="1" x14ac:dyDescent="0.25">
      <c r="A1774" s="10" t="s">
        <v>1893</v>
      </c>
      <c r="B1774" s="11" t="s">
        <v>1679</v>
      </c>
      <c r="C1774" s="5">
        <v>28855.326499999999</v>
      </c>
      <c r="D1774" s="5">
        <v>28855.326499999999</v>
      </c>
      <c r="E1774" s="5">
        <v>25951.933700000001</v>
      </c>
      <c r="G1774" s="5" t="str">
        <f t="shared" si="55"/>
        <v>Ст.Каменск-Хозспособ</v>
      </c>
      <c r="J1774" s="5"/>
      <c r="AF1774" t="s">
        <v>7230</v>
      </c>
      <c r="AG1774" s="24" t="s">
        <v>7005</v>
      </c>
      <c r="AH1774" s="5" t="s">
        <v>7230</v>
      </c>
      <c r="AI1774" s="5">
        <v>17216.6315</v>
      </c>
      <c r="AJ1774" s="5">
        <v>17216.6315</v>
      </c>
      <c r="AK1774">
        <v>15990.1095</v>
      </c>
      <c r="AL1774" s="5" t="str">
        <f t="shared" si="56"/>
        <v>Тугулымский городской округ</v>
      </c>
    </row>
    <row r="1775" spans="1:38" ht="25.5" customHeight="1" x14ac:dyDescent="0.25">
      <c r="A1775" s="10" t="s">
        <v>1894</v>
      </c>
      <c r="B1775" s="11" t="s">
        <v>1673</v>
      </c>
      <c r="C1775" s="5">
        <v>35563.243300000002</v>
      </c>
      <c r="D1775" s="5">
        <v>35563.243300000002</v>
      </c>
      <c r="E1775" s="5">
        <v>31984.905299999999</v>
      </c>
      <c r="G1775" s="5" t="str">
        <f t="shared" si="55"/>
        <v>УАЗ-III - 49 кв.</v>
      </c>
      <c r="J1775" s="5"/>
      <c r="AF1775" t="s">
        <v>7230</v>
      </c>
      <c r="AG1775" s="24" t="s">
        <v>7006</v>
      </c>
      <c r="AH1775" s="5" t="s">
        <v>7230</v>
      </c>
      <c r="AI1775" s="5">
        <v>17216.6315</v>
      </c>
      <c r="AJ1775" s="5">
        <v>17216.6315</v>
      </c>
      <c r="AK1775">
        <v>15990.1095</v>
      </c>
      <c r="AL1775" s="5" t="str">
        <f t="shared" si="56"/>
        <v>Тугулымский городской округ</v>
      </c>
    </row>
    <row r="1776" spans="1:38" ht="25.5" customHeight="1" x14ac:dyDescent="0.25">
      <c r="A1776" s="10" t="s">
        <v>1895</v>
      </c>
      <c r="B1776" s="11" t="s">
        <v>1688</v>
      </c>
      <c r="C1776" s="5">
        <v>29893.73</v>
      </c>
      <c r="D1776" s="5">
        <v>29893.73</v>
      </c>
      <c r="E1776" s="5">
        <v>26241.207699999999</v>
      </c>
      <c r="G1776" s="5" t="str">
        <f t="shared" si="55"/>
        <v>Сух_Г-Кам_Н_Кушва_Н-Черм</v>
      </c>
      <c r="J1776" s="5"/>
      <c r="AF1776" t="s">
        <v>7230</v>
      </c>
      <c r="AG1776" s="24" t="s">
        <v>7007</v>
      </c>
      <c r="AH1776" s="5" t="s">
        <v>7230</v>
      </c>
      <c r="AI1776" s="5">
        <v>17216.6315</v>
      </c>
      <c r="AJ1776" s="5">
        <v>17216.6315</v>
      </c>
      <c r="AK1776">
        <v>15990.1095</v>
      </c>
      <c r="AL1776" s="5" t="str">
        <f t="shared" si="56"/>
        <v>Тугулымский городской округ</v>
      </c>
    </row>
    <row r="1777" spans="1:38" ht="25.5" customHeight="1" x14ac:dyDescent="0.25">
      <c r="A1777" s="10" t="s">
        <v>1896</v>
      </c>
      <c r="B1777" s="11" t="s">
        <v>1668</v>
      </c>
      <c r="C1777" s="5">
        <v>51343.6201</v>
      </c>
      <c r="D1777" s="5">
        <v>51343.6201</v>
      </c>
      <c r="E1777" s="5">
        <v>46492.558799999999</v>
      </c>
      <c r="G1777" s="5" t="str">
        <f t="shared" si="55"/>
        <v>МЕДНЫЙ</v>
      </c>
      <c r="J1777" s="5"/>
      <c r="AF1777" t="s">
        <v>7230</v>
      </c>
      <c r="AG1777" s="24" t="s">
        <v>7008</v>
      </c>
      <c r="AH1777" s="5" t="s">
        <v>7230</v>
      </c>
      <c r="AI1777" s="5">
        <v>17647.874299999999</v>
      </c>
      <c r="AJ1777" s="5">
        <v>17647.874299999999</v>
      </c>
      <c r="AK1777">
        <v>16390.634099999999</v>
      </c>
      <c r="AL1777" s="5" t="str">
        <f t="shared" si="56"/>
        <v>Тугулымский городской округ</v>
      </c>
    </row>
    <row r="1778" spans="1:38" ht="25.5" customHeight="1" x14ac:dyDescent="0.25">
      <c r="A1778" s="10" t="s">
        <v>1897</v>
      </c>
      <c r="B1778" s="11" t="s">
        <v>1676</v>
      </c>
      <c r="C1778" s="5">
        <v>28848.8855</v>
      </c>
      <c r="D1778" s="5">
        <v>28848.8855</v>
      </c>
      <c r="E1778" s="5">
        <v>25946.143</v>
      </c>
      <c r="G1778" s="5" t="str">
        <f t="shared" si="55"/>
        <v>Чкаловский</v>
      </c>
      <c r="J1778" s="5"/>
      <c r="AF1778" t="s">
        <v>7230</v>
      </c>
      <c r="AG1778" s="24" t="s">
        <v>7009</v>
      </c>
      <c r="AH1778" s="5" t="s">
        <v>7230</v>
      </c>
      <c r="AI1778" s="5">
        <v>17216.6315</v>
      </c>
      <c r="AJ1778" s="5">
        <v>17216.6315</v>
      </c>
      <c r="AK1778">
        <v>15990.1095</v>
      </c>
      <c r="AL1778" s="5" t="str">
        <f t="shared" si="56"/>
        <v>Тугулымский городской округ</v>
      </c>
    </row>
    <row r="1779" spans="1:38" ht="25.5" customHeight="1" x14ac:dyDescent="0.25">
      <c r="A1779" s="10" t="s">
        <v>1898</v>
      </c>
      <c r="B1779" s="11" t="s">
        <v>1684</v>
      </c>
      <c r="C1779" s="5">
        <v>40625.090199999999</v>
      </c>
      <c r="D1779" s="5">
        <v>40625.090199999999</v>
      </c>
      <c r="E1779" s="5">
        <v>35661.364300000001</v>
      </c>
      <c r="G1779" s="5" t="str">
        <f t="shared" si="55"/>
        <v>Ваг_Стар_Пихтовы-г</v>
      </c>
      <c r="J1779" s="5"/>
      <c r="AF1779" t="s">
        <v>7230</v>
      </c>
      <c r="AG1779" s="24" t="s">
        <v>7010</v>
      </c>
      <c r="AH1779" s="5" t="s">
        <v>7230</v>
      </c>
      <c r="AI1779" s="5">
        <v>17216.6315</v>
      </c>
      <c r="AJ1779" s="5">
        <v>17216.6315</v>
      </c>
      <c r="AK1779">
        <v>15990.1095</v>
      </c>
      <c r="AL1779" s="5" t="str">
        <f t="shared" si="56"/>
        <v>Тугулымский городской округ</v>
      </c>
    </row>
    <row r="1780" spans="1:38" ht="25.5" customHeight="1" x14ac:dyDescent="0.25">
      <c r="A1780" s="10" t="s">
        <v>1158</v>
      </c>
      <c r="B1780" s="11" t="s">
        <v>1683</v>
      </c>
      <c r="C1780" s="5">
        <v>40018.9617</v>
      </c>
      <c r="D1780" s="5">
        <v>40018.9617</v>
      </c>
      <c r="E1780" s="5">
        <v>35129.2961</v>
      </c>
      <c r="G1780" s="5" t="str">
        <f t="shared" si="55"/>
        <v>Алт_Гальян_М-Кушва</v>
      </c>
      <c r="J1780" s="5"/>
      <c r="AF1780" t="s">
        <v>7230</v>
      </c>
      <c r="AG1780" s="24" t="s">
        <v>7011</v>
      </c>
      <c r="AH1780" s="5" t="s">
        <v>7230</v>
      </c>
      <c r="AI1780" s="5">
        <v>17216.6315</v>
      </c>
      <c r="AJ1780" s="5">
        <v>17216.6315</v>
      </c>
      <c r="AK1780">
        <v>15990.1095</v>
      </c>
      <c r="AL1780" s="5" t="str">
        <f t="shared" si="56"/>
        <v>Тугулымский городской округ</v>
      </c>
    </row>
    <row r="1781" spans="1:38" ht="25.5" customHeight="1" x14ac:dyDescent="0.25">
      <c r="A1781" s="10" t="s">
        <v>1899</v>
      </c>
      <c r="B1781" s="11" t="s">
        <v>1691</v>
      </c>
      <c r="C1781" s="5">
        <v>36244.5985</v>
      </c>
      <c r="D1781" s="5">
        <v>36244.5985</v>
      </c>
      <c r="E1781" s="5">
        <v>32992.053800000002</v>
      </c>
      <c r="G1781" s="5" t="str">
        <f t="shared" si="55"/>
        <v>ДинСанПод</v>
      </c>
      <c r="J1781" s="5"/>
      <c r="AF1781" t="s">
        <v>7230</v>
      </c>
      <c r="AG1781" s="24" t="s">
        <v>7012</v>
      </c>
      <c r="AH1781" s="5" t="s">
        <v>7230</v>
      </c>
      <c r="AI1781" s="5">
        <v>17216.6315</v>
      </c>
      <c r="AJ1781" s="5">
        <v>17216.6315</v>
      </c>
      <c r="AK1781">
        <v>15990.1095</v>
      </c>
      <c r="AL1781" s="5" t="str">
        <f t="shared" si="56"/>
        <v>Тугулымский городской округ</v>
      </c>
    </row>
    <row r="1782" spans="1:38" x14ac:dyDescent="0.25">
      <c r="A1782" s="10" t="s">
        <v>1900</v>
      </c>
      <c r="B1782" s="11" t="s">
        <v>1674</v>
      </c>
      <c r="C1782" s="5">
        <v>29199.565200000001</v>
      </c>
      <c r="D1782" s="5">
        <v>29199.565200000001</v>
      </c>
      <c r="E1782" s="5">
        <v>26261.5317</v>
      </c>
      <c r="G1782" s="5" t="str">
        <f t="shared" si="55"/>
        <v>УАЗ</v>
      </c>
      <c r="J1782" s="5"/>
      <c r="AF1782" t="s">
        <v>7230</v>
      </c>
      <c r="AG1782" s="24" t="s">
        <v>7013</v>
      </c>
      <c r="AH1782" s="5" t="s">
        <v>7230</v>
      </c>
      <c r="AI1782" s="5">
        <v>17216.6315</v>
      </c>
      <c r="AJ1782" s="5">
        <v>17216.6315</v>
      </c>
      <c r="AK1782">
        <v>15990.1095</v>
      </c>
      <c r="AL1782" s="5" t="str">
        <f t="shared" si="56"/>
        <v>Тугулымский городской округ</v>
      </c>
    </row>
    <row r="1783" spans="1:38" x14ac:dyDescent="0.25">
      <c r="A1783" s="10" t="s">
        <v>1901</v>
      </c>
      <c r="B1783" s="11" t="s">
        <v>1681</v>
      </c>
      <c r="C1783" s="5">
        <v>32172.2909</v>
      </c>
      <c r="D1783" s="5">
        <v>32172.2909</v>
      </c>
      <c r="E1783" s="5">
        <v>28935.146499999999</v>
      </c>
      <c r="G1783" s="5" t="str">
        <f t="shared" si="55"/>
        <v>Ленин-Олимп</v>
      </c>
      <c r="J1783" s="5"/>
      <c r="AF1783" t="s">
        <v>7230</v>
      </c>
      <c r="AG1783" s="24" t="s">
        <v>7014</v>
      </c>
      <c r="AH1783" s="5" t="s">
        <v>7230</v>
      </c>
      <c r="AI1783" s="5">
        <v>17216.6315</v>
      </c>
      <c r="AJ1783" s="5">
        <v>17216.6315</v>
      </c>
      <c r="AK1783">
        <v>15990.1095</v>
      </c>
      <c r="AL1783" s="5" t="str">
        <f t="shared" si="56"/>
        <v>Тугулымский городской округ</v>
      </c>
    </row>
    <row r="1784" spans="1:38" ht="25.5" customHeight="1" x14ac:dyDescent="0.25">
      <c r="A1784" s="10" t="s">
        <v>1902</v>
      </c>
      <c r="B1784" s="11" t="s">
        <v>1691</v>
      </c>
      <c r="C1784" s="5">
        <v>36244.5985</v>
      </c>
      <c r="D1784" s="5">
        <v>36244.5985</v>
      </c>
      <c r="E1784" s="5">
        <v>32992.053800000002</v>
      </c>
      <c r="G1784" s="5" t="str">
        <f t="shared" si="55"/>
        <v>ДинСанПод</v>
      </c>
      <c r="J1784" s="5"/>
      <c r="AF1784" t="s">
        <v>7230</v>
      </c>
      <c r="AG1784" s="24" t="s">
        <v>7015</v>
      </c>
      <c r="AH1784" s="5" t="s">
        <v>7230</v>
      </c>
      <c r="AI1784" s="5">
        <v>17647.874299999999</v>
      </c>
      <c r="AJ1784" s="5">
        <v>17647.874299999999</v>
      </c>
      <c r="AK1784">
        <v>16390.634099999999</v>
      </c>
      <c r="AL1784" s="5" t="str">
        <f t="shared" si="56"/>
        <v>Тугулымский городской округ</v>
      </c>
    </row>
    <row r="1785" spans="1:38" ht="25.5" customHeight="1" x14ac:dyDescent="0.25">
      <c r="A1785" s="10" t="s">
        <v>1171</v>
      </c>
      <c r="B1785" s="11" t="s">
        <v>1681</v>
      </c>
      <c r="C1785" s="5">
        <v>32172.2909</v>
      </c>
      <c r="D1785" s="5">
        <v>32172.2909</v>
      </c>
      <c r="E1785" s="5">
        <v>28935.146499999999</v>
      </c>
      <c r="G1785" s="5" t="str">
        <f t="shared" si="55"/>
        <v>Ленин-Олимп</v>
      </c>
      <c r="J1785" s="5"/>
      <c r="AF1785" t="s">
        <v>7230</v>
      </c>
      <c r="AG1785" s="24" t="s">
        <v>7016</v>
      </c>
      <c r="AH1785" s="5" t="s">
        <v>7230</v>
      </c>
      <c r="AI1785" s="5">
        <v>17216.6315</v>
      </c>
      <c r="AJ1785" s="5">
        <v>17216.6315</v>
      </c>
      <c r="AK1785">
        <v>15990.1095</v>
      </c>
      <c r="AL1785" s="5" t="str">
        <f t="shared" si="56"/>
        <v>Тугулымский городской округ</v>
      </c>
    </row>
    <row r="1786" spans="1:38" x14ac:dyDescent="0.25">
      <c r="A1786" s="10" t="s">
        <v>1903</v>
      </c>
      <c r="B1786" s="11" t="s">
        <v>1681</v>
      </c>
      <c r="C1786" s="5">
        <v>32172.2909</v>
      </c>
      <c r="D1786" s="5">
        <v>32172.2909</v>
      </c>
      <c r="E1786" s="5">
        <v>28935.146499999999</v>
      </c>
      <c r="G1786" s="5" t="str">
        <f t="shared" si="55"/>
        <v>Ленин-Олимп</v>
      </c>
      <c r="J1786" s="5"/>
      <c r="AF1786" t="s">
        <v>7230</v>
      </c>
      <c r="AG1786" s="24" t="s">
        <v>7017</v>
      </c>
      <c r="AH1786" s="5" t="s">
        <v>7230</v>
      </c>
      <c r="AI1786" s="5">
        <v>17647.874299999999</v>
      </c>
      <c r="AJ1786" s="5">
        <v>17647.874299999999</v>
      </c>
      <c r="AK1786">
        <v>16390.634099999999</v>
      </c>
      <c r="AL1786" s="5" t="str">
        <f t="shared" si="56"/>
        <v>Тугулымский городской округ</v>
      </c>
    </row>
    <row r="1787" spans="1:38" ht="25.5" customHeight="1" x14ac:dyDescent="0.25">
      <c r="A1787" s="10" t="s">
        <v>1904</v>
      </c>
      <c r="B1787" s="11" t="s">
        <v>1683</v>
      </c>
      <c r="C1787" s="5">
        <v>40018.9617</v>
      </c>
      <c r="D1787" s="5">
        <v>40018.9617</v>
      </c>
      <c r="E1787" s="5">
        <v>35129.2961</v>
      </c>
      <c r="G1787" s="5" t="str">
        <f t="shared" si="55"/>
        <v>Алт_Гальян_М-Кушва</v>
      </c>
      <c r="J1787" s="5"/>
      <c r="AF1787" t="s">
        <v>7230</v>
      </c>
      <c r="AG1787" s="24" t="s">
        <v>7018</v>
      </c>
      <c r="AH1787" s="5" t="s">
        <v>7230</v>
      </c>
      <c r="AI1787" s="5">
        <v>17216.6315</v>
      </c>
      <c r="AJ1787" s="5">
        <v>17216.6315</v>
      </c>
      <c r="AK1787">
        <v>15990.1095</v>
      </c>
      <c r="AL1787" s="5" t="str">
        <f t="shared" si="56"/>
        <v>Тугулымский городской округ</v>
      </c>
    </row>
    <row r="1788" spans="1:38" ht="25.5" customHeight="1" x14ac:dyDescent="0.25">
      <c r="A1788" s="10" t="s">
        <v>1905</v>
      </c>
      <c r="B1788" s="11" t="s">
        <v>1680</v>
      </c>
      <c r="C1788" s="5">
        <v>29151.309799999999</v>
      </c>
      <c r="D1788" s="5">
        <v>29151.309799999999</v>
      </c>
      <c r="E1788" s="5">
        <v>26218.127700000001</v>
      </c>
      <c r="G1788" s="5" t="str">
        <f t="shared" si="55"/>
        <v>Северный</v>
      </c>
      <c r="J1788" s="5"/>
      <c r="AF1788" t="s">
        <v>7230</v>
      </c>
      <c r="AG1788" s="24" t="s">
        <v>7019</v>
      </c>
      <c r="AH1788" s="5" t="s">
        <v>7230</v>
      </c>
      <c r="AI1788" s="5">
        <v>17216.6315</v>
      </c>
      <c r="AJ1788" s="5">
        <v>17216.6315</v>
      </c>
      <c r="AK1788">
        <v>15990.1095</v>
      </c>
      <c r="AL1788" s="5" t="str">
        <f t="shared" si="56"/>
        <v>Тугулымский городской округ</v>
      </c>
    </row>
    <row r="1789" spans="1:38" ht="25.5" customHeight="1" x14ac:dyDescent="0.25">
      <c r="A1789" s="10" t="s">
        <v>1906</v>
      </c>
      <c r="B1789" s="11" t="s">
        <v>1681</v>
      </c>
      <c r="C1789" s="5">
        <v>32172.2909</v>
      </c>
      <c r="D1789" s="5">
        <v>32172.2909</v>
      </c>
      <c r="E1789" s="5">
        <v>28935.146499999999</v>
      </c>
      <c r="G1789" s="5" t="str">
        <f t="shared" si="55"/>
        <v>Ленин-Олимп</v>
      </c>
      <c r="J1789" s="5"/>
      <c r="AF1789" t="s">
        <v>7230</v>
      </c>
      <c r="AG1789" s="24" t="s">
        <v>7020</v>
      </c>
      <c r="AH1789" s="5" t="s">
        <v>7230</v>
      </c>
      <c r="AI1789" s="5">
        <v>17216.6315</v>
      </c>
      <c r="AJ1789" s="5">
        <v>17216.6315</v>
      </c>
      <c r="AK1789">
        <v>15990.1095</v>
      </c>
      <c r="AL1789" s="5" t="str">
        <f t="shared" si="56"/>
        <v>Тугулымский городской округ</v>
      </c>
    </row>
    <row r="1790" spans="1:38" ht="25.5" customHeight="1" x14ac:dyDescent="0.25">
      <c r="A1790" s="10" t="s">
        <v>1380</v>
      </c>
      <c r="B1790" s="11" t="s">
        <v>1679</v>
      </c>
      <c r="C1790" s="5">
        <v>28855.326499999999</v>
      </c>
      <c r="D1790" s="5">
        <v>28855.326499999999</v>
      </c>
      <c r="E1790" s="5">
        <v>25951.933700000001</v>
      </c>
      <c r="G1790" s="5" t="str">
        <f t="shared" si="55"/>
        <v>Ст.Каменск-Хозспособ</v>
      </c>
      <c r="J1790" s="5"/>
      <c r="AF1790" t="s">
        <v>7230</v>
      </c>
      <c r="AG1790" s="24" t="s">
        <v>7021</v>
      </c>
      <c r="AH1790" s="5" t="s">
        <v>7230</v>
      </c>
      <c r="AI1790" s="5">
        <v>17216.6315</v>
      </c>
      <c r="AJ1790" s="5">
        <v>17216.6315</v>
      </c>
      <c r="AK1790">
        <v>15990.1095</v>
      </c>
      <c r="AL1790" s="5" t="str">
        <f t="shared" si="56"/>
        <v>Тугулымский городской округ</v>
      </c>
    </row>
    <row r="1791" spans="1:38" ht="25.5" customHeight="1" x14ac:dyDescent="0.25">
      <c r="A1791" s="10" t="s">
        <v>1907</v>
      </c>
      <c r="B1791" s="11" t="s">
        <v>1691</v>
      </c>
      <c r="C1791" s="5">
        <v>36244.5985</v>
      </c>
      <c r="D1791" s="5">
        <v>36244.5985</v>
      </c>
      <c r="E1791" s="5">
        <v>32992.053800000002</v>
      </c>
      <c r="G1791" s="5" t="str">
        <f t="shared" si="55"/>
        <v>ДинСанПод</v>
      </c>
      <c r="J1791" s="5"/>
      <c r="AF1791" t="s">
        <v>7230</v>
      </c>
      <c r="AG1791" s="24" t="s">
        <v>7022</v>
      </c>
      <c r="AH1791" s="5" t="s">
        <v>7230</v>
      </c>
      <c r="AI1791" s="5">
        <v>17216.6315</v>
      </c>
      <c r="AJ1791" s="5">
        <v>17216.6315</v>
      </c>
      <c r="AK1791">
        <v>15990.1095</v>
      </c>
      <c r="AL1791" s="5" t="str">
        <f t="shared" si="56"/>
        <v>Тугулымский городской округ</v>
      </c>
    </row>
    <row r="1792" spans="1:38" ht="25.5" customHeight="1" x14ac:dyDescent="0.25">
      <c r="A1792" s="10" t="s">
        <v>194</v>
      </c>
      <c r="B1792" s="11" t="s">
        <v>1681</v>
      </c>
      <c r="C1792" s="5">
        <v>32172.2909</v>
      </c>
      <c r="D1792" s="5">
        <v>32172.2909</v>
      </c>
      <c r="E1792" s="5">
        <v>28935.146499999999</v>
      </c>
      <c r="G1792" s="5" t="str">
        <f t="shared" si="55"/>
        <v>Ленин-Олимп</v>
      </c>
      <c r="J1792" s="5"/>
      <c r="AF1792" t="s">
        <v>7230</v>
      </c>
      <c r="AG1792" s="24" t="s">
        <v>7023</v>
      </c>
      <c r="AH1792" s="5" t="s">
        <v>7230</v>
      </c>
      <c r="AI1792" s="5">
        <v>17216.6315</v>
      </c>
      <c r="AJ1792" s="5">
        <v>17216.6315</v>
      </c>
      <c r="AK1792">
        <v>15990.1095</v>
      </c>
      <c r="AL1792" s="5" t="str">
        <f t="shared" si="56"/>
        <v>Тугулымский городской округ</v>
      </c>
    </row>
    <row r="1793" spans="1:38" ht="25.5" customHeight="1" x14ac:dyDescent="0.25">
      <c r="A1793" s="10" t="s">
        <v>404</v>
      </c>
      <c r="B1793" s="11" t="s">
        <v>7242</v>
      </c>
      <c r="C1793" s="5">
        <v>27104.663700000001</v>
      </c>
      <c r="D1793" s="5">
        <v>27104.663700000001</v>
      </c>
      <c r="E1793" s="5">
        <v>26564.688900000001</v>
      </c>
      <c r="G1793" s="5" t="str">
        <f t="shared" si="55"/>
        <v>КК возле Первоуральска которые должны считаться как область</v>
      </c>
      <c r="J1793" s="5"/>
      <c r="AF1793" t="s">
        <v>7230</v>
      </c>
      <c r="AG1793" s="24" t="s">
        <v>7024</v>
      </c>
      <c r="AH1793" s="5" t="s">
        <v>7230</v>
      </c>
      <c r="AI1793" s="5">
        <v>17216.6315</v>
      </c>
      <c r="AJ1793" s="5">
        <v>17216.6315</v>
      </c>
      <c r="AK1793">
        <v>15990.1095</v>
      </c>
      <c r="AL1793" s="5" t="str">
        <f t="shared" si="56"/>
        <v>Тугулымский городской округ</v>
      </c>
    </row>
    <row r="1794" spans="1:38" ht="25.5" customHeight="1" x14ac:dyDescent="0.25">
      <c r="A1794" s="10" t="s">
        <v>1908</v>
      </c>
      <c r="B1794" s="11" t="s">
        <v>1699</v>
      </c>
      <c r="C1794" s="5">
        <v>34007.852099999996</v>
      </c>
      <c r="D1794" s="5">
        <v>34007.852099999996</v>
      </c>
      <c r="E1794" s="5">
        <v>30956.028900000001</v>
      </c>
      <c r="G1794" s="5" t="str">
        <f t="shared" si="55"/>
        <v>Шайтанка</v>
      </c>
      <c r="J1794" s="5"/>
      <c r="AF1794" t="s">
        <v>7230</v>
      </c>
      <c r="AG1794" s="24" t="s">
        <v>7025</v>
      </c>
      <c r="AH1794" s="5" t="s">
        <v>7230</v>
      </c>
      <c r="AI1794" s="5">
        <v>17216.6315</v>
      </c>
      <c r="AJ1794" s="5">
        <v>17216.6315</v>
      </c>
      <c r="AK1794">
        <v>15990.1095</v>
      </c>
      <c r="AL1794" s="5" t="str">
        <f t="shared" si="56"/>
        <v>Тугулымский городской округ</v>
      </c>
    </row>
    <row r="1795" spans="1:38" x14ac:dyDescent="0.25">
      <c r="A1795" s="10" t="s">
        <v>1909</v>
      </c>
      <c r="B1795" s="11" t="s">
        <v>1681</v>
      </c>
      <c r="C1795" s="5">
        <v>32172.2909</v>
      </c>
      <c r="D1795" s="5">
        <v>32172.2909</v>
      </c>
      <c r="E1795" s="5">
        <v>28935.146499999999</v>
      </c>
      <c r="G1795" s="5" t="str">
        <f t="shared" si="55"/>
        <v>Ленин-Олимп</v>
      </c>
      <c r="J1795" s="5"/>
      <c r="AF1795" t="s">
        <v>7230</v>
      </c>
      <c r="AG1795" s="24" t="s">
        <v>7026</v>
      </c>
      <c r="AH1795" s="5" t="s">
        <v>7230</v>
      </c>
      <c r="AI1795" s="5">
        <v>17647.874299999999</v>
      </c>
      <c r="AJ1795" s="5">
        <v>17647.874299999999</v>
      </c>
      <c r="AK1795">
        <v>16390.634099999999</v>
      </c>
      <c r="AL1795" s="5" t="str">
        <f t="shared" si="56"/>
        <v>Тугулымский городской округ</v>
      </c>
    </row>
    <row r="1796" spans="1:38" ht="25.5" customHeight="1" x14ac:dyDescent="0.25">
      <c r="A1796" s="10" t="s">
        <v>381</v>
      </c>
      <c r="B1796" s="11" t="s">
        <v>1683</v>
      </c>
      <c r="C1796" s="5">
        <v>40018.9617</v>
      </c>
      <c r="D1796" s="5">
        <v>40018.9617</v>
      </c>
      <c r="E1796" s="5">
        <v>35129.2961</v>
      </c>
      <c r="G1796" s="5" t="str">
        <f t="shared" ref="G1796:G1859" si="57">B1796</f>
        <v>Алт_Гальян_М-Кушва</v>
      </c>
      <c r="J1796" s="5"/>
      <c r="AF1796" t="s">
        <v>7230</v>
      </c>
      <c r="AG1796" s="24" t="s">
        <v>7027</v>
      </c>
      <c r="AH1796" s="5" t="s">
        <v>7230</v>
      </c>
      <c r="AI1796" s="5">
        <v>17216.6315</v>
      </c>
      <c r="AJ1796" s="5">
        <v>17216.6315</v>
      </c>
      <c r="AK1796">
        <v>15990.1095</v>
      </c>
      <c r="AL1796" s="5" t="str">
        <f t="shared" ref="AL1796:AL1859" si="58">AF1796</f>
        <v>Тугулымский городской округ</v>
      </c>
    </row>
    <row r="1797" spans="1:38" ht="25.5" customHeight="1" x14ac:dyDescent="0.25">
      <c r="A1797" s="10" t="s">
        <v>1910</v>
      </c>
      <c r="B1797" s="11" t="s">
        <v>1676</v>
      </c>
      <c r="C1797" s="5">
        <v>28848.8855</v>
      </c>
      <c r="D1797" s="5">
        <v>28848.8855</v>
      </c>
      <c r="E1797" s="5">
        <v>25946.143</v>
      </c>
      <c r="G1797" s="5" t="str">
        <f t="shared" si="57"/>
        <v>Чкаловский</v>
      </c>
      <c r="J1797" s="5"/>
      <c r="AF1797" t="s">
        <v>7230</v>
      </c>
      <c r="AG1797" s="24" t="s">
        <v>7028</v>
      </c>
      <c r="AH1797" s="5" t="s">
        <v>7230</v>
      </c>
      <c r="AI1797" s="5">
        <v>17216.6315</v>
      </c>
      <c r="AJ1797" s="5">
        <v>17216.6315</v>
      </c>
      <c r="AK1797">
        <v>15990.1095</v>
      </c>
      <c r="AL1797" s="5" t="str">
        <f t="shared" si="58"/>
        <v>Тугулымский городской округ</v>
      </c>
    </row>
    <row r="1798" spans="1:38" ht="25.5" customHeight="1" x14ac:dyDescent="0.25">
      <c r="A1798" s="10" t="s">
        <v>1911</v>
      </c>
      <c r="B1798" s="11" t="s">
        <v>1684</v>
      </c>
      <c r="C1798" s="5">
        <v>40625.090199999999</v>
      </c>
      <c r="D1798" s="5">
        <v>40625.090199999999</v>
      </c>
      <c r="E1798" s="5">
        <v>35661.364300000001</v>
      </c>
      <c r="G1798" s="5" t="str">
        <f t="shared" si="57"/>
        <v>Ваг_Стар_Пихтовы-г</v>
      </c>
      <c r="J1798" s="5"/>
      <c r="AF1798" t="s">
        <v>7230</v>
      </c>
      <c r="AG1798" s="24" t="s">
        <v>7029</v>
      </c>
      <c r="AH1798" s="5" t="s">
        <v>7230</v>
      </c>
      <c r="AI1798" s="5">
        <v>17216.6315</v>
      </c>
      <c r="AJ1798" s="5">
        <v>17216.6315</v>
      </c>
      <c r="AK1798">
        <v>15990.1095</v>
      </c>
      <c r="AL1798" s="5" t="str">
        <f t="shared" si="58"/>
        <v>Тугулымский городской округ</v>
      </c>
    </row>
    <row r="1799" spans="1:38" ht="25.5" customHeight="1" x14ac:dyDescent="0.25">
      <c r="A1799" s="10" t="s">
        <v>1912</v>
      </c>
      <c r="B1799" s="11" t="s">
        <v>1679</v>
      </c>
      <c r="C1799" s="5">
        <v>28855.326499999999</v>
      </c>
      <c r="D1799" s="5">
        <v>28855.326499999999</v>
      </c>
      <c r="E1799" s="5">
        <v>25951.933700000001</v>
      </c>
      <c r="G1799" s="5" t="str">
        <f t="shared" si="57"/>
        <v>Ст.Каменск-Хозспособ</v>
      </c>
      <c r="J1799" s="5"/>
      <c r="AF1799" t="s">
        <v>7230</v>
      </c>
      <c r="AG1799" s="24" t="s">
        <v>7030</v>
      </c>
      <c r="AH1799" s="5" t="s">
        <v>7230</v>
      </c>
      <c r="AI1799" s="5">
        <v>17216.6315</v>
      </c>
      <c r="AJ1799" s="5">
        <v>17216.6315</v>
      </c>
      <c r="AK1799">
        <v>15990.1095</v>
      </c>
      <c r="AL1799" s="5" t="str">
        <f t="shared" si="58"/>
        <v>Тугулымский городской округ</v>
      </c>
    </row>
    <row r="1800" spans="1:38" ht="25.5" customHeight="1" x14ac:dyDescent="0.25">
      <c r="A1800" s="10" t="s">
        <v>1913</v>
      </c>
      <c r="B1800" s="11" t="s">
        <v>1681</v>
      </c>
      <c r="C1800" s="5">
        <v>32172.2909</v>
      </c>
      <c r="D1800" s="5">
        <v>32172.2909</v>
      </c>
      <c r="E1800" s="5">
        <v>28935.146499999999</v>
      </c>
      <c r="G1800" s="5" t="str">
        <f t="shared" si="57"/>
        <v>Ленин-Олимп</v>
      </c>
      <c r="J1800" s="5"/>
      <c r="AF1800" t="s">
        <v>7230</v>
      </c>
      <c r="AG1800" s="24" t="s">
        <v>7031</v>
      </c>
      <c r="AH1800" s="5" t="s">
        <v>7230</v>
      </c>
      <c r="AI1800" s="5">
        <v>17216.6315</v>
      </c>
      <c r="AJ1800" s="5">
        <v>17216.6315</v>
      </c>
      <c r="AK1800">
        <v>15990.1095</v>
      </c>
      <c r="AL1800" s="5" t="str">
        <f t="shared" si="58"/>
        <v>Тугулымский городской округ</v>
      </c>
    </row>
    <row r="1801" spans="1:38" ht="25.5" customHeight="1" x14ac:dyDescent="0.25">
      <c r="A1801" s="10" t="s">
        <v>1396</v>
      </c>
      <c r="B1801" s="11" t="s">
        <v>1679</v>
      </c>
      <c r="C1801" s="5">
        <v>28855.326499999999</v>
      </c>
      <c r="D1801" s="5">
        <v>28855.326499999999</v>
      </c>
      <c r="E1801" s="5">
        <v>25951.933700000001</v>
      </c>
      <c r="G1801" s="5" t="str">
        <f t="shared" si="57"/>
        <v>Ст.Каменск-Хозспособ</v>
      </c>
      <c r="J1801" s="5"/>
      <c r="AF1801" t="s">
        <v>7230</v>
      </c>
      <c r="AG1801" s="24" t="s">
        <v>7032</v>
      </c>
      <c r="AH1801" s="5" t="s">
        <v>7230</v>
      </c>
      <c r="AI1801" s="5">
        <v>17216.6315</v>
      </c>
      <c r="AJ1801" s="5">
        <v>17216.6315</v>
      </c>
      <c r="AK1801">
        <v>15990.1095</v>
      </c>
      <c r="AL1801" s="5" t="str">
        <f t="shared" si="58"/>
        <v>Тугулымский городской округ</v>
      </c>
    </row>
    <row r="1802" spans="1:38" ht="25.5" customHeight="1" x14ac:dyDescent="0.25">
      <c r="A1802" s="10" t="s">
        <v>1914</v>
      </c>
      <c r="B1802" s="11" t="s">
        <v>1695</v>
      </c>
      <c r="C1802" s="5">
        <v>40100.412600000003</v>
      </c>
      <c r="D1802" s="5">
        <v>40100.412600000003</v>
      </c>
      <c r="E1802" s="5">
        <v>36501.853799999997</v>
      </c>
      <c r="G1802" s="5" t="str">
        <f t="shared" si="57"/>
        <v>Соцгород</v>
      </c>
      <c r="J1802" s="5"/>
      <c r="AF1802" t="s">
        <v>7230</v>
      </c>
      <c r="AG1802" s="24" t="s">
        <v>7033</v>
      </c>
      <c r="AH1802" s="5" t="s">
        <v>7230</v>
      </c>
      <c r="AI1802" s="5">
        <v>17216.6315</v>
      </c>
      <c r="AJ1802" s="5">
        <v>17216.6315</v>
      </c>
      <c r="AK1802">
        <v>15990.1095</v>
      </c>
      <c r="AL1802" s="5" t="str">
        <f t="shared" si="58"/>
        <v>Тугулымский городской округ</v>
      </c>
    </row>
    <row r="1803" spans="1:38" ht="25.5" customHeight="1" x14ac:dyDescent="0.25">
      <c r="A1803" s="10" t="s">
        <v>1915</v>
      </c>
      <c r="B1803" s="11" t="s">
        <v>1699</v>
      </c>
      <c r="C1803" s="5">
        <v>34007.852099999996</v>
      </c>
      <c r="D1803" s="5">
        <v>34007.852099999996</v>
      </c>
      <c r="E1803" s="5">
        <v>30956.028900000001</v>
      </c>
      <c r="G1803" s="5" t="str">
        <f t="shared" si="57"/>
        <v>Шайтанка</v>
      </c>
      <c r="J1803" s="5"/>
      <c r="AF1803" t="s">
        <v>7230</v>
      </c>
      <c r="AG1803" s="24" t="s">
        <v>7034</v>
      </c>
      <c r="AH1803" s="5" t="s">
        <v>7230</v>
      </c>
      <c r="AI1803" s="5">
        <v>17216.6315</v>
      </c>
      <c r="AJ1803" s="5">
        <v>17216.6315</v>
      </c>
      <c r="AK1803">
        <v>15990.1095</v>
      </c>
      <c r="AL1803" s="5" t="str">
        <f t="shared" si="58"/>
        <v>Тугулымский городской округ</v>
      </c>
    </row>
    <row r="1804" spans="1:38" x14ac:dyDescent="0.25">
      <c r="A1804" s="10" t="s">
        <v>1916</v>
      </c>
      <c r="B1804" s="11" t="s">
        <v>1674</v>
      </c>
      <c r="C1804" s="5">
        <v>29199.565200000001</v>
      </c>
      <c r="D1804" s="5">
        <v>29199.565200000001</v>
      </c>
      <c r="E1804" s="5">
        <v>26261.5317</v>
      </c>
      <c r="G1804" s="5" t="str">
        <f t="shared" si="57"/>
        <v>УАЗ</v>
      </c>
      <c r="J1804" s="5"/>
      <c r="AF1804" t="s">
        <v>7230</v>
      </c>
      <c r="AG1804" s="24" t="s">
        <v>7035</v>
      </c>
      <c r="AH1804" s="5" t="s">
        <v>7230</v>
      </c>
      <c r="AI1804" s="5">
        <v>17216.6315</v>
      </c>
      <c r="AJ1804" s="5">
        <v>17216.6315</v>
      </c>
      <c r="AK1804">
        <v>15990.1095</v>
      </c>
      <c r="AL1804" s="5" t="str">
        <f t="shared" si="58"/>
        <v>Тугулымский городской округ</v>
      </c>
    </row>
    <row r="1805" spans="1:38" ht="25.5" customHeight="1" x14ac:dyDescent="0.25">
      <c r="A1805" s="10" t="s">
        <v>1427</v>
      </c>
      <c r="B1805" s="11" t="s">
        <v>1685</v>
      </c>
      <c r="C1805" s="5">
        <v>36513.6518</v>
      </c>
      <c r="D1805" s="5">
        <v>36513.6518</v>
      </c>
      <c r="E1805" s="5">
        <v>32052.276999999998</v>
      </c>
      <c r="G1805" s="5" t="str">
        <f t="shared" si="57"/>
        <v>Выя_Леб_Горб_Кр-Кам</v>
      </c>
      <c r="J1805" s="5"/>
      <c r="AF1805" t="s">
        <v>7230</v>
      </c>
      <c r="AG1805" s="24" t="s">
        <v>7036</v>
      </c>
      <c r="AH1805" s="5" t="s">
        <v>7230</v>
      </c>
      <c r="AI1805" s="5">
        <v>17216.6315</v>
      </c>
      <c r="AJ1805" s="5">
        <v>17216.6315</v>
      </c>
      <c r="AK1805">
        <v>15990.1095</v>
      </c>
      <c r="AL1805" s="5" t="str">
        <f t="shared" si="58"/>
        <v>Тугулымский городской округ</v>
      </c>
    </row>
    <row r="1806" spans="1:38" ht="25.5" customHeight="1" x14ac:dyDescent="0.25">
      <c r="A1806" s="10" t="s">
        <v>1335</v>
      </c>
      <c r="B1806" s="11" t="s">
        <v>1679</v>
      </c>
      <c r="C1806" s="5">
        <v>28855.326499999999</v>
      </c>
      <c r="D1806" s="5">
        <v>28855.326499999999</v>
      </c>
      <c r="E1806" s="5">
        <v>25951.933700000001</v>
      </c>
      <c r="G1806" s="5" t="str">
        <f t="shared" si="57"/>
        <v>Ст.Каменск-Хозспособ</v>
      </c>
      <c r="J1806" s="5"/>
      <c r="AF1806" t="s">
        <v>7230</v>
      </c>
      <c r="AG1806" s="24" t="s">
        <v>7037</v>
      </c>
      <c r="AH1806" s="5" t="s">
        <v>7230</v>
      </c>
      <c r="AI1806" s="5">
        <v>17216.6315</v>
      </c>
      <c r="AJ1806" s="5">
        <v>17216.6315</v>
      </c>
      <c r="AK1806">
        <v>15990.1095</v>
      </c>
      <c r="AL1806" s="5" t="str">
        <f t="shared" si="58"/>
        <v>Тугулымский городской округ</v>
      </c>
    </row>
    <row r="1807" spans="1:38" ht="25.5" customHeight="1" x14ac:dyDescent="0.25">
      <c r="A1807" s="10" t="s">
        <v>1917</v>
      </c>
      <c r="B1807" s="11" t="s">
        <v>1688</v>
      </c>
      <c r="C1807" s="5">
        <v>29893.73</v>
      </c>
      <c r="D1807" s="5">
        <v>29893.73</v>
      </c>
      <c r="E1807" s="5">
        <v>26241.207699999999</v>
      </c>
      <c r="G1807" s="5" t="str">
        <f t="shared" si="57"/>
        <v>Сух_Г-Кам_Н_Кушва_Н-Черм</v>
      </c>
      <c r="J1807" s="5"/>
      <c r="AF1807" t="s">
        <v>7230</v>
      </c>
      <c r="AG1807" s="24" t="s">
        <v>7038</v>
      </c>
      <c r="AH1807" s="5" t="s">
        <v>7230</v>
      </c>
      <c r="AI1807" s="5">
        <v>17216.6315</v>
      </c>
      <c r="AJ1807" s="5">
        <v>17216.6315</v>
      </c>
      <c r="AK1807">
        <v>15990.1095</v>
      </c>
      <c r="AL1807" s="5" t="str">
        <f t="shared" si="58"/>
        <v>Тугулымский городской округ</v>
      </c>
    </row>
    <row r="1808" spans="1:38" ht="25.5" customHeight="1" x14ac:dyDescent="0.25">
      <c r="A1808" s="10" t="s">
        <v>922</v>
      </c>
      <c r="B1808" s="11" t="s">
        <v>1679</v>
      </c>
      <c r="C1808" s="5">
        <v>28855.326499999999</v>
      </c>
      <c r="D1808" s="5">
        <v>28855.326499999999</v>
      </c>
      <c r="E1808" s="5">
        <v>25951.933700000001</v>
      </c>
      <c r="G1808" s="5" t="str">
        <f t="shared" si="57"/>
        <v>Ст.Каменск-Хозспособ</v>
      </c>
      <c r="J1808" s="5"/>
      <c r="AF1808" t="s">
        <v>7230</v>
      </c>
      <c r="AG1808" s="24" t="s">
        <v>7039</v>
      </c>
      <c r="AH1808" s="5" t="s">
        <v>7230</v>
      </c>
      <c r="AI1808" s="5">
        <v>17216.6315</v>
      </c>
      <c r="AJ1808" s="5">
        <v>17216.6315</v>
      </c>
      <c r="AK1808">
        <v>15990.1095</v>
      </c>
      <c r="AL1808" s="5" t="str">
        <f t="shared" si="58"/>
        <v>Тугулымский городской округ</v>
      </c>
    </row>
    <row r="1809" spans="1:38" ht="25.5" customHeight="1" x14ac:dyDescent="0.25">
      <c r="A1809" s="10" t="s">
        <v>1918</v>
      </c>
      <c r="B1809" s="11" t="s">
        <v>1395</v>
      </c>
      <c r="C1809" s="5">
        <v>27332.119299999998</v>
      </c>
      <c r="D1809" s="5">
        <v>27332.119299999998</v>
      </c>
      <c r="E1809" s="5">
        <v>24879.3747</v>
      </c>
      <c r="G1809" s="5" t="str">
        <f t="shared" si="57"/>
        <v>СОВХОЗ ПЕРВОУРАЛЬСКИЙ</v>
      </c>
      <c r="J1809" s="5"/>
      <c r="AF1809" t="s">
        <v>7230</v>
      </c>
      <c r="AG1809" s="24" t="s">
        <v>7040</v>
      </c>
      <c r="AH1809" s="5" t="s">
        <v>7230</v>
      </c>
      <c r="AI1809" s="5">
        <v>17216.6315</v>
      </c>
      <c r="AJ1809" s="5">
        <v>17216.6315</v>
      </c>
      <c r="AK1809">
        <v>15990.1095</v>
      </c>
      <c r="AL1809" s="5" t="str">
        <f t="shared" si="58"/>
        <v>Тугулымский городской округ</v>
      </c>
    </row>
    <row r="1810" spans="1:38" ht="25.5" customHeight="1" x14ac:dyDescent="0.25">
      <c r="A1810" s="10" t="s">
        <v>1919</v>
      </c>
      <c r="B1810" s="11" t="s">
        <v>1680</v>
      </c>
      <c r="C1810" s="5">
        <v>29151.309799999999</v>
      </c>
      <c r="D1810" s="5">
        <v>29151.309799999999</v>
      </c>
      <c r="E1810" s="5">
        <v>26218.127700000001</v>
      </c>
      <c r="G1810" s="5" t="str">
        <f t="shared" si="57"/>
        <v>Северный</v>
      </c>
      <c r="J1810" s="5"/>
      <c r="AF1810" t="s">
        <v>7230</v>
      </c>
      <c r="AG1810" s="24" t="s">
        <v>7041</v>
      </c>
      <c r="AH1810" s="5" t="s">
        <v>7230</v>
      </c>
      <c r="AI1810" s="5">
        <v>17216.6315</v>
      </c>
      <c r="AJ1810" s="5">
        <v>17216.6315</v>
      </c>
      <c r="AK1810">
        <v>15990.1095</v>
      </c>
      <c r="AL1810" s="5" t="str">
        <f t="shared" si="58"/>
        <v>Тугулымский городской округ</v>
      </c>
    </row>
    <row r="1811" spans="1:38" ht="25.5" customHeight="1" x14ac:dyDescent="0.25">
      <c r="A1811" s="10" t="s">
        <v>1920</v>
      </c>
      <c r="B1811" s="11" t="s">
        <v>1691</v>
      </c>
      <c r="C1811" s="5">
        <v>36244.5985</v>
      </c>
      <c r="D1811" s="5">
        <v>36244.5985</v>
      </c>
      <c r="E1811" s="5">
        <v>32992.053800000002</v>
      </c>
      <c r="G1811" s="5" t="str">
        <f t="shared" si="57"/>
        <v>ДинСанПод</v>
      </c>
      <c r="J1811" s="5"/>
      <c r="AF1811" t="s">
        <v>7230</v>
      </c>
      <c r="AG1811" s="24" t="s">
        <v>7042</v>
      </c>
      <c r="AH1811" s="5" t="s">
        <v>7230</v>
      </c>
      <c r="AI1811" s="5">
        <v>17216.6315</v>
      </c>
      <c r="AJ1811" s="5">
        <v>17216.6315</v>
      </c>
      <c r="AK1811">
        <v>15990.1095</v>
      </c>
      <c r="AL1811" s="5" t="str">
        <f t="shared" si="58"/>
        <v>Тугулымский городской округ</v>
      </c>
    </row>
    <row r="1812" spans="1:38" ht="25.5" customHeight="1" x14ac:dyDescent="0.25">
      <c r="A1812" s="10" t="s">
        <v>1921</v>
      </c>
      <c r="B1812" s="11" t="s">
        <v>1691</v>
      </c>
      <c r="C1812" s="5">
        <v>36244.5985</v>
      </c>
      <c r="D1812" s="5">
        <v>36244.5985</v>
      </c>
      <c r="E1812" s="5">
        <v>32992.053800000002</v>
      </c>
      <c r="G1812" s="5" t="str">
        <f t="shared" si="57"/>
        <v>ДинСанПод</v>
      </c>
      <c r="J1812" s="5"/>
      <c r="AF1812" t="s">
        <v>7230</v>
      </c>
      <c r="AG1812" s="24" t="s">
        <v>7043</v>
      </c>
      <c r="AH1812" s="5" t="s">
        <v>7230</v>
      </c>
      <c r="AI1812" s="5">
        <v>21271.546600000001</v>
      </c>
      <c r="AJ1812" s="5">
        <v>21271.546600000001</v>
      </c>
      <c r="AK1812">
        <v>19756.142800000001</v>
      </c>
      <c r="AL1812" s="5" t="str">
        <f t="shared" si="58"/>
        <v>Тугулымский городской округ</v>
      </c>
    </row>
    <row r="1813" spans="1:38" ht="25.5" customHeight="1" x14ac:dyDescent="0.25">
      <c r="A1813" s="10" t="s">
        <v>1922</v>
      </c>
      <c r="B1813" s="11" t="s">
        <v>1677</v>
      </c>
      <c r="C1813" s="5">
        <v>39105.413099999998</v>
      </c>
      <c r="D1813" s="5">
        <v>39105.413099999998</v>
      </c>
      <c r="E1813" s="5">
        <v>35170.666700000002</v>
      </c>
      <c r="G1813" s="5" t="str">
        <f t="shared" si="57"/>
        <v>Октябрьский</v>
      </c>
      <c r="J1813" s="5"/>
      <c r="AF1813" t="s">
        <v>7230</v>
      </c>
      <c r="AG1813" s="24" t="s">
        <v>7044</v>
      </c>
      <c r="AH1813" s="5" t="s">
        <v>7230</v>
      </c>
      <c r="AI1813" s="5">
        <v>17216.6315</v>
      </c>
      <c r="AJ1813" s="5">
        <v>17216.6315</v>
      </c>
      <c r="AK1813">
        <v>15990.1095</v>
      </c>
      <c r="AL1813" s="5" t="str">
        <f t="shared" si="58"/>
        <v>Тугулымский городской округ</v>
      </c>
    </row>
    <row r="1814" spans="1:38" ht="25.5" customHeight="1" x14ac:dyDescent="0.25">
      <c r="A1814" s="10" t="s">
        <v>1923</v>
      </c>
      <c r="B1814" s="11" t="s">
        <v>1681</v>
      </c>
      <c r="C1814" s="5">
        <v>32172.2909</v>
      </c>
      <c r="D1814" s="5">
        <v>32172.2909</v>
      </c>
      <c r="E1814" s="5">
        <v>28935.146499999999</v>
      </c>
      <c r="G1814" s="5" t="str">
        <f t="shared" si="57"/>
        <v>Ленин-Олимп</v>
      </c>
      <c r="J1814" s="5"/>
      <c r="AF1814" t="s">
        <v>7230</v>
      </c>
      <c r="AG1814" s="24" t="s">
        <v>7045</v>
      </c>
      <c r="AH1814" s="5" t="s">
        <v>7230</v>
      </c>
      <c r="AI1814" s="5">
        <v>17216.6315</v>
      </c>
      <c r="AJ1814" s="5">
        <v>17216.6315</v>
      </c>
      <c r="AK1814">
        <v>15990.1095</v>
      </c>
      <c r="AL1814" s="5" t="str">
        <f t="shared" si="58"/>
        <v>Тугулымский городской округ</v>
      </c>
    </row>
    <row r="1815" spans="1:38" ht="25.5" customHeight="1" x14ac:dyDescent="0.25">
      <c r="A1815" s="10" t="s">
        <v>1924</v>
      </c>
      <c r="B1815" s="11" t="s">
        <v>1674</v>
      </c>
      <c r="C1815" s="5">
        <v>29199.565200000001</v>
      </c>
      <c r="D1815" s="5">
        <v>29199.565200000001</v>
      </c>
      <c r="E1815" s="5">
        <v>26261.5317</v>
      </c>
      <c r="G1815" s="5" t="str">
        <f t="shared" si="57"/>
        <v>УАЗ</v>
      </c>
      <c r="J1815" s="5"/>
      <c r="AF1815" t="s">
        <v>7230</v>
      </c>
      <c r="AG1815" s="24" t="s">
        <v>7046</v>
      </c>
      <c r="AH1815" s="5" t="s">
        <v>7230</v>
      </c>
      <c r="AI1815" s="5">
        <v>17216.6315</v>
      </c>
      <c r="AJ1815" s="5">
        <v>17216.6315</v>
      </c>
      <c r="AK1815">
        <v>15990.1095</v>
      </c>
      <c r="AL1815" s="5" t="str">
        <f t="shared" si="58"/>
        <v>Тугулымский городской округ</v>
      </c>
    </row>
    <row r="1816" spans="1:38" ht="25.5" customHeight="1" x14ac:dyDescent="0.25">
      <c r="A1816" s="10" t="s">
        <v>1925</v>
      </c>
      <c r="B1816" s="11" t="s">
        <v>1695</v>
      </c>
      <c r="C1816" s="5">
        <v>40100.412600000003</v>
      </c>
      <c r="D1816" s="5">
        <v>40100.412600000003</v>
      </c>
      <c r="E1816" s="5">
        <v>36501.853799999997</v>
      </c>
      <c r="G1816" s="5" t="str">
        <f t="shared" si="57"/>
        <v>Соцгород</v>
      </c>
      <c r="J1816" s="5"/>
      <c r="AF1816" t="s">
        <v>7230</v>
      </c>
      <c r="AG1816" s="24" t="s">
        <v>7047</v>
      </c>
      <c r="AH1816" s="5" t="s">
        <v>7230</v>
      </c>
      <c r="AI1816" s="5">
        <v>17216.6315</v>
      </c>
      <c r="AJ1816" s="5">
        <v>17216.6315</v>
      </c>
      <c r="AK1816">
        <v>15990.1095</v>
      </c>
      <c r="AL1816" s="5" t="str">
        <f t="shared" si="58"/>
        <v>Тугулымский городской округ</v>
      </c>
    </row>
    <row r="1817" spans="1:38" x14ac:dyDescent="0.25">
      <c r="A1817" s="10" t="s">
        <v>1926</v>
      </c>
      <c r="B1817" s="11" t="s">
        <v>1674</v>
      </c>
      <c r="C1817" s="5">
        <v>29199.565200000001</v>
      </c>
      <c r="D1817" s="5">
        <v>29199.565200000001</v>
      </c>
      <c r="E1817" s="5">
        <v>26261.5317</v>
      </c>
      <c r="G1817" s="5" t="str">
        <f t="shared" si="57"/>
        <v>УАЗ</v>
      </c>
      <c r="J1817" s="5"/>
      <c r="AF1817" t="s">
        <v>7230</v>
      </c>
      <c r="AG1817" s="24" t="s">
        <v>7048</v>
      </c>
      <c r="AH1817" s="5" t="s">
        <v>7230</v>
      </c>
      <c r="AI1817" s="5">
        <v>17216.6315</v>
      </c>
      <c r="AJ1817" s="5">
        <v>17216.6315</v>
      </c>
      <c r="AK1817">
        <v>15990.1095</v>
      </c>
      <c r="AL1817" s="5" t="str">
        <f t="shared" si="58"/>
        <v>Тугулымский городской округ</v>
      </c>
    </row>
    <row r="1818" spans="1:38" ht="25.5" customHeight="1" x14ac:dyDescent="0.25">
      <c r="A1818" s="10" t="s">
        <v>443</v>
      </c>
      <c r="B1818" s="11" t="s">
        <v>1683</v>
      </c>
      <c r="C1818" s="5">
        <v>40018.9617</v>
      </c>
      <c r="D1818" s="5">
        <v>40018.9617</v>
      </c>
      <c r="E1818" s="5">
        <v>35129.2961</v>
      </c>
      <c r="G1818" s="5" t="str">
        <f t="shared" si="57"/>
        <v>Алт_Гальян_М-Кушва</v>
      </c>
      <c r="J1818" s="5"/>
      <c r="AF1818" t="s">
        <v>7230</v>
      </c>
      <c r="AG1818" s="24" t="s">
        <v>7049</v>
      </c>
      <c r="AH1818" s="5" t="s">
        <v>7230</v>
      </c>
      <c r="AI1818" s="5">
        <v>17216.6315</v>
      </c>
      <c r="AJ1818" s="5">
        <v>17216.6315</v>
      </c>
      <c r="AK1818">
        <v>15990.1095</v>
      </c>
      <c r="AL1818" s="5" t="str">
        <f t="shared" si="58"/>
        <v>Тугулымский городской округ</v>
      </c>
    </row>
    <row r="1819" spans="1:38" ht="25.5" customHeight="1" x14ac:dyDescent="0.25">
      <c r="A1819" s="10" t="s">
        <v>1927</v>
      </c>
      <c r="B1819" s="11" t="s">
        <v>1679</v>
      </c>
      <c r="C1819" s="5">
        <v>28855.326499999999</v>
      </c>
      <c r="D1819" s="5">
        <v>28855.326499999999</v>
      </c>
      <c r="E1819" s="5">
        <v>25951.933700000001</v>
      </c>
      <c r="G1819" s="5" t="str">
        <f t="shared" si="57"/>
        <v>Ст.Каменск-Хозспособ</v>
      </c>
      <c r="J1819" s="5"/>
      <c r="AF1819" t="s">
        <v>7230</v>
      </c>
      <c r="AG1819" s="24" t="s">
        <v>7050</v>
      </c>
      <c r="AH1819" s="5" t="s">
        <v>7230</v>
      </c>
      <c r="AI1819" s="5">
        <v>17216.6315</v>
      </c>
      <c r="AJ1819" s="5">
        <v>17216.6315</v>
      </c>
      <c r="AK1819">
        <v>15990.1095</v>
      </c>
      <c r="AL1819" s="5" t="str">
        <f t="shared" si="58"/>
        <v>Тугулымский городской округ</v>
      </c>
    </row>
    <row r="1820" spans="1:38" ht="25.5" customHeight="1" x14ac:dyDescent="0.25">
      <c r="A1820" s="10" t="s">
        <v>1469</v>
      </c>
      <c r="B1820" s="11" t="s">
        <v>1691</v>
      </c>
      <c r="C1820" s="5">
        <v>36244.5985</v>
      </c>
      <c r="D1820" s="5">
        <v>36244.5985</v>
      </c>
      <c r="E1820" s="5">
        <v>32992.053800000002</v>
      </c>
      <c r="G1820" s="5" t="str">
        <f t="shared" si="57"/>
        <v>ДинСанПод</v>
      </c>
      <c r="J1820" s="5"/>
      <c r="AF1820" t="s">
        <v>7230</v>
      </c>
      <c r="AG1820" s="24" t="s">
        <v>7051</v>
      </c>
      <c r="AH1820" s="5" t="s">
        <v>7230</v>
      </c>
      <c r="AI1820" s="5">
        <v>17216.6315</v>
      </c>
      <c r="AJ1820" s="5">
        <v>17216.6315</v>
      </c>
      <c r="AK1820">
        <v>15990.1095</v>
      </c>
      <c r="AL1820" s="5" t="str">
        <f t="shared" si="58"/>
        <v>Тугулымский городской округ</v>
      </c>
    </row>
    <row r="1821" spans="1:38" ht="25.5" customHeight="1" x14ac:dyDescent="0.25">
      <c r="A1821" s="10" t="s">
        <v>1928</v>
      </c>
      <c r="B1821" s="11" t="s">
        <v>1679</v>
      </c>
      <c r="C1821" s="5">
        <v>28855.326499999999</v>
      </c>
      <c r="D1821" s="5">
        <v>28855.326499999999</v>
      </c>
      <c r="E1821" s="5">
        <v>25951.933700000001</v>
      </c>
      <c r="G1821" s="5" t="str">
        <f t="shared" si="57"/>
        <v>Ст.Каменск-Хозспособ</v>
      </c>
      <c r="J1821" s="5"/>
      <c r="AF1821" t="s">
        <v>7230</v>
      </c>
      <c r="AG1821" s="24" t="s">
        <v>7052</v>
      </c>
      <c r="AH1821" s="5" t="s">
        <v>7230</v>
      </c>
      <c r="AI1821" s="5">
        <v>17647.874299999999</v>
      </c>
      <c r="AJ1821" s="5">
        <v>17647.874299999999</v>
      </c>
      <c r="AK1821">
        <v>16390.634099999999</v>
      </c>
      <c r="AL1821" s="5" t="str">
        <f t="shared" si="58"/>
        <v>Тугулымский городской округ</v>
      </c>
    </row>
    <row r="1822" spans="1:38" ht="25.5" customHeight="1" x14ac:dyDescent="0.25">
      <c r="A1822" s="10" t="s">
        <v>1929</v>
      </c>
      <c r="B1822" s="11" t="s">
        <v>1683</v>
      </c>
      <c r="C1822" s="5">
        <v>40018.9617</v>
      </c>
      <c r="D1822" s="5">
        <v>40018.9617</v>
      </c>
      <c r="E1822" s="5">
        <v>35129.2961</v>
      </c>
      <c r="G1822" s="5" t="str">
        <f t="shared" si="57"/>
        <v>Алт_Гальян_М-Кушва</v>
      </c>
      <c r="J1822" s="5"/>
      <c r="AF1822" t="s">
        <v>7230</v>
      </c>
      <c r="AG1822" s="24" t="s">
        <v>7053</v>
      </c>
      <c r="AH1822" s="5" t="s">
        <v>7230</v>
      </c>
      <c r="AI1822" s="5">
        <v>17216.6315</v>
      </c>
      <c r="AJ1822" s="5">
        <v>17216.6315</v>
      </c>
      <c r="AK1822">
        <v>15990.1095</v>
      </c>
      <c r="AL1822" s="5" t="str">
        <f t="shared" si="58"/>
        <v>Тугулымский городской округ</v>
      </c>
    </row>
    <row r="1823" spans="1:38" ht="25.5" customHeight="1" x14ac:dyDescent="0.25">
      <c r="A1823" s="10" t="s">
        <v>1930</v>
      </c>
      <c r="B1823" s="11" t="s">
        <v>1683</v>
      </c>
      <c r="C1823" s="5">
        <v>40018.9617</v>
      </c>
      <c r="D1823" s="5">
        <v>40018.9617</v>
      </c>
      <c r="E1823" s="5">
        <v>35129.2961</v>
      </c>
      <c r="G1823" s="5" t="str">
        <f t="shared" si="57"/>
        <v>Алт_Гальян_М-Кушва</v>
      </c>
      <c r="J1823" s="5"/>
      <c r="AF1823" t="s">
        <v>7230</v>
      </c>
      <c r="AG1823" s="24" t="s">
        <v>7054</v>
      </c>
      <c r="AH1823" s="5" t="s">
        <v>7230</v>
      </c>
      <c r="AI1823" s="5">
        <v>17216.6315</v>
      </c>
      <c r="AJ1823" s="5">
        <v>17216.6315</v>
      </c>
      <c r="AK1823">
        <v>15990.1095</v>
      </c>
      <c r="AL1823" s="5" t="str">
        <f t="shared" si="58"/>
        <v>Тугулымский городской округ</v>
      </c>
    </row>
    <row r="1824" spans="1:38" ht="25.5" customHeight="1" x14ac:dyDescent="0.25">
      <c r="A1824" s="10" t="s">
        <v>156</v>
      </c>
      <c r="B1824" s="11" t="s">
        <v>5230</v>
      </c>
      <c r="C1824" s="5">
        <v>45477.761700000003</v>
      </c>
      <c r="D1824" s="5">
        <v>45477.761700000003</v>
      </c>
      <c r="E1824" s="5">
        <v>39921.119500000001</v>
      </c>
      <c r="G1824" s="5" t="str">
        <f t="shared" si="57"/>
        <v>Центр-Тагил</v>
      </c>
      <c r="J1824" s="5"/>
      <c r="AF1824" t="s">
        <v>7230</v>
      </c>
      <c r="AG1824" s="24" t="s">
        <v>7055</v>
      </c>
      <c r="AH1824" s="5" t="s">
        <v>7230</v>
      </c>
      <c r="AI1824" s="5">
        <v>17216.6315</v>
      </c>
      <c r="AJ1824" s="5">
        <v>17216.6315</v>
      </c>
      <c r="AK1824">
        <v>15990.1095</v>
      </c>
      <c r="AL1824" s="5" t="str">
        <f t="shared" si="58"/>
        <v>Тугулымский городской округ</v>
      </c>
    </row>
    <row r="1825" spans="1:38" ht="25.5" customHeight="1" x14ac:dyDescent="0.25">
      <c r="A1825" s="10" t="s">
        <v>1104</v>
      </c>
      <c r="B1825" s="11" t="s">
        <v>7242</v>
      </c>
      <c r="C1825" s="5">
        <v>27104.663700000001</v>
      </c>
      <c r="D1825" s="5">
        <v>27104.663700000001</v>
      </c>
      <c r="E1825" s="5">
        <v>26564.688900000001</v>
      </c>
      <c r="G1825" s="5" t="str">
        <f t="shared" si="57"/>
        <v>КК возле Первоуральска которые должны считаться как область</v>
      </c>
      <c r="J1825" s="5"/>
      <c r="AF1825" t="s">
        <v>7231</v>
      </c>
      <c r="AG1825" s="24" t="s">
        <v>7056</v>
      </c>
      <c r="AH1825" s="5" t="s">
        <v>7231</v>
      </c>
      <c r="AI1825" s="5">
        <v>16669.947400000001</v>
      </c>
      <c r="AJ1825" s="5">
        <v>16669.947400000001</v>
      </c>
      <c r="AK1825">
        <v>15482.3704</v>
      </c>
      <c r="AL1825" s="5" t="str">
        <f t="shared" si="58"/>
        <v>Туринский городской округ</v>
      </c>
    </row>
    <row r="1826" spans="1:38" ht="25.5" customHeight="1" x14ac:dyDescent="0.25">
      <c r="A1826" s="20" t="s">
        <v>1931</v>
      </c>
      <c r="B1826" s="22">
        <v>1003</v>
      </c>
      <c r="C1826" s="5">
        <v>21261.0285</v>
      </c>
      <c r="D1826" s="5">
        <v>21261.0285</v>
      </c>
      <c r="E1826" s="5">
        <v>20837.465199999999</v>
      </c>
      <c r="G1826" s="5">
        <f t="shared" si="57"/>
        <v>1003</v>
      </c>
      <c r="J1826" s="5"/>
      <c r="AF1826" t="s">
        <v>7231</v>
      </c>
      <c r="AG1826" s="24" t="s">
        <v>7057</v>
      </c>
      <c r="AH1826" s="5" t="s">
        <v>7231</v>
      </c>
      <c r="AI1826" s="5">
        <v>16669.947400000001</v>
      </c>
      <c r="AJ1826" s="5">
        <v>16669.947400000001</v>
      </c>
      <c r="AK1826">
        <v>15482.3704</v>
      </c>
      <c r="AL1826" s="5" t="str">
        <f t="shared" si="58"/>
        <v>Туринский городской округ</v>
      </c>
    </row>
    <row r="1827" spans="1:38" ht="25.5" customHeight="1" x14ac:dyDescent="0.25">
      <c r="A1827" s="10" t="s">
        <v>1932</v>
      </c>
      <c r="B1827" s="11" t="s">
        <v>1691</v>
      </c>
      <c r="C1827" s="5">
        <v>36244.5985</v>
      </c>
      <c r="D1827" s="5">
        <v>36244.5985</v>
      </c>
      <c r="E1827" s="5">
        <v>32992.053800000002</v>
      </c>
      <c r="G1827" s="5" t="str">
        <f t="shared" si="57"/>
        <v>ДинСанПод</v>
      </c>
      <c r="J1827" s="5"/>
      <c r="AF1827" t="s">
        <v>7231</v>
      </c>
      <c r="AG1827" s="24" t="s">
        <v>7058</v>
      </c>
      <c r="AH1827" s="5" t="s">
        <v>7231</v>
      </c>
      <c r="AI1827" s="5">
        <v>16669.947400000001</v>
      </c>
      <c r="AJ1827" s="5">
        <v>16669.947400000001</v>
      </c>
      <c r="AK1827">
        <v>15482.3704</v>
      </c>
      <c r="AL1827" s="5" t="str">
        <f t="shared" si="58"/>
        <v>Туринский городской округ</v>
      </c>
    </row>
    <row r="1828" spans="1:38" ht="25.5" customHeight="1" x14ac:dyDescent="0.25">
      <c r="A1828" s="10" t="s">
        <v>1933</v>
      </c>
      <c r="B1828" s="11" t="s">
        <v>1699</v>
      </c>
      <c r="C1828" s="5">
        <v>34007.852099999996</v>
      </c>
      <c r="D1828" s="5">
        <v>34007.852099999996</v>
      </c>
      <c r="E1828" s="5">
        <v>30956.028900000001</v>
      </c>
      <c r="G1828" s="5" t="str">
        <f t="shared" si="57"/>
        <v>Шайтанка</v>
      </c>
      <c r="J1828" s="5"/>
      <c r="AF1828" t="s">
        <v>7231</v>
      </c>
      <c r="AG1828" s="24" t="s">
        <v>7059</v>
      </c>
      <c r="AH1828" s="5" t="s">
        <v>7231</v>
      </c>
      <c r="AI1828" s="5">
        <v>16669.947400000001</v>
      </c>
      <c r="AJ1828" s="5">
        <v>16669.947400000001</v>
      </c>
      <c r="AK1828">
        <v>15482.3704</v>
      </c>
      <c r="AL1828" s="5" t="str">
        <f t="shared" si="58"/>
        <v>Туринский городской округ</v>
      </c>
    </row>
    <row r="1829" spans="1:38" ht="25.5" customHeight="1" x14ac:dyDescent="0.25">
      <c r="A1829" s="10" t="s">
        <v>1934</v>
      </c>
      <c r="B1829" s="11" t="s">
        <v>1684</v>
      </c>
      <c r="C1829" s="5">
        <v>40625.090199999999</v>
      </c>
      <c r="D1829" s="5">
        <v>40625.090199999999</v>
      </c>
      <c r="E1829" s="5">
        <v>35661.364300000001</v>
      </c>
      <c r="G1829" s="5" t="str">
        <f t="shared" si="57"/>
        <v>Ваг_Стар_Пихтовы-г</v>
      </c>
      <c r="J1829" s="5"/>
      <c r="AF1829" t="s">
        <v>7231</v>
      </c>
      <c r="AG1829" s="24" t="s">
        <v>7060</v>
      </c>
      <c r="AH1829" s="5" t="s">
        <v>7231</v>
      </c>
      <c r="AI1829" s="5">
        <v>16669.947400000001</v>
      </c>
      <c r="AJ1829" s="5">
        <v>16669.947400000001</v>
      </c>
      <c r="AK1829">
        <v>15482.3704</v>
      </c>
      <c r="AL1829" s="5" t="str">
        <f t="shared" si="58"/>
        <v>Туринский городской округ</v>
      </c>
    </row>
    <row r="1830" spans="1:38" ht="25.5" customHeight="1" x14ac:dyDescent="0.25">
      <c r="A1830" s="10" t="s">
        <v>1935</v>
      </c>
      <c r="B1830" s="11" t="s">
        <v>1680</v>
      </c>
      <c r="C1830" s="5">
        <v>29151.309799999999</v>
      </c>
      <c r="D1830" s="5">
        <v>29151.309799999999</v>
      </c>
      <c r="E1830" s="5">
        <v>26218.127700000001</v>
      </c>
      <c r="G1830" s="5" t="str">
        <f t="shared" si="57"/>
        <v>Северный</v>
      </c>
      <c r="J1830" s="5"/>
      <c r="AF1830" t="s">
        <v>7231</v>
      </c>
      <c r="AG1830" s="24" t="s">
        <v>7061</v>
      </c>
      <c r="AH1830" s="5" t="s">
        <v>7231</v>
      </c>
      <c r="AI1830" s="5">
        <v>16669.947400000001</v>
      </c>
      <c r="AJ1830" s="5">
        <v>16669.947400000001</v>
      </c>
      <c r="AK1830">
        <v>15482.3704</v>
      </c>
      <c r="AL1830" s="5" t="str">
        <f t="shared" si="58"/>
        <v>Туринский городской округ</v>
      </c>
    </row>
    <row r="1831" spans="1:38" ht="25.5" customHeight="1" x14ac:dyDescent="0.25">
      <c r="A1831" s="10" t="s">
        <v>159</v>
      </c>
      <c r="B1831" s="11" t="s">
        <v>1684</v>
      </c>
      <c r="C1831" s="5">
        <v>40625.090199999999</v>
      </c>
      <c r="D1831" s="5">
        <v>40625.090199999999</v>
      </c>
      <c r="E1831" s="5">
        <v>35661.364300000001</v>
      </c>
      <c r="G1831" s="5" t="str">
        <f t="shared" si="57"/>
        <v>Ваг_Стар_Пихтовы-г</v>
      </c>
      <c r="J1831" s="5"/>
      <c r="AF1831" t="s">
        <v>7231</v>
      </c>
      <c r="AG1831" s="24" t="s">
        <v>7062</v>
      </c>
      <c r="AH1831" s="5" t="s">
        <v>7231</v>
      </c>
      <c r="AI1831" s="5">
        <v>16669.947400000001</v>
      </c>
      <c r="AJ1831" s="5">
        <v>16669.947400000001</v>
      </c>
      <c r="AK1831">
        <v>15482.3704</v>
      </c>
      <c r="AL1831" s="5" t="str">
        <f t="shared" si="58"/>
        <v>Туринский городской округ</v>
      </c>
    </row>
    <row r="1832" spans="1:38" ht="25.5" customHeight="1" x14ac:dyDescent="0.25">
      <c r="A1832" s="10" t="s">
        <v>1936</v>
      </c>
      <c r="B1832" s="11" t="s">
        <v>1675</v>
      </c>
      <c r="C1832" s="5">
        <v>35756.285400000001</v>
      </c>
      <c r="D1832" s="5">
        <v>35756.285400000001</v>
      </c>
      <c r="E1832" s="5">
        <v>32158.5213</v>
      </c>
      <c r="G1832" s="5" t="str">
        <f t="shared" si="57"/>
        <v>УАЗ-II</v>
      </c>
      <c r="J1832" s="5"/>
      <c r="AF1832" t="s">
        <v>7231</v>
      </c>
      <c r="AG1832" s="24" t="s">
        <v>7063</v>
      </c>
      <c r="AH1832" s="5" t="s">
        <v>7231</v>
      </c>
      <c r="AI1832" s="5">
        <v>16669.947400000001</v>
      </c>
      <c r="AJ1832" s="5">
        <v>16669.947400000001</v>
      </c>
      <c r="AK1832">
        <v>15482.3704</v>
      </c>
      <c r="AL1832" s="5" t="str">
        <f t="shared" si="58"/>
        <v>Туринский городской округ</v>
      </c>
    </row>
    <row r="1833" spans="1:38" ht="25.5" customHeight="1" x14ac:dyDescent="0.25">
      <c r="A1833" s="10" t="s">
        <v>1187</v>
      </c>
      <c r="B1833" s="11" t="s">
        <v>1677</v>
      </c>
      <c r="C1833" s="5">
        <v>39105.413099999998</v>
      </c>
      <c r="D1833" s="5">
        <v>39105.413099999998</v>
      </c>
      <c r="E1833" s="5">
        <v>35170.666700000002</v>
      </c>
      <c r="G1833" s="5" t="str">
        <f t="shared" si="57"/>
        <v>Октябрьский</v>
      </c>
      <c r="J1833" s="5"/>
      <c r="AF1833" t="s">
        <v>7231</v>
      </c>
      <c r="AG1833" s="24" t="s">
        <v>7064</v>
      </c>
      <c r="AH1833" s="5" t="s">
        <v>7231</v>
      </c>
      <c r="AI1833" s="5">
        <v>16669.947400000001</v>
      </c>
      <c r="AJ1833" s="5">
        <v>16669.947400000001</v>
      </c>
      <c r="AK1833">
        <v>15482.3704</v>
      </c>
      <c r="AL1833" s="5" t="str">
        <f t="shared" si="58"/>
        <v>Туринский городской округ</v>
      </c>
    </row>
    <row r="1834" spans="1:38" ht="25.5" customHeight="1" x14ac:dyDescent="0.25">
      <c r="A1834" s="10" t="s">
        <v>1408</v>
      </c>
      <c r="B1834" s="11" t="s">
        <v>1699</v>
      </c>
      <c r="C1834" s="5">
        <v>34007.852099999996</v>
      </c>
      <c r="D1834" s="5">
        <v>34007.852099999996</v>
      </c>
      <c r="E1834" s="5">
        <v>30956.028900000001</v>
      </c>
      <c r="G1834" s="5" t="str">
        <f t="shared" si="57"/>
        <v>Шайтанка</v>
      </c>
      <c r="J1834" s="5"/>
      <c r="AF1834" t="s">
        <v>7231</v>
      </c>
      <c r="AG1834" s="24" t="s">
        <v>7065</v>
      </c>
      <c r="AH1834" s="5" t="s">
        <v>7231</v>
      </c>
      <c r="AI1834" s="5">
        <v>16669.947400000001</v>
      </c>
      <c r="AJ1834" s="5">
        <v>16669.947400000001</v>
      </c>
      <c r="AK1834">
        <v>15482.3704</v>
      </c>
      <c r="AL1834" s="5" t="str">
        <f t="shared" si="58"/>
        <v>Туринский городской округ</v>
      </c>
    </row>
    <row r="1835" spans="1:38" ht="25.5" customHeight="1" x14ac:dyDescent="0.25">
      <c r="A1835" s="10" t="s">
        <v>1937</v>
      </c>
      <c r="B1835" s="11" t="s">
        <v>1699</v>
      </c>
      <c r="C1835" s="5">
        <v>34007.852099999996</v>
      </c>
      <c r="D1835" s="5">
        <v>34007.852099999996</v>
      </c>
      <c r="E1835" s="5">
        <v>30956.028900000001</v>
      </c>
      <c r="G1835" s="5" t="str">
        <f t="shared" si="57"/>
        <v>Шайтанка</v>
      </c>
      <c r="J1835" s="5"/>
      <c r="AF1835" t="s">
        <v>7231</v>
      </c>
      <c r="AG1835" s="24" t="s">
        <v>7066</v>
      </c>
      <c r="AH1835" s="5" t="s">
        <v>7231</v>
      </c>
      <c r="AI1835" s="5">
        <v>16669.947400000001</v>
      </c>
      <c r="AJ1835" s="5">
        <v>16669.947400000001</v>
      </c>
      <c r="AK1835">
        <v>15482.3704</v>
      </c>
      <c r="AL1835" s="5" t="str">
        <f t="shared" si="58"/>
        <v>Туринский городской округ</v>
      </c>
    </row>
    <row r="1836" spans="1:38" ht="25.5" customHeight="1" x14ac:dyDescent="0.25">
      <c r="A1836" s="10" t="s">
        <v>1938</v>
      </c>
      <c r="B1836" s="11" t="s">
        <v>1683</v>
      </c>
      <c r="C1836" s="5">
        <v>40018.9617</v>
      </c>
      <c r="D1836" s="5">
        <v>40018.9617</v>
      </c>
      <c r="E1836" s="5">
        <v>35129.2961</v>
      </c>
      <c r="G1836" s="5" t="str">
        <f t="shared" si="57"/>
        <v>Алт_Гальян_М-Кушва</v>
      </c>
      <c r="J1836" s="5"/>
      <c r="AF1836" t="s">
        <v>7231</v>
      </c>
      <c r="AG1836" s="24" t="s">
        <v>7067</v>
      </c>
      <c r="AH1836" s="5" t="s">
        <v>7231</v>
      </c>
      <c r="AI1836" s="5">
        <v>16669.947400000001</v>
      </c>
      <c r="AJ1836" s="5">
        <v>16669.947400000001</v>
      </c>
      <c r="AK1836">
        <v>15482.3704</v>
      </c>
      <c r="AL1836" s="5" t="str">
        <f t="shared" si="58"/>
        <v>Туринский городской округ</v>
      </c>
    </row>
    <row r="1837" spans="1:38" ht="25.5" customHeight="1" x14ac:dyDescent="0.25">
      <c r="A1837" s="10" t="s">
        <v>1049</v>
      </c>
      <c r="B1837" s="11" t="s">
        <v>1679</v>
      </c>
      <c r="C1837" s="5">
        <v>28855.326499999999</v>
      </c>
      <c r="D1837" s="5">
        <v>28855.326499999999</v>
      </c>
      <c r="E1837" s="5">
        <v>25951.933700000001</v>
      </c>
      <c r="G1837" s="5" t="str">
        <f t="shared" si="57"/>
        <v>Ст.Каменск-Хозспособ</v>
      </c>
      <c r="J1837" s="5"/>
      <c r="AF1837" t="s">
        <v>7231</v>
      </c>
      <c r="AG1837" s="24" t="s">
        <v>7068</v>
      </c>
      <c r="AH1837" s="5" t="s">
        <v>7231</v>
      </c>
      <c r="AI1837" s="5">
        <v>16669.947400000001</v>
      </c>
      <c r="AJ1837" s="5">
        <v>16669.947400000001</v>
      </c>
      <c r="AK1837">
        <v>15482.3704</v>
      </c>
      <c r="AL1837" s="5" t="str">
        <f t="shared" si="58"/>
        <v>Туринский городской округ</v>
      </c>
    </row>
    <row r="1838" spans="1:38" ht="25.5" customHeight="1" x14ac:dyDescent="0.25">
      <c r="A1838" s="10" t="s">
        <v>61</v>
      </c>
      <c r="B1838" s="11" t="s">
        <v>1690</v>
      </c>
      <c r="C1838" s="5">
        <v>41385.677100000001</v>
      </c>
      <c r="D1838" s="5">
        <v>41385.677100000001</v>
      </c>
      <c r="E1838" s="5">
        <v>37671.780200000001</v>
      </c>
      <c r="G1838" s="5" t="str">
        <f t="shared" si="57"/>
        <v>Веер</v>
      </c>
      <c r="J1838" s="5"/>
      <c r="AF1838" t="s">
        <v>7231</v>
      </c>
      <c r="AG1838" s="24" t="s">
        <v>7069</v>
      </c>
      <c r="AH1838" s="5" t="s">
        <v>7231</v>
      </c>
      <c r="AI1838" s="5">
        <v>16669.947400000001</v>
      </c>
      <c r="AJ1838" s="5">
        <v>16669.947400000001</v>
      </c>
      <c r="AK1838">
        <v>15482.3704</v>
      </c>
      <c r="AL1838" s="5" t="str">
        <f t="shared" si="58"/>
        <v>Туринский городской округ</v>
      </c>
    </row>
    <row r="1839" spans="1:38" ht="25.5" customHeight="1" x14ac:dyDescent="0.25">
      <c r="A1839" s="10" t="s">
        <v>177</v>
      </c>
      <c r="B1839" s="11" t="s">
        <v>1684</v>
      </c>
      <c r="C1839" s="5">
        <v>40625.090199999999</v>
      </c>
      <c r="D1839" s="5">
        <v>40625.090199999999</v>
      </c>
      <c r="E1839" s="5">
        <v>35661.364300000001</v>
      </c>
      <c r="G1839" s="5" t="str">
        <f t="shared" si="57"/>
        <v>Ваг_Стар_Пихтовы-г</v>
      </c>
      <c r="J1839" s="5"/>
      <c r="AF1839" t="s">
        <v>7231</v>
      </c>
      <c r="AG1839" s="24" t="s">
        <v>7070</v>
      </c>
      <c r="AH1839" s="5" t="s">
        <v>7231</v>
      </c>
      <c r="AI1839" s="5">
        <v>16669.947400000001</v>
      </c>
      <c r="AJ1839" s="5">
        <v>16669.947400000001</v>
      </c>
      <c r="AK1839">
        <v>15482.3704</v>
      </c>
      <c r="AL1839" s="5" t="str">
        <f t="shared" si="58"/>
        <v>Туринский городской округ</v>
      </c>
    </row>
    <row r="1840" spans="1:38" ht="25.5" customHeight="1" x14ac:dyDescent="0.25">
      <c r="A1840" s="10" t="s">
        <v>1939</v>
      </c>
      <c r="B1840" s="11" t="s">
        <v>1691</v>
      </c>
      <c r="C1840" s="5">
        <v>36244.5985</v>
      </c>
      <c r="D1840" s="5">
        <v>36244.5985</v>
      </c>
      <c r="E1840" s="5">
        <v>32992.053800000002</v>
      </c>
      <c r="G1840" s="5" t="str">
        <f t="shared" si="57"/>
        <v>ДинСанПод</v>
      </c>
      <c r="J1840" s="5"/>
      <c r="AF1840" t="s">
        <v>7231</v>
      </c>
      <c r="AG1840" s="24" t="s">
        <v>7071</v>
      </c>
      <c r="AH1840" s="5" t="s">
        <v>7231</v>
      </c>
      <c r="AI1840" s="5">
        <v>16669.947400000001</v>
      </c>
      <c r="AJ1840" s="5">
        <v>16669.947400000001</v>
      </c>
      <c r="AK1840">
        <v>15482.3704</v>
      </c>
      <c r="AL1840" s="5" t="str">
        <f t="shared" si="58"/>
        <v>Туринский городской округ</v>
      </c>
    </row>
    <row r="1841" spans="1:38" ht="25.5" customHeight="1" x14ac:dyDescent="0.25">
      <c r="A1841" s="10" t="s">
        <v>1940</v>
      </c>
      <c r="B1841" s="11" t="s">
        <v>1689</v>
      </c>
      <c r="C1841" s="5">
        <v>34023.428</v>
      </c>
      <c r="D1841" s="5">
        <v>34023.428</v>
      </c>
      <c r="E1841" s="5">
        <v>29866.3148</v>
      </c>
      <c r="G1841" s="5" t="str">
        <f t="shared" si="57"/>
        <v>Тагил_Кирп</v>
      </c>
      <c r="J1841" s="5"/>
      <c r="AF1841" t="s">
        <v>7231</v>
      </c>
      <c r="AG1841" s="24" t="s">
        <v>7072</v>
      </c>
      <c r="AH1841" s="5" t="s">
        <v>7231</v>
      </c>
      <c r="AI1841" s="5">
        <v>16669.947400000001</v>
      </c>
      <c r="AJ1841" s="5">
        <v>16669.947400000001</v>
      </c>
      <c r="AK1841">
        <v>15482.3704</v>
      </c>
      <c r="AL1841" s="5" t="str">
        <f t="shared" si="58"/>
        <v>Туринский городской округ</v>
      </c>
    </row>
    <row r="1842" spans="1:38" ht="25.5" customHeight="1" x14ac:dyDescent="0.25">
      <c r="A1842" s="10" t="s">
        <v>1941</v>
      </c>
      <c r="B1842" s="11" t="s">
        <v>1685</v>
      </c>
      <c r="C1842" s="5">
        <v>36513.6518</v>
      </c>
      <c r="D1842" s="5">
        <v>36513.6518</v>
      </c>
      <c r="E1842" s="5">
        <v>32052.276999999998</v>
      </c>
      <c r="G1842" s="5" t="str">
        <f t="shared" si="57"/>
        <v>Выя_Леб_Горб_Кр-Кам</v>
      </c>
      <c r="J1842" s="5"/>
      <c r="AF1842" t="s">
        <v>7231</v>
      </c>
      <c r="AG1842" s="24" t="s">
        <v>7073</v>
      </c>
      <c r="AH1842" s="5" t="s">
        <v>7231</v>
      </c>
      <c r="AI1842" s="5">
        <v>16669.947400000001</v>
      </c>
      <c r="AJ1842" s="5">
        <v>16669.947400000001</v>
      </c>
      <c r="AK1842">
        <v>15482.3704</v>
      </c>
      <c r="AL1842" s="5" t="str">
        <f t="shared" si="58"/>
        <v>Туринский городской округ</v>
      </c>
    </row>
    <row r="1843" spans="1:38" ht="25.5" customHeight="1" x14ac:dyDescent="0.25">
      <c r="A1843" s="10" t="s">
        <v>54</v>
      </c>
      <c r="B1843" s="11" t="s">
        <v>1688</v>
      </c>
      <c r="C1843" s="5">
        <v>29893.73</v>
      </c>
      <c r="D1843" s="5">
        <v>29893.73</v>
      </c>
      <c r="E1843" s="5">
        <v>26241.207699999999</v>
      </c>
      <c r="G1843" s="5" t="str">
        <f t="shared" si="57"/>
        <v>Сух_Г-Кам_Н_Кушва_Н-Черм</v>
      </c>
      <c r="J1843" s="5"/>
      <c r="AF1843" t="s">
        <v>7231</v>
      </c>
      <c r="AG1843" s="24" t="s">
        <v>7074</v>
      </c>
      <c r="AH1843" s="5" t="s">
        <v>7231</v>
      </c>
      <c r="AI1843" s="5">
        <v>16669.947400000001</v>
      </c>
      <c r="AJ1843" s="5">
        <v>16669.947400000001</v>
      </c>
      <c r="AK1843">
        <v>15482.3704</v>
      </c>
      <c r="AL1843" s="5" t="str">
        <f t="shared" si="58"/>
        <v>Туринский городской округ</v>
      </c>
    </row>
    <row r="1844" spans="1:38" ht="25.5" customHeight="1" x14ac:dyDescent="0.25">
      <c r="A1844" s="10" t="s">
        <v>1942</v>
      </c>
      <c r="B1844" s="11" t="s">
        <v>1687</v>
      </c>
      <c r="C1844" s="5">
        <v>30591.135900000001</v>
      </c>
      <c r="D1844" s="5">
        <v>30591.135900000001</v>
      </c>
      <c r="E1844" s="5">
        <v>26853.405500000001</v>
      </c>
      <c r="G1844" s="5" t="str">
        <f t="shared" si="57"/>
        <v>Рудник_Север</v>
      </c>
      <c r="J1844" s="5"/>
      <c r="AF1844" t="s">
        <v>7231</v>
      </c>
      <c r="AG1844" s="24" t="s">
        <v>7075</v>
      </c>
      <c r="AH1844" s="5" t="s">
        <v>7231</v>
      </c>
      <c r="AI1844" s="5">
        <v>16669.947400000001</v>
      </c>
      <c r="AJ1844" s="5">
        <v>16669.947400000001</v>
      </c>
      <c r="AK1844">
        <v>15482.3704</v>
      </c>
      <c r="AL1844" s="5" t="str">
        <f t="shared" si="58"/>
        <v>Туринский городской округ</v>
      </c>
    </row>
    <row r="1845" spans="1:38" ht="25.5" customHeight="1" x14ac:dyDescent="0.25">
      <c r="A1845" s="10" t="s">
        <v>1943</v>
      </c>
      <c r="B1845" s="11" t="s">
        <v>1684</v>
      </c>
      <c r="C1845" s="5">
        <v>40625.090199999999</v>
      </c>
      <c r="D1845" s="5">
        <v>40625.090199999999</v>
      </c>
      <c r="E1845" s="5">
        <v>35661.364300000001</v>
      </c>
      <c r="G1845" s="5" t="str">
        <f t="shared" si="57"/>
        <v>Ваг_Стар_Пихтовы-г</v>
      </c>
      <c r="J1845" s="5"/>
      <c r="AF1845" t="s">
        <v>7231</v>
      </c>
      <c r="AG1845" s="24" t="s">
        <v>7076</v>
      </c>
      <c r="AH1845" s="5" t="s">
        <v>7231</v>
      </c>
      <c r="AI1845" s="5">
        <v>16669.947400000001</v>
      </c>
      <c r="AJ1845" s="5">
        <v>16669.947400000001</v>
      </c>
      <c r="AK1845">
        <v>15482.3704</v>
      </c>
      <c r="AL1845" s="5" t="str">
        <f t="shared" si="58"/>
        <v>Туринский городской округ</v>
      </c>
    </row>
    <row r="1846" spans="1:38" ht="25.5" customHeight="1" x14ac:dyDescent="0.25">
      <c r="A1846" s="10" t="s">
        <v>1944</v>
      </c>
      <c r="B1846" s="11" t="s">
        <v>1696</v>
      </c>
      <c r="C1846" s="5">
        <v>36808.582300000002</v>
      </c>
      <c r="D1846" s="5">
        <v>36808.582300000002</v>
      </c>
      <c r="E1846" s="5">
        <v>33505.428800000002</v>
      </c>
      <c r="G1846" s="5" t="str">
        <f t="shared" si="57"/>
        <v>Талица</v>
      </c>
      <c r="J1846" s="5"/>
      <c r="AF1846" t="s">
        <v>7231</v>
      </c>
      <c r="AG1846" s="24" t="s">
        <v>7077</v>
      </c>
      <c r="AH1846" s="5" t="s">
        <v>7231</v>
      </c>
      <c r="AI1846" s="5">
        <v>16669.947400000001</v>
      </c>
      <c r="AJ1846" s="5">
        <v>16669.947400000001</v>
      </c>
      <c r="AK1846">
        <v>15482.3704</v>
      </c>
      <c r="AL1846" s="5" t="str">
        <f t="shared" si="58"/>
        <v>Туринский городской округ</v>
      </c>
    </row>
    <row r="1847" spans="1:38" ht="25.5" customHeight="1" x14ac:dyDescent="0.25">
      <c r="A1847" s="10" t="s">
        <v>929</v>
      </c>
      <c r="B1847" s="11" t="s">
        <v>1686</v>
      </c>
      <c r="C1847" s="5">
        <v>24299.835599999999</v>
      </c>
      <c r="D1847" s="5">
        <v>24299.835599999999</v>
      </c>
      <c r="E1847" s="5">
        <v>21330.794900000001</v>
      </c>
      <c r="G1847" s="5" t="str">
        <f t="shared" si="57"/>
        <v>Евст_В-Черм</v>
      </c>
      <c r="J1847" s="5"/>
      <c r="AF1847" t="s">
        <v>7231</v>
      </c>
      <c r="AG1847" s="24" t="s">
        <v>7078</v>
      </c>
      <c r="AH1847" s="5" t="s">
        <v>7231</v>
      </c>
      <c r="AI1847" s="5">
        <v>16669.947400000001</v>
      </c>
      <c r="AJ1847" s="5">
        <v>16669.947400000001</v>
      </c>
      <c r="AK1847">
        <v>15482.3704</v>
      </c>
      <c r="AL1847" s="5" t="str">
        <f t="shared" si="58"/>
        <v>Туринский городской округ</v>
      </c>
    </row>
    <row r="1848" spans="1:38" ht="25.5" customHeight="1" x14ac:dyDescent="0.25">
      <c r="A1848" s="10" t="s">
        <v>1945</v>
      </c>
      <c r="B1848" s="11" t="s">
        <v>1677</v>
      </c>
      <c r="C1848" s="5">
        <v>39105.413099999998</v>
      </c>
      <c r="D1848" s="5">
        <v>39105.413099999998</v>
      </c>
      <c r="E1848" s="5">
        <v>35170.666700000002</v>
      </c>
      <c r="G1848" s="5" t="str">
        <f t="shared" si="57"/>
        <v>Октябрьский</v>
      </c>
      <c r="J1848" s="5"/>
      <c r="AF1848" t="s">
        <v>7231</v>
      </c>
      <c r="AG1848" s="24" t="s">
        <v>7079</v>
      </c>
      <c r="AH1848" s="5" t="s">
        <v>7231</v>
      </c>
      <c r="AI1848" s="5">
        <v>16669.947400000001</v>
      </c>
      <c r="AJ1848" s="5">
        <v>16669.947400000001</v>
      </c>
      <c r="AK1848">
        <v>15482.3704</v>
      </c>
      <c r="AL1848" s="5" t="str">
        <f t="shared" si="58"/>
        <v>Туринский городской округ</v>
      </c>
    </row>
    <row r="1849" spans="1:38" ht="25.5" customHeight="1" x14ac:dyDescent="0.25">
      <c r="A1849" s="10" t="s">
        <v>1946</v>
      </c>
      <c r="B1849" s="11" t="s">
        <v>1679</v>
      </c>
      <c r="C1849" s="5">
        <v>28855.326499999999</v>
      </c>
      <c r="D1849" s="5">
        <v>28855.326499999999</v>
      </c>
      <c r="E1849" s="5">
        <v>25951.933700000001</v>
      </c>
      <c r="G1849" s="5" t="str">
        <f t="shared" si="57"/>
        <v>Ст.Каменск-Хозспособ</v>
      </c>
      <c r="J1849" s="5"/>
      <c r="AF1849" t="s">
        <v>7231</v>
      </c>
      <c r="AG1849" s="24" t="s">
        <v>7080</v>
      </c>
      <c r="AH1849" s="5" t="s">
        <v>7231</v>
      </c>
      <c r="AI1849" s="5">
        <v>16669.947400000001</v>
      </c>
      <c r="AJ1849" s="5">
        <v>16669.947400000001</v>
      </c>
      <c r="AK1849">
        <v>15482.3704</v>
      </c>
      <c r="AL1849" s="5" t="str">
        <f t="shared" si="58"/>
        <v>Туринский городской округ</v>
      </c>
    </row>
    <row r="1850" spans="1:38" ht="25.5" customHeight="1" x14ac:dyDescent="0.25">
      <c r="A1850" s="10" t="s">
        <v>1947</v>
      </c>
      <c r="B1850" s="11" t="s">
        <v>1679</v>
      </c>
      <c r="C1850" s="5">
        <v>28855.326499999999</v>
      </c>
      <c r="D1850" s="5">
        <v>28855.326499999999</v>
      </c>
      <c r="E1850" s="5">
        <v>25951.933700000001</v>
      </c>
      <c r="G1850" s="5" t="str">
        <f t="shared" si="57"/>
        <v>Ст.Каменск-Хозспособ</v>
      </c>
      <c r="J1850" s="5"/>
      <c r="AF1850" t="s">
        <v>7231</v>
      </c>
      <c r="AG1850" s="24" t="s">
        <v>7081</v>
      </c>
      <c r="AH1850" s="5" t="s">
        <v>7231</v>
      </c>
      <c r="AI1850" s="5">
        <v>16669.947400000001</v>
      </c>
      <c r="AJ1850" s="5">
        <v>16669.947400000001</v>
      </c>
      <c r="AK1850">
        <v>15482.3704</v>
      </c>
      <c r="AL1850" s="5" t="str">
        <f t="shared" si="58"/>
        <v>Туринский городской округ</v>
      </c>
    </row>
    <row r="1851" spans="1:38" ht="25.5" customHeight="1" x14ac:dyDescent="0.25">
      <c r="A1851" s="10" t="s">
        <v>1948</v>
      </c>
      <c r="B1851" s="11" t="s">
        <v>1679</v>
      </c>
      <c r="C1851" s="5">
        <v>28855.326499999999</v>
      </c>
      <c r="D1851" s="5">
        <v>28855.326499999999</v>
      </c>
      <c r="E1851" s="5">
        <v>25951.933700000001</v>
      </c>
      <c r="G1851" s="5" t="str">
        <f t="shared" si="57"/>
        <v>Ст.Каменск-Хозспособ</v>
      </c>
      <c r="J1851" s="5"/>
      <c r="AF1851" t="s">
        <v>7231</v>
      </c>
      <c r="AG1851" s="24" t="s">
        <v>7082</v>
      </c>
      <c r="AH1851" s="5" t="s">
        <v>7231</v>
      </c>
      <c r="AI1851" s="5">
        <v>16669.947400000001</v>
      </c>
      <c r="AJ1851" s="5">
        <v>16669.947400000001</v>
      </c>
      <c r="AK1851">
        <v>15482.3704</v>
      </c>
      <c r="AL1851" s="5" t="str">
        <f t="shared" si="58"/>
        <v>Туринский городской округ</v>
      </c>
    </row>
    <row r="1852" spans="1:38" ht="25.5" customHeight="1" x14ac:dyDescent="0.25">
      <c r="A1852" s="10" t="s">
        <v>320</v>
      </c>
      <c r="B1852" s="11" t="s">
        <v>1699</v>
      </c>
      <c r="C1852" s="5">
        <v>34007.852099999996</v>
      </c>
      <c r="D1852" s="5">
        <v>34007.852099999996</v>
      </c>
      <c r="E1852" s="5">
        <v>30956.028900000001</v>
      </c>
      <c r="G1852" s="5" t="str">
        <f t="shared" si="57"/>
        <v>Шайтанка</v>
      </c>
      <c r="J1852" s="5"/>
      <c r="AF1852" t="s">
        <v>7231</v>
      </c>
      <c r="AG1852" s="24" t="s">
        <v>7083</v>
      </c>
      <c r="AH1852" s="5" t="s">
        <v>7231</v>
      </c>
      <c r="AI1852" s="5">
        <v>16669.947400000001</v>
      </c>
      <c r="AJ1852" s="5">
        <v>16669.947400000001</v>
      </c>
      <c r="AK1852">
        <v>15482.3704</v>
      </c>
      <c r="AL1852" s="5" t="str">
        <f t="shared" si="58"/>
        <v>Туринский городской округ</v>
      </c>
    </row>
    <row r="1853" spans="1:38" ht="25.5" customHeight="1" x14ac:dyDescent="0.25">
      <c r="A1853" s="10" t="s">
        <v>192</v>
      </c>
      <c r="B1853" s="11" t="s">
        <v>1647</v>
      </c>
      <c r="C1853" s="5">
        <v>63178.133800000003</v>
      </c>
      <c r="D1853" s="5">
        <v>63178.133800000003</v>
      </c>
      <c r="E1853" s="5">
        <v>57208.931499999999</v>
      </c>
      <c r="G1853" s="5" t="str">
        <f t="shared" si="57"/>
        <v>ШИРОКАЯ РЕЧКА</v>
      </c>
      <c r="J1853" s="5"/>
      <c r="AF1853" t="s">
        <v>7231</v>
      </c>
      <c r="AG1853" s="24" t="s">
        <v>7084</v>
      </c>
      <c r="AH1853" s="5" t="s">
        <v>7231</v>
      </c>
      <c r="AI1853" s="5">
        <v>16669.947400000001</v>
      </c>
      <c r="AJ1853" s="5">
        <v>16669.947400000001</v>
      </c>
      <c r="AK1853">
        <v>15482.3704</v>
      </c>
      <c r="AL1853" s="5" t="str">
        <f t="shared" si="58"/>
        <v>Туринский городской округ</v>
      </c>
    </row>
    <row r="1854" spans="1:38" ht="25.5" customHeight="1" x14ac:dyDescent="0.25">
      <c r="A1854" s="10" t="s">
        <v>224</v>
      </c>
      <c r="B1854" s="11" t="s">
        <v>7242</v>
      </c>
      <c r="C1854" s="5">
        <v>27104.663700000001</v>
      </c>
      <c r="D1854" s="5">
        <v>27104.663700000001</v>
      </c>
      <c r="E1854" s="5">
        <v>26564.688900000001</v>
      </c>
      <c r="G1854" s="5" t="str">
        <f t="shared" si="57"/>
        <v>КК возле Первоуральска которые должны считаться как область</v>
      </c>
      <c r="J1854" s="5"/>
      <c r="AF1854" t="s">
        <v>7231</v>
      </c>
      <c r="AG1854" s="24" t="s">
        <v>7085</v>
      </c>
      <c r="AH1854" s="5" t="s">
        <v>7231</v>
      </c>
      <c r="AI1854" s="5">
        <v>16669.947400000001</v>
      </c>
      <c r="AJ1854" s="5">
        <v>16669.947400000001</v>
      </c>
      <c r="AK1854">
        <v>15482.3704</v>
      </c>
      <c r="AL1854" s="5" t="str">
        <f t="shared" si="58"/>
        <v>Туринский городской округ</v>
      </c>
    </row>
    <row r="1855" spans="1:38" ht="25.5" customHeight="1" x14ac:dyDescent="0.25">
      <c r="A1855" s="10" t="s">
        <v>173</v>
      </c>
      <c r="B1855" s="11" t="s">
        <v>1684</v>
      </c>
      <c r="C1855" s="5">
        <v>40625.090199999999</v>
      </c>
      <c r="D1855" s="5">
        <v>40625.090199999999</v>
      </c>
      <c r="E1855" s="5">
        <v>35661.364300000001</v>
      </c>
      <c r="G1855" s="5" t="str">
        <f t="shared" si="57"/>
        <v>Ваг_Стар_Пихтовы-г</v>
      </c>
      <c r="J1855" s="5"/>
      <c r="AF1855" t="s">
        <v>7231</v>
      </c>
      <c r="AG1855" s="24" t="s">
        <v>7086</v>
      </c>
      <c r="AH1855" s="5" t="s">
        <v>7231</v>
      </c>
      <c r="AI1855" s="5">
        <v>16669.947400000001</v>
      </c>
      <c r="AJ1855" s="5">
        <v>16669.947400000001</v>
      </c>
      <c r="AK1855">
        <v>15482.3704</v>
      </c>
      <c r="AL1855" s="5" t="str">
        <f t="shared" si="58"/>
        <v>Туринский городской округ</v>
      </c>
    </row>
    <row r="1856" spans="1:38" ht="25.5" customHeight="1" x14ac:dyDescent="0.25">
      <c r="A1856" s="10" t="s">
        <v>1949</v>
      </c>
      <c r="B1856" s="11" t="s">
        <v>1677</v>
      </c>
      <c r="C1856" s="5">
        <v>39105.413099999998</v>
      </c>
      <c r="D1856" s="5">
        <v>39105.413099999998</v>
      </c>
      <c r="E1856" s="5">
        <v>35170.666700000002</v>
      </c>
      <c r="G1856" s="5" t="str">
        <f t="shared" si="57"/>
        <v>Октябрьский</v>
      </c>
      <c r="J1856" s="5"/>
      <c r="AF1856" t="s">
        <v>7231</v>
      </c>
      <c r="AG1856" s="24" t="s">
        <v>7087</v>
      </c>
      <c r="AH1856" s="5" t="s">
        <v>7231</v>
      </c>
      <c r="AI1856" s="5">
        <v>16669.947400000001</v>
      </c>
      <c r="AJ1856" s="5">
        <v>16669.947400000001</v>
      </c>
      <c r="AK1856">
        <v>15482.3704</v>
      </c>
      <c r="AL1856" s="5" t="str">
        <f t="shared" si="58"/>
        <v>Туринский городской округ</v>
      </c>
    </row>
    <row r="1857" spans="1:38" ht="25.5" customHeight="1" x14ac:dyDescent="0.25">
      <c r="A1857" s="10" t="s">
        <v>94</v>
      </c>
      <c r="B1857" s="5" t="s">
        <v>1688</v>
      </c>
      <c r="C1857" s="5">
        <v>29893.73</v>
      </c>
      <c r="D1857" s="5">
        <v>29893.73</v>
      </c>
      <c r="E1857" s="5">
        <v>26241.207699999999</v>
      </c>
      <c r="G1857" s="5" t="str">
        <f t="shared" si="57"/>
        <v>Сух_Г-Кам_Н_Кушва_Н-Черм</v>
      </c>
      <c r="J1857" s="5"/>
      <c r="AF1857" t="s">
        <v>7231</v>
      </c>
      <c r="AG1857" s="24" t="s">
        <v>7088</v>
      </c>
      <c r="AH1857" s="5" t="s">
        <v>7231</v>
      </c>
      <c r="AI1857" s="5">
        <v>16669.947400000001</v>
      </c>
      <c r="AJ1857" s="5">
        <v>16669.947400000001</v>
      </c>
      <c r="AK1857">
        <v>15482.3704</v>
      </c>
      <c r="AL1857" s="5" t="str">
        <f t="shared" si="58"/>
        <v>Туринский городской округ</v>
      </c>
    </row>
    <row r="1858" spans="1:38" ht="25.5" customHeight="1" x14ac:dyDescent="0.25">
      <c r="A1858" s="10" t="s">
        <v>1950</v>
      </c>
      <c r="B1858" s="11" t="s">
        <v>1673</v>
      </c>
      <c r="C1858" s="5">
        <v>35563.243300000002</v>
      </c>
      <c r="D1858" s="5">
        <v>35563.243300000002</v>
      </c>
      <c r="E1858" s="5">
        <v>31984.905299999999</v>
      </c>
      <c r="G1858" s="5" t="str">
        <f t="shared" si="57"/>
        <v>УАЗ-III - 49 кв.</v>
      </c>
      <c r="J1858" s="5"/>
      <c r="AF1858" t="s">
        <v>7231</v>
      </c>
      <c r="AG1858" s="24" t="s">
        <v>7089</v>
      </c>
      <c r="AH1858" s="5" t="s">
        <v>7231</v>
      </c>
      <c r="AI1858" s="5">
        <v>16669.947400000001</v>
      </c>
      <c r="AJ1858" s="5">
        <v>16669.947400000001</v>
      </c>
      <c r="AK1858">
        <v>15482.3704</v>
      </c>
      <c r="AL1858" s="5" t="str">
        <f t="shared" si="58"/>
        <v>Туринский городской округ</v>
      </c>
    </row>
    <row r="1859" spans="1:38" ht="25.5" customHeight="1" x14ac:dyDescent="0.25">
      <c r="A1859" s="10" t="s">
        <v>1951</v>
      </c>
      <c r="B1859" s="11" t="s">
        <v>1685</v>
      </c>
      <c r="C1859" s="5">
        <v>36513.6518</v>
      </c>
      <c r="D1859" s="5">
        <v>36513.6518</v>
      </c>
      <c r="E1859" s="5">
        <v>32052.276999999998</v>
      </c>
      <c r="G1859" s="5" t="str">
        <f t="shared" si="57"/>
        <v>Выя_Леб_Горб_Кр-Кам</v>
      </c>
      <c r="J1859" s="5"/>
      <c r="AF1859" t="s">
        <v>7231</v>
      </c>
      <c r="AG1859" s="24" t="s">
        <v>7090</v>
      </c>
      <c r="AH1859" s="5" t="s">
        <v>7231</v>
      </c>
      <c r="AI1859" s="5">
        <v>16669.947400000001</v>
      </c>
      <c r="AJ1859" s="5">
        <v>16669.947400000001</v>
      </c>
      <c r="AK1859">
        <v>15482.3704</v>
      </c>
      <c r="AL1859" s="5" t="str">
        <f t="shared" si="58"/>
        <v>Туринский городской округ</v>
      </c>
    </row>
    <row r="1860" spans="1:38" ht="25.5" customHeight="1" x14ac:dyDescent="0.25">
      <c r="A1860" s="10" t="s">
        <v>1259</v>
      </c>
      <c r="B1860" s="11" t="s">
        <v>1680</v>
      </c>
      <c r="C1860" s="5">
        <v>29151.309799999999</v>
      </c>
      <c r="D1860" s="5">
        <v>29151.309799999999</v>
      </c>
      <c r="E1860" s="5">
        <v>26218.127700000001</v>
      </c>
      <c r="G1860" s="5" t="str">
        <f t="shared" ref="G1860:G1923" si="59">B1860</f>
        <v>Северный</v>
      </c>
      <c r="J1860" s="5"/>
      <c r="AF1860" t="s">
        <v>7231</v>
      </c>
      <c r="AG1860" s="24" t="s">
        <v>7091</v>
      </c>
      <c r="AH1860" s="5" t="s">
        <v>7231</v>
      </c>
      <c r="AI1860" s="5">
        <v>16669.947400000001</v>
      </c>
      <c r="AJ1860" s="5">
        <v>16669.947400000001</v>
      </c>
      <c r="AK1860">
        <v>15482.3704</v>
      </c>
      <c r="AL1860" s="5" t="str">
        <f t="shared" ref="AL1860:AL1923" si="60">AF1860</f>
        <v>Туринский городской округ</v>
      </c>
    </row>
    <row r="1861" spans="1:38" ht="25.5" customHeight="1" x14ac:dyDescent="0.25">
      <c r="A1861" s="10" t="s">
        <v>189</v>
      </c>
      <c r="B1861" s="11" t="s">
        <v>1693</v>
      </c>
      <c r="C1861" s="5">
        <v>32948.938800000004</v>
      </c>
      <c r="D1861" s="5">
        <v>32948.938800000004</v>
      </c>
      <c r="E1861" s="5">
        <v>29992.139899999998</v>
      </c>
      <c r="G1861" s="5" t="str">
        <f t="shared" si="59"/>
        <v>Магнитка</v>
      </c>
      <c r="J1861" s="5"/>
      <c r="AF1861" t="s">
        <v>7231</v>
      </c>
      <c r="AG1861" s="24" t="s">
        <v>7092</v>
      </c>
      <c r="AH1861" s="5" t="s">
        <v>7231</v>
      </c>
      <c r="AI1861" s="5">
        <v>16669.947400000001</v>
      </c>
      <c r="AJ1861" s="5">
        <v>16669.947400000001</v>
      </c>
      <c r="AK1861">
        <v>15482.3704</v>
      </c>
      <c r="AL1861" s="5" t="str">
        <f t="shared" si="60"/>
        <v>Туринский городской округ</v>
      </c>
    </row>
    <row r="1862" spans="1:38" x14ac:dyDescent="0.25">
      <c r="A1862" s="10" t="s">
        <v>1952</v>
      </c>
      <c r="B1862" s="11" t="s">
        <v>1681</v>
      </c>
      <c r="C1862" s="5">
        <v>32172.2909</v>
      </c>
      <c r="D1862" s="5">
        <v>32172.2909</v>
      </c>
      <c r="E1862" s="5">
        <v>28935.146499999999</v>
      </c>
      <c r="G1862" s="5" t="str">
        <f t="shared" si="59"/>
        <v>Ленин-Олимп</v>
      </c>
      <c r="J1862" s="5"/>
      <c r="AF1862" t="s">
        <v>7231</v>
      </c>
      <c r="AG1862" s="24" t="s">
        <v>7093</v>
      </c>
      <c r="AH1862" s="5" t="s">
        <v>7231</v>
      </c>
      <c r="AI1862" s="5">
        <v>16669.947400000001</v>
      </c>
      <c r="AJ1862" s="5">
        <v>16669.947400000001</v>
      </c>
      <c r="AK1862">
        <v>15482.3704</v>
      </c>
      <c r="AL1862" s="5" t="str">
        <f t="shared" si="60"/>
        <v>Туринский городской округ</v>
      </c>
    </row>
    <row r="1863" spans="1:38" x14ac:dyDescent="0.25">
      <c r="A1863" s="10" t="s">
        <v>1953</v>
      </c>
      <c r="B1863" s="11" t="s">
        <v>1674</v>
      </c>
      <c r="C1863" s="5">
        <v>29199.565200000001</v>
      </c>
      <c r="D1863" s="5">
        <v>29199.565200000001</v>
      </c>
      <c r="E1863" s="5">
        <v>26261.5317</v>
      </c>
      <c r="G1863" s="5" t="str">
        <f t="shared" si="59"/>
        <v>УАЗ</v>
      </c>
      <c r="J1863" s="5"/>
      <c r="AF1863" t="s">
        <v>7231</v>
      </c>
      <c r="AG1863" s="24" t="s">
        <v>7094</v>
      </c>
      <c r="AH1863" s="5" t="s">
        <v>7231</v>
      </c>
      <c r="AI1863" s="5">
        <v>16669.947400000001</v>
      </c>
      <c r="AJ1863" s="5">
        <v>16669.947400000001</v>
      </c>
      <c r="AK1863">
        <v>15482.3704</v>
      </c>
      <c r="AL1863" s="5" t="str">
        <f t="shared" si="60"/>
        <v>Туринский городской округ</v>
      </c>
    </row>
    <row r="1864" spans="1:38" ht="25.5" customHeight="1" x14ac:dyDescent="0.25">
      <c r="A1864" s="10" t="s">
        <v>1954</v>
      </c>
      <c r="B1864" s="11" t="s">
        <v>1683</v>
      </c>
      <c r="C1864" s="5">
        <v>40018.9617</v>
      </c>
      <c r="D1864" s="5">
        <v>40018.9617</v>
      </c>
      <c r="E1864" s="5">
        <v>35129.2961</v>
      </c>
      <c r="G1864" s="5" t="str">
        <f t="shared" si="59"/>
        <v>Алт_Гальян_М-Кушва</v>
      </c>
      <c r="J1864" s="5"/>
      <c r="AF1864" t="s">
        <v>7231</v>
      </c>
      <c r="AG1864" s="24" t="s">
        <v>7095</v>
      </c>
      <c r="AH1864" s="5" t="s">
        <v>7231</v>
      </c>
      <c r="AI1864" s="5">
        <v>16669.947400000001</v>
      </c>
      <c r="AJ1864" s="5">
        <v>16669.947400000001</v>
      </c>
      <c r="AK1864">
        <v>15482.3704</v>
      </c>
      <c r="AL1864" s="5" t="str">
        <f t="shared" si="60"/>
        <v>Туринский городской округ</v>
      </c>
    </row>
    <row r="1865" spans="1:38" ht="25.5" customHeight="1" x14ac:dyDescent="0.25">
      <c r="A1865" s="10" t="s">
        <v>1955</v>
      </c>
      <c r="B1865" s="11" t="s">
        <v>1699</v>
      </c>
      <c r="C1865" s="5">
        <v>34007.852099999996</v>
      </c>
      <c r="D1865" s="5">
        <v>34007.852099999996</v>
      </c>
      <c r="E1865" s="5">
        <v>30956.028900000001</v>
      </c>
      <c r="G1865" s="5" t="str">
        <f t="shared" si="59"/>
        <v>Шайтанка</v>
      </c>
      <c r="J1865" s="5"/>
      <c r="AF1865" t="s">
        <v>7231</v>
      </c>
      <c r="AG1865" s="24" t="s">
        <v>7096</v>
      </c>
      <c r="AH1865" s="5" t="s">
        <v>7231</v>
      </c>
      <c r="AI1865" s="5">
        <v>16669.947400000001</v>
      </c>
      <c r="AJ1865" s="5">
        <v>16669.947400000001</v>
      </c>
      <c r="AK1865">
        <v>15482.3704</v>
      </c>
      <c r="AL1865" s="5" t="str">
        <f t="shared" si="60"/>
        <v>Туринский городской округ</v>
      </c>
    </row>
    <row r="1866" spans="1:38" ht="25.5" customHeight="1" x14ac:dyDescent="0.25">
      <c r="A1866" s="10" t="s">
        <v>1956</v>
      </c>
      <c r="B1866" s="11" t="s">
        <v>1647</v>
      </c>
      <c r="C1866" s="5">
        <v>63178.133800000003</v>
      </c>
      <c r="D1866" s="5">
        <v>63178.133800000003</v>
      </c>
      <c r="E1866" s="5">
        <v>57208.931499999999</v>
      </c>
      <c r="G1866" s="5" t="str">
        <f t="shared" si="59"/>
        <v>ШИРОКАЯ РЕЧКА</v>
      </c>
      <c r="J1866" s="5"/>
      <c r="AF1866" t="s">
        <v>7231</v>
      </c>
      <c r="AG1866" s="24" t="s">
        <v>7097</v>
      </c>
      <c r="AH1866" s="5" t="s">
        <v>7231</v>
      </c>
      <c r="AI1866" s="5">
        <v>16669.947400000001</v>
      </c>
      <c r="AJ1866" s="5">
        <v>16669.947400000001</v>
      </c>
      <c r="AK1866">
        <v>15482.3704</v>
      </c>
      <c r="AL1866" s="5" t="str">
        <f t="shared" si="60"/>
        <v>Туринский городской округ</v>
      </c>
    </row>
    <row r="1867" spans="1:38" ht="25.5" customHeight="1" x14ac:dyDescent="0.25">
      <c r="A1867" s="10" t="s">
        <v>1957</v>
      </c>
      <c r="B1867" s="11" t="s">
        <v>1691</v>
      </c>
      <c r="C1867" s="5">
        <v>36244.5985</v>
      </c>
      <c r="D1867" s="5">
        <v>36244.5985</v>
      </c>
      <c r="E1867" s="5">
        <v>32992.053800000002</v>
      </c>
      <c r="G1867" s="5" t="str">
        <f t="shared" si="59"/>
        <v>ДинСанПод</v>
      </c>
      <c r="J1867" s="5"/>
      <c r="AF1867" t="s">
        <v>7231</v>
      </c>
      <c r="AG1867" s="24" t="s">
        <v>7098</v>
      </c>
      <c r="AH1867" s="5" t="s">
        <v>7231</v>
      </c>
      <c r="AI1867" s="5">
        <v>16669.947400000001</v>
      </c>
      <c r="AJ1867" s="5">
        <v>16669.947400000001</v>
      </c>
      <c r="AK1867">
        <v>15482.3704</v>
      </c>
      <c r="AL1867" s="5" t="str">
        <f t="shared" si="60"/>
        <v>Туринский городской округ</v>
      </c>
    </row>
    <row r="1868" spans="1:38" ht="25.5" customHeight="1" x14ac:dyDescent="0.25">
      <c r="A1868" s="10" t="s">
        <v>1958</v>
      </c>
      <c r="B1868" s="11" t="s">
        <v>1691</v>
      </c>
      <c r="C1868" s="5">
        <v>36244.5985</v>
      </c>
      <c r="D1868" s="5">
        <v>36244.5985</v>
      </c>
      <c r="E1868" s="5">
        <v>32992.053800000002</v>
      </c>
      <c r="G1868" s="5" t="str">
        <f t="shared" si="59"/>
        <v>ДинСанПод</v>
      </c>
      <c r="J1868" s="5"/>
      <c r="AF1868" t="s">
        <v>7231</v>
      </c>
      <c r="AG1868" s="24" t="s">
        <v>7099</v>
      </c>
      <c r="AH1868" s="5" t="s">
        <v>7231</v>
      </c>
      <c r="AI1868" s="5">
        <v>16669.947400000001</v>
      </c>
      <c r="AJ1868" s="5">
        <v>16669.947400000001</v>
      </c>
      <c r="AK1868">
        <v>15482.3704</v>
      </c>
      <c r="AL1868" s="5" t="str">
        <f t="shared" si="60"/>
        <v>Туринский городской округ</v>
      </c>
    </row>
    <row r="1869" spans="1:38" x14ac:dyDescent="0.25">
      <c r="A1869" s="10" t="s">
        <v>1959</v>
      </c>
      <c r="B1869" s="11" t="s">
        <v>1681</v>
      </c>
      <c r="C1869" s="5">
        <v>32172.2909</v>
      </c>
      <c r="D1869" s="5">
        <v>32172.2909</v>
      </c>
      <c r="E1869" s="5">
        <v>28935.146499999999</v>
      </c>
      <c r="G1869" s="5" t="str">
        <f t="shared" si="59"/>
        <v>Ленин-Олимп</v>
      </c>
      <c r="J1869" s="5"/>
      <c r="AF1869" t="s">
        <v>7231</v>
      </c>
      <c r="AG1869" s="24" t="s">
        <v>7100</v>
      </c>
      <c r="AH1869" s="5" t="s">
        <v>7231</v>
      </c>
      <c r="AI1869" s="5">
        <v>16669.947400000001</v>
      </c>
      <c r="AJ1869" s="5">
        <v>16669.947400000001</v>
      </c>
      <c r="AK1869">
        <v>15482.3704</v>
      </c>
      <c r="AL1869" s="5" t="str">
        <f t="shared" si="60"/>
        <v>Туринский городской округ</v>
      </c>
    </row>
    <row r="1870" spans="1:38" ht="25.5" customHeight="1" x14ac:dyDescent="0.25">
      <c r="A1870" s="10" t="s">
        <v>536</v>
      </c>
      <c r="B1870" s="11" t="s">
        <v>1685</v>
      </c>
      <c r="C1870" s="5">
        <v>36513.6518</v>
      </c>
      <c r="D1870" s="5">
        <v>36513.6518</v>
      </c>
      <c r="E1870" s="5">
        <v>32052.276999999998</v>
      </c>
      <c r="G1870" s="5" t="str">
        <f t="shared" si="59"/>
        <v>Выя_Леб_Горб_Кр-Кам</v>
      </c>
      <c r="J1870" s="5"/>
      <c r="AF1870" t="s">
        <v>7231</v>
      </c>
      <c r="AG1870" s="24" t="s">
        <v>7101</v>
      </c>
      <c r="AH1870" s="5" t="s">
        <v>7231</v>
      </c>
      <c r="AI1870" s="5">
        <v>16669.947400000001</v>
      </c>
      <c r="AJ1870" s="5">
        <v>16669.947400000001</v>
      </c>
      <c r="AK1870">
        <v>15482.3704</v>
      </c>
      <c r="AL1870" s="5" t="str">
        <f t="shared" si="60"/>
        <v>Туринский городской округ</v>
      </c>
    </row>
    <row r="1871" spans="1:38" ht="25.5" customHeight="1" x14ac:dyDescent="0.25">
      <c r="A1871" s="10" t="s">
        <v>644</v>
      </c>
      <c r="B1871" s="11" t="s">
        <v>7242</v>
      </c>
      <c r="C1871" s="5">
        <v>27104.663700000001</v>
      </c>
      <c r="D1871" s="5">
        <v>27104.663700000001</v>
      </c>
      <c r="E1871" s="5">
        <v>26564.688900000001</v>
      </c>
      <c r="G1871" s="5" t="str">
        <f t="shared" si="59"/>
        <v>КК возле Первоуральска которые должны считаться как область</v>
      </c>
      <c r="J1871" s="5"/>
      <c r="AF1871" t="s">
        <v>7231</v>
      </c>
      <c r="AG1871" s="24" t="s">
        <v>7102</v>
      </c>
      <c r="AH1871" s="5" t="s">
        <v>7231</v>
      </c>
      <c r="AI1871" s="5">
        <v>16669.947400000001</v>
      </c>
      <c r="AJ1871" s="5">
        <v>16669.947400000001</v>
      </c>
      <c r="AK1871">
        <v>15482.3704</v>
      </c>
      <c r="AL1871" s="5" t="str">
        <f t="shared" si="60"/>
        <v>Туринский городской округ</v>
      </c>
    </row>
    <row r="1872" spans="1:38" ht="25.5" customHeight="1" x14ac:dyDescent="0.25">
      <c r="A1872" s="10" t="s">
        <v>1960</v>
      </c>
      <c r="B1872" s="11" t="s">
        <v>1673</v>
      </c>
      <c r="C1872" s="5">
        <v>35563.243300000002</v>
      </c>
      <c r="D1872" s="5">
        <v>35563.243300000002</v>
      </c>
      <c r="E1872" s="5">
        <v>31984.905299999999</v>
      </c>
      <c r="G1872" s="5" t="str">
        <f t="shared" si="59"/>
        <v>УАЗ-III - 49 кв.</v>
      </c>
      <c r="J1872" s="5"/>
      <c r="AF1872" t="s">
        <v>7231</v>
      </c>
      <c r="AG1872" s="24" t="s">
        <v>7103</v>
      </c>
      <c r="AH1872" s="5" t="s">
        <v>7231</v>
      </c>
      <c r="AI1872" s="5">
        <v>16669.947400000001</v>
      </c>
      <c r="AJ1872" s="5">
        <v>16669.947400000001</v>
      </c>
      <c r="AK1872">
        <v>15482.3704</v>
      </c>
      <c r="AL1872" s="5" t="str">
        <f t="shared" si="60"/>
        <v>Туринский городской округ</v>
      </c>
    </row>
    <row r="1873" spans="1:38" ht="25.5" customHeight="1" x14ac:dyDescent="0.25">
      <c r="A1873" s="10" t="s">
        <v>1961</v>
      </c>
      <c r="B1873" s="11" t="s">
        <v>1688</v>
      </c>
      <c r="C1873" s="5">
        <v>29893.73</v>
      </c>
      <c r="D1873" s="5">
        <v>29893.73</v>
      </c>
      <c r="E1873" s="5">
        <v>26241.207699999999</v>
      </c>
      <c r="G1873" s="5" t="str">
        <f t="shared" si="59"/>
        <v>Сух_Г-Кам_Н_Кушва_Н-Черм</v>
      </c>
      <c r="J1873" s="5"/>
      <c r="AF1873" t="s">
        <v>7231</v>
      </c>
      <c r="AG1873" s="24" t="s">
        <v>7104</v>
      </c>
      <c r="AH1873" s="5" t="s">
        <v>7231</v>
      </c>
      <c r="AI1873" s="5">
        <v>16669.947400000001</v>
      </c>
      <c r="AJ1873" s="5">
        <v>16669.947400000001</v>
      </c>
      <c r="AK1873">
        <v>15482.3704</v>
      </c>
      <c r="AL1873" s="5" t="str">
        <f t="shared" si="60"/>
        <v>Туринский городской округ</v>
      </c>
    </row>
    <row r="1874" spans="1:38" ht="25.5" customHeight="1" x14ac:dyDescent="0.25">
      <c r="A1874" s="10" t="s">
        <v>1962</v>
      </c>
      <c r="B1874" s="11" t="s">
        <v>1678</v>
      </c>
      <c r="C1874" s="5">
        <v>37400.280599999998</v>
      </c>
      <c r="D1874" s="5">
        <v>37400.280599999998</v>
      </c>
      <c r="E1874" s="5">
        <v>33637.106500000002</v>
      </c>
      <c r="G1874" s="5" t="str">
        <f t="shared" si="59"/>
        <v>Южный</v>
      </c>
      <c r="J1874" s="5"/>
      <c r="AF1874" t="s">
        <v>7231</v>
      </c>
      <c r="AG1874" s="24" t="s">
        <v>7105</v>
      </c>
      <c r="AH1874" s="5" t="s">
        <v>7231</v>
      </c>
      <c r="AI1874" s="5">
        <v>20596.105899999999</v>
      </c>
      <c r="AJ1874" s="5">
        <v>20596.105899999999</v>
      </c>
      <c r="AK1874">
        <v>19128.8233</v>
      </c>
      <c r="AL1874" s="5" t="str">
        <f t="shared" si="60"/>
        <v>Туринский городской округ</v>
      </c>
    </row>
    <row r="1875" spans="1:38" ht="25.5" customHeight="1" x14ac:dyDescent="0.25">
      <c r="A1875" s="10" t="s">
        <v>1963</v>
      </c>
      <c r="B1875" s="11" t="s">
        <v>1691</v>
      </c>
      <c r="C1875" s="5">
        <v>36244.5985</v>
      </c>
      <c r="D1875" s="5">
        <v>36244.5985</v>
      </c>
      <c r="E1875" s="5">
        <v>32992.053800000002</v>
      </c>
      <c r="G1875" s="5" t="str">
        <f t="shared" si="59"/>
        <v>ДинСанПод</v>
      </c>
      <c r="J1875" s="5"/>
      <c r="AF1875" t="s">
        <v>7231</v>
      </c>
      <c r="AG1875" s="24" t="s">
        <v>7106</v>
      </c>
      <c r="AH1875" s="5" t="s">
        <v>7231</v>
      </c>
      <c r="AI1875" s="5">
        <v>16669.947400000001</v>
      </c>
      <c r="AJ1875" s="5">
        <v>16669.947400000001</v>
      </c>
      <c r="AK1875">
        <v>15482.3704</v>
      </c>
      <c r="AL1875" s="5" t="str">
        <f t="shared" si="60"/>
        <v>Туринский городской округ</v>
      </c>
    </row>
    <row r="1876" spans="1:38" ht="25.5" customHeight="1" x14ac:dyDescent="0.25">
      <c r="A1876" s="10" t="s">
        <v>1964</v>
      </c>
      <c r="B1876" s="11" t="s">
        <v>1684</v>
      </c>
      <c r="C1876" s="5">
        <v>40625.090199999999</v>
      </c>
      <c r="D1876" s="5">
        <v>40625.090199999999</v>
      </c>
      <c r="E1876" s="5">
        <v>35661.364300000001</v>
      </c>
      <c r="G1876" s="5" t="str">
        <f t="shared" si="59"/>
        <v>Ваг_Стар_Пихтовы-г</v>
      </c>
      <c r="J1876" s="5"/>
      <c r="AF1876" t="s">
        <v>7231</v>
      </c>
      <c r="AG1876" s="24" t="s">
        <v>7107</v>
      </c>
      <c r="AH1876" s="5" t="s">
        <v>7231</v>
      </c>
      <c r="AI1876" s="5">
        <v>16669.947400000001</v>
      </c>
      <c r="AJ1876" s="5">
        <v>16669.947400000001</v>
      </c>
      <c r="AK1876">
        <v>15482.3704</v>
      </c>
      <c r="AL1876" s="5" t="str">
        <f t="shared" si="60"/>
        <v>Туринский городской округ</v>
      </c>
    </row>
    <row r="1877" spans="1:38" ht="25.5" customHeight="1" x14ac:dyDescent="0.25">
      <c r="A1877" s="10" t="s">
        <v>1965</v>
      </c>
      <c r="B1877" s="11" t="s">
        <v>1681</v>
      </c>
      <c r="C1877" s="5">
        <v>32172.2909</v>
      </c>
      <c r="D1877" s="5">
        <v>32172.2909</v>
      </c>
      <c r="E1877" s="5">
        <v>28935.146499999999</v>
      </c>
      <c r="G1877" s="5" t="str">
        <f t="shared" si="59"/>
        <v>Ленин-Олимп</v>
      </c>
      <c r="J1877" s="5"/>
      <c r="AF1877" t="s">
        <v>7231</v>
      </c>
      <c r="AG1877" s="24" t="s">
        <v>7108</v>
      </c>
      <c r="AH1877" s="5" t="s">
        <v>7231</v>
      </c>
      <c r="AI1877" s="5">
        <v>16669.947400000001</v>
      </c>
      <c r="AJ1877" s="5">
        <v>16669.947400000001</v>
      </c>
      <c r="AK1877">
        <v>15482.3704</v>
      </c>
      <c r="AL1877" s="5" t="str">
        <f t="shared" si="60"/>
        <v>Туринский городской округ</v>
      </c>
    </row>
    <row r="1878" spans="1:38" ht="25.5" customHeight="1" x14ac:dyDescent="0.25">
      <c r="A1878" s="10" t="s">
        <v>1966</v>
      </c>
      <c r="B1878" s="11" t="s">
        <v>1680</v>
      </c>
      <c r="C1878" s="5">
        <v>29151.309799999999</v>
      </c>
      <c r="D1878" s="5">
        <v>29151.309799999999</v>
      </c>
      <c r="E1878" s="5">
        <v>26218.127700000001</v>
      </c>
      <c r="G1878" s="5" t="str">
        <f t="shared" si="59"/>
        <v>Северный</v>
      </c>
      <c r="J1878" s="5"/>
      <c r="AF1878" t="s">
        <v>7231</v>
      </c>
      <c r="AG1878" s="24" t="s">
        <v>7109</v>
      </c>
      <c r="AH1878" s="5" t="s">
        <v>7231</v>
      </c>
      <c r="AI1878" s="5">
        <v>16669.947400000001</v>
      </c>
      <c r="AJ1878" s="5">
        <v>16669.947400000001</v>
      </c>
      <c r="AK1878">
        <v>15482.3704</v>
      </c>
      <c r="AL1878" s="5" t="str">
        <f t="shared" si="60"/>
        <v>Туринский городской округ</v>
      </c>
    </row>
    <row r="1879" spans="1:38" ht="25.5" customHeight="1" x14ac:dyDescent="0.25">
      <c r="A1879" s="10" t="s">
        <v>722</v>
      </c>
      <c r="B1879" s="11" t="s">
        <v>1688</v>
      </c>
      <c r="C1879" s="5">
        <v>29893.73</v>
      </c>
      <c r="D1879" s="5">
        <v>29893.73</v>
      </c>
      <c r="E1879" s="5">
        <v>26241.207699999999</v>
      </c>
      <c r="G1879" s="5" t="str">
        <f t="shared" si="59"/>
        <v>Сух_Г-Кам_Н_Кушва_Н-Черм</v>
      </c>
      <c r="J1879" s="5"/>
      <c r="AF1879" t="s">
        <v>7231</v>
      </c>
      <c r="AG1879" s="24" t="s">
        <v>7110</v>
      </c>
      <c r="AH1879" s="5" t="s">
        <v>7231</v>
      </c>
      <c r="AI1879" s="5">
        <v>16669.947400000001</v>
      </c>
      <c r="AJ1879" s="5">
        <v>16669.947400000001</v>
      </c>
      <c r="AK1879">
        <v>15482.3704</v>
      </c>
      <c r="AL1879" s="5" t="str">
        <f t="shared" si="60"/>
        <v>Туринский городской округ</v>
      </c>
    </row>
    <row r="1880" spans="1:38" ht="25.5" customHeight="1" x14ac:dyDescent="0.25">
      <c r="A1880" s="10" t="s">
        <v>1967</v>
      </c>
      <c r="B1880" s="11" t="s">
        <v>1695</v>
      </c>
      <c r="C1880" s="5">
        <v>40100.412600000003</v>
      </c>
      <c r="D1880" s="5">
        <v>40100.412600000003</v>
      </c>
      <c r="E1880" s="5">
        <v>36501.853799999997</v>
      </c>
      <c r="G1880" s="5" t="str">
        <f t="shared" si="59"/>
        <v>Соцгород</v>
      </c>
      <c r="J1880" s="5"/>
      <c r="AF1880" t="s">
        <v>7231</v>
      </c>
      <c r="AG1880" s="24" t="s">
        <v>7111</v>
      </c>
      <c r="AH1880" s="5" t="s">
        <v>7231</v>
      </c>
      <c r="AI1880" s="5">
        <v>16669.947400000001</v>
      </c>
      <c r="AJ1880" s="5">
        <v>16669.947400000001</v>
      </c>
      <c r="AK1880">
        <v>15482.3704</v>
      </c>
      <c r="AL1880" s="5" t="str">
        <f t="shared" si="60"/>
        <v>Туринский городской округ</v>
      </c>
    </row>
    <row r="1881" spans="1:38" ht="25.5" customHeight="1" x14ac:dyDescent="0.25">
      <c r="A1881" s="10" t="s">
        <v>308</v>
      </c>
      <c r="B1881" s="11" t="s">
        <v>5230</v>
      </c>
      <c r="C1881" s="5">
        <v>45477.761700000003</v>
      </c>
      <c r="D1881" s="5">
        <v>45477.761700000003</v>
      </c>
      <c r="E1881" s="5">
        <v>39921.119500000001</v>
      </c>
      <c r="G1881" s="5" t="str">
        <f t="shared" si="59"/>
        <v>Центр-Тагил</v>
      </c>
      <c r="J1881" s="5"/>
      <c r="AF1881" t="s">
        <v>7231</v>
      </c>
      <c r="AG1881" s="24" t="s">
        <v>7112</v>
      </c>
      <c r="AH1881" s="5" t="s">
        <v>7231</v>
      </c>
      <c r="AI1881" s="5">
        <v>16669.947400000001</v>
      </c>
      <c r="AJ1881" s="5">
        <v>16669.947400000001</v>
      </c>
      <c r="AK1881">
        <v>15482.3704</v>
      </c>
      <c r="AL1881" s="5" t="str">
        <f t="shared" si="60"/>
        <v>Туринский городской округ</v>
      </c>
    </row>
    <row r="1882" spans="1:38" ht="25.5" customHeight="1" x14ac:dyDescent="0.25">
      <c r="A1882" s="10" t="s">
        <v>1968</v>
      </c>
      <c r="B1882" s="11" t="s">
        <v>1679</v>
      </c>
      <c r="C1882" s="5">
        <v>28855.326499999999</v>
      </c>
      <c r="D1882" s="5">
        <v>28855.326499999999</v>
      </c>
      <c r="E1882" s="5">
        <v>25951.933700000001</v>
      </c>
      <c r="G1882" s="5" t="str">
        <f t="shared" si="59"/>
        <v>Ст.Каменск-Хозспособ</v>
      </c>
      <c r="J1882" s="5"/>
      <c r="AF1882" t="s">
        <v>7231</v>
      </c>
      <c r="AG1882" s="24" t="s">
        <v>7113</v>
      </c>
      <c r="AH1882" s="5" t="s">
        <v>7231</v>
      </c>
      <c r="AI1882" s="5">
        <v>16669.947400000001</v>
      </c>
      <c r="AJ1882" s="5">
        <v>16669.947400000001</v>
      </c>
      <c r="AK1882">
        <v>15482.3704</v>
      </c>
      <c r="AL1882" s="5" t="str">
        <f t="shared" si="60"/>
        <v>Туринский городской округ</v>
      </c>
    </row>
    <row r="1883" spans="1:38" ht="25.5" customHeight="1" x14ac:dyDescent="0.25">
      <c r="A1883" s="10" t="s">
        <v>1540</v>
      </c>
      <c r="B1883" s="11" t="s">
        <v>1681</v>
      </c>
      <c r="C1883" s="5">
        <v>32172.2909</v>
      </c>
      <c r="D1883" s="5">
        <v>32172.2909</v>
      </c>
      <c r="E1883" s="5">
        <v>28935.146499999999</v>
      </c>
      <c r="G1883" s="5" t="str">
        <f t="shared" si="59"/>
        <v>Ленин-Олимп</v>
      </c>
      <c r="J1883" s="5"/>
      <c r="AF1883" t="s">
        <v>7231</v>
      </c>
      <c r="AG1883" s="24" t="s">
        <v>7114</v>
      </c>
      <c r="AH1883" s="5" t="s">
        <v>7231</v>
      </c>
      <c r="AI1883" s="5">
        <v>16669.947400000001</v>
      </c>
      <c r="AJ1883" s="5">
        <v>16669.947400000001</v>
      </c>
      <c r="AK1883">
        <v>15482.3704</v>
      </c>
      <c r="AL1883" s="5" t="str">
        <f t="shared" si="60"/>
        <v>Туринский городской округ</v>
      </c>
    </row>
    <row r="1884" spans="1:38" ht="25.5" customHeight="1" x14ac:dyDescent="0.25">
      <c r="A1884" s="10" t="s">
        <v>1969</v>
      </c>
      <c r="B1884" s="11" t="s">
        <v>1679</v>
      </c>
      <c r="C1884" s="5">
        <v>28855.326499999999</v>
      </c>
      <c r="D1884" s="5">
        <v>28855.326499999999</v>
      </c>
      <c r="E1884" s="5">
        <v>25951.933700000001</v>
      </c>
      <c r="G1884" s="5" t="str">
        <f t="shared" si="59"/>
        <v>Ст.Каменск-Хозспособ</v>
      </c>
      <c r="J1884" s="5"/>
      <c r="AF1884" t="s">
        <v>7231</v>
      </c>
      <c r="AG1884" s="24" t="s">
        <v>7115</v>
      </c>
      <c r="AH1884" s="5" t="s">
        <v>7231</v>
      </c>
      <c r="AI1884" s="5">
        <v>16669.947400000001</v>
      </c>
      <c r="AJ1884" s="5">
        <v>16669.947400000001</v>
      </c>
      <c r="AK1884">
        <v>15482.3704</v>
      </c>
      <c r="AL1884" s="5" t="str">
        <f t="shared" si="60"/>
        <v>Туринский городской округ</v>
      </c>
    </row>
    <row r="1885" spans="1:38" ht="25.5" customHeight="1" x14ac:dyDescent="0.25">
      <c r="A1885" s="10" t="s">
        <v>1970</v>
      </c>
      <c r="B1885" s="11" t="s">
        <v>1688</v>
      </c>
      <c r="C1885" s="5">
        <v>29893.73</v>
      </c>
      <c r="D1885" s="5">
        <v>29893.73</v>
      </c>
      <c r="E1885" s="5">
        <v>26241.207699999999</v>
      </c>
      <c r="G1885" s="5" t="str">
        <f t="shared" si="59"/>
        <v>Сух_Г-Кам_Н_Кушва_Н-Черм</v>
      </c>
      <c r="J1885" s="5"/>
      <c r="AF1885" t="s">
        <v>7231</v>
      </c>
      <c r="AG1885" s="24" t="s">
        <v>7116</v>
      </c>
      <c r="AH1885" s="5" t="s">
        <v>7231</v>
      </c>
      <c r="AI1885" s="5">
        <v>16669.947400000001</v>
      </c>
      <c r="AJ1885" s="5">
        <v>16669.947400000001</v>
      </c>
      <c r="AK1885">
        <v>15482.3704</v>
      </c>
      <c r="AL1885" s="5" t="str">
        <f t="shared" si="60"/>
        <v>Туринский городской округ</v>
      </c>
    </row>
    <row r="1886" spans="1:38" ht="25.5" customHeight="1" x14ac:dyDescent="0.25">
      <c r="A1886" s="10" t="s">
        <v>1971</v>
      </c>
      <c r="B1886" s="11" t="s">
        <v>1673</v>
      </c>
      <c r="C1886" s="5">
        <v>35563.243300000002</v>
      </c>
      <c r="D1886" s="5">
        <v>35563.243300000002</v>
      </c>
      <c r="E1886" s="5">
        <v>31984.905299999999</v>
      </c>
      <c r="G1886" s="5" t="str">
        <f t="shared" si="59"/>
        <v>УАЗ-III - 49 кв.</v>
      </c>
      <c r="J1886" s="5"/>
      <c r="AF1886" t="s">
        <v>7231</v>
      </c>
      <c r="AG1886" s="24" t="s">
        <v>7117</v>
      </c>
      <c r="AH1886" s="5" t="s">
        <v>7231</v>
      </c>
      <c r="AI1886" s="5">
        <v>16669.947400000001</v>
      </c>
      <c r="AJ1886" s="5">
        <v>16669.947400000001</v>
      </c>
      <c r="AK1886">
        <v>15482.3704</v>
      </c>
      <c r="AL1886" s="5" t="str">
        <f t="shared" si="60"/>
        <v>Туринский городской округ</v>
      </c>
    </row>
    <row r="1887" spans="1:38" ht="25.5" customHeight="1" x14ac:dyDescent="0.25">
      <c r="A1887" s="20" t="s">
        <v>1972</v>
      </c>
      <c r="B1887" s="22">
        <v>1003</v>
      </c>
      <c r="C1887" s="5">
        <v>21261.0285</v>
      </c>
      <c r="D1887" s="5">
        <v>21261.0285</v>
      </c>
      <c r="E1887" s="5">
        <v>20837.465199999999</v>
      </c>
      <c r="G1887" s="5">
        <f t="shared" si="59"/>
        <v>1003</v>
      </c>
      <c r="J1887" s="5"/>
      <c r="AF1887" t="s">
        <v>7231</v>
      </c>
      <c r="AG1887" s="24" t="s">
        <v>7118</v>
      </c>
      <c r="AH1887" s="5" t="s">
        <v>7231</v>
      </c>
      <c r="AI1887" s="5">
        <v>16669.947400000001</v>
      </c>
      <c r="AJ1887" s="5">
        <v>16669.947400000001</v>
      </c>
      <c r="AK1887">
        <v>15482.3704</v>
      </c>
      <c r="AL1887" s="5" t="str">
        <f t="shared" si="60"/>
        <v>Туринский городской округ</v>
      </c>
    </row>
    <row r="1888" spans="1:38" ht="25.5" customHeight="1" x14ac:dyDescent="0.25">
      <c r="A1888" s="20" t="s">
        <v>1973</v>
      </c>
      <c r="B1888" s="22">
        <v>1003</v>
      </c>
      <c r="C1888" s="5">
        <v>21261.0285</v>
      </c>
      <c r="D1888" s="5">
        <v>21261.0285</v>
      </c>
      <c r="E1888" s="5">
        <v>20837.465199999999</v>
      </c>
      <c r="G1888" s="5">
        <f t="shared" si="59"/>
        <v>1003</v>
      </c>
      <c r="J1888" s="5"/>
      <c r="AF1888" t="s">
        <v>7231</v>
      </c>
      <c r="AG1888" s="24" t="s">
        <v>7119</v>
      </c>
      <c r="AH1888" s="5" t="s">
        <v>7231</v>
      </c>
      <c r="AI1888" s="5">
        <v>16669.947400000001</v>
      </c>
      <c r="AJ1888" s="5">
        <v>16669.947400000001</v>
      </c>
      <c r="AK1888">
        <v>15482.3704</v>
      </c>
      <c r="AL1888" s="5" t="str">
        <f t="shared" si="60"/>
        <v>Туринский городской округ</v>
      </c>
    </row>
    <row r="1889" spans="1:38" ht="25.5" customHeight="1" x14ac:dyDescent="0.25">
      <c r="A1889" s="20" t="s">
        <v>1974</v>
      </c>
      <c r="B1889" s="22">
        <v>1003</v>
      </c>
      <c r="C1889" s="5">
        <v>21261.0285</v>
      </c>
      <c r="D1889" s="5">
        <v>21261.0285</v>
      </c>
      <c r="E1889" s="5">
        <v>20837.465199999999</v>
      </c>
      <c r="G1889" s="5">
        <f t="shared" si="59"/>
        <v>1003</v>
      </c>
      <c r="J1889" s="5"/>
      <c r="AF1889" t="s">
        <v>7232</v>
      </c>
      <c r="AG1889" s="24" t="s">
        <v>7120</v>
      </c>
      <c r="AH1889" s="5" t="s">
        <v>7232</v>
      </c>
      <c r="AI1889" s="5">
        <v>23764.9702</v>
      </c>
      <c r="AJ1889" s="5">
        <v>23764.9702</v>
      </c>
      <c r="AK1889">
        <v>22071.945500000002</v>
      </c>
      <c r="AL1889" s="5" t="str">
        <f t="shared" si="60"/>
        <v>Шалинский городской округ</v>
      </c>
    </row>
    <row r="1890" spans="1:38" ht="25.5" customHeight="1" x14ac:dyDescent="0.25">
      <c r="A1890" s="10" t="s">
        <v>1975</v>
      </c>
      <c r="B1890" s="11" t="s">
        <v>1691</v>
      </c>
      <c r="C1890" s="5">
        <v>36244.5985</v>
      </c>
      <c r="D1890" s="5">
        <v>36244.5985</v>
      </c>
      <c r="E1890" s="5">
        <v>32992.053800000002</v>
      </c>
      <c r="G1890" s="5" t="str">
        <f t="shared" si="59"/>
        <v>ДинСанПод</v>
      </c>
      <c r="J1890" s="5"/>
      <c r="AF1890" t="s">
        <v>7232</v>
      </c>
      <c r="AG1890" s="24" t="s">
        <v>7121</v>
      </c>
      <c r="AH1890" s="5" t="s">
        <v>7232</v>
      </c>
      <c r="AI1890" s="5">
        <v>23764.9702</v>
      </c>
      <c r="AJ1890" s="5">
        <v>23764.9702</v>
      </c>
      <c r="AK1890">
        <v>22071.945500000002</v>
      </c>
      <c r="AL1890" s="5" t="str">
        <f t="shared" si="60"/>
        <v>Шалинский городской округ</v>
      </c>
    </row>
    <row r="1891" spans="1:38" ht="25.5" customHeight="1" x14ac:dyDescent="0.25">
      <c r="A1891" s="20" t="s">
        <v>1976</v>
      </c>
      <c r="B1891" s="22">
        <v>1003</v>
      </c>
      <c r="C1891" s="5">
        <v>21261.0285</v>
      </c>
      <c r="D1891" s="5">
        <v>21261.0285</v>
      </c>
      <c r="E1891" s="5">
        <v>20837.465199999999</v>
      </c>
      <c r="G1891" s="5">
        <f t="shared" si="59"/>
        <v>1003</v>
      </c>
      <c r="J1891" s="5"/>
      <c r="AF1891" t="s">
        <v>7232</v>
      </c>
      <c r="AG1891" s="24" t="s">
        <v>7122</v>
      </c>
      <c r="AH1891" s="5" t="s">
        <v>7232</v>
      </c>
      <c r="AI1891" s="5">
        <v>23764.9702</v>
      </c>
      <c r="AJ1891" s="5">
        <v>23764.9702</v>
      </c>
      <c r="AK1891">
        <v>22071.945500000002</v>
      </c>
      <c r="AL1891" s="5" t="str">
        <f t="shared" si="60"/>
        <v>Шалинский городской округ</v>
      </c>
    </row>
    <row r="1892" spans="1:38" ht="25.5" customHeight="1" x14ac:dyDescent="0.25">
      <c r="A1892" s="20" t="s">
        <v>1977</v>
      </c>
      <c r="B1892" s="22">
        <v>1003</v>
      </c>
      <c r="C1892" s="5">
        <v>21261.0285</v>
      </c>
      <c r="D1892" s="5">
        <v>21261.0285</v>
      </c>
      <c r="E1892" s="5">
        <v>20837.465199999999</v>
      </c>
      <c r="G1892" s="5">
        <f t="shared" si="59"/>
        <v>1003</v>
      </c>
      <c r="J1892" s="5"/>
      <c r="AF1892" t="s">
        <v>7232</v>
      </c>
      <c r="AG1892" s="24" t="s">
        <v>7123</v>
      </c>
      <c r="AH1892" s="5" t="s">
        <v>7232</v>
      </c>
      <c r="AI1892" s="5">
        <v>24360.240000000002</v>
      </c>
      <c r="AJ1892" s="5">
        <v>24360.240000000002</v>
      </c>
      <c r="AK1892">
        <v>22624.802100000001</v>
      </c>
      <c r="AL1892" s="5" t="str">
        <f t="shared" si="60"/>
        <v>Шалинский городской округ</v>
      </c>
    </row>
    <row r="1893" spans="1:38" ht="25.5" customHeight="1" x14ac:dyDescent="0.25">
      <c r="A1893" s="20" t="s">
        <v>1978</v>
      </c>
      <c r="B1893" s="22">
        <v>1003</v>
      </c>
      <c r="C1893" s="5">
        <v>21261.0285</v>
      </c>
      <c r="D1893" s="5">
        <v>21261.0285</v>
      </c>
      <c r="E1893" s="5">
        <v>20837.465199999999</v>
      </c>
      <c r="G1893" s="5">
        <f t="shared" si="59"/>
        <v>1003</v>
      </c>
      <c r="J1893" s="5"/>
      <c r="AF1893" t="s">
        <v>7232</v>
      </c>
      <c r="AG1893" s="24" t="s">
        <v>7124</v>
      </c>
      <c r="AH1893" s="5" t="s">
        <v>7232</v>
      </c>
      <c r="AI1893" s="5">
        <v>23764.9702</v>
      </c>
      <c r="AJ1893" s="5">
        <v>23764.9702</v>
      </c>
      <c r="AK1893">
        <v>22071.945500000002</v>
      </c>
      <c r="AL1893" s="5" t="str">
        <f t="shared" si="60"/>
        <v>Шалинский городской округ</v>
      </c>
    </row>
    <row r="1894" spans="1:38" ht="25.5" customHeight="1" x14ac:dyDescent="0.25">
      <c r="A1894" s="20" t="s">
        <v>1979</v>
      </c>
      <c r="B1894" s="22">
        <v>1003</v>
      </c>
      <c r="C1894" s="5">
        <v>21261.0285</v>
      </c>
      <c r="D1894" s="5">
        <v>21261.0285</v>
      </c>
      <c r="E1894" s="5">
        <v>20837.465199999999</v>
      </c>
      <c r="G1894" s="5">
        <f t="shared" si="59"/>
        <v>1003</v>
      </c>
      <c r="J1894" s="5"/>
      <c r="AF1894" t="s">
        <v>7232</v>
      </c>
      <c r="AG1894" s="24" t="s">
        <v>7125</v>
      </c>
      <c r="AH1894" s="5" t="s">
        <v>7232</v>
      </c>
      <c r="AI1894" s="5">
        <v>23764.9702</v>
      </c>
      <c r="AJ1894" s="5">
        <v>23764.9702</v>
      </c>
      <c r="AK1894">
        <v>22071.945500000002</v>
      </c>
      <c r="AL1894" s="5" t="str">
        <f t="shared" si="60"/>
        <v>Шалинский городской округ</v>
      </c>
    </row>
    <row r="1895" spans="1:38" ht="25.5" customHeight="1" x14ac:dyDescent="0.25">
      <c r="A1895" s="10" t="s">
        <v>1980</v>
      </c>
      <c r="B1895" s="11" t="s">
        <v>1395</v>
      </c>
      <c r="C1895" s="5">
        <v>27332.119299999998</v>
      </c>
      <c r="D1895" s="5">
        <v>27332.119299999998</v>
      </c>
      <c r="E1895" s="5">
        <v>24879.3747</v>
      </c>
      <c r="G1895" s="5" t="str">
        <f t="shared" si="59"/>
        <v>СОВХОЗ ПЕРВОУРАЛЬСКИЙ</v>
      </c>
      <c r="J1895" s="5"/>
      <c r="AF1895" t="s">
        <v>7232</v>
      </c>
      <c r="AG1895" s="24" t="s">
        <v>7126</v>
      </c>
      <c r="AH1895" s="5" t="s">
        <v>7232</v>
      </c>
      <c r="AI1895" s="5">
        <v>24360.240000000002</v>
      </c>
      <c r="AJ1895" s="5">
        <v>24360.240000000002</v>
      </c>
      <c r="AK1895">
        <v>22624.802100000001</v>
      </c>
      <c r="AL1895" s="5" t="str">
        <f t="shared" si="60"/>
        <v>Шалинский городской округ</v>
      </c>
    </row>
    <row r="1896" spans="1:38" ht="25.5" customHeight="1" x14ac:dyDescent="0.25">
      <c r="A1896" s="10" t="s">
        <v>1981</v>
      </c>
      <c r="B1896" s="11" t="s">
        <v>1395</v>
      </c>
      <c r="C1896" s="5">
        <v>27332.119299999998</v>
      </c>
      <c r="D1896" s="5">
        <v>27332.119299999998</v>
      </c>
      <c r="E1896" s="5">
        <v>24879.3747</v>
      </c>
      <c r="G1896" s="5" t="str">
        <f t="shared" si="59"/>
        <v>СОВХОЗ ПЕРВОУРАЛЬСКИЙ</v>
      </c>
      <c r="J1896" s="5"/>
      <c r="AF1896" t="s">
        <v>7232</v>
      </c>
      <c r="AG1896" s="24" t="s">
        <v>7127</v>
      </c>
      <c r="AH1896" s="5" t="s">
        <v>7232</v>
      </c>
      <c r="AI1896" s="5">
        <v>23764.9702</v>
      </c>
      <c r="AJ1896" s="5">
        <v>23764.9702</v>
      </c>
      <c r="AK1896">
        <v>22071.945500000002</v>
      </c>
      <c r="AL1896" s="5" t="str">
        <f t="shared" si="60"/>
        <v>Шалинский городской округ</v>
      </c>
    </row>
    <row r="1897" spans="1:38" ht="25.5" customHeight="1" x14ac:dyDescent="0.25">
      <c r="A1897" s="20" t="s">
        <v>1982</v>
      </c>
      <c r="B1897" s="22">
        <v>1003</v>
      </c>
      <c r="C1897" s="5">
        <v>21261.0285</v>
      </c>
      <c r="D1897" s="5">
        <v>21261.0285</v>
      </c>
      <c r="E1897" s="5">
        <v>20837.465199999999</v>
      </c>
      <c r="G1897" s="5">
        <f t="shared" si="59"/>
        <v>1003</v>
      </c>
      <c r="J1897" s="5"/>
      <c r="AF1897" t="s">
        <v>7232</v>
      </c>
      <c r="AG1897" s="24" t="s">
        <v>7128</v>
      </c>
      <c r="AH1897" s="5" t="s">
        <v>7232</v>
      </c>
      <c r="AI1897" s="5">
        <v>23764.9702</v>
      </c>
      <c r="AJ1897" s="5">
        <v>23764.9702</v>
      </c>
      <c r="AK1897">
        <v>22071.945500000002</v>
      </c>
      <c r="AL1897" s="5" t="str">
        <f t="shared" si="60"/>
        <v>Шалинский городской округ</v>
      </c>
    </row>
    <row r="1898" spans="1:38" ht="25.5" customHeight="1" x14ac:dyDescent="0.25">
      <c r="A1898" s="10" t="s">
        <v>1983</v>
      </c>
      <c r="B1898" s="11" t="s">
        <v>1691</v>
      </c>
      <c r="C1898" s="5">
        <v>36244.5985</v>
      </c>
      <c r="D1898" s="5">
        <v>36244.5985</v>
      </c>
      <c r="E1898" s="5">
        <v>32992.053800000002</v>
      </c>
      <c r="G1898" s="5" t="str">
        <f t="shared" si="59"/>
        <v>ДинСанПод</v>
      </c>
      <c r="J1898" s="5"/>
      <c r="AF1898" t="s">
        <v>7232</v>
      </c>
      <c r="AG1898" s="24" t="s">
        <v>7129</v>
      </c>
      <c r="AH1898" s="5" t="s">
        <v>7232</v>
      </c>
      <c r="AI1898" s="5">
        <v>23764.9702</v>
      </c>
      <c r="AJ1898" s="5">
        <v>23764.9702</v>
      </c>
      <c r="AK1898">
        <v>22071.945500000002</v>
      </c>
      <c r="AL1898" s="5" t="str">
        <f t="shared" si="60"/>
        <v>Шалинский городской округ</v>
      </c>
    </row>
    <row r="1899" spans="1:38" ht="25.5" customHeight="1" x14ac:dyDescent="0.25">
      <c r="A1899" s="10" t="s">
        <v>1984</v>
      </c>
      <c r="B1899" s="11" t="s">
        <v>1679</v>
      </c>
      <c r="C1899" s="5">
        <v>28855.326499999999</v>
      </c>
      <c r="D1899" s="5">
        <v>28855.326499999999</v>
      </c>
      <c r="E1899" s="5">
        <v>25951.933700000001</v>
      </c>
      <c r="G1899" s="5" t="str">
        <f t="shared" si="59"/>
        <v>Ст.Каменск-Хозспособ</v>
      </c>
      <c r="J1899" s="5"/>
      <c r="AF1899" t="s">
        <v>7232</v>
      </c>
      <c r="AG1899" s="24" t="s">
        <v>7130</v>
      </c>
      <c r="AH1899" s="5" t="s">
        <v>7232</v>
      </c>
      <c r="AI1899" s="5">
        <v>23764.9702</v>
      </c>
      <c r="AJ1899" s="5">
        <v>23764.9702</v>
      </c>
      <c r="AK1899">
        <v>22071.945500000002</v>
      </c>
      <c r="AL1899" s="5" t="str">
        <f t="shared" si="60"/>
        <v>Шалинский городской округ</v>
      </c>
    </row>
    <row r="1900" spans="1:38" ht="25.5" customHeight="1" x14ac:dyDescent="0.25">
      <c r="A1900" s="10" t="s">
        <v>1985</v>
      </c>
      <c r="B1900" s="11" t="s">
        <v>1676</v>
      </c>
      <c r="C1900" s="5">
        <v>28848.8855</v>
      </c>
      <c r="D1900" s="5">
        <v>28848.8855</v>
      </c>
      <c r="E1900" s="5">
        <v>25946.143</v>
      </c>
      <c r="G1900" s="5" t="str">
        <f t="shared" si="59"/>
        <v>Чкаловский</v>
      </c>
      <c r="J1900" s="5"/>
      <c r="AF1900" t="s">
        <v>7232</v>
      </c>
      <c r="AG1900" s="24" t="s">
        <v>7131</v>
      </c>
      <c r="AH1900" s="5" t="s">
        <v>7232</v>
      </c>
      <c r="AI1900" s="5">
        <v>23764.9702</v>
      </c>
      <c r="AJ1900" s="5">
        <v>23764.9702</v>
      </c>
      <c r="AK1900">
        <v>22071.945500000002</v>
      </c>
      <c r="AL1900" s="5" t="str">
        <f t="shared" si="60"/>
        <v>Шалинский городской округ</v>
      </c>
    </row>
    <row r="1901" spans="1:38" ht="25.5" customHeight="1" x14ac:dyDescent="0.25">
      <c r="A1901" s="10" t="s">
        <v>1986</v>
      </c>
      <c r="B1901" s="11" t="s">
        <v>1696</v>
      </c>
      <c r="C1901" s="5">
        <v>36808.582300000002</v>
      </c>
      <c r="D1901" s="5">
        <v>36808.582300000002</v>
      </c>
      <c r="E1901" s="5">
        <v>33505.428800000002</v>
      </c>
      <c r="G1901" s="5" t="str">
        <f t="shared" si="59"/>
        <v>Талица</v>
      </c>
      <c r="J1901" s="5"/>
      <c r="AF1901" t="s">
        <v>7232</v>
      </c>
      <c r="AG1901" s="24" t="s">
        <v>7132</v>
      </c>
      <c r="AH1901" s="5" t="s">
        <v>7232</v>
      </c>
      <c r="AI1901" s="5">
        <v>24360.240000000002</v>
      </c>
      <c r="AJ1901" s="5">
        <v>24360.240000000002</v>
      </c>
      <c r="AK1901">
        <v>22624.802100000001</v>
      </c>
      <c r="AL1901" s="5" t="str">
        <f t="shared" si="60"/>
        <v>Шалинский городской округ</v>
      </c>
    </row>
    <row r="1902" spans="1:38" ht="25.5" customHeight="1" x14ac:dyDescent="0.25">
      <c r="A1902" s="10" t="s">
        <v>1987</v>
      </c>
      <c r="B1902" s="11" t="s">
        <v>1691</v>
      </c>
      <c r="C1902" s="5">
        <v>36244.5985</v>
      </c>
      <c r="D1902" s="5">
        <v>36244.5985</v>
      </c>
      <c r="E1902" s="5">
        <v>32992.053800000002</v>
      </c>
      <c r="G1902" s="5" t="str">
        <f t="shared" si="59"/>
        <v>ДинСанПод</v>
      </c>
      <c r="J1902" s="5"/>
      <c r="AF1902" t="s">
        <v>7232</v>
      </c>
      <c r="AG1902" s="24" t="s">
        <v>7133</v>
      </c>
      <c r="AH1902" s="5" t="s">
        <v>7232</v>
      </c>
      <c r="AI1902" s="5">
        <v>23764.9702</v>
      </c>
      <c r="AJ1902" s="5">
        <v>23764.9702</v>
      </c>
      <c r="AK1902">
        <v>22071.945500000002</v>
      </c>
      <c r="AL1902" s="5" t="str">
        <f t="shared" si="60"/>
        <v>Шалинский городской округ</v>
      </c>
    </row>
    <row r="1903" spans="1:38" ht="25.5" customHeight="1" x14ac:dyDescent="0.25">
      <c r="A1903" s="10" t="s">
        <v>1988</v>
      </c>
      <c r="B1903" s="11" t="s">
        <v>1395</v>
      </c>
      <c r="C1903" s="5">
        <v>27332.119299999998</v>
      </c>
      <c r="D1903" s="5">
        <v>27332.119299999998</v>
      </c>
      <c r="E1903" s="5">
        <v>24879.3747</v>
      </c>
      <c r="G1903" s="5" t="str">
        <f t="shared" si="59"/>
        <v>СОВХОЗ ПЕРВОУРАЛЬСКИЙ</v>
      </c>
      <c r="J1903" s="5"/>
      <c r="AF1903" t="s">
        <v>7232</v>
      </c>
      <c r="AG1903" s="24" t="s">
        <v>7134</v>
      </c>
      <c r="AH1903" s="5" t="s">
        <v>7232</v>
      </c>
      <c r="AI1903" s="5">
        <v>23764.9702</v>
      </c>
      <c r="AJ1903" s="5">
        <v>23764.9702</v>
      </c>
      <c r="AK1903">
        <v>22071.945500000002</v>
      </c>
      <c r="AL1903" s="5" t="str">
        <f t="shared" si="60"/>
        <v>Шалинский городской округ</v>
      </c>
    </row>
    <row r="1904" spans="1:38" ht="25.5" customHeight="1" x14ac:dyDescent="0.25">
      <c r="A1904" s="10" t="s">
        <v>1989</v>
      </c>
      <c r="B1904" s="11" t="s">
        <v>1395</v>
      </c>
      <c r="C1904" s="5">
        <v>27332.119299999998</v>
      </c>
      <c r="D1904" s="5">
        <v>27332.119299999998</v>
      </c>
      <c r="E1904" s="5">
        <v>24879.3747</v>
      </c>
      <c r="G1904" s="5" t="str">
        <f t="shared" si="59"/>
        <v>СОВХОЗ ПЕРВОУРАЛЬСКИЙ</v>
      </c>
      <c r="J1904" s="5"/>
      <c r="AF1904" t="s">
        <v>7232</v>
      </c>
      <c r="AG1904" s="24" t="s">
        <v>7135</v>
      </c>
      <c r="AH1904" s="5" t="s">
        <v>7232</v>
      </c>
      <c r="AI1904" s="5">
        <v>23764.9702</v>
      </c>
      <c r="AJ1904" s="5">
        <v>23764.9702</v>
      </c>
      <c r="AK1904">
        <v>22071.945500000002</v>
      </c>
      <c r="AL1904" s="5" t="str">
        <f t="shared" si="60"/>
        <v>Шалинский городской округ</v>
      </c>
    </row>
    <row r="1905" spans="1:38" ht="25.5" customHeight="1" x14ac:dyDescent="0.25">
      <c r="A1905" s="10" t="s">
        <v>1990</v>
      </c>
      <c r="B1905" s="11" t="s">
        <v>1691</v>
      </c>
      <c r="C1905" s="5">
        <v>36244.5985</v>
      </c>
      <c r="D1905" s="5">
        <v>36244.5985</v>
      </c>
      <c r="E1905" s="5">
        <v>32992.053800000002</v>
      </c>
      <c r="G1905" s="5" t="str">
        <f t="shared" si="59"/>
        <v>ДинСанПод</v>
      </c>
      <c r="J1905" s="5"/>
      <c r="AF1905" t="s">
        <v>7232</v>
      </c>
      <c r="AG1905" s="24" t="s">
        <v>7136</v>
      </c>
      <c r="AH1905" s="5" t="s">
        <v>7232</v>
      </c>
      <c r="AI1905" s="5">
        <v>23764.9702</v>
      </c>
      <c r="AJ1905" s="5">
        <v>23764.9702</v>
      </c>
      <c r="AK1905">
        <v>22071.945500000002</v>
      </c>
      <c r="AL1905" s="5" t="str">
        <f t="shared" si="60"/>
        <v>Шалинский городской округ</v>
      </c>
    </row>
    <row r="1906" spans="1:38" ht="25.5" customHeight="1" x14ac:dyDescent="0.25">
      <c r="A1906" s="20" t="s">
        <v>1991</v>
      </c>
      <c r="B1906" s="22">
        <v>1003</v>
      </c>
      <c r="C1906" s="5">
        <v>21261.0285</v>
      </c>
      <c r="D1906" s="5">
        <v>21261.0285</v>
      </c>
      <c r="E1906" s="5">
        <v>20837.465199999999</v>
      </c>
      <c r="G1906" s="5">
        <f t="shared" si="59"/>
        <v>1003</v>
      </c>
      <c r="J1906" s="5"/>
      <c r="AF1906" t="s">
        <v>7232</v>
      </c>
      <c r="AG1906" s="24" t="s">
        <v>7137</v>
      </c>
      <c r="AH1906" s="5" t="s">
        <v>7232</v>
      </c>
      <c r="AI1906" s="5">
        <v>23764.9702</v>
      </c>
      <c r="AJ1906" s="5">
        <v>23764.9702</v>
      </c>
      <c r="AK1906">
        <v>22071.945500000002</v>
      </c>
      <c r="AL1906" s="5" t="str">
        <f t="shared" si="60"/>
        <v>Шалинский городской округ</v>
      </c>
    </row>
    <row r="1907" spans="1:38" ht="25.5" customHeight="1" x14ac:dyDescent="0.25">
      <c r="A1907" s="10" t="s">
        <v>1992</v>
      </c>
      <c r="B1907" s="11" t="s">
        <v>1395</v>
      </c>
      <c r="C1907" s="5">
        <v>27332.119299999998</v>
      </c>
      <c r="D1907" s="5">
        <v>27332.119299999998</v>
      </c>
      <c r="E1907" s="5">
        <v>24879.3747</v>
      </c>
      <c r="G1907" s="5" t="str">
        <f t="shared" si="59"/>
        <v>СОВХОЗ ПЕРВОУРАЛЬСКИЙ</v>
      </c>
      <c r="J1907" s="5"/>
      <c r="AF1907" t="s">
        <v>7232</v>
      </c>
      <c r="AG1907" s="24" t="s">
        <v>7138</v>
      </c>
      <c r="AH1907" s="5" t="s">
        <v>7232</v>
      </c>
      <c r="AI1907" s="5">
        <v>23764.9702</v>
      </c>
      <c r="AJ1907" s="5">
        <v>23764.9702</v>
      </c>
      <c r="AK1907">
        <v>22071.945500000002</v>
      </c>
      <c r="AL1907" s="5" t="str">
        <f t="shared" si="60"/>
        <v>Шалинский городской округ</v>
      </c>
    </row>
    <row r="1908" spans="1:38" ht="25.5" customHeight="1" x14ac:dyDescent="0.25">
      <c r="A1908" s="10" t="s">
        <v>1993</v>
      </c>
      <c r="B1908" s="11" t="s">
        <v>1693</v>
      </c>
      <c r="C1908" s="5">
        <v>32948.938800000004</v>
      </c>
      <c r="D1908" s="5">
        <v>32948.938800000004</v>
      </c>
      <c r="E1908" s="5">
        <v>29992.139899999998</v>
      </c>
      <c r="G1908" s="5" t="str">
        <f t="shared" si="59"/>
        <v>Магнитка</v>
      </c>
      <c r="J1908" s="5"/>
      <c r="AF1908" t="s">
        <v>7232</v>
      </c>
      <c r="AG1908" s="24" t="s">
        <v>7139</v>
      </c>
      <c r="AH1908" s="5" t="s">
        <v>7232</v>
      </c>
      <c r="AI1908" s="5">
        <v>23764.9702</v>
      </c>
      <c r="AJ1908" s="5">
        <v>23764.9702</v>
      </c>
      <c r="AK1908">
        <v>22071.945500000002</v>
      </c>
      <c r="AL1908" s="5" t="str">
        <f t="shared" si="60"/>
        <v>Шалинский городской округ</v>
      </c>
    </row>
    <row r="1909" spans="1:38" ht="25.5" customHeight="1" x14ac:dyDescent="0.25">
      <c r="A1909" s="10" t="s">
        <v>1994</v>
      </c>
      <c r="B1909" s="11" t="s">
        <v>1395</v>
      </c>
      <c r="C1909" s="5">
        <v>27332.119299999998</v>
      </c>
      <c r="D1909" s="5">
        <v>27332.119299999998</v>
      </c>
      <c r="E1909" s="5">
        <v>24879.3747</v>
      </c>
      <c r="G1909" s="5" t="str">
        <f t="shared" si="59"/>
        <v>СОВХОЗ ПЕРВОУРАЛЬСКИЙ</v>
      </c>
      <c r="J1909" s="5"/>
      <c r="AF1909" t="s">
        <v>7232</v>
      </c>
      <c r="AG1909" s="24" t="s">
        <v>7140</v>
      </c>
      <c r="AH1909" s="5" t="s">
        <v>7232</v>
      </c>
      <c r="AI1909" s="5">
        <v>23764.9702</v>
      </c>
      <c r="AJ1909" s="5">
        <v>23764.9702</v>
      </c>
      <c r="AK1909">
        <v>22071.945500000002</v>
      </c>
      <c r="AL1909" s="5" t="str">
        <f t="shared" si="60"/>
        <v>Шалинский городской округ</v>
      </c>
    </row>
    <row r="1910" spans="1:38" ht="25.5" customHeight="1" x14ac:dyDescent="0.25">
      <c r="A1910" s="10" t="s">
        <v>1995</v>
      </c>
      <c r="B1910" s="11" t="s">
        <v>1395</v>
      </c>
      <c r="C1910" s="5">
        <v>27332.119299999998</v>
      </c>
      <c r="D1910" s="5">
        <v>27332.119299999998</v>
      </c>
      <c r="E1910" s="5">
        <v>24879.3747</v>
      </c>
      <c r="G1910" s="5" t="str">
        <f t="shared" si="59"/>
        <v>СОВХОЗ ПЕРВОУРАЛЬСКИЙ</v>
      </c>
      <c r="J1910" s="5"/>
      <c r="AF1910" t="s">
        <v>7232</v>
      </c>
      <c r="AG1910" s="24" t="s">
        <v>7141</v>
      </c>
      <c r="AH1910" s="5" t="s">
        <v>7232</v>
      </c>
      <c r="AI1910" s="5">
        <v>23764.9702</v>
      </c>
      <c r="AJ1910" s="5">
        <v>23764.9702</v>
      </c>
      <c r="AK1910">
        <v>22071.945500000002</v>
      </c>
      <c r="AL1910" s="5" t="str">
        <f t="shared" si="60"/>
        <v>Шалинский городской округ</v>
      </c>
    </row>
    <row r="1911" spans="1:38" ht="25.5" customHeight="1" x14ac:dyDescent="0.25">
      <c r="A1911" s="10" t="s">
        <v>1996</v>
      </c>
      <c r="B1911" s="11" t="s">
        <v>1691</v>
      </c>
      <c r="C1911" s="5">
        <v>36244.5985</v>
      </c>
      <c r="D1911" s="5">
        <v>36244.5985</v>
      </c>
      <c r="E1911" s="5">
        <v>32992.053800000002</v>
      </c>
      <c r="G1911" s="5" t="str">
        <f t="shared" si="59"/>
        <v>ДинСанПод</v>
      </c>
      <c r="J1911" s="5"/>
      <c r="AF1911" t="s">
        <v>7232</v>
      </c>
      <c r="AG1911" s="24" t="s">
        <v>7142</v>
      </c>
      <c r="AH1911" s="5" t="s">
        <v>7232</v>
      </c>
      <c r="AI1911" s="5">
        <v>23764.9702</v>
      </c>
      <c r="AJ1911" s="5">
        <v>23764.9702</v>
      </c>
      <c r="AK1911">
        <v>22071.945500000002</v>
      </c>
      <c r="AL1911" s="5" t="str">
        <f t="shared" si="60"/>
        <v>Шалинский городской округ</v>
      </c>
    </row>
    <row r="1912" spans="1:38" ht="25.5" customHeight="1" x14ac:dyDescent="0.25">
      <c r="A1912" s="10" t="s">
        <v>1997</v>
      </c>
      <c r="B1912" s="11" t="s">
        <v>1699</v>
      </c>
      <c r="C1912" s="5">
        <v>34007.852099999996</v>
      </c>
      <c r="D1912" s="5">
        <v>34007.852099999996</v>
      </c>
      <c r="E1912" s="5">
        <v>30956.028900000001</v>
      </c>
      <c r="G1912" s="5" t="str">
        <f t="shared" si="59"/>
        <v>Шайтанка</v>
      </c>
      <c r="J1912" s="5"/>
      <c r="AF1912" t="s">
        <v>7232</v>
      </c>
      <c r="AG1912" s="24" t="s">
        <v>7143</v>
      </c>
      <c r="AH1912" s="5" t="s">
        <v>7232</v>
      </c>
      <c r="AI1912" s="5">
        <v>23764.9702</v>
      </c>
      <c r="AJ1912" s="5">
        <v>23764.9702</v>
      </c>
      <c r="AK1912">
        <v>22071.945500000002</v>
      </c>
      <c r="AL1912" s="5" t="str">
        <f t="shared" si="60"/>
        <v>Шалинский городской округ</v>
      </c>
    </row>
    <row r="1913" spans="1:38" ht="25.5" customHeight="1" x14ac:dyDescent="0.25">
      <c r="A1913" s="10" t="s">
        <v>1998</v>
      </c>
      <c r="B1913" s="11" t="s">
        <v>1395</v>
      </c>
      <c r="C1913" s="5">
        <v>27332.119299999998</v>
      </c>
      <c r="D1913" s="5">
        <v>27332.119299999998</v>
      </c>
      <c r="E1913" s="5">
        <v>24879.3747</v>
      </c>
      <c r="G1913" s="5" t="str">
        <f t="shared" si="59"/>
        <v>СОВХОЗ ПЕРВОУРАЛЬСКИЙ</v>
      </c>
      <c r="J1913" s="5"/>
      <c r="AF1913" t="s">
        <v>7232</v>
      </c>
      <c r="AG1913" s="24" t="s">
        <v>7144</v>
      </c>
      <c r="AH1913" s="5" t="s">
        <v>7232</v>
      </c>
      <c r="AI1913" s="5">
        <v>23764.9702</v>
      </c>
      <c r="AJ1913" s="5">
        <v>23764.9702</v>
      </c>
      <c r="AK1913">
        <v>22071.945500000002</v>
      </c>
      <c r="AL1913" s="5" t="str">
        <f t="shared" si="60"/>
        <v>Шалинский городской округ</v>
      </c>
    </row>
    <row r="1914" spans="1:38" ht="25.5" customHeight="1" x14ac:dyDescent="0.25">
      <c r="A1914" s="10" t="s">
        <v>1999</v>
      </c>
      <c r="B1914" s="11" t="s">
        <v>1395</v>
      </c>
      <c r="C1914" s="5">
        <v>27332.119299999998</v>
      </c>
      <c r="D1914" s="5">
        <v>27332.119299999998</v>
      </c>
      <c r="E1914" s="5">
        <v>24879.3747</v>
      </c>
      <c r="G1914" s="5" t="str">
        <f t="shared" si="59"/>
        <v>СОВХОЗ ПЕРВОУРАЛЬСКИЙ</v>
      </c>
      <c r="J1914" s="5"/>
      <c r="AF1914" t="s">
        <v>7232</v>
      </c>
      <c r="AG1914" s="24" t="s">
        <v>7145</v>
      </c>
      <c r="AH1914" s="5" t="s">
        <v>7232</v>
      </c>
      <c r="AI1914" s="5">
        <v>23764.9702</v>
      </c>
      <c r="AJ1914" s="5">
        <v>23764.9702</v>
      </c>
      <c r="AK1914">
        <v>22071.945500000002</v>
      </c>
      <c r="AL1914" s="5" t="str">
        <f t="shared" si="60"/>
        <v>Шалинский городской округ</v>
      </c>
    </row>
    <row r="1915" spans="1:38" ht="25.5" customHeight="1" x14ac:dyDescent="0.25">
      <c r="A1915" s="10" t="s">
        <v>2000</v>
      </c>
      <c r="B1915" s="11" t="s">
        <v>1395</v>
      </c>
      <c r="C1915" s="5">
        <v>27332.119299999998</v>
      </c>
      <c r="D1915" s="5">
        <v>27332.119299999998</v>
      </c>
      <c r="E1915" s="5">
        <v>24879.3747</v>
      </c>
      <c r="G1915" s="5" t="str">
        <f t="shared" si="59"/>
        <v>СОВХОЗ ПЕРВОУРАЛЬСКИЙ</v>
      </c>
      <c r="J1915" s="5"/>
      <c r="AF1915" t="s">
        <v>7232</v>
      </c>
      <c r="AG1915" s="24" t="s">
        <v>7146</v>
      </c>
      <c r="AH1915" s="5" t="s">
        <v>7232</v>
      </c>
      <c r="AI1915" s="5">
        <v>23764.9702</v>
      </c>
      <c r="AJ1915" s="5">
        <v>23764.9702</v>
      </c>
      <c r="AK1915">
        <v>22071.945500000002</v>
      </c>
      <c r="AL1915" s="5" t="str">
        <f t="shared" si="60"/>
        <v>Шалинский городской округ</v>
      </c>
    </row>
    <row r="1916" spans="1:38" ht="25.5" customHeight="1" x14ac:dyDescent="0.25">
      <c r="A1916" s="10" t="s">
        <v>2001</v>
      </c>
      <c r="B1916" s="11" t="s">
        <v>1691</v>
      </c>
      <c r="C1916" s="5">
        <v>36244.5985</v>
      </c>
      <c r="D1916" s="5">
        <v>36244.5985</v>
      </c>
      <c r="E1916" s="5">
        <v>32992.053800000002</v>
      </c>
      <c r="G1916" s="5" t="str">
        <f t="shared" si="59"/>
        <v>ДинСанПод</v>
      </c>
      <c r="J1916" s="5"/>
      <c r="AF1916" t="s">
        <v>7232</v>
      </c>
      <c r="AG1916" s="24" t="s">
        <v>7147</v>
      </c>
      <c r="AH1916" s="5" t="s">
        <v>7232</v>
      </c>
      <c r="AI1916" s="5">
        <v>23764.9702</v>
      </c>
      <c r="AJ1916" s="5">
        <v>23764.9702</v>
      </c>
      <c r="AK1916">
        <v>22071.945500000002</v>
      </c>
      <c r="AL1916" s="5" t="str">
        <f t="shared" si="60"/>
        <v>Шалинский городской округ</v>
      </c>
    </row>
    <row r="1917" spans="1:38" ht="25.5" customHeight="1" x14ac:dyDescent="0.25">
      <c r="A1917" s="10" t="s">
        <v>2002</v>
      </c>
      <c r="B1917" s="11" t="s">
        <v>1691</v>
      </c>
      <c r="C1917" s="5">
        <v>36244.5985</v>
      </c>
      <c r="D1917" s="5">
        <v>36244.5985</v>
      </c>
      <c r="E1917" s="5">
        <v>32992.053800000002</v>
      </c>
      <c r="G1917" s="5" t="str">
        <f t="shared" si="59"/>
        <v>ДинСанПод</v>
      </c>
      <c r="J1917" s="5"/>
      <c r="AF1917" t="s">
        <v>7232</v>
      </c>
      <c r="AG1917" s="24" t="s">
        <v>7148</v>
      </c>
      <c r="AH1917" s="5" t="s">
        <v>7232</v>
      </c>
      <c r="AI1917" s="5">
        <v>24360.240000000002</v>
      </c>
      <c r="AJ1917" s="5">
        <v>24360.240000000002</v>
      </c>
      <c r="AK1917">
        <v>22624.802100000001</v>
      </c>
      <c r="AL1917" s="5" t="str">
        <f t="shared" si="60"/>
        <v>Шалинский городской округ</v>
      </c>
    </row>
    <row r="1918" spans="1:38" ht="25.5" customHeight="1" x14ac:dyDescent="0.25">
      <c r="A1918" s="10" t="s">
        <v>2003</v>
      </c>
      <c r="B1918" s="11" t="s">
        <v>1395</v>
      </c>
      <c r="C1918" s="5">
        <v>27332.119299999998</v>
      </c>
      <c r="D1918" s="5">
        <v>27332.119299999998</v>
      </c>
      <c r="E1918" s="5">
        <v>24879.3747</v>
      </c>
      <c r="G1918" s="5" t="str">
        <f t="shared" si="59"/>
        <v>СОВХОЗ ПЕРВОУРАЛЬСКИЙ</v>
      </c>
      <c r="J1918" s="5"/>
      <c r="AF1918" t="s">
        <v>7232</v>
      </c>
      <c r="AG1918" s="24" t="s">
        <v>7149</v>
      </c>
      <c r="AH1918" s="5" t="s">
        <v>7232</v>
      </c>
      <c r="AI1918" s="5">
        <v>23764.9702</v>
      </c>
      <c r="AJ1918" s="5">
        <v>23764.9702</v>
      </c>
      <c r="AK1918">
        <v>22071.945500000002</v>
      </c>
      <c r="AL1918" s="5" t="str">
        <f t="shared" si="60"/>
        <v>Шалинский городской округ</v>
      </c>
    </row>
    <row r="1919" spans="1:38" ht="25.5" customHeight="1" x14ac:dyDescent="0.25">
      <c r="A1919" s="10" t="s">
        <v>2004</v>
      </c>
      <c r="B1919" s="11" t="s">
        <v>1395</v>
      </c>
      <c r="C1919" s="5">
        <v>27332.119299999998</v>
      </c>
      <c r="D1919" s="5">
        <v>27332.119299999998</v>
      </c>
      <c r="E1919" s="5">
        <v>24879.3747</v>
      </c>
      <c r="G1919" s="5" t="str">
        <f t="shared" si="59"/>
        <v>СОВХОЗ ПЕРВОУРАЛЬСКИЙ</v>
      </c>
      <c r="J1919" s="5"/>
      <c r="AF1919" t="s">
        <v>7232</v>
      </c>
      <c r="AG1919" s="24" t="s">
        <v>7150</v>
      </c>
      <c r="AH1919" s="5" t="s">
        <v>7232</v>
      </c>
      <c r="AI1919" s="5">
        <v>23764.9702</v>
      </c>
      <c r="AJ1919" s="5">
        <v>23764.9702</v>
      </c>
      <c r="AK1919">
        <v>22071.945500000002</v>
      </c>
      <c r="AL1919" s="5" t="str">
        <f t="shared" si="60"/>
        <v>Шалинский городской округ</v>
      </c>
    </row>
    <row r="1920" spans="1:38" ht="25.5" customHeight="1" x14ac:dyDescent="0.25">
      <c r="A1920" s="10" t="s">
        <v>2005</v>
      </c>
      <c r="B1920" s="11" t="s">
        <v>1395</v>
      </c>
      <c r="C1920" s="5">
        <v>27332.119299999998</v>
      </c>
      <c r="D1920" s="5">
        <v>27332.119299999998</v>
      </c>
      <c r="E1920" s="5">
        <v>24879.3747</v>
      </c>
      <c r="G1920" s="5" t="str">
        <f t="shared" si="59"/>
        <v>СОВХОЗ ПЕРВОУРАЛЬСКИЙ</v>
      </c>
      <c r="J1920" s="5"/>
      <c r="AF1920" t="s">
        <v>7232</v>
      </c>
      <c r="AG1920" s="24" t="s">
        <v>7151</v>
      </c>
      <c r="AH1920" s="5" t="s">
        <v>7232</v>
      </c>
      <c r="AI1920" s="5">
        <v>24360.240000000002</v>
      </c>
      <c r="AJ1920" s="5">
        <v>24360.240000000002</v>
      </c>
      <c r="AK1920">
        <v>22624.802100000001</v>
      </c>
      <c r="AL1920" s="5" t="str">
        <f t="shared" si="60"/>
        <v>Шалинский городской округ</v>
      </c>
    </row>
    <row r="1921" spans="1:38" ht="25.5" customHeight="1" x14ac:dyDescent="0.25">
      <c r="A1921" s="10" t="s">
        <v>2006</v>
      </c>
      <c r="B1921" s="11" t="s">
        <v>1687</v>
      </c>
      <c r="C1921" s="5">
        <v>30591.135900000001</v>
      </c>
      <c r="D1921" s="5">
        <v>30591.135900000001</v>
      </c>
      <c r="E1921" s="5">
        <v>26853.405500000001</v>
      </c>
      <c r="G1921" s="5" t="str">
        <f t="shared" si="59"/>
        <v>Рудник_Север</v>
      </c>
      <c r="J1921" s="5"/>
      <c r="AF1921" t="s">
        <v>7232</v>
      </c>
      <c r="AG1921" s="24" t="s">
        <v>7152</v>
      </c>
      <c r="AH1921" s="5" t="s">
        <v>7232</v>
      </c>
      <c r="AI1921" s="5">
        <v>23764.9702</v>
      </c>
      <c r="AJ1921" s="5">
        <v>23764.9702</v>
      </c>
      <c r="AK1921">
        <v>22071.945500000002</v>
      </c>
      <c r="AL1921" s="5" t="str">
        <f t="shared" si="60"/>
        <v>Шалинский городской округ</v>
      </c>
    </row>
    <row r="1922" spans="1:38" ht="25.5" customHeight="1" x14ac:dyDescent="0.25">
      <c r="A1922" s="10" t="s">
        <v>2007</v>
      </c>
      <c r="B1922" s="11" t="s">
        <v>1691</v>
      </c>
      <c r="C1922" s="5">
        <v>36244.5985</v>
      </c>
      <c r="D1922" s="5">
        <v>36244.5985</v>
      </c>
      <c r="E1922" s="5">
        <v>32992.053800000002</v>
      </c>
      <c r="G1922" s="5" t="str">
        <f t="shared" si="59"/>
        <v>ДинСанПод</v>
      </c>
      <c r="J1922" s="5"/>
      <c r="AF1922" t="s">
        <v>7232</v>
      </c>
      <c r="AG1922" s="24" t="s">
        <v>7153</v>
      </c>
      <c r="AH1922" s="5" t="s">
        <v>7232</v>
      </c>
      <c r="AI1922" s="5">
        <v>23764.9702</v>
      </c>
      <c r="AJ1922" s="5">
        <v>23764.9702</v>
      </c>
      <c r="AK1922">
        <v>22071.945500000002</v>
      </c>
      <c r="AL1922" s="5" t="str">
        <f t="shared" si="60"/>
        <v>Шалинский городской округ</v>
      </c>
    </row>
    <row r="1923" spans="1:38" ht="25.5" customHeight="1" x14ac:dyDescent="0.25">
      <c r="A1923" s="10" t="s">
        <v>2008</v>
      </c>
      <c r="B1923" s="11" t="s">
        <v>1683</v>
      </c>
      <c r="C1923" s="5">
        <v>40018.9617</v>
      </c>
      <c r="D1923" s="5">
        <v>40018.9617</v>
      </c>
      <c r="E1923" s="5">
        <v>35129.2961</v>
      </c>
      <c r="G1923" s="5" t="str">
        <f t="shared" si="59"/>
        <v>Алт_Гальян_М-Кушва</v>
      </c>
      <c r="J1923" s="5"/>
      <c r="AF1923" t="s">
        <v>7232</v>
      </c>
      <c r="AG1923" s="24" t="s">
        <v>7154</v>
      </c>
      <c r="AH1923" s="5" t="s">
        <v>7232</v>
      </c>
      <c r="AI1923" s="5">
        <v>23764.9702</v>
      </c>
      <c r="AJ1923" s="5">
        <v>23764.9702</v>
      </c>
      <c r="AK1923">
        <v>22071.945500000002</v>
      </c>
      <c r="AL1923" s="5" t="str">
        <f t="shared" si="60"/>
        <v>Шалинский городской округ</v>
      </c>
    </row>
    <row r="1924" spans="1:38" x14ac:dyDescent="0.25">
      <c r="A1924" s="10" t="s">
        <v>2009</v>
      </c>
      <c r="B1924" s="11" t="s">
        <v>1681</v>
      </c>
      <c r="C1924" s="5">
        <v>32172.2909</v>
      </c>
      <c r="D1924" s="5">
        <v>32172.2909</v>
      </c>
      <c r="E1924" s="5">
        <v>28935.146499999999</v>
      </c>
      <c r="G1924" s="5" t="str">
        <f t="shared" ref="G1924:G1987" si="61">B1924</f>
        <v>Ленин-Олимп</v>
      </c>
      <c r="J1924" s="5"/>
      <c r="AF1924" t="s">
        <v>7232</v>
      </c>
      <c r="AG1924" s="24" t="s">
        <v>7155</v>
      </c>
      <c r="AH1924" s="5" t="s">
        <v>7232</v>
      </c>
      <c r="AI1924" s="5">
        <v>29362.167600000001</v>
      </c>
      <c r="AJ1924" s="5">
        <v>29362.167600000001</v>
      </c>
      <c r="AK1924">
        <v>27270.393700000001</v>
      </c>
      <c r="AL1924" s="5" t="str">
        <f t="shared" ref="AL1924:AL1987" si="62">AF1924</f>
        <v>Шалинский городской округ</v>
      </c>
    </row>
    <row r="1925" spans="1:38" ht="25.5" customHeight="1" x14ac:dyDescent="0.25">
      <c r="A1925" s="10" t="s">
        <v>1318</v>
      </c>
      <c r="B1925" s="11" t="s">
        <v>1689</v>
      </c>
      <c r="C1925" s="5">
        <v>34023.428</v>
      </c>
      <c r="D1925" s="5">
        <v>34023.428</v>
      </c>
      <c r="E1925" s="5">
        <v>29866.3148</v>
      </c>
      <c r="G1925" s="5" t="str">
        <f t="shared" si="61"/>
        <v>Тагил_Кирп</v>
      </c>
      <c r="J1925" s="5"/>
      <c r="AF1925" t="s">
        <v>7232</v>
      </c>
      <c r="AG1925" s="24" t="s">
        <v>7156</v>
      </c>
      <c r="AH1925" s="5" t="s">
        <v>7232</v>
      </c>
      <c r="AI1925" s="5">
        <v>24360.240000000002</v>
      </c>
      <c r="AJ1925" s="5">
        <v>24360.240000000002</v>
      </c>
      <c r="AK1925">
        <v>22624.802100000001</v>
      </c>
      <c r="AL1925" s="5" t="str">
        <f t="shared" si="62"/>
        <v>Шалинский городской округ</v>
      </c>
    </row>
    <row r="1926" spans="1:38" ht="25.5" customHeight="1" x14ac:dyDescent="0.25">
      <c r="A1926" s="10" t="s">
        <v>2010</v>
      </c>
      <c r="B1926" s="11" t="s">
        <v>1679</v>
      </c>
      <c r="C1926" s="5">
        <v>28855.326499999999</v>
      </c>
      <c r="D1926" s="5">
        <v>28855.326499999999</v>
      </c>
      <c r="E1926" s="5">
        <v>25951.933700000001</v>
      </c>
      <c r="G1926" s="5" t="str">
        <f t="shared" si="61"/>
        <v>Ст.Каменск-Хозспособ</v>
      </c>
      <c r="J1926" s="5"/>
      <c r="AF1926" t="s">
        <v>7232</v>
      </c>
      <c r="AG1926" s="24" t="s">
        <v>7157</v>
      </c>
      <c r="AH1926" s="5" t="s">
        <v>7232</v>
      </c>
      <c r="AI1926" s="5">
        <v>23764.9702</v>
      </c>
      <c r="AJ1926" s="5">
        <v>23764.9702</v>
      </c>
      <c r="AK1926">
        <v>22071.945500000002</v>
      </c>
      <c r="AL1926" s="5" t="str">
        <f t="shared" si="62"/>
        <v>Шалинский городской округ</v>
      </c>
    </row>
    <row r="1927" spans="1:38" ht="25.5" customHeight="1" x14ac:dyDescent="0.25">
      <c r="A1927" s="10" t="s">
        <v>2011</v>
      </c>
      <c r="B1927" s="11" t="s">
        <v>1688</v>
      </c>
      <c r="C1927" s="5">
        <v>29893.73</v>
      </c>
      <c r="D1927" s="5">
        <v>29893.73</v>
      </c>
      <c r="E1927" s="5">
        <v>26241.207699999999</v>
      </c>
      <c r="G1927" s="5" t="str">
        <f t="shared" si="61"/>
        <v>Сух_Г-Кам_Н_Кушва_Н-Черм</v>
      </c>
      <c r="J1927" s="5"/>
      <c r="AF1927" t="s">
        <v>7232</v>
      </c>
      <c r="AG1927" s="24" t="s">
        <v>7158</v>
      </c>
      <c r="AH1927" s="5" t="s">
        <v>7232</v>
      </c>
      <c r="AI1927" s="5">
        <v>23764.9702</v>
      </c>
      <c r="AJ1927" s="5">
        <v>23764.9702</v>
      </c>
      <c r="AK1927">
        <v>22071.945500000002</v>
      </c>
      <c r="AL1927" s="5" t="str">
        <f t="shared" si="62"/>
        <v>Шалинский городской округ</v>
      </c>
    </row>
    <row r="1928" spans="1:38" ht="25.5" customHeight="1" x14ac:dyDescent="0.25">
      <c r="A1928" s="10" t="s">
        <v>2012</v>
      </c>
      <c r="B1928" s="11" t="s">
        <v>1674</v>
      </c>
      <c r="C1928" s="5">
        <v>29199.565200000001</v>
      </c>
      <c r="D1928" s="5">
        <v>29199.565200000001</v>
      </c>
      <c r="E1928" s="5">
        <v>26261.5317</v>
      </c>
      <c r="G1928" s="5" t="str">
        <f t="shared" si="61"/>
        <v>УАЗ</v>
      </c>
      <c r="J1928" s="5"/>
      <c r="AF1928" t="s">
        <v>7232</v>
      </c>
      <c r="AG1928" s="24" t="s">
        <v>7159</v>
      </c>
      <c r="AH1928" s="5" t="s">
        <v>7232</v>
      </c>
      <c r="AI1928" s="5">
        <v>23764.9702</v>
      </c>
      <c r="AJ1928" s="5">
        <v>23764.9702</v>
      </c>
      <c r="AK1928">
        <v>22071.945500000002</v>
      </c>
      <c r="AL1928" s="5" t="str">
        <f t="shared" si="62"/>
        <v>Шалинский городской округ</v>
      </c>
    </row>
    <row r="1929" spans="1:38" ht="25.5" customHeight="1" x14ac:dyDescent="0.25">
      <c r="A1929" s="10" t="s">
        <v>2013</v>
      </c>
      <c r="B1929" s="11" t="s">
        <v>1695</v>
      </c>
      <c r="C1929" s="5">
        <v>40100.412600000003</v>
      </c>
      <c r="D1929" s="5">
        <v>40100.412600000003</v>
      </c>
      <c r="E1929" s="5">
        <v>36501.853799999997</v>
      </c>
      <c r="G1929" s="5" t="str">
        <f t="shared" si="61"/>
        <v>Соцгород</v>
      </c>
      <c r="J1929" s="5"/>
      <c r="AL1929" s="5">
        <f t="shared" si="62"/>
        <v>0</v>
      </c>
    </row>
    <row r="1930" spans="1:38" ht="25.5" customHeight="1" x14ac:dyDescent="0.25">
      <c r="A1930" s="10" t="s">
        <v>2014</v>
      </c>
      <c r="B1930" s="11" t="s">
        <v>1699</v>
      </c>
      <c r="C1930" s="5">
        <v>34007.852099999996</v>
      </c>
      <c r="D1930" s="5">
        <v>34007.852099999996</v>
      </c>
      <c r="E1930" s="5">
        <v>30956.028900000001</v>
      </c>
      <c r="G1930" s="5" t="str">
        <f t="shared" si="61"/>
        <v>Шайтанка</v>
      </c>
      <c r="J1930" s="5"/>
      <c r="AL1930" s="5">
        <f t="shared" si="62"/>
        <v>0</v>
      </c>
    </row>
    <row r="1931" spans="1:38" ht="25.5" customHeight="1" x14ac:dyDescent="0.25">
      <c r="A1931" s="10" t="s">
        <v>270</v>
      </c>
      <c r="B1931" s="11" t="s">
        <v>5230</v>
      </c>
      <c r="C1931" s="5">
        <v>45477.761700000003</v>
      </c>
      <c r="D1931" s="5">
        <v>45477.761700000003</v>
      </c>
      <c r="E1931" s="5">
        <v>39921.119500000001</v>
      </c>
      <c r="G1931" s="5" t="str">
        <f t="shared" si="61"/>
        <v>Центр-Тагил</v>
      </c>
      <c r="J1931" s="5"/>
      <c r="AL1931" s="5">
        <f t="shared" si="62"/>
        <v>0</v>
      </c>
    </row>
    <row r="1932" spans="1:38" ht="25.5" customHeight="1" x14ac:dyDescent="0.25">
      <c r="A1932" s="10" t="s">
        <v>2015</v>
      </c>
      <c r="B1932" s="11" t="s">
        <v>1677</v>
      </c>
      <c r="C1932" s="5">
        <v>39105.413099999998</v>
      </c>
      <c r="D1932" s="5">
        <v>39105.413099999998</v>
      </c>
      <c r="E1932" s="5">
        <v>35170.666700000002</v>
      </c>
      <c r="G1932" s="5" t="str">
        <f t="shared" si="61"/>
        <v>Октябрьский</v>
      </c>
      <c r="J1932" s="5"/>
      <c r="AL1932" s="5">
        <f t="shared" si="62"/>
        <v>0</v>
      </c>
    </row>
    <row r="1933" spans="1:38" ht="25.5" customHeight="1" x14ac:dyDescent="0.25">
      <c r="A1933" s="10" t="s">
        <v>2016</v>
      </c>
      <c r="B1933" s="11" t="s">
        <v>1679</v>
      </c>
      <c r="C1933" s="5">
        <v>28855.326499999999</v>
      </c>
      <c r="D1933" s="5">
        <v>28855.326499999999</v>
      </c>
      <c r="E1933" s="5">
        <v>25951.933700000001</v>
      </c>
      <c r="G1933" s="5" t="str">
        <f t="shared" si="61"/>
        <v>Ст.Каменск-Хозспособ</v>
      </c>
      <c r="J1933" s="5"/>
      <c r="AL1933" s="5">
        <f t="shared" si="62"/>
        <v>0</v>
      </c>
    </row>
    <row r="1934" spans="1:38" ht="25.5" customHeight="1" x14ac:dyDescent="0.25">
      <c r="A1934" s="10" t="s">
        <v>1488</v>
      </c>
      <c r="B1934" s="11" t="s">
        <v>1687</v>
      </c>
      <c r="C1934" s="5">
        <v>30591.135900000001</v>
      </c>
      <c r="D1934" s="5">
        <v>30591.135900000001</v>
      </c>
      <c r="E1934" s="5">
        <v>26853.405500000001</v>
      </c>
      <c r="G1934" s="5" t="str">
        <f t="shared" si="61"/>
        <v>Рудник_Север</v>
      </c>
      <c r="J1934" s="5"/>
      <c r="AL1934" s="5">
        <f t="shared" si="62"/>
        <v>0</v>
      </c>
    </row>
    <row r="1935" spans="1:38" ht="25.5" customHeight="1" x14ac:dyDescent="0.25">
      <c r="A1935" s="10" t="s">
        <v>2017</v>
      </c>
      <c r="B1935" s="11" t="s">
        <v>1699</v>
      </c>
      <c r="C1935" s="5">
        <v>34007.852099999996</v>
      </c>
      <c r="D1935" s="5">
        <v>34007.852099999996</v>
      </c>
      <c r="E1935" s="5">
        <v>30956.028900000001</v>
      </c>
      <c r="G1935" s="5" t="str">
        <f t="shared" si="61"/>
        <v>Шайтанка</v>
      </c>
      <c r="J1935" s="5"/>
      <c r="AL1935" s="5">
        <f t="shared" si="62"/>
        <v>0</v>
      </c>
    </row>
    <row r="1936" spans="1:38" ht="25.5" customHeight="1" x14ac:dyDescent="0.25">
      <c r="A1936" s="10" t="s">
        <v>2018</v>
      </c>
      <c r="B1936" s="11" t="s">
        <v>1681</v>
      </c>
      <c r="C1936" s="5">
        <v>32172.2909</v>
      </c>
      <c r="D1936" s="5">
        <v>32172.2909</v>
      </c>
      <c r="E1936" s="5">
        <v>28935.146499999999</v>
      </c>
      <c r="G1936" s="5" t="str">
        <f t="shared" si="61"/>
        <v>Ленин-Олимп</v>
      </c>
      <c r="J1936" s="5"/>
      <c r="AL1936" s="5">
        <f t="shared" si="62"/>
        <v>0</v>
      </c>
    </row>
    <row r="1937" spans="1:38" ht="25.5" customHeight="1" x14ac:dyDescent="0.25">
      <c r="A1937" s="10" t="s">
        <v>2019</v>
      </c>
      <c r="B1937" s="11" t="s">
        <v>1691</v>
      </c>
      <c r="C1937" s="5">
        <v>36244.5985</v>
      </c>
      <c r="D1937" s="5">
        <v>36244.5985</v>
      </c>
      <c r="E1937" s="5">
        <v>32992.053800000002</v>
      </c>
      <c r="G1937" s="5" t="str">
        <f t="shared" si="61"/>
        <v>ДинСанПод</v>
      </c>
      <c r="J1937" s="5"/>
      <c r="AL1937" s="5">
        <f t="shared" si="62"/>
        <v>0</v>
      </c>
    </row>
    <row r="1938" spans="1:38" ht="25.5" customHeight="1" x14ac:dyDescent="0.25">
      <c r="A1938" s="10" t="s">
        <v>68</v>
      </c>
      <c r="B1938" s="11" t="s">
        <v>1691</v>
      </c>
      <c r="C1938" s="5">
        <v>36244.5985</v>
      </c>
      <c r="D1938" s="5">
        <v>36244.5985</v>
      </c>
      <c r="E1938" s="5">
        <v>32992.053800000002</v>
      </c>
      <c r="G1938" s="5" t="str">
        <f t="shared" si="61"/>
        <v>ДинСанПод</v>
      </c>
      <c r="J1938" s="5"/>
      <c r="AL1938" s="5">
        <f t="shared" si="62"/>
        <v>0</v>
      </c>
    </row>
    <row r="1939" spans="1:38" x14ac:dyDescent="0.25">
      <c r="A1939" s="10" t="s">
        <v>2020</v>
      </c>
      <c r="B1939" s="11" t="s">
        <v>1674</v>
      </c>
      <c r="C1939" s="5">
        <v>29199.565200000001</v>
      </c>
      <c r="D1939" s="5">
        <v>29199.565200000001</v>
      </c>
      <c r="E1939" s="5">
        <v>26261.5317</v>
      </c>
      <c r="G1939" s="5" t="str">
        <f t="shared" si="61"/>
        <v>УАЗ</v>
      </c>
      <c r="J1939" s="5"/>
      <c r="AL1939" s="5">
        <f t="shared" si="62"/>
        <v>0</v>
      </c>
    </row>
    <row r="1940" spans="1:38" ht="25.5" customHeight="1" x14ac:dyDescent="0.25">
      <c r="A1940" s="10" t="s">
        <v>2021</v>
      </c>
      <c r="B1940" s="11" t="s">
        <v>1681</v>
      </c>
      <c r="C1940" s="5">
        <v>32172.2909</v>
      </c>
      <c r="D1940" s="5">
        <v>32172.2909</v>
      </c>
      <c r="E1940" s="5">
        <v>28935.146499999999</v>
      </c>
      <c r="G1940" s="5" t="str">
        <f t="shared" si="61"/>
        <v>Ленин-Олимп</v>
      </c>
      <c r="J1940" s="5"/>
      <c r="AL1940" s="5">
        <f t="shared" si="62"/>
        <v>0</v>
      </c>
    </row>
    <row r="1941" spans="1:38" ht="25.5" customHeight="1" x14ac:dyDescent="0.25">
      <c r="A1941" s="10" t="s">
        <v>484</v>
      </c>
      <c r="B1941" s="11" t="s">
        <v>1688</v>
      </c>
      <c r="C1941" s="5">
        <v>29893.73</v>
      </c>
      <c r="D1941" s="5">
        <v>29893.73</v>
      </c>
      <c r="E1941" s="5">
        <v>26241.207699999999</v>
      </c>
      <c r="G1941" s="5" t="str">
        <f t="shared" si="61"/>
        <v>Сух_Г-Кам_Н_Кушва_Н-Черм</v>
      </c>
      <c r="J1941" s="5"/>
      <c r="AL1941" s="5">
        <f t="shared" si="62"/>
        <v>0</v>
      </c>
    </row>
    <row r="1942" spans="1:38" ht="25.5" customHeight="1" x14ac:dyDescent="0.25">
      <c r="A1942" s="10" t="s">
        <v>2022</v>
      </c>
      <c r="B1942" s="11" t="s">
        <v>1691</v>
      </c>
      <c r="C1942" s="5">
        <v>36244.5985</v>
      </c>
      <c r="D1942" s="5">
        <v>36244.5985</v>
      </c>
      <c r="E1942" s="5">
        <v>32992.053800000002</v>
      </c>
      <c r="G1942" s="5" t="str">
        <f t="shared" si="61"/>
        <v>ДинСанПод</v>
      </c>
      <c r="J1942" s="5"/>
      <c r="AL1942" s="5">
        <f t="shared" si="62"/>
        <v>0</v>
      </c>
    </row>
    <row r="1943" spans="1:38" ht="25.5" customHeight="1" x14ac:dyDescent="0.25">
      <c r="A1943" s="10" t="s">
        <v>2023</v>
      </c>
      <c r="B1943" s="11" t="s">
        <v>1681</v>
      </c>
      <c r="C1943" s="5">
        <v>32172.2909</v>
      </c>
      <c r="D1943" s="5">
        <v>32172.2909</v>
      </c>
      <c r="E1943" s="5">
        <v>28935.146499999999</v>
      </c>
      <c r="G1943" s="5" t="str">
        <f t="shared" si="61"/>
        <v>Ленин-Олимп</v>
      </c>
      <c r="J1943" s="5"/>
      <c r="AL1943" s="5">
        <f t="shared" si="62"/>
        <v>0</v>
      </c>
    </row>
    <row r="1944" spans="1:38" ht="25.5" customHeight="1" x14ac:dyDescent="0.25">
      <c r="A1944" s="10" t="s">
        <v>1057</v>
      </c>
      <c r="B1944" s="11" t="s">
        <v>7242</v>
      </c>
      <c r="C1944" s="5">
        <v>27104.663700000001</v>
      </c>
      <c r="D1944" s="5">
        <v>27104.663700000001</v>
      </c>
      <c r="E1944" s="5">
        <v>26564.688900000001</v>
      </c>
      <c r="G1944" s="5" t="str">
        <f t="shared" si="61"/>
        <v>КК возле Первоуральска которые должны считаться как область</v>
      </c>
      <c r="J1944" s="5"/>
      <c r="AL1944" s="5">
        <f t="shared" si="62"/>
        <v>0</v>
      </c>
    </row>
    <row r="1945" spans="1:38" ht="25.5" customHeight="1" x14ac:dyDescent="0.25">
      <c r="A1945" s="10" t="s">
        <v>2024</v>
      </c>
      <c r="B1945" s="11" t="s">
        <v>1679</v>
      </c>
      <c r="C1945" s="5">
        <v>28855.326499999999</v>
      </c>
      <c r="D1945" s="5">
        <v>28855.326499999999</v>
      </c>
      <c r="E1945" s="5">
        <v>25951.933700000001</v>
      </c>
      <c r="G1945" s="5" t="str">
        <f t="shared" si="61"/>
        <v>Ст.Каменск-Хозспособ</v>
      </c>
      <c r="J1945" s="5"/>
      <c r="AL1945" s="5">
        <f t="shared" si="62"/>
        <v>0</v>
      </c>
    </row>
    <row r="1946" spans="1:38" ht="25.5" customHeight="1" x14ac:dyDescent="0.25">
      <c r="A1946" s="10" t="s">
        <v>2025</v>
      </c>
      <c r="B1946" s="11" t="s">
        <v>1691</v>
      </c>
      <c r="C1946" s="5">
        <v>36244.5985</v>
      </c>
      <c r="D1946" s="5">
        <v>36244.5985</v>
      </c>
      <c r="E1946" s="5">
        <v>32992.053800000002</v>
      </c>
      <c r="G1946" s="5" t="str">
        <f t="shared" si="61"/>
        <v>ДинСанПод</v>
      </c>
      <c r="J1946" s="5"/>
      <c r="AL1946" s="5">
        <f t="shared" si="62"/>
        <v>0</v>
      </c>
    </row>
    <row r="1947" spans="1:38" ht="25.5" customHeight="1" x14ac:dyDescent="0.25">
      <c r="A1947" s="10" t="s">
        <v>158</v>
      </c>
      <c r="B1947" s="11" t="s">
        <v>1685</v>
      </c>
      <c r="C1947" s="5">
        <v>36513.6518</v>
      </c>
      <c r="D1947" s="5">
        <v>36513.6518</v>
      </c>
      <c r="E1947" s="5">
        <v>32052.276999999998</v>
      </c>
      <c r="G1947" s="5" t="str">
        <f t="shared" si="61"/>
        <v>Выя_Леб_Горб_Кр-Кам</v>
      </c>
      <c r="J1947" s="5"/>
      <c r="AL1947" s="5">
        <f t="shared" si="62"/>
        <v>0</v>
      </c>
    </row>
    <row r="1948" spans="1:38" ht="25.5" customHeight="1" x14ac:dyDescent="0.25">
      <c r="A1948" s="10" t="s">
        <v>1489</v>
      </c>
      <c r="B1948" s="11" t="s">
        <v>7242</v>
      </c>
      <c r="C1948" s="5">
        <v>27104.663700000001</v>
      </c>
      <c r="D1948" s="5">
        <v>27104.663700000001</v>
      </c>
      <c r="E1948" s="5">
        <v>26564.688900000001</v>
      </c>
      <c r="G1948" s="5" t="str">
        <f t="shared" si="61"/>
        <v>КК возле Первоуральска которые должны считаться как область</v>
      </c>
      <c r="J1948" s="5"/>
      <c r="AL1948" s="5">
        <f t="shared" si="62"/>
        <v>0</v>
      </c>
    </row>
    <row r="1949" spans="1:38" ht="25.5" customHeight="1" x14ac:dyDescent="0.25">
      <c r="A1949" s="10" t="s">
        <v>2026</v>
      </c>
      <c r="B1949" s="11" t="s">
        <v>1699</v>
      </c>
      <c r="C1949" s="5">
        <v>34007.852099999996</v>
      </c>
      <c r="D1949" s="5">
        <v>34007.852099999996</v>
      </c>
      <c r="E1949" s="5">
        <v>30956.028900000001</v>
      </c>
      <c r="G1949" s="5" t="str">
        <f t="shared" si="61"/>
        <v>Шайтанка</v>
      </c>
      <c r="J1949" s="5"/>
      <c r="AL1949" s="5">
        <f t="shared" si="62"/>
        <v>0</v>
      </c>
    </row>
    <row r="1950" spans="1:38" ht="25.5" customHeight="1" x14ac:dyDescent="0.25">
      <c r="A1950" s="10" t="s">
        <v>2027</v>
      </c>
      <c r="B1950" s="11" t="s">
        <v>1691</v>
      </c>
      <c r="C1950" s="5">
        <v>36244.5985</v>
      </c>
      <c r="D1950" s="5">
        <v>36244.5985</v>
      </c>
      <c r="E1950" s="5">
        <v>32992.053800000002</v>
      </c>
      <c r="G1950" s="5" t="str">
        <f t="shared" si="61"/>
        <v>ДинСанПод</v>
      </c>
      <c r="J1950" s="5"/>
      <c r="AL1950" s="5">
        <f t="shared" si="62"/>
        <v>0</v>
      </c>
    </row>
    <row r="1951" spans="1:38" ht="25.5" customHeight="1" x14ac:dyDescent="0.25">
      <c r="A1951" s="10" t="s">
        <v>2028</v>
      </c>
      <c r="B1951" s="11" t="s">
        <v>1679</v>
      </c>
      <c r="C1951" s="5">
        <v>28855.326499999999</v>
      </c>
      <c r="D1951" s="5">
        <v>28855.326499999999</v>
      </c>
      <c r="E1951" s="5">
        <v>25951.933700000001</v>
      </c>
      <c r="G1951" s="5" t="str">
        <f t="shared" si="61"/>
        <v>Ст.Каменск-Хозспособ</v>
      </c>
      <c r="J1951" s="5"/>
      <c r="AL1951" s="5">
        <f t="shared" si="62"/>
        <v>0</v>
      </c>
    </row>
    <row r="1952" spans="1:38" ht="25.5" customHeight="1" x14ac:dyDescent="0.25">
      <c r="A1952" s="10" t="s">
        <v>2029</v>
      </c>
      <c r="B1952" s="11" t="s">
        <v>1695</v>
      </c>
      <c r="C1952" s="5">
        <v>40100.412600000003</v>
      </c>
      <c r="D1952" s="5">
        <v>40100.412600000003</v>
      </c>
      <c r="E1952" s="5">
        <v>36501.853799999997</v>
      </c>
      <c r="G1952" s="5" t="str">
        <f t="shared" si="61"/>
        <v>Соцгород</v>
      </c>
      <c r="J1952" s="5"/>
      <c r="AL1952" s="5">
        <f t="shared" si="62"/>
        <v>0</v>
      </c>
    </row>
    <row r="1953" spans="1:38" ht="25.5" customHeight="1" x14ac:dyDescent="0.25">
      <c r="A1953" s="10" t="s">
        <v>2030</v>
      </c>
      <c r="B1953" s="11" t="s">
        <v>1686</v>
      </c>
      <c r="C1953" s="5">
        <v>24299.835599999999</v>
      </c>
      <c r="D1953" s="5">
        <v>24299.835599999999</v>
      </c>
      <c r="E1953" s="5">
        <v>21330.794900000001</v>
      </c>
      <c r="G1953" s="5" t="str">
        <f t="shared" si="61"/>
        <v>Евст_В-Черм</v>
      </c>
      <c r="J1953" s="5"/>
      <c r="AL1953" s="5">
        <f t="shared" si="62"/>
        <v>0</v>
      </c>
    </row>
    <row r="1954" spans="1:38" ht="25.5" customHeight="1" x14ac:dyDescent="0.25">
      <c r="A1954" s="10" t="s">
        <v>1095</v>
      </c>
      <c r="B1954" s="11" t="s">
        <v>1675</v>
      </c>
      <c r="C1954" s="5">
        <v>35756.285400000001</v>
      </c>
      <c r="D1954" s="5">
        <v>35756.285400000001</v>
      </c>
      <c r="E1954" s="5">
        <v>32158.5213</v>
      </c>
      <c r="G1954" s="5" t="str">
        <f t="shared" si="61"/>
        <v>УАЗ-II</v>
      </c>
      <c r="J1954" s="5"/>
      <c r="AL1954" s="5">
        <f t="shared" si="62"/>
        <v>0</v>
      </c>
    </row>
    <row r="1955" spans="1:38" ht="25.5" customHeight="1" x14ac:dyDescent="0.25">
      <c r="A1955" s="10" t="s">
        <v>2031</v>
      </c>
      <c r="B1955" s="11" t="s">
        <v>1673</v>
      </c>
      <c r="C1955" s="5">
        <v>35563.243300000002</v>
      </c>
      <c r="D1955" s="5">
        <v>35563.243300000002</v>
      </c>
      <c r="E1955" s="5">
        <v>31984.905299999999</v>
      </c>
      <c r="G1955" s="5" t="str">
        <f t="shared" si="61"/>
        <v>УАЗ-III - 49 кв.</v>
      </c>
      <c r="J1955" s="5"/>
      <c r="AL1955" s="5">
        <f t="shared" si="62"/>
        <v>0</v>
      </c>
    </row>
    <row r="1956" spans="1:38" ht="25.5" customHeight="1" x14ac:dyDescent="0.25">
      <c r="A1956" s="10" t="s">
        <v>2032</v>
      </c>
      <c r="B1956" s="11" t="s">
        <v>1696</v>
      </c>
      <c r="C1956" s="5">
        <v>36808.582300000002</v>
      </c>
      <c r="D1956" s="5">
        <v>36808.582300000002</v>
      </c>
      <c r="E1956" s="5">
        <v>33505.428800000002</v>
      </c>
      <c r="G1956" s="5" t="str">
        <f t="shared" si="61"/>
        <v>Талица</v>
      </c>
      <c r="J1956" s="5"/>
      <c r="AL1956" s="5">
        <f t="shared" si="62"/>
        <v>0</v>
      </c>
    </row>
    <row r="1957" spans="1:38" ht="25.5" customHeight="1" x14ac:dyDescent="0.25">
      <c r="A1957" s="10" t="s">
        <v>2033</v>
      </c>
      <c r="B1957" s="11" t="s">
        <v>1676</v>
      </c>
      <c r="C1957" s="5">
        <v>28848.8855</v>
      </c>
      <c r="D1957" s="5">
        <v>28848.8855</v>
      </c>
      <c r="E1957" s="5">
        <v>25946.143</v>
      </c>
      <c r="G1957" s="5" t="str">
        <f t="shared" si="61"/>
        <v>Чкаловский</v>
      </c>
      <c r="J1957" s="5"/>
      <c r="AL1957" s="5">
        <f t="shared" si="62"/>
        <v>0</v>
      </c>
    </row>
    <row r="1958" spans="1:38" ht="25.5" customHeight="1" x14ac:dyDescent="0.25">
      <c r="A1958" s="10" t="s">
        <v>2034</v>
      </c>
      <c r="B1958" s="11" t="s">
        <v>1688</v>
      </c>
      <c r="C1958" s="5">
        <v>29893.73</v>
      </c>
      <c r="D1958" s="5">
        <v>29893.73</v>
      </c>
      <c r="E1958" s="5">
        <v>26241.207699999999</v>
      </c>
      <c r="G1958" s="5" t="str">
        <f t="shared" si="61"/>
        <v>Сух_Г-Кам_Н_Кушва_Н-Черм</v>
      </c>
      <c r="J1958" s="5"/>
      <c r="AL1958" s="5">
        <f t="shared" si="62"/>
        <v>0</v>
      </c>
    </row>
    <row r="1959" spans="1:38" ht="25.5" customHeight="1" x14ac:dyDescent="0.25">
      <c r="A1959" s="10" t="s">
        <v>1416</v>
      </c>
      <c r="B1959" s="11" t="s">
        <v>1679</v>
      </c>
      <c r="C1959" s="5">
        <v>28855.326499999999</v>
      </c>
      <c r="D1959" s="5">
        <v>28855.326499999999</v>
      </c>
      <c r="E1959" s="5">
        <v>25951.933700000001</v>
      </c>
      <c r="G1959" s="5" t="str">
        <f t="shared" si="61"/>
        <v>Ст.Каменск-Хозспособ</v>
      </c>
      <c r="J1959" s="5"/>
      <c r="AL1959" s="5">
        <f t="shared" si="62"/>
        <v>0</v>
      </c>
    </row>
    <row r="1960" spans="1:38" ht="25.5" customHeight="1" x14ac:dyDescent="0.25">
      <c r="A1960" s="10" t="s">
        <v>2035</v>
      </c>
      <c r="B1960" s="11" t="s">
        <v>33</v>
      </c>
      <c r="C1960" s="5">
        <v>84298.205100000006</v>
      </c>
      <c r="D1960" s="5">
        <v>84298.205100000006</v>
      </c>
      <c r="E1960" s="5">
        <v>76333.533100000001</v>
      </c>
      <c r="G1960" s="5" t="str">
        <f t="shared" si="61"/>
        <v>ВИЗ</v>
      </c>
      <c r="J1960" s="5"/>
      <c r="AL1960" s="5">
        <f t="shared" si="62"/>
        <v>0</v>
      </c>
    </row>
    <row r="1961" spans="1:38" ht="25.5" customHeight="1" x14ac:dyDescent="0.25">
      <c r="A1961" s="10" t="s">
        <v>620</v>
      </c>
      <c r="B1961" s="11" t="s">
        <v>1688</v>
      </c>
      <c r="C1961" s="5">
        <v>29893.73</v>
      </c>
      <c r="D1961" s="5">
        <v>29893.73</v>
      </c>
      <c r="E1961" s="5">
        <v>26241.207699999999</v>
      </c>
      <c r="G1961" s="5" t="str">
        <f t="shared" si="61"/>
        <v>Сух_Г-Кам_Н_Кушва_Н-Черм</v>
      </c>
      <c r="J1961" s="5"/>
      <c r="AL1961" s="5">
        <f t="shared" si="62"/>
        <v>0</v>
      </c>
    </row>
    <row r="1962" spans="1:38" ht="25.5" customHeight="1" x14ac:dyDescent="0.25">
      <c r="A1962" s="10" t="s">
        <v>2036</v>
      </c>
      <c r="B1962" s="11" t="s">
        <v>1692</v>
      </c>
      <c r="C1962" s="5">
        <v>38366.254699999998</v>
      </c>
      <c r="D1962" s="5">
        <v>38366.254699999998</v>
      </c>
      <c r="E1962" s="5">
        <v>34923.320599999999</v>
      </c>
      <c r="G1962" s="5" t="str">
        <f t="shared" si="61"/>
        <v>Западный</v>
      </c>
      <c r="J1962" s="5"/>
      <c r="AL1962" s="5">
        <f t="shared" si="62"/>
        <v>0</v>
      </c>
    </row>
    <row r="1963" spans="1:38" ht="25.5" customHeight="1" x14ac:dyDescent="0.25">
      <c r="A1963" s="10" t="s">
        <v>2037</v>
      </c>
      <c r="B1963" s="11" t="s">
        <v>1696</v>
      </c>
      <c r="C1963" s="5">
        <v>36808.582300000002</v>
      </c>
      <c r="D1963" s="5">
        <v>36808.582300000002</v>
      </c>
      <c r="E1963" s="5">
        <v>33505.428800000002</v>
      </c>
      <c r="G1963" s="5" t="str">
        <f t="shared" si="61"/>
        <v>Талица</v>
      </c>
      <c r="J1963" s="5"/>
      <c r="AL1963" s="5">
        <f t="shared" si="62"/>
        <v>0</v>
      </c>
    </row>
    <row r="1964" spans="1:38" ht="25.5" customHeight="1" x14ac:dyDescent="0.25">
      <c r="A1964" s="10" t="s">
        <v>2038</v>
      </c>
      <c r="B1964" s="11" t="s">
        <v>1699</v>
      </c>
      <c r="C1964" s="5">
        <v>34007.852099999996</v>
      </c>
      <c r="D1964" s="5">
        <v>34007.852099999996</v>
      </c>
      <c r="E1964" s="5">
        <v>30956.028900000001</v>
      </c>
      <c r="G1964" s="5" t="str">
        <f t="shared" si="61"/>
        <v>Шайтанка</v>
      </c>
      <c r="J1964" s="5"/>
      <c r="AL1964" s="5">
        <f t="shared" si="62"/>
        <v>0</v>
      </c>
    </row>
    <row r="1965" spans="1:38" ht="25.5" customHeight="1" x14ac:dyDescent="0.25">
      <c r="A1965" s="10" t="s">
        <v>537</v>
      </c>
      <c r="B1965" s="11" t="s">
        <v>7242</v>
      </c>
      <c r="C1965" s="5">
        <v>27104.663700000001</v>
      </c>
      <c r="D1965" s="5">
        <v>27104.663700000001</v>
      </c>
      <c r="E1965" s="5">
        <v>26564.688900000001</v>
      </c>
      <c r="G1965" s="5" t="str">
        <f t="shared" si="61"/>
        <v>КК возле Первоуральска которые должны считаться как область</v>
      </c>
      <c r="J1965" s="5"/>
      <c r="AL1965" s="5">
        <f t="shared" si="62"/>
        <v>0</v>
      </c>
    </row>
    <row r="1966" spans="1:38" ht="25.5" customHeight="1" x14ac:dyDescent="0.25">
      <c r="A1966" s="10" t="s">
        <v>2039</v>
      </c>
      <c r="B1966" s="11" t="s">
        <v>1688</v>
      </c>
      <c r="C1966" s="5">
        <v>29893.73</v>
      </c>
      <c r="D1966" s="5">
        <v>29893.73</v>
      </c>
      <c r="E1966" s="5">
        <v>26241.207699999999</v>
      </c>
      <c r="G1966" s="5" t="str">
        <f t="shared" si="61"/>
        <v>Сух_Г-Кам_Н_Кушва_Н-Черм</v>
      </c>
      <c r="J1966" s="5"/>
      <c r="AL1966" s="5">
        <f t="shared" si="62"/>
        <v>0</v>
      </c>
    </row>
    <row r="1967" spans="1:38" ht="25.5" customHeight="1" x14ac:dyDescent="0.25">
      <c r="A1967" s="10" t="s">
        <v>2040</v>
      </c>
      <c r="B1967" s="11" t="s">
        <v>1681</v>
      </c>
      <c r="C1967" s="5">
        <v>32172.2909</v>
      </c>
      <c r="D1967" s="5">
        <v>32172.2909</v>
      </c>
      <c r="E1967" s="5">
        <v>28935.146499999999</v>
      </c>
      <c r="G1967" s="5" t="str">
        <f t="shared" si="61"/>
        <v>Ленин-Олимп</v>
      </c>
      <c r="J1967" s="5"/>
      <c r="AL1967" s="5">
        <f t="shared" si="62"/>
        <v>0</v>
      </c>
    </row>
    <row r="1968" spans="1:38" ht="25.5" customHeight="1" x14ac:dyDescent="0.25">
      <c r="A1968" s="10" t="s">
        <v>2041</v>
      </c>
      <c r="B1968" s="11" t="s">
        <v>1691</v>
      </c>
      <c r="C1968" s="5">
        <v>36244.5985</v>
      </c>
      <c r="D1968" s="5">
        <v>36244.5985</v>
      </c>
      <c r="E1968" s="5">
        <v>32992.053800000002</v>
      </c>
      <c r="G1968" s="5" t="str">
        <f t="shared" si="61"/>
        <v>ДинСанПод</v>
      </c>
      <c r="J1968" s="5"/>
      <c r="AL1968" s="5">
        <f t="shared" si="62"/>
        <v>0</v>
      </c>
    </row>
    <row r="1969" spans="1:38" ht="25.5" customHeight="1" x14ac:dyDescent="0.25">
      <c r="A1969" s="10" t="s">
        <v>2042</v>
      </c>
      <c r="B1969" s="11" t="s">
        <v>1691</v>
      </c>
      <c r="C1969" s="5">
        <v>36244.5985</v>
      </c>
      <c r="D1969" s="5">
        <v>36244.5985</v>
      </c>
      <c r="E1969" s="5">
        <v>32992.053800000002</v>
      </c>
      <c r="G1969" s="5" t="str">
        <f t="shared" si="61"/>
        <v>ДинСанПод</v>
      </c>
      <c r="J1969" s="5"/>
      <c r="AL1969" s="5">
        <f t="shared" si="62"/>
        <v>0</v>
      </c>
    </row>
    <row r="1970" spans="1:38" ht="25.5" customHeight="1" x14ac:dyDescent="0.25">
      <c r="A1970" s="10" t="s">
        <v>2043</v>
      </c>
      <c r="B1970" s="11" t="s">
        <v>1683</v>
      </c>
      <c r="C1970" s="5">
        <v>40018.9617</v>
      </c>
      <c r="D1970" s="5">
        <v>40018.9617</v>
      </c>
      <c r="E1970" s="5">
        <v>35129.2961</v>
      </c>
      <c r="G1970" s="5" t="str">
        <f t="shared" si="61"/>
        <v>Алт_Гальян_М-Кушва</v>
      </c>
      <c r="J1970" s="5"/>
      <c r="AL1970" s="5">
        <f t="shared" si="62"/>
        <v>0</v>
      </c>
    </row>
    <row r="1971" spans="1:38" ht="25.5" customHeight="1" x14ac:dyDescent="0.25">
      <c r="A1971" s="10" t="s">
        <v>2044</v>
      </c>
      <c r="B1971" s="11" t="s">
        <v>1395</v>
      </c>
      <c r="C1971" s="5">
        <v>27332.119299999998</v>
      </c>
      <c r="D1971" s="5">
        <v>27332.119299999998</v>
      </c>
      <c r="E1971" s="5">
        <v>24879.3747</v>
      </c>
      <c r="G1971" s="5" t="str">
        <f t="shared" si="61"/>
        <v>СОВХОЗ ПЕРВОУРАЛЬСКИЙ</v>
      </c>
      <c r="J1971" s="5"/>
      <c r="AL1971" s="5">
        <f t="shared" si="62"/>
        <v>0</v>
      </c>
    </row>
    <row r="1972" spans="1:38" ht="25.5" customHeight="1" x14ac:dyDescent="0.25">
      <c r="A1972" s="10" t="s">
        <v>2045</v>
      </c>
      <c r="B1972" s="11" t="s">
        <v>1691</v>
      </c>
      <c r="C1972" s="5">
        <v>36244.5985</v>
      </c>
      <c r="D1972" s="5">
        <v>36244.5985</v>
      </c>
      <c r="E1972" s="5">
        <v>32992.053800000002</v>
      </c>
      <c r="G1972" s="5" t="str">
        <f t="shared" si="61"/>
        <v>ДинСанПод</v>
      </c>
      <c r="J1972" s="5"/>
      <c r="AL1972" s="5">
        <f t="shared" si="62"/>
        <v>0</v>
      </c>
    </row>
    <row r="1973" spans="1:38" ht="25.5" customHeight="1" x14ac:dyDescent="0.25">
      <c r="A1973" s="10" t="s">
        <v>2046</v>
      </c>
      <c r="B1973" s="11" t="s">
        <v>1679</v>
      </c>
      <c r="C1973" s="5">
        <v>28855.326499999999</v>
      </c>
      <c r="D1973" s="5">
        <v>28855.326499999999</v>
      </c>
      <c r="E1973" s="5">
        <v>25951.933700000001</v>
      </c>
      <c r="G1973" s="5" t="str">
        <f t="shared" si="61"/>
        <v>Ст.Каменск-Хозспособ</v>
      </c>
      <c r="J1973" s="5"/>
      <c r="AL1973" s="5">
        <f t="shared" si="62"/>
        <v>0</v>
      </c>
    </row>
    <row r="1974" spans="1:38" ht="25.5" customHeight="1" x14ac:dyDescent="0.25">
      <c r="A1974" s="10" t="s">
        <v>2047</v>
      </c>
      <c r="B1974" s="11" t="s">
        <v>1677</v>
      </c>
      <c r="C1974" s="5">
        <v>39105.413099999998</v>
      </c>
      <c r="D1974" s="5">
        <v>39105.413099999998</v>
      </c>
      <c r="E1974" s="5">
        <v>35170.666700000002</v>
      </c>
      <c r="G1974" s="5" t="str">
        <f t="shared" si="61"/>
        <v>Октябрьский</v>
      </c>
      <c r="J1974" s="5"/>
      <c r="AL1974" s="5">
        <f t="shared" si="62"/>
        <v>0</v>
      </c>
    </row>
    <row r="1975" spans="1:38" ht="25.5" customHeight="1" x14ac:dyDescent="0.25">
      <c r="A1975" s="10" t="s">
        <v>2048</v>
      </c>
      <c r="B1975" s="11" t="s">
        <v>1677</v>
      </c>
      <c r="C1975" s="5">
        <v>39105.413099999998</v>
      </c>
      <c r="D1975" s="5">
        <v>39105.413099999998</v>
      </c>
      <c r="E1975" s="5">
        <v>35170.666700000002</v>
      </c>
      <c r="G1975" s="5" t="str">
        <f t="shared" si="61"/>
        <v>Октябрьский</v>
      </c>
      <c r="J1975" s="5"/>
      <c r="AL1975" s="5">
        <f t="shared" si="62"/>
        <v>0</v>
      </c>
    </row>
    <row r="1976" spans="1:38" ht="25.5" customHeight="1" x14ac:dyDescent="0.25">
      <c r="A1976" s="10" t="s">
        <v>2049</v>
      </c>
      <c r="B1976" s="11" t="s">
        <v>1675</v>
      </c>
      <c r="C1976" s="5">
        <v>35756.285400000001</v>
      </c>
      <c r="D1976" s="5">
        <v>35756.285400000001</v>
      </c>
      <c r="E1976" s="5">
        <v>32158.5213</v>
      </c>
      <c r="G1976" s="5" t="str">
        <f t="shared" si="61"/>
        <v>УАЗ-II</v>
      </c>
      <c r="J1976" s="5"/>
      <c r="AL1976" s="5">
        <f t="shared" si="62"/>
        <v>0</v>
      </c>
    </row>
    <row r="1977" spans="1:38" ht="25.5" customHeight="1" x14ac:dyDescent="0.25">
      <c r="A1977" s="10" t="s">
        <v>2050</v>
      </c>
      <c r="B1977" s="11" t="s">
        <v>1679</v>
      </c>
      <c r="C1977" s="5">
        <v>28855.326499999999</v>
      </c>
      <c r="D1977" s="5">
        <v>28855.326499999999</v>
      </c>
      <c r="E1977" s="5">
        <v>25951.933700000001</v>
      </c>
      <c r="G1977" s="5" t="str">
        <f t="shared" si="61"/>
        <v>Ст.Каменск-Хозспособ</v>
      </c>
      <c r="J1977" s="5"/>
      <c r="AL1977" s="5">
        <f t="shared" si="62"/>
        <v>0</v>
      </c>
    </row>
    <row r="1978" spans="1:38" ht="25.5" customHeight="1" x14ac:dyDescent="0.25">
      <c r="A1978" s="10" t="s">
        <v>2051</v>
      </c>
      <c r="B1978" s="11" t="s">
        <v>1699</v>
      </c>
      <c r="C1978" s="5">
        <v>34007.852099999996</v>
      </c>
      <c r="D1978" s="5">
        <v>34007.852099999996</v>
      </c>
      <c r="E1978" s="5">
        <v>30956.028900000001</v>
      </c>
      <c r="G1978" s="5" t="str">
        <f t="shared" si="61"/>
        <v>Шайтанка</v>
      </c>
      <c r="J1978" s="5"/>
      <c r="AL1978" s="5">
        <f t="shared" si="62"/>
        <v>0</v>
      </c>
    </row>
    <row r="1979" spans="1:38" ht="25.5" customHeight="1" x14ac:dyDescent="0.25">
      <c r="A1979" s="10" t="s">
        <v>551</v>
      </c>
      <c r="B1979" s="11" t="s">
        <v>1677</v>
      </c>
      <c r="C1979" s="5">
        <v>39105.413099999998</v>
      </c>
      <c r="D1979" s="5">
        <v>39105.413099999998</v>
      </c>
      <c r="E1979" s="5">
        <v>35170.666700000002</v>
      </c>
      <c r="G1979" s="5" t="str">
        <f t="shared" si="61"/>
        <v>Октябрьский</v>
      </c>
      <c r="J1979" s="5"/>
      <c r="AL1979" s="5">
        <f t="shared" si="62"/>
        <v>0</v>
      </c>
    </row>
    <row r="1980" spans="1:38" ht="25.5" customHeight="1" x14ac:dyDescent="0.25">
      <c r="A1980" s="10" t="s">
        <v>215</v>
      </c>
      <c r="B1980" s="11" t="s">
        <v>1691</v>
      </c>
      <c r="C1980" s="5">
        <v>36244.5985</v>
      </c>
      <c r="D1980" s="5">
        <v>36244.5985</v>
      </c>
      <c r="E1980" s="5">
        <v>32992.053800000002</v>
      </c>
      <c r="G1980" s="5" t="str">
        <f t="shared" si="61"/>
        <v>ДинСанПод</v>
      </c>
      <c r="J1980" s="5"/>
      <c r="AL1980" s="5">
        <f t="shared" si="62"/>
        <v>0</v>
      </c>
    </row>
    <row r="1981" spans="1:38" ht="25.5" customHeight="1" x14ac:dyDescent="0.25">
      <c r="A1981" s="10" t="s">
        <v>2052</v>
      </c>
      <c r="B1981" s="11" t="s">
        <v>1679</v>
      </c>
      <c r="C1981" s="5">
        <v>28855.326499999999</v>
      </c>
      <c r="D1981" s="5">
        <v>28855.326499999999</v>
      </c>
      <c r="E1981" s="5">
        <v>25951.933700000001</v>
      </c>
      <c r="G1981" s="5" t="str">
        <f t="shared" si="61"/>
        <v>Ст.Каменск-Хозспособ</v>
      </c>
      <c r="J1981" s="5"/>
      <c r="AL1981" s="5">
        <f t="shared" si="62"/>
        <v>0</v>
      </c>
    </row>
    <row r="1982" spans="1:38" ht="25.5" customHeight="1" x14ac:dyDescent="0.25">
      <c r="A1982" s="20" t="s">
        <v>664</v>
      </c>
      <c r="B1982" s="22" t="s">
        <v>7240</v>
      </c>
      <c r="C1982" s="5">
        <v>21261.0285</v>
      </c>
      <c r="D1982" s="5">
        <v>21261.0285</v>
      </c>
      <c r="E1982" s="5">
        <v>20837.465199999999</v>
      </c>
      <c r="G1982" s="5" t="str">
        <f t="shared" si="61"/>
        <v>п.Чащино</v>
      </c>
      <c r="J1982" s="5"/>
      <c r="AL1982" s="5">
        <f t="shared" si="62"/>
        <v>0</v>
      </c>
    </row>
    <row r="1983" spans="1:38" ht="25.5" customHeight="1" x14ac:dyDescent="0.25">
      <c r="A1983" s="20" t="s">
        <v>1499</v>
      </c>
      <c r="B1983" s="22" t="s">
        <v>7239</v>
      </c>
      <c r="C1983" s="5">
        <v>21261.0285</v>
      </c>
      <c r="D1983" s="5">
        <v>21261.0285</v>
      </c>
      <c r="E1983" s="5">
        <v>20837.465199999999</v>
      </c>
      <c r="G1983" s="5" t="str">
        <f t="shared" si="61"/>
        <v>п.Висимо-Уткинск</v>
      </c>
      <c r="J1983" s="5"/>
      <c r="AL1983" s="5">
        <f t="shared" si="62"/>
        <v>0</v>
      </c>
    </row>
    <row r="1984" spans="1:38" ht="25.5" customHeight="1" x14ac:dyDescent="0.25">
      <c r="A1984" s="10" t="s">
        <v>2053</v>
      </c>
      <c r="B1984" s="11" t="s">
        <v>1680</v>
      </c>
      <c r="C1984" s="5">
        <v>29151.309799999999</v>
      </c>
      <c r="D1984" s="5">
        <v>29151.309799999999</v>
      </c>
      <c r="E1984" s="5">
        <v>26218.127700000001</v>
      </c>
      <c r="G1984" s="5" t="str">
        <f t="shared" si="61"/>
        <v>Северный</v>
      </c>
      <c r="J1984" s="5"/>
      <c r="AL1984" s="5">
        <f t="shared" si="62"/>
        <v>0</v>
      </c>
    </row>
    <row r="1985" spans="1:38" ht="25.5" customHeight="1" x14ac:dyDescent="0.25">
      <c r="A1985" s="10" t="s">
        <v>2054</v>
      </c>
      <c r="B1985" s="11" t="s">
        <v>1688</v>
      </c>
      <c r="C1985" s="5">
        <v>29893.73</v>
      </c>
      <c r="D1985" s="5">
        <v>29893.73</v>
      </c>
      <c r="E1985" s="5">
        <v>26241.207699999999</v>
      </c>
      <c r="G1985" s="5" t="str">
        <f t="shared" si="61"/>
        <v>Сух_Г-Кам_Н_Кушва_Н-Черм</v>
      </c>
      <c r="J1985" s="5"/>
      <c r="AL1985" s="5">
        <f t="shared" si="62"/>
        <v>0</v>
      </c>
    </row>
    <row r="1986" spans="1:38" ht="25.5" customHeight="1" x14ac:dyDescent="0.25">
      <c r="A1986" s="10" t="s">
        <v>252</v>
      </c>
      <c r="B1986" s="11" t="s">
        <v>1676</v>
      </c>
      <c r="C1986" s="5">
        <v>28848.8855</v>
      </c>
      <c r="D1986" s="5">
        <v>28848.8855</v>
      </c>
      <c r="E1986" s="5">
        <v>25946.143</v>
      </c>
      <c r="G1986" s="5" t="str">
        <f t="shared" si="61"/>
        <v>Чкаловский</v>
      </c>
      <c r="J1986" s="5"/>
      <c r="AL1986" s="5">
        <f t="shared" si="62"/>
        <v>0</v>
      </c>
    </row>
    <row r="1987" spans="1:38" ht="25.5" customHeight="1" x14ac:dyDescent="0.25">
      <c r="A1987" s="10" t="s">
        <v>824</v>
      </c>
      <c r="B1987" s="11" t="s">
        <v>1677</v>
      </c>
      <c r="C1987" s="5">
        <v>39105.413099999998</v>
      </c>
      <c r="D1987" s="5">
        <v>39105.413099999998</v>
      </c>
      <c r="E1987" s="5">
        <v>35170.666700000002</v>
      </c>
      <c r="G1987" s="5" t="str">
        <f t="shared" si="61"/>
        <v>Октябрьский</v>
      </c>
      <c r="J1987" s="5"/>
      <c r="AL1987" s="5">
        <f t="shared" si="62"/>
        <v>0</v>
      </c>
    </row>
    <row r="1988" spans="1:38" ht="25.5" customHeight="1" x14ac:dyDescent="0.25">
      <c r="A1988" s="10" t="s">
        <v>2055</v>
      </c>
      <c r="B1988" s="11" t="s">
        <v>1676</v>
      </c>
      <c r="C1988" s="5">
        <v>28848.8855</v>
      </c>
      <c r="D1988" s="5">
        <v>28848.8855</v>
      </c>
      <c r="E1988" s="5">
        <v>25946.143</v>
      </c>
      <c r="G1988" s="5" t="str">
        <f t="shared" ref="G1988:G2051" si="63">B1988</f>
        <v>Чкаловский</v>
      </c>
      <c r="J1988" s="5"/>
      <c r="AL1988" s="5">
        <f t="shared" ref="AL1988:AL2051" si="64">AF1988</f>
        <v>0</v>
      </c>
    </row>
    <row r="1989" spans="1:38" ht="25.5" customHeight="1" x14ac:dyDescent="0.25">
      <c r="A1989" s="20" t="s">
        <v>555</v>
      </c>
      <c r="B1989" s="22" t="s">
        <v>7237</v>
      </c>
      <c r="C1989" s="5">
        <v>21261.0285</v>
      </c>
      <c r="D1989" s="5">
        <v>21261.0285</v>
      </c>
      <c r="E1989" s="5">
        <v>20837.465199999999</v>
      </c>
      <c r="G1989" s="5" t="str">
        <f t="shared" si="63"/>
        <v>П.Уралец</v>
      </c>
      <c r="J1989" s="5"/>
      <c r="AL1989" s="5">
        <f t="shared" si="64"/>
        <v>0</v>
      </c>
    </row>
    <row r="1990" spans="1:38" ht="25.5" customHeight="1" x14ac:dyDescent="0.25">
      <c r="A1990" s="10" t="s">
        <v>671</v>
      </c>
      <c r="B1990" s="11" t="s">
        <v>1687</v>
      </c>
      <c r="C1990" s="5">
        <v>30591.135900000001</v>
      </c>
      <c r="D1990" s="5">
        <v>30591.135900000001</v>
      </c>
      <c r="E1990" s="5">
        <v>26853.405500000001</v>
      </c>
      <c r="G1990" s="5" t="str">
        <f t="shared" si="63"/>
        <v>Рудник_Север</v>
      </c>
      <c r="J1990" s="5"/>
      <c r="AL1990" s="5">
        <f t="shared" si="64"/>
        <v>0</v>
      </c>
    </row>
    <row r="1991" spans="1:38" ht="25.5" customHeight="1" x14ac:dyDescent="0.25">
      <c r="A1991" s="10" t="s">
        <v>77</v>
      </c>
      <c r="B1991" s="11" t="s">
        <v>1691</v>
      </c>
      <c r="C1991" s="5">
        <v>36244.5985</v>
      </c>
      <c r="D1991" s="5">
        <v>36244.5985</v>
      </c>
      <c r="E1991" s="5">
        <v>32992.053800000002</v>
      </c>
      <c r="G1991" s="5" t="str">
        <f t="shared" si="63"/>
        <v>ДинСанПод</v>
      </c>
      <c r="J1991" s="5"/>
      <c r="AL1991" s="5">
        <f t="shared" si="64"/>
        <v>0</v>
      </c>
    </row>
    <row r="1992" spans="1:38" ht="25.5" customHeight="1" x14ac:dyDescent="0.25">
      <c r="A1992" s="10" t="s">
        <v>344</v>
      </c>
      <c r="B1992" s="11" t="s">
        <v>1683</v>
      </c>
      <c r="C1992" s="5">
        <v>40018.9617</v>
      </c>
      <c r="D1992" s="5">
        <v>40018.9617</v>
      </c>
      <c r="E1992" s="5">
        <v>35129.2961</v>
      </c>
      <c r="G1992" s="5" t="str">
        <f t="shared" si="63"/>
        <v>Алт_Гальян_М-Кушва</v>
      </c>
      <c r="J1992" s="5"/>
      <c r="AL1992" s="5">
        <f t="shared" si="64"/>
        <v>0</v>
      </c>
    </row>
    <row r="1993" spans="1:38" ht="25.5" customHeight="1" x14ac:dyDescent="0.25">
      <c r="A1993" s="10" t="s">
        <v>2056</v>
      </c>
      <c r="B1993" s="11" t="s">
        <v>1691</v>
      </c>
      <c r="C1993" s="5">
        <v>36244.5985</v>
      </c>
      <c r="D1993" s="5">
        <v>36244.5985</v>
      </c>
      <c r="E1993" s="5">
        <v>32992.053800000002</v>
      </c>
      <c r="G1993" s="5" t="str">
        <f t="shared" si="63"/>
        <v>ДинСанПод</v>
      </c>
      <c r="J1993" s="5"/>
      <c r="AL1993" s="5">
        <f t="shared" si="64"/>
        <v>0</v>
      </c>
    </row>
    <row r="1994" spans="1:38" ht="25.5" customHeight="1" x14ac:dyDescent="0.25">
      <c r="A1994" s="10" t="s">
        <v>2057</v>
      </c>
      <c r="B1994" s="11" t="s">
        <v>1660</v>
      </c>
      <c r="C1994" s="5">
        <v>53262.345800000003</v>
      </c>
      <c r="D1994" s="5">
        <v>53262.345800000003</v>
      </c>
      <c r="E1994" s="5">
        <v>48230.0095</v>
      </c>
      <c r="G1994" s="5" t="str">
        <f t="shared" si="63"/>
        <v>САДОВЫЙ</v>
      </c>
      <c r="J1994" s="5"/>
      <c r="AL1994" s="5">
        <f t="shared" si="64"/>
        <v>0</v>
      </c>
    </row>
    <row r="1995" spans="1:38" x14ac:dyDescent="0.25">
      <c r="A1995" s="10" t="s">
        <v>2058</v>
      </c>
      <c r="B1995" s="11" t="s">
        <v>1674</v>
      </c>
      <c r="C1995" s="5">
        <v>29199.565200000001</v>
      </c>
      <c r="D1995" s="5">
        <v>29199.565200000001</v>
      </c>
      <c r="E1995" s="5">
        <v>26261.5317</v>
      </c>
      <c r="G1995" s="5" t="str">
        <f t="shared" si="63"/>
        <v>УАЗ</v>
      </c>
      <c r="J1995" s="5"/>
      <c r="AL1995" s="5">
        <f t="shared" si="64"/>
        <v>0</v>
      </c>
    </row>
    <row r="1996" spans="1:38" ht="25.5" customHeight="1" x14ac:dyDescent="0.25">
      <c r="A1996" s="10" t="s">
        <v>2059</v>
      </c>
      <c r="B1996" s="11" t="s">
        <v>1395</v>
      </c>
      <c r="C1996" s="5">
        <v>27332.119299999998</v>
      </c>
      <c r="D1996" s="5">
        <v>27332.119299999998</v>
      </c>
      <c r="E1996" s="5">
        <v>24879.3747</v>
      </c>
      <c r="G1996" s="5" t="str">
        <f t="shared" si="63"/>
        <v>СОВХОЗ ПЕРВОУРАЛЬСКИЙ</v>
      </c>
      <c r="J1996" s="5"/>
      <c r="AL1996" s="5">
        <f t="shared" si="64"/>
        <v>0</v>
      </c>
    </row>
    <row r="1997" spans="1:38" ht="25.5" customHeight="1" x14ac:dyDescent="0.25">
      <c r="A1997" s="10" t="s">
        <v>609</v>
      </c>
      <c r="B1997" s="11" t="s">
        <v>1688</v>
      </c>
      <c r="C1997" s="5">
        <v>29893.73</v>
      </c>
      <c r="D1997" s="5">
        <v>29893.73</v>
      </c>
      <c r="E1997" s="5">
        <v>26241.207699999999</v>
      </c>
      <c r="G1997" s="5" t="str">
        <f t="shared" si="63"/>
        <v>Сух_Г-Кам_Н_Кушва_Н-Черм</v>
      </c>
      <c r="J1997" s="5"/>
      <c r="AL1997" s="5">
        <f t="shared" si="64"/>
        <v>0</v>
      </c>
    </row>
    <row r="1998" spans="1:38" ht="25.5" customHeight="1" x14ac:dyDescent="0.25">
      <c r="A1998" s="10" t="s">
        <v>24</v>
      </c>
      <c r="B1998" s="5" t="s">
        <v>1683</v>
      </c>
      <c r="C1998" s="5">
        <v>40018.9617</v>
      </c>
      <c r="D1998" s="5">
        <v>40018.9617</v>
      </c>
      <c r="E1998" s="5">
        <v>35129.2961</v>
      </c>
      <c r="G1998" s="5" t="str">
        <f t="shared" si="63"/>
        <v>Алт_Гальян_М-Кушва</v>
      </c>
      <c r="J1998" s="5"/>
      <c r="AL1998" s="5">
        <f t="shared" si="64"/>
        <v>0</v>
      </c>
    </row>
    <row r="1999" spans="1:38" ht="25.5" customHeight="1" x14ac:dyDescent="0.25">
      <c r="A1999" s="20" t="s">
        <v>2060</v>
      </c>
      <c r="B1999" s="22">
        <v>1003</v>
      </c>
      <c r="C1999" s="5">
        <v>21261.0285</v>
      </c>
      <c r="D1999" s="5">
        <v>21261.0285</v>
      </c>
      <c r="E1999" s="5">
        <v>20837.465199999999</v>
      </c>
      <c r="G1999" s="5">
        <f t="shared" si="63"/>
        <v>1003</v>
      </c>
      <c r="J1999" s="5"/>
      <c r="AL1999" s="5">
        <f t="shared" si="64"/>
        <v>0</v>
      </c>
    </row>
    <row r="2000" spans="1:38" ht="25.5" customHeight="1" x14ac:dyDescent="0.25">
      <c r="A2000" s="10" t="s">
        <v>130</v>
      </c>
      <c r="B2000" s="11" t="s">
        <v>1683</v>
      </c>
      <c r="C2000" s="5">
        <v>40018.9617</v>
      </c>
      <c r="D2000" s="5">
        <v>40018.9617</v>
      </c>
      <c r="E2000" s="5">
        <v>35129.2961</v>
      </c>
      <c r="G2000" s="5" t="str">
        <f t="shared" si="63"/>
        <v>Алт_Гальян_М-Кушва</v>
      </c>
      <c r="J2000" s="5"/>
      <c r="AL2000" s="5">
        <f t="shared" si="64"/>
        <v>0</v>
      </c>
    </row>
    <row r="2001" spans="1:38" ht="25.5" customHeight="1" x14ac:dyDescent="0.25">
      <c r="A2001" s="10" t="s">
        <v>2061</v>
      </c>
      <c r="B2001" s="11" t="s">
        <v>1674</v>
      </c>
      <c r="C2001" s="5">
        <v>29199.565200000001</v>
      </c>
      <c r="D2001" s="5">
        <v>29199.565200000001</v>
      </c>
      <c r="E2001" s="5">
        <v>26261.5317</v>
      </c>
      <c r="G2001" s="5" t="str">
        <f t="shared" si="63"/>
        <v>УАЗ</v>
      </c>
      <c r="J2001" s="5"/>
      <c r="AL2001" s="5">
        <f t="shared" si="64"/>
        <v>0</v>
      </c>
    </row>
    <row r="2002" spans="1:38" ht="25.5" customHeight="1" x14ac:dyDescent="0.25">
      <c r="A2002" s="20" t="s">
        <v>433</v>
      </c>
      <c r="B2002" s="22" t="s">
        <v>7237</v>
      </c>
      <c r="C2002" s="5">
        <v>21261.0285</v>
      </c>
      <c r="D2002" s="5">
        <v>21261.0285</v>
      </c>
      <c r="E2002" s="5">
        <v>20837.465199999999</v>
      </c>
      <c r="G2002" s="5" t="str">
        <f t="shared" si="63"/>
        <v>П.Уралец</v>
      </c>
      <c r="J2002" s="5"/>
      <c r="AL2002" s="5">
        <f t="shared" si="64"/>
        <v>0</v>
      </c>
    </row>
    <row r="2003" spans="1:38" ht="25.5" customHeight="1" x14ac:dyDescent="0.25">
      <c r="A2003" s="10" t="s">
        <v>2062</v>
      </c>
      <c r="B2003" s="11" t="s">
        <v>1636</v>
      </c>
      <c r="C2003" s="5">
        <v>52246.960299999999</v>
      </c>
      <c r="D2003" s="5">
        <v>52246.960299999999</v>
      </c>
      <c r="E2003" s="5">
        <v>47310.556700000001</v>
      </c>
      <c r="G2003" s="5" t="str">
        <f t="shared" si="63"/>
        <v>ГОРНЫЙ ЩИТ</v>
      </c>
      <c r="J2003" s="5"/>
      <c r="AL2003" s="5">
        <f t="shared" si="64"/>
        <v>0</v>
      </c>
    </row>
    <row r="2004" spans="1:38" ht="25.5" customHeight="1" x14ac:dyDescent="0.25">
      <c r="A2004" s="10" t="s">
        <v>2063</v>
      </c>
      <c r="B2004" s="11" t="s">
        <v>1650</v>
      </c>
      <c r="C2004" s="5">
        <v>37590.3603</v>
      </c>
      <c r="D2004" s="5">
        <v>37590.3603</v>
      </c>
      <c r="E2004" s="5">
        <v>34038.745900000002</v>
      </c>
      <c r="G2004" s="5" t="str">
        <f t="shared" si="63"/>
        <v>ШАБРОВСКИЙ</v>
      </c>
      <c r="J2004" s="5"/>
      <c r="AL2004" s="5">
        <f t="shared" si="64"/>
        <v>0</v>
      </c>
    </row>
    <row r="2005" spans="1:38" ht="25.5" customHeight="1" x14ac:dyDescent="0.25">
      <c r="A2005" s="10" t="s">
        <v>2064</v>
      </c>
      <c r="B2005" s="11" t="s">
        <v>1645</v>
      </c>
      <c r="C2005" s="5">
        <v>60958.294800000003</v>
      </c>
      <c r="D2005" s="5">
        <v>60958.294800000003</v>
      </c>
      <c r="E2005" s="5">
        <v>55198.825199999999</v>
      </c>
      <c r="G2005" s="5" t="str">
        <f t="shared" si="63"/>
        <v>ЕЛИЗАВЕТ</v>
      </c>
      <c r="J2005" s="5"/>
      <c r="AL2005" s="5">
        <f t="shared" si="64"/>
        <v>0</v>
      </c>
    </row>
    <row r="2006" spans="1:38" ht="25.5" customHeight="1" x14ac:dyDescent="0.25">
      <c r="A2006" s="10" t="s">
        <v>2065</v>
      </c>
      <c r="B2006" s="11" t="s">
        <v>1666</v>
      </c>
      <c r="C2006" s="5">
        <v>46784.877899999999</v>
      </c>
      <c r="D2006" s="5">
        <v>46784.877899999999</v>
      </c>
      <c r="E2006" s="5">
        <v>42364.543299999998</v>
      </c>
      <c r="G2006" s="5" t="str">
        <f t="shared" si="63"/>
        <v>Сулим.Торфянник</v>
      </c>
      <c r="J2006" s="5"/>
      <c r="AL2006" s="5">
        <f t="shared" si="64"/>
        <v>0</v>
      </c>
    </row>
    <row r="2007" spans="1:38" ht="25.5" customHeight="1" x14ac:dyDescent="0.25">
      <c r="A2007" s="10" t="s">
        <v>2066</v>
      </c>
      <c r="B2007" s="11" t="s">
        <v>1668</v>
      </c>
      <c r="C2007" s="5">
        <v>51343.6201</v>
      </c>
      <c r="D2007" s="5">
        <v>51343.6201</v>
      </c>
      <c r="E2007" s="5">
        <v>46492.558799999999</v>
      </c>
      <c r="G2007" s="5" t="str">
        <f t="shared" si="63"/>
        <v>МЕДНЫЙ</v>
      </c>
      <c r="J2007" s="5"/>
      <c r="AL2007" s="5">
        <f t="shared" si="64"/>
        <v>0</v>
      </c>
    </row>
    <row r="2008" spans="1:38" ht="25.5" customHeight="1" x14ac:dyDescent="0.25">
      <c r="A2008" s="10" t="s">
        <v>2067</v>
      </c>
      <c r="B2008" s="11" t="s">
        <v>1679</v>
      </c>
      <c r="C2008" s="5">
        <v>28855.326499999999</v>
      </c>
      <c r="D2008" s="5">
        <v>28855.326499999999</v>
      </c>
      <c r="E2008" s="5">
        <v>25951.933700000001</v>
      </c>
      <c r="G2008" s="5" t="str">
        <f t="shared" si="63"/>
        <v>Ст.Каменск-Хозспособ</v>
      </c>
      <c r="J2008" s="5"/>
      <c r="AL2008" s="5">
        <f t="shared" si="64"/>
        <v>0</v>
      </c>
    </row>
    <row r="2009" spans="1:38" ht="25.5" customHeight="1" x14ac:dyDescent="0.25">
      <c r="A2009" s="10" t="s">
        <v>527</v>
      </c>
      <c r="B2009" s="11" t="s">
        <v>1679</v>
      </c>
      <c r="C2009" s="5">
        <v>28855.326499999999</v>
      </c>
      <c r="D2009" s="5">
        <v>28855.326499999999</v>
      </c>
      <c r="E2009" s="5">
        <v>25951.933700000001</v>
      </c>
      <c r="G2009" s="5" t="str">
        <f t="shared" si="63"/>
        <v>Ст.Каменск-Хозспособ</v>
      </c>
      <c r="J2009" s="5"/>
      <c r="AL2009" s="5">
        <f t="shared" si="64"/>
        <v>0</v>
      </c>
    </row>
    <row r="2010" spans="1:38" ht="25.5" customHeight="1" x14ac:dyDescent="0.25">
      <c r="A2010" s="10" t="s">
        <v>2068</v>
      </c>
      <c r="B2010" s="11" t="s">
        <v>1645</v>
      </c>
      <c r="C2010" s="5">
        <v>60958.294800000003</v>
      </c>
      <c r="D2010" s="5">
        <v>60958.294800000003</v>
      </c>
      <c r="E2010" s="5">
        <v>55198.825199999999</v>
      </c>
      <c r="G2010" s="5" t="str">
        <f t="shared" si="63"/>
        <v>ЕЛИЗАВЕТ</v>
      </c>
      <c r="J2010" s="5"/>
      <c r="AL2010" s="5">
        <f t="shared" si="64"/>
        <v>0</v>
      </c>
    </row>
    <row r="2011" spans="1:38" ht="25.5" customHeight="1" x14ac:dyDescent="0.25">
      <c r="A2011" s="10" t="s">
        <v>2069</v>
      </c>
      <c r="B2011" s="11" t="s">
        <v>1650</v>
      </c>
      <c r="C2011" s="5">
        <v>37590.3603</v>
      </c>
      <c r="D2011" s="5">
        <v>37590.3603</v>
      </c>
      <c r="E2011" s="5">
        <v>34038.745900000002</v>
      </c>
      <c r="G2011" s="5" t="str">
        <f t="shared" si="63"/>
        <v>ШАБРОВСКИЙ</v>
      </c>
      <c r="J2011" s="5"/>
      <c r="AL2011" s="5">
        <f t="shared" si="64"/>
        <v>0</v>
      </c>
    </row>
    <row r="2012" spans="1:38" ht="25.5" customHeight="1" x14ac:dyDescent="0.25">
      <c r="A2012" s="10" t="s">
        <v>2070</v>
      </c>
      <c r="B2012" s="11" t="s">
        <v>1683</v>
      </c>
      <c r="C2012" s="5">
        <v>40018.9617</v>
      </c>
      <c r="D2012" s="5">
        <v>40018.9617</v>
      </c>
      <c r="E2012" s="5">
        <v>35129.2961</v>
      </c>
      <c r="G2012" s="5" t="str">
        <f t="shared" si="63"/>
        <v>Алт_Гальян_М-Кушва</v>
      </c>
      <c r="J2012" s="5"/>
      <c r="AL2012" s="5">
        <f t="shared" si="64"/>
        <v>0</v>
      </c>
    </row>
    <row r="2013" spans="1:38" ht="25.5" customHeight="1" x14ac:dyDescent="0.25">
      <c r="A2013" s="10" t="s">
        <v>127</v>
      </c>
      <c r="B2013" s="11" t="s">
        <v>1687</v>
      </c>
      <c r="C2013" s="5">
        <v>30591.135900000001</v>
      </c>
      <c r="D2013" s="5">
        <v>30591.135900000001</v>
      </c>
      <c r="E2013" s="5">
        <v>26853.405500000001</v>
      </c>
      <c r="G2013" s="5" t="str">
        <f t="shared" si="63"/>
        <v>Рудник_Север</v>
      </c>
      <c r="J2013" s="5"/>
      <c r="AL2013" s="5">
        <f t="shared" si="64"/>
        <v>0</v>
      </c>
    </row>
    <row r="2014" spans="1:38" ht="25.5" customHeight="1" x14ac:dyDescent="0.25">
      <c r="A2014" s="10" t="s">
        <v>2071</v>
      </c>
      <c r="B2014" s="11" t="s">
        <v>1684</v>
      </c>
      <c r="C2014" s="5">
        <v>40625.090199999999</v>
      </c>
      <c r="D2014" s="5">
        <v>40625.090199999999</v>
      </c>
      <c r="E2014" s="5">
        <v>35661.364300000001</v>
      </c>
      <c r="G2014" s="5" t="str">
        <f t="shared" si="63"/>
        <v>Ваг_Стар_Пихтовы-г</v>
      </c>
      <c r="J2014" s="5"/>
      <c r="AL2014" s="5">
        <f t="shared" si="64"/>
        <v>0</v>
      </c>
    </row>
    <row r="2015" spans="1:38" ht="25.5" customHeight="1" x14ac:dyDescent="0.25">
      <c r="A2015" s="10" t="s">
        <v>2072</v>
      </c>
      <c r="B2015" s="11" t="s">
        <v>1685</v>
      </c>
      <c r="C2015" s="5">
        <v>36513.6518</v>
      </c>
      <c r="D2015" s="5">
        <v>36513.6518</v>
      </c>
      <c r="E2015" s="5">
        <v>32052.276999999998</v>
      </c>
      <c r="G2015" s="5" t="str">
        <f t="shared" si="63"/>
        <v>Выя_Леб_Горб_Кр-Кам</v>
      </c>
      <c r="J2015" s="5"/>
      <c r="AL2015" s="5">
        <f t="shared" si="64"/>
        <v>0</v>
      </c>
    </row>
    <row r="2016" spans="1:38" ht="25.5" customHeight="1" x14ac:dyDescent="0.25">
      <c r="A2016" s="10" t="s">
        <v>2073</v>
      </c>
      <c r="B2016" s="11" t="s">
        <v>1688</v>
      </c>
      <c r="C2016" s="5">
        <v>29893.73</v>
      </c>
      <c r="D2016" s="5">
        <v>29893.73</v>
      </c>
      <c r="E2016" s="5">
        <v>26241.207699999999</v>
      </c>
      <c r="G2016" s="5" t="str">
        <f t="shared" si="63"/>
        <v>Сух_Г-Кам_Н_Кушва_Н-Черм</v>
      </c>
      <c r="J2016" s="5"/>
      <c r="AL2016" s="5">
        <f t="shared" si="64"/>
        <v>0</v>
      </c>
    </row>
    <row r="2017" spans="1:38" ht="25.5" customHeight="1" x14ac:dyDescent="0.25">
      <c r="A2017" s="10" t="s">
        <v>2074</v>
      </c>
      <c r="B2017" s="11" t="s">
        <v>1683</v>
      </c>
      <c r="C2017" s="5">
        <v>40018.9617</v>
      </c>
      <c r="D2017" s="5">
        <v>40018.9617</v>
      </c>
      <c r="E2017" s="5">
        <v>35129.2961</v>
      </c>
      <c r="G2017" s="5" t="str">
        <f t="shared" si="63"/>
        <v>Алт_Гальян_М-Кушва</v>
      </c>
      <c r="J2017" s="5"/>
      <c r="AL2017" s="5">
        <f t="shared" si="64"/>
        <v>0</v>
      </c>
    </row>
    <row r="2018" spans="1:38" ht="25.5" customHeight="1" x14ac:dyDescent="0.25">
      <c r="A2018" s="10" t="s">
        <v>2075</v>
      </c>
      <c r="B2018" s="11" t="s">
        <v>1686</v>
      </c>
      <c r="C2018" s="5">
        <v>24299.835599999999</v>
      </c>
      <c r="D2018" s="5">
        <v>24299.835599999999</v>
      </c>
      <c r="E2018" s="5">
        <v>21330.794900000001</v>
      </c>
      <c r="G2018" s="5" t="str">
        <f t="shared" si="63"/>
        <v>Евст_В-Черм</v>
      </c>
      <c r="J2018" s="5"/>
      <c r="AL2018" s="5">
        <f t="shared" si="64"/>
        <v>0</v>
      </c>
    </row>
    <row r="2019" spans="1:38" ht="25.5" customHeight="1" x14ac:dyDescent="0.25">
      <c r="A2019" s="10" t="s">
        <v>142</v>
      </c>
      <c r="B2019" s="11" t="s">
        <v>1683</v>
      </c>
      <c r="C2019" s="5">
        <v>40018.9617</v>
      </c>
      <c r="D2019" s="5">
        <v>40018.9617</v>
      </c>
      <c r="E2019" s="5">
        <v>35129.2961</v>
      </c>
      <c r="G2019" s="5" t="str">
        <f t="shared" si="63"/>
        <v>Алт_Гальян_М-Кушва</v>
      </c>
      <c r="J2019" s="5"/>
      <c r="AL2019" s="5">
        <f t="shared" si="64"/>
        <v>0</v>
      </c>
    </row>
    <row r="2020" spans="1:38" ht="25.5" customHeight="1" x14ac:dyDescent="0.25">
      <c r="A2020" s="10" t="s">
        <v>2076</v>
      </c>
      <c r="B2020" s="11" t="s">
        <v>1684</v>
      </c>
      <c r="C2020" s="5">
        <v>40625.090199999999</v>
      </c>
      <c r="D2020" s="5">
        <v>40625.090199999999</v>
      </c>
      <c r="E2020" s="5">
        <v>35661.364300000001</v>
      </c>
      <c r="G2020" s="5" t="str">
        <f t="shared" si="63"/>
        <v>Ваг_Стар_Пихтовы-г</v>
      </c>
      <c r="J2020" s="5"/>
      <c r="AL2020" s="5">
        <f t="shared" si="64"/>
        <v>0</v>
      </c>
    </row>
    <row r="2021" spans="1:38" ht="25.5" customHeight="1" x14ac:dyDescent="0.25">
      <c r="A2021" s="20" t="s">
        <v>945</v>
      </c>
      <c r="B2021" s="22" t="s">
        <v>542</v>
      </c>
      <c r="C2021" s="5">
        <v>21261.0285</v>
      </c>
      <c r="D2021" s="5">
        <v>21261.0285</v>
      </c>
      <c r="E2021" s="5">
        <v>20837.465199999999</v>
      </c>
      <c r="G2021" s="5" t="str">
        <f t="shared" si="63"/>
        <v>ЕВСТЮНИХА</v>
      </c>
      <c r="J2021" s="5"/>
      <c r="AL2021" s="5">
        <f t="shared" si="64"/>
        <v>0</v>
      </c>
    </row>
    <row r="2022" spans="1:38" ht="25.5" customHeight="1" x14ac:dyDescent="0.25">
      <c r="A2022" s="10" t="s">
        <v>1209</v>
      </c>
      <c r="B2022" s="11" t="s">
        <v>1689</v>
      </c>
      <c r="C2022" s="5">
        <v>34023.428</v>
      </c>
      <c r="D2022" s="5">
        <v>34023.428</v>
      </c>
      <c r="E2022" s="5">
        <v>29866.3148</v>
      </c>
      <c r="G2022" s="5" t="str">
        <f t="shared" si="63"/>
        <v>Тагил_Кирп</v>
      </c>
      <c r="J2022" s="5"/>
      <c r="AL2022" s="5">
        <f t="shared" si="64"/>
        <v>0</v>
      </c>
    </row>
    <row r="2023" spans="1:38" ht="25.5" customHeight="1" x14ac:dyDescent="0.25">
      <c r="A2023" s="10" t="s">
        <v>2077</v>
      </c>
      <c r="B2023" s="11" t="s">
        <v>1685</v>
      </c>
      <c r="C2023" s="5">
        <v>36513.6518</v>
      </c>
      <c r="D2023" s="5">
        <v>36513.6518</v>
      </c>
      <c r="E2023" s="5">
        <v>32052.276999999998</v>
      </c>
      <c r="G2023" s="5" t="str">
        <f t="shared" si="63"/>
        <v>Выя_Леб_Горб_Кр-Кам</v>
      </c>
      <c r="J2023" s="5"/>
      <c r="AL2023" s="5">
        <f t="shared" si="64"/>
        <v>0</v>
      </c>
    </row>
    <row r="2024" spans="1:38" ht="25.5" customHeight="1" x14ac:dyDescent="0.25">
      <c r="A2024" s="10" t="s">
        <v>2078</v>
      </c>
      <c r="B2024" s="11" t="s">
        <v>1686</v>
      </c>
      <c r="C2024" s="5">
        <v>24299.835599999999</v>
      </c>
      <c r="D2024" s="5">
        <v>24299.835599999999</v>
      </c>
      <c r="E2024" s="5">
        <v>21330.794900000001</v>
      </c>
      <c r="G2024" s="5" t="str">
        <f t="shared" si="63"/>
        <v>Евст_В-Черм</v>
      </c>
      <c r="J2024" s="5"/>
      <c r="AL2024" s="5">
        <f t="shared" si="64"/>
        <v>0</v>
      </c>
    </row>
    <row r="2025" spans="1:38" ht="25.5" customHeight="1" x14ac:dyDescent="0.25">
      <c r="A2025" s="10" t="s">
        <v>247</v>
      </c>
      <c r="B2025" s="11" t="s">
        <v>1683</v>
      </c>
      <c r="C2025" s="5">
        <v>40018.9617</v>
      </c>
      <c r="D2025" s="5">
        <v>40018.9617</v>
      </c>
      <c r="E2025" s="5">
        <v>35129.2961</v>
      </c>
      <c r="G2025" s="5" t="str">
        <f t="shared" si="63"/>
        <v>Алт_Гальян_М-Кушва</v>
      </c>
      <c r="J2025" s="5"/>
      <c r="AL2025" s="5">
        <f t="shared" si="64"/>
        <v>0</v>
      </c>
    </row>
    <row r="2026" spans="1:38" ht="25.5" customHeight="1" x14ac:dyDescent="0.25">
      <c r="A2026" s="10" t="s">
        <v>2079</v>
      </c>
      <c r="B2026" s="11" t="s">
        <v>1684</v>
      </c>
      <c r="C2026" s="5">
        <v>40625.090199999999</v>
      </c>
      <c r="D2026" s="5">
        <v>40625.090199999999</v>
      </c>
      <c r="E2026" s="5">
        <v>35661.364300000001</v>
      </c>
      <c r="G2026" s="5" t="str">
        <f t="shared" si="63"/>
        <v>Ваг_Стар_Пихтовы-г</v>
      </c>
      <c r="J2026" s="5"/>
      <c r="AL2026" s="5">
        <f t="shared" si="64"/>
        <v>0</v>
      </c>
    </row>
    <row r="2027" spans="1:38" ht="25.5" customHeight="1" x14ac:dyDescent="0.25">
      <c r="A2027" s="10" t="s">
        <v>2080</v>
      </c>
      <c r="B2027" s="11" t="s">
        <v>1699</v>
      </c>
      <c r="C2027" s="5">
        <v>34007.852099999996</v>
      </c>
      <c r="D2027" s="5">
        <v>34007.852099999996</v>
      </c>
      <c r="E2027" s="5">
        <v>30956.028900000001</v>
      </c>
      <c r="G2027" s="5" t="str">
        <f t="shared" si="63"/>
        <v>Шайтанка</v>
      </c>
      <c r="J2027" s="5"/>
      <c r="AL2027" s="5">
        <f t="shared" si="64"/>
        <v>0</v>
      </c>
    </row>
    <row r="2028" spans="1:38" ht="25.5" customHeight="1" x14ac:dyDescent="0.25">
      <c r="A2028" s="10" t="s">
        <v>2081</v>
      </c>
      <c r="B2028" s="11" t="s">
        <v>1688</v>
      </c>
      <c r="C2028" s="5">
        <v>29893.73</v>
      </c>
      <c r="D2028" s="5">
        <v>29893.73</v>
      </c>
      <c r="E2028" s="5">
        <v>26241.207699999999</v>
      </c>
      <c r="G2028" s="5" t="str">
        <f t="shared" si="63"/>
        <v>Сух_Г-Кам_Н_Кушва_Н-Черм</v>
      </c>
      <c r="J2028" s="5"/>
      <c r="AL2028" s="5">
        <f t="shared" si="64"/>
        <v>0</v>
      </c>
    </row>
    <row r="2029" spans="1:38" ht="25.5" customHeight="1" x14ac:dyDescent="0.25">
      <c r="A2029" s="10" t="s">
        <v>167</v>
      </c>
      <c r="B2029" s="11" t="s">
        <v>1684</v>
      </c>
      <c r="C2029" s="5">
        <v>40625.090199999999</v>
      </c>
      <c r="D2029" s="5">
        <v>40625.090199999999</v>
      </c>
      <c r="E2029" s="5">
        <v>35661.364300000001</v>
      </c>
      <c r="G2029" s="5" t="str">
        <f t="shared" si="63"/>
        <v>Ваг_Стар_Пихтовы-г</v>
      </c>
      <c r="J2029" s="5"/>
      <c r="AL2029" s="5">
        <f t="shared" si="64"/>
        <v>0</v>
      </c>
    </row>
    <row r="2030" spans="1:38" ht="25.5" customHeight="1" x14ac:dyDescent="0.25">
      <c r="A2030" s="10" t="s">
        <v>238</v>
      </c>
      <c r="B2030" s="11" t="s">
        <v>1683</v>
      </c>
      <c r="C2030" s="5">
        <v>40018.9617</v>
      </c>
      <c r="D2030" s="5">
        <v>40018.9617</v>
      </c>
      <c r="E2030" s="5">
        <v>35129.2961</v>
      </c>
      <c r="G2030" s="5" t="str">
        <f t="shared" si="63"/>
        <v>Алт_Гальян_М-Кушва</v>
      </c>
      <c r="J2030" s="5"/>
      <c r="AL2030" s="5">
        <f t="shared" si="64"/>
        <v>0</v>
      </c>
    </row>
    <row r="2031" spans="1:38" ht="25.5" customHeight="1" x14ac:dyDescent="0.25">
      <c r="A2031" s="10" t="s">
        <v>2082</v>
      </c>
      <c r="B2031" s="11" t="s">
        <v>1688</v>
      </c>
      <c r="C2031" s="5">
        <v>29893.73</v>
      </c>
      <c r="D2031" s="5">
        <v>29893.73</v>
      </c>
      <c r="E2031" s="5">
        <v>26241.207699999999</v>
      </c>
      <c r="G2031" s="5" t="str">
        <f t="shared" si="63"/>
        <v>Сух_Г-Кам_Н_Кушва_Н-Черм</v>
      </c>
      <c r="J2031" s="5"/>
      <c r="AL2031" s="5">
        <f t="shared" si="64"/>
        <v>0</v>
      </c>
    </row>
    <row r="2032" spans="1:38" ht="25.5" customHeight="1" x14ac:dyDescent="0.25">
      <c r="A2032" s="10" t="s">
        <v>2083</v>
      </c>
      <c r="B2032" s="11" t="s">
        <v>1688</v>
      </c>
      <c r="C2032" s="5">
        <v>29893.73</v>
      </c>
      <c r="D2032" s="5">
        <v>29893.73</v>
      </c>
      <c r="E2032" s="5">
        <v>26241.207699999999</v>
      </c>
      <c r="G2032" s="5" t="str">
        <f t="shared" si="63"/>
        <v>Сух_Г-Кам_Н_Кушва_Н-Черм</v>
      </c>
      <c r="J2032" s="5"/>
      <c r="AL2032" s="5">
        <f t="shared" si="64"/>
        <v>0</v>
      </c>
    </row>
    <row r="2033" spans="1:38" ht="25.5" customHeight="1" x14ac:dyDescent="0.25">
      <c r="A2033" s="10" t="s">
        <v>47</v>
      </c>
      <c r="B2033" s="11" t="s">
        <v>1683</v>
      </c>
      <c r="C2033" s="5">
        <v>40018.9617</v>
      </c>
      <c r="D2033" s="5">
        <v>40018.9617</v>
      </c>
      <c r="E2033" s="5">
        <v>35129.2961</v>
      </c>
      <c r="G2033" s="5" t="str">
        <f t="shared" si="63"/>
        <v>Алт_Гальян_М-Кушва</v>
      </c>
      <c r="J2033" s="5"/>
      <c r="AL2033" s="5">
        <f t="shared" si="64"/>
        <v>0</v>
      </c>
    </row>
    <row r="2034" spans="1:38" ht="25.5" customHeight="1" x14ac:dyDescent="0.25">
      <c r="A2034" s="10" t="s">
        <v>2084</v>
      </c>
      <c r="B2034" s="11" t="s">
        <v>1685</v>
      </c>
      <c r="C2034" s="5">
        <v>36513.6518</v>
      </c>
      <c r="D2034" s="5">
        <v>36513.6518</v>
      </c>
      <c r="E2034" s="5">
        <v>32052.276999999998</v>
      </c>
      <c r="G2034" s="5" t="str">
        <f t="shared" si="63"/>
        <v>Выя_Леб_Горб_Кр-Кам</v>
      </c>
      <c r="J2034" s="5"/>
      <c r="AL2034" s="5">
        <f t="shared" si="64"/>
        <v>0</v>
      </c>
    </row>
    <row r="2035" spans="1:38" ht="25.5" customHeight="1" x14ac:dyDescent="0.25">
      <c r="A2035" s="10" t="s">
        <v>2085</v>
      </c>
      <c r="B2035" s="11" t="s">
        <v>1686</v>
      </c>
      <c r="C2035" s="5">
        <v>24299.835599999999</v>
      </c>
      <c r="D2035" s="5">
        <v>24299.835599999999</v>
      </c>
      <c r="E2035" s="5">
        <v>21330.794900000001</v>
      </c>
      <c r="G2035" s="5" t="str">
        <f t="shared" si="63"/>
        <v>Евст_В-Черм</v>
      </c>
      <c r="J2035" s="5"/>
      <c r="AL2035" s="5">
        <f t="shared" si="64"/>
        <v>0</v>
      </c>
    </row>
    <row r="2036" spans="1:38" ht="25.5" customHeight="1" x14ac:dyDescent="0.25">
      <c r="A2036" s="10" t="s">
        <v>1004</v>
      </c>
      <c r="B2036" s="11" t="s">
        <v>1689</v>
      </c>
      <c r="C2036" s="5">
        <v>34023.428</v>
      </c>
      <c r="D2036" s="5">
        <v>34023.428</v>
      </c>
      <c r="E2036" s="5">
        <v>29866.3148</v>
      </c>
      <c r="G2036" s="5" t="str">
        <f t="shared" si="63"/>
        <v>Тагил_Кирп</v>
      </c>
      <c r="J2036" s="5"/>
      <c r="AL2036" s="5">
        <f t="shared" si="64"/>
        <v>0</v>
      </c>
    </row>
    <row r="2037" spans="1:38" ht="25.5" customHeight="1" x14ac:dyDescent="0.25">
      <c r="A2037" s="10" t="s">
        <v>854</v>
      </c>
      <c r="B2037" s="11" t="s">
        <v>1689</v>
      </c>
      <c r="C2037" s="5">
        <v>34023.428</v>
      </c>
      <c r="D2037" s="5">
        <v>34023.428</v>
      </c>
      <c r="E2037" s="5">
        <v>29866.3148</v>
      </c>
      <c r="G2037" s="5" t="str">
        <f t="shared" si="63"/>
        <v>Тагил_Кирп</v>
      </c>
      <c r="J2037" s="5"/>
      <c r="AL2037" s="5">
        <f t="shared" si="64"/>
        <v>0</v>
      </c>
    </row>
    <row r="2038" spans="1:38" ht="25.5" customHeight="1" x14ac:dyDescent="0.25">
      <c r="A2038" s="10" t="s">
        <v>2086</v>
      </c>
      <c r="B2038" s="11" t="s">
        <v>1636</v>
      </c>
      <c r="C2038" s="5">
        <v>52246.960299999999</v>
      </c>
      <c r="D2038" s="5">
        <v>52246.960299999999</v>
      </c>
      <c r="E2038" s="5">
        <v>47310.556700000001</v>
      </c>
      <c r="G2038" s="5" t="str">
        <f t="shared" si="63"/>
        <v>ГОРНЫЙ ЩИТ</v>
      </c>
      <c r="J2038" s="5"/>
      <c r="AL2038" s="5">
        <f t="shared" si="64"/>
        <v>0</v>
      </c>
    </row>
    <row r="2039" spans="1:38" ht="25.5" customHeight="1" x14ac:dyDescent="0.25">
      <c r="A2039" s="10" t="s">
        <v>155</v>
      </c>
      <c r="B2039" s="11" t="s">
        <v>1684</v>
      </c>
      <c r="C2039" s="5">
        <v>40625.090199999999</v>
      </c>
      <c r="D2039" s="5">
        <v>40625.090199999999</v>
      </c>
      <c r="E2039" s="5">
        <v>35661.364300000001</v>
      </c>
      <c r="G2039" s="5" t="str">
        <f t="shared" si="63"/>
        <v>Ваг_Стар_Пихтовы-г</v>
      </c>
      <c r="J2039" s="5"/>
      <c r="AL2039" s="5">
        <f t="shared" si="64"/>
        <v>0</v>
      </c>
    </row>
    <row r="2040" spans="1:38" ht="25.5" customHeight="1" x14ac:dyDescent="0.25">
      <c r="A2040" s="10" t="s">
        <v>2087</v>
      </c>
      <c r="B2040" s="11" t="s">
        <v>1680</v>
      </c>
      <c r="C2040" s="5">
        <v>29151.309799999999</v>
      </c>
      <c r="D2040" s="5">
        <v>29151.309799999999</v>
      </c>
      <c r="E2040" s="5">
        <v>26218.127700000001</v>
      </c>
      <c r="G2040" s="5" t="str">
        <f t="shared" si="63"/>
        <v>Северный</v>
      </c>
      <c r="J2040" s="5"/>
      <c r="AL2040" s="5">
        <f t="shared" si="64"/>
        <v>0</v>
      </c>
    </row>
    <row r="2041" spans="1:38" ht="25.5" customHeight="1" x14ac:dyDescent="0.25">
      <c r="A2041" s="10" t="s">
        <v>2088</v>
      </c>
      <c r="B2041" s="11" t="s">
        <v>1675</v>
      </c>
      <c r="C2041" s="5">
        <v>35756.285400000001</v>
      </c>
      <c r="D2041" s="5">
        <v>35756.285400000001</v>
      </c>
      <c r="E2041" s="5">
        <v>32158.5213</v>
      </c>
      <c r="G2041" s="5" t="str">
        <f t="shared" si="63"/>
        <v>УАЗ-II</v>
      </c>
      <c r="J2041" s="5"/>
      <c r="AL2041" s="5">
        <f t="shared" si="64"/>
        <v>0</v>
      </c>
    </row>
    <row r="2042" spans="1:38" ht="25.5" customHeight="1" x14ac:dyDescent="0.25">
      <c r="A2042" s="10" t="s">
        <v>2089</v>
      </c>
      <c r="B2042" s="11" t="s">
        <v>1683</v>
      </c>
      <c r="C2042" s="5">
        <v>40018.9617</v>
      </c>
      <c r="D2042" s="5">
        <v>40018.9617</v>
      </c>
      <c r="E2042" s="5">
        <v>35129.2961</v>
      </c>
      <c r="G2042" s="5" t="str">
        <f t="shared" si="63"/>
        <v>Алт_Гальян_М-Кушва</v>
      </c>
      <c r="J2042" s="5"/>
      <c r="AL2042" s="5">
        <f t="shared" si="64"/>
        <v>0</v>
      </c>
    </row>
    <row r="2043" spans="1:38" ht="25.5" customHeight="1" x14ac:dyDescent="0.25">
      <c r="A2043" s="10" t="s">
        <v>2090</v>
      </c>
      <c r="B2043" s="11" t="s">
        <v>1662</v>
      </c>
      <c r="C2043" s="5">
        <v>46784.877899999999</v>
      </c>
      <c r="D2043" s="5">
        <v>46784.877899999999</v>
      </c>
      <c r="E2043" s="5">
        <v>42364.543299999998</v>
      </c>
      <c r="G2043" s="5" t="str">
        <f t="shared" si="63"/>
        <v>РУДНЫЙ</v>
      </c>
      <c r="J2043" s="5"/>
      <c r="AL2043" s="5">
        <f t="shared" si="64"/>
        <v>0</v>
      </c>
    </row>
    <row r="2044" spans="1:38" ht="25.5" customHeight="1" x14ac:dyDescent="0.25">
      <c r="A2044" s="10" t="s">
        <v>2091</v>
      </c>
      <c r="B2044" s="11" t="s">
        <v>1679</v>
      </c>
      <c r="C2044" s="5">
        <v>28855.326499999999</v>
      </c>
      <c r="D2044" s="5">
        <v>28855.326499999999</v>
      </c>
      <c r="E2044" s="5">
        <v>25951.933700000001</v>
      </c>
      <c r="G2044" s="5" t="str">
        <f t="shared" si="63"/>
        <v>Ст.Каменск-Хозспособ</v>
      </c>
      <c r="J2044" s="5"/>
      <c r="AL2044" s="5">
        <f t="shared" si="64"/>
        <v>0</v>
      </c>
    </row>
    <row r="2045" spans="1:38" ht="25.5" customHeight="1" x14ac:dyDescent="0.25">
      <c r="A2045" s="10" t="s">
        <v>1285</v>
      </c>
      <c r="B2045" s="11" t="s">
        <v>1687</v>
      </c>
      <c r="C2045" s="5">
        <v>30591.135900000001</v>
      </c>
      <c r="D2045" s="5">
        <v>30591.135900000001</v>
      </c>
      <c r="E2045" s="5">
        <v>26853.405500000001</v>
      </c>
      <c r="G2045" s="5" t="str">
        <f t="shared" si="63"/>
        <v>Рудник_Север</v>
      </c>
      <c r="J2045" s="5"/>
      <c r="AL2045" s="5">
        <f t="shared" si="64"/>
        <v>0</v>
      </c>
    </row>
    <row r="2046" spans="1:38" ht="25.5" customHeight="1" x14ac:dyDescent="0.25">
      <c r="A2046" s="10" t="s">
        <v>2092</v>
      </c>
      <c r="B2046" s="11" t="s">
        <v>1681</v>
      </c>
      <c r="C2046" s="5">
        <v>32172.2909</v>
      </c>
      <c r="D2046" s="5">
        <v>32172.2909</v>
      </c>
      <c r="E2046" s="5">
        <v>28935.146499999999</v>
      </c>
      <c r="G2046" s="5" t="str">
        <f t="shared" si="63"/>
        <v>Ленин-Олимп</v>
      </c>
      <c r="J2046" s="5"/>
      <c r="AL2046" s="5">
        <f t="shared" si="64"/>
        <v>0</v>
      </c>
    </row>
    <row r="2047" spans="1:38" ht="25.5" customHeight="1" x14ac:dyDescent="0.25">
      <c r="A2047" s="10" t="s">
        <v>279</v>
      </c>
      <c r="B2047" s="11" t="s">
        <v>1688</v>
      </c>
      <c r="C2047" s="5">
        <v>29893.73</v>
      </c>
      <c r="D2047" s="5">
        <v>29893.73</v>
      </c>
      <c r="E2047" s="5">
        <v>26241.207699999999</v>
      </c>
      <c r="G2047" s="5" t="str">
        <f t="shared" si="63"/>
        <v>Сух_Г-Кам_Н_Кушва_Н-Черм</v>
      </c>
      <c r="J2047" s="5"/>
      <c r="AL2047" s="5">
        <f t="shared" si="64"/>
        <v>0</v>
      </c>
    </row>
    <row r="2048" spans="1:38" ht="25.5" customHeight="1" x14ac:dyDescent="0.25">
      <c r="A2048" s="10" t="s">
        <v>2093</v>
      </c>
      <c r="B2048" s="11" t="s">
        <v>1395</v>
      </c>
      <c r="C2048" s="5">
        <v>27332.119299999998</v>
      </c>
      <c r="D2048" s="5">
        <v>27332.119299999998</v>
      </c>
      <c r="E2048" s="5">
        <v>24879.3747</v>
      </c>
      <c r="G2048" s="5" t="str">
        <f t="shared" si="63"/>
        <v>СОВХОЗ ПЕРВОУРАЛЬСКИЙ</v>
      </c>
      <c r="J2048" s="5"/>
      <c r="AL2048" s="5">
        <f t="shared" si="64"/>
        <v>0</v>
      </c>
    </row>
    <row r="2049" spans="1:38" ht="25.5" customHeight="1" x14ac:dyDescent="0.25">
      <c r="A2049" s="10" t="s">
        <v>2094</v>
      </c>
      <c r="B2049" s="11" t="s">
        <v>1681</v>
      </c>
      <c r="C2049" s="5">
        <v>32172.2909</v>
      </c>
      <c r="D2049" s="5">
        <v>32172.2909</v>
      </c>
      <c r="E2049" s="5">
        <v>28935.146499999999</v>
      </c>
      <c r="G2049" s="5" t="str">
        <f t="shared" si="63"/>
        <v>Ленин-Олимп</v>
      </c>
      <c r="J2049" s="5"/>
      <c r="AL2049" s="5">
        <f t="shared" si="64"/>
        <v>0</v>
      </c>
    </row>
    <row r="2050" spans="1:38" ht="25.5" customHeight="1" x14ac:dyDescent="0.25">
      <c r="A2050" s="10" t="s">
        <v>2095</v>
      </c>
      <c r="B2050" s="11" t="s">
        <v>1682</v>
      </c>
      <c r="C2050" s="5">
        <v>38278.589899999999</v>
      </c>
      <c r="D2050" s="5">
        <v>38278.589899999999</v>
      </c>
      <c r="E2050" s="5">
        <v>34427.0285</v>
      </c>
      <c r="G2050" s="5" t="str">
        <f t="shared" si="63"/>
        <v>Трубников</v>
      </c>
      <c r="J2050" s="5"/>
      <c r="AL2050" s="5">
        <f t="shared" si="64"/>
        <v>0</v>
      </c>
    </row>
    <row r="2051" spans="1:38" ht="25.5" customHeight="1" x14ac:dyDescent="0.25">
      <c r="A2051" s="10" t="s">
        <v>2096</v>
      </c>
      <c r="B2051" s="11" t="s">
        <v>1680</v>
      </c>
      <c r="C2051" s="5">
        <v>29151.309799999999</v>
      </c>
      <c r="D2051" s="5">
        <v>29151.309799999999</v>
      </c>
      <c r="E2051" s="5">
        <v>26218.127700000001</v>
      </c>
      <c r="G2051" s="5" t="str">
        <f t="shared" si="63"/>
        <v>Северный</v>
      </c>
      <c r="J2051" s="5"/>
      <c r="AL2051" s="5">
        <f t="shared" si="64"/>
        <v>0</v>
      </c>
    </row>
    <row r="2052" spans="1:38" ht="25.5" customHeight="1" x14ac:dyDescent="0.25">
      <c r="A2052" s="10" t="s">
        <v>2097</v>
      </c>
      <c r="B2052" s="11" t="s">
        <v>1685</v>
      </c>
      <c r="C2052" s="5">
        <v>36513.6518</v>
      </c>
      <c r="D2052" s="5">
        <v>36513.6518</v>
      </c>
      <c r="E2052" s="5">
        <v>32052.276999999998</v>
      </c>
      <c r="G2052" s="5" t="str">
        <f t="shared" ref="G2052:G2115" si="65">B2052</f>
        <v>Выя_Леб_Горб_Кр-Кам</v>
      </c>
      <c r="J2052" s="5"/>
      <c r="AL2052" s="5">
        <f t="shared" ref="AL2052:AL2115" si="66">AF2052</f>
        <v>0</v>
      </c>
    </row>
    <row r="2053" spans="1:38" ht="25.5" customHeight="1" x14ac:dyDescent="0.25">
      <c r="A2053" s="10" t="s">
        <v>379</v>
      </c>
      <c r="B2053" s="11" t="s">
        <v>1685</v>
      </c>
      <c r="C2053" s="5">
        <v>36513.6518</v>
      </c>
      <c r="D2053" s="5">
        <v>36513.6518</v>
      </c>
      <c r="E2053" s="5">
        <v>32052.276999999998</v>
      </c>
      <c r="G2053" s="5" t="str">
        <f t="shared" si="65"/>
        <v>Выя_Леб_Горб_Кр-Кам</v>
      </c>
      <c r="J2053" s="5"/>
      <c r="AL2053" s="5">
        <f t="shared" si="66"/>
        <v>0</v>
      </c>
    </row>
    <row r="2054" spans="1:38" ht="25.5" customHeight="1" x14ac:dyDescent="0.25">
      <c r="A2054" s="10" t="s">
        <v>2098</v>
      </c>
      <c r="B2054" s="11" t="s">
        <v>1679</v>
      </c>
      <c r="C2054" s="5">
        <v>28855.326499999999</v>
      </c>
      <c r="D2054" s="5">
        <v>28855.326499999999</v>
      </c>
      <c r="E2054" s="5">
        <v>25951.933700000001</v>
      </c>
      <c r="G2054" s="5" t="str">
        <f t="shared" si="65"/>
        <v>Ст.Каменск-Хозспособ</v>
      </c>
      <c r="J2054" s="5"/>
      <c r="AL2054" s="5">
        <f t="shared" si="66"/>
        <v>0</v>
      </c>
    </row>
    <row r="2055" spans="1:38" ht="25.5" customHeight="1" x14ac:dyDescent="0.25">
      <c r="A2055" s="10" t="s">
        <v>125</v>
      </c>
      <c r="B2055" s="11" t="s">
        <v>1684</v>
      </c>
      <c r="C2055" s="5">
        <v>40625.090199999999</v>
      </c>
      <c r="D2055" s="5">
        <v>40625.090199999999</v>
      </c>
      <c r="E2055" s="5">
        <v>35661.364300000001</v>
      </c>
      <c r="G2055" s="5" t="str">
        <f t="shared" si="65"/>
        <v>Ваг_Стар_Пихтовы-г</v>
      </c>
      <c r="J2055" s="5"/>
      <c r="AL2055" s="5">
        <f t="shared" si="66"/>
        <v>0</v>
      </c>
    </row>
    <row r="2056" spans="1:38" ht="25.5" customHeight="1" x14ac:dyDescent="0.25">
      <c r="A2056" s="10" t="s">
        <v>2099</v>
      </c>
      <c r="B2056" s="11" t="s">
        <v>1673</v>
      </c>
      <c r="C2056" s="5">
        <v>35563.243300000002</v>
      </c>
      <c r="D2056" s="5">
        <v>35563.243300000002</v>
      </c>
      <c r="E2056" s="5">
        <v>31984.905299999999</v>
      </c>
      <c r="G2056" s="5" t="str">
        <f t="shared" si="65"/>
        <v>УАЗ-III - 49 кв.</v>
      </c>
      <c r="J2056" s="5"/>
      <c r="AL2056" s="5">
        <f t="shared" si="66"/>
        <v>0</v>
      </c>
    </row>
    <row r="2057" spans="1:38" ht="25.5" customHeight="1" x14ac:dyDescent="0.25">
      <c r="A2057" s="10" t="s">
        <v>1027</v>
      </c>
      <c r="B2057" s="11" t="s">
        <v>1680</v>
      </c>
      <c r="C2057" s="5">
        <v>29151.309799999999</v>
      </c>
      <c r="D2057" s="5">
        <v>29151.309799999999</v>
      </c>
      <c r="E2057" s="5">
        <v>26218.127700000001</v>
      </c>
      <c r="G2057" s="5" t="str">
        <f t="shared" si="65"/>
        <v>Северный</v>
      </c>
      <c r="J2057" s="5"/>
      <c r="AL2057" s="5">
        <f t="shared" si="66"/>
        <v>0</v>
      </c>
    </row>
    <row r="2058" spans="1:38" ht="25.5" customHeight="1" x14ac:dyDescent="0.25">
      <c r="A2058" s="10" t="s">
        <v>2100</v>
      </c>
      <c r="B2058" s="11" t="s">
        <v>1688</v>
      </c>
      <c r="C2058" s="5">
        <v>29893.73</v>
      </c>
      <c r="D2058" s="5">
        <v>29893.73</v>
      </c>
      <c r="E2058" s="5">
        <v>26241.207699999999</v>
      </c>
      <c r="G2058" s="5" t="str">
        <f t="shared" si="65"/>
        <v>Сух_Г-Кам_Н_Кушва_Н-Черм</v>
      </c>
      <c r="J2058" s="5"/>
      <c r="AL2058" s="5">
        <f t="shared" si="66"/>
        <v>0</v>
      </c>
    </row>
    <row r="2059" spans="1:38" ht="25.5" customHeight="1" x14ac:dyDescent="0.25">
      <c r="A2059" s="20" t="s">
        <v>2101</v>
      </c>
      <c r="B2059" s="22">
        <v>1003</v>
      </c>
      <c r="C2059" s="5">
        <v>21261.0285</v>
      </c>
      <c r="D2059" s="5">
        <v>21261.0285</v>
      </c>
      <c r="E2059" s="5">
        <v>20837.465199999999</v>
      </c>
      <c r="G2059" s="5">
        <f t="shared" si="65"/>
        <v>1003</v>
      </c>
      <c r="J2059" s="5"/>
      <c r="AL2059" s="5">
        <f t="shared" si="66"/>
        <v>0</v>
      </c>
    </row>
    <row r="2060" spans="1:38" ht="25.5" customHeight="1" x14ac:dyDescent="0.25">
      <c r="A2060" s="10" t="s">
        <v>2102</v>
      </c>
      <c r="B2060" s="11" t="s">
        <v>1679</v>
      </c>
      <c r="C2060" s="5">
        <v>28855.326499999999</v>
      </c>
      <c r="D2060" s="5">
        <v>28855.326499999999</v>
      </c>
      <c r="E2060" s="5">
        <v>25951.933700000001</v>
      </c>
      <c r="G2060" s="5" t="str">
        <f t="shared" si="65"/>
        <v>Ст.Каменск-Хозспособ</v>
      </c>
      <c r="J2060" s="5"/>
      <c r="AL2060" s="5">
        <f t="shared" si="66"/>
        <v>0</v>
      </c>
    </row>
    <row r="2061" spans="1:38" ht="25.5" customHeight="1" x14ac:dyDescent="0.25">
      <c r="A2061" s="10" t="s">
        <v>2103</v>
      </c>
      <c r="B2061" s="11" t="s">
        <v>389</v>
      </c>
      <c r="C2061" s="5">
        <v>51175.5573</v>
      </c>
      <c r="D2061" s="5">
        <v>51175.5573</v>
      </c>
      <c r="E2061" s="5">
        <v>46340.381600000001</v>
      </c>
      <c r="G2061" s="5" t="str">
        <f t="shared" si="65"/>
        <v>Северка</v>
      </c>
      <c r="J2061" s="5"/>
      <c r="AL2061" s="5">
        <f t="shared" si="66"/>
        <v>0</v>
      </c>
    </row>
    <row r="2062" spans="1:38" x14ac:dyDescent="0.25">
      <c r="A2062" s="10" t="s">
        <v>2104</v>
      </c>
      <c r="B2062" s="11" t="s">
        <v>1681</v>
      </c>
      <c r="C2062" s="5">
        <v>32172.2909</v>
      </c>
      <c r="D2062" s="5">
        <v>32172.2909</v>
      </c>
      <c r="E2062" s="5">
        <v>28935.146499999999</v>
      </c>
      <c r="G2062" s="5" t="str">
        <f t="shared" si="65"/>
        <v>Ленин-Олимп</v>
      </c>
      <c r="J2062" s="5"/>
      <c r="AL2062" s="5">
        <f t="shared" si="66"/>
        <v>0</v>
      </c>
    </row>
    <row r="2063" spans="1:38" ht="25.5" customHeight="1" x14ac:dyDescent="0.25">
      <c r="A2063" s="10" t="s">
        <v>513</v>
      </c>
      <c r="B2063" s="11" t="s">
        <v>1677</v>
      </c>
      <c r="C2063" s="5">
        <v>39105.413099999998</v>
      </c>
      <c r="D2063" s="5">
        <v>39105.413099999998</v>
      </c>
      <c r="E2063" s="5">
        <v>35170.666700000002</v>
      </c>
      <c r="G2063" s="5" t="str">
        <f t="shared" si="65"/>
        <v>Октябрьский</v>
      </c>
      <c r="J2063" s="5"/>
      <c r="AL2063" s="5">
        <f t="shared" si="66"/>
        <v>0</v>
      </c>
    </row>
    <row r="2064" spans="1:38" ht="25.5" customHeight="1" x14ac:dyDescent="0.25">
      <c r="A2064" s="10" t="s">
        <v>2105</v>
      </c>
      <c r="B2064" s="11" t="s">
        <v>1679</v>
      </c>
      <c r="C2064" s="5">
        <v>28855.326499999999</v>
      </c>
      <c r="D2064" s="5">
        <v>28855.326499999999</v>
      </c>
      <c r="E2064" s="5">
        <v>25951.933700000001</v>
      </c>
      <c r="G2064" s="5" t="str">
        <f t="shared" si="65"/>
        <v>Ст.Каменск-Хозспособ</v>
      </c>
      <c r="J2064" s="5"/>
      <c r="AL2064" s="5">
        <f t="shared" si="66"/>
        <v>0</v>
      </c>
    </row>
    <row r="2065" spans="1:38" ht="25.5" customHeight="1" x14ac:dyDescent="0.25">
      <c r="A2065" s="10" t="s">
        <v>2106</v>
      </c>
      <c r="B2065" s="11" t="s">
        <v>1691</v>
      </c>
      <c r="C2065" s="5">
        <v>36244.5985</v>
      </c>
      <c r="D2065" s="5">
        <v>36244.5985</v>
      </c>
      <c r="E2065" s="5">
        <v>32992.053800000002</v>
      </c>
      <c r="G2065" s="5" t="str">
        <f t="shared" si="65"/>
        <v>ДинСанПод</v>
      </c>
      <c r="J2065" s="5"/>
      <c r="AL2065" s="5">
        <f t="shared" si="66"/>
        <v>0</v>
      </c>
    </row>
    <row r="2066" spans="1:38" ht="25.5" customHeight="1" x14ac:dyDescent="0.25">
      <c r="A2066" s="10" t="s">
        <v>236</v>
      </c>
      <c r="B2066" s="11" t="s">
        <v>1688</v>
      </c>
      <c r="C2066" s="5">
        <v>29893.73</v>
      </c>
      <c r="D2066" s="5">
        <v>29893.73</v>
      </c>
      <c r="E2066" s="5">
        <v>26241.207699999999</v>
      </c>
      <c r="G2066" s="5" t="str">
        <f t="shared" si="65"/>
        <v>Сух_Г-Кам_Н_Кушва_Н-Черм</v>
      </c>
      <c r="J2066" s="5"/>
      <c r="AL2066" s="5">
        <f t="shared" si="66"/>
        <v>0</v>
      </c>
    </row>
    <row r="2067" spans="1:38" ht="25.5" customHeight="1" x14ac:dyDescent="0.25">
      <c r="A2067" s="10" t="s">
        <v>1125</v>
      </c>
      <c r="B2067" s="11" t="s">
        <v>1682</v>
      </c>
      <c r="C2067" s="5">
        <v>38278.589899999999</v>
      </c>
      <c r="D2067" s="5">
        <v>38278.589899999999</v>
      </c>
      <c r="E2067" s="5">
        <v>34427.0285</v>
      </c>
      <c r="G2067" s="5" t="str">
        <f t="shared" si="65"/>
        <v>Трубников</v>
      </c>
      <c r="J2067" s="5"/>
      <c r="AL2067" s="5">
        <f t="shared" si="66"/>
        <v>0</v>
      </c>
    </row>
    <row r="2068" spans="1:38" ht="25.5" customHeight="1" x14ac:dyDescent="0.25">
      <c r="A2068" s="10" t="s">
        <v>726</v>
      </c>
      <c r="B2068" s="11" t="s">
        <v>7242</v>
      </c>
      <c r="C2068" s="5">
        <v>27104.663700000001</v>
      </c>
      <c r="D2068" s="5">
        <v>27104.663700000001</v>
      </c>
      <c r="E2068" s="5">
        <v>26564.688900000001</v>
      </c>
      <c r="G2068" s="5" t="str">
        <f t="shared" si="65"/>
        <v>КК возле Первоуральска которые должны считаться как область</v>
      </c>
      <c r="J2068" s="5"/>
      <c r="AL2068" s="5">
        <f t="shared" si="66"/>
        <v>0</v>
      </c>
    </row>
    <row r="2069" spans="1:38" ht="25.5" customHeight="1" x14ac:dyDescent="0.25">
      <c r="A2069" s="10" t="s">
        <v>2107</v>
      </c>
      <c r="B2069" s="11" t="s">
        <v>1395</v>
      </c>
      <c r="C2069" s="5">
        <v>27332.119299999998</v>
      </c>
      <c r="D2069" s="5">
        <v>27332.119299999998</v>
      </c>
      <c r="E2069" s="5">
        <v>24879.3747</v>
      </c>
      <c r="G2069" s="5" t="str">
        <f t="shared" si="65"/>
        <v>СОВХОЗ ПЕРВОУРАЛЬСКИЙ</v>
      </c>
      <c r="J2069" s="5"/>
      <c r="AL2069" s="5">
        <f t="shared" si="66"/>
        <v>0</v>
      </c>
    </row>
    <row r="2070" spans="1:38" ht="25.5" customHeight="1" x14ac:dyDescent="0.25">
      <c r="A2070" s="10" t="s">
        <v>2108</v>
      </c>
      <c r="B2070" s="11" t="s">
        <v>1681</v>
      </c>
      <c r="C2070" s="5">
        <v>32172.2909</v>
      </c>
      <c r="D2070" s="5">
        <v>32172.2909</v>
      </c>
      <c r="E2070" s="5">
        <v>28935.146499999999</v>
      </c>
      <c r="G2070" s="5" t="str">
        <f t="shared" si="65"/>
        <v>Ленин-Олимп</v>
      </c>
      <c r="J2070" s="5"/>
      <c r="AL2070" s="5">
        <f t="shared" si="66"/>
        <v>0</v>
      </c>
    </row>
    <row r="2071" spans="1:38" ht="25.5" customHeight="1" x14ac:dyDescent="0.25">
      <c r="A2071" s="10" t="s">
        <v>2109</v>
      </c>
      <c r="B2071" s="11" t="s">
        <v>1689</v>
      </c>
      <c r="C2071" s="5">
        <v>34023.428</v>
      </c>
      <c r="D2071" s="5">
        <v>34023.428</v>
      </c>
      <c r="E2071" s="5">
        <v>29866.3148</v>
      </c>
      <c r="G2071" s="5" t="str">
        <f t="shared" si="65"/>
        <v>Тагил_Кирп</v>
      </c>
      <c r="J2071" s="5"/>
      <c r="AL2071" s="5">
        <f t="shared" si="66"/>
        <v>0</v>
      </c>
    </row>
    <row r="2072" spans="1:38" ht="25.5" customHeight="1" x14ac:dyDescent="0.25">
      <c r="A2072" s="10" t="s">
        <v>2110</v>
      </c>
      <c r="B2072" s="11" t="s">
        <v>1696</v>
      </c>
      <c r="C2072" s="5">
        <v>36808.582300000002</v>
      </c>
      <c r="D2072" s="5">
        <v>36808.582300000002</v>
      </c>
      <c r="E2072" s="5">
        <v>33505.428800000002</v>
      </c>
      <c r="G2072" s="5" t="str">
        <f t="shared" si="65"/>
        <v>Талица</v>
      </c>
      <c r="J2072" s="5"/>
      <c r="AL2072" s="5">
        <f t="shared" si="66"/>
        <v>0</v>
      </c>
    </row>
    <row r="2073" spans="1:38" ht="25.5" customHeight="1" x14ac:dyDescent="0.25">
      <c r="A2073" s="10" t="s">
        <v>2111</v>
      </c>
      <c r="B2073" s="11" t="s">
        <v>1679</v>
      </c>
      <c r="C2073" s="5">
        <v>28855.326499999999</v>
      </c>
      <c r="D2073" s="5">
        <v>28855.326499999999</v>
      </c>
      <c r="E2073" s="5">
        <v>25951.933700000001</v>
      </c>
      <c r="G2073" s="5" t="str">
        <f t="shared" si="65"/>
        <v>Ст.Каменск-Хозспособ</v>
      </c>
      <c r="J2073" s="5"/>
      <c r="AL2073" s="5">
        <f t="shared" si="66"/>
        <v>0</v>
      </c>
    </row>
    <row r="2074" spans="1:38" ht="25.5" customHeight="1" x14ac:dyDescent="0.25">
      <c r="A2074" s="10" t="s">
        <v>157</v>
      </c>
      <c r="B2074" s="11" t="s">
        <v>5230</v>
      </c>
      <c r="C2074" s="5">
        <v>45477.761700000003</v>
      </c>
      <c r="D2074" s="5">
        <v>45477.761700000003</v>
      </c>
      <c r="E2074" s="5">
        <v>39921.119500000001</v>
      </c>
      <c r="G2074" s="5" t="str">
        <f t="shared" si="65"/>
        <v>Центр-Тагил</v>
      </c>
      <c r="J2074" s="5"/>
      <c r="AL2074" s="5">
        <f t="shared" si="66"/>
        <v>0</v>
      </c>
    </row>
    <row r="2075" spans="1:38" ht="25.5" customHeight="1" x14ac:dyDescent="0.25">
      <c r="A2075" s="10" t="s">
        <v>2112</v>
      </c>
      <c r="B2075" s="11" t="s">
        <v>1681</v>
      </c>
      <c r="C2075" s="5">
        <v>32172.2909</v>
      </c>
      <c r="D2075" s="5">
        <v>32172.2909</v>
      </c>
      <c r="E2075" s="5">
        <v>28935.146499999999</v>
      </c>
      <c r="G2075" s="5" t="str">
        <f t="shared" si="65"/>
        <v>Ленин-Олимп</v>
      </c>
      <c r="J2075" s="5"/>
      <c r="AL2075" s="5">
        <f t="shared" si="66"/>
        <v>0</v>
      </c>
    </row>
    <row r="2076" spans="1:38" ht="25.5" customHeight="1" x14ac:dyDescent="0.25">
      <c r="A2076" s="10" t="s">
        <v>2113</v>
      </c>
      <c r="B2076" s="11" t="s">
        <v>1629</v>
      </c>
      <c r="C2076" s="5">
        <v>77743.704100000003</v>
      </c>
      <c r="D2076" s="5">
        <v>77743.704100000003</v>
      </c>
      <c r="E2076" s="5">
        <v>70398.310800000007</v>
      </c>
      <c r="G2076" s="5" t="str">
        <f t="shared" si="65"/>
        <v>ПИОНЕРСКИЙ</v>
      </c>
      <c r="J2076" s="5"/>
      <c r="AL2076" s="5">
        <f t="shared" si="66"/>
        <v>0</v>
      </c>
    </row>
    <row r="2077" spans="1:38" ht="25.5" customHeight="1" x14ac:dyDescent="0.25">
      <c r="A2077" s="10" t="s">
        <v>442</v>
      </c>
      <c r="B2077" s="11" t="s">
        <v>7242</v>
      </c>
      <c r="C2077" s="5">
        <v>27104.663700000001</v>
      </c>
      <c r="D2077" s="5">
        <v>27104.663700000001</v>
      </c>
      <c r="E2077" s="5">
        <v>26564.688900000001</v>
      </c>
      <c r="G2077" s="5" t="str">
        <f t="shared" si="65"/>
        <v>КК возле Первоуральска которые должны считаться как область</v>
      </c>
      <c r="J2077" s="5"/>
      <c r="AL2077" s="5">
        <f t="shared" si="66"/>
        <v>0</v>
      </c>
    </row>
    <row r="2078" spans="1:38" ht="25.5" customHeight="1" x14ac:dyDescent="0.25">
      <c r="A2078" s="10" t="s">
        <v>2114</v>
      </c>
      <c r="B2078" s="11" t="s">
        <v>1681</v>
      </c>
      <c r="C2078" s="5">
        <v>32172.2909</v>
      </c>
      <c r="D2078" s="5">
        <v>32172.2909</v>
      </c>
      <c r="E2078" s="5">
        <v>28935.146499999999</v>
      </c>
      <c r="G2078" s="5" t="str">
        <f t="shared" si="65"/>
        <v>Ленин-Олимп</v>
      </c>
      <c r="J2078" s="5"/>
      <c r="AL2078" s="5">
        <f t="shared" si="66"/>
        <v>0</v>
      </c>
    </row>
    <row r="2079" spans="1:38" ht="25.5" customHeight="1" x14ac:dyDescent="0.25">
      <c r="A2079" s="10" t="s">
        <v>2115</v>
      </c>
      <c r="B2079" s="11" t="s">
        <v>1666</v>
      </c>
      <c r="C2079" s="5">
        <v>46784.877899999999</v>
      </c>
      <c r="D2079" s="5">
        <v>46784.877899999999</v>
      </c>
      <c r="E2079" s="5">
        <v>42364.543299999998</v>
      </c>
      <c r="G2079" s="5" t="str">
        <f t="shared" si="65"/>
        <v>Сулим.Торфянник</v>
      </c>
      <c r="J2079" s="5"/>
      <c r="AL2079" s="5">
        <f t="shared" si="66"/>
        <v>0</v>
      </c>
    </row>
    <row r="2080" spans="1:38" ht="25.5" customHeight="1" x14ac:dyDescent="0.25">
      <c r="A2080" s="10" t="s">
        <v>2116</v>
      </c>
      <c r="B2080" s="11" t="s">
        <v>1395</v>
      </c>
      <c r="C2080" s="5">
        <v>27332.119299999998</v>
      </c>
      <c r="D2080" s="5">
        <v>27332.119299999998</v>
      </c>
      <c r="E2080" s="5">
        <v>24879.3747</v>
      </c>
      <c r="G2080" s="5" t="str">
        <f t="shared" si="65"/>
        <v>СОВХОЗ ПЕРВОУРАЛЬСКИЙ</v>
      </c>
      <c r="J2080" s="5"/>
      <c r="AL2080" s="5">
        <f t="shared" si="66"/>
        <v>0</v>
      </c>
    </row>
    <row r="2081" spans="1:38" ht="25.5" customHeight="1" x14ac:dyDescent="0.25">
      <c r="A2081" s="10" t="s">
        <v>1161</v>
      </c>
      <c r="B2081" s="11" t="s">
        <v>1679</v>
      </c>
      <c r="C2081" s="5">
        <v>28855.326499999999</v>
      </c>
      <c r="D2081" s="5">
        <v>28855.326499999999</v>
      </c>
      <c r="E2081" s="5">
        <v>25951.933700000001</v>
      </c>
      <c r="G2081" s="5" t="str">
        <f t="shared" si="65"/>
        <v>Ст.Каменск-Хозспособ</v>
      </c>
      <c r="J2081" s="5"/>
      <c r="AL2081" s="5">
        <f t="shared" si="66"/>
        <v>0</v>
      </c>
    </row>
    <row r="2082" spans="1:38" ht="25.5" customHeight="1" x14ac:dyDescent="0.25">
      <c r="A2082" s="10" t="s">
        <v>2117</v>
      </c>
      <c r="B2082" s="11" t="s">
        <v>1684</v>
      </c>
      <c r="C2082" s="5">
        <v>40625.090199999999</v>
      </c>
      <c r="D2082" s="5">
        <v>40625.090199999999</v>
      </c>
      <c r="E2082" s="5">
        <v>35661.364300000001</v>
      </c>
      <c r="G2082" s="5" t="str">
        <f t="shared" si="65"/>
        <v>Ваг_Стар_Пихтовы-г</v>
      </c>
      <c r="J2082" s="5"/>
      <c r="AL2082" s="5">
        <f t="shared" si="66"/>
        <v>0</v>
      </c>
    </row>
    <row r="2083" spans="1:38" ht="25.5" customHeight="1" x14ac:dyDescent="0.25">
      <c r="A2083" s="10" t="s">
        <v>2118</v>
      </c>
      <c r="B2083" s="11" t="s">
        <v>5230</v>
      </c>
      <c r="C2083" s="5">
        <v>45477.761700000003</v>
      </c>
      <c r="D2083" s="5">
        <v>45477.761700000003</v>
      </c>
      <c r="E2083" s="5">
        <v>39921.119500000001</v>
      </c>
      <c r="G2083" s="5" t="str">
        <f t="shared" si="65"/>
        <v>Центр-Тагил</v>
      </c>
      <c r="J2083" s="5"/>
      <c r="AL2083" s="5">
        <f t="shared" si="66"/>
        <v>0</v>
      </c>
    </row>
    <row r="2084" spans="1:38" ht="25.5" customHeight="1" x14ac:dyDescent="0.25">
      <c r="A2084" s="10" t="s">
        <v>2119</v>
      </c>
      <c r="B2084" s="11" t="s">
        <v>1699</v>
      </c>
      <c r="C2084" s="5">
        <v>34007.852099999996</v>
      </c>
      <c r="D2084" s="5">
        <v>34007.852099999996</v>
      </c>
      <c r="E2084" s="5">
        <v>30956.028900000001</v>
      </c>
      <c r="G2084" s="5" t="str">
        <f t="shared" si="65"/>
        <v>Шайтанка</v>
      </c>
      <c r="J2084" s="5"/>
      <c r="AL2084" s="5">
        <f t="shared" si="66"/>
        <v>0</v>
      </c>
    </row>
    <row r="2085" spans="1:38" ht="25.5" customHeight="1" x14ac:dyDescent="0.25">
      <c r="A2085" s="10" t="s">
        <v>2120</v>
      </c>
      <c r="B2085" s="11" t="s">
        <v>1679</v>
      </c>
      <c r="C2085" s="5">
        <v>28855.326499999999</v>
      </c>
      <c r="D2085" s="5">
        <v>28855.326499999999</v>
      </c>
      <c r="E2085" s="5">
        <v>25951.933700000001</v>
      </c>
      <c r="G2085" s="5" t="str">
        <f t="shared" si="65"/>
        <v>Ст.Каменск-Хозспособ</v>
      </c>
      <c r="J2085" s="5"/>
      <c r="AL2085" s="5">
        <f t="shared" si="66"/>
        <v>0</v>
      </c>
    </row>
    <row r="2086" spans="1:38" ht="25.5" customHeight="1" x14ac:dyDescent="0.25">
      <c r="A2086" s="10" t="s">
        <v>2121</v>
      </c>
      <c r="B2086" s="11" t="s">
        <v>1676</v>
      </c>
      <c r="C2086" s="5">
        <v>28848.8855</v>
      </c>
      <c r="D2086" s="5">
        <v>28848.8855</v>
      </c>
      <c r="E2086" s="5">
        <v>25946.143</v>
      </c>
      <c r="G2086" s="5" t="str">
        <f t="shared" si="65"/>
        <v>Чкаловский</v>
      </c>
      <c r="J2086" s="5"/>
      <c r="AL2086" s="5">
        <f t="shared" si="66"/>
        <v>0</v>
      </c>
    </row>
    <row r="2087" spans="1:38" ht="25.5" customHeight="1" x14ac:dyDescent="0.25">
      <c r="A2087" s="10" t="s">
        <v>2122</v>
      </c>
      <c r="B2087" s="11" t="s">
        <v>1699</v>
      </c>
      <c r="C2087" s="5">
        <v>34007.852099999996</v>
      </c>
      <c r="D2087" s="5">
        <v>34007.852099999996</v>
      </c>
      <c r="E2087" s="5">
        <v>30956.028900000001</v>
      </c>
      <c r="G2087" s="5" t="str">
        <f t="shared" si="65"/>
        <v>Шайтанка</v>
      </c>
      <c r="J2087" s="5"/>
      <c r="AL2087" s="5">
        <f t="shared" si="66"/>
        <v>0</v>
      </c>
    </row>
    <row r="2088" spans="1:38" ht="25.5" customHeight="1" x14ac:dyDescent="0.25">
      <c r="A2088" s="10" t="s">
        <v>1512</v>
      </c>
      <c r="B2088" s="5" t="s">
        <v>1665</v>
      </c>
      <c r="C2088" s="5">
        <v>55692.278700000003</v>
      </c>
      <c r="D2088" s="5">
        <v>55692.278700000003</v>
      </c>
      <c r="E2088" s="5">
        <v>50430.350200000001</v>
      </c>
      <c r="G2088" s="5" t="str">
        <f t="shared" si="65"/>
        <v>ПОЛЕВОДСТВО</v>
      </c>
      <c r="J2088" s="5"/>
      <c r="AL2088" s="5">
        <f t="shared" si="66"/>
        <v>0</v>
      </c>
    </row>
    <row r="2089" spans="1:38" ht="25.5" customHeight="1" x14ac:dyDescent="0.25">
      <c r="A2089" s="10" t="s">
        <v>521</v>
      </c>
      <c r="B2089" s="11" t="s">
        <v>1675</v>
      </c>
      <c r="C2089" s="5">
        <v>35756.285400000001</v>
      </c>
      <c r="D2089" s="5">
        <v>35756.285400000001</v>
      </c>
      <c r="E2089" s="5">
        <v>32158.5213</v>
      </c>
      <c r="G2089" s="5" t="str">
        <f t="shared" si="65"/>
        <v>УАЗ-II</v>
      </c>
      <c r="J2089" s="5"/>
      <c r="AL2089" s="5">
        <f t="shared" si="66"/>
        <v>0</v>
      </c>
    </row>
    <row r="2090" spans="1:38" ht="25.5" customHeight="1" x14ac:dyDescent="0.25">
      <c r="A2090" s="10" t="s">
        <v>2123</v>
      </c>
      <c r="B2090" s="11" t="s">
        <v>1691</v>
      </c>
      <c r="C2090" s="5">
        <v>36244.5985</v>
      </c>
      <c r="D2090" s="5">
        <v>36244.5985</v>
      </c>
      <c r="E2090" s="5">
        <v>32992.053800000002</v>
      </c>
      <c r="G2090" s="5" t="str">
        <f t="shared" si="65"/>
        <v>ДинСанПод</v>
      </c>
      <c r="J2090" s="5"/>
      <c r="AL2090" s="5">
        <f t="shared" si="66"/>
        <v>0</v>
      </c>
    </row>
    <row r="2091" spans="1:38" ht="25.5" customHeight="1" x14ac:dyDescent="0.25">
      <c r="A2091" s="10" t="s">
        <v>2124</v>
      </c>
      <c r="B2091" s="11" t="s">
        <v>1681</v>
      </c>
      <c r="C2091" s="5">
        <v>32172.2909</v>
      </c>
      <c r="D2091" s="5">
        <v>32172.2909</v>
      </c>
      <c r="E2091" s="5">
        <v>28935.146499999999</v>
      </c>
      <c r="G2091" s="5" t="str">
        <f t="shared" si="65"/>
        <v>Ленин-Олимп</v>
      </c>
      <c r="J2091" s="5"/>
      <c r="AL2091" s="5">
        <f t="shared" si="66"/>
        <v>0</v>
      </c>
    </row>
    <row r="2092" spans="1:38" ht="25.5" customHeight="1" x14ac:dyDescent="0.25">
      <c r="A2092" s="10" t="s">
        <v>488</v>
      </c>
      <c r="B2092" s="11" t="s">
        <v>1632</v>
      </c>
      <c r="C2092" s="5">
        <v>83744.997499999998</v>
      </c>
      <c r="D2092" s="5">
        <v>83744.997499999998</v>
      </c>
      <c r="E2092" s="5">
        <v>75832.596099999995</v>
      </c>
      <c r="G2092" s="5" t="str">
        <f t="shared" si="65"/>
        <v>АВТОВОКЗАЛ</v>
      </c>
      <c r="J2092" s="5"/>
      <c r="AL2092" s="5">
        <f t="shared" si="66"/>
        <v>0</v>
      </c>
    </row>
    <row r="2093" spans="1:38" ht="25.5" customHeight="1" x14ac:dyDescent="0.25">
      <c r="A2093" s="10" t="s">
        <v>2125</v>
      </c>
      <c r="B2093" s="11" t="s">
        <v>1395</v>
      </c>
      <c r="C2093" s="5">
        <v>27332.119299999998</v>
      </c>
      <c r="D2093" s="5">
        <v>27332.119299999998</v>
      </c>
      <c r="E2093" s="5">
        <v>24879.3747</v>
      </c>
      <c r="G2093" s="5" t="str">
        <f t="shared" si="65"/>
        <v>СОВХОЗ ПЕРВОУРАЛЬСКИЙ</v>
      </c>
      <c r="J2093" s="5"/>
      <c r="AL2093" s="5">
        <f t="shared" si="66"/>
        <v>0</v>
      </c>
    </row>
    <row r="2094" spans="1:38" ht="25.5" customHeight="1" x14ac:dyDescent="0.25">
      <c r="A2094" s="20" t="s">
        <v>2126</v>
      </c>
      <c r="B2094" s="22">
        <v>1003</v>
      </c>
      <c r="C2094" s="5">
        <v>21261.0285</v>
      </c>
      <c r="D2094" s="5">
        <v>21261.0285</v>
      </c>
      <c r="E2094" s="5">
        <v>20837.465199999999</v>
      </c>
      <c r="G2094" s="5">
        <f t="shared" si="65"/>
        <v>1003</v>
      </c>
      <c r="J2094" s="5"/>
      <c r="AL2094" s="5">
        <f t="shared" si="66"/>
        <v>0</v>
      </c>
    </row>
    <row r="2095" spans="1:38" ht="25.5" customHeight="1" x14ac:dyDescent="0.25">
      <c r="A2095" s="10" t="s">
        <v>2127</v>
      </c>
      <c r="B2095" s="11" t="s">
        <v>1673</v>
      </c>
      <c r="C2095" s="5">
        <v>35563.243300000002</v>
      </c>
      <c r="D2095" s="5">
        <v>35563.243300000002</v>
      </c>
      <c r="E2095" s="5">
        <v>31984.905299999999</v>
      </c>
      <c r="G2095" s="5" t="str">
        <f t="shared" si="65"/>
        <v>УАЗ-III - 49 кв.</v>
      </c>
      <c r="J2095" s="5"/>
      <c r="AL2095" s="5">
        <f t="shared" si="66"/>
        <v>0</v>
      </c>
    </row>
    <row r="2096" spans="1:38" ht="25.5" customHeight="1" x14ac:dyDescent="0.25">
      <c r="A2096" s="10" t="s">
        <v>2128</v>
      </c>
      <c r="B2096" s="11" t="s">
        <v>1668</v>
      </c>
      <c r="C2096" s="5">
        <v>51343.6201</v>
      </c>
      <c r="D2096" s="5">
        <v>51343.6201</v>
      </c>
      <c r="E2096" s="5">
        <v>46492.558799999999</v>
      </c>
      <c r="G2096" s="5" t="str">
        <f t="shared" si="65"/>
        <v>МЕДНЫЙ</v>
      </c>
      <c r="J2096" s="5"/>
      <c r="AL2096" s="5">
        <f t="shared" si="66"/>
        <v>0</v>
      </c>
    </row>
    <row r="2097" spans="1:38" ht="25.5" customHeight="1" x14ac:dyDescent="0.25">
      <c r="A2097" s="10" t="s">
        <v>2129</v>
      </c>
      <c r="B2097" s="11" t="s">
        <v>1673</v>
      </c>
      <c r="C2097" s="5">
        <v>35563.243300000002</v>
      </c>
      <c r="D2097" s="5">
        <v>35563.243300000002</v>
      </c>
      <c r="E2097" s="5">
        <v>31984.905299999999</v>
      </c>
      <c r="G2097" s="5" t="str">
        <f t="shared" si="65"/>
        <v>УАЗ-III - 49 кв.</v>
      </c>
      <c r="J2097" s="5"/>
      <c r="AL2097" s="5">
        <f t="shared" si="66"/>
        <v>0</v>
      </c>
    </row>
    <row r="2098" spans="1:38" ht="25.5" customHeight="1" x14ac:dyDescent="0.25">
      <c r="A2098" s="10" t="s">
        <v>2130</v>
      </c>
      <c r="B2098" s="11" t="s">
        <v>1679</v>
      </c>
      <c r="C2098" s="5">
        <v>28855.326499999999</v>
      </c>
      <c r="D2098" s="5">
        <v>28855.326499999999</v>
      </c>
      <c r="E2098" s="5">
        <v>25951.933700000001</v>
      </c>
      <c r="G2098" s="5" t="str">
        <f t="shared" si="65"/>
        <v>Ст.Каменск-Хозспособ</v>
      </c>
      <c r="J2098" s="5"/>
      <c r="AL2098" s="5">
        <f t="shared" si="66"/>
        <v>0</v>
      </c>
    </row>
    <row r="2099" spans="1:38" ht="25.5" customHeight="1" x14ac:dyDescent="0.25">
      <c r="A2099" s="10" t="s">
        <v>2131</v>
      </c>
      <c r="B2099" s="11" t="s">
        <v>1688</v>
      </c>
      <c r="C2099" s="5">
        <v>29893.73</v>
      </c>
      <c r="D2099" s="5">
        <v>29893.73</v>
      </c>
      <c r="E2099" s="5">
        <v>26241.207699999999</v>
      </c>
      <c r="G2099" s="5" t="str">
        <f t="shared" si="65"/>
        <v>Сух_Г-Кам_Н_Кушва_Н-Черм</v>
      </c>
      <c r="J2099" s="5"/>
      <c r="AL2099" s="5">
        <f t="shared" si="66"/>
        <v>0</v>
      </c>
    </row>
    <row r="2100" spans="1:38" ht="25.5" customHeight="1" x14ac:dyDescent="0.25">
      <c r="A2100" s="20" t="s">
        <v>2132</v>
      </c>
      <c r="B2100" s="22">
        <v>1003</v>
      </c>
      <c r="C2100" s="5">
        <v>21261.0285</v>
      </c>
      <c r="D2100" s="5">
        <v>21261.0285</v>
      </c>
      <c r="E2100" s="5">
        <v>20837.465199999999</v>
      </c>
      <c r="G2100" s="5">
        <f t="shared" si="65"/>
        <v>1003</v>
      </c>
      <c r="J2100" s="5"/>
      <c r="AL2100" s="5">
        <f t="shared" si="66"/>
        <v>0</v>
      </c>
    </row>
    <row r="2101" spans="1:38" ht="25.5" customHeight="1" x14ac:dyDescent="0.25">
      <c r="A2101" s="10" t="s">
        <v>2133</v>
      </c>
      <c r="B2101" s="11" t="s">
        <v>1687</v>
      </c>
      <c r="C2101" s="5">
        <v>30591.135900000001</v>
      </c>
      <c r="D2101" s="5">
        <v>30591.135900000001</v>
      </c>
      <c r="E2101" s="5">
        <v>26853.405500000001</v>
      </c>
      <c r="G2101" s="5" t="str">
        <f t="shared" si="65"/>
        <v>Рудник_Север</v>
      </c>
      <c r="J2101" s="5"/>
      <c r="AL2101" s="5">
        <f t="shared" si="66"/>
        <v>0</v>
      </c>
    </row>
    <row r="2102" spans="1:38" ht="25.5" customHeight="1" x14ac:dyDescent="0.25">
      <c r="A2102" s="10" t="s">
        <v>2134</v>
      </c>
      <c r="B2102" s="11" t="s">
        <v>1699</v>
      </c>
      <c r="C2102" s="5">
        <v>34007.852099999996</v>
      </c>
      <c r="D2102" s="5">
        <v>34007.852099999996</v>
      </c>
      <c r="E2102" s="5">
        <v>30956.028900000001</v>
      </c>
      <c r="G2102" s="5" t="str">
        <f t="shared" si="65"/>
        <v>Шайтанка</v>
      </c>
      <c r="J2102" s="5"/>
      <c r="AL2102" s="5">
        <f t="shared" si="66"/>
        <v>0</v>
      </c>
    </row>
    <row r="2103" spans="1:38" ht="25.5" customHeight="1" x14ac:dyDescent="0.25">
      <c r="A2103" s="10" t="s">
        <v>2135</v>
      </c>
      <c r="B2103" s="11" t="s">
        <v>1691</v>
      </c>
      <c r="C2103" s="5">
        <v>36244.5985</v>
      </c>
      <c r="D2103" s="5">
        <v>36244.5985</v>
      </c>
      <c r="E2103" s="5">
        <v>32992.053800000002</v>
      </c>
      <c r="G2103" s="5" t="str">
        <f t="shared" si="65"/>
        <v>ДинСанПод</v>
      </c>
      <c r="J2103" s="5"/>
      <c r="AL2103" s="5">
        <f t="shared" si="66"/>
        <v>0</v>
      </c>
    </row>
    <row r="2104" spans="1:38" ht="25.5" customHeight="1" x14ac:dyDescent="0.25">
      <c r="A2104" s="10" t="s">
        <v>402</v>
      </c>
      <c r="B2104" s="11" t="s">
        <v>7242</v>
      </c>
      <c r="C2104" s="5">
        <v>27104.663700000001</v>
      </c>
      <c r="D2104" s="5">
        <v>27104.663700000001</v>
      </c>
      <c r="E2104" s="5">
        <v>26564.688900000001</v>
      </c>
      <c r="G2104" s="5" t="str">
        <f t="shared" si="65"/>
        <v>КК возле Первоуральска которые должны считаться как область</v>
      </c>
      <c r="J2104" s="5"/>
      <c r="AL2104" s="5">
        <f t="shared" si="66"/>
        <v>0</v>
      </c>
    </row>
    <row r="2105" spans="1:38" ht="25.5" customHeight="1" x14ac:dyDescent="0.25">
      <c r="A2105" s="10" t="s">
        <v>2136</v>
      </c>
      <c r="B2105" s="11" t="s">
        <v>1395</v>
      </c>
      <c r="C2105" s="5">
        <v>27332.119299999998</v>
      </c>
      <c r="D2105" s="5">
        <v>27332.119299999998</v>
      </c>
      <c r="E2105" s="5">
        <v>24879.3747</v>
      </c>
      <c r="G2105" s="5" t="str">
        <f t="shared" si="65"/>
        <v>СОВХОЗ ПЕРВОУРАЛЬСКИЙ</v>
      </c>
      <c r="J2105" s="5"/>
      <c r="AL2105" s="5">
        <f t="shared" si="66"/>
        <v>0</v>
      </c>
    </row>
    <row r="2106" spans="1:38" ht="25.5" customHeight="1" x14ac:dyDescent="0.25">
      <c r="A2106" s="10" t="s">
        <v>2137</v>
      </c>
      <c r="B2106" s="11" t="s">
        <v>1691</v>
      </c>
      <c r="C2106" s="5">
        <v>36244.5985</v>
      </c>
      <c r="D2106" s="5">
        <v>36244.5985</v>
      </c>
      <c r="E2106" s="5">
        <v>32992.053800000002</v>
      </c>
      <c r="G2106" s="5" t="str">
        <f t="shared" si="65"/>
        <v>ДинСанПод</v>
      </c>
      <c r="J2106" s="5"/>
      <c r="AL2106" s="5">
        <f t="shared" si="66"/>
        <v>0</v>
      </c>
    </row>
    <row r="2107" spans="1:38" ht="25.5" customHeight="1" x14ac:dyDescent="0.25">
      <c r="A2107" s="10" t="s">
        <v>2138</v>
      </c>
      <c r="B2107" s="11" t="s">
        <v>1689</v>
      </c>
      <c r="C2107" s="5">
        <v>34023.428</v>
      </c>
      <c r="D2107" s="5">
        <v>34023.428</v>
      </c>
      <c r="E2107" s="5">
        <v>29866.3148</v>
      </c>
      <c r="G2107" s="5" t="str">
        <f t="shared" si="65"/>
        <v>Тагил_Кирп</v>
      </c>
      <c r="J2107" s="5"/>
      <c r="AL2107" s="5">
        <f t="shared" si="66"/>
        <v>0</v>
      </c>
    </row>
    <row r="2108" spans="1:38" ht="25.5" customHeight="1" x14ac:dyDescent="0.25">
      <c r="A2108" s="10" t="s">
        <v>2139</v>
      </c>
      <c r="B2108" s="11" t="s">
        <v>1679</v>
      </c>
      <c r="C2108" s="5">
        <v>28855.326499999999</v>
      </c>
      <c r="D2108" s="5">
        <v>28855.326499999999</v>
      </c>
      <c r="E2108" s="5">
        <v>25951.933700000001</v>
      </c>
      <c r="G2108" s="5" t="str">
        <f t="shared" si="65"/>
        <v>Ст.Каменск-Хозспособ</v>
      </c>
      <c r="J2108" s="5"/>
      <c r="AL2108" s="5">
        <f t="shared" si="66"/>
        <v>0</v>
      </c>
    </row>
    <row r="2109" spans="1:38" ht="25.5" customHeight="1" x14ac:dyDescent="0.25">
      <c r="A2109" s="10" t="s">
        <v>309</v>
      </c>
      <c r="B2109" s="11" t="s">
        <v>1688</v>
      </c>
      <c r="C2109" s="5">
        <v>29893.73</v>
      </c>
      <c r="D2109" s="5">
        <v>29893.73</v>
      </c>
      <c r="E2109" s="5">
        <v>26241.207699999999</v>
      </c>
      <c r="G2109" s="5" t="str">
        <f t="shared" si="65"/>
        <v>Сух_Г-Кам_Н_Кушва_Н-Черм</v>
      </c>
      <c r="J2109" s="5"/>
      <c r="AL2109" s="5">
        <f t="shared" si="66"/>
        <v>0</v>
      </c>
    </row>
    <row r="2110" spans="1:38" ht="25.5" customHeight="1" x14ac:dyDescent="0.25">
      <c r="A2110" s="10" t="s">
        <v>2140</v>
      </c>
      <c r="B2110" s="11" t="s">
        <v>1699</v>
      </c>
      <c r="C2110" s="5">
        <v>34007.852099999996</v>
      </c>
      <c r="D2110" s="5">
        <v>34007.852099999996</v>
      </c>
      <c r="E2110" s="5">
        <v>30956.028900000001</v>
      </c>
      <c r="G2110" s="5" t="str">
        <f t="shared" si="65"/>
        <v>Шайтанка</v>
      </c>
      <c r="J2110" s="5"/>
      <c r="AL2110" s="5">
        <f t="shared" si="66"/>
        <v>0</v>
      </c>
    </row>
    <row r="2111" spans="1:38" ht="25.5" customHeight="1" x14ac:dyDescent="0.25">
      <c r="A2111" s="10" t="s">
        <v>2141</v>
      </c>
      <c r="B2111" s="11" t="s">
        <v>1699</v>
      </c>
      <c r="C2111" s="5">
        <v>34007.852099999996</v>
      </c>
      <c r="D2111" s="5">
        <v>34007.852099999996</v>
      </c>
      <c r="E2111" s="5">
        <v>30956.028900000001</v>
      </c>
      <c r="G2111" s="5" t="str">
        <f t="shared" si="65"/>
        <v>Шайтанка</v>
      </c>
      <c r="J2111" s="5"/>
      <c r="AL2111" s="5">
        <f t="shared" si="66"/>
        <v>0</v>
      </c>
    </row>
    <row r="2112" spans="1:38" ht="25.5" customHeight="1" x14ac:dyDescent="0.25">
      <c r="A2112" s="10" t="s">
        <v>2142</v>
      </c>
      <c r="B2112" s="11" t="s">
        <v>1699</v>
      </c>
      <c r="C2112" s="5">
        <v>34007.852099999996</v>
      </c>
      <c r="D2112" s="5">
        <v>34007.852099999996</v>
      </c>
      <c r="E2112" s="5">
        <v>30956.028900000001</v>
      </c>
      <c r="G2112" s="5" t="str">
        <f t="shared" si="65"/>
        <v>Шайтанка</v>
      </c>
      <c r="J2112" s="5"/>
      <c r="AL2112" s="5">
        <f t="shared" si="66"/>
        <v>0</v>
      </c>
    </row>
    <row r="2113" spans="1:38" ht="25.5" customHeight="1" x14ac:dyDescent="0.25">
      <c r="A2113" s="10" t="s">
        <v>324</v>
      </c>
      <c r="B2113" s="11" t="s">
        <v>1691</v>
      </c>
      <c r="C2113" s="5">
        <v>36244.5985</v>
      </c>
      <c r="D2113" s="5">
        <v>36244.5985</v>
      </c>
      <c r="E2113" s="5">
        <v>32992.053800000002</v>
      </c>
      <c r="G2113" s="5" t="str">
        <f t="shared" si="65"/>
        <v>ДинСанПод</v>
      </c>
      <c r="J2113" s="5"/>
      <c r="AL2113" s="5">
        <f t="shared" si="66"/>
        <v>0</v>
      </c>
    </row>
    <row r="2114" spans="1:38" ht="25.5" customHeight="1" x14ac:dyDescent="0.25">
      <c r="A2114" s="10" t="s">
        <v>2143</v>
      </c>
      <c r="B2114" s="11" t="s">
        <v>1699</v>
      </c>
      <c r="C2114" s="5">
        <v>34007.852099999996</v>
      </c>
      <c r="D2114" s="5">
        <v>34007.852099999996</v>
      </c>
      <c r="E2114" s="5">
        <v>30956.028900000001</v>
      </c>
      <c r="G2114" s="5" t="str">
        <f t="shared" si="65"/>
        <v>Шайтанка</v>
      </c>
      <c r="J2114" s="5"/>
      <c r="AL2114" s="5">
        <f t="shared" si="66"/>
        <v>0</v>
      </c>
    </row>
    <row r="2115" spans="1:38" ht="25.5" customHeight="1" x14ac:dyDescent="0.25">
      <c r="A2115" s="10" t="s">
        <v>2144</v>
      </c>
      <c r="B2115" s="11" t="s">
        <v>1691</v>
      </c>
      <c r="C2115" s="5">
        <v>36244.5985</v>
      </c>
      <c r="D2115" s="5">
        <v>36244.5985</v>
      </c>
      <c r="E2115" s="5">
        <v>32992.053800000002</v>
      </c>
      <c r="G2115" s="5" t="str">
        <f t="shared" si="65"/>
        <v>ДинСанПод</v>
      </c>
      <c r="J2115" s="5"/>
      <c r="AL2115" s="5">
        <f t="shared" si="66"/>
        <v>0</v>
      </c>
    </row>
    <row r="2116" spans="1:38" ht="25.5" customHeight="1" x14ac:dyDescent="0.25">
      <c r="A2116" s="20" t="s">
        <v>2145</v>
      </c>
      <c r="B2116" s="22">
        <v>1003</v>
      </c>
      <c r="C2116" s="5">
        <v>21261.0285</v>
      </c>
      <c r="D2116" s="5">
        <v>21261.0285</v>
      </c>
      <c r="E2116" s="5">
        <v>20837.465199999999</v>
      </c>
      <c r="G2116" s="5">
        <f t="shared" ref="G2116:G2179" si="67">B2116</f>
        <v>1003</v>
      </c>
      <c r="J2116" s="5"/>
      <c r="AL2116" s="5">
        <f t="shared" ref="AL2116:AL2179" si="68">AF2116</f>
        <v>0</v>
      </c>
    </row>
    <row r="2117" spans="1:38" ht="25.5" customHeight="1" x14ac:dyDescent="0.25">
      <c r="A2117" s="10" t="s">
        <v>2146</v>
      </c>
      <c r="B2117" s="11" t="s">
        <v>1673</v>
      </c>
      <c r="C2117" s="5">
        <v>35563.243300000002</v>
      </c>
      <c r="D2117" s="5">
        <v>35563.243300000002</v>
      </c>
      <c r="E2117" s="5">
        <v>31984.905299999999</v>
      </c>
      <c r="G2117" s="5" t="str">
        <f t="shared" si="67"/>
        <v>УАЗ-III - 49 кв.</v>
      </c>
      <c r="J2117" s="5"/>
      <c r="AL2117" s="5">
        <f t="shared" si="68"/>
        <v>0</v>
      </c>
    </row>
    <row r="2118" spans="1:38" ht="25.5" customHeight="1" x14ac:dyDescent="0.25">
      <c r="A2118" s="10" t="s">
        <v>572</v>
      </c>
      <c r="B2118" s="11" t="s">
        <v>1673</v>
      </c>
      <c r="C2118" s="5">
        <v>35563.243300000002</v>
      </c>
      <c r="D2118" s="5">
        <v>35563.243300000002</v>
      </c>
      <c r="E2118" s="5">
        <v>31984.905299999999</v>
      </c>
      <c r="G2118" s="5" t="str">
        <f t="shared" si="67"/>
        <v>УАЗ-III - 49 кв.</v>
      </c>
      <c r="J2118" s="5"/>
      <c r="AL2118" s="5">
        <f t="shared" si="68"/>
        <v>0</v>
      </c>
    </row>
    <row r="2119" spans="1:38" ht="25.5" customHeight="1" x14ac:dyDescent="0.25">
      <c r="A2119" s="10" t="s">
        <v>747</v>
      </c>
      <c r="B2119" s="11" t="s">
        <v>1677</v>
      </c>
      <c r="C2119" s="5">
        <v>39105.413099999998</v>
      </c>
      <c r="D2119" s="5">
        <v>39105.413099999998</v>
      </c>
      <c r="E2119" s="5">
        <v>35170.666700000002</v>
      </c>
      <c r="G2119" s="5" t="str">
        <f t="shared" si="67"/>
        <v>Октябрьский</v>
      </c>
      <c r="J2119" s="5"/>
      <c r="AL2119" s="5">
        <f t="shared" si="68"/>
        <v>0</v>
      </c>
    </row>
    <row r="2120" spans="1:38" ht="25.5" customHeight="1" x14ac:dyDescent="0.25">
      <c r="A2120" s="10" t="s">
        <v>2147</v>
      </c>
      <c r="B2120" s="11" t="s">
        <v>1682</v>
      </c>
      <c r="C2120" s="5">
        <v>38278.589899999999</v>
      </c>
      <c r="D2120" s="5">
        <v>38278.589899999999</v>
      </c>
      <c r="E2120" s="5">
        <v>34427.0285</v>
      </c>
      <c r="G2120" s="5" t="str">
        <f t="shared" si="67"/>
        <v>Трубников</v>
      </c>
      <c r="J2120" s="5"/>
      <c r="AL2120" s="5">
        <f t="shared" si="68"/>
        <v>0</v>
      </c>
    </row>
    <row r="2121" spans="1:38" ht="25.5" customHeight="1" x14ac:dyDescent="0.25">
      <c r="A2121" s="10" t="s">
        <v>2148</v>
      </c>
      <c r="B2121" s="11" t="s">
        <v>1677</v>
      </c>
      <c r="C2121" s="5">
        <v>39105.413099999998</v>
      </c>
      <c r="D2121" s="5">
        <v>39105.413099999998</v>
      </c>
      <c r="E2121" s="5">
        <v>35170.666700000002</v>
      </c>
      <c r="G2121" s="5" t="str">
        <f t="shared" si="67"/>
        <v>Октябрьский</v>
      </c>
      <c r="J2121" s="5"/>
      <c r="AL2121" s="5">
        <f t="shared" si="68"/>
        <v>0</v>
      </c>
    </row>
    <row r="2122" spans="1:38" ht="25.5" customHeight="1" x14ac:dyDescent="0.25">
      <c r="A2122" s="10" t="s">
        <v>2149</v>
      </c>
      <c r="B2122" s="11" t="s">
        <v>1676</v>
      </c>
      <c r="C2122" s="5">
        <v>28848.8855</v>
      </c>
      <c r="D2122" s="5">
        <v>28848.8855</v>
      </c>
      <c r="E2122" s="5">
        <v>25946.143</v>
      </c>
      <c r="G2122" s="5" t="str">
        <f t="shared" si="67"/>
        <v>Чкаловский</v>
      </c>
      <c r="J2122" s="5"/>
      <c r="AL2122" s="5">
        <f t="shared" si="68"/>
        <v>0</v>
      </c>
    </row>
    <row r="2123" spans="1:38" ht="25.5" customHeight="1" x14ac:dyDescent="0.25">
      <c r="A2123" s="10" t="s">
        <v>2150</v>
      </c>
      <c r="B2123" s="11" t="s">
        <v>1676</v>
      </c>
      <c r="C2123" s="5">
        <v>28848.8855</v>
      </c>
      <c r="D2123" s="5">
        <v>28848.8855</v>
      </c>
      <c r="E2123" s="5">
        <v>25946.143</v>
      </c>
      <c r="G2123" s="5" t="str">
        <f t="shared" si="67"/>
        <v>Чкаловский</v>
      </c>
      <c r="J2123" s="5"/>
      <c r="AL2123" s="5">
        <f t="shared" si="68"/>
        <v>0</v>
      </c>
    </row>
    <row r="2124" spans="1:38" ht="25.5" customHeight="1" x14ac:dyDescent="0.25">
      <c r="A2124" s="10" t="s">
        <v>2151</v>
      </c>
      <c r="B2124" s="11" t="s">
        <v>1679</v>
      </c>
      <c r="C2124" s="5">
        <v>28855.326499999999</v>
      </c>
      <c r="D2124" s="5">
        <v>28855.326499999999</v>
      </c>
      <c r="E2124" s="5">
        <v>25951.933700000001</v>
      </c>
      <c r="G2124" s="5" t="str">
        <f t="shared" si="67"/>
        <v>Ст.Каменск-Хозспособ</v>
      </c>
      <c r="J2124" s="5"/>
      <c r="AL2124" s="5">
        <f t="shared" si="68"/>
        <v>0</v>
      </c>
    </row>
    <row r="2125" spans="1:38" ht="25.5" customHeight="1" x14ac:dyDescent="0.25">
      <c r="A2125" s="10" t="s">
        <v>2152</v>
      </c>
      <c r="B2125" s="11" t="s">
        <v>1681</v>
      </c>
      <c r="C2125" s="5">
        <v>32172.2909</v>
      </c>
      <c r="D2125" s="5">
        <v>32172.2909</v>
      </c>
      <c r="E2125" s="5">
        <v>28935.146499999999</v>
      </c>
      <c r="G2125" s="5" t="str">
        <f t="shared" si="67"/>
        <v>Ленин-Олимп</v>
      </c>
      <c r="J2125" s="5"/>
      <c r="AL2125" s="5">
        <f t="shared" si="68"/>
        <v>0</v>
      </c>
    </row>
    <row r="2126" spans="1:38" ht="25.5" customHeight="1" x14ac:dyDescent="0.25">
      <c r="A2126" s="10" t="s">
        <v>487</v>
      </c>
      <c r="B2126" s="11" t="s">
        <v>1685</v>
      </c>
      <c r="C2126" s="5">
        <v>36513.6518</v>
      </c>
      <c r="D2126" s="5">
        <v>36513.6518</v>
      </c>
      <c r="E2126" s="5">
        <v>32052.276999999998</v>
      </c>
      <c r="G2126" s="5" t="str">
        <f t="shared" si="67"/>
        <v>Выя_Леб_Горб_Кр-Кам</v>
      </c>
      <c r="J2126" s="5"/>
      <c r="AL2126" s="5">
        <f t="shared" si="68"/>
        <v>0</v>
      </c>
    </row>
    <row r="2127" spans="1:38" ht="25.5" customHeight="1" x14ac:dyDescent="0.25">
      <c r="A2127" s="10" t="s">
        <v>2153</v>
      </c>
      <c r="B2127" s="11" t="s">
        <v>1650</v>
      </c>
      <c r="C2127" s="5">
        <v>37590.3603</v>
      </c>
      <c r="D2127" s="5">
        <v>37590.3603</v>
      </c>
      <c r="E2127" s="5">
        <v>34038.745900000002</v>
      </c>
      <c r="G2127" s="5" t="str">
        <f t="shared" si="67"/>
        <v>ШАБРОВСКИЙ</v>
      </c>
      <c r="J2127" s="5"/>
      <c r="AL2127" s="5">
        <f t="shared" si="68"/>
        <v>0</v>
      </c>
    </row>
    <row r="2128" spans="1:38" ht="25.5" customHeight="1" x14ac:dyDescent="0.25">
      <c r="A2128" s="10" t="s">
        <v>2154</v>
      </c>
      <c r="B2128" s="11" t="s">
        <v>1691</v>
      </c>
      <c r="C2128" s="5">
        <v>36244.5985</v>
      </c>
      <c r="D2128" s="5">
        <v>36244.5985</v>
      </c>
      <c r="E2128" s="5">
        <v>32992.053800000002</v>
      </c>
      <c r="G2128" s="5" t="str">
        <f t="shared" si="67"/>
        <v>ДинСанПод</v>
      </c>
      <c r="J2128" s="5"/>
      <c r="AL2128" s="5">
        <f t="shared" si="68"/>
        <v>0</v>
      </c>
    </row>
    <row r="2129" spans="1:38" ht="25.5" customHeight="1" x14ac:dyDescent="0.25">
      <c r="A2129" s="10" t="s">
        <v>2155</v>
      </c>
      <c r="B2129" s="11" t="s">
        <v>1395</v>
      </c>
      <c r="C2129" s="5">
        <v>27332.119299999998</v>
      </c>
      <c r="D2129" s="5">
        <v>27332.119299999998</v>
      </c>
      <c r="E2129" s="5">
        <v>24879.3747</v>
      </c>
      <c r="G2129" s="5" t="str">
        <f t="shared" si="67"/>
        <v>СОВХОЗ ПЕРВОУРАЛЬСКИЙ</v>
      </c>
      <c r="J2129" s="5"/>
      <c r="AL2129" s="5">
        <f t="shared" si="68"/>
        <v>0</v>
      </c>
    </row>
    <row r="2130" spans="1:38" ht="25.5" customHeight="1" x14ac:dyDescent="0.25">
      <c r="A2130" s="10" t="s">
        <v>275</v>
      </c>
      <c r="B2130" s="11" t="s">
        <v>7242</v>
      </c>
      <c r="C2130" s="5">
        <v>27104.663700000001</v>
      </c>
      <c r="D2130" s="5">
        <v>27104.663700000001</v>
      </c>
      <c r="E2130" s="5">
        <v>26564.688900000001</v>
      </c>
      <c r="G2130" s="5" t="str">
        <f t="shared" si="67"/>
        <v>КК возле Первоуральска которые должны считаться как область</v>
      </c>
      <c r="J2130" s="5"/>
      <c r="AL2130" s="5">
        <f t="shared" si="68"/>
        <v>0</v>
      </c>
    </row>
    <row r="2131" spans="1:38" ht="25.5" customHeight="1" x14ac:dyDescent="0.25">
      <c r="A2131" s="10" t="s">
        <v>136</v>
      </c>
      <c r="B2131" s="11" t="s">
        <v>1685</v>
      </c>
      <c r="C2131" s="5">
        <v>36513.6518</v>
      </c>
      <c r="D2131" s="5">
        <v>36513.6518</v>
      </c>
      <c r="E2131" s="5">
        <v>32052.276999999998</v>
      </c>
      <c r="G2131" s="5" t="str">
        <f t="shared" si="67"/>
        <v>Выя_Леб_Горб_Кр-Кам</v>
      </c>
      <c r="J2131" s="5"/>
      <c r="AL2131" s="5">
        <f t="shared" si="68"/>
        <v>0</v>
      </c>
    </row>
    <row r="2132" spans="1:38" ht="25.5" customHeight="1" x14ac:dyDescent="0.25">
      <c r="A2132" s="10" t="s">
        <v>642</v>
      </c>
      <c r="B2132" s="11" t="s">
        <v>1688</v>
      </c>
      <c r="C2132" s="5">
        <v>29893.73</v>
      </c>
      <c r="D2132" s="5">
        <v>29893.73</v>
      </c>
      <c r="E2132" s="5">
        <v>26241.207699999999</v>
      </c>
      <c r="G2132" s="5" t="str">
        <f t="shared" si="67"/>
        <v>Сух_Г-Кам_Н_Кушва_Н-Черм</v>
      </c>
      <c r="J2132" s="5"/>
      <c r="AL2132" s="5">
        <f t="shared" si="68"/>
        <v>0</v>
      </c>
    </row>
    <row r="2133" spans="1:38" ht="25.5" customHeight="1" x14ac:dyDescent="0.25">
      <c r="A2133" s="10" t="s">
        <v>2156</v>
      </c>
      <c r="B2133" s="11" t="s">
        <v>1699</v>
      </c>
      <c r="C2133" s="5">
        <v>34007.852099999996</v>
      </c>
      <c r="D2133" s="5">
        <v>34007.852099999996</v>
      </c>
      <c r="E2133" s="5">
        <v>30956.028900000001</v>
      </c>
      <c r="G2133" s="5" t="str">
        <f t="shared" si="67"/>
        <v>Шайтанка</v>
      </c>
      <c r="J2133" s="5"/>
      <c r="AL2133" s="5">
        <f t="shared" si="68"/>
        <v>0</v>
      </c>
    </row>
    <row r="2134" spans="1:38" ht="25.5" customHeight="1" x14ac:dyDescent="0.25">
      <c r="A2134" s="10" t="s">
        <v>2157</v>
      </c>
      <c r="B2134" s="11" t="s">
        <v>1699</v>
      </c>
      <c r="C2134" s="5">
        <v>34007.852099999996</v>
      </c>
      <c r="D2134" s="5">
        <v>34007.852099999996</v>
      </c>
      <c r="E2134" s="5">
        <v>30956.028900000001</v>
      </c>
      <c r="G2134" s="5" t="str">
        <f t="shared" si="67"/>
        <v>Шайтанка</v>
      </c>
      <c r="J2134" s="5"/>
      <c r="AL2134" s="5">
        <f t="shared" si="68"/>
        <v>0</v>
      </c>
    </row>
    <row r="2135" spans="1:38" ht="25.5" customHeight="1" x14ac:dyDescent="0.25">
      <c r="A2135" s="10" t="s">
        <v>2158</v>
      </c>
      <c r="B2135" s="11" t="s">
        <v>1699</v>
      </c>
      <c r="C2135" s="5">
        <v>34007.852099999996</v>
      </c>
      <c r="D2135" s="5">
        <v>34007.852099999996</v>
      </c>
      <c r="E2135" s="5">
        <v>30956.028900000001</v>
      </c>
      <c r="G2135" s="5" t="str">
        <f t="shared" si="67"/>
        <v>Шайтанка</v>
      </c>
      <c r="J2135" s="5"/>
      <c r="AL2135" s="5">
        <f t="shared" si="68"/>
        <v>0</v>
      </c>
    </row>
    <row r="2136" spans="1:38" ht="25.5" customHeight="1" x14ac:dyDescent="0.25">
      <c r="A2136" s="10" t="s">
        <v>2159</v>
      </c>
      <c r="B2136" s="11" t="s">
        <v>1699</v>
      </c>
      <c r="C2136" s="5">
        <v>34007.852099999996</v>
      </c>
      <c r="D2136" s="5">
        <v>34007.852099999996</v>
      </c>
      <c r="E2136" s="5">
        <v>30956.028900000001</v>
      </c>
      <c r="G2136" s="5" t="str">
        <f t="shared" si="67"/>
        <v>Шайтанка</v>
      </c>
      <c r="J2136" s="5"/>
      <c r="AL2136" s="5">
        <f t="shared" si="68"/>
        <v>0</v>
      </c>
    </row>
    <row r="2137" spans="1:38" ht="25.5" customHeight="1" x14ac:dyDescent="0.25">
      <c r="A2137" s="10" t="s">
        <v>2160</v>
      </c>
      <c r="B2137" s="11" t="s">
        <v>1691</v>
      </c>
      <c r="C2137" s="5">
        <v>36244.5985</v>
      </c>
      <c r="D2137" s="5">
        <v>36244.5985</v>
      </c>
      <c r="E2137" s="5">
        <v>32992.053800000002</v>
      </c>
      <c r="G2137" s="5" t="str">
        <f t="shared" si="67"/>
        <v>ДинСанПод</v>
      </c>
      <c r="J2137" s="5"/>
      <c r="AL2137" s="5">
        <f t="shared" si="68"/>
        <v>0</v>
      </c>
    </row>
    <row r="2138" spans="1:38" ht="25.5" customHeight="1" x14ac:dyDescent="0.25">
      <c r="A2138" s="10" t="s">
        <v>2161</v>
      </c>
      <c r="B2138" s="11" t="s">
        <v>1691</v>
      </c>
      <c r="C2138" s="5">
        <v>36244.5985</v>
      </c>
      <c r="D2138" s="5">
        <v>36244.5985</v>
      </c>
      <c r="E2138" s="5">
        <v>32992.053800000002</v>
      </c>
      <c r="G2138" s="5" t="str">
        <f t="shared" si="67"/>
        <v>ДинСанПод</v>
      </c>
      <c r="J2138" s="5"/>
      <c r="AL2138" s="5">
        <f t="shared" si="68"/>
        <v>0</v>
      </c>
    </row>
    <row r="2139" spans="1:38" ht="25.5" customHeight="1" x14ac:dyDescent="0.25">
      <c r="A2139" s="10" t="s">
        <v>2162</v>
      </c>
      <c r="B2139" s="11" t="s">
        <v>1395</v>
      </c>
      <c r="C2139" s="5">
        <v>27332.119299999998</v>
      </c>
      <c r="D2139" s="5">
        <v>27332.119299999998</v>
      </c>
      <c r="E2139" s="5">
        <v>24879.3747</v>
      </c>
      <c r="G2139" s="5" t="str">
        <f t="shared" si="67"/>
        <v>СОВХОЗ ПЕРВОУРАЛЬСКИЙ</v>
      </c>
      <c r="J2139" s="5"/>
      <c r="AL2139" s="5">
        <f t="shared" si="68"/>
        <v>0</v>
      </c>
    </row>
    <row r="2140" spans="1:38" ht="25.5" customHeight="1" x14ac:dyDescent="0.25">
      <c r="A2140" s="10" t="s">
        <v>2163</v>
      </c>
      <c r="B2140" s="11" t="s">
        <v>1695</v>
      </c>
      <c r="C2140" s="5">
        <v>40100.412600000003</v>
      </c>
      <c r="D2140" s="5">
        <v>40100.412600000003</v>
      </c>
      <c r="E2140" s="5">
        <v>36501.853799999997</v>
      </c>
      <c r="G2140" s="5" t="str">
        <f t="shared" si="67"/>
        <v>Соцгород</v>
      </c>
      <c r="J2140" s="5"/>
      <c r="AL2140" s="5">
        <f t="shared" si="68"/>
        <v>0</v>
      </c>
    </row>
    <row r="2141" spans="1:38" ht="25.5" customHeight="1" x14ac:dyDescent="0.25">
      <c r="A2141" s="10" t="s">
        <v>2164</v>
      </c>
      <c r="B2141" s="11" t="s">
        <v>1695</v>
      </c>
      <c r="C2141" s="5">
        <v>40100.412600000003</v>
      </c>
      <c r="D2141" s="5">
        <v>40100.412600000003</v>
      </c>
      <c r="E2141" s="5">
        <v>36501.853799999997</v>
      </c>
      <c r="G2141" s="5" t="str">
        <f t="shared" si="67"/>
        <v>Соцгород</v>
      </c>
      <c r="J2141" s="5"/>
      <c r="AL2141" s="5">
        <f t="shared" si="68"/>
        <v>0</v>
      </c>
    </row>
    <row r="2142" spans="1:38" ht="25.5" customHeight="1" x14ac:dyDescent="0.25">
      <c r="A2142" s="10" t="s">
        <v>2165</v>
      </c>
      <c r="B2142" s="11" t="s">
        <v>1695</v>
      </c>
      <c r="C2142" s="5">
        <v>40100.412600000003</v>
      </c>
      <c r="D2142" s="5">
        <v>40100.412600000003</v>
      </c>
      <c r="E2142" s="5">
        <v>36501.853799999997</v>
      </c>
      <c r="G2142" s="5" t="str">
        <f t="shared" si="67"/>
        <v>Соцгород</v>
      </c>
      <c r="J2142" s="5"/>
      <c r="AL2142" s="5">
        <f t="shared" si="68"/>
        <v>0</v>
      </c>
    </row>
    <row r="2143" spans="1:38" x14ac:dyDescent="0.25">
      <c r="A2143" s="10" t="s">
        <v>2166</v>
      </c>
      <c r="B2143" s="11" t="s">
        <v>1681</v>
      </c>
      <c r="C2143" s="5">
        <v>32172.2909</v>
      </c>
      <c r="D2143" s="5">
        <v>32172.2909</v>
      </c>
      <c r="E2143" s="5">
        <v>28935.146499999999</v>
      </c>
      <c r="G2143" s="5" t="str">
        <f t="shared" si="67"/>
        <v>Ленин-Олимп</v>
      </c>
      <c r="J2143" s="5"/>
      <c r="AL2143" s="5">
        <f t="shared" si="68"/>
        <v>0</v>
      </c>
    </row>
    <row r="2144" spans="1:38" ht="25.5" customHeight="1" x14ac:dyDescent="0.25">
      <c r="A2144" s="10" t="s">
        <v>1343</v>
      </c>
      <c r="B2144" s="11" t="s">
        <v>1628</v>
      </c>
      <c r="C2144" s="5">
        <v>70734.0236</v>
      </c>
      <c r="D2144" s="5">
        <v>70734.0236</v>
      </c>
      <c r="E2144" s="5">
        <v>64050.9208</v>
      </c>
      <c r="G2144" s="5" t="str">
        <f t="shared" si="67"/>
        <v>ЭЛЬМАШ</v>
      </c>
      <c r="J2144" s="5"/>
      <c r="AL2144" s="5">
        <f t="shared" si="68"/>
        <v>0</v>
      </c>
    </row>
    <row r="2145" spans="1:38" ht="25.5" customHeight="1" x14ac:dyDescent="0.25">
      <c r="A2145" s="10" t="s">
        <v>393</v>
      </c>
      <c r="B2145" s="11" t="s">
        <v>1683</v>
      </c>
      <c r="C2145" s="5">
        <v>40018.9617</v>
      </c>
      <c r="D2145" s="5">
        <v>40018.9617</v>
      </c>
      <c r="E2145" s="5">
        <v>35129.2961</v>
      </c>
      <c r="G2145" s="5" t="str">
        <f t="shared" si="67"/>
        <v>Алт_Гальян_М-Кушва</v>
      </c>
      <c r="J2145" s="5"/>
      <c r="AL2145" s="5">
        <f t="shared" si="68"/>
        <v>0</v>
      </c>
    </row>
    <row r="2146" spans="1:38" ht="25.5" customHeight="1" x14ac:dyDescent="0.25">
      <c r="A2146" s="10" t="s">
        <v>2167</v>
      </c>
      <c r="B2146" s="11" t="s">
        <v>1677</v>
      </c>
      <c r="C2146" s="5">
        <v>39105.413099999998</v>
      </c>
      <c r="D2146" s="5">
        <v>39105.413099999998</v>
      </c>
      <c r="E2146" s="5">
        <v>35170.666700000002</v>
      </c>
      <c r="G2146" s="5" t="str">
        <f t="shared" si="67"/>
        <v>Октябрьский</v>
      </c>
      <c r="J2146" s="5"/>
      <c r="AL2146" s="5">
        <f t="shared" si="68"/>
        <v>0</v>
      </c>
    </row>
    <row r="2147" spans="1:38" ht="25.5" customHeight="1" x14ac:dyDescent="0.25">
      <c r="A2147" s="10" t="s">
        <v>1466</v>
      </c>
      <c r="B2147" s="11" t="s">
        <v>1674</v>
      </c>
      <c r="C2147" s="5">
        <v>29199.565200000001</v>
      </c>
      <c r="D2147" s="5">
        <v>29199.565200000001</v>
      </c>
      <c r="E2147" s="5">
        <v>26261.5317</v>
      </c>
      <c r="G2147" s="5" t="str">
        <f t="shared" si="67"/>
        <v>УАЗ</v>
      </c>
      <c r="J2147" s="5"/>
      <c r="AL2147" s="5">
        <f t="shared" si="68"/>
        <v>0</v>
      </c>
    </row>
    <row r="2148" spans="1:38" x14ac:dyDescent="0.25">
      <c r="A2148" s="10" t="s">
        <v>2168</v>
      </c>
      <c r="B2148" s="11" t="s">
        <v>1674</v>
      </c>
      <c r="C2148" s="5">
        <v>29199.565200000001</v>
      </c>
      <c r="D2148" s="5">
        <v>29199.565200000001</v>
      </c>
      <c r="E2148" s="5">
        <v>26261.5317</v>
      </c>
      <c r="G2148" s="5" t="str">
        <f t="shared" si="67"/>
        <v>УАЗ</v>
      </c>
      <c r="J2148" s="5"/>
      <c r="AL2148" s="5">
        <f t="shared" si="68"/>
        <v>0</v>
      </c>
    </row>
    <row r="2149" spans="1:38" ht="25.5" customHeight="1" x14ac:dyDescent="0.25">
      <c r="A2149" s="10" t="s">
        <v>2169</v>
      </c>
      <c r="B2149" s="11" t="s">
        <v>1674</v>
      </c>
      <c r="C2149" s="5">
        <v>29199.565200000001</v>
      </c>
      <c r="D2149" s="5">
        <v>29199.565200000001</v>
      </c>
      <c r="E2149" s="5">
        <v>26261.5317</v>
      </c>
      <c r="G2149" s="5" t="str">
        <f t="shared" si="67"/>
        <v>УАЗ</v>
      </c>
      <c r="J2149" s="5"/>
      <c r="AL2149" s="5">
        <f t="shared" si="68"/>
        <v>0</v>
      </c>
    </row>
    <row r="2150" spans="1:38" ht="25.5" customHeight="1" x14ac:dyDescent="0.25">
      <c r="A2150" s="10" t="s">
        <v>435</v>
      </c>
      <c r="B2150" s="11" t="s">
        <v>1687</v>
      </c>
      <c r="C2150" s="5">
        <v>30591.135900000001</v>
      </c>
      <c r="D2150" s="5">
        <v>30591.135900000001</v>
      </c>
      <c r="E2150" s="5">
        <v>26853.405500000001</v>
      </c>
      <c r="G2150" s="5" t="str">
        <f t="shared" si="67"/>
        <v>Рудник_Север</v>
      </c>
      <c r="J2150" s="5"/>
      <c r="AL2150" s="5">
        <f t="shared" si="68"/>
        <v>0</v>
      </c>
    </row>
    <row r="2151" spans="1:38" ht="25.5" customHeight="1" x14ac:dyDescent="0.25">
      <c r="A2151" s="20" t="s">
        <v>2170</v>
      </c>
      <c r="B2151" s="22">
        <v>1003</v>
      </c>
      <c r="C2151" s="5">
        <v>21261.0285</v>
      </c>
      <c r="D2151" s="5">
        <v>21261.0285</v>
      </c>
      <c r="E2151" s="5">
        <v>20837.465199999999</v>
      </c>
      <c r="G2151" s="5">
        <f t="shared" si="67"/>
        <v>1003</v>
      </c>
      <c r="J2151" s="5"/>
      <c r="AL2151" s="5">
        <f t="shared" si="68"/>
        <v>0</v>
      </c>
    </row>
    <row r="2152" spans="1:38" ht="25.5" customHeight="1" x14ac:dyDescent="0.25">
      <c r="A2152" s="10" t="s">
        <v>2171</v>
      </c>
      <c r="B2152" s="11" t="s">
        <v>1645</v>
      </c>
      <c r="C2152" s="5">
        <v>60958.294800000003</v>
      </c>
      <c r="D2152" s="5">
        <v>60958.294800000003</v>
      </c>
      <c r="E2152" s="5">
        <v>55198.825199999999</v>
      </c>
      <c r="G2152" s="5" t="str">
        <f t="shared" si="67"/>
        <v>ЕЛИЗАВЕТ</v>
      </c>
      <c r="J2152" s="5"/>
      <c r="AL2152" s="5">
        <f t="shared" si="68"/>
        <v>0</v>
      </c>
    </row>
    <row r="2153" spans="1:38" ht="25.5" customHeight="1" x14ac:dyDescent="0.25">
      <c r="A2153" s="10" t="s">
        <v>2172</v>
      </c>
      <c r="B2153" s="11" t="s">
        <v>1691</v>
      </c>
      <c r="C2153" s="5">
        <v>36244.5985</v>
      </c>
      <c r="D2153" s="5">
        <v>36244.5985</v>
      </c>
      <c r="E2153" s="5">
        <v>32992.053800000002</v>
      </c>
      <c r="G2153" s="5" t="str">
        <f t="shared" si="67"/>
        <v>ДинСанПод</v>
      </c>
      <c r="J2153" s="5"/>
      <c r="AL2153" s="5">
        <f t="shared" si="68"/>
        <v>0</v>
      </c>
    </row>
    <row r="2154" spans="1:38" ht="25.5" customHeight="1" x14ac:dyDescent="0.25">
      <c r="A2154" s="10" t="s">
        <v>2173</v>
      </c>
      <c r="B2154" s="11" t="s">
        <v>1691</v>
      </c>
      <c r="C2154" s="5">
        <v>36244.5985</v>
      </c>
      <c r="D2154" s="5">
        <v>36244.5985</v>
      </c>
      <c r="E2154" s="5">
        <v>32992.053800000002</v>
      </c>
      <c r="G2154" s="5" t="str">
        <f t="shared" si="67"/>
        <v>ДинСанПод</v>
      </c>
      <c r="J2154" s="5"/>
      <c r="AL2154" s="5">
        <f t="shared" si="68"/>
        <v>0</v>
      </c>
    </row>
    <row r="2155" spans="1:38" ht="25.5" customHeight="1" x14ac:dyDescent="0.25">
      <c r="A2155" s="10" t="s">
        <v>2174</v>
      </c>
      <c r="B2155" s="11" t="s">
        <v>1694</v>
      </c>
      <c r="C2155" s="5">
        <v>26641.525799999999</v>
      </c>
      <c r="D2155" s="5">
        <v>26641.525799999999</v>
      </c>
      <c r="E2155" s="5">
        <v>24250.754499999999</v>
      </c>
      <c r="G2155" s="5" t="str">
        <f t="shared" si="67"/>
        <v>Первомайский</v>
      </c>
      <c r="J2155" s="5"/>
      <c r="AL2155" s="5">
        <f t="shared" si="68"/>
        <v>0</v>
      </c>
    </row>
    <row r="2156" spans="1:38" ht="25.5" customHeight="1" x14ac:dyDescent="0.25">
      <c r="A2156" s="10" t="s">
        <v>2175</v>
      </c>
      <c r="B2156" s="11" t="s">
        <v>1691</v>
      </c>
      <c r="C2156" s="5">
        <v>36244.5985</v>
      </c>
      <c r="D2156" s="5">
        <v>36244.5985</v>
      </c>
      <c r="E2156" s="5">
        <v>32992.053800000002</v>
      </c>
      <c r="G2156" s="5" t="str">
        <f t="shared" si="67"/>
        <v>ДинСанПод</v>
      </c>
      <c r="J2156" s="5"/>
      <c r="AL2156" s="5">
        <f t="shared" si="68"/>
        <v>0</v>
      </c>
    </row>
    <row r="2157" spans="1:38" ht="25.5" customHeight="1" x14ac:dyDescent="0.25">
      <c r="A2157" s="10" t="s">
        <v>2176</v>
      </c>
      <c r="B2157" s="11" t="s">
        <v>1691</v>
      </c>
      <c r="C2157" s="5">
        <v>36244.5985</v>
      </c>
      <c r="D2157" s="5">
        <v>36244.5985</v>
      </c>
      <c r="E2157" s="5">
        <v>32992.053800000002</v>
      </c>
      <c r="G2157" s="5" t="str">
        <f t="shared" si="67"/>
        <v>ДинСанПод</v>
      </c>
      <c r="J2157" s="5"/>
      <c r="AL2157" s="5">
        <f t="shared" si="68"/>
        <v>0</v>
      </c>
    </row>
    <row r="2158" spans="1:38" ht="25.5" customHeight="1" x14ac:dyDescent="0.25">
      <c r="A2158" s="10" t="s">
        <v>2177</v>
      </c>
      <c r="B2158" s="11" t="s">
        <v>1395</v>
      </c>
      <c r="C2158" s="5">
        <v>27332.119299999998</v>
      </c>
      <c r="D2158" s="5">
        <v>27332.119299999998</v>
      </c>
      <c r="E2158" s="5">
        <v>24879.3747</v>
      </c>
      <c r="G2158" s="5" t="str">
        <f t="shared" si="67"/>
        <v>СОВХОЗ ПЕРВОУРАЛЬСКИЙ</v>
      </c>
      <c r="J2158" s="5"/>
      <c r="AL2158" s="5">
        <f t="shared" si="68"/>
        <v>0</v>
      </c>
    </row>
    <row r="2159" spans="1:38" ht="25.5" customHeight="1" x14ac:dyDescent="0.25">
      <c r="A2159" s="10" t="s">
        <v>2178</v>
      </c>
      <c r="B2159" s="11" t="s">
        <v>1696</v>
      </c>
      <c r="C2159" s="5">
        <v>36808.582300000002</v>
      </c>
      <c r="D2159" s="5">
        <v>36808.582300000002</v>
      </c>
      <c r="E2159" s="5">
        <v>33505.428800000002</v>
      </c>
      <c r="G2159" s="5" t="str">
        <f t="shared" si="67"/>
        <v>Талица</v>
      </c>
      <c r="J2159" s="5"/>
      <c r="AL2159" s="5">
        <f t="shared" si="68"/>
        <v>0</v>
      </c>
    </row>
    <row r="2160" spans="1:38" ht="25.5" customHeight="1" x14ac:dyDescent="0.25">
      <c r="A2160" s="10" t="s">
        <v>2179</v>
      </c>
      <c r="B2160" s="11" t="s">
        <v>1674</v>
      </c>
      <c r="C2160" s="5">
        <v>29199.565200000001</v>
      </c>
      <c r="D2160" s="5">
        <v>29199.565200000001</v>
      </c>
      <c r="E2160" s="5">
        <v>26261.5317</v>
      </c>
      <c r="G2160" s="5" t="str">
        <f t="shared" si="67"/>
        <v>УАЗ</v>
      </c>
      <c r="J2160" s="5"/>
      <c r="AL2160" s="5">
        <f t="shared" si="68"/>
        <v>0</v>
      </c>
    </row>
    <row r="2161" spans="1:38" ht="25.5" customHeight="1" x14ac:dyDescent="0.25">
      <c r="A2161" s="10" t="s">
        <v>364</v>
      </c>
      <c r="B2161" s="11" t="s">
        <v>1677</v>
      </c>
      <c r="C2161" s="5">
        <v>39105.413099999998</v>
      </c>
      <c r="D2161" s="5">
        <v>39105.413099999998</v>
      </c>
      <c r="E2161" s="5">
        <v>35170.666700000002</v>
      </c>
      <c r="G2161" s="5" t="str">
        <f t="shared" si="67"/>
        <v>Октябрьский</v>
      </c>
      <c r="J2161" s="5"/>
      <c r="AL2161" s="5">
        <f t="shared" si="68"/>
        <v>0</v>
      </c>
    </row>
    <row r="2162" spans="1:38" ht="25.5" customHeight="1" x14ac:dyDescent="0.25">
      <c r="A2162" s="10" t="s">
        <v>2180</v>
      </c>
      <c r="B2162" s="11" t="s">
        <v>1395</v>
      </c>
      <c r="C2162" s="5">
        <v>27332.119299999998</v>
      </c>
      <c r="D2162" s="5">
        <v>27332.119299999998</v>
      </c>
      <c r="E2162" s="5">
        <v>24879.3747</v>
      </c>
      <c r="G2162" s="5" t="str">
        <f t="shared" si="67"/>
        <v>СОВХОЗ ПЕРВОУРАЛЬСКИЙ</v>
      </c>
      <c r="J2162" s="5"/>
      <c r="AL2162" s="5">
        <f t="shared" si="68"/>
        <v>0</v>
      </c>
    </row>
    <row r="2163" spans="1:38" ht="25.5" customHeight="1" x14ac:dyDescent="0.25">
      <c r="A2163" s="10" t="s">
        <v>2181</v>
      </c>
      <c r="B2163" s="11" t="s">
        <v>1692</v>
      </c>
      <c r="C2163" s="5">
        <v>38366.254699999998</v>
      </c>
      <c r="D2163" s="5">
        <v>38366.254699999998</v>
      </c>
      <c r="E2163" s="5">
        <v>34923.320599999999</v>
      </c>
      <c r="G2163" s="5" t="str">
        <f t="shared" si="67"/>
        <v>Западный</v>
      </c>
      <c r="J2163" s="5"/>
      <c r="AL2163" s="5">
        <f t="shared" si="68"/>
        <v>0</v>
      </c>
    </row>
    <row r="2164" spans="1:38" ht="25.5" customHeight="1" x14ac:dyDescent="0.25">
      <c r="A2164" s="10" t="s">
        <v>2182</v>
      </c>
      <c r="B2164" s="11" t="s">
        <v>1677</v>
      </c>
      <c r="C2164" s="5">
        <v>39105.413099999998</v>
      </c>
      <c r="D2164" s="5">
        <v>39105.413099999998</v>
      </c>
      <c r="E2164" s="5">
        <v>35170.666700000002</v>
      </c>
      <c r="G2164" s="5" t="str">
        <f t="shared" si="67"/>
        <v>Октябрьский</v>
      </c>
      <c r="J2164" s="5"/>
      <c r="AL2164" s="5">
        <f t="shared" si="68"/>
        <v>0</v>
      </c>
    </row>
    <row r="2165" spans="1:38" ht="25.5" customHeight="1" x14ac:dyDescent="0.25">
      <c r="A2165" s="10" t="s">
        <v>2183</v>
      </c>
      <c r="B2165" s="11" t="s">
        <v>1676</v>
      </c>
      <c r="C2165" s="5">
        <v>28848.8855</v>
      </c>
      <c r="D2165" s="5">
        <v>28848.8855</v>
      </c>
      <c r="E2165" s="5">
        <v>25946.143</v>
      </c>
      <c r="G2165" s="5" t="str">
        <f t="shared" si="67"/>
        <v>Чкаловский</v>
      </c>
      <c r="J2165" s="5"/>
      <c r="AL2165" s="5">
        <f t="shared" si="68"/>
        <v>0</v>
      </c>
    </row>
    <row r="2166" spans="1:38" ht="25.5" customHeight="1" x14ac:dyDescent="0.25">
      <c r="A2166" s="10" t="s">
        <v>419</v>
      </c>
      <c r="B2166" s="5" t="s">
        <v>1679</v>
      </c>
      <c r="C2166" s="5">
        <v>28855.326499999999</v>
      </c>
      <c r="D2166" s="5">
        <v>28855.326499999999</v>
      </c>
      <c r="E2166" s="5">
        <v>25951.933700000001</v>
      </c>
      <c r="G2166" s="5" t="str">
        <f t="shared" si="67"/>
        <v>Ст.Каменск-Хозспособ</v>
      </c>
      <c r="J2166" s="5"/>
      <c r="AL2166" s="5">
        <f t="shared" si="68"/>
        <v>0</v>
      </c>
    </row>
    <row r="2167" spans="1:38" ht="25.5" customHeight="1" x14ac:dyDescent="0.25">
      <c r="A2167" s="10" t="s">
        <v>1482</v>
      </c>
      <c r="B2167" s="11" t="s">
        <v>1684</v>
      </c>
      <c r="C2167" s="5">
        <v>40625.090199999999</v>
      </c>
      <c r="D2167" s="5">
        <v>40625.090199999999</v>
      </c>
      <c r="E2167" s="5">
        <v>35661.364300000001</v>
      </c>
      <c r="G2167" s="5" t="str">
        <f t="shared" si="67"/>
        <v>Ваг_Стар_Пихтовы-г</v>
      </c>
      <c r="J2167" s="5"/>
      <c r="AL2167" s="5">
        <f t="shared" si="68"/>
        <v>0</v>
      </c>
    </row>
    <row r="2168" spans="1:38" ht="25.5" customHeight="1" x14ac:dyDescent="0.25">
      <c r="A2168" s="10" t="s">
        <v>446</v>
      </c>
      <c r="B2168" s="11" t="s">
        <v>1682</v>
      </c>
      <c r="C2168" s="5">
        <v>38278.589899999999</v>
      </c>
      <c r="D2168" s="5">
        <v>38278.589899999999</v>
      </c>
      <c r="E2168" s="5">
        <v>34427.0285</v>
      </c>
      <c r="G2168" s="5" t="str">
        <f t="shared" si="67"/>
        <v>Трубников</v>
      </c>
      <c r="J2168" s="5"/>
      <c r="AL2168" s="5">
        <f t="shared" si="68"/>
        <v>0</v>
      </c>
    </row>
    <row r="2169" spans="1:38" ht="25.5" customHeight="1" x14ac:dyDescent="0.25">
      <c r="A2169" s="10" t="s">
        <v>141</v>
      </c>
      <c r="B2169" s="11" t="s">
        <v>1689</v>
      </c>
      <c r="C2169" s="5">
        <v>34023.428</v>
      </c>
      <c r="D2169" s="5">
        <v>34023.428</v>
      </c>
      <c r="E2169" s="5">
        <v>29866.3148</v>
      </c>
      <c r="G2169" s="5" t="str">
        <f t="shared" si="67"/>
        <v>Тагил_Кирп</v>
      </c>
      <c r="J2169" s="5"/>
      <c r="AL2169" s="5">
        <f t="shared" si="68"/>
        <v>0</v>
      </c>
    </row>
    <row r="2170" spans="1:38" ht="25.5" customHeight="1" x14ac:dyDescent="0.25">
      <c r="A2170" s="10" t="s">
        <v>2184</v>
      </c>
      <c r="B2170" s="11" t="s">
        <v>1684</v>
      </c>
      <c r="C2170" s="5">
        <v>40625.090199999999</v>
      </c>
      <c r="D2170" s="5">
        <v>40625.090199999999</v>
      </c>
      <c r="E2170" s="5">
        <v>35661.364300000001</v>
      </c>
      <c r="G2170" s="5" t="str">
        <f t="shared" si="67"/>
        <v>Ваг_Стар_Пихтовы-г</v>
      </c>
      <c r="J2170" s="5"/>
      <c r="AL2170" s="5">
        <f t="shared" si="68"/>
        <v>0</v>
      </c>
    </row>
    <row r="2171" spans="1:38" ht="25.5" customHeight="1" x14ac:dyDescent="0.25">
      <c r="A2171" s="10" t="s">
        <v>2185</v>
      </c>
      <c r="B2171" s="11" t="s">
        <v>1687</v>
      </c>
      <c r="C2171" s="5">
        <v>30591.135900000001</v>
      </c>
      <c r="D2171" s="5">
        <v>30591.135900000001</v>
      </c>
      <c r="E2171" s="5">
        <v>26853.405500000001</v>
      </c>
      <c r="G2171" s="5" t="str">
        <f t="shared" si="67"/>
        <v>Рудник_Север</v>
      </c>
      <c r="J2171" s="5"/>
      <c r="AL2171" s="5">
        <f t="shared" si="68"/>
        <v>0</v>
      </c>
    </row>
    <row r="2172" spans="1:38" ht="25.5" customHeight="1" x14ac:dyDescent="0.25">
      <c r="A2172" s="10" t="s">
        <v>40</v>
      </c>
      <c r="B2172" s="11" t="s">
        <v>1685</v>
      </c>
      <c r="C2172" s="5">
        <v>36513.6518</v>
      </c>
      <c r="D2172" s="5">
        <v>36513.6518</v>
      </c>
      <c r="E2172" s="5">
        <v>32052.276999999998</v>
      </c>
      <c r="G2172" s="5" t="str">
        <f t="shared" si="67"/>
        <v>Выя_Леб_Горб_Кр-Кам</v>
      </c>
      <c r="J2172" s="5"/>
      <c r="AL2172" s="5">
        <f t="shared" si="68"/>
        <v>0</v>
      </c>
    </row>
    <row r="2173" spans="1:38" ht="25.5" customHeight="1" x14ac:dyDescent="0.25">
      <c r="A2173" s="10" t="s">
        <v>112</v>
      </c>
      <c r="B2173" s="11" t="s">
        <v>1684</v>
      </c>
      <c r="C2173" s="5">
        <v>40625.090199999999</v>
      </c>
      <c r="D2173" s="5">
        <v>40625.090199999999</v>
      </c>
      <c r="E2173" s="5">
        <v>35661.364300000001</v>
      </c>
      <c r="G2173" s="5" t="str">
        <f t="shared" si="67"/>
        <v>Ваг_Стар_Пихтовы-г</v>
      </c>
      <c r="J2173" s="5"/>
      <c r="AL2173" s="5">
        <f t="shared" si="68"/>
        <v>0</v>
      </c>
    </row>
    <row r="2174" spans="1:38" ht="25.5" customHeight="1" x14ac:dyDescent="0.25">
      <c r="A2174" s="10" t="s">
        <v>106</v>
      </c>
      <c r="B2174" s="11" t="s">
        <v>1685</v>
      </c>
      <c r="C2174" s="5">
        <v>36513.6518</v>
      </c>
      <c r="D2174" s="5">
        <v>36513.6518</v>
      </c>
      <c r="E2174" s="5">
        <v>32052.276999999998</v>
      </c>
      <c r="G2174" s="5" t="str">
        <f t="shared" si="67"/>
        <v>Выя_Леб_Горб_Кр-Кам</v>
      </c>
      <c r="J2174" s="5"/>
      <c r="AL2174" s="5">
        <f t="shared" si="68"/>
        <v>0</v>
      </c>
    </row>
    <row r="2175" spans="1:38" ht="25.5" customHeight="1" x14ac:dyDescent="0.25">
      <c r="A2175" s="10" t="s">
        <v>2186</v>
      </c>
      <c r="B2175" s="11" t="s">
        <v>1685</v>
      </c>
      <c r="C2175" s="5">
        <v>36513.6518</v>
      </c>
      <c r="D2175" s="5">
        <v>36513.6518</v>
      </c>
      <c r="E2175" s="5">
        <v>32052.276999999998</v>
      </c>
      <c r="G2175" s="5" t="str">
        <f t="shared" si="67"/>
        <v>Выя_Леб_Горб_Кр-Кам</v>
      </c>
      <c r="J2175" s="5"/>
      <c r="AL2175" s="5">
        <f t="shared" si="68"/>
        <v>0</v>
      </c>
    </row>
    <row r="2176" spans="1:38" ht="25.5" customHeight="1" x14ac:dyDescent="0.25">
      <c r="A2176" s="10" t="s">
        <v>2187</v>
      </c>
      <c r="B2176" s="11" t="s">
        <v>1683</v>
      </c>
      <c r="C2176" s="5">
        <v>40018.9617</v>
      </c>
      <c r="D2176" s="5">
        <v>40018.9617</v>
      </c>
      <c r="E2176" s="5">
        <v>35129.2961</v>
      </c>
      <c r="G2176" s="5" t="str">
        <f t="shared" si="67"/>
        <v>Алт_Гальян_М-Кушва</v>
      </c>
      <c r="J2176" s="5"/>
      <c r="AL2176" s="5">
        <f t="shared" si="68"/>
        <v>0</v>
      </c>
    </row>
    <row r="2177" spans="1:38" ht="25.5" customHeight="1" x14ac:dyDescent="0.25">
      <c r="A2177" s="10" t="s">
        <v>2188</v>
      </c>
      <c r="B2177" s="11" t="s">
        <v>1688</v>
      </c>
      <c r="C2177" s="5">
        <v>29893.73</v>
      </c>
      <c r="D2177" s="5">
        <v>29893.73</v>
      </c>
      <c r="E2177" s="5">
        <v>26241.207699999999</v>
      </c>
      <c r="G2177" s="5" t="str">
        <f t="shared" si="67"/>
        <v>Сух_Г-Кам_Н_Кушва_Н-Черм</v>
      </c>
      <c r="J2177" s="5"/>
      <c r="AL2177" s="5">
        <f t="shared" si="68"/>
        <v>0</v>
      </c>
    </row>
    <row r="2178" spans="1:38" ht="25.5" customHeight="1" x14ac:dyDescent="0.25">
      <c r="A2178" s="10" t="s">
        <v>2189</v>
      </c>
      <c r="B2178" s="11" t="s">
        <v>1684</v>
      </c>
      <c r="C2178" s="5">
        <v>40625.090199999999</v>
      </c>
      <c r="D2178" s="5">
        <v>40625.090199999999</v>
      </c>
      <c r="E2178" s="5">
        <v>35661.364300000001</v>
      </c>
      <c r="G2178" s="5" t="str">
        <f t="shared" si="67"/>
        <v>Ваг_Стар_Пихтовы-г</v>
      </c>
      <c r="J2178" s="5"/>
      <c r="AL2178" s="5">
        <f t="shared" si="68"/>
        <v>0</v>
      </c>
    </row>
    <row r="2179" spans="1:38" ht="25.5" customHeight="1" x14ac:dyDescent="0.25">
      <c r="A2179" s="10" t="s">
        <v>2190</v>
      </c>
      <c r="B2179" s="11" t="s">
        <v>1685</v>
      </c>
      <c r="C2179" s="5">
        <v>36513.6518</v>
      </c>
      <c r="D2179" s="5">
        <v>36513.6518</v>
      </c>
      <c r="E2179" s="5">
        <v>32052.276999999998</v>
      </c>
      <c r="G2179" s="5" t="str">
        <f t="shared" si="67"/>
        <v>Выя_Леб_Горб_Кр-Кам</v>
      </c>
      <c r="J2179" s="5"/>
      <c r="AL2179" s="5">
        <f t="shared" si="68"/>
        <v>0</v>
      </c>
    </row>
    <row r="2180" spans="1:38" ht="25.5" customHeight="1" x14ac:dyDescent="0.25">
      <c r="A2180" s="10" t="s">
        <v>176</v>
      </c>
      <c r="B2180" s="11" t="s">
        <v>1688</v>
      </c>
      <c r="C2180" s="5">
        <v>29893.73</v>
      </c>
      <c r="D2180" s="5">
        <v>29893.73</v>
      </c>
      <c r="E2180" s="5">
        <v>26241.207699999999</v>
      </c>
      <c r="G2180" s="5" t="str">
        <f t="shared" ref="G2180:G2243" si="69">B2180</f>
        <v>Сух_Г-Кам_Н_Кушва_Н-Черм</v>
      </c>
      <c r="J2180" s="5"/>
      <c r="AL2180" s="5">
        <f t="shared" ref="AL2180:AL2243" si="70">AF2180</f>
        <v>0</v>
      </c>
    </row>
    <row r="2181" spans="1:38" ht="25.5" customHeight="1" x14ac:dyDescent="0.25">
      <c r="A2181" s="10" t="s">
        <v>2191</v>
      </c>
      <c r="B2181" s="11" t="s">
        <v>1637</v>
      </c>
      <c r="C2181" s="5">
        <v>59368.686099999999</v>
      </c>
      <c r="D2181" s="5">
        <v>59368.686099999999</v>
      </c>
      <c r="E2181" s="5">
        <v>53759.401700000002</v>
      </c>
      <c r="G2181" s="5" t="str">
        <f t="shared" si="69"/>
        <v>Старая сортировка</v>
      </c>
      <c r="J2181" s="5"/>
      <c r="AL2181" s="5">
        <f t="shared" si="70"/>
        <v>0</v>
      </c>
    </row>
    <row r="2182" spans="1:38" ht="25.5" customHeight="1" x14ac:dyDescent="0.25">
      <c r="A2182" s="10" t="s">
        <v>85</v>
      </c>
      <c r="B2182" s="11" t="s">
        <v>1689</v>
      </c>
      <c r="C2182" s="5">
        <v>34023.428</v>
      </c>
      <c r="D2182" s="5">
        <v>34023.428</v>
      </c>
      <c r="E2182" s="5">
        <v>29866.3148</v>
      </c>
      <c r="G2182" s="5" t="str">
        <f t="shared" si="69"/>
        <v>Тагил_Кирп</v>
      </c>
      <c r="J2182" s="5"/>
      <c r="AL2182" s="5">
        <f t="shared" si="70"/>
        <v>0</v>
      </c>
    </row>
    <row r="2183" spans="1:38" ht="25.5" customHeight="1" x14ac:dyDescent="0.25">
      <c r="A2183" s="10" t="s">
        <v>330</v>
      </c>
      <c r="B2183" s="11" t="s">
        <v>1683</v>
      </c>
      <c r="C2183" s="5">
        <v>40018.9617</v>
      </c>
      <c r="D2183" s="5">
        <v>40018.9617</v>
      </c>
      <c r="E2183" s="5">
        <v>35129.2961</v>
      </c>
      <c r="G2183" s="5" t="str">
        <f t="shared" si="69"/>
        <v>Алт_Гальян_М-Кушва</v>
      </c>
      <c r="J2183" s="5"/>
      <c r="AL2183" s="5">
        <f t="shared" si="70"/>
        <v>0</v>
      </c>
    </row>
    <row r="2184" spans="1:38" ht="25.5" customHeight="1" x14ac:dyDescent="0.25">
      <c r="A2184" s="10" t="s">
        <v>2192</v>
      </c>
      <c r="B2184" s="11" t="s">
        <v>1679</v>
      </c>
      <c r="C2184" s="5">
        <v>28855.326499999999</v>
      </c>
      <c r="D2184" s="5">
        <v>28855.326499999999</v>
      </c>
      <c r="E2184" s="5">
        <v>25951.933700000001</v>
      </c>
      <c r="G2184" s="5" t="str">
        <f t="shared" si="69"/>
        <v>Ст.Каменск-Хозспособ</v>
      </c>
      <c r="J2184" s="5"/>
      <c r="AL2184" s="5">
        <f t="shared" si="70"/>
        <v>0</v>
      </c>
    </row>
    <row r="2185" spans="1:38" ht="25.5" customHeight="1" x14ac:dyDescent="0.25">
      <c r="A2185" s="10" t="s">
        <v>2193</v>
      </c>
      <c r="B2185" s="11" t="s">
        <v>1691</v>
      </c>
      <c r="C2185" s="5">
        <v>36244.5985</v>
      </c>
      <c r="D2185" s="5">
        <v>36244.5985</v>
      </c>
      <c r="E2185" s="5">
        <v>32992.053800000002</v>
      </c>
      <c r="G2185" s="5" t="str">
        <f t="shared" si="69"/>
        <v>ДинСанПод</v>
      </c>
      <c r="J2185" s="5"/>
      <c r="AL2185" s="5">
        <f t="shared" si="70"/>
        <v>0</v>
      </c>
    </row>
    <row r="2186" spans="1:38" ht="25.5" customHeight="1" x14ac:dyDescent="0.25">
      <c r="A2186" s="10" t="s">
        <v>2194</v>
      </c>
      <c r="B2186" s="11" t="s">
        <v>1680</v>
      </c>
      <c r="C2186" s="5">
        <v>29151.309799999999</v>
      </c>
      <c r="D2186" s="5">
        <v>29151.309799999999</v>
      </c>
      <c r="E2186" s="5">
        <v>26218.127700000001</v>
      </c>
      <c r="G2186" s="5" t="str">
        <f t="shared" si="69"/>
        <v>Северный</v>
      </c>
      <c r="J2186" s="5"/>
      <c r="AL2186" s="5">
        <f t="shared" si="70"/>
        <v>0</v>
      </c>
    </row>
    <row r="2187" spans="1:38" ht="25.5" customHeight="1" x14ac:dyDescent="0.25">
      <c r="A2187" s="10" t="s">
        <v>2195</v>
      </c>
      <c r="B2187" s="11" t="s">
        <v>1679</v>
      </c>
      <c r="C2187" s="5">
        <v>28855.326499999999</v>
      </c>
      <c r="D2187" s="5">
        <v>28855.326499999999</v>
      </c>
      <c r="E2187" s="5">
        <v>25951.933700000001</v>
      </c>
      <c r="G2187" s="5" t="str">
        <f t="shared" si="69"/>
        <v>Ст.Каменск-Хозспособ</v>
      </c>
      <c r="J2187" s="5"/>
      <c r="AL2187" s="5">
        <f t="shared" si="70"/>
        <v>0</v>
      </c>
    </row>
    <row r="2188" spans="1:38" ht="25.5" customHeight="1" x14ac:dyDescent="0.25">
      <c r="A2188" s="10" t="s">
        <v>2196</v>
      </c>
      <c r="B2188" s="11" t="s">
        <v>1679</v>
      </c>
      <c r="C2188" s="5">
        <v>28855.326499999999</v>
      </c>
      <c r="D2188" s="5">
        <v>28855.326499999999</v>
      </c>
      <c r="E2188" s="5">
        <v>25951.933700000001</v>
      </c>
      <c r="G2188" s="5" t="str">
        <f t="shared" si="69"/>
        <v>Ст.Каменск-Хозспособ</v>
      </c>
      <c r="J2188" s="5"/>
      <c r="AL2188" s="5">
        <f t="shared" si="70"/>
        <v>0</v>
      </c>
    </row>
    <row r="2189" spans="1:38" ht="25.5" customHeight="1" x14ac:dyDescent="0.25">
      <c r="A2189" s="10" t="s">
        <v>2197</v>
      </c>
      <c r="B2189" s="11" t="s">
        <v>1679</v>
      </c>
      <c r="C2189" s="5">
        <v>28855.326499999999</v>
      </c>
      <c r="D2189" s="5">
        <v>28855.326499999999</v>
      </c>
      <c r="E2189" s="5">
        <v>25951.933700000001</v>
      </c>
      <c r="G2189" s="5" t="str">
        <f t="shared" si="69"/>
        <v>Ст.Каменск-Хозспособ</v>
      </c>
      <c r="J2189" s="5"/>
      <c r="AL2189" s="5">
        <f t="shared" si="70"/>
        <v>0</v>
      </c>
    </row>
    <row r="2190" spans="1:38" ht="25.5" customHeight="1" x14ac:dyDescent="0.25">
      <c r="A2190" s="10" t="s">
        <v>184</v>
      </c>
      <c r="B2190" s="11" t="s">
        <v>1682</v>
      </c>
      <c r="C2190" s="5">
        <v>38278.589899999999</v>
      </c>
      <c r="D2190" s="5">
        <v>38278.589899999999</v>
      </c>
      <c r="E2190" s="5">
        <v>34427.0285</v>
      </c>
      <c r="G2190" s="5" t="str">
        <f t="shared" si="69"/>
        <v>Трубников</v>
      </c>
      <c r="J2190" s="5"/>
      <c r="AL2190" s="5">
        <f t="shared" si="70"/>
        <v>0</v>
      </c>
    </row>
    <row r="2191" spans="1:38" ht="25.5" customHeight="1" x14ac:dyDescent="0.25">
      <c r="A2191" s="10" t="s">
        <v>2198</v>
      </c>
      <c r="B2191" s="11" t="s">
        <v>1691</v>
      </c>
      <c r="C2191" s="5">
        <v>36244.5985</v>
      </c>
      <c r="D2191" s="5">
        <v>36244.5985</v>
      </c>
      <c r="E2191" s="5">
        <v>32992.053800000002</v>
      </c>
      <c r="G2191" s="5" t="str">
        <f t="shared" si="69"/>
        <v>ДинСанПод</v>
      </c>
      <c r="J2191" s="5"/>
      <c r="AL2191" s="5">
        <f t="shared" si="70"/>
        <v>0</v>
      </c>
    </row>
    <row r="2192" spans="1:38" ht="25.5" customHeight="1" x14ac:dyDescent="0.25">
      <c r="A2192" s="10" t="s">
        <v>697</v>
      </c>
      <c r="B2192" s="11" t="s">
        <v>1683</v>
      </c>
      <c r="C2192" s="5">
        <v>40018.9617</v>
      </c>
      <c r="D2192" s="5">
        <v>40018.9617</v>
      </c>
      <c r="E2192" s="5">
        <v>35129.2961</v>
      </c>
      <c r="G2192" s="5" t="str">
        <f t="shared" si="69"/>
        <v>Алт_Гальян_М-Кушва</v>
      </c>
      <c r="J2192" s="5"/>
      <c r="AL2192" s="5">
        <f t="shared" si="70"/>
        <v>0</v>
      </c>
    </row>
    <row r="2193" spans="1:38" ht="25.5" customHeight="1" x14ac:dyDescent="0.25">
      <c r="A2193" s="10" t="s">
        <v>345</v>
      </c>
      <c r="B2193" s="11" t="s">
        <v>1688</v>
      </c>
      <c r="C2193" s="5">
        <v>29893.73</v>
      </c>
      <c r="D2193" s="5">
        <v>29893.73</v>
      </c>
      <c r="E2193" s="5">
        <v>26241.207699999999</v>
      </c>
      <c r="G2193" s="5" t="str">
        <f t="shared" si="69"/>
        <v>Сух_Г-Кам_Н_Кушва_Н-Черм</v>
      </c>
      <c r="J2193" s="5"/>
      <c r="AL2193" s="5">
        <f t="shared" si="70"/>
        <v>0</v>
      </c>
    </row>
    <row r="2194" spans="1:38" ht="25.5" customHeight="1" x14ac:dyDescent="0.25">
      <c r="A2194" s="10" t="s">
        <v>91</v>
      </c>
      <c r="B2194" s="11" t="s">
        <v>1685</v>
      </c>
      <c r="C2194" s="5">
        <v>36513.6518</v>
      </c>
      <c r="D2194" s="5">
        <v>36513.6518</v>
      </c>
      <c r="E2194" s="5">
        <v>32052.276999999998</v>
      </c>
      <c r="G2194" s="5" t="str">
        <f t="shared" si="69"/>
        <v>Выя_Леб_Горб_Кр-Кам</v>
      </c>
      <c r="J2194" s="5"/>
      <c r="AL2194" s="5">
        <f t="shared" si="70"/>
        <v>0</v>
      </c>
    </row>
    <row r="2195" spans="1:38" ht="25.5" customHeight="1" x14ac:dyDescent="0.25">
      <c r="A2195" s="10" t="s">
        <v>2199</v>
      </c>
      <c r="B2195" s="11" t="s">
        <v>33</v>
      </c>
      <c r="C2195" s="5">
        <v>84298.205100000006</v>
      </c>
      <c r="D2195" s="5">
        <v>84298.205100000006</v>
      </c>
      <c r="E2195" s="5">
        <v>76333.533100000001</v>
      </c>
      <c r="G2195" s="5" t="str">
        <f t="shared" si="69"/>
        <v>ВИЗ</v>
      </c>
      <c r="J2195" s="5"/>
      <c r="AL2195" s="5">
        <f t="shared" si="70"/>
        <v>0</v>
      </c>
    </row>
    <row r="2196" spans="1:38" ht="25.5" customHeight="1" x14ac:dyDescent="0.25">
      <c r="A2196" s="10" t="s">
        <v>132</v>
      </c>
      <c r="B2196" s="11" t="s">
        <v>1681</v>
      </c>
      <c r="C2196" s="5">
        <v>32172.2909</v>
      </c>
      <c r="D2196" s="5">
        <v>32172.2909</v>
      </c>
      <c r="E2196" s="5">
        <v>28935.146499999999</v>
      </c>
      <c r="G2196" s="5" t="str">
        <f t="shared" si="69"/>
        <v>Ленин-Олимп</v>
      </c>
      <c r="J2196" s="5"/>
      <c r="AL2196" s="5">
        <f t="shared" si="70"/>
        <v>0</v>
      </c>
    </row>
    <row r="2197" spans="1:38" ht="25.5" customHeight="1" x14ac:dyDescent="0.25">
      <c r="A2197" s="10" t="s">
        <v>2200</v>
      </c>
      <c r="B2197" s="11" t="s">
        <v>1691</v>
      </c>
      <c r="C2197" s="5">
        <v>36244.5985</v>
      </c>
      <c r="D2197" s="5">
        <v>36244.5985</v>
      </c>
      <c r="E2197" s="5">
        <v>32992.053800000002</v>
      </c>
      <c r="G2197" s="5" t="str">
        <f t="shared" si="69"/>
        <v>ДинСанПод</v>
      </c>
      <c r="J2197" s="5"/>
      <c r="AL2197" s="5">
        <f t="shared" si="70"/>
        <v>0</v>
      </c>
    </row>
    <row r="2198" spans="1:38" ht="25.5" customHeight="1" x14ac:dyDescent="0.25">
      <c r="A2198" s="10" t="s">
        <v>2201</v>
      </c>
      <c r="B2198" s="11" t="s">
        <v>1695</v>
      </c>
      <c r="C2198" s="5">
        <v>40100.412600000003</v>
      </c>
      <c r="D2198" s="5">
        <v>40100.412600000003</v>
      </c>
      <c r="E2198" s="5">
        <v>36501.853799999997</v>
      </c>
      <c r="G2198" s="5" t="str">
        <f t="shared" si="69"/>
        <v>Соцгород</v>
      </c>
      <c r="J2198" s="5"/>
      <c r="AL2198" s="5">
        <f t="shared" si="70"/>
        <v>0</v>
      </c>
    </row>
    <row r="2199" spans="1:38" ht="25.5" customHeight="1" x14ac:dyDescent="0.25">
      <c r="A2199" s="10" t="s">
        <v>535</v>
      </c>
      <c r="B2199" s="11" t="s">
        <v>1684</v>
      </c>
      <c r="C2199" s="5">
        <v>40625.090199999999</v>
      </c>
      <c r="D2199" s="5">
        <v>40625.090199999999</v>
      </c>
      <c r="E2199" s="5">
        <v>35661.364300000001</v>
      </c>
      <c r="G2199" s="5" t="str">
        <f t="shared" si="69"/>
        <v>Ваг_Стар_Пихтовы-г</v>
      </c>
      <c r="J2199" s="5"/>
      <c r="AL2199" s="5">
        <f t="shared" si="70"/>
        <v>0</v>
      </c>
    </row>
    <row r="2200" spans="1:38" ht="25.5" customHeight="1" x14ac:dyDescent="0.25">
      <c r="A2200" s="10" t="s">
        <v>2202</v>
      </c>
      <c r="B2200" s="11" t="s">
        <v>1679</v>
      </c>
      <c r="C2200" s="5">
        <v>28855.326499999999</v>
      </c>
      <c r="D2200" s="5">
        <v>28855.326499999999</v>
      </c>
      <c r="E2200" s="5">
        <v>25951.933700000001</v>
      </c>
      <c r="G2200" s="5" t="str">
        <f t="shared" si="69"/>
        <v>Ст.Каменск-Хозспособ</v>
      </c>
      <c r="J2200" s="5"/>
      <c r="AL2200" s="5">
        <f t="shared" si="70"/>
        <v>0</v>
      </c>
    </row>
    <row r="2201" spans="1:38" ht="25.5" customHeight="1" x14ac:dyDescent="0.25">
      <c r="A2201" s="10" t="s">
        <v>2203</v>
      </c>
      <c r="B2201" s="11" t="s">
        <v>1683</v>
      </c>
      <c r="C2201" s="5">
        <v>40018.9617</v>
      </c>
      <c r="D2201" s="5">
        <v>40018.9617</v>
      </c>
      <c r="E2201" s="5">
        <v>35129.2961</v>
      </c>
      <c r="G2201" s="5" t="str">
        <f t="shared" si="69"/>
        <v>Алт_Гальян_М-Кушва</v>
      </c>
      <c r="J2201" s="5"/>
      <c r="AL2201" s="5">
        <f t="shared" si="70"/>
        <v>0</v>
      </c>
    </row>
    <row r="2202" spans="1:38" ht="25.5" customHeight="1" x14ac:dyDescent="0.25">
      <c r="A2202" s="10" t="s">
        <v>2204</v>
      </c>
      <c r="B2202" s="11" t="s">
        <v>1687</v>
      </c>
      <c r="C2202" s="5">
        <v>30591.135900000001</v>
      </c>
      <c r="D2202" s="5">
        <v>30591.135900000001</v>
      </c>
      <c r="E2202" s="5">
        <v>26853.405500000001</v>
      </c>
      <c r="G2202" s="5" t="str">
        <f t="shared" si="69"/>
        <v>Рудник_Север</v>
      </c>
      <c r="J2202" s="5"/>
      <c r="AL2202" s="5">
        <f t="shared" si="70"/>
        <v>0</v>
      </c>
    </row>
    <row r="2203" spans="1:38" ht="25.5" customHeight="1" x14ac:dyDescent="0.25">
      <c r="A2203" s="10" t="s">
        <v>2205</v>
      </c>
      <c r="B2203" s="11" t="s">
        <v>1689</v>
      </c>
      <c r="C2203" s="5">
        <v>34023.428</v>
      </c>
      <c r="D2203" s="5">
        <v>34023.428</v>
      </c>
      <c r="E2203" s="5">
        <v>29866.3148</v>
      </c>
      <c r="G2203" s="5" t="str">
        <f t="shared" si="69"/>
        <v>Тагил_Кирп</v>
      </c>
      <c r="J2203" s="5"/>
      <c r="AL2203" s="5">
        <f t="shared" si="70"/>
        <v>0</v>
      </c>
    </row>
    <row r="2204" spans="1:38" ht="25.5" customHeight="1" x14ac:dyDescent="0.25">
      <c r="A2204" s="10" t="s">
        <v>1366</v>
      </c>
      <c r="B2204" s="11" t="s">
        <v>1683</v>
      </c>
      <c r="C2204" s="5">
        <v>40018.9617</v>
      </c>
      <c r="D2204" s="5">
        <v>40018.9617</v>
      </c>
      <c r="E2204" s="5">
        <v>35129.2961</v>
      </c>
      <c r="G2204" s="5" t="str">
        <f t="shared" si="69"/>
        <v>Алт_Гальян_М-Кушва</v>
      </c>
      <c r="J2204" s="5"/>
      <c r="AL2204" s="5">
        <f t="shared" si="70"/>
        <v>0</v>
      </c>
    </row>
    <row r="2205" spans="1:38" ht="25.5" customHeight="1" x14ac:dyDescent="0.25">
      <c r="A2205" s="10" t="s">
        <v>2206</v>
      </c>
      <c r="B2205" s="11" t="s">
        <v>1395</v>
      </c>
      <c r="C2205" s="5">
        <v>27332.119299999998</v>
      </c>
      <c r="D2205" s="5">
        <v>27332.119299999998</v>
      </c>
      <c r="E2205" s="5">
        <v>24879.3747</v>
      </c>
      <c r="G2205" s="5" t="str">
        <f t="shared" si="69"/>
        <v>СОВХОЗ ПЕРВОУРАЛЬСКИЙ</v>
      </c>
      <c r="J2205" s="5"/>
      <c r="AL2205" s="5">
        <f t="shared" si="70"/>
        <v>0</v>
      </c>
    </row>
    <row r="2206" spans="1:38" ht="25.5" customHeight="1" x14ac:dyDescent="0.25">
      <c r="A2206" s="10" t="s">
        <v>161</v>
      </c>
      <c r="B2206" s="11" t="s">
        <v>1685</v>
      </c>
      <c r="C2206" s="5">
        <v>36513.6518</v>
      </c>
      <c r="D2206" s="5">
        <v>36513.6518</v>
      </c>
      <c r="E2206" s="5">
        <v>32052.276999999998</v>
      </c>
      <c r="G2206" s="5" t="str">
        <f t="shared" si="69"/>
        <v>Выя_Леб_Горб_Кр-Кам</v>
      </c>
      <c r="J2206" s="5"/>
      <c r="AL2206" s="5">
        <f t="shared" si="70"/>
        <v>0</v>
      </c>
    </row>
    <row r="2207" spans="1:38" ht="25.5" customHeight="1" x14ac:dyDescent="0.25">
      <c r="A2207" s="10" t="s">
        <v>1376</v>
      </c>
      <c r="B2207" s="11" t="s">
        <v>1679</v>
      </c>
      <c r="C2207" s="5">
        <v>28855.326499999999</v>
      </c>
      <c r="D2207" s="5">
        <v>28855.326499999999</v>
      </c>
      <c r="E2207" s="5">
        <v>25951.933700000001</v>
      </c>
      <c r="G2207" s="5" t="str">
        <f t="shared" si="69"/>
        <v>Ст.Каменск-Хозспособ</v>
      </c>
      <c r="J2207" s="5"/>
      <c r="AL2207" s="5">
        <f t="shared" si="70"/>
        <v>0</v>
      </c>
    </row>
    <row r="2208" spans="1:38" ht="25.5" customHeight="1" x14ac:dyDescent="0.25">
      <c r="A2208" s="10" t="s">
        <v>1371</v>
      </c>
      <c r="B2208" s="11" t="s">
        <v>1680</v>
      </c>
      <c r="C2208" s="5">
        <v>29151.309799999999</v>
      </c>
      <c r="D2208" s="5">
        <v>29151.309799999999</v>
      </c>
      <c r="E2208" s="5">
        <v>26218.127700000001</v>
      </c>
      <c r="G2208" s="5" t="str">
        <f t="shared" si="69"/>
        <v>Северный</v>
      </c>
      <c r="J2208" s="5"/>
      <c r="AL2208" s="5">
        <f t="shared" si="70"/>
        <v>0</v>
      </c>
    </row>
    <row r="2209" spans="1:38" x14ac:dyDescent="0.25">
      <c r="A2209" s="10" t="s">
        <v>2207</v>
      </c>
      <c r="B2209" s="11" t="s">
        <v>1681</v>
      </c>
      <c r="C2209" s="5">
        <v>32172.2909</v>
      </c>
      <c r="D2209" s="5">
        <v>32172.2909</v>
      </c>
      <c r="E2209" s="5">
        <v>28935.146499999999</v>
      </c>
      <c r="G2209" s="5" t="str">
        <f t="shared" si="69"/>
        <v>Ленин-Олимп</v>
      </c>
      <c r="J2209" s="5"/>
      <c r="AL2209" s="5">
        <f t="shared" si="70"/>
        <v>0</v>
      </c>
    </row>
    <row r="2210" spans="1:38" ht="25.5" customHeight="1" x14ac:dyDescent="0.25">
      <c r="A2210" s="10" t="s">
        <v>182</v>
      </c>
      <c r="B2210" s="11" t="s">
        <v>1680</v>
      </c>
      <c r="C2210" s="5">
        <v>29151.309799999999</v>
      </c>
      <c r="D2210" s="5">
        <v>29151.309799999999</v>
      </c>
      <c r="E2210" s="5">
        <v>26218.127700000001</v>
      </c>
      <c r="G2210" s="5" t="str">
        <f t="shared" si="69"/>
        <v>Северный</v>
      </c>
      <c r="J2210" s="5"/>
      <c r="AL2210" s="5">
        <f t="shared" si="70"/>
        <v>0</v>
      </c>
    </row>
    <row r="2211" spans="1:38" ht="25.5" customHeight="1" x14ac:dyDescent="0.25">
      <c r="A2211" s="10" t="s">
        <v>2208</v>
      </c>
      <c r="B2211" s="11" t="s">
        <v>1679</v>
      </c>
      <c r="C2211" s="5">
        <v>28855.326499999999</v>
      </c>
      <c r="D2211" s="5">
        <v>28855.326499999999</v>
      </c>
      <c r="E2211" s="5">
        <v>25951.933700000001</v>
      </c>
      <c r="G2211" s="5" t="str">
        <f t="shared" si="69"/>
        <v>Ст.Каменск-Хозспособ</v>
      </c>
      <c r="J2211" s="5"/>
      <c r="AL2211" s="5">
        <f t="shared" si="70"/>
        <v>0</v>
      </c>
    </row>
    <row r="2212" spans="1:38" ht="25.5" customHeight="1" x14ac:dyDescent="0.25">
      <c r="A2212" s="10" t="s">
        <v>2209</v>
      </c>
      <c r="B2212" s="11" t="s">
        <v>1676</v>
      </c>
      <c r="C2212" s="5">
        <v>28848.8855</v>
      </c>
      <c r="D2212" s="5">
        <v>28848.8855</v>
      </c>
      <c r="E2212" s="5">
        <v>25946.143</v>
      </c>
      <c r="G2212" s="5" t="str">
        <f t="shared" si="69"/>
        <v>Чкаловский</v>
      </c>
      <c r="J2212" s="5"/>
      <c r="AL2212" s="5">
        <f t="shared" si="70"/>
        <v>0</v>
      </c>
    </row>
    <row r="2213" spans="1:38" ht="25.5" customHeight="1" x14ac:dyDescent="0.25">
      <c r="A2213" s="10" t="s">
        <v>640</v>
      </c>
      <c r="B2213" s="11" t="s">
        <v>1675</v>
      </c>
      <c r="C2213" s="5">
        <v>35756.285400000001</v>
      </c>
      <c r="D2213" s="5">
        <v>35756.285400000001</v>
      </c>
      <c r="E2213" s="5">
        <v>32158.5213</v>
      </c>
      <c r="G2213" s="5" t="str">
        <f t="shared" si="69"/>
        <v>УАЗ-II</v>
      </c>
      <c r="J2213" s="5"/>
      <c r="AL2213" s="5">
        <f t="shared" si="70"/>
        <v>0</v>
      </c>
    </row>
    <row r="2214" spans="1:38" ht="25.5" customHeight="1" x14ac:dyDescent="0.25">
      <c r="A2214" s="10" t="s">
        <v>2210</v>
      </c>
      <c r="B2214" s="11" t="s">
        <v>1679</v>
      </c>
      <c r="C2214" s="5">
        <v>28855.326499999999</v>
      </c>
      <c r="D2214" s="5">
        <v>28855.326499999999</v>
      </c>
      <c r="E2214" s="5">
        <v>25951.933700000001</v>
      </c>
      <c r="G2214" s="5" t="str">
        <f t="shared" si="69"/>
        <v>Ст.Каменск-Хозспособ</v>
      </c>
      <c r="J2214" s="5"/>
      <c r="AL2214" s="5">
        <f t="shared" si="70"/>
        <v>0</v>
      </c>
    </row>
    <row r="2215" spans="1:38" ht="25.5" customHeight="1" x14ac:dyDescent="0.25">
      <c r="A2215" s="20" t="s">
        <v>541</v>
      </c>
      <c r="B2215" s="22" t="s">
        <v>542</v>
      </c>
      <c r="C2215" s="5">
        <v>21261.0285</v>
      </c>
      <c r="D2215" s="5">
        <v>21261.0285</v>
      </c>
      <c r="E2215" s="5">
        <v>20837.465199999999</v>
      </c>
      <c r="G2215" s="5" t="str">
        <f t="shared" si="69"/>
        <v>ЕВСТЮНИХА</v>
      </c>
      <c r="J2215" s="5"/>
      <c r="AL2215" s="5">
        <f t="shared" si="70"/>
        <v>0</v>
      </c>
    </row>
    <row r="2216" spans="1:38" ht="25.5" customHeight="1" x14ac:dyDescent="0.25">
      <c r="A2216" s="10" t="s">
        <v>2211</v>
      </c>
      <c r="B2216" s="11" t="s">
        <v>1684</v>
      </c>
      <c r="C2216" s="5">
        <v>40625.090199999999</v>
      </c>
      <c r="D2216" s="5">
        <v>40625.090199999999</v>
      </c>
      <c r="E2216" s="5">
        <v>35661.364300000001</v>
      </c>
      <c r="G2216" s="5" t="str">
        <f t="shared" si="69"/>
        <v>Ваг_Стар_Пихтовы-г</v>
      </c>
      <c r="J2216" s="5"/>
      <c r="AL2216" s="5">
        <f t="shared" si="70"/>
        <v>0</v>
      </c>
    </row>
    <row r="2217" spans="1:38" ht="25.5" customHeight="1" x14ac:dyDescent="0.25">
      <c r="A2217" s="10" t="s">
        <v>643</v>
      </c>
      <c r="B2217" s="11" t="s">
        <v>1685</v>
      </c>
      <c r="C2217" s="5">
        <v>36513.6518</v>
      </c>
      <c r="D2217" s="5">
        <v>36513.6518</v>
      </c>
      <c r="E2217" s="5">
        <v>32052.276999999998</v>
      </c>
      <c r="G2217" s="5" t="str">
        <f t="shared" si="69"/>
        <v>Выя_Леб_Горб_Кр-Кам</v>
      </c>
      <c r="J2217" s="5"/>
      <c r="AL2217" s="5">
        <f t="shared" si="70"/>
        <v>0</v>
      </c>
    </row>
    <row r="2218" spans="1:38" ht="25.5" customHeight="1" x14ac:dyDescent="0.25">
      <c r="A2218" s="10" t="s">
        <v>2212</v>
      </c>
      <c r="B2218" s="11" t="s">
        <v>1699</v>
      </c>
      <c r="C2218" s="5">
        <v>34007.852099999996</v>
      </c>
      <c r="D2218" s="5">
        <v>34007.852099999996</v>
      </c>
      <c r="E2218" s="5">
        <v>30956.028900000001</v>
      </c>
      <c r="G2218" s="5" t="str">
        <f t="shared" si="69"/>
        <v>Шайтанка</v>
      </c>
      <c r="J2218" s="5"/>
      <c r="AL2218" s="5">
        <f t="shared" si="70"/>
        <v>0</v>
      </c>
    </row>
    <row r="2219" spans="1:38" ht="25.5" customHeight="1" x14ac:dyDescent="0.25">
      <c r="A2219" s="10" t="s">
        <v>1168</v>
      </c>
      <c r="B2219" s="11" t="s">
        <v>1679</v>
      </c>
      <c r="C2219" s="5">
        <v>28855.326499999999</v>
      </c>
      <c r="D2219" s="5">
        <v>28855.326499999999</v>
      </c>
      <c r="E2219" s="5">
        <v>25951.933700000001</v>
      </c>
      <c r="G2219" s="5" t="str">
        <f t="shared" si="69"/>
        <v>Ст.Каменск-Хозспособ</v>
      </c>
      <c r="J2219" s="5"/>
      <c r="AL2219" s="5">
        <f t="shared" si="70"/>
        <v>0</v>
      </c>
    </row>
    <row r="2220" spans="1:38" ht="25.5" customHeight="1" x14ac:dyDescent="0.25">
      <c r="A2220" s="10" t="s">
        <v>2213</v>
      </c>
      <c r="B2220" s="11" t="s">
        <v>1679</v>
      </c>
      <c r="C2220" s="5">
        <v>28855.326499999999</v>
      </c>
      <c r="D2220" s="5">
        <v>28855.326499999999</v>
      </c>
      <c r="E2220" s="5">
        <v>25951.933700000001</v>
      </c>
      <c r="G2220" s="5" t="str">
        <f t="shared" si="69"/>
        <v>Ст.Каменск-Хозспособ</v>
      </c>
      <c r="J2220" s="5"/>
      <c r="AL2220" s="5">
        <f t="shared" si="70"/>
        <v>0</v>
      </c>
    </row>
    <row r="2221" spans="1:38" ht="25.5" customHeight="1" x14ac:dyDescent="0.25">
      <c r="A2221" s="10" t="s">
        <v>2214</v>
      </c>
      <c r="B2221" s="11" t="s">
        <v>1679</v>
      </c>
      <c r="C2221" s="5">
        <v>28855.326499999999</v>
      </c>
      <c r="D2221" s="5">
        <v>28855.326499999999</v>
      </c>
      <c r="E2221" s="5">
        <v>25951.933700000001</v>
      </c>
      <c r="G2221" s="5" t="str">
        <f t="shared" si="69"/>
        <v>Ст.Каменск-Хозспособ</v>
      </c>
      <c r="J2221" s="5"/>
      <c r="AL2221" s="5">
        <f t="shared" si="70"/>
        <v>0</v>
      </c>
    </row>
    <row r="2222" spans="1:38" ht="25.5" customHeight="1" x14ac:dyDescent="0.25">
      <c r="A2222" s="10" t="s">
        <v>2215</v>
      </c>
      <c r="B2222" s="11" t="s">
        <v>1679</v>
      </c>
      <c r="C2222" s="5">
        <v>28855.326499999999</v>
      </c>
      <c r="D2222" s="5">
        <v>28855.326499999999</v>
      </c>
      <c r="E2222" s="5">
        <v>25951.933700000001</v>
      </c>
      <c r="G2222" s="5" t="str">
        <f t="shared" si="69"/>
        <v>Ст.Каменск-Хозспособ</v>
      </c>
      <c r="J2222" s="5"/>
      <c r="AL2222" s="5">
        <f t="shared" si="70"/>
        <v>0</v>
      </c>
    </row>
    <row r="2223" spans="1:38" ht="25.5" customHeight="1" x14ac:dyDescent="0.25">
      <c r="A2223" s="10" t="s">
        <v>2216</v>
      </c>
      <c r="B2223" s="11" t="s">
        <v>1680</v>
      </c>
      <c r="C2223" s="5">
        <v>29151.309799999999</v>
      </c>
      <c r="D2223" s="5">
        <v>29151.309799999999</v>
      </c>
      <c r="E2223" s="5">
        <v>26218.127700000001</v>
      </c>
      <c r="G2223" s="5" t="str">
        <f t="shared" si="69"/>
        <v>Северный</v>
      </c>
      <c r="J2223" s="5"/>
      <c r="AL2223" s="5">
        <f t="shared" si="70"/>
        <v>0</v>
      </c>
    </row>
    <row r="2224" spans="1:38" x14ac:dyDescent="0.25">
      <c r="A2224" s="10" t="s">
        <v>2217</v>
      </c>
      <c r="B2224" s="11" t="s">
        <v>1681</v>
      </c>
      <c r="C2224" s="5">
        <v>32172.2909</v>
      </c>
      <c r="D2224" s="5">
        <v>32172.2909</v>
      </c>
      <c r="E2224" s="5">
        <v>28935.146499999999</v>
      </c>
      <c r="G2224" s="5" t="str">
        <f t="shared" si="69"/>
        <v>Ленин-Олимп</v>
      </c>
      <c r="J2224" s="5"/>
      <c r="AL2224" s="5">
        <f t="shared" si="70"/>
        <v>0</v>
      </c>
    </row>
    <row r="2225" spans="1:38" ht="25.5" customHeight="1" x14ac:dyDescent="0.25">
      <c r="A2225" s="10" t="s">
        <v>2218</v>
      </c>
      <c r="B2225" s="11" t="s">
        <v>1679</v>
      </c>
      <c r="C2225" s="5">
        <v>28855.326499999999</v>
      </c>
      <c r="D2225" s="5">
        <v>28855.326499999999</v>
      </c>
      <c r="E2225" s="5">
        <v>25951.933700000001</v>
      </c>
      <c r="G2225" s="5" t="str">
        <f t="shared" si="69"/>
        <v>Ст.Каменск-Хозспособ</v>
      </c>
      <c r="J2225" s="5"/>
      <c r="AL2225" s="5">
        <f t="shared" si="70"/>
        <v>0</v>
      </c>
    </row>
    <row r="2226" spans="1:38" ht="25.5" customHeight="1" x14ac:dyDescent="0.25">
      <c r="A2226" s="10" t="s">
        <v>2219</v>
      </c>
      <c r="B2226" s="11" t="s">
        <v>1680</v>
      </c>
      <c r="C2226" s="5">
        <v>29151.309799999999</v>
      </c>
      <c r="D2226" s="5">
        <v>29151.309799999999</v>
      </c>
      <c r="E2226" s="5">
        <v>26218.127700000001</v>
      </c>
      <c r="G2226" s="5" t="str">
        <f t="shared" si="69"/>
        <v>Северный</v>
      </c>
      <c r="J2226" s="5"/>
      <c r="AL2226" s="5">
        <f t="shared" si="70"/>
        <v>0</v>
      </c>
    </row>
    <row r="2227" spans="1:38" ht="25.5" customHeight="1" x14ac:dyDescent="0.25">
      <c r="A2227" s="10" t="s">
        <v>2220</v>
      </c>
      <c r="B2227" s="11" t="s">
        <v>1679</v>
      </c>
      <c r="C2227" s="5">
        <v>28855.326499999999</v>
      </c>
      <c r="D2227" s="5">
        <v>28855.326499999999</v>
      </c>
      <c r="E2227" s="5">
        <v>25951.933700000001</v>
      </c>
      <c r="G2227" s="5" t="str">
        <f t="shared" si="69"/>
        <v>Ст.Каменск-Хозспособ</v>
      </c>
      <c r="J2227" s="5"/>
      <c r="AL2227" s="5">
        <f t="shared" si="70"/>
        <v>0</v>
      </c>
    </row>
    <row r="2228" spans="1:38" ht="25.5" customHeight="1" x14ac:dyDescent="0.25">
      <c r="A2228" s="10" t="s">
        <v>962</v>
      </c>
      <c r="B2228" s="11" t="s">
        <v>5230</v>
      </c>
      <c r="C2228" s="5">
        <v>45477.761700000003</v>
      </c>
      <c r="D2228" s="5">
        <v>45477.761700000003</v>
      </c>
      <c r="E2228" s="5">
        <v>39921.119500000001</v>
      </c>
      <c r="G2228" s="5" t="str">
        <f t="shared" si="69"/>
        <v>Центр-Тагил</v>
      </c>
      <c r="J2228" s="5"/>
      <c r="AL2228" s="5">
        <f t="shared" si="70"/>
        <v>0</v>
      </c>
    </row>
    <row r="2229" spans="1:38" ht="25.5" customHeight="1" x14ac:dyDescent="0.25">
      <c r="A2229" s="10" t="s">
        <v>42</v>
      </c>
      <c r="B2229" s="11" t="s">
        <v>1687</v>
      </c>
      <c r="C2229" s="5">
        <v>30591.135900000001</v>
      </c>
      <c r="D2229" s="5">
        <v>30591.135900000001</v>
      </c>
      <c r="E2229" s="5">
        <v>26853.405500000001</v>
      </c>
      <c r="G2229" s="5" t="str">
        <f t="shared" si="69"/>
        <v>Рудник_Север</v>
      </c>
      <c r="J2229" s="5"/>
      <c r="AL2229" s="5">
        <f t="shared" si="70"/>
        <v>0</v>
      </c>
    </row>
    <row r="2230" spans="1:38" ht="25.5" customHeight="1" x14ac:dyDescent="0.25">
      <c r="A2230" s="10" t="s">
        <v>2221</v>
      </c>
      <c r="B2230" s="11" t="s">
        <v>1699</v>
      </c>
      <c r="C2230" s="5">
        <v>34007.852099999996</v>
      </c>
      <c r="D2230" s="5">
        <v>34007.852099999996</v>
      </c>
      <c r="E2230" s="5">
        <v>30956.028900000001</v>
      </c>
      <c r="G2230" s="5" t="str">
        <f t="shared" si="69"/>
        <v>Шайтанка</v>
      </c>
      <c r="J2230" s="5"/>
      <c r="AL2230" s="5">
        <f t="shared" si="70"/>
        <v>0</v>
      </c>
    </row>
    <row r="2231" spans="1:38" ht="25.5" customHeight="1" x14ac:dyDescent="0.25">
      <c r="A2231" s="10" t="s">
        <v>2222</v>
      </c>
      <c r="B2231" s="11" t="s">
        <v>1699</v>
      </c>
      <c r="C2231" s="5">
        <v>34007.852099999996</v>
      </c>
      <c r="D2231" s="5">
        <v>34007.852099999996</v>
      </c>
      <c r="E2231" s="5">
        <v>30956.028900000001</v>
      </c>
      <c r="G2231" s="5" t="str">
        <f t="shared" si="69"/>
        <v>Шайтанка</v>
      </c>
      <c r="J2231" s="5"/>
      <c r="AL2231" s="5">
        <f t="shared" si="70"/>
        <v>0</v>
      </c>
    </row>
    <row r="2232" spans="1:38" ht="25.5" customHeight="1" x14ac:dyDescent="0.25">
      <c r="A2232" s="10" t="s">
        <v>1400</v>
      </c>
      <c r="B2232" s="11" t="s">
        <v>1680</v>
      </c>
      <c r="C2232" s="5">
        <v>29151.309799999999</v>
      </c>
      <c r="D2232" s="5">
        <v>29151.309799999999</v>
      </c>
      <c r="E2232" s="5">
        <v>26218.127700000001</v>
      </c>
      <c r="G2232" s="5" t="str">
        <f t="shared" si="69"/>
        <v>Северный</v>
      </c>
      <c r="J2232" s="5"/>
      <c r="AL2232" s="5">
        <f t="shared" si="70"/>
        <v>0</v>
      </c>
    </row>
    <row r="2233" spans="1:38" ht="25.5" customHeight="1" x14ac:dyDescent="0.25">
      <c r="A2233" s="10" t="s">
        <v>2223</v>
      </c>
      <c r="B2233" s="11" t="s">
        <v>1679</v>
      </c>
      <c r="C2233" s="5">
        <v>28855.326499999999</v>
      </c>
      <c r="D2233" s="5">
        <v>28855.326499999999</v>
      </c>
      <c r="E2233" s="5">
        <v>25951.933700000001</v>
      </c>
      <c r="G2233" s="5" t="str">
        <f t="shared" si="69"/>
        <v>Ст.Каменск-Хозспособ</v>
      </c>
      <c r="J2233" s="5"/>
      <c r="AL2233" s="5">
        <f t="shared" si="70"/>
        <v>0</v>
      </c>
    </row>
    <row r="2234" spans="1:38" ht="25.5" customHeight="1" x14ac:dyDescent="0.25">
      <c r="A2234" s="10" t="s">
        <v>2224</v>
      </c>
      <c r="B2234" s="11" t="s">
        <v>1650</v>
      </c>
      <c r="C2234" s="5">
        <v>37590.3603</v>
      </c>
      <c r="D2234" s="5">
        <v>37590.3603</v>
      </c>
      <c r="E2234" s="5">
        <v>34038.745900000002</v>
      </c>
      <c r="G2234" s="5" t="str">
        <f t="shared" si="69"/>
        <v>ШАБРОВСКИЙ</v>
      </c>
      <c r="J2234" s="5"/>
      <c r="AL2234" s="5">
        <f t="shared" si="70"/>
        <v>0</v>
      </c>
    </row>
    <row r="2235" spans="1:38" ht="25.5" customHeight="1" x14ac:dyDescent="0.25">
      <c r="A2235" s="10" t="s">
        <v>434</v>
      </c>
      <c r="B2235" s="11" t="s">
        <v>1683</v>
      </c>
      <c r="C2235" s="5">
        <v>40018.9617</v>
      </c>
      <c r="D2235" s="5">
        <v>40018.9617</v>
      </c>
      <c r="E2235" s="5">
        <v>35129.2961</v>
      </c>
      <c r="G2235" s="5" t="str">
        <f t="shared" si="69"/>
        <v>Алт_Гальян_М-Кушва</v>
      </c>
      <c r="J2235" s="5"/>
      <c r="AL2235" s="5">
        <f t="shared" si="70"/>
        <v>0</v>
      </c>
    </row>
    <row r="2236" spans="1:38" ht="25.5" customHeight="1" x14ac:dyDescent="0.25">
      <c r="A2236" s="10" t="s">
        <v>138</v>
      </c>
      <c r="B2236" s="11" t="s">
        <v>1689</v>
      </c>
      <c r="C2236" s="5">
        <v>34023.428</v>
      </c>
      <c r="D2236" s="5">
        <v>34023.428</v>
      </c>
      <c r="E2236" s="5">
        <v>29866.3148</v>
      </c>
      <c r="G2236" s="5" t="str">
        <f t="shared" si="69"/>
        <v>Тагил_Кирп</v>
      </c>
      <c r="J2236" s="5"/>
      <c r="AL2236" s="5">
        <f t="shared" si="70"/>
        <v>0</v>
      </c>
    </row>
    <row r="2237" spans="1:38" x14ac:dyDescent="0.25">
      <c r="A2237" s="10" t="s">
        <v>2225</v>
      </c>
      <c r="B2237" s="11" t="s">
        <v>1681</v>
      </c>
      <c r="C2237" s="5">
        <v>32172.2909</v>
      </c>
      <c r="D2237" s="5">
        <v>32172.2909</v>
      </c>
      <c r="E2237" s="5">
        <v>28935.146499999999</v>
      </c>
      <c r="G2237" s="5" t="str">
        <f t="shared" si="69"/>
        <v>Ленин-Олимп</v>
      </c>
      <c r="J2237" s="5"/>
      <c r="AL2237" s="5">
        <f t="shared" si="70"/>
        <v>0</v>
      </c>
    </row>
    <row r="2238" spans="1:38" ht="25.5" customHeight="1" x14ac:dyDescent="0.25">
      <c r="A2238" s="10" t="s">
        <v>2226</v>
      </c>
      <c r="B2238" s="11" t="s">
        <v>1688</v>
      </c>
      <c r="C2238" s="5">
        <v>29893.73</v>
      </c>
      <c r="D2238" s="5">
        <v>29893.73</v>
      </c>
      <c r="E2238" s="5">
        <v>26241.207699999999</v>
      </c>
      <c r="G2238" s="5" t="str">
        <f t="shared" si="69"/>
        <v>Сух_Г-Кам_Н_Кушва_Н-Черм</v>
      </c>
      <c r="J2238" s="5"/>
      <c r="AL2238" s="5">
        <f t="shared" si="70"/>
        <v>0</v>
      </c>
    </row>
    <row r="2239" spans="1:38" ht="25.5" customHeight="1" x14ac:dyDescent="0.25">
      <c r="A2239" s="10" t="s">
        <v>2227</v>
      </c>
      <c r="B2239" s="11" t="s">
        <v>1699</v>
      </c>
      <c r="C2239" s="5">
        <v>34007.852099999996</v>
      </c>
      <c r="D2239" s="5">
        <v>34007.852099999996</v>
      </c>
      <c r="E2239" s="5">
        <v>30956.028900000001</v>
      </c>
      <c r="G2239" s="5" t="str">
        <f t="shared" si="69"/>
        <v>Шайтанка</v>
      </c>
      <c r="J2239" s="5"/>
      <c r="AL2239" s="5">
        <f t="shared" si="70"/>
        <v>0</v>
      </c>
    </row>
    <row r="2240" spans="1:38" ht="25.5" customHeight="1" x14ac:dyDescent="0.25">
      <c r="A2240" s="10" t="s">
        <v>2228</v>
      </c>
      <c r="B2240" s="11" t="s">
        <v>1676</v>
      </c>
      <c r="C2240" s="5">
        <v>28848.8855</v>
      </c>
      <c r="D2240" s="5">
        <v>28848.8855</v>
      </c>
      <c r="E2240" s="5">
        <v>25946.143</v>
      </c>
      <c r="G2240" s="5" t="str">
        <f t="shared" si="69"/>
        <v>Чкаловский</v>
      </c>
      <c r="J2240" s="5"/>
      <c r="AL2240" s="5">
        <f t="shared" si="70"/>
        <v>0</v>
      </c>
    </row>
    <row r="2241" spans="1:38" ht="25.5" customHeight="1" x14ac:dyDescent="0.25">
      <c r="A2241" s="10" t="s">
        <v>2229</v>
      </c>
      <c r="B2241" s="11" t="s">
        <v>1683</v>
      </c>
      <c r="C2241" s="5">
        <v>40018.9617</v>
      </c>
      <c r="D2241" s="5">
        <v>40018.9617</v>
      </c>
      <c r="E2241" s="5">
        <v>35129.2961</v>
      </c>
      <c r="G2241" s="5" t="str">
        <f t="shared" si="69"/>
        <v>Алт_Гальян_М-Кушва</v>
      </c>
      <c r="J2241" s="5"/>
      <c r="AL2241" s="5">
        <f t="shared" si="70"/>
        <v>0</v>
      </c>
    </row>
    <row r="2242" spans="1:38" ht="25.5" customHeight="1" x14ac:dyDescent="0.25">
      <c r="A2242" s="10" t="s">
        <v>2230</v>
      </c>
      <c r="B2242" s="11" t="s">
        <v>1683</v>
      </c>
      <c r="C2242" s="5">
        <v>40018.9617</v>
      </c>
      <c r="D2242" s="5">
        <v>40018.9617</v>
      </c>
      <c r="E2242" s="5">
        <v>35129.2961</v>
      </c>
      <c r="G2242" s="5" t="str">
        <f t="shared" si="69"/>
        <v>Алт_Гальян_М-Кушва</v>
      </c>
      <c r="J2242" s="5"/>
      <c r="AL2242" s="5">
        <f t="shared" si="70"/>
        <v>0</v>
      </c>
    </row>
    <row r="2243" spans="1:38" ht="25.5" customHeight="1" x14ac:dyDescent="0.25">
      <c r="A2243" s="10" t="s">
        <v>2231</v>
      </c>
      <c r="B2243" s="11" t="s">
        <v>1691</v>
      </c>
      <c r="C2243" s="5">
        <v>36244.5985</v>
      </c>
      <c r="D2243" s="5">
        <v>36244.5985</v>
      </c>
      <c r="E2243" s="5">
        <v>32992.053800000002</v>
      </c>
      <c r="G2243" s="5" t="str">
        <f t="shared" si="69"/>
        <v>ДинСанПод</v>
      </c>
      <c r="J2243" s="5"/>
      <c r="AL2243" s="5">
        <f t="shared" si="70"/>
        <v>0</v>
      </c>
    </row>
    <row r="2244" spans="1:38" x14ac:dyDescent="0.25">
      <c r="A2244" s="10" t="s">
        <v>2232</v>
      </c>
      <c r="B2244" s="11" t="s">
        <v>1681</v>
      </c>
      <c r="C2244" s="5">
        <v>32172.2909</v>
      </c>
      <c r="D2244" s="5">
        <v>32172.2909</v>
      </c>
      <c r="E2244" s="5">
        <v>28935.146499999999</v>
      </c>
      <c r="G2244" s="5" t="str">
        <f t="shared" ref="G2244:G2307" si="71">B2244</f>
        <v>Ленин-Олимп</v>
      </c>
      <c r="J2244" s="5"/>
      <c r="AL2244" s="5">
        <f t="shared" ref="AL2244:AL2307" si="72">AF2244</f>
        <v>0</v>
      </c>
    </row>
    <row r="2245" spans="1:38" ht="25.5" customHeight="1" x14ac:dyDescent="0.25">
      <c r="A2245" s="10" t="s">
        <v>1495</v>
      </c>
      <c r="B2245" s="11" t="s">
        <v>7242</v>
      </c>
      <c r="C2245" s="5">
        <v>27104.663700000001</v>
      </c>
      <c r="D2245" s="5">
        <v>27104.663700000001</v>
      </c>
      <c r="E2245" s="5">
        <v>26564.688900000001</v>
      </c>
      <c r="G2245" s="5" t="str">
        <f t="shared" si="71"/>
        <v>КК возле Первоуральска которые должны считаться как область</v>
      </c>
      <c r="J2245" s="5"/>
      <c r="AL2245" s="5">
        <f t="shared" si="72"/>
        <v>0</v>
      </c>
    </row>
    <row r="2246" spans="1:38" ht="25.5" customHeight="1" x14ac:dyDescent="0.25">
      <c r="A2246" s="10" t="s">
        <v>2233</v>
      </c>
      <c r="B2246" s="11" t="s">
        <v>1693</v>
      </c>
      <c r="C2246" s="5">
        <v>32948.938800000004</v>
      </c>
      <c r="D2246" s="5">
        <v>32948.938800000004</v>
      </c>
      <c r="E2246" s="5">
        <v>29992.139899999998</v>
      </c>
      <c r="G2246" s="5" t="str">
        <f t="shared" si="71"/>
        <v>Магнитка</v>
      </c>
      <c r="J2246" s="5"/>
      <c r="AL2246" s="5">
        <f t="shared" si="72"/>
        <v>0</v>
      </c>
    </row>
    <row r="2247" spans="1:38" ht="25.5" customHeight="1" x14ac:dyDescent="0.25">
      <c r="A2247" s="10" t="s">
        <v>2234</v>
      </c>
      <c r="B2247" s="11" t="s">
        <v>1693</v>
      </c>
      <c r="C2247" s="5">
        <v>32948.938800000004</v>
      </c>
      <c r="D2247" s="5">
        <v>32948.938800000004</v>
      </c>
      <c r="E2247" s="5">
        <v>29992.139899999998</v>
      </c>
      <c r="G2247" s="5" t="str">
        <f t="shared" si="71"/>
        <v>Магнитка</v>
      </c>
      <c r="J2247" s="5"/>
      <c r="AL2247" s="5">
        <f t="shared" si="72"/>
        <v>0</v>
      </c>
    </row>
    <row r="2248" spans="1:38" ht="25.5" customHeight="1" x14ac:dyDescent="0.25">
      <c r="A2248" s="10" t="s">
        <v>239</v>
      </c>
      <c r="B2248" s="11" t="s">
        <v>1691</v>
      </c>
      <c r="C2248" s="5">
        <v>36244.5985</v>
      </c>
      <c r="D2248" s="5">
        <v>36244.5985</v>
      </c>
      <c r="E2248" s="5">
        <v>32992.053800000002</v>
      </c>
      <c r="G2248" s="5" t="str">
        <f t="shared" si="71"/>
        <v>ДинСанПод</v>
      </c>
      <c r="J2248" s="5"/>
      <c r="AL2248" s="5">
        <f t="shared" si="72"/>
        <v>0</v>
      </c>
    </row>
    <row r="2249" spans="1:38" ht="25.5" customHeight="1" x14ac:dyDescent="0.25">
      <c r="A2249" s="10" t="s">
        <v>15</v>
      </c>
      <c r="B2249" s="11" t="s">
        <v>1677</v>
      </c>
      <c r="C2249" s="5">
        <v>39105.413099999998</v>
      </c>
      <c r="D2249" s="5">
        <v>39105.413099999998</v>
      </c>
      <c r="E2249" s="5">
        <v>35170.666700000002</v>
      </c>
      <c r="G2249" s="5" t="str">
        <f t="shared" si="71"/>
        <v>Октябрьский</v>
      </c>
      <c r="J2249" s="5"/>
      <c r="AL2249" s="5">
        <f t="shared" si="72"/>
        <v>0</v>
      </c>
    </row>
    <row r="2250" spans="1:38" ht="25.5" customHeight="1" x14ac:dyDescent="0.25">
      <c r="A2250" s="10" t="s">
        <v>2235</v>
      </c>
      <c r="B2250" s="11" t="s">
        <v>1676</v>
      </c>
      <c r="C2250" s="5">
        <v>28848.8855</v>
      </c>
      <c r="D2250" s="5">
        <v>28848.8855</v>
      </c>
      <c r="E2250" s="5">
        <v>25946.143</v>
      </c>
      <c r="G2250" s="5" t="str">
        <f t="shared" si="71"/>
        <v>Чкаловский</v>
      </c>
      <c r="J2250" s="5"/>
      <c r="AL2250" s="5">
        <f t="shared" si="72"/>
        <v>0</v>
      </c>
    </row>
    <row r="2251" spans="1:38" ht="25.5" customHeight="1" x14ac:dyDescent="0.25">
      <c r="A2251" s="10" t="s">
        <v>2236</v>
      </c>
      <c r="B2251" s="11" t="s">
        <v>1673</v>
      </c>
      <c r="C2251" s="5">
        <v>35563.243300000002</v>
      </c>
      <c r="D2251" s="5">
        <v>35563.243300000002</v>
      </c>
      <c r="E2251" s="5">
        <v>31984.905299999999</v>
      </c>
      <c r="G2251" s="5" t="str">
        <f t="shared" si="71"/>
        <v>УАЗ-III - 49 кв.</v>
      </c>
      <c r="J2251" s="5"/>
      <c r="AL2251" s="5">
        <f t="shared" si="72"/>
        <v>0</v>
      </c>
    </row>
    <row r="2252" spans="1:38" ht="25.5" customHeight="1" x14ac:dyDescent="0.25">
      <c r="A2252" s="10" t="s">
        <v>2237</v>
      </c>
      <c r="B2252" s="11" t="s">
        <v>1676</v>
      </c>
      <c r="C2252" s="5">
        <v>28848.8855</v>
      </c>
      <c r="D2252" s="5">
        <v>28848.8855</v>
      </c>
      <c r="E2252" s="5">
        <v>25946.143</v>
      </c>
      <c r="G2252" s="5" t="str">
        <f t="shared" si="71"/>
        <v>Чкаловский</v>
      </c>
      <c r="J2252" s="5"/>
      <c r="AL2252" s="5">
        <f t="shared" si="72"/>
        <v>0</v>
      </c>
    </row>
    <row r="2253" spans="1:38" x14ac:dyDescent="0.25">
      <c r="A2253" s="20" t="s">
        <v>1313</v>
      </c>
      <c r="B2253" s="22" t="s">
        <v>7234</v>
      </c>
      <c r="C2253" s="5">
        <v>25238.569899999999</v>
      </c>
      <c r="D2253" s="5">
        <v>25238.569899999999</v>
      </c>
      <c r="E2253" s="5">
        <v>24735.775000000001</v>
      </c>
      <c r="G2253" s="5" t="str">
        <f t="shared" si="71"/>
        <v>МОНАСТЫРКА</v>
      </c>
      <c r="J2253" s="5"/>
      <c r="AL2253" s="5">
        <f t="shared" si="72"/>
        <v>0</v>
      </c>
    </row>
    <row r="2254" spans="1:38" ht="25.5" customHeight="1" x14ac:dyDescent="0.25">
      <c r="A2254" s="10" t="s">
        <v>2238</v>
      </c>
      <c r="B2254" s="11" t="s">
        <v>1673</v>
      </c>
      <c r="C2254" s="5">
        <v>35563.243300000002</v>
      </c>
      <c r="D2254" s="5">
        <v>35563.243300000002</v>
      </c>
      <c r="E2254" s="5">
        <v>31984.905299999999</v>
      </c>
      <c r="G2254" s="5" t="str">
        <f t="shared" si="71"/>
        <v>УАЗ-III - 49 кв.</v>
      </c>
      <c r="J2254" s="5"/>
      <c r="AL2254" s="5">
        <f t="shared" si="72"/>
        <v>0</v>
      </c>
    </row>
    <row r="2255" spans="1:38" ht="25.5" customHeight="1" x14ac:dyDescent="0.25">
      <c r="A2255" s="10" t="s">
        <v>2239</v>
      </c>
      <c r="B2255" s="11" t="s">
        <v>1676</v>
      </c>
      <c r="C2255" s="5">
        <v>28848.8855</v>
      </c>
      <c r="D2255" s="5">
        <v>28848.8855</v>
      </c>
      <c r="E2255" s="5">
        <v>25946.143</v>
      </c>
      <c r="G2255" s="5" t="str">
        <f t="shared" si="71"/>
        <v>Чкаловский</v>
      </c>
      <c r="J2255" s="5"/>
      <c r="AL2255" s="5">
        <f t="shared" si="72"/>
        <v>0</v>
      </c>
    </row>
    <row r="2256" spans="1:38" ht="25.5" customHeight="1" x14ac:dyDescent="0.25">
      <c r="A2256" s="10" t="s">
        <v>444</v>
      </c>
      <c r="B2256" s="11" t="s">
        <v>1677</v>
      </c>
      <c r="C2256" s="5">
        <v>39105.413099999998</v>
      </c>
      <c r="D2256" s="5">
        <v>39105.413099999998</v>
      </c>
      <c r="E2256" s="5">
        <v>35170.666700000002</v>
      </c>
      <c r="G2256" s="5" t="str">
        <f t="shared" si="71"/>
        <v>Октябрьский</v>
      </c>
      <c r="J2256" s="5"/>
      <c r="AL2256" s="5">
        <f t="shared" si="72"/>
        <v>0</v>
      </c>
    </row>
    <row r="2257" spans="1:38" x14ac:dyDescent="0.25">
      <c r="A2257" s="10" t="s">
        <v>2240</v>
      </c>
      <c r="B2257" s="11" t="s">
        <v>1674</v>
      </c>
      <c r="C2257" s="5">
        <v>29199.565200000001</v>
      </c>
      <c r="D2257" s="5">
        <v>29199.565200000001</v>
      </c>
      <c r="E2257" s="5">
        <v>26261.5317</v>
      </c>
      <c r="G2257" s="5" t="str">
        <f t="shared" si="71"/>
        <v>УАЗ</v>
      </c>
      <c r="J2257" s="5"/>
      <c r="AL2257" s="5">
        <f t="shared" si="72"/>
        <v>0</v>
      </c>
    </row>
    <row r="2258" spans="1:38" ht="25.5" customHeight="1" x14ac:dyDescent="0.25">
      <c r="A2258" s="10" t="s">
        <v>315</v>
      </c>
      <c r="B2258" s="11" t="s">
        <v>1677</v>
      </c>
      <c r="C2258" s="5">
        <v>39105.413099999998</v>
      </c>
      <c r="D2258" s="5">
        <v>39105.413099999998</v>
      </c>
      <c r="E2258" s="5">
        <v>35170.666700000002</v>
      </c>
      <c r="G2258" s="5" t="str">
        <f t="shared" si="71"/>
        <v>Октябрьский</v>
      </c>
      <c r="J2258" s="5"/>
      <c r="AL2258" s="5">
        <f t="shared" si="72"/>
        <v>0</v>
      </c>
    </row>
    <row r="2259" spans="1:38" ht="25.5" customHeight="1" x14ac:dyDescent="0.25">
      <c r="A2259" s="10" t="s">
        <v>2241</v>
      </c>
      <c r="B2259" s="11" t="s">
        <v>1676</v>
      </c>
      <c r="C2259" s="5">
        <v>28848.8855</v>
      </c>
      <c r="D2259" s="5">
        <v>28848.8855</v>
      </c>
      <c r="E2259" s="5">
        <v>25946.143</v>
      </c>
      <c r="G2259" s="5" t="str">
        <f t="shared" si="71"/>
        <v>Чкаловский</v>
      </c>
      <c r="J2259" s="5"/>
      <c r="AL2259" s="5">
        <f t="shared" si="72"/>
        <v>0</v>
      </c>
    </row>
    <row r="2260" spans="1:38" x14ac:dyDescent="0.25">
      <c r="A2260" s="10" t="s">
        <v>2242</v>
      </c>
      <c r="B2260" s="11" t="s">
        <v>1681</v>
      </c>
      <c r="C2260" s="5">
        <v>32172.2909</v>
      </c>
      <c r="D2260" s="5">
        <v>32172.2909</v>
      </c>
      <c r="E2260" s="5">
        <v>28935.146499999999</v>
      </c>
      <c r="G2260" s="5" t="str">
        <f t="shared" si="71"/>
        <v>Ленин-Олимп</v>
      </c>
      <c r="J2260" s="5"/>
      <c r="AL2260" s="5">
        <f t="shared" si="72"/>
        <v>0</v>
      </c>
    </row>
    <row r="2261" spans="1:38" x14ac:dyDescent="0.25">
      <c r="A2261" s="10" t="s">
        <v>2243</v>
      </c>
      <c r="B2261" s="11" t="s">
        <v>1674</v>
      </c>
      <c r="C2261" s="5">
        <v>29199.565200000001</v>
      </c>
      <c r="D2261" s="5">
        <v>29199.565200000001</v>
      </c>
      <c r="E2261" s="5">
        <v>26261.5317</v>
      </c>
      <c r="G2261" s="5" t="str">
        <f t="shared" si="71"/>
        <v>УАЗ</v>
      </c>
      <c r="J2261" s="5"/>
      <c r="AL2261" s="5">
        <f t="shared" si="72"/>
        <v>0</v>
      </c>
    </row>
    <row r="2262" spans="1:38" ht="25.5" customHeight="1" x14ac:dyDescent="0.25">
      <c r="A2262" s="10" t="s">
        <v>2244</v>
      </c>
      <c r="B2262" s="11" t="s">
        <v>1691</v>
      </c>
      <c r="C2262" s="5">
        <v>36244.5985</v>
      </c>
      <c r="D2262" s="5">
        <v>36244.5985</v>
      </c>
      <c r="E2262" s="5">
        <v>32992.053800000002</v>
      </c>
      <c r="G2262" s="5" t="str">
        <f t="shared" si="71"/>
        <v>ДинСанПод</v>
      </c>
      <c r="J2262" s="5"/>
      <c r="AL2262" s="5">
        <f t="shared" si="72"/>
        <v>0</v>
      </c>
    </row>
    <row r="2263" spans="1:38" ht="25.5" customHeight="1" x14ac:dyDescent="0.25">
      <c r="A2263" s="10" t="s">
        <v>348</v>
      </c>
      <c r="B2263" s="11" t="s">
        <v>5230</v>
      </c>
      <c r="C2263" s="5">
        <v>45477.761700000003</v>
      </c>
      <c r="D2263" s="5">
        <v>45477.761700000003</v>
      </c>
      <c r="E2263" s="5">
        <v>39921.119500000001</v>
      </c>
      <c r="G2263" s="5" t="str">
        <f t="shared" si="71"/>
        <v>Центр-Тагил</v>
      </c>
      <c r="J2263" s="5"/>
      <c r="AL2263" s="5">
        <f t="shared" si="72"/>
        <v>0</v>
      </c>
    </row>
    <row r="2264" spans="1:38" ht="25.5" customHeight="1" x14ac:dyDescent="0.25">
      <c r="A2264" s="10" t="s">
        <v>2245</v>
      </c>
      <c r="B2264" s="11" t="s">
        <v>1650</v>
      </c>
      <c r="C2264" s="5">
        <v>37590.3603</v>
      </c>
      <c r="D2264" s="5">
        <v>37590.3603</v>
      </c>
      <c r="E2264" s="5">
        <v>34038.745900000002</v>
      </c>
      <c r="G2264" s="5" t="str">
        <f t="shared" si="71"/>
        <v>ШАБРОВСКИЙ</v>
      </c>
      <c r="J2264" s="5"/>
      <c r="AL2264" s="5">
        <f t="shared" si="72"/>
        <v>0</v>
      </c>
    </row>
    <row r="2265" spans="1:38" ht="25.5" customHeight="1" x14ac:dyDescent="0.25">
      <c r="A2265" s="10" t="s">
        <v>2246</v>
      </c>
      <c r="B2265" s="11" t="s">
        <v>1695</v>
      </c>
      <c r="C2265" s="5">
        <v>40100.412600000003</v>
      </c>
      <c r="D2265" s="5">
        <v>40100.412600000003</v>
      </c>
      <c r="E2265" s="5">
        <v>36501.853799999997</v>
      </c>
      <c r="G2265" s="5" t="str">
        <f t="shared" si="71"/>
        <v>Соцгород</v>
      </c>
      <c r="J2265" s="5"/>
      <c r="AL2265" s="5">
        <f t="shared" si="72"/>
        <v>0</v>
      </c>
    </row>
    <row r="2266" spans="1:38" ht="25.5" customHeight="1" x14ac:dyDescent="0.25">
      <c r="A2266" s="10" t="s">
        <v>920</v>
      </c>
      <c r="B2266" s="11" t="s">
        <v>7242</v>
      </c>
      <c r="C2266" s="5">
        <v>27104.663700000001</v>
      </c>
      <c r="D2266" s="5">
        <v>27104.663700000001</v>
      </c>
      <c r="E2266" s="5">
        <v>26564.688900000001</v>
      </c>
      <c r="G2266" s="5" t="str">
        <f t="shared" si="71"/>
        <v>КК возле Первоуральска которые должны считаться как область</v>
      </c>
      <c r="J2266" s="5"/>
      <c r="AL2266" s="5">
        <f t="shared" si="72"/>
        <v>0</v>
      </c>
    </row>
    <row r="2267" spans="1:38" ht="25.5" customHeight="1" x14ac:dyDescent="0.25">
      <c r="A2267" s="10" t="s">
        <v>2247</v>
      </c>
      <c r="B2267" s="11" t="s">
        <v>1691</v>
      </c>
      <c r="C2267" s="5">
        <v>36244.5985</v>
      </c>
      <c r="D2267" s="5">
        <v>36244.5985</v>
      </c>
      <c r="E2267" s="5">
        <v>32992.053800000002</v>
      </c>
      <c r="G2267" s="5" t="str">
        <f t="shared" si="71"/>
        <v>ДинСанПод</v>
      </c>
      <c r="J2267" s="5"/>
      <c r="AL2267" s="5">
        <f t="shared" si="72"/>
        <v>0</v>
      </c>
    </row>
    <row r="2268" spans="1:38" ht="25.5" customHeight="1" x14ac:dyDescent="0.25">
      <c r="A2268" s="10" t="s">
        <v>319</v>
      </c>
      <c r="B2268" s="11" t="s">
        <v>5230</v>
      </c>
      <c r="C2268" s="5">
        <v>45477.761700000003</v>
      </c>
      <c r="D2268" s="5">
        <v>45477.761700000003</v>
      </c>
      <c r="E2268" s="5">
        <v>39921.119500000001</v>
      </c>
      <c r="G2268" s="5" t="str">
        <f t="shared" si="71"/>
        <v>Центр-Тагил</v>
      </c>
      <c r="J2268" s="5"/>
      <c r="AL2268" s="5">
        <f t="shared" si="72"/>
        <v>0</v>
      </c>
    </row>
    <row r="2269" spans="1:38" ht="25.5" customHeight="1" x14ac:dyDescent="0.25">
      <c r="A2269" s="10" t="s">
        <v>1424</v>
      </c>
      <c r="B2269" s="11" t="s">
        <v>1679</v>
      </c>
      <c r="C2269" s="5">
        <v>28855.326499999999</v>
      </c>
      <c r="D2269" s="5">
        <v>28855.326499999999</v>
      </c>
      <c r="E2269" s="5">
        <v>25951.933700000001</v>
      </c>
      <c r="G2269" s="5" t="str">
        <f t="shared" si="71"/>
        <v>Ст.Каменск-Хозспособ</v>
      </c>
      <c r="J2269" s="5"/>
      <c r="AL2269" s="5">
        <f t="shared" si="72"/>
        <v>0</v>
      </c>
    </row>
    <row r="2270" spans="1:38" ht="25.5" customHeight="1" x14ac:dyDescent="0.25">
      <c r="A2270" s="10" t="s">
        <v>2248</v>
      </c>
      <c r="B2270" s="11" t="s">
        <v>1673</v>
      </c>
      <c r="C2270" s="5">
        <v>35563.243300000002</v>
      </c>
      <c r="D2270" s="5">
        <v>35563.243300000002</v>
      </c>
      <c r="E2270" s="5">
        <v>31984.905299999999</v>
      </c>
      <c r="G2270" s="5" t="str">
        <f t="shared" si="71"/>
        <v>УАЗ-III - 49 кв.</v>
      </c>
      <c r="J2270" s="5"/>
      <c r="AL2270" s="5">
        <f t="shared" si="72"/>
        <v>0</v>
      </c>
    </row>
    <row r="2271" spans="1:38" ht="25.5" customHeight="1" x14ac:dyDescent="0.25">
      <c r="A2271" s="10" t="s">
        <v>2249</v>
      </c>
      <c r="B2271" s="11" t="s">
        <v>1677</v>
      </c>
      <c r="C2271" s="5">
        <v>39105.413099999998</v>
      </c>
      <c r="D2271" s="5">
        <v>39105.413099999998</v>
      </c>
      <c r="E2271" s="5">
        <v>35170.666700000002</v>
      </c>
      <c r="G2271" s="5" t="str">
        <f t="shared" si="71"/>
        <v>Октябрьский</v>
      </c>
      <c r="J2271" s="5"/>
      <c r="AL2271" s="5">
        <f t="shared" si="72"/>
        <v>0</v>
      </c>
    </row>
    <row r="2272" spans="1:38" ht="25.5" customHeight="1" x14ac:dyDescent="0.25">
      <c r="A2272" s="10" t="s">
        <v>2250</v>
      </c>
      <c r="B2272" s="11" t="s">
        <v>1676</v>
      </c>
      <c r="C2272" s="5">
        <v>28848.8855</v>
      </c>
      <c r="D2272" s="5">
        <v>28848.8855</v>
      </c>
      <c r="E2272" s="5">
        <v>25946.143</v>
      </c>
      <c r="G2272" s="5" t="str">
        <f t="shared" si="71"/>
        <v>Чкаловский</v>
      </c>
      <c r="J2272" s="5"/>
      <c r="AL2272" s="5">
        <f t="shared" si="72"/>
        <v>0</v>
      </c>
    </row>
    <row r="2273" spans="1:38" ht="25.5" customHeight="1" x14ac:dyDescent="0.25">
      <c r="A2273" s="10" t="s">
        <v>764</v>
      </c>
      <c r="B2273" s="11" t="s">
        <v>1677</v>
      </c>
      <c r="C2273" s="5">
        <v>39105.413099999998</v>
      </c>
      <c r="D2273" s="5">
        <v>39105.413099999998</v>
      </c>
      <c r="E2273" s="5">
        <v>35170.666700000002</v>
      </c>
      <c r="G2273" s="5" t="str">
        <f t="shared" si="71"/>
        <v>Октябрьский</v>
      </c>
      <c r="J2273" s="5"/>
      <c r="AL2273" s="5">
        <f t="shared" si="72"/>
        <v>0</v>
      </c>
    </row>
    <row r="2274" spans="1:38" ht="25.5" customHeight="1" x14ac:dyDescent="0.25">
      <c r="A2274" s="10" t="s">
        <v>2251</v>
      </c>
      <c r="B2274" s="11" t="s">
        <v>1673</v>
      </c>
      <c r="C2274" s="5">
        <v>35563.243300000002</v>
      </c>
      <c r="D2274" s="5">
        <v>35563.243300000002</v>
      </c>
      <c r="E2274" s="5">
        <v>31984.905299999999</v>
      </c>
      <c r="G2274" s="5" t="str">
        <f t="shared" si="71"/>
        <v>УАЗ-III - 49 кв.</v>
      </c>
      <c r="J2274" s="5"/>
      <c r="AL2274" s="5">
        <f t="shared" si="72"/>
        <v>0</v>
      </c>
    </row>
    <row r="2275" spans="1:38" ht="25.5" customHeight="1" x14ac:dyDescent="0.25">
      <c r="A2275" s="10" t="s">
        <v>831</v>
      </c>
      <c r="B2275" s="11" t="s">
        <v>1679</v>
      </c>
      <c r="C2275" s="5">
        <v>28855.326499999999</v>
      </c>
      <c r="D2275" s="5">
        <v>28855.326499999999</v>
      </c>
      <c r="E2275" s="5">
        <v>25951.933700000001</v>
      </c>
      <c r="G2275" s="5" t="str">
        <f t="shared" si="71"/>
        <v>Ст.Каменск-Хозспособ</v>
      </c>
      <c r="J2275" s="5"/>
      <c r="AL2275" s="5">
        <f t="shared" si="72"/>
        <v>0</v>
      </c>
    </row>
    <row r="2276" spans="1:38" ht="25.5" customHeight="1" x14ac:dyDescent="0.25">
      <c r="A2276" s="10" t="s">
        <v>1213</v>
      </c>
      <c r="B2276" s="11" t="s">
        <v>1679</v>
      </c>
      <c r="C2276" s="5">
        <v>28855.326499999999</v>
      </c>
      <c r="D2276" s="5">
        <v>28855.326499999999</v>
      </c>
      <c r="E2276" s="5">
        <v>25951.933700000001</v>
      </c>
      <c r="G2276" s="5" t="str">
        <f t="shared" si="71"/>
        <v>Ст.Каменск-Хозспособ</v>
      </c>
      <c r="J2276" s="5"/>
      <c r="AL2276" s="5">
        <f t="shared" si="72"/>
        <v>0</v>
      </c>
    </row>
    <row r="2277" spans="1:38" ht="25.5" customHeight="1" x14ac:dyDescent="0.25">
      <c r="A2277" s="10" t="s">
        <v>2252</v>
      </c>
      <c r="B2277" s="11" t="s">
        <v>1679</v>
      </c>
      <c r="C2277" s="5">
        <v>28855.326499999999</v>
      </c>
      <c r="D2277" s="5">
        <v>28855.326499999999</v>
      </c>
      <c r="E2277" s="5">
        <v>25951.933700000001</v>
      </c>
      <c r="G2277" s="5" t="str">
        <f t="shared" si="71"/>
        <v>Ст.Каменск-Хозспособ</v>
      </c>
      <c r="J2277" s="5"/>
      <c r="AL2277" s="5">
        <f t="shared" si="72"/>
        <v>0</v>
      </c>
    </row>
    <row r="2278" spans="1:38" x14ac:dyDescent="0.25">
      <c r="A2278" s="10" t="s">
        <v>2253</v>
      </c>
      <c r="B2278" s="11" t="s">
        <v>1674</v>
      </c>
      <c r="C2278" s="5">
        <v>29199.565200000001</v>
      </c>
      <c r="D2278" s="5">
        <v>29199.565200000001</v>
      </c>
      <c r="E2278" s="5">
        <v>26261.5317</v>
      </c>
      <c r="G2278" s="5" t="str">
        <f t="shared" si="71"/>
        <v>УАЗ</v>
      </c>
      <c r="J2278" s="5"/>
      <c r="AL2278" s="5">
        <f t="shared" si="72"/>
        <v>0</v>
      </c>
    </row>
    <row r="2279" spans="1:38" ht="25.5" customHeight="1" x14ac:dyDescent="0.25">
      <c r="A2279" s="10" t="s">
        <v>2254</v>
      </c>
      <c r="B2279" s="11" t="s">
        <v>1691</v>
      </c>
      <c r="C2279" s="5">
        <v>36244.5985</v>
      </c>
      <c r="D2279" s="5">
        <v>36244.5985</v>
      </c>
      <c r="E2279" s="5">
        <v>32992.053800000002</v>
      </c>
      <c r="G2279" s="5" t="str">
        <f t="shared" si="71"/>
        <v>ДинСанПод</v>
      </c>
      <c r="J2279" s="5"/>
      <c r="AL2279" s="5">
        <f t="shared" si="72"/>
        <v>0</v>
      </c>
    </row>
    <row r="2280" spans="1:38" ht="25.5" customHeight="1" x14ac:dyDescent="0.25">
      <c r="A2280" s="10" t="s">
        <v>2255</v>
      </c>
      <c r="B2280" s="11" t="s">
        <v>1647</v>
      </c>
      <c r="C2280" s="5">
        <v>63178.133800000003</v>
      </c>
      <c r="D2280" s="5">
        <v>63178.133800000003</v>
      </c>
      <c r="E2280" s="5">
        <v>57208.931499999999</v>
      </c>
      <c r="G2280" s="5" t="str">
        <f t="shared" si="71"/>
        <v>ШИРОКАЯ РЕЧКА</v>
      </c>
      <c r="J2280" s="5"/>
      <c r="AL2280" s="5">
        <f t="shared" si="72"/>
        <v>0</v>
      </c>
    </row>
    <row r="2281" spans="1:38" ht="25.5" customHeight="1" x14ac:dyDescent="0.25">
      <c r="A2281" s="10" t="s">
        <v>371</v>
      </c>
      <c r="B2281" s="11" t="s">
        <v>1643</v>
      </c>
      <c r="C2281" s="5">
        <v>76630.280299999999</v>
      </c>
      <c r="D2281" s="5">
        <v>76630.280299999999</v>
      </c>
      <c r="E2281" s="5">
        <v>69390.088799999998</v>
      </c>
      <c r="G2281" s="5" t="str">
        <f t="shared" si="71"/>
        <v>Ю-З</v>
      </c>
      <c r="J2281" s="5"/>
      <c r="AL2281" s="5">
        <f t="shared" si="72"/>
        <v>0</v>
      </c>
    </row>
    <row r="2282" spans="1:38" ht="25.5" customHeight="1" x14ac:dyDescent="0.25">
      <c r="A2282" s="10" t="s">
        <v>913</v>
      </c>
      <c r="B2282" s="11" t="s">
        <v>1661</v>
      </c>
      <c r="C2282" s="5">
        <v>51175.5573</v>
      </c>
      <c r="D2282" s="5">
        <v>51175.5573</v>
      </c>
      <c r="E2282" s="5">
        <v>46340.381600000001</v>
      </c>
      <c r="G2282" s="5" t="str">
        <f t="shared" si="71"/>
        <v>СЕВЕРКА</v>
      </c>
      <c r="J2282" s="5"/>
      <c r="AL2282" s="5">
        <f t="shared" si="72"/>
        <v>0</v>
      </c>
    </row>
    <row r="2283" spans="1:38" ht="25.5" customHeight="1" x14ac:dyDescent="0.25">
      <c r="A2283" s="10" t="s">
        <v>1479</v>
      </c>
      <c r="B2283" s="11" t="s">
        <v>7242</v>
      </c>
      <c r="C2283" s="5">
        <v>27104.663700000001</v>
      </c>
      <c r="D2283" s="5">
        <v>27104.663700000001</v>
      </c>
      <c r="E2283" s="5">
        <v>26564.688900000001</v>
      </c>
      <c r="G2283" s="5" t="str">
        <f t="shared" si="71"/>
        <v>КК возле Первоуральска которые должны считаться как область</v>
      </c>
      <c r="J2283" s="5"/>
      <c r="AL2283" s="5">
        <f t="shared" si="72"/>
        <v>0</v>
      </c>
    </row>
    <row r="2284" spans="1:38" ht="25.5" customHeight="1" x14ac:dyDescent="0.25">
      <c r="A2284" s="10" t="s">
        <v>2256</v>
      </c>
      <c r="B2284" s="11" t="s">
        <v>1691</v>
      </c>
      <c r="C2284" s="5">
        <v>36244.5985</v>
      </c>
      <c r="D2284" s="5">
        <v>36244.5985</v>
      </c>
      <c r="E2284" s="5">
        <v>32992.053800000002</v>
      </c>
      <c r="G2284" s="5" t="str">
        <f t="shared" si="71"/>
        <v>ДинСанПод</v>
      </c>
      <c r="J2284" s="5"/>
      <c r="AL2284" s="5">
        <f t="shared" si="72"/>
        <v>0</v>
      </c>
    </row>
    <row r="2285" spans="1:38" ht="25.5" customHeight="1" x14ac:dyDescent="0.25">
      <c r="A2285" s="10" t="s">
        <v>2257</v>
      </c>
      <c r="B2285" s="11" t="s">
        <v>1691</v>
      </c>
      <c r="C2285" s="5">
        <v>36244.5985</v>
      </c>
      <c r="D2285" s="5">
        <v>36244.5985</v>
      </c>
      <c r="E2285" s="5">
        <v>32992.053800000002</v>
      </c>
      <c r="G2285" s="5" t="str">
        <f t="shared" si="71"/>
        <v>ДинСанПод</v>
      </c>
      <c r="J2285" s="5"/>
      <c r="AL2285" s="5">
        <f t="shared" si="72"/>
        <v>0</v>
      </c>
    </row>
    <row r="2286" spans="1:38" ht="25.5" customHeight="1" x14ac:dyDescent="0.25">
      <c r="A2286" s="10" t="s">
        <v>70</v>
      </c>
      <c r="B2286" s="11" t="s">
        <v>7242</v>
      </c>
      <c r="C2286" s="5">
        <v>27104.663700000001</v>
      </c>
      <c r="D2286" s="5">
        <v>27104.663700000001</v>
      </c>
      <c r="E2286" s="5">
        <v>26564.688900000001</v>
      </c>
      <c r="G2286" s="5" t="str">
        <f t="shared" si="71"/>
        <v>КК возле Первоуральска которые должны считаться как область</v>
      </c>
      <c r="J2286" s="5"/>
      <c r="AL2286" s="5">
        <f t="shared" si="72"/>
        <v>0</v>
      </c>
    </row>
    <row r="2287" spans="1:38" ht="25.5" customHeight="1" x14ac:dyDescent="0.25">
      <c r="A2287" s="10" t="s">
        <v>2258</v>
      </c>
      <c r="B2287" s="11" t="s">
        <v>1673</v>
      </c>
      <c r="C2287" s="5">
        <v>35563.243300000002</v>
      </c>
      <c r="D2287" s="5">
        <v>35563.243300000002</v>
      </c>
      <c r="E2287" s="5">
        <v>31984.905299999999</v>
      </c>
      <c r="G2287" s="5" t="str">
        <f t="shared" si="71"/>
        <v>УАЗ-III - 49 кв.</v>
      </c>
      <c r="J2287" s="5"/>
      <c r="AL2287" s="5">
        <f t="shared" si="72"/>
        <v>0</v>
      </c>
    </row>
    <row r="2288" spans="1:38" ht="25.5" customHeight="1" x14ac:dyDescent="0.25">
      <c r="A2288" s="20" t="s">
        <v>579</v>
      </c>
      <c r="B2288" s="22" t="s">
        <v>7236</v>
      </c>
      <c r="C2288" s="5">
        <v>21261.0285</v>
      </c>
      <c r="D2288" s="5">
        <v>21261.0285</v>
      </c>
      <c r="E2288" s="5">
        <v>20837.465199999999</v>
      </c>
      <c r="G2288" s="5" t="str">
        <f t="shared" si="71"/>
        <v>п.Студеный</v>
      </c>
      <c r="J2288" s="5"/>
      <c r="AL2288" s="5">
        <f t="shared" si="72"/>
        <v>0</v>
      </c>
    </row>
    <row r="2289" spans="1:38" ht="25.5" customHeight="1" x14ac:dyDescent="0.25">
      <c r="A2289" s="10" t="s">
        <v>496</v>
      </c>
      <c r="B2289" s="11" t="s">
        <v>1688</v>
      </c>
      <c r="C2289" s="5">
        <v>29893.73</v>
      </c>
      <c r="D2289" s="5">
        <v>29893.73</v>
      </c>
      <c r="E2289" s="5">
        <v>26241.207699999999</v>
      </c>
      <c r="G2289" s="5" t="str">
        <f t="shared" si="71"/>
        <v>Сух_Г-Кам_Н_Кушва_Н-Черм</v>
      </c>
      <c r="J2289" s="5"/>
      <c r="AL2289" s="5">
        <f t="shared" si="72"/>
        <v>0</v>
      </c>
    </row>
    <row r="2290" spans="1:38" ht="25.5" customHeight="1" x14ac:dyDescent="0.25">
      <c r="A2290" s="10" t="s">
        <v>1615</v>
      </c>
      <c r="B2290" s="11" t="s">
        <v>1677</v>
      </c>
      <c r="C2290" s="5">
        <v>39105.413099999998</v>
      </c>
      <c r="D2290" s="5">
        <v>39105.413099999998</v>
      </c>
      <c r="E2290" s="5">
        <v>35170.666700000002</v>
      </c>
      <c r="G2290" s="5" t="str">
        <f t="shared" si="71"/>
        <v>Октябрьский</v>
      </c>
      <c r="J2290" s="5"/>
      <c r="AL2290" s="5">
        <f t="shared" si="72"/>
        <v>0</v>
      </c>
    </row>
    <row r="2291" spans="1:38" ht="25.5" customHeight="1" x14ac:dyDescent="0.25">
      <c r="A2291" s="10" t="s">
        <v>2259</v>
      </c>
      <c r="B2291" s="11" t="s">
        <v>1680</v>
      </c>
      <c r="C2291" s="5">
        <v>29151.309799999999</v>
      </c>
      <c r="D2291" s="5">
        <v>29151.309799999999</v>
      </c>
      <c r="E2291" s="5">
        <v>26218.127700000001</v>
      </c>
      <c r="G2291" s="5" t="str">
        <f t="shared" si="71"/>
        <v>Северный</v>
      </c>
      <c r="J2291" s="5"/>
      <c r="AL2291" s="5">
        <f t="shared" si="72"/>
        <v>0</v>
      </c>
    </row>
    <row r="2292" spans="1:38" ht="25.5" customHeight="1" x14ac:dyDescent="0.25">
      <c r="A2292" s="10" t="s">
        <v>2260</v>
      </c>
      <c r="B2292" s="11" t="s">
        <v>1680</v>
      </c>
      <c r="C2292" s="5">
        <v>29151.309799999999</v>
      </c>
      <c r="D2292" s="5">
        <v>29151.309799999999</v>
      </c>
      <c r="E2292" s="5">
        <v>26218.127700000001</v>
      </c>
      <c r="G2292" s="5" t="str">
        <f t="shared" si="71"/>
        <v>Северный</v>
      </c>
      <c r="J2292" s="5"/>
      <c r="AL2292" s="5">
        <f t="shared" si="72"/>
        <v>0</v>
      </c>
    </row>
    <row r="2293" spans="1:38" ht="25.5" customHeight="1" x14ac:dyDescent="0.25">
      <c r="A2293" s="10" t="s">
        <v>2261</v>
      </c>
      <c r="B2293" s="11" t="s">
        <v>1686</v>
      </c>
      <c r="C2293" s="5">
        <v>24299.835599999999</v>
      </c>
      <c r="D2293" s="5">
        <v>24299.835599999999</v>
      </c>
      <c r="E2293" s="5">
        <v>21330.794900000001</v>
      </c>
      <c r="G2293" s="5" t="str">
        <f t="shared" si="71"/>
        <v>Евст_В-Черм</v>
      </c>
      <c r="J2293" s="5"/>
      <c r="AL2293" s="5">
        <f t="shared" si="72"/>
        <v>0</v>
      </c>
    </row>
    <row r="2294" spans="1:38" ht="25.5" customHeight="1" x14ac:dyDescent="0.25">
      <c r="A2294" s="10" t="s">
        <v>660</v>
      </c>
      <c r="B2294" s="11" t="s">
        <v>1687</v>
      </c>
      <c r="C2294" s="5">
        <v>30591.135900000001</v>
      </c>
      <c r="D2294" s="5">
        <v>30591.135900000001</v>
      </c>
      <c r="E2294" s="5">
        <v>26853.405500000001</v>
      </c>
      <c r="G2294" s="5" t="str">
        <f t="shared" si="71"/>
        <v>Рудник_Север</v>
      </c>
      <c r="J2294" s="5"/>
      <c r="AL2294" s="5">
        <f t="shared" si="72"/>
        <v>0</v>
      </c>
    </row>
    <row r="2295" spans="1:38" ht="25.5" customHeight="1" x14ac:dyDescent="0.25">
      <c r="A2295" s="10" t="s">
        <v>2262</v>
      </c>
      <c r="B2295" s="11" t="s">
        <v>1683</v>
      </c>
      <c r="C2295" s="5">
        <v>40018.9617</v>
      </c>
      <c r="D2295" s="5">
        <v>40018.9617</v>
      </c>
      <c r="E2295" s="5">
        <v>35129.2961</v>
      </c>
      <c r="G2295" s="5" t="str">
        <f t="shared" si="71"/>
        <v>Алт_Гальян_М-Кушва</v>
      </c>
      <c r="J2295" s="5"/>
      <c r="AL2295" s="5">
        <f t="shared" si="72"/>
        <v>0</v>
      </c>
    </row>
    <row r="2296" spans="1:38" ht="25.5" customHeight="1" x14ac:dyDescent="0.25">
      <c r="A2296" s="10" t="s">
        <v>2263</v>
      </c>
      <c r="B2296" s="11" t="s">
        <v>1679</v>
      </c>
      <c r="C2296" s="5">
        <v>28855.326499999999</v>
      </c>
      <c r="D2296" s="5">
        <v>28855.326499999999</v>
      </c>
      <c r="E2296" s="5">
        <v>25951.933700000001</v>
      </c>
      <c r="G2296" s="5" t="str">
        <f t="shared" si="71"/>
        <v>Ст.Каменск-Хозспособ</v>
      </c>
      <c r="J2296" s="5"/>
      <c r="AL2296" s="5">
        <f t="shared" si="72"/>
        <v>0</v>
      </c>
    </row>
    <row r="2297" spans="1:38" ht="25.5" customHeight="1" x14ac:dyDescent="0.25">
      <c r="A2297" s="10" t="s">
        <v>228</v>
      </c>
      <c r="B2297" s="11" t="s">
        <v>1639</v>
      </c>
      <c r="C2297" s="5">
        <v>53500.443299999999</v>
      </c>
      <c r="D2297" s="5">
        <v>53500.443299999999</v>
      </c>
      <c r="E2297" s="5">
        <v>48445.605100000001</v>
      </c>
      <c r="G2297" s="5" t="str">
        <f t="shared" si="71"/>
        <v>ИСТОК</v>
      </c>
      <c r="J2297" s="5"/>
      <c r="AL2297" s="5">
        <f t="shared" si="72"/>
        <v>0</v>
      </c>
    </row>
    <row r="2298" spans="1:38" ht="25.5" customHeight="1" x14ac:dyDescent="0.25">
      <c r="A2298" s="10" t="s">
        <v>2264</v>
      </c>
      <c r="B2298" s="11" t="s">
        <v>1639</v>
      </c>
      <c r="C2298" s="5">
        <v>53500.443299999999</v>
      </c>
      <c r="D2298" s="5">
        <v>53500.443299999999</v>
      </c>
      <c r="E2298" s="5">
        <v>48445.605100000001</v>
      </c>
      <c r="G2298" s="5" t="str">
        <f t="shared" si="71"/>
        <v>ИСТОК</v>
      </c>
      <c r="J2298" s="5"/>
      <c r="AL2298" s="5">
        <f t="shared" si="72"/>
        <v>0</v>
      </c>
    </row>
    <row r="2299" spans="1:38" ht="25.5" customHeight="1" x14ac:dyDescent="0.25">
      <c r="A2299" s="10" t="s">
        <v>621</v>
      </c>
      <c r="B2299" s="11" t="s">
        <v>1684</v>
      </c>
      <c r="C2299" s="5">
        <v>40625.090199999999</v>
      </c>
      <c r="D2299" s="5">
        <v>40625.090199999999</v>
      </c>
      <c r="E2299" s="5">
        <v>35661.364300000001</v>
      </c>
      <c r="G2299" s="5" t="str">
        <f t="shared" si="71"/>
        <v>Ваг_Стар_Пихтовы-г</v>
      </c>
      <c r="J2299" s="5"/>
      <c r="AL2299" s="5">
        <f t="shared" si="72"/>
        <v>0</v>
      </c>
    </row>
    <row r="2300" spans="1:38" ht="25.5" customHeight="1" x14ac:dyDescent="0.25">
      <c r="A2300" s="10" t="s">
        <v>2265</v>
      </c>
      <c r="B2300" s="11" t="s">
        <v>1691</v>
      </c>
      <c r="C2300" s="5">
        <v>36244.5985</v>
      </c>
      <c r="D2300" s="5">
        <v>36244.5985</v>
      </c>
      <c r="E2300" s="5">
        <v>32992.053800000002</v>
      </c>
      <c r="G2300" s="5" t="str">
        <f t="shared" si="71"/>
        <v>ДинСанПод</v>
      </c>
      <c r="J2300" s="5"/>
      <c r="AL2300" s="5">
        <f t="shared" si="72"/>
        <v>0</v>
      </c>
    </row>
    <row r="2301" spans="1:38" ht="25.5" customHeight="1" x14ac:dyDescent="0.25">
      <c r="A2301" s="10" t="s">
        <v>2266</v>
      </c>
      <c r="B2301" s="11" t="s">
        <v>1691</v>
      </c>
      <c r="C2301" s="5">
        <v>36244.5985</v>
      </c>
      <c r="D2301" s="5">
        <v>36244.5985</v>
      </c>
      <c r="E2301" s="5">
        <v>32992.053800000002</v>
      </c>
      <c r="G2301" s="5" t="str">
        <f t="shared" si="71"/>
        <v>ДинСанПод</v>
      </c>
      <c r="J2301" s="5"/>
      <c r="AL2301" s="5">
        <f t="shared" si="72"/>
        <v>0</v>
      </c>
    </row>
    <row r="2302" spans="1:38" ht="25.5" customHeight="1" x14ac:dyDescent="0.25">
      <c r="A2302" s="10" t="s">
        <v>2267</v>
      </c>
      <c r="B2302" s="11" t="s">
        <v>1679</v>
      </c>
      <c r="C2302" s="5">
        <v>28855.326499999999</v>
      </c>
      <c r="D2302" s="5">
        <v>28855.326499999999</v>
      </c>
      <c r="E2302" s="5">
        <v>25951.933700000001</v>
      </c>
      <c r="G2302" s="5" t="str">
        <f t="shared" si="71"/>
        <v>Ст.Каменск-Хозспособ</v>
      </c>
      <c r="J2302" s="5"/>
      <c r="AL2302" s="5">
        <f t="shared" si="72"/>
        <v>0</v>
      </c>
    </row>
    <row r="2303" spans="1:38" ht="25.5" customHeight="1" x14ac:dyDescent="0.25">
      <c r="A2303" s="10" t="s">
        <v>601</v>
      </c>
      <c r="B2303" s="11" t="s">
        <v>1676</v>
      </c>
      <c r="C2303" s="5">
        <v>28848.8855</v>
      </c>
      <c r="D2303" s="5">
        <v>28848.8855</v>
      </c>
      <c r="E2303" s="5">
        <v>25946.143</v>
      </c>
      <c r="G2303" s="5" t="str">
        <f t="shared" si="71"/>
        <v>Чкаловский</v>
      </c>
      <c r="J2303" s="5"/>
      <c r="AL2303" s="5">
        <f t="shared" si="72"/>
        <v>0</v>
      </c>
    </row>
    <row r="2304" spans="1:38" ht="25.5" customHeight="1" x14ac:dyDescent="0.25">
      <c r="A2304" s="10" t="s">
        <v>2268</v>
      </c>
      <c r="B2304" s="11" t="s">
        <v>1675</v>
      </c>
      <c r="C2304" s="5">
        <v>35756.285400000001</v>
      </c>
      <c r="D2304" s="5">
        <v>35756.285400000001</v>
      </c>
      <c r="E2304" s="5">
        <v>32158.5213</v>
      </c>
      <c r="G2304" s="5" t="str">
        <f t="shared" si="71"/>
        <v>УАЗ-II</v>
      </c>
      <c r="J2304" s="5"/>
      <c r="AL2304" s="5">
        <f t="shared" si="72"/>
        <v>0</v>
      </c>
    </row>
    <row r="2305" spans="1:38" ht="25.5" customHeight="1" x14ac:dyDescent="0.25">
      <c r="A2305" s="10" t="s">
        <v>175</v>
      </c>
      <c r="B2305" s="11" t="s">
        <v>1685</v>
      </c>
      <c r="C2305" s="5">
        <v>36513.6518</v>
      </c>
      <c r="D2305" s="5">
        <v>36513.6518</v>
      </c>
      <c r="E2305" s="5">
        <v>32052.276999999998</v>
      </c>
      <c r="G2305" s="5" t="str">
        <f t="shared" si="71"/>
        <v>Выя_Леб_Горб_Кр-Кам</v>
      </c>
      <c r="J2305" s="5"/>
      <c r="AL2305" s="5">
        <f t="shared" si="72"/>
        <v>0</v>
      </c>
    </row>
    <row r="2306" spans="1:38" ht="25.5" customHeight="1" x14ac:dyDescent="0.25">
      <c r="A2306" s="10" t="s">
        <v>1584</v>
      </c>
      <c r="B2306" s="11" t="s">
        <v>1639</v>
      </c>
      <c r="C2306" s="5">
        <v>53500.443299999999</v>
      </c>
      <c r="D2306" s="5">
        <v>53500.443299999999</v>
      </c>
      <c r="E2306" s="5">
        <v>48445.605100000001</v>
      </c>
      <c r="G2306" s="5" t="str">
        <f t="shared" si="71"/>
        <v>ИСТОК</v>
      </c>
      <c r="J2306" s="5"/>
      <c r="AL2306" s="5">
        <f t="shared" si="72"/>
        <v>0</v>
      </c>
    </row>
    <row r="2307" spans="1:38" ht="25.5" customHeight="1" x14ac:dyDescent="0.25">
      <c r="A2307" s="10" t="s">
        <v>2269</v>
      </c>
      <c r="B2307" s="11" t="s">
        <v>1683</v>
      </c>
      <c r="C2307" s="5">
        <v>40018.9617</v>
      </c>
      <c r="D2307" s="5">
        <v>40018.9617</v>
      </c>
      <c r="E2307" s="5">
        <v>35129.2961</v>
      </c>
      <c r="G2307" s="5" t="str">
        <f t="shared" si="71"/>
        <v>Алт_Гальян_М-Кушва</v>
      </c>
      <c r="J2307" s="5"/>
      <c r="AL2307" s="5">
        <f t="shared" si="72"/>
        <v>0</v>
      </c>
    </row>
    <row r="2308" spans="1:38" ht="25.5" customHeight="1" x14ac:dyDescent="0.25">
      <c r="A2308" s="10" t="s">
        <v>768</v>
      </c>
      <c r="B2308" s="11" t="s">
        <v>1683</v>
      </c>
      <c r="C2308" s="5">
        <v>40018.9617</v>
      </c>
      <c r="D2308" s="5">
        <v>40018.9617</v>
      </c>
      <c r="E2308" s="5">
        <v>35129.2961</v>
      </c>
      <c r="G2308" s="5" t="str">
        <f t="shared" ref="G2308:G2371" si="73">B2308</f>
        <v>Алт_Гальян_М-Кушва</v>
      </c>
      <c r="J2308" s="5"/>
      <c r="AL2308" s="5">
        <f t="shared" ref="AL2308:AL2371" si="74">AF2308</f>
        <v>0</v>
      </c>
    </row>
    <row r="2309" spans="1:38" ht="25.5" customHeight="1" x14ac:dyDescent="0.25">
      <c r="A2309" s="10" t="s">
        <v>2270</v>
      </c>
      <c r="B2309" s="11" t="s">
        <v>1681</v>
      </c>
      <c r="C2309" s="5">
        <v>32172.2909</v>
      </c>
      <c r="D2309" s="5">
        <v>32172.2909</v>
      </c>
      <c r="E2309" s="5">
        <v>28935.146499999999</v>
      </c>
      <c r="G2309" s="5" t="str">
        <f t="shared" si="73"/>
        <v>Ленин-Олимп</v>
      </c>
      <c r="J2309" s="5"/>
      <c r="AL2309" s="5">
        <f t="shared" si="74"/>
        <v>0</v>
      </c>
    </row>
    <row r="2310" spans="1:38" ht="25.5" customHeight="1" x14ac:dyDescent="0.25">
      <c r="A2310" s="10" t="s">
        <v>2271</v>
      </c>
      <c r="B2310" s="11" t="s">
        <v>1687</v>
      </c>
      <c r="C2310" s="5">
        <v>30591.135900000001</v>
      </c>
      <c r="D2310" s="5">
        <v>30591.135900000001</v>
      </c>
      <c r="E2310" s="5">
        <v>26853.405500000001</v>
      </c>
      <c r="G2310" s="5" t="str">
        <f t="shared" si="73"/>
        <v>Рудник_Север</v>
      </c>
      <c r="J2310" s="5"/>
      <c r="AL2310" s="5">
        <f t="shared" si="74"/>
        <v>0</v>
      </c>
    </row>
    <row r="2311" spans="1:38" ht="25.5" customHeight="1" x14ac:dyDescent="0.25">
      <c r="A2311" s="10" t="s">
        <v>197</v>
      </c>
      <c r="B2311" s="11" t="s">
        <v>1674</v>
      </c>
      <c r="C2311" s="5">
        <v>29199.565200000001</v>
      </c>
      <c r="D2311" s="5">
        <v>29199.565200000001</v>
      </c>
      <c r="E2311" s="5">
        <v>26261.5317</v>
      </c>
      <c r="G2311" s="5" t="str">
        <f t="shared" si="73"/>
        <v>УАЗ</v>
      </c>
      <c r="J2311" s="5"/>
      <c r="AL2311" s="5">
        <f t="shared" si="74"/>
        <v>0</v>
      </c>
    </row>
    <row r="2312" spans="1:38" ht="25.5" customHeight="1" x14ac:dyDescent="0.25">
      <c r="A2312" s="10" t="s">
        <v>2272</v>
      </c>
      <c r="B2312" s="11" t="s">
        <v>1636</v>
      </c>
      <c r="C2312" s="5">
        <v>52246.960299999999</v>
      </c>
      <c r="D2312" s="5">
        <v>52246.960299999999</v>
      </c>
      <c r="E2312" s="5">
        <v>47310.556700000001</v>
      </c>
      <c r="G2312" s="5" t="str">
        <f t="shared" si="73"/>
        <v>ГОРНЫЙ ЩИТ</v>
      </c>
      <c r="J2312" s="5"/>
      <c r="AL2312" s="5">
        <f t="shared" si="74"/>
        <v>0</v>
      </c>
    </row>
    <row r="2313" spans="1:38" ht="25.5" customHeight="1" x14ac:dyDescent="0.25">
      <c r="A2313" s="10" t="s">
        <v>2273</v>
      </c>
      <c r="B2313" s="11" t="s">
        <v>1675</v>
      </c>
      <c r="C2313" s="5">
        <v>35756.285400000001</v>
      </c>
      <c r="D2313" s="5">
        <v>35756.285400000001</v>
      </c>
      <c r="E2313" s="5">
        <v>32158.5213</v>
      </c>
      <c r="G2313" s="5" t="str">
        <f t="shared" si="73"/>
        <v>УАЗ-II</v>
      </c>
      <c r="J2313" s="5"/>
      <c r="AL2313" s="5">
        <f t="shared" si="74"/>
        <v>0</v>
      </c>
    </row>
    <row r="2314" spans="1:38" ht="25.5" customHeight="1" x14ac:dyDescent="0.25">
      <c r="A2314" s="10" t="s">
        <v>1276</v>
      </c>
      <c r="B2314" s="11" t="s">
        <v>1676</v>
      </c>
      <c r="C2314" s="5">
        <v>28848.8855</v>
      </c>
      <c r="D2314" s="5">
        <v>28848.8855</v>
      </c>
      <c r="E2314" s="5">
        <v>25946.143</v>
      </c>
      <c r="G2314" s="5" t="str">
        <f t="shared" si="73"/>
        <v>Чкаловский</v>
      </c>
      <c r="J2314" s="5"/>
      <c r="AL2314" s="5">
        <f t="shared" si="74"/>
        <v>0</v>
      </c>
    </row>
    <row r="2315" spans="1:38" ht="25.5" customHeight="1" x14ac:dyDescent="0.25">
      <c r="A2315" s="10" t="s">
        <v>2274</v>
      </c>
      <c r="B2315" s="11" t="s">
        <v>1688</v>
      </c>
      <c r="C2315" s="5">
        <v>29893.73</v>
      </c>
      <c r="D2315" s="5">
        <v>29893.73</v>
      </c>
      <c r="E2315" s="5">
        <v>26241.207699999999</v>
      </c>
      <c r="G2315" s="5" t="str">
        <f t="shared" si="73"/>
        <v>Сух_Г-Кам_Н_Кушва_Н-Черм</v>
      </c>
      <c r="J2315" s="5"/>
      <c r="AL2315" s="5">
        <f t="shared" si="74"/>
        <v>0</v>
      </c>
    </row>
    <row r="2316" spans="1:38" ht="25.5" customHeight="1" x14ac:dyDescent="0.25">
      <c r="A2316" s="10" t="s">
        <v>2275</v>
      </c>
      <c r="B2316" s="11" t="s">
        <v>1688</v>
      </c>
      <c r="C2316" s="5">
        <v>29893.73</v>
      </c>
      <c r="D2316" s="5">
        <v>29893.73</v>
      </c>
      <c r="E2316" s="5">
        <v>26241.207699999999</v>
      </c>
      <c r="G2316" s="5" t="str">
        <f t="shared" si="73"/>
        <v>Сух_Г-Кам_Н_Кушва_Н-Черм</v>
      </c>
      <c r="J2316" s="5"/>
      <c r="AL2316" s="5">
        <f t="shared" si="74"/>
        <v>0</v>
      </c>
    </row>
    <row r="2317" spans="1:38" ht="25.5" customHeight="1" x14ac:dyDescent="0.25">
      <c r="A2317" s="10" t="s">
        <v>1047</v>
      </c>
      <c r="B2317" s="11" t="s">
        <v>1699</v>
      </c>
      <c r="C2317" s="5">
        <v>34007.852099999996</v>
      </c>
      <c r="D2317" s="5">
        <v>34007.852099999996</v>
      </c>
      <c r="E2317" s="5">
        <v>30956.028900000001</v>
      </c>
      <c r="G2317" s="5" t="str">
        <f t="shared" si="73"/>
        <v>Шайтанка</v>
      </c>
      <c r="J2317" s="5"/>
      <c r="AL2317" s="5">
        <f t="shared" si="74"/>
        <v>0</v>
      </c>
    </row>
    <row r="2318" spans="1:38" ht="25.5" customHeight="1" x14ac:dyDescent="0.25">
      <c r="A2318" s="10" t="s">
        <v>2276</v>
      </c>
      <c r="B2318" s="11" t="s">
        <v>1695</v>
      </c>
      <c r="C2318" s="5">
        <v>40100.412600000003</v>
      </c>
      <c r="D2318" s="5">
        <v>40100.412600000003</v>
      </c>
      <c r="E2318" s="5">
        <v>36501.853799999997</v>
      </c>
      <c r="G2318" s="5" t="str">
        <f t="shared" si="73"/>
        <v>Соцгород</v>
      </c>
      <c r="J2318" s="5"/>
      <c r="AL2318" s="5">
        <f t="shared" si="74"/>
        <v>0</v>
      </c>
    </row>
    <row r="2319" spans="1:38" ht="25.5" customHeight="1" x14ac:dyDescent="0.25">
      <c r="A2319" s="10" t="s">
        <v>2277</v>
      </c>
      <c r="B2319" s="11" t="s">
        <v>1699</v>
      </c>
      <c r="C2319" s="5">
        <v>34007.852099999996</v>
      </c>
      <c r="D2319" s="5">
        <v>34007.852099999996</v>
      </c>
      <c r="E2319" s="5">
        <v>30956.028900000001</v>
      </c>
      <c r="G2319" s="5" t="str">
        <f t="shared" si="73"/>
        <v>Шайтанка</v>
      </c>
      <c r="J2319" s="5"/>
      <c r="AL2319" s="5">
        <f t="shared" si="74"/>
        <v>0</v>
      </c>
    </row>
    <row r="2320" spans="1:38" ht="25.5" customHeight="1" x14ac:dyDescent="0.25">
      <c r="A2320" s="10" t="s">
        <v>1199</v>
      </c>
      <c r="B2320" s="7" t="s">
        <v>1699</v>
      </c>
      <c r="C2320" s="7">
        <v>34007.852099999996</v>
      </c>
      <c r="D2320" s="7">
        <v>34007.852099999996</v>
      </c>
      <c r="E2320" s="7">
        <v>30956.028900000001</v>
      </c>
      <c r="G2320" s="5" t="str">
        <f t="shared" si="73"/>
        <v>Шайтанка</v>
      </c>
      <c r="J2320" s="5"/>
      <c r="AL2320" s="5">
        <f t="shared" si="74"/>
        <v>0</v>
      </c>
    </row>
    <row r="2321" spans="1:38" ht="25.5" customHeight="1" x14ac:dyDescent="0.25">
      <c r="A2321" s="10" t="s">
        <v>2278</v>
      </c>
      <c r="B2321" s="11" t="s">
        <v>1699</v>
      </c>
      <c r="C2321" s="5">
        <v>34007.852099999996</v>
      </c>
      <c r="D2321" s="5">
        <v>34007.852099999996</v>
      </c>
      <c r="E2321" s="5">
        <v>30956.028900000001</v>
      </c>
      <c r="G2321" s="5" t="str">
        <f t="shared" si="73"/>
        <v>Шайтанка</v>
      </c>
      <c r="J2321" s="5"/>
      <c r="AL2321" s="5">
        <f t="shared" si="74"/>
        <v>0</v>
      </c>
    </row>
    <row r="2322" spans="1:38" ht="25.5" customHeight="1" x14ac:dyDescent="0.25">
      <c r="A2322" s="10" t="s">
        <v>2279</v>
      </c>
      <c r="B2322" s="11" t="s">
        <v>1679</v>
      </c>
      <c r="C2322" s="5">
        <v>28855.326499999999</v>
      </c>
      <c r="D2322" s="5">
        <v>28855.326499999999</v>
      </c>
      <c r="E2322" s="5">
        <v>25951.933700000001</v>
      </c>
      <c r="G2322" s="5" t="str">
        <f t="shared" si="73"/>
        <v>Ст.Каменск-Хозспособ</v>
      </c>
      <c r="J2322" s="5"/>
      <c r="AL2322" s="5">
        <f t="shared" si="74"/>
        <v>0</v>
      </c>
    </row>
    <row r="2323" spans="1:38" ht="25.5" customHeight="1" x14ac:dyDescent="0.25">
      <c r="A2323" s="10" t="s">
        <v>1251</v>
      </c>
      <c r="B2323" s="11" t="s">
        <v>1673</v>
      </c>
      <c r="C2323" s="5">
        <v>35563.243300000002</v>
      </c>
      <c r="D2323" s="5">
        <v>35563.243300000002</v>
      </c>
      <c r="E2323" s="5">
        <v>31984.905299999999</v>
      </c>
      <c r="G2323" s="5" t="str">
        <f t="shared" si="73"/>
        <v>УАЗ-III - 49 кв.</v>
      </c>
      <c r="J2323" s="5"/>
      <c r="AL2323" s="5">
        <f t="shared" si="74"/>
        <v>0</v>
      </c>
    </row>
    <row r="2324" spans="1:38" ht="25.5" customHeight="1" x14ac:dyDescent="0.25">
      <c r="A2324" s="10" t="s">
        <v>2280</v>
      </c>
      <c r="B2324" s="11" t="s">
        <v>1675</v>
      </c>
      <c r="C2324" s="5">
        <v>35756.285400000001</v>
      </c>
      <c r="D2324" s="5">
        <v>35756.285400000001</v>
      </c>
      <c r="E2324" s="5">
        <v>32158.5213</v>
      </c>
      <c r="G2324" s="5" t="str">
        <f t="shared" si="73"/>
        <v>УАЗ-II</v>
      </c>
      <c r="J2324" s="5"/>
      <c r="AL2324" s="5">
        <f t="shared" si="74"/>
        <v>0</v>
      </c>
    </row>
    <row r="2325" spans="1:38" ht="25.5" customHeight="1" x14ac:dyDescent="0.25">
      <c r="A2325" s="10" t="s">
        <v>2281</v>
      </c>
      <c r="B2325" s="11" t="s">
        <v>1675</v>
      </c>
      <c r="C2325" s="5">
        <v>35756.285400000001</v>
      </c>
      <c r="D2325" s="5">
        <v>35756.285400000001</v>
      </c>
      <c r="E2325" s="5">
        <v>32158.5213</v>
      </c>
      <c r="G2325" s="5" t="str">
        <f t="shared" si="73"/>
        <v>УАЗ-II</v>
      </c>
      <c r="J2325" s="5"/>
      <c r="AL2325" s="5">
        <f t="shared" si="74"/>
        <v>0</v>
      </c>
    </row>
    <row r="2326" spans="1:38" ht="25.5" customHeight="1" x14ac:dyDescent="0.25">
      <c r="A2326" s="10" t="s">
        <v>1023</v>
      </c>
      <c r="B2326" s="11" t="s">
        <v>1673</v>
      </c>
      <c r="C2326" s="5">
        <v>35563.243300000002</v>
      </c>
      <c r="D2326" s="5">
        <v>35563.243300000002</v>
      </c>
      <c r="E2326" s="5">
        <v>31984.905299999999</v>
      </c>
      <c r="G2326" s="5" t="str">
        <f t="shared" si="73"/>
        <v>УАЗ-III - 49 кв.</v>
      </c>
      <c r="J2326" s="5"/>
      <c r="AL2326" s="5">
        <f t="shared" si="74"/>
        <v>0</v>
      </c>
    </row>
    <row r="2327" spans="1:38" ht="25.5" customHeight="1" x14ac:dyDescent="0.25">
      <c r="A2327" s="10" t="s">
        <v>2282</v>
      </c>
      <c r="B2327" s="11" t="s">
        <v>1676</v>
      </c>
      <c r="C2327" s="5">
        <v>28848.8855</v>
      </c>
      <c r="D2327" s="5">
        <v>28848.8855</v>
      </c>
      <c r="E2327" s="5">
        <v>25946.143</v>
      </c>
      <c r="G2327" s="5" t="str">
        <f t="shared" si="73"/>
        <v>Чкаловский</v>
      </c>
      <c r="J2327" s="5"/>
      <c r="AL2327" s="5">
        <f t="shared" si="74"/>
        <v>0</v>
      </c>
    </row>
    <row r="2328" spans="1:38" ht="25.5" customHeight="1" x14ac:dyDescent="0.25">
      <c r="A2328" s="10" t="s">
        <v>2283</v>
      </c>
      <c r="B2328" s="11" t="s">
        <v>1676</v>
      </c>
      <c r="C2328" s="5">
        <v>28848.8855</v>
      </c>
      <c r="D2328" s="5">
        <v>28848.8855</v>
      </c>
      <c r="E2328" s="5">
        <v>25946.143</v>
      </c>
      <c r="G2328" s="5" t="str">
        <f t="shared" si="73"/>
        <v>Чкаловский</v>
      </c>
      <c r="J2328" s="5"/>
      <c r="AL2328" s="5">
        <f t="shared" si="74"/>
        <v>0</v>
      </c>
    </row>
    <row r="2329" spans="1:38" ht="25.5" customHeight="1" x14ac:dyDescent="0.25">
      <c r="A2329" s="10" t="s">
        <v>206</v>
      </c>
      <c r="B2329" s="11" t="s">
        <v>1681</v>
      </c>
      <c r="C2329" s="5">
        <v>32172.2909</v>
      </c>
      <c r="D2329" s="5">
        <v>32172.2909</v>
      </c>
      <c r="E2329" s="5">
        <v>28935.146499999999</v>
      </c>
      <c r="G2329" s="5" t="str">
        <f t="shared" si="73"/>
        <v>Ленин-Олимп</v>
      </c>
      <c r="J2329" s="5"/>
      <c r="AL2329" s="5">
        <f t="shared" si="74"/>
        <v>0</v>
      </c>
    </row>
    <row r="2330" spans="1:38" ht="25.5" customHeight="1" x14ac:dyDescent="0.25">
      <c r="A2330" s="10" t="s">
        <v>2284</v>
      </c>
      <c r="B2330" s="11" t="s">
        <v>1681</v>
      </c>
      <c r="C2330" s="5">
        <v>32172.2909</v>
      </c>
      <c r="D2330" s="5">
        <v>32172.2909</v>
      </c>
      <c r="E2330" s="5">
        <v>28935.146499999999</v>
      </c>
      <c r="G2330" s="5" t="str">
        <f t="shared" si="73"/>
        <v>Ленин-Олимп</v>
      </c>
      <c r="J2330" s="5"/>
      <c r="AL2330" s="5">
        <f t="shared" si="74"/>
        <v>0</v>
      </c>
    </row>
    <row r="2331" spans="1:38" ht="25.5" customHeight="1" x14ac:dyDescent="0.25">
      <c r="A2331" s="10" t="s">
        <v>968</v>
      </c>
      <c r="B2331" s="11" t="s">
        <v>1674</v>
      </c>
      <c r="C2331" s="5">
        <v>29199.565200000001</v>
      </c>
      <c r="D2331" s="5">
        <v>29199.565200000001</v>
      </c>
      <c r="E2331" s="5">
        <v>26261.5317</v>
      </c>
      <c r="G2331" s="5" t="str">
        <f t="shared" si="73"/>
        <v>УАЗ</v>
      </c>
      <c r="J2331" s="5"/>
      <c r="AL2331" s="5">
        <f t="shared" si="74"/>
        <v>0</v>
      </c>
    </row>
    <row r="2332" spans="1:38" ht="25.5" customHeight="1" x14ac:dyDescent="0.25">
      <c r="A2332" s="10" t="s">
        <v>2285</v>
      </c>
      <c r="B2332" s="11" t="s">
        <v>1676</v>
      </c>
      <c r="C2332" s="5">
        <v>28848.8855</v>
      </c>
      <c r="D2332" s="5">
        <v>28848.8855</v>
      </c>
      <c r="E2332" s="5">
        <v>25946.143</v>
      </c>
      <c r="G2332" s="5" t="str">
        <f t="shared" si="73"/>
        <v>Чкаловский</v>
      </c>
      <c r="J2332" s="5"/>
      <c r="AL2332" s="5">
        <f t="shared" si="74"/>
        <v>0</v>
      </c>
    </row>
    <row r="2333" spans="1:38" ht="25.5" customHeight="1" x14ac:dyDescent="0.25">
      <c r="A2333" s="10" t="s">
        <v>2286</v>
      </c>
      <c r="B2333" s="11" t="s">
        <v>209</v>
      </c>
      <c r="C2333" s="5">
        <v>69382.512499999997</v>
      </c>
      <c r="D2333" s="5">
        <v>69382.512499999997</v>
      </c>
      <c r="E2333" s="5">
        <v>62827.103199999998</v>
      </c>
      <c r="G2333" s="5" t="str">
        <f t="shared" si="73"/>
        <v>ЖБИ</v>
      </c>
      <c r="J2333" s="5"/>
      <c r="AL2333" s="5">
        <f t="shared" si="74"/>
        <v>0</v>
      </c>
    </row>
    <row r="2334" spans="1:38" ht="25.5" customHeight="1" x14ac:dyDescent="0.25">
      <c r="A2334" s="10" t="s">
        <v>2287</v>
      </c>
      <c r="B2334" s="11" t="s">
        <v>1691</v>
      </c>
      <c r="C2334" s="5">
        <v>36244.5985</v>
      </c>
      <c r="D2334" s="5">
        <v>36244.5985</v>
      </c>
      <c r="E2334" s="5">
        <v>32992.053800000002</v>
      </c>
      <c r="G2334" s="5" t="str">
        <f t="shared" si="73"/>
        <v>ДинСанПод</v>
      </c>
      <c r="J2334" s="5"/>
      <c r="AL2334" s="5">
        <f t="shared" si="74"/>
        <v>0</v>
      </c>
    </row>
    <row r="2335" spans="1:38" ht="25.5" customHeight="1" x14ac:dyDescent="0.25">
      <c r="A2335" s="10" t="s">
        <v>2288</v>
      </c>
      <c r="B2335" s="11" t="s">
        <v>1691</v>
      </c>
      <c r="C2335" s="5">
        <v>36244.5985</v>
      </c>
      <c r="D2335" s="5">
        <v>36244.5985</v>
      </c>
      <c r="E2335" s="5">
        <v>32992.053800000002</v>
      </c>
      <c r="G2335" s="5" t="str">
        <f t="shared" si="73"/>
        <v>ДинСанПод</v>
      </c>
      <c r="J2335" s="5"/>
      <c r="AL2335" s="5">
        <f t="shared" si="74"/>
        <v>0</v>
      </c>
    </row>
    <row r="2336" spans="1:38" ht="25.5" customHeight="1" x14ac:dyDescent="0.25">
      <c r="A2336" s="10" t="s">
        <v>2289</v>
      </c>
      <c r="B2336" s="11" t="s">
        <v>1691</v>
      </c>
      <c r="C2336" s="5">
        <v>36244.5985</v>
      </c>
      <c r="D2336" s="5">
        <v>36244.5985</v>
      </c>
      <c r="E2336" s="5">
        <v>32992.053800000002</v>
      </c>
      <c r="G2336" s="5" t="str">
        <f t="shared" si="73"/>
        <v>ДинСанПод</v>
      </c>
      <c r="J2336" s="5"/>
      <c r="AL2336" s="5">
        <f t="shared" si="74"/>
        <v>0</v>
      </c>
    </row>
    <row r="2337" spans="1:38" ht="25.5" customHeight="1" x14ac:dyDescent="0.25">
      <c r="A2337" s="10" t="s">
        <v>2290</v>
      </c>
      <c r="B2337" s="11" t="s">
        <v>1673</v>
      </c>
      <c r="C2337" s="5">
        <v>35563.243300000002</v>
      </c>
      <c r="D2337" s="5">
        <v>35563.243300000002</v>
      </c>
      <c r="E2337" s="5">
        <v>31984.905299999999</v>
      </c>
      <c r="G2337" s="5" t="str">
        <f t="shared" si="73"/>
        <v>УАЗ-III - 49 кв.</v>
      </c>
      <c r="J2337" s="5"/>
      <c r="AL2337" s="5">
        <f t="shared" si="74"/>
        <v>0</v>
      </c>
    </row>
    <row r="2338" spans="1:38" ht="25.5" customHeight="1" x14ac:dyDescent="0.25">
      <c r="A2338" s="10" t="s">
        <v>2291</v>
      </c>
      <c r="B2338" s="11" t="s">
        <v>1683</v>
      </c>
      <c r="C2338" s="5">
        <v>40018.9617</v>
      </c>
      <c r="D2338" s="5">
        <v>40018.9617</v>
      </c>
      <c r="E2338" s="5">
        <v>35129.2961</v>
      </c>
      <c r="G2338" s="5" t="str">
        <f t="shared" si="73"/>
        <v>Алт_Гальян_М-Кушва</v>
      </c>
      <c r="J2338" s="5"/>
      <c r="AL2338" s="5">
        <f t="shared" si="74"/>
        <v>0</v>
      </c>
    </row>
    <row r="2339" spans="1:38" ht="25.5" customHeight="1" x14ac:dyDescent="0.25">
      <c r="A2339" s="10" t="s">
        <v>2292</v>
      </c>
      <c r="B2339" s="11" t="s">
        <v>1688</v>
      </c>
      <c r="C2339" s="5">
        <v>29893.73</v>
      </c>
      <c r="D2339" s="5">
        <v>29893.73</v>
      </c>
      <c r="E2339" s="5">
        <v>26241.207699999999</v>
      </c>
      <c r="G2339" s="5" t="str">
        <f t="shared" si="73"/>
        <v>Сух_Г-Кам_Н_Кушва_Н-Черм</v>
      </c>
      <c r="J2339" s="5"/>
      <c r="AL2339" s="5">
        <f t="shared" si="74"/>
        <v>0</v>
      </c>
    </row>
    <row r="2340" spans="1:38" ht="25.5" customHeight="1" x14ac:dyDescent="0.25">
      <c r="A2340" s="10" t="s">
        <v>2293</v>
      </c>
      <c r="B2340" s="11" t="s">
        <v>1683</v>
      </c>
      <c r="C2340" s="5">
        <v>40018.9617</v>
      </c>
      <c r="D2340" s="5">
        <v>40018.9617</v>
      </c>
      <c r="E2340" s="5">
        <v>35129.2961</v>
      </c>
      <c r="G2340" s="5" t="str">
        <f t="shared" si="73"/>
        <v>Алт_Гальян_М-Кушва</v>
      </c>
      <c r="J2340" s="5"/>
      <c r="AL2340" s="5">
        <f t="shared" si="74"/>
        <v>0</v>
      </c>
    </row>
    <row r="2341" spans="1:38" ht="25.5" customHeight="1" x14ac:dyDescent="0.25">
      <c r="A2341" s="10" t="s">
        <v>160</v>
      </c>
      <c r="B2341" s="11" t="s">
        <v>1685</v>
      </c>
      <c r="C2341" s="5">
        <v>36513.6518</v>
      </c>
      <c r="D2341" s="5">
        <v>36513.6518</v>
      </c>
      <c r="E2341" s="5">
        <v>32052.276999999998</v>
      </c>
      <c r="G2341" s="5" t="str">
        <f t="shared" si="73"/>
        <v>Выя_Леб_Горб_Кр-Кам</v>
      </c>
      <c r="J2341" s="5"/>
      <c r="AL2341" s="5">
        <f t="shared" si="74"/>
        <v>0</v>
      </c>
    </row>
    <row r="2342" spans="1:38" ht="25.5" customHeight="1" x14ac:dyDescent="0.25">
      <c r="A2342" s="10" t="s">
        <v>2294</v>
      </c>
      <c r="B2342" s="11" t="s">
        <v>1699</v>
      </c>
      <c r="C2342" s="5">
        <v>34007.852099999996</v>
      </c>
      <c r="D2342" s="5">
        <v>34007.852099999996</v>
      </c>
      <c r="E2342" s="5">
        <v>30956.028900000001</v>
      </c>
      <c r="G2342" s="5" t="str">
        <f t="shared" si="73"/>
        <v>Шайтанка</v>
      </c>
      <c r="J2342" s="5"/>
      <c r="AL2342" s="5">
        <f t="shared" si="74"/>
        <v>0</v>
      </c>
    </row>
    <row r="2343" spans="1:38" ht="25.5" customHeight="1" x14ac:dyDescent="0.25">
      <c r="A2343" s="10" t="s">
        <v>2295</v>
      </c>
      <c r="B2343" s="11" t="s">
        <v>1691</v>
      </c>
      <c r="C2343" s="5">
        <v>36244.5985</v>
      </c>
      <c r="D2343" s="5">
        <v>36244.5985</v>
      </c>
      <c r="E2343" s="5">
        <v>32992.053800000002</v>
      </c>
      <c r="G2343" s="5" t="str">
        <f t="shared" si="73"/>
        <v>ДинСанПод</v>
      </c>
      <c r="J2343" s="5"/>
      <c r="AL2343" s="5">
        <f t="shared" si="74"/>
        <v>0</v>
      </c>
    </row>
    <row r="2344" spans="1:38" ht="25.5" customHeight="1" x14ac:dyDescent="0.25">
      <c r="A2344" s="10" t="s">
        <v>766</v>
      </c>
      <c r="B2344" s="5" t="s">
        <v>1685</v>
      </c>
      <c r="C2344" s="5">
        <v>36513.6518</v>
      </c>
      <c r="D2344" s="5">
        <v>36513.6518</v>
      </c>
      <c r="E2344" s="5">
        <v>32052.276999999998</v>
      </c>
      <c r="G2344" s="5" t="str">
        <f t="shared" si="73"/>
        <v>Выя_Леб_Горб_Кр-Кам</v>
      </c>
      <c r="J2344" s="5"/>
      <c r="AL2344" s="5">
        <f t="shared" si="74"/>
        <v>0</v>
      </c>
    </row>
    <row r="2345" spans="1:38" ht="25.5" customHeight="1" x14ac:dyDescent="0.25">
      <c r="A2345" s="10" t="s">
        <v>1261</v>
      </c>
      <c r="B2345" s="11" t="s">
        <v>1683</v>
      </c>
      <c r="C2345" s="5">
        <v>40018.9617</v>
      </c>
      <c r="D2345" s="5">
        <v>40018.9617</v>
      </c>
      <c r="E2345" s="5">
        <v>35129.2961</v>
      </c>
      <c r="G2345" s="5" t="str">
        <f t="shared" si="73"/>
        <v>Алт_Гальян_М-Кушва</v>
      </c>
      <c r="J2345" s="5"/>
      <c r="AL2345" s="5">
        <f t="shared" si="74"/>
        <v>0</v>
      </c>
    </row>
    <row r="2346" spans="1:38" ht="25.5" customHeight="1" x14ac:dyDescent="0.25">
      <c r="A2346" s="10" t="s">
        <v>2296</v>
      </c>
      <c r="B2346" s="11" t="s">
        <v>1673</v>
      </c>
      <c r="C2346" s="5">
        <v>35563.243300000002</v>
      </c>
      <c r="D2346" s="5">
        <v>35563.243300000002</v>
      </c>
      <c r="E2346" s="5">
        <v>31984.905299999999</v>
      </c>
      <c r="G2346" s="5" t="str">
        <f t="shared" si="73"/>
        <v>УАЗ-III - 49 кв.</v>
      </c>
      <c r="J2346" s="5"/>
      <c r="AL2346" s="5">
        <f t="shared" si="74"/>
        <v>0</v>
      </c>
    </row>
    <row r="2347" spans="1:38" ht="25.5" customHeight="1" x14ac:dyDescent="0.25">
      <c r="A2347" s="10" t="s">
        <v>2297</v>
      </c>
      <c r="B2347" s="11" t="s">
        <v>1675</v>
      </c>
      <c r="C2347" s="5">
        <v>35756.285400000001</v>
      </c>
      <c r="D2347" s="5">
        <v>35756.285400000001</v>
      </c>
      <c r="E2347" s="5">
        <v>32158.5213</v>
      </c>
      <c r="G2347" s="5" t="str">
        <f t="shared" si="73"/>
        <v>УАЗ-II</v>
      </c>
      <c r="J2347" s="5"/>
      <c r="AL2347" s="5">
        <f t="shared" si="74"/>
        <v>0</v>
      </c>
    </row>
    <row r="2348" spans="1:38" ht="25.5" customHeight="1" x14ac:dyDescent="0.25">
      <c r="A2348" s="10" t="s">
        <v>1519</v>
      </c>
      <c r="B2348" s="11" t="s">
        <v>1677</v>
      </c>
      <c r="C2348" s="5">
        <v>39105.413099999998</v>
      </c>
      <c r="D2348" s="5">
        <v>39105.413099999998</v>
      </c>
      <c r="E2348" s="5">
        <v>35170.666700000002</v>
      </c>
      <c r="G2348" s="5" t="str">
        <f t="shared" si="73"/>
        <v>Октябрьский</v>
      </c>
      <c r="J2348" s="5"/>
      <c r="AL2348" s="5">
        <f t="shared" si="74"/>
        <v>0</v>
      </c>
    </row>
    <row r="2349" spans="1:38" ht="25.5" customHeight="1" x14ac:dyDescent="0.25">
      <c r="A2349" s="10" t="s">
        <v>649</v>
      </c>
      <c r="B2349" s="11" t="s">
        <v>1675</v>
      </c>
      <c r="C2349" s="5">
        <v>35756.285400000001</v>
      </c>
      <c r="D2349" s="5">
        <v>35756.285400000001</v>
      </c>
      <c r="E2349" s="5">
        <v>32158.5213</v>
      </c>
      <c r="G2349" s="5" t="str">
        <f t="shared" si="73"/>
        <v>УАЗ-II</v>
      </c>
      <c r="J2349" s="5"/>
      <c r="AL2349" s="5">
        <f t="shared" si="74"/>
        <v>0</v>
      </c>
    </row>
    <row r="2350" spans="1:38" ht="25.5" customHeight="1" x14ac:dyDescent="0.25">
      <c r="A2350" s="10" t="s">
        <v>2298</v>
      </c>
      <c r="B2350" s="11" t="s">
        <v>1676</v>
      </c>
      <c r="C2350" s="5">
        <v>28848.8855</v>
      </c>
      <c r="D2350" s="5">
        <v>28848.8855</v>
      </c>
      <c r="E2350" s="5">
        <v>25946.143</v>
      </c>
      <c r="G2350" s="5" t="str">
        <f t="shared" si="73"/>
        <v>Чкаловский</v>
      </c>
      <c r="J2350" s="5"/>
      <c r="AL2350" s="5">
        <f t="shared" si="74"/>
        <v>0</v>
      </c>
    </row>
    <row r="2351" spans="1:38" ht="25.5" customHeight="1" x14ac:dyDescent="0.25">
      <c r="A2351" s="10" t="s">
        <v>2299</v>
      </c>
      <c r="B2351" s="11" t="s">
        <v>1676</v>
      </c>
      <c r="C2351" s="5">
        <v>28848.8855</v>
      </c>
      <c r="D2351" s="5">
        <v>28848.8855</v>
      </c>
      <c r="E2351" s="5">
        <v>25946.143</v>
      </c>
      <c r="G2351" s="5" t="str">
        <f t="shared" si="73"/>
        <v>Чкаловский</v>
      </c>
      <c r="J2351" s="5"/>
      <c r="AL2351" s="5">
        <f t="shared" si="74"/>
        <v>0</v>
      </c>
    </row>
    <row r="2352" spans="1:38" ht="25.5" customHeight="1" x14ac:dyDescent="0.25">
      <c r="A2352" s="10" t="s">
        <v>1249</v>
      </c>
      <c r="B2352" s="11" t="s">
        <v>1677</v>
      </c>
      <c r="C2352" s="5">
        <v>39105.413099999998</v>
      </c>
      <c r="D2352" s="5">
        <v>39105.413099999998</v>
      </c>
      <c r="E2352" s="5">
        <v>35170.666700000002</v>
      </c>
      <c r="G2352" s="5" t="str">
        <f t="shared" si="73"/>
        <v>Октябрьский</v>
      </c>
      <c r="J2352" s="5"/>
      <c r="AL2352" s="5">
        <f t="shared" si="74"/>
        <v>0</v>
      </c>
    </row>
    <row r="2353" spans="1:38" ht="25.5" customHeight="1" x14ac:dyDescent="0.25">
      <c r="A2353" s="10" t="s">
        <v>429</v>
      </c>
      <c r="B2353" s="7" t="s">
        <v>1692</v>
      </c>
      <c r="C2353" s="7">
        <v>38366.254699999998</v>
      </c>
      <c r="D2353" s="7">
        <v>38366.254699999998</v>
      </c>
      <c r="E2353" s="7">
        <v>34923.320599999999</v>
      </c>
      <c r="G2353" s="5" t="str">
        <f t="shared" si="73"/>
        <v>Западный</v>
      </c>
      <c r="J2353" s="5"/>
      <c r="AL2353" s="5">
        <f t="shared" si="74"/>
        <v>0</v>
      </c>
    </row>
    <row r="2354" spans="1:38" ht="25.5" customHeight="1" x14ac:dyDescent="0.25">
      <c r="A2354" s="10" t="s">
        <v>2300</v>
      </c>
      <c r="B2354" s="11" t="s">
        <v>1684</v>
      </c>
      <c r="C2354" s="5">
        <v>40625.090199999999</v>
      </c>
      <c r="D2354" s="5">
        <v>40625.090199999999</v>
      </c>
      <c r="E2354" s="5">
        <v>35661.364300000001</v>
      </c>
      <c r="G2354" s="5" t="str">
        <f t="shared" si="73"/>
        <v>Ваг_Стар_Пихтовы-г</v>
      </c>
      <c r="J2354" s="5"/>
      <c r="AL2354" s="5">
        <f t="shared" si="74"/>
        <v>0</v>
      </c>
    </row>
    <row r="2355" spans="1:38" ht="25.5" customHeight="1" x14ac:dyDescent="0.25">
      <c r="A2355" s="10" t="s">
        <v>2301</v>
      </c>
      <c r="B2355" s="11" t="s">
        <v>1633</v>
      </c>
      <c r="C2355" s="5">
        <v>77071.442599999995</v>
      </c>
      <c r="D2355" s="5">
        <v>77071.442599999995</v>
      </c>
      <c r="E2355" s="5">
        <v>69789.570900000006</v>
      </c>
      <c r="G2355" s="5" t="str">
        <f t="shared" si="73"/>
        <v>ВТУЗГОРОДОК</v>
      </c>
      <c r="J2355" s="5"/>
      <c r="AL2355" s="5">
        <f t="shared" si="74"/>
        <v>0</v>
      </c>
    </row>
    <row r="2356" spans="1:38" ht="25.5" customHeight="1" x14ac:dyDescent="0.25">
      <c r="A2356" s="10" t="s">
        <v>2302</v>
      </c>
      <c r="B2356" s="11" t="s">
        <v>1637</v>
      </c>
      <c r="C2356" s="5">
        <v>59368.686099999999</v>
      </c>
      <c r="D2356" s="5">
        <v>59368.686099999999</v>
      </c>
      <c r="E2356" s="5">
        <v>53759.401700000002</v>
      </c>
      <c r="G2356" s="5" t="str">
        <f t="shared" si="73"/>
        <v>Старая сортировка</v>
      </c>
      <c r="J2356" s="5"/>
      <c r="AL2356" s="5">
        <f t="shared" si="74"/>
        <v>0</v>
      </c>
    </row>
    <row r="2357" spans="1:38" ht="25.5" customHeight="1" x14ac:dyDescent="0.25">
      <c r="A2357" s="10" t="s">
        <v>2303</v>
      </c>
      <c r="B2357" s="11" t="s">
        <v>1699</v>
      </c>
      <c r="C2357" s="5">
        <v>34007.852099999996</v>
      </c>
      <c r="D2357" s="5">
        <v>34007.852099999996</v>
      </c>
      <c r="E2357" s="5">
        <v>30956.028900000001</v>
      </c>
      <c r="G2357" s="5" t="str">
        <f t="shared" si="73"/>
        <v>Шайтанка</v>
      </c>
      <c r="J2357" s="5"/>
      <c r="AL2357" s="5">
        <f t="shared" si="74"/>
        <v>0</v>
      </c>
    </row>
    <row r="2358" spans="1:38" ht="25.5" customHeight="1" x14ac:dyDescent="0.25">
      <c r="A2358" s="10" t="s">
        <v>2304</v>
      </c>
      <c r="B2358" s="11" t="s">
        <v>1691</v>
      </c>
      <c r="C2358" s="5">
        <v>36244.5985</v>
      </c>
      <c r="D2358" s="5">
        <v>36244.5985</v>
      </c>
      <c r="E2358" s="5">
        <v>32992.053800000002</v>
      </c>
      <c r="G2358" s="5" t="str">
        <f t="shared" si="73"/>
        <v>ДинСанПод</v>
      </c>
      <c r="J2358" s="5"/>
      <c r="AL2358" s="5">
        <f t="shared" si="74"/>
        <v>0</v>
      </c>
    </row>
    <row r="2359" spans="1:38" ht="25.5" customHeight="1" x14ac:dyDescent="0.25">
      <c r="A2359" s="10" t="s">
        <v>2305</v>
      </c>
      <c r="B2359" s="11" t="s">
        <v>1694</v>
      </c>
      <c r="C2359" s="5">
        <v>26641.525799999999</v>
      </c>
      <c r="D2359" s="5">
        <v>26641.525799999999</v>
      </c>
      <c r="E2359" s="5">
        <v>24250.754499999999</v>
      </c>
      <c r="G2359" s="5" t="str">
        <f t="shared" si="73"/>
        <v>Первомайский</v>
      </c>
      <c r="J2359" s="5"/>
      <c r="AL2359" s="5">
        <f t="shared" si="74"/>
        <v>0</v>
      </c>
    </row>
    <row r="2360" spans="1:38" ht="25.5" customHeight="1" x14ac:dyDescent="0.25">
      <c r="A2360" s="10" t="s">
        <v>1475</v>
      </c>
      <c r="B2360" s="5" t="s">
        <v>1681</v>
      </c>
      <c r="C2360" s="5">
        <v>32172.2909</v>
      </c>
      <c r="D2360" s="5">
        <v>32172.2909</v>
      </c>
      <c r="E2360" s="5">
        <v>28935.146499999999</v>
      </c>
      <c r="G2360" s="5" t="str">
        <f t="shared" si="73"/>
        <v>Ленин-Олимп</v>
      </c>
      <c r="J2360" s="5"/>
      <c r="AL2360" s="5">
        <f t="shared" si="74"/>
        <v>0</v>
      </c>
    </row>
    <row r="2361" spans="1:38" ht="25.5" customHeight="1" x14ac:dyDescent="0.25">
      <c r="A2361" s="10" t="s">
        <v>2306</v>
      </c>
      <c r="B2361" s="11" t="s">
        <v>1691</v>
      </c>
      <c r="C2361" s="5">
        <v>36244.5985</v>
      </c>
      <c r="D2361" s="5">
        <v>36244.5985</v>
      </c>
      <c r="E2361" s="5">
        <v>32992.053800000002</v>
      </c>
      <c r="G2361" s="5" t="str">
        <f t="shared" si="73"/>
        <v>ДинСанПод</v>
      </c>
      <c r="J2361" s="5"/>
      <c r="AL2361" s="5">
        <f t="shared" si="74"/>
        <v>0</v>
      </c>
    </row>
    <row r="2362" spans="1:38" ht="25.5" customHeight="1" x14ac:dyDescent="0.25">
      <c r="A2362" s="10" t="s">
        <v>2307</v>
      </c>
      <c r="B2362" s="11" t="s">
        <v>1645</v>
      </c>
      <c r="C2362" s="5">
        <v>60958.294800000003</v>
      </c>
      <c r="D2362" s="5">
        <v>60958.294800000003</v>
      </c>
      <c r="E2362" s="5">
        <v>55198.825199999999</v>
      </c>
      <c r="G2362" s="5" t="str">
        <f t="shared" si="73"/>
        <v>ЕЛИЗАВЕТ</v>
      </c>
      <c r="J2362" s="5"/>
      <c r="AL2362" s="5">
        <f t="shared" si="74"/>
        <v>0</v>
      </c>
    </row>
    <row r="2363" spans="1:38" ht="25.5" customHeight="1" x14ac:dyDescent="0.25">
      <c r="A2363" s="10" t="s">
        <v>2308</v>
      </c>
      <c r="B2363" s="11" t="s">
        <v>1668</v>
      </c>
      <c r="C2363" s="5">
        <v>51343.6201</v>
      </c>
      <c r="D2363" s="5">
        <v>51343.6201</v>
      </c>
      <c r="E2363" s="5">
        <v>46492.558799999999</v>
      </c>
      <c r="G2363" s="5" t="str">
        <f t="shared" si="73"/>
        <v>МЕДНЫЙ</v>
      </c>
      <c r="J2363" s="5"/>
      <c r="AL2363" s="5">
        <f t="shared" si="74"/>
        <v>0</v>
      </c>
    </row>
    <row r="2364" spans="1:38" ht="25.5" customHeight="1" x14ac:dyDescent="0.25">
      <c r="A2364" s="10" t="s">
        <v>2309</v>
      </c>
      <c r="B2364" s="11" t="s">
        <v>1644</v>
      </c>
      <c r="C2364" s="5">
        <v>61980.678599999999</v>
      </c>
      <c r="D2364" s="5">
        <v>61980.678599999999</v>
      </c>
      <c r="E2364" s="5">
        <v>56124.615700000002</v>
      </c>
      <c r="G2364" s="5" t="str">
        <f t="shared" si="73"/>
        <v>ХИММАШ</v>
      </c>
      <c r="J2364" s="5"/>
      <c r="AL2364" s="5">
        <f t="shared" si="74"/>
        <v>0</v>
      </c>
    </row>
    <row r="2365" spans="1:38" ht="25.5" customHeight="1" x14ac:dyDescent="0.25">
      <c r="A2365" s="10" t="s">
        <v>2310</v>
      </c>
      <c r="B2365" s="11" t="s">
        <v>1675</v>
      </c>
      <c r="C2365" s="5">
        <v>35756.285400000001</v>
      </c>
      <c r="D2365" s="5">
        <v>35756.285400000001</v>
      </c>
      <c r="E2365" s="5">
        <v>32158.5213</v>
      </c>
      <c r="G2365" s="5" t="str">
        <f t="shared" si="73"/>
        <v>УАЗ-II</v>
      </c>
      <c r="J2365" s="5"/>
      <c r="AL2365" s="5">
        <f t="shared" si="74"/>
        <v>0</v>
      </c>
    </row>
    <row r="2366" spans="1:38" ht="25.5" customHeight="1" x14ac:dyDescent="0.25">
      <c r="A2366" s="10" t="s">
        <v>2311</v>
      </c>
      <c r="B2366" s="11" t="s">
        <v>1683</v>
      </c>
      <c r="C2366" s="5">
        <v>40018.9617</v>
      </c>
      <c r="D2366" s="5">
        <v>40018.9617</v>
      </c>
      <c r="E2366" s="5">
        <v>35129.2961</v>
      </c>
      <c r="G2366" s="5" t="str">
        <f t="shared" si="73"/>
        <v>Алт_Гальян_М-Кушва</v>
      </c>
      <c r="J2366" s="5"/>
      <c r="AL2366" s="5">
        <f t="shared" si="74"/>
        <v>0</v>
      </c>
    </row>
    <row r="2367" spans="1:38" ht="25.5" customHeight="1" x14ac:dyDescent="0.25">
      <c r="A2367" s="10" t="s">
        <v>2312</v>
      </c>
      <c r="B2367" s="11" t="s">
        <v>1679</v>
      </c>
      <c r="C2367" s="5">
        <v>28855.326499999999</v>
      </c>
      <c r="D2367" s="5">
        <v>28855.326499999999</v>
      </c>
      <c r="E2367" s="5">
        <v>25951.933700000001</v>
      </c>
      <c r="G2367" s="5" t="str">
        <f t="shared" si="73"/>
        <v>Ст.Каменск-Хозспособ</v>
      </c>
      <c r="J2367" s="5"/>
      <c r="AL2367" s="5">
        <f t="shared" si="74"/>
        <v>0</v>
      </c>
    </row>
    <row r="2368" spans="1:38" ht="25.5" customHeight="1" x14ac:dyDescent="0.25">
      <c r="A2368" s="10" t="s">
        <v>226</v>
      </c>
      <c r="B2368" s="11" t="s">
        <v>1684</v>
      </c>
      <c r="C2368" s="5">
        <v>40625.090199999999</v>
      </c>
      <c r="D2368" s="5">
        <v>40625.090199999999</v>
      </c>
      <c r="E2368" s="5">
        <v>35661.364300000001</v>
      </c>
      <c r="G2368" s="5" t="str">
        <f t="shared" si="73"/>
        <v>Ваг_Стар_Пихтовы-г</v>
      </c>
      <c r="J2368" s="5"/>
      <c r="AL2368" s="5">
        <f t="shared" si="74"/>
        <v>0</v>
      </c>
    </row>
    <row r="2369" spans="1:38" x14ac:dyDescent="0.25">
      <c r="A2369" s="10" t="s">
        <v>2313</v>
      </c>
      <c r="B2369" s="11" t="s">
        <v>1681</v>
      </c>
      <c r="C2369" s="5">
        <v>32172.2909</v>
      </c>
      <c r="D2369" s="5">
        <v>32172.2909</v>
      </c>
      <c r="E2369" s="5">
        <v>28935.146499999999</v>
      </c>
      <c r="G2369" s="5" t="str">
        <f t="shared" si="73"/>
        <v>Ленин-Олимп</v>
      </c>
      <c r="J2369" s="5"/>
      <c r="AL2369" s="5">
        <f t="shared" si="74"/>
        <v>0</v>
      </c>
    </row>
    <row r="2370" spans="1:38" ht="25.5" customHeight="1" x14ac:dyDescent="0.25">
      <c r="A2370" s="10" t="s">
        <v>2314</v>
      </c>
      <c r="B2370" s="11" t="s">
        <v>1677</v>
      </c>
      <c r="C2370" s="5">
        <v>39105.413099999998</v>
      </c>
      <c r="D2370" s="5">
        <v>39105.413099999998</v>
      </c>
      <c r="E2370" s="5">
        <v>35170.666700000002</v>
      </c>
      <c r="G2370" s="5" t="str">
        <f t="shared" si="73"/>
        <v>Октябрьский</v>
      </c>
      <c r="J2370" s="5"/>
      <c r="AL2370" s="5">
        <f t="shared" si="74"/>
        <v>0</v>
      </c>
    </row>
    <row r="2371" spans="1:38" x14ac:dyDescent="0.25">
      <c r="A2371" s="10" t="s">
        <v>2315</v>
      </c>
      <c r="B2371" s="11" t="s">
        <v>1674</v>
      </c>
      <c r="C2371" s="5">
        <v>29199.565200000001</v>
      </c>
      <c r="D2371" s="5">
        <v>29199.565200000001</v>
      </c>
      <c r="E2371" s="5">
        <v>26261.5317</v>
      </c>
      <c r="G2371" s="5" t="str">
        <f t="shared" si="73"/>
        <v>УАЗ</v>
      </c>
      <c r="J2371" s="5"/>
      <c r="AL2371" s="5">
        <f t="shared" si="74"/>
        <v>0</v>
      </c>
    </row>
    <row r="2372" spans="1:38" ht="25.5" customHeight="1" x14ac:dyDescent="0.25">
      <c r="A2372" s="10" t="s">
        <v>2316</v>
      </c>
      <c r="B2372" s="11" t="s">
        <v>1685</v>
      </c>
      <c r="C2372" s="5">
        <v>36513.6518</v>
      </c>
      <c r="D2372" s="5">
        <v>36513.6518</v>
      </c>
      <c r="E2372" s="5">
        <v>32052.276999999998</v>
      </c>
      <c r="G2372" s="5" t="str">
        <f t="shared" ref="G2372:G2435" si="75">B2372</f>
        <v>Выя_Леб_Горб_Кр-Кам</v>
      </c>
      <c r="J2372" s="5"/>
      <c r="AL2372" s="5">
        <f t="shared" ref="AL2372:AL2435" si="76">AF2372</f>
        <v>0</v>
      </c>
    </row>
    <row r="2373" spans="1:38" ht="25.5" customHeight="1" x14ac:dyDescent="0.25">
      <c r="A2373" s="10" t="s">
        <v>306</v>
      </c>
      <c r="B2373" s="11" t="s">
        <v>1685</v>
      </c>
      <c r="C2373" s="5">
        <v>36513.6518</v>
      </c>
      <c r="D2373" s="5">
        <v>36513.6518</v>
      </c>
      <c r="E2373" s="5">
        <v>32052.276999999998</v>
      </c>
      <c r="G2373" s="5" t="str">
        <f t="shared" si="75"/>
        <v>Выя_Леб_Горб_Кр-Кам</v>
      </c>
      <c r="J2373" s="5"/>
      <c r="AL2373" s="5">
        <f t="shared" si="76"/>
        <v>0</v>
      </c>
    </row>
    <row r="2374" spans="1:38" ht="25.5" customHeight="1" x14ac:dyDescent="0.25">
      <c r="A2374" s="10" t="s">
        <v>2317</v>
      </c>
      <c r="B2374" s="11" t="s">
        <v>1681</v>
      </c>
      <c r="C2374" s="5">
        <v>32172.2909</v>
      </c>
      <c r="D2374" s="5">
        <v>32172.2909</v>
      </c>
      <c r="E2374" s="5">
        <v>28935.146499999999</v>
      </c>
      <c r="G2374" s="5" t="str">
        <f t="shared" si="75"/>
        <v>Ленин-Олимп</v>
      </c>
      <c r="J2374" s="5"/>
      <c r="AL2374" s="5">
        <f t="shared" si="76"/>
        <v>0</v>
      </c>
    </row>
    <row r="2375" spans="1:38" ht="25.5" customHeight="1" x14ac:dyDescent="0.25">
      <c r="A2375" s="10" t="s">
        <v>2318</v>
      </c>
      <c r="B2375" s="11" t="s">
        <v>1680</v>
      </c>
      <c r="C2375" s="5">
        <v>29151.309799999999</v>
      </c>
      <c r="D2375" s="5">
        <v>29151.309799999999</v>
      </c>
      <c r="E2375" s="5">
        <v>26218.127700000001</v>
      </c>
      <c r="G2375" s="5" t="str">
        <f t="shared" si="75"/>
        <v>Северный</v>
      </c>
      <c r="J2375" s="5"/>
      <c r="AL2375" s="5">
        <f t="shared" si="76"/>
        <v>0</v>
      </c>
    </row>
    <row r="2376" spans="1:38" ht="25.5" customHeight="1" x14ac:dyDescent="0.25">
      <c r="A2376" s="10" t="s">
        <v>2319</v>
      </c>
      <c r="B2376" s="11" t="s">
        <v>1679</v>
      </c>
      <c r="C2376" s="5">
        <v>28855.326499999999</v>
      </c>
      <c r="D2376" s="5">
        <v>28855.326499999999</v>
      </c>
      <c r="E2376" s="5">
        <v>25951.933700000001</v>
      </c>
      <c r="G2376" s="5" t="str">
        <f t="shared" si="75"/>
        <v>Ст.Каменск-Хозспособ</v>
      </c>
      <c r="J2376" s="5"/>
      <c r="AL2376" s="5">
        <f t="shared" si="76"/>
        <v>0</v>
      </c>
    </row>
    <row r="2377" spans="1:38" ht="25.5" customHeight="1" x14ac:dyDescent="0.25">
      <c r="A2377" s="10" t="s">
        <v>2320</v>
      </c>
      <c r="B2377" s="11" t="s">
        <v>1679</v>
      </c>
      <c r="C2377" s="5">
        <v>28855.326499999999</v>
      </c>
      <c r="D2377" s="5">
        <v>28855.326499999999</v>
      </c>
      <c r="E2377" s="5">
        <v>25951.933700000001</v>
      </c>
      <c r="G2377" s="5" t="str">
        <f t="shared" si="75"/>
        <v>Ст.Каменск-Хозспособ</v>
      </c>
      <c r="J2377" s="5"/>
      <c r="AL2377" s="5">
        <f t="shared" si="76"/>
        <v>0</v>
      </c>
    </row>
    <row r="2378" spans="1:38" ht="25.5" customHeight="1" x14ac:dyDescent="0.25">
      <c r="A2378" s="10" t="s">
        <v>552</v>
      </c>
      <c r="B2378" s="11" t="s">
        <v>1675</v>
      </c>
      <c r="C2378" s="5">
        <v>35756.285400000001</v>
      </c>
      <c r="D2378" s="5">
        <v>35756.285400000001</v>
      </c>
      <c r="E2378" s="5">
        <v>32158.5213</v>
      </c>
      <c r="G2378" s="5" t="str">
        <f t="shared" si="75"/>
        <v>УАЗ-II</v>
      </c>
      <c r="J2378" s="5"/>
      <c r="AL2378" s="5">
        <f t="shared" si="76"/>
        <v>0</v>
      </c>
    </row>
    <row r="2379" spans="1:38" ht="25.5" customHeight="1" x14ac:dyDescent="0.25">
      <c r="A2379" s="10" t="s">
        <v>2321</v>
      </c>
      <c r="B2379" s="11" t="s">
        <v>1683</v>
      </c>
      <c r="C2379" s="5">
        <v>40018.9617</v>
      </c>
      <c r="D2379" s="5">
        <v>40018.9617</v>
      </c>
      <c r="E2379" s="5">
        <v>35129.2961</v>
      </c>
      <c r="G2379" s="5" t="str">
        <f t="shared" si="75"/>
        <v>Алт_Гальян_М-Кушва</v>
      </c>
      <c r="J2379" s="5"/>
      <c r="AL2379" s="5">
        <f t="shared" si="76"/>
        <v>0</v>
      </c>
    </row>
    <row r="2380" spans="1:38" ht="25.5" customHeight="1" x14ac:dyDescent="0.25">
      <c r="A2380" s="10" t="s">
        <v>2322</v>
      </c>
      <c r="B2380" s="11" t="s">
        <v>1680</v>
      </c>
      <c r="C2380" s="5">
        <v>29151.309799999999</v>
      </c>
      <c r="D2380" s="5">
        <v>29151.309799999999</v>
      </c>
      <c r="E2380" s="5">
        <v>26218.127700000001</v>
      </c>
      <c r="G2380" s="5" t="str">
        <f t="shared" si="75"/>
        <v>Северный</v>
      </c>
      <c r="J2380" s="5"/>
      <c r="AL2380" s="5">
        <f t="shared" si="76"/>
        <v>0</v>
      </c>
    </row>
    <row r="2381" spans="1:38" ht="25.5" customHeight="1" x14ac:dyDescent="0.25">
      <c r="A2381" s="10" t="s">
        <v>2323</v>
      </c>
      <c r="B2381" s="11" t="s">
        <v>1688</v>
      </c>
      <c r="C2381" s="5">
        <v>29893.73</v>
      </c>
      <c r="D2381" s="5">
        <v>29893.73</v>
      </c>
      <c r="E2381" s="5">
        <v>26241.207699999999</v>
      </c>
      <c r="G2381" s="5" t="str">
        <f t="shared" si="75"/>
        <v>Сух_Г-Кам_Н_Кушва_Н-Черм</v>
      </c>
      <c r="J2381" s="5"/>
      <c r="AL2381" s="5">
        <f t="shared" si="76"/>
        <v>0</v>
      </c>
    </row>
    <row r="2382" spans="1:38" ht="25.5" customHeight="1" x14ac:dyDescent="0.25">
      <c r="A2382" s="10" t="s">
        <v>1062</v>
      </c>
      <c r="B2382" s="11" t="s">
        <v>1677</v>
      </c>
      <c r="C2382" s="5">
        <v>39105.413099999998</v>
      </c>
      <c r="D2382" s="5">
        <v>39105.413099999998</v>
      </c>
      <c r="E2382" s="5">
        <v>35170.666700000002</v>
      </c>
      <c r="G2382" s="5" t="str">
        <f t="shared" si="75"/>
        <v>Октябрьский</v>
      </c>
      <c r="J2382" s="5"/>
      <c r="AL2382" s="5">
        <f t="shared" si="76"/>
        <v>0</v>
      </c>
    </row>
    <row r="2383" spans="1:38" x14ac:dyDescent="0.25">
      <c r="A2383" s="10" t="s">
        <v>2324</v>
      </c>
      <c r="B2383" s="11" t="s">
        <v>1681</v>
      </c>
      <c r="C2383" s="5">
        <v>32172.2909</v>
      </c>
      <c r="D2383" s="5">
        <v>32172.2909</v>
      </c>
      <c r="E2383" s="5">
        <v>28935.146499999999</v>
      </c>
      <c r="G2383" s="5" t="str">
        <f t="shared" si="75"/>
        <v>Ленин-Олимп</v>
      </c>
      <c r="J2383" s="5"/>
      <c r="AL2383" s="5">
        <f t="shared" si="76"/>
        <v>0</v>
      </c>
    </row>
    <row r="2384" spans="1:38" ht="25.5" customHeight="1" x14ac:dyDescent="0.25">
      <c r="A2384" s="10" t="s">
        <v>2325</v>
      </c>
      <c r="B2384" s="11" t="s">
        <v>1682</v>
      </c>
      <c r="C2384" s="5">
        <v>38278.589899999999</v>
      </c>
      <c r="D2384" s="5">
        <v>38278.589899999999</v>
      </c>
      <c r="E2384" s="5">
        <v>34427.0285</v>
      </c>
      <c r="G2384" s="5" t="str">
        <f t="shared" si="75"/>
        <v>Трубников</v>
      </c>
      <c r="J2384" s="5"/>
      <c r="AL2384" s="5">
        <f t="shared" si="76"/>
        <v>0</v>
      </c>
    </row>
    <row r="2385" spans="1:38" x14ac:dyDescent="0.25">
      <c r="A2385" s="10" t="s">
        <v>2326</v>
      </c>
      <c r="B2385" s="11" t="s">
        <v>1674</v>
      </c>
      <c r="C2385" s="5">
        <v>29199.565200000001</v>
      </c>
      <c r="D2385" s="5">
        <v>29199.565200000001</v>
      </c>
      <c r="E2385" s="5">
        <v>26261.5317</v>
      </c>
      <c r="G2385" s="5" t="str">
        <f t="shared" si="75"/>
        <v>УАЗ</v>
      </c>
      <c r="J2385" s="5"/>
      <c r="AL2385" s="5">
        <f t="shared" si="76"/>
        <v>0</v>
      </c>
    </row>
    <row r="2386" spans="1:38" ht="25.5" customHeight="1" x14ac:dyDescent="0.25">
      <c r="A2386" s="10" t="s">
        <v>2327</v>
      </c>
      <c r="B2386" s="11" t="s">
        <v>1631</v>
      </c>
      <c r="C2386" s="5">
        <v>70026.7601</v>
      </c>
      <c r="D2386" s="5">
        <v>70026.7601</v>
      </c>
      <c r="E2386" s="5">
        <v>63410.482000000004</v>
      </c>
      <c r="G2386" s="5" t="str">
        <f t="shared" si="75"/>
        <v>УРАЛМАШ</v>
      </c>
      <c r="J2386" s="5"/>
      <c r="AL2386" s="5">
        <f t="shared" si="76"/>
        <v>0</v>
      </c>
    </row>
    <row r="2387" spans="1:38" ht="25.5" customHeight="1" x14ac:dyDescent="0.25">
      <c r="A2387" s="10" t="s">
        <v>2328</v>
      </c>
      <c r="B2387" s="11" t="s">
        <v>1631</v>
      </c>
      <c r="C2387" s="5">
        <v>70026.7601</v>
      </c>
      <c r="D2387" s="5">
        <v>70026.7601</v>
      </c>
      <c r="E2387" s="5">
        <v>63410.482000000004</v>
      </c>
      <c r="G2387" s="5" t="str">
        <f t="shared" si="75"/>
        <v>УРАЛМАШ</v>
      </c>
      <c r="J2387" s="5"/>
      <c r="AL2387" s="5">
        <f t="shared" si="76"/>
        <v>0</v>
      </c>
    </row>
    <row r="2388" spans="1:38" ht="25.5" customHeight="1" x14ac:dyDescent="0.25">
      <c r="A2388" s="10" t="s">
        <v>2329</v>
      </c>
      <c r="B2388" s="11" t="s">
        <v>1652</v>
      </c>
      <c r="C2388" s="5">
        <v>71105.171700000006</v>
      </c>
      <c r="D2388" s="5">
        <v>71105.171700000006</v>
      </c>
      <c r="E2388" s="5">
        <v>64387.005100000002</v>
      </c>
      <c r="G2388" s="5" t="str">
        <f t="shared" si="75"/>
        <v>ЗАРЕЧНЫЙ</v>
      </c>
      <c r="J2388" s="5"/>
      <c r="AL2388" s="5">
        <f t="shared" si="76"/>
        <v>0</v>
      </c>
    </row>
    <row r="2389" spans="1:38" ht="25.5" customHeight="1" x14ac:dyDescent="0.25">
      <c r="A2389" s="10" t="s">
        <v>2330</v>
      </c>
      <c r="B2389" s="11" t="s">
        <v>1695</v>
      </c>
      <c r="C2389" s="5">
        <v>40100.412600000003</v>
      </c>
      <c r="D2389" s="5">
        <v>40100.412600000003</v>
      </c>
      <c r="E2389" s="5">
        <v>36501.853799999997</v>
      </c>
      <c r="G2389" s="5" t="str">
        <f t="shared" si="75"/>
        <v>Соцгород</v>
      </c>
      <c r="J2389" s="5"/>
      <c r="AL2389" s="5">
        <f t="shared" si="76"/>
        <v>0</v>
      </c>
    </row>
    <row r="2390" spans="1:38" ht="25.5" customHeight="1" x14ac:dyDescent="0.25">
      <c r="A2390" s="10" t="s">
        <v>876</v>
      </c>
      <c r="B2390" s="11" t="s">
        <v>1693</v>
      </c>
      <c r="C2390" s="5">
        <v>32948.938800000004</v>
      </c>
      <c r="D2390" s="5">
        <v>32948.938800000004</v>
      </c>
      <c r="E2390" s="5">
        <v>29992.139899999998</v>
      </c>
      <c r="G2390" s="5" t="str">
        <f t="shared" si="75"/>
        <v>Магнитка</v>
      </c>
      <c r="J2390" s="5"/>
      <c r="AL2390" s="5">
        <f t="shared" si="76"/>
        <v>0</v>
      </c>
    </row>
    <row r="2391" spans="1:38" ht="25.5" customHeight="1" x14ac:dyDescent="0.25">
      <c r="A2391" s="10" t="s">
        <v>2331</v>
      </c>
      <c r="B2391" s="11" t="s">
        <v>1691</v>
      </c>
      <c r="C2391" s="5">
        <v>36244.5985</v>
      </c>
      <c r="D2391" s="5">
        <v>36244.5985</v>
      </c>
      <c r="E2391" s="5">
        <v>32992.053800000002</v>
      </c>
      <c r="G2391" s="5" t="str">
        <f t="shared" si="75"/>
        <v>ДинСанПод</v>
      </c>
      <c r="J2391" s="5"/>
      <c r="AL2391" s="5">
        <f t="shared" si="76"/>
        <v>0</v>
      </c>
    </row>
    <row r="2392" spans="1:38" ht="25.5" customHeight="1" x14ac:dyDescent="0.25">
      <c r="A2392" s="10" t="s">
        <v>2332</v>
      </c>
      <c r="B2392" s="11" t="s">
        <v>1694</v>
      </c>
      <c r="C2392" s="5">
        <v>26641.525799999999</v>
      </c>
      <c r="D2392" s="5">
        <v>26641.525799999999</v>
      </c>
      <c r="E2392" s="5">
        <v>24250.754499999999</v>
      </c>
      <c r="G2392" s="5" t="str">
        <f t="shared" si="75"/>
        <v>Первомайский</v>
      </c>
      <c r="J2392" s="5"/>
      <c r="AL2392" s="5">
        <f t="shared" si="76"/>
        <v>0</v>
      </c>
    </row>
    <row r="2393" spans="1:38" ht="25.5" customHeight="1" x14ac:dyDescent="0.25">
      <c r="A2393" s="10" t="s">
        <v>2333</v>
      </c>
      <c r="B2393" s="11" t="s">
        <v>1691</v>
      </c>
      <c r="C2393" s="5">
        <v>36244.5985</v>
      </c>
      <c r="D2393" s="5">
        <v>36244.5985</v>
      </c>
      <c r="E2393" s="5">
        <v>32992.053800000002</v>
      </c>
      <c r="G2393" s="5" t="str">
        <f t="shared" si="75"/>
        <v>ДинСанПод</v>
      </c>
      <c r="J2393" s="5"/>
      <c r="AL2393" s="5">
        <f t="shared" si="76"/>
        <v>0</v>
      </c>
    </row>
    <row r="2394" spans="1:38" ht="25.5" customHeight="1" x14ac:dyDescent="0.25">
      <c r="A2394" s="10" t="s">
        <v>2334</v>
      </c>
      <c r="B2394" s="11" t="s">
        <v>1695</v>
      </c>
      <c r="C2394" s="5">
        <v>40100.412600000003</v>
      </c>
      <c r="D2394" s="5">
        <v>40100.412600000003</v>
      </c>
      <c r="E2394" s="5">
        <v>36501.853799999997</v>
      </c>
      <c r="G2394" s="5" t="str">
        <f t="shared" si="75"/>
        <v>Соцгород</v>
      </c>
      <c r="J2394" s="5"/>
      <c r="AL2394" s="5">
        <f t="shared" si="76"/>
        <v>0</v>
      </c>
    </row>
    <row r="2395" spans="1:38" ht="25.5" customHeight="1" x14ac:dyDescent="0.25">
      <c r="A2395" s="10" t="s">
        <v>240</v>
      </c>
      <c r="B2395" s="11" t="s">
        <v>1676</v>
      </c>
      <c r="C2395" s="5">
        <v>28848.8855</v>
      </c>
      <c r="D2395" s="5">
        <v>28848.8855</v>
      </c>
      <c r="E2395" s="5">
        <v>25946.143</v>
      </c>
      <c r="G2395" s="5" t="str">
        <f t="shared" si="75"/>
        <v>Чкаловский</v>
      </c>
      <c r="J2395" s="5"/>
      <c r="AL2395" s="5">
        <f t="shared" si="76"/>
        <v>0</v>
      </c>
    </row>
    <row r="2396" spans="1:38" ht="25.5" customHeight="1" x14ac:dyDescent="0.25">
      <c r="A2396" s="10" t="s">
        <v>2335</v>
      </c>
      <c r="B2396" s="11" t="s">
        <v>1631</v>
      </c>
      <c r="C2396" s="5">
        <v>70026.7601</v>
      </c>
      <c r="D2396" s="5">
        <v>70026.7601</v>
      </c>
      <c r="E2396" s="5">
        <v>63410.482000000004</v>
      </c>
      <c r="G2396" s="5" t="str">
        <f t="shared" si="75"/>
        <v>УРАЛМАШ</v>
      </c>
      <c r="J2396" s="5"/>
      <c r="AL2396" s="5">
        <f t="shared" si="76"/>
        <v>0</v>
      </c>
    </row>
    <row r="2397" spans="1:38" ht="25.5" customHeight="1" x14ac:dyDescent="0.25">
      <c r="A2397" s="10" t="s">
        <v>26</v>
      </c>
      <c r="B2397" s="11" t="s">
        <v>1685</v>
      </c>
      <c r="C2397" s="5">
        <v>36513.6518</v>
      </c>
      <c r="D2397" s="5">
        <v>36513.6518</v>
      </c>
      <c r="E2397" s="5">
        <v>32052.276999999998</v>
      </c>
      <c r="G2397" s="5" t="str">
        <f t="shared" si="75"/>
        <v>Выя_Леб_Горб_Кр-Кам</v>
      </c>
      <c r="J2397" s="5"/>
      <c r="AL2397" s="5">
        <f t="shared" si="76"/>
        <v>0</v>
      </c>
    </row>
    <row r="2398" spans="1:38" ht="25.5" customHeight="1" x14ac:dyDescent="0.25">
      <c r="A2398" s="10" t="s">
        <v>334</v>
      </c>
      <c r="B2398" s="11" t="s">
        <v>1689</v>
      </c>
      <c r="C2398" s="5">
        <v>34023.428</v>
      </c>
      <c r="D2398" s="5">
        <v>34023.428</v>
      </c>
      <c r="E2398" s="5">
        <v>29866.3148</v>
      </c>
      <c r="G2398" s="5" t="str">
        <f t="shared" si="75"/>
        <v>Тагил_Кирп</v>
      </c>
      <c r="J2398" s="5"/>
      <c r="AL2398" s="5">
        <f t="shared" si="76"/>
        <v>0</v>
      </c>
    </row>
    <row r="2399" spans="1:38" ht="25.5" customHeight="1" x14ac:dyDescent="0.25">
      <c r="A2399" s="10" t="s">
        <v>501</v>
      </c>
      <c r="B2399" s="11" t="s">
        <v>1689</v>
      </c>
      <c r="C2399" s="5">
        <v>34023.428</v>
      </c>
      <c r="D2399" s="5">
        <v>34023.428</v>
      </c>
      <c r="E2399" s="5">
        <v>29866.3148</v>
      </c>
      <c r="G2399" s="5" t="str">
        <f t="shared" si="75"/>
        <v>Тагил_Кирп</v>
      </c>
      <c r="J2399" s="5"/>
      <c r="AL2399" s="5">
        <f t="shared" si="76"/>
        <v>0</v>
      </c>
    </row>
    <row r="2400" spans="1:38" ht="25.5" customHeight="1" x14ac:dyDescent="0.25">
      <c r="A2400" s="10" t="s">
        <v>2336</v>
      </c>
      <c r="B2400" s="11" t="s">
        <v>1676</v>
      </c>
      <c r="C2400" s="5">
        <v>28848.8855</v>
      </c>
      <c r="D2400" s="5">
        <v>28848.8855</v>
      </c>
      <c r="E2400" s="5">
        <v>25946.143</v>
      </c>
      <c r="G2400" s="5" t="str">
        <f t="shared" si="75"/>
        <v>Чкаловский</v>
      </c>
      <c r="J2400" s="5"/>
      <c r="AL2400" s="5">
        <f t="shared" si="76"/>
        <v>0</v>
      </c>
    </row>
    <row r="2401" spans="1:38" ht="25.5" customHeight="1" x14ac:dyDescent="0.25">
      <c r="A2401" s="10" t="s">
        <v>2337</v>
      </c>
      <c r="B2401" s="11" t="s">
        <v>1645</v>
      </c>
      <c r="C2401" s="5">
        <v>60958.294800000003</v>
      </c>
      <c r="D2401" s="5">
        <v>60958.294800000003</v>
      </c>
      <c r="E2401" s="5">
        <v>55198.825199999999</v>
      </c>
      <c r="G2401" s="5" t="str">
        <f t="shared" si="75"/>
        <v>ЕЛИЗАВЕТ</v>
      </c>
      <c r="J2401" s="5"/>
      <c r="AL2401" s="5">
        <f t="shared" si="76"/>
        <v>0</v>
      </c>
    </row>
    <row r="2402" spans="1:38" ht="25.5" customHeight="1" x14ac:dyDescent="0.25">
      <c r="A2402" s="10" t="s">
        <v>2338</v>
      </c>
      <c r="B2402" s="11" t="s">
        <v>1679</v>
      </c>
      <c r="C2402" s="5">
        <v>28855.326499999999</v>
      </c>
      <c r="D2402" s="5">
        <v>28855.326499999999</v>
      </c>
      <c r="E2402" s="5">
        <v>25951.933700000001</v>
      </c>
      <c r="G2402" s="5" t="str">
        <f t="shared" si="75"/>
        <v>Ст.Каменск-Хозспособ</v>
      </c>
      <c r="J2402" s="5"/>
      <c r="AL2402" s="5">
        <f t="shared" si="76"/>
        <v>0</v>
      </c>
    </row>
    <row r="2403" spans="1:38" ht="25.5" customHeight="1" x14ac:dyDescent="0.25">
      <c r="A2403" s="10" t="s">
        <v>386</v>
      </c>
      <c r="B2403" s="11" t="s">
        <v>1685</v>
      </c>
      <c r="C2403" s="5">
        <v>36513.6518</v>
      </c>
      <c r="D2403" s="5">
        <v>36513.6518</v>
      </c>
      <c r="E2403" s="5">
        <v>32052.276999999998</v>
      </c>
      <c r="G2403" s="5" t="str">
        <f t="shared" si="75"/>
        <v>Выя_Леб_Горб_Кр-Кам</v>
      </c>
      <c r="J2403" s="5"/>
      <c r="AL2403" s="5">
        <f t="shared" si="76"/>
        <v>0</v>
      </c>
    </row>
    <row r="2404" spans="1:38" ht="25.5" customHeight="1" x14ac:dyDescent="0.25">
      <c r="A2404" s="10" t="s">
        <v>43</v>
      </c>
      <c r="B2404" s="11" t="s">
        <v>1685</v>
      </c>
      <c r="C2404" s="5">
        <v>36513.6518</v>
      </c>
      <c r="D2404" s="5">
        <v>36513.6518</v>
      </c>
      <c r="E2404" s="5">
        <v>32052.276999999998</v>
      </c>
      <c r="G2404" s="5" t="str">
        <f t="shared" si="75"/>
        <v>Выя_Леб_Горб_Кр-Кам</v>
      </c>
      <c r="J2404" s="5"/>
      <c r="AL2404" s="5">
        <f t="shared" si="76"/>
        <v>0</v>
      </c>
    </row>
    <row r="2405" spans="1:38" ht="25.5" customHeight="1" x14ac:dyDescent="0.25">
      <c r="A2405" s="10" t="s">
        <v>2339</v>
      </c>
      <c r="B2405" s="11" t="s">
        <v>1691</v>
      </c>
      <c r="C2405" s="5">
        <v>36244.5985</v>
      </c>
      <c r="D2405" s="5">
        <v>36244.5985</v>
      </c>
      <c r="E2405" s="5">
        <v>32992.053800000002</v>
      </c>
      <c r="G2405" s="5" t="str">
        <f t="shared" si="75"/>
        <v>ДинСанПод</v>
      </c>
      <c r="J2405" s="5"/>
      <c r="AL2405" s="5">
        <f t="shared" si="76"/>
        <v>0</v>
      </c>
    </row>
    <row r="2406" spans="1:38" ht="25.5" customHeight="1" x14ac:dyDescent="0.25">
      <c r="A2406" s="10" t="s">
        <v>773</v>
      </c>
      <c r="B2406" s="11" t="s">
        <v>1685</v>
      </c>
      <c r="C2406" s="5">
        <v>36513.6518</v>
      </c>
      <c r="D2406" s="5">
        <v>36513.6518</v>
      </c>
      <c r="E2406" s="5">
        <v>32052.276999999998</v>
      </c>
      <c r="G2406" s="5" t="str">
        <f t="shared" si="75"/>
        <v>Выя_Леб_Горб_Кр-Кам</v>
      </c>
      <c r="J2406" s="5"/>
      <c r="AL2406" s="5">
        <f t="shared" si="76"/>
        <v>0</v>
      </c>
    </row>
    <row r="2407" spans="1:38" ht="25.5" customHeight="1" x14ac:dyDescent="0.25">
      <c r="A2407" s="10" t="s">
        <v>2340</v>
      </c>
      <c r="B2407" s="11" t="s">
        <v>1683</v>
      </c>
      <c r="C2407" s="5">
        <v>40018.9617</v>
      </c>
      <c r="D2407" s="5">
        <v>40018.9617</v>
      </c>
      <c r="E2407" s="5">
        <v>35129.2961</v>
      </c>
      <c r="G2407" s="5" t="str">
        <f t="shared" si="75"/>
        <v>Алт_Гальян_М-Кушва</v>
      </c>
      <c r="J2407" s="5"/>
      <c r="AL2407" s="5">
        <f t="shared" si="76"/>
        <v>0</v>
      </c>
    </row>
    <row r="2408" spans="1:38" ht="25.5" customHeight="1" x14ac:dyDescent="0.25">
      <c r="A2408" s="10" t="s">
        <v>2341</v>
      </c>
      <c r="B2408" s="11" t="s">
        <v>1688</v>
      </c>
      <c r="C2408" s="5">
        <v>29893.73</v>
      </c>
      <c r="D2408" s="5">
        <v>29893.73</v>
      </c>
      <c r="E2408" s="5">
        <v>26241.207699999999</v>
      </c>
      <c r="G2408" s="5" t="str">
        <f t="shared" si="75"/>
        <v>Сух_Г-Кам_Н_Кушва_Н-Черм</v>
      </c>
      <c r="J2408" s="5"/>
      <c r="AL2408" s="5">
        <f t="shared" si="76"/>
        <v>0</v>
      </c>
    </row>
    <row r="2409" spans="1:38" ht="25.5" customHeight="1" x14ac:dyDescent="0.25">
      <c r="A2409" s="10" t="s">
        <v>600</v>
      </c>
      <c r="B2409" s="11" t="s">
        <v>1675</v>
      </c>
      <c r="C2409" s="5">
        <v>35756.285400000001</v>
      </c>
      <c r="D2409" s="5">
        <v>35756.285400000001</v>
      </c>
      <c r="E2409" s="5">
        <v>32158.5213</v>
      </c>
      <c r="G2409" s="5" t="str">
        <f t="shared" si="75"/>
        <v>УАЗ-II</v>
      </c>
      <c r="J2409" s="5"/>
      <c r="AL2409" s="5">
        <f t="shared" si="76"/>
        <v>0</v>
      </c>
    </row>
    <row r="2410" spans="1:38" ht="25.5" customHeight="1" x14ac:dyDescent="0.25">
      <c r="A2410" s="10" t="s">
        <v>149</v>
      </c>
      <c r="B2410" s="11" t="s">
        <v>1675</v>
      </c>
      <c r="C2410" s="5">
        <v>35756.285400000001</v>
      </c>
      <c r="D2410" s="5">
        <v>35756.285400000001</v>
      </c>
      <c r="E2410" s="5">
        <v>32158.5213</v>
      </c>
      <c r="G2410" s="5" t="str">
        <f t="shared" si="75"/>
        <v>УАЗ-II</v>
      </c>
      <c r="J2410" s="5"/>
      <c r="AL2410" s="5">
        <f t="shared" si="76"/>
        <v>0</v>
      </c>
    </row>
    <row r="2411" spans="1:38" ht="25.5" customHeight="1" x14ac:dyDescent="0.25">
      <c r="A2411" s="10" t="s">
        <v>2342</v>
      </c>
      <c r="B2411" s="11" t="s">
        <v>1675</v>
      </c>
      <c r="C2411" s="5">
        <v>35756.285400000001</v>
      </c>
      <c r="D2411" s="5">
        <v>35756.285400000001</v>
      </c>
      <c r="E2411" s="5">
        <v>32158.5213</v>
      </c>
      <c r="G2411" s="5" t="str">
        <f t="shared" si="75"/>
        <v>УАЗ-II</v>
      </c>
      <c r="J2411" s="5"/>
      <c r="AL2411" s="5">
        <f t="shared" si="76"/>
        <v>0</v>
      </c>
    </row>
    <row r="2412" spans="1:38" ht="25.5" customHeight="1" x14ac:dyDescent="0.25">
      <c r="A2412" s="10" t="s">
        <v>64</v>
      </c>
      <c r="B2412" s="11" t="s">
        <v>1676</v>
      </c>
      <c r="C2412" s="5">
        <v>28848.8855</v>
      </c>
      <c r="D2412" s="5">
        <v>28848.8855</v>
      </c>
      <c r="E2412" s="5">
        <v>25946.143</v>
      </c>
      <c r="G2412" s="5" t="str">
        <f t="shared" si="75"/>
        <v>Чкаловский</v>
      </c>
      <c r="J2412" s="5"/>
      <c r="AL2412" s="5">
        <f t="shared" si="76"/>
        <v>0</v>
      </c>
    </row>
    <row r="2413" spans="1:38" ht="25.5" customHeight="1" x14ac:dyDescent="0.25">
      <c r="A2413" s="10" t="s">
        <v>1486</v>
      </c>
      <c r="B2413" s="11" t="s">
        <v>1673</v>
      </c>
      <c r="C2413" s="5">
        <v>35563.243300000002</v>
      </c>
      <c r="D2413" s="5">
        <v>35563.243300000002</v>
      </c>
      <c r="E2413" s="5">
        <v>31984.905299999999</v>
      </c>
      <c r="G2413" s="5" t="str">
        <f t="shared" si="75"/>
        <v>УАЗ-III - 49 кв.</v>
      </c>
      <c r="J2413" s="5"/>
      <c r="AL2413" s="5">
        <f t="shared" si="76"/>
        <v>0</v>
      </c>
    </row>
    <row r="2414" spans="1:38" ht="25.5" customHeight="1" x14ac:dyDescent="0.25">
      <c r="A2414" s="10" t="s">
        <v>2343</v>
      </c>
      <c r="B2414" s="11" t="s">
        <v>1691</v>
      </c>
      <c r="C2414" s="5">
        <v>36244.5985</v>
      </c>
      <c r="D2414" s="5">
        <v>36244.5985</v>
      </c>
      <c r="E2414" s="5">
        <v>32992.053800000002</v>
      </c>
      <c r="G2414" s="5" t="str">
        <f t="shared" si="75"/>
        <v>ДинСанПод</v>
      </c>
      <c r="J2414" s="5"/>
      <c r="AL2414" s="5">
        <f t="shared" si="76"/>
        <v>0</v>
      </c>
    </row>
    <row r="2415" spans="1:38" ht="25.5" customHeight="1" x14ac:dyDescent="0.25">
      <c r="A2415" s="10" t="s">
        <v>2344</v>
      </c>
      <c r="B2415" s="11" t="s">
        <v>1679</v>
      </c>
      <c r="C2415" s="5">
        <v>28855.326499999999</v>
      </c>
      <c r="D2415" s="5">
        <v>28855.326499999999</v>
      </c>
      <c r="E2415" s="5">
        <v>25951.933700000001</v>
      </c>
      <c r="G2415" s="5" t="str">
        <f t="shared" si="75"/>
        <v>Ст.Каменск-Хозспособ</v>
      </c>
      <c r="J2415" s="5"/>
      <c r="AL2415" s="5">
        <f t="shared" si="76"/>
        <v>0</v>
      </c>
    </row>
    <row r="2416" spans="1:38" ht="25.5" customHeight="1" x14ac:dyDescent="0.25">
      <c r="A2416" s="10" t="s">
        <v>2345</v>
      </c>
      <c r="B2416" s="11" t="s">
        <v>1656</v>
      </c>
      <c r="C2416" s="5">
        <v>60173.9879</v>
      </c>
      <c r="D2416" s="5">
        <v>60173.9879</v>
      </c>
      <c r="E2416" s="5">
        <v>54488.630299999997</v>
      </c>
      <c r="G2416" s="5" t="str">
        <f t="shared" si="75"/>
        <v>МАЛЫЙ ИСТОК</v>
      </c>
      <c r="J2416" s="5"/>
      <c r="AL2416" s="5">
        <f t="shared" si="76"/>
        <v>0</v>
      </c>
    </row>
    <row r="2417" spans="1:38" ht="25.5" customHeight="1" x14ac:dyDescent="0.25">
      <c r="A2417" s="10" t="s">
        <v>2346</v>
      </c>
      <c r="B2417" s="11" t="s">
        <v>1653</v>
      </c>
      <c r="C2417" s="5">
        <v>56847.723400000003</v>
      </c>
      <c r="D2417" s="5">
        <v>56847.723400000003</v>
      </c>
      <c r="E2417" s="5">
        <v>51476.629399999998</v>
      </c>
      <c r="G2417" s="5" t="str">
        <f t="shared" si="75"/>
        <v>ПТИЦЕФАБРИКА</v>
      </c>
      <c r="J2417" s="5"/>
      <c r="AL2417" s="5">
        <f t="shared" si="76"/>
        <v>0</v>
      </c>
    </row>
    <row r="2418" spans="1:38" ht="25.5" customHeight="1" x14ac:dyDescent="0.25">
      <c r="A2418" s="10" t="s">
        <v>770</v>
      </c>
      <c r="B2418" s="11" t="s">
        <v>1677</v>
      </c>
      <c r="C2418" s="5">
        <v>39105.413099999998</v>
      </c>
      <c r="D2418" s="5">
        <v>39105.413099999998</v>
      </c>
      <c r="E2418" s="5">
        <v>35170.666700000002</v>
      </c>
      <c r="G2418" s="5" t="str">
        <f t="shared" si="75"/>
        <v>Октябрьский</v>
      </c>
      <c r="J2418" s="5"/>
      <c r="AL2418" s="5">
        <f t="shared" si="76"/>
        <v>0</v>
      </c>
    </row>
    <row r="2419" spans="1:38" ht="25.5" customHeight="1" x14ac:dyDescent="0.25">
      <c r="A2419" s="10" t="s">
        <v>1228</v>
      </c>
      <c r="B2419" s="11" t="s">
        <v>1679</v>
      </c>
      <c r="C2419" s="5">
        <v>28855.326499999999</v>
      </c>
      <c r="D2419" s="5">
        <v>28855.326499999999</v>
      </c>
      <c r="E2419" s="5">
        <v>25951.933700000001</v>
      </c>
      <c r="G2419" s="5" t="str">
        <f t="shared" si="75"/>
        <v>Ст.Каменск-Хозспособ</v>
      </c>
      <c r="J2419" s="5"/>
      <c r="AL2419" s="5">
        <f t="shared" si="76"/>
        <v>0</v>
      </c>
    </row>
    <row r="2420" spans="1:38" ht="25.5" customHeight="1" x14ac:dyDescent="0.25">
      <c r="A2420" s="10" t="s">
        <v>2347</v>
      </c>
      <c r="B2420" s="11" t="s">
        <v>1676</v>
      </c>
      <c r="C2420" s="5">
        <v>28848.8855</v>
      </c>
      <c r="D2420" s="5">
        <v>28848.8855</v>
      </c>
      <c r="E2420" s="5">
        <v>25946.143</v>
      </c>
      <c r="G2420" s="5" t="str">
        <f t="shared" si="75"/>
        <v>Чкаловский</v>
      </c>
      <c r="J2420" s="5"/>
      <c r="AL2420" s="5">
        <f t="shared" si="76"/>
        <v>0</v>
      </c>
    </row>
    <row r="2421" spans="1:38" x14ac:dyDescent="0.25">
      <c r="A2421" s="10" t="s">
        <v>2348</v>
      </c>
      <c r="B2421" s="11" t="s">
        <v>1674</v>
      </c>
      <c r="C2421" s="5">
        <v>29199.565200000001</v>
      </c>
      <c r="D2421" s="5">
        <v>29199.565200000001</v>
      </c>
      <c r="E2421" s="5">
        <v>26261.5317</v>
      </c>
      <c r="G2421" s="5" t="str">
        <f t="shared" si="75"/>
        <v>УАЗ</v>
      </c>
      <c r="J2421" s="5"/>
      <c r="AL2421" s="5">
        <f t="shared" si="76"/>
        <v>0</v>
      </c>
    </row>
    <row r="2422" spans="1:38" ht="25.5" customHeight="1" x14ac:dyDescent="0.25">
      <c r="A2422" s="10" t="s">
        <v>2349</v>
      </c>
      <c r="B2422" s="11" t="s">
        <v>1629</v>
      </c>
      <c r="C2422" s="5">
        <v>77743.704100000003</v>
      </c>
      <c r="D2422" s="5">
        <v>77743.704100000003</v>
      </c>
      <c r="E2422" s="5">
        <v>70398.310800000007</v>
      </c>
      <c r="G2422" s="5" t="str">
        <f t="shared" si="75"/>
        <v>ПИОНЕРСКИЙ</v>
      </c>
      <c r="J2422" s="5"/>
      <c r="AL2422" s="5">
        <f t="shared" si="76"/>
        <v>0</v>
      </c>
    </row>
    <row r="2423" spans="1:38" ht="25.5" customHeight="1" x14ac:dyDescent="0.25">
      <c r="A2423" s="10" t="s">
        <v>2350</v>
      </c>
      <c r="B2423" s="11" t="s">
        <v>1630</v>
      </c>
      <c r="C2423" s="5">
        <v>62652.9401</v>
      </c>
      <c r="D2423" s="5">
        <v>62652.9401</v>
      </c>
      <c r="E2423" s="5">
        <v>56733.3557</v>
      </c>
      <c r="G2423" s="5" t="str">
        <f t="shared" si="75"/>
        <v>ЧЕРМЕТ</v>
      </c>
      <c r="J2423" s="5"/>
      <c r="AL2423" s="5">
        <f t="shared" si="76"/>
        <v>0</v>
      </c>
    </row>
    <row r="2424" spans="1:38" ht="25.5" customHeight="1" x14ac:dyDescent="0.25">
      <c r="A2424" s="10" t="s">
        <v>2351</v>
      </c>
      <c r="B2424" s="11" t="s">
        <v>1688</v>
      </c>
      <c r="C2424" s="5">
        <v>29893.73</v>
      </c>
      <c r="D2424" s="5">
        <v>29893.73</v>
      </c>
      <c r="E2424" s="5">
        <v>26241.207699999999</v>
      </c>
      <c r="G2424" s="5" t="str">
        <f t="shared" si="75"/>
        <v>Сух_Г-Кам_Н_Кушва_Н-Черм</v>
      </c>
      <c r="J2424" s="5"/>
      <c r="AL2424" s="5">
        <f t="shared" si="76"/>
        <v>0</v>
      </c>
    </row>
    <row r="2425" spans="1:38" ht="25.5" customHeight="1" x14ac:dyDescent="0.25">
      <c r="A2425" s="10" t="s">
        <v>2352</v>
      </c>
      <c r="B2425" s="11" t="s">
        <v>1638</v>
      </c>
      <c r="C2425" s="5">
        <v>63640.311600000001</v>
      </c>
      <c r="D2425" s="5">
        <v>63640.311600000001</v>
      </c>
      <c r="E2425" s="5">
        <v>57627.4473</v>
      </c>
      <c r="G2425" s="5" t="str">
        <f t="shared" si="75"/>
        <v>УКТУС</v>
      </c>
      <c r="J2425" s="5"/>
      <c r="AL2425" s="5">
        <f t="shared" si="76"/>
        <v>0</v>
      </c>
    </row>
    <row r="2426" spans="1:38" ht="25.5" customHeight="1" x14ac:dyDescent="0.25">
      <c r="A2426" s="10" t="s">
        <v>921</v>
      </c>
      <c r="B2426" s="11" t="s">
        <v>1673</v>
      </c>
      <c r="C2426" s="5">
        <v>35563.243300000002</v>
      </c>
      <c r="D2426" s="5">
        <v>35563.243300000002</v>
      </c>
      <c r="E2426" s="5">
        <v>31984.905299999999</v>
      </c>
      <c r="G2426" s="5" t="str">
        <f t="shared" si="75"/>
        <v>УАЗ-III - 49 кв.</v>
      </c>
      <c r="J2426" s="5"/>
      <c r="AL2426" s="5">
        <f t="shared" si="76"/>
        <v>0</v>
      </c>
    </row>
    <row r="2427" spans="1:38" ht="25.5" customHeight="1" x14ac:dyDescent="0.25">
      <c r="A2427" s="10" t="s">
        <v>2353</v>
      </c>
      <c r="B2427" s="11" t="s">
        <v>1675</v>
      </c>
      <c r="C2427" s="5">
        <v>35756.285400000001</v>
      </c>
      <c r="D2427" s="5">
        <v>35756.285400000001</v>
      </c>
      <c r="E2427" s="5">
        <v>32158.5213</v>
      </c>
      <c r="G2427" s="5" t="str">
        <f t="shared" si="75"/>
        <v>УАЗ-II</v>
      </c>
      <c r="J2427" s="5"/>
      <c r="AL2427" s="5">
        <f t="shared" si="76"/>
        <v>0</v>
      </c>
    </row>
    <row r="2428" spans="1:38" ht="25.5" customHeight="1" x14ac:dyDescent="0.25">
      <c r="A2428" s="10" t="s">
        <v>641</v>
      </c>
      <c r="B2428" s="11" t="s">
        <v>1676</v>
      </c>
      <c r="C2428" s="5">
        <v>28848.8855</v>
      </c>
      <c r="D2428" s="5">
        <v>28848.8855</v>
      </c>
      <c r="E2428" s="5">
        <v>25946.143</v>
      </c>
      <c r="G2428" s="5" t="str">
        <f t="shared" si="75"/>
        <v>Чкаловский</v>
      </c>
      <c r="J2428" s="5"/>
      <c r="AL2428" s="5">
        <f t="shared" si="76"/>
        <v>0</v>
      </c>
    </row>
    <row r="2429" spans="1:38" ht="25.5" customHeight="1" x14ac:dyDescent="0.25">
      <c r="A2429" s="10" t="s">
        <v>366</v>
      </c>
      <c r="B2429" s="11" t="s">
        <v>1676</v>
      </c>
      <c r="C2429" s="5">
        <v>28848.8855</v>
      </c>
      <c r="D2429" s="5">
        <v>28848.8855</v>
      </c>
      <c r="E2429" s="5">
        <v>25946.143</v>
      </c>
      <c r="G2429" s="5" t="str">
        <f t="shared" si="75"/>
        <v>Чкаловский</v>
      </c>
      <c r="J2429" s="5"/>
      <c r="AL2429" s="5">
        <f t="shared" si="76"/>
        <v>0</v>
      </c>
    </row>
    <row r="2430" spans="1:38" ht="25.5" customHeight="1" x14ac:dyDescent="0.25">
      <c r="A2430" s="10" t="s">
        <v>1153</v>
      </c>
      <c r="B2430" s="11" t="s">
        <v>1679</v>
      </c>
      <c r="C2430" s="5">
        <v>28855.326499999999</v>
      </c>
      <c r="D2430" s="5">
        <v>28855.326499999999</v>
      </c>
      <c r="E2430" s="5">
        <v>25951.933700000001</v>
      </c>
      <c r="G2430" s="5" t="str">
        <f t="shared" si="75"/>
        <v>Ст.Каменск-Хозспособ</v>
      </c>
      <c r="J2430" s="5"/>
      <c r="AL2430" s="5">
        <f t="shared" si="76"/>
        <v>0</v>
      </c>
    </row>
    <row r="2431" spans="1:38" ht="25.5" customHeight="1" x14ac:dyDescent="0.25">
      <c r="A2431" s="10" t="s">
        <v>2354</v>
      </c>
      <c r="B2431" s="11" t="s">
        <v>1679</v>
      </c>
      <c r="C2431" s="5">
        <v>28855.326499999999</v>
      </c>
      <c r="D2431" s="5">
        <v>28855.326499999999</v>
      </c>
      <c r="E2431" s="5">
        <v>25951.933700000001</v>
      </c>
      <c r="G2431" s="5" t="str">
        <f t="shared" si="75"/>
        <v>Ст.Каменск-Хозспособ</v>
      </c>
      <c r="J2431" s="5"/>
      <c r="AL2431" s="5">
        <f t="shared" si="76"/>
        <v>0</v>
      </c>
    </row>
    <row r="2432" spans="1:38" ht="25.5" customHeight="1" x14ac:dyDescent="0.25">
      <c r="A2432" s="10" t="s">
        <v>281</v>
      </c>
      <c r="B2432" s="11" t="s">
        <v>5230</v>
      </c>
      <c r="C2432" s="5">
        <v>45477.761700000003</v>
      </c>
      <c r="D2432" s="5">
        <v>45477.761700000003</v>
      </c>
      <c r="E2432" s="5">
        <v>39921.119500000001</v>
      </c>
      <c r="G2432" s="5" t="str">
        <f t="shared" si="75"/>
        <v>Центр-Тагил</v>
      </c>
      <c r="J2432" s="5"/>
      <c r="AL2432" s="5">
        <f t="shared" si="76"/>
        <v>0</v>
      </c>
    </row>
    <row r="2433" spans="1:38" ht="25.5" customHeight="1" x14ac:dyDescent="0.25">
      <c r="A2433" s="10" t="s">
        <v>2355</v>
      </c>
      <c r="B2433" s="11" t="s">
        <v>1688</v>
      </c>
      <c r="C2433" s="5">
        <v>29893.73</v>
      </c>
      <c r="D2433" s="5">
        <v>29893.73</v>
      </c>
      <c r="E2433" s="5">
        <v>26241.207699999999</v>
      </c>
      <c r="G2433" s="5" t="str">
        <f t="shared" si="75"/>
        <v>Сух_Г-Кам_Н_Кушва_Н-Черм</v>
      </c>
      <c r="J2433" s="5"/>
      <c r="AL2433" s="5">
        <f t="shared" si="76"/>
        <v>0</v>
      </c>
    </row>
    <row r="2434" spans="1:38" ht="25.5" customHeight="1" x14ac:dyDescent="0.25">
      <c r="A2434" s="10" t="s">
        <v>719</v>
      </c>
      <c r="B2434" s="11" t="s">
        <v>5230</v>
      </c>
      <c r="C2434" s="5">
        <v>45477.761700000003</v>
      </c>
      <c r="D2434" s="5">
        <v>45477.761700000003</v>
      </c>
      <c r="E2434" s="5">
        <v>39921.119500000001</v>
      </c>
      <c r="G2434" s="5" t="str">
        <f t="shared" si="75"/>
        <v>Центр-Тагил</v>
      </c>
      <c r="J2434" s="5"/>
      <c r="AL2434" s="5">
        <f t="shared" si="76"/>
        <v>0</v>
      </c>
    </row>
    <row r="2435" spans="1:38" ht="25.5" customHeight="1" x14ac:dyDescent="0.25">
      <c r="A2435" s="10" t="s">
        <v>2356</v>
      </c>
      <c r="B2435" s="11" t="s">
        <v>1679</v>
      </c>
      <c r="C2435" s="5">
        <v>28855.326499999999</v>
      </c>
      <c r="D2435" s="5">
        <v>28855.326499999999</v>
      </c>
      <c r="E2435" s="5">
        <v>25951.933700000001</v>
      </c>
      <c r="G2435" s="5" t="str">
        <f t="shared" si="75"/>
        <v>Ст.Каменск-Хозспособ</v>
      </c>
      <c r="J2435" s="5"/>
      <c r="AL2435" s="5">
        <f t="shared" si="76"/>
        <v>0</v>
      </c>
    </row>
    <row r="2436" spans="1:38" ht="25.5" customHeight="1" x14ac:dyDescent="0.25">
      <c r="A2436" s="10" t="s">
        <v>200</v>
      </c>
      <c r="B2436" s="11" t="s">
        <v>5230</v>
      </c>
      <c r="C2436" s="5">
        <v>45477.761700000003</v>
      </c>
      <c r="D2436" s="5">
        <v>45477.761700000003</v>
      </c>
      <c r="E2436" s="5">
        <v>39921.119500000001</v>
      </c>
      <c r="G2436" s="5" t="str">
        <f t="shared" ref="G2436:G2498" si="77">B2436</f>
        <v>Центр-Тагил</v>
      </c>
      <c r="J2436" s="5"/>
      <c r="AL2436" s="5">
        <f t="shared" ref="AL2436:AL2498" si="78">AF2436</f>
        <v>0</v>
      </c>
    </row>
    <row r="2437" spans="1:38" ht="25.5" customHeight="1" x14ac:dyDescent="0.25">
      <c r="A2437" s="10" t="s">
        <v>2357</v>
      </c>
      <c r="B2437" s="11" t="s">
        <v>1683</v>
      </c>
      <c r="C2437" s="5">
        <v>40018.9617</v>
      </c>
      <c r="D2437" s="5">
        <v>40018.9617</v>
      </c>
      <c r="E2437" s="5">
        <v>35129.2961</v>
      </c>
      <c r="G2437" s="5" t="str">
        <f t="shared" si="77"/>
        <v>Алт_Гальян_М-Кушва</v>
      </c>
      <c r="J2437" s="5"/>
      <c r="AL2437" s="5">
        <f t="shared" si="78"/>
        <v>0</v>
      </c>
    </row>
    <row r="2438" spans="1:38" x14ac:dyDescent="0.25">
      <c r="A2438" s="10" t="s">
        <v>2358</v>
      </c>
      <c r="B2438" s="11" t="s">
        <v>1681</v>
      </c>
      <c r="C2438" s="5">
        <v>32172.2909</v>
      </c>
      <c r="D2438" s="5">
        <v>32172.2909</v>
      </c>
      <c r="E2438" s="5">
        <v>28935.146499999999</v>
      </c>
      <c r="G2438" s="5" t="str">
        <f t="shared" si="77"/>
        <v>Ленин-Олимп</v>
      </c>
      <c r="J2438" s="5"/>
      <c r="AL2438" s="5">
        <f t="shared" si="78"/>
        <v>0</v>
      </c>
    </row>
    <row r="2439" spans="1:38" ht="25.5" customHeight="1" x14ac:dyDescent="0.25">
      <c r="A2439" s="10" t="s">
        <v>2359</v>
      </c>
      <c r="B2439" s="11" t="s">
        <v>1679</v>
      </c>
      <c r="C2439" s="5">
        <v>28855.326499999999</v>
      </c>
      <c r="D2439" s="5">
        <v>28855.326499999999</v>
      </c>
      <c r="E2439" s="5">
        <v>25951.933700000001</v>
      </c>
      <c r="G2439" s="5" t="str">
        <f t="shared" si="77"/>
        <v>Ст.Каменск-Хозспособ</v>
      </c>
      <c r="J2439" s="5"/>
      <c r="AL2439" s="5">
        <f t="shared" si="78"/>
        <v>0</v>
      </c>
    </row>
    <row r="2440" spans="1:38" ht="25.5" customHeight="1" x14ac:dyDescent="0.25">
      <c r="A2440" s="10" t="s">
        <v>2360</v>
      </c>
      <c r="B2440" s="11" t="s">
        <v>1694</v>
      </c>
      <c r="C2440" s="5">
        <v>26641.525799999999</v>
      </c>
      <c r="D2440" s="5">
        <v>26641.525799999999</v>
      </c>
      <c r="E2440" s="5">
        <v>24250.754499999999</v>
      </c>
      <c r="G2440" s="5" t="str">
        <f t="shared" si="77"/>
        <v>Первомайский</v>
      </c>
      <c r="J2440" s="5"/>
      <c r="AL2440" s="5">
        <f t="shared" si="78"/>
        <v>0</v>
      </c>
    </row>
    <row r="2441" spans="1:38" ht="25.5" customHeight="1" x14ac:dyDescent="0.25">
      <c r="A2441" s="10" t="s">
        <v>2361</v>
      </c>
      <c r="B2441" s="11" t="s">
        <v>1680</v>
      </c>
      <c r="C2441" s="5">
        <v>29151.309799999999</v>
      </c>
      <c r="D2441" s="5">
        <v>29151.309799999999</v>
      </c>
      <c r="E2441" s="5">
        <v>26218.127700000001</v>
      </c>
      <c r="G2441" s="5" t="str">
        <f t="shared" si="77"/>
        <v>Северный</v>
      </c>
      <c r="J2441" s="5"/>
      <c r="AL2441" s="5">
        <f t="shared" si="78"/>
        <v>0</v>
      </c>
    </row>
    <row r="2442" spans="1:38" ht="25.5" customHeight="1" x14ac:dyDescent="0.25">
      <c r="A2442" s="10" t="s">
        <v>73</v>
      </c>
      <c r="B2442" s="11" t="s">
        <v>1684</v>
      </c>
      <c r="C2442" s="5">
        <v>40625.090199999999</v>
      </c>
      <c r="D2442" s="5">
        <v>40625.090199999999</v>
      </c>
      <c r="E2442" s="5">
        <v>35661.364300000001</v>
      </c>
      <c r="G2442" s="5" t="str">
        <f t="shared" si="77"/>
        <v>Ваг_Стар_Пихтовы-г</v>
      </c>
      <c r="J2442" s="5"/>
      <c r="AL2442" s="5">
        <f t="shared" si="78"/>
        <v>0</v>
      </c>
    </row>
    <row r="2443" spans="1:38" ht="25.5" customHeight="1" x14ac:dyDescent="0.25">
      <c r="A2443" s="10" t="s">
        <v>2362</v>
      </c>
      <c r="B2443" s="11" t="s">
        <v>1687</v>
      </c>
      <c r="C2443" s="5">
        <v>30591.135900000001</v>
      </c>
      <c r="D2443" s="5">
        <v>30591.135900000001</v>
      </c>
      <c r="E2443" s="5">
        <v>26853.405500000001</v>
      </c>
      <c r="G2443" s="5" t="str">
        <f t="shared" si="77"/>
        <v>Рудник_Север</v>
      </c>
      <c r="J2443" s="5"/>
      <c r="AL2443" s="5">
        <f t="shared" si="78"/>
        <v>0</v>
      </c>
    </row>
    <row r="2444" spans="1:38" ht="25.5" customHeight="1" x14ac:dyDescent="0.25">
      <c r="A2444" s="10" t="s">
        <v>28</v>
      </c>
      <c r="B2444" s="11" t="s">
        <v>5230</v>
      </c>
      <c r="C2444" s="5">
        <v>45477.761700000003</v>
      </c>
      <c r="D2444" s="5">
        <v>45477.761700000003</v>
      </c>
      <c r="E2444" s="5">
        <v>39921.119500000001</v>
      </c>
      <c r="G2444" s="5" t="str">
        <f t="shared" si="77"/>
        <v>Центр-Тагил</v>
      </c>
      <c r="J2444" s="5"/>
      <c r="AL2444" s="5">
        <f t="shared" si="78"/>
        <v>0</v>
      </c>
    </row>
    <row r="2445" spans="1:38" ht="25.5" customHeight="1" x14ac:dyDescent="0.25">
      <c r="A2445" s="10" t="s">
        <v>2363</v>
      </c>
      <c r="B2445" s="11" t="s">
        <v>1688</v>
      </c>
      <c r="C2445" s="5">
        <v>29893.73</v>
      </c>
      <c r="D2445" s="5">
        <v>29893.73</v>
      </c>
      <c r="E2445" s="5">
        <v>26241.207699999999</v>
      </c>
      <c r="G2445" s="5" t="str">
        <f t="shared" si="77"/>
        <v>Сух_Г-Кам_Н_Кушва_Н-Черм</v>
      </c>
      <c r="J2445" s="5"/>
      <c r="AL2445" s="5">
        <f t="shared" si="78"/>
        <v>0</v>
      </c>
    </row>
    <row r="2446" spans="1:38" ht="25.5" customHeight="1" x14ac:dyDescent="0.25">
      <c r="A2446" s="10" t="s">
        <v>1352</v>
      </c>
      <c r="B2446" s="11" t="s">
        <v>1688</v>
      </c>
      <c r="C2446" s="5">
        <v>29893.73</v>
      </c>
      <c r="D2446" s="5">
        <v>29893.73</v>
      </c>
      <c r="E2446" s="5">
        <v>26241.207699999999</v>
      </c>
      <c r="G2446" s="5" t="str">
        <f t="shared" si="77"/>
        <v>Сух_Г-Кам_Н_Кушва_Н-Черм</v>
      </c>
      <c r="J2446" s="5"/>
      <c r="AL2446" s="5">
        <f t="shared" si="78"/>
        <v>0</v>
      </c>
    </row>
    <row r="2447" spans="1:38" ht="25.5" customHeight="1" x14ac:dyDescent="0.25">
      <c r="A2447" s="10" t="s">
        <v>1245</v>
      </c>
      <c r="B2447" s="11" t="s">
        <v>1683</v>
      </c>
      <c r="C2447" s="5">
        <v>40018.9617</v>
      </c>
      <c r="D2447" s="5">
        <v>40018.9617</v>
      </c>
      <c r="E2447" s="5">
        <v>35129.2961</v>
      </c>
      <c r="G2447" s="5" t="str">
        <f t="shared" si="77"/>
        <v>Алт_Гальян_М-Кушва</v>
      </c>
      <c r="J2447" s="5"/>
      <c r="AL2447" s="5">
        <f t="shared" si="78"/>
        <v>0</v>
      </c>
    </row>
    <row r="2448" spans="1:38" ht="25.5" customHeight="1" x14ac:dyDescent="0.25">
      <c r="A2448" s="10" t="s">
        <v>2364</v>
      </c>
      <c r="B2448" s="11" t="s">
        <v>1683</v>
      </c>
      <c r="C2448" s="5">
        <v>40018.9617</v>
      </c>
      <c r="D2448" s="5">
        <v>40018.9617</v>
      </c>
      <c r="E2448" s="5">
        <v>35129.2961</v>
      </c>
      <c r="G2448" s="5" t="str">
        <f t="shared" si="77"/>
        <v>Алт_Гальян_М-Кушва</v>
      </c>
      <c r="J2448" s="5"/>
      <c r="AL2448" s="5">
        <f t="shared" si="78"/>
        <v>0</v>
      </c>
    </row>
    <row r="2449" spans="1:38" ht="25.5" customHeight="1" x14ac:dyDescent="0.25">
      <c r="A2449" s="10" t="s">
        <v>145</v>
      </c>
      <c r="B2449" s="11" t="s">
        <v>1687</v>
      </c>
      <c r="C2449" s="5">
        <v>30591.135900000001</v>
      </c>
      <c r="D2449" s="5">
        <v>30591.135900000001</v>
      </c>
      <c r="E2449" s="5">
        <v>26853.405500000001</v>
      </c>
      <c r="G2449" s="5" t="str">
        <f t="shared" si="77"/>
        <v>Рудник_Север</v>
      </c>
      <c r="J2449" s="5"/>
      <c r="AL2449" s="5">
        <f t="shared" si="78"/>
        <v>0</v>
      </c>
    </row>
    <row r="2450" spans="1:38" ht="25.5" customHeight="1" x14ac:dyDescent="0.25">
      <c r="A2450" s="10" t="s">
        <v>1332</v>
      </c>
      <c r="B2450" s="11" t="s">
        <v>1691</v>
      </c>
      <c r="C2450" s="5">
        <v>36244.5985</v>
      </c>
      <c r="D2450" s="5">
        <v>36244.5985</v>
      </c>
      <c r="E2450" s="5">
        <v>32992.053800000002</v>
      </c>
      <c r="G2450" s="5" t="str">
        <f t="shared" si="77"/>
        <v>ДинСанПод</v>
      </c>
      <c r="J2450" s="5"/>
      <c r="AL2450" s="5">
        <f t="shared" si="78"/>
        <v>0</v>
      </c>
    </row>
    <row r="2451" spans="1:38" ht="25.5" customHeight="1" x14ac:dyDescent="0.25">
      <c r="A2451" s="10" t="s">
        <v>2365</v>
      </c>
      <c r="B2451" s="11" t="s">
        <v>1675</v>
      </c>
      <c r="C2451" s="5">
        <v>35756.285400000001</v>
      </c>
      <c r="D2451" s="5">
        <v>35756.285400000001</v>
      </c>
      <c r="E2451" s="5">
        <v>32158.5213</v>
      </c>
      <c r="G2451" s="5" t="str">
        <f t="shared" si="77"/>
        <v>УАЗ-II</v>
      </c>
      <c r="J2451" s="5"/>
      <c r="AL2451" s="5">
        <f t="shared" si="78"/>
        <v>0</v>
      </c>
    </row>
    <row r="2452" spans="1:38" ht="25.5" customHeight="1" x14ac:dyDescent="0.25">
      <c r="A2452" s="10" t="s">
        <v>2366</v>
      </c>
      <c r="B2452" s="11" t="s">
        <v>1676</v>
      </c>
      <c r="C2452" s="5">
        <v>28848.8855</v>
      </c>
      <c r="D2452" s="5">
        <v>28848.8855</v>
      </c>
      <c r="E2452" s="5">
        <v>25946.143</v>
      </c>
      <c r="G2452" s="5" t="str">
        <f t="shared" si="77"/>
        <v>Чкаловский</v>
      </c>
      <c r="J2452" s="5"/>
      <c r="AL2452" s="5">
        <f t="shared" si="78"/>
        <v>0</v>
      </c>
    </row>
    <row r="2453" spans="1:38" ht="25.5" customHeight="1" x14ac:dyDescent="0.25">
      <c r="A2453" s="10" t="s">
        <v>793</v>
      </c>
      <c r="B2453" s="11" t="s">
        <v>1681</v>
      </c>
      <c r="C2453" s="5">
        <v>32172.2909</v>
      </c>
      <c r="D2453" s="5">
        <v>32172.2909</v>
      </c>
      <c r="E2453" s="5">
        <v>28935.146499999999</v>
      </c>
      <c r="G2453" s="5" t="str">
        <f t="shared" si="77"/>
        <v>Ленин-Олимп</v>
      </c>
      <c r="J2453" s="5"/>
      <c r="AL2453" s="5">
        <f t="shared" si="78"/>
        <v>0</v>
      </c>
    </row>
    <row r="2454" spans="1:38" ht="25.5" customHeight="1" x14ac:dyDescent="0.25">
      <c r="A2454" s="10" t="s">
        <v>2367</v>
      </c>
      <c r="B2454" s="11" t="s">
        <v>1680</v>
      </c>
      <c r="C2454" s="5">
        <v>29151.309799999999</v>
      </c>
      <c r="D2454" s="5">
        <v>29151.309799999999</v>
      </c>
      <c r="E2454" s="5">
        <v>26218.127700000001</v>
      </c>
      <c r="G2454" s="5" t="str">
        <f t="shared" si="77"/>
        <v>Северный</v>
      </c>
      <c r="J2454" s="5"/>
      <c r="AL2454" s="5">
        <f t="shared" si="78"/>
        <v>0</v>
      </c>
    </row>
    <row r="2455" spans="1:38" ht="25.5" customHeight="1" x14ac:dyDescent="0.25">
      <c r="A2455" s="10" t="s">
        <v>1287</v>
      </c>
      <c r="B2455" s="11" t="s">
        <v>1679</v>
      </c>
      <c r="C2455" s="5">
        <v>28855.326499999999</v>
      </c>
      <c r="D2455" s="5">
        <v>28855.326499999999</v>
      </c>
      <c r="E2455" s="5">
        <v>25951.933700000001</v>
      </c>
      <c r="G2455" s="5" t="str">
        <f t="shared" si="77"/>
        <v>Ст.Каменск-Хозспособ</v>
      </c>
      <c r="J2455" s="5"/>
      <c r="AL2455" s="5">
        <f t="shared" si="78"/>
        <v>0</v>
      </c>
    </row>
    <row r="2456" spans="1:38" ht="25.5" customHeight="1" x14ac:dyDescent="0.25">
      <c r="A2456" s="10" t="s">
        <v>774</v>
      </c>
      <c r="B2456" s="11" t="s">
        <v>1677</v>
      </c>
      <c r="C2456" s="5">
        <v>39105.413099999998</v>
      </c>
      <c r="D2456" s="5">
        <v>39105.413099999998</v>
      </c>
      <c r="E2456" s="5">
        <v>35170.666700000002</v>
      </c>
      <c r="G2456" s="5" t="str">
        <f t="shared" si="77"/>
        <v>Октябрьский</v>
      </c>
      <c r="J2456" s="5"/>
      <c r="AL2456" s="5">
        <f t="shared" si="78"/>
        <v>0</v>
      </c>
    </row>
    <row r="2457" spans="1:38" x14ac:dyDescent="0.25">
      <c r="A2457" s="10" t="s">
        <v>2368</v>
      </c>
      <c r="B2457" s="11" t="s">
        <v>1674</v>
      </c>
      <c r="C2457" s="5">
        <v>29199.565200000001</v>
      </c>
      <c r="D2457" s="5">
        <v>29199.565200000001</v>
      </c>
      <c r="E2457" s="5">
        <v>26261.5317</v>
      </c>
      <c r="G2457" s="5" t="str">
        <f t="shared" si="77"/>
        <v>УАЗ</v>
      </c>
      <c r="J2457" s="5"/>
      <c r="AL2457" s="5">
        <f t="shared" si="78"/>
        <v>0</v>
      </c>
    </row>
    <row r="2458" spans="1:38" x14ac:dyDescent="0.25">
      <c r="A2458" s="10" t="s">
        <v>2369</v>
      </c>
      <c r="B2458" s="11" t="s">
        <v>1674</v>
      </c>
      <c r="C2458" s="5">
        <v>29199.565200000001</v>
      </c>
      <c r="D2458" s="5">
        <v>29199.565200000001</v>
      </c>
      <c r="E2458" s="5">
        <v>26261.5317</v>
      </c>
      <c r="G2458" s="5" t="str">
        <f t="shared" si="77"/>
        <v>УАЗ</v>
      </c>
      <c r="J2458" s="5"/>
      <c r="AL2458" s="5">
        <f t="shared" si="78"/>
        <v>0</v>
      </c>
    </row>
    <row r="2459" spans="1:38" ht="25.5" customHeight="1" x14ac:dyDescent="0.25">
      <c r="A2459" s="10" t="s">
        <v>2370</v>
      </c>
      <c r="B2459" s="11" t="s">
        <v>1681</v>
      </c>
      <c r="C2459" s="5">
        <v>32172.2909</v>
      </c>
      <c r="D2459" s="5">
        <v>32172.2909</v>
      </c>
      <c r="E2459" s="5">
        <v>28935.146499999999</v>
      </c>
      <c r="G2459" s="5" t="str">
        <f t="shared" si="77"/>
        <v>Ленин-Олимп</v>
      </c>
      <c r="J2459" s="5"/>
      <c r="AL2459" s="5">
        <f t="shared" si="78"/>
        <v>0</v>
      </c>
    </row>
    <row r="2460" spans="1:38" ht="25.5" customHeight="1" x14ac:dyDescent="0.25">
      <c r="A2460" s="10" t="s">
        <v>1414</v>
      </c>
      <c r="B2460" s="11" t="s">
        <v>66</v>
      </c>
      <c r="C2460" s="5">
        <v>64795.756300000001</v>
      </c>
      <c r="D2460" s="5">
        <v>64795.756300000001</v>
      </c>
      <c r="E2460" s="5">
        <v>58673.716200000003</v>
      </c>
      <c r="G2460" s="5" t="str">
        <f t="shared" si="77"/>
        <v>УНЦ</v>
      </c>
      <c r="J2460" s="5"/>
      <c r="AL2460" s="5">
        <f t="shared" si="78"/>
        <v>0</v>
      </c>
    </row>
    <row r="2461" spans="1:38" ht="25.5" customHeight="1" x14ac:dyDescent="0.25">
      <c r="A2461" s="10" t="s">
        <v>2371</v>
      </c>
      <c r="B2461" s="11" t="s">
        <v>1677</v>
      </c>
      <c r="C2461" s="5">
        <v>39105.413099999998</v>
      </c>
      <c r="D2461" s="5">
        <v>39105.413099999998</v>
      </c>
      <c r="E2461" s="5">
        <v>35170.666700000002</v>
      </c>
      <c r="G2461" s="5" t="str">
        <f t="shared" si="77"/>
        <v>Октябрьский</v>
      </c>
      <c r="J2461" s="5"/>
      <c r="AL2461" s="5">
        <f t="shared" si="78"/>
        <v>0</v>
      </c>
    </row>
    <row r="2462" spans="1:38" ht="25.5" customHeight="1" x14ac:dyDescent="0.25">
      <c r="A2462" s="10" t="s">
        <v>2372</v>
      </c>
      <c r="B2462" s="11" t="s">
        <v>1662</v>
      </c>
      <c r="C2462" s="5">
        <v>46784.877899999999</v>
      </c>
      <c r="D2462" s="5">
        <v>46784.877899999999</v>
      </c>
      <c r="E2462" s="5">
        <v>42364.543299999998</v>
      </c>
      <c r="G2462" s="5" t="str">
        <f t="shared" si="77"/>
        <v>РУДНЫЙ</v>
      </c>
      <c r="J2462" s="5"/>
      <c r="AL2462" s="5">
        <f t="shared" si="78"/>
        <v>0</v>
      </c>
    </row>
    <row r="2463" spans="1:38" ht="25.5" customHeight="1" x14ac:dyDescent="0.25">
      <c r="A2463" s="10" t="s">
        <v>2373</v>
      </c>
      <c r="B2463" s="11" t="s">
        <v>1691</v>
      </c>
      <c r="C2463" s="5">
        <v>36244.5985</v>
      </c>
      <c r="D2463" s="5">
        <v>36244.5985</v>
      </c>
      <c r="E2463" s="5">
        <v>32992.053800000002</v>
      </c>
      <c r="G2463" s="5" t="str">
        <f t="shared" si="77"/>
        <v>ДинСанПод</v>
      </c>
      <c r="J2463" s="5"/>
      <c r="AL2463" s="5">
        <f t="shared" si="78"/>
        <v>0</v>
      </c>
    </row>
    <row r="2464" spans="1:38" ht="25.5" customHeight="1" x14ac:dyDescent="0.25">
      <c r="A2464" s="10" t="s">
        <v>2374</v>
      </c>
      <c r="B2464" s="11" t="s">
        <v>1650</v>
      </c>
      <c r="C2464" s="5">
        <v>37590.3603</v>
      </c>
      <c r="D2464" s="5">
        <v>37590.3603</v>
      </c>
      <c r="E2464" s="5">
        <v>34038.745900000002</v>
      </c>
      <c r="G2464" s="5" t="str">
        <f t="shared" si="77"/>
        <v>ШАБРОВСКИЙ</v>
      </c>
      <c r="J2464" s="5"/>
      <c r="AL2464" s="5">
        <f t="shared" si="78"/>
        <v>0</v>
      </c>
    </row>
    <row r="2465" spans="1:38" ht="25.5" customHeight="1" x14ac:dyDescent="0.25">
      <c r="A2465" s="10" t="s">
        <v>2375</v>
      </c>
      <c r="B2465" s="11" t="s">
        <v>1676</v>
      </c>
      <c r="C2465" s="5">
        <v>28848.8855</v>
      </c>
      <c r="D2465" s="5">
        <v>28848.8855</v>
      </c>
      <c r="E2465" s="5">
        <v>25946.143</v>
      </c>
      <c r="G2465" s="5" t="str">
        <f t="shared" si="77"/>
        <v>Чкаловский</v>
      </c>
      <c r="J2465" s="5"/>
      <c r="AL2465" s="5">
        <f t="shared" si="78"/>
        <v>0</v>
      </c>
    </row>
    <row r="2466" spans="1:38" ht="25.5" customHeight="1" x14ac:dyDescent="0.25">
      <c r="A2466" s="10" t="s">
        <v>2376</v>
      </c>
      <c r="B2466" s="11" t="s">
        <v>1647</v>
      </c>
      <c r="C2466" s="5">
        <v>63178.133800000003</v>
      </c>
      <c r="D2466" s="5">
        <v>63178.133800000003</v>
      </c>
      <c r="E2466" s="5">
        <v>57208.931499999999</v>
      </c>
      <c r="G2466" s="5" t="str">
        <f t="shared" si="77"/>
        <v>ШИРОКАЯ РЕЧКА</v>
      </c>
      <c r="J2466" s="5"/>
      <c r="AL2466" s="5">
        <f t="shared" si="78"/>
        <v>0</v>
      </c>
    </row>
    <row r="2467" spans="1:38" ht="25.5" customHeight="1" x14ac:dyDescent="0.25">
      <c r="A2467" s="10" t="s">
        <v>2377</v>
      </c>
      <c r="B2467" s="11" t="s">
        <v>1688</v>
      </c>
      <c r="C2467" s="5">
        <v>29893.73</v>
      </c>
      <c r="D2467" s="5">
        <v>29893.73</v>
      </c>
      <c r="E2467" s="5">
        <v>26241.207699999999</v>
      </c>
      <c r="G2467" s="5" t="str">
        <f t="shared" si="77"/>
        <v>Сух_Г-Кам_Н_Кушва_Н-Черм</v>
      </c>
      <c r="J2467" s="5"/>
      <c r="AL2467" s="5">
        <f t="shared" si="78"/>
        <v>0</v>
      </c>
    </row>
    <row r="2468" spans="1:38" ht="25.5" customHeight="1" x14ac:dyDescent="0.25">
      <c r="A2468" s="10" t="s">
        <v>358</v>
      </c>
      <c r="B2468" s="11" t="s">
        <v>5230</v>
      </c>
      <c r="C2468" s="5">
        <v>45477.761700000003</v>
      </c>
      <c r="D2468" s="5">
        <v>45477.761700000003</v>
      </c>
      <c r="E2468" s="5">
        <v>39921.119500000001</v>
      </c>
      <c r="G2468" s="5" t="str">
        <f t="shared" si="77"/>
        <v>Центр-Тагил</v>
      </c>
      <c r="J2468" s="5"/>
      <c r="AL2468" s="5">
        <f t="shared" si="78"/>
        <v>0</v>
      </c>
    </row>
    <row r="2469" spans="1:38" ht="25.5" customHeight="1" x14ac:dyDescent="0.25">
      <c r="A2469" s="10" t="s">
        <v>147</v>
      </c>
      <c r="B2469" s="11" t="s">
        <v>1684</v>
      </c>
      <c r="C2469" s="5">
        <v>40625.090199999999</v>
      </c>
      <c r="D2469" s="5">
        <v>40625.090199999999</v>
      </c>
      <c r="E2469" s="5">
        <v>35661.364300000001</v>
      </c>
      <c r="G2469" s="5" t="str">
        <f t="shared" si="77"/>
        <v>Ваг_Стар_Пихтовы-г</v>
      </c>
      <c r="J2469" s="5"/>
      <c r="AL2469" s="5">
        <f t="shared" si="78"/>
        <v>0</v>
      </c>
    </row>
    <row r="2470" spans="1:38" ht="25.5" customHeight="1" x14ac:dyDescent="0.25">
      <c r="A2470" s="10" t="s">
        <v>426</v>
      </c>
      <c r="B2470" s="11" t="s">
        <v>1676</v>
      </c>
      <c r="C2470" s="5">
        <v>28848.8855</v>
      </c>
      <c r="D2470" s="5">
        <v>28848.8855</v>
      </c>
      <c r="E2470" s="5">
        <v>25946.143</v>
      </c>
      <c r="G2470" s="5" t="str">
        <f t="shared" si="77"/>
        <v>Чкаловский</v>
      </c>
      <c r="J2470" s="5"/>
      <c r="AL2470" s="5">
        <f t="shared" si="78"/>
        <v>0</v>
      </c>
    </row>
    <row r="2471" spans="1:38" ht="25.5" customHeight="1" x14ac:dyDescent="0.25">
      <c r="A2471" s="10" t="s">
        <v>2378</v>
      </c>
      <c r="B2471" s="11" t="s">
        <v>1673</v>
      </c>
      <c r="C2471" s="5">
        <v>35563.243300000002</v>
      </c>
      <c r="D2471" s="5">
        <v>35563.243300000002</v>
      </c>
      <c r="E2471" s="5">
        <v>31984.905299999999</v>
      </c>
      <c r="G2471" s="5" t="str">
        <f t="shared" si="77"/>
        <v>УАЗ-III - 49 кв.</v>
      </c>
      <c r="J2471" s="5"/>
      <c r="AL2471" s="5">
        <f t="shared" si="78"/>
        <v>0</v>
      </c>
    </row>
    <row r="2472" spans="1:38" ht="25.5" customHeight="1" x14ac:dyDescent="0.25">
      <c r="A2472" s="10" t="s">
        <v>1096</v>
      </c>
      <c r="B2472" s="11" t="s">
        <v>1673</v>
      </c>
      <c r="C2472" s="5">
        <v>35563.243300000002</v>
      </c>
      <c r="D2472" s="5">
        <v>35563.243300000002</v>
      </c>
      <c r="E2472" s="5">
        <v>31984.905299999999</v>
      </c>
      <c r="G2472" s="5" t="str">
        <f t="shared" si="77"/>
        <v>УАЗ-III - 49 кв.</v>
      </c>
      <c r="J2472" s="5"/>
      <c r="AL2472" s="5">
        <f t="shared" si="78"/>
        <v>0</v>
      </c>
    </row>
    <row r="2473" spans="1:38" ht="25.5" customHeight="1" x14ac:dyDescent="0.25">
      <c r="A2473" s="10" t="s">
        <v>935</v>
      </c>
      <c r="B2473" s="11" t="s">
        <v>1659</v>
      </c>
      <c r="C2473" s="5">
        <v>59746.832600000002</v>
      </c>
      <c r="D2473" s="5">
        <v>59746.832600000002</v>
      </c>
      <c r="E2473" s="5">
        <v>54101.823700000001</v>
      </c>
      <c r="G2473" s="5" t="str">
        <f t="shared" si="77"/>
        <v>СОВХОЗ</v>
      </c>
      <c r="J2473" s="5"/>
      <c r="AL2473" s="5">
        <f t="shared" si="78"/>
        <v>0</v>
      </c>
    </row>
    <row r="2474" spans="1:38" ht="25.5" customHeight="1" x14ac:dyDescent="0.25">
      <c r="A2474" s="10" t="s">
        <v>2379</v>
      </c>
      <c r="B2474" s="11" t="s">
        <v>389</v>
      </c>
      <c r="C2474" s="5">
        <v>51175.5573</v>
      </c>
      <c r="D2474" s="5">
        <v>51175.5573</v>
      </c>
      <c r="E2474" s="5">
        <v>46340.381600000001</v>
      </c>
      <c r="G2474" s="5" t="str">
        <f t="shared" si="77"/>
        <v>Северка</v>
      </c>
      <c r="J2474" s="5"/>
      <c r="AL2474" s="5">
        <f t="shared" si="78"/>
        <v>0</v>
      </c>
    </row>
    <row r="2475" spans="1:38" ht="25.5" customHeight="1" x14ac:dyDescent="0.25">
      <c r="A2475" s="10" t="s">
        <v>2380</v>
      </c>
      <c r="B2475" s="11" t="s">
        <v>1676</v>
      </c>
      <c r="C2475" s="5">
        <v>28848.8855</v>
      </c>
      <c r="D2475" s="5">
        <v>28848.8855</v>
      </c>
      <c r="E2475" s="5">
        <v>25946.143</v>
      </c>
      <c r="G2475" s="5" t="str">
        <f t="shared" si="77"/>
        <v>Чкаловский</v>
      </c>
      <c r="J2475" s="5"/>
      <c r="AL2475" s="5">
        <f t="shared" si="78"/>
        <v>0</v>
      </c>
    </row>
    <row r="2476" spans="1:38" ht="25.5" customHeight="1" x14ac:dyDescent="0.25">
      <c r="A2476" s="10" t="s">
        <v>2381</v>
      </c>
      <c r="B2476" s="11" t="s">
        <v>33</v>
      </c>
      <c r="C2476" s="5">
        <v>84298.205100000006</v>
      </c>
      <c r="D2476" s="5">
        <v>84298.205100000006</v>
      </c>
      <c r="E2476" s="5">
        <v>76333.533100000001</v>
      </c>
      <c r="G2476" s="5" t="str">
        <f t="shared" si="77"/>
        <v>ВИЗ</v>
      </c>
      <c r="J2476" s="5"/>
      <c r="AL2476" s="5">
        <f t="shared" si="78"/>
        <v>0</v>
      </c>
    </row>
    <row r="2477" spans="1:38" ht="25.5" customHeight="1" x14ac:dyDescent="0.25">
      <c r="A2477" s="10" t="s">
        <v>367</v>
      </c>
      <c r="B2477" s="11" t="s">
        <v>1677</v>
      </c>
      <c r="C2477" s="5">
        <v>39105.413099999998</v>
      </c>
      <c r="D2477" s="5">
        <v>39105.413099999998</v>
      </c>
      <c r="E2477" s="5">
        <v>35170.666700000002</v>
      </c>
      <c r="G2477" s="5" t="str">
        <f t="shared" si="77"/>
        <v>Октябрьский</v>
      </c>
      <c r="J2477" s="5"/>
      <c r="AL2477" s="5">
        <f t="shared" si="78"/>
        <v>0</v>
      </c>
    </row>
    <row r="2478" spans="1:38" ht="25.5" customHeight="1" x14ac:dyDescent="0.25">
      <c r="A2478" s="10" t="s">
        <v>2382</v>
      </c>
      <c r="B2478" s="11" t="s">
        <v>1689</v>
      </c>
      <c r="C2478" s="5">
        <v>34023.428</v>
      </c>
      <c r="D2478" s="5">
        <v>34023.428</v>
      </c>
      <c r="E2478" s="5">
        <v>29866.3148</v>
      </c>
      <c r="G2478" s="5" t="str">
        <f t="shared" si="77"/>
        <v>Тагил_Кирп</v>
      </c>
      <c r="J2478" s="5"/>
      <c r="AL2478" s="5">
        <f t="shared" si="78"/>
        <v>0</v>
      </c>
    </row>
    <row r="2479" spans="1:38" ht="25.5" customHeight="1" x14ac:dyDescent="0.25">
      <c r="A2479" s="10" t="s">
        <v>591</v>
      </c>
      <c r="B2479" s="11" t="s">
        <v>1693</v>
      </c>
      <c r="C2479" s="5">
        <v>32948.938800000004</v>
      </c>
      <c r="D2479" s="5">
        <v>32948.938800000004</v>
      </c>
      <c r="E2479" s="5">
        <v>29992.139899999998</v>
      </c>
      <c r="G2479" s="5" t="str">
        <f t="shared" si="77"/>
        <v>Магнитка</v>
      </c>
      <c r="J2479" s="5"/>
      <c r="AL2479" s="5">
        <f t="shared" si="78"/>
        <v>0</v>
      </c>
    </row>
    <row r="2480" spans="1:38" ht="25.5" customHeight="1" x14ac:dyDescent="0.25">
      <c r="A2480" s="10" t="s">
        <v>290</v>
      </c>
      <c r="B2480" s="11" t="s">
        <v>1678</v>
      </c>
      <c r="C2480" s="5">
        <v>37400.280599999998</v>
      </c>
      <c r="D2480" s="5">
        <v>37400.280599999998</v>
      </c>
      <c r="E2480" s="5">
        <v>33637.106500000002</v>
      </c>
      <c r="G2480" s="5" t="str">
        <f t="shared" si="77"/>
        <v>Южный</v>
      </c>
      <c r="J2480" s="5"/>
      <c r="AL2480" s="5">
        <f t="shared" si="78"/>
        <v>0</v>
      </c>
    </row>
    <row r="2481" spans="1:38" ht="25.5" customHeight="1" x14ac:dyDescent="0.25">
      <c r="A2481" s="10" t="s">
        <v>2383</v>
      </c>
      <c r="B2481" s="11" t="s">
        <v>1677</v>
      </c>
      <c r="C2481" s="5">
        <v>39105.413099999998</v>
      </c>
      <c r="D2481" s="5">
        <v>39105.413099999998</v>
      </c>
      <c r="E2481" s="5">
        <v>35170.666700000002</v>
      </c>
      <c r="G2481" s="5" t="str">
        <f t="shared" si="77"/>
        <v>Октябрьский</v>
      </c>
      <c r="J2481" s="5"/>
      <c r="AL2481" s="5">
        <f t="shared" si="78"/>
        <v>0</v>
      </c>
    </row>
    <row r="2482" spans="1:38" ht="25.5" customHeight="1" x14ac:dyDescent="0.25">
      <c r="A2482" s="10" t="s">
        <v>573</v>
      </c>
      <c r="B2482" s="11" t="s">
        <v>1675</v>
      </c>
      <c r="C2482" s="5">
        <v>35756.285400000001</v>
      </c>
      <c r="D2482" s="5">
        <v>35756.285400000001</v>
      </c>
      <c r="E2482" s="5">
        <v>32158.5213</v>
      </c>
      <c r="G2482" s="5" t="str">
        <f t="shared" si="77"/>
        <v>УАЗ-II</v>
      </c>
      <c r="J2482" s="5"/>
      <c r="AL2482" s="5">
        <f t="shared" si="78"/>
        <v>0</v>
      </c>
    </row>
    <row r="2483" spans="1:38" ht="25.5" customHeight="1" x14ac:dyDescent="0.25">
      <c r="A2483" s="10" t="s">
        <v>237</v>
      </c>
      <c r="B2483" s="11" t="s">
        <v>1684</v>
      </c>
      <c r="C2483" s="5">
        <v>40625.090199999999</v>
      </c>
      <c r="D2483" s="5">
        <v>40625.090199999999</v>
      </c>
      <c r="E2483" s="5">
        <v>35661.364300000001</v>
      </c>
      <c r="G2483" s="5" t="str">
        <f t="shared" si="77"/>
        <v>Ваг_Стар_Пихтовы-г</v>
      </c>
      <c r="J2483" s="5"/>
      <c r="AL2483" s="5">
        <f t="shared" si="78"/>
        <v>0</v>
      </c>
    </row>
    <row r="2484" spans="1:38" ht="25.5" customHeight="1" x14ac:dyDescent="0.25">
      <c r="A2484" s="10" t="s">
        <v>2385</v>
      </c>
      <c r="B2484" s="11" t="s">
        <v>1647</v>
      </c>
      <c r="C2484" s="5">
        <v>63178.133800000003</v>
      </c>
      <c r="D2484" s="5">
        <v>63178.133800000003</v>
      </c>
      <c r="E2484" s="5">
        <v>57208.931499999999</v>
      </c>
      <c r="G2484" s="5" t="str">
        <f t="shared" si="77"/>
        <v>ШИРОКАЯ РЕЧКА</v>
      </c>
      <c r="J2484" s="5"/>
      <c r="AL2484" s="5">
        <f t="shared" si="78"/>
        <v>0</v>
      </c>
    </row>
    <row r="2485" spans="1:38" ht="25.5" customHeight="1" x14ac:dyDescent="0.25">
      <c r="A2485" s="10" t="s">
        <v>307</v>
      </c>
      <c r="B2485" s="11" t="s">
        <v>1683</v>
      </c>
      <c r="C2485" s="5">
        <v>40018.9617</v>
      </c>
      <c r="D2485" s="5">
        <v>40018.9617</v>
      </c>
      <c r="E2485" s="5">
        <v>35129.2961</v>
      </c>
      <c r="G2485" s="5" t="str">
        <f t="shared" si="77"/>
        <v>Алт_Гальян_М-Кушва</v>
      </c>
      <c r="J2485" s="5"/>
      <c r="AL2485" s="5">
        <f t="shared" si="78"/>
        <v>0</v>
      </c>
    </row>
    <row r="2486" spans="1:38" ht="25.5" customHeight="1" x14ac:dyDescent="0.25">
      <c r="A2486" s="10" t="s">
        <v>2386</v>
      </c>
      <c r="B2486" s="11" t="s">
        <v>1688</v>
      </c>
      <c r="C2486" s="5">
        <v>29893.73</v>
      </c>
      <c r="D2486" s="5">
        <v>29893.73</v>
      </c>
      <c r="E2486" s="5">
        <v>26241.207699999999</v>
      </c>
      <c r="G2486" s="5" t="str">
        <f t="shared" si="77"/>
        <v>Сух_Г-Кам_Н_Кушва_Н-Черм</v>
      </c>
      <c r="J2486" s="5"/>
      <c r="AL2486" s="5">
        <f t="shared" si="78"/>
        <v>0</v>
      </c>
    </row>
    <row r="2487" spans="1:38" ht="25.5" customHeight="1" x14ac:dyDescent="0.25">
      <c r="A2487" s="10" t="s">
        <v>417</v>
      </c>
      <c r="B2487" s="11" t="s">
        <v>1689</v>
      </c>
      <c r="C2487" s="5">
        <v>34023.428</v>
      </c>
      <c r="D2487" s="5">
        <v>34023.428</v>
      </c>
      <c r="E2487" s="5">
        <v>29866.3148</v>
      </c>
      <c r="G2487" s="5" t="str">
        <f t="shared" si="77"/>
        <v>Тагил_Кирп</v>
      </c>
      <c r="J2487" s="5"/>
      <c r="AL2487" s="5">
        <f t="shared" si="78"/>
        <v>0</v>
      </c>
    </row>
    <row r="2488" spans="1:38" ht="25.5" customHeight="1" x14ac:dyDescent="0.25">
      <c r="A2488" s="10" t="s">
        <v>2387</v>
      </c>
      <c r="B2488" s="11" t="s">
        <v>1688</v>
      </c>
      <c r="C2488" s="5">
        <v>29893.73</v>
      </c>
      <c r="D2488" s="5">
        <v>29893.73</v>
      </c>
      <c r="E2488" s="5">
        <v>26241.207699999999</v>
      </c>
      <c r="G2488" s="5" t="str">
        <f t="shared" si="77"/>
        <v>Сух_Г-Кам_Н_Кушва_Н-Черм</v>
      </c>
      <c r="J2488" s="5"/>
      <c r="AL2488" s="5">
        <f t="shared" si="78"/>
        <v>0</v>
      </c>
    </row>
    <row r="2489" spans="1:38" ht="25.5" customHeight="1" x14ac:dyDescent="0.25">
      <c r="A2489" s="10" t="s">
        <v>1385</v>
      </c>
      <c r="B2489" s="11" t="s">
        <v>1680</v>
      </c>
      <c r="C2489" s="5">
        <v>29151.309799999999</v>
      </c>
      <c r="D2489" s="5">
        <v>29151.309799999999</v>
      </c>
      <c r="E2489" s="5">
        <v>26218.127700000001</v>
      </c>
      <c r="G2489" s="5" t="str">
        <f t="shared" si="77"/>
        <v>Северный</v>
      </c>
      <c r="J2489" s="5"/>
      <c r="AL2489" s="5">
        <f t="shared" si="78"/>
        <v>0</v>
      </c>
    </row>
    <row r="2490" spans="1:38" ht="25.5" customHeight="1" x14ac:dyDescent="0.25">
      <c r="A2490" s="10" t="s">
        <v>2388</v>
      </c>
      <c r="B2490" s="11" t="s">
        <v>209</v>
      </c>
      <c r="C2490" s="5">
        <v>69382.512499999997</v>
      </c>
      <c r="D2490" s="5">
        <v>69382.512499999997</v>
      </c>
      <c r="E2490" s="5">
        <v>62827.103199999998</v>
      </c>
      <c r="G2490" s="5" t="str">
        <f t="shared" si="77"/>
        <v>ЖБИ</v>
      </c>
      <c r="J2490" s="5"/>
      <c r="AL2490" s="5">
        <f t="shared" si="78"/>
        <v>0</v>
      </c>
    </row>
    <row r="2491" spans="1:38" ht="25.5" customHeight="1" x14ac:dyDescent="0.25">
      <c r="A2491" s="10" t="s">
        <v>631</v>
      </c>
      <c r="B2491" s="11" t="s">
        <v>1674</v>
      </c>
      <c r="C2491" s="5">
        <v>29199.565200000001</v>
      </c>
      <c r="D2491" s="5">
        <v>29199.565200000001</v>
      </c>
      <c r="E2491" s="5">
        <v>26261.5317</v>
      </c>
      <c r="G2491" s="5" t="str">
        <f t="shared" si="77"/>
        <v>УАЗ</v>
      </c>
      <c r="J2491" s="5"/>
      <c r="AL2491" s="5">
        <f t="shared" si="78"/>
        <v>0</v>
      </c>
    </row>
    <row r="2492" spans="1:38" ht="25.5" customHeight="1" x14ac:dyDescent="0.25">
      <c r="A2492" s="10" t="s">
        <v>2389</v>
      </c>
      <c r="B2492" s="11" t="s">
        <v>1679</v>
      </c>
      <c r="C2492" s="5">
        <v>28855.326499999999</v>
      </c>
      <c r="D2492" s="5">
        <v>28855.326499999999</v>
      </c>
      <c r="E2492" s="5">
        <v>25951.933700000001</v>
      </c>
      <c r="G2492" s="5" t="str">
        <f t="shared" si="77"/>
        <v>Ст.Каменск-Хозспособ</v>
      </c>
      <c r="J2492" s="5"/>
      <c r="AL2492" s="5">
        <f t="shared" si="78"/>
        <v>0</v>
      </c>
    </row>
    <row r="2493" spans="1:38" ht="25.5" customHeight="1" x14ac:dyDescent="0.25">
      <c r="A2493" s="10" t="s">
        <v>2390</v>
      </c>
      <c r="B2493" s="11" t="s">
        <v>1679</v>
      </c>
      <c r="C2493" s="5">
        <v>28855.326499999999</v>
      </c>
      <c r="D2493" s="5">
        <v>28855.326499999999</v>
      </c>
      <c r="E2493" s="5">
        <v>25951.933700000001</v>
      </c>
      <c r="G2493" s="5" t="str">
        <f t="shared" si="77"/>
        <v>Ст.Каменск-Хозспособ</v>
      </c>
      <c r="J2493" s="5"/>
      <c r="AL2493" s="5">
        <f t="shared" si="78"/>
        <v>0</v>
      </c>
    </row>
    <row r="2494" spans="1:38" ht="25.5" customHeight="1" x14ac:dyDescent="0.25">
      <c r="A2494" s="10" t="s">
        <v>2391</v>
      </c>
      <c r="B2494" s="11" t="s">
        <v>1679</v>
      </c>
      <c r="C2494" s="5">
        <v>28855.326499999999</v>
      </c>
      <c r="D2494" s="5">
        <v>28855.326499999999</v>
      </c>
      <c r="E2494" s="5">
        <v>25951.933700000001</v>
      </c>
      <c r="G2494" s="5" t="str">
        <f t="shared" si="77"/>
        <v>Ст.Каменск-Хозспособ</v>
      </c>
      <c r="J2494" s="5"/>
      <c r="AL2494" s="5">
        <f t="shared" si="78"/>
        <v>0</v>
      </c>
    </row>
    <row r="2495" spans="1:38" ht="25.5" customHeight="1" x14ac:dyDescent="0.25">
      <c r="A2495" s="10" t="s">
        <v>2392</v>
      </c>
      <c r="B2495" s="11" t="s">
        <v>1689</v>
      </c>
      <c r="C2495" s="5">
        <v>34023.428</v>
      </c>
      <c r="D2495" s="5">
        <v>34023.428</v>
      </c>
      <c r="E2495" s="5">
        <v>29866.3148</v>
      </c>
      <c r="G2495" s="5" t="str">
        <f t="shared" si="77"/>
        <v>Тагил_Кирп</v>
      </c>
      <c r="J2495" s="5"/>
      <c r="AL2495" s="5">
        <f t="shared" si="78"/>
        <v>0</v>
      </c>
    </row>
    <row r="2496" spans="1:38" ht="25.5" customHeight="1" x14ac:dyDescent="0.25">
      <c r="A2496" s="10" t="s">
        <v>2393</v>
      </c>
      <c r="B2496" s="11" t="s">
        <v>1688</v>
      </c>
      <c r="C2496" s="5">
        <v>29893.73</v>
      </c>
      <c r="D2496" s="5">
        <v>29893.73</v>
      </c>
      <c r="E2496" s="5">
        <v>26241.207699999999</v>
      </c>
      <c r="G2496" s="5" t="str">
        <f t="shared" si="77"/>
        <v>Сух_Г-Кам_Н_Кушва_Н-Черм</v>
      </c>
      <c r="J2496" s="5"/>
      <c r="AL2496" s="5">
        <f t="shared" si="78"/>
        <v>0</v>
      </c>
    </row>
    <row r="2497" spans="1:38" ht="25.5" customHeight="1" x14ac:dyDescent="0.25">
      <c r="A2497" s="10" t="s">
        <v>2394</v>
      </c>
      <c r="B2497" s="11" t="s">
        <v>1683</v>
      </c>
      <c r="C2497" s="5">
        <v>40018.9617</v>
      </c>
      <c r="D2497" s="5">
        <v>40018.9617</v>
      </c>
      <c r="E2497" s="5">
        <v>35129.2961</v>
      </c>
      <c r="G2497" s="5" t="str">
        <f t="shared" si="77"/>
        <v>Алт_Гальян_М-Кушва</v>
      </c>
      <c r="J2497" s="5"/>
      <c r="AL2497" s="5">
        <f t="shared" si="78"/>
        <v>0</v>
      </c>
    </row>
    <row r="2498" spans="1:38" ht="25.5" customHeight="1" x14ac:dyDescent="0.25">
      <c r="A2498" s="10" t="s">
        <v>56</v>
      </c>
      <c r="B2498" s="11" t="s">
        <v>5230</v>
      </c>
      <c r="C2498" s="5">
        <v>45477.761700000003</v>
      </c>
      <c r="D2498" s="5">
        <v>45477.761700000003</v>
      </c>
      <c r="E2498" s="5">
        <v>39921.119500000001</v>
      </c>
      <c r="G2498" s="5" t="str">
        <f t="shared" si="77"/>
        <v>Центр-Тагил</v>
      </c>
      <c r="J2498" s="5"/>
      <c r="AL2498" s="5">
        <f t="shared" si="78"/>
        <v>0</v>
      </c>
    </row>
    <row r="2499" spans="1:38" ht="25.5" customHeight="1" x14ac:dyDescent="0.25">
      <c r="A2499" s="10" t="s">
        <v>2395</v>
      </c>
      <c r="B2499" s="11" t="s">
        <v>1677</v>
      </c>
      <c r="C2499" s="5">
        <v>39105.413099999998</v>
      </c>
      <c r="D2499" s="5">
        <v>39105.413099999998</v>
      </c>
      <c r="E2499" s="5">
        <v>35170.666700000002</v>
      </c>
      <c r="G2499" s="5" t="str">
        <f t="shared" ref="G2499:G2562" si="79">B2499</f>
        <v>Октябрьский</v>
      </c>
      <c r="J2499" s="5"/>
      <c r="AL2499" s="5">
        <f t="shared" ref="AL2499:AL2562" si="80">AF2499</f>
        <v>0</v>
      </c>
    </row>
    <row r="2500" spans="1:38" ht="25.5" customHeight="1" x14ac:dyDescent="0.25">
      <c r="A2500" s="10" t="s">
        <v>2396</v>
      </c>
      <c r="B2500" s="11" t="s">
        <v>1677</v>
      </c>
      <c r="C2500" s="5">
        <v>39105.413099999998</v>
      </c>
      <c r="D2500" s="5">
        <v>39105.413099999998</v>
      </c>
      <c r="E2500" s="5">
        <v>35170.666700000002</v>
      </c>
      <c r="G2500" s="5" t="str">
        <f t="shared" si="79"/>
        <v>Октябрьский</v>
      </c>
      <c r="J2500" s="5"/>
      <c r="AL2500" s="5">
        <f t="shared" si="80"/>
        <v>0</v>
      </c>
    </row>
    <row r="2501" spans="1:38" ht="25.5" customHeight="1" x14ac:dyDescent="0.25">
      <c r="A2501" s="10" t="s">
        <v>801</v>
      </c>
      <c r="B2501" s="11" t="s">
        <v>1685</v>
      </c>
      <c r="C2501" s="5">
        <v>36513.6518</v>
      </c>
      <c r="D2501" s="5">
        <v>36513.6518</v>
      </c>
      <c r="E2501" s="5">
        <v>32052.276999999998</v>
      </c>
      <c r="G2501" s="5" t="str">
        <f t="shared" si="79"/>
        <v>Выя_Леб_Горб_Кр-Кам</v>
      </c>
      <c r="J2501" s="5"/>
      <c r="AL2501" s="5">
        <f t="shared" si="80"/>
        <v>0</v>
      </c>
    </row>
    <row r="2502" spans="1:38" ht="25.5" customHeight="1" x14ac:dyDescent="0.25">
      <c r="A2502" s="10" t="s">
        <v>2397</v>
      </c>
      <c r="B2502" s="11" t="s">
        <v>1684</v>
      </c>
      <c r="C2502" s="5">
        <v>40625.090199999999</v>
      </c>
      <c r="D2502" s="5">
        <v>40625.090199999999</v>
      </c>
      <c r="E2502" s="5">
        <v>35661.364300000001</v>
      </c>
      <c r="G2502" s="5" t="str">
        <f t="shared" si="79"/>
        <v>Ваг_Стар_Пихтовы-г</v>
      </c>
      <c r="J2502" s="5"/>
      <c r="AL2502" s="5">
        <f t="shared" si="80"/>
        <v>0</v>
      </c>
    </row>
    <row r="2503" spans="1:38" ht="25.5" customHeight="1" x14ac:dyDescent="0.25">
      <c r="A2503" s="10" t="s">
        <v>2398</v>
      </c>
      <c r="B2503" s="11" t="s">
        <v>1676</v>
      </c>
      <c r="C2503" s="5">
        <v>28848.8855</v>
      </c>
      <c r="D2503" s="5">
        <v>28848.8855</v>
      </c>
      <c r="E2503" s="5">
        <v>25946.143</v>
      </c>
      <c r="G2503" s="5" t="str">
        <f t="shared" si="79"/>
        <v>Чкаловский</v>
      </c>
      <c r="J2503" s="5"/>
      <c r="AL2503" s="5">
        <f t="shared" si="80"/>
        <v>0</v>
      </c>
    </row>
    <row r="2504" spans="1:38" ht="25.5" customHeight="1" x14ac:dyDescent="0.25">
      <c r="A2504" s="20" t="s">
        <v>2399</v>
      </c>
      <c r="B2504" s="22">
        <v>1003</v>
      </c>
      <c r="C2504" s="5">
        <v>21261.0285</v>
      </c>
      <c r="D2504" s="5">
        <v>21261.0285</v>
      </c>
      <c r="E2504" s="5">
        <v>20837.465199999999</v>
      </c>
      <c r="G2504" s="5">
        <f t="shared" si="79"/>
        <v>1003</v>
      </c>
      <c r="J2504" s="5"/>
      <c r="AL2504" s="5">
        <f t="shared" si="80"/>
        <v>0</v>
      </c>
    </row>
    <row r="2505" spans="1:38" ht="25.5" customHeight="1" x14ac:dyDescent="0.25">
      <c r="A2505" s="10" t="s">
        <v>2400</v>
      </c>
      <c r="B2505" s="11" t="s">
        <v>1650</v>
      </c>
      <c r="C2505" s="5">
        <v>37590.3603</v>
      </c>
      <c r="D2505" s="5">
        <v>37590.3603</v>
      </c>
      <c r="E2505" s="5">
        <v>34038.745900000002</v>
      </c>
      <c r="G2505" s="5" t="str">
        <f t="shared" si="79"/>
        <v>ШАБРОВСКИЙ</v>
      </c>
      <c r="J2505" s="5"/>
      <c r="AL2505" s="5">
        <f t="shared" si="80"/>
        <v>0</v>
      </c>
    </row>
    <row r="2506" spans="1:38" ht="25.5" customHeight="1" x14ac:dyDescent="0.25">
      <c r="A2506" s="10" t="s">
        <v>2401</v>
      </c>
      <c r="B2506" s="11" t="s">
        <v>1633</v>
      </c>
      <c r="C2506" s="5">
        <v>77071.442599999995</v>
      </c>
      <c r="D2506" s="5">
        <v>77071.442599999995</v>
      </c>
      <c r="E2506" s="5">
        <v>69789.570900000006</v>
      </c>
      <c r="G2506" s="5" t="str">
        <f t="shared" si="79"/>
        <v>ВТУЗГОРОДОК</v>
      </c>
      <c r="J2506" s="5"/>
      <c r="AL2506" s="5">
        <f t="shared" si="80"/>
        <v>0</v>
      </c>
    </row>
    <row r="2507" spans="1:38" ht="25.5" customHeight="1" x14ac:dyDescent="0.25">
      <c r="A2507" s="10" t="s">
        <v>2402</v>
      </c>
      <c r="B2507" s="11" t="s">
        <v>1684</v>
      </c>
      <c r="C2507" s="5">
        <v>40625.090199999999</v>
      </c>
      <c r="D2507" s="5">
        <v>40625.090199999999</v>
      </c>
      <c r="E2507" s="5">
        <v>35661.364300000001</v>
      </c>
      <c r="G2507" s="5" t="str">
        <f t="shared" si="79"/>
        <v>Ваг_Стар_Пихтовы-г</v>
      </c>
      <c r="J2507" s="5"/>
      <c r="AL2507" s="5">
        <f t="shared" si="80"/>
        <v>0</v>
      </c>
    </row>
    <row r="2508" spans="1:38" ht="25.5" customHeight="1" x14ac:dyDescent="0.25">
      <c r="A2508" s="10" t="s">
        <v>503</v>
      </c>
      <c r="B2508" s="11" t="s">
        <v>1689</v>
      </c>
      <c r="C2508" s="5">
        <v>34023.428</v>
      </c>
      <c r="D2508" s="5">
        <v>34023.428</v>
      </c>
      <c r="E2508" s="5">
        <v>29866.3148</v>
      </c>
      <c r="G2508" s="5" t="str">
        <f t="shared" si="79"/>
        <v>Тагил_Кирп</v>
      </c>
      <c r="J2508" s="5"/>
      <c r="AL2508" s="5">
        <f t="shared" si="80"/>
        <v>0</v>
      </c>
    </row>
    <row r="2509" spans="1:38" ht="25.5" customHeight="1" x14ac:dyDescent="0.25">
      <c r="A2509" s="10" t="s">
        <v>1252</v>
      </c>
      <c r="B2509" s="11" t="s">
        <v>1676</v>
      </c>
      <c r="C2509" s="5">
        <v>28848.8855</v>
      </c>
      <c r="D2509" s="5">
        <v>28848.8855</v>
      </c>
      <c r="E2509" s="5">
        <v>25946.143</v>
      </c>
      <c r="G2509" s="5" t="str">
        <f t="shared" si="79"/>
        <v>Чкаловский</v>
      </c>
      <c r="J2509" s="5"/>
      <c r="AL2509" s="5">
        <f t="shared" si="80"/>
        <v>0</v>
      </c>
    </row>
    <row r="2510" spans="1:38" ht="25.5" customHeight="1" x14ac:dyDescent="0.25">
      <c r="A2510" s="10" t="s">
        <v>948</v>
      </c>
      <c r="B2510" s="11" t="s">
        <v>1681</v>
      </c>
      <c r="C2510" s="5">
        <v>32172.2909</v>
      </c>
      <c r="D2510" s="5">
        <v>32172.2909</v>
      </c>
      <c r="E2510" s="5">
        <v>28935.146499999999</v>
      </c>
      <c r="G2510" s="5" t="str">
        <f t="shared" si="79"/>
        <v>Ленин-Олимп</v>
      </c>
      <c r="J2510" s="5"/>
      <c r="AL2510" s="5">
        <f t="shared" si="80"/>
        <v>0</v>
      </c>
    </row>
    <row r="2511" spans="1:38" ht="25.5" customHeight="1" x14ac:dyDescent="0.25">
      <c r="A2511" s="10" t="s">
        <v>2403</v>
      </c>
      <c r="B2511" s="11" t="s">
        <v>1676</v>
      </c>
      <c r="C2511" s="5">
        <v>28848.8855</v>
      </c>
      <c r="D2511" s="5">
        <v>28848.8855</v>
      </c>
      <c r="E2511" s="5">
        <v>25946.143</v>
      </c>
      <c r="G2511" s="5" t="str">
        <f t="shared" si="79"/>
        <v>Чкаловский</v>
      </c>
      <c r="J2511" s="5"/>
      <c r="AL2511" s="5">
        <f t="shared" si="80"/>
        <v>0</v>
      </c>
    </row>
    <row r="2512" spans="1:38" ht="25.5" customHeight="1" x14ac:dyDescent="0.25">
      <c r="A2512" s="10" t="s">
        <v>946</v>
      </c>
      <c r="B2512" s="11" t="s">
        <v>1681</v>
      </c>
      <c r="C2512" s="5">
        <v>32172.2909</v>
      </c>
      <c r="D2512" s="5">
        <v>32172.2909</v>
      </c>
      <c r="E2512" s="5">
        <v>28935.146499999999</v>
      </c>
      <c r="G2512" s="5" t="str">
        <f t="shared" si="79"/>
        <v>Ленин-Олимп</v>
      </c>
      <c r="J2512" s="5"/>
      <c r="AL2512" s="5">
        <f t="shared" si="80"/>
        <v>0</v>
      </c>
    </row>
    <row r="2513" spans="1:38" ht="25.5" customHeight="1" x14ac:dyDescent="0.25">
      <c r="A2513" s="10" t="s">
        <v>2404</v>
      </c>
      <c r="B2513" s="11" t="s">
        <v>1676</v>
      </c>
      <c r="C2513" s="5">
        <v>28848.8855</v>
      </c>
      <c r="D2513" s="5">
        <v>28848.8855</v>
      </c>
      <c r="E2513" s="5">
        <v>25946.143</v>
      </c>
      <c r="G2513" s="5" t="str">
        <f t="shared" si="79"/>
        <v>Чкаловский</v>
      </c>
      <c r="J2513" s="5"/>
      <c r="AL2513" s="5">
        <f t="shared" si="80"/>
        <v>0</v>
      </c>
    </row>
    <row r="2514" spans="1:38" ht="25.5" customHeight="1" x14ac:dyDescent="0.25">
      <c r="A2514" s="10" t="s">
        <v>2405</v>
      </c>
      <c r="B2514" s="11" t="s">
        <v>1679</v>
      </c>
      <c r="C2514" s="5">
        <v>28855.326499999999</v>
      </c>
      <c r="D2514" s="5">
        <v>28855.326499999999</v>
      </c>
      <c r="E2514" s="5">
        <v>25951.933700000001</v>
      </c>
      <c r="G2514" s="5" t="str">
        <f t="shared" si="79"/>
        <v>Ст.Каменск-Хозспособ</v>
      </c>
      <c r="J2514" s="5"/>
      <c r="AL2514" s="5">
        <f t="shared" si="80"/>
        <v>0</v>
      </c>
    </row>
    <row r="2515" spans="1:38" ht="25.5" customHeight="1" x14ac:dyDescent="0.25">
      <c r="A2515" s="10" t="s">
        <v>2406</v>
      </c>
      <c r="B2515" s="11" t="s">
        <v>1691</v>
      </c>
      <c r="C2515" s="5">
        <v>36244.5985</v>
      </c>
      <c r="D2515" s="5">
        <v>36244.5985</v>
      </c>
      <c r="E2515" s="5">
        <v>32992.053800000002</v>
      </c>
      <c r="G2515" s="5" t="str">
        <f t="shared" si="79"/>
        <v>ДинСанПод</v>
      </c>
      <c r="J2515" s="5"/>
      <c r="AL2515" s="5">
        <f t="shared" si="80"/>
        <v>0</v>
      </c>
    </row>
    <row r="2516" spans="1:38" ht="25.5" customHeight="1" x14ac:dyDescent="0.25">
      <c r="A2516" s="10" t="s">
        <v>1608</v>
      </c>
      <c r="B2516" s="11" t="s">
        <v>1679</v>
      </c>
      <c r="C2516" s="5">
        <v>28855.326499999999</v>
      </c>
      <c r="D2516" s="5">
        <v>28855.326499999999</v>
      </c>
      <c r="E2516" s="5">
        <v>25951.933700000001</v>
      </c>
      <c r="G2516" s="5" t="str">
        <f t="shared" si="79"/>
        <v>Ст.Каменск-Хозспособ</v>
      </c>
      <c r="J2516" s="5"/>
      <c r="AL2516" s="5">
        <f t="shared" si="80"/>
        <v>0</v>
      </c>
    </row>
    <row r="2517" spans="1:38" ht="25.5" customHeight="1" x14ac:dyDescent="0.25">
      <c r="A2517" s="10" t="s">
        <v>289</v>
      </c>
      <c r="B2517" s="11" t="s">
        <v>1675</v>
      </c>
      <c r="C2517" s="5">
        <v>35756.285400000001</v>
      </c>
      <c r="D2517" s="5">
        <v>35756.285400000001</v>
      </c>
      <c r="E2517" s="5">
        <v>32158.5213</v>
      </c>
      <c r="G2517" s="5" t="str">
        <f t="shared" si="79"/>
        <v>УАЗ-II</v>
      </c>
      <c r="J2517" s="5"/>
      <c r="AL2517" s="5">
        <f t="shared" si="80"/>
        <v>0</v>
      </c>
    </row>
    <row r="2518" spans="1:38" ht="25.5" customHeight="1" x14ac:dyDescent="0.25">
      <c r="A2518" s="10" t="s">
        <v>455</v>
      </c>
      <c r="B2518" s="11" t="s">
        <v>1675</v>
      </c>
      <c r="C2518" s="5">
        <v>35756.285400000001</v>
      </c>
      <c r="D2518" s="5">
        <v>35756.285400000001</v>
      </c>
      <c r="E2518" s="5">
        <v>32158.5213</v>
      </c>
      <c r="G2518" s="5" t="str">
        <f t="shared" si="79"/>
        <v>УАЗ-II</v>
      </c>
      <c r="J2518" s="5"/>
      <c r="AL2518" s="5">
        <f t="shared" si="80"/>
        <v>0</v>
      </c>
    </row>
    <row r="2519" spans="1:38" ht="25.5" customHeight="1" x14ac:dyDescent="0.25">
      <c r="A2519" s="10" t="s">
        <v>2407</v>
      </c>
      <c r="B2519" s="11" t="s">
        <v>1679</v>
      </c>
      <c r="C2519" s="5">
        <v>28855.326499999999</v>
      </c>
      <c r="D2519" s="5">
        <v>28855.326499999999</v>
      </c>
      <c r="E2519" s="5">
        <v>25951.933700000001</v>
      </c>
      <c r="G2519" s="5" t="str">
        <f t="shared" si="79"/>
        <v>Ст.Каменск-Хозспособ</v>
      </c>
      <c r="J2519" s="5"/>
      <c r="AL2519" s="5">
        <f t="shared" si="80"/>
        <v>0</v>
      </c>
    </row>
    <row r="2520" spans="1:38" x14ac:dyDescent="0.25">
      <c r="A2520" s="10" t="s">
        <v>2408</v>
      </c>
      <c r="B2520" s="11" t="s">
        <v>1674</v>
      </c>
      <c r="C2520" s="5">
        <v>29199.565200000001</v>
      </c>
      <c r="D2520" s="5">
        <v>29199.565200000001</v>
      </c>
      <c r="E2520" s="5">
        <v>26261.5317</v>
      </c>
      <c r="G2520" s="5" t="str">
        <f t="shared" si="79"/>
        <v>УАЗ</v>
      </c>
      <c r="J2520" s="5"/>
      <c r="AL2520" s="5">
        <f t="shared" si="80"/>
        <v>0</v>
      </c>
    </row>
    <row r="2521" spans="1:38" ht="25.5" customHeight="1" x14ac:dyDescent="0.25">
      <c r="A2521" s="10" t="s">
        <v>2409</v>
      </c>
      <c r="B2521" s="11" t="s">
        <v>1677</v>
      </c>
      <c r="C2521" s="5">
        <v>39105.413099999998</v>
      </c>
      <c r="D2521" s="5">
        <v>39105.413099999998</v>
      </c>
      <c r="E2521" s="5">
        <v>35170.666700000002</v>
      </c>
      <c r="G2521" s="5" t="str">
        <f t="shared" si="79"/>
        <v>Октябрьский</v>
      </c>
      <c r="J2521" s="5"/>
      <c r="AL2521" s="5">
        <f t="shared" si="80"/>
        <v>0</v>
      </c>
    </row>
    <row r="2522" spans="1:38" ht="25.5" customHeight="1" x14ac:dyDescent="0.25">
      <c r="A2522" s="10" t="s">
        <v>2410</v>
      </c>
      <c r="B2522" s="11" t="s">
        <v>1681</v>
      </c>
      <c r="C2522" s="5">
        <v>32172.2909</v>
      </c>
      <c r="D2522" s="5">
        <v>32172.2909</v>
      </c>
      <c r="E2522" s="5">
        <v>28935.146499999999</v>
      </c>
      <c r="G2522" s="5" t="str">
        <f t="shared" si="79"/>
        <v>Ленин-Олимп</v>
      </c>
      <c r="J2522" s="5"/>
      <c r="AL2522" s="5">
        <f t="shared" si="80"/>
        <v>0</v>
      </c>
    </row>
    <row r="2523" spans="1:38" ht="25.5" customHeight="1" x14ac:dyDescent="0.25">
      <c r="A2523" s="10" t="s">
        <v>418</v>
      </c>
      <c r="B2523" s="11" t="s">
        <v>1682</v>
      </c>
      <c r="C2523" s="5">
        <v>38278.589899999999</v>
      </c>
      <c r="D2523" s="5">
        <v>38278.589899999999</v>
      </c>
      <c r="E2523" s="5">
        <v>34427.0285</v>
      </c>
      <c r="G2523" s="5" t="str">
        <f t="shared" si="79"/>
        <v>Трубников</v>
      </c>
      <c r="J2523" s="5"/>
      <c r="AL2523" s="5">
        <f t="shared" si="80"/>
        <v>0</v>
      </c>
    </row>
    <row r="2524" spans="1:38" ht="25.5" customHeight="1" x14ac:dyDescent="0.25">
      <c r="A2524" s="10" t="s">
        <v>1139</v>
      </c>
      <c r="B2524" s="11" t="s">
        <v>1676</v>
      </c>
      <c r="C2524" s="5">
        <v>28848.8855</v>
      </c>
      <c r="D2524" s="5">
        <v>28848.8855</v>
      </c>
      <c r="E2524" s="5">
        <v>25946.143</v>
      </c>
      <c r="G2524" s="5" t="str">
        <f t="shared" si="79"/>
        <v>Чкаловский</v>
      </c>
      <c r="J2524" s="5"/>
      <c r="AL2524" s="5">
        <f t="shared" si="80"/>
        <v>0</v>
      </c>
    </row>
    <row r="2525" spans="1:38" ht="25.5" customHeight="1" x14ac:dyDescent="0.25">
      <c r="A2525" s="10" t="s">
        <v>804</v>
      </c>
      <c r="B2525" s="11" t="s">
        <v>1685</v>
      </c>
      <c r="C2525" s="5">
        <v>36513.6518</v>
      </c>
      <c r="D2525" s="5">
        <v>36513.6518</v>
      </c>
      <c r="E2525" s="5">
        <v>32052.276999999998</v>
      </c>
      <c r="G2525" s="5" t="str">
        <f t="shared" si="79"/>
        <v>Выя_Леб_Горб_Кр-Кам</v>
      </c>
      <c r="J2525" s="5"/>
      <c r="AL2525" s="5">
        <f t="shared" si="80"/>
        <v>0</v>
      </c>
    </row>
    <row r="2526" spans="1:38" ht="25.5" customHeight="1" x14ac:dyDescent="0.25">
      <c r="A2526" s="10" t="s">
        <v>2411</v>
      </c>
      <c r="B2526" s="11" t="s">
        <v>1677</v>
      </c>
      <c r="C2526" s="5">
        <v>39105.413099999998</v>
      </c>
      <c r="D2526" s="5">
        <v>39105.413099999998</v>
      </c>
      <c r="E2526" s="5">
        <v>35170.666700000002</v>
      </c>
      <c r="G2526" s="5" t="str">
        <f t="shared" si="79"/>
        <v>Октябрьский</v>
      </c>
      <c r="J2526" s="5"/>
      <c r="AL2526" s="5">
        <f t="shared" si="80"/>
        <v>0</v>
      </c>
    </row>
    <row r="2527" spans="1:38" ht="25.5" customHeight="1" x14ac:dyDescent="0.25">
      <c r="A2527" s="10" t="s">
        <v>2412</v>
      </c>
      <c r="B2527" s="11" t="s">
        <v>1679</v>
      </c>
      <c r="C2527" s="5">
        <v>28855.326499999999</v>
      </c>
      <c r="D2527" s="5">
        <v>28855.326499999999</v>
      </c>
      <c r="E2527" s="5">
        <v>25951.933700000001</v>
      </c>
      <c r="G2527" s="5" t="str">
        <f t="shared" si="79"/>
        <v>Ст.Каменск-Хозспособ</v>
      </c>
      <c r="J2527" s="5"/>
      <c r="AL2527" s="5">
        <f t="shared" si="80"/>
        <v>0</v>
      </c>
    </row>
    <row r="2528" spans="1:38" ht="25.5" customHeight="1" x14ac:dyDescent="0.25">
      <c r="A2528" s="10" t="s">
        <v>2413</v>
      </c>
      <c r="B2528" s="11" t="s">
        <v>33</v>
      </c>
      <c r="C2528" s="5">
        <v>84298.205100000006</v>
      </c>
      <c r="D2528" s="5">
        <v>84298.205100000006</v>
      </c>
      <c r="E2528" s="5">
        <v>76333.533100000001</v>
      </c>
      <c r="G2528" s="5" t="str">
        <f t="shared" si="79"/>
        <v>ВИЗ</v>
      </c>
      <c r="J2528" s="5"/>
      <c r="AL2528" s="5">
        <f t="shared" si="80"/>
        <v>0</v>
      </c>
    </row>
    <row r="2529" spans="1:38" ht="25.5" customHeight="1" x14ac:dyDescent="0.25">
      <c r="A2529" s="10" t="s">
        <v>771</v>
      </c>
      <c r="B2529" s="11" t="s">
        <v>1683</v>
      </c>
      <c r="C2529" s="5">
        <v>40018.9617</v>
      </c>
      <c r="D2529" s="5">
        <v>40018.9617</v>
      </c>
      <c r="E2529" s="5">
        <v>35129.2961</v>
      </c>
      <c r="G2529" s="5" t="str">
        <f t="shared" si="79"/>
        <v>Алт_Гальян_М-Кушва</v>
      </c>
      <c r="J2529" s="5"/>
      <c r="AL2529" s="5">
        <f t="shared" si="80"/>
        <v>0</v>
      </c>
    </row>
    <row r="2530" spans="1:38" ht="25.5" customHeight="1" x14ac:dyDescent="0.25">
      <c r="A2530" s="10" t="s">
        <v>2414</v>
      </c>
      <c r="B2530" s="11" t="s">
        <v>1685</v>
      </c>
      <c r="C2530" s="5">
        <v>36513.6518</v>
      </c>
      <c r="D2530" s="5">
        <v>36513.6518</v>
      </c>
      <c r="E2530" s="5">
        <v>32052.276999999998</v>
      </c>
      <c r="G2530" s="5" t="str">
        <f t="shared" si="79"/>
        <v>Выя_Леб_Горб_Кр-Кам</v>
      </c>
      <c r="J2530" s="5"/>
      <c r="AL2530" s="5">
        <f t="shared" si="80"/>
        <v>0</v>
      </c>
    </row>
    <row r="2531" spans="1:38" ht="25.5" customHeight="1" x14ac:dyDescent="0.25">
      <c r="A2531" s="10" t="s">
        <v>2415</v>
      </c>
      <c r="B2531" s="11" t="s">
        <v>1686</v>
      </c>
      <c r="C2531" s="5">
        <v>24299.835599999999</v>
      </c>
      <c r="D2531" s="5">
        <v>24299.835599999999</v>
      </c>
      <c r="E2531" s="5">
        <v>21330.794900000001</v>
      </c>
      <c r="G2531" s="5" t="str">
        <f t="shared" si="79"/>
        <v>Евст_В-Черм</v>
      </c>
      <c r="J2531" s="5"/>
      <c r="AL2531" s="5">
        <f t="shared" si="80"/>
        <v>0</v>
      </c>
    </row>
    <row r="2532" spans="1:38" ht="25.5" customHeight="1" x14ac:dyDescent="0.25">
      <c r="A2532" s="10" t="s">
        <v>2416</v>
      </c>
      <c r="B2532" s="11" t="s">
        <v>1683</v>
      </c>
      <c r="C2532" s="5">
        <v>40018.9617</v>
      </c>
      <c r="D2532" s="5">
        <v>40018.9617</v>
      </c>
      <c r="E2532" s="5">
        <v>35129.2961</v>
      </c>
      <c r="G2532" s="5" t="str">
        <f t="shared" si="79"/>
        <v>Алт_Гальян_М-Кушва</v>
      </c>
      <c r="J2532" s="5"/>
      <c r="AL2532" s="5">
        <f t="shared" si="80"/>
        <v>0</v>
      </c>
    </row>
    <row r="2533" spans="1:38" ht="25.5" customHeight="1" x14ac:dyDescent="0.25">
      <c r="A2533" s="10" t="s">
        <v>2417</v>
      </c>
      <c r="B2533" s="11" t="s">
        <v>389</v>
      </c>
      <c r="C2533" s="5">
        <v>51175.5573</v>
      </c>
      <c r="D2533" s="5">
        <v>51175.5573</v>
      </c>
      <c r="E2533" s="5">
        <v>46340.381600000001</v>
      </c>
      <c r="G2533" s="5" t="str">
        <f t="shared" si="79"/>
        <v>Северка</v>
      </c>
      <c r="J2533" s="5"/>
      <c r="AL2533" s="5">
        <f t="shared" si="80"/>
        <v>0</v>
      </c>
    </row>
    <row r="2534" spans="1:38" ht="25.5" customHeight="1" x14ac:dyDescent="0.25">
      <c r="A2534" s="10" t="s">
        <v>2418</v>
      </c>
      <c r="B2534" s="11" t="s">
        <v>1631</v>
      </c>
      <c r="C2534" s="5">
        <v>70026.7601</v>
      </c>
      <c r="D2534" s="5">
        <v>70026.7601</v>
      </c>
      <c r="E2534" s="5">
        <v>63410.482000000004</v>
      </c>
      <c r="G2534" s="5" t="str">
        <f t="shared" si="79"/>
        <v>УРАЛМАШ</v>
      </c>
      <c r="J2534" s="5"/>
      <c r="AL2534" s="5">
        <f t="shared" si="80"/>
        <v>0</v>
      </c>
    </row>
    <row r="2535" spans="1:38" ht="25.5" customHeight="1" x14ac:dyDescent="0.25">
      <c r="A2535" s="10" t="s">
        <v>2419</v>
      </c>
      <c r="B2535" s="11" t="s">
        <v>1681</v>
      </c>
      <c r="C2535" s="5">
        <v>32172.2909</v>
      </c>
      <c r="D2535" s="5">
        <v>32172.2909</v>
      </c>
      <c r="E2535" s="5">
        <v>28935.146499999999</v>
      </c>
      <c r="G2535" s="5" t="str">
        <f t="shared" si="79"/>
        <v>Ленин-Олимп</v>
      </c>
      <c r="J2535" s="5"/>
      <c r="AL2535" s="5">
        <f t="shared" si="80"/>
        <v>0</v>
      </c>
    </row>
    <row r="2536" spans="1:38" x14ac:dyDescent="0.25">
      <c r="A2536" s="10" t="s">
        <v>2420</v>
      </c>
      <c r="B2536" s="11" t="s">
        <v>1681</v>
      </c>
      <c r="C2536" s="5">
        <v>32172.2909</v>
      </c>
      <c r="D2536" s="5">
        <v>32172.2909</v>
      </c>
      <c r="E2536" s="5">
        <v>28935.146499999999</v>
      </c>
      <c r="G2536" s="5" t="str">
        <f t="shared" si="79"/>
        <v>Ленин-Олимп</v>
      </c>
      <c r="J2536" s="5"/>
      <c r="AL2536" s="5">
        <f t="shared" si="80"/>
        <v>0</v>
      </c>
    </row>
    <row r="2537" spans="1:38" ht="25.5" customHeight="1" x14ac:dyDescent="0.25">
      <c r="A2537" s="10" t="s">
        <v>2421</v>
      </c>
      <c r="B2537" s="11" t="s">
        <v>1676</v>
      </c>
      <c r="C2537" s="5">
        <v>28848.8855</v>
      </c>
      <c r="D2537" s="5">
        <v>28848.8855</v>
      </c>
      <c r="E2537" s="5">
        <v>25946.143</v>
      </c>
      <c r="G2537" s="5" t="str">
        <f t="shared" si="79"/>
        <v>Чкаловский</v>
      </c>
      <c r="J2537" s="5"/>
      <c r="AL2537" s="5">
        <f t="shared" si="80"/>
        <v>0</v>
      </c>
    </row>
    <row r="2538" spans="1:38" ht="25.5" customHeight="1" x14ac:dyDescent="0.25">
      <c r="A2538" s="10" t="s">
        <v>2422</v>
      </c>
      <c r="B2538" s="11" t="s">
        <v>1673</v>
      </c>
      <c r="C2538" s="5">
        <v>35563.243300000002</v>
      </c>
      <c r="D2538" s="5">
        <v>35563.243300000002</v>
      </c>
      <c r="E2538" s="5">
        <v>31984.905299999999</v>
      </c>
      <c r="G2538" s="5" t="str">
        <f t="shared" si="79"/>
        <v>УАЗ-III - 49 кв.</v>
      </c>
      <c r="J2538" s="5"/>
      <c r="AL2538" s="5">
        <f t="shared" si="80"/>
        <v>0</v>
      </c>
    </row>
    <row r="2539" spans="1:38" ht="25.5" customHeight="1" x14ac:dyDescent="0.25">
      <c r="A2539" s="10" t="s">
        <v>2423</v>
      </c>
      <c r="B2539" s="11" t="s">
        <v>1676</v>
      </c>
      <c r="C2539" s="5">
        <v>28848.8855</v>
      </c>
      <c r="D2539" s="5">
        <v>28848.8855</v>
      </c>
      <c r="E2539" s="5">
        <v>25946.143</v>
      </c>
      <c r="G2539" s="5" t="str">
        <f t="shared" si="79"/>
        <v>Чкаловский</v>
      </c>
      <c r="J2539" s="5"/>
      <c r="AL2539" s="5">
        <f t="shared" si="80"/>
        <v>0</v>
      </c>
    </row>
    <row r="2540" spans="1:38" ht="25.5" customHeight="1" x14ac:dyDescent="0.25">
      <c r="A2540" s="10" t="s">
        <v>2424</v>
      </c>
      <c r="B2540" s="11" t="s">
        <v>1650</v>
      </c>
      <c r="C2540" s="5">
        <v>37590.3603</v>
      </c>
      <c r="D2540" s="5">
        <v>37590.3603</v>
      </c>
      <c r="E2540" s="5">
        <v>34038.745900000002</v>
      </c>
      <c r="G2540" s="5" t="str">
        <f t="shared" si="79"/>
        <v>ШАБРОВСКИЙ</v>
      </c>
      <c r="J2540" s="5"/>
      <c r="AL2540" s="5">
        <f t="shared" si="80"/>
        <v>0</v>
      </c>
    </row>
    <row r="2541" spans="1:38" ht="25.5" customHeight="1" x14ac:dyDescent="0.25">
      <c r="A2541" s="10" t="s">
        <v>1487</v>
      </c>
      <c r="B2541" s="11" t="s">
        <v>1679</v>
      </c>
      <c r="C2541" s="5">
        <v>28855.326499999999</v>
      </c>
      <c r="D2541" s="5">
        <v>28855.326499999999</v>
      </c>
      <c r="E2541" s="5">
        <v>25951.933700000001</v>
      </c>
      <c r="G2541" s="5" t="str">
        <f t="shared" si="79"/>
        <v>Ст.Каменск-Хозспособ</v>
      </c>
      <c r="J2541" s="5"/>
      <c r="AL2541" s="5">
        <f t="shared" si="80"/>
        <v>0</v>
      </c>
    </row>
    <row r="2542" spans="1:38" ht="25.5" customHeight="1" x14ac:dyDescent="0.25">
      <c r="A2542" s="10" t="s">
        <v>2425</v>
      </c>
      <c r="B2542" s="11" t="s">
        <v>1679</v>
      </c>
      <c r="C2542" s="5">
        <v>28855.326499999999</v>
      </c>
      <c r="D2542" s="5">
        <v>28855.326499999999</v>
      </c>
      <c r="E2542" s="5">
        <v>25951.933700000001</v>
      </c>
      <c r="G2542" s="5" t="str">
        <f t="shared" si="79"/>
        <v>Ст.Каменск-Хозспособ</v>
      </c>
      <c r="J2542" s="5"/>
      <c r="AL2542" s="5">
        <f t="shared" si="80"/>
        <v>0</v>
      </c>
    </row>
    <row r="2543" spans="1:38" ht="25.5" customHeight="1" x14ac:dyDescent="0.25">
      <c r="A2543" s="10" t="s">
        <v>1206</v>
      </c>
      <c r="B2543" s="11" t="s">
        <v>1679</v>
      </c>
      <c r="C2543" s="5">
        <v>28855.326499999999</v>
      </c>
      <c r="D2543" s="5">
        <v>28855.326499999999</v>
      </c>
      <c r="E2543" s="5">
        <v>25951.933700000001</v>
      </c>
      <c r="G2543" s="5" t="str">
        <f t="shared" si="79"/>
        <v>Ст.Каменск-Хозспособ</v>
      </c>
      <c r="J2543" s="5"/>
      <c r="AL2543" s="5">
        <f t="shared" si="80"/>
        <v>0</v>
      </c>
    </row>
    <row r="2544" spans="1:38" ht="25.5" customHeight="1" x14ac:dyDescent="0.25">
      <c r="A2544" s="10" t="s">
        <v>219</v>
      </c>
      <c r="B2544" s="11" t="s">
        <v>1683</v>
      </c>
      <c r="C2544" s="5">
        <v>40018.9617</v>
      </c>
      <c r="D2544" s="5">
        <v>40018.9617</v>
      </c>
      <c r="E2544" s="5">
        <v>35129.2961</v>
      </c>
      <c r="G2544" s="5" t="str">
        <f t="shared" si="79"/>
        <v>Алт_Гальян_М-Кушва</v>
      </c>
      <c r="J2544" s="5"/>
      <c r="AL2544" s="5">
        <f t="shared" si="80"/>
        <v>0</v>
      </c>
    </row>
    <row r="2545" spans="1:38" ht="25.5" customHeight="1" x14ac:dyDescent="0.25">
      <c r="A2545" s="10" t="s">
        <v>2426</v>
      </c>
      <c r="B2545" s="11" t="s">
        <v>1673</v>
      </c>
      <c r="C2545" s="5">
        <v>35563.243300000002</v>
      </c>
      <c r="D2545" s="5">
        <v>35563.243300000002</v>
      </c>
      <c r="E2545" s="5">
        <v>31984.905299999999</v>
      </c>
      <c r="G2545" s="5" t="str">
        <f t="shared" si="79"/>
        <v>УАЗ-III - 49 кв.</v>
      </c>
      <c r="J2545" s="5"/>
      <c r="AL2545" s="5">
        <f t="shared" si="80"/>
        <v>0</v>
      </c>
    </row>
    <row r="2546" spans="1:38" ht="25.5" customHeight="1" x14ac:dyDescent="0.25">
      <c r="A2546" s="10" t="s">
        <v>2427</v>
      </c>
      <c r="B2546" s="11" t="s">
        <v>1683</v>
      </c>
      <c r="C2546" s="5">
        <v>40018.9617</v>
      </c>
      <c r="D2546" s="5">
        <v>40018.9617</v>
      </c>
      <c r="E2546" s="5">
        <v>35129.2961</v>
      </c>
      <c r="G2546" s="5" t="str">
        <f t="shared" si="79"/>
        <v>Алт_Гальян_М-Кушва</v>
      </c>
      <c r="J2546" s="5"/>
      <c r="AL2546" s="5">
        <f t="shared" si="80"/>
        <v>0</v>
      </c>
    </row>
    <row r="2547" spans="1:38" ht="25.5" customHeight="1" x14ac:dyDescent="0.25">
      <c r="A2547" s="10" t="s">
        <v>2428</v>
      </c>
      <c r="B2547" s="11" t="s">
        <v>1684</v>
      </c>
      <c r="C2547" s="5">
        <v>40625.090199999999</v>
      </c>
      <c r="D2547" s="5">
        <v>40625.090199999999</v>
      </c>
      <c r="E2547" s="5">
        <v>35661.364300000001</v>
      </c>
      <c r="G2547" s="5" t="str">
        <f t="shared" si="79"/>
        <v>Ваг_Стар_Пихтовы-г</v>
      </c>
      <c r="J2547" s="5"/>
      <c r="AL2547" s="5">
        <f t="shared" si="80"/>
        <v>0</v>
      </c>
    </row>
    <row r="2548" spans="1:38" ht="25.5" customHeight="1" x14ac:dyDescent="0.25">
      <c r="A2548" s="10" t="s">
        <v>2429</v>
      </c>
      <c r="B2548" s="11" t="s">
        <v>1677</v>
      </c>
      <c r="C2548" s="5">
        <v>39105.413099999998</v>
      </c>
      <c r="D2548" s="5">
        <v>39105.413099999998</v>
      </c>
      <c r="E2548" s="5">
        <v>35170.666700000002</v>
      </c>
      <c r="G2548" s="5" t="str">
        <f t="shared" si="79"/>
        <v>Октябрьский</v>
      </c>
      <c r="J2548" s="5"/>
      <c r="AL2548" s="5">
        <f t="shared" si="80"/>
        <v>0</v>
      </c>
    </row>
    <row r="2549" spans="1:38" ht="25.5" customHeight="1" x14ac:dyDescent="0.25">
      <c r="A2549" s="10" t="s">
        <v>2430</v>
      </c>
      <c r="B2549" s="11" t="s">
        <v>1674</v>
      </c>
      <c r="C2549" s="5">
        <v>29199.565200000001</v>
      </c>
      <c r="D2549" s="5">
        <v>29199.565200000001</v>
      </c>
      <c r="E2549" s="5">
        <v>26261.5317</v>
      </c>
      <c r="G2549" s="5" t="str">
        <f t="shared" si="79"/>
        <v>УАЗ</v>
      </c>
      <c r="J2549" s="5"/>
      <c r="AL2549" s="5">
        <f t="shared" si="80"/>
        <v>0</v>
      </c>
    </row>
    <row r="2550" spans="1:38" ht="25.5" customHeight="1" x14ac:dyDescent="0.25">
      <c r="A2550" s="10" t="s">
        <v>1338</v>
      </c>
      <c r="B2550" s="11" t="s">
        <v>1679</v>
      </c>
      <c r="C2550" s="5">
        <v>28855.326499999999</v>
      </c>
      <c r="D2550" s="5">
        <v>28855.326499999999</v>
      </c>
      <c r="E2550" s="5">
        <v>25951.933700000001</v>
      </c>
      <c r="G2550" s="5" t="str">
        <f t="shared" si="79"/>
        <v>Ст.Каменск-Хозспособ</v>
      </c>
      <c r="J2550" s="5"/>
      <c r="AL2550" s="5">
        <f t="shared" si="80"/>
        <v>0</v>
      </c>
    </row>
    <row r="2551" spans="1:38" ht="25.5" customHeight="1" x14ac:dyDescent="0.25">
      <c r="A2551" s="10" t="s">
        <v>2431</v>
      </c>
      <c r="B2551" s="11" t="s">
        <v>1645</v>
      </c>
      <c r="C2551" s="5">
        <v>60958.294800000003</v>
      </c>
      <c r="D2551" s="5">
        <v>60958.294800000003</v>
      </c>
      <c r="E2551" s="5">
        <v>55198.825199999999</v>
      </c>
      <c r="G2551" s="5" t="str">
        <f t="shared" si="79"/>
        <v>ЕЛИЗАВЕТ</v>
      </c>
      <c r="J2551" s="5"/>
      <c r="AL2551" s="5">
        <f t="shared" si="80"/>
        <v>0</v>
      </c>
    </row>
    <row r="2552" spans="1:38" ht="25.5" customHeight="1" x14ac:dyDescent="0.25">
      <c r="A2552" s="10" t="s">
        <v>2432</v>
      </c>
      <c r="B2552" s="11" t="s">
        <v>1643</v>
      </c>
      <c r="C2552" s="5">
        <v>76630.280299999999</v>
      </c>
      <c r="D2552" s="5">
        <v>76630.280299999999</v>
      </c>
      <c r="E2552" s="5">
        <v>69390.088799999998</v>
      </c>
      <c r="G2552" s="5" t="str">
        <f t="shared" si="79"/>
        <v>Ю-З</v>
      </c>
      <c r="J2552" s="5"/>
      <c r="AL2552" s="5">
        <f t="shared" si="80"/>
        <v>0</v>
      </c>
    </row>
    <row r="2553" spans="1:38" ht="25.5" customHeight="1" x14ac:dyDescent="0.25">
      <c r="A2553" s="10" t="s">
        <v>440</v>
      </c>
      <c r="B2553" s="11" t="s">
        <v>1677</v>
      </c>
      <c r="C2553" s="5">
        <v>39105.413099999998</v>
      </c>
      <c r="D2553" s="5">
        <v>39105.413099999998</v>
      </c>
      <c r="E2553" s="5">
        <v>35170.666700000002</v>
      </c>
      <c r="G2553" s="5" t="str">
        <f t="shared" si="79"/>
        <v>Октябрьский</v>
      </c>
      <c r="J2553" s="5"/>
      <c r="AL2553" s="5">
        <f t="shared" si="80"/>
        <v>0</v>
      </c>
    </row>
    <row r="2554" spans="1:38" ht="25.5" customHeight="1" x14ac:dyDescent="0.25">
      <c r="A2554" s="10" t="s">
        <v>928</v>
      </c>
      <c r="B2554" s="11" t="s">
        <v>1688</v>
      </c>
      <c r="C2554" s="5">
        <v>29893.73</v>
      </c>
      <c r="D2554" s="5">
        <v>29893.73</v>
      </c>
      <c r="E2554" s="5">
        <v>26241.207699999999</v>
      </c>
      <c r="G2554" s="5" t="str">
        <f t="shared" si="79"/>
        <v>Сух_Г-Кам_Н_Кушва_Н-Черм</v>
      </c>
      <c r="J2554" s="5"/>
      <c r="AL2554" s="5">
        <f t="shared" si="80"/>
        <v>0</v>
      </c>
    </row>
    <row r="2555" spans="1:38" ht="25.5" customHeight="1" x14ac:dyDescent="0.25">
      <c r="A2555" s="10" t="s">
        <v>2433</v>
      </c>
      <c r="B2555" s="11" t="s">
        <v>1676</v>
      </c>
      <c r="C2555" s="5">
        <v>28848.8855</v>
      </c>
      <c r="D2555" s="5">
        <v>28848.8855</v>
      </c>
      <c r="E2555" s="5">
        <v>25946.143</v>
      </c>
      <c r="G2555" s="5" t="str">
        <f t="shared" si="79"/>
        <v>Чкаловский</v>
      </c>
      <c r="J2555" s="5"/>
      <c r="AL2555" s="5">
        <f t="shared" si="80"/>
        <v>0</v>
      </c>
    </row>
    <row r="2556" spans="1:38" ht="25.5" customHeight="1" x14ac:dyDescent="0.25">
      <c r="A2556" s="10" t="s">
        <v>1014</v>
      </c>
      <c r="B2556" s="11" t="s">
        <v>1673</v>
      </c>
      <c r="C2556" s="5">
        <v>35563.243300000002</v>
      </c>
      <c r="D2556" s="5">
        <v>35563.243300000002</v>
      </c>
      <c r="E2556" s="5">
        <v>31984.905299999999</v>
      </c>
      <c r="G2556" s="5" t="str">
        <f t="shared" si="79"/>
        <v>УАЗ-III - 49 кв.</v>
      </c>
      <c r="J2556" s="5"/>
      <c r="AL2556" s="5">
        <f t="shared" si="80"/>
        <v>0</v>
      </c>
    </row>
    <row r="2557" spans="1:38" ht="25.5" customHeight="1" x14ac:dyDescent="0.25">
      <c r="A2557" s="10" t="s">
        <v>1170</v>
      </c>
      <c r="B2557" s="11" t="s">
        <v>1677</v>
      </c>
      <c r="C2557" s="5">
        <v>39105.413099999998</v>
      </c>
      <c r="D2557" s="5">
        <v>39105.413099999998</v>
      </c>
      <c r="E2557" s="5">
        <v>35170.666700000002</v>
      </c>
      <c r="G2557" s="5" t="str">
        <f t="shared" si="79"/>
        <v>Октябрьский</v>
      </c>
      <c r="J2557" s="5"/>
      <c r="AL2557" s="5">
        <f t="shared" si="80"/>
        <v>0</v>
      </c>
    </row>
    <row r="2558" spans="1:38" ht="25.5" customHeight="1" x14ac:dyDescent="0.25">
      <c r="A2558" s="10" t="s">
        <v>2434</v>
      </c>
      <c r="B2558" s="11" t="s">
        <v>1679</v>
      </c>
      <c r="C2558" s="5">
        <v>28855.326499999999</v>
      </c>
      <c r="D2558" s="5">
        <v>28855.326499999999</v>
      </c>
      <c r="E2558" s="5">
        <v>25951.933700000001</v>
      </c>
      <c r="G2558" s="5" t="str">
        <f t="shared" si="79"/>
        <v>Ст.Каменск-Хозспособ</v>
      </c>
      <c r="J2558" s="5"/>
      <c r="AL2558" s="5">
        <f t="shared" si="80"/>
        <v>0</v>
      </c>
    </row>
    <row r="2559" spans="1:38" ht="25.5" customHeight="1" x14ac:dyDescent="0.25">
      <c r="A2559" s="10" t="s">
        <v>2435</v>
      </c>
      <c r="B2559" s="11" t="s">
        <v>1680</v>
      </c>
      <c r="C2559" s="5">
        <v>29151.309799999999</v>
      </c>
      <c r="D2559" s="5">
        <v>29151.309799999999</v>
      </c>
      <c r="E2559" s="5">
        <v>26218.127700000001</v>
      </c>
      <c r="G2559" s="5" t="str">
        <f t="shared" si="79"/>
        <v>Северный</v>
      </c>
      <c r="J2559" s="5"/>
      <c r="AL2559" s="5">
        <f t="shared" si="80"/>
        <v>0</v>
      </c>
    </row>
    <row r="2560" spans="1:38" ht="25.5" customHeight="1" x14ac:dyDescent="0.25">
      <c r="A2560" s="10" t="s">
        <v>1007</v>
      </c>
      <c r="B2560" s="11" t="s">
        <v>1677</v>
      </c>
      <c r="C2560" s="5">
        <v>39105.413099999998</v>
      </c>
      <c r="D2560" s="5">
        <v>39105.413099999998</v>
      </c>
      <c r="E2560" s="5">
        <v>35170.666700000002</v>
      </c>
      <c r="G2560" s="5" t="str">
        <f t="shared" si="79"/>
        <v>Октябрьский</v>
      </c>
      <c r="J2560" s="5"/>
      <c r="AL2560" s="5">
        <f t="shared" si="80"/>
        <v>0</v>
      </c>
    </row>
    <row r="2561" spans="1:38" ht="25.5" customHeight="1" x14ac:dyDescent="0.25">
      <c r="A2561" s="10" t="s">
        <v>2436</v>
      </c>
      <c r="B2561" s="11" t="s">
        <v>1682</v>
      </c>
      <c r="C2561" s="5">
        <v>38278.589899999999</v>
      </c>
      <c r="D2561" s="5">
        <v>38278.589899999999</v>
      </c>
      <c r="E2561" s="5">
        <v>34427.0285</v>
      </c>
      <c r="G2561" s="5" t="str">
        <f t="shared" si="79"/>
        <v>Трубников</v>
      </c>
      <c r="J2561" s="5"/>
      <c r="AL2561" s="5">
        <f t="shared" si="80"/>
        <v>0</v>
      </c>
    </row>
    <row r="2562" spans="1:38" ht="25.5" customHeight="1" x14ac:dyDescent="0.25">
      <c r="A2562" s="10" t="s">
        <v>2437</v>
      </c>
      <c r="B2562" s="11" t="s">
        <v>1691</v>
      </c>
      <c r="C2562" s="5">
        <v>36244.5985</v>
      </c>
      <c r="D2562" s="5">
        <v>36244.5985</v>
      </c>
      <c r="E2562" s="5">
        <v>32992.053800000002</v>
      </c>
      <c r="G2562" s="5" t="str">
        <f t="shared" si="79"/>
        <v>ДинСанПод</v>
      </c>
      <c r="J2562" s="5"/>
      <c r="AL2562" s="5">
        <f t="shared" si="80"/>
        <v>0</v>
      </c>
    </row>
    <row r="2563" spans="1:38" ht="25.5" customHeight="1" x14ac:dyDescent="0.25">
      <c r="A2563" s="10" t="s">
        <v>2438</v>
      </c>
      <c r="B2563" s="11" t="s">
        <v>1395</v>
      </c>
      <c r="C2563" s="5">
        <v>27332.119299999998</v>
      </c>
      <c r="D2563" s="5">
        <v>27332.119299999998</v>
      </c>
      <c r="E2563" s="5">
        <v>24879.3747</v>
      </c>
      <c r="G2563" s="5" t="str">
        <f t="shared" ref="G2563:G2626" si="81">B2563</f>
        <v>СОВХОЗ ПЕРВОУРАЛЬСКИЙ</v>
      </c>
      <c r="J2563" s="5"/>
      <c r="AL2563" s="5">
        <f t="shared" ref="AL2563:AL2626" si="82">AF2563</f>
        <v>0</v>
      </c>
    </row>
    <row r="2564" spans="1:38" ht="25.5" customHeight="1" x14ac:dyDescent="0.25">
      <c r="A2564" s="10" t="s">
        <v>2439</v>
      </c>
      <c r="B2564" s="11" t="s">
        <v>1696</v>
      </c>
      <c r="C2564" s="5">
        <v>36808.582300000002</v>
      </c>
      <c r="D2564" s="5">
        <v>36808.582300000002</v>
      </c>
      <c r="E2564" s="5">
        <v>33505.428800000002</v>
      </c>
      <c r="G2564" s="5" t="str">
        <f t="shared" si="81"/>
        <v>Талица</v>
      </c>
      <c r="J2564" s="5"/>
      <c r="AL2564" s="5">
        <f t="shared" si="82"/>
        <v>0</v>
      </c>
    </row>
    <row r="2565" spans="1:38" ht="25.5" customHeight="1" x14ac:dyDescent="0.25">
      <c r="A2565" s="10" t="s">
        <v>2440</v>
      </c>
      <c r="B2565" s="11" t="s">
        <v>1699</v>
      </c>
      <c r="C2565" s="5">
        <v>34007.852099999996</v>
      </c>
      <c r="D2565" s="5">
        <v>34007.852099999996</v>
      </c>
      <c r="E2565" s="5">
        <v>30956.028900000001</v>
      </c>
      <c r="G2565" s="5" t="str">
        <f t="shared" si="81"/>
        <v>Шайтанка</v>
      </c>
      <c r="J2565" s="5"/>
      <c r="AL2565" s="5">
        <f t="shared" si="82"/>
        <v>0</v>
      </c>
    </row>
    <row r="2566" spans="1:38" ht="25.5" customHeight="1" x14ac:dyDescent="0.25">
      <c r="A2566" s="20" t="s">
        <v>2441</v>
      </c>
      <c r="B2566" s="22">
        <v>1003</v>
      </c>
      <c r="C2566" s="5">
        <v>21261.0285</v>
      </c>
      <c r="D2566" s="5">
        <v>21261.0285</v>
      </c>
      <c r="E2566" s="5">
        <v>20837.465199999999</v>
      </c>
      <c r="G2566" s="5">
        <f t="shared" si="81"/>
        <v>1003</v>
      </c>
      <c r="J2566" s="5"/>
      <c r="AL2566" s="5">
        <f t="shared" si="82"/>
        <v>0</v>
      </c>
    </row>
    <row r="2567" spans="1:38" ht="25.5" customHeight="1" x14ac:dyDescent="0.25">
      <c r="A2567" s="10" t="s">
        <v>2442</v>
      </c>
      <c r="B2567" s="11" t="s">
        <v>1699</v>
      </c>
      <c r="C2567" s="5">
        <v>34007.852099999996</v>
      </c>
      <c r="D2567" s="5">
        <v>34007.852099999996</v>
      </c>
      <c r="E2567" s="5">
        <v>30956.028900000001</v>
      </c>
      <c r="G2567" s="5" t="str">
        <f t="shared" si="81"/>
        <v>Шайтанка</v>
      </c>
      <c r="J2567" s="5"/>
      <c r="AL2567" s="5">
        <f t="shared" si="82"/>
        <v>0</v>
      </c>
    </row>
    <row r="2568" spans="1:38" ht="25.5" customHeight="1" x14ac:dyDescent="0.25">
      <c r="A2568" s="10" t="s">
        <v>2443</v>
      </c>
      <c r="B2568" s="11" t="s">
        <v>1674</v>
      </c>
      <c r="C2568" s="5">
        <v>29199.565200000001</v>
      </c>
      <c r="D2568" s="5">
        <v>29199.565200000001</v>
      </c>
      <c r="E2568" s="5">
        <v>26261.5317</v>
      </c>
      <c r="G2568" s="5" t="str">
        <f t="shared" si="81"/>
        <v>УАЗ</v>
      </c>
      <c r="J2568" s="5"/>
      <c r="AL2568" s="5">
        <f t="shared" si="82"/>
        <v>0</v>
      </c>
    </row>
    <row r="2569" spans="1:38" ht="25.5" customHeight="1" x14ac:dyDescent="0.25">
      <c r="A2569" s="10" t="s">
        <v>2444</v>
      </c>
      <c r="B2569" s="11" t="s">
        <v>1694</v>
      </c>
      <c r="C2569" s="5">
        <v>26641.525799999999</v>
      </c>
      <c r="D2569" s="5">
        <v>26641.525799999999</v>
      </c>
      <c r="E2569" s="5">
        <v>24250.754499999999</v>
      </c>
      <c r="G2569" s="5" t="str">
        <f t="shared" si="81"/>
        <v>Первомайский</v>
      </c>
      <c r="J2569" s="5"/>
      <c r="AL2569" s="5">
        <f t="shared" si="82"/>
        <v>0</v>
      </c>
    </row>
    <row r="2570" spans="1:38" ht="25.5" customHeight="1" x14ac:dyDescent="0.25">
      <c r="A2570" s="10" t="s">
        <v>1165</v>
      </c>
      <c r="B2570" s="11" t="s">
        <v>1661</v>
      </c>
      <c r="C2570" s="5">
        <v>51175.5573</v>
      </c>
      <c r="D2570" s="5">
        <v>51175.5573</v>
      </c>
      <c r="E2570" s="5">
        <v>46340.381600000001</v>
      </c>
      <c r="G2570" s="5" t="str">
        <f t="shared" si="81"/>
        <v>СЕВЕРКА</v>
      </c>
      <c r="J2570" s="5"/>
      <c r="AL2570" s="5">
        <f t="shared" si="82"/>
        <v>0</v>
      </c>
    </row>
    <row r="2571" spans="1:38" ht="25.5" customHeight="1" x14ac:dyDescent="0.25">
      <c r="A2571" s="10" t="s">
        <v>2445</v>
      </c>
      <c r="B2571" s="11" t="s">
        <v>1681</v>
      </c>
      <c r="C2571" s="5">
        <v>32172.2909</v>
      </c>
      <c r="D2571" s="5">
        <v>32172.2909</v>
      </c>
      <c r="E2571" s="5">
        <v>28935.146499999999</v>
      </c>
      <c r="G2571" s="5" t="str">
        <f t="shared" si="81"/>
        <v>Ленин-Олимп</v>
      </c>
      <c r="J2571" s="5"/>
      <c r="AL2571" s="5">
        <f t="shared" si="82"/>
        <v>0</v>
      </c>
    </row>
    <row r="2572" spans="1:38" ht="25.5" customHeight="1" x14ac:dyDescent="0.25">
      <c r="A2572" s="10" t="s">
        <v>765</v>
      </c>
      <c r="B2572" s="11" t="s">
        <v>1677</v>
      </c>
      <c r="C2572" s="5">
        <v>39105.413099999998</v>
      </c>
      <c r="D2572" s="5">
        <v>39105.413099999998</v>
      </c>
      <c r="E2572" s="5">
        <v>35170.666700000002</v>
      </c>
      <c r="G2572" s="5" t="str">
        <f t="shared" si="81"/>
        <v>Октябрьский</v>
      </c>
      <c r="J2572" s="5"/>
      <c r="AL2572" s="5">
        <f t="shared" si="82"/>
        <v>0</v>
      </c>
    </row>
    <row r="2573" spans="1:38" ht="25.5" customHeight="1" x14ac:dyDescent="0.25">
      <c r="A2573" s="20" t="s">
        <v>2446</v>
      </c>
      <c r="B2573" s="22">
        <v>1003</v>
      </c>
      <c r="C2573" s="5">
        <v>21261.0285</v>
      </c>
      <c r="D2573" s="5">
        <v>21261.0285</v>
      </c>
      <c r="E2573" s="5">
        <v>20837.465199999999</v>
      </c>
      <c r="G2573" s="5">
        <f t="shared" si="81"/>
        <v>1003</v>
      </c>
      <c r="J2573" s="5"/>
      <c r="AL2573" s="5">
        <f t="shared" si="82"/>
        <v>0</v>
      </c>
    </row>
    <row r="2574" spans="1:38" ht="25.5" customHeight="1" x14ac:dyDescent="0.25">
      <c r="A2574" s="10" t="s">
        <v>139</v>
      </c>
      <c r="B2574" s="11" t="s">
        <v>1677</v>
      </c>
      <c r="C2574" s="5">
        <v>39105.413099999998</v>
      </c>
      <c r="D2574" s="5">
        <v>39105.413099999998</v>
      </c>
      <c r="E2574" s="5">
        <v>35170.666700000002</v>
      </c>
      <c r="G2574" s="5" t="str">
        <f t="shared" si="81"/>
        <v>Октябрьский</v>
      </c>
      <c r="J2574" s="5"/>
      <c r="AL2574" s="5">
        <f t="shared" si="82"/>
        <v>0</v>
      </c>
    </row>
    <row r="2575" spans="1:38" ht="25.5" customHeight="1" x14ac:dyDescent="0.25">
      <c r="A2575" s="10" t="s">
        <v>2447</v>
      </c>
      <c r="B2575" s="11" t="s">
        <v>1685</v>
      </c>
      <c r="C2575" s="5">
        <v>36513.6518</v>
      </c>
      <c r="D2575" s="5">
        <v>36513.6518</v>
      </c>
      <c r="E2575" s="5">
        <v>32052.276999999998</v>
      </c>
      <c r="G2575" s="5" t="str">
        <f t="shared" si="81"/>
        <v>Выя_Леб_Горб_Кр-Кам</v>
      </c>
      <c r="J2575" s="5"/>
      <c r="AL2575" s="5">
        <f t="shared" si="82"/>
        <v>0</v>
      </c>
    </row>
    <row r="2576" spans="1:38" ht="25.5" customHeight="1" x14ac:dyDescent="0.25">
      <c r="A2576" s="10" t="s">
        <v>124</v>
      </c>
      <c r="B2576" s="11" t="s">
        <v>1673</v>
      </c>
      <c r="C2576" s="5">
        <v>35563.243300000002</v>
      </c>
      <c r="D2576" s="5">
        <v>35563.243300000002</v>
      </c>
      <c r="E2576" s="5">
        <v>31984.905299999999</v>
      </c>
      <c r="G2576" s="5" t="str">
        <f t="shared" si="81"/>
        <v>УАЗ-III - 49 кв.</v>
      </c>
      <c r="J2576" s="5"/>
      <c r="AL2576" s="5">
        <f t="shared" si="82"/>
        <v>0</v>
      </c>
    </row>
    <row r="2577" spans="1:38" ht="25.5" customHeight="1" x14ac:dyDescent="0.25">
      <c r="A2577" s="10" t="s">
        <v>2448</v>
      </c>
      <c r="B2577" s="11" t="s">
        <v>1650</v>
      </c>
      <c r="C2577" s="5">
        <v>37590.3603</v>
      </c>
      <c r="D2577" s="5">
        <v>37590.3603</v>
      </c>
      <c r="E2577" s="5">
        <v>34038.745900000002</v>
      </c>
      <c r="G2577" s="5" t="str">
        <f t="shared" si="81"/>
        <v>ШАБРОВСКИЙ</v>
      </c>
      <c r="J2577" s="5"/>
      <c r="AL2577" s="5">
        <f t="shared" si="82"/>
        <v>0</v>
      </c>
    </row>
    <row r="2578" spans="1:38" ht="25.5" customHeight="1" x14ac:dyDescent="0.25">
      <c r="A2578" s="10" t="s">
        <v>2449</v>
      </c>
      <c r="B2578" s="11" t="s">
        <v>1688</v>
      </c>
      <c r="C2578" s="5">
        <v>29893.73</v>
      </c>
      <c r="D2578" s="5">
        <v>29893.73</v>
      </c>
      <c r="E2578" s="5">
        <v>26241.207699999999</v>
      </c>
      <c r="G2578" s="5" t="str">
        <f t="shared" si="81"/>
        <v>Сух_Г-Кам_Н_Кушва_Н-Черм</v>
      </c>
      <c r="J2578" s="5"/>
      <c r="AL2578" s="5">
        <f t="shared" si="82"/>
        <v>0</v>
      </c>
    </row>
    <row r="2579" spans="1:38" ht="25.5" customHeight="1" x14ac:dyDescent="0.25">
      <c r="A2579" s="10" t="s">
        <v>2450</v>
      </c>
      <c r="B2579" s="11" t="s">
        <v>1629</v>
      </c>
      <c r="C2579" s="5">
        <v>77743.704100000003</v>
      </c>
      <c r="D2579" s="5">
        <v>77743.704100000003</v>
      </c>
      <c r="E2579" s="5">
        <v>70398.310800000007</v>
      </c>
      <c r="G2579" s="5" t="str">
        <f t="shared" si="81"/>
        <v>ПИОНЕРСКИЙ</v>
      </c>
      <c r="J2579" s="5"/>
      <c r="AL2579" s="5">
        <f t="shared" si="82"/>
        <v>0</v>
      </c>
    </row>
    <row r="2580" spans="1:38" ht="25.5" customHeight="1" x14ac:dyDescent="0.25">
      <c r="A2580" s="10" t="s">
        <v>2451</v>
      </c>
      <c r="B2580" s="11" t="s">
        <v>1659</v>
      </c>
      <c r="C2580" s="5">
        <v>59746.832600000002</v>
      </c>
      <c r="D2580" s="5">
        <v>59746.832600000002</v>
      </c>
      <c r="E2580" s="5">
        <v>54101.823700000001</v>
      </c>
      <c r="G2580" s="5" t="str">
        <f t="shared" si="81"/>
        <v>СОВХОЗ</v>
      </c>
      <c r="J2580" s="5"/>
      <c r="AL2580" s="5">
        <f t="shared" si="82"/>
        <v>0</v>
      </c>
    </row>
    <row r="2581" spans="1:38" ht="25.5" customHeight="1" x14ac:dyDescent="0.25">
      <c r="A2581" s="10" t="s">
        <v>2452</v>
      </c>
      <c r="B2581" s="11" t="s">
        <v>1691</v>
      </c>
      <c r="C2581" s="5">
        <v>36244.5985</v>
      </c>
      <c r="D2581" s="5">
        <v>36244.5985</v>
      </c>
      <c r="E2581" s="5">
        <v>32992.053800000002</v>
      </c>
      <c r="G2581" s="5" t="str">
        <f t="shared" si="81"/>
        <v>ДинСанПод</v>
      </c>
      <c r="J2581" s="5"/>
      <c r="AL2581" s="5">
        <f t="shared" si="82"/>
        <v>0</v>
      </c>
    </row>
    <row r="2582" spans="1:38" ht="25.5" customHeight="1" x14ac:dyDescent="0.25">
      <c r="A2582" s="10" t="s">
        <v>2453</v>
      </c>
      <c r="B2582" s="11" t="s">
        <v>1676</v>
      </c>
      <c r="C2582" s="5">
        <v>28848.8855</v>
      </c>
      <c r="D2582" s="5">
        <v>28848.8855</v>
      </c>
      <c r="E2582" s="5">
        <v>25946.143</v>
      </c>
      <c r="G2582" s="5" t="str">
        <f t="shared" si="81"/>
        <v>Чкаловский</v>
      </c>
      <c r="J2582" s="5"/>
      <c r="AL2582" s="5">
        <f t="shared" si="82"/>
        <v>0</v>
      </c>
    </row>
    <row r="2583" spans="1:38" ht="25.5" customHeight="1" x14ac:dyDescent="0.25">
      <c r="A2583" s="10" t="s">
        <v>2454</v>
      </c>
      <c r="B2583" s="11" t="s">
        <v>1676</v>
      </c>
      <c r="C2583" s="5">
        <v>28848.8855</v>
      </c>
      <c r="D2583" s="5">
        <v>28848.8855</v>
      </c>
      <c r="E2583" s="5">
        <v>25946.143</v>
      </c>
      <c r="G2583" s="5" t="str">
        <f t="shared" si="81"/>
        <v>Чкаловский</v>
      </c>
      <c r="J2583" s="5"/>
      <c r="AL2583" s="5">
        <f t="shared" si="82"/>
        <v>0</v>
      </c>
    </row>
    <row r="2584" spans="1:38" ht="25.5" customHeight="1" x14ac:dyDescent="0.25">
      <c r="A2584" s="10" t="s">
        <v>2455</v>
      </c>
      <c r="B2584" s="11" t="s">
        <v>1699</v>
      </c>
      <c r="C2584" s="5">
        <v>34007.852099999996</v>
      </c>
      <c r="D2584" s="5">
        <v>34007.852099999996</v>
      </c>
      <c r="E2584" s="5">
        <v>30956.028900000001</v>
      </c>
      <c r="G2584" s="5" t="str">
        <f t="shared" si="81"/>
        <v>Шайтанка</v>
      </c>
      <c r="J2584" s="5"/>
      <c r="AL2584" s="5">
        <f t="shared" si="82"/>
        <v>0</v>
      </c>
    </row>
    <row r="2585" spans="1:38" ht="25.5" customHeight="1" x14ac:dyDescent="0.25">
      <c r="A2585" s="10" t="s">
        <v>2456</v>
      </c>
      <c r="B2585" s="11" t="s">
        <v>1676</v>
      </c>
      <c r="C2585" s="5">
        <v>28848.8855</v>
      </c>
      <c r="D2585" s="5">
        <v>28848.8855</v>
      </c>
      <c r="E2585" s="5">
        <v>25946.143</v>
      </c>
      <c r="G2585" s="5" t="str">
        <f t="shared" si="81"/>
        <v>Чкаловский</v>
      </c>
      <c r="J2585" s="5"/>
      <c r="AL2585" s="5">
        <f t="shared" si="82"/>
        <v>0</v>
      </c>
    </row>
    <row r="2586" spans="1:38" ht="25.5" customHeight="1" x14ac:dyDescent="0.25">
      <c r="A2586" s="10" t="s">
        <v>2457</v>
      </c>
      <c r="B2586" s="11" t="s">
        <v>1680</v>
      </c>
      <c r="C2586" s="5">
        <v>29151.309799999999</v>
      </c>
      <c r="D2586" s="5">
        <v>29151.309799999999</v>
      </c>
      <c r="E2586" s="5">
        <v>26218.127700000001</v>
      </c>
      <c r="G2586" s="5" t="str">
        <f t="shared" si="81"/>
        <v>Северный</v>
      </c>
      <c r="J2586" s="5"/>
      <c r="AL2586" s="5">
        <f t="shared" si="82"/>
        <v>0</v>
      </c>
    </row>
    <row r="2587" spans="1:38" ht="25.5" customHeight="1" x14ac:dyDescent="0.25">
      <c r="A2587" s="10" t="s">
        <v>2458</v>
      </c>
      <c r="B2587" s="11" t="s">
        <v>33</v>
      </c>
      <c r="C2587" s="5">
        <v>84298.205100000006</v>
      </c>
      <c r="D2587" s="5">
        <v>84298.205100000006</v>
      </c>
      <c r="E2587" s="5">
        <v>76333.533100000001</v>
      </c>
      <c r="G2587" s="5" t="str">
        <f t="shared" si="81"/>
        <v>ВИЗ</v>
      </c>
      <c r="J2587" s="5"/>
      <c r="AL2587" s="5">
        <f t="shared" si="82"/>
        <v>0</v>
      </c>
    </row>
    <row r="2588" spans="1:38" ht="25.5" customHeight="1" x14ac:dyDescent="0.25">
      <c r="A2588" s="10" t="s">
        <v>2459</v>
      </c>
      <c r="B2588" s="11" t="s">
        <v>1695</v>
      </c>
      <c r="C2588" s="5">
        <v>40100.412600000003</v>
      </c>
      <c r="D2588" s="5">
        <v>40100.412600000003</v>
      </c>
      <c r="E2588" s="5">
        <v>36501.853799999997</v>
      </c>
      <c r="G2588" s="5" t="str">
        <f t="shared" si="81"/>
        <v>Соцгород</v>
      </c>
      <c r="J2588" s="5"/>
      <c r="AL2588" s="5">
        <f t="shared" si="82"/>
        <v>0</v>
      </c>
    </row>
    <row r="2589" spans="1:38" ht="25.5" customHeight="1" x14ac:dyDescent="0.25">
      <c r="A2589" s="10" t="s">
        <v>2460</v>
      </c>
      <c r="B2589" s="11" t="s">
        <v>1688</v>
      </c>
      <c r="C2589" s="5">
        <v>29893.73</v>
      </c>
      <c r="D2589" s="5">
        <v>29893.73</v>
      </c>
      <c r="E2589" s="5">
        <v>26241.207699999999</v>
      </c>
      <c r="G2589" s="5" t="str">
        <f t="shared" si="81"/>
        <v>Сух_Г-Кам_Н_Кушва_Н-Черм</v>
      </c>
      <c r="J2589" s="5"/>
      <c r="AL2589" s="5">
        <f t="shared" si="82"/>
        <v>0</v>
      </c>
    </row>
    <row r="2590" spans="1:38" ht="25.5" customHeight="1" x14ac:dyDescent="0.25">
      <c r="A2590" s="10" t="s">
        <v>512</v>
      </c>
      <c r="B2590" s="11" t="s">
        <v>1675</v>
      </c>
      <c r="C2590" s="5">
        <v>35756.285400000001</v>
      </c>
      <c r="D2590" s="5">
        <v>35756.285400000001</v>
      </c>
      <c r="E2590" s="5">
        <v>32158.5213</v>
      </c>
      <c r="G2590" s="5" t="str">
        <f t="shared" si="81"/>
        <v>УАЗ-II</v>
      </c>
      <c r="J2590" s="5"/>
      <c r="AL2590" s="5">
        <f t="shared" si="82"/>
        <v>0</v>
      </c>
    </row>
    <row r="2591" spans="1:38" ht="25.5" customHeight="1" x14ac:dyDescent="0.25">
      <c r="A2591" s="10" t="s">
        <v>1229</v>
      </c>
      <c r="B2591" s="11" t="s">
        <v>1684</v>
      </c>
      <c r="C2591" s="5">
        <v>40625.090199999999</v>
      </c>
      <c r="D2591" s="5">
        <v>40625.090199999999</v>
      </c>
      <c r="E2591" s="5">
        <v>35661.364300000001</v>
      </c>
      <c r="G2591" s="5" t="str">
        <f t="shared" si="81"/>
        <v>Ваг_Стар_Пихтовы-г</v>
      </c>
      <c r="J2591" s="5"/>
      <c r="AL2591" s="5">
        <f t="shared" si="82"/>
        <v>0</v>
      </c>
    </row>
    <row r="2592" spans="1:38" ht="25.5" customHeight="1" x14ac:dyDescent="0.25">
      <c r="A2592" s="10" t="s">
        <v>2461</v>
      </c>
      <c r="B2592" s="11" t="s">
        <v>1679</v>
      </c>
      <c r="C2592" s="5">
        <v>28855.326499999999</v>
      </c>
      <c r="D2592" s="5">
        <v>28855.326499999999</v>
      </c>
      <c r="E2592" s="5">
        <v>25951.933700000001</v>
      </c>
      <c r="G2592" s="5" t="str">
        <f t="shared" si="81"/>
        <v>Ст.Каменск-Хозспособ</v>
      </c>
      <c r="J2592" s="5"/>
      <c r="AL2592" s="5">
        <f t="shared" si="82"/>
        <v>0</v>
      </c>
    </row>
    <row r="2593" spans="1:38" ht="25.5" customHeight="1" x14ac:dyDescent="0.25">
      <c r="A2593" s="10" t="s">
        <v>2462</v>
      </c>
      <c r="B2593" s="11" t="s">
        <v>1644</v>
      </c>
      <c r="C2593" s="5">
        <v>61980.678599999999</v>
      </c>
      <c r="D2593" s="5">
        <v>61980.678599999999</v>
      </c>
      <c r="E2593" s="5">
        <v>56124.615700000002</v>
      </c>
      <c r="G2593" s="5" t="str">
        <f t="shared" si="81"/>
        <v>ХИММАШ</v>
      </c>
      <c r="J2593" s="5"/>
      <c r="AL2593" s="5">
        <f t="shared" si="82"/>
        <v>0</v>
      </c>
    </row>
    <row r="2594" spans="1:38" ht="25.5" customHeight="1" x14ac:dyDescent="0.25">
      <c r="A2594" s="10" t="s">
        <v>2463</v>
      </c>
      <c r="B2594" s="11" t="s">
        <v>1683</v>
      </c>
      <c r="C2594" s="5">
        <v>40018.9617</v>
      </c>
      <c r="D2594" s="5">
        <v>40018.9617</v>
      </c>
      <c r="E2594" s="5">
        <v>35129.2961</v>
      </c>
      <c r="G2594" s="5" t="str">
        <f t="shared" si="81"/>
        <v>Алт_Гальян_М-Кушва</v>
      </c>
      <c r="J2594" s="5"/>
      <c r="AL2594" s="5">
        <f t="shared" si="82"/>
        <v>0</v>
      </c>
    </row>
    <row r="2595" spans="1:38" ht="25.5" customHeight="1" x14ac:dyDescent="0.25">
      <c r="A2595" s="10" t="s">
        <v>2464</v>
      </c>
      <c r="B2595" s="11" t="s">
        <v>1676</v>
      </c>
      <c r="C2595" s="5">
        <v>28848.8855</v>
      </c>
      <c r="D2595" s="5">
        <v>28848.8855</v>
      </c>
      <c r="E2595" s="5">
        <v>25946.143</v>
      </c>
      <c r="G2595" s="5" t="str">
        <f t="shared" si="81"/>
        <v>Чкаловский</v>
      </c>
      <c r="J2595" s="5"/>
      <c r="AL2595" s="5">
        <f t="shared" si="82"/>
        <v>0</v>
      </c>
    </row>
    <row r="2596" spans="1:38" ht="25.5" customHeight="1" x14ac:dyDescent="0.25">
      <c r="A2596" s="10" t="s">
        <v>748</v>
      </c>
      <c r="B2596" s="11" t="s">
        <v>1682</v>
      </c>
      <c r="C2596" s="5">
        <v>38278.589899999999</v>
      </c>
      <c r="D2596" s="5">
        <v>38278.589899999999</v>
      </c>
      <c r="E2596" s="5">
        <v>34427.0285</v>
      </c>
      <c r="G2596" s="5" t="str">
        <f t="shared" si="81"/>
        <v>Трубников</v>
      </c>
      <c r="J2596" s="5"/>
      <c r="AL2596" s="5">
        <f t="shared" si="82"/>
        <v>0</v>
      </c>
    </row>
    <row r="2597" spans="1:38" ht="25.5" customHeight="1" x14ac:dyDescent="0.25">
      <c r="A2597" s="10" t="s">
        <v>2465</v>
      </c>
      <c r="B2597" s="11" t="s">
        <v>1677</v>
      </c>
      <c r="C2597" s="5">
        <v>39105.413099999998</v>
      </c>
      <c r="D2597" s="5">
        <v>39105.413099999998</v>
      </c>
      <c r="E2597" s="5">
        <v>35170.666700000002</v>
      </c>
      <c r="G2597" s="5" t="str">
        <f t="shared" si="81"/>
        <v>Октябрьский</v>
      </c>
      <c r="J2597" s="5"/>
      <c r="AL2597" s="5">
        <f t="shared" si="82"/>
        <v>0</v>
      </c>
    </row>
    <row r="2598" spans="1:38" ht="25.5" customHeight="1" x14ac:dyDescent="0.25">
      <c r="A2598" s="10" t="s">
        <v>1621</v>
      </c>
      <c r="B2598" s="11" t="s">
        <v>1631</v>
      </c>
      <c r="C2598" s="5">
        <v>70026.7601</v>
      </c>
      <c r="D2598" s="5">
        <v>70026.7601</v>
      </c>
      <c r="E2598" s="5">
        <v>63410.482000000004</v>
      </c>
      <c r="G2598" s="5" t="str">
        <f t="shared" si="81"/>
        <v>УРАЛМАШ</v>
      </c>
      <c r="J2598" s="5"/>
      <c r="AL2598" s="5">
        <f t="shared" si="82"/>
        <v>0</v>
      </c>
    </row>
    <row r="2599" spans="1:38" ht="25.5" customHeight="1" x14ac:dyDescent="0.25">
      <c r="A2599" s="10" t="s">
        <v>2466</v>
      </c>
      <c r="B2599" s="11" t="s">
        <v>1688</v>
      </c>
      <c r="C2599" s="5">
        <v>29893.73</v>
      </c>
      <c r="D2599" s="5">
        <v>29893.73</v>
      </c>
      <c r="E2599" s="5">
        <v>26241.207699999999</v>
      </c>
      <c r="G2599" s="5" t="str">
        <f t="shared" si="81"/>
        <v>Сух_Г-Кам_Н_Кушва_Н-Черм</v>
      </c>
      <c r="J2599" s="5"/>
      <c r="AL2599" s="5">
        <f t="shared" si="82"/>
        <v>0</v>
      </c>
    </row>
    <row r="2600" spans="1:38" ht="25.5" customHeight="1" x14ac:dyDescent="0.25">
      <c r="A2600" s="10" t="s">
        <v>2467</v>
      </c>
      <c r="B2600" s="11" t="s">
        <v>1673</v>
      </c>
      <c r="C2600" s="5">
        <v>35563.243300000002</v>
      </c>
      <c r="D2600" s="5">
        <v>35563.243300000002</v>
      </c>
      <c r="E2600" s="5">
        <v>31984.905299999999</v>
      </c>
      <c r="G2600" s="5" t="str">
        <f t="shared" si="81"/>
        <v>УАЗ-III - 49 кв.</v>
      </c>
      <c r="J2600" s="5"/>
      <c r="AL2600" s="5">
        <f t="shared" si="82"/>
        <v>0</v>
      </c>
    </row>
    <row r="2601" spans="1:38" ht="25.5" customHeight="1" x14ac:dyDescent="0.25">
      <c r="A2601" s="10" t="s">
        <v>2468</v>
      </c>
      <c r="B2601" s="11" t="s">
        <v>1679</v>
      </c>
      <c r="C2601" s="5">
        <v>28855.326499999999</v>
      </c>
      <c r="D2601" s="5">
        <v>28855.326499999999</v>
      </c>
      <c r="E2601" s="5">
        <v>25951.933700000001</v>
      </c>
      <c r="G2601" s="5" t="str">
        <f t="shared" si="81"/>
        <v>Ст.Каменск-Хозспособ</v>
      </c>
      <c r="J2601" s="5"/>
      <c r="AL2601" s="5">
        <f t="shared" si="82"/>
        <v>0</v>
      </c>
    </row>
    <row r="2602" spans="1:38" ht="25.5" customHeight="1" x14ac:dyDescent="0.25">
      <c r="A2602" s="10" t="s">
        <v>448</v>
      </c>
      <c r="B2602" s="11" t="s">
        <v>1677</v>
      </c>
      <c r="C2602" s="5">
        <v>39105.413099999998</v>
      </c>
      <c r="D2602" s="5">
        <v>39105.413099999998</v>
      </c>
      <c r="E2602" s="5">
        <v>35170.666700000002</v>
      </c>
      <c r="G2602" s="5" t="str">
        <f t="shared" si="81"/>
        <v>Октябрьский</v>
      </c>
      <c r="J2602" s="5"/>
      <c r="AL2602" s="5">
        <f t="shared" si="82"/>
        <v>0</v>
      </c>
    </row>
    <row r="2603" spans="1:38" ht="25.5" customHeight="1" x14ac:dyDescent="0.25">
      <c r="A2603" s="10" t="s">
        <v>231</v>
      </c>
      <c r="B2603" s="11" t="s">
        <v>1651</v>
      </c>
      <c r="C2603" s="5">
        <v>68129.029500000004</v>
      </c>
      <c r="D2603" s="5">
        <v>68129.029500000004</v>
      </c>
      <c r="E2603" s="5">
        <v>61692.054799999998</v>
      </c>
      <c r="G2603" s="5" t="str">
        <f t="shared" si="81"/>
        <v>ШАРТАШ</v>
      </c>
      <c r="J2603" s="5"/>
      <c r="AL2603" s="5">
        <f t="shared" si="82"/>
        <v>0</v>
      </c>
    </row>
    <row r="2604" spans="1:38" ht="25.5" customHeight="1" x14ac:dyDescent="0.25">
      <c r="A2604" s="10" t="s">
        <v>2469</v>
      </c>
      <c r="B2604" s="11" t="s">
        <v>1686</v>
      </c>
      <c r="C2604" s="5">
        <v>24299.835599999999</v>
      </c>
      <c r="D2604" s="5">
        <v>24299.835599999999</v>
      </c>
      <c r="E2604" s="5">
        <v>21330.794900000001</v>
      </c>
      <c r="G2604" s="5" t="str">
        <f t="shared" si="81"/>
        <v>Евст_В-Черм</v>
      </c>
      <c r="J2604" s="5"/>
      <c r="AL2604" s="5">
        <f t="shared" si="82"/>
        <v>0</v>
      </c>
    </row>
    <row r="2605" spans="1:38" ht="25.5" customHeight="1" x14ac:dyDescent="0.25">
      <c r="A2605" s="10" t="s">
        <v>2470</v>
      </c>
      <c r="B2605" s="11" t="s">
        <v>1699</v>
      </c>
      <c r="C2605" s="5">
        <v>34007.852099999996</v>
      </c>
      <c r="D2605" s="5">
        <v>34007.852099999996</v>
      </c>
      <c r="E2605" s="5">
        <v>30956.028900000001</v>
      </c>
      <c r="G2605" s="5" t="str">
        <f t="shared" si="81"/>
        <v>Шайтанка</v>
      </c>
      <c r="J2605" s="5"/>
      <c r="AL2605" s="5">
        <f t="shared" si="82"/>
        <v>0</v>
      </c>
    </row>
    <row r="2606" spans="1:38" ht="25.5" customHeight="1" x14ac:dyDescent="0.25">
      <c r="A2606" s="10" t="s">
        <v>511</v>
      </c>
      <c r="B2606" s="11" t="s">
        <v>1673</v>
      </c>
      <c r="C2606" s="5">
        <v>35563.243300000002</v>
      </c>
      <c r="D2606" s="5">
        <v>35563.243300000002</v>
      </c>
      <c r="E2606" s="5">
        <v>31984.905299999999</v>
      </c>
      <c r="G2606" s="5" t="str">
        <f t="shared" si="81"/>
        <v>УАЗ-III - 49 кв.</v>
      </c>
      <c r="J2606" s="5"/>
      <c r="AL2606" s="5">
        <f t="shared" si="82"/>
        <v>0</v>
      </c>
    </row>
    <row r="2607" spans="1:38" ht="25.5" customHeight="1" x14ac:dyDescent="0.25">
      <c r="A2607" s="10" t="s">
        <v>438</v>
      </c>
      <c r="B2607" s="11" t="s">
        <v>1676</v>
      </c>
      <c r="C2607" s="5">
        <v>28848.8855</v>
      </c>
      <c r="D2607" s="5">
        <v>28848.8855</v>
      </c>
      <c r="E2607" s="5">
        <v>25946.143</v>
      </c>
      <c r="G2607" s="5" t="str">
        <f t="shared" si="81"/>
        <v>Чкаловский</v>
      </c>
      <c r="J2607" s="5"/>
      <c r="AL2607" s="5">
        <f t="shared" si="82"/>
        <v>0</v>
      </c>
    </row>
    <row r="2608" spans="1:38" ht="25.5" customHeight="1" x14ac:dyDescent="0.25">
      <c r="A2608" s="10" t="s">
        <v>2471</v>
      </c>
      <c r="B2608" s="11" t="s">
        <v>1679</v>
      </c>
      <c r="C2608" s="5">
        <v>28855.326499999999</v>
      </c>
      <c r="D2608" s="5">
        <v>28855.326499999999</v>
      </c>
      <c r="E2608" s="5">
        <v>25951.933700000001</v>
      </c>
      <c r="G2608" s="5" t="str">
        <f t="shared" si="81"/>
        <v>Ст.Каменск-Хозспособ</v>
      </c>
      <c r="J2608" s="5"/>
      <c r="AL2608" s="5">
        <f t="shared" si="82"/>
        <v>0</v>
      </c>
    </row>
    <row r="2609" spans="1:38" ht="25.5" customHeight="1" x14ac:dyDescent="0.25">
      <c r="A2609" s="10" t="s">
        <v>969</v>
      </c>
      <c r="B2609" s="11" t="s">
        <v>1673</v>
      </c>
      <c r="C2609" s="5">
        <v>35563.243300000002</v>
      </c>
      <c r="D2609" s="5">
        <v>35563.243300000002</v>
      </c>
      <c r="E2609" s="5">
        <v>31984.905299999999</v>
      </c>
      <c r="G2609" s="5" t="str">
        <f t="shared" si="81"/>
        <v>УАЗ-III - 49 кв.</v>
      </c>
      <c r="J2609" s="5"/>
      <c r="AL2609" s="5">
        <f t="shared" si="82"/>
        <v>0</v>
      </c>
    </row>
    <row r="2610" spans="1:38" ht="25.5" customHeight="1" x14ac:dyDescent="0.25">
      <c r="A2610" s="10" t="s">
        <v>598</v>
      </c>
      <c r="B2610" s="11" t="s">
        <v>1675</v>
      </c>
      <c r="C2610" s="5">
        <v>35756.285400000001</v>
      </c>
      <c r="D2610" s="5">
        <v>35756.285400000001</v>
      </c>
      <c r="E2610" s="5">
        <v>32158.5213</v>
      </c>
      <c r="G2610" s="5" t="str">
        <f t="shared" si="81"/>
        <v>УАЗ-II</v>
      </c>
      <c r="J2610" s="5"/>
      <c r="AL2610" s="5">
        <f t="shared" si="82"/>
        <v>0</v>
      </c>
    </row>
    <row r="2611" spans="1:38" ht="25.5" customHeight="1" x14ac:dyDescent="0.25">
      <c r="A2611" s="10" t="s">
        <v>2472</v>
      </c>
      <c r="B2611" s="11" t="s">
        <v>1679</v>
      </c>
      <c r="C2611" s="5">
        <v>28855.326499999999</v>
      </c>
      <c r="D2611" s="5">
        <v>28855.326499999999</v>
      </c>
      <c r="E2611" s="5">
        <v>25951.933700000001</v>
      </c>
      <c r="G2611" s="5" t="str">
        <f t="shared" si="81"/>
        <v>Ст.Каменск-Хозспособ</v>
      </c>
      <c r="J2611" s="5"/>
      <c r="AL2611" s="5">
        <f t="shared" si="82"/>
        <v>0</v>
      </c>
    </row>
    <row r="2612" spans="1:38" x14ac:dyDescent="0.25">
      <c r="A2612" s="10" t="s">
        <v>2473</v>
      </c>
      <c r="B2612" s="11" t="s">
        <v>1681</v>
      </c>
      <c r="C2612" s="5">
        <v>32172.2909</v>
      </c>
      <c r="D2612" s="5">
        <v>32172.2909</v>
      </c>
      <c r="E2612" s="5">
        <v>28935.146499999999</v>
      </c>
      <c r="G2612" s="5" t="str">
        <f t="shared" si="81"/>
        <v>Ленин-Олимп</v>
      </c>
      <c r="J2612" s="5"/>
      <c r="AL2612" s="5">
        <f t="shared" si="82"/>
        <v>0</v>
      </c>
    </row>
    <row r="2613" spans="1:38" ht="25.5" customHeight="1" x14ac:dyDescent="0.25">
      <c r="A2613" s="10" t="s">
        <v>2474</v>
      </c>
      <c r="B2613" s="11" t="s">
        <v>1677</v>
      </c>
      <c r="C2613" s="5">
        <v>39105.413099999998</v>
      </c>
      <c r="D2613" s="5">
        <v>39105.413099999998</v>
      </c>
      <c r="E2613" s="5">
        <v>35170.666700000002</v>
      </c>
      <c r="G2613" s="5" t="str">
        <f t="shared" si="81"/>
        <v>Октябрьский</v>
      </c>
      <c r="J2613" s="5"/>
      <c r="AL2613" s="5">
        <f t="shared" si="82"/>
        <v>0</v>
      </c>
    </row>
    <row r="2614" spans="1:38" x14ac:dyDescent="0.25">
      <c r="A2614" s="10" t="s">
        <v>2475</v>
      </c>
      <c r="B2614" s="11" t="s">
        <v>1674</v>
      </c>
      <c r="C2614" s="5">
        <v>29199.565200000001</v>
      </c>
      <c r="D2614" s="5">
        <v>29199.565200000001</v>
      </c>
      <c r="E2614" s="5">
        <v>26261.5317</v>
      </c>
      <c r="G2614" s="5" t="str">
        <f t="shared" si="81"/>
        <v>УАЗ</v>
      </c>
      <c r="J2614" s="5"/>
      <c r="AL2614" s="5">
        <f t="shared" si="82"/>
        <v>0</v>
      </c>
    </row>
    <row r="2615" spans="1:38" ht="25.5" customHeight="1" x14ac:dyDescent="0.25">
      <c r="A2615" s="10" t="s">
        <v>1391</v>
      </c>
      <c r="B2615" s="11" t="s">
        <v>1679</v>
      </c>
      <c r="C2615" s="5">
        <v>28855.326499999999</v>
      </c>
      <c r="D2615" s="5">
        <v>28855.326499999999</v>
      </c>
      <c r="E2615" s="5">
        <v>25951.933700000001</v>
      </c>
      <c r="G2615" s="5" t="str">
        <f t="shared" si="81"/>
        <v>Ст.Каменск-Хозспособ</v>
      </c>
      <c r="J2615" s="5"/>
      <c r="AL2615" s="5">
        <f t="shared" si="82"/>
        <v>0</v>
      </c>
    </row>
    <row r="2616" spans="1:38" ht="25.5" customHeight="1" x14ac:dyDescent="0.25">
      <c r="A2616" s="10" t="s">
        <v>2476</v>
      </c>
      <c r="B2616" s="11" t="s">
        <v>1684</v>
      </c>
      <c r="C2616" s="5">
        <v>40625.090199999999</v>
      </c>
      <c r="D2616" s="5">
        <v>40625.090199999999</v>
      </c>
      <c r="E2616" s="5">
        <v>35661.364300000001</v>
      </c>
      <c r="G2616" s="5" t="str">
        <f t="shared" si="81"/>
        <v>Ваг_Стар_Пихтовы-г</v>
      </c>
      <c r="J2616" s="5"/>
      <c r="AL2616" s="5">
        <f t="shared" si="82"/>
        <v>0</v>
      </c>
    </row>
    <row r="2617" spans="1:38" ht="25.5" customHeight="1" x14ac:dyDescent="0.25">
      <c r="A2617" s="10" t="s">
        <v>2477</v>
      </c>
      <c r="B2617" s="11" t="s">
        <v>1637</v>
      </c>
      <c r="C2617" s="5">
        <v>59368.686099999999</v>
      </c>
      <c r="D2617" s="5">
        <v>59368.686099999999</v>
      </c>
      <c r="E2617" s="5">
        <v>53759.401700000002</v>
      </c>
      <c r="G2617" s="5" t="str">
        <f t="shared" si="81"/>
        <v>Старая сортировка</v>
      </c>
      <c r="J2617" s="5"/>
      <c r="AL2617" s="5">
        <f t="shared" si="82"/>
        <v>0</v>
      </c>
    </row>
    <row r="2618" spans="1:38" ht="25.5" customHeight="1" x14ac:dyDescent="0.25">
      <c r="A2618" s="10" t="s">
        <v>2478</v>
      </c>
      <c r="B2618" s="11" t="s">
        <v>389</v>
      </c>
      <c r="C2618" s="5">
        <v>51175.5573</v>
      </c>
      <c r="D2618" s="5">
        <v>51175.5573</v>
      </c>
      <c r="E2618" s="5">
        <v>46340.381600000001</v>
      </c>
      <c r="G2618" s="5" t="str">
        <f t="shared" si="81"/>
        <v>Северка</v>
      </c>
      <c r="J2618" s="5"/>
      <c r="AL2618" s="5">
        <f t="shared" si="82"/>
        <v>0</v>
      </c>
    </row>
    <row r="2619" spans="1:38" ht="25.5" customHeight="1" x14ac:dyDescent="0.25">
      <c r="A2619" s="10" t="s">
        <v>2479</v>
      </c>
      <c r="B2619" s="11" t="s">
        <v>1637</v>
      </c>
      <c r="C2619" s="5">
        <v>59368.686099999999</v>
      </c>
      <c r="D2619" s="5">
        <v>59368.686099999999</v>
      </c>
      <c r="E2619" s="5">
        <v>53759.401700000002</v>
      </c>
      <c r="G2619" s="5" t="str">
        <f t="shared" si="81"/>
        <v>Старая сортировка</v>
      </c>
      <c r="J2619" s="5"/>
      <c r="AL2619" s="5">
        <f t="shared" si="82"/>
        <v>0</v>
      </c>
    </row>
    <row r="2620" spans="1:38" ht="25.5" customHeight="1" x14ac:dyDescent="0.25">
      <c r="A2620" s="10" t="s">
        <v>2480</v>
      </c>
      <c r="B2620" s="11" t="s">
        <v>389</v>
      </c>
      <c r="C2620" s="5">
        <v>51175.5573</v>
      </c>
      <c r="D2620" s="5">
        <v>51175.5573</v>
      </c>
      <c r="E2620" s="5">
        <v>46340.381600000001</v>
      </c>
      <c r="G2620" s="5" t="str">
        <f t="shared" si="81"/>
        <v>Северка</v>
      </c>
      <c r="J2620" s="5"/>
      <c r="AL2620" s="5">
        <f t="shared" si="82"/>
        <v>0</v>
      </c>
    </row>
    <row r="2621" spans="1:38" ht="25.5" customHeight="1" x14ac:dyDescent="0.25">
      <c r="A2621" s="10" t="s">
        <v>2481</v>
      </c>
      <c r="B2621" s="11" t="s">
        <v>1673</v>
      </c>
      <c r="C2621" s="5">
        <v>35563.243300000002</v>
      </c>
      <c r="D2621" s="5">
        <v>35563.243300000002</v>
      </c>
      <c r="E2621" s="5">
        <v>31984.905299999999</v>
      </c>
      <c r="G2621" s="5" t="str">
        <f t="shared" si="81"/>
        <v>УАЗ-III - 49 кв.</v>
      </c>
      <c r="J2621" s="5"/>
      <c r="AL2621" s="5">
        <f t="shared" si="82"/>
        <v>0</v>
      </c>
    </row>
    <row r="2622" spans="1:38" x14ac:dyDescent="0.25">
      <c r="A2622" s="10" t="s">
        <v>2482</v>
      </c>
      <c r="B2622" s="11" t="s">
        <v>1681</v>
      </c>
      <c r="C2622" s="5">
        <v>32172.2909</v>
      </c>
      <c r="D2622" s="5">
        <v>32172.2909</v>
      </c>
      <c r="E2622" s="5">
        <v>28935.146499999999</v>
      </c>
      <c r="G2622" s="5" t="str">
        <f t="shared" si="81"/>
        <v>Ленин-Олимп</v>
      </c>
      <c r="J2622" s="5"/>
      <c r="AL2622" s="5">
        <f t="shared" si="82"/>
        <v>0</v>
      </c>
    </row>
    <row r="2623" spans="1:38" ht="25.5" customHeight="1" x14ac:dyDescent="0.25">
      <c r="A2623" s="10" t="s">
        <v>2483</v>
      </c>
      <c r="B2623" s="11" t="s">
        <v>1676</v>
      </c>
      <c r="C2623" s="5">
        <v>28848.8855</v>
      </c>
      <c r="D2623" s="5">
        <v>28848.8855</v>
      </c>
      <c r="E2623" s="5">
        <v>25946.143</v>
      </c>
      <c r="G2623" s="5" t="str">
        <f t="shared" si="81"/>
        <v>Чкаловский</v>
      </c>
      <c r="J2623" s="5"/>
      <c r="AL2623" s="5">
        <f t="shared" si="82"/>
        <v>0</v>
      </c>
    </row>
    <row r="2624" spans="1:38" ht="25.5" customHeight="1" x14ac:dyDescent="0.25">
      <c r="A2624" s="10" t="s">
        <v>199</v>
      </c>
      <c r="B2624" s="11" t="s">
        <v>1675</v>
      </c>
      <c r="C2624" s="5">
        <v>35756.285400000001</v>
      </c>
      <c r="D2624" s="5">
        <v>35756.285400000001</v>
      </c>
      <c r="E2624" s="5">
        <v>32158.5213</v>
      </c>
      <c r="G2624" s="5" t="str">
        <f t="shared" si="81"/>
        <v>УАЗ-II</v>
      </c>
      <c r="J2624" s="5"/>
      <c r="AL2624" s="5">
        <f t="shared" si="82"/>
        <v>0</v>
      </c>
    </row>
    <row r="2625" spans="1:38" ht="25.5" customHeight="1" x14ac:dyDescent="0.25">
      <c r="A2625" s="10" t="s">
        <v>2484</v>
      </c>
      <c r="B2625" s="11" t="s">
        <v>1684</v>
      </c>
      <c r="C2625" s="5">
        <v>40625.090199999999</v>
      </c>
      <c r="D2625" s="5">
        <v>40625.090199999999</v>
      </c>
      <c r="E2625" s="5">
        <v>35661.364300000001</v>
      </c>
      <c r="G2625" s="5" t="str">
        <f t="shared" si="81"/>
        <v>Ваг_Стар_Пихтовы-г</v>
      </c>
      <c r="J2625" s="5"/>
      <c r="AL2625" s="5">
        <f t="shared" si="82"/>
        <v>0</v>
      </c>
    </row>
    <row r="2626" spans="1:38" ht="25.5" customHeight="1" x14ac:dyDescent="0.25">
      <c r="A2626" s="10" t="s">
        <v>2485</v>
      </c>
      <c r="B2626" s="11" t="s">
        <v>1645</v>
      </c>
      <c r="C2626" s="5">
        <v>60958.294800000003</v>
      </c>
      <c r="D2626" s="5">
        <v>60958.294800000003</v>
      </c>
      <c r="E2626" s="5">
        <v>55198.825199999999</v>
      </c>
      <c r="G2626" s="5" t="str">
        <f t="shared" si="81"/>
        <v>ЕЛИЗАВЕТ</v>
      </c>
      <c r="J2626" s="5"/>
      <c r="AL2626" s="5">
        <f t="shared" si="82"/>
        <v>0</v>
      </c>
    </row>
    <row r="2627" spans="1:38" ht="25.5" customHeight="1" x14ac:dyDescent="0.25">
      <c r="A2627" s="10" t="s">
        <v>2486</v>
      </c>
      <c r="B2627" s="11" t="s">
        <v>1650</v>
      </c>
      <c r="C2627" s="5">
        <v>37590.3603</v>
      </c>
      <c r="D2627" s="5">
        <v>37590.3603</v>
      </c>
      <c r="E2627" s="5">
        <v>34038.745900000002</v>
      </c>
      <c r="G2627" s="5" t="str">
        <f t="shared" ref="G2627:G2690" si="83">B2627</f>
        <v>ШАБРОВСКИЙ</v>
      </c>
      <c r="J2627" s="5"/>
      <c r="AL2627" s="5">
        <f t="shared" ref="AL2627:AL2690" si="84">AF2627</f>
        <v>0</v>
      </c>
    </row>
    <row r="2628" spans="1:38" ht="25.5" customHeight="1" x14ac:dyDescent="0.25">
      <c r="A2628" s="10" t="s">
        <v>312</v>
      </c>
      <c r="B2628" s="5" t="s">
        <v>1656</v>
      </c>
      <c r="C2628" s="5">
        <v>60173.9879</v>
      </c>
      <c r="D2628" s="5">
        <v>60173.9879</v>
      </c>
      <c r="E2628" s="5">
        <v>54488.630299999997</v>
      </c>
      <c r="G2628" s="5" t="str">
        <f t="shared" si="83"/>
        <v>МАЛЫЙ ИСТОК</v>
      </c>
      <c r="J2628" s="5"/>
      <c r="AL2628" s="5">
        <f t="shared" si="84"/>
        <v>0</v>
      </c>
    </row>
    <row r="2629" spans="1:38" ht="25.5" customHeight="1" x14ac:dyDescent="0.25">
      <c r="A2629" s="10" t="s">
        <v>2487</v>
      </c>
      <c r="B2629" s="11" t="s">
        <v>1673</v>
      </c>
      <c r="C2629" s="5">
        <v>35563.243300000002</v>
      </c>
      <c r="D2629" s="5">
        <v>35563.243300000002</v>
      </c>
      <c r="E2629" s="5">
        <v>31984.905299999999</v>
      </c>
      <c r="G2629" s="5" t="str">
        <f t="shared" si="83"/>
        <v>УАЗ-III - 49 кв.</v>
      </c>
      <c r="J2629" s="5"/>
      <c r="AL2629" s="5">
        <f t="shared" si="84"/>
        <v>0</v>
      </c>
    </row>
    <row r="2630" spans="1:38" ht="25.5" customHeight="1" x14ac:dyDescent="0.25">
      <c r="A2630" s="10" t="s">
        <v>291</v>
      </c>
      <c r="B2630" s="11" t="s">
        <v>1677</v>
      </c>
      <c r="C2630" s="5">
        <v>39105.413099999998</v>
      </c>
      <c r="D2630" s="5">
        <v>39105.413099999998</v>
      </c>
      <c r="E2630" s="5">
        <v>35170.666700000002</v>
      </c>
      <c r="G2630" s="5" t="str">
        <f t="shared" si="83"/>
        <v>Октябрьский</v>
      </c>
      <c r="J2630" s="5"/>
      <c r="AL2630" s="5">
        <f t="shared" si="84"/>
        <v>0</v>
      </c>
    </row>
    <row r="2631" spans="1:38" ht="25.5" customHeight="1" x14ac:dyDescent="0.25">
      <c r="A2631" s="10" t="s">
        <v>2488</v>
      </c>
      <c r="B2631" s="11" t="s">
        <v>1679</v>
      </c>
      <c r="C2631" s="5">
        <v>28855.326499999999</v>
      </c>
      <c r="D2631" s="5">
        <v>28855.326499999999</v>
      </c>
      <c r="E2631" s="5">
        <v>25951.933700000001</v>
      </c>
      <c r="G2631" s="5" t="str">
        <f t="shared" si="83"/>
        <v>Ст.Каменск-Хозспособ</v>
      </c>
      <c r="J2631" s="5"/>
      <c r="AL2631" s="5">
        <f t="shared" si="84"/>
        <v>0</v>
      </c>
    </row>
    <row r="2632" spans="1:38" ht="25.5" customHeight="1" x14ac:dyDescent="0.25">
      <c r="A2632" s="10" t="s">
        <v>2489</v>
      </c>
      <c r="B2632" s="11" t="s">
        <v>1679</v>
      </c>
      <c r="C2632" s="5">
        <v>28855.326499999999</v>
      </c>
      <c r="D2632" s="5">
        <v>28855.326499999999</v>
      </c>
      <c r="E2632" s="5">
        <v>25951.933700000001</v>
      </c>
      <c r="G2632" s="5" t="str">
        <f t="shared" si="83"/>
        <v>Ст.Каменск-Хозспособ</v>
      </c>
      <c r="J2632" s="5"/>
      <c r="AL2632" s="5">
        <f t="shared" si="84"/>
        <v>0</v>
      </c>
    </row>
    <row r="2633" spans="1:38" ht="25.5" customHeight="1" x14ac:dyDescent="0.25">
      <c r="A2633" s="10" t="s">
        <v>1435</v>
      </c>
      <c r="B2633" s="11" t="s">
        <v>1675</v>
      </c>
      <c r="C2633" s="5">
        <v>35756.285400000001</v>
      </c>
      <c r="D2633" s="5">
        <v>35756.285400000001</v>
      </c>
      <c r="E2633" s="5">
        <v>32158.5213</v>
      </c>
      <c r="G2633" s="5" t="str">
        <f t="shared" si="83"/>
        <v>УАЗ-II</v>
      </c>
      <c r="J2633" s="5"/>
      <c r="AL2633" s="5">
        <f t="shared" si="84"/>
        <v>0</v>
      </c>
    </row>
    <row r="2634" spans="1:38" ht="25.5" customHeight="1" x14ac:dyDescent="0.25">
      <c r="A2634" s="10" t="s">
        <v>2490</v>
      </c>
      <c r="B2634" s="11" t="s">
        <v>1679</v>
      </c>
      <c r="C2634" s="5">
        <v>28855.326499999999</v>
      </c>
      <c r="D2634" s="5">
        <v>28855.326499999999</v>
      </c>
      <c r="E2634" s="5">
        <v>25951.933700000001</v>
      </c>
      <c r="G2634" s="5" t="str">
        <f t="shared" si="83"/>
        <v>Ст.Каменск-Хозспособ</v>
      </c>
      <c r="J2634" s="5"/>
      <c r="AL2634" s="5">
        <f t="shared" si="84"/>
        <v>0</v>
      </c>
    </row>
    <row r="2635" spans="1:38" ht="25.5" customHeight="1" x14ac:dyDescent="0.25">
      <c r="A2635" s="10" t="s">
        <v>2491</v>
      </c>
      <c r="B2635" s="11" t="s">
        <v>1673</v>
      </c>
      <c r="C2635" s="5">
        <v>35563.243300000002</v>
      </c>
      <c r="D2635" s="5">
        <v>35563.243300000002</v>
      </c>
      <c r="E2635" s="5">
        <v>31984.905299999999</v>
      </c>
      <c r="G2635" s="5" t="str">
        <f t="shared" si="83"/>
        <v>УАЗ-III - 49 кв.</v>
      </c>
      <c r="J2635" s="5"/>
      <c r="AL2635" s="5">
        <f t="shared" si="84"/>
        <v>0</v>
      </c>
    </row>
    <row r="2636" spans="1:38" ht="25.5" customHeight="1" x14ac:dyDescent="0.25">
      <c r="A2636" s="10" t="s">
        <v>2492</v>
      </c>
      <c r="B2636" s="11" t="s">
        <v>1632</v>
      </c>
      <c r="C2636" s="5">
        <v>83744.997499999998</v>
      </c>
      <c r="D2636" s="5">
        <v>83744.997499999998</v>
      </c>
      <c r="E2636" s="5">
        <v>75832.596099999995</v>
      </c>
      <c r="G2636" s="5" t="str">
        <f t="shared" si="83"/>
        <v>АВТОВОКЗАЛ</v>
      </c>
      <c r="J2636" s="5"/>
      <c r="AL2636" s="5">
        <f t="shared" si="84"/>
        <v>0</v>
      </c>
    </row>
    <row r="2637" spans="1:38" ht="25.5" customHeight="1" x14ac:dyDescent="0.25">
      <c r="A2637" s="10" t="s">
        <v>1005</v>
      </c>
      <c r="B2637" s="11" t="s">
        <v>1688</v>
      </c>
      <c r="C2637" s="5">
        <v>29893.73</v>
      </c>
      <c r="D2637" s="5">
        <v>29893.73</v>
      </c>
      <c r="E2637" s="5">
        <v>26241.207699999999</v>
      </c>
      <c r="G2637" s="5" t="str">
        <f t="shared" si="83"/>
        <v>Сух_Г-Кам_Н_Кушва_Н-Черм</v>
      </c>
      <c r="J2637" s="5"/>
      <c r="AL2637" s="5">
        <f t="shared" si="84"/>
        <v>0</v>
      </c>
    </row>
    <row r="2638" spans="1:38" ht="25.5" customHeight="1" x14ac:dyDescent="0.25">
      <c r="A2638" s="10" t="s">
        <v>2493</v>
      </c>
      <c r="B2638" s="11" t="s">
        <v>1647</v>
      </c>
      <c r="C2638" s="5">
        <v>63178.133800000003</v>
      </c>
      <c r="D2638" s="5">
        <v>63178.133800000003</v>
      </c>
      <c r="E2638" s="5">
        <v>57208.931499999999</v>
      </c>
      <c r="G2638" s="5" t="str">
        <f t="shared" si="83"/>
        <v>ШИРОКАЯ РЕЧКА</v>
      </c>
      <c r="J2638" s="5"/>
      <c r="AL2638" s="5">
        <f t="shared" si="84"/>
        <v>0</v>
      </c>
    </row>
    <row r="2639" spans="1:38" ht="25.5" customHeight="1" x14ac:dyDescent="0.25">
      <c r="A2639" s="10" t="s">
        <v>1613</v>
      </c>
      <c r="B2639" s="11" t="s">
        <v>1675</v>
      </c>
      <c r="C2639" s="5">
        <v>35756.285400000001</v>
      </c>
      <c r="D2639" s="5">
        <v>35756.285400000001</v>
      </c>
      <c r="E2639" s="5">
        <v>32158.5213</v>
      </c>
      <c r="G2639" s="5" t="str">
        <f t="shared" si="83"/>
        <v>УАЗ-II</v>
      </c>
      <c r="J2639" s="5"/>
      <c r="AL2639" s="5">
        <f t="shared" si="84"/>
        <v>0</v>
      </c>
    </row>
    <row r="2640" spans="1:38" ht="25.5" customHeight="1" x14ac:dyDescent="0.25">
      <c r="A2640" s="10" t="s">
        <v>2494</v>
      </c>
      <c r="B2640" s="11" t="s">
        <v>1628</v>
      </c>
      <c r="C2640" s="5">
        <v>70734.0236</v>
      </c>
      <c r="D2640" s="5">
        <v>70734.0236</v>
      </c>
      <c r="E2640" s="5">
        <v>64050.9208</v>
      </c>
      <c r="G2640" s="5" t="str">
        <f t="shared" si="83"/>
        <v>ЭЛЬМАШ</v>
      </c>
      <c r="J2640" s="5"/>
      <c r="AL2640" s="5">
        <f t="shared" si="84"/>
        <v>0</v>
      </c>
    </row>
    <row r="2641" spans="1:38" ht="25.5" customHeight="1" x14ac:dyDescent="0.25">
      <c r="A2641" s="10" t="s">
        <v>1614</v>
      </c>
      <c r="B2641" s="11" t="s">
        <v>33</v>
      </c>
      <c r="C2641" s="5">
        <v>84298.205100000006</v>
      </c>
      <c r="D2641" s="5">
        <v>84298.205100000006</v>
      </c>
      <c r="E2641" s="5">
        <v>76333.533100000001</v>
      </c>
      <c r="G2641" s="5" t="str">
        <f t="shared" si="83"/>
        <v>ВИЗ</v>
      </c>
      <c r="J2641" s="5"/>
      <c r="AL2641" s="5">
        <f t="shared" si="84"/>
        <v>0</v>
      </c>
    </row>
    <row r="2642" spans="1:38" ht="25.5" customHeight="1" x14ac:dyDescent="0.25">
      <c r="A2642" s="10" t="s">
        <v>2495</v>
      </c>
      <c r="B2642" s="11" t="s">
        <v>1677</v>
      </c>
      <c r="C2642" s="5">
        <v>39105.413099999998</v>
      </c>
      <c r="D2642" s="5">
        <v>39105.413099999998</v>
      </c>
      <c r="E2642" s="5">
        <v>35170.666700000002</v>
      </c>
      <c r="G2642" s="5" t="str">
        <f t="shared" si="83"/>
        <v>Октябрьский</v>
      </c>
      <c r="J2642" s="5"/>
      <c r="AL2642" s="5">
        <f t="shared" si="84"/>
        <v>0</v>
      </c>
    </row>
    <row r="2643" spans="1:38" ht="25.5" customHeight="1" x14ac:dyDescent="0.25">
      <c r="A2643" s="10" t="s">
        <v>2496</v>
      </c>
      <c r="B2643" s="11" t="s">
        <v>483</v>
      </c>
      <c r="C2643" s="5">
        <v>44242.899599999997</v>
      </c>
      <c r="D2643" s="5">
        <v>44242.899599999997</v>
      </c>
      <c r="E2643" s="5">
        <v>40062.737300000001</v>
      </c>
      <c r="G2643" s="5" t="str">
        <f t="shared" si="83"/>
        <v>Шувакиш</v>
      </c>
      <c r="J2643" s="5"/>
      <c r="AL2643" s="5">
        <f t="shared" si="84"/>
        <v>0</v>
      </c>
    </row>
    <row r="2644" spans="1:38" ht="25.5" customHeight="1" x14ac:dyDescent="0.25">
      <c r="A2644" s="10" t="s">
        <v>2497</v>
      </c>
      <c r="B2644" s="11" t="s">
        <v>1679</v>
      </c>
      <c r="C2644" s="5">
        <v>28855.326499999999</v>
      </c>
      <c r="D2644" s="5">
        <v>28855.326499999999</v>
      </c>
      <c r="E2644" s="5">
        <v>25951.933700000001</v>
      </c>
      <c r="G2644" s="5" t="str">
        <f t="shared" si="83"/>
        <v>Ст.Каменск-Хозспособ</v>
      </c>
      <c r="J2644" s="5"/>
      <c r="AL2644" s="5">
        <f t="shared" si="84"/>
        <v>0</v>
      </c>
    </row>
    <row r="2645" spans="1:38" ht="25.5" customHeight="1" x14ac:dyDescent="0.25">
      <c r="A2645" s="10" t="s">
        <v>2498</v>
      </c>
      <c r="B2645" s="11" t="s">
        <v>1644</v>
      </c>
      <c r="C2645" s="5">
        <v>61980.678599999999</v>
      </c>
      <c r="D2645" s="5">
        <v>61980.678599999999</v>
      </c>
      <c r="E2645" s="5">
        <v>56124.615700000002</v>
      </c>
      <c r="G2645" s="5" t="str">
        <f t="shared" si="83"/>
        <v>ХИММАШ</v>
      </c>
      <c r="J2645" s="5"/>
      <c r="AL2645" s="5">
        <f t="shared" si="84"/>
        <v>0</v>
      </c>
    </row>
    <row r="2646" spans="1:38" ht="25.5" customHeight="1" x14ac:dyDescent="0.25">
      <c r="A2646" s="10" t="s">
        <v>2499</v>
      </c>
      <c r="B2646" s="11" t="s">
        <v>1657</v>
      </c>
      <c r="C2646" s="5">
        <v>54886.9666</v>
      </c>
      <c r="D2646" s="5">
        <v>54886.9666</v>
      </c>
      <c r="E2646" s="5">
        <v>49701.1319</v>
      </c>
      <c r="G2646" s="5" t="str">
        <f t="shared" si="83"/>
        <v>КОЛЬЦОВО</v>
      </c>
      <c r="J2646" s="5"/>
      <c r="AL2646" s="5">
        <f t="shared" si="84"/>
        <v>0</v>
      </c>
    </row>
    <row r="2647" spans="1:38" x14ac:dyDescent="0.25">
      <c r="A2647" s="10" t="s">
        <v>2500</v>
      </c>
      <c r="B2647" s="11" t="s">
        <v>1674</v>
      </c>
      <c r="C2647" s="5">
        <v>29199.565200000001</v>
      </c>
      <c r="D2647" s="5">
        <v>29199.565200000001</v>
      </c>
      <c r="E2647" s="5">
        <v>26261.5317</v>
      </c>
      <c r="G2647" s="5" t="str">
        <f t="shared" si="83"/>
        <v>УАЗ</v>
      </c>
      <c r="J2647" s="5"/>
      <c r="AL2647" s="5">
        <f t="shared" si="84"/>
        <v>0</v>
      </c>
    </row>
    <row r="2648" spans="1:38" ht="25.5" customHeight="1" x14ac:dyDescent="0.25">
      <c r="A2648" s="10" t="s">
        <v>1370</v>
      </c>
      <c r="B2648" s="11" t="s">
        <v>1676</v>
      </c>
      <c r="C2648" s="5">
        <v>28848.8855</v>
      </c>
      <c r="D2648" s="5">
        <v>28848.8855</v>
      </c>
      <c r="E2648" s="5">
        <v>25946.143</v>
      </c>
      <c r="G2648" s="5" t="str">
        <f t="shared" si="83"/>
        <v>Чкаловский</v>
      </c>
      <c r="J2648" s="5"/>
      <c r="AL2648" s="5">
        <f t="shared" si="84"/>
        <v>0</v>
      </c>
    </row>
    <row r="2649" spans="1:38" ht="25.5" customHeight="1" x14ac:dyDescent="0.25">
      <c r="A2649" s="10" t="s">
        <v>2501</v>
      </c>
      <c r="B2649" s="11" t="s">
        <v>1675</v>
      </c>
      <c r="C2649" s="5">
        <v>35756.285400000001</v>
      </c>
      <c r="D2649" s="5">
        <v>35756.285400000001</v>
      </c>
      <c r="E2649" s="5">
        <v>32158.5213</v>
      </c>
      <c r="G2649" s="5" t="str">
        <f t="shared" si="83"/>
        <v>УАЗ-II</v>
      </c>
      <c r="J2649" s="5"/>
      <c r="AL2649" s="5">
        <f t="shared" si="84"/>
        <v>0</v>
      </c>
    </row>
    <row r="2650" spans="1:38" ht="25.5" customHeight="1" x14ac:dyDescent="0.25">
      <c r="A2650" s="10" t="s">
        <v>791</v>
      </c>
      <c r="B2650" s="11" t="s">
        <v>1681</v>
      </c>
      <c r="C2650" s="5">
        <v>32172.2909</v>
      </c>
      <c r="D2650" s="5">
        <v>32172.2909</v>
      </c>
      <c r="E2650" s="5">
        <v>28935.146499999999</v>
      </c>
      <c r="G2650" s="5" t="str">
        <f t="shared" si="83"/>
        <v>Ленин-Олимп</v>
      </c>
      <c r="J2650" s="5"/>
      <c r="AL2650" s="5">
        <f t="shared" si="84"/>
        <v>0</v>
      </c>
    </row>
    <row r="2651" spans="1:38" ht="25.5" customHeight="1" x14ac:dyDescent="0.25">
      <c r="A2651" s="10" t="s">
        <v>1544</v>
      </c>
      <c r="B2651" s="11" t="s">
        <v>1676</v>
      </c>
      <c r="C2651" s="5">
        <v>28848.8855</v>
      </c>
      <c r="D2651" s="5">
        <v>28848.8855</v>
      </c>
      <c r="E2651" s="5">
        <v>25946.143</v>
      </c>
      <c r="G2651" s="5" t="str">
        <f t="shared" si="83"/>
        <v>Чкаловский</v>
      </c>
      <c r="J2651" s="5"/>
      <c r="AL2651" s="5">
        <f t="shared" si="84"/>
        <v>0</v>
      </c>
    </row>
    <row r="2652" spans="1:38" ht="25.5" customHeight="1" x14ac:dyDescent="0.25">
      <c r="A2652" s="10" t="s">
        <v>2502</v>
      </c>
      <c r="B2652" s="11" t="s">
        <v>1679</v>
      </c>
      <c r="C2652" s="5">
        <v>28855.326499999999</v>
      </c>
      <c r="D2652" s="5">
        <v>28855.326499999999</v>
      </c>
      <c r="E2652" s="5">
        <v>25951.933700000001</v>
      </c>
      <c r="G2652" s="5" t="str">
        <f t="shared" si="83"/>
        <v>Ст.Каменск-Хозспособ</v>
      </c>
      <c r="J2652" s="5"/>
      <c r="AL2652" s="5">
        <f t="shared" si="84"/>
        <v>0</v>
      </c>
    </row>
    <row r="2653" spans="1:38" ht="25.5" customHeight="1" x14ac:dyDescent="0.25">
      <c r="A2653" s="10" t="s">
        <v>2503</v>
      </c>
      <c r="B2653" s="11" t="s">
        <v>1639</v>
      </c>
      <c r="C2653" s="5">
        <v>53500.443299999999</v>
      </c>
      <c r="D2653" s="5">
        <v>53500.443299999999</v>
      </c>
      <c r="E2653" s="5">
        <v>48445.605100000001</v>
      </c>
      <c r="G2653" s="5" t="str">
        <f t="shared" si="83"/>
        <v>ИСТОК</v>
      </c>
      <c r="J2653" s="5"/>
      <c r="AL2653" s="5">
        <f t="shared" si="84"/>
        <v>0</v>
      </c>
    </row>
    <row r="2654" spans="1:38" ht="25.5" customHeight="1" x14ac:dyDescent="0.25">
      <c r="A2654" s="10" t="s">
        <v>1493</v>
      </c>
      <c r="B2654" s="11" t="s">
        <v>1681</v>
      </c>
      <c r="C2654" s="5">
        <v>32172.2909</v>
      </c>
      <c r="D2654" s="5">
        <v>32172.2909</v>
      </c>
      <c r="E2654" s="5">
        <v>28935.146499999999</v>
      </c>
      <c r="G2654" s="5" t="str">
        <f t="shared" si="83"/>
        <v>Ленин-Олимп</v>
      </c>
      <c r="J2654" s="5"/>
      <c r="AL2654" s="5">
        <f t="shared" si="84"/>
        <v>0</v>
      </c>
    </row>
    <row r="2655" spans="1:38" ht="25.5" customHeight="1" x14ac:dyDescent="0.25">
      <c r="A2655" s="10" t="s">
        <v>2504</v>
      </c>
      <c r="B2655" s="11" t="s">
        <v>1676</v>
      </c>
      <c r="C2655" s="5">
        <v>28848.8855</v>
      </c>
      <c r="D2655" s="5">
        <v>28848.8855</v>
      </c>
      <c r="E2655" s="5">
        <v>25946.143</v>
      </c>
      <c r="G2655" s="5" t="str">
        <f t="shared" si="83"/>
        <v>Чкаловский</v>
      </c>
      <c r="J2655" s="5"/>
      <c r="AL2655" s="5">
        <f t="shared" si="84"/>
        <v>0</v>
      </c>
    </row>
    <row r="2656" spans="1:38" ht="25.5" customHeight="1" x14ac:dyDescent="0.25">
      <c r="A2656" s="10" t="s">
        <v>1048</v>
      </c>
      <c r="B2656" s="11" t="s">
        <v>1679</v>
      </c>
      <c r="C2656" s="5">
        <v>28855.326499999999</v>
      </c>
      <c r="D2656" s="5">
        <v>28855.326499999999</v>
      </c>
      <c r="E2656" s="5">
        <v>25951.933700000001</v>
      </c>
      <c r="G2656" s="5" t="str">
        <f t="shared" si="83"/>
        <v>Ст.Каменск-Хозспособ</v>
      </c>
      <c r="J2656" s="5"/>
      <c r="AL2656" s="5">
        <f t="shared" si="84"/>
        <v>0</v>
      </c>
    </row>
    <row r="2657" spans="1:38" ht="25.5" customHeight="1" x14ac:dyDescent="0.25">
      <c r="A2657" s="10" t="s">
        <v>2505</v>
      </c>
      <c r="B2657" s="11" t="s">
        <v>1679</v>
      </c>
      <c r="C2657" s="5">
        <v>28855.326499999999</v>
      </c>
      <c r="D2657" s="5">
        <v>28855.326499999999</v>
      </c>
      <c r="E2657" s="5">
        <v>25951.933700000001</v>
      </c>
      <c r="G2657" s="5" t="str">
        <f t="shared" si="83"/>
        <v>Ст.Каменск-Хозспособ</v>
      </c>
      <c r="J2657" s="5"/>
      <c r="AL2657" s="5">
        <f t="shared" si="84"/>
        <v>0</v>
      </c>
    </row>
    <row r="2658" spans="1:38" ht="25.5" customHeight="1" x14ac:dyDescent="0.25">
      <c r="A2658" s="10" t="s">
        <v>114</v>
      </c>
      <c r="B2658" s="11" t="s">
        <v>1688</v>
      </c>
      <c r="C2658" s="5">
        <v>29893.73</v>
      </c>
      <c r="D2658" s="5">
        <v>29893.73</v>
      </c>
      <c r="E2658" s="5">
        <v>26241.207699999999</v>
      </c>
      <c r="G2658" s="5" t="str">
        <f t="shared" si="83"/>
        <v>Сух_Г-Кам_Н_Кушва_Н-Черм</v>
      </c>
      <c r="J2658" s="5"/>
      <c r="AL2658" s="5">
        <f t="shared" si="84"/>
        <v>0</v>
      </c>
    </row>
    <row r="2659" spans="1:38" ht="25.5" customHeight="1" x14ac:dyDescent="0.25">
      <c r="A2659" s="10" t="s">
        <v>2506</v>
      </c>
      <c r="B2659" s="11" t="s">
        <v>1636</v>
      </c>
      <c r="C2659" s="5">
        <v>52246.960299999999</v>
      </c>
      <c r="D2659" s="5">
        <v>52246.960299999999</v>
      </c>
      <c r="E2659" s="5">
        <v>47310.556700000001</v>
      </c>
      <c r="G2659" s="5" t="str">
        <f t="shared" si="83"/>
        <v>ГОРНЫЙ ЩИТ</v>
      </c>
      <c r="J2659" s="5"/>
      <c r="AL2659" s="5">
        <f t="shared" si="84"/>
        <v>0</v>
      </c>
    </row>
    <row r="2660" spans="1:38" x14ac:dyDescent="0.25">
      <c r="A2660" s="10" t="s">
        <v>2507</v>
      </c>
      <c r="B2660" s="11" t="s">
        <v>1681</v>
      </c>
      <c r="C2660" s="5">
        <v>32172.2909</v>
      </c>
      <c r="D2660" s="5">
        <v>32172.2909</v>
      </c>
      <c r="E2660" s="5">
        <v>28935.146499999999</v>
      </c>
      <c r="G2660" s="5" t="str">
        <f t="shared" si="83"/>
        <v>Ленин-Олимп</v>
      </c>
      <c r="J2660" s="5"/>
      <c r="AL2660" s="5">
        <f t="shared" si="84"/>
        <v>0</v>
      </c>
    </row>
    <row r="2661" spans="1:38" ht="25.5" customHeight="1" x14ac:dyDescent="0.25">
      <c r="A2661" s="10" t="s">
        <v>2508</v>
      </c>
      <c r="B2661" s="11" t="s">
        <v>1676</v>
      </c>
      <c r="C2661" s="5">
        <v>28848.8855</v>
      </c>
      <c r="D2661" s="5">
        <v>28848.8855</v>
      </c>
      <c r="E2661" s="5">
        <v>25946.143</v>
      </c>
      <c r="G2661" s="5" t="str">
        <f t="shared" si="83"/>
        <v>Чкаловский</v>
      </c>
      <c r="J2661" s="5"/>
      <c r="AL2661" s="5">
        <f t="shared" si="84"/>
        <v>0</v>
      </c>
    </row>
    <row r="2662" spans="1:38" ht="25.5" customHeight="1" x14ac:dyDescent="0.25">
      <c r="A2662" s="10" t="s">
        <v>2509</v>
      </c>
      <c r="B2662" s="11" t="s">
        <v>1661</v>
      </c>
      <c r="C2662" s="5">
        <v>51175.5573</v>
      </c>
      <c r="D2662" s="5">
        <v>51175.5573</v>
      </c>
      <c r="E2662" s="5">
        <v>46340.381600000001</v>
      </c>
      <c r="G2662" s="5" t="str">
        <f t="shared" si="83"/>
        <v>СЕВЕРКА</v>
      </c>
      <c r="J2662" s="5"/>
      <c r="AL2662" s="5">
        <f t="shared" si="84"/>
        <v>0</v>
      </c>
    </row>
    <row r="2663" spans="1:38" x14ac:dyDescent="0.25">
      <c r="A2663" s="10" t="s">
        <v>2510</v>
      </c>
      <c r="B2663" s="11" t="s">
        <v>1681</v>
      </c>
      <c r="C2663" s="5">
        <v>32172.2909</v>
      </c>
      <c r="D2663" s="5">
        <v>32172.2909</v>
      </c>
      <c r="E2663" s="5">
        <v>28935.146499999999</v>
      </c>
      <c r="G2663" s="5" t="str">
        <f t="shared" si="83"/>
        <v>Ленин-Олимп</v>
      </c>
      <c r="J2663" s="5"/>
      <c r="AL2663" s="5">
        <f t="shared" si="84"/>
        <v>0</v>
      </c>
    </row>
    <row r="2664" spans="1:38" ht="25.5" customHeight="1" x14ac:dyDescent="0.25">
      <c r="A2664" s="10" t="s">
        <v>163</v>
      </c>
      <c r="B2664" s="11" t="s">
        <v>1685</v>
      </c>
      <c r="C2664" s="5">
        <v>36513.6518</v>
      </c>
      <c r="D2664" s="5">
        <v>36513.6518</v>
      </c>
      <c r="E2664" s="5">
        <v>32052.276999999998</v>
      </c>
      <c r="G2664" s="5" t="str">
        <f t="shared" si="83"/>
        <v>Выя_Леб_Горб_Кр-Кам</v>
      </c>
      <c r="J2664" s="5"/>
      <c r="AL2664" s="5">
        <f t="shared" si="84"/>
        <v>0</v>
      </c>
    </row>
    <row r="2665" spans="1:38" ht="25.5" customHeight="1" x14ac:dyDescent="0.25">
      <c r="A2665" s="20" t="s">
        <v>849</v>
      </c>
      <c r="B2665" s="22" t="s">
        <v>542</v>
      </c>
      <c r="C2665" s="5">
        <v>21261.0285</v>
      </c>
      <c r="D2665" s="5">
        <v>21261.0285</v>
      </c>
      <c r="E2665" s="5">
        <v>20837.465199999999</v>
      </c>
      <c r="G2665" s="5" t="str">
        <f t="shared" si="83"/>
        <v>ЕВСТЮНИХА</v>
      </c>
      <c r="J2665" s="5"/>
      <c r="AL2665" s="5">
        <f t="shared" si="84"/>
        <v>0</v>
      </c>
    </row>
    <row r="2666" spans="1:38" ht="25.5" customHeight="1" x14ac:dyDescent="0.25">
      <c r="A2666" s="10" t="s">
        <v>1344</v>
      </c>
      <c r="B2666" s="11" t="s">
        <v>1676</v>
      </c>
      <c r="C2666" s="5">
        <v>28848.8855</v>
      </c>
      <c r="D2666" s="5">
        <v>28848.8855</v>
      </c>
      <c r="E2666" s="5">
        <v>25946.143</v>
      </c>
      <c r="G2666" s="5" t="str">
        <f t="shared" si="83"/>
        <v>Чкаловский</v>
      </c>
      <c r="J2666" s="5"/>
      <c r="AL2666" s="5">
        <f t="shared" si="84"/>
        <v>0</v>
      </c>
    </row>
    <row r="2667" spans="1:38" ht="25.5" customHeight="1" x14ac:dyDescent="0.25">
      <c r="A2667" s="10" t="s">
        <v>2511</v>
      </c>
      <c r="B2667" s="11" t="s">
        <v>1639</v>
      </c>
      <c r="C2667" s="5">
        <v>53500.443299999999</v>
      </c>
      <c r="D2667" s="5">
        <v>53500.443299999999</v>
      </c>
      <c r="E2667" s="5">
        <v>48445.605100000001</v>
      </c>
      <c r="G2667" s="5" t="str">
        <f t="shared" si="83"/>
        <v>ИСТОК</v>
      </c>
      <c r="J2667" s="5"/>
      <c r="AL2667" s="5">
        <f t="shared" si="84"/>
        <v>0</v>
      </c>
    </row>
    <row r="2668" spans="1:38" ht="25.5" customHeight="1" x14ac:dyDescent="0.25">
      <c r="A2668" s="10" t="s">
        <v>2512</v>
      </c>
      <c r="B2668" s="11" t="s">
        <v>1665</v>
      </c>
      <c r="C2668" s="5">
        <v>55692.278700000003</v>
      </c>
      <c r="D2668" s="5">
        <v>55692.278700000003</v>
      </c>
      <c r="E2668" s="5">
        <v>50430.350200000001</v>
      </c>
      <c r="G2668" s="5" t="str">
        <f t="shared" si="83"/>
        <v>ПОЛЕВОДСТВО</v>
      </c>
      <c r="J2668" s="5"/>
      <c r="AL2668" s="5">
        <f t="shared" si="84"/>
        <v>0</v>
      </c>
    </row>
    <row r="2669" spans="1:38" ht="25.5" customHeight="1" x14ac:dyDescent="0.25">
      <c r="A2669" s="10" t="s">
        <v>1580</v>
      </c>
      <c r="B2669" s="11" t="s">
        <v>1659</v>
      </c>
      <c r="C2669" s="5">
        <v>59746.832600000002</v>
      </c>
      <c r="D2669" s="5">
        <v>59746.832600000002</v>
      </c>
      <c r="E2669" s="5">
        <v>54101.823700000001</v>
      </c>
      <c r="G2669" s="5" t="str">
        <f t="shared" si="83"/>
        <v>СОВХОЗ</v>
      </c>
      <c r="J2669" s="5"/>
      <c r="AL2669" s="5">
        <f t="shared" si="84"/>
        <v>0</v>
      </c>
    </row>
    <row r="2670" spans="1:38" ht="25.5" customHeight="1" x14ac:dyDescent="0.25">
      <c r="A2670" s="10" t="s">
        <v>2513</v>
      </c>
      <c r="B2670" s="11" t="s">
        <v>1660</v>
      </c>
      <c r="C2670" s="5">
        <v>53262.345800000003</v>
      </c>
      <c r="D2670" s="5">
        <v>53262.345800000003</v>
      </c>
      <c r="E2670" s="5">
        <v>48230.0095</v>
      </c>
      <c r="G2670" s="5" t="str">
        <f t="shared" si="83"/>
        <v>САДОВЫЙ</v>
      </c>
      <c r="J2670" s="5"/>
      <c r="AL2670" s="5">
        <f t="shared" si="84"/>
        <v>0</v>
      </c>
    </row>
    <row r="2671" spans="1:38" ht="25.5" customHeight="1" x14ac:dyDescent="0.25">
      <c r="A2671" s="10" t="s">
        <v>2514</v>
      </c>
      <c r="B2671" s="11" t="s">
        <v>1631</v>
      </c>
      <c r="C2671" s="5">
        <v>70026.7601</v>
      </c>
      <c r="D2671" s="5">
        <v>70026.7601</v>
      </c>
      <c r="E2671" s="5">
        <v>63410.482000000004</v>
      </c>
      <c r="G2671" s="5" t="str">
        <f t="shared" si="83"/>
        <v>УРАЛМАШ</v>
      </c>
      <c r="J2671" s="5"/>
      <c r="AL2671" s="5">
        <f t="shared" si="84"/>
        <v>0</v>
      </c>
    </row>
    <row r="2672" spans="1:38" ht="25.5" customHeight="1" x14ac:dyDescent="0.25">
      <c r="A2672" s="10" t="s">
        <v>445</v>
      </c>
      <c r="B2672" s="11" t="s">
        <v>1675</v>
      </c>
      <c r="C2672" s="5">
        <v>35756.285400000001</v>
      </c>
      <c r="D2672" s="5">
        <v>35756.285400000001</v>
      </c>
      <c r="E2672" s="5">
        <v>32158.5213</v>
      </c>
      <c r="G2672" s="5" t="str">
        <f t="shared" si="83"/>
        <v>УАЗ-II</v>
      </c>
      <c r="J2672" s="5"/>
      <c r="AL2672" s="5">
        <f t="shared" si="84"/>
        <v>0</v>
      </c>
    </row>
    <row r="2673" spans="1:38" ht="25.5" customHeight="1" x14ac:dyDescent="0.25">
      <c r="A2673" s="10" t="s">
        <v>2515</v>
      </c>
      <c r="B2673" s="11" t="s">
        <v>1674</v>
      </c>
      <c r="C2673" s="5">
        <v>29199.565200000001</v>
      </c>
      <c r="D2673" s="5">
        <v>29199.565200000001</v>
      </c>
      <c r="E2673" s="5">
        <v>26261.5317</v>
      </c>
      <c r="G2673" s="5" t="str">
        <f t="shared" si="83"/>
        <v>УАЗ</v>
      </c>
      <c r="J2673" s="5"/>
      <c r="AL2673" s="5">
        <f t="shared" si="84"/>
        <v>0</v>
      </c>
    </row>
    <row r="2674" spans="1:38" ht="25.5" customHeight="1" x14ac:dyDescent="0.25">
      <c r="A2674" s="10" t="s">
        <v>1377</v>
      </c>
      <c r="B2674" s="11" t="s">
        <v>1679</v>
      </c>
      <c r="C2674" s="5">
        <v>28855.326499999999</v>
      </c>
      <c r="D2674" s="5">
        <v>28855.326499999999</v>
      </c>
      <c r="E2674" s="5">
        <v>25951.933700000001</v>
      </c>
      <c r="G2674" s="5" t="str">
        <f t="shared" si="83"/>
        <v>Ст.Каменск-Хозспособ</v>
      </c>
      <c r="J2674" s="5"/>
      <c r="AL2674" s="5">
        <f t="shared" si="84"/>
        <v>0</v>
      </c>
    </row>
    <row r="2675" spans="1:38" ht="25.5" customHeight="1" x14ac:dyDescent="0.25">
      <c r="A2675" s="10" t="s">
        <v>2516</v>
      </c>
      <c r="B2675" s="11" t="s">
        <v>1679</v>
      </c>
      <c r="C2675" s="5">
        <v>28855.326499999999</v>
      </c>
      <c r="D2675" s="5">
        <v>28855.326499999999</v>
      </c>
      <c r="E2675" s="5">
        <v>25951.933700000001</v>
      </c>
      <c r="G2675" s="5" t="str">
        <f t="shared" si="83"/>
        <v>Ст.Каменск-Хозспособ</v>
      </c>
      <c r="J2675" s="5"/>
      <c r="AL2675" s="5">
        <f t="shared" si="84"/>
        <v>0</v>
      </c>
    </row>
    <row r="2676" spans="1:38" ht="25.5" customHeight="1" x14ac:dyDescent="0.25">
      <c r="A2676" s="10" t="s">
        <v>2517</v>
      </c>
      <c r="B2676" s="11" t="s">
        <v>1645</v>
      </c>
      <c r="C2676" s="5">
        <v>60958.294800000003</v>
      </c>
      <c r="D2676" s="5">
        <v>60958.294800000003</v>
      </c>
      <c r="E2676" s="5">
        <v>55198.825199999999</v>
      </c>
      <c r="G2676" s="5" t="str">
        <f t="shared" si="83"/>
        <v>ЕЛИЗАВЕТ</v>
      </c>
      <c r="J2676" s="5"/>
      <c r="AL2676" s="5">
        <f t="shared" si="84"/>
        <v>0</v>
      </c>
    </row>
    <row r="2677" spans="1:38" ht="25.5" customHeight="1" x14ac:dyDescent="0.25">
      <c r="A2677" s="20" t="s">
        <v>2518</v>
      </c>
      <c r="B2677" s="22">
        <v>1003</v>
      </c>
      <c r="C2677" s="5">
        <v>21261.0285</v>
      </c>
      <c r="D2677" s="5">
        <v>21261.0285</v>
      </c>
      <c r="E2677" s="5">
        <v>20837.465199999999</v>
      </c>
      <c r="G2677" s="5">
        <f t="shared" si="83"/>
        <v>1003</v>
      </c>
      <c r="J2677" s="5"/>
      <c r="AL2677" s="5">
        <f t="shared" si="84"/>
        <v>0</v>
      </c>
    </row>
    <row r="2678" spans="1:38" ht="25.5" customHeight="1" x14ac:dyDescent="0.25">
      <c r="A2678" s="10" t="s">
        <v>2519</v>
      </c>
      <c r="B2678" s="11" t="s">
        <v>1675</v>
      </c>
      <c r="C2678" s="5">
        <v>35756.285400000001</v>
      </c>
      <c r="D2678" s="5">
        <v>35756.285400000001</v>
      </c>
      <c r="E2678" s="5">
        <v>32158.5213</v>
      </c>
      <c r="G2678" s="5" t="str">
        <f t="shared" si="83"/>
        <v>УАЗ-II</v>
      </c>
      <c r="J2678" s="5"/>
      <c r="AL2678" s="5">
        <f t="shared" si="84"/>
        <v>0</v>
      </c>
    </row>
    <row r="2679" spans="1:38" ht="25.5" customHeight="1" x14ac:dyDescent="0.25">
      <c r="A2679" s="10" t="s">
        <v>1520</v>
      </c>
      <c r="B2679" s="11" t="s">
        <v>1677</v>
      </c>
      <c r="C2679" s="5">
        <v>39105.413099999998</v>
      </c>
      <c r="D2679" s="5">
        <v>39105.413099999998</v>
      </c>
      <c r="E2679" s="5">
        <v>35170.666700000002</v>
      </c>
      <c r="G2679" s="5" t="str">
        <f t="shared" si="83"/>
        <v>Октябрьский</v>
      </c>
      <c r="J2679" s="5"/>
      <c r="AL2679" s="5">
        <f t="shared" si="84"/>
        <v>0</v>
      </c>
    </row>
    <row r="2680" spans="1:38" ht="25.5" customHeight="1" x14ac:dyDescent="0.25">
      <c r="A2680" s="10" t="s">
        <v>2520</v>
      </c>
      <c r="B2680" s="11" t="s">
        <v>1679</v>
      </c>
      <c r="C2680" s="5">
        <v>28855.326499999999</v>
      </c>
      <c r="D2680" s="5">
        <v>28855.326499999999</v>
      </c>
      <c r="E2680" s="5">
        <v>25951.933700000001</v>
      </c>
      <c r="G2680" s="5" t="str">
        <f t="shared" si="83"/>
        <v>Ст.Каменск-Хозспособ</v>
      </c>
      <c r="J2680" s="5"/>
      <c r="AL2680" s="5">
        <f t="shared" si="84"/>
        <v>0</v>
      </c>
    </row>
    <row r="2681" spans="1:38" ht="25.5" customHeight="1" x14ac:dyDescent="0.25">
      <c r="A2681" s="10" t="s">
        <v>2521</v>
      </c>
      <c r="B2681" s="11" t="s">
        <v>1681</v>
      </c>
      <c r="C2681" s="5">
        <v>32172.2909</v>
      </c>
      <c r="D2681" s="5">
        <v>32172.2909</v>
      </c>
      <c r="E2681" s="5">
        <v>28935.146499999999</v>
      </c>
      <c r="G2681" s="5" t="str">
        <f t="shared" si="83"/>
        <v>Ленин-Олимп</v>
      </c>
      <c r="J2681" s="5"/>
      <c r="AL2681" s="5">
        <f t="shared" si="84"/>
        <v>0</v>
      </c>
    </row>
    <row r="2682" spans="1:38" ht="25.5" customHeight="1" x14ac:dyDescent="0.25">
      <c r="A2682" s="10" t="s">
        <v>278</v>
      </c>
      <c r="B2682" s="11" t="s">
        <v>1677</v>
      </c>
      <c r="C2682" s="5">
        <v>39105.413099999998</v>
      </c>
      <c r="D2682" s="5">
        <v>39105.413099999998</v>
      </c>
      <c r="E2682" s="5">
        <v>35170.666700000002</v>
      </c>
      <c r="G2682" s="5" t="str">
        <f t="shared" si="83"/>
        <v>Октябрьский</v>
      </c>
      <c r="J2682" s="5"/>
      <c r="AL2682" s="5">
        <f t="shared" si="84"/>
        <v>0</v>
      </c>
    </row>
    <row r="2683" spans="1:38" ht="25.5" customHeight="1" x14ac:dyDescent="0.25">
      <c r="A2683" s="10" t="s">
        <v>369</v>
      </c>
      <c r="B2683" s="11" t="s">
        <v>1677</v>
      </c>
      <c r="C2683" s="5">
        <v>39105.413099999998</v>
      </c>
      <c r="D2683" s="5">
        <v>39105.413099999998</v>
      </c>
      <c r="E2683" s="5">
        <v>35170.666700000002</v>
      </c>
      <c r="G2683" s="5" t="str">
        <f t="shared" si="83"/>
        <v>Октябрьский</v>
      </c>
      <c r="J2683" s="5"/>
      <c r="AL2683" s="5">
        <f t="shared" si="84"/>
        <v>0</v>
      </c>
    </row>
    <row r="2684" spans="1:38" ht="25.5" customHeight="1" x14ac:dyDescent="0.25">
      <c r="A2684" s="10" t="s">
        <v>2522</v>
      </c>
      <c r="B2684" s="11" t="s">
        <v>1669</v>
      </c>
      <c r="C2684" s="5">
        <v>60615.160499999998</v>
      </c>
      <c r="D2684" s="5">
        <v>60615.160499999998</v>
      </c>
      <c r="E2684" s="5">
        <v>54888.112399999998</v>
      </c>
      <c r="G2684" s="5" t="str">
        <f t="shared" si="83"/>
        <v>СОЛНЕЧНЫЙ</v>
      </c>
      <c r="J2684" s="5"/>
      <c r="AL2684" s="5">
        <f t="shared" si="84"/>
        <v>0</v>
      </c>
    </row>
    <row r="2685" spans="1:38" ht="25.5" customHeight="1" x14ac:dyDescent="0.25">
      <c r="A2685" s="10" t="s">
        <v>2523</v>
      </c>
      <c r="B2685" s="11" t="s">
        <v>389</v>
      </c>
      <c r="C2685" s="5">
        <v>51175.5573</v>
      </c>
      <c r="D2685" s="5">
        <v>51175.5573</v>
      </c>
      <c r="E2685" s="5">
        <v>46340.381600000001</v>
      </c>
      <c r="G2685" s="5" t="str">
        <f t="shared" si="83"/>
        <v>Северка</v>
      </c>
      <c r="J2685" s="5"/>
      <c r="AL2685" s="5">
        <f t="shared" si="84"/>
        <v>0</v>
      </c>
    </row>
    <row r="2686" spans="1:38" ht="25.5" customHeight="1" x14ac:dyDescent="0.25">
      <c r="A2686" s="10" t="s">
        <v>2524</v>
      </c>
      <c r="B2686" s="11" t="s">
        <v>1636</v>
      </c>
      <c r="C2686" s="5">
        <v>52246.960299999999</v>
      </c>
      <c r="D2686" s="5">
        <v>52246.960299999999</v>
      </c>
      <c r="E2686" s="5">
        <v>47310.556700000001</v>
      </c>
      <c r="G2686" s="5" t="str">
        <f t="shared" si="83"/>
        <v>ГОРНЫЙ ЩИТ</v>
      </c>
      <c r="J2686" s="5"/>
      <c r="AL2686" s="5">
        <f t="shared" si="84"/>
        <v>0</v>
      </c>
    </row>
    <row r="2687" spans="1:38" ht="25.5" customHeight="1" x14ac:dyDescent="0.25">
      <c r="A2687" s="10" t="s">
        <v>331</v>
      </c>
      <c r="B2687" s="11" t="s">
        <v>1684</v>
      </c>
      <c r="C2687" s="5">
        <v>40625.090199999999</v>
      </c>
      <c r="D2687" s="5">
        <v>40625.090199999999</v>
      </c>
      <c r="E2687" s="5">
        <v>35661.364300000001</v>
      </c>
      <c r="G2687" s="5" t="str">
        <f t="shared" si="83"/>
        <v>Ваг_Стар_Пихтовы-г</v>
      </c>
      <c r="J2687" s="5"/>
      <c r="AL2687" s="5">
        <f t="shared" si="84"/>
        <v>0</v>
      </c>
    </row>
    <row r="2688" spans="1:38" ht="25.5" customHeight="1" x14ac:dyDescent="0.25">
      <c r="A2688" s="10" t="s">
        <v>2525</v>
      </c>
      <c r="B2688" s="11" t="s">
        <v>1680</v>
      </c>
      <c r="C2688" s="5">
        <v>29151.309799999999</v>
      </c>
      <c r="D2688" s="5">
        <v>29151.309799999999</v>
      </c>
      <c r="E2688" s="5">
        <v>26218.127700000001</v>
      </c>
      <c r="G2688" s="5" t="str">
        <f t="shared" si="83"/>
        <v>Северный</v>
      </c>
      <c r="J2688" s="5"/>
      <c r="AL2688" s="5">
        <f t="shared" si="84"/>
        <v>0</v>
      </c>
    </row>
    <row r="2689" spans="1:38" ht="25.5" customHeight="1" x14ac:dyDescent="0.25">
      <c r="A2689" s="10" t="s">
        <v>825</v>
      </c>
      <c r="B2689" s="11" t="s">
        <v>1680</v>
      </c>
      <c r="C2689" s="5">
        <v>29151.309799999999</v>
      </c>
      <c r="D2689" s="5">
        <v>29151.309799999999</v>
      </c>
      <c r="E2689" s="5">
        <v>26218.127700000001</v>
      </c>
      <c r="G2689" s="5" t="str">
        <f t="shared" si="83"/>
        <v>Северный</v>
      </c>
      <c r="J2689" s="5"/>
      <c r="AL2689" s="5">
        <f t="shared" si="84"/>
        <v>0</v>
      </c>
    </row>
    <row r="2690" spans="1:38" ht="25.5" customHeight="1" x14ac:dyDescent="0.25">
      <c r="A2690" s="10" t="s">
        <v>2526</v>
      </c>
      <c r="B2690" s="11" t="s">
        <v>1679</v>
      </c>
      <c r="C2690" s="5">
        <v>28855.326499999999</v>
      </c>
      <c r="D2690" s="5">
        <v>28855.326499999999</v>
      </c>
      <c r="E2690" s="5">
        <v>25951.933700000001</v>
      </c>
      <c r="G2690" s="5" t="str">
        <f t="shared" si="83"/>
        <v>Ст.Каменск-Хозспособ</v>
      </c>
      <c r="J2690" s="5"/>
      <c r="AL2690" s="5">
        <f t="shared" si="84"/>
        <v>0</v>
      </c>
    </row>
    <row r="2691" spans="1:38" ht="25.5" customHeight="1" x14ac:dyDescent="0.25">
      <c r="A2691" s="10" t="s">
        <v>645</v>
      </c>
      <c r="B2691" s="11" t="s">
        <v>1699</v>
      </c>
      <c r="C2691" s="5">
        <v>34007.852099999996</v>
      </c>
      <c r="D2691" s="5">
        <v>34007.852099999996</v>
      </c>
      <c r="E2691" s="5">
        <v>30956.028900000001</v>
      </c>
      <c r="G2691" s="5" t="str">
        <f t="shared" ref="G2691:G2754" si="85">B2691</f>
        <v>Шайтанка</v>
      </c>
      <c r="J2691" s="5"/>
      <c r="AL2691" s="5">
        <f t="shared" ref="AL2691:AL2754" si="86">AF2691</f>
        <v>0</v>
      </c>
    </row>
    <row r="2692" spans="1:38" ht="25.5" customHeight="1" x14ac:dyDescent="0.25">
      <c r="A2692" s="10" t="s">
        <v>540</v>
      </c>
      <c r="B2692" s="11" t="s">
        <v>1685</v>
      </c>
      <c r="C2692" s="5">
        <v>36513.6518</v>
      </c>
      <c r="D2692" s="5">
        <v>36513.6518</v>
      </c>
      <c r="E2692" s="5">
        <v>32052.276999999998</v>
      </c>
      <c r="G2692" s="5" t="str">
        <f t="shared" si="85"/>
        <v>Выя_Леб_Горб_Кр-Кам</v>
      </c>
      <c r="J2692" s="5"/>
      <c r="AL2692" s="5">
        <f t="shared" si="86"/>
        <v>0</v>
      </c>
    </row>
    <row r="2693" spans="1:38" ht="25.5" customHeight="1" x14ac:dyDescent="0.25">
      <c r="A2693" s="10" t="s">
        <v>2527</v>
      </c>
      <c r="B2693" s="11" t="s">
        <v>1663</v>
      </c>
      <c r="C2693" s="5">
        <v>44242.899599999997</v>
      </c>
      <c r="D2693" s="5">
        <v>44242.899599999997</v>
      </c>
      <c r="E2693" s="5">
        <v>40062.737300000001</v>
      </c>
      <c r="G2693" s="5" t="str">
        <f t="shared" si="85"/>
        <v>ШУВАКИШ</v>
      </c>
      <c r="J2693" s="5"/>
      <c r="AL2693" s="5">
        <f t="shared" si="86"/>
        <v>0</v>
      </c>
    </row>
    <row r="2694" spans="1:38" ht="25.5" customHeight="1" x14ac:dyDescent="0.25">
      <c r="A2694" s="10" t="s">
        <v>987</v>
      </c>
      <c r="B2694" s="11" t="s">
        <v>1688</v>
      </c>
      <c r="C2694" s="5">
        <v>29893.73</v>
      </c>
      <c r="D2694" s="5">
        <v>29893.73</v>
      </c>
      <c r="E2694" s="5">
        <v>26241.207699999999</v>
      </c>
      <c r="G2694" s="5" t="str">
        <f t="shared" si="85"/>
        <v>Сух_Г-Кам_Н_Кушва_Н-Черм</v>
      </c>
      <c r="J2694" s="5"/>
      <c r="AL2694" s="5">
        <f t="shared" si="86"/>
        <v>0</v>
      </c>
    </row>
    <row r="2695" spans="1:38" ht="25.5" customHeight="1" x14ac:dyDescent="0.25">
      <c r="A2695" s="10" t="s">
        <v>2528</v>
      </c>
      <c r="B2695" s="11" t="s">
        <v>1680</v>
      </c>
      <c r="C2695" s="5">
        <v>29151.309799999999</v>
      </c>
      <c r="D2695" s="5">
        <v>29151.309799999999</v>
      </c>
      <c r="E2695" s="5">
        <v>26218.127700000001</v>
      </c>
      <c r="G2695" s="5" t="str">
        <f t="shared" si="85"/>
        <v>Северный</v>
      </c>
      <c r="J2695" s="5"/>
      <c r="AL2695" s="5">
        <f t="shared" si="86"/>
        <v>0</v>
      </c>
    </row>
    <row r="2696" spans="1:38" ht="25.5" customHeight="1" x14ac:dyDescent="0.25">
      <c r="A2696" s="10" t="s">
        <v>890</v>
      </c>
      <c r="B2696" s="11" t="s">
        <v>1629</v>
      </c>
      <c r="C2696" s="5">
        <v>77743.704100000003</v>
      </c>
      <c r="D2696" s="5">
        <v>77743.704100000003</v>
      </c>
      <c r="E2696" s="5">
        <v>70398.310800000007</v>
      </c>
      <c r="G2696" s="5" t="str">
        <f t="shared" si="85"/>
        <v>ПИОНЕРСКИЙ</v>
      </c>
      <c r="J2696" s="5"/>
      <c r="AL2696" s="5">
        <f t="shared" si="86"/>
        <v>0</v>
      </c>
    </row>
    <row r="2697" spans="1:38" ht="25.5" customHeight="1" x14ac:dyDescent="0.25">
      <c r="A2697" s="10" t="s">
        <v>659</v>
      </c>
      <c r="B2697" s="11" t="s">
        <v>1683</v>
      </c>
      <c r="C2697" s="5">
        <v>40018.9617</v>
      </c>
      <c r="D2697" s="5">
        <v>40018.9617</v>
      </c>
      <c r="E2697" s="5">
        <v>35129.2961</v>
      </c>
      <c r="G2697" s="5" t="str">
        <f t="shared" si="85"/>
        <v>Алт_Гальян_М-Кушва</v>
      </c>
      <c r="J2697" s="5"/>
      <c r="AL2697" s="5">
        <f t="shared" si="86"/>
        <v>0</v>
      </c>
    </row>
    <row r="2698" spans="1:38" ht="25.5" customHeight="1" x14ac:dyDescent="0.25">
      <c r="A2698" s="10" t="s">
        <v>122</v>
      </c>
      <c r="B2698" s="11" t="s">
        <v>1683</v>
      </c>
      <c r="C2698" s="5">
        <v>40018.9617</v>
      </c>
      <c r="D2698" s="5">
        <v>40018.9617</v>
      </c>
      <c r="E2698" s="5">
        <v>35129.2961</v>
      </c>
      <c r="G2698" s="5" t="str">
        <f t="shared" si="85"/>
        <v>Алт_Гальян_М-Кушва</v>
      </c>
      <c r="J2698" s="5"/>
      <c r="AL2698" s="5">
        <f t="shared" si="86"/>
        <v>0</v>
      </c>
    </row>
    <row r="2699" spans="1:38" ht="25.5" customHeight="1" x14ac:dyDescent="0.25">
      <c r="A2699" s="10" t="s">
        <v>343</v>
      </c>
      <c r="B2699" s="11" t="s">
        <v>1657</v>
      </c>
      <c r="C2699" s="5">
        <v>54886.9666</v>
      </c>
      <c r="D2699" s="5">
        <v>54886.9666</v>
      </c>
      <c r="E2699" s="5">
        <v>49701.1319</v>
      </c>
      <c r="G2699" s="5" t="str">
        <f t="shared" si="85"/>
        <v>КОЛЬЦОВО</v>
      </c>
      <c r="J2699" s="5"/>
      <c r="AL2699" s="5">
        <f t="shared" si="86"/>
        <v>0</v>
      </c>
    </row>
    <row r="2700" spans="1:38" ht="25.5" customHeight="1" x14ac:dyDescent="0.25">
      <c r="A2700" s="10" t="s">
        <v>332</v>
      </c>
      <c r="B2700" s="11" t="s">
        <v>1683</v>
      </c>
      <c r="C2700" s="5">
        <v>40018.9617</v>
      </c>
      <c r="D2700" s="5">
        <v>40018.9617</v>
      </c>
      <c r="E2700" s="5">
        <v>35129.2961</v>
      </c>
      <c r="G2700" s="5" t="str">
        <f t="shared" si="85"/>
        <v>Алт_Гальян_М-Кушва</v>
      </c>
      <c r="J2700" s="5"/>
      <c r="AL2700" s="5">
        <f t="shared" si="86"/>
        <v>0</v>
      </c>
    </row>
    <row r="2701" spans="1:38" ht="25.5" customHeight="1" x14ac:dyDescent="0.25">
      <c r="A2701" s="10" t="s">
        <v>2529</v>
      </c>
      <c r="B2701" s="11" t="s">
        <v>1647</v>
      </c>
      <c r="C2701" s="5">
        <v>63178.133800000003</v>
      </c>
      <c r="D2701" s="5">
        <v>63178.133800000003</v>
      </c>
      <c r="E2701" s="5">
        <v>57208.931499999999</v>
      </c>
      <c r="G2701" s="5" t="str">
        <f t="shared" si="85"/>
        <v>ШИРОКАЯ РЕЧКА</v>
      </c>
      <c r="J2701" s="5"/>
      <c r="AL2701" s="5">
        <f t="shared" si="86"/>
        <v>0</v>
      </c>
    </row>
    <row r="2702" spans="1:38" ht="25.5" customHeight="1" x14ac:dyDescent="0.25">
      <c r="A2702" s="10" t="s">
        <v>1548</v>
      </c>
      <c r="B2702" s="11" t="s">
        <v>1651</v>
      </c>
      <c r="C2702" s="5">
        <v>68129.029500000004</v>
      </c>
      <c r="D2702" s="5">
        <v>68129.029500000004</v>
      </c>
      <c r="E2702" s="5">
        <v>61692.054799999998</v>
      </c>
      <c r="G2702" s="5" t="str">
        <f t="shared" si="85"/>
        <v>ШАРТАШ</v>
      </c>
      <c r="J2702" s="5"/>
      <c r="AL2702" s="5">
        <f t="shared" si="86"/>
        <v>0</v>
      </c>
    </row>
    <row r="2703" spans="1:38" ht="25.5" customHeight="1" x14ac:dyDescent="0.25">
      <c r="A2703" s="10" t="s">
        <v>2530</v>
      </c>
      <c r="B2703" s="11" t="s">
        <v>1667</v>
      </c>
      <c r="C2703" s="5">
        <v>56546.599699999999</v>
      </c>
      <c r="D2703" s="5">
        <v>56546.599699999999</v>
      </c>
      <c r="E2703" s="5">
        <v>51203.963499999998</v>
      </c>
      <c r="G2703" s="5" t="str">
        <f t="shared" si="85"/>
        <v>КАЛИНОВСКИЙ</v>
      </c>
      <c r="J2703" s="5"/>
      <c r="AL2703" s="5">
        <f t="shared" si="86"/>
        <v>0</v>
      </c>
    </row>
    <row r="2704" spans="1:38" ht="25.5" customHeight="1" x14ac:dyDescent="0.25">
      <c r="A2704" s="10" t="s">
        <v>2531</v>
      </c>
      <c r="B2704" s="11" t="s">
        <v>1676</v>
      </c>
      <c r="C2704" s="5">
        <v>28848.8855</v>
      </c>
      <c r="D2704" s="5">
        <v>28848.8855</v>
      </c>
      <c r="E2704" s="5">
        <v>25946.143</v>
      </c>
      <c r="G2704" s="5" t="str">
        <f t="shared" si="85"/>
        <v>Чкаловский</v>
      </c>
      <c r="J2704" s="5"/>
      <c r="AL2704" s="5">
        <f t="shared" si="86"/>
        <v>0</v>
      </c>
    </row>
    <row r="2705" spans="1:38" ht="25.5" customHeight="1" x14ac:dyDescent="0.25">
      <c r="A2705" s="10" t="s">
        <v>280</v>
      </c>
      <c r="B2705" s="11" t="s">
        <v>1678</v>
      </c>
      <c r="C2705" s="5">
        <v>37400.280599999998</v>
      </c>
      <c r="D2705" s="5">
        <v>37400.280599999998</v>
      </c>
      <c r="E2705" s="5">
        <v>33637.106500000002</v>
      </c>
      <c r="G2705" s="5" t="str">
        <f t="shared" si="85"/>
        <v>Южный</v>
      </c>
      <c r="J2705" s="5"/>
      <c r="AL2705" s="5">
        <f t="shared" si="86"/>
        <v>0</v>
      </c>
    </row>
    <row r="2706" spans="1:38" ht="25.5" customHeight="1" x14ac:dyDescent="0.25">
      <c r="A2706" s="10" t="s">
        <v>2532</v>
      </c>
      <c r="B2706" s="11" t="s">
        <v>1676</v>
      </c>
      <c r="C2706" s="5">
        <v>28848.8855</v>
      </c>
      <c r="D2706" s="5">
        <v>28848.8855</v>
      </c>
      <c r="E2706" s="5">
        <v>25946.143</v>
      </c>
      <c r="G2706" s="5" t="str">
        <f t="shared" si="85"/>
        <v>Чкаловский</v>
      </c>
      <c r="J2706" s="5"/>
      <c r="AL2706" s="5">
        <f t="shared" si="86"/>
        <v>0</v>
      </c>
    </row>
    <row r="2707" spans="1:38" ht="25.5" customHeight="1" x14ac:dyDescent="0.25">
      <c r="A2707" s="10" t="s">
        <v>2533</v>
      </c>
      <c r="B2707" s="11" t="s">
        <v>1676</v>
      </c>
      <c r="C2707" s="5">
        <v>28848.8855</v>
      </c>
      <c r="D2707" s="5">
        <v>28848.8855</v>
      </c>
      <c r="E2707" s="5">
        <v>25946.143</v>
      </c>
      <c r="G2707" s="5" t="str">
        <f t="shared" si="85"/>
        <v>Чкаловский</v>
      </c>
      <c r="J2707" s="5"/>
      <c r="AL2707" s="5">
        <f t="shared" si="86"/>
        <v>0</v>
      </c>
    </row>
    <row r="2708" spans="1:38" ht="25.5" customHeight="1" x14ac:dyDescent="0.25">
      <c r="A2708" s="10" t="s">
        <v>2534</v>
      </c>
      <c r="B2708" s="11" t="s">
        <v>1676</v>
      </c>
      <c r="C2708" s="5">
        <v>28848.8855</v>
      </c>
      <c r="D2708" s="5">
        <v>28848.8855</v>
      </c>
      <c r="E2708" s="5">
        <v>25946.143</v>
      </c>
      <c r="G2708" s="5" t="str">
        <f t="shared" si="85"/>
        <v>Чкаловский</v>
      </c>
      <c r="J2708" s="5"/>
      <c r="AL2708" s="5">
        <f t="shared" si="86"/>
        <v>0</v>
      </c>
    </row>
    <row r="2709" spans="1:38" ht="25.5" customHeight="1" x14ac:dyDescent="0.25">
      <c r="A2709" s="10" t="s">
        <v>2535</v>
      </c>
      <c r="B2709" s="11" t="s">
        <v>1676</v>
      </c>
      <c r="C2709" s="5">
        <v>28848.8855</v>
      </c>
      <c r="D2709" s="5">
        <v>28848.8855</v>
      </c>
      <c r="E2709" s="5">
        <v>25946.143</v>
      </c>
      <c r="G2709" s="5" t="str">
        <f t="shared" si="85"/>
        <v>Чкаловский</v>
      </c>
      <c r="J2709" s="5"/>
      <c r="AL2709" s="5">
        <f t="shared" si="86"/>
        <v>0</v>
      </c>
    </row>
    <row r="2710" spans="1:38" ht="25.5" customHeight="1" x14ac:dyDescent="0.25">
      <c r="A2710" s="10" t="s">
        <v>2536</v>
      </c>
      <c r="B2710" s="11" t="s">
        <v>1676</v>
      </c>
      <c r="C2710" s="5">
        <v>28848.8855</v>
      </c>
      <c r="D2710" s="5">
        <v>28848.8855</v>
      </c>
      <c r="E2710" s="5">
        <v>25946.143</v>
      </c>
      <c r="G2710" s="5" t="str">
        <f t="shared" si="85"/>
        <v>Чкаловский</v>
      </c>
      <c r="J2710" s="5"/>
      <c r="AL2710" s="5">
        <f t="shared" si="86"/>
        <v>0</v>
      </c>
    </row>
    <row r="2711" spans="1:38" ht="25.5" customHeight="1" x14ac:dyDescent="0.25">
      <c r="A2711" s="10" t="s">
        <v>2537</v>
      </c>
      <c r="B2711" s="11" t="s">
        <v>1676</v>
      </c>
      <c r="C2711" s="5">
        <v>28848.8855</v>
      </c>
      <c r="D2711" s="5">
        <v>28848.8855</v>
      </c>
      <c r="E2711" s="5">
        <v>25946.143</v>
      </c>
      <c r="G2711" s="5" t="str">
        <f t="shared" si="85"/>
        <v>Чкаловский</v>
      </c>
      <c r="J2711" s="5"/>
      <c r="AL2711" s="5">
        <f t="shared" si="86"/>
        <v>0</v>
      </c>
    </row>
    <row r="2712" spans="1:38" ht="25.5" customHeight="1" x14ac:dyDescent="0.25">
      <c r="A2712" s="10" t="s">
        <v>977</v>
      </c>
      <c r="B2712" s="11" t="s">
        <v>1675</v>
      </c>
      <c r="C2712" s="5">
        <v>35756.285400000001</v>
      </c>
      <c r="D2712" s="5">
        <v>35756.285400000001</v>
      </c>
      <c r="E2712" s="5">
        <v>32158.5213</v>
      </c>
      <c r="G2712" s="5" t="str">
        <f t="shared" si="85"/>
        <v>УАЗ-II</v>
      </c>
      <c r="J2712" s="5"/>
      <c r="AL2712" s="5">
        <f t="shared" si="86"/>
        <v>0</v>
      </c>
    </row>
    <row r="2713" spans="1:38" ht="25.5" customHeight="1" x14ac:dyDescent="0.25">
      <c r="A2713" s="10" t="s">
        <v>2538</v>
      </c>
      <c r="B2713" s="11" t="s">
        <v>1673</v>
      </c>
      <c r="C2713" s="5">
        <v>35563.243300000002</v>
      </c>
      <c r="D2713" s="5">
        <v>35563.243300000002</v>
      </c>
      <c r="E2713" s="5">
        <v>31984.905299999999</v>
      </c>
      <c r="G2713" s="5" t="str">
        <f t="shared" si="85"/>
        <v>УАЗ-III - 49 кв.</v>
      </c>
      <c r="J2713" s="5"/>
      <c r="AL2713" s="5">
        <f t="shared" si="86"/>
        <v>0</v>
      </c>
    </row>
    <row r="2714" spans="1:38" ht="25.5" customHeight="1" x14ac:dyDescent="0.25">
      <c r="A2714" s="10" t="s">
        <v>2539</v>
      </c>
      <c r="B2714" s="11" t="s">
        <v>1673</v>
      </c>
      <c r="C2714" s="5">
        <v>35563.243300000002</v>
      </c>
      <c r="D2714" s="5">
        <v>35563.243300000002</v>
      </c>
      <c r="E2714" s="5">
        <v>31984.905299999999</v>
      </c>
      <c r="G2714" s="5" t="str">
        <f t="shared" si="85"/>
        <v>УАЗ-III - 49 кв.</v>
      </c>
      <c r="J2714" s="5"/>
      <c r="AL2714" s="5">
        <f t="shared" si="86"/>
        <v>0</v>
      </c>
    </row>
    <row r="2715" spans="1:38" ht="25.5" customHeight="1" x14ac:dyDescent="0.25">
      <c r="A2715" s="10" t="s">
        <v>2540</v>
      </c>
      <c r="B2715" s="11" t="s">
        <v>1676</v>
      </c>
      <c r="C2715" s="5">
        <v>28848.8855</v>
      </c>
      <c r="D2715" s="5">
        <v>28848.8855</v>
      </c>
      <c r="E2715" s="5">
        <v>25946.143</v>
      </c>
      <c r="G2715" s="5" t="str">
        <f t="shared" si="85"/>
        <v>Чкаловский</v>
      </c>
      <c r="J2715" s="5"/>
      <c r="AL2715" s="5">
        <f t="shared" si="86"/>
        <v>0</v>
      </c>
    </row>
    <row r="2716" spans="1:38" ht="25.5" customHeight="1" x14ac:dyDescent="0.25">
      <c r="A2716" s="10" t="s">
        <v>767</v>
      </c>
      <c r="B2716" s="11" t="s">
        <v>1683</v>
      </c>
      <c r="C2716" s="5">
        <v>40018.9617</v>
      </c>
      <c r="D2716" s="5">
        <v>40018.9617</v>
      </c>
      <c r="E2716" s="5">
        <v>35129.2961</v>
      </c>
      <c r="G2716" s="5" t="str">
        <f t="shared" si="85"/>
        <v>Алт_Гальян_М-Кушва</v>
      </c>
      <c r="J2716" s="5"/>
      <c r="AL2716" s="5">
        <f t="shared" si="86"/>
        <v>0</v>
      </c>
    </row>
    <row r="2717" spans="1:38" x14ac:dyDescent="0.25">
      <c r="A2717" s="10" t="s">
        <v>2541</v>
      </c>
      <c r="B2717" s="11" t="s">
        <v>1681</v>
      </c>
      <c r="C2717" s="5">
        <v>32172.2909</v>
      </c>
      <c r="D2717" s="5">
        <v>32172.2909</v>
      </c>
      <c r="E2717" s="5">
        <v>28935.146499999999</v>
      </c>
      <c r="G2717" s="5" t="str">
        <f t="shared" si="85"/>
        <v>Ленин-Олимп</v>
      </c>
      <c r="J2717" s="5"/>
      <c r="AL2717" s="5">
        <f t="shared" si="86"/>
        <v>0</v>
      </c>
    </row>
    <row r="2718" spans="1:38" ht="25.5" customHeight="1" x14ac:dyDescent="0.25">
      <c r="A2718" s="10" t="s">
        <v>2542</v>
      </c>
      <c r="B2718" s="11" t="s">
        <v>1698</v>
      </c>
      <c r="C2718" s="5">
        <v>38473.686099999999</v>
      </c>
      <c r="D2718" s="5">
        <v>38473.686099999999</v>
      </c>
      <c r="E2718" s="5">
        <v>35021.100899999998</v>
      </c>
      <c r="G2718" s="5" t="str">
        <f t="shared" si="85"/>
        <v>Хромпик</v>
      </c>
      <c r="J2718" s="5"/>
      <c r="AL2718" s="5">
        <f t="shared" si="86"/>
        <v>0</v>
      </c>
    </row>
    <row r="2719" spans="1:38" ht="25.5" customHeight="1" x14ac:dyDescent="0.25">
      <c r="A2719" s="20" t="s">
        <v>2543</v>
      </c>
      <c r="B2719" s="22">
        <v>1003</v>
      </c>
      <c r="C2719" s="5">
        <v>21261.0285</v>
      </c>
      <c r="D2719" s="5">
        <v>21261.0285</v>
      </c>
      <c r="E2719" s="5">
        <v>20837.465199999999</v>
      </c>
      <c r="G2719" s="5">
        <f t="shared" si="85"/>
        <v>1003</v>
      </c>
      <c r="J2719" s="5"/>
      <c r="AL2719" s="5">
        <f t="shared" si="86"/>
        <v>0</v>
      </c>
    </row>
    <row r="2720" spans="1:38" ht="25.5" customHeight="1" x14ac:dyDescent="0.25">
      <c r="A2720" s="10" t="s">
        <v>37</v>
      </c>
      <c r="B2720" s="11" t="s">
        <v>1685</v>
      </c>
      <c r="C2720" s="5">
        <v>36513.6518</v>
      </c>
      <c r="D2720" s="5">
        <v>36513.6518</v>
      </c>
      <c r="E2720" s="5">
        <v>32052.276999999998</v>
      </c>
      <c r="G2720" s="5" t="str">
        <f t="shared" si="85"/>
        <v>Выя_Леб_Горб_Кр-Кам</v>
      </c>
      <c r="J2720" s="5"/>
      <c r="AL2720" s="5">
        <f t="shared" si="86"/>
        <v>0</v>
      </c>
    </row>
    <row r="2721" spans="1:38" ht="25.5" customHeight="1" x14ac:dyDescent="0.25">
      <c r="A2721" s="10" t="s">
        <v>2544</v>
      </c>
      <c r="B2721" s="11" t="s">
        <v>1662</v>
      </c>
      <c r="C2721" s="5">
        <v>46784.877899999999</v>
      </c>
      <c r="D2721" s="5">
        <v>46784.877899999999</v>
      </c>
      <c r="E2721" s="5">
        <v>42364.543299999998</v>
      </c>
      <c r="G2721" s="5" t="str">
        <f t="shared" si="85"/>
        <v>РУДНЫЙ</v>
      </c>
      <c r="J2721" s="5"/>
      <c r="AL2721" s="5">
        <f t="shared" si="86"/>
        <v>0</v>
      </c>
    </row>
    <row r="2722" spans="1:38" ht="25.5" customHeight="1" x14ac:dyDescent="0.25">
      <c r="A2722" s="10" t="s">
        <v>2545</v>
      </c>
      <c r="B2722" s="11" t="s">
        <v>1662</v>
      </c>
      <c r="C2722" s="5">
        <v>46784.877899999999</v>
      </c>
      <c r="D2722" s="5">
        <v>46784.877899999999</v>
      </c>
      <c r="E2722" s="5">
        <v>42364.543299999998</v>
      </c>
      <c r="G2722" s="5" t="str">
        <f t="shared" si="85"/>
        <v>РУДНЫЙ</v>
      </c>
      <c r="J2722" s="5"/>
      <c r="AL2722" s="5">
        <f t="shared" si="86"/>
        <v>0</v>
      </c>
    </row>
    <row r="2723" spans="1:38" ht="25.5" customHeight="1" x14ac:dyDescent="0.25">
      <c r="A2723" s="10" t="s">
        <v>2546</v>
      </c>
      <c r="B2723" s="11" t="s">
        <v>1666</v>
      </c>
      <c r="C2723" s="5">
        <v>46784.877899999999</v>
      </c>
      <c r="D2723" s="5">
        <v>46784.877899999999</v>
      </c>
      <c r="E2723" s="5">
        <v>42364.543299999998</v>
      </c>
      <c r="G2723" s="5" t="str">
        <f t="shared" si="85"/>
        <v>Сулим.Торфянник</v>
      </c>
      <c r="J2723" s="5"/>
      <c r="AL2723" s="5">
        <f t="shared" si="86"/>
        <v>0</v>
      </c>
    </row>
    <row r="2724" spans="1:38" ht="25.5" customHeight="1" x14ac:dyDescent="0.25">
      <c r="A2724" s="10" t="s">
        <v>1327</v>
      </c>
      <c r="B2724" s="11" t="s">
        <v>5230</v>
      </c>
      <c r="C2724" s="5">
        <v>45477.761700000003</v>
      </c>
      <c r="D2724" s="5">
        <v>45477.761700000003</v>
      </c>
      <c r="E2724" s="5">
        <v>39921.119500000001</v>
      </c>
      <c r="G2724" s="5" t="str">
        <f t="shared" si="85"/>
        <v>Центр-Тагил</v>
      </c>
      <c r="J2724" s="5"/>
      <c r="AL2724" s="5">
        <f t="shared" si="86"/>
        <v>0</v>
      </c>
    </row>
    <row r="2725" spans="1:38" ht="25.5" customHeight="1" x14ac:dyDescent="0.25">
      <c r="A2725" s="10" t="s">
        <v>48</v>
      </c>
      <c r="B2725" s="11" t="s">
        <v>1673</v>
      </c>
      <c r="C2725" s="5">
        <v>35563.243300000002</v>
      </c>
      <c r="D2725" s="5">
        <v>35563.243300000002</v>
      </c>
      <c r="E2725" s="5">
        <v>31984.905299999999</v>
      </c>
      <c r="G2725" s="5" t="str">
        <f t="shared" si="85"/>
        <v>УАЗ-III - 49 кв.</v>
      </c>
      <c r="J2725" s="5"/>
      <c r="AL2725" s="5">
        <f t="shared" si="86"/>
        <v>0</v>
      </c>
    </row>
    <row r="2726" spans="1:38" ht="25.5" customHeight="1" x14ac:dyDescent="0.25">
      <c r="A2726" s="10" t="s">
        <v>2547</v>
      </c>
      <c r="B2726" s="11" t="s">
        <v>1681</v>
      </c>
      <c r="C2726" s="5">
        <v>32172.2909</v>
      </c>
      <c r="D2726" s="5">
        <v>32172.2909</v>
      </c>
      <c r="E2726" s="5">
        <v>28935.146499999999</v>
      </c>
      <c r="G2726" s="5" t="str">
        <f t="shared" si="85"/>
        <v>Ленин-Олимп</v>
      </c>
      <c r="J2726" s="5"/>
      <c r="AL2726" s="5">
        <f t="shared" si="86"/>
        <v>0</v>
      </c>
    </row>
    <row r="2727" spans="1:38" ht="25.5" customHeight="1" x14ac:dyDescent="0.25">
      <c r="A2727" s="10" t="s">
        <v>2548</v>
      </c>
      <c r="B2727" s="11" t="s">
        <v>1657</v>
      </c>
      <c r="C2727" s="5">
        <v>54886.9666</v>
      </c>
      <c r="D2727" s="5">
        <v>54886.9666</v>
      </c>
      <c r="E2727" s="5">
        <v>49701.1319</v>
      </c>
      <c r="G2727" s="5" t="str">
        <f t="shared" si="85"/>
        <v>КОЛЬЦОВО</v>
      </c>
      <c r="J2727" s="5"/>
      <c r="AL2727" s="5">
        <f t="shared" si="86"/>
        <v>0</v>
      </c>
    </row>
    <row r="2728" spans="1:38" ht="25.5" customHeight="1" x14ac:dyDescent="0.25">
      <c r="A2728" s="10" t="s">
        <v>2549</v>
      </c>
      <c r="B2728" s="11" t="s">
        <v>1659</v>
      </c>
      <c r="C2728" s="5">
        <v>59746.832600000002</v>
      </c>
      <c r="D2728" s="5">
        <v>59746.832600000002</v>
      </c>
      <c r="E2728" s="5">
        <v>54101.823700000001</v>
      </c>
      <c r="G2728" s="5" t="str">
        <f t="shared" si="85"/>
        <v>СОВХОЗ</v>
      </c>
      <c r="J2728" s="5"/>
      <c r="AL2728" s="5">
        <f t="shared" si="86"/>
        <v>0</v>
      </c>
    </row>
    <row r="2729" spans="1:38" ht="25.5" customHeight="1" x14ac:dyDescent="0.25">
      <c r="A2729" s="10" t="s">
        <v>80</v>
      </c>
      <c r="B2729" s="5" t="s">
        <v>1646</v>
      </c>
      <c r="C2729" s="5">
        <v>61763.596599999997</v>
      </c>
      <c r="D2729" s="5">
        <v>61763.596599999997</v>
      </c>
      <c r="E2729" s="5">
        <v>55928.0435</v>
      </c>
      <c r="G2729" s="5" t="str">
        <f t="shared" si="85"/>
        <v>АКАДЕМИЧЕСКИЙ</v>
      </c>
      <c r="J2729" s="5"/>
      <c r="AL2729" s="5">
        <f t="shared" si="86"/>
        <v>0</v>
      </c>
    </row>
    <row r="2730" spans="1:38" ht="25.5" customHeight="1" x14ac:dyDescent="0.25">
      <c r="A2730" s="10" t="s">
        <v>2550</v>
      </c>
      <c r="B2730" s="11" t="s">
        <v>1682</v>
      </c>
      <c r="C2730" s="5">
        <v>38278.589899999999</v>
      </c>
      <c r="D2730" s="5">
        <v>38278.589899999999</v>
      </c>
      <c r="E2730" s="5">
        <v>34427.0285</v>
      </c>
      <c r="G2730" s="5" t="str">
        <f t="shared" si="85"/>
        <v>Трубников</v>
      </c>
      <c r="J2730" s="5"/>
      <c r="AL2730" s="5">
        <f t="shared" si="86"/>
        <v>0</v>
      </c>
    </row>
    <row r="2731" spans="1:38" ht="25.5" customHeight="1" x14ac:dyDescent="0.25">
      <c r="A2731" s="10" t="s">
        <v>2551</v>
      </c>
      <c r="B2731" s="11" t="s">
        <v>1679</v>
      </c>
      <c r="C2731" s="5">
        <v>28855.326499999999</v>
      </c>
      <c r="D2731" s="5">
        <v>28855.326499999999</v>
      </c>
      <c r="E2731" s="5">
        <v>25951.933700000001</v>
      </c>
      <c r="G2731" s="5" t="str">
        <f t="shared" si="85"/>
        <v>Ст.Каменск-Хозспособ</v>
      </c>
      <c r="J2731" s="5"/>
      <c r="AL2731" s="5">
        <f t="shared" si="86"/>
        <v>0</v>
      </c>
    </row>
    <row r="2732" spans="1:38" ht="25.5" customHeight="1" x14ac:dyDescent="0.25">
      <c r="A2732" s="10" t="s">
        <v>140</v>
      </c>
      <c r="B2732" s="11" t="s">
        <v>33</v>
      </c>
      <c r="C2732" s="5">
        <v>84298.205100000006</v>
      </c>
      <c r="D2732" s="5">
        <v>84298.205100000006</v>
      </c>
      <c r="E2732" s="5">
        <v>76333.533100000001</v>
      </c>
      <c r="G2732" s="5" t="str">
        <f t="shared" si="85"/>
        <v>ВИЗ</v>
      </c>
      <c r="J2732" s="5"/>
      <c r="AL2732" s="5">
        <f t="shared" si="86"/>
        <v>0</v>
      </c>
    </row>
    <row r="2733" spans="1:38" ht="25.5" customHeight="1" x14ac:dyDescent="0.25">
      <c r="A2733" s="10" t="s">
        <v>2552</v>
      </c>
      <c r="B2733" s="11" t="s">
        <v>1668</v>
      </c>
      <c r="C2733" s="5">
        <v>51343.6201</v>
      </c>
      <c r="D2733" s="5">
        <v>51343.6201</v>
      </c>
      <c r="E2733" s="5">
        <v>46492.558799999999</v>
      </c>
      <c r="G2733" s="5" t="str">
        <f t="shared" si="85"/>
        <v>МЕДНЫЙ</v>
      </c>
      <c r="J2733" s="5"/>
      <c r="AL2733" s="5">
        <f t="shared" si="86"/>
        <v>0</v>
      </c>
    </row>
    <row r="2734" spans="1:38" ht="25.5" customHeight="1" x14ac:dyDescent="0.25">
      <c r="A2734" s="10" t="s">
        <v>2553</v>
      </c>
      <c r="B2734" s="11" t="s">
        <v>1647</v>
      </c>
      <c r="C2734" s="5">
        <v>63178.133800000003</v>
      </c>
      <c r="D2734" s="5">
        <v>63178.133800000003</v>
      </c>
      <c r="E2734" s="5">
        <v>57208.931499999999</v>
      </c>
      <c r="G2734" s="5" t="str">
        <f t="shared" si="85"/>
        <v>ШИРОКАЯ РЕЧКА</v>
      </c>
      <c r="J2734" s="5"/>
      <c r="AL2734" s="5">
        <f t="shared" si="86"/>
        <v>0</v>
      </c>
    </row>
    <row r="2735" spans="1:38" ht="25.5" customHeight="1" x14ac:dyDescent="0.25">
      <c r="A2735" s="10" t="s">
        <v>2554</v>
      </c>
      <c r="B2735" s="11" t="s">
        <v>1676</v>
      </c>
      <c r="C2735" s="5">
        <v>28848.8855</v>
      </c>
      <c r="D2735" s="5">
        <v>28848.8855</v>
      </c>
      <c r="E2735" s="5">
        <v>25946.143</v>
      </c>
      <c r="G2735" s="5" t="str">
        <f t="shared" si="85"/>
        <v>Чкаловский</v>
      </c>
      <c r="J2735" s="5"/>
      <c r="AL2735" s="5">
        <f t="shared" si="86"/>
        <v>0</v>
      </c>
    </row>
    <row r="2736" spans="1:38" ht="25.5" customHeight="1" x14ac:dyDescent="0.25">
      <c r="A2736" s="10" t="s">
        <v>2555</v>
      </c>
      <c r="B2736" s="11" t="s">
        <v>1676</v>
      </c>
      <c r="C2736" s="5">
        <v>28848.8855</v>
      </c>
      <c r="D2736" s="5">
        <v>28848.8855</v>
      </c>
      <c r="E2736" s="5">
        <v>25946.143</v>
      </c>
      <c r="G2736" s="5" t="str">
        <f t="shared" si="85"/>
        <v>Чкаловский</v>
      </c>
      <c r="J2736" s="5"/>
      <c r="AL2736" s="5">
        <f t="shared" si="86"/>
        <v>0</v>
      </c>
    </row>
    <row r="2737" spans="1:38" ht="25.5" customHeight="1" x14ac:dyDescent="0.25">
      <c r="A2737" s="10" t="s">
        <v>2556</v>
      </c>
      <c r="B2737" s="11" t="s">
        <v>1675</v>
      </c>
      <c r="C2737" s="5">
        <v>35756.285400000001</v>
      </c>
      <c r="D2737" s="5">
        <v>35756.285400000001</v>
      </c>
      <c r="E2737" s="5">
        <v>32158.5213</v>
      </c>
      <c r="G2737" s="5" t="str">
        <f t="shared" si="85"/>
        <v>УАЗ-II</v>
      </c>
      <c r="J2737" s="5"/>
      <c r="AL2737" s="5">
        <f t="shared" si="86"/>
        <v>0</v>
      </c>
    </row>
    <row r="2738" spans="1:38" ht="25.5" customHeight="1" x14ac:dyDescent="0.25">
      <c r="A2738" s="10" t="s">
        <v>2557</v>
      </c>
      <c r="B2738" s="11" t="s">
        <v>1676</v>
      </c>
      <c r="C2738" s="5">
        <v>28848.8855</v>
      </c>
      <c r="D2738" s="5">
        <v>28848.8855</v>
      </c>
      <c r="E2738" s="5">
        <v>25946.143</v>
      </c>
      <c r="G2738" s="5" t="str">
        <f t="shared" si="85"/>
        <v>Чкаловский</v>
      </c>
      <c r="J2738" s="5"/>
      <c r="AL2738" s="5">
        <f t="shared" si="86"/>
        <v>0</v>
      </c>
    </row>
    <row r="2739" spans="1:38" ht="25.5" customHeight="1" x14ac:dyDescent="0.25">
      <c r="A2739" s="10" t="s">
        <v>391</v>
      </c>
      <c r="B2739" s="11" t="s">
        <v>5230</v>
      </c>
      <c r="C2739" s="5">
        <v>45477.761700000003</v>
      </c>
      <c r="D2739" s="5">
        <v>45477.761700000003</v>
      </c>
      <c r="E2739" s="5">
        <v>39921.119500000001</v>
      </c>
      <c r="G2739" s="5" t="str">
        <f t="shared" si="85"/>
        <v>Центр-Тагил</v>
      </c>
      <c r="J2739" s="5"/>
      <c r="AL2739" s="5">
        <f t="shared" si="86"/>
        <v>0</v>
      </c>
    </row>
    <row r="2740" spans="1:38" ht="25.5" customHeight="1" x14ac:dyDescent="0.25">
      <c r="A2740" s="10" t="s">
        <v>1473</v>
      </c>
      <c r="B2740" s="11" t="s">
        <v>1688</v>
      </c>
      <c r="C2740" s="5">
        <v>29893.73</v>
      </c>
      <c r="D2740" s="5">
        <v>29893.73</v>
      </c>
      <c r="E2740" s="5">
        <v>26241.207699999999</v>
      </c>
      <c r="G2740" s="5" t="str">
        <f t="shared" si="85"/>
        <v>Сух_Г-Кам_Н_Кушва_Н-Черм</v>
      </c>
      <c r="J2740" s="5"/>
      <c r="AL2740" s="5">
        <f t="shared" si="86"/>
        <v>0</v>
      </c>
    </row>
    <row r="2741" spans="1:38" ht="25.5" customHeight="1" x14ac:dyDescent="0.25">
      <c r="A2741" s="10" t="s">
        <v>382</v>
      </c>
      <c r="B2741" s="11" t="s">
        <v>1683</v>
      </c>
      <c r="C2741" s="5">
        <v>40018.9617</v>
      </c>
      <c r="D2741" s="5">
        <v>40018.9617</v>
      </c>
      <c r="E2741" s="5">
        <v>35129.2961</v>
      </c>
      <c r="G2741" s="5" t="str">
        <f t="shared" si="85"/>
        <v>Алт_Гальян_М-Кушва</v>
      </c>
      <c r="J2741" s="5"/>
      <c r="AL2741" s="5">
        <f t="shared" si="86"/>
        <v>0</v>
      </c>
    </row>
    <row r="2742" spans="1:38" ht="25.5" customHeight="1" x14ac:dyDescent="0.25">
      <c r="A2742" s="10" t="s">
        <v>2558</v>
      </c>
      <c r="B2742" s="11" t="s">
        <v>1691</v>
      </c>
      <c r="C2742" s="5">
        <v>36244.5985</v>
      </c>
      <c r="D2742" s="5">
        <v>36244.5985</v>
      </c>
      <c r="E2742" s="5">
        <v>32992.053800000002</v>
      </c>
      <c r="G2742" s="5" t="str">
        <f t="shared" si="85"/>
        <v>ДинСанПод</v>
      </c>
      <c r="J2742" s="5"/>
      <c r="AL2742" s="5">
        <f t="shared" si="86"/>
        <v>0</v>
      </c>
    </row>
    <row r="2743" spans="1:38" ht="25.5" customHeight="1" x14ac:dyDescent="0.25">
      <c r="A2743" s="10" t="s">
        <v>2559</v>
      </c>
      <c r="B2743" s="11" t="s">
        <v>779</v>
      </c>
      <c r="C2743" s="5">
        <v>46784.877899999999</v>
      </c>
      <c r="D2743" s="5">
        <v>46784.877899999999</v>
      </c>
      <c r="E2743" s="5">
        <v>42364.543299999998</v>
      </c>
      <c r="G2743" s="5" t="str">
        <f t="shared" si="85"/>
        <v>Нижнеисетский</v>
      </c>
      <c r="J2743" s="5"/>
      <c r="AL2743" s="5">
        <f t="shared" si="86"/>
        <v>0</v>
      </c>
    </row>
    <row r="2744" spans="1:38" ht="25.5" customHeight="1" x14ac:dyDescent="0.25">
      <c r="A2744" s="10" t="s">
        <v>1105</v>
      </c>
      <c r="B2744" s="11" t="s">
        <v>1677</v>
      </c>
      <c r="C2744" s="5">
        <v>39105.413099999998</v>
      </c>
      <c r="D2744" s="5">
        <v>39105.413099999998</v>
      </c>
      <c r="E2744" s="5">
        <v>35170.666700000002</v>
      </c>
      <c r="G2744" s="5" t="str">
        <f t="shared" si="85"/>
        <v>Октябрьский</v>
      </c>
      <c r="J2744" s="5"/>
      <c r="AL2744" s="5">
        <f t="shared" si="86"/>
        <v>0</v>
      </c>
    </row>
    <row r="2745" spans="1:38" ht="25.5" customHeight="1" x14ac:dyDescent="0.25">
      <c r="A2745" s="10" t="s">
        <v>2560</v>
      </c>
      <c r="B2745" s="11" t="s">
        <v>33</v>
      </c>
      <c r="C2745" s="5">
        <v>84298.205100000006</v>
      </c>
      <c r="D2745" s="5">
        <v>84298.205100000006</v>
      </c>
      <c r="E2745" s="5">
        <v>76333.533100000001</v>
      </c>
      <c r="G2745" s="5" t="str">
        <f t="shared" si="85"/>
        <v>ВИЗ</v>
      </c>
      <c r="J2745" s="5"/>
      <c r="AL2745" s="5">
        <f t="shared" si="86"/>
        <v>0</v>
      </c>
    </row>
    <row r="2746" spans="1:38" ht="25.5" customHeight="1" x14ac:dyDescent="0.25">
      <c r="A2746" s="10" t="s">
        <v>1331</v>
      </c>
      <c r="B2746" s="11" t="s">
        <v>1679</v>
      </c>
      <c r="C2746" s="5">
        <v>28855.326499999999</v>
      </c>
      <c r="D2746" s="5">
        <v>28855.326499999999</v>
      </c>
      <c r="E2746" s="5">
        <v>25951.933700000001</v>
      </c>
      <c r="G2746" s="5" t="str">
        <f t="shared" si="85"/>
        <v>Ст.Каменск-Хозспособ</v>
      </c>
      <c r="J2746" s="5"/>
      <c r="AL2746" s="5">
        <f t="shared" si="86"/>
        <v>0</v>
      </c>
    </row>
    <row r="2747" spans="1:38" ht="25.5" customHeight="1" x14ac:dyDescent="0.25">
      <c r="A2747" s="10" t="s">
        <v>2561</v>
      </c>
      <c r="B2747" s="11" t="s">
        <v>1673</v>
      </c>
      <c r="C2747" s="5">
        <v>35563.243300000002</v>
      </c>
      <c r="D2747" s="5">
        <v>35563.243300000002</v>
      </c>
      <c r="E2747" s="5">
        <v>31984.905299999999</v>
      </c>
      <c r="G2747" s="5" t="str">
        <f t="shared" si="85"/>
        <v>УАЗ-III - 49 кв.</v>
      </c>
      <c r="J2747" s="5"/>
      <c r="AL2747" s="5">
        <f t="shared" si="86"/>
        <v>0</v>
      </c>
    </row>
    <row r="2748" spans="1:38" ht="25.5" customHeight="1" x14ac:dyDescent="0.25">
      <c r="A2748" s="10" t="s">
        <v>322</v>
      </c>
      <c r="B2748" s="11" t="s">
        <v>1647</v>
      </c>
      <c r="C2748" s="5">
        <v>63178.133800000003</v>
      </c>
      <c r="D2748" s="5">
        <v>63178.133800000003</v>
      </c>
      <c r="E2748" s="5">
        <v>57208.931499999999</v>
      </c>
      <c r="G2748" s="5" t="str">
        <f t="shared" si="85"/>
        <v>ШИРОКАЯ РЕЧКА</v>
      </c>
      <c r="J2748" s="5"/>
      <c r="AL2748" s="5">
        <f t="shared" si="86"/>
        <v>0</v>
      </c>
    </row>
    <row r="2749" spans="1:38" ht="25.5" customHeight="1" x14ac:dyDescent="0.25">
      <c r="A2749" s="10" t="s">
        <v>1471</v>
      </c>
      <c r="B2749" s="11" t="s">
        <v>1651</v>
      </c>
      <c r="C2749" s="5">
        <v>68129.029500000004</v>
      </c>
      <c r="D2749" s="5">
        <v>68129.029500000004</v>
      </c>
      <c r="E2749" s="5">
        <v>61692.054799999998</v>
      </c>
      <c r="G2749" s="5" t="str">
        <f t="shared" si="85"/>
        <v>ШАРТАШ</v>
      </c>
      <c r="J2749" s="5"/>
      <c r="AL2749" s="5">
        <f t="shared" si="86"/>
        <v>0</v>
      </c>
    </row>
    <row r="2750" spans="1:38" ht="25.5" customHeight="1" x14ac:dyDescent="0.25">
      <c r="A2750" s="10" t="s">
        <v>2562</v>
      </c>
      <c r="B2750" s="11" t="s">
        <v>1675</v>
      </c>
      <c r="C2750" s="5">
        <v>35756.285400000001</v>
      </c>
      <c r="D2750" s="5">
        <v>35756.285400000001</v>
      </c>
      <c r="E2750" s="5">
        <v>32158.5213</v>
      </c>
      <c r="G2750" s="5" t="str">
        <f t="shared" si="85"/>
        <v>УАЗ-II</v>
      </c>
      <c r="J2750" s="5"/>
      <c r="AL2750" s="5">
        <f t="shared" si="86"/>
        <v>0</v>
      </c>
    </row>
    <row r="2751" spans="1:38" x14ac:dyDescent="0.25">
      <c r="A2751" s="10" t="s">
        <v>2563</v>
      </c>
      <c r="B2751" s="11" t="s">
        <v>1674</v>
      </c>
      <c r="C2751" s="5">
        <v>29199.565200000001</v>
      </c>
      <c r="D2751" s="5">
        <v>29199.565200000001</v>
      </c>
      <c r="E2751" s="5">
        <v>26261.5317</v>
      </c>
      <c r="G2751" s="5" t="str">
        <f t="shared" si="85"/>
        <v>УАЗ</v>
      </c>
      <c r="J2751" s="5"/>
      <c r="AL2751" s="5">
        <f t="shared" si="86"/>
        <v>0</v>
      </c>
    </row>
    <row r="2752" spans="1:38" x14ac:dyDescent="0.25">
      <c r="A2752" s="10" t="s">
        <v>2564</v>
      </c>
      <c r="B2752" s="11" t="s">
        <v>1674</v>
      </c>
      <c r="C2752" s="5">
        <v>29199.565200000001</v>
      </c>
      <c r="D2752" s="5">
        <v>29199.565200000001</v>
      </c>
      <c r="E2752" s="5">
        <v>26261.5317</v>
      </c>
      <c r="G2752" s="5" t="str">
        <f t="shared" si="85"/>
        <v>УАЗ</v>
      </c>
      <c r="J2752" s="5"/>
      <c r="AL2752" s="5">
        <f t="shared" si="86"/>
        <v>0</v>
      </c>
    </row>
    <row r="2753" spans="1:38" ht="25.5" customHeight="1" x14ac:dyDescent="0.25">
      <c r="A2753" s="10" t="s">
        <v>2565</v>
      </c>
      <c r="B2753" s="11" t="s">
        <v>1673</v>
      </c>
      <c r="C2753" s="5">
        <v>35563.243300000002</v>
      </c>
      <c r="D2753" s="5">
        <v>35563.243300000002</v>
      </c>
      <c r="E2753" s="5">
        <v>31984.905299999999</v>
      </c>
      <c r="G2753" s="5" t="str">
        <f t="shared" si="85"/>
        <v>УАЗ-III - 49 кв.</v>
      </c>
      <c r="J2753" s="5"/>
      <c r="AL2753" s="5">
        <f t="shared" si="86"/>
        <v>0</v>
      </c>
    </row>
    <row r="2754" spans="1:38" ht="25.5" customHeight="1" x14ac:dyDescent="0.25">
      <c r="A2754" s="10" t="s">
        <v>2566</v>
      </c>
      <c r="B2754" s="11" t="s">
        <v>1673</v>
      </c>
      <c r="C2754" s="5">
        <v>35563.243300000002</v>
      </c>
      <c r="D2754" s="5">
        <v>35563.243300000002</v>
      </c>
      <c r="E2754" s="5">
        <v>31984.905299999999</v>
      </c>
      <c r="G2754" s="5" t="str">
        <f t="shared" si="85"/>
        <v>УАЗ-III - 49 кв.</v>
      </c>
      <c r="J2754" s="5"/>
      <c r="AL2754" s="5">
        <f t="shared" si="86"/>
        <v>0</v>
      </c>
    </row>
    <row r="2755" spans="1:38" ht="25.5" customHeight="1" x14ac:dyDescent="0.25">
      <c r="A2755" s="10" t="s">
        <v>1361</v>
      </c>
      <c r="B2755" s="11" t="s">
        <v>1673</v>
      </c>
      <c r="C2755" s="5">
        <v>35563.243300000002</v>
      </c>
      <c r="D2755" s="5">
        <v>35563.243300000002</v>
      </c>
      <c r="E2755" s="5">
        <v>31984.905299999999</v>
      </c>
      <c r="G2755" s="5" t="str">
        <f t="shared" ref="G2755:G2818" si="87">B2755</f>
        <v>УАЗ-III - 49 кв.</v>
      </c>
      <c r="J2755" s="5"/>
      <c r="AL2755" s="5">
        <f t="shared" ref="AL2755:AL2818" si="88">AF2755</f>
        <v>0</v>
      </c>
    </row>
    <row r="2756" spans="1:38" ht="25.5" customHeight="1" x14ac:dyDescent="0.25">
      <c r="A2756" s="10" t="s">
        <v>2567</v>
      </c>
      <c r="B2756" s="11" t="s">
        <v>1675</v>
      </c>
      <c r="C2756" s="5">
        <v>35756.285400000001</v>
      </c>
      <c r="D2756" s="5">
        <v>35756.285400000001</v>
      </c>
      <c r="E2756" s="5">
        <v>32158.5213</v>
      </c>
      <c r="G2756" s="5" t="str">
        <f t="shared" si="87"/>
        <v>УАЗ-II</v>
      </c>
      <c r="J2756" s="5"/>
      <c r="AL2756" s="5">
        <f t="shared" si="88"/>
        <v>0</v>
      </c>
    </row>
    <row r="2757" spans="1:38" ht="25.5" customHeight="1" x14ac:dyDescent="0.25">
      <c r="A2757" s="10" t="s">
        <v>2568</v>
      </c>
      <c r="B2757" s="11" t="s">
        <v>1676</v>
      </c>
      <c r="C2757" s="5">
        <v>28848.8855</v>
      </c>
      <c r="D2757" s="5">
        <v>28848.8855</v>
      </c>
      <c r="E2757" s="5">
        <v>25946.143</v>
      </c>
      <c r="G2757" s="5" t="str">
        <f t="shared" si="87"/>
        <v>Чкаловский</v>
      </c>
      <c r="J2757" s="5"/>
      <c r="AL2757" s="5">
        <f t="shared" si="88"/>
        <v>0</v>
      </c>
    </row>
    <row r="2758" spans="1:38" ht="25.5" customHeight="1" x14ac:dyDescent="0.25">
      <c r="A2758" s="10" t="s">
        <v>2569</v>
      </c>
      <c r="B2758" s="11" t="s">
        <v>1395</v>
      </c>
      <c r="C2758" s="5">
        <v>27332.119299999998</v>
      </c>
      <c r="D2758" s="5">
        <v>27332.119299999998</v>
      </c>
      <c r="E2758" s="5">
        <v>24879.3747</v>
      </c>
      <c r="G2758" s="5" t="str">
        <f t="shared" si="87"/>
        <v>СОВХОЗ ПЕРВОУРАЛЬСКИЙ</v>
      </c>
      <c r="J2758" s="5"/>
      <c r="AL2758" s="5">
        <f t="shared" si="88"/>
        <v>0</v>
      </c>
    </row>
    <row r="2759" spans="1:38" ht="25.5" customHeight="1" x14ac:dyDescent="0.25">
      <c r="A2759" s="10" t="s">
        <v>2570</v>
      </c>
      <c r="B2759" s="11" t="s">
        <v>1699</v>
      </c>
      <c r="C2759" s="5">
        <v>34007.852099999996</v>
      </c>
      <c r="D2759" s="5">
        <v>34007.852099999996</v>
      </c>
      <c r="E2759" s="5">
        <v>30956.028900000001</v>
      </c>
      <c r="G2759" s="5" t="str">
        <f t="shared" si="87"/>
        <v>Шайтанка</v>
      </c>
      <c r="J2759" s="5"/>
      <c r="AL2759" s="5">
        <f t="shared" si="88"/>
        <v>0</v>
      </c>
    </row>
    <row r="2760" spans="1:38" ht="25.5" customHeight="1" x14ac:dyDescent="0.25">
      <c r="A2760" s="10" t="s">
        <v>2571</v>
      </c>
      <c r="B2760" s="11" t="s">
        <v>1636</v>
      </c>
      <c r="C2760" s="5">
        <v>52246.960299999999</v>
      </c>
      <c r="D2760" s="5">
        <v>52246.960299999999</v>
      </c>
      <c r="E2760" s="5">
        <v>47310.556700000001</v>
      </c>
      <c r="G2760" s="5" t="str">
        <f t="shared" si="87"/>
        <v>ГОРНЫЙ ЩИТ</v>
      </c>
      <c r="J2760" s="5"/>
      <c r="AL2760" s="5">
        <f t="shared" si="88"/>
        <v>0</v>
      </c>
    </row>
    <row r="2761" spans="1:38" ht="25.5" customHeight="1" x14ac:dyDescent="0.25">
      <c r="A2761" s="10" t="s">
        <v>724</v>
      </c>
      <c r="B2761" s="11" t="s">
        <v>1676</v>
      </c>
      <c r="C2761" s="5">
        <v>28848.8855</v>
      </c>
      <c r="D2761" s="5">
        <v>28848.8855</v>
      </c>
      <c r="E2761" s="5">
        <v>25946.143</v>
      </c>
      <c r="G2761" s="5" t="str">
        <f t="shared" si="87"/>
        <v>Чкаловский</v>
      </c>
      <c r="J2761" s="5"/>
      <c r="AL2761" s="5">
        <f t="shared" si="88"/>
        <v>0</v>
      </c>
    </row>
    <row r="2762" spans="1:38" ht="25.5" customHeight="1" x14ac:dyDescent="0.25">
      <c r="A2762" s="10" t="s">
        <v>2572</v>
      </c>
      <c r="B2762" s="11" t="s">
        <v>1679</v>
      </c>
      <c r="C2762" s="5">
        <v>28855.326499999999</v>
      </c>
      <c r="D2762" s="5">
        <v>28855.326499999999</v>
      </c>
      <c r="E2762" s="5">
        <v>25951.933700000001</v>
      </c>
      <c r="G2762" s="5" t="str">
        <f t="shared" si="87"/>
        <v>Ст.Каменск-Хозспособ</v>
      </c>
      <c r="J2762" s="5"/>
      <c r="AL2762" s="5">
        <f t="shared" si="88"/>
        <v>0</v>
      </c>
    </row>
    <row r="2763" spans="1:38" ht="25.5" customHeight="1" x14ac:dyDescent="0.25">
      <c r="A2763" s="10" t="s">
        <v>2573</v>
      </c>
      <c r="B2763" s="11" t="s">
        <v>1673</v>
      </c>
      <c r="C2763" s="5">
        <v>35563.243300000002</v>
      </c>
      <c r="D2763" s="5">
        <v>35563.243300000002</v>
      </c>
      <c r="E2763" s="5">
        <v>31984.905299999999</v>
      </c>
      <c r="G2763" s="5" t="str">
        <f t="shared" si="87"/>
        <v>УАЗ-III - 49 кв.</v>
      </c>
      <c r="J2763" s="5"/>
      <c r="AL2763" s="5">
        <f t="shared" si="88"/>
        <v>0</v>
      </c>
    </row>
    <row r="2764" spans="1:38" ht="25.5" customHeight="1" x14ac:dyDescent="0.25">
      <c r="A2764" s="10" t="s">
        <v>2574</v>
      </c>
      <c r="B2764" s="11" t="s">
        <v>1673</v>
      </c>
      <c r="C2764" s="5">
        <v>35563.243300000002</v>
      </c>
      <c r="D2764" s="5">
        <v>35563.243300000002</v>
      </c>
      <c r="E2764" s="5">
        <v>31984.905299999999</v>
      </c>
      <c r="G2764" s="5" t="str">
        <f t="shared" si="87"/>
        <v>УАЗ-III - 49 кв.</v>
      </c>
      <c r="J2764" s="5"/>
      <c r="AL2764" s="5">
        <f t="shared" si="88"/>
        <v>0</v>
      </c>
    </row>
    <row r="2765" spans="1:38" ht="25.5" customHeight="1" x14ac:dyDescent="0.25">
      <c r="A2765" s="10" t="s">
        <v>2575</v>
      </c>
      <c r="B2765" s="11" t="s">
        <v>1677</v>
      </c>
      <c r="C2765" s="5">
        <v>39105.413099999998</v>
      </c>
      <c r="D2765" s="5">
        <v>39105.413099999998</v>
      </c>
      <c r="E2765" s="5">
        <v>35170.666700000002</v>
      </c>
      <c r="G2765" s="5" t="str">
        <f t="shared" si="87"/>
        <v>Октябрьский</v>
      </c>
      <c r="J2765" s="5"/>
      <c r="AL2765" s="5">
        <f t="shared" si="88"/>
        <v>0</v>
      </c>
    </row>
    <row r="2766" spans="1:38" ht="25.5" customHeight="1" x14ac:dyDescent="0.25">
      <c r="A2766" s="10" t="s">
        <v>2576</v>
      </c>
      <c r="B2766" s="11" t="s">
        <v>1666</v>
      </c>
      <c r="C2766" s="5">
        <v>46784.877899999999</v>
      </c>
      <c r="D2766" s="5">
        <v>46784.877899999999</v>
      </c>
      <c r="E2766" s="5">
        <v>42364.543299999998</v>
      </c>
      <c r="G2766" s="5" t="str">
        <f t="shared" si="87"/>
        <v>Сулим.Торфянник</v>
      </c>
      <c r="J2766" s="5"/>
      <c r="AL2766" s="5">
        <f t="shared" si="88"/>
        <v>0</v>
      </c>
    </row>
    <row r="2767" spans="1:38" ht="25.5" customHeight="1" x14ac:dyDescent="0.25">
      <c r="A2767" s="10" t="s">
        <v>794</v>
      </c>
      <c r="B2767" s="11" t="s">
        <v>1691</v>
      </c>
      <c r="C2767" s="5">
        <v>36244.5985</v>
      </c>
      <c r="D2767" s="5">
        <v>36244.5985</v>
      </c>
      <c r="E2767" s="5">
        <v>32992.053800000002</v>
      </c>
      <c r="G2767" s="5" t="str">
        <f t="shared" si="87"/>
        <v>ДинСанПод</v>
      </c>
      <c r="J2767" s="5"/>
      <c r="AL2767" s="5">
        <f t="shared" si="88"/>
        <v>0</v>
      </c>
    </row>
    <row r="2768" spans="1:38" ht="25.5" customHeight="1" x14ac:dyDescent="0.25">
      <c r="A2768" s="10" t="s">
        <v>2577</v>
      </c>
      <c r="B2768" s="11" t="s">
        <v>1677</v>
      </c>
      <c r="C2768" s="5">
        <v>39105.413099999998</v>
      </c>
      <c r="D2768" s="5">
        <v>39105.413099999998</v>
      </c>
      <c r="E2768" s="5">
        <v>35170.666700000002</v>
      </c>
      <c r="G2768" s="5" t="str">
        <f t="shared" si="87"/>
        <v>Октябрьский</v>
      </c>
      <c r="J2768" s="5"/>
      <c r="AL2768" s="5">
        <f t="shared" si="88"/>
        <v>0</v>
      </c>
    </row>
    <row r="2769" spans="1:38" ht="25.5" customHeight="1" x14ac:dyDescent="0.25">
      <c r="A2769" s="10" t="s">
        <v>349</v>
      </c>
      <c r="B2769" s="11" t="s">
        <v>1683</v>
      </c>
      <c r="C2769" s="5">
        <v>40018.9617</v>
      </c>
      <c r="D2769" s="5">
        <v>40018.9617</v>
      </c>
      <c r="E2769" s="5">
        <v>35129.2961</v>
      </c>
      <c r="G2769" s="5" t="str">
        <f t="shared" si="87"/>
        <v>Алт_Гальян_М-Кушва</v>
      </c>
      <c r="J2769" s="5"/>
      <c r="AL2769" s="5">
        <f t="shared" si="88"/>
        <v>0</v>
      </c>
    </row>
    <row r="2770" spans="1:38" ht="25.5" customHeight="1" x14ac:dyDescent="0.25">
      <c r="A2770" s="10" t="s">
        <v>2578</v>
      </c>
      <c r="B2770" s="11" t="s">
        <v>33</v>
      </c>
      <c r="C2770" s="5">
        <v>84298.205100000006</v>
      </c>
      <c r="D2770" s="5">
        <v>84298.205100000006</v>
      </c>
      <c r="E2770" s="5">
        <v>76333.533100000001</v>
      </c>
      <c r="G2770" s="5" t="str">
        <f t="shared" si="87"/>
        <v>ВИЗ</v>
      </c>
      <c r="J2770" s="5"/>
      <c r="AL2770" s="5">
        <f t="shared" si="88"/>
        <v>0</v>
      </c>
    </row>
    <row r="2771" spans="1:38" ht="25.5" customHeight="1" x14ac:dyDescent="0.25">
      <c r="A2771" s="10" t="s">
        <v>2579</v>
      </c>
      <c r="B2771" s="11" t="s">
        <v>1647</v>
      </c>
      <c r="C2771" s="5">
        <v>63178.133800000003</v>
      </c>
      <c r="D2771" s="5">
        <v>63178.133800000003</v>
      </c>
      <c r="E2771" s="5">
        <v>57208.931499999999</v>
      </c>
      <c r="G2771" s="5" t="str">
        <f t="shared" si="87"/>
        <v>ШИРОКАЯ РЕЧКА</v>
      </c>
      <c r="J2771" s="5"/>
      <c r="AL2771" s="5">
        <f t="shared" si="88"/>
        <v>0</v>
      </c>
    </row>
    <row r="2772" spans="1:38" ht="25.5" customHeight="1" x14ac:dyDescent="0.25">
      <c r="A2772" s="10" t="s">
        <v>2580</v>
      </c>
      <c r="B2772" s="11" t="s">
        <v>779</v>
      </c>
      <c r="C2772" s="5">
        <v>46784.877899999999</v>
      </c>
      <c r="D2772" s="5">
        <v>46784.877899999999</v>
      </c>
      <c r="E2772" s="5">
        <v>42364.543299999998</v>
      </c>
      <c r="G2772" s="5" t="str">
        <f t="shared" si="87"/>
        <v>Нижнеисетский</v>
      </c>
      <c r="J2772" s="5"/>
      <c r="AL2772" s="5">
        <f t="shared" si="88"/>
        <v>0</v>
      </c>
    </row>
    <row r="2773" spans="1:38" ht="25.5" customHeight="1" x14ac:dyDescent="0.25">
      <c r="A2773" s="10" t="s">
        <v>1038</v>
      </c>
      <c r="B2773" s="11" t="s">
        <v>1629</v>
      </c>
      <c r="C2773" s="5">
        <v>77743.704100000003</v>
      </c>
      <c r="D2773" s="5">
        <v>77743.704100000003</v>
      </c>
      <c r="E2773" s="5">
        <v>70398.310800000007</v>
      </c>
      <c r="G2773" s="5" t="str">
        <f t="shared" si="87"/>
        <v>ПИОНЕРСКИЙ</v>
      </c>
      <c r="J2773" s="5"/>
      <c r="AL2773" s="5">
        <f t="shared" si="88"/>
        <v>0</v>
      </c>
    </row>
    <row r="2774" spans="1:38" ht="25.5" customHeight="1" x14ac:dyDescent="0.25">
      <c r="A2774" s="10" t="s">
        <v>2581</v>
      </c>
      <c r="B2774" s="11" t="s">
        <v>1677</v>
      </c>
      <c r="C2774" s="5">
        <v>39105.413099999998</v>
      </c>
      <c r="D2774" s="5">
        <v>39105.413099999998</v>
      </c>
      <c r="E2774" s="5">
        <v>35170.666700000002</v>
      </c>
      <c r="G2774" s="5" t="str">
        <f t="shared" si="87"/>
        <v>Октябрьский</v>
      </c>
      <c r="J2774" s="5"/>
      <c r="AL2774" s="5">
        <f t="shared" si="88"/>
        <v>0</v>
      </c>
    </row>
    <row r="2775" spans="1:38" ht="25.5" customHeight="1" x14ac:dyDescent="0.25">
      <c r="A2775" s="10" t="s">
        <v>2582</v>
      </c>
      <c r="B2775" s="11" t="s">
        <v>1679</v>
      </c>
      <c r="C2775" s="5">
        <v>28855.326499999999</v>
      </c>
      <c r="D2775" s="5">
        <v>28855.326499999999</v>
      </c>
      <c r="E2775" s="5">
        <v>25951.933700000001</v>
      </c>
      <c r="G2775" s="5" t="str">
        <f t="shared" si="87"/>
        <v>Ст.Каменск-Хозспособ</v>
      </c>
      <c r="J2775" s="5"/>
      <c r="AL2775" s="5">
        <f t="shared" si="88"/>
        <v>0</v>
      </c>
    </row>
    <row r="2776" spans="1:38" ht="25.5" customHeight="1" x14ac:dyDescent="0.25">
      <c r="A2776" s="10" t="s">
        <v>2583</v>
      </c>
      <c r="B2776" s="11" t="s">
        <v>1662</v>
      </c>
      <c r="C2776" s="5">
        <v>46784.877899999999</v>
      </c>
      <c r="D2776" s="5">
        <v>46784.877899999999</v>
      </c>
      <c r="E2776" s="5">
        <v>42364.543299999998</v>
      </c>
      <c r="G2776" s="5" t="str">
        <f t="shared" si="87"/>
        <v>РУДНЫЙ</v>
      </c>
      <c r="J2776" s="5"/>
      <c r="AL2776" s="5">
        <f t="shared" si="88"/>
        <v>0</v>
      </c>
    </row>
    <row r="2777" spans="1:38" ht="25.5" customHeight="1" x14ac:dyDescent="0.25">
      <c r="A2777" s="10" t="s">
        <v>2584</v>
      </c>
      <c r="B2777" s="11" t="s">
        <v>779</v>
      </c>
      <c r="C2777" s="5">
        <v>46784.877899999999</v>
      </c>
      <c r="D2777" s="5">
        <v>46784.877899999999</v>
      </c>
      <c r="E2777" s="5">
        <v>42364.543299999998</v>
      </c>
      <c r="G2777" s="5" t="str">
        <f t="shared" si="87"/>
        <v>Нижнеисетский</v>
      </c>
      <c r="J2777" s="5"/>
      <c r="AL2777" s="5">
        <f t="shared" si="88"/>
        <v>0</v>
      </c>
    </row>
    <row r="2778" spans="1:38" ht="25.5" customHeight="1" x14ac:dyDescent="0.25">
      <c r="A2778" s="10" t="s">
        <v>2585</v>
      </c>
      <c r="B2778" s="11" t="s">
        <v>1663</v>
      </c>
      <c r="C2778" s="5">
        <v>44242.899599999997</v>
      </c>
      <c r="D2778" s="5">
        <v>44242.899599999997</v>
      </c>
      <c r="E2778" s="5">
        <v>40062.737300000001</v>
      </c>
      <c r="G2778" s="5" t="str">
        <f t="shared" si="87"/>
        <v>ШУВАКИШ</v>
      </c>
      <c r="J2778" s="5"/>
      <c r="AL2778" s="5">
        <f t="shared" si="88"/>
        <v>0</v>
      </c>
    </row>
    <row r="2779" spans="1:38" ht="25.5" customHeight="1" x14ac:dyDescent="0.25">
      <c r="A2779" s="10" t="s">
        <v>2586</v>
      </c>
      <c r="B2779" s="11" t="s">
        <v>33</v>
      </c>
      <c r="C2779" s="5">
        <v>84298.205100000006</v>
      </c>
      <c r="D2779" s="5">
        <v>84298.205100000006</v>
      </c>
      <c r="E2779" s="5">
        <v>76333.533100000001</v>
      </c>
      <c r="G2779" s="5" t="str">
        <f t="shared" si="87"/>
        <v>ВИЗ</v>
      </c>
      <c r="J2779" s="5"/>
      <c r="AL2779" s="5">
        <f t="shared" si="88"/>
        <v>0</v>
      </c>
    </row>
    <row r="2780" spans="1:38" x14ac:dyDescent="0.25">
      <c r="A2780" s="10" t="s">
        <v>2587</v>
      </c>
      <c r="B2780" s="11" t="s">
        <v>1674</v>
      </c>
      <c r="C2780" s="5">
        <v>29199.565200000001</v>
      </c>
      <c r="D2780" s="5">
        <v>29199.565200000001</v>
      </c>
      <c r="E2780" s="5">
        <v>26261.5317</v>
      </c>
      <c r="G2780" s="5" t="str">
        <f t="shared" si="87"/>
        <v>УАЗ</v>
      </c>
      <c r="J2780" s="5"/>
      <c r="AL2780" s="5">
        <f t="shared" si="88"/>
        <v>0</v>
      </c>
    </row>
    <row r="2781" spans="1:38" ht="25.5" customHeight="1" x14ac:dyDescent="0.25">
      <c r="A2781" s="10" t="s">
        <v>2588</v>
      </c>
      <c r="B2781" s="11" t="s">
        <v>1629</v>
      </c>
      <c r="C2781" s="5">
        <v>77743.704100000003</v>
      </c>
      <c r="D2781" s="5">
        <v>77743.704100000003</v>
      </c>
      <c r="E2781" s="5">
        <v>70398.310800000007</v>
      </c>
      <c r="G2781" s="5" t="str">
        <f t="shared" si="87"/>
        <v>ПИОНЕРСКИЙ</v>
      </c>
      <c r="J2781" s="5"/>
      <c r="AL2781" s="5">
        <f t="shared" si="88"/>
        <v>0</v>
      </c>
    </row>
    <row r="2782" spans="1:38" ht="25.5" customHeight="1" x14ac:dyDescent="0.25">
      <c r="A2782" s="10" t="s">
        <v>2589</v>
      </c>
      <c r="B2782" s="11" t="s">
        <v>1647</v>
      </c>
      <c r="C2782" s="5">
        <v>63178.133800000003</v>
      </c>
      <c r="D2782" s="5">
        <v>63178.133800000003</v>
      </c>
      <c r="E2782" s="5">
        <v>57208.931499999999</v>
      </c>
      <c r="G2782" s="5" t="str">
        <f t="shared" si="87"/>
        <v>ШИРОКАЯ РЕЧКА</v>
      </c>
      <c r="J2782" s="5"/>
      <c r="AL2782" s="5">
        <f t="shared" si="88"/>
        <v>0</v>
      </c>
    </row>
    <row r="2783" spans="1:38" ht="25.5" customHeight="1" x14ac:dyDescent="0.25">
      <c r="A2783" s="10" t="s">
        <v>2590</v>
      </c>
      <c r="B2783" s="11" t="s">
        <v>1668</v>
      </c>
      <c r="C2783" s="5">
        <v>51343.6201</v>
      </c>
      <c r="D2783" s="5">
        <v>51343.6201</v>
      </c>
      <c r="E2783" s="5">
        <v>46492.558799999999</v>
      </c>
      <c r="G2783" s="5" t="str">
        <f t="shared" si="87"/>
        <v>МЕДНЫЙ</v>
      </c>
      <c r="J2783" s="5"/>
      <c r="AL2783" s="5">
        <f t="shared" si="88"/>
        <v>0</v>
      </c>
    </row>
    <row r="2784" spans="1:38" ht="25.5" customHeight="1" x14ac:dyDescent="0.25">
      <c r="A2784" s="10" t="s">
        <v>2591</v>
      </c>
      <c r="B2784" s="11" t="s">
        <v>1676</v>
      </c>
      <c r="C2784" s="5">
        <v>28848.8855</v>
      </c>
      <c r="D2784" s="5">
        <v>28848.8855</v>
      </c>
      <c r="E2784" s="5">
        <v>25946.143</v>
      </c>
      <c r="G2784" s="5" t="str">
        <f t="shared" si="87"/>
        <v>Чкаловский</v>
      </c>
      <c r="J2784" s="5"/>
      <c r="AL2784" s="5">
        <f t="shared" si="88"/>
        <v>0</v>
      </c>
    </row>
    <row r="2785" spans="1:38" ht="25.5" customHeight="1" x14ac:dyDescent="0.25">
      <c r="A2785" s="10" t="s">
        <v>2592</v>
      </c>
      <c r="B2785" s="11" t="s">
        <v>1676</v>
      </c>
      <c r="C2785" s="5">
        <v>28848.8855</v>
      </c>
      <c r="D2785" s="5">
        <v>28848.8855</v>
      </c>
      <c r="E2785" s="5">
        <v>25946.143</v>
      </c>
      <c r="G2785" s="5" t="str">
        <f t="shared" si="87"/>
        <v>Чкаловский</v>
      </c>
      <c r="J2785" s="5"/>
      <c r="AL2785" s="5">
        <f t="shared" si="88"/>
        <v>0</v>
      </c>
    </row>
    <row r="2786" spans="1:38" ht="25.5" customHeight="1" x14ac:dyDescent="0.25">
      <c r="A2786" s="10" t="s">
        <v>2593</v>
      </c>
      <c r="B2786" s="11" t="s">
        <v>1676</v>
      </c>
      <c r="C2786" s="5">
        <v>28848.8855</v>
      </c>
      <c r="D2786" s="5">
        <v>28848.8855</v>
      </c>
      <c r="E2786" s="5">
        <v>25946.143</v>
      </c>
      <c r="G2786" s="5" t="str">
        <f t="shared" si="87"/>
        <v>Чкаловский</v>
      </c>
      <c r="J2786" s="5"/>
      <c r="AL2786" s="5">
        <f t="shared" si="88"/>
        <v>0</v>
      </c>
    </row>
    <row r="2787" spans="1:38" ht="25.5" customHeight="1" x14ac:dyDescent="0.25">
      <c r="A2787" s="10" t="s">
        <v>2594</v>
      </c>
      <c r="B2787" s="11" t="s">
        <v>1673</v>
      </c>
      <c r="C2787" s="5">
        <v>35563.243300000002</v>
      </c>
      <c r="D2787" s="5">
        <v>35563.243300000002</v>
      </c>
      <c r="E2787" s="5">
        <v>31984.905299999999</v>
      </c>
      <c r="G2787" s="5" t="str">
        <f t="shared" si="87"/>
        <v>УАЗ-III - 49 кв.</v>
      </c>
      <c r="J2787" s="5"/>
      <c r="AL2787" s="5">
        <f t="shared" si="88"/>
        <v>0</v>
      </c>
    </row>
    <row r="2788" spans="1:38" ht="25.5" customHeight="1" x14ac:dyDescent="0.25">
      <c r="A2788" s="10" t="s">
        <v>694</v>
      </c>
      <c r="B2788" s="11" t="s">
        <v>1674</v>
      </c>
      <c r="C2788" s="5">
        <v>29199.565200000001</v>
      </c>
      <c r="D2788" s="5">
        <v>29199.565200000001</v>
      </c>
      <c r="E2788" s="5">
        <v>26261.5317</v>
      </c>
      <c r="G2788" s="5" t="str">
        <f t="shared" si="87"/>
        <v>УАЗ</v>
      </c>
      <c r="J2788" s="5"/>
      <c r="AL2788" s="5">
        <f t="shared" si="88"/>
        <v>0</v>
      </c>
    </row>
    <row r="2789" spans="1:38" ht="25.5" customHeight="1" x14ac:dyDescent="0.25">
      <c r="A2789" s="10" t="s">
        <v>2595</v>
      </c>
      <c r="B2789" s="11" t="s">
        <v>1645</v>
      </c>
      <c r="C2789" s="5">
        <v>60958.294800000003</v>
      </c>
      <c r="D2789" s="5">
        <v>60958.294800000003</v>
      </c>
      <c r="E2789" s="5">
        <v>55198.825199999999</v>
      </c>
      <c r="G2789" s="5" t="str">
        <f t="shared" si="87"/>
        <v>ЕЛИЗАВЕТ</v>
      </c>
      <c r="J2789" s="5"/>
      <c r="AL2789" s="5">
        <f t="shared" si="88"/>
        <v>0</v>
      </c>
    </row>
    <row r="2790" spans="1:38" ht="25.5" customHeight="1" x14ac:dyDescent="0.25">
      <c r="A2790" s="10" t="s">
        <v>2596</v>
      </c>
      <c r="B2790" s="11" t="s">
        <v>1681</v>
      </c>
      <c r="C2790" s="5">
        <v>32172.2909</v>
      </c>
      <c r="D2790" s="5">
        <v>32172.2909</v>
      </c>
      <c r="E2790" s="5">
        <v>28935.146499999999</v>
      </c>
      <c r="G2790" s="5" t="str">
        <f t="shared" si="87"/>
        <v>Ленин-Олимп</v>
      </c>
      <c r="J2790" s="5"/>
      <c r="AL2790" s="5">
        <f t="shared" si="88"/>
        <v>0</v>
      </c>
    </row>
    <row r="2791" spans="1:38" ht="25.5" customHeight="1" x14ac:dyDescent="0.25">
      <c r="A2791" s="10" t="s">
        <v>2597</v>
      </c>
      <c r="B2791" s="11" t="s">
        <v>1647</v>
      </c>
      <c r="C2791" s="5">
        <v>63178.133800000003</v>
      </c>
      <c r="D2791" s="5">
        <v>63178.133800000003</v>
      </c>
      <c r="E2791" s="5">
        <v>57208.931499999999</v>
      </c>
      <c r="G2791" s="5" t="str">
        <f t="shared" si="87"/>
        <v>ШИРОКАЯ РЕЧКА</v>
      </c>
      <c r="J2791" s="5"/>
      <c r="AL2791" s="5">
        <f t="shared" si="88"/>
        <v>0</v>
      </c>
    </row>
    <row r="2792" spans="1:38" ht="25.5" customHeight="1" x14ac:dyDescent="0.25">
      <c r="A2792" s="10" t="s">
        <v>2598</v>
      </c>
      <c r="B2792" s="11" t="s">
        <v>1647</v>
      </c>
      <c r="C2792" s="5">
        <v>63178.133800000003</v>
      </c>
      <c r="D2792" s="5">
        <v>63178.133800000003</v>
      </c>
      <c r="E2792" s="5">
        <v>57208.931499999999</v>
      </c>
      <c r="G2792" s="5" t="str">
        <f t="shared" si="87"/>
        <v>ШИРОКАЯ РЕЧКА</v>
      </c>
      <c r="J2792" s="5"/>
      <c r="AL2792" s="5">
        <f t="shared" si="88"/>
        <v>0</v>
      </c>
    </row>
    <row r="2793" spans="1:38" ht="25.5" customHeight="1" x14ac:dyDescent="0.25">
      <c r="A2793" s="10" t="s">
        <v>2599</v>
      </c>
      <c r="B2793" s="11" t="s">
        <v>389</v>
      </c>
      <c r="C2793" s="5">
        <v>51175.5573</v>
      </c>
      <c r="D2793" s="5">
        <v>51175.5573</v>
      </c>
      <c r="E2793" s="5">
        <v>46340.381600000001</v>
      </c>
      <c r="G2793" s="5" t="str">
        <f t="shared" si="87"/>
        <v>Северка</v>
      </c>
      <c r="J2793" s="5"/>
      <c r="AL2793" s="5">
        <f t="shared" si="88"/>
        <v>0</v>
      </c>
    </row>
    <row r="2794" spans="1:38" ht="25.5" customHeight="1" x14ac:dyDescent="0.25">
      <c r="A2794" s="10" t="s">
        <v>2600</v>
      </c>
      <c r="B2794" s="11" t="s">
        <v>389</v>
      </c>
      <c r="C2794" s="5">
        <v>51175.5573</v>
      </c>
      <c r="D2794" s="5">
        <v>51175.5573</v>
      </c>
      <c r="E2794" s="5">
        <v>46340.381600000001</v>
      </c>
      <c r="G2794" s="5" t="str">
        <f t="shared" si="87"/>
        <v>Северка</v>
      </c>
      <c r="J2794" s="5"/>
      <c r="AL2794" s="5">
        <f t="shared" si="88"/>
        <v>0</v>
      </c>
    </row>
    <row r="2795" spans="1:38" ht="25.5" customHeight="1" x14ac:dyDescent="0.25">
      <c r="A2795" s="10" t="s">
        <v>2601</v>
      </c>
      <c r="B2795" s="11" t="s">
        <v>1664</v>
      </c>
      <c r="C2795" s="5">
        <v>53668.506099999999</v>
      </c>
      <c r="D2795" s="5">
        <v>53668.506099999999</v>
      </c>
      <c r="E2795" s="5">
        <v>48597.792699999998</v>
      </c>
      <c r="G2795" s="5" t="str">
        <f t="shared" si="87"/>
        <v>ИЗОПЛИТ</v>
      </c>
      <c r="J2795" s="5"/>
      <c r="AL2795" s="5">
        <f t="shared" si="88"/>
        <v>0</v>
      </c>
    </row>
    <row r="2796" spans="1:38" ht="25.5" customHeight="1" x14ac:dyDescent="0.25">
      <c r="A2796" s="10" t="s">
        <v>2602</v>
      </c>
      <c r="B2796" s="11" t="s">
        <v>1657</v>
      </c>
      <c r="C2796" s="5">
        <v>54886.9666</v>
      </c>
      <c r="D2796" s="5">
        <v>54886.9666</v>
      </c>
      <c r="E2796" s="5">
        <v>49701.1319</v>
      </c>
      <c r="G2796" s="5" t="str">
        <f t="shared" si="87"/>
        <v>КОЛЬЦОВО</v>
      </c>
      <c r="J2796" s="5"/>
      <c r="AL2796" s="5">
        <f t="shared" si="88"/>
        <v>0</v>
      </c>
    </row>
    <row r="2797" spans="1:38" ht="25.5" customHeight="1" x14ac:dyDescent="0.25">
      <c r="A2797" s="10" t="s">
        <v>1379</v>
      </c>
      <c r="B2797" s="11" t="s">
        <v>1636</v>
      </c>
      <c r="C2797" s="5">
        <v>52246.960299999999</v>
      </c>
      <c r="D2797" s="5">
        <v>52246.960299999999</v>
      </c>
      <c r="E2797" s="5">
        <v>47310.556700000001</v>
      </c>
      <c r="G2797" s="5" t="str">
        <f t="shared" si="87"/>
        <v>ГОРНЫЙ ЩИТ</v>
      </c>
      <c r="J2797" s="5"/>
      <c r="AL2797" s="5">
        <f t="shared" si="88"/>
        <v>0</v>
      </c>
    </row>
    <row r="2798" spans="1:38" ht="25.5" customHeight="1" x14ac:dyDescent="0.25">
      <c r="A2798" s="10" t="s">
        <v>2603</v>
      </c>
      <c r="B2798" s="11" t="s">
        <v>1638</v>
      </c>
      <c r="C2798" s="5">
        <v>63640.311600000001</v>
      </c>
      <c r="D2798" s="5">
        <v>63640.311600000001</v>
      </c>
      <c r="E2798" s="5">
        <v>57627.4473</v>
      </c>
      <c r="G2798" s="5" t="str">
        <f t="shared" si="87"/>
        <v>УКТУС</v>
      </c>
      <c r="J2798" s="5"/>
      <c r="AL2798" s="5">
        <f t="shared" si="88"/>
        <v>0</v>
      </c>
    </row>
    <row r="2799" spans="1:38" ht="25.5" customHeight="1" x14ac:dyDescent="0.25">
      <c r="A2799" s="10" t="s">
        <v>2604</v>
      </c>
      <c r="B2799" s="11" t="s">
        <v>1673</v>
      </c>
      <c r="C2799" s="5">
        <v>35563.243300000002</v>
      </c>
      <c r="D2799" s="5">
        <v>35563.243300000002</v>
      </c>
      <c r="E2799" s="5">
        <v>31984.905299999999</v>
      </c>
      <c r="G2799" s="5" t="str">
        <f t="shared" si="87"/>
        <v>УАЗ-III - 49 кв.</v>
      </c>
      <c r="J2799" s="5"/>
      <c r="AL2799" s="5">
        <f t="shared" si="88"/>
        <v>0</v>
      </c>
    </row>
    <row r="2800" spans="1:38" ht="25.5" customHeight="1" x14ac:dyDescent="0.25">
      <c r="A2800" s="10" t="s">
        <v>2605</v>
      </c>
      <c r="B2800" s="11" t="s">
        <v>1668</v>
      </c>
      <c r="C2800" s="5">
        <v>51343.6201</v>
      </c>
      <c r="D2800" s="5">
        <v>51343.6201</v>
      </c>
      <c r="E2800" s="5">
        <v>46492.558799999999</v>
      </c>
      <c r="G2800" s="5" t="str">
        <f t="shared" si="87"/>
        <v>МЕДНЫЙ</v>
      </c>
      <c r="J2800" s="5"/>
      <c r="AL2800" s="5">
        <f t="shared" si="88"/>
        <v>0</v>
      </c>
    </row>
    <row r="2801" spans="1:38" ht="25.5" customHeight="1" x14ac:dyDescent="0.25">
      <c r="A2801" s="10" t="s">
        <v>625</v>
      </c>
      <c r="B2801" s="11" t="s">
        <v>1684</v>
      </c>
      <c r="C2801" s="5">
        <v>40625.090199999999</v>
      </c>
      <c r="D2801" s="5">
        <v>40625.090199999999</v>
      </c>
      <c r="E2801" s="5">
        <v>35661.364300000001</v>
      </c>
      <c r="G2801" s="5" t="str">
        <f t="shared" si="87"/>
        <v>Ваг_Стар_Пихтовы-г</v>
      </c>
      <c r="J2801" s="5"/>
      <c r="AL2801" s="5">
        <f t="shared" si="88"/>
        <v>0</v>
      </c>
    </row>
    <row r="2802" spans="1:38" ht="25.5" customHeight="1" x14ac:dyDescent="0.25">
      <c r="A2802" s="10" t="s">
        <v>2606</v>
      </c>
      <c r="B2802" s="11" t="s">
        <v>1673</v>
      </c>
      <c r="C2802" s="5">
        <v>35563.243300000002</v>
      </c>
      <c r="D2802" s="5">
        <v>35563.243300000002</v>
      </c>
      <c r="E2802" s="5">
        <v>31984.905299999999</v>
      </c>
      <c r="G2802" s="5" t="str">
        <f t="shared" si="87"/>
        <v>УАЗ-III - 49 кв.</v>
      </c>
      <c r="J2802" s="5"/>
      <c r="AL2802" s="5">
        <f t="shared" si="88"/>
        <v>0</v>
      </c>
    </row>
    <row r="2803" spans="1:38" ht="25.5" customHeight="1" x14ac:dyDescent="0.25">
      <c r="A2803" s="10" t="s">
        <v>205</v>
      </c>
      <c r="B2803" s="11" t="s">
        <v>1675</v>
      </c>
      <c r="C2803" s="5">
        <v>35756.285400000001</v>
      </c>
      <c r="D2803" s="5">
        <v>35756.285400000001</v>
      </c>
      <c r="E2803" s="5">
        <v>32158.5213</v>
      </c>
      <c r="G2803" s="5" t="str">
        <f t="shared" si="87"/>
        <v>УАЗ-II</v>
      </c>
      <c r="J2803" s="5"/>
      <c r="AL2803" s="5">
        <f t="shared" si="88"/>
        <v>0</v>
      </c>
    </row>
    <row r="2804" spans="1:38" ht="25.5" customHeight="1" x14ac:dyDescent="0.25">
      <c r="A2804" s="10" t="s">
        <v>2607</v>
      </c>
      <c r="B2804" s="11" t="s">
        <v>1680</v>
      </c>
      <c r="C2804" s="5">
        <v>29151.309799999999</v>
      </c>
      <c r="D2804" s="5">
        <v>29151.309799999999</v>
      </c>
      <c r="E2804" s="5">
        <v>26218.127700000001</v>
      </c>
      <c r="G2804" s="5" t="str">
        <f t="shared" si="87"/>
        <v>Северный</v>
      </c>
      <c r="J2804" s="5"/>
      <c r="AL2804" s="5">
        <f t="shared" si="88"/>
        <v>0</v>
      </c>
    </row>
    <row r="2805" spans="1:38" ht="25.5" customHeight="1" x14ac:dyDescent="0.25">
      <c r="A2805" s="10" t="s">
        <v>2608</v>
      </c>
      <c r="B2805" s="11" t="s">
        <v>1687</v>
      </c>
      <c r="C2805" s="5">
        <v>30591.135900000001</v>
      </c>
      <c r="D2805" s="5">
        <v>30591.135900000001</v>
      </c>
      <c r="E2805" s="5">
        <v>26853.405500000001</v>
      </c>
      <c r="G2805" s="5" t="str">
        <f t="shared" si="87"/>
        <v>Рудник_Север</v>
      </c>
      <c r="J2805" s="5"/>
      <c r="AL2805" s="5">
        <f t="shared" si="88"/>
        <v>0</v>
      </c>
    </row>
    <row r="2806" spans="1:38" ht="25.5" customHeight="1" x14ac:dyDescent="0.25">
      <c r="A2806" s="10" t="s">
        <v>2609</v>
      </c>
      <c r="B2806" s="11" t="s">
        <v>1679</v>
      </c>
      <c r="C2806" s="5">
        <v>28855.326499999999</v>
      </c>
      <c r="D2806" s="5">
        <v>28855.326499999999</v>
      </c>
      <c r="E2806" s="5">
        <v>25951.933700000001</v>
      </c>
      <c r="G2806" s="5" t="str">
        <f t="shared" si="87"/>
        <v>Ст.Каменск-Хозспособ</v>
      </c>
      <c r="J2806" s="5"/>
      <c r="AL2806" s="5">
        <f t="shared" si="88"/>
        <v>0</v>
      </c>
    </row>
    <row r="2807" spans="1:38" ht="25.5" customHeight="1" x14ac:dyDescent="0.25">
      <c r="A2807" s="10" t="s">
        <v>1314</v>
      </c>
      <c r="B2807" s="11" t="s">
        <v>1643</v>
      </c>
      <c r="C2807" s="5">
        <v>76630.280299999999</v>
      </c>
      <c r="D2807" s="5">
        <v>76630.280299999999</v>
      </c>
      <c r="E2807" s="5">
        <v>69390.088799999998</v>
      </c>
      <c r="G2807" s="5" t="str">
        <f t="shared" si="87"/>
        <v>Ю-З</v>
      </c>
      <c r="J2807" s="5"/>
      <c r="AL2807" s="5">
        <f t="shared" si="88"/>
        <v>0</v>
      </c>
    </row>
    <row r="2808" spans="1:38" ht="25.5" customHeight="1" x14ac:dyDescent="0.25">
      <c r="A2808" s="10" t="s">
        <v>647</v>
      </c>
      <c r="B2808" s="11" t="s">
        <v>1673</v>
      </c>
      <c r="C2808" s="5">
        <v>35563.243300000002</v>
      </c>
      <c r="D2808" s="5">
        <v>35563.243300000002</v>
      </c>
      <c r="E2808" s="5">
        <v>31984.905299999999</v>
      </c>
      <c r="G2808" s="5" t="str">
        <f t="shared" si="87"/>
        <v>УАЗ-III - 49 кв.</v>
      </c>
      <c r="J2808" s="5"/>
      <c r="AL2808" s="5">
        <f t="shared" si="88"/>
        <v>0</v>
      </c>
    </row>
    <row r="2809" spans="1:38" ht="25.5" customHeight="1" x14ac:dyDescent="0.25">
      <c r="A2809" s="10" t="s">
        <v>2610</v>
      </c>
      <c r="B2809" s="11" t="s">
        <v>1680</v>
      </c>
      <c r="C2809" s="5">
        <v>29151.309799999999</v>
      </c>
      <c r="D2809" s="5">
        <v>29151.309799999999</v>
      </c>
      <c r="E2809" s="5">
        <v>26218.127700000001</v>
      </c>
      <c r="G2809" s="5" t="str">
        <f t="shared" si="87"/>
        <v>Северный</v>
      </c>
      <c r="J2809" s="5"/>
      <c r="AL2809" s="5">
        <f t="shared" si="88"/>
        <v>0</v>
      </c>
    </row>
    <row r="2810" spans="1:38" ht="25.5" customHeight="1" x14ac:dyDescent="0.25">
      <c r="A2810" s="10" t="s">
        <v>2611</v>
      </c>
      <c r="B2810" s="11" t="s">
        <v>1676</v>
      </c>
      <c r="C2810" s="5">
        <v>28848.8855</v>
      </c>
      <c r="D2810" s="5">
        <v>28848.8855</v>
      </c>
      <c r="E2810" s="5">
        <v>25946.143</v>
      </c>
      <c r="G2810" s="5" t="str">
        <f t="shared" si="87"/>
        <v>Чкаловский</v>
      </c>
      <c r="J2810" s="5"/>
      <c r="AL2810" s="5">
        <f t="shared" si="88"/>
        <v>0</v>
      </c>
    </row>
    <row r="2811" spans="1:38" ht="25.5" customHeight="1" x14ac:dyDescent="0.25">
      <c r="A2811" s="10" t="s">
        <v>198</v>
      </c>
      <c r="B2811" s="11" t="s">
        <v>1673</v>
      </c>
      <c r="C2811" s="5">
        <v>35563.243300000002</v>
      </c>
      <c r="D2811" s="5">
        <v>35563.243300000002</v>
      </c>
      <c r="E2811" s="5">
        <v>31984.905299999999</v>
      </c>
      <c r="G2811" s="5" t="str">
        <f t="shared" si="87"/>
        <v>УАЗ-III - 49 кв.</v>
      </c>
      <c r="J2811" s="5"/>
      <c r="AL2811" s="5">
        <f t="shared" si="88"/>
        <v>0</v>
      </c>
    </row>
    <row r="2812" spans="1:38" x14ac:dyDescent="0.25">
      <c r="A2812" s="10" t="s">
        <v>2612</v>
      </c>
      <c r="B2812" s="11" t="s">
        <v>1681</v>
      </c>
      <c r="C2812" s="5">
        <v>32172.2909</v>
      </c>
      <c r="D2812" s="5">
        <v>32172.2909</v>
      </c>
      <c r="E2812" s="5">
        <v>28935.146499999999</v>
      </c>
      <c r="G2812" s="5" t="str">
        <f t="shared" si="87"/>
        <v>Ленин-Олимп</v>
      </c>
      <c r="J2812" s="5"/>
      <c r="AL2812" s="5">
        <f t="shared" si="88"/>
        <v>0</v>
      </c>
    </row>
    <row r="2813" spans="1:38" ht="25.5" customHeight="1" x14ac:dyDescent="0.25">
      <c r="A2813" s="10" t="s">
        <v>2613</v>
      </c>
      <c r="B2813" s="11" t="s">
        <v>1676</v>
      </c>
      <c r="C2813" s="5">
        <v>28848.8855</v>
      </c>
      <c r="D2813" s="5">
        <v>28848.8855</v>
      </c>
      <c r="E2813" s="5">
        <v>25946.143</v>
      </c>
      <c r="G2813" s="5" t="str">
        <f t="shared" si="87"/>
        <v>Чкаловский</v>
      </c>
      <c r="J2813" s="5"/>
      <c r="AL2813" s="5">
        <f t="shared" si="88"/>
        <v>0</v>
      </c>
    </row>
    <row r="2814" spans="1:38" ht="25.5" customHeight="1" x14ac:dyDescent="0.25">
      <c r="A2814" s="10" t="s">
        <v>2614</v>
      </c>
      <c r="B2814" s="11" t="s">
        <v>1679</v>
      </c>
      <c r="C2814" s="5">
        <v>28855.326499999999</v>
      </c>
      <c r="D2814" s="5">
        <v>28855.326499999999</v>
      </c>
      <c r="E2814" s="5">
        <v>25951.933700000001</v>
      </c>
      <c r="G2814" s="5" t="str">
        <f t="shared" si="87"/>
        <v>Ст.Каменск-Хозспособ</v>
      </c>
      <c r="J2814" s="5"/>
      <c r="AL2814" s="5">
        <f t="shared" si="88"/>
        <v>0</v>
      </c>
    </row>
    <row r="2815" spans="1:38" ht="25.5" customHeight="1" x14ac:dyDescent="0.25">
      <c r="A2815" s="10" t="s">
        <v>1513</v>
      </c>
      <c r="B2815" s="11" t="s">
        <v>1677</v>
      </c>
      <c r="C2815" s="5">
        <v>39105.413099999998</v>
      </c>
      <c r="D2815" s="5">
        <v>39105.413099999998</v>
      </c>
      <c r="E2815" s="5">
        <v>35170.666700000002</v>
      </c>
      <c r="G2815" s="5" t="str">
        <f t="shared" si="87"/>
        <v>Октябрьский</v>
      </c>
      <c r="J2815" s="5"/>
      <c r="AL2815" s="5">
        <f t="shared" si="88"/>
        <v>0</v>
      </c>
    </row>
    <row r="2816" spans="1:38" ht="25.5" customHeight="1" x14ac:dyDescent="0.25">
      <c r="A2816" s="10" t="s">
        <v>2615</v>
      </c>
      <c r="B2816" s="11" t="s">
        <v>1679</v>
      </c>
      <c r="C2816" s="5">
        <v>28855.326499999999</v>
      </c>
      <c r="D2816" s="5">
        <v>28855.326499999999</v>
      </c>
      <c r="E2816" s="5">
        <v>25951.933700000001</v>
      </c>
      <c r="G2816" s="5" t="str">
        <f t="shared" si="87"/>
        <v>Ст.Каменск-Хозспособ</v>
      </c>
      <c r="J2816" s="5"/>
      <c r="AL2816" s="5">
        <f t="shared" si="88"/>
        <v>0</v>
      </c>
    </row>
    <row r="2817" spans="1:38" x14ac:dyDescent="0.25">
      <c r="A2817" s="10" t="s">
        <v>2616</v>
      </c>
      <c r="B2817" s="11" t="s">
        <v>1674</v>
      </c>
      <c r="C2817" s="5">
        <v>29199.565200000001</v>
      </c>
      <c r="D2817" s="5">
        <v>29199.565200000001</v>
      </c>
      <c r="E2817" s="5">
        <v>26261.5317</v>
      </c>
      <c r="G2817" s="5" t="str">
        <f t="shared" si="87"/>
        <v>УАЗ</v>
      </c>
      <c r="J2817" s="5"/>
      <c r="AL2817" s="5">
        <f t="shared" si="88"/>
        <v>0</v>
      </c>
    </row>
    <row r="2818" spans="1:38" ht="25.5" customHeight="1" x14ac:dyDescent="0.25">
      <c r="A2818" s="10" t="s">
        <v>2617</v>
      </c>
      <c r="B2818" s="11" t="s">
        <v>1677</v>
      </c>
      <c r="C2818" s="5">
        <v>39105.413099999998</v>
      </c>
      <c r="D2818" s="5">
        <v>39105.413099999998</v>
      </c>
      <c r="E2818" s="5">
        <v>35170.666700000002</v>
      </c>
      <c r="G2818" s="5" t="str">
        <f t="shared" si="87"/>
        <v>Октябрьский</v>
      </c>
      <c r="J2818" s="5"/>
      <c r="AL2818" s="5">
        <f t="shared" si="88"/>
        <v>0</v>
      </c>
    </row>
    <row r="2819" spans="1:38" ht="25.5" customHeight="1" x14ac:dyDescent="0.25">
      <c r="A2819" s="10" t="s">
        <v>1538</v>
      </c>
      <c r="B2819" s="11" t="s">
        <v>1679</v>
      </c>
      <c r="C2819" s="5">
        <v>28855.326499999999</v>
      </c>
      <c r="D2819" s="5">
        <v>28855.326499999999</v>
      </c>
      <c r="E2819" s="5">
        <v>25951.933700000001</v>
      </c>
      <c r="G2819" s="5" t="str">
        <f t="shared" ref="G2819:G2882" si="89">B2819</f>
        <v>Ст.Каменск-Хозспособ</v>
      </c>
      <c r="J2819" s="5"/>
      <c r="AL2819" s="5">
        <f t="shared" ref="AL2819:AL2882" si="90">AF2819</f>
        <v>0</v>
      </c>
    </row>
    <row r="2820" spans="1:38" ht="25.5" customHeight="1" x14ac:dyDescent="0.25">
      <c r="A2820" s="10" t="s">
        <v>2618</v>
      </c>
      <c r="B2820" s="11" t="s">
        <v>1647</v>
      </c>
      <c r="C2820" s="5">
        <v>63178.133800000003</v>
      </c>
      <c r="D2820" s="5">
        <v>63178.133800000003</v>
      </c>
      <c r="E2820" s="5">
        <v>57208.931499999999</v>
      </c>
      <c r="G2820" s="5" t="str">
        <f t="shared" si="89"/>
        <v>ШИРОКАЯ РЕЧКА</v>
      </c>
      <c r="J2820" s="5"/>
      <c r="AL2820" s="5">
        <f t="shared" si="90"/>
        <v>0</v>
      </c>
    </row>
    <row r="2821" spans="1:38" ht="25.5" customHeight="1" x14ac:dyDescent="0.25">
      <c r="A2821" s="10" t="s">
        <v>2619</v>
      </c>
      <c r="B2821" s="11" t="s">
        <v>1647</v>
      </c>
      <c r="C2821" s="5">
        <v>63178.133800000003</v>
      </c>
      <c r="D2821" s="5">
        <v>63178.133800000003</v>
      </c>
      <c r="E2821" s="5">
        <v>57208.931499999999</v>
      </c>
      <c r="G2821" s="5" t="str">
        <f t="shared" si="89"/>
        <v>ШИРОКАЯ РЕЧКА</v>
      </c>
      <c r="J2821" s="5"/>
      <c r="AL2821" s="5">
        <f t="shared" si="90"/>
        <v>0</v>
      </c>
    </row>
    <row r="2822" spans="1:38" ht="25.5" customHeight="1" x14ac:dyDescent="0.25">
      <c r="A2822" s="10" t="s">
        <v>2620</v>
      </c>
      <c r="B2822" s="11" t="s">
        <v>1647</v>
      </c>
      <c r="C2822" s="5">
        <v>63178.133800000003</v>
      </c>
      <c r="D2822" s="5">
        <v>63178.133800000003</v>
      </c>
      <c r="E2822" s="5">
        <v>57208.931499999999</v>
      </c>
      <c r="G2822" s="5" t="str">
        <f t="shared" si="89"/>
        <v>ШИРОКАЯ РЕЧКА</v>
      </c>
      <c r="J2822" s="5"/>
      <c r="AL2822" s="5">
        <f t="shared" si="90"/>
        <v>0</v>
      </c>
    </row>
    <row r="2823" spans="1:38" x14ac:dyDescent="0.25">
      <c r="A2823" s="10" t="s">
        <v>2621</v>
      </c>
      <c r="B2823" s="11" t="s">
        <v>1681</v>
      </c>
      <c r="C2823" s="5">
        <v>32172.2909</v>
      </c>
      <c r="D2823" s="5">
        <v>32172.2909</v>
      </c>
      <c r="E2823" s="5">
        <v>28935.146499999999</v>
      </c>
      <c r="G2823" s="5" t="str">
        <f t="shared" si="89"/>
        <v>Ленин-Олимп</v>
      </c>
      <c r="J2823" s="5"/>
      <c r="AL2823" s="5">
        <f t="shared" si="90"/>
        <v>0</v>
      </c>
    </row>
    <row r="2824" spans="1:38" x14ac:dyDescent="0.25">
      <c r="A2824" s="20" t="s">
        <v>1326</v>
      </c>
      <c r="B2824" s="22" t="s">
        <v>7234</v>
      </c>
      <c r="C2824" s="5">
        <v>25238.569899999999</v>
      </c>
      <c r="D2824" s="5">
        <v>25238.569899999999</v>
      </c>
      <c r="E2824" s="5">
        <v>24735.775000000001</v>
      </c>
      <c r="G2824" s="5" t="str">
        <f t="shared" si="89"/>
        <v>МОНАСТЫРКА</v>
      </c>
      <c r="J2824" s="5"/>
      <c r="AL2824" s="5">
        <f t="shared" si="90"/>
        <v>0</v>
      </c>
    </row>
    <row r="2825" spans="1:38" x14ac:dyDescent="0.25">
      <c r="A2825" s="10" t="s">
        <v>2622</v>
      </c>
      <c r="B2825" s="11" t="s">
        <v>1674</v>
      </c>
      <c r="C2825" s="5">
        <v>29199.565200000001</v>
      </c>
      <c r="D2825" s="5">
        <v>29199.565200000001</v>
      </c>
      <c r="E2825" s="5">
        <v>26261.5317</v>
      </c>
      <c r="G2825" s="5" t="str">
        <f t="shared" si="89"/>
        <v>УАЗ</v>
      </c>
      <c r="J2825" s="5"/>
      <c r="AL2825" s="5">
        <f t="shared" si="90"/>
        <v>0</v>
      </c>
    </row>
    <row r="2826" spans="1:38" x14ac:dyDescent="0.25">
      <c r="A2826" s="10" t="s">
        <v>2623</v>
      </c>
      <c r="B2826" s="11" t="s">
        <v>1674</v>
      </c>
      <c r="C2826" s="5">
        <v>29199.565200000001</v>
      </c>
      <c r="D2826" s="5">
        <v>29199.565200000001</v>
      </c>
      <c r="E2826" s="5">
        <v>26261.5317</v>
      </c>
      <c r="G2826" s="5" t="str">
        <f t="shared" si="89"/>
        <v>УАЗ</v>
      </c>
      <c r="J2826" s="5"/>
      <c r="AL2826" s="5">
        <f t="shared" si="90"/>
        <v>0</v>
      </c>
    </row>
    <row r="2827" spans="1:38" x14ac:dyDescent="0.25">
      <c r="A2827" s="10" t="s">
        <v>2624</v>
      </c>
      <c r="B2827" s="11" t="s">
        <v>1674</v>
      </c>
      <c r="C2827" s="5">
        <v>29199.565200000001</v>
      </c>
      <c r="D2827" s="5">
        <v>29199.565200000001</v>
      </c>
      <c r="E2827" s="5">
        <v>26261.5317</v>
      </c>
      <c r="G2827" s="5" t="str">
        <f t="shared" si="89"/>
        <v>УАЗ</v>
      </c>
      <c r="J2827" s="5"/>
      <c r="AL2827" s="5">
        <f t="shared" si="90"/>
        <v>0</v>
      </c>
    </row>
    <row r="2828" spans="1:38" ht="25.5" customHeight="1" x14ac:dyDescent="0.25">
      <c r="A2828" s="10" t="s">
        <v>2625</v>
      </c>
      <c r="B2828" s="11" t="s">
        <v>1681</v>
      </c>
      <c r="C2828" s="5">
        <v>32172.2909</v>
      </c>
      <c r="D2828" s="5">
        <v>32172.2909</v>
      </c>
      <c r="E2828" s="5">
        <v>28935.146499999999</v>
      </c>
      <c r="G2828" s="5" t="str">
        <f t="shared" si="89"/>
        <v>Ленин-Олимп</v>
      </c>
      <c r="J2828" s="5"/>
      <c r="AL2828" s="5">
        <f t="shared" si="90"/>
        <v>0</v>
      </c>
    </row>
    <row r="2829" spans="1:38" ht="25.5" customHeight="1" x14ac:dyDescent="0.25">
      <c r="A2829" s="10" t="s">
        <v>2626</v>
      </c>
      <c r="B2829" s="11" t="s">
        <v>1679</v>
      </c>
      <c r="C2829" s="5">
        <v>28855.326499999999</v>
      </c>
      <c r="D2829" s="5">
        <v>28855.326499999999</v>
      </c>
      <c r="E2829" s="5">
        <v>25951.933700000001</v>
      </c>
      <c r="G2829" s="5" t="str">
        <f t="shared" si="89"/>
        <v>Ст.Каменск-Хозспособ</v>
      </c>
      <c r="J2829" s="5"/>
      <c r="AL2829" s="5">
        <f t="shared" si="90"/>
        <v>0</v>
      </c>
    </row>
    <row r="2830" spans="1:38" ht="25.5" customHeight="1" x14ac:dyDescent="0.25">
      <c r="A2830" s="10" t="s">
        <v>2627</v>
      </c>
      <c r="B2830" s="11" t="s">
        <v>1675</v>
      </c>
      <c r="C2830" s="5">
        <v>35756.285400000001</v>
      </c>
      <c r="D2830" s="5">
        <v>35756.285400000001</v>
      </c>
      <c r="E2830" s="5">
        <v>32158.5213</v>
      </c>
      <c r="G2830" s="5" t="str">
        <f t="shared" si="89"/>
        <v>УАЗ-II</v>
      </c>
      <c r="J2830" s="5"/>
      <c r="AL2830" s="5">
        <f t="shared" si="90"/>
        <v>0</v>
      </c>
    </row>
    <row r="2831" spans="1:38" ht="25.5" customHeight="1" x14ac:dyDescent="0.25">
      <c r="A2831" s="10" t="s">
        <v>2628</v>
      </c>
      <c r="B2831" s="11" t="s">
        <v>1675</v>
      </c>
      <c r="C2831" s="5">
        <v>35756.285400000001</v>
      </c>
      <c r="D2831" s="5">
        <v>35756.285400000001</v>
      </c>
      <c r="E2831" s="5">
        <v>32158.5213</v>
      </c>
      <c r="G2831" s="5" t="str">
        <f t="shared" si="89"/>
        <v>УАЗ-II</v>
      </c>
      <c r="J2831" s="5"/>
      <c r="AL2831" s="5">
        <f t="shared" si="90"/>
        <v>0</v>
      </c>
    </row>
    <row r="2832" spans="1:38" ht="25.5" customHeight="1" x14ac:dyDescent="0.25">
      <c r="A2832" s="10" t="s">
        <v>2629</v>
      </c>
      <c r="B2832" s="11" t="s">
        <v>209</v>
      </c>
      <c r="C2832" s="5">
        <v>69382.512499999997</v>
      </c>
      <c r="D2832" s="5">
        <v>69382.512499999997</v>
      </c>
      <c r="E2832" s="5">
        <v>62827.103199999998</v>
      </c>
      <c r="G2832" s="5" t="str">
        <f t="shared" si="89"/>
        <v>ЖБИ</v>
      </c>
      <c r="J2832" s="5"/>
      <c r="AL2832" s="5">
        <f t="shared" si="90"/>
        <v>0</v>
      </c>
    </row>
    <row r="2833" spans="1:38" ht="25.5" customHeight="1" x14ac:dyDescent="0.25">
      <c r="A2833" s="10" t="s">
        <v>2630</v>
      </c>
      <c r="B2833" s="11" t="s">
        <v>1691</v>
      </c>
      <c r="C2833" s="5">
        <v>36244.5985</v>
      </c>
      <c r="D2833" s="5">
        <v>36244.5985</v>
      </c>
      <c r="E2833" s="5">
        <v>32992.053800000002</v>
      </c>
      <c r="G2833" s="5" t="str">
        <f t="shared" si="89"/>
        <v>ДинСанПод</v>
      </c>
      <c r="J2833" s="5"/>
      <c r="AL2833" s="5">
        <f t="shared" si="90"/>
        <v>0</v>
      </c>
    </row>
    <row r="2834" spans="1:38" ht="25.5" customHeight="1" x14ac:dyDescent="0.25">
      <c r="A2834" s="10" t="s">
        <v>2631</v>
      </c>
      <c r="B2834" s="11" t="s">
        <v>1653</v>
      </c>
      <c r="C2834" s="5">
        <v>56847.723400000003</v>
      </c>
      <c r="D2834" s="5">
        <v>56847.723400000003</v>
      </c>
      <c r="E2834" s="5">
        <v>51476.629399999998</v>
      </c>
      <c r="G2834" s="5" t="str">
        <f t="shared" si="89"/>
        <v>ПТИЦЕФАБРИКА</v>
      </c>
      <c r="J2834" s="5"/>
      <c r="AL2834" s="5">
        <f t="shared" si="90"/>
        <v>0</v>
      </c>
    </row>
    <row r="2835" spans="1:38" ht="25.5" customHeight="1" x14ac:dyDescent="0.25">
      <c r="A2835" s="10" t="s">
        <v>2632</v>
      </c>
      <c r="B2835" s="11" t="s">
        <v>1635</v>
      </c>
      <c r="C2835" s="5">
        <v>57793.0844</v>
      </c>
      <c r="D2835" s="5">
        <v>57793.0844</v>
      </c>
      <c r="E2835" s="5">
        <v>52332.6639</v>
      </c>
      <c r="G2835" s="5" t="str">
        <f t="shared" si="89"/>
        <v>ЛЕЧЕБНЫЙ</v>
      </c>
      <c r="J2835" s="5"/>
      <c r="AL2835" s="5">
        <f t="shared" si="90"/>
        <v>0</v>
      </c>
    </row>
    <row r="2836" spans="1:38" ht="25.5" customHeight="1" x14ac:dyDescent="0.25">
      <c r="A2836" s="10" t="s">
        <v>675</v>
      </c>
      <c r="B2836" s="11" t="s">
        <v>1657</v>
      </c>
      <c r="C2836" s="5">
        <v>54886.9666</v>
      </c>
      <c r="D2836" s="5">
        <v>54886.9666</v>
      </c>
      <c r="E2836" s="5">
        <v>49701.1319</v>
      </c>
      <c r="G2836" s="5" t="str">
        <f t="shared" si="89"/>
        <v>КОЛЬЦОВО</v>
      </c>
      <c r="J2836" s="5"/>
      <c r="AL2836" s="5">
        <f t="shared" si="90"/>
        <v>0</v>
      </c>
    </row>
    <row r="2837" spans="1:38" ht="25.5" customHeight="1" x14ac:dyDescent="0.25">
      <c r="A2837" s="10" t="s">
        <v>2633</v>
      </c>
      <c r="B2837" s="11" t="s">
        <v>1674</v>
      </c>
      <c r="C2837" s="5">
        <v>29199.565200000001</v>
      </c>
      <c r="D2837" s="5">
        <v>29199.565200000001</v>
      </c>
      <c r="E2837" s="5">
        <v>26261.5317</v>
      </c>
      <c r="G2837" s="5" t="str">
        <f t="shared" si="89"/>
        <v>УАЗ</v>
      </c>
      <c r="J2837" s="5"/>
      <c r="AL2837" s="5">
        <f t="shared" si="90"/>
        <v>0</v>
      </c>
    </row>
    <row r="2838" spans="1:38" ht="25.5" customHeight="1" x14ac:dyDescent="0.25">
      <c r="A2838" s="10" t="s">
        <v>1325</v>
      </c>
      <c r="B2838" s="11" t="s">
        <v>1673</v>
      </c>
      <c r="C2838" s="5">
        <v>35563.243300000002</v>
      </c>
      <c r="D2838" s="5">
        <v>35563.243300000002</v>
      </c>
      <c r="E2838" s="5">
        <v>31984.905299999999</v>
      </c>
      <c r="G2838" s="5" t="str">
        <f t="shared" si="89"/>
        <v>УАЗ-III - 49 кв.</v>
      </c>
      <c r="J2838" s="5"/>
      <c r="AL2838" s="5">
        <f t="shared" si="90"/>
        <v>0</v>
      </c>
    </row>
    <row r="2839" spans="1:38" ht="25.5" customHeight="1" x14ac:dyDescent="0.25">
      <c r="A2839" s="10" t="s">
        <v>2634</v>
      </c>
      <c r="B2839" s="11" t="s">
        <v>1651</v>
      </c>
      <c r="C2839" s="5">
        <v>68129.029500000004</v>
      </c>
      <c r="D2839" s="5">
        <v>68129.029500000004</v>
      </c>
      <c r="E2839" s="5">
        <v>61692.054799999998</v>
      </c>
      <c r="G2839" s="5" t="str">
        <f t="shared" si="89"/>
        <v>ШАРТАШ</v>
      </c>
      <c r="J2839" s="5"/>
      <c r="AL2839" s="5">
        <f t="shared" si="90"/>
        <v>0</v>
      </c>
    </row>
    <row r="2840" spans="1:38" ht="25.5" customHeight="1" x14ac:dyDescent="0.25">
      <c r="A2840" s="10" t="s">
        <v>2635</v>
      </c>
      <c r="B2840" s="11" t="s">
        <v>1657</v>
      </c>
      <c r="C2840" s="5">
        <v>54886.9666</v>
      </c>
      <c r="D2840" s="5">
        <v>54886.9666</v>
      </c>
      <c r="E2840" s="5">
        <v>49701.1319</v>
      </c>
      <c r="G2840" s="5" t="str">
        <f t="shared" si="89"/>
        <v>КОЛЬЦОВО</v>
      </c>
      <c r="J2840" s="5"/>
      <c r="AL2840" s="5">
        <f t="shared" si="90"/>
        <v>0</v>
      </c>
    </row>
    <row r="2841" spans="1:38" ht="25.5" customHeight="1" x14ac:dyDescent="0.25">
      <c r="A2841" s="10" t="s">
        <v>864</v>
      </c>
      <c r="B2841" s="11" t="s">
        <v>1675</v>
      </c>
      <c r="C2841" s="5">
        <v>35756.285400000001</v>
      </c>
      <c r="D2841" s="5">
        <v>35756.285400000001</v>
      </c>
      <c r="E2841" s="5">
        <v>32158.5213</v>
      </c>
      <c r="G2841" s="5" t="str">
        <f t="shared" si="89"/>
        <v>УАЗ-II</v>
      </c>
      <c r="J2841" s="5"/>
      <c r="AL2841" s="5">
        <f t="shared" si="90"/>
        <v>0</v>
      </c>
    </row>
    <row r="2842" spans="1:38" ht="25.5" customHeight="1" x14ac:dyDescent="0.25">
      <c r="A2842" s="10" t="s">
        <v>1600</v>
      </c>
      <c r="B2842" s="11" t="s">
        <v>1679</v>
      </c>
      <c r="C2842" s="5">
        <v>28855.326499999999</v>
      </c>
      <c r="D2842" s="5">
        <v>28855.326499999999</v>
      </c>
      <c r="E2842" s="5">
        <v>25951.933700000001</v>
      </c>
      <c r="G2842" s="5" t="str">
        <f t="shared" si="89"/>
        <v>Ст.Каменск-Хозспособ</v>
      </c>
      <c r="J2842" s="5"/>
      <c r="AL2842" s="5">
        <f t="shared" si="90"/>
        <v>0</v>
      </c>
    </row>
    <row r="2843" spans="1:38" ht="25.5" customHeight="1" x14ac:dyDescent="0.25">
      <c r="A2843" s="10" t="s">
        <v>2636</v>
      </c>
      <c r="B2843" s="11" t="s">
        <v>1679</v>
      </c>
      <c r="C2843" s="5">
        <v>28855.326499999999</v>
      </c>
      <c r="D2843" s="5">
        <v>28855.326499999999</v>
      </c>
      <c r="E2843" s="5">
        <v>25951.933700000001</v>
      </c>
      <c r="G2843" s="5" t="str">
        <f t="shared" si="89"/>
        <v>Ст.Каменск-Хозспособ</v>
      </c>
      <c r="J2843" s="5"/>
      <c r="AL2843" s="5">
        <f t="shared" si="90"/>
        <v>0</v>
      </c>
    </row>
    <row r="2844" spans="1:38" ht="25.5" customHeight="1" x14ac:dyDescent="0.25">
      <c r="A2844" s="10" t="s">
        <v>2637</v>
      </c>
      <c r="B2844" s="11" t="s">
        <v>1677</v>
      </c>
      <c r="C2844" s="5">
        <v>39105.413099999998</v>
      </c>
      <c r="D2844" s="5">
        <v>39105.413099999998</v>
      </c>
      <c r="E2844" s="5">
        <v>35170.666700000002</v>
      </c>
      <c r="G2844" s="5" t="str">
        <f t="shared" si="89"/>
        <v>Октябрьский</v>
      </c>
      <c r="J2844" s="5"/>
      <c r="AL2844" s="5">
        <f t="shared" si="90"/>
        <v>0</v>
      </c>
    </row>
    <row r="2845" spans="1:38" ht="25.5" customHeight="1" x14ac:dyDescent="0.25">
      <c r="A2845" s="10" t="s">
        <v>655</v>
      </c>
      <c r="B2845" s="11" t="s">
        <v>1650</v>
      </c>
      <c r="C2845" s="5">
        <v>37590.3603</v>
      </c>
      <c r="D2845" s="5">
        <v>37590.3603</v>
      </c>
      <c r="E2845" s="5">
        <v>34038.745900000002</v>
      </c>
      <c r="G2845" s="5" t="str">
        <f t="shared" si="89"/>
        <v>ШАБРОВСКИЙ</v>
      </c>
      <c r="J2845" s="5"/>
      <c r="AL2845" s="5">
        <f t="shared" si="90"/>
        <v>0</v>
      </c>
    </row>
    <row r="2846" spans="1:38" ht="25.5" customHeight="1" x14ac:dyDescent="0.25">
      <c r="A2846" s="10" t="s">
        <v>2638</v>
      </c>
      <c r="B2846" s="11" t="s">
        <v>1679</v>
      </c>
      <c r="C2846" s="5">
        <v>28855.326499999999</v>
      </c>
      <c r="D2846" s="5">
        <v>28855.326499999999</v>
      </c>
      <c r="E2846" s="5">
        <v>25951.933700000001</v>
      </c>
      <c r="G2846" s="5" t="str">
        <f t="shared" si="89"/>
        <v>Ст.Каменск-Хозспособ</v>
      </c>
      <c r="J2846" s="5"/>
      <c r="AL2846" s="5">
        <f t="shared" si="90"/>
        <v>0</v>
      </c>
    </row>
    <row r="2847" spans="1:38" ht="25.5" customHeight="1" x14ac:dyDescent="0.25">
      <c r="A2847" s="10" t="s">
        <v>1317</v>
      </c>
      <c r="B2847" s="11" t="s">
        <v>1679</v>
      </c>
      <c r="C2847" s="5">
        <v>28855.326499999999</v>
      </c>
      <c r="D2847" s="5">
        <v>28855.326499999999</v>
      </c>
      <c r="E2847" s="5">
        <v>25951.933700000001</v>
      </c>
      <c r="G2847" s="5" t="str">
        <f t="shared" si="89"/>
        <v>Ст.Каменск-Хозспособ</v>
      </c>
      <c r="J2847" s="5"/>
      <c r="AL2847" s="5">
        <f t="shared" si="90"/>
        <v>0</v>
      </c>
    </row>
    <row r="2848" spans="1:38" ht="25.5" customHeight="1" x14ac:dyDescent="0.25">
      <c r="A2848" s="10" t="s">
        <v>2639</v>
      </c>
      <c r="B2848" s="11" t="s">
        <v>1668</v>
      </c>
      <c r="C2848" s="5">
        <v>51343.6201</v>
      </c>
      <c r="D2848" s="5">
        <v>51343.6201</v>
      </c>
      <c r="E2848" s="5">
        <v>46492.558799999999</v>
      </c>
      <c r="G2848" s="5" t="str">
        <f t="shared" si="89"/>
        <v>МЕДНЫЙ</v>
      </c>
      <c r="J2848" s="5"/>
      <c r="AL2848" s="5">
        <f t="shared" si="90"/>
        <v>0</v>
      </c>
    </row>
    <row r="2849" spans="1:38" ht="25.5" customHeight="1" x14ac:dyDescent="0.25">
      <c r="A2849" s="10" t="s">
        <v>1545</v>
      </c>
      <c r="B2849" s="11" t="s">
        <v>1683</v>
      </c>
      <c r="C2849" s="5">
        <v>40018.9617</v>
      </c>
      <c r="D2849" s="5">
        <v>40018.9617</v>
      </c>
      <c r="E2849" s="5">
        <v>35129.2961</v>
      </c>
      <c r="G2849" s="5" t="str">
        <f t="shared" si="89"/>
        <v>Алт_Гальян_М-Кушва</v>
      </c>
      <c r="J2849" s="5"/>
      <c r="AL2849" s="5">
        <f t="shared" si="90"/>
        <v>0</v>
      </c>
    </row>
    <row r="2850" spans="1:38" ht="25.5" customHeight="1" x14ac:dyDescent="0.25">
      <c r="A2850" s="10" t="s">
        <v>482</v>
      </c>
      <c r="B2850" s="11" t="s">
        <v>1663</v>
      </c>
      <c r="C2850" s="5">
        <v>44242.899599999997</v>
      </c>
      <c r="D2850" s="5">
        <v>44242.899599999997</v>
      </c>
      <c r="E2850" s="5">
        <v>40062.737300000001</v>
      </c>
      <c r="G2850" s="5" t="str">
        <f t="shared" si="89"/>
        <v>ШУВАКИШ</v>
      </c>
      <c r="J2850" s="5"/>
      <c r="AL2850" s="5">
        <f t="shared" si="90"/>
        <v>0</v>
      </c>
    </row>
    <row r="2851" spans="1:38" ht="25.5" customHeight="1" x14ac:dyDescent="0.25">
      <c r="A2851" s="10" t="s">
        <v>2640</v>
      </c>
      <c r="B2851" s="11" t="s">
        <v>1639</v>
      </c>
      <c r="C2851" s="5">
        <v>53500.443299999999</v>
      </c>
      <c r="D2851" s="5">
        <v>53500.443299999999</v>
      </c>
      <c r="E2851" s="5">
        <v>48445.605100000001</v>
      </c>
      <c r="G2851" s="5" t="str">
        <f t="shared" si="89"/>
        <v>ИСТОК</v>
      </c>
      <c r="J2851" s="5"/>
      <c r="AL2851" s="5">
        <f t="shared" si="90"/>
        <v>0</v>
      </c>
    </row>
    <row r="2852" spans="1:38" ht="25.5" customHeight="1" x14ac:dyDescent="0.25">
      <c r="A2852" s="10" t="s">
        <v>2641</v>
      </c>
      <c r="B2852" s="11" t="s">
        <v>209</v>
      </c>
      <c r="C2852" s="5">
        <v>69382.512499999997</v>
      </c>
      <c r="D2852" s="5">
        <v>69382.512499999997</v>
      </c>
      <c r="E2852" s="5">
        <v>62827.103199999998</v>
      </c>
      <c r="G2852" s="5" t="str">
        <f t="shared" si="89"/>
        <v>ЖБИ</v>
      </c>
      <c r="J2852" s="5"/>
      <c r="AL2852" s="5">
        <f t="shared" si="90"/>
        <v>0</v>
      </c>
    </row>
    <row r="2853" spans="1:38" ht="25.5" customHeight="1" x14ac:dyDescent="0.25">
      <c r="A2853" s="10" t="s">
        <v>1409</v>
      </c>
      <c r="B2853" s="11" t="s">
        <v>1629</v>
      </c>
      <c r="C2853" s="5">
        <v>77743.704100000003</v>
      </c>
      <c r="D2853" s="5">
        <v>77743.704100000003</v>
      </c>
      <c r="E2853" s="5">
        <v>70398.310800000007</v>
      </c>
      <c r="G2853" s="5" t="str">
        <f t="shared" si="89"/>
        <v>ПИОНЕРСКИЙ</v>
      </c>
      <c r="J2853" s="5"/>
      <c r="AL2853" s="5">
        <f t="shared" si="90"/>
        <v>0</v>
      </c>
    </row>
    <row r="2854" spans="1:38" ht="25.5" customHeight="1" x14ac:dyDescent="0.25">
      <c r="A2854" s="10" t="s">
        <v>2642</v>
      </c>
      <c r="B2854" s="11" t="s">
        <v>1650</v>
      </c>
      <c r="C2854" s="5">
        <v>37590.3603</v>
      </c>
      <c r="D2854" s="5">
        <v>37590.3603</v>
      </c>
      <c r="E2854" s="5">
        <v>34038.745900000002</v>
      </c>
      <c r="G2854" s="5" t="str">
        <f t="shared" si="89"/>
        <v>ШАБРОВСКИЙ</v>
      </c>
      <c r="J2854" s="5"/>
      <c r="AL2854" s="5">
        <f t="shared" si="90"/>
        <v>0</v>
      </c>
    </row>
    <row r="2855" spans="1:38" ht="25.5" customHeight="1" x14ac:dyDescent="0.25">
      <c r="A2855" s="10" t="s">
        <v>2643</v>
      </c>
      <c r="B2855" s="11" t="s">
        <v>1679</v>
      </c>
      <c r="C2855" s="5">
        <v>28855.326499999999</v>
      </c>
      <c r="D2855" s="5">
        <v>28855.326499999999</v>
      </c>
      <c r="E2855" s="5">
        <v>25951.933700000001</v>
      </c>
      <c r="G2855" s="5" t="str">
        <f t="shared" si="89"/>
        <v>Ст.Каменск-Хозспособ</v>
      </c>
      <c r="J2855" s="5"/>
      <c r="AL2855" s="5">
        <f t="shared" si="90"/>
        <v>0</v>
      </c>
    </row>
    <row r="2856" spans="1:38" ht="25.5" customHeight="1" x14ac:dyDescent="0.25">
      <c r="A2856" s="10" t="s">
        <v>629</v>
      </c>
      <c r="B2856" s="11" t="s">
        <v>1674</v>
      </c>
      <c r="C2856" s="5">
        <v>29199.565200000001</v>
      </c>
      <c r="D2856" s="5">
        <v>29199.565200000001</v>
      </c>
      <c r="E2856" s="5">
        <v>26261.5317</v>
      </c>
      <c r="G2856" s="5" t="str">
        <f t="shared" si="89"/>
        <v>УАЗ</v>
      </c>
      <c r="J2856" s="5"/>
      <c r="AL2856" s="5">
        <f t="shared" si="90"/>
        <v>0</v>
      </c>
    </row>
    <row r="2857" spans="1:38" ht="25.5" customHeight="1" x14ac:dyDescent="0.25">
      <c r="A2857" s="10" t="s">
        <v>504</v>
      </c>
      <c r="B2857" s="11" t="s">
        <v>1685</v>
      </c>
      <c r="C2857" s="5">
        <v>36513.6518</v>
      </c>
      <c r="D2857" s="5">
        <v>36513.6518</v>
      </c>
      <c r="E2857" s="5">
        <v>32052.276999999998</v>
      </c>
      <c r="G2857" s="5" t="str">
        <f t="shared" si="89"/>
        <v>Выя_Леб_Горб_Кр-Кам</v>
      </c>
      <c r="J2857" s="5"/>
      <c r="AL2857" s="5">
        <f t="shared" si="90"/>
        <v>0</v>
      </c>
    </row>
    <row r="2858" spans="1:38" ht="25.5" customHeight="1" x14ac:dyDescent="0.25">
      <c r="A2858" s="10" t="s">
        <v>2644</v>
      </c>
      <c r="B2858" s="11" t="s">
        <v>1699</v>
      </c>
      <c r="C2858" s="5">
        <v>34007.852099999996</v>
      </c>
      <c r="D2858" s="5">
        <v>34007.852099999996</v>
      </c>
      <c r="E2858" s="5">
        <v>30956.028900000001</v>
      </c>
      <c r="G2858" s="5" t="str">
        <f t="shared" si="89"/>
        <v>Шайтанка</v>
      </c>
      <c r="J2858" s="5"/>
      <c r="AL2858" s="5">
        <f t="shared" si="90"/>
        <v>0</v>
      </c>
    </row>
    <row r="2859" spans="1:38" ht="25.5" customHeight="1" x14ac:dyDescent="0.25">
      <c r="A2859" s="10" t="s">
        <v>2645</v>
      </c>
      <c r="B2859" s="11" t="s">
        <v>1675</v>
      </c>
      <c r="C2859" s="5">
        <v>35756.285400000001</v>
      </c>
      <c r="D2859" s="5">
        <v>35756.285400000001</v>
      </c>
      <c r="E2859" s="5">
        <v>32158.5213</v>
      </c>
      <c r="G2859" s="5" t="str">
        <f t="shared" si="89"/>
        <v>УАЗ-II</v>
      </c>
      <c r="J2859" s="5"/>
      <c r="AL2859" s="5">
        <f t="shared" si="90"/>
        <v>0</v>
      </c>
    </row>
    <row r="2860" spans="1:38" ht="25.5" customHeight="1" x14ac:dyDescent="0.25">
      <c r="A2860" s="10" t="s">
        <v>695</v>
      </c>
      <c r="B2860" s="11" t="s">
        <v>1674</v>
      </c>
      <c r="C2860" s="5">
        <v>29199.565200000001</v>
      </c>
      <c r="D2860" s="5">
        <v>29199.565200000001</v>
      </c>
      <c r="E2860" s="5">
        <v>26261.5317</v>
      </c>
      <c r="G2860" s="5" t="str">
        <f t="shared" si="89"/>
        <v>УАЗ</v>
      </c>
      <c r="J2860" s="5"/>
      <c r="AL2860" s="5">
        <f t="shared" si="90"/>
        <v>0</v>
      </c>
    </row>
    <row r="2861" spans="1:38" ht="25.5" customHeight="1" x14ac:dyDescent="0.25">
      <c r="A2861" s="10" t="s">
        <v>2646</v>
      </c>
      <c r="B2861" s="11" t="s">
        <v>1699</v>
      </c>
      <c r="C2861" s="5">
        <v>34007.852099999996</v>
      </c>
      <c r="D2861" s="5">
        <v>34007.852099999996</v>
      </c>
      <c r="E2861" s="5">
        <v>30956.028900000001</v>
      </c>
      <c r="G2861" s="5" t="str">
        <f t="shared" si="89"/>
        <v>Шайтанка</v>
      </c>
      <c r="J2861" s="5"/>
      <c r="AL2861" s="5">
        <f t="shared" si="90"/>
        <v>0</v>
      </c>
    </row>
    <row r="2862" spans="1:38" ht="25.5" customHeight="1" x14ac:dyDescent="0.25">
      <c r="A2862" s="10" t="s">
        <v>2647</v>
      </c>
      <c r="B2862" s="11" t="s">
        <v>1679</v>
      </c>
      <c r="C2862" s="5">
        <v>28855.326499999999</v>
      </c>
      <c r="D2862" s="5">
        <v>28855.326499999999</v>
      </c>
      <c r="E2862" s="5">
        <v>25951.933700000001</v>
      </c>
      <c r="G2862" s="5" t="str">
        <f t="shared" si="89"/>
        <v>Ст.Каменск-Хозспособ</v>
      </c>
      <c r="J2862" s="5"/>
      <c r="AL2862" s="5">
        <f t="shared" si="90"/>
        <v>0</v>
      </c>
    </row>
    <row r="2863" spans="1:38" ht="25.5" customHeight="1" x14ac:dyDescent="0.25">
      <c r="A2863" s="10" t="s">
        <v>2648</v>
      </c>
      <c r="B2863" s="11" t="s">
        <v>1679</v>
      </c>
      <c r="C2863" s="5">
        <v>28855.326499999999</v>
      </c>
      <c r="D2863" s="5">
        <v>28855.326499999999</v>
      </c>
      <c r="E2863" s="5">
        <v>25951.933700000001</v>
      </c>
      <c r="G2863" s="5" t="str">
        <f t="shared" si="89"/>
        <v>Ст.Каменск-Хозспособ</v>
      </c>
      <c r="J2863" s="5"/>
      <c r="AL2863" s="5">
        <f t="shared" si="90"/>
        <v>0</v>
      </c>
    </row>
    <row r="2864" spans="1:38" ht="25.5" customHeight="1" x14ac:dyDescent="0.25">
      <c r="A2864" s="10" t="s">
        <v>2649</v>
      </c>
      <c r="B2864" s="11" t="s">
        <v>1680</v>
      </c>
      <c r="C2864" s="5">
        <v>29151.309799999999</v>
      </c>
      <c r="D2864" s="5">
        <v>29151.309799999999</v>
      </c>
      <c r="E2864" s="5">
        <v>26218.127700000001</v>
      </c>
      <c r="G2864" s="5" t="str">
        <f t="shared" si="89"/>
        <v>Северный</v>
      </c>
      <c r="J2864" s="5"/>
      <c r="AL2864" s="5">
        <f t="shared" si="90"/>
        <v>0</v>
      </c>
    </row>
    <row r="2865" spans="1:38" ht="25.5" customHeight="1" x14ac:dyDescent="0.25">
      <c r="A2865" s="10" t="s">
        <v>2650</v>
      </c>
      <c r="B2865" s="11" t="s">
        <v>1677</v>
      </c>
      <c r="C2865" s="5">
        <v>39105.413099999998</v>
      </c>
      <c r="D2865" s="5">
        <v>39105.413099999998</v>
      </c>
      <c r="E2865" s="5">
        <v>35170.666700000002</v>
      </c>
      <c r="G2865" s="5" t="str">
        <f t="shared" si="89"/>
        <v>Октябрьский</v>
      </c>
      <c r="J2865" s="5"/>
      <c r="AL2865" s="5">
        <f t="shared" si="90"/>
        <v>0</v>
      </c>
    </row>
    <row r="2866" spans="1:38" ht="25.5" customHeight="1" x14ac:dyDescent="0.25">
      <c r="A2866" s="10" t="s">
        <v>294</v>
      </c>
      <c r="B2866" s="11" t="s">
        <v>1684</v>
      </c>
      <c r="C2866" s="5">
        <v>40625.090199999999</v>
      </c>
      <c r="D2866" s="5">
        <v>40625.090199999999</v>
      </c>
      <c r="E2866" s="5">
        <v>35661.364300000001</v>
      </c>
      <c r="G2866" s="5" t="str">
        <f t="shared" si="89"/>
        <v>Ваг_Стар_Пихтовы-г</v>
      </c>
      <c r="J2866" s="5"/>
      <c r="AL2866" s="5">
        <f t="shared" si="90"/>
        <v>0</v>
      </c>
    </row>
    <row r="2867" spans="1:38" ht="25.5" customHeight="1" x14ac:dyDescent="0.25">
      <c r="A2867" s="10" t="s">
        <v>1449</v>
      </c>
      <c r="B2867" s="11" t="s">
        <v>1684</v>
      </c>
      <c r="C2867" s="5">
        <v>40625.090199999999</v>
      </c>
      <c r="D2867" s="5">
        <v>40625.090199999999</v>
      </c>
      <c r="E2867" s="5">
        <v>35661.364300000001</v>
      </c>
      <c r="G2867" s="5" t="str">
        <f t="shared" si="89"/>
        <v>Ваг_Стар_Пихтовы-г</v>
      </c>
      <c r="J2867" s="5"/>
      <c r="AL2867" s="5">
        <f t="shared" si="90"/>
        <v>0</v>
      </c>
    </row>
    <row r="2868" spans="1:38" ht="25.5" customHeight="1" x14ac:dyDescent="0.25">
      <c r="A2868" s="10" t="s">
        <v>1612</v>
      </c>
      <c r="B2868" s="11" t="s">
        <v>1631</v>
      </c>
      <c r="C2868" s="5">
        <v>70026.7601</v>
      </c>
      <c r="D2868" s="5">
        <v>70026.7601</v>
      </c>
      <c r="E2868" s="5">
        <v>63410.482000000004</v>
      </c>
      <c r="G2868" s="5" t="str">
        <f t="shared" si="89"/>
        <v>УРАЛМАШ</v>
      </c>
      <c r="J2868" s="5"/>
      <c r="AL2868" s="5">
        <f t="shared" si="90"/>
        <v>0</v>
      </c>
    </row>
    <row r="2869" spans="1:38" ht="25.5" customHeight="1" x14ac:dyDescent="0.25">
      <c r="A2869" s="10" t="s">
        <v>577</v>
      </c>
      <c r="B2869" s="11" t="s">
        <v>1638</v>
      </c>
      <c r="C2869" s="5">
        <v>63640.311600000001</v>
      </c>
      <c r="D2869" s="5">
        <v>63640.311600000001</v>
      </c>
      <c r="E2869" s="5">
        <v>57627.4473</v>
      </c>
      <c r="G2869" s="5" t="str">
        <f t="shared" si="89"/>
        <v>УКТУС</v>
      </c>
      <c r="J2869" s="5"/>
      <c r="AL2869" s="5">
        <f t="shared" si="90"/>
        <v>0</v>
      </c>
    </row>
    <row r="2870" spans="1:38" ht="25.5" customHeight="1" x14ac:dyDescent="0.25">
      <c r="A2870" s="10" t="s">
        <v>2651</v>
      </c>
      <c r="B2870" s="11" t="s">
        <v>33</v>
      </c>
      <c r="C2870" s="5">
        <v>84298.205100000006</v>
      </c>
      <c r="D2870" s="5">
        <v>84298.205100000006</v>
      </c>
      <c r="E2870" s="5">
        <v>76333.533100000001</v>
      </c>
      <c r="G2870" s="5" t="str">
        <f t="shared" si="89"/>
        <v>ВИЗ</v>
      </c>
      <c r="J2870" s="5"/>
      <c r="AL2870" s="5">
        <f t="shared" si="90"/>
        <v>0</v>
      </c>
    </row>
    <row r="2871" spans="1:38" ht="25.5" customHeight="1" x14ac:dyDescent="0.25">
      <c r="A2871" s="10" t="s">
        <v>2652</v>
      </c>
      <c r="B2871" s="11" t="s">
        <v>1663</v>
      </c>
      <c r="C2871" s="5">
        <v>44242.899599999997</v>
      </c>
      <c r="D2871" s="5">
        <v>44242.899599999997</v>
      </c>
      <c r="E2871" s="5">
        <v>40062.737300000001</v>
      </c>
      <c r="G2871" s="5" t="str">
        <f t="shared" si="89"/>
        <v>ШУВАКИШ</v>
      </c>
      <c r="J2871" s="5"/>
      <c r="AL2871" s="5">
        <f t="shared" si="90"/>
        <v>0</v>
      </c>
    </row>
    <row r="2872" spans="1:38" ht="25.5" customHeight="1" x14ac:dyDescent="0.25">
      <c r="A2872" s="10" t="s">
        <v>1367</v>
      </c>
      <c r="B2872" s="11" t="s">
        <v>1654</v>
      </c>
      <c r="C2872" s="5">
        <v>56140.449699999997</v>
      </c>
      <c r="D2872" s="5">
        <v>56140.449699999997</v>
      </c>
      <c r="E2872" s="5">
        <v>50836.1803</v>
      </c>
      <c r="G2872" s="5" t="str">
        <f t="shared" si="89"/>
        <v>ЗАВОКЗАЛЬНЫЙ</v>
      </c>
      <c r="J2872" s="5"/>
      <c r="AL2872" s="5">
        <f t="shared" si="90"/>
        <v>0</v>
      </c>
    </row>
    <row r="2873" spans="1:38" ht="25.5" customHeight="1" x14ac:dyDescent="0.25">
      <c r="A2873" s="10" t="s">
        <v>2653</v>
      </c>
      <c r="B2873" s="11" t="s">
        <v>1679</v>
      </c>
      <c r="C2873" s="5">
        <v>28855.326499999999</v>
      </c>
      <c r="D2873" s="5">
        <v>28855.326499999999</v>
      </c>
      <c r="E2873" s="5">
        <v>25951.933700000001</v>
      </c>
      <c r="G2873" s="5" t="str">
        <f t="shared" si="89"/>
        <v>Ст.Каменск-Хозспособ</v>
      </c>
      <c r="J2873" s="5"/>
      <c r="AL2873" s="5">
        <f t="shared" si="90"/>
        <v>0</v>
      </c>
    </row>
    <row r="2874" spans="1:38" ht="25.5" customHeight="1" x14ac:dyDescent="0.25">
      <c r="A2874" s="10" t="s">
        <v>714</v>
      </c>
      <c r="B2874" s="11" t="s">
        <v>1679</v>
      </c>
      <c r="C2874" s="5">
        <v>28855.326499999999</v>
      </c>
      <c r="D2874" s="5">
        <v>28855.326499999999</v>
      </c>
      <c r="E2874" s="5">
        <v>25951.933700000001</v>
      </c>
      <c r="G2874" s="5" t="str">
        <f t="shared" si="89"/>
        <v>Ст.Каменск-Хозспособ</v>
      </c>
      <c r="J2874" s="5"/>
      <c r="AL2874" s="5">
        <f t="shared" si="90"/>
        <v>0</v>
      </c>
    </row>
    <row r="2875" spans="1:38" ht="25.5" customHeight="1" x14ac:dyDescent="0.25">
      <c r="A2875" s="10" t="s">
        <v>1106</v>
      </c>
      <c r="B2875" s="11" t="s">
        <v>1679</v>
      </c>
      <c r="C2875" s="5">
        <v>28855.326499999999</v>
      </c>
      <c r="D2875" s="5">
        <v>28855.326499999999</v>
      </c>
      <c r="E2875" s="5">
        <v>25951.933700000001</v>
      </c>
      <c r="G2875" s="5" t="str">
        <f t="shared" si="89"/>
        <v>Ст.Каменск-Хозспособ</v>
      </c>
      <c r="J2875" s="5"/>
      <c r="AL2875" s="5">
        <f t="shared" si="90"/>
        <v>0</v>
      </c>
    </row>
    <row r="2876" spans="1:38" ht="25.5" customHeight="1" x14ac:dyDescent="0.25">
      <c r="A2876" s="10" t="s">
        <v>2654</v>
      </c>
      <c r="B2876" s="11" t="s">
        <v>1679</v>
      </c>
      <c r="C2876" s="5">
        <v>28855.326499999999</v>
      </c>
      <c r="D2876" s="5">
        <v>28855.326499999999</v>
      </c>
      <c r="E2876" s="5">
        <v>25951.933700000001</v>
      </c>
      <c r="G2876" s="5" t="str">
        <f t="shared" si="89"/>
        <v>Ст.Каменск-Хозспособ</v>
      </c>
      <c r="J2876" s="5"/>
      <c r="AL2876" s="5">
        <f t="shared" si="90"/>
        <v>0</v>
      </c>
    </row>
    <row r="2877" spans="1:38" ht="25.5" customHeight="1" x14ac:dyDescent="0.25">
      <c r="A2877" s="10" t="s">
        <v>716</v>
      </c>
      <c r="B2877" s="11" t="s">
        <v>1679</v>
      </c>
      <c r="C2877" s="5">
        <v>28855.326499999999</v>
      </c>
      <c r="D2877" s="5">
        <v>28855.326499999999</v>
      </c>
      <c r="E2877" s="5">
        <v>25951.933700000001</v>
      </c>
      <c r="G2877" s="5" t="str">
        <f t="shared" si="89"/>
        <v>Ст.Каменск-Хозспособ</v>
      </c>
      <c r="J2877" s="5"/>
      <c r="AL2877" s="5">
        <f t="shared" si="90"/>
        <v>0</v>
      </c>
    </row>
    <row r="2878" spans="1:38" ht="25.5" customHeight="1" x14ac:dyDescent="0.25">
      <c r="A2878" s="10" t="s">
        <v>2655</v>
      </c>
      <c r="B2878" s="11" t="s">
        <v>1676</v>
      </c>
      <c r="C2878" s="5">
        <v>28848.8855</v>
      </c>
      <c r="D2878" s="5">
        <v>28848.8855</v>
      </c>
      <c r="E2878" s="5">
        <v>25946.143</v>
      </c>
      <c r="G2878" s="5" t="str">
        <f t="shared" si="89"/>
        <v>Чкаловский</v>
      </c>
      <c r="J2878" s="5"/>
      <c r="AL2878" s="5">
        <f t="shared" si="90"/>
        <v>0</v>
      </c>
    </row>
    <row r="2879" spans="1:38" x14ac:dyDescent="0.25">
      <c r="A2879" s="10" t="s">
        <v>2656</v>
      </c>
      <c r="B2879" s="11" t="s">
        <v>1674</v>
      </c>
      <c r="C2879" s="5">
        <v>29199.565200000001</v>
      </c>
      <c r="D2879" s="5">
        <v>29199.565200000001</v>
      </c>
      <c r="E2879" s="5">
        <v>26261.5317</v>
      </c>
      <c r="G2879" s="5" t="str">
        <f t="shared" si="89"/>
        <v>УАЗ</v>
      </c>
      <c r="J2879" s="5"/>
      <c r="AL2879" s="5">
        <f t="shared" si="90"/>
        <v>0</v>
      </c>
    </row>
    <row r="2880" spans="1:38" x14ac:dyDescent="0.25">
      <c r="A2880" s="10" t="s">
        <v>2657</v>
      </c>
      <c r="B2880" s="11" t="s">
        <v>1674</v>
      </c>
      <c r="C2880" s="5">
        <v>29199.565200000001</v>
      </c>
      <c r="D2880" s="5">
        <v>29199.565200000001</v>
      </c>
      <c r="E2880" s="5">
        <v>26261.5317</v>
      </c>
      <c r="G2880" s="5" t="str">
        <f t="shared" si="89"/>
        <v>УАЗ</v>
      </c>
      <c r="J2880" s="5"/>
      <c r="AL2880" s="5">
        <f t="shared" si="90"/>
        <v>0</v>
      </c>
    </row>
    <row r="2881" spans="1:38" ht="25.5" customHeight="1" x14ac:dyDescent="0.25">
      <c r="A2881" s="10" t="s">
        <v>432</v>
      </c>
      <c r="B2881" s="5" t="s">
        <v>1647</v>
      </c>
      <c r="C2881" s="5">
        <v>63178.133800000003</v>
      </c>
      <c r="D2881" s="5">
        <v>63178.133800000003</v>
      </c>
      <c r="E2881" s="5">
        <v>57208.931499999999</v>
      </c>
      <c r="G2881" s="5" t="str">
        <f t="shared" si="89"/>
        <v>ШИРОКАЯ РЕЧКА</v>
      </c>
      <c r="J2881" s="5"/>
      <c r="AL2881" s="5">
        <f t="shared" si="90"/>
        <v>0</v>
      </c>
    </row>
    <row r="2882" spans="1:38" ht="25.5" customHeight="1" x14ac:dyDescent="0.25">
      <c r="A2882" s="10" t="s">
        <v>2658</v>
      </c>
      <c r="B2882" s="11" t="s">
        <v>1677</v>
      </c>
      <c r="C2882" s="5">
        <v>39105.413099999998</v>
      </c>
      <c r="D2882" s="5">
        <v>39105.413099999998</v>
      </c>
      <c r="E2882" s="5">
        <v>35170.666700000002</v>
      </c>
      <c r="G2882" s="5" t="str">
        <f t="shared" si="89"/>
        <v>Октябрьский</v>
      </c>
      <c r="J2882" s="5"/>
      <c r="AL2882" s="5">
        <f t="shared" si="90"/>
        <v>0</v>
      </c>
    </row>
    <row r="2883" spans="1:38" ht="25.5" customHeight="1" x14ac:dyDescent="0.25">
      <c r="A2883" s="10" t="s">
        <v>2659</v>
      </c>
      <c r="B2883" s="11" t="s">
        <v>1679</v>
      </c>
      <c r="C2883" s="5">
        <v>28855.326499999999</v>
      </c>
      <c r="D2883" s="5">
        <v>28855.326499999999</v>
      </c>
      <c r="E2883" s="5">
        <v>25951.933700000001</v>
      </c>
      <c r="G2883" s="5" t="str">
        <f t="shared" ref="G2883:G2946" si="91">B2883</f>
        <v>Ст.Каменск-Хозспособ</v>
      </c>
      <c r="J2883" s="5"/>
      <c r="AL2883" s="5">
        <f t="shared" ref="AL2883:AL2946" si="92">AF2883</f>
        <v>0</v>
      </c>
    </row>
    <row r="2884" spans="1:38" ht="25.5" customHeight="1" x14ac:dyDescent="0.25">
      <c r="A2884" s="10" t="s">
        <v>2660</v>
      </c>
      <c r="B2884" s="11" t="s">
        <v>1647</v>
      </c>
      <c r="C2884" s="5">
        <v>63178.133800000003</v>
      </c>
      <c r="D2884" s="5">
        <v>63178.133800000003</v>
      </c>
      <c r="E2884" s="5">
        <v>57208.931499999999</v>
      </c>
      <c r="G2884" s="5" t="str">
        <f t="shared" si="91"/>
        <v>ШИРОКАЯ РЕЧКА</v>
      </c>
      <c r="J2884" s="5"/>
      <c r="AL2884" s="5">
        <f t="shared" si="92"/>
        <v>0</v>
      </c>
    </row>
    <row r="2885" spans="1:38" ht="25.5" customHeight="1" x14ac:dyDescent="0.25">
      <c r="A2885" s="10" t="s">
        <v>2661</v>
      </c>
      <c r="B2885" s="11" t="s">
        <v>1673</v>
      </c>
      <c r="C2885" s="5">
        <v>35563.243300000002</v>
      </c>
      <c r="D2885" s="5">
        <v>35563.243300000002</v>
      </c>
      <c r="E2885" s="5">
        <v>31984.905299999999</v>
      </c>
      <c r="G2885" s="5" t="str">
        <f t="shared" si="91"/>
        <v>УАЗ-III - 49 кв.</v>
      </c>
      <c r="J2885" s="5"/>
      <c r="AL2885" s="5">
        <f t="shared" si="92"/>
        <v>0</v>
      </c>
    </row>
    <row r="2886" spans="1:38" ht="25.5" customHeight="1" x14ac:dyDescent="0.25">
      <c r="A2886" s="10" t="s">
        <v>2662</v>
      </c>
      <c r="B2886" s="11" t="s">
        <v>1679</v>
      </c>
      <c r="C2886" s="5">
        <v>28855.326499999999</v>
      </c>
      <c r="D2886" s="5">
        <v>28855.326499999999</v>
      </c>
      <c r="E2886" s="5">
        <v>25951.933700000001</v>
      </c>
      <c r="G2886" s="5" t="str">
        <f t="shared" si="91"/>
        <v>Ст.Каменск-Хозспособ</v>
      </c>
      <c r="J2886" s="5"/>
      <c r="AL2886" s="5">
        <f t="shared" si="92"/>
        <v>0</v>
      </c>
    </row>
    <row r="2887" spans="1:38" ht="25.5" customHeight="1" x14ac:dyDescent="0.25">
      <c r="A2887" s="10" t="s">
        <v>2663</v>
      </c>
      <c r="B2887" s="11" t="s">
        <v>1679</v>
      </c>
      <c r="C2887" s="5">
        <v>28855.326499999999</v>
      </c>
      <c r="D2887" s="5">
        <v>28855.326499999999</v>
      </c>
      <c r="E2887" s="5">
        <v>25951.933700000001</v>
      </c>
      <c r="G2887" s="5" t="str">
        <f t="shared" si="91"/>
        <v>Ст.Каменск-Хозспособ</v>
      </c>
      <c r="J2887" s="5"/>
      <c r="AL2887" s="5">
        <f t="shared" si="92"/>
        <v>0</v>
      </c>
    </row>
    <row r="2888" spans="1:38" ht="25.5" customHeight="1" x14ac:dyDescent="0.25">
      <c r="A2888" s="10" t="s">
        <v>2664</v>
      </c>
      <c r="B2888" s="11" t="s">
        <v>389</v>
      </c>
      <c r="C2888" s="5">
        <v>51175.5573</v>
      </c>
      <c r="D2888" s="5">
        <v>51175.5573</v>
      </c>
      <c r="E2888" s="5">
        <v>46340.381600000001</v>
      </c>
      <c r="G2888" s="5" t="str">
        <f t="shared" si="91"/>
        <v>Северка</v>
      </c>
      <c r="J2888" s="5"/>
      <c r="AL2888" s="5">
        <f t="shared" si="92"/>
        <v>0</v>
      </c>
    </row>
    <row r="2889" spans="1:38" ht="25.5" customHeight="1" x14ac:dyDescent="0.25">
      <c r="A2889" s="10" t="s">
        <v>2665</v>
      </c>
      <c r="B2889" s="11" t="s">
        <v>483</v>
      </c>
      <c r="C2889" s="5">
        <v>44242.899599999997</v>
      </c>
      <c r="D2889" s="5">
        <v>44242.899599999997</v>
      </c>
      <c r="E2889" s="5">
        <v>40062.737300000001</v>
      </c>
      <c r="G2889" s="5" t="str">
        <f t="shared" si="91"/>
        <v>Шувакиш</v>
      </c>
      <c r="J2889" s="5"/>
      <c r="AL2889" s="5">
        <f t="shared" si="92"/>
        <v>0</v>
      </c>
    </row>
    <row r="2890" spans="1:38" ht="25.5" customHeight="1" x14ac:dyDescent="0.25">
      <c r="A2890" s="10" t="s">
        <v>2666</v>
      </c>
      <c r="B2890" s="11" t="s">
        <v>1676</v>
      </c>
      <c r="C2890" s="5">
        <v>28848.8855</v>
      </c>
      <c r="D2890" s="5">
        <v>28848.8855</v>
      </c>
      <c r="E2890" s="5">
        <v>25946.143</v>
      </c>
      <c r="G2890" s="5" t="str">
        <f t="shared" si="91"/>
        <v>Чкаловский</v>
      </c>
      <c r="J2890" s="5"/>
      <c r="AL2890" s="5">
        <f t="shared" si="92"/>
        <v>0</v>
      </c>
    </row>
    <row r="2891" spans="1:38" ht="25.5" customHeight="1" x14ac:dyDescent="0.25">
      <c r="A2891" s="10" t="s">
        <v>2667</v>
      </c>
      <c r="B2891" s="11" t="s">
        <v>14</v>
      </c>
      <c r="C2891" s="5">
        <v>93989.912800000006</v>
      </c>
      <c r="D2891" s="5">
        <v>93989.912800000006</v>
      </c>
      <c r="E2891" s="5">
        <v>85109.545199999993</v>
      </c>
      <c r="G2891" s="5" t="str">
        <f t="shared" si="91"/>
        <v>Центр</v>
      </c>
      <c r="J2891" s="5"/>
      <c r="AL2891" s="5">
        <f t="shared" si="92"/>
        <v>0</v>
      </c>
    </row>
    <row r="2892" spans="1:38" ht="25.5" customHeight="1" x14ac:dyDescent="0.25">
      <c r="A2892" s="10" t="s">
        <v>2668</v>
      </c>
      <c r="B2892" s="11" t="s">
        <v>1676</v>
      </c>
      <c r="C2892" s="5">
        <v>28848.8855</v>
      </c>
      <c r="D2892" s="5">
        <v>28848.8855</v>
      </c>
      <c r="E2892" s="5">
        <v>25946.143</v>
      </c>
      <c r="G2892" s="5" t="str">
        <f t="shared" si="91"/>
        <v>Чкаловский</v>
      </c>
      <c r="J2892" s="5"/>
      <c r="AL2892" s="5">
        <f t="shared" si="92"/>
        <v>0</v>
      </c>
    </row>
    <row r="2893" spans="1:38" ht="25.5" customHeight="1" x14ac:dyDescent="0.25">
      <c r="A2893" s="10" t="s">
        <v>2669</v>
      </c>
      <c r="B2893" s="11" t="s">
        <v>1676</v>
      </c>
      <c r="C2893" s="5">
        <v>28848.8855</v>
      </c>
      <c r="D2893" s="5">
        <v>28848.8855</v>
      </c>
      <c r="E2893" s="5">
        <v>25946.143</v>
      </c>
      <c r="G2893" s="5" t="str">
        <f t="shared" si="91"/>
        <v>Чкаловский</v>
      </c>
      <c r="J2893" s="5"/>
      <c r="AL2893" s="5">
        <f t="shared" si="92"/>
        <v>0</v>
      </c>
    </row>
    <row r="2894" spans="1:38" ht="25.5" customHeight="1" x14ac:dyDescent="0.25">
      <c r="A2894" s="10" t="s">
        <v>2670</v>
      </c>
      <c r="B2894" s="11" t="s">
        <v>389</v>
      </c>
      <c r="C2894" s="5">
        <v>51175.5573</v>
      </c>
      <c r="D2894" s="5">
        <v>51175.5573</v>
      </c>
      <c r="E2894" s="5">
        <v>46340.381600000001</v>
      </c>
      <c r="G2894" s="5" t="str">
        <f t="shared" si="91"/>
        <v>Северка</v>
      </c>
      <c r="J2894" s="5"/>
      <c r="AL2894" s="5">
        <f t="shared" si="92"/>
        <v>0</v>
      </c>
    </row>
    <row r="2895" spans="1:38" ht="25.5" customHeight="1" x14ac:dyDescent="0.25">
      <c r="A2895" s="10" t="s">
        <v>2671</v>
      </c>
      <c r="B2895" s="11" t="s">
        <v>1631</v>
      </c>
      <c r="C2895" s="5">
        <v>70026.7601</v>
      </c>
      <c r="D2895" s="5">
        <v>70026.7601</v>
      </c>
      <c r="E2895" s="5">
        <v>63410.482000000004</v>
      </c>
      <c r="G2895" s="5" t="str">
        <f t="shared" si="91"/>
        <v>УРАЛМАШ</v>
      </c>
      <c r="J2895" s="5"/>
      <c r="AL2895" s="5">
        <f t="shared" si="92"/>
        <v>0</v>
      </c>
    </row>
    <row r="2896" spans="1:38" ht="25.5" customHeight="1" x14ac:dyDescent="0.25">
      <c r="A2896" s="20" t="s">
        <v>2672</v>
      </c>
      <c r="B2896" s="22">
        <v>1003</v>
      </c>
      <c r="C2896" s="5">
        <v>21261.0285</v>
      </c>
      <c r="D2896" s="5">
        <v>21261.0285</v>
      </c>
      <c r="E2896" s="5">
        <v>20837.465199999999</v>
      </c>
      <c r="G2896" s="5">
        <f t="shared" si="91"/>
        <v>1003</v>
      </c>
      <c r="J2896" s="5"/>
      <c r="AL2896" s="5">
        <f t="shared" si="92"/>
        <v>0</v>
      </c>
    </row>
    <row r="2897" spans="1:38" ht="25.5" customHeight="1" x14ac:dyDescent="0.25">
      <c r="A2897" s="10" t="s">
        <v>2673</v>
      </c>
      <c r="B2897" s="11" t="s">
        <v>1677</v>
      </c>
      <c r="C2897" s="5">
        <v>39105.413099999998</v>
      </c>
      <c r="D2897" s="5">
        <v>39105.413099999998</v>
      </c>
      <c r="E2897" s="5">
        <v>35170.666700000002</v>
      </c>
      <c r="G2897" s="5" t="str">
        <f t="shared" si="91"/>
        <v>Октябрьский</v>
      </c>
      <c r="J2897" s="5"/>
      <c r="AL2897" s="5">
        <f t="shared" si="92"/>
        <v>0</v>
      </c>
    </row>
    <row r="2898" spans="1:38" ht="25.5" customHeight="1" x14ac:dyDescent="0.25">
      <c r="A2898" s="10" t="s">
        <v>848</v>
      </c>
      <c r="B2898" s="11" t="s">
        <v>1674</v>
      </c>
      <c r="C2898" s="5">
        <v>29199.565200000001</v>
      </c>
      <c r="D2898" s="5">
        <v>29199.565200000001</v>
      </c>
      <c r="E2898" s="5">
        <v>26261.5317</v>
      </c>
      <c r="G2898" s="5" t="str">
        <f t="shared" si="91"/>
        <v>УАЗ</v>
      </c>
      <c r="J2898" s="5"/>
      <c r="AL2898" s="5">
        <f t="shared" si="92"/>
        <v>0</v>
      </c>
    </row>
    <row r="2899" spans="1:38" ht="25.5" customHeight="1" x14ac:dyDescent="0.25">
      <c r="A2899" s="10" t="s">
        <v>745</v>
      </c>
      <c r="B2899" s="11" t="s">
        <v>1681</v>
      </c>
      <c r="C2899" s="5">
        <v>32172.2909</v>
      </c>
      <c r="D2899" s="5">
        <v>32172.2909</v>
      </c>
      <c r="E2899" s="5">
        <v>28935.146499999999</v>
      </c>
      <c r="G2899" s="5" t="str">
        <f t="shared" si="91"/>
        <v>Ленин-Олимп</v>
      </c>
      <c r="J2899" s="5"/>
      <c r="AL2899" s="5">
        <f t="shared" si="92"/>
        <v>0</v>
      </c>
    </row>
    <row r="2900" spans="1:38" ht="25.5" customHeight="1" x14ac:dyDescent="0.25">
      <c r="A2900" s="10" t="s">
        <v>2674</v>
      </c>
      <c r="B2900" s="11" t="s">
        <v>1661</v>
      </c>
      <c r="C2900" s="5">
        <v>51175.5573</v>
      </c>
      <c r="D2900" s="5">
        <v>51175.5573</v>
      </c>
      <c r="E2900" s="5">
        <v>46340.381600000001</v>
      </c>
      <c r="G2900" s="5" t="str">
        <f t="shared" si="91"/>
        <v>СЕВЕРКА</v>
      </c>
      <c r="J2900" s="5"/>
      <c r="AL2900" s="5">
        <f t="shared" si="92"/>
        <v>0</v>
      </c>
    </row>
    <row r="2901" spans="1:38" ht="25.5" customHeight="1" x14ac:dyDescent="0.25">
      <c r="A2901" s="10" t="s">
        <v>2675</v>
      </c>
      <c r="B2901" s="11" t="s">
        <v>1676</v>
      </c>
      <c r="C2901" s="5">
        <v>28848.8855</v>
      </c>
      <c r="D2901" s="5">
        <v>28848.8855</v>
      </c>
      <c r="E2901" s="5">
        <v>25946.143</v>
      </c>
      <c r="G2901" s="5" t="str">
        <f t="shared" si="91"/>
        <v>Чкаловский</v>
      </c>
      <c r="J2901" s="5"/>
      <c r="AL2901" s="5">
        <f t="shared" si="92"/>
        <v>0</v>
      </c>
    </row>
    <row r="2902" spans="1:38" ht="25.5" customHeight="1" x14ac:dyDescent="0.25">
      <c r="A2902" s="10" t="s">
        <v>2676</v>
      </c>
      <c r="B2902" s="11" t="s">
        <v>1647</v>
      </c>
      <c r="C2902" s="5">
        <v>63178.133800000003</v>
      </c>
      <c r="D2902" s="5">
        <v>63178.133800000003</v>
      </c>
      <c r="E2902" s="5">
        <v>57208.931499999999</v>
      </c>
      <c r="G2902" s="5" t="str">
        <f t="shared" si="91"/>
        <v>ШИРОКАЯ РЕЧКА</v>
      </c>
      <c r="J2902" s="5"/>
      <c r="AL2902" s="5">
        <f t="shared" si="92"/>
        <v>0</v>
      </c>
    </row>
    <row r="2903" spans="1:38" x14ac:dyDescent="0.25">
      <c r="A2903" s="10" t="s">
        <v>2677</v>
      </c>
      <c r="B2903" s="11" t="s">
        <v>1674</v>
      </c>
      <c r="C2903" s="5">
        <v>29199.565200000001</v>
      </c>
      <c r="D2903" s="5">
        <v>29199.565200000001</v>
      </c>
      <c r="E2903" s="5">
        <v>26261.5317</v>
      </c>
      <c r="G2903" s="5" t="str">
        <f t="shared" si="91"/>
        <v>УАЗ</v>
      </c>
      <c r="J2903" s="5"/>
      <c r="AL2903" s="5">
        <f t="shared" si="92"/>
        <v>0</v>
      </c>
    </row>
    <row r="2904" spans="1:38" x14ac:dyDescent="0.25">
      <c r="A2904" s="10" t="s">
        <v>2678</v>
      </c>
      <c r="B2904" s="11" t="s">
        <v>1681</v>
      </c>
      <c r="C2904" s="5">
        <v>32172.2909</v>
      </c>
      <c r="D2904" s="5">
        <v>32172.2909</v>
      </c>
      <c r="E2904" s="5">
        <v>28935.146499999999</v>
      </c>
      <c r="G2904" s="5" t="str">
        <f t="shared" si="91"/>
        <v>Ленин-Олимп</v>
      </c>
      <c r="J2904" s="5"/>
      <c r="AL2904" s="5">
        <f t="shared" si="92"/>
        <v>0</v>
      </c>
    </row>
    <row r="2905" spans="1:38" ht="25.5" customHeight="1" x14ac:dyDescent="0.25">
      <c r="A2905" s="10" t="s">
        <v>2679</v>
      </c>
      <c r="B2905" s="11" t="s">
        <v>1680</v>
      </c>
      <c r="C2905" s="5">
        <v>29151.309799999999</v>
      </c>
      <c r="D2905" s="5">
        <v>29151.309799999999</v>
      </c>
      <c r="E2905" s="5">
        <v>26218.127700000001</v>
      </c>
      <c r="G2905" s="5" t="str">
        <f t="shared" si="91"/>
        <v>Северный</v>
      </c>
      <c r="J2905" s="5"/>
      <c r="AL2905" s="5">
        <f t="shared" si="92"/>
        <v>0</v>
      </c>
    </row>
    <row r="2906" spans="1:38" ht="25.5" customHeight="1" x14ac:dyDescent="0.25">
      <c r="A2906" s="10" t="s">
        <v>2680</v>
      </c>
      <c r="B2906" s="11" t="s">
        <v>1636</v>
      </c>
      <c r="C2906" s="5">
        <v>52246.960299999999</v>
      </c>
      <c r="D2906" s="5">
        <v>52246.960299999999</v>
      </c>
      <c r="E2906" s="5">
        <v>47310.556700000001</v>
      </c>
      <c r="G2906" s="5" t="str">
        <f t="shared" si="91"/>
        <v>ГОРНЫЙ ЩИТ</v>
      </c>
      <c r="J2906" s="5"/>
      <c r="AL2906" s="5">
        <f t="shared" si="92"/>
        <v>0</v>
      </c>
    </row>
    <row r="2907" spans="1:38" ht="25.5" customHeight="1" x14ac:dyDescent="0.25">
      <c r="A2907" s="10" t="s">
        <v>2681</v>
      </c>
      <c r="B2907" s="11" t="s">
        <v>1679</v>
      </c>
      <c r="C2907" s="5">
        <v>28855.326499999999</v>
      </c>
      <c r="D2907" s="5">
        <v>28855.326499999999</v>
      </c>
      <c r="E2907" s="5">
        <v>25951.933700000001</v>
      </c>
      <c r="G2907" s="5" t="str">
        <f t="shared" si="91"/>
        <v>Ст.Каменск-Хозспособ</v>
      </c>
      <c r="J2907" s="5"/>
      <c r="AL2907" s="5">
        <f t="shared" si="92"/>
        <v>0</v>
      </c>
    </row>
    <row r="2908" spans="1:38" ht="25.5" customHeight="1" x14ac:dyDescent="0.25">
      <c r="A2908" s="10" t="s">
        <v>2682</v>
      </c>
      <c r="B2908" s="11" t="s">
        <v>1679</v>
      </c>
      <c r="C2908" s="5">
        <v>28855.326499999999</v>
      </c>
      <c r="D2908" s="5">
        <v>28855.326499999999</v>
      </c>
      <c r="E2908" s="5">
        <v>25951.933700000001</v>
      </c>
      <c r="G2908" s="5" t="str">
        <f t="shared" si="91"/>
        <v>Ст.Каменск-Хозспособ</v>
      </c>
      <c r="J2908" s="5"/>
      <c r="AL2908" s="5">
        <f t="shared" si="92"/>
        <v>0</v>
      </c>
    </row>
    <row r="2909" spans="1:38" ht="25.5" customHeight="1" x14ac:dyDescent="0.25">
      <c r="A2909" s="10" t="s">
        <v>2683</v>
      </c>
      <c r="B2909" s="11" t="s">
        <v>1679</v>
      </c>
      <c r="C2909" s="5">
        <v>28855.326499999999</v>
      </c>
      <c r="D2909" s="5">
        <v>28855.326499999999</v>
      </c>
      <c r="E2909" s="5">
        <v>25951.933700000001</v>
      </c>
      <c r="G2909" s="5" t="str">
        <f t="shared" si="91"/>
        <v>Ст.Каменск-Хозспособ</v>
      </c>
      <c r="J2909" s="5"/>
      <c r="AL2909" s="5">
        <f t="shared" si="92"/>
        <v>0</v>
      </c>
    </row>
    <row r="2910" spans="1:38" ht="25.5" customHeight="1" x14ac:dyDescent="0.25">
      <c r="A2910" s="10" t="s">
        <v>2684</v>
      </c>
      <c r="B2910" s="11" t="s">
        <v>1682</v>
      </c>
      <c r="C2910" s="5">
        <v>38278.589899999999</v>
      </c>
      <c r="D2910" s="5">
        <v>38278.589899999999</v>
      </c>
      <c r="E2910" s="5">
        <v>34427.0285</v>
      </c>
      <c r="G2910" s="5" t="str">
        <f t="shared" si="91"/>
        <v>Трубников</v>
      </c>
      <c r="J2910" s="5"/>
      <c r="AL2910" s="5">
        <f t="shared" si="92"/>
        <v>0</v>
      </c>
    </row>
    <row r="2911" spans="1:38" ht="25.5" customHeight="1" x14ac:dyDescent="0.25">
      <c r="A2911" s="10" t="s">
        <v>606</v>
      </c>
      <c r="B2911" s="11" t="s">
        <v>1679</v>
      </c>
      <c r="C2911" s="5">
        <v>28855.326499999999</v>
      </c>
      <c r="D2911" s="5">
        <v>28855.326499999999</v>
      </c>
      <c r="E2911" s="5">
        <v>25951.933700000001</v>
      </c>
      <c r="G2911" s="5" t="str">
        <f t="shared" si="91"/>
        <v>Ст.Каменск-Хозспособ</v>
      </c>
      <c r="J2911" s="5"/>
      <c r="AL2911" s="5">
        <f t="shared" si="92"/>
        <v>0</v>
      </c>
    </row>
    <row r="2912" spans="1:38" ht="25.5" customHeight="1" x14ac:dyDescent="0.25">
      <c r="A2912" s="10" t="s">
        <v>1093</v>
      </c>
      <c r="B2912" s="11" t="s">
        <v>1649</v>
      </c>
      <c r="C2912" s="5">
        <v>78633.047600000005</v>
      </c>
      <c r="D2912" s="5">
        <v>78633.047600000005</v>
      </c>
      <c r="E2912" s="5">
        <v>71203.623000000007</v>
      </c>
      <c r="G2912" s="5" t="str">
        <f t="shared" si="91"/>
        <v>ВОКЗАЛЬНЫЙ</v>
      </c>
      <c r="J2912" s="5"/>
      <c r="AL2912" s="5">
        <f t="shared" si="92"/>
        <v>0</v>
      </c>
    </row>
    <row r="2913" spans="1:38" ht="25.5" customHeight="1" x14ac:dyDescent="0.25">
      <c r="A2913" s="10" t="s">
        <v>2685</v>
      </c>
      <c r="B2913" s="11" t="s">
        <v>1679</v>
      </c>
      <c r="C2913" s="5">
        <v>28855.326499999999</v>
      </c>
      <c r="D2913" s="5">
        <v>28855.326499999999</v>
      </c>
      <c r="E2913" s="5">
        <v>25951.933700000001</v>
      </c>
      <c r="G2913" s="5" t="str">
        <f t="shared" si="91"/>
        <v>Ст.Каменск-Хозспособ</v>
      </c>
      <c r="J2913" s="5"/>
      <c r="AL2913" s="5">
        <f t="shared" si="92"/>
        <v>0</v>
      </c>
    </row>
    <row r="2914" spans="1:38" ht="25.5" customHeight="1" x14ac:dyDescent="0.25">
      <c r="A2914" s="10" t="s">
        <v>2686</v>
      </c>
      <c r="B2914" s="11" t="s">
        <v>1631</v>
      </c>
      <c r="C2914" s="5">
        <v>70026.7601</v>
      </c>
      <c r="D2914" s="5">
        <v>70026.7601</v>
      </c>
      <c r="E2914" s="5">
        <v>63410.482000000004</v>
      </c>
      <c r="G2914" s="5" t="str">
        <f t="shared" si="91"/>
        <v>УРАЛМАШ</v>
      </c>
      <c r="J2914" s="5"/>
      <c r="AL2914" s="5">
        <f t="shared" si="92"/>
        <v>0</v>
      </c>
    </row>
    <row r="2915" spans="1:38" ht="25.5" customHeight="1" x14ac:dyDescent="0.25">
      <c r="A2915" s="10" t="s">
        <v>2687</v>
      </c>
      <c r="B2915" s="11" t="s">
        <v>1635</v>
      </c>
      <c r="C2915" s="5">
        <v>57793.0844</v>
      </c>
      <c r="D2915" s="5">
        <v>57793.0844</v>
      </c>
      <c r="E2915" s="5">
        <v>52332.6639</v>
      </c>
      <c r="G2915" s="5" t="str">
        <f t="shared" si="91"/>
        <v>ЛЕЧЕБНЫЙ</v>
      </c>
      <c r="J2915" s="5"/>
      <c r="AL2915" s="5">
        <f t="shared" si="92"/>
        <v>0</v>
      </c>
    </row>
    <row r="2916" spans="1:38" ht="25.5" customHeight="1" x14ac:dyDescent="0.25">
      <c r="A2916" s="10" t="s">
        <v>2688</v>
      </c>
      <c r="B2916" s="11" t="s">
        <v>1676</v>
      </c>
      <c r="C2916" s="5">
        <v>28848.8855</v>
      </c>
      <c r="D2916" s="5">
        <v>28848.8855</v>
      </c>
      <c r="E2916" s="5">
        <v>25946.143</v>
      </c>
      <c r="G2916" s="5" t="str">
        <f t="shared" si="91"/>
        <v>Чкаловский</v>
      </c>
      <c r="J2916" s="5"/>
      <c r="AL2916" s="5">
        <f t="shared" si="92"/>
        <v>0</v>
      </c>
    </row>
    <row r="2917" spans="1:38" ht="25.5" customHeight="1" x14ac:dyDescent="0.25">
      <c r="A2917" s="10" t="s">
        <v>365</v>
      </c>
      <c r="B2917" s="11" t="s">
        <v>1677</v>
      </c>
      <c r="C2917" s="5">
        <v>39105.413099999998</v>
      </c>
      <c r="D2917" s="5">
        <v>39105.413099999998</v>
      </c>
      <c r="E2917" s="5">
        <v>35170.666700000002</v>
      </c>
      <c r="G2917" s="5" t="str">
        <f t="shared" si="91"/>
        <v>Октябрьский</v>
      </c>
      <c r="J2917" s="5"/>
      <c r="AL2917" s="5">
        <f t="shared" si="92"/>
        <v>0</v>
      </c>
    </row>
    <row r="2918" spans="1:38" ht="25.5" customHeight="1" x14ac:dyDescent="0.25">
      <c r="A2918" s="10" t="s">
        <v>2689</v>
      </c>
      <c r="B2918" s="11" t="s">
        <v>1673</v>
      </c>
      <c r="C2918" s="5">
        <v>35563.243300000002</v>
      </c>
      <c r="D2918" s="5">
        <v>35563.243300000002</v>
      </c>
      <c r="E2918" s="5">
        <v>31984.905299999999</v>
      </c>
      <c r="G2918" s="5" t="str">
        <f t="shared" si="91"/>
        <v>УАЗ-III - 49 кв.</v>
      </c>
      <c r="J2918" s="5"/>
      <c r="AL2918" s="5">
        <f t="shared" si="92"/>
        <v>0</v>
      </c>
    </row>
    <row r="2919" spans="1:38" ht="25.5" customHeight="1" x14ac:dyDescent="0.25">
      <c r="A2919" s="10" t="s">
        <v>2690</v>
      </c>
      <c r="B2919" s="11" t="s">
        <v>1679</v>
      </c>
      <c r="C2919" s="5">
        <v>28855.326499999999</v>
      </c>
      <c r="D2919" s="5">
        <v>28855.326499999999</v>
      </c>
      <c r="E2919" s="5">
        <v>25951.933700000001</v>
      </c>
      <c r="G2919" s="5" t="str">
        <f t="shared" si="91"/>
        <v>Ст.Каменск-Хозспособ</v>
      </c>
      <c r="J2919" s="5"/>
      <c r="AL2919" s="5">
        <f t="shared" si="92"/>
        <v>0</v>
      </c>
    </row>
    <row r="2920" spans="1:38" ht="25.5" customHeight="1" x14ac:dyDescent="0.25">
      <c r="A2920" s="10" t="s">
        <v>1281</v>
      </c>
      <c r="B2920" s="11" t="s">
        <v>779</v>
      </c>
      <c r="C2920" s="5">
        <v>46784.877899999999</v>
      </c>
      <c r="D2920" s="5">
        <v>46784.877899999999</v>
      </c>
      <c r="E2920" s="5">
        <v>42364.543299999998</v>
      </c>
      <c r="G2920" s="5" t="str">
        <f t="shared" si="91"/>
        <v>Нижнеисетский</v>
      </c>
      <c r="J2920" s="5"/>
      <c r="AL2920" s="5">
        <f t="shared" si="92"/>
        <v>0</v>
      </c>
    </row>
    <row r="2921" spans="1:38" ht="25.5" customHeight="1" x14ac:dyDescent="0.25">
      <c r="A2921" s="10" t="s">
        <v>2691</v>
      </c>
      <c r="B2921" s="11" t="s">
        <v>1650</v>
      </c>
      <c r="C2921" s="5">
        <v>37590.3603</v>
      </c>
      <c r="D2921" s="5">
        <v>37590.3603</v>
      </c>
      <c r="E2921" s="5">
        <v>34038.745900000002</v>
      </c>
      <c r="G2921" s="5" t="str">
        <f t="shared" si="91"/>
        <v>ШАБРОВСКИЙ</v>
      </c>
      <c r="J2921" s="5"/>
      <c r="AL2921" s="5">
        <f t="shared" si="92"/>
        <v>0</v>
      </c>
    </row>
    <row r="2922" spans="1:38" ht="25.5" customHeight="1" x14ac:dyDescent="0.25">
      <c r="A2922" s="10" t="s">
        <v>2692</v>
      </c>
      <c r="B2922" s="11" t="s">
        <v>1679</v>
      </c>
      <c r="C2922" s="5">
        <v>28855.326499999999</v>
      </c>
      <c r="D2922" s="5">
        <v>28855.326499999999</v>
      </c>
      <c r="E2922" s="5">
        <v>25951.933700000001</v>
      </c>
      <c r="G2922" s="5" t="str">
        <f t="shared" si="91"/>
        <v>Ст.Каменск-Хозспособ</v>
      </c>
      <c r="J2922" s="5"/>
      <c r="AL2922" s="5">
        <f t="shared" si="92"/>
        <v>0</v>
      </c>
    </row>
    <row r="2923" spans="1:38" ht="25.5" customHeight="1" x14ac:dyDescent="0.25">
      <c r="A2923" s="10" t="s">
        <v>2693</v>
      </c>
      <c r="B2923" s="11" t="s">
        <v>1631</v>
      </c>
      <c r="C2923" s="5">
        <v>70026.7601</v>
      </c>
      <c r="D2923" s="5">
        <v>70026.7601</v>
      </c>
      <c r="E2923" s="5">
        <v>63410.482000000004</v>
      </c>
      <c r="G2923" s="5" t="str">
        <f t="shared" si="91"/>
        <v>УРАЛМАШ</v>
      </c>
      <c r="J2923" s="5"/>
      <c r="AL2923" s="5">
        <f t="shared" si="92"/>
        <v>0</v>
      </c>
    </row>
    <row r="2924" spans="1:38" ht="25.5" customHeight="1" x14ac:dyDescent="0.25">
      <c r="A2924" s="10" t="s">
        <v>2694</v>
      </c>
      <c r="B2924" s="11" t="s">
        <v>1676</v>
      </c>
      <c r="C2924" s="5">
        <v>28848.8855</v>
      </c>
      <c r="D2924" s="5">
        <v>28848.8855</v>
      </c>
      <c r="E2924" s="5">
        <v>25946.143</v>
      </c>
      <c r="G2924" s="5" t="str">
        <f t="shared" si="91"/>
        <v>Чкаловский</v>
      </c>
      <c r="J2924" s="5"/>
      <c r="AL2924" s="5">
        <f t="shared" si="92"/>
        <v>0</v>
      </c>
    </row>
    <row r="2925" spans="1:38" ht="25.5" customHeight="1" x14ac:dyDescent="0.25">
      <c r="A2925" s="10" t="s">
        <v>2695</v>
      </c>
      <c r="B2925" s="11" t="s">
        <v>1647</v>
      </c>
      <c r="C2925" s="5">
        <v>63178.133800000003</v>
      </c>
      <c r="D2925" s="5">
        <v>63178.133800000003</v>
      </c>
      <c r="E2925" s="5">
        <v>57208.931499999999</v>
      </c>
      <c r="G2925" s="5" t="str">
        <f t="shared" si="91"/>
        <v>ШИРОКАЯ РЕЧКА</v>
      </c>
      <c r="J2925" s="5"/>
      <c r="AL2925" s="5">
        <f t="shared" si="92"/>
        <v>0</v>
      </c>
    </row>
    <row r="2926" spans="1:38" x14ac:dyDescent="0.25">
      <c r="A2926" s="10" t="s">
        <v>2696</v>
      </c>
      <c r="B2926" s="11" t="s">
        <v>1681</v>
      </c>
      <c r="C2926" s="5">
        <v>32172.2909</v>
      </c>
      <c r="D2926" s="5">
        <v>32172.2909</v>
      </c>
      <c r="E2926" s="5">
        <v>28935.146499999999</v>
      </c>
      <c r="G2926" s="5" t="str">
        <f t="shared" si="91"/>
        <v>Ленин-Олимп</v>
      </c>
      <c r="J2926" s="5"/>
      <c r="AL2926" s="5">
        <f t="shared" si="92"/>
        <v>0</v>
      </c>
    </row>
    <row r="2927" spans="1:38" ht="25.5" customHeight="1" x14ac:dyDescent="0.25">
      <c r="A2927" s="10" t="s">
        <v>2697</v>
      </c>
      <c r="B2927" s="11" t="s">
        <v>1648</v>
      </c>
      <c r="C2927" s="5">
        <v>49782.025399999999</v>
      </c>
      <c r="D2927" s="5">
        <v>49782.025399999999</v>
      </c>
      <c r="E2927" s="5">
        <v>45078.506800000003</v>
      </c>
      <c r="G2927" s="5" t="str">
        <f t="shared" si="91"/>
        <v>ЧУСОВСКОЕ ОЗЕРО</v>
      </c>
      <c r="J2927" s="5"/>
      <c r="AL2927" s="5">
        <f t="shared" si="92"/>
        <v>0</v>
      </c>
    </row>
    <row r="2928" spans="1:38" ht="25.5" customHeight="1" x14ac:dyDescent="0.25">
      <c r="A2928" s="10" t="s">
        <v>2698</v>
      </c>
      <c r="B2928" s="11" t="s">
        <v>389</v>
      </c>
      <c r="C2928" s="5">
        <v>51175.5573</v>
      </c>
      <c r="D2928" s="5">
        <v>51175.5573</v>
      </c>
      <c r="E2928" s="5">
        <v>46340.381600000001</v>
      </c>
      <c r="G2928" s="5" t="str">
        <f t="shared" si="91"/>
        <v>Северка</v>
      </c>
      <c r="J2928" s="5"/>
      <c r="AL2928" s="5">
        <f t="shared" si="92"/>
        <v>0</v>
      </c>
    </row>
    <row r="2929" spans="1:38" ht="25.5" customHeight="1" x14ac:dyDescent="0.25">
      <c r="A2929" s="10" t="s">
        <v>2699</v>
      </c>
      <c r="B2929" s="11" t="s">
        <v>1650</v>
      </c>
      <c r="C2929" s="5">
        <v>37590.3603</v>
      </c>
      <c r="D2929" s="5">
        <v>37590.3603</v>
      </c>
      <c r="E2929" s="5">
        <v>34038.745900000002</v>
      </c>
      <c r="G2929" s="5" t="str">
        <f t="shared" si="91"/>
        <v>ШАБРОВСКИЙ</v>
      </c>
      <c r="J2929" s="5"/>
      <c r="AL2929" s="5">
        <f t="shared" si="92"/>
        <v>0</v>
      </c>
    </row>
    <row r="2930" spans="1:38" ht="25.5" customHeight="1" x14ac:dyDescent="0.25">
      <c r="A2930" s="10" t="s">
        <v>2700</v>
      </c>
      <c r="B2930" s="11" t="s">
        <v>1677</v>
      </c>
      <c r="C2930" s="5">
        <v>39105.413099999998</v>
      </c>
      <c r="D2930" s="5">
        <v>39105.413099999998</v>
      </c>
      <c r="E2930" s="5">
        <v>35170.666700000002</v>
      </c>
      <c r="G2930" s="5" t="str">
        <f t="shared" si="91"/>
        <v>Октябрьский</v>
      </c>
      <c r="J2930" s="5"/>
      <c r="AL2930" s="5">
        <f t="shared" si="92"/>
        <v>0</v>
      </c>
    </row>
    <row r="2931" spans="1:38" ht="25.5" customHeight="1" x14ac:dyDescent="0.25">
      <c r="A2931" s="10" t="s">
        <v>2701</v>
      </c>
      <c r="B2931" s="11" t="s">
        <v>1679</v>
      </c>
      <c r="C2931" s="5">
        <v>28855.326499999999</v>
      </c>
      <c r="D2931" s="5">
        <v>28855.326499999999</v>
      </c>
      <c r="E2931" s="5">
        <v>25951.933700000001</v>
      </c>
      <c r="G2931" s="5" t="str">
        <f t="shared" si="91"/>
        <v>Ст.Каменск-Хозспособ</v>
      </c>
      <c r="J2931" s="5"/>
      <c r="AL2931" s="5">
        <f t="shared" si="92"/>
        <v>0</v>
      </c>
    </row>
    <row r="2932" spans="1:38" ht="25.5" customHeight="1" x14ac:dyDescent="0.25">
      <c r="A2932" s="10" t="s">
        <v>2702</v>
      </c>
      <c r="B2932" s="11" t="s">
        <v>1676</v>
      </c>
      <c r="C2932" s="5">
        <v>28848.8855</v>
      </c>
      <c r="D2932" s="5">
        <v>28848.8855</v>
      </c>
      <c r="E2932" s="5">
        <v>25946.143</v>
      </c>
      <c r="G2932" s="5" t="str">
        <f t="shared" si="91"/>
        <v>Чкаловский</v>
      </c>
      <c r="J2932" s="5"/>
      <c r="AL2932" s="5">
        <f t="shared" si="92"/>
        <v>0</v>
      </c>
    </row>
    <row r="2933" spans="1:38" ht="25.5" customHeight="1" x14ac:dyDescent="0.25">
      <c r="A2933" s="10" t="s">
        <v>790</v>
      </c>
      <c r="B2933" s="11" t="s">
        <v>1677</v>
      </c>
      <c r="C2933" s="5">
        <v>39105.413099999998</v>
      </c>
      <c r="D2933" s="5">
        <v>39105.413099999998</v>
      </c>
      <c r="E2933" s="5">
        <v>35170.666700000002</v>
      </c>
      <c r="G2933" s="5" t="str">
        <f t="shared" si="91"/>
        <v>Октябрьский</v>
      </c>
      <c r="J2933" s="5"/>
      <c r="AL2933" s="5">
        <f t="shared" si="92"/>
        <v>0</v>
      </c>
    </row>
    <row r="2934" spans="1:38" ht="25.5" customHeight="1" x14ac:dyDescent="0.25">
      <c r="A2934" s="10" t="s">
        <v>2703</v>
      </c>
      <c r="B2934" s="11" t="s">
        <v>1681</v>
      </c>
      <c r="C2934" s="5">
        <v>32172.2909</v>
      </c>
      <c r="D2934" s="5">
        <v>32172.2909</v>
      </c>
      <c r="E2934" s="5">
        <v>28935.146499999999</v>
      </c>
      <c r="G2934" s="5" t="str">
        <f t="shared" si="91"/>
        <v>Ленин-Олимп</v>
      </c>
      <c r="J2934" s="5"/>
      <c r="AL2934" s="5">
        <f t="shared" si="92"/>
        <v>0</v>
      </c>
    </row>
    <row r="2935" spans="1:38" x14ac:dyDescent="0.25">
      <c r="A2935" s="10" t="s">
        <v>863</v>
      </c>
      <c r="B2935" s="5" t="s">
        <v>7234</v>
      </c>
      <c r="C2935" s="5">
        <v>25238.569899999999</v>
      </c>
      <c r="D2935" s="5">
        <v>25238.569899999999</v>
      </c>
      <c r="E2935" s="5">
        <v>24735.775000000001</v>
      </c>
      <c r="G2935" s="5" t="str">
        <f t="shared" si="91"/>
        <v>МОНАСТЫРКА</v>
      </c>
      <c r="J2935" s="5"/>
      <c r="AL2935" s="5">
        <f t="shared" si="92"/>
        <v>0</v>
      </c>
    </row>
    <row r="2936" spans="1:38" ht="25.5" customHeight="1" x14ac:dyDescent="0.25">
      <c r="A2936" s="10" t="s">
        <v>2704</v>
      </c>
      <c r="B2936" s="11" t="s">
        <v>1661</v>
      </c>
      <c r="C2936" s="5">
        <v>51175.5573</v>
      </c>
      <c r="D2936" s="5">
        <v>51175.5573</v>
      </c>
      <c r="E2936" s="5">
        <v>46340.381600000001</v>
      </c>
      <c r="G2936" s="5" t="str">
        <f t="shared" si="91"/>
        <v>СЕВЕРКА</v>
      </c>
      <c r="J2936" s="5"/>
      <c r="AL2936" s="5">
        <f t="shared" si="92"/>
        <v>0</v>
      </c>
    </row>
    <row r="2937" spans="1:38" ht="25.5" customHeight="1" x14ac:dyDescent="0.25">
      <c r="A2937" s="10" t="s">
        <v>2705</v>
      </c>
      <c r="B2937" s="11" t="s">
        <v>1631</v>
      </c>
      <c r="C2937" s="5">
        <v>70026.7601</v>
      </c>
      <c r="D2937" s="5">
        <v>70026.7601</v>
      </c>
      <c r="E2937" s="5">
        <v>63410.482000000004</v>
      </c>
      <c r="G2937" s="5" t="str">
        <f t="shared" si="91"/>
        <v>УРАЛМАШ</v>
      </c>
      <c r="J2937" s="5"/>
      <c r="AL2937" s="5">
        <f t="shared" si="92"/>
        <v>0</v>
      </c>
    </row>
    <row r="2938" spans="1:38" ht="25.5" customHeight="1" x14ac:dyDescent="0.25">
      <c r="A2938" s="10" t="s">
        <v>2706</v>
      </c>
      <c r="B2938" s="11" t="s">
        <v>1631</v>
      </c>
      <c r="C2938" s="5">
        <v>70026.7601</v>
      </c>
      <c r="D2938" s="5">
        <v>70026.7601</v>
      </c>
      <c r="E2938" s="5">
        <v>63410.482000000004</v>
      </c>
      <c r="G2938" s="5" t="str">
        <f t="shared" si="91"/>
        <v>УРАЛМАШ</v>
      </c>
      <c r="J2938" s="5"/>
      <c r="AL2938" s="5">
        <f t="shared" si="92"/>
        <v>0</v>
      </c>
    </row>
    <row r="2939" spans="1:38" ht="25.5" customHeight="1" x14ac:dyDescent="0.25">
      <c r="A2939" s="10" t="s">
        <v>2707</v>
      </c>
      <c r="B2939" s="11" t="s">
        <v>1673</v>
      </c>
      <c r="C2939" s="5">
        <v>35563.243300000002</v>
      </c>
      <c r="D2939" s="5">
        <v>35563.243300000002</v>
      </c>
      <c r="E2939" s="5">
        <v>31984.905299999999</v>
      </c>
      <c r="G2939" s="5" t="str">
        <f t="shared" si="91"/>
        <v>УАЗ-III - 49 кв.</v>
      </c>
      <c r="J2939" s="5"/>
      <c r="AL2939" s="5">
        <f t="shared" si="92"/>
        <v>0</v>
      </c>
    </row>
    <row r="2940" spans="1:38" ht="25.5" customHeight="1" x14ac:dyDescent="0.25">
      <c r="A2940" s="10" t="s">
        <v>2708</v>
      </c>
      <c r="B2940" s="11" t="s">
        <v>1636</v>
      </c>
      <c r="C2940" s="5">
        <v>52246.960299999999</v>
      </c>
      <c r="D2940" s="5">
        <v>52246.960299999999</v>
      </c>
      <c r="E2940" s="5">
        <v>47310.556700000001</v>
      </c>
      <c r="G2940" s="5" t="str">
        <f t="shared" si="91"/>
        <v>ГОРНЫЙ ЩИТ</v>
      </c>
      <c r="J2940" s="5"/>
      <c r="AL2940" s="5">
        <f t="shared" si="92"/>
        <v>0</v>
      </c>
    </row>
    <row r="2941" spans="1:38" ht="25.5" customHeight="1" x14ac:dyDescent="0.25">
      <c r="A2941" s="10" t="s">
        <v>2709</v>
      </c>
      <c r="B2941" s="11" t="s">
        <v>1647</v>
      </c>
      <c r="C2941" s="5">
        <v>63178.133800000003</v>
      </c>
      <c r="D2941" s="5">
        <v>63178.133800000003</v>
      </c>
      <c r="E2941" s="5">
        <v>57208.931499999999</v>
      </c>
      <c r="G2941" s="5" t="str">
        <f t="shared" si="91"/>
        <v>ШИРОКАЯ РЕЧКА</v>
      </c>
      <c r="J2941" s="5"/>
      <c r="AL2941" s="5">
        <f t="shared" si="92"/>
        <v>0</v>
      </c>
    </row>
    <row r="2942" spans="1:38" ht="25.5" customHeight="1" x14ac:dyDescent="0.25">
      <c r="A2942" s="10" t="s">
        <v>2710</v>
      </c>
      <c r="B2942" s="11" t="s">
        <v>1631</v>
      </c>
      <c r="C2942" s="5">
        <v>70026.7601</v>
      </c>
      <c r="D2942" s="5">
        <v>70026.7601</v>
      </c>
      <c r="E2942" s="5">
        <v>63410.482000000004</v>
      </c>
      <c r="G2942" s="5" t="str">
        <f t="shared" si="91"/>
        <v>УРАЛМАШ</v>
      </c>
      <c r="J2942" s="5"/>
      <c r="AL2942" s="5">
        <f t="shared" si="92"/>
        <v>0</v>
      </c>
    </row>
    <row r="2943" spans="1:38" ht="25.5" customHeight="1" x14ac:dyDescent="0.25">
      <c r="A2943" s="10" t="s">
        <v>388</v>
      </c>
      <c r="B2943" s="11" t="s">
        <v>1661</v>
      </c>
      <c r="C2943" s="5">
        <v>51175.5573</v>
      </c>
      <c r="D2943" s="5">
        <v>51175.5573</v>
      </c>
      <c r="E2943" s="5">
        <v>46340.381600000001</v>
      </c>
      <c r="G2943" s="5" t="str">
        <f t="shared" si="91"/>
        <v>СЕВЕРКА</v>
      </c>
      <c r="J2943" s="5"/>
      <c r="AL2943" s="5">
        <f t="shared" si="92"/>
        <v>0</v>
      </c>
    </row>
    <row r="2944" spans="1:38" ht="25.5" customHeight="1" x14ac:dyDescent="0.25">
      <c r="A2944" s="10" t="s">
        <v>2711</v>
      </c>
      <c r="B2944" s="11" t="s">
        <v>1681</v>
      </c>
      <c r="C2944" s="5">
        <v>32172.2909</v>
      </c>
      <c r="D2944" s="5">
        <v>32172.2909</v>
      </c>
      <c r="E2944" s="5">
        <v>28935.146499999999</v>
      </c>
      <c r="G2944" s="5" t="str">
        <f t="shared" si="91"/>
        <v>Ленин-Олимп</v>
      </c>
      <c r="J2944" s="5"/>
      <c r="AL2944" s="5">
        <f t="shared" si="92"/>
        <v>0</v>
      </c>
    </row>
    <row r="2945" spans="1:38" ht="25.5" customHeight="1" x14ac:dyDescent="0.25">
      <c r="A2945" s="10" t="s">
        <v>2712</v>
      </c>
      <c r="B2945" s="11" t="s">
        <v>1681</v>
      </c>
      <c r="C2945" s="5">
        <v>32172.2909</v>
      </c>
      <c r="D2945" s="5">
        <v>32172.2909</v>
      </c>
      <c r="E2945" s="5">
        <v>28935.146499999999</v>
      </c>
      <c r="G2945" s="5" t="str">
        <f t="shared" si="91"/>
        <v>Ленин-Олимп</v>
      </c>
      <c r="J2945" s="5"/>
      <c r="AL2945" s="5">
        <f t="shared" si="92"/>
        <v>0</v>
      </c>
    </row>
    <row r="2946" spans="1:38" ht="25.5" customHeight="1" x14ac:dyDescent="0.25">
      <c r="A2946" s="10" t="s">
        <v>2713</v>
      </c>
      <c r="B2946" s="11" t="s">
        <v>389</v>
      </c>
      <c r="C2946" s="5">
        <v>51175.5573</v>
      </c>
      <c r="D2946" s="5">
        <v>51175.5573</v>
      </c>
      <c r="E2946" s="5">
        <v>46340.381600000001</v>
      </c>
      <c r="G2946" s="5" t="str">
        <f t="shared" si="91"/>
        <v>Северка</v>
      </c>
      <c r="J2946" s="5"/>
      <c r="AL2946" s="5">
        <f t="shared" si="92"/>
        <v>0</v>
      </c>
    </row>
    <row r="2947" spans="1:38" ht="25.5" customHeight="1" x14ac:dyDescent="0.25">
      <c r="A2947" s="10" t="s">
        <v>684</v>
      </c>
      <c r="B2947" s="11" t="s">
        <v>1677</v>
      </c>
      <c r="C2947" s="5">
        <v>39105.413099999998</v>
      </c>
      <c r="D2947" s="5">
        <v>39105.413099999998</v>
      </c>
      <c r="E2947" s="5">
        <v>35170.666700000002</v>
      </c>
      <c r="G2947" s="5" t="str">
        <f t="shared" ref="G2947:G3010" si="93">B2947</f>
        <v>Октябрьский</v>
      </c>
      <c r="J2947" s="5"/>
      <c r="AL2947" s="5">
        <f t="shared" ref="AL2947:AL3010" si="94">AF2947</f>
        <v>0</v>
      </c>
    </row>
    <row r="2948" spans="1:38" ht="25.5" customHeight="1" x14ac:dyDescent="0.25">
      <c r="A2948" s="10" t="s">
        <v>2714</v>
      </c>
      <c r="B2948" s="11" t="s">
        <v>5166</v>
      </c>
      <c r="C2948" s="5">
        <v>49782.025399999999</v>
      </c>
      <c r="D2948" s="5">
        <v>49782.025399999999</v>
      </c>
      <c r="E2948" s="5">
        <v>45078.506800000003</v>
      </c>
      <c r="G2948" s="5" t="str">
        <f t="shared" si="93"/>
        <v>Чусовское озеро</v>
      </c>
      <c r="J2948" s="5"/>
      <c r="AL2948" s="5">
        <f t="shared" si="94"/>
        <v>0</v>
      </c>
    </row>
    <row r="2949" spans="1:38" ht="25.5" customHeight="1" x14ac:dyDescent="0.25">
      <c r="A2949" s="10" t="s">
        <v>2715</v>
      </c>
      <c r="B2949" s="11" t="s">
        <v>389</v>
      </c>
      <c r="C2949" s="5">
        <v>51175.5573</v>
      </c>
      <c r="D2949" s="5">
        <v>51175.5573</v>
      </c>
      <c r="E2949" s="5">
        <v>46340.381600000001</v>
      </c>
      <c r="G2949" s="5" t="str">
        <f t="shared" si="93"/>
        <v>Северка</v>
      </c>
      <c r="J2949" s="5"/>
      <c r="AL2949" s="5">
        <f t="shared" si="94"/>
        <v>0</v>
      </c>
    </row>
    <row r="2950" spans="1:38" ht="25.5" customHeight="1" x14ac:dyDescent="0.25">
      <c r="A2950" s="10" t="s">
        <v>2716</v>
      </c>
      <c r="B2950" s="11" t="s">
        <v>1647</v>
      </c>
      <c r="C2950" s="5">
        <v>63178.133800000003</v>
      </c>
      <c r="D2950" s="5">
        <v>63178.133800000003</v>
      </c>
      <c r="E2950" s="5">
        <v>57208.931499999999</v>
      </c>
      <c r="G2950" s="5" t="str">
        <f t="shared" si="93"/>
        <v>ШИРОКАЯ РЕЧКА</v>
      </c>
      <c r="J2950" s="5"/>
      <c r="AL2950" s="5">
        <f t="shared" si="94"/>
        <v>0</v>
      </c>
    </row>
    <row r="2951" spans="1:38" ht="25.5" customHeight="1" x14ac:dyDescent="0.25">
      <c r="A2951" s="10" t="s">
        <v>2717</v>
      </c>
      <c r="B2951" s="11" t="s">
        <v>1676</v>
      </c>
      <c r="C2951" s="5">
        <v>28848.8855</v>
      </c>
      <c r="D2951" s="5">
        <v>28848.8855</v>
      </c>
      <c r="E2951" s="5">
        <v>25946.143</v>
      </c>
      <c r="G2951" s="5" t="str">
        <f t="shared" si="93"/>
        <v>Чкаловский</v>
      </c>
      <c r="J2951" s="5"/>
      <c r="AL2951" s="5">
        <f t="shared" si="94"/>
        <v>0</v>
      </c>
    </row>
    <row r="2952" spans="1:38" ht="25.5" customHeight="1" x14ac:dyDescent="0.25">
      <c r="A2952" s="10" t="s">
        <v>2718</v>
      </c>
      <c r="B2952" s="11" t="s">
        <v>1638</v>
      </c>
      <c r="C2952" s="5">
        <v>63640.311600000001</v>
      </c>
      <c r="D2952" s="5">
        <v>63640.311600000001</v>
      </c>
      <c r="E2952" s="5">
        <v>57627.4473</v>
      </c>
      <c r="G2952" s="5" t="str">
        <f t="shared" si="93"/>
        <v>УКТУС</v>
      </c>
      <c r="J2952" s="5"/>
      <c r="AL2952" s="5">
        <f t="shared" si="94"/>
        <v>0</v>
      </c>
    </row>
    <row r="2953" spans="1:38" ht="25.5" customHeight="1" x14ac:dyDescent="0.25">
      <c r="A2953" s="10" t="s">
        <v>1601</v>
      </c>
      <c r="B2953" s="11" t="s">
        <v>1679</v>
      </c>
      <c r="C2953" s="5">
        <v>28855.326499999999</v>
      </c>
      <c r="D2953" s="5">
        <v>28855.326499999999</v>
      </c>
      <c r="E2953" s="5">
        <v>25951.933700000001</v>
      </c>
      <c r="G2953" s="5" t="str">
        <f t="shared" si="93"/>
        <v>Ст.Каменск-Хозспособ</v>
      </c>
      <c r="J2953" s="5"/>
      <c r="AL2953" s="5">
        <f t="shared" si="94"/>
        <v>0</v>
      </c>
    </row>
    <row r="2954" spans="1:38" ht="25.5" customHeight="1" x14ac:dyDescent="0.25">
      <c r="A2954" s="10" t="s">
        <v>2719</v>
      </c>
      <c r="B2954" s="11" t="s">
        <v>1679</v>
      </c>
      <c r="C2954" s="5">
        <v>28855.326499999999</v>
      </c>
      <c r="D2954" s="5">
        <v>28855.326499999999</v>
      </c>
      <c r="E2954" s="5">
        <v>25951.933700000001</v>
      </c>
      <c r="G2954" s="5" t="str">
        <f t="shared" si="93"/>
        <v>Ст.Каменск-Хозспособ</v>
      </c>
      <c r="J2954" s="5"/>
      <c r="AL2954" s="5">
        <f t="shared" si="94"/>
        <v>0</v>
      </c>
    </row>
    <row r="2955" spans="1:38" ht="25.5" customHeight="1" x14ac:dyDescent="0.25">
      <c r="A2955" s="10" t="s">
        <v>2720</v>
      </c>
      <c r="B2955" s="11" t="s">
        <v>1679</v>
      </c>
      <c r="C2955" s="5">
        <v>28855.326499999999</v>
      </c>
      <c r="D2955" s="5">
        <v>28855.326499999999</v>
      </c>
      <c r="E2955" s="5">
        <v>25951.933700000001</v>
      </c>
      <c r="G2955" s="5" t="str">
        <f t="shared" si="93"/>
        <v>Ст.Каменск-Хозспособ</v>
      </c>
      <c r="J2955" s="5"/>
      <c r="AL2955" s="5">
        <f t="shared" si="94"/>
        <v>0</v>
      </c>
    </row>
    <row r="2956" spans="1:38" ht="25.5" customHeight="1" x14ac:dyDescent="0.25">
      <c r="A2956" s="10" t="s">
        <v>1554</v>
      </c>
      <c r="B2956" s="11" t="s">
        <v>1679</v>
      </c>
      <c r="C2956" s="5">
        <v>28855.326499999999</v>
      </c>
      <c r="D2956" s="5">
        <v>28855.326499999999</v>
      </c>
      <c r="E2956" s="5">
        <v>25951.933700000001</v>
      </c>
      <c r="G2956" s="5" t="str">
        <f t="shared" si="93"/>
        <v>Ст.Каменск-Хозспособ</v>
      </c>
      <c r="J2956" s="5"/>
      <c r="AL2956" s="5">
        <f t="shared" si="94"/>
        <v>0</v>
      </c>
    </row>
    <row r="2957" spans="1:38" ht="25.5" customHeight="1" x14ac:dyDescent="0.25">
      <c r="A2957" s="10" t="s">
        <v>2721</v>
      </c>
      <c r="B2957" s="11" t="s">
        <v>1676</v>
      </c>
      <c r="C2957" s="5">
        <v>28848.8855</v>
      </c>
      <c r="D2957" s="5">
        <v>28848.8855</v>
      </c>
      <c r="E2957" s="5">
        <v>25946.143</v>
      </c>
      <c r="G2957" s="5" t="str">
        <f t="shared" si="93"/>
        <v>Чкаловский</v>
      </c>
      <c r="J2957" s="5"/>
      <c r="AL2957" s="5">
        <f t="shared" si="94"/>
        <v>0</v>
      </c>
    </row>
    <row r="2958" spans="1:38" ht="25.5" customHeight="1" x14ac:dyDescent="0.25">
      <c r="A2958" s="10" t="s">
        <v>2722</v>
      </c>
      <c r="B2958" s="11" t="s">
        <v>1674</v>
      </c>
      <c r="C2958" s="5">
        <v>29199.565200000001</v>
      </c>
      <c r="D2958" s="5">
        <v>29199.565200000001</v>
      </c>
      <c r="E2958" s="5">
        <v>26261.5317</v>
      </c>
      <c r="G2958" s="5" t="str">
        <f t="shared" si="93"/>
        <v>УАЗ</v>
      </c>
      <c r="J2958" s="5"/>
      <c r="AL2958" s="5">
        <f t="shared" si="94"/>
        <v>0</v>
      </c>
    </row>
    <row r="2959" spans="1:38" ht="25.5" customHeight="1" x14ac:dyDescent="0.25">
      <c r="A2959" s="10" t="s">
        <v>2723</v>
      </c>
      <c r="B2959" s="11" t="s">
        <v>1673</v>
      </c>
      <c r="C2959" s="5">
        <v>35563.243300000002</v>
      </c>
      <c r="D2959" s="5">
        <v>35563.243300000002</v>
      </c>
      <c r="E2959" s="5">
        <v>31984.905299999999</v>
      </c>
      <c r="G2959" s="5" t="str">
        <f t="shared" si="93"/>
        <v>УАЗ-III - 49 кв.</v>
      </c>
      <c r="J2959" s="5"/>
      <c r="AL2959" s="5">
        <f t="shared" si="94"/>
        <v>0</v>
      </c>
    </row>
    <row r="2960" spans="1:38" ht="25.5" customHeight="1" x14ac:dyDescent="0.25">
      <c r="A2960" s="10" t="s">
        <v>855</v>
      </c>
      <c r="B2960" s="11" t="s">
        <v>1682</v>
      </c>
      <c r="C2960" s="5">
        <v>38278.589899999999</v>
      </c>
      <c r="D2960" s="5">
        <v>38278.589899999999</v>
      </c>
      <c r="E2960" s="5">
        <v>34427.0285</v>
      </c>
      <c r="G2960" s="5" t="str">
        <f t="shared" si="93"/>
        <v>Трубников</v>
      </c>
      <c r="J2960" s="5"/>
      <c r="AL2960" s="5">
        <f t="shared" si="94"/>
        <v>0</v>
      </c>
    </row>
    <row r="2961" spans="1:38" ht="25.5" customHeight="1" x14ac:dyDescent="0.25">
      <c r="A2961" s="10" t="s">
        <v>2724</v>
      </c>
      <c r="B2961" s="11" t="s">
        <v>1657</v>
      </c>
      <c r="C2961" s="5">
        <v>54886.9666</v>
      </c>
      <c r="D2961" s="5">
        <v>54886.9666</v>
      </c>
      <c r="E2961" s="5">
        <v>49701.1319</v>
      </c>
      <c r="G2961" s="5" t="str">
        <f t="shared" si="93"/>
        <v>КОЛЬЦОВО</v>
      </c>
      <c r="J2961" s="5"/>
      <c r="AL2961" s="5">
        <f t="shared" si="94"/>
        <v>0</v>
      </c>
    </row>
    <row r="2962" spans="1:38" ht="25.5" customHeight="1" x14ac:dyDescent="0.25">
      <c r="A2962" s="10" t="s">
        <v>2725</v>
      </c>
      <c r="B2962" s="11" t="s">
        <v>1677</v>
      </c>
      <c r="C2962" s="5">
        <v>39105.413099999998</v>
      </c>
      <c r="D2962" s="5">
        <v>39105.413099999998</v>
      </c>
      <c r="E2962" s="5">
        <v>35170.666700000002</v>
      </c>
      <c r="G2962" s="5" t="str">
        <f t="shared" si="93"/>
        <v>Октябрьский</v>
      </c>
      <c r="J2962" s="5"/>
      <c r="AL2962" s="5">
        <f t="shared" si="94"/>
        <v>0</v>
      </c>
    </row>
    <row r="2963" spans="1:38" x14ac:dyDescent="0.25">
      <c r="A2963" s="10" t="s">
        <v>2726</v>
      </c>
      <c r="B2963" s="11" t="s">
        <v>1680</v>
      </c>
      <c r="C2963" s="5">
        <v>29151.309799999999</v>
      </c>
      <c r="D2963" s="5">
        <v>29151.309799999999</v>
      </c>
      <c r="E2963" s="5">
        <v>26218.127700000001</v>
      </c>
      <c r="G2963" s="5" t="str">
        <f t="shared" si="93"/>
        <v>Северный</v>
      </c>
      <c r="J2963" s="5"/>
      <c r="AL2963" s="5">
        <f t="shared" si="94"/>
        <v>0</v>
      </c>
    </row>
    <row r="2964" spans="1:38" ht="25.5" customHeight="1" x14ac:dyDescent="0.25">
      <c r="A2964" s="10" t="s">
        <v>1308</v>
      </c>
      <c r="B2964" s="11" t="s">
        <v>1677</v>
      </c>
      <c r="C2964" s="5">
        <v>39105.413099999998</v>
      </c>
      <c r="D2964" s="5">
        <v>39105.413099999998</v>
      </c>
      <c r="E2964" s="5">
        <v>35170.666700000002</v>
      </c>
      <c r="G2964" s="5" t="str">
        <f t="shared" si="93"/>
        <v>Октябрьский</v>
      </c>
      <c r="J2964" s="5"/>
      <c r="AL2964" s="5">
        <f t="shared" si="94"/>
        <v>0</v>
      </c>
    </row>
    <row r="2965" spans="1:38" ht="25.5" customHeight="1" x14ac:dyDescent="0.25">
      <c r="A2965" s="10" t="s">
        <v>2727</v>
      </c>
      <c r="B2965" s="11" t="s">
        <v>1679</v>
      </c>
      <c r="C2965" s="5">
        <v>28855.326499999999</v>
      </c>
      <c r="D2965" s="5">
        <v>28855.326499999999</v>
      </c>
      <c r="E2965" s="5">
        <v>25951.933700000001</v>
      </c>
      <c r="G2965" s="5" t="str">
        <f t="shared" si="93"/>
        <v>Ст.Каменск-Хозспособ</v>
      </c>
      <c r="J2965" s="5"/>
      <c r="AL2965" s="5">
        <f t="shared" si="94"/>
        <v>0</v>
      </c>
    </row>
    <row r="2966" spans="1:38" ht="25.5" customHeight="1" x14ac:dyDescent="0.25">
      <c r="A2966" s="10" t="s">
        <v>2728</v>
      </c>
      <c r="B2966" s="11" t="s">
        <v>1636</v>
      </c>
      <c r="C2966" s="5">
        <v>52246.960299999999</v>
      </c>
      <c r="D2966" s="5">
        <v>52246.960299999999</v>
      </c>
      <c r="E2966" s="5">
        <v>47310.556700000001</v>
      </c>
      <c r="G2966" s="5" t="str">
        <f t="shared" si="93"/>
        <v>ГОРНЫЙ ЩИТ</v>
      </c>
      <c r="J2966" s="5"/>
      <c r="AL2966" s="5">
        <f t="shared" si="94"/>
        <v>0</v>
      </c>
    </row>
    <row r="2967" spans="1:38" ht="25.5" customHeight="1" x14ac:dyDescent="0.25">
      <c r="A2967" s="10" t="s">
        <v>2729</v>
      </c>
      <c r="B2967" s="11" t="s">
        <v>1675</v>
      </c>
      <c r="C2967" s="5">
        <v>35756.285400000001</v>
      </c>
      <c r="D2967" s="5">
        <v>35756.285400000001</v>
      </c>
      <c r="E2967" s="5">
        <v>32158.5213</v>
      </c>
      <c r="G2967" s="5" t="str">
        <f t="shared" si="93"/>
        <v>УАЗ-II</v>
      </c>
      <c r="J2967" s="5"/>
      <c r="AL2967" s="5">
        <f t="shared" si="94"/>
        <v>0</v>
      </c>
    </row>
    <row r="2968" spans="1:38" ht="25.5" customHeight="1" x14ac:dyDescent="0.25">
      <c r="A2968" s="10" t="s">
        <v>2730</v>
      </c>
      <c r="B2968" s="11" t="s">
        <v>1647</v>
      </c>
      <c r="C2968" s="5">
        <v>63178.133800000003</v>
      </c>
      <c r="D2968" s="5">
        <v>63178.133800000003</v>
      </c>
      <c r="E2968" s="5">
        <v>57208.931499999999</v>
      </c>
      <c r="G2968" s="5" t="str">
        <f t="shared" si="93"/>
        <v>ШИРОКАЯ РЕЧКА</v>
      </c>
      <c r="J2968" s="5"/>
      <c r="AL2968" s="5">
        <f t="shared" si="94"/>
        <v>0</v>
      </c>
    </row>
    <row r="2969" spans="1:38" ht="25.5" customHeight="1" x14ac:dyDescent="0.25">
      <c r="A2969" s="10" t="s">
        <v>2731</v>
      </c>
      <c r="B2969" s="11" t="s">
        <v>1395</v>
      </c>
      <c r="C2969" s="5">
        <v>27332.119299999998</v>
      </c>
      <c r="D2969" s="5">
        <v>27332.119299999998</v>
      </c>
      <c r="E2969" s="5">
        <v>24879.3747</v>
      </c>
      <c r="G2969" s="5" t="str">
        <f t="shared" si="93"/>
        <v>СОВХОЗ ПЕРВОУРАЛЬСКИЙ</v>
      </c>
      <c r="J2969" s="5"/>
      <c r="AL2969" s="5">
        <f t="shared" si="94"/>
        <v>0</v>
      </c>
    </row>
    <row r="2970" spans="1:38" ht="25.5" customHeight="1" x14ac:dyDescent="0.25">
      <c r="A2970" s="10" t="s">
        <v>2732</v>
      </c>
      <c r="B2970" s="11" t="s">
        <v>1691</v>
      </c>
      <c r="C2970" s="5">
        <v>36244.5985</v>
      </c>
      <c r="D2970" s="5">
        <v>36244.5985</v>
      </c>
      <c r="E2970" s="5">
        <v>32992.053800000002</v>
      </c>
      <c r="G2970" s="5" t="str">
        <f t="shared" si="93"/>
        <v>ДинСанПод</v>
      </c>
      <c r="J2970" s="5"/>
      <c r="AL2970" s="5">
        <f t="shared" si="94"/>
        <v>0</v>
      </c>
    </row>
    <row r="2971" spans="1:38" ht="25.5" customHeight="1" x14ac:dyDescent="0.25">
      <c r="A2971" s="10" t="s">
        <v>2733</v>
      </c>
      <c r="B2971" s="11" t="s">
        <v>1395</v>
      </c>
      <c r="C2971" s="5">
        <v>27332.119299999998</v>
      </c>
      <c r="D2971" s="5">
        <v>27332.119299999998</v>
      </c>
      <c r="E2971" s="5">
        <v>24879.3747</v>
      </c>
      <c r="G2971" s="5" t="str">
        <f t="shared" si="93"/>
        <v>СОВХОЗ ПЕРВОУРАЛЬСКИЙ</v>
      </c>
      <c r="J2971" s="5"/>
      <c r="AL2971" s="5">
        <f t="shared" si="94"/>
        <v>0</v>
      </c>
    </row>
    <row r="2972" spans="1:38" ht="25.5" customHeight="1" x14ac:dyDescent="0.25">
      <c r="A2972" s="10" t="s">
        <v>789</v>
      </c>
      <c r="B2972" s="11" t="s">
        <v>1677</v>
      </c>
      <c r="C2972" s="5">
        <v>39105.413099999998</v>
      </c>
      <c r="D2972" s="5">
        <v>39105.413099999998</v>
      </c>
      <c r="E2972" s="5">
        <v>35170.666700000002</v>
      </c>
      <c r="G2972" s="5" t="str">
        <f t="shared" si="93"/>
        <v>Октябрьский</v>
      </c>
      <c r="J2972" s="5"/>
      <c r="AL2972" s="5">
        <f t="shared" si="94"/>
        <v>0</v>
      </c>
    </row>
    <row r="2973" spans="1:38" ht="25.5" customHeight="1" x14ac:dyDescent="0.25">
      <c r="A2973" s="10" t="s">
        <v>1233</v>
      </c>
      <c r="B2973" s="11" t="s">
        <v>1681</v>
      </c>
      <c r="C2973" s="5">
        <v>32172.2909</v>
      </c>
      <c r="D2973" s="5">
        <v>32172.2909</v>
      </c>
      <c r="E2973" s="5">
        <v>28935.146499999999</v>
      </c>
      <c r="G2973" s="5" t="str">
        <f t="shared" si="93"/>
        <v>Ленин-Олимп</v>
      </c>
      <c r="J2973" s="5"/>
      <c r="AL2973" s="5">
        <f t="shared" si="94"/>
        <v>0</v>
      </c>
    </row>
    <row r="2974" spans="1:38" ht="25.5" customHeight="1" x14ac:dyDescent="0.25">
      <c r="A2974" s="10" t="s">
        <v>2734</v>
      </c>
      <c r="B2974" s="11" t="s">
        <v>33</v>
      </c>
      <c r="C2974" s="5">
        <v>84298.205100000006</v>
      </c>
      <c r="D2974" s="5">
        <v>84298.205100000006</v>
      </c>
      <c r="E2974" s="5">
        <v>76333.533100000001</v>
      </c>
      <c r="G2974" s="5" t="str">
        <f t="shared" si="93"/>
        <v>ВИЗ</v>
      </c>
      <c r="J2974" s="5"/>
      <c r="AL2974" s="5">
        <f t="shared" si="94"/>
        <v>0</v>
      </c>
    </row>
    <row r="2975" spans="1:38" ht="25.5" customHeight="1" x14ac:dyDescent="0.25">
      <c r="A2975" s="10" t="s">
        <v>2735</v>
      </c>
      <c r="B2975" s="11" t="s">
        <v>1680</v>
      </c>
      <c r="C2975" s="5">
        <v>29151.309799999999</v>
      </c>
      <c r="D2975" s="5">
        <v>29151.309799999999</v>
      </c>
      <c r="E2975" s="5">
        <v>26218.127700000001</v>
      </c>
      <c r="G2975" s="5" t="str">
        <f t="shared" si="93"/>
        <v>Северный</v>
      </c>
      <c r="J2975" s="5"/>
      <c r="AL2975" s="5">
        <f t="shared" si="94"/>
        <v>0</v>
      </c>
    </row>
    <row r="2976" spans="1:38" ht="25.5" customHeight="1" x14ac:dyDescent="0.25">
      <c r="A2976" s="10" t="s">
        <v>377</v>
      </c>
      <c r="B2976" s="11" t="s">
        <v>1679</v>
      </c>
      <c r="C2976" s="5">
        <v>28855.326499999999</v>
      </c>
      <c r="D2976" s="5">
        <v>28855.326499999999</v>
      </c>
      <c r="E2976" s="5">
        <v>25951.933700000001</v>
      </c>
      <c r="G2976" s="5" t="str">
        <f t="shared" si="93"/>
        <v>Ст.Каменск-Хозспособ</v>
      </c>
      <c r="J2976" s="5"/>
      <c r="AL2976" s="5">
        <f t="shared" si="94"/>
        <v>0</v>
      </c>
    </row>
    <row r="2977" spans="1:38" ht="25.5" customHeight="1" x14ac:dyDescent="0.25">
      <c r="A2977" s="10" t="s">
        <v>829</v>
      </c>
      <c r="B2977" s="11" t="s">
        <v>1676</v>
      </c>
      <c r="C2977" s="5">
        <v>28848.8855</v>
      </c>
      <c r="D2977" s="5">
        <v>28848.8855</v>
      </c>
      <c r="E2977" s="5">
        <v>25946.143</v>
      </c>
      <c r="G2977" s="5" t="str">
        <f t="shared" si="93"/>
        <v>Чкаловский</v>
      </c>
      <c r="J2977" s="5"/>
      <c r="AL2977" s="5">
        <f t="shared" si="94"/>
        <v>0</v>
      </c>
    </row>
    <row r="2978" spans="1:38" ht="25.5" customHeight="1" x14ac:dyDescent="0.25">
      <c r="A2978" s="10" t="s">
        <v>2736</v>
      </c>
      <c r="B2978" s="11" t="s">
        <v>1679</v>
      </c>
      <c r="C2978" s="5">
        <v>28855.326499999999</v>
      </c>
      <c r="D2978" s="5">
        <v>28855.326499999999</v>
      </c>
      <c r="E2978" s="5">
        <v>25951.933700000001</v>
      </c>
      <c r="G2978" s="5" t="str">
        <f t="shared" si="93"/>
        <v>Ст.Каменск-Хозспособ</v>
      </c>
      <c r="J2978" s="5"/>
      <c r="AL2978" s="5">
        <f t="shared" si="94"/>
        <v>0</v>
      </c>
    </row>
    <row r="2979" spans="1:38" ht="25.5" customHeight="1" x14ac:dyDescent="0.25">
      <c r="A2979" s="10" t="s">
        <v>2737</v>
      </c>
      <c r="B2979" s="11" t="s">
        <v>1636</v>
      </c>
      <c r="C2979" s="5">
        <v>52246.960299999999</v>
      </c>
      <c r="D2979" s="5">
        <v>52246.960299999999</v>
      </c>
      <c r="E2979" s="5">
        <v>47310.556700000001</v>
      </c>
      <c r="G2979" s="5" t="str">
        <f t="shared" si="93"/>
        <v>ГОРНЫЙ ЩИТ</v>
      </c>
      <c r="J2979" s="5"/>
      <c r="AL2979" s="5">
        <f t="shared" si="94"/>
        <v>0</v>
      </c>
    </row>
    <row r="2980" spans="1:38" ht="25.5" customHeight="1" x14ac:dyDescent="0.25">
      <c r="A2980" s="10" t="s">
        <v>2738</v>
      </c>
      <c r="B2980" s="11" t="s">
        <v>1676</v>
      </c>
      <c r="C2980" s="5">
        <v>28848.8855</v>
      </c>
      <c r="D2980" s="5">
        <v>28848.8855</v>
      </c>
      <c r="E2980" s="5">
        <v>25946.143</v>
      </c>
      <c r="G2980" s="5" t="str">
        <f t="shared" si="93"/>
        <v>Чкаловский</v>
      </c>
      <c r="J2980" s="5"/>
      <c r="AL2980" s="5">
        <f t="shared" si="94"/>
        <v>0</v>
      </c>
    </row>
    <row r="2981" spans="1:38" ht="25.5" customHeight="1" x14ac:dyDescent="0.25">
      <c r="A2981" s="10" t="s">
        <v>936</v>
      </c>
      <c r="B2981" s="11" t="s">
        <v>1679</v>
      </c>
      <c r="C2981" s="5">
        <v>28855.326499999999</v>
      </c>
      <c r="D2981" s="5">
        <v>28855.326499999999</v>
      </c>
      <c r="E2981" s="5">
        <v>25951.933700000001</v>
      </c>
      <c r="G2981" s="5" t="str">
        <f t="shared" si="93"/>
        <v>Ст.Каменск-Хозспособ</v>
      </c>
      <c r="J2981" s="5"/>
      <c r="AL2981" s="5">
        <f t="shared" si="94"/>
        <v>0</v>
      </c>
    </row>
    <row r="2982" spans="1:38" ht="25.5" customHeight="1" x14ac:dyDescent="0.25">
      <c r="A2982" s="10" t="s">
        <v>2739</v>
      </c>
      <c r="B2982" s="11" t="s">
        <v>1657</v>
      </c>
      <c r="C2982" s="5">
        <v>54886.9666</v>
      </c>
      <c r="D2982" s="5">
        <v>54886.9666</v>
      </c>
      <c r="E2982" s="5">
        <v>49701.1319</v>
      </c>
      <c r="G2982" s="5" t="str">
        <f t="shared" si="93"/>
        <v>КОЛЬЦОВО</v>
      </c>
      <c r="J2982" s="5"/>
      <c r="AL2982" s="5">
        <f t="shared" si="94"/>
        <v>0</v>
      </c>
    </row>
    <row r="2983" spans="1:38" ht="25.5" customHeight="1" x14ac:dyDescent="0.25">
      <c r="A2983" s="10" t="s">
        <v>696</v>
      </c>
      <c r="B2983" s="11" t="s">
        <v>1674</v>
      </c>
      <c r="C2983" s="5">
        <v>29199.565200000001</v>
      </c>
      <c r="D2983" s="5">
        <v>29199.565200000001</v>
      </c>
      <c r="E2983" s="5">
        <v>26261.5317</v>
      </c>
      <c r="G2983" s="5" t="str">
        <f t="shared" si="93"/>
        <v>УАЗ</v>
      </c>
      <c r="J2983" s="5"/>
      <c r="AL2983" s="5">
        <f t="shared" si="94"/>
        <v>0</v>
      </c>
    </row>
    <row r="2984" spans="1:38" x14ac:dyDescent="0.25">
      <c r="A2984" s="10" t="s">
        <v>2740</v>
      </c>
      <c r="B2984" s="11" t="s">
        <v>1674</v>
      </c>
      <c r="C2984" s="5">
        <v>29199.565200000001</v>
      </c>
      <c r="D2984" s="5">
        <v>29199.565200000001</v>
      </c>
      <c r="E2984" s="5">
        <v>26261.5317</v>
      </c>
      <c r="G2984" s="5" t="str">
        <f t="shared" si="93"/>
        <v>УАЗ</v>
      </c>
      <c r="J2984" s="5"/>
      <c r="AL2984" s="5">
        <f t="shared" si="94"/>
        <v>0</v>
      </c>
    </row>
    <row r="2985" spans="1:38" ht="25.5" customHeight="1" x14ac:dyDescent="0.25">
      <c r="A2985" s="10" t="s">
        <v>2741</v>
      </c>
      <c r="B2985" s="11" t="s">
        <v>1660</v>
      </c>
      <c r="C2985" s="5">
        <v>53262.345800000003</v>
      </c>
      <c r="D2985" s="5">
        <v>53262.345800000003</v>
      </c>
      <c r="E2985" s="5">
        <v>48230.0095</v>
      </c>
      <c r="G2985" s="5" t="str">
        <f t="shared" si="93"/>
        <v>САДОВЫЙ</v>
      </c>
      <c r="J2985" s="5"/>
      <c r="AL2985" s="5">
        <f t="shared" si="94"/>
        <v>0</v>
      </c>
    </row>
    <row r="2986" spans="1:38" ht="25.5" customHeight="1" x14ac:dyDescent="0.25">
      <c r="A2986" s="10" t="s">
        <v>2742</v>
      </c>
      <c r="B2986" s="11" t="s">
        <v>1660</v>
      </c>
      <c r="C2986" s="5">
        <v>53262.345800000003</v>
      </c>
      <c r="D2986" s="5">
        <v>53262.345800000003</v>
      </c>
      <c r="E2986" s="5">
        <v>48230.0095</v>
      </c>
      <c r="G2986" s="5" t="str">
        <f t="shared" si="93"/>
        <v>САДОВЫЙ</v>
      </c>
      <c r="J2986" s="5"/>
      <c r="AL2986" s="5">
        <f t="shared" si="94"/>
        <v>0</v>
      </c>
    </row>
    <row r="2987" spans="1:38" ht="25.5" customHeight="1" x14ac:dyDescent="0.25">
      <c r="A2987" s="10" t="s">
        <v>2743</v>
      </c>
      <c r="B2987" s="11" t="s">
        <v>1660</v>
      </c>
      <c r="C2987" s="5">
        <v>53262.345800000003</v>
      </c>
      <c r="D2987" s="5">
        <v>53262.345800000003</v>
      </c>
      <c r="E2987" s="5">
        <v>48230.0095</v>
      </c>
      <c r="G2987" s="5" t="str">
        <f t="shared" si="93"/>
        <v>САДОВЫЙ</v>
      </c>
      <c r="J2987" s="5"/>
      <c r="AL2987" s="5">
        <f t="shared" si="94"/>
        <v>0</v>
      </c>
    </row>
    <row r="2988" spans="1:38" ht="25.5" customHeight="1" x14ac:dyDescent="0.25">
      <c r="A2988" s="10" t="s">
        <v>2744</v>
      </c>
      <c r="B2988" s="11" t="s">
        <v>1629</v>
      </c>
      <c r="C2988" s="5">
        <v>77743.704100000003</v>
      </c>
      <c r="D2988" s="5">
        <v>77743.704100000003</v>
      </c>
      <c r="E2988" s="5">
        <v>70398.310800000007</v>
      </c>
      <c r="G2988" s="5" t="str">
        <f t="shared" si="93"/>
        <v>ПИОНЕРСКИЙ</v>
      </c>
      <c r="J2988" s="5"/>
      <c r="AL2988" s="5">
        <f t="shared" si="94"/>
        <v>0</v>
      </c>
    </row>
    <row r="2989" spans="1:38" ht="25.5" customHeight="1" x14ac:dyDescent="0.25">
      <c r="A2989" s="10" t="s">
        <v>2745</v>
      </c>
      <c r="B2989" s="11" t="s">
        <v>1638</v>
      </c>
      <c r="C2989" s="5">
        <v>63640.311600000001</v>
      </c>
      <c r="D2989" s="5">
        <v>63640.311600000001</v>
      </c>
      <c r="E2989" s="5">
        <v>57627.4473</v>
      </c>
      <c r="G2989" s="5" t="str">
        <f t="shared" si="93"/>
        <v>УКТУС</v>
      </c>
      <c r="J2989" s="5"/>
      <c r="AL2989" s="5">
        <f t="shared" si="94"/>
        <v>0</v>
      </c>
    </row>
    <row r="2990" spans="1:38" ht="25.5" customHeight="1" x14ac:dyDescent="0.25">
      <c r="A2990" s="10" t="s">
        <v>991</v>
      </c>
      <c r="B2990" s="11" t="s">
        <v>1679</v>
      </c>
      <c r="C2990" s="5">
        <v>28855.326499999999</v>
      </c>
      <c r="D2990" s="5">
        <v>28855.326499999999</v>
      </c>
      <c r="E2990" s="5">
        <v>25951.933700000001</v>
      </c>
      <c r="G2990" s="5" t="str">
        <f t="shared" si="93"/>
        <v>Ст.Каменск-Хозспособ</v>
      </c>
      <c r="J2990" s="5"/>
      <c r="AL2990" s="5">
        <f t="shared" si="94"/>
        <v>0</v>
      </c>
    </row>
    <row r="2991" spans="1:38" ht="25.5" customHeight="1" x14ac:dyDescent="0.25">
      <c r="A2991" s="10" t="s">
        <v>1211</v>
      </c>
      <c r="B2991" s="11" t="s">
        <v>1636</v>
      </c>
      <c r="C2991" s="5">
        <v>52246.960299999999</v>
      </c>
      <c r="D2991" s="5">
        <v>52246.960299999999</v>
      </c>
      <c r="E2991" s="5">
        <v>47310.556700000001</v>
      </c>
      <c r="G2991" s="5" t="str">
        <f t="shared" si="93"/>
        <v>ГОРНЫЙ ЩИТ</v>
      </c>
      <c r="J2991" s="5"/>
      <c r="AL2991" s="5">
        <f t="shared" si="94"/>
        <v>0</v>
      </c>
    </row>
    <row r="2992" spans="1:38" ht="25.5" customHeight="1" x14ac:dyDescent="0.25">
      <c r="A2992" s="10" t="s">
        <v>2746</v>
      </c>
      <c r="B2992" s="11" t="s">
        <v>1666</v>
      </c>
      <c r="C2992" s="5">
        <v>46784.877899999999</v>
      </c>
      <c r="D2992" s="5">
        <v>46784.877899999999</v>
      </c>
      <c r="E2992" s="5">
        <v>42364.543299999998</v>
      </c>
      <c r="G2992" s="5" t="str">
        <f t="shared" si="93"/>
        <v>Сулим.Торфянник</v>
      </c>
      <c r="J2992" s="5"/>
      <c r="AL2992" s="5">
        <f t="shared" si="94"/>
        <v>0</v>
      </c>
    </row>
    <row r="2993" spans="1:38" ht="25.5" customHeight="1" x14ac:dyDescent="0.25">
      <c r="A2993" s="10" t="s">
        <v>2747</v>
      </c>
      <c r="B2993" s="11" t="s">
        <v>1647</v>
      </c>
      <c r="C2993" s="5">
        <v>63178.133800000003</v>
      </c>
      <c r="D2993" s="5">
        <v>63178.133800000003</v>
      </c>
      <c r="E2993" s="5">
        <v>57208.931499999999</v>
      </c>
      <c r="G2993" s="5" t="str">
        <f t="shared" si="93"/>
        <v>ШИРОКАЯ РЕЧКА</v>
      </c>
      <c r="J2993" s="5"/>
      <c r="AL2993" s="5">
        <f t="shared" si="94"/>
        <v>0</v>
      </c>
    </row>
    <row r="2994" spans="1:38" ht="25.5" customHeight="1" x14ac:dyDescent="0.25">
      <c r="A2994" s="10" t="s">
        <v>1034</v>
      </c>
      <c r="B2994" s="11" t="s">
        <v>1676</v>
      </c>
      <c r="C2994" s="5">
        <v>28848.8855</v>
      </c>
      <c r="D2994" s="5">
        <v>28848.8855</v>
      </c>
      <c r="E2994" s="5">
        <v>25946.143</v>
      </c>
      <c r="G2994" s="5" t="str">
        <f t="shared" si="93"/>
        <v>Чкаловский</v>
      </c>
      <c r="J2994" s="5"/>
      <c r="AL2994" s="5">
        <f t="shared" si="94"/>
        <v>0</v>
      </c>
    </row>
    <row r="2995" spans="1:38" ht="25.5" customHeight="1" x14ac:dyDescent="0.25">
      <c r="A2995" s="10" t="s">
        <v>2748</v>
      </c>
      <c r="B2995" s="11" t="s">
        <v>1674</v>
      </c>
      <c r="C2995" s="5">
        <v>29199.565200000001</v>
      </c>
      <c r="D2995" s="5">
        <v>29199.565200000001</v>
      </c>
      <c r="E2995" s="5">
        <v>26261.5317</v>
      </c>
      <c r="G2995" s="5" t="str">
        <f t="shared" si="93"/>
        <v>УАЗ</v>
      </c>
      <c r="J2995" s="5"/>
      <c r="AL2995" s="5">
        <f t="shared" si="94"/>
        <v>0</v>
      </c>
    </row>
    <row r="2996" spans="1:38" ht="25.5" customHeight="1" x14ac:dyDescent="0.25">
      <c r="A2996" s="10" t="s">
        <v>1179</v>
      </c>
      <c r="B2996" s="5" t="s">
        <v>33</v>
      </c>
      <c r="C2996" s="5">
        <v>84298.205100000006</v>
      </c>
      <c r="D2996" s="5">
        <v>84298.205100000006</v>
      </c>
      <c r="E2996" s="5">
        <v>76333.533100000001</v>
      </c>
      <c r="G2996" s="5" t="str">
        <f t="shared" si="93"/>
        <v>ВИЗ</v>
      </c>
      <c r="J2996" s="5"/>
      <c r="AL2996" s="5">
        <f t="shared" si="94"/>
        <v>0</v>
      </c>
    </row>
    <row r="2997" spans="1:38" ht="25.5" customHeight="1" x14ac:dyDescent="0.25">
      <c r="A2997" s="10" t="s">
        <v>2749</v>
      </c>
      <c r="B2997" s="11" t="s">
        <v>1643</v>
      </c>
      <c r="C2997" s="5">
        <v>76630.280299999999</v>
      </c>
      <c r="D2997" s="5">
        <v>76630.280299999999</v>
      </c>
      <c r="E2997" s="5">
        <v>69390.088799999998</v>
      </c>
      <c r="G2997" s="5" t="str">
        <f t="shared" si="93"/>
        <v>Ю-З</v>
      </c>
      <c r="J2997" s="5"/>
      <c r="AL2997" s="5">
        <f t="shared" si="94"/>
        <v>0</v>
      </c>
    </row>
    <row r="2998" spans="1:38" ht="25.5" customHeight="1" x14ac:dyDescent="0.25">
      <c r="A2998" s="10" t="s">
        <v>2750</v>
      </c>
      <c r="B2998" s="11" t="s">
        <v>1644</v>
      </c>
      <c r="C2998" s="5">
        <v>61980.678599999999</v>
      </c>
      <c r="D2998" s="5">
        <v>61980.678599999999</v>
      </c>
      <c r="E2998" s="5">
        <v>56124.615700000002</v>
      </c>
      <c r="G2998" s="5" t="str">
        <f t="shared" si="93"/>
        <v>ХИММАШ</v>
      </c>
      <c r="J2998" s="5"/>
      <c r="AL2998" s="5">
        <f t="shared" si="94"/>
        <v>0</v>
      </c>
    </row>
    <row r="2999" spans="1:38" ht="25.5" customHeight="1" x14ac:dyDescent="0.25">
      <c r="A2999" s="10" t="s">
        <v>639</v>
      </c>
      <c r="B2999" s="11" t="s">
        <v>1675</v>
      </c>
      <c r="C2999" s="5">
        <v>35756.285400000001</v>
      </c>
      <c r="D2999" s="5">
        <v>35756.285400000001</v>
      </c>
      <c r="E2999" s="5">
        <v>32158.5213</v>
      </c>
      <c r="G2999" s="5" t="str">
        <f t="shared" si="93"/>
        <v>УАЗ-II</v>
      </c>
      <c r="J2999" s="5"/>
      <c r="AL2999" s="5">
        <f t="shared" si="94"/>
        <v>0</v>
      </c>
    </row>
    <row r="3000" spans="1:38" ht="25.5" customHeight="1" x14ac:dyDescent="0.25">
      <c r="A3000" s="10" t="s">
        <v>2751</v>
      </c>
      <c r="B3000" s="11" t="s">
        <v>1675</v>
      </c>
      <c r="C3000" s="5">
        <v>35756.285400000001</v>
      </c>
      <c r="D3000" s="5">
        <v>35756.285400000001</v>
      </c>
      <c r="E3000" s="5">
        <v>32158.5213</v>
      </c>
      <c r="G3000" s="5" t="str">
        <f t="shared" si="93"/>
        <v>УАЗ-II</v>
      </c>
      <c r="J3000" s="5"/>
      <c r="AL3000" s="5">
        <f t="shared" si="94"/>
        <v>0</v>
      </c>
    </row>
    <row r="3001" spans="1:38" ht="25.5" customHeight="1" x14ac:dyDescent="0.25">
      <c r="A3001" s="10" t="s">
        <v>2752</v>
      </c>
      <c r="B3001" s="11" t="s">
        <v>1676</v>
      </c>
      <c r="C3001" s="5">
        <v>28848.8855</v>
      </c>
      <c r="D3001" s="5">
        <v>28848.8855</v>
      </c>
      <c r="E3001" s="5">
        <v>25946.143</v>
      </c>
      <c r="G3001" s="5" t="str">
        <f t="shared" si="93"/>
        <v>Чкаловский</v>
      </c>
      <c r="J3001" s="5"/>
      <c r="AL3001" s="5">
        <f t="shared" si="94"/>
        <v>0</v>
      </c>
    </row>
    <row r="3002" spans="1:38" ht="25.5" customHeight="1" x14ac:dyDescent="0.25">
      <c r="A3002" s="10" t="s">
        <v>1474</v>
      </c>
      <c r="B3002" s="11" t="s">
        <v>1673</v>
      </c>
      <c r="C3002" s="5">
        <v>35563.243300000002</v>
      </c>
      <c r="D3002" s="5">
        <v>35563.243300000002</v>
      </c>
      <c r="E3002" s="5">
        <v>31984.905299999999</v>
      </c>
      <c r="G3002" s="5" t="str">
        <f t="shared" si="93"/>
        <v>УАЗ-III - 49 кв.</v>
      </c>
      <c r="J3002" s="5"/>
      <c r="AL3002" s="5">
        <f t="shared" si="94"/>
        <v>0</v>
      </c>
    </row>
    <row r="3003" spans="1:38" ht="25.5" customHeight="1" x14ac:dyDescent="0.25">
      <c r="A3003" s="10" t="s">
        <v>1467</v>
      </c>
      <c r="B3003" s="11" t="s">
        <v>1631</v>
      </c>
      <c r="C3003" s="5">
        <v>70026.7601</v>
      </c>
      <c r="D3003" s="5">
        <v>70026.7601</v>
      </c>
      <c r="E3003" s="5">
        <v>63410.482000000004</v>
      </c>
      <c r="G3003" s="5" t="str">
        <f t="shared" si="93"/>
        <v>УРАЛМАШ</v>
      </c>
      <c r="J3003" s="5"/>
      <c r="AL3003" s="5">
        <f t="shared" si="94"/>
        <v>0</v>
      </c>
    </row>
    <row r="3004" spans="1:38" ht="25.5" customHeight="1" x14ac:dyDescent="0.25">
      <c r="A3004" s="10" t="s">
        <v>2753</v>
      </c>
      <c r="B3004" s="11" t="s">
        <v>1668</v>
      </c>
      <c r="C3004" s="5">
        <v>51343.6201</v>
      </c>
      <c r="D3004" s="5">
        <v>51343.6201</v>
      </c>
      <c r="E3004" s="5">
        <v>46492.558799999999</v>
      </c>
      <c r="G3004" s="5" t="str">
        <f t="shared" si="93"/>
        <v>МЕДНЫЙ</v>
      </c>
      <c r="J3004" s="5"/>
      <c r="AL3004" s="5">
        <f t="shared" si="94"/>
        <v>0</v>
      </c>
    </row>
    <row r="3005" spans="1:38" ht="25.5" customHeight="1" x14ac:dyDescent="0.25">
      <c r="A3005" s="10" t="s">
        <v>670</v>
      </c>
      <c r="B3005" s="11" t="s">
        <v>1681</v>
      </c>
      <c r="C3005" s="5">
        <v>32172.2909</v>
      </c>
      <c r="D3005" s="5">
        <v>32172.2909</v>
      </c>
      <c r="E3005" s="5">
        <v>28935.146499999999</v>
      </c>
      <c r="G3005" s="5" t="str">
        <f t="shared" si="93"/>
        <v>Ленин-Олимп</v>
      </c>
      <c r="J3005" s="5"/>
      <c r="AL3005" s="5">
        <f t="shared" si="94"/>
        <v>0</v>
      </c>
    </row>
    <row r="3006" spans="1:38" ht="25.5" customHeight="1" x14ac:dyDescent="0.25">
      <c r="A3006" s="10" t="s">
        <v>2754</v>
      </c>
      <c r="B3006" s="11" t="s">
        <v>1676</v>
      </c>
      <c r="C3006" s="5">
        <v>28848.8855</v>
      </c>
      <c r="D3006" s="5">
        <v>28848.8855</v>
      </c>
      <c r="E3006" s="5">
        <v>25946.143</v>
      </c>
      <c r="G3006" s="5" t="str">
        <f t="shared" si="93"/>
        <v>Чкаловский</v>
      </c>
      <c r="J3006" s="5"/>
      <c r="AL3006" s="5">
        <f t="shared" si="94"/>
        <v>0</v>
      </c>
    </row>
    <row r="3007" spans="1:38" ht="25.5" customHeight="1" x14ac:dyDescent="0.25">
      <c r="A3007" s="10" t="s">
        <v>2755</v>
      </c>
      <c r="B3007" s="11" t="s">
        <v>1639</v>
      </c>
      <c r="C3007" s="5">
        <v>53500.443299999999</v>
      </c>
      <c r="D3007" s="5">
        <v>53500.443299999999</v>
      </c>
      <c r="E3007" s="5">
        <v>48445.605100000001</v>
      </c>
      <c r="G3007" s="5" t="str">
        <f t="shared" si="93"/>
        <v>ИСТОК</v>
      </c>
      <c r="J3007" s="5"/>
      <c r="AL3007" s="5">
        <f t="shared" si="94"/>
        <v>0</v>
      </c>
    </row>
    <row r="3008" spans="1:38" ht="25.5" customHeight="1" x14ac:dyDescent="0.25">
      <c r="A3008" s="10" t="s">
        <v>2756</v>
      </c>
      <c r="B3008" s="11" t="s">
        <v>1657</v>
      </c>
      <c r="C3008" s="5">
        <v>54886.9666</v>
      </c>
      <c r="D3008" s="5">
        <v>54886.9666</v>
      </c>
      <c r="E3008" s="5">
        <v>49701.1319</v>
      </c>
      <c r="G3008" s="5" t="str">
        <f t="shared" si="93"/>
        <v>КОЛЬЦОВО</v>
      </c>
      <c r="J3008" s="5"/>
      <c r="AL3008" s="5">
        <f t="shared" si="94"/>
        <v>0</v>
      </c>
    </row>
    <row r="3009" spans="1:38" ht="25.5" customHeight="1" x14ac:dyDescent="0.25">
      <c r="A3009" s="10" t="s">
        <v>2757</v>
      </c>
      <c r="B3009" s="11" t="s">
        <v>1679</v>
      </c>
      <c r="C3009" s="5">
        <v>28855.326499999999</v>
      </c>
      <c r="D3009" s="5">
        <v>28855.326499999999</v>
      </c>
      <c r="E3009" s="5">
        <v>25951.933700000001</v>
      </c>
      <c r="G3009" s="5" t="str">
        <f t="shared" si="93"/>
        <v>Ст.Каменск-Хозспособ</v>
      </c>
      <c r="J3009" s="5"/>
      <c r="AL3009" s="5">
        <f t="shared" si="94"/>
        <v>0</v>
      </c>
    </row>
    <row r="3010" spans="1:38" ht="25.5" customHeight="1" x14ac:dyDescent="0.25">
      <c r="A3010" s="10" t="s">
        <v>2758</v>
      </c>
      <c r="B3010" s="11" t="s">
        <v>1676</v>
      </c>
      <c r="C3010" s="5">
        <v>28848.8855</v>
      </c>
      <c r="D3010" s="5">
        <v>28848.8855</v>
      </c>
      <c r="E3010" s="5">
        <v>25946.143</v>
      </c>
      <c r="G3010" s="5" t="str">
        <f t="shared" si="93"/>
        <v>Чкаловский</v>
      </c>
      <c r="J3010" s="5"/>
      <c r="AL3010" s="5">
        <f t="shared" si="94"/>
        <v>0</v>
      </c>
    </row>
    <row r="3011" spans="1:38" ht="25.5" customHeight="1" x14ac:dyDescent="0.25">
      <c r="A3011" s="10" t="s">
        <v>2759</v>
      </c>
      <c r="B3011" s="11" t="s">
        <v>1644</v>
      </c>
      <c r="C3011" s="5">
        <v>61980.678599999999</v>
      </c>
      <c r="D3011" s="5">
        <v>61980.678599999999</v>
      </c>
      <c r="E3011" s="5">
        <v>56124.615700000002</v>
      </c>
      <c r="G3011" s="5" t="str">
        <f t="shared" ref="G3011:G3074" si="95">B3011</f>
        <v>ХИММАШ</v>
      </c>
      <c r="J3011" s="5"/>
      <c r="AL3011" s="5">
        <f t="shared" ref="AL3011:AL3074" si="96">AF3011</f>
        <v>0</v>
      </c>
    </row>
    <row r="3012" spans="1:38" ht="25.5" customHeight="1" x14ac:dyDescent="0.25">
      <c r="A3012" s="10" t="s">
        <v>241</v>
      </c>
      <c r="B3012" s="11" t="s">
        <v>1674</v>
      </c>
      <c r="C3012" s="5">
        <v>29199.565200000001</v>
      </c>
      <c r="D3012" s="5">
        <v>29199.565200000001</v>
      </c>
      <c r="E3012" s="5">
        <v>26261.5317</v>
      </c>
      <c r="G3012" s="5" t="str">
        <f t="shared" si="95"/>
        <v>УАЗ</v>
      </c>
      <c r="J3012" s="5"/>
      <c r="AL3012" s="5">
        <f t="shared" si="96"/>
        <v>0</v>
      </c>
    </row>
    <row r="3013" spans="1:38" ht="25.5" customHeight="1" x14ac:dyDescent="0.25">
      <c r="A3013" s="10" t="s">
        <v>1572</v>
      </c>
      <c r="B3013" s="11" t="s">
        <v>1679</v>
      </c>
      <c r="C3013" s="5">
        <v>28855.326499999999</v>
      </c>
      <c r="D3013" s="5">
        <v>28855.326499999999</v>
      </c>
      <c r="E3013" s="5">
        <v>25951.933700000001</v>
      </c>
      <c r="G3013" s="5" t="str">
        <f t="shared" si="95"/>
        <v>Ст.Каменск-Хозспособ</v>
      </c>
      <c r="J3013" s="5"/>
      <c r="AL3013" s="5">
        <f t="shared" si="96"/>
        <v>0</v>
      </c>
    </row>
    <row r="3014" spans="1:38" ht="25.5" customHeight="1" x14ac:dyDescent="0.25">
      <c r="A3014" s="10" t="s">
        <v>2760</v>
      </c>
      <c r="B3014" s="11" t="s">
        <v>1630</v>
      </c>
      <c r="C3014" s="5">
        <v>62652.9401</v>
      </c>
      <c r="D3014" s="5">
        <v>62652.9401</v>
      </c>
      <c r="E3014" s="5">
        <v>56733.3557</v>
      </c>
      <c r="G3014" s="5" t="str">
        <f t="shared" si="95"/>
        <v>ЧЕРМЕТ</v>
      </c>
      <c r="J3014" s="5"/>
      <c r="AL3014" s="5">
        <f t="shared" si="96"/>
        <v>0</v>
      </c>
    </row>
    <row r="3015" spans="1:38" ht="25.5" customHeight="1" x14ac:dyDescent="0.25">
      <c r="A3015" s="10" t="s">
        <v>2761</v>
      </c>
      <c r="B3015" s="11" t="s">
        <v>1679</v>
      </c>
      <c r="C3015" s="5">
        <v>28855.326499999999</v>
      </c>
      <c r="D3015" s="5">
        <v>28855.326499999999</v>
      </c>
      <c r="E3015" s="5">
        <v>25951.933700000001</v>
      </c>
      <c r="G3015" s="5" t="str">
        <f t="shared" si="95"/>
        <v>Ст.Каменск-Хозспособ</v>
      </c>
      <c r="J3015" s="5"/>
      <c r="AL3015" s="5">
        <f t="shared" si="96"/>
        <v>0</v>
      </c>
    </row>
    <row r="3016" spans="1:38" ht="25.5" customHeight="1" x14ac:dyDescent="0.25">
      <c r="A3016" s="10" t="s">
        <v>2762</v>
      </c>
      <c r="B3016" s="11" t="s">
        <v>1660</v>
      </c>
      <c r="C3016" s="5">
        <v>53262.345800000003</v>
      </c>
      <c r="D3016" s="5">
        <v>53262.345800000003</v>
      </c>
      <c r="E3016" s="5">
        <v>48230.0095</v>
      </c>
      <c r="G3016" s="5" t="str">
        <f t="shared" si="95"/>
        <v>САДОВЫЙ</v>
      </c>
      <c r="J3016" s="5"/>
      <c r="AL3016" s="5">
        <f t="shared" si="96"/>
        <v>0</v>
      </c>
    </row>
    <row r="3017" spans="1:38" ht="25.5" customHeight="1" x14ac:dyDescent="0.25">
      <c r="A3017" s="10" t="s">
        <v>2763</v>
      </c>
      <c r="B3017" s="11" t="s">
        <v>1674</v>
      </c>
      <c r="C3017" s="5">
        <v>29199.565200000001</v>
      </c>
      <c r="D3017" s="5">
        <v>29199.565200000001</v>
      </c>
      <c r="E3017" s="5">
        <v>26261.5317</v>
      </c>
      <c r="G3017" s="5" t="str">
        <f t="shared" si="95"/>
        <v>УАЗ</v>
      </c>
      <c r="J3017" s="5"/>
      <c r="AL3017" s="5">
        <f t="shared" si="96"/>
        <v>0</v>
      </c>
    </row>
    <row r="3018" spans="1:38" ht="25.5" customHeight="1" x14ac:dyDescent="0.25">
      <c r="A3018" s="10" t="s">
        <v>368</v>
      </c>
      <c r="B3018" s="11" t="s">
        <v>1675</v>
      </c>
      <c r="C3018" s="5">
        <v>35756.285400000001</v>
      </c>
      <c r="D3018" s="5">
        <v>35756.285400000001</v>
      </c>
      <c r="E3018" s="5">
        <v>32158.5213</v>
      </c>
      <c r="G3018" s="5" t="str">
        <f t="shared" si="95"/>
        <v>УАЗ-II</v>
      </c>
      <c r="J3018" s="5"/>
      <c r="AL3018" s="5">
        <f t="shared" si="96"/>
        <v>0</v>
      </c>
    </row>
    <row r="3019" spans="1:38" ht="25.5" customHeight="1" x14ac:dyDescent="0.25">
      <c r="A3019" s="10" t="s">
        <v>2764</v>
      </c>
      <c r="B3019" s="11" t="s">
        <v>1664</v>
      </c>
      <c r="C3019" s="5">
        <v>53668.506099999999</v>
      </c>
      <c r="D3019" s="5">
        <v>53668.506099999999</v>
      </c>
      <c r="E3019" s="5">
        <v>48597.792699999998</v>
      </c>
      <c r="G3019" s="5" t="str">
        <f t="shared" si="95"/>
        <v>ИЗОПЛИТ</v>
      </c>
      <c r="J3019" s="5"/>
      <c r="AL3019" s="5">
        <f t="shared" si="96"/>
        <v>0</v>
      </c>
    </row>
    <row r="3020" spans="1:38" ht="25.5" customHeight="1" x14ac:dyDescent="0.25">
      <c r="A3020" s="10" t="s">
        <v>2765</v>
      </c>
      <c r="B3020" s="11" t="s">
        <v>1676</v>
      </c>
      <c r="C3020" s="5">
        <v>28848.8855</v>
      </c>
      <c r="D3020" s="5">
        <v>28848.8855</v>
      </c>
      <c r="E3020" s="5">
        <v>25946.143</v>
      </c>
      <c r="G3020" s="5" t="str">
        <f t="shared" si="95"/>
        <v>Чкаловский</v>
      </c>
      <c r="J3020" s="5"/>
      <c r="AL3020" s="5">
        <f t="shared" si="96"/>
        <v>0</v>
      </c>
    </row>
    <row r="3021" spans="1:38" ht="25.5" customHeight="1" x14ac:dyDescent="0.25">
      <c r="A3021" s="10" t="s">
        <v>652</v>
      </c>
      <c r="B3021" s="11" t="s">
        <v>1674</v>
      </c>
      <c r="C3021" s="5">
        <v>29199.565200000001</v>
      </c>
      <c r="D3021" s="5">
        <v>29199.565200000001</v>
      </c>
      <c r="E3021" s="5">
        <v>26261.5317</v>
      </c>
      <c r="G3021" s="5" t="str">
        <f t="shared" si="95"/>
        <v>УАЗ</v>
      </c>
      <c r="J3021" s="5"/>
      <c r="AL3021" s="5">
        <f t="shared" si="96"/>
        <v>0</v>
      </c>
    </row>
    <row r="3022" spans="1:38" ht="25.5" customHeight="1" x14ac:dyDescent="0.25">
      <c r="A3022" s="10" t="s">
        <v>86</v>
      </c>
      <c r="B3022" s="11" t="s">
        <v>1675</v>
      </c>
      <c r="C3022" s="5">
        <v>35756.285400000001</v>
      </c>
      <c r="D3022" s="5">
        <v>35756.285400000001</v>
      </c>
      <c r="E3022" s="5">
        <v>32158.5213</v>
      </c>
      <c r="G3022" s="5" t="str">
        <f t="shared" si="95"/>
        <v>УАЗ-II</v>
      </c>
      <c r="J3022" s="5"/>
      <c r="AL3022" s="5">
        <f t="shared" si="96"/>
        <v>0</v>
      </c>
    </row>
    <row r="3023" spans="1:38" ht="25.5" customHeight="1" x14ac:dyDescent="0.25">
      <c r="A3023" s="10" t="s">
        <v>2766</v>
      </c>
      <c r="B3023" s="11" t="s">
        <v>1632</v>
      </c>
      <c r="C3023" s="5">
        <v>83744.997499999998</v>
      </c>
      <c r="D3023" s="5">
        <v>83744.997499999998</v>
      </c>
      <c r="E3023" s="5">
        <v>75832.596099999995</v>
      </c>
      <c r="G3023" s="5" t="str">
        <f t="shared" si="95"/>
        <v>АВТОВОКЗАЛ</v>
      </c>
      <c r="J3023" s="5"/>
      <c r="AL3023" s="5">
        <f t="shared" si="96"/>
        <v>0</v>
      </c>
    </row>
    <row r="3024" spans="1:38" ht="25.5" customHeight="1" x14ac:dyDescent="0.25">
      <c r="A3024" s="10" t="s">
        <v>2767</v>
      </c>
      <c r="B3024" s="11" t="s">
        <v>1639</v>
      </c>
      <c r="C3024" s="5">
        <v>53500.443299999999</v>
      </c>
      <c r="D3024" s="5">
        <v>53500.443299999999</v>
      </c>
      <c r="E3024" s="5">
        <v>48445.605100000001</v>
      </c>
      <c r="G3024" s="5" t="str">
        <f t="shared" si="95"/>
        <v>ИСТОК</v>
      </c>
      <c r="J3024" s="5"/>
      <c r="AL3024" s="5">
        <f t="shared" si="96"/>
        <v>0</v>
      </c>
    </row>
    <row r="3025" spans="1:38" ht="25.5" customHeight="1" x14ac:dyDescent="0.25">
      <c r="A3025" s="10" t="s">
        <v>651</v>
      </c>
      <c r="B3025" s="11" t="s">
        <v>1673</v>
      </c>
      <c r="C3025" s="5">
        <v>35563.243300000002</v>
      </c>
      <c r="D3025" s="5">
        <v>35563.243300000002</v>
      </c>
      <c r="E3025" s="5">
        <v>31984.905299999999</v>
      </c>
      <c r="G3025" s="5" t="str">
        <f t="shared" si="95"/>
        <v>УАЗ-III - 49 кв.</v>
      </c>
      <c r="J3025" s="5"/>
      <c r="AL3025" s="5">
        <f t="shared" si="96"/>
        <v>0</v>
      </c>
    </row>
    <row r="3026" spans="1:38" ht="25.5" customHeight="1" x14ac:dyDescent="0.25">
      <c r="A3026" s="10" t="s">
        <v>2768</v>
      </c>
      <c r="B3026" s="11" t="s">
        <v>1648</v>
      </c>
      <c r="C3026" s="5">
        <v>49782.025399999999</v>
      </c>
      <c r="D3026" s="5">
        <v>49782.025399999999</v>
      </c>
      <c r="E3026" s="5">
        <v>45078.506800000003</v>
      </c>
      <c r="G3026" s="5" t="str">
        <f t="shared" si="95"/>
        <v>ЧУСОВСКОЕ ОЗЕРО</v>
      </c>
      <c r="J3026" s="5"/>
      <c r="AL3026" s="5">
        <f t="shared" si="96"/>
        <v>0</v>
      </c>
    </row>
    <row r="3027" spans="1:38" ht="25.5" customHeight="1" x14ac:dyDescent="0.25">
      <c r="A3027" s="10" t="s">
        <v>846</v>
      </c>
      <c r="B3027" s="5" t="s">
        <v>1677</v>
      </c>
      <c r="C3027" s="5">
        <v>39105.413099999998</v>
      </c>
      <c r="D3027" s="5">
        <v>39105.413099999998</v>
      </c>
      <c r="E3027" s="5">
        <v>35170.666700000002</v>
      </c>
      <c r="G3027" s="5" t="str">
        <f t="shared" si="95"/>
        <v>Октябрьский</v>
      </c>
      <c r="J3027" s="5"/>
      <c r="AL3027" s="5">
        <f t="shared" si="96"/>
        <v>0</v>
      </c>
    </row>
    <row r="3028" spans="1:38" ht="25.5" customHeight="1" x14ac:dyDescent="0.25">
      <c r="A3028" s="10" t="s">
        <v>951</v>
      </c>
      <c r="B3028" s="11" t="s">
        <v>1673</v>
      </c>
      <c r="C3028" s="5">
        <v>35563.243300000002</v>
      </c>
      <c r="D3028" s="5">
        <v>35563.243300000002</v>
      </c>
      <c r="E3028" s="5">
        <v>31984.905299999999</v>
      </c>
      <c r="G3028" s="5" t="str">
        <f t="shared" si="95"/>
        <v>УАЗ-III - 49 кв.</v>
      </c>
      <c r="J3028" s="5"/>
      <c r="AL3028" s="5">
        <f t="shared" si="96"/>
        <v>0</v>
      </c>
    </row>
    <row r="3029" spans="1:38" x14ac:dyDescent="0.25">
      <c r="A3029" s="10" t="s">
        <v>1033</v>
      </c>
      <c r="B3029" s="5" t="s">
        <v>1679</v>
      </c>
      <c r="C3029" s="5">
        <v>28855.326499999999</v>
      </c>
      <c r="D3029" s="5">
        <v>28855.326499999999</v>
      </c>
      <c r="E3029" s="5">
        <v>25951.933700000001</v>
      </c>
      <c r="G3029" s="5" t="str">
        <f t="shared" si="95"/>
        <v>Ст.Каменск-Хозспособ</v>
      </c>
      <c r="J3029" s="5"/>
      <c r="AL3029" s="5">
        <f t="shared" si="96"/>
        <v>0</v>
      </c>
    </row>
    <row r="3030" spans="1:38" ht="25.5" customHeight="1" x14ac:dyDescent="0.25">
      <c r="A3030" s="10" t="s">
        <v>2769</v>
      </c>
      <c r="B3030" s="11" t="s">
        <v>1639</v>
      </c>
      <c r="C3030" s="5">
        <v>53500.443299999999</v>
      </c>
      <c r="D3030" s="5">
        <v>53500.443299999999</v>
      </c>
      <c r="E3030" s="5">
        <v>48445.605100000001</v>
      </c>
      <c r="G3030" s="5" t="str">
        <f t="shared" si="95"/>
        <v>ИСТОК</v>
      </c>
      <c r="J3030" s="5"/>
      <c r="AL3030" s="5">
        <f t="shared" si="96"/>
        <v>0</v>
      </c>
    </row>
    <row r="3031" spans="1:38" ht="25.5" customHeight="1" x14ac:dyDescent="0.25">
      <c r="A3031" s="10" t="s">
        <v>602</v>
      </c>
      <c r="B3031" s="11" t="s">
        <v>1675</v>
      </c>
      <c r="C3031" s="5">
        <v>35756.285400000001</v>
      </c>
      <c r="D3031" s="5">
        <v>35756.285400000001</v>
      </c>
      <c r="E3031" s="5">
        <v>32158.5213</v>
      </c>
      <c r="G3031" s="5" t="str">
        <f t="shared" si="95"/>
        <v>УАЗ-II</v>
      </c>
      <c r="J3031" s="5"/>
      <c r="AL3031" s="5">
        <f t="shared" si="96"/>
        <v>0</v>
      </c>
    </row>
    <row r="3032" spans="1:38" ht="25.5" customHeight="1" x14ac:dyDescent="0.25">
      <c r="A3032" s="10" t="s">
        <v>1465</v>
      </c>
      <c r="B3032" s="11" t="s">
        <v>209</v>
      </c>
      <c r="C3032" s="5">
        <v>69382.512499999997</v>
      </c>
      <c r="D3032" s="5">
        <v>69382.512499999997</v>
      </c>
      <c r="E3032" s="5">
        <v>62827.103199999998</v>
      </c>
      <c r="G3032" s="5" t="str">
        <f t="shared" si="95"/>
        <v>ЖБИ</v>
      </c>
      <c r="J3032" s="5"/>
      <c r="AL3032" s="5">
        <f t="shared" si="96"/>
        <v>0</v>
      </c>
    </row>
    <row r="3033" spans="1:38" ht="25.5" customHeight="1" x14ac:dyDescent="0.25">
      <c r="A3033" s="10" t="s">
        <v>883</v>
      </c>
      <c r="B3033" s="11" t="s">
        <v>1676</v>
      </c>
      <c r="C3033" s="5">
        <v>28848.8855</v>
      </c>
      <c r="D3033" s="5">
        <v>28848.8855</v>
      </c>
      <c r="E3033" s="5">
        <v>25946.143</v>
      </c>
      <c r="G3033" s="5" t="str">
        <f t="shared" si="95"/>
        <v>Чкаловский</v>
      </c>
      <c r="J3033" s="5"/>
      <c r="AL3033" s="5">
        <f t="shared" si="96"/>
        <v>0</v>
      </c>
    </row>
    <row r="3034" spans="1:38" ht="25.5" customHeight="1" x14ac:dyDescent="0.25">
      <c r="A3034" s="10" t="s">
        <v>2770</v>
      </c>
      <c r="B3034" s="11" t="s">
        <v>1681</v>
      </c>
      <c r="C3034" s="5">
        <v>32172.2909</v>
      </c>
      <c r="D3034" s="5">
        <v>32172.2909</v>
      </c>
      <c r="E3034" s="5">
        <v>28935.146499999999</v>
      </c>
      <c r="G3034" s="5" t="str">
        <f t="shared" si="95"/>
        <v>Ленин-Олимп</v>
      </c>
      <c r="J3034" s="5"/>
      <c r="AL3034" s="5">
        <f t="shared" si="96"/>
        <v>0</v>
      </c>
    </row>
    <row r="3035" spans="1:38" ht="25.5" customHeight="1" x14ac:dyDescent="0.25">
      <c r="A3035" s="10" t="s">
        <v>2771</v>
      </c>
      <c r="B3035" s="11" t="s">
        <v>1676</v>
      </c>
      <c r="C3035" s="5">
        <v>28848.8855</v>
      </c>
      <c r="D3035" s="5">
        <v>28848.8855</v>
      </c>
      <c r="E3035" s="5">
        <v>25946.143</v>
      </c>
      <c r="G3035" s="5" t="str">
        <f t="shared" si="95"/>
        <v>Чкаловский</v>
      </c>
      <c r="J3035" s="5"/>
      <c r="AL3035" s="5">
        <f t="shared" si="96"/>
        <v>0</v>
      </c>
    </row>
    <row r="3036" spans="1:38" x14ac:dyDescent="0.25">
      <c r="A3036" s="10" t="s">
        <v>2772</v>
      </c>
      <c r="B3036" s="11" t="s">
        <v>1674</v>
      </c>
      <c r="C3036" s="5">
        <v>29199.565200000001</v>
      </c>
      <c r="D3036" s="5">
        <v>29199.565200000001</v>
      </c>
      <c r="E3036" s="5">
        <v>26261.5317</v>
      </c>
      <c r="G3036" s="5" t="str">
        <f t="shared" si="95"/>
        <v>УАЗ</v>
      </c>
      <c r="J3036" s="5"/>
      <c r="AL3036" s="5">
        <f t="shared" si="96"/>
        <v>0</v>
      </c>
    </row>
    <row r="3037" spans="1:38" ht="25.5" customHeight="1" x14ac:dyDescent="0.25">
      <c r="A3037" s="10" t="s">
        <v>323</v>
      </c>
      <c r="B3037" s="11" t="s">
        <v>14</v>
      </c>
      <c r="C3037" s="5">
        <v>93989.912800000006</v>
      </c>
      <c r="D3037" s="5">
        <v>93989.912800000006</v>
      </c>
      <c r="E3037" s="5">
        <v>85109.545199999993</v>
      </c>
      <c r="G3037" s="5" t="str">
        <f t="shared" si="95"/>
        <v>Центр</v>
      </c>
      <c r="J3037" s="5"/>
      <c r="AL3037" s="5">
        <f t="shared" si="96"/>
        <v>0</v>
      </c>
    </row>
    <row r="3038" spans="1:38" ht="25.5" customHeight="1" x14ac:dyDescent="0.25">
      <c r="A3038" s="10" t="s">
        <v>1256</v>
      </c>
      <c r="B3038" s="11" t="s">
        <v>1631</v>
      </c>
      <c r="C3038" s="5">
        <v>70026.7601</v>
      </c>
      <c r="D3038" s="5">
        <v>70026.7601</v>
      </c>
      <c r="E3038" s="5">
        <v>63410.482000000004</v>
      </c>
      <c r="G3038" s="5" t="str">
        <f t="shared" si="95"/>
        <v>УРАЛМАШ</v>
      </c>
      <c r="J3038" s="5"/>
      <c r="AL3038" s="5">
        <f t="shared" si="96"/>
        <v>0</v>
      </c>
    </row>
    <row r="3039" spans="1:38" ht="25.5" customHeight="1" x14ac:dyDescent="0.25">
      <c r="A3039" s="10" t="s">
        <v>2773</v>
      </c>
      <c r="B3039" s="11" t="s">
        <v>1650</v>
      </c>
      <c r="C3039" s="5">
        <v>37590.3603</v>
      </c>
      <c r="D3039" s="5">
        <v>37590.3603</v>
      </c>
      <c r="E3039" s="5">
        <v>34038.745900000002</v>
      </c>
      <c r="G3039" s="5" t="str">
        <f t="shared" si="95"/>
        <v>ШАБРОВСКИЙ</v>
      </c>
      <c r="J3039" s="5"/>
      <c r="AL3039" s="5">
        <f t="shared" si="96"/>
        <v>0</v>
      </c>
    </row>
    <row r="3040" spans="1:38" ht="25.5" customHeight="1" x14ac:dyDescent="0.25">
      <c r="A3040" s="10" t="s">
        <v>2774</v>
      </c>
      <c r="B3040" s="11" t="s">
        <v>1660</v>
      </c>
      <c r="C3040" s="5">
        <v>53262.345800000003</v>
      </c>
      <c r="D3040" s="5">
        <v>53262.345800000003</v>
      </c>
      <c r="E3040" s="5">
        <v>48230.0095</v>
      </c>
      <c r="G3040" s="5" t="str">
        <f t="shared" si="95"/>
        <v>САДОВЫЙ</v>
      </c>
      <c r="J3040" s="5"/>
      <c r="AL3040" s="5">
        <f t="shared" si="96"/>
        <v>0</v>
      </c>
    </row>
    <row r="3041" spans="1:38" ht="25.5" customHeight="1" x14ac:dyDescent="0.25">
      <c r="A3041" s="10" t="s">
        <v>1174</v>
      </c>
      <c r="B3041" s="11" t="s">
        <v>1659</v>
      </c>
      <c r="C3041" s="5">
        <v>59746.832600000002</v>
      </c>
      <c r="D3041" s="5">
        <v>59746.832600000002</v>
      </c>
      <c r="E3041" s="5">
        <v>54101.823700000001</v>
      </c>
      <c r="G3041" s="5" t="str">
        <f t="shared" si="95"/>
        <v>СОВХОЗ</v>
      </c>
      <c r="J3041" s="5"/>
      <c r="AL3041" s="5">
        <f t="shared" si="96"/>
        <v>0</v>
      </c>
    </row>
    <row r="3042" spans="1:38" ht="25.5" customHeight="1" x14ac:dyDescent="0.25">
      <c r="A3042" s="10" t="s">
        <v>2775</v>
      </c>
      <c r="B3042" s="11" t="s">
        <v>1662</v>
      </c>
      <c r="C3042" s="5">
        <v>46784.877899999999</v>
      </c>
      <c r="D3042" s="5">
        <v>46784.877899999999</v>
      </c>
      <c r="E3042" s="5">
        <v>42364.543299999998</v>
      </c>
      <c r="G3042" s="5" t="str">
        <f t="shared" si="95"/>
        <v>РУДНЫЙ</v>
      </c>
      <c r="J3042" s="5"/>
      <c r="AL3042" s="5">
        <f t="shared" si="96"/>
        <v>0</v>
      </c>
    </row>
    <row r="3043" spans="1:38" ht="25.5" customHeight="1" x14ac:dyDescent="0.25">
      <c r="A3043" s="10" t="s">
        <v>2776</v>
      </c>
      <c r="B3043" s="11" t="s">
        <v>1644</v>
      </c>
      <c r="C3043" s="5">
        <v>61980.678599999999</v>
      </c>
      <c r="D3043" s="5">
        <v>61980.678599999999</v>
      </c>
      <c r="E3043" s="5">
        <v>56124.615700000002</v>
      </c>
      <c r="G3043" s="5" t="str">
        <f t="shared" si="95"/>
        <v>ХИММАШ</v>
      </c>
      <c r="J3043" s="5"/>
      <c r="AL3043" s="5">
        <f t="shared" si="96"/>
        <v>0</v>
      </c>
    </row>
    <row r="3044" spans="1:38" ht="25.5" customHeight="1" x14ac:dyDescent="0.25">
      <c r="A3044" s="10" t="s">
        <v>2777</v>
      </c>
      <c r="B3044" s="11" t="s">
        <v>1660</v>
      </c>
      <c r="C3044" s="5">
        <v>53262.345800000003</v>
      </c>
      <c r="D3044" s="5">
        <v>53262.345800000003</v>
      </c>
      <c r="E3044" s="5">
        <v>48230.0095</v>
      </c>
      <c r="G3044" s="5" t="str">
        <f t="shared" si="95"/>
        <v>САДОВЫЙ</v>
      </c>
      <c r="J3044" s="5"/>
      <c r="AL3044" s="5">
        <f t="shared" si="96"/>
        <v>0</v>
      </c>
    </row>
    <row r="3045" spans="1:38" ht="25.5" customHeight="1" x14ac:dyDescent="0.25">
      <c r="A3045" s="10" t="s">
        <v>2778</v>
      </c>
      <c r="B3045" s="11" t="s">
        <v>1647</v>
      </c>
      <c r="C3045" s="5">
        <v>63178.133800000003</v>
      </c>
      <c r="D3045" s="5">
        <v>63178.133800000003</v>
      </c>
      <c r="E3045" s="5">
        <v>57208.931499999999</v>
      </c>
      <c r="G3045" s="5" t="str">
        <f t="shared" si="95"/>
        <v>ШИРОКАЯ РЕЧКА</v>
      </c>
      <c r="J3045" s="5"/>
      <c r="AL3045" s="5">
        <f t="shared" si="96"/>
        <v>0</v>
      </c>
    </row>
    <row r="3046" spans="1:38" ht="25.5" customHeight="1" x14ac:dyDescent="0.25">
      <c r="A3046" s="10" t="s">
        <v>2779</v>
      </c>
      <c r="B3046" s="11" t="s">
        <v>1674</v>
      </c>
      <c r="C3046" s="5">
        <v>29199.565200000001</v>
      </c>
      <c r="D3046" s="5">
        <v>29199.565200000001</v>
      </c>
      <c r="E3046" s="5">
        <v>26261.5317</v>
      </c>
      <c r="G3046" s="5" t="str">
        <f t="shared" si="95"/>
        <v>УАЗ</v>
      </c>
      <c r="J3046" s="5"/>
      <c r="AL3046" s="5">
        <f t="shared" si="96"/>
        <v>0</v>
      </c>
    </row>
    <row r="3047" spans="1:38" ht="25.5" customHeight="1" x14ac:dyDescent="0.25">
      <c r="A3047" s="10" t="s">
        <v>2780</v>
      </c>
      <c r="B3047" s="11" t="s">
        <v>1676</v>
      </c>
      <c r="C3047" s="5">
        <v>28848.8855</v>
      </c>
      <c r="D3047" s="5">
        <v>28848.8855</v>
      </c>
      <c r="E3047" s="5">
        <v>25946.143</v>
      </c>
      <c r="G3047" s="5" t="str">
        <f t="shared" si="95"/>
        <v>Чкаловский</v>
      </c>
      <c r="J3047" s="5"/>
      <c r="AL3047" s="5">
        <f t="shared" si="96"/>
        <v>0</v>
      </c>
    </row>
    <row r="3048" spans="1:38" ht="25.5" customHeight="1" x14ac:dyDescent="0.25">
      <c r="A3048" s="10" t="s">
        <v>2781</v>
      </c>
      <c r="B3048" s="11" t="s">
        <v>1638</v>
      </c>
      <c r="C3048" s="5">
        <v>63640.311600000001</v>
      </c>
      <c r="D3048" s="5">
        <v>63640.311600000001</v>
      </c>
      <c r="E3048" s="5">
        <v>57627.4473</v>
      </c>
      <c r="G3048" s="5" t="str">
        <f t="shared" si="95"/>
        <v>УКТУС</v>
      </c>
      <c r="J3048" s="5"/>
      <c r="AL3048" s="5">
        <f t="shared" si="96"/>
        <v>0</v>
      </c>
    </row>
    <row r="3049" spans="1:38" ht="25.5" customHeight="1" x14ac:dyDescent="0.25">
      <c r="A3049" s="10" t="s">
        <v>2782</v>
      </c>
      <c r="B3049" s="11" t="s">
        <v>1676</v>
      </c>
      <c r="C3049" s="5">
        <v>28848.8855</v>
      </c>
      <c r="D3049" s="5">
        <v>28848.8855</v>
      </c>
      <c r="E3049" s="5">
        <v>25946.143</v>
      </c>
      <c r="G3049" s="5" t="str">
        <f t="shared" si="95"/>
        <v>Чкаловский</v>
      </c>
      <c r="J3049" s="5"/>
      <c r="AL3049" s="5">
        <f t="shared" si="96"/>
        <v>0</v>
      </c>
    </row>
    <row r="3050" spans="1:38" ht="25.5" customHeight="1" x14ac:dyDescent="0.25">
      <c r="A3050" s="10" t="s">
        <v>1227</v>
      </c>
      <c r="B3050" s="11" t="s">
        <v>1681</v>
      </c>
      <c r="C3050" s="5">
        <v>32172.2909</v>
      </c>
      <c r="D3050" s="5">
        <v>32172.2909</v>
      </c>
      <c r="E3050" s="5">
        <v>28935.146499999999</v>
      </c>
      <c r="G3050" s="5" t="str">
        <f t="shared" si="95"/>
        <v>Ленин-Олимп</v>
      </c>
      <c r="J3050" s="5"/>
      <c r="AL3050" s="5">
        <f t="shared" si="96"/>
        <v>0</v>
      </c>
    </row>
    <row r="3051" spans="1:38" ht="25.5" customHeight="1" x14ac:dyDescent="0.25">
      <c r="A3051" s="10" t="s">
        <v>2783</v>
      </c>
      <c r="B3051" s="11" t="s">
        <v>1631</v>
      </c>
      <c r="C3051" s="5">
        <v>70026.7601</v>
      </c>
      <c r="D3051" s="5">
        <v>70026.7601</v>
      </c>
      <c r="E3051" s="5">
        <v>63410.482000000004</v>
      </c>
      <c r="G3051" s="5" t="str">
        <f t="shared" si="95"/>
        <v>УРАЛМАШ</v>
      </c>
      <c r="J3051" s="5"/>
      <c r="AL3051" s="5">
        <f t="shared" si="96"/>
        <v>0</v>
      </c>
    </row>
    <row r="3052" spans="1:38" ht="25.5" customHeight="1" x14ac:dyDescent="0.25">
      <c r="A3052" s="10" t="s">
        <v>677</v>
      </c>
      <c r="B3052" s="11" t="s">
        <v>1681</v>
      </c>
      <c r="C3052" s="5">
        <v>32172.2909</v>
      </c>
      <c r="D3052" s="5">
        <v>32172.2909</v>
      </c>
      <c r="E3052" s="5">
        <v>28935.146499999999</v>
      </c>
      <c r="G3052" s="5" t="str">
        <f t="shared" si="95"/>
        <v>Ленин-Олимп</v>
      </c>
      <c r="J3052" s="5"/>
      <c r="AL3052" s="5">
        <f t="shared" si="96"/>
        <v>0</v>
      </c>
    </row>
    <row r="3053" spans="1:38" ht="25.5" customHeight="1" x14ac:dyDescent="0.25">
      <c r="A3053" s="10" t="s">
        <v>2784</v>
      </c>
      <c r="B3053" s="11" t="s">
        <v>1681</v>
      </c>
      <c r="C3053" s="5">
        <v>32172.2909</v>
      </c>
      <c r="D3053" s="5">
        <v>32172.2909</v>
      </c>
      <c r="E3053" s="5">
        <v>28935.146499999999</v>
      </c>
      <c r="G3053" s="5" t="str">
        <f t="shared" si="95"/>
        <v>Ленин-Олимп</v>
      </c>
      <c r="J3053" s="5"/>
      <c r="AL3053" s="5">
        <f t="shared" si="96"/>
        <v>0</v>
      </c>
    </row>
    <row r="3054" spans="1:38" ht="25.5" customHeight="1" x14ac:dyDescent="0.25">
      <c r="A3054" s="10" t="s">
        <v>2785</v>
      </c>
      <c r="B3054" s="11" t="s">
        <v>1676</v>
      </c>
      <c r="C3054" s="5">
        <v>28848.8855</v>
      </c>
      <c r="D3054" s="5">
        <v>28848.8855</v>
      </c>
      <c r="E3054" s="5">
        <v>25946.143</v>
      </c>
      <c r="G3054" s="5" t="str">
        <f t="shared" si="95"/>
        <v>Чкаловский</v>
      </c>
      <c r="J3054" s="5"/>
      <c r="AL3054" s="5">
        <f t="shared" si="96"/>
        <v>0</v>
      </c>
    </row>
    <row r="3055" spans="1:38" ht="25.5" customHeight="1" x14ac:dyDescent="0.25">
      <c r="A3055" s="10" t="s">
        <v>2786</v>
      </c>
      <c r="B3055" s="11" t="s">
        <v>1644</v>
      </c>
      <c r="C3055" s="5">
        <v>61980.678599999999</v>
      </c>
      <c r="D3055" s="5">
        <v>61980.678599999999</v>
      </c>
      <c r="E3055" s="5">
        <v>56124.615700000002</v>
      </c>
      <c r="G3055" s="5" t="str">
        <f t="shared" si="95"/>
        <v>ХИММАШ</v>
      </c>
      <c r="J3055" s="5"/>
      <c r="AL3055" s="5">
        <f t="shared" si="96"/>
        <v>0</v>
      </c>
    </row>
    <row r="3056" spans="1:38" ht="25.5" customHeight="1" x14ac:dyDescent="0.25">
      <c r="A3056" s="10" t="s">
        <v>2787</v>
      </c>
      <c r="B3056" s="11" t="s">
        <v>1666</v>
      </c>
      <c r="C3056" s="5">
        <v>46784.877899999999</v>
      </c>
      <c r="D3056" s="5">
        <v>46784.877899999999</v>
      </c>
      <c r="E3056" s="5">
        <v>42364.543299999998</v>
      </c>
      <c r="G3056" s="5" t="str">
        <f t="shared" si="95"/>
        <v>Сулим.Торфянник</v>
      </c>
      <c r="J3056" s="5"/>
      <c r="AL3056" s="5">
        <f t="shared" si="96"/>
        <v>0</v>
      </c>
    </row>
    <row r="3057" spans="1:38" ht="25.5" customHeight="1" x14ac:dyDescent="0.25">
      <c r="A3057" s="10" t="s">
        <v>2788</v>
      </c>
      <c r="B3057" s="11" t="s">
        <v>1644</v>
      </c>
      <c r="C3057" s="5">
        <v>61980.678599999999</v>
      </c>
      <c r="D3057" s="5">
        <v>61980.678599999999</v>
      </c>
      <c r="E3057" s="5">
        <v>56124.615700000002</v>
      </c>
      <c r="G3057" s="5" t="str">
        <f t="shared" si="95"/>
        <v>ХИММАШ</v>
      </c>
      <c r="J3057" s="5"/>
      <c r="AL3057" s="5">
        <f t="shared" si="96"/>
        <v>0</v>
      </c>
    </row>
    <row r="3058" spans="1:38" ht="25.5" customHeight="1" x14ac:dyDescent="0.25">
      <c r="A3058" s="10" t="s">
        <v>1269</v>
      </c>
      <c r="B3058" s="11" t="s">
        <v>1651</v>
      </c>
      <c r="C3058" s="5">
        <v>68129.029500000004</v>
      </c>
      <c r="D3058" s="5">
        <v>68129.029500000004</v>
      </c>
      <c r="E3058" s="5">
        <v>61692.054799999998</v>
      </c>
      <c r="G3058" s="5" t="str">
        <f t="shared" si="95"/>
        <v>ШАРТАШ</v>
      </c>
      <c r="J3058" s="5"/>
      <c r="AL3058" s="5">
        <f t="shared" si="96"/>
        <v>0</v>
      </c>
    </row>
    <row r="3059" spans="1:38" ht="25.5" customHeight="1" x14ac:dyDescent="0.25">
      <c r="A3059" s="10" t="s">
        <v>2789</v>
      </c>
      <c r="B3059" s="11" t="s">
        <v>1637</v>
      </c>
      <c r="C3059" s="5">
        <v>59368.686099999999</v>
      </c>
      <c r="D3059" s="5">
        <v>59368.686099999999</v>
      </c>
      <c r="E3059" s="5">
        <v>53759.401700000002</v>
      </c>
      <c r="G3059" s="5" t="str">
        <f t="shared" si="95"/>
        <v>Старая сортировка</v>
      </c>
      <c r="J3059" s="5"/>
      <c r="AL3059" s="5">
        <f t="shared" si="96"/>
        <v>0</v>
      </c>
    </row>
    <row r="3060" spans="1:38" ht="25.5" customHeight="1" x14ac:dyDescent="0.25">
      <c r="A3060" s="10" t="s">
        <v>568</v>
      </c>
      <c r="B3060" s="11" t="s">
        <v>1651</v>
      </c>
      <c r="C3060" s="5">
        <v>68129.029500000004</v>
      </c>
      <c r="D3060" s="5">
        <v>68129.029500000004</v>
      </c>
      <c r="E3060" s="5">
        <v>61692.054799999998</v>
      </c>
      <c r="G3060" s="5" t="str">
        <f t="shared" si="95"/>
        <v>ШАРТАШ</v>
      </c>
      <c r="J3060" s="5"/>
      <c r="AL3060" s="5">
        <f t="shared" si="96"/>
        <v>0</v>
      </c>
    </row>
    <row r="3061" spans="1:38" ht="25.5" customHeight="1" x14ac:dyDescent="0.25">
      <c r="A3061" s="10" t="s">
        <v>2790</v>
      </c>
      <c r="B3061" s="11" t="s">
        <v>1681</v>
      </c>
      <c r="C3061" s="5">
        <v>32172.2909</v>
      </c>
      <c r="D3061" s="5">
        <v>32172.2909</v>
      </c>
      <c r="E3061" s="5">
        <v>28935.146499999999</v>
      </c>
      <c r="G3061" s="5" t="str">
        <f t="shared" si="95"/>
        <v>Ленин-Олимп</v>
      </c>
      <c r="J3061" s="5"/>
      <c r="AL3061" s="5">
        <f t="shared" si="96"/>
        <v>0</v>
      </c>
    </row>
    <row r="3062" spans="1:38" ht="25.5" customHeight="1" x14ac:dyDescent="0.25">
      <c r="A3062" s="10" t="s">
        <v>2791</v>
      </c>
      <c r="B3062" s="11" t="s">
        <v>1631</v>
      </c>
      <c r="C3062" s="5">
        <v>70026.7601</v>
      </c>
      <c r="D3062" s="5">
        <v>70026.7601</v>
      </c>
      <c r="E3062" s="5">
        <v>63410.482000000004</v>
      </c>
      <c r="G3062" s="5" t="str">
        <f t="shared" si="95"/>
        <v>УРАЛМАШ</v>
      </c>
      <c r="J3062" s="5"/>
      <c r="AL3062" s="5">
        <f t="shared" si="96"/>
        <v>0</v>
      </c>
    </row>
    <row r="3063" spans="1:38" ht="25.5" customHeight="1" x14ac:dyDescent="0.25">
      <c r="A3063" s="10" t="s">
        <v>2792</v>
      </c>
      <c r="B3063" s="11" t="s">
        <v>1675</v>
      </c>
      <c r="C3063" s="5">
        <v>35756.285400000001</v>
      </c>
      <c r="D3063" s="5">
        <v>35756.285400000001</v>
      </c>
      <c r="E3063" s="5">
        <v>32158.5213</v>
      </c>
      <c r="G3063" s="5" t="str">
        <f t="shared" si="95"/>
        <v>УАЗ-II</v>
      </c>
      <c r="J3063" s="5"/>
      <c r="AL3063" s="5">
        <f t="shared" si="96"/>
        <v>0</v>
      </c>
    </row>
    <row r="3064" spans="1:38" ht="25.5" customHeight="1" x14ac:dyDescent="0.25">
      <c r="A3064" s="10" t="s">
        <v>2793</v>
      </c>
      <c r="B3064" s="11" t="s">
        <v>1676</v>
      </c>
      <c r="C3064" s="5">
        <v>28848.8855</v>
      </c>
      <c r="D3064" s="5">
        <v>28848.8855</v>
      </c>
      <c r="E3064" s="5">
        <v>25946.143</v>
      </c>
      <c r="G3064" s="5" t="str">
        <f t="shared" si="95"/>
        <v>Чкаловский</v>
      </c>
      <c r="J3064" s="5"/>
      <c r="AL3064" s="5">
        <f t="shared" si="96"/>
        <v>0</v>
      </c>
    </row>
    <row r="3065" spans="1:38" ht="25.5" customHeight="1" x14ac:dyDescent="0.25">
      <c r="A3065" s="10" t="s">
        <v>333</v>
      </c>
      <c r="B3065" s="11" t="s">
        <v>1674</v>
      </c>
      <c r="C3065" s="5">
        <v>29199.565200000001</v>
      </c>
      <c r="D3065" s="5">
        <v>29199.565200000001</v>
      </c>
      <c r="E3065" s="5">
        <v>26261.5317</v>
      </c>
      <c r="G3065" s="5" t="str">
        <f t="shared" si="95"/>
        <v>УАЗ</v>
      </c>
      <c r="J3065" s="5"/>
      <c r="AL3065" s="5">
        <f t="shared" si="96"/>
        <v>0</v>
      </c>
    </row>
    <row r="3066" spans="1:38" ht="25.5" customHeight="1" x14ac:dyDescent="0.25">
      <c r="A3066" s="10" t="s">
        <v>2794</v>
      </c>
      <c r="B3066" s="11" t="s">
        <v>1633</v>
      </c>
      <c r="C3066" s="5">
        <v>77071.442599999995</v>
      </c>
      <c r="D3066" s="5">
        <v>77071.442599999995</v>
      </c>
      <c r="E3066" s="5">
        <v>69789.570900000006</v>
      </c>
      <c r="G3066" s="5" t="str">
        <f t="shared" si="95"/>
        <v>ВТУЗГОРОДОК</v>
      </c>
      <c r="J3066" s="5"/>
      <c r="AL3066" s="5">
        <f t="shared" si="96"/>
        <v>0</v>
      </c>
    </row>
    <row r="3067" spans="1:38" x14ac:dyDescent="0.25">
      <c r="A3067" s="10" t="s">
        <v>2795</v>
      </c>
      <c r="B3067" s="11" t="s">
        <v>1674</v>
      </c>
      <c r="C3067" s="5">
        <v>29199.565200000001</v>
      </c>
      <c r="D3067" s="5">
        <v>29199.565200000001</v>
      </c>
      <c r="E3067" s="5">
        <v>26261.5317</v>
      </c>
      <c r="G3067" s="5" t="str">
        <f t="shared" si="95"/>
        <v>УАЗ</v>
      </c>
      <c r="J3067" s="5"/>
      <c r="AL3067" s="5">
        <f t="shared" si="96"/>
        <v>0</v>
      </c>
    </row>
    <row r="3068" spans="1:38" ht="25.5" customHeight="1" x14ac:dyDescent="0.25">
      <c r="A3068" s="10" t="s">
        <v>2796</v>
      </c>
      <c r="B3068" s="11" t="s">
        <v>1668</v>
      </c>
      <c r="C3068" s="5">
        <v>51343.6201</v>
      </c>
      <c r="D3068" s="5">
        <v>51343.6201</v>
      </c>
      <c r="E3068" s="5">
        <v>46492.558799999999</v>
      </c>
      <c r="G3068" s="5" t="str">
        <f t="shared" si="95"/>
        <v>МЕДНЫЙ</v>
      </c>
      <c r="J3068" s="5"/>
      <c r="AL3068" s="5">
        <f t="shared" si="96"/>
        <v>0</v>
      </c>
    </row>
    <row r="3069" spans="1:38" ht="25.5" customHeight="1" x14ac:dyDescent="0.25">
      <c r="A3069" s="10" t="s">
        <v>2797</v>
      </c>
      <c r="B3069" s="11" t="s">
        <v>1668</v>
      </c>
      <c r="C3069" s="5">
        <v>51343.6201</v>
      </c>
      <c r="D3069" s="5">
        <v>51343.6201</v>
      </c>
      <c r="E3069" s="5">
        <v>46492.558799999999</v>
      </c>
      <c r="G3069" s="5" t="str">
        <f t="shared" si="95"/>
        <v>МЕДНЫЙ</v>
      </c>
      <c r="J3069" s="5"/>
      <c r="AL3069" s="5">
        <f t="shared" si="96"/>
        <v>0</v>
      </c>
    </row>
    <row r="3070" spans="1:38" ht="25.5" customHeight="1" x14ac:dyDescent="0.25">
      <c r="A3070" s="10" t="s">
        <v>2798</v>
      </c>
      <c r="B3070" s="11" t="s">
        <v>1661</v>
      </c>
      <c r="C3070" s="5">
        <v>51175.5573</v>
      </c>
      <c r="D3070" s="5">
        <v>51175.5573</v>
      </c>
      <c r="E3070" s="5">
        <v>46340.381600000001</v>
      </c>
      <c r="G3070" s="5" t="str">
        <f t="shared" si="95"/>
        <v>СЕВЕРКА</v>
      </c>
      <c r="J3070" s="5"/>
      <c r="AL3070" s="5">
        <f t="shared" si="96"/>
        <v>0</v>
      </c>
    </row>
    <row r="3071" spans="1:38" ht="25.5" customHeight="1" x14ac:dyDescent="0.25">
      <c r="A3071" s="10" t="s">
        <v>613</v>
      </c>
      <c r="B3071" s="11" t="s">
        <v>1679</v>
      </c>
      <c r="C3071" s="5">
        <v>28855.326499999999</v>
      </c>
      <c r="D3071" s="5">
        <v>28855.326499999999</v>
      </c>
      <c r="E3071" s="5">
        <v>25951.933700000001</v>
      </c>
      <c r="G3071" s="5" t="str">
        <f t="shared" si="95"/>
        <v>Ст.Каменск-Хозспособ</v>
      </c>
      <c r="J3071" s="5"/>
      <c r="AL3071" s="5">
        <f t="shared" si="96"/>
        <v>0</v>
      </c>
    </row>
    <row r="3072" spans="1:38" ht="25.5" customHeight="1" x14ac:dyDescent="0.25">
      <c r="A3072" s="10" t="s">
        <v>757</v>
      </c>
      <c r="B3072" s="11" t="s">
        <v>1682</v>
      </c>
      <c r="C3072" s="5">
        <v>38278.589899999999</v>
      </c>
      <c r="D3072" s="5">
        <v>38278.589899999999</v>
      </c>
      <c r="E3072" s="5">
        <v>34427.0285</v>
      </c>
      <c r="G3072" s="5" t="str">
        <f t="shared" si="95"/>
        <v>Трубников</v>
      </c>
      <c r="J3072" s="5"/>
      <c r="AL3072" s="5">
        <f t="shared" si="96"/>
        <v>0</v>
      </c>
    </row>
    <row r="3073" spans="1:38" ht="25.5" customHeight="1" x14ac:dyDescent="0.25">
      <c r="A3073" s="10" t="s">
        <v>2799</v>
      </c>
      <c r="B3073" s="11" t="s">
        <v>1661</v>
      </c>
      <c r="C3073" s="5">
        <v>51175.5573</v>
      </c>
      <c r="D3073" s="5">
        <v>51175.5573</v>
      </c>
      <c r="E3073" s="5">
        <v>46340.381600000001</v>
      </c>
      <c r="G3073" s="5" t="str">
        <f t="shared" si="95"/>
        <v>СЕВЕРКА</v>
      </c>
      <c r="J3073" s="5"/>
      <c r="AL3073" s="5">
        <f t="shared" si="96"/>
        <v>0</v>
      </c>
    </row>
    <row r="3074" spans="1:38" ht="25.5" customHeight="1" x14ac:dyDescent="0.25">
      <c r="A3074" s="10" t="s">
        <v>2800</v>
      </c>
      <c r="B3074" s="11" t="s">
        <v>1657</v>
      </c>
      <c r="C3074" s="5">
        <v>54886.9666</v>
      </c>
      <c r="D3074" s="5">
        <v>54886.9666</v>
      </c>
      <c r="E3074" s="5">
        <v>49701.1319</v>
      </c>
      <c r="G3074" s="5" t="str">
        <f t="shared" si="95"/>
        <v>КОЛЬЦОВО</v>
      </c>
      <c r="J3074" s="5"/>
      <c r="AL3074" s="5">
        <f t="shared" si="96"/>
        <v>0</v>
      </c>
    </row>
    <row r="3075" spans="1:38" x14ac:dyDescent="0.25">
      <c r="A3075" s="10" t="s">
        <v>2801</v>
      </c>
      <c r="B3075" s="11" t="s">
        <v>1674</v>
      </c>
      <c r="C3075" s="5">
        <v>29199.565200000001</v>
      </c>
      <c r="D3075" s="5">
        <v>29199.565200000001</v>
      </c>
      <c r="E3075" s="5">
        <v>26261.5317</v>
      </c>
      <c r="G3075" s="5" t="str">
        <f t="shared" ref="G3075:G3137" si="97">B3075</f>
        <v>УАЗ</v>
      </c>
      <c r="J3075" s="5"/>
      <c r="AL3075" s="5">
        <f t="shared" ref="AL3075:AL3137" si="98">AF3075</f>
        <v>0</v>
      </c>
    </row>
    <row r="3076" spans="1:38" ht="25.5" customHeight="1" x14ac:dyDescent="0.25">
      <c r="A3076" s="10" t="s">
        <v>2802</v>
      </c>
      <c r="B3076" s="11" t="s">
        <v>1668</v>
      </c>
      <c r="C3076" s="5">
        <v>51343.6201</v>
      </c>
      <c r="D3076" s="5">
        <v>51343.6201</v>
      </c>
      <c r="E3076" s="5">
        <v>46492.558799999999</v>
      </c>
      <c r="G3076" s="5" t="str">
        <f t="shared" si="97"/>
        <v>МЕДНЫЙ</v>
      </c>
      <c r="J3076" s="5"/>
      <c r="AL3076" s="5">
        <f t="shared" si="98"/>
        <v>0</v>
      </c>
    </row>
    <row r="3077" spans="1:38" ht="25.5" customHeight="1" x14ac:dyDescent="0.25">
      <c r="A3077" s="10" t="s">
        <v>2803</v>
      </c>
      <c r="B3077" s="11" t="s">
        <v>1675</v>
      </c>
      <c r="C3077" s="5">
        <v>35756.285400000001</v>
      </c>
      <c r="D3077" s="5">
        <v>35756.285400000001</v>
      </c>
      <c r="E3077" s="5">
        <v>32158.5213</v>
      </c>
      <c r="G3077" s="5" t="str">
        <f t="shared" si="97"/>
        <v>УАЗ-II</v>
      </c>
      <c r="J3077" s="5"/>
      <c r="AL3077" s="5">
        <f t="shared" si="98"/>
        <v>0</v>
      </c>
    </row>
    <row r="3078" spans="1:38" ht="25.5" customHeight="1" x14ac:dyDescent="0.25">
      <c r="A3078" s="10" t="s">
        <v>2804</v>
      </c>
      <c r="B3078" s="11" t="s">
        <v>1645</v>
      </c>
      <c r="C3078" s="5">
        <v>60958.294800000003</v>
      </c>
      <c r="D3078" s="5">
        <v>60958.294800000003</v>
      </c>
      <c r="E3078" s="5">
        <v>55198.825199999999</v>
      </c>
      <c r="G3078" s="5" t="str">
        <f t="shared" si="97"/>
        <v>ЕЛИЗАВЕТ</v>
      </c>
      <c r="J3078" s="5"/>
      <c r="AL3078" s="5">
        <f t="shared" si="98"/>
        <v>0</v>
      </c>
    </row>
    <row r="3079" spans="1:38" ht="25.5" customHeight="1" x14ac:dyDescent="0.25">
      <c r="A3079" s="10" t="s">
        <v>120</v>
      </c>
      <c r="B3079" s="11" t="s">
        <v>1640</v>
      </c>
      <c r="C3079" s="5">
        <v>64914.8</v>
      </c>
      <c r="D3079" s="5">
        <v>64914.8</v>
      </c>
      <c r="E3079" s="5">
        <v>58781.519200000002</v>
      </c>
      <c r="G3079" s="5" t="str">
        <f t="shared" si="97"/>
        <v>Новая сортировка</v>
      </c>
      <c r="J3079" s="5"/>
      <c r="AL3079" s="5">
        <f t="shared" si="98"/>
        <v>0</v>
      </c>
    </row>
    <row r="3080" spans="1:38" ht="25.5" customHeight="1" x14ac:dyDescent="0.25">
      <c r="A3080" s="10" t="s">
        <v>2805</v>
      </c>
      <c r="B3080" s="11" t="s">
        <v>1677</v>
      </c>
      <c r="C3080" s="5">
        <v>39105.413099999998</v>
      </c>
      <c r="D3080" s="5">
        <v>39105.413099999998</v>
      </c>
      <c r="E3080" s="5">
        <v>35170.666700000002</v>
      </c>
      <c r="G3080" s="5" t="str">
        <f t="shared" si="97"/>
        <v>Октябрьский</v>
      </c>
      <c r="J3080" s="5"/>
      <c r="AL3080" s="5">
        <f t="shared" si="98"/>
        <v>0</v>
      </c>
    </row>
    <row r="3081" spans="1:38" ht="25.5" customHeight="1" x14ac:dyDescent="0.25">
      <c r="A3081" s="10" t="s">
        <v>2806</v>
      </c>
      <c r="B3081" s="11" t="s">
        <v>1650</v>
      </c>
      <c r="C3081" s="5">
        <v>37590.3603</v>
      </c>
      <c r="D3081" s="5">
        <v>37590.3603</v>
      </c>
      <c r="E3081" s="5">
        <v>34038.745900000002</v>
      </c>
      <c r="G3081" s="5" t="str">
        <f t="shared" si="97"/>
        <v>ШАБРОВСКИЙ</v>
      </c>
      <c r="J3081" s="5"/>
      <c r="AL3081" s="5">
        <f t="shared" si="98"/>
        <v>0</v>
      </c>
    </row>
    <row r="3082" spans="1:38" ht="25.5" customHeight="1" x14ac:dyDescent="0.25">
      <c r="A3082" s="10" t="s">
        <v>2807</v>
      </c>
      <c r="B3082" s="11" t="s">
        <v>1676</v>
      </c>
      <c r="C3082" s="5">
        <v>28848.8855</v>
      </c>
      <c r="D3082" s="5">
        <v>28848.8855</v>
      </c>
      <c r="E3082" s="5">
        <v>25946.143</v>
      </c>
      <c r="G3082" s="5" t="str">
        <f t="shared" si="97"/>
        <v>Чкаловский</v>
      </c>
      <c r="J3082" s="5"/>
      <c r="AL3082" s="5">
        <f t="shared" si="98"/>
        <v>0</v>
      </c>
    </row>
    <row r="3083" spans="1:38" ht="25.5" customHeight="1" x14ac:dyDescent="0.25">
      <c r="A3083" s="10" t="s">
        <v>481</v>
      </c>
      <c r="B3083" s="11" t="s">
        <v>1632</v>
      </c>
      <c r="C3083" s="5">
        <v>83744.997499999998</v>
      </c>
      <c r="D3083" s="5">
        <v>83744.997499999998</v>
      </c>
      <c r="E3083" s="5">
        <v>75832.596099999995</v>
      </c>
      <c r="G3083" s="5" t="str">
        <f t="shared" si="97"/>
        <v>АВТОВОКЗАЛ</v>
      </c>
      <c r="J3083" s="5"/>
      <c r="AL3083" s="5">
        <f t="shared" si="98"/>
        <v>0</v>
      </c>
    </row>
    <row r="3084" spans="1:38" ht="25.5" customHeight="1" x14ac:dyDescent="0.25">
      <c r="A3084" s="10" t="s">
        <v>2808</v>
      </c>
      <c r="B3084" s="11" t="s">
        <v>1681</v>
      </c>
      <c r="C3084" s="5">
        <v>32172.2909</v>
      </c>
      <c r="D3084" s="5">
        <v>32172.2909</v>
      </c>
      <c r="E3084" s="5">
        <v>28935.146499999999</v>
      </c>
      <c r="G3084" s="5" t="str">
        <f t="shared" si="97"/>
        <v>Ленин-Олимп</v>
      </c>
      <c r="J3084" s="5"/>
      <c r="AL3084" s="5">
        <f t="shared" si="98"/>
        <v>0</v>
      </c>
    </row>
    <row r="3085" spans="1:38" ht="25.5" customHeight="1" x14ac:dyDescent="0.25">
      <c r="A3085" s="10" t="s">
        <v>2809</v>
      </c>
      <c r="B3085" s="11" t="s">
        <v>1630</v>
      </c>
      <c r="C3085" s="5">
        <v>62652.9401</v>
      </c>
      <c r="D3085" s="5">
        <v>62652.9401</v>
      </c>
      <c r="E3085" s="5">
        <v>56733.3557</v>
      </c>
      <c r="G3085" s="5" t="str">
        <f t="shared" si="97"/>
        <v>ЧЕРМЕТ</v>
      </c>
      <c r="J3085" s="5"/>
      <c r="AL3085" s="5">
        <f t="shared" si="98"/>
        <v>0</v>
      </c>
    </row>
    <row r="3086" spans="1:38" ht="25.5" customHeight="1" x14ac:dyDescent="0.25">
      <c r="A3086" s="10" t="s">
        <v>2810</v>
      </c>
      <c r="B3086" s="11" t="s">
        <v>1681</v>
      </c>
      <c r="C3086" s="5">
        <v>32172.2909</v>
      </c>
      <c r="D3086" s="5">
        <v>32172.2909</v>
      </c>
      <c r="E3086" s="5">
        <v>28935.146499999999</v>
      </c>
      <c r="G3086" s="5" t="str">
        <f t="shared" si="97"/>
        <v>Ленин-Олимп</v>
      </c>
      <c r="J3086" s="5"/>
      <c r="AL3086" s="5">
        <f t="shared" si="98"/>
        <v>0</v>
      </c>
    </row>
    <row r="3087" spans="1:38" ht="25.5" customHeight="1" x14ac:dyDescent="0.25">
      <c r="A3087" s="10" t="s">
        <v>2811</v>
      </c>
      <c r="B3087" s="11" t="s">
        <v>33</v>
      </c>
      <c r="C3087" s="5">
        <v>84298.205100000006</v>
      </c>
      <c r="D3087" s="5">
        <v>84298.205100000006</v>
      </c>
      <c r="E3087" s="5">
        <v>76333.533100000001</v>
      </c>
      <c r="G3087" s="5" t="str">
        <f t="shared" si="97"/>
        <v>ВИЗ</v>
      </c>
      <c r="J3087" s="5"/>
      <c r="AL3087" s="5">
        <f t="shared" si="98"/>
        <v>0</v>
      </c>
    </row>
    <row r="3088" spans="1:38" ht="25.5" customHeight="1" x14ac:dyDescent="0.25">
      <c r="A3088" s="10" t="s">
        <v>2812</v>
      </c>
      <c r="B3088" s="11" t="s">
        <v>1675</v>
      </c>
      <c r="C3088" s="5">
        <v>35756.285400000001</v>
      </c>
      <c r="D3088" s="5">
        <v>35756.285400000001</v>
      </c>
      <c r="E3088" s="5">
        <v>32158.5213</v>
      </c>
      <c r="G3088" s="5" t="str">
        <f t="shared" si="97"/>
        <v>УАЗ-II</v>
      </c>
      <c r="J3088" s="5"/>
      <c r="AL3088" s="5">
        <f t="shared" si="98"/>
        <v>0</v>
      </c>
    </row>
    <row r="3089" spans="1:38" ht="25.5" customHeight="1" x14ac:dyDescent="0.25">
      <c r="A3089" s="10" t="s">
        <v>2813</v>
      </c>
      <c r="B3089" s="11" t="s">
        <v>33</v>
      </c>
      <c r="C3089" s="5">
        <v>84298.205100000006</v>
      </c>
      <c r="D3089" s="5">
        <v>84298.205100000006</v>
      </c>
      <c r="E3089" s="5">
        <v>76333.533100000001</v>
      </c>
      <c r="G3089" s="5" t="str">
        <f t="shared" si="97"/>
        <v>ВИЗ</v>
      </c>
      <c r="J3089" s="5"/>
      <c r="AL3089" s="5">
        <f t="shared" si="98"/>
        <v>0</v>
      </c>
    </row>
    <row r="3090" spans="1:38" ht="25.5" customHeight="1" x14ac:dyDescent="0.25">
      <c r="A3090" s="10" t="s">
        <v>2814</v>
      </c>
      <c r="B3090" s="11" t="s">
        <v>1679</v>
      </c>
      <c r="C3090" s="5">
        <v>28855.326499999999</v>
      </c>
      <c r="D3090" s="5">
        <v>28855.326499999999</v>
      </c>
      <c r="E3090" s="5">
        <v>25951.933700000001</v>
      </c>
      <c r="G3090" s="5" t="str">
        <f t="shared" si="97"/>
        <v>Ст.Каменск-Хозспособ</v>
      </c>
      <c r="J3090" s="5"/>
      <c r="AL3090" s="5">
        <f t="shared" si="98"/>
        <v>0</v>
      </c>
    </row>
    <row r="3091" spans="1:38" ht="25.5" customHeight="1" x14ac:dyDescent="0.25">
      <c r="A3091" s="10" t="s">
        <v>2815</v>
      </c>
      <c r="B3091" s="11" t="s">
        <v>33</v>
      </c>
      <c r="C3091" s="5">
        <v>84298.205100000006</v>
      </c>
      <c r="D3091" s="5">
        <v>84298.205100000006</v>
      </c>
      <c r="E3091" s="5">
        <v>76333.533100000001</v>
      </c>
      <c r="G3091" s="5" t="str">
        <f t="shared" si="97"/>
        <v>ВИЗ</v>
      </c>
      <c r="J3091" s="5"/>
      <c r="AL3091" s="5">
        <f t="shared" si="98"/>
        <v>0</v>
      </c>
    </row>
    <row r="3092" spans="1:38" ht="25.5" customHeight="1" x14ac:dyDescent="0.25">
      <c r="A3092" s="10" t="s">
        <v>2816</v>
      </c>
      <c r="B3092" s="11" t="s">
        <v>1647</v>
      </c>
      <c r="C3092" s="5">
        <v>63178.133800000003</v>
      </c>
      <c r="D3092" s="5">
        <v>63178.133800000003</v>
      </c>
      <c r="E3092" s="5">
        <v>57208.931499999999</v>
      </c>
      <c r="G3092" s="5" t="str">
        <f t="shared" si="97"/>
        <v>ШИРОКАЯ РЕЧКА</v>
      </c>
      <c r="J3092" s="5"/>
      <c r="AL3092" s="5">
        <f t="shared" si="98"/>
        <v>0</v>
      </c>
    </row>
    <row r="3093" spans="1:38" ht="25.5" customHeight="1" x14ac:dyDescent="0.25">
      <c r="A3093" s="10" t="s">
        <v>2817</v>
      </c>
      <c r="B3093" s="11" t="s">
        <v>389</v>
      </c>
      <c r="C3093" s="5">
        <v>51175.5573</v>
      </c>
      <c r="D3093" s="5">
        <v>51175.5573</v>
      </c>
      <c r="E3093" s="5">
        <v>46340.381600000001</v>
      </c>
      <c r="G3093" s="5" t="str">
        <f t="shared" si="97"/>
        <v>Северка</v>
      </c>
      <c r="J3093" s="5"/>
      <c r="AL3093" s="5">
        <f t="shared" si="98"/>
        <v>0</v>
      </c>
    </row>
    <row r="3094" spans="1:38" ht="25.5" customHeight="1" x14ac:dyDescent="0.25">
      <c r="A3094" s="10" t="s">
        <v>1196</v>
      </c>
      <c r="B3094" s="11" t="s">
        <v>1632</v>
      </c>
      <c r="C3094" s="5">
        <v>83744.997499999998</v>
      </c>
      <c r="D3094" s="5">
        <v>83744.997499999998</v>
      </c>
      <c r="E3094" s="5">
        <v>75832.596099999995</v>
      </c>
      <c r="G3094" s="5" t="str">
        <f t="shared" si="97"/>
        <v>АВТОВОКЗАЛ</v>
      </c>
      <c r="J3094" s="5"/>
      <c r="AL3094" s="5">
        <f t="shared" si="98"/>
        <v>0</v>
      </c>
    </row>
    <row r="3095" spans="1:38" ht="25.5" customHeight="1" x14ac:dyDescent="0.25">
      <c r="A3095" s="10" t="s">
        <v>2818</v>
      </c>
      <c r="B3095" s="11" t="s">
        <v>1638</v>
      </c>
      <c r="C3095" s="5">
        <v>63640.311600000001</v>
      </c>
      <c r="D3095" s="5">
        <v>63640.311600000001</v>
      </c>
      <c r="E3095" s="5">
        <v>57627.4473</v>
      </c>
      <c r="G3095" s="5" t="str">
        <f t="shared" si="97"/>
        <v>УКТУС</v>
      </c>
      <c r="J3095" s="5"/>
      <c r="AL3095" s="5">
        <f t="shared" si="98"/>
        <v>0</v>
      </c>
    </row>
    <row r="3096" spans="1:38" ht="25.5" customHeight="1" x14ac:dyDescent="0.25">
      <c r="A3096" s="10" t="s">
        <v>2819</v>
      </c>
      <c r="B3096" s="11" t="s">
        <v>1657</v>
      </c>
      <c r="C3096" s="5">
        <v>54886.9666</v>
      </c>
      <c r="D3096" s="5">
        <v>54886.9666</v>
      </c>
      <c r="E3096" s="5">
        <v>49701.1319</v>
      </c>
      <c r="G3096" s="5" t="str">
        <f t="shared" si="97"/>
        <v>КОЛЬЦОВО</v>
      </c>
      <c r="J3096" s="5"/>
      <c r="AL3096" s="5">
        <f t="shared" si="98"/>
        <v>0</v>
      </c>
    </row>
    <row r="3097" spans="1:38" ht="25.5" customHeight="1" x14ac:dyDescent="0.25">
      <c r="A3097" s="10" t="s">
        <v>18</v>
      </c>
      <c r="B3097" s="11" t="s">
        <v>1676</v>
      </c>
      <c r="C3097" s="5">
        <v>28848.8855</v>
      </c>
      <c r="D3097" s="5">
        <v>28848.8855</v>
      </c>
      <c r="E3097" s="5">
        <v>25946.143</v>
      </c>
      <c r="G3097" s="5" t="str">
        <f t="shared" si="97"/>
        <v>Чкаловский</v>
      </c>
      <c r="J3097" s="5"/>
      <c r="AL3097" s="5">
        <f t="shared" si="98"/>
        <v>0</v>
      </c>
    </row>
    <row r="3098" spans="1:38" ht="25.5" customHeight="1" x14ac:dyDescent="0.25">
      <c r="A3098" s="10" t="s">
        <v>2820</v>
      </c>
      <c r="B3098" s="11" t="s">
        <v>1660</v>
      </c>
      <c r="C3098" s="5">
        <v>53262.345800000003</v>
      </c>
      <c r="D3098" s="5">
        <v>53262.345800000003</v>
      </c>
      <c r="E3098" s="5">
        <v>48230.0095</v>
      </c>
      <c r="G3098" s="5" t="str">
        <f t="shared" si="97"/>
        <v>САДОВЫЙ</v>
      </c>
      <c r="J3098" s="5"/>
      <c r="AL3098" s="5">
        <f t="shared" si="98"/>
        <v>0</v>
      </c>
    </row>
    <row r="3099" spans="1:38" ht="25.5" customHeight="1" x14ac:dyDescent="0.25">
      <c r="A3099" s="10" t="s">
        <v>2821</v>
      </c>
      <c r="B3099" s="11" t="s">
        <v>1668</v>
      </c>
      <c r="C3099" s="5">
        <v>51343.6201</v>
      </c>
      <c r="D3099" s="5">
        <v>51343.6201</v>
      </c>
      <c r="E3099" s="5">
        <v>46492.558799999999</v>
      </c>
      <c r="G3099" s="5" t="str">
        <f t="shared" si="97"/>
        <v>МЕДНЫЙ</v>
      </c>
      <c r="J3099" s="5"/>
      <c r="AL3099" s="5">
        <f t="shared" si="98"/>
        <v>0</v>
      </c>
    </row>
    <row r="3100" spans="1:38" ht="25.5" customHeight="1" x14ac:dyDescent="0.25">
      <c r="A3100" s="10" t="s">
        <v>581</v>
      </c>
      <c r="B3100" s="11" t="s">
        <v>1651</v>
      </c>
      <c r="C3100" s="5">
        <v>68129.029500000004</v>
      </c>
      <c r="D3100" s="5">
        <v>68129.029500000004</v>
      </c>
      <c r="E3100" s="5">
        <v>61692.054799999998</v>
      </c>
      <c r="G3100" s="5" t="str">
        <f t="shared" si="97"/>
        <v>ШАРТАШ</v>
      </c>
      <c r="J3100" s="5"/>
      <c r="AL3100" s="5">
        <f t="shared" si="98"/>
        <v>0</v>
      </c>
    </row>
    <row r="3101" spans="1:38" ht="25.5" customHeight="1" x14ac:dyDescent="0.25">
      <c r="A3101" s="10" t="s">
        <v>2822</v>
      </c>
      <c r="B3101" s="11" t="s">
        <v>1679</v>
      </c>
      <c r="C3101" s="5">
        <v>28855.326499999999</v>
      </c>
      <c r="D3101" s="5">
        <v>28855.326499999999</v>
      </c>
      <c r="E3101" s="5">
        <v>25951.933700000001</v>
      </c>
      <c r="G3101" s="5" t="str">
        <f t="shared" si="97"/>
        <v>Ст.Каменск-Хозспособ</v>
      </c>
      <c r="J3101" s="5"/>
      <c r="AL3101" s="5">
        <f t="shared" si="98"/>
        <v>0</v>
      </c>
    </row>
    <row r="3102" spans="1:38" ht="25.5" customHeight="1" x14ac:dyDescent="0.25">
      <c r="A3102" s="10" t="s">
        <v>1337</v>
      </c>
      <c r="B3102" s="11" t="s">
        <v>1679</v>
      </c>
      <c r="C3102" s="5">
        <v>28855.326499999999</v>
      </c>
      <c r="D3102" s="5">
        <v>28855.326499999999</v>
      </c>
      <c r="E3102" s="5">
        <v>25951.933700000001</v>
      </c>
      <c r="G3102" s="5" t="str">
        <f t="shared" si="97"/>
        <v>Ст.Каменск-Хозспособ</v>
      </c>
      <c r="J3102" s="5"/>
      <c r="AL3102" s="5">
        <f t="shared" si="98"/>
        <v>0</v>
      </c>
    </row>
    <row r="3103" spans="1:38" ht="25.5" customHeight="1" x14ac:dyDescent="0.25">
      <c r="A3103" s="10" t="s">
        <v>2823</v>
      </c>
      <c r="B3103" s="11" t="s">
        <v>1661</v>
      </c>
      <c r="C3103" s="5">
        <v>51175.5573</v>
      </c>
      <c r="D3103" s="5">
        <v>51175.5573</v>
      </c>
      <c r="E3103" s="5">
        <v>46340.381600000001</v>
      </c>
      <c r="G3103" s="5" t="str">
        <f t="shared" si="97"/>
        <v>СЕВЕРКА</v>
      </c>
      <c r="J3103" s="5"/>
      <c r="AL3103" s="5">
        <f t="shared" si="98"/>
        <v>0</v>
      </c>
    </row>
    <row r="3104" spans="1:38" ht="25.5" customHeight="1" x14ac:dyDescent="0.25">
      <c r="A3104" s="10" t="s">
        <v>1204</v>
      </c>
      <c r="B3104" s="11" t="s">
        <v>1643</v>
      </c>
      <c r="C3104" s="5">
        <v>76630.280299999999</v>
      </c>
      <c r="D3104" s="5">
        <v>76630.280299999999</v>
      </c>
      <c r="E3104" s="5">
        <v>69390.088799999998</v>
      </c>
      <c r="G3104" s="5" t="str">
        <f t="shared" si="97"/>
        <v>Ю-З</v>
      </c>
      <c r="J3104" s="5"/>
      <c r="AL3104" s="5">
        <f t="shared" si="98"/>
        <v>0</v>
      </c>
    </row>
    <row r="3105" spans="1:38" ht="25.5" customHeight="1" x14ac:dyDescent="0.25">
      <c r="A3105" s="10" t="s">
        <v>803</v>
      </c>
      <c r="B3105" s="11" t="s">
        <v>1638</v>
      </c>
      <c r="C3105" s="5">
        <v>63640.311600000001</v>
      </c>
      <c r="D3105" s="5">
        <v>63640.311600000001</v>
      </c>
      <c r="E3105" s="5">
        <v>57627.4473</v>
      </c>
      <c r="G3105" s="5" t="str">
        <f t="shared" si="97"/>
        <v>УКТУС</v>
      </c>
      <c r="J3105" s="5"/>
      <c r="AL3105" s="5">
        <f t="shared" si="98"/>
        <v>0</v>
      </c>
    </row>
    <row r="3106" spans="1:38" ht="25.5" customHeight="1" x14ac:dyDescent="0.25">
      <c r="A3106" s="10" t="s">
        <v>736</v>
      </c>
      <c r="B3106" s="11" t="s">
        <v>1674</v>
      </c>
      <c r="C3106" s="5">
        <v>29199.565200000001</v>
      </c>
      <c r="D3106" s="5">
        <v>29199.565200000001</v>
      </c>
      <c r="E3106" s="5">
        <v>26261.5317</v>
      </c>
      <c r="G3106" s="5" t="str">
        <f t="shared" si="97"/>
        <v>УАЗ</v>
      </c>
      <c r="J3106" s="5"/>
      <c r="AL3106" s="5">
        <f t="shared" si="98"/>
        <v>0</v>
      </c>
    </row>
    <row r="3107" spans="1:38" ht="25.5" customHeight="1" x14ac:dyDescent="0.25">
      <c r="A3107" s="10" t="s">
        <v>2824</v>
      </c>
      <c r="B3107" s="11" t="s">
        <v>1647</v>
      </c>
      <c r="C3107" s="5">
        <v>63178.133800000003</v>
      </c>
      <c r="D3107" s="5">
        <v>63178.133800000003</v>
      </c>
      <c r="E3107" s="5">
        <v>57208.931499999999</v>
      </c>
      <c r="G3107" s="5" t="str">
        <f t="shared" si="97"/>
        <v>ШИРОКАЯ РЕЧКА</v>
      </c>
      <c r="J3107" s="5"/>
      <c r="AL3107" s="5">
        <f t="shared" si="98"/>
        <v>0</v>
      </c>
    </row>
    <row r="3108" spans="1:38" ht="25.5" customHeight="1" x14ac:dyDescent="0.25">
      <c r="A3108" s="10" t="s">
        <v>746</v>
      </c>
      <c r="B3108" s="11" t="s">
        <v>1677</v>
      </c>
      <c r="C3108" s="5">
        <v>39105.413099999998</v>
      </c>
      <c r="D3108" s="5">
        <v>39105.413099999998</v>
      </c>
      <c r="E3108" s="5">
        <v>35170.666700000002</v>
      </c>
      <c r="G3108" s="5" t="str">
        <f t="shared" si="97"/>
        <v>Октябрьский</v>
      </c>
      <c r="J3108" s="5"/>
      <c r="AL3108" s="5">
        <f t="shared" si="98"/>
        <v>0</v>
      </c>
    </row>
    <row r="3109" spans="1:38" ht="25.5" customHeight="1" x14ac:dyDescent="0.25">
      <c r="A3109" s="10" t="s">
        <v>914</v>
      </c>
      <c r="B3109" s="11" t="s">
        <v>1663</v>
      </c>
      <c r="C3109" s="5">
        <v>44242.899599999997</v>
      </c>
      <c r="D3109" s="5">
        <v>44242.899599999997</v>
      </c>
      <c r="E3109" s="5">
        <v>40062.737300000001</v>
      </c>
      <c r="G3109" s="5" t="str">
        <f t="shared" si="97"/>
        <v>ШУВАКИШ</v>
      </c>
      <c r="J3109" s="5"/>
      <c r="AL3109" s="5">
        <f t="shared" si="98"/>
        <v>0</v>
      </c>
    </row>
    <row r="3110" spans="1:38" x14ac:dyDescent="0.25">
      <c r="A3110" s="10" t="s">
        <v>2825</v>
      </c>
      <c r="B3110" s="11" t="s">
        <v>1674</v>
      </c>
      <c r="C3110" s="5">
        <v>29199.565200000001</v>
      </c>
      <c r="D3110" s="5">
        <v>29199.565200000001</v>
      </c>
      <c r="E3110" s="5">
        <v>26261.5317</v>
      </c>
      <c r="G3110" s="5" t="str">
        <f t="shared" si="97"/>
        <v>УАЗ</v>
      </c>
      <c r="J3110" s="5"/>
      <c r="AL3110" s="5">
        <f t="shared" si="98"/>
        <v>0</v>
      </c>
    </row>
    <row r="3111" spans="1:38" ht="25.5" customHeight="1" x14ac:dyDescent="0.25">
      <c r="A3111" s="10" t="s">
        <v>1025</v>
      </c>
      <c r="B3111" s="11" t="s">
        <v>1630</v>
      </c>
      <c r="C3111" s="5">
        <v>62652.9401</v>
      </c>
      <c r="D3111" s="5">
        <v>62652.9401</v>
      </c>
      <c r="E3111" s="5">
        <v>56733.3557</v>
      </c>
      <c r="G3111" s="5" t="str">
        <f t="shared" si="97"/>
        <v>ЧЕРМЕТ</v>
      </c>
      <c r="J3111" s="5"/>
      <c r="AL3111" s="5">
        <f t="shared" si="98"/>
        <v>0</v>
      </c>
    </row>
    <row r="3112" spans="1:38" ht="25.5" customHeight="1" x14ac:dyDescent="0.25">
      <c r="A3112" s="10" t="s">
        <v>2826</v>
      </c>
      <c r="B3112" s="11" t="s">
        <v>1656</v>
      </c>
      <c r="C3112" s="5">
        <v>60173.9879</v>
      </c>
      <c r="D3112" s="5">
        <v>60173.9879</v>
      </c>
      <c r="E3112" s="5">
        <v>54488.630299999997</v>
      </c>
      <c r="G3112" s="5" t="str">
        <f t="shared" si="97"/>
        <v>МАЛЫЙ ИСТОК</v>
      </c>
      <c r="J3112" s="5"/>
      <c r="AL3112" s="5">
        <f t="shared" si="98"/>
        <v>0</v>
      </c>
    </row>
    <row r="3113" spans="1:38" ht="25.5" customHeight="1" x14ac:dyDescent="0.25">
      <c r="A3113" s="10" t="s">
        <v>1274</v>
      </c>
      <c r="B3113" s="11" t="s">
        <v>1631</v>
      </c>
      <c r="C3113" s="5">
        <v>70026.7601</v>
      </c>
      <c r="D3113" s="5">
        <v>70026.7601</v>
      </c>
      <c r="E3113" s="5">
        <v>63410.482000000004</v>
      </c>
      <c r="G3113" s="5" t="str">
        <f t="shared" si="97"/>
        <v>УРАЛМАШ</v>
      </c>
      <c r="J3113" s="5"/>
      <c r="AL3113" s="5">
        <f t="shared" si="98"/>
        <v>0</v>
      </c>
    </row>
    <row r="3114" spans="1:38" ht="25.5" customHeight="1" x14ac:dyDescent="0.25">
      <c r="A3114" s="10" t="s">
        <v>2828</v>
      </c>
      <c r="B3114" s="11" t="s">
        <v>1636</v>
      </c>
      <c r="C3114" s="5">
        <v>52246.960299999999</v>
      </c>
      <c r="D3114" s="5">
        <v>52246.960299999999</v>
      </c>
      <c r="E3114" s="5">
        <v>47310.556700000001</v>
      </c>
      <c r="G3114" s="5" t="str">
        <f t="shared" si="97"/>
        <v>ГОРНЫЙ ЩИТ</v>
      </c>
      <c r="J3114" s="5"/>
      <c r="AL3114" s="5">
        <f t="shared" si="98"/>
        <v>0</v>
      </c>
    </row>
    <row r="3115" spans="1:38" ht="25.5" customHeight="1" x14ac:dyDescent="0.25">
      <c r="A3115" s="10" t="s">
        <v>2829</v>
      </c>
      <c r="B3115" s="11" t="s">
        <v>1650</v>
      </c>
      <c r="C3115" s="5">
        <v>37590.3603</v>
      </c>
      <c r="D3115" s="5">
        <v>37590.3603</v>
      </c>
      <c r="E3115" s="5">
        <v>34038.745900000002</v>
      </c>
      <c r="G3115" s="5" t="str">
        <f t="shared" si="97"/>
        <v>ШАБРОВСКИЙ</v>
      </c>
      <c r="J3115" s="5"/>
      <c r="AL3115" s="5">
        <f t="shared" si="98"/>
        <v>0</v>
      </c>
    </row>
    <row r="3116" spans="1:38" ht="25.5" customHeight="1" x14ac:dyDescent="0.25">
      <c r="A3116" s="10" t="s">
        <v>2830</v>
      </c>
      <c r="B3116" s="11" t="s">
        <v>1650</v>
      </c>
      <c r="C3116" s="5">
        <v>37590.3603</v>
      </c>
      <c r="D3116" s="5">
        <v>37590.3603</v>
      </c>
      <c r="E3116" s="5">
        <v>34038.745900000002</v>
      </c>
      <c r="G3116" s="5" t="str">
        <f t="shared" si="97"/>
        <v>ШАБРОВСКИЙ</v>
      </c>
      <c r="J3116" s="5"/>
      <c r="AL3116" s="5">
        <f t="shared" si="98"/>
        <v>0</v>
      </c>
    </row>
    <row r="3117" spans="1:38" ht="25.5" customHeight="1" x14ac:dyDescent="0.25">
      <c r="A3117" s="10" t="s">
        <v>1060</v>
      </c>
      <c r="B3117" s="11" t="s">
        <v>1679</v>
      </c>
      <c r="C3117" s="5">
        <v>28855.326499999999</v>
      </c>
      <c r="D3117" s="5">
        <v>28855.326499999999</v>
      </c>
      <c r="E3117" s="5">
        <v>25951.933700000001</v>
      </c>
      <c r="G3117" s="5" t="str">
        <f t="shared" si="97"/>
        <v>Ст.Каменск-Хозспособ</v>
      </c>
      <c r="J3117" s="5"/>
      <c r="AL3117" s="5">
        <f t="shared" si="98"/>
        <v>0</v>
      </c>
    </row>
    <row r="3118" spans="1:38" ht="25.5" customHeight="1" x14ac:dyDescent="0.25">
      <c r="A3118" s="10" t="s">
        <v>744</v>
      </c>
      <c r="B3118" s="11" t="s">
        <v>33</v>
      </c>
      <c r="C3118" s="5">
        <v>84298.205100000006</v>
      </c>
      <c r="D3118" s="5">
        <v>84298.205100000006</v>
      </c>
      <c r="E3118" s="5">
        <v>76333.533100000001</v>
      </c>
      <c r="G3118" s="5" t="str">
        <f t="shared" si="97"/>
        <v>ВИЗ</v>
      </c>
      <c r="J3118" s="5"/>
      <c r="AL3118" s="5">
        <f t="shared" si="98"/>
        <v>0</v>
      </c>
    </row>
    <row r="3119" spans="1:38" ht="25.5" customHeight="1" x14ac:dyDescent="0.25">
      <c r="A3119" s="10" t="s">
        <v>2831</v>
      </c>
      <c r="B3119" s="11" t="s">
        <v>1647</v>
      </c>
      <c r="C3119" s="5">
        <v>63178.133800000003</v>
      </c>
      <c r="D3119" s="5">
        <v>63178.133800000003</v>
      </c>
      <c r="E3119" s="5">
        <v>57208.931499999999</v>
      </c>
      <c r="G3119" s="5" t="str">
        <f t="shared" si="97"/>
        <v>ШИРОКАЯ РЕЧКА</v>
      </c>
      <c r="J3119" s="5"/>
      <c r="AL3119" s="5">
        <f t="shared" si="98"/>
        <v>0</v>
      </c>
    </row>
    <row r="3120" spans="1:38" ht="25.5" customHeight="1" x14ac:dyDescent="0.25">
      <c r="A3120" s="10" t="s">
        <v>2832</v>
      </c>
      <c r="B3120" s="11" t="s">
        <v>1645</v>
      </c>
      <c r="C3120" s="5">
        <v>60958.294800000003</v>
      </c>
      <c r="D3120" s="5">
        <v>60958.294800000003</v>
      </c>
      <c r="E3120" s="5">
        <v>55198.825199999999</v>
      </c>
      <c r="G3120" s="5" t="str">
        <f t="shared" si="97"/>
        <v>ЕЛИЗАВЕТ</v>
      </c>
      <c r="J3120" s="5"/>
      <c r="AL3120" s="5">
        <f t="shared" si="98"/>
        <v>0</v>
      </c>
    </row>
    <row r="3121" spans="1:38" ht="25.5" customHeight="1" x14ac:dyDescent="0.25">
      <c r="A3121" s="10" t="s">
        <v>2833</v>
      </c>
      <c r="B3121" s="11" t="s">
        <v>779</v>
      </c>
      <c r="C3121" s="5">
        <v>46784.877899999999</v>
      </c>
      <c r="D3121" s="5">
        <v>46784.877899999999</v>
      </c>
      <c r="E3121" s="5">
        <v>42364.543299999998</v>
      </c>
      <c r="G3121" s="5" t="str">
        <f t="shared" si="97"/>
        <v>Нижнеисетский</v>
      </c>
      <c r="J3121" s="5"/>
      <c r="AL3121" s="5">
        <f t="shared" si="98"/>
        <v>0</v>
      </c>
    </row>
    <row r="3122" spans="1:38" ht="25.5" customHeight="1" x14ac:dyDescent="0.25">
      <c r="A3122" s="10" t="s">
        <v>2834</v>
      </c>
      <c r="B3122" s="11" t="s">
        <v>1675</v>
      </c>
      <c r="C3122" s="5">
        <v>35756.285400000001</v>
      </c>
      <c r="D3122" s="5">
        <v>35756.285400000001</v>
      </c>
      <c r="E3122" s="5">
        <v>32158.5213</v>
      </c>
      <c r="G3122" s="5" t="str">
        <f t="shared" si="97"/>
        <v>УАЗ-II</v>
      </c>
      <c r="J3122" s="5"/>
      <c r="AL3122" s="5">
        <f t="shared" si="98"/>
        <v>0</v>
      </c>
    </row>
    <row r="3123" spans="1:38" ht="25.5" customHeight="1" x14ac:dyDescent="0.25">
      <c r="A3123" s="10" t="s">
        <v>1189</v>
      </c>
      <c r="B3123" s="11" t="s">
        <v>1636</v>
      </c>
      <c r="C3123" s="5">
        <v>52246.960299999999</v>
      </c>
      <c r="D3123" s="5">
        <v>52246.960299999999</v>
      </c>
      <c r="E3123" s="5">
        <v>47310.556700000001</v>
      </c>
      <c r="G3123" s="5" t="str">
        <f t="shared" si="97"/>
        <v>ГОРНЫЙ ЩИТ</v>
      </c>
      <c r="J3123" s="5"/>
      <c r="AL3123" s="5">
        <f t="shared" si="98"/>
        <v>0</v>
      </c>
    </row>
    <row r="3124" spans="1:38" ht="25.5" customHeight="1" x14ac:dyDescent="0.25">
      <c r="A3124" s="10" t="s">
        <v>2835</v>
      </c>
      <c r="B3124" s="11" t="s">
        <v>1661</v>
      </c>
      <c r="C3124" s="5">
        <v>51175.5573</v>
      </c>
      <c r="D3124" s="5">
        <v>51175.5573</v>
      </c>
      <c r="E3124" s="5">
        <v>46340.381600000001</v>
      </c>
      <c r="G3124" s="5" t="str">
        <f t="shared" si="97"/>
        <v>СЕВЕРКА</v>
      </c>
      <c r="J3124" s="5"/>
      <c r="AL3124" s="5">
        <f t="shared" si="98"/>
        <v>0</v>
      </c>
    </row>
    <row r="3125" spans="1:38" ht="25.5" customHeight="1" x14ac:dyDescent="0.25">
      <c r="A3125" s="10" t="s">
        <v>2836</v>
      </c>
      <c r="B3125" s="11" t="s">
        <v>1639</v>
      </c>
      <c r="C3125" s="5">
        <v>53500.443299999999</v>
      </c>
      <c r="D3125" s="5">
        <v>53500.443299999999</v>
      </c>
      <c r="E3125" s="5">
        <v>48445.605100000001</v>
      </c>
      <c r="G3125" s="5" t="str">
        <f t="shared" si="97"/>
        <v>ИСТОК</v>
      </c>
      <c r="J3125" s="5"/>
      <c r="AL3125" s="5">
        <f t="shared" si="98"/>
        <v>0</v>
      </c>
    </row>
    <row r="3126" spans="1:38" ht="25.5" customHeight="1" x14ac:dyDescent="0.25">
      <c r="A3126" s="10" t="s">
        <v>2837</v>
      </c>
      <c r="B3126" s="11" t="s">
        <v>1676</v>
      </c>
      <c r="C3126" s="5">
        <v>28848.8855</v>
      </c>
      <c r="D3126" s="5">
        <v>28848.8855</v>
      </c>
      <c r="E3126" s="5">
        <v>25946.143</v>
      </c>
      <c r="G3126" s="5" t="str">
        <f t="shared" si="97"/>
        <v>Чкаловский</v>
      </c>
      <c r="J3126" s="5"/>
      <c r="AL3126" s="5">
        <f t="shared" si="98"/>
        <v>0</v>
      </c>
    </row>
    <row r="3127" spans="1:38" ht="25.5" customHeight="1" x14ac:dyDescent="0.25">
      <c r="A3127" s="10" t="s">
        <v>2838</v>
      </c>
      <c r="B3127" s="11" t="s">
        <v>1635</v>
      </c>
      <c r="C3127" s="5">
        <v>57793.0844</v>
      </c>
      <c r="D3127" s="5">
        <v>57793.0844</v>
      </c>
      <c r="E3127" s="5">
        <v>52332.6639</v>
      </c>
      <c r="G3127" s="5" t="str">
        <f t="shared" si="97"/>
        <v>ЛЕЧЕБНЫЙ</v>
      </c>
      <c r="J3127" s="5"/>
      <c r="AL3127" s="5">
        <f t="shared" si="98"/>
        <v>0</v>
      </c>
    </row>
    <row r="3128" spans="1:38" ht="25.5" customHeight="1" x14ac:dyDescent="0.25">
      <c r="A3128" s="10" t="s">
        <v>2839</v>
      </c>
      <c r="B3128" s="11" t="s">
        <v>1681</v>
      </c>
      <c r="C3128" s="5">
        <v>32172.2909</v>
      </c>
      <c r="D3128" s="5">
        <v>32172.2909</v>
      </c>
      <c r="E3128" s="5">
        <v>28935.146499999999</v>
      </c>
      <c r="G3128" s="5" t="str">
        <f t="shared" si="97"/>
        <v>Ленин-Олимп</v>
      </c>
      <c r="J3128" s="5"/>
      <c r="AL3128" s="5">
        <f t="shared" si="98"/>
        <v>0</v>
      </c>
    </row>
    <row r="3129" spans="1:38" ht="25.5" customHeight="1" x14ac:dyDescent="0.25">
      <c r="A3129" s="10" t="s">
        <v>463</v>
      </c>
      <c r="B3129" s="11" t="s">
        <v>1674</v>
      </c>
      <c r="C3129" s="5">
        <v>29199.565200000001</v>
      </c>
      <c r="D3129" s="5">
        <v>29199.565200000001</v>
      </c>
      <c r="E3129" s="5">
        <v>26261.5317</v>
      </c>
      <c r="G3129" s="5" t="str">
        <f t="shared" si="97"/>
        <v>УАЗ</v>
      </c>
      <c r="J3129" s="5"/>
      <c r="AL3129" s="5">
        <f t="shared" si="98"/>
        <v>0</v>
      </c>
    </row>
    <row r="3130" spans="1:38" ht="25.5" customHeight="1" x14ac:dyDescent="0.25">
      <c r="A3130" s="10" t="s">
        <v>944</v>
      </c>
      <c r="B3130" s="11" t="s">
        <v>1659</v>
      </c>
      <c r="C3130" s="5">
        <v>59746.832600000002</v>
      </c>
      <c r="D3130" s="5">
        <v>59746.832600000002</v>
      </c>
      <c r="E3130" s="5">
        <v>54101.823700000001</v>
      </c>
      <c r="G3130" s="5" t="str">
        <f t="shared" si="97"/>
        <v>СОВХОЗ</v>
      </c>
      <c r="J3130" s="5"/>
      <c r="AL3130" s="5">
        <f t="shared" si="98"/>
        <v>0</v>
      </c>
    </row>
    <row r="3131" spans="1:38" ht="25.5" customHeight="1" x14ac:dyDescent="0.25">
      <c r="A3131" s="10" t="s">
        <v>2840</v>
      </c>
      <c r="B3131" s="11" t="s">
        <v>1630</v>
      </c>
      <c r="C3131" s="5">
        <v>62652.9401</v>
      </c>
      <c r="D3131" s="5">
        <v>62652.9401</v>
      </c>
      <c r="E3131" s="5">
        <v>56733.3557</v>
      </c>
      <c r="G3131" s="5" t="str">
        <f t="shared" si="97"/>
        <v>ЧЕРМЕТ</v>
      </c>
      <c r="J3131" s="5"/>
      <c r="AL3131" s="5">
        <f t="shared" si="98"/>
        <v>0</v>
      </c>
    </row>
    <row r="3132" spans="1:38" ht="25.5" customHeight="1" x14ac:dyDescent="0.25">
      <c r="A3132" s="10" t="s">
        <v>2841</v>
      </c>
      <c r="B3132" s="11" t="s">
        <v>1666</v>
      </c>
      <c r="C3132" s="5">
        <v>46784.877899999999</v>
      </c>
      <c r="D3132" s="5">
        <v>46784.877899999999</v>
      </c>
      <c r="E3132" s="5">
        <v>42364.543299999998</v>
      </c>
      <c r="G3132" s="5" t="str">
        <f t="shared" si="97"/>
        <v>Сулим.Торфянник</v>
      </c>
      <c r="J3132" s="5"/>
      <c r="AL3132" s="5">
        <f t="shared" si="98"/>
        <v>0</v>
      </c>
    </row>
    <row r="3133" spans="1:38" ht="25.5" customHeight="1" x14ac:dyDescent="0.25">
      <c r="A3133" s="10" t="s">
        <v>2842</v>
      </c>
      <c r="B3133" s="11" t="s">
        <v>1631</v>
      </c>
      <c r="C3133" s="5">
        <v>70026.7601</v>
      </c>
      <c r="D3133" s="5">
        <v>70026.7601</v>
      </c>
      <c r="E3133" s="5">
        <v>63410.482000000004</v>
      </c>
      <c r="G3133" s="5" t="str">
        <f t="shared" si="97"/>
        <v>УРАЛМАШ</v>
      </c>
      <c r="J3133" s="5"/>
      <c r="AL3133" s="5">
        <f t="shared" si="98"/>
        <v>0</v>
      </c>
    </row>
    <row r="3134" spans="1:38" ht="25.5" customHeight="1" x14ac:dyDescent="0.25">
      <c r="A3134" s="10" t="s">
        <v>2843</v>
      </c>
      <c r="B3134" s="11" t="s">
        <v>1668</v>
      </c>
      <c r="C3134" s="5">
        <v>51343.6201</v>
      </c>
      <c r="D3134" s="5">
        <v>51343.6201</v>
      </c>
      <c r="E3134" s="5">
        <v>46492.558799999999</v>
      </c>
      <c r="G3134" s="5" t="str">
        <f t="shared" si="97"/>
        <v>МЕДНЫЙ</v>
      </c>
      <c r="J3134" s="5"/>
      <c r="AL3134" s="5">
        <f t="shared" si="98"/>
        <v>0</v>
      </c>
    </row>
    <row r="3135" spans="1:38" ht="25.5" customHeight="1" x14ac:dyDescent="0.25">
      <c r="A3135" s="10" t="s">
        <v>704</v>
      </c>
      <c r="B3135" s="11" t="s">
        <v>1630</v>
      </c>
      <c r="C3135" s="5">
        <v>62652.9401</v>
      </c>
      <c r="D3135" s="5">
        <v>62652.9401</v>
      </c>
      <c r="E3135" s="5">
        <v>56733.3557</v>
      </c>
      <c r="G3135" s="5" t="str">
        <f t="shared" si="97"/>
        <v>ЧЕРМЕТ</v>
      </c>
      <c r="J3135" s="5"/>
      <c r="AL3135" s="5">
        <f t="shared" si="98"/>
        <v>0</v>
      </c>
    </row>
    <row r="3136" spans="1:38" ht="25.5" customHeight="1" x14ac:dyDescent="0.25">
      <c r="A3136" s="20" t="s">
        <v>2844</v>
      </c>
      <c r="B3136" s="22">
        <v>1003</v>
      </c>
      <c r="C3136" s="5">
        <v>21261.0285</v>
      </c>
      <c r="D3136" s="5">
        <v>21261.0285</v>
      </c>
      <c r="E3136" s="5">
        <v>20837.465199999999</v>
      </c>
      <c r="G3136" s="5">
        <f t="shared" si="97"/>
        <v>1003</v>
      </c>
      <c r="J3136" s="5"/>
      <c r="AL3136" s="5">
        <f t="shared" si="98"/>
        <v>0</v>
      </c>
    </row>
    <row r="3137" spans="1:38" x14ac:dyDescent="0.25">
      <c r="A3137" s="10" t="s">
        <v>2845</v>
      </c>
      <c r="B3137" s="11" t="s">
        <v>1674</v>
      </c>
      <c r="C3137" s="5">
        <v>29199.565200000001</v>
      </c>
      <c r="D3137" s="5">
        <v>29199.565200000001</v>
      </c>
      <c r="E3137" s="5">
        <v>26261.5317</v>
      </c>
      <c r="G3137" s="5" t="str">
        <f t="shared" si="97"/>
        <v>УАЗ</v>
      </c>
      <c r="J3137" s="5"/>
      <c r="AL3137" s="5">
        <f t="shared" si="98"/>
        <v>0</v>
      </c>
    </row>
    <row r="3138" spans="1:38" ht="25.5" customHeight="1" x14ac:dyDescent="0.25">
      <c r="A3138" s="10" t="s">
        <v>2846</v>
      </c>
      <c r="B3138" s="11" t="s">
        <v>1645</v>
      </c>
      <c r="C3138" s="5">
        <v>60958.294800000003</v>
      </c>
      <c r="D3138" s="5">
        <v>60958.294800000003</v>
      </c>
      <c r="E3138" s="5">
        <v>55198.825199999999</v>
      </c>
      <c r="G3138" s="5" t="str">
        <f t="shared" ref="G3138:G3201" si="99">B3138</f>
        <v>ЕЛИЗАВЕТ</v>
      </c>
      <c r="J3138" s="5"/>
      <c r="AL3138" s="5">
        <f t="shared" ref="AL3138:AL3201" si="100">AF3138</f>
        <v>0</v>
      </c>
    </row>
    <row r="3139" spans="1:38" ht="25.5" customHeight="1" x14ac:dyDescent="0.25">
      <c r="A3139" s="10" t="s">
        <v>2847</v>
      </c>
      <c r="B3139" s="11" t="s">
        <v>1660</v>
      </c>
      <c r="C3139" s="5">
        <v>53262.345800000003</v>
      </c>
      <c r="D3139" s="5">
        <v>53262.345800000003</v>
      </c>
      <c r="E3139" s="5">
        <v>48230.0095</v>
      </c>
      <c r="G3139" s="5" t="str">
        <f t="shared" si="99"/>
        <v>САДОВЫЙ</v>
      </c>
      <c r="J3139" s="5"/>
      <c r="AL3139" s="5">
        <f t="shared" si="100"/>
        <v>0</v>
      </c>
    </row>
    <row r="3140" spans="1:38" ht="25.5" customHeight="1" x14ac:dyDescent="0.25">
      <c r="A3140" s="10" t="s">
        <v>1341</v>
      </c>
      <c r="B3140" s="11" t="s">
        <v>1679</v>
      </c>
      <c r="C3140" s="5">
        <v>28855.326499999999</v>
      </c>
      <c r="D3140" s="5">
        <v>28855.326499999999</v>
      </c>
      <c r="E3140" s="5">
        <v>25951.933700000001</v>
      </c>
      <c r="G3140" s="5" t="str">
        <f t="shared" si="99"/>
        <v>Ст.Каменск-Хозспособ</v>
      </c>
      <c r="J3140" s="5"/>
      <c r="AL3140" s="5">
        <f t="shared" si="100"/>
        <v>0</v>
      </c>
    </row>
    <row r="3141" spans="1:38" ht="25.5" customHeight="1" x14ac:dyDescent="0.25">
      <c r="A3141" s="10" t="s">
        <v>2848</v>
      </c>
      <c r="B3141" s="11" t="s">
        <v>1636</v>
      </c>
      <c r="C3141" s="5">
        <v>52246.960299999999</v>
      </c>
      <c r="D3141" s="5">
        <v>52246.960299999999</v>
      </c>
      <c r="E3141" s="5">
        <v>47310.556700000001</v>
      </c>
      <c r="G3141" s="5" t="str">
        <f t="shared" si="99"/>
        <v>ГОРНЫЙ ЩИТ</v>
      </c>
      <c r="J3141" s="5"/>
      <c r="AL3141" s="5">
        <f t="shared" si="100"/>
        <v>0</v>
      </c>
    </row>
    <row r="3142" spans="1:38" x14ac:dyDescent="0.25">
      <c r="A3142" s="10" t="s">
        <v>2849</v>
      </c>
      <c r="B3142" s="11" t="s">
        <v>1674</v>
      </c>
      <c r="C3142" s="5">
        <v>29199.565200000001</v>
      </c>
      <c r="D3142" s="5">
        <v>29199.565200000001</v>
      </c>
      <c r="E3142" s="5">
        <v>26261.5317</v>
      </c>
      <c r="G3142" s="5" t="str">
        <f t="shared" si="99"/>
        <v>УАЗ</v>
      </c>
      <c r="J3142" s="5"/>
      <c r="AL3142" s="5">
        <f t="shared" si="100"/>
        <v>0</v>
      </c>
    </row>
    <row r="3143" spans="1:38" ht="25.5" customHeight="1" x14ac:dyDescent="0.25">
      <c r="A3143" s="10" t="s">
        <v>2850</v>
      </c>
      <c r="B3143" s="11" t="s">
        <v>1644</v>
      </c>
      <c r="C3143" s="5">
        <v>61980.678599999999</v>
      </c>
      <c r="D3143" s="5">
        <v>61980.678599999999</v>
      </c>
      <c r="E3143" s="5">
        <v>56124.615700000002</v>
      </c>
      <c r="G3143" s="5" t="str">
        <f t="shared" si="99"/>
        <v>ХИММАШ</v>
      </c>
      <c r="J3143" s="5"/>
      <c r="AL3143" s="5">
        <f t="shared" si="100"/>
        <v>0</v>
      </c>
    </row>
    <row r="3144" spans="1:38" ht="25.5" customHeight="1" x14ac:dyDescent="0.25">
      <c r="A3144" s="10" t="s">
        <v>2851</v>
      </c>
      <c r="B3144" s="11" t="s">
        <v>1676</v>
      </c>
      <c r="C3144" s="5">
        <v>28848.8855</v>
      </c>
      <c r="D3144" s="5">
        <v>28848.8855</v>
      </c>
      <c r="E3144" s="5">
        <v>25946.143</v>
      </c>
      <c r="G3144" s="5" t="str">
        <f t="shared" si="99"/>
        <v>Чкаловский</v>
      </c>
      <c r="J3144" s="5"/>
      <c r="AL3144" s="5">
        <f t="shared" si="100"/>
        <v>0</v>
      </c>
    </row>
    <row r="3145" spans="1:38" ht="25.5" customHeight="1" x14ac:dyDescent="0.25">
      <c r="A3145" s="10" t="s">
        <v>1350</v>
      </c>
      <c r="B3145" s="11" t="s">
        <v>1659</v>
      </c>
      <c r="C3145" s="5">
        <v>59746.832600000002</v>
      </c>
      <c r="D3145" s="5">
        <v>59746.832600000002</v>
      </c>
      <c r="E3145" s="5">
        <v>54101.823700000001</v>
      </c>
      <c r="G3145" s="5" t="str">
        <f t="shared" si="99"/>
        <v>СОВХОЗ</v>
      </c>
      <c r="J3145" s="5"/>
      <c r="AL3145" s="5">
        <f t="shared" si="100"/>
        <v>0</v>
      </c>
    </row>
    <row r="3146" spans="1:38" ht="25.5" customHeight="1" x14ac:dyDescent="0.25">
      <c r="A3146" s="10" t="s">
        <v>2852</v>
      </c>
      <c r="B3146" s="11" t="s">
        <v>33</v>
      </c>
      <c r="C3146" s="5">
        <v>84298.205100000006</v>
      </c>
      <c r="D3146" s="5">
        <v>84298.205100000006</v>
      </c>
      <c r="E3146" s="5">
        <v>76333.533100000001</v>
      </c>
      <c r="G3146" s="5" t="str">
        <f t="shared" si="99"/>
        <v>ВИЗ</v>
      </c>
      <c r="J3146" s="5"/>
      <c r="AL3146" s="5">
        <f t="shared" si="100"/>
        <v>0</v>
      </c>
    </row>
    <row r="3147" spans="1:38" ht="25.5" customHeight="1" x14ac:dyDescent="0.25">
      <c r="A3147" s="10" t="s">
        <v>2853</v>
      </c>
      <c r="B3147" s="11" t="s">
        <v>118</v>
      </c>
      <c r="C3147" s="5">
        <v>53500.443299999999</v>
      </c>
      <c r="D3147" s="5">
        <v>53500.443299999999</v>
      </c>
      <c r="E3147" s="5">
        <v>48445.605100000001</v>
      </c>
      <c r="G3147" s="5" t="str">
        <f t="shared" si="99"/>
        <v>Исток</v>
      </c>
      <c r="J3147" s="5"/>
      <c r="AL3147" s="5">
        <f t="shared" si="100"/>
        <v>0</v>
      </c>
    </row>
    <row r="3148" spans="1:38" ht="25.5" customHeight="1" x14ac:dyDescent="0.25">
      <c r="A3148" s="10" t="s">
        <v>375</v>
      </c>
      <c r="B3148" s="11" t="s">
        <v>1659</v>
      </c>
      <c r="C3148" s="5">
        <v>59746.832600000002</v>
      </c>
      <c r="D3148" s="5">
        <v>59746.832600000002</v>
      </c>
      <c r="E3148" s="5">
        <v>54101.823700000001</v>
      </c>
      <c r="G3148" s="5" t="str">
        <f t="shared" si="99"/>
        <v>СОВХОЗ</v>
      </c>
      <c r="J3148" s="5"/>
      <c r="AL3148" s="5">
        <f t="shared" si="100"/>
        <v>0</v>
      </c>
    </row>
    <row r="3149" spans="1:38" ht="25.5" customHeight="1" x14ac:dyDescent="0.25">
      <c r="A3149" s="10" t="s">
        <v>1010</v>
      </c>
      <c r="B3149" s="11" t="s">
        <v>779</v>
      </c>
      <c r="C3149" s="5">
        <v>46784.877899999999</v>
      </c>
      <c r="D3149" s="5">
        <v>46784.877899999999</v>
      </c>
      <c r="E3149" s="5">
        <v>42364.543299999998</v>
      </c>
      <c r="G3149" s="5" t="str">
        <f t="shared" si="99"/>
        <v>Нижнеисетский</v>
      </c>
      <c r="J3149" s="5"/>
      <c r="AL3149" s="5">
        <f t="shared" si="100"/>
        <v>0</v>
      </c>
    </row>
    <row r="3150" spans="1:38" ht="25.5" customHeight="1" x14ac:dyDescent="0.25">
      <c r="A3150" s="10" t="s">
        <v>2854</v>
      </c>
      <c r="B3150" s="11" t="s">
        <v>1648</v>
      </c>
      <c r="C3150" s="5">
        <v>49782.025399999999</v>
      </c>
      <c r="D3150" s="5">
        <v>49782.025399999999</v>
      </c>
      <c r="E3150" s="5">
        <v>45078.506800000003</v>
      </c>
      <c r="G3150" s="5" t="str">
        <f t="shared" si="99"/>
        <v>ЧУСОВСКОЕ ОЗЕРО</v>
      </c>
      <c r="J3150" s="5"/>
      <c r="AL3150" s="5">
        <f t="shared" si="100"/>
        <v>0</v>
      </c>
    </row>
    <row r="3151" spans="1:38" ht="25.5" customHeight="1" x14ac:dyDescent="0.25">
      <c r="A3151" s="10" t="s">
        <v>2855</v>
      </c>
      <c r="B3151" s="11" t="s">
        <v>1645</v>
      </c>
      <c r="C3151" s="5">
        <v>60958.294800000003</v>
      </c>
      <c r="D3151" s="5">
        <v>60958.294800000003</v>
      </c>
      <c r="E3151" s="5">
        <v>55198.825199999999</v>
      </c>
      <c r="G3151" s="5" t="str">
        <f t="shared" si="99"/>
        <v>ЕЛИЗАВЕТ</v>
      </c>
      <c r="J3151" s="5"/>
      <c r="AL3151" s="5">
        <f t="shared" si="100"/>
        <v>0</v>
      </c>
    </row>
    <row r="3152" spans="1:38" ht="25.5" customHeight="1" x14ac:dyDescent="0.25">
      <c r="A3152" s="10" t="s">
        <v>2856</v>
      </c>
      <c r="B3152" s="11" t="s">
        <v>1647</v>
      </c>
      <c r="C3152" s="5">
        <v>63178.133800000003</v>
      </c>
      <c r="D3152" s="5">
        <v>63178.133800000003</v>
      </c>
      <c r="E3152" s="5">
        <v>57208.931499999999</v>
      </c>
      <c r="G3152" s="5" t="str">
        <f t="shared" si="99"/>
        <v>ШИРОКАЯ РЕЧКА</v>
      </c>
      <c r="J3152" s="5"/>
      <c r="AL3152" s="5">
        <f t="shared" si="100"/>
        <v>0</v>
      </c>
    </row>
    <row r="3153" spans="1:38" ht="25.5" customHeight="1" x14ac:dyDescent="0.25">
      <c r="A3153" s="10" t="s">
        <v>1440</v>
      </c>
      <c r="B3153" s="11" t="s">
        <v>1650</v>
      </c>
      <c r="C3153" s="5">
        <v>37590.3603</v>
      </c>
      <c r="D3153" s="5">
        <v>37590.3603</v>
      </c>
      <c r="E3153" s="5">
        <v>34038.745900000002</v>
      </c>
      <c r="G3153" s="5" t="str">
        <f t="shared" si="99"/>
        <v>ШАБРОВСКИЙ</v>
      </c>
      <c r="J3153" s="5"/>
      <c r="AL3153" s="5">
        <f t="shared" si="100"/>
        <v>0</v>
      </c>
    </row>
    <row r="3154" spans="1:38" ht="25.5" customHeight="1" x14ac:dyDescent="0.25">
      <c r="A3154" s="10" t="s">
        <v>2857</v>
      </c>
      <c r="B3154" s="11" t="s">
        <v>1631</v>
      </c>
      <c r="C3154" s="5">
        <v>70026.7601</v>
      </c>
      <c r="D3154" s="5">
        <v>70026.7601</v>
      </c>
      <c r="E3154" s="5">
        <v>63410.482000000004</v>
      </c>
      <c r="G3154" s="5" t="str">
        <f t="shared" si="99"/>
        <v>УРАЛМАШ</v>
      </c>
      <c r="J3154" s="5"/>
      <c r="AL3154" s="5">
        <f t="shared" si="100"/>
        <v>0</v>
      </c>
    </row>
    <row r="3155" spans="1:38" ht="25.5" customHeight="1" x14ac:dyDescent="0.25">
      <c r="A3155" s="10" t="s">
        <v>2858</v>
      </c>
      <c r="B3155" s="11" t="s">
        <v>1637</v>
      </c>
      <c r="C3155" s="5">
        <v>59368.686099999999</v>
      </c>
      <c r="D3155" s="5">
        <v>59368.686099999999</v>
      </c>
      <c r="E3155" s="5">
        <v>53759.401700000002</v>
      </c>
      <c r="G3155" s="5" t="str">
        <f t="shared" si="99"/>
        <v>Старая сортировка</v>
      </c>
      <c r="J3155" s="5"/>
      <c r="AL3155" s="5">
        <f t="shared" si="100"/>
        <v>0</v>
      </c>
    </row>
    <row r="3156" spans="1:38" ht="25.5" customHeight="1" x14ac:dyDescent="0.25">
      <c r="A3156" s="10" t="s">
        <v>2859</v>
      </c>
      <c r="B3156" s="11" t="s">
        <v>1676</v>
      </c>
      <c r="C3156" s="5">
        <v>28848.8855</v>
      </c>
      <c r="D3156" s="5">
        <v>28848.8855</v>
      </c>
      <c r="E3156" s="5">
        <v>25946.143</v>
      </c>
      <c r="G3156" s="5" t="str">
        <f t="shared" si="99"/>
        <v>Чкаловский</v>
      </c>
      <c r="J3156" s="5"/>
      <c r="AL3156" s="5">
        <f t="shared" si="100"/>
        <v>0</v>
      </c>
    </row>
    <row r="3157" spans="1:38" ht="25.5" customHeight="1" x14ac:dyDescent="0.25">
      <c r="A3157" s="10" t="s">
        <v>930</v>
      </c>
      <c r="B3157" s="11" t="s">
        <v>1677</v>
      </c>
      <c r="C3157" s="5">
        <v>39105.413099999998</v>
      </c>
      <c r="D3157" s="5">
        <v>39105.413099999998</v>
      </c>
      <c r="E3157" s="5">
        <v>35170.666700000002</v>
      </c>
      <c r="G3157" s="5" t="str">
        <f t="shared" si="99"/>
        <v>Октябрьский</v>
      </c>
      <c r="J3157" s="5"/>
      <c r="AL3157" s="5">
        <f t="shared" si="100"/>
        <v>0</v>
      </c>
    </row>
    <row r="3158" spans="1:38" ht="25.5" customHeight="1" x14ac:dyDescent="0.25">
      <c r="A3158" s="10" t="s">
        <v>2860</v>
      </c>
      <c r="B3158" s="11" t="s">
        <v>1679</v>
      </c>
      <c r="C3158" s="5">
        <v>28855.326499999999</v>
      </c>
      <c r="D3158" s="5">
        <v>28855.326499999999</v>
      </c>
      <c r="E3158" s="5">
        <v>25951.933700000001</v>
      </c>
      <c r="G3158" s="5" t="str">
        <f t="shared" si="99"/>
        <v>Ст.Каменск-Хозспособ</v>
      </c>
      <c r="J3158" s="5"/>
      <c r="AL3158" s="5">
        <f t="shared" si="100"/>
        <v>0</v>
      </c>
    </row>
    <row r="3159" spans="1:38" ht="25.5" customHeight="1" x14ac:dyDescent="0.25">
      <c r="A3159" s="10" t="s">
        <v>2861</v>
      </c>
      <c r="B3159" s="11" t="s">
        <v>1644</v>
      </c>
      <c r="C3159" s="5">
        <v>61980.678599999999</v>
      </c>
      <c r="D3159" s="5">
        <v>61980.678599999999</v>
      </c>
      <c r="E3159" s="5">
        <v>56124.615700000002</v>
      </c>
      <c r="G3159" s="5" t="str">
        <f t="shared" si="99"/>
        <v>ХИММАШ</v>
      </c>
      <c r="J3159" s="5"/>
      <c r="AL3159" s="5">
        <f t="shared" si="100"/>
        <v>0</v>
      </c>
    </row>
    <row r="3160" spans="1:38" x14ac:dyDescent="0.25">
      <c r="A3160" s="10" t="s">
        <v>2862</v>
      </c>
      <c r="B3160" s="11" t="s">
        <v>1680</v>
      </c>
      <c r="C3160" s="5">
        <v>29151.309799999999</v>
      </c>
      <c r="D3160" s="5">
        <v>29151.309799999999</v>
      </c>
      <c r="E3160" s="5">
        <v>26218.127700000001</v>
      </c>
      <c r="G3160" s="5" t="str">
        <f t="shared" si="99"/>
        <v>Северный</v>
      </c>
      <c r="J3160" s="5"/>
      <c r="AL3160" s="5">
        <f t="shared" si="100"/>
        <v>0</v>
      </c>
    </row>
    <row r="3161" spans="1:38" ht="25.5" customHeight="1" x14ac:dyDescent="0.25">
      <c r="A3161" s="10" t="s">
        <v>1203</v>
      </c>
      <c r="B3161" s="11" t="s">
        <v>779</v>
      </c>
      <c r="C3161" s="5">
        <v>46784.877899999999</v>
      </c>
      <c r="D3161" s="5">
        <v>46784.877899999999</v>
      </c>
      <c r="E3161" s="5">
        <v>42364.543299999998</v>
      </c>
      <c r="G3161" s="5" t="str">
        <f t="shared" si="99"/>
        <v>Нижнеисетский</v>
      </c>
      <c r="J3161" s="5"/>
      <c r="AL3161" s="5">
        <f t="shared" si="100"/>
        <v>0</v>
      </c>
    </row>
    <row r="3162" spans="1:38" ht="25.5" customHeight="1" x14ac:dyDescent="0.25">
      <c r="A3162" s="10" t="s">
        <v>2863</v>
      </c>
      <c r="B3162" s="11" t="s">
        <v>1676</v>
      </c>
      <c r="C3162" s="5">
        <v>28848.8855</v>
      </c>
      <c r="D3162" s="5">
        <v>28848.8855</v>
      </c>
      <c r="E3162" s="5">
        <v>25946.143</v>
      </c>
      <c r="G3162" s="5" t="str">
        <f t="shared" si="99"/>
        <v>Чкаловский</v>
      </c>
      <c r="J3162" s="5"/>
      <c r="AL3162" s="5">
        <f t="shared" si="100"/>
        <v>0</v>
      </c>
    </row>
    <row r="3163" spans="1:38" ht="25.5" customHeight="1" x14ac:dyDescent="0.25">
      <c r="A3163" s="10" t="s">
        <v>2864</v>
      </c>
      <c r="B3163" s="11" t="s">
        <v>1668</v>
      </c>
      <c r="C3163" s="5">
        <v>51343.6201</v>
      </c>
      <c r="D3163" s="5">
        <v>51343.6201</v>
      </c>
      <c r="E3163" s="5">
        <v>46492.558799999999</v>
      </c>
      <c r="G3163" s="5" t="str">
        <f t="shared" si="99"/>
        <v>МЕДНЫЙ</v>
      </c>
      <c r="J3163" s="5"/>
      <c r="AL3163" s="5">
        <f t="shared" si="100"/>
        <v>0</v>
      </c>
    </row>
    <row r="3164" spans="1:38" ht="25.5" customHeight="1" x14ac:dyDescent="0.25">
      <c r="A3164" s="10" t="s">
        <v>2865</v>
      </c>
      <c r="B3164" s="11" t="s">
        <v>1647</v>
      </c>
      <c r="C3164" s="5">
        <v>63178.133800000003</v>
      </c>
      <c r="D3164" s="5">
        <v>63178.133800000003</v>
      </c>
      <c r="E3164" s="5">
        <v>57208.931499999999</v>
      </c>
      <c r="G3164" s="5" t="str">
        <f t="shared" si="99"/>
        <v>ШИРОКАЯ РЕЧКА</v>
      </c>
      <c r="J3164" s="5"/>
      <c r="AL3164" s="5">
        <f t="shared" si="100"/>
        <v>0</v>
      </c>
    </row>
    <row r="3165" spans="1:38" ht="25.5" customHeight="1" x14ac:dyDescent="0.25">
      <c r="A3165" s="10" t="s">
        <v>2866</v>
      </c>
      <c r="B3165" s="11" t="s">
        <v>1660</v>
      </c>
      <c r="C3165" s="5">
        <v>53262.345800000003</v>
      </c>
      <c r="D3165" s="5">
        <v>53262.345800000003</v>
      </c>
      <c r="E3165" s="5">
        <v>48230.0095</v>
      </c>
      <c r="G3165" s="5" t="str">
        <f t="shared" si="99"/>
        <v>САДОВЫЙ</v>
      </c>
      <c r="J3165" s="5"/>
      <c r="AL3165" s="5">
        <f t="shared" si="100"/>
        <v>0</v>
      </c>
    </row>
    <row r="3166" spans="1:38" ht="25.5" customHeight="1" x14ac:dyDescent="0.25">
      <c r="A3166" s="10" t="s">
        <v>2867</v>
      </c>
      <c r="B3166" s="11" t="s">
        <v>1681</v>
      </c>
      <c r="C3166" s="5">
        <v>32172.2909</v>
      </c>
      <c r="D3166" s="5">
        <v>32172.2909</v>
      </c>
      <c r="E3166" s="5">
        <v>28935.146499999999</v>
      </c>
      <c r="G3166" s="5" t="str">
        <f t="shared" si="99"/>
        <v>Ленин-Олимп</v>
      </c>
      <c r="J3166" s="5"/>
      <c r="AL3166" s="5">
        <f t="shared" si="100"/>
        <v>0</v>
      </c>
    </row>
    <row r="3167" spans="1:38" ht="25.5" customHeight="1" x14ac:dyDescent="0.25">
      <c r="A3167" s="10" t="s">
        <v>2868</v>
      </c>
      <c r="B3167" s="11" t="s">
        <v>1395</v>
      </c>
      <c r="C3167" s="5">
        <v>27332.119299999998</v>
      </c>
      <c r="D3167" s="5">
        <v>27332.119299999998</v>
      </c>
      <c r="E3167" s="5">
        <v>24879.3747</v>
      </c>
      <c r="G3167" s="5" t="str">
        <f t="shared" si="99"/>
        <v>СОВХОЗ ПЕРВОУРАЛЬСКИЙ</v>
      </c>
      <c r="J3167" s="5"/>
      <c r="AL3167" s="5">
        <f t="shared" si="100"/>
        <v>0</v>
      </c>
    </row>
    <row r="3168" spans="1:38" ht="25.5" customHeight="1" x14ac:dyDescent="0.25">
      <c r="A3168" s="10" t="s">
        <v>2869</v>
      </c>
      <c r="B3168" s="11" t="s">
        <v>118</v>
      </c>
      <c r="C3168" s="5">
        <v>53500.443299999999</v>
      </c>
      <c r="D3168" s="5">
        <v>53500.443299999999</v>
      </c>
      <c r="E3168" s="5">
        <v>48445.605100000001</v>
      </c>
      <c r="G3168" s="5" t="str">
        <f t="shared" si="99"/>
        <v>Исток</v>
      </c>
      <c r="J3168" s="5"/>
      <c r="AL3168" s="5">
        <f t="shared" si="100"/>
        <v>0</v>
      </c>
    </row>
    <row r="3169" spans="1:38" ht="25.5" customHeight="1" x14ac:dyDescent="0.25">
      <c r="A3169" s="10" t="s">
        <v>1032</v>
      </c>
      <c r="B3169" s="11" t="s">
        <v>1659</v>
      </c>
      <c r="C3169" s="5">
        <v>59746.832600000002</v>
      </c>
      <c r="D3169" s="5">
        <v>59746.832600000002</v>
      </c>
      <c r="E3169" s="5">
        <v>54101.823700000001</v>
      </c>
      <c r="G3169" s="5" t="str">
        <f t="shared" si="99"/>
        <v>СОВХОЗ</v>
      </c>
      <c r="J3169" s="5"/>
      <c r="AL3169" s="5">
        <f t="shared" si="100"/>
        <v>0</v>
      </c>
    </row>
    <row r="3170" spans="1:38" ht="25.5" customHeight="1" x14ac:dyDescent="0.25">
      <c r="A3170" s="10" t="s">
        <v>820</v>
      </c>
      <c r="B3170" s="11" t="s">
        <v>1659</v>
      </c>
      <c r="C3170" s="5">
        <v>59746.832600000002</v>
      </c>
      <c r="D3170" s="5">
        <v>59746.832600000002</v>
      </c>
      <c r="E3170" s="5">
        <v>54101.823700000001</v>
      </c>
      <c r="G3170" s="5" t="str">
        <f t="shared" si="99"/>
        <v>СОВХОЗ</v>
      </c>
      <c r="J3170" s="5"/>
      <c r="AL3170" s="5">
        <f t="shared" si="100"/>
        <v>0</v>
      </c>
    </row>
    <row r="3171" spans="1:38" ht="25.5" customHeight="1" x14ac:dyDescent="0.25">
      <c r="A3171" s="10" t="s">
        <v>2870</v>
      </c>
      <c r="B3171" s="11" t="s">
        <v>1675</v>
      </c>
      <c r="C3171" s="5">
        <v>35756.285400000001</v>
      </c>
      <c r="D3171" s="5">
        <v>35756.285400000001</v>
      </c>
      <c r="E3171" s="5">
        <v>32158.5213</v>
      </c>
      <c r="G3171" s="5" t="str">
        <f t="shared" si="99"/>
        <v>УАЗ-II</v>
      </c>
      <c r="J3171" s="5"/>
      <c r="AL3171" s="5">
        <f t="shared" si="100"/>
        <v>0</v>
      </c>
    </row>
    <row r="3172" spans="1:38" ht="25.5" customHeight="1" x14ac:dyDescent="0.25">
      <c r="A3172" s="10" t="s">
        <v>2871</v>
      </c>
      <c r="B3172" s="11" t="s">
        <v>1645</v>
      </c>
      <c r="C3172" s="5">
        <v>60958.294800000003</v>
      </c>
      <c r="D3172" s="5">
        <v>60958.294800000003</v>
      </c>
      <c r="E3172" s="5">
        <v>55198.825199999999</v>
      </c>
      <c r="G3172" s="5" t="str">
        <f t="shared" si="99"/>
        <v>ЕЛИЗАВЕТ</v>
      </c>
      <c r="J3172" s="5"/>
      <c r="AL3172" s="5">
        <f t="shared" si="100"/>
        <v>0</v>
      </c>
    </row>
    <row r="3173" spans="1:38" ht="25.5" customHeight="1" x14ac:dyDescent="0.25">
      <c r="A3173" s="10" t="s">
        <v>2872</v>
      </c>
      <c r="B3173" s="11" t="s">
        <v>1676</v>
      </c>
      <c r="C3173" s="5">
        <v>28848.8855</v>
      </c>
      <c r="D3173" s="5">
        <v>28848.8855</v>
      </c>
      <c r="E3173" s="5">
        <v>25946.143</v>
      </c>
      <c r="G3173" s="5" t="str">
        <f t="shared" si="99"/>
        <v>Чкаловский</v>
      </c>
      <c r="J3173" s="5"/>
      <c r="AL3173" s="5">
        <f t="shared" si="100"/>
        <v>0</v>
      </c>
    </row>
    <row r="3174" spans="1:38" ht="25.5" customHeight="1" x14ac:dyDescent="0.25">
      <c r="A3174" s="10" t="s">
        <v>2873</v>
      </c>
      <c r="B3174" s="11" t="s">
        <v>1645</v>
      </c>
      <c r="C3174" s="5">
        <v>60958.294800000003</v>
      </c>
      <c r="D3174" s="5">
        <v>60958.294800000003</v>
      </c>
      <c r="E3174" s="5">
        <v>55198.825199999999</v>
      </c>
      <c r="G3174" s="5" t="str">
        <f t="shared" si="99"/>
        <v>ЕЛИЗАВЕТ</v>
      </c>
      <c r="J3174" s="5"/>
      <c r="AL3174" s="5">
        <f t="shared" si="100"/>
        <v>0</v>
      </c>
    </row>
    <row r="3175" spans="1:38" ht="25.5" customHeight="1" x14ac:dyDescent="0.25">
      <c r="A3175" s="10" t="s">
        <v>2874</v>
      </c>
      <c r="B3175" s="11" t="s">
        <v>1676</v>
      </c>
      <c r="C3175" s="5">
        <v>28848.8855</v>
      </c>
      <c r="D3175" s="5">
        <v>28848.8855</v>
      </c>
      <c r="E3175" s="5">
        <v>25946.143</v>
      </c>
      <c r="G3175" s="5" t="str">
        <f t="shared" si="99"/>
        <v>Чкаловский</v>
      </c>
      <c r="J3175" s="5"/>
      <c r="AL3175" s="5">
        <f t="shared" si="100"/>
        <v>0</v>
      </c>
    </row>
    <row r="3176" spans="1:38" ht="25.5" customHeight="1" x14ac:dyDescent="0.25">
      <c r="A3176" s="10" t="s">
        <v>2875</v>
      </c>
      <c r="B3176" s="11" t="s">
        <v>1676</v>
      </c>
      <c r="C3176" s="5">
        <v>28848.8855</v>
      </c>
      <c r="D3176" s="5">
        <v>28848.8855</v>
      </c>
      <c r="E3176" s="5">
        <v>25946.143</v>
      </c>
      <c r="G3176" s="5" t="str">
        <f t="shared" si="99"/>
        <v>Чкаловский</v>
      </c>
      <c r="J3176" s="5"/>
      <c r="AL3176" s="5">
        <f t="shared" si="100"/>
        <v>0</v>
      </c>
    </row>
    <row r="3177" spans="1:38" ht="25.5" customHeight="1" x14ac:dyDescent="0.25">
      <c r="A3177" s="10" t="s">
        <v>2876</v>
      </c>
      <c r="B3177" s="11" t="s">
        <v>1639</v>
      </c>
      <c r="C3177" s="5">
        <v>53500.443299999999</v>
      </c>
      <c r="D3177" s="5">
        <v>53500.443299999999</v>
      </c>
      <c r="E3177" s="5">
        <v>48445.605100000001</v>
      </c>
      <c r="G3177" s="5" t="str">
        <f t="shared" si="99"/>
        <v>ИСТОК</v>
      </c>
      <c r="J3177" s="5"/>
      <c r="AL3177" s="5">
        <f t="shared" si="100"/>
        <v>0</v>
      </c>
    </row>
    <row r="3178" spans="1:38" ht="25.5" customHeight="1" x14ac:dyDescent="0.25">
      <c r="A3178" s="10" t="s">
        <v>2877</v>
      </c>
      <c r="B3178" s="11" t="s">
        <v>1666</v>
      </c>
      <c r="C3178" s="5">
        <v>46784.877899999999</v>
      </c>
      <c r="D3178" s="5">
        <v>46784.877899999999</v>
      </c>
      <c r="E3178" s="5">
        <v>42364.543299999998</v>
      </c>
      <c r="G3178" s="5" t="str">
        <f t="shared" si="99"/>
        <v>Сулим.Торфянник</v>
      </c>
      <c r="J3178" s="5"/>
      <c r="AL3178" s="5">
        <f t="shared" si="100"/>
        <v>0</v>
      </c>
    </row>
    <row r="3179" spans="1:38" ht="25.5" customHeight="1" x14ac:dyDescent="0.25">
      <c r="A3179" s="10" t="s">
        <v>2878</v>
      </c>
      <c r="B3179" s="11" t="s">
        <v>33</v>
      </c>
      <c r="C3179" s="5">
        <v>84298.205100000006</v>
      </c>
      <c r="D3179" s="5">
        <v>84298.205100000006</v>
      </c>
      <c r="E3179" s="5">
        <v>76333.533100000001</v>
      </c>
      <c r="G3179" s="5" t="str">
        <f t="shared" si="99"/>
        <v>ВИЗ</v>
      </c>
      <c r="J3179" s="5"/>
      <c r="AL3179" s="5">
        <f t="shared" si="100"/>
        <v>0</v>
      </c>
    </row>
    <row r="3180" spans="1:38" ht="25.5" customHeight="1" x14ac:dyDescent="0.25">
      <c r="A3180" s="10" t="s">
        <v>2879</v>
      </c>
      <c r="B3180" s="11" t="s">
        <v>1647</v>
      </c>
      <c r="C3180" s="5">
        <v>63178.133800000003</v>
      </c>
      <c r="D3180" s="5">
        <v>63178.133800000003</v>
      </c>
      <c r="E3180" s="5">
        <v>57208.931499999999</v>
      </c>
      <c r="G3180" s="5" t="str">
        <f t="shared" si="99"/>
        <v>ШИРОКАЯ РЕЧКА</v>
      </c>
      <c r="J3180" s="5"/>
      <c r="AL3180" s="5">
        <f t="shared" si="100"/>
        <v>0</v>
      </c>
    </row>
    <row r="3181" spans="1:38" ht="25.5" customHeight="1" x14ac:dyDescent="0.25">
      <c r="A3181" s="10" t="s">
        <v>2880</v>
      </c>
      <c r="B3181" s="11" t="s">
        <v>1647</v>
      </c>
      <c r="C3181" s="5">
        <v>63178.133800000003</v>
      </c>
      <c r="D3181" s="5">
        <v>63178.133800000003</v>
      </c>
      <c r="E3181" s="5">
        <v>57208.931499999999</v>
      </c>
      <c r="G3181" s="5" t="str">
        <f t="shared" si="99"/>
        <v>ШИРОКАЯ РЕЧКА</v>
      </c>
      <c r="J3181" s="5"/>
      <c r="AL3181" s="5">
        <f t="shared" si="100"/>
        <v>0</v>
      </c>
    </row>
    <row r="3182" spans="1:38" ht="25.5" customHeight="1" x14ac:dyDescent="0.25">
      <c r="A3182" s="10" t="s">
        <v>2881</v>
      </c>
      <c r="B3182" s="11" t="s">
        <v>1665</v>
      </c>
      <c r="C3182" s="5">
        <v>55692.278700000003</v>
      </c>
      <c r="D3182" s="5">
        <v>55692.278700000003</v>
      </c>
      <c r="E3182" s="5">
        <v>50430.350200000001</v>
      </c>
      <c r="G3182" s="5" t="str">
        <f t="shared" si="99"/>
        <v>ПОЛЕВОДСТВО</v>
      </c>
      <c r="J3182" s="5"/>
      <c r="AL3182" s="5">
        <f t="shared" si="100"/>
        <v>0</v>
      </c>
    </row>
    <row r="3183" spans="1:38" ht="25.5" customHeight="1" x14ac:dyDescent="0.25">
      <c r="A3183" s="10" t="s">
        <v>2882</v>
      </c>
      <c r="B3183" s="11" t="s">
        <v>1678</v>
      </c>
      <c r="C3183" s="5">
        <v>37400.280599999998</v>
      </c>
      <c r="D3183" s="5">
        <v>37400.280599999998</v>
      </c>
      <c r="E3183" s="5">
        <v>33637.106500000002</v>
      </c>
      <c r="G3183" s="5" t="str">
        <f t="shared" si="99"/>
        <v>Южный</v>
      </c>
      <c r="J3183" s="5"/>
      <c r="AL3183" s="5">
        <f t="shared" si="100"/>
        <v>0</v>
      </c>
    </row>
    <row r="3184" spans="1:38" ht="25.5" customHeight="1" x14ac:dyDescent="0.25">
      <c r="A3184" s="10" t="s">
        <v>2883</v>
      </c>
      <c r="B3184" s="11" t="s">
        <v>1677</v>
      </c>
      <c r="C3184" s="5">
        <v>39105.413099999998</v>
      </c>
      <c r="D3184" s="5">
        <v>39105.413099999998</v>
      </c>
      <c r="E3184" s="5">
        <v>35170.666700000002</v>
      </c>
      <c r="G3184" s="5" t="str">
        <f t="shared" si="99"/>
        <v>Октябрьский</v>
      </c>
      <c r="J3184" s="5"/>
      <c r="AL3184" s="5">
        <f t="shared" si="100"/>
        <v>0</v>
      </c>
    </row>
    <row r="3185" spans="1:38" ht="25.5" customHeight="1" x14ac:dyDescent="0.25">
      <c r="A3185" s="10" t="s">
        <v>567</v>
      </c>
      <c r="B3185" s="11" t="s">
        <v>33</v>
      </c>
      <c r="C3185" s="5">
        <v>84298.205100000006</v>
      </c>
      <c r="D3185" s="5">
        <v>84298.205100000006</v>
      </c>
      <c r="E3185" s="5">
        <v>76333.533100000001</v>
      </c>
      <c r="G3185" s="5" t="str">
        <f t="shared" si="99"/>
        <v>ВИЗ</v>
      </c>
      <c r="J3185" s="5"/>
      <c r="AL3185" s="5">
        <f t="shared" si="100"/>
        <v>0</v>
      </c>
    </row>
    <row r="3186" spans="1:38" ht="25.5" customHeight="1" x14ac:dyDescent="0.25">
      <c r="A3186" s="10" t="s">
        <v>2884</v>
      </c>
      <c r="B3186" s="11" t="s">
        <v>1639</v>
      </c>
      <c r="C3186" s="5">
        <v>53500.443299999999</v>
      </c>
      <c r="D3186" s="5">
        <v>53500.443299999999</v>
      </c>
      <c r="E3186" s="5">
        <v>48445.605100000001</v>
      </c>
      <c r="G3186" s="5" t="str">
        <f t="shared" si="99"/>
        <v>ИСТОК</v>
      </c>
      <c r="J3186" s="5"/>
      <c r="AL3186" s="5">
        <f t="shared" si="100"/>
        <v>0</v>
      </c>
    </row>
    <row r="3187" spans="1:38" ht="25.5" customHeight="1" x14ac:dyDescent="0.25">
      <c r="A3187" s="10" t="s">
        <v>733</v>
      </c>
      <c r="B3187" s="11" t="s">
        <v>1679</v>
      </c>
      <c r="C3187" s="5">
        <v>28855.326499999999</v>
      </c>
      <c r="D3187" s="5">
        <v>28855.326499999999</v>
      </c>
      <c r="E3187" s="5">
        <v>25951.933700000001</v>
      </c>
      <c r="G3187" s="5" t="str">
        <f t="shared" si="99"/>
        <v>Ст.Каменск-Хозспособ</v>
      </c>
      <c r="J3187" s="5"/>
      <c r="AL3187" s="5">
        <f t="shared" si="100"/>
        <v>0</v>
      </c>
    </row>
    <row r="3188" spans="1:38" ht="25.5" customHeight="1" x14ac:dyDescent="0.25">
      <c r="A3188" s="10" t="s">
        <v>1550</v>
      </c>
      <c r="B3188" s="11" t="s">
        <v>1676</v>
      </c>
      <c r="C3188" s="5">
        <v>28848.8855</v>
      </c>
      <c r="D3188" s="5">
        <v>28848.8855</v>
      </c>
      <c r="E3188" s="5">
        <v>25946.143</v>
      </c>
      <c r="G3188" s="5" t="str">
        <f t="shared" si="99"/>
        <v>Чкаловский</v>
      </c>
      <c r="J3188" s="5"/>
      <c r="AL3188" s="5">
        <f t="shared" si="100"/>
        <v>0</v>
      </c>
    </row>
    <row r="3189" spans="1:38" ht="25.5" customHeight="1" x14ac:dyDescent="0.25">
      <c r="A3189" s="10" t="s">
        <v>2885</v>
      </c>
      <c r="B3189" s="11" t="s">
        <v>1661</v>
      </c>
      <c r="C3189" s="5">
        <v>51175.5573</v>
      </c>
      <c r="D3189" s="5">
        <v>51175.5573</v>
      </c>
      <c r="E3189" s="5">
        <v>46340.381600000001</v>
      </c>
      <c r="G3189" s="5" t="str">
        <f t="shared" si="99"/>
        <v>СЕВЕРКА</v>
      </c>
      <c r="J3189" s="5"/>
      <c r="AL3189" s="5">
        <f t="shared" si="100"/>
        <v>0</v>
      </c>
    </row>
    <row r="3190" spans="1:38" ht="25.5" customHeight="1" x14ac:dyDescent="0.25">
      <c r="A3190" s="10" t="s">
        <v>475</v>
      </c>
      <c r="B3190" s="11" t="s">
        <v>1647</v>
      </c>
      <c r="C3190" s="5">
        <v>63178.133800000003</v>
      </c>
      <c r="D3190" s="5">
        <v>63178.133800000003</v>
      </c>
      <c r="E3190" s="5">
        <v>57208.931499999999</v>
      </c>
      <c r="G3190" s="5" t="str">
        <f t="shared" si="99"/>
        <v>ШИРОКАЯ РЕЧКА</v>
      </c>
      <c r="J3190" s="5"/>
      <c r="AL3190" s="5">
        <f t="shared" si="100"/>
        <v>0</v>
      </c>
    </row>
    <row r="3191" spans="1:38" ht="25.5" customHeight="1" x14ac:dyDescent="0.25">
      <c r="A3191" s="10" t="s">
        <v>2886</v>
      </c>
      <c r="B3191" s="11" t="s">
        <v>33</v>
      </c>
      <c r="C3191" s="5">
        <v>84298.205100000006</v>
      </c>
      <c r="D3191" s="5">
        <v>84298.205100000006</v>
      </c>
      <c r="E3191" s="5">
        <v>76333.533100000001</v>
      </c>
      <c r="G3191" s="5" t="str">
        <f t="shared" si="99"/>
        <v>ВИЗ</v>
      </c>
      <c r="J3191" s="5"/>
      <c r="AL3191" s="5">
        <f t="shared" si="100"/>
        <v>0</v>
      </c>
    </row>
    <row r="3192" spans="1:38" ht="25.5" customHeight="1" x14ac:dyDescent="0.25">
      <c r="A3192" s="10" t="s">
        <v>305</v>
      </c>
      <c r="B3192" s="11" t="s">
        <v>1677</v>
      </c>
      <c r="C3192" s="5">
        <v>39105.413099999998</v>
      </c>
      <c r="D3192" s="5">
        <v>39105.413099999998</v>
      </c>
      <c r="E3192" s="5">
        <v>35170.666700000002</v>
      </c>
      <c r="G3192" s="5" t="str">
        <f t="shared" si="99"/>
        <v>Октябрьский</v>
      </c>
      <c r="J3192" s="5"/>
      <c r="AL3192" s="5">
        <f t="shared" si="100"/>
        <v>0</v>
      </c>
    </row>
    <row r="3193" spans="1:38" ht="25.5" customHeight="1" x14ac:dyDescent="0.25">
      <c r="A3193" s="10" t="s">
        <v>2887</v>
      </c>
      <c r="B3193" s="11" t="s">
        <v>1629</v>
      </c>
      <c r="C3193" s="5">
        <v>77743.704100000003</v>
      </c>
      <c r="D3193" s="5">
        <v>77743.704100000003</v>
      </c>
      <c r="E3193" s="5">
        <v>70398.310800000007</v>
      </c>
      <c r="G3193" s="5" t="str">
        <f t="shared" si="99"/>
        <v>ПИОНЕРСКИЙ</v>
      </c>
      <c r="J3193" s="5"/>
      <c r="AL3193" s="5">
        <f t="shared" si="100"/>
        <v>0</v>
      </c>
    </row>
    <row r="3194" spans="1:38" ht="25.5" customHeight="1" x14ac:dyDescent="0.25">
      <c r="A3194" s="10" t="s">
        <v>1149</v>
      </c>
      <c r="B3194" s="11" t="s">
        <v>1633</v>
      </c>
      <c r="C3194" s="5">
        <v>77071.442599999995</v>
      </c>
      <c r="D3194" s="5">
        <v>77071.442599999995</v>
      </c>
      <c r="E3194" s="5">
        <v>69789.570900000006</v>
      </c>
      <c r="G3194" s="5" t="str">
        <f t="shared" si="99"/>
        <v>ВТУЗГОРОДОК</v>
      </c>
      <c r="J3194" s="5"/>
      <c r="AL3194" s="5">
        <f t="shared" si="100"/>
        <v>0</v>
      </c>
    </row>
    <row r="3195" spans="1:38" ht="25.5" customHeight="1" x14ac:dyDescent="0.25">
      <c r="A3195" s="10" t="s">
        <v>715</v>
      </c>
      <c r="B3195" s="11" t="s">
        <v>1677</v>
      </c>
      <c r="C3195" s="5">
        <v>39105.413099999998</v>
      </c>
      <c r="D3195" s="5">
        <v>39105.413099999998</v>
      </c>
      <c r="E3195" s="5">
        <v>35170.666700000002</v>
      </c>
      <c r="G3195" s="5" t="str">
        <f t="shared" si="99"/>
        <v>Октябрьский</v>
      </c>
      <c r="J3195" s="5"/>
      <c r="AL3195" s="5">
        <f t="shared" si="100"/>
        <v>0</v>
      </c>
    </row>
    <row r="3196" spans="1:38" ht="25.5" customHeight="1" x14ac:dyDescent="0.25">
      <c r="A3196" s="10" t="s">
        <v>2888</v>
      </c>
      <c r="B3196" s="11" t="s">
        <v>389</v>
      </c>
      <c r="C3196" s="5">
        <v>51175.5573</v>
      </c>
      <c r="D3196" s="5">
        <v>51175.5573</v>
      </c>
      <c r="E3196" s="5">
        <v>46340.381600000001</v>
      </c>
      <c r="G3196" s="5" t="str">
        <f t="shared" si="99"/>
        <v>Северка</v>
      </c>
      <c r="J3196" s="5"/>
      <c r="AL3196" s="5">
        <f t="shared" si="100"/>
        <v>0</v>
      </c>
    </row>
    <row r="3197" spans="1:38" ht="25.5" customHeight="1" x14ac:dyDescent="0.25">
      <c r="A3197" s="10" t="s">
        <v>614</v>
      </c>
      <c r="B3197" s="11" t="s">
        <v>14</v>
      </c>
      <c r="C3197" s="5">
        <v>93989.912800000006</v>
      </c>
      <c r="D3197" s="5">
        <v>93989.912800000006</v>
      </c>
      <c r="E3197" s="5">
        <v>85109.545199999993</v>
      </c>
      <c r="G3197" s="5" t="str">
        <f t="shared" si="99"/>
        <v>Центр</v>
      </c>
      <c r="J3197" s="5"/>
      <c r="AL3197" s="5">
        <f t="shared" si="100"/>
        <v>0</v>
      </c>
    </row>
    <row r="3198" spans="1:38" ht="25.5" customHeight="1" x14ac:dyDescent="0.25">
      <c r="A3198" s="10" t="s">
        <v>2889</v>
      </c>
      <c r="B3198" s="11" t="s">
        <v>1647</v>
      </c>
      <c r="C3198" s="5">
        <v>63178.133800000003</v>
      </c>
      <c r="D3198" s="5">
        <v>63178.133800000003</v>
      </c>
      <c r="E3198" s="5">
        <v>57208.931499999999</v>
      </c>
      <c r="G3198" s="5" t="str">
        <f t="shared" si="99"/>
        <v>ШИРОКАЯ РЕЧКА</v>
      </c>
      <c r="J3198" s="5"/>
      <c r="AL3198" s="5">
        <f t="shared" si="100"/>
        <v>0</v>
      </c>
    </row>
    <row r="3199" spans="1:38" ht="25.5" customHeight="1" x14ac:dyDescent="0.25">
      <c r="A3199" s="10" t="s">
        <v>2890</v>
      </c>
      <c r="B3199" s="11" t="s">
        <v>1681</v>
      </c>
      <c r="C3199" s="5">
        <v>32172.2909</v>
      </c>
      <c r="D3199" s="5">
        <v>32172.2909</v>
      </c>
      <c r="E3199" s="5">
        <v>28935.146499999999</v>
      </c>
      <c r="G3199" s="5" t="str">
        <f t="shared" si="99"/>
        <v>Ленин-Олимп</v>
      </c>
      <c r="J3199" s="5"/>
      <c r="AL3199" s="5">
        <f t="shared" si="100"/>
        <v>0</v>
      </c>
    </row>
    <row r="3200" spans="1:38" ht="25.5" customHeight="1" x14ac:dyDescent="0.25">
      <c r="A3200" s="10" t="s">
        <v>2891</v>
      </c>
      <c r="B3200" s="11" t="s">
        <v>1637</v>
      </c>
      <c r="C3200" s="5">
        <v>59368.686099999999</v>
      </c>
      <c r="D3200" s="5">
        <v>59368.686099999999</v>
      </c>
      <c r="E3200" s="5">
        <v>53759.401700000002</v>
      </c>
      <c r="G3200" s="5" t="str">
        <f t="shared" si="99"/>
        <v>Старая сортировка</v>
      </c>
      <c r="J3200" s="5"/>
      <c r="AL3200" s="5">
        <f t="shared" si="100"/>
        <v>0</v>
      </c>
    </row>
    <row r="3201" spans="1:38" ht="25.5" customHeight="1" x14ac:dyDescent="0.25">
      <c r="A3201" s="10" t="s">
        <v>2892</v>
      </c>
      <c r="B3201" s="11" t="s">
        <v>389</v>
      </c>
      <c r="C3201" s="5">
        <v>51175.5573</v>
      </c>
      <c r="D3201" s="5">
        <v>51175.5573</v>
      </c>
      <c r="E3201" s="5">
        <v>46340.381600000001</v>
      </c>
      <c r="G3201" s="5" t="str">
        <f t="shared" si="99"/>
        <v>Северка</v>
      </c>
      <c r="J3201" s="5"/>
      <c r="AL3201" s="5">
        <f t="shared" si="100"/>
        <v>0</v>
      </c>
    </row>
    <row r="3202" spans="1:38" ht="25.5" customHeight="1" x14ac:dyDescent="0.25">
      <c r="A3202" s="10" t="s">
        <v>2893</v>
      </c>
      <c r="B3202" s="11" t="s">
        <v>1676</v>
      </c>
      <c r="C3202" s="5">
        <v>28848.8855</v>
      </c>
      <c r="D3202" s="5">
        <v>28848.8855</v>
      </c>
      <c r="E3202" s="5">
        <v>25946.143</v>
      </c>
      <c r="G3202" s="5" t="str">
        <f t="shared" ref="G3202:G3265" si="101">B3202</f>
        <v>Чкаловский</v>
      </c>
      <c r="J3202" s="5"/>
      <c r="AL3202" s="5">
        <f t="shared" ref="AL3202:AL3265" si="102">AF3202</f>
        <v>0</v>
      </c>
    </row>
    <row r="3203" spans="1:38" ht="25.5" customHeight="1" x14ac:dyDescent="0.25">
      <c r="A3203" s="10" t="s">
        <v>2894</v>
      </c>
      <c r="B3203" s="11" t="s">
        <v>1660</v>
      </c>
      <c r="C3203" s="5">
        <v>53262.345800000003</v>
      </c>
      <c r="D3203" s="5">
        <v>53262.345800000003</v>
      </c>
      <c r="E3203" s="5">
        <v>48230.0095</v>
      </c>
      <c r="G3203" s="5" t="str">
        <f t="shared" si="101"/>
        <v>САДОВЫЙ</v>
      </c>
      <c r="J3203" s="5"/>
      <c r="AL3203" s="5">
        <f t="shared" si="102"/>
        <v>0</v>
      </c>
    </row>
    <row r="3204" spans="1:38" ht="25.5" customHeight="1" x14ac:dyDescent="0.25">
      <c r="A3204" s="10" t="s">
        <v>2895</v>
      </c>
      <c r="B3204" s="11" t="s">
        <v>1636</v>
      </c>
      <c r="C3204" s="5">
        <v>52246.960299999999</v>
      </c>
      <c r="D3204" s="5">
        <v>52246.960299999999</v>
      </c>
      <c r="E3204" s="5">
        <v>47310.556700000001</v>
      </c>
      <c r="G3204" s="5" t="str">
        <f t="shared" si="101"/>
        <v>ГОРНЫЙ ЩИТ</v>
      </c>
      <c r="J3204" s="5"/>
      <c r="AL3204" s="5">
        <f t="shared" si="102"/>
        <v>0</v>
      </c>
    </row>
    <row r="3205" spans="1:38" ht="25.5" customHeight="1" x14ac:dyDescent="0.25">
      <c r="A3205" s="10" t="s">
        <v>263</v>
      </c>
      <c r="B3205" s="11" t="s">
        <v>1674</v>
      </c>
      <c r="C3205" s="5">
        <v>29199.565200000001</v>
      </c>
      <c r="D3205" s="5">
        <v>29199.565200000001</v>
      </c>
      <c r="E3205" s="5">
        <v>26261.5317</v>
      </c>
      <c r="G3205" s="5" t="str">
        <f t="shared" si="101"/>
        <v>УАЗ</v>
      </c>
      <c r="J3205" s="5"/>
      <c r="AL3205" s="5">
        <f t="shared" si="102"/>
        <v>0</v>
      </c>
    </row>
    <row r="3206" spans="1:38" ht="25.5" customHeight="1" x14ac:dyDescent="0.25">
      <c r="A3206" s="10" t="s">
        <v>2896</v>
      </c>
      <c r="B3206" s="11" t="s">
        <v>1648</v>
      </c>
      <c r="C3206" s="5">
        <v>49782.025399999999</v>
      </c>
      <c r="D3206" s="5">
        <v>49782.025399999999</v>
      </c>
      <c r="E3206" s="5">
        <v>45078.506800000003</v>
      </c>
      <c r="G3206" s="5" t="str">
        <f t="shared" si="101"/>
        <v>ЧУСОВСКОЕ ОЗЕРО</v>
      </c>
      <c r="J3206" s="5"/>
      <c r="AL3206" s="5">
        <f t="shared" si="102"/>
        <v>0</v>
      </c>
    </row>
    <row r="3207" spans="1:38" ht="25.5" customHeight="1" x14ac:dyDescent="0.25">
      <c r="A3207" s="10" t="s">
        <v>2897</v>
      </c>
      <c r="B3207" s="11" t="s">
        <v>1676</v>
      </c>
      <c r="C3207" s="5">
        <v>28848.8855</v>
      </c>
      <c r="D3207" s="5">
        <v>28848.8855</v>
      </c>
      <c r="E3207" s="5">
        <v>25946.143</v>
      </c>
      <c r="G3207" s="5" t="str">
        <f t="shared" si="101"/>
        <v>Чкаловский</v>
      </c>
      <c r="J3207" s="5"/>
      <c r="AL3207" s="5">
        <f t="shared" si="102"/>
        <v>0</v>
      </c>
    </row>
    <row r="3208" spans="1:38" ht="25.5" customHeight="1" x14ac:dyDescent="0.25">
      <c r="A3208" s="10" t="s">
        <v>2898</v>
      </c>
      <c r="B3208" s="11" t="s">
        <v>1657</v>
      </c>
      <c r="C3208" s="5">
        <v>54886.9666</v>
      </c>
      <c r="D3208" s="5">
        <v>54886.9666</v>
      </c>
      <c r="E3208" s="5">
        <v>49701.1319</v>
      </c>
      <c r="G3208" s="5" t="str">
        <f t="shared" si="101"/>
        <v>КОЛЬЦОВО</v>
      </c>
      <c r="J3208" s="5"/>
      <c r="AL3208" s="5">
        <f t="shared" si="102"/>
        <v>0</v>
      </c>
    </row>
    <row r="3209" spans="1:38" ht="25.5" customHeight="1" x14ac:dyDescent="0.25">
      <c r="A3209" s="10" t="s">
        <v>2899</v>
      </c>
      <c r="B3209" s="11" t="s">
        <v>1667</v>
      </c>
      <c r="C3209" s="5">
        <v>56546.599699999999</v>
      </c>
      <c r="D3209" s="5">
        <v>56546.599699999999</v>
      </c>
      <c r="E3209" s="5">
        <v>51203.963499999998</v>
      </c>
      <c r="G3209" s="5" t="str">
        <f t="shared" si="101"/>
        <v>КАЛИНОВСКИЙ</v>
      </c>
      <c r="J3209" s="5"/>
      <c r="AL3209" s="5">
        <f t="shared" si="102"/>
        <v>0</v>
      </c>
    </row>
    <row r="3210" spans="1:38" ht="25.5" customHeight="1" x14ac:dyDescent="0.25">
      <c r="A3210" s="10" t="s">
        <v>2900</v>
      </c>
      <c r="B3210" s="11" t="s">
        <v>118</v>
      </c>
      <c r="C3210" s="5">
        <v>53500.443299999999</v>
      </c>
      <c r="D3210" s="5">
        <v>53500.443299999999</v>
      </c>
      <c r="E3210" s="5">
        <v>48445.605100000001</v>
      </c>
      <c r="G3210" s="5" t="str">
        <f t="shared" si="101"/>
        <v>Исток</v>
      </c>
      <c r="J3210" s="5"/>
      <c r="AL3210" s="5">
        <f t="shared" si="102"/>
        <v>0</v>
      </c>
    </row>
    <row r="3211" spans="1:38" ht="25.5" customHeight="1" x14ac:dyDescent="0.25">
      <c r="A3211" s="10" t="s">
        <v>2901</v>
      </c>
      <c r="B3211" s="11" t="s">
        <v>1676</v>
      </c>
      <c r="C3211" s="5">
        <v>28848.8855</v>
      </c>
      <c r="D3211" s="5">
        <v>28848.8855</v>
      </c>
      <c r="E3211" s="5">
        <v>25946.143</v>
      </c>
      <c r="G3211" s="5" t="str">
        <f t="shared" si="101"/>
        <v>Чкаловский</v>
      </c>
      <c r="J3211" s="5"/>
      <c r="AL3211" s="5">
        <f t="shared" si="102"/>
        <v>0</v>
      </c>
    </row>
    <row r="3212" spans="1:38" ht="25.5" customHeight="1" x14ac:dyDescent="0.25">
      <c r="A3212" s="10" t="s">
        <v>2902</v>
      </c>
      <c r="B3212" s="11" t="s">
        <v>1676</v>
      </c>
      <c r="C3212" s="5">
        <v>28848.8855</v>
      </c>
      <c r="D3212" s="5">
        <v>28848.8855</v>
      </c>
      <c r="E3212" s="5">
        <v>25946.143</v>
      </c>
      <c r="G3212" s="5" t="str">
        <f t="shared" si="101"/>
        <v>Чкаловский</v>
      </c>
      <c r="J3212" s="5"/>
      <c r="AL3212" s="5">
        <f t="shared" si="102"/>
        <v>0</v>
      </c>
    </row>
    <row r="3213" spans="1:38" ht="25.5" customHeight="1" x14ac:dyDescent="0.25">
      <c r="A3213" s="10" t="s">
        <v>2903</v>
      </c>
      <c r="B3213" s="11" t="s">
        <v>1691</v>
      </c>
      <c r="C3213" s="5">
        <v>36244.5985</v>
      </c>
      <c r="D3213" s="5">
        <v>36244.5985</v>
      </c>
      <c r="E3213" s="5">
        <v>32992.053800000002</v>
      </c>
      <c r="G3213" s="5" t="str">
        <f t="shared" si="101"/>
        <v>ДинСанПод</v>
      </c>
      <c r="J3213" s="5"/>
      <c r="AL3213" s="5">
        <f t="shared" si="102"/>
        <v>0</v>
      </c>
    </row>
    <row r="3214" spans="1:38" ht="25.5" customHeight="1" x14ac:dyDescent="0.25">
      <c r="A3214" s="10" t="s">
        <v>2904</v>
      </c>
      <c r="B3214" s="11" t="s">
        <v>1656</v>
      </c>
      <c r="C3214" s="5">
        <v>60173.9879</v>
      </c>
      <c r="D3214" s="5">
        <v>60173.9879</v>
      </c>
      <c r="E3214" s="5">
        <v>54488.630299999997</v>
      </c>
      <c r="G3214" s="5" t="str">
        <f t="shared" si="101"/>
        <v>МАЛЫЙ ИСТОК</v>
      </c>
      <c r="J3214" s="5"/>
      <c r="AL3214" s="5">
        <f t="shared" si="102"/>
        <v>0</v>
      </c>
    </row>
    <row r="3215" spans="1:38" ht="25.5" customHeight="1" x14ac:dyDescent="0.25">
      <c r="A3215" s="10" t="s">
        <v>2905</v>
      </c>
      <c r="B3215" s="11" t="s">
        <v>1631</v>
      </c>
      <c r="C3215" s="5">
        <v>70026.7601</v>
      </c>
      <c r="D3215" s="5">
        <v>70026.7601</v>
      </c>
      <c r="E3215" s="5">
        <v>63410.482000000004</v>
      </c>
      <c r="G3215" s="5" t="str">
        <f t="shared" si="101"/>
        <v>УРАЛМАШ</v>
      </c>
      <c r="J3215" s="5"/>
      <c r="AL3215" s="5">
        <f t="shared" si="102"/>
        <v>0</v>
      </c>
    </row>
    <row r="3216" spans="1:38" ht="25.5" customHeight="1" x14ac:dyDescent="0.25">
      <c r="A3216" s="10" t="s">
        <v>2906</v>
      </c>
      <c r="B3216" s="11" t="s">
        <v>1645</v>
      </c>
      <c r="C3216" s="5">
        <v>60958.294800000003</v>
      </c>
      <c r="D3216" s="5">
        <v>60958.294800000003</v>
      </c>
      <c r="E3216" s="5">
        <v>55198.825199999999</v>
      </c>
      <c r="G3216" s="5" t="str">
        <f t="shared" si="101"/>
        <v>ЕЛИЗАВЕТ</v>
      </c>
      <c r="J3216" s="5"/>
      <c r="AL3216" s="5">
        <f t="shared" si="102"/>
        <v>0</v>
      </c>
    </row>
    <row r="3217" spans="1:38" ht="25.5" customHeight="1" x14ac:dyDescent="0.25">
      <c r="A3217" s="10" t="s">
        <v>2907</v>
      </c>
      <c r="B3217" s="11" t="s">
        <v>483</v>
      </c>
      <c r="C3217" s="5">
        <v>44242.899599999997</v>
      </c>
      <c r="D3217" s="5">
        <v>44242.899599999997</v>
      </c>
      <c r="E3217" s="5">
        <v>40062.737300000001</v>
      </c>
      <c r="G3217" s="5" t="str">
        <f t="shared" si="101"/>
        <v>Шувакиш</v>
      </c>
      <c r="J3217" s="5"/>
      <c r="AL3217" s="5">
        <f t="shared" si="102"/>
        <v>0</v>
      </c>
    </row>
    <row r="3218" spans="1:38" ht="25.5" customHeight="1" x14ac:dyDescent="0.25">
      <c r="A3218" s="10" t="s">
        <v>1432</v>
      </c>
      <c r="B3218" s="11" t="s">
        <v>1643</v>
      </c>
      <c r="C3218" s="5">
        <v>76630.280299999999</v>
      </c>
      <c r="D3218" s="5">
        <v>76630.280299999999</v>
      </c>
      <c r="E3218" s="5">
        <v>69390.088799999998</v>
      </c>
      <c r="G3218" s="5" t="str">
        <f t="shared" si="101"/>
        <v>Ю-З</v>
      </c>
      <c r="J3218" s="5"/>
      <c r="AL3218" s="5">
        <f t="shared" si="102"/>
        <v>0</v>
      </c>
    </row>
    <row r="3219" spans="1:38" ht="25.5" customHeight="1" x14ac:dyDescent="0.25">
      <c r="A3219" s="10" t="s">
        <v>2908</v>
      </c>
      <c r="B3219" s="11" t="s">
        <v>1665</v>
      </c>
      <c r="C3219" s="5">
        <v>55692.278700000003</v>
      </c>
      <c r="D3219" s="5">
        <v>55692.278700000003</v>
      </c>
      <c r="E3219" s="5">
        <v>50430.350200000001</v>
      </c>
      <c r="G3219" s="5" t="str">
        <f t="shared" si="101"/>
        <v>ПОЛЕВОДСТВО</v>
      </c>
      <c r="J3219" s="5"/>
      <c r="AL3219" s="5">
        <f t="shared" si="102"/>
        <v>0</v>
      </c>
    </row>
    <row r="3220" spans="1:38" ht="25.5" customHeight="1" x14ac:dyDescent="0.25">
      <c r="A3220" s="10" t="s">
        <v>623</v>
      </c>
      <c r="B3220" s="5" t="s">
        <v>1659</v>
      </c>
      <c r="C3220" s="5">
        <v>59746.832600000002</v>
      </c>
      <c r="D3220" s="5">
        <v>59746.832600000002</v>
      </c>
      <c r="E3220" s="5">
        <v>54101.823700000001</v>
      </c>
      <c r="G3220" s="5" t="str">
        <f t="shared" si="101"/>
        <v>СОВХОЗ</v>
      </c>
      <c r="J3220" s="5"/>
      <c r="AL3220" s="5">
        <f t="shared" si="102"/>
        <v>0</v>
      </c>
    </row>
    <row r="3221" spans="1:38" ht="25.5" customHeight="1" x14ac:dyDescent="0.25">
      <c r="A3221" s="10" t="s">
        <v>2909</v>
      </c>
      <c r="B3221" s="11" t="s">
        <v>1645</v>
      </c>
      <c r="C3221" s="5">
        <v>60958.294800000003</v>
      </c>
      <c r="D3221" s="5">
        <v>60958.294800000003</v>
      </c>
      <c r="E3221" s="5">
        <v>55198.825199999999</v>
      </c>
      <c r="G3221" s="5" t="str">
        <f t="shared" si="101"/>
        <v>ЕЛИЗАВЕТ</v>
      </c>
      <c r="J3221" s="5"/>
      <c r="AL3221" s="5">
        <f t="shared" si="102"/>
        <v>0</v>
      </c>
    </row>
    <row r="3222" spans="1:38" ht="25.5" customHeight="1" x14ac:dyDescent="0.25">
      <c r="A3222" s="10" t="s">
        <v>605</v>
      </c>
      <c r="B3222" s="11" t="s">
        <v>1674</v>
      </c>
      <c r="C3222" s="5">
        <v>29199.565200000001</v>
      </c>
      <c r="D3222" s="5">
        <v>29199.565200000001</v>
      </c>
      <c r="E3222" s="5">
        <v>26261.5317</v>
      </c>
      <c r="G3222" s="5" t="str">
        <f t="shared" si="101"/>
        <v>УАЗ</v>
      </c>
      <c r="J3222" s="5"/>
      <c r="AL3222" s="5">
        <f t="shared" si="102"/>
        <v>0</v>
      </c>
    </row>
    <row r="3223" spans="1:38" ht="25.5" customHeight="1" x14ac:dyDescent="0.25">
      <c r="A3223" s="10" t="s">
        <v>1024</v>
      </c>
      <c r="B3223" s="11" t="s">
        <v>1679</v>
      </c>
      <c r="C3223" s="5">
        <v>28855.326499999999</v>
      </c>
      <c r="D3223" s="5">
        <v>28855.326499999999</v>
      </c>
      <c r="E3223" s="5">
        <v>25951.933700000001</v>
      </c>
      <c r="G3223" s="5" t="str">
        <f t="shared" si="101"/>
        <v>Ст.Каменск-Хозспособ</v>
      </c>
      <c r="J3223" s="5"/>
      <c r="AL3223" s="5">
        <f t="shared" si="102"/>
        <v>0</v>
      </c>
    </row>
    <row r="3224" spans="1:38" ht="25.5" customHeight="1" x14ac:dyDescent="0.25">
      <c r="A3224" s="10" t="s">
        <v>1422</v>
      </c>
      <c r="B3224" s="11" t="s">
        <v>1679</v>
      </c>
      <c r="C3224" s="5">
        <v>28855.326499999999</v>
      </c>
      <c r="D3224" s="5">
        <v>28855.326499999999</v>
      </c>
      <c r="E3224" s="5">
        <v>25951.933700000001</v>
      </c>
      <c r="G3224" s="5" t="str">
        <f t="shared" si="101"/>
        <v>Ст.Каменск-Хозспособ</v>
      </c>
      <c r="J3224" s="5"/>
      <c r="AL3224" s="5">
        <f t="shared" si="102"/>
        <v>0</v>
      </c>
    </row>
    <row r="3225" spans="1:38" ht="25.5" customHeight="1" x14ac:dyDescent="0.25">
      <c r="A3225" s="10" t="s">
        <v>2910</v>
      </c>
      <c r="B3225" s="11" t="s">
        <v>1661</v>
      </c>
      <c r="C3225" s="5">
        <v>51175.5573</v>
      </c>
      <c r="D3225" s="5">
        <v>51175.5573</v>
      </c>
      <c r="E3225" s="5">
        <v>46340.381600000001</v>
      </c>
      <c r="G3225" s="5" t="str">
        <f t="shared" si="101"/>
        <v>СЕВЕРКА</v>
      </c>
      <c r="J3225" s="5"/>
      <c r="AL3225" s="5">
        <f t="shared" si="102"/>
        <v>0</v>
      </c>
    </row>
    <row r="3226" spans="1:38" ht="25.5" customHeight="1" x14ac:dyDescent="0.25">
      <c r="A3226" s="10" t="s">
        <v>2911</v>
      </c>
      <c r="B3226" s="11" t="s">
        <v>1647</v>
      </c>
      <c r="C3226" s="5">
        <v>63178.133800000003</v>
      </c>
      <c r="D3226" s="5">
        <v>63178.133800000003</v>
      </c>
      <c r="E3226" s="5">
        <v>57208.931499999999</v>
      </c>
      <c r="G3226" s="5" t="str">
        <f t="shared" si="101"/>
        <v>ШИРОКАЯ РЕЧКА</v>
      </c>
      <c r="J3226" s="5"/>
      <c r="AL3226" s="5">
        <f t="shared" si="102"/>
        <v>0</v>
      </c>
    </row>
    <row r="3227" spans="1:38" ht="25.5" customHeight="1" x14ac:dyDescent="0.25">
      <c r="A3227" s="10" t="s">
        <v>2912</v>
      </c>
      <c r="B3227" s="11" t="s">
        <v>1639</v>
      </c>
      <c r="C3227" s="5">
        <v>53500.443299999999</v>
      </c>
      <c r="D3227" s="5">
        <v>53500.443299999999</v>
      </c>
      <c r="E3227" s="5">
        <v>48445.605100000001</v>
      </c>
      <c r="G3227" s="5" t="str">
        <f t="shared" si="101"/>
        <v>ИСТОК</v>
      </c>
      <c r="J3227" s="5"/>
      <c r="AL3227" s="5">
        <f t="shared" si="102"/>
        <v>0</v>
      </c>
    </row>
    <row r="3228" spans="1:38" ht="25.5" customHeight="1" x14ac:dyDescent="0.25">
      <c r="A3228" s="10" t="s">
        <v>841</v>
      </c>
      <c r="B3228" s="11" t="s">
        <v>1659</v>
      </c>
      <c r="C3228" s="5">
        <v>59746.832600000002</v>
      </c>
      <c r="D3228" s="5">
        <v>59746.832600000002</v>
      </c>
      <c r="E3228" s="5">
        <v>54101.823700000001</v>
      </c>
      <c r="G3228" s="5" t="str">
        <f t="shared" si="101"/>
        <v>СОВХОЗ</v>
      </c>
      <c r="J3228" s="5"/>
      <c r="AL3228" s="5">
        <f t="shared" si="102"/>
        <v>0</v>
      </c>
    </row>
    <row r="3229" spans="1:38" ht="25.5" customHeight="1" x14ac:dyDescent="0.25">
      <c r="A3229" s="10" t="s">
        <v>2913</v>
      </c>
      <c r="B3229" s="11" t="s">
        <v>1659</v>
      </c>
      <c r="C3229" s="5">
        <v>59746.832600000002</v>
      </c>
      <c r="D3229" s="5">
        <v>59746.832600000002</v>
      </c>
      <c r="E3229" s="5">
        <v>54101.823700000001</v>
      </c>
      <c r="G3229" s="5" t="str">
        <f t="shared" si="101"/>
        <v>СОВХОЗ</v>
      </c>
      <c r="J3229" s="5"/>
      <c r="AL3229" s="5">
        <f t="shared" si="102"/>
        <v>0</v>
      </c>
    </row>
    <row r="3230" spans="1:38" ht="25.5" customHeight="1" x14ac:dyDescent="0.25">
      <c r="A3230" s="10" t="s">
        <v>2914</v>
      </c>
      <c r="B3230" s="11" t="s">
        <v>1668</v>
      </c>
      <c r="C3230" s="5">
        <v>51343.6201</v>
      </c>
      <c r="D3230" s="5">
        <v>51343.6201</v>
      </c>
      <c r="E3230" s="5">
        <v>46492.558799999999</v>
      </c>
      <c r="G3230" s="5" t="str">
        <f t="shared" si="101"/>
        <v>МЕДНЫЙ</v>
      </c>
      <c r="J3230" s="5"/>
      <c r="AL3230" s="5">
        <f t="shared" si="102"/>
        <v>0</v>
      </c>
    </row>
    <row r="3231" spans="1:38" ht="25.5" customHeight="1" x14ac:dyDescent="0.25">
      <c r="A3231" s="10" t="s">
        <v>2915</v>
      </c>
      <c r="B3231" s="11" t="s">
        <v>1660</v>
      </c>
      <c r="C3231" s="5">
        <v>53262.345800000003</v>
      </c>
      <c r="D3231" s="5">
        <v>53262.345800000003</v>
      </c>
      <c r="E3231" s="5">
        <v>48230.0095</v>
      </c>
      <c r="G3231" s="5" t="str">
        <f t="shared" si="101"/>
        <v>САДОВЫЙ</v>
      </c>
      <c r="J3231" s="5"/>
      <c r="AL3231" s="5">
        <f t="shared" si="102"/>
        <v>0</v>
      </c>
    </row>
    <row r="3232" spans="1:38" ht="25.5" customHeight="1" x14ac:dyDescent="0.25">
      <c r="A3232" s="10" t="s">
        <v>2916</v>
      </c>
      <c r="B3232" s="11" t="s">
        <v>1674</v>
      </c>
      <c r="C3232" s="5">
        <v>29199.565200000001</v>
      </c>
      <c r="D3232" s="5">
        <v>29199.565200000001</v>
      </c>
      <c r="E3232" s="5">
        <v>26261.5317</v>
      </c>
      <c r="G3232" s="5" t="str">
        <f t="shared" si="101"/>
        <v>УАЗ</v>
      </c>
      <c r="J3232" s="5"/>
      <c r="AL3232" s="5">
        <f t="shared" si="102"/>
        <v>0</v>
      </c>
    </row>
    <row r="3233" spans="1:38" ht="25.5" customHeight="1" x14ac:dyDescent="0.25">
      <c r="A3233" s="10" t="s">
        <v>2917</v>
      </c>
      <c r="B3233" s="11" t="s">
        <v>1679</v>
      </c>
      <c r="C3233" s="5">
        <v>28855.326499999999</v>
      </c>
      <c r="D3233" s="5">
        <v>28855.326499999999</v>
      </c>
      <c r="E3233" s="5">
        <v>25951.933700000001</v>
      </c>
      <c r="G3233" s="5" t="str">
        <f t="shared" si="101"/>
        <v>Ст.Каменск-Хозспособ</v>
      </c>
      <c r="J3233" s="5"/>
      <c r="AL3233" s="5">
        <f t="shared" si="102"/>
        <v>0</v>
      </c>
    </row>
    <row r="3234" spans="1:38" ht="25.5" customHeight="1" x14ac:dyDescent="0.25">
      <c r="A3234" s="10" t="s">
        <v>201</v>
      </c>
      <c r="B3234" s="11" t="s">
        <v>5166</v>
      </c>
      <c r="C3234" s="5">
        <v>49782.025399999999</v>
      </c>
      <c r="D3234" s="5">
        <v>49782.025399999999</v>
      </c>
      <c r="E3234" s="5">
        <v>45078.506800000003</v>
      </c>
      <c r="G3234" s="5" t="str">
        <f t="shared" si="101"/>
        <v>Чусовское озеро</v>
      </c>
      <c r="J3234" s="5"/>
      <c r="AL3234" s="5">
        <f t="shared" si="102"/>
        <v>0</v>
      </c>
    </row>
    <row r="3235" spans="1:38" ht="25.5" customHeight="1" x14ac:dyDescent="0.25">
      <c r="A3235" s="10" t="s">
        <v>1347</v>
      </c>
      <c r="B3235" s="11" t="s">
        <v>1638</v>
      </c>
      <c r="C3235" s="5">
        <v>63640.311600000001</v>
      </c>
      <c r="D3235" s="5">
        <v>63640.311600000001</v>
      </c>
      <c r="E3235" s="5">
        <v>57627.4473</v>
      </c>
      <c r="G3235" s="5" t="str">
        <f t="shared" si="101"/>
        <v>УКТУС</v>
      </c>
      <c r="J3235" s="5"/>
      <c r="AL3235" s="5">
        <f t="shared" si="102"/>
        <v>0</v>
      </c>
    </row>
    <row r="3236" spans="1:38" ht="25.5" customHeight="1" x14ac:dyDescent="0.25">
      <c r="A3236" s="10" t="s">
        <v>874</v>
      </c>
      <c r="B3236" s="11" t="s">
        <v>1676</v>
      </c>
      <c r="C3236" s="5">
        <v>28848.8855</v>
      </c>
      <c r="D3236" s="5">
        <v>28848.8855</v>
      </c>
      <c r="E3236" s="5">
        <v>25946.143</v>
      </c>
      <c r="G3236" s="5" t="str">
        <f t="shared" si="101"/>
        <v>Чкаловский</v>
      </c>
      <c r="J3236" s="5"/>
      <c r="AL3236" s="5">
        <f t="shared" si="102"/>
        <v>0</v>
      </c>
    </row>
    <row r="3237" spans="1:38" ht="25.5" customHeight="1" x14ac:dyDescent="0.25">
      <c r="A3237" s="10" t="s">
        <v>1368</v>
      </c>
      <c r="B3237" s="11" t="s">
        <v>1668</v>
      </c>
      <c r="C3237" s="5">
        <v>51343.6201</v>
      </c>
      <c r="D3237" s="5">
        <v>51343.6201</v>
      </c>
      <c r="E3237" s="5">
        <v>46492.558799999999</v>
      </c>
      <c r="G3237" s="5" t="str">
        <f t="shared" si="101"/>
        <v>МЕДНЫЙ</v>
      </c>
      <c r="J3237" s="5"/>
      <c r="AL3237" s="5">
        <f t="shared" si="102"/>
        <v>0</v>
      </c>
    </row>
    <row r="3238" spans="1:38" ht="25.5" customHeight="1" x14ac:dyDescent="0.25">
      <c r="A3238" s="10" t="s">
        <v>2918</v>
      </c>
      <c r="B3238" s="11" t="s">
        <v>389</v>
      </c>
      <c r="C3238" s="5">
        <v>51175.5573</v>
      </c>
      <c r="D3238" s="5">
        <v>51175.5573</v>
      </c>
      <c r="E3238" s="5">
        <v>46340.381600000001</v>
      </c>
      <c r="G3238" s="5" t="str">
        <f t="shared" si="101"/>
        <v>Северка</v>
      </c>
      <c r="J3238" s="5"/>
      <c r="AL3238" s="5">
        <f t="shared" si="102"/>
        <v>0</v>
      </c>
    </row>
    <row r="3239" spans="1:38" ht="25.5" customHeight="1" x14ac:dyDescent="0.25">
      <c r="A3239" s="10" t="s">
        <v>2919</v>
      </c>
      <c r="B3239" s="11" t="s">
        <v>1631</v>
      </c>
      <c r="C3239" s="5">
        <v>70026.7601</v>
      </c>
      <c r="D3239" s="5">
        <v>70026.7601</v>
      </c>
      <c r="E3239" s="5">
        <v>63410.482000000004</v>
      </c>
      <c r="G3239" s="5" t="str">
        <f t="shared" si="101"/>
        <v>УРАЛМАШ</v>
      </c>
      <c r="J3239" s="5"/>
      <c r="AL3239" s="5">
        <f t="shared" si="102"/>
        <v>0</v>
      </c>
    </row>
    <row r="3240" spans="1:38" ht="25.5" customHeight="1" x14ac:dyDescent="0.25">
      <c r="A3240" s="10" t="s">
        <v>2920</v>
      </c>
      <c r="B3240" s="11" t="s">
        <v>1632</v>
      </c>
      <c r="C3240" s="5">
        <v>83744.997499999998</v>
      </c>
      <c r="D3240" s="5">
        <v>83744.997499999998</v>
      </c>
      <c r="E3240" s="5">
        <v>75832.596099999995</v>
      </c>
      <c r="G3240" s="5" t="str">
        <f t="shared" si="101"/>
        <v>АВТОВОКЗАЛ</v>
      </c>
      <c r="J3240" s="5"/>
      <c r="AL3240" s="5">
        <f t="shared" si="102"/>
        <v>0</v>
      </c>
    </row>
    <row r="3241" spans="1:38" ht="25.5" customHeight="1" x14ac:dyDescent="0.25">
      <c r="A3241" s="10" t="s">
        <v>2921</v>
      </c>
      <c r="B3241" s="11" t="s">
        <v>1628</v>
      </c>
      <c r="C3241" s="5">
        <v>70734.0236</v>
      </c>
      <c r="D3241" s="5">
        <v>70734.0236</v>
      </c>
      <c r="E3241" s="5">
        <v>64050.9208</v>
      </c>
      <c r="G3241" s="5" t="str">
        <f t="shared" si="101"/>
        <v>ЭЛЬМАШ</v>
      </c>
      <c r="J3241" s="5"/>
      <c r="AL3241" s="5">
        <f t="shared" si="102"/>
        <v>0</v>
      </c>
    </row>
    <row r="3242" spans="1:38" ht="25.5" customHeight="1" x14ac:dyDescent="0.25">
      <c r="A3242" s="10" t="s">
        <v>2922</v>
      </c>
      <c r="B3242" s="11" t="s">
        <v>1395</v>
      </c>
      <c r="C3242" s="5">
        <v>27332.119299999998</v>
      </c>
      <c r="D3242" s="5">
        <v>27332.119299999998</v>
      </c>
      <c r="E3242" s="5">
        <v>24879.3747</v>
      </c>
      <c r="G3242" s="5" t="str">
        <f t="shared" si="101"/>
        <v>СОВХОЗ ПЕРВОУРАЛЬСКИЙ</v>
      </c>
      <c r="J3242" s="5"/>
      <c r="AL3242" s="5">
        <f t="shared" si="102"/>
        <v>0</v>
      </c>
    </row>
    <row r="3243" spans="1:38" ht="25.5" customHeight="1" x14ac:dyDescent="0.25">
      <c r="A3243" s="20" t="s">
        <v>2923</v>
      </c>
      <c r="B3243" s="22">
        <v>1003</v>
      </c>
      <c r="C3243" s="5">
        <v>21261.0285</v>
      </c>
      <c r="D3243" s="5">
        <v>21261.0285</v>
      </c>
      <c r="E3243" s="5">
        <v>20837.465199999999</v>
      </c>
      <c r="G3243" s="5">
        <f t="shared" si="101"/>
        <v>1003</v>
      </c>
      <c r="J3243" s="5"/>
      <c r="AL3243" s="5">
        <f t="shared" si="102"/>
        <v>0</v>
      </c>
    </row>
    <row r="3244" spans="1:38" ht="25.5" customHeight="1" x14ac:dyDescent="0.25">
      <c r="A3244" s="10" t="s">
        <v>845</v>
      </c>
      <c r="B3244" s="11" t="s">
        <v>1677</v>
      </c>
      <c r="C3244" s="5">
        <v>39105.413099999998</v>
      </c>
      <c r="D3244" s="5">
        <v>39105.413099999998</v>
      </c>
      <c r="E3244" s="5">
        <v>35170.666700000002</v>
      </c>
      <c r="G3244" s="5" t="str">
        <f t="shared" si="101"/>
        <v>Октябрьский</v>
      </c>
      <c r="J3244" s="5"/>
      <c r="AL3244" s="5">
        <f t="shared" si="102"/>
        <v>0</v>
      </c>
    </row>
    <row r="3245" spans="1:38" ht="25.5" customHeight="1" x14ac:dyDescent="0.25">
      <c r="A3245" s="10" t="s">
        <v>2924</v>
      </c>
      <c r="B3245" s="11" t="s">
        <v>1636</v>
      </c>
      <c r="C3245" s="5">
        <v>52246.960299999999</v>
      </c>
      <c r="D3245" s="5">
        <v>52246.960299999999</v>
      </c>
      <c r="E3245" s="5">
        <v>47310.556700000001</v>
      </c>
      <c r="G3245" s="5" t="str">
        <f t="shared" si="101"/>
        <v>ГОРНЫЙ ЩИТ</v>
      </c>
      <c r="J3245" s="5"/>
      <c r="AL3245" s="5">
        <f t="shared" si="102"/>
        <v>0</v>
      </c>
    </row>
    <row r="3246" spans="1:38" ht="25.5" customHeight="1" x14ac:dyDescent="0.25">
      <c r="A3246" s="10" t="s">
        <v>2925</v>
      </c>
      <c r="B3246" s="11" t="s">
        <v>1639</v>
      </c>
      <c r="C3246" s="5">
        <v>53500.443299999999</v>
      </c>
      <c r="D3246" s="5">
        <v>53500.443299999999</v>
      </c>
      <c r="E3246" s="5">
        <v>48445.605100000001</v>
      </c>
      <c r="G3246" s="5" t="str">
        <f t="shared" si="101"/>
        <v>ИСТОК</v>
      </c>
      <c r="J3246" s="5"/>
      <c r="AL3246" s="5">
        <f t="shared" si="102"/>
        <v>0</v>
      </c>
    </row>
    <row r="3247" spans="1:38" ht="25.5" customHeight="1" x14ac:dyDescent="0.25">
      <c r="A3247" s="10" t="s">
        <v>2927</v>
      </c>
      <c r="B3247" s="11" t="s">
        <v>1696</v>
      </c>
      <c r="C3247" s="5">
        <v>36808.582300000002</v>
      </c>
      <c r="D3247" s="5">
        <v>36808.582300000002</v>
      </c>
      <c r="E3247" s="5">
        <v>33505.428800000002</v>
      </c>
      <c r="G3247" s="5" t="str">
        <f t="shared" si="101"/>
        <v>Талица</v>
      </c>
      <c r="J3247" s="5"/>
      <c r="AL3247" s="5">
        <f t="shared" si="102"/>
        <v>0</v>
      </c>
    </row>
    <row r="3248" spans="1:38" ht="25.5" customHeight="1" x14ac:dyDescent="0.25">
      <c r="A3248" s="10" t="s">
        <v>2928</v>
      </c>
      <c r="B3248" s="11" t="s">
        <v>1674</v>
      </c>
      <c r="C3248" s="5">
        <v>29199.565200000001</v>
      </c>
      <c r="D3248" s="5">
        <v>29199.565200000001</v>
      </c>
      <c r="E3248" s="5">
        <v>26261.5317</v>
      </c>
      <c r="G3248" s="5" t="str">
        <f t="shared" si="101"/>
        <v>УАЗ</v>
      </c>
      <c r="J3248" s="5"/>
      <c r="AL3248" s="5">
        <f t="shared" si="102"/>
        <v>0</v>
      </c>
    </row>
    <row r="3249" spans="1:38" x14ac:dyDescent="0.25">
      <c r="A3249" s="10" t="s">
        <v>2929</v>
      </c>
      <c r="B3249" s="11" t="s">
        <v>1674</v>
      </c>
      <c r="C3249" s="5">
        <v>29199.565200000001</v>
      </c>
      <c r="D3249" s="5">
        <v>29199.565200000001</v>
      </c>
      <c r="E3249" s="5">
        <v>26261.5317</v>
      </c>
      <c r="G3249" s="5" t="str">
        <f t="shared" si="101"/>
        <v>УАЗ</v>
      </c>
      <c r="J3249" s="5"/>
      <c r="AL3249" s="5">
        <f t="shared" si="102"/>
        <v>0</v>
      </c>
    </row>
    <row r="3250" spans="1:38" ht="25.5" customHeight="1" x14ac:dyDescent="0.25">
      <c r="A3250" s="10" t="s">
        <v>2930</v>
      </c>
      <c r="B3250" s="11" t="s">
        <v>1636</v>
      </c>
      <c r="C3250" s="5">
        <v>52246.960299999999</v>
      </c>
      <c r="D3250" s="5">
        <v>52246.960299999999</v>
      </c>
      <c r="E3250" s="5">
        <v>47310.556700000001</v>
      </c>
      <c r="G3250" s="5" t="str">
        <f t="shared" si="101"/>
        <v>ГОРНЫЙ ЩИТ</v>
      </c>
      <c r="J3250" s="5"/>
      <c r="AL3250" s="5">
        <f t="shared" si="102"/>
        <v>0</v>
      </c>
    </row>
    <row r="3251" spans="1:38" ht="25.5" customHeight="1" x14ac:dyDescent="0.25">
      <c r="A3251" s="10" t="s">
        <v>2931</v>
      </c>
      <c r="B3251" s="11" t="s">
        <v>389</v>
      </c>
      <c r="C3251" s="5">
        <v>51175.5573</v>
      </c>
      <c r="D3251" s="5">
        <v>51175.5573</v>
      </c>
      <c r="E3251" s="5">
        <v>46340.381600000001</v>
      </c>
      <c r="G3251" s="5" t="str">
        <f t="shared" si="101"/>
        <v>Северка</v>
      </c>
      <c r="J3251" s="5"/>
      <c r="AL3251" s="5">
        <f t="shared" si="102"/>
        <v>0</v>
      </c>
    </row>
    <row r="3252" spans="1:38" ht="25.5" customHeight="1" x14ac:dyDescent="0.25">
      <c r="A3252" s="10" t="s">
        <v>2932</v>
      </c>
      <c r="B3252" s="11" t="s">
        <v>483</v>
      </c>
      <c r="C3252" s="5">
        <v>44242.899599999997</v>
      </c>
      <c r="D3252" s="5">
        <v>44242.899599999997</v>
      </c>
      <c r="E3252" s="5">
        <v>40062.737300000001</v>
      </c>
      <c r="G3252" s="5" t="str">
        <f t="shared" si="101"/>
        <v>Шувакиш</v>
      </c>
      <c r="J3252" s="5"/>
      <c r="AL3252" s="5">
        <f t="shared" si="102"/>
        <v>0</v>
      </c>
    </row>
    <row r="3253" spans="1:38" ht="25.5" customHeight="1" x14ac:dyDescent="0.25">
      <c r="A3253" s="10" t="s">
        <v>2933</v>
      </c>
      <c r="B3253" s="11" t="s">
        <v>1628</v>
      </c>
      <c r="C3253" s="5">
        <v>70734.0236</v>
      </c>
      <c r="D3253" s="5">
        <v>70734.0236</v>
      </c>
      <c r="E3253" s="5">
        <v>64050.9208</v>
      </c>
      <c r="G3253" s="5" t="str">
        <f t="shared" si="101"/>
        <v>ЭЛЬМАШ</v>
      </c>
      <c r="J3253" s="5"/>
      <c r="AL3253" s="5">
        <f t="shared" si="102"/>
        <v>0</v>
      </c>
    </row>
    <row r="3254" spans="1:38" ht="25.5" customHeight="1" x14ac:dyDescent="0.25">
      <c r="A3254" s="10" t="s">
        <v>663</v>
      </c>
      <c r="B3254" s="11" t="s">
        <v>1640</v>
      </c>
      <c r="C3254" s="5">
        <v>64914.8</v>
      </c>
      <c r="D3254" s="5">
        <v>64914.8</v>
      </c>
      <c r="E3254" s="5">
        <v>58781.519200000002</v>
      </c>
      <c r="G3254" s="5" t="str">
        <f t="shared" si="101"/>
        <v>Новая сортировка</v>
      </c>
      <c r="J3254" s="5"/>
      <c r="AL3254" s="5">
        <f t="shared" si="102"/>
        <v>0</v>
      </c>
    </row>
    <row r="3255" spans="1:38" ht="25.5" customHeight="1" x14ac:dyDescent="0.25">
      <c r="A3255" s="10" t="s">
        <v>2934</v>
      </c>
      <c r="B3255" s="11" t="s">
        <v>1680</v>
      </c>
      <c r="C3255" s="5">
        <v>29151.309799999999</v>
      </c>
      <c r="D3255" s="5">
        <v>29151.309799999999</v>
      </c>
      <c r="E3255" s="5">
        <v>26218.127700000001</v>
      </c>
      <c r="G3255" s="5" t="str">
        <f t="shared" si="101"/>
        <v>Северный</v>
      </c>
      <c r="J3255" s="5"/>
      <c r="AL3255" s="5">
        <f t="shared" si="102"/>
        <v>0</v>
      </c>
    </row>
    <row r="3256" spans="1:38" ht="25.5" customHeight="1" x14ac:dyDescent="0.25">
      <c r="A3256" s="10" t="s">
        <v>2935</v>
      </c>
      <c r="B3256" s="11" t="s">
        <v>1657</v>
      </c>
      <c r="C3256" s="5">
        <v>54886.9666</v>
      </c>
      <c r="D3256" s="5">
        <v>54886.9666</v>
      </c>
      <c r="E3256" s="5">
        <v>49701.1319</v>
      </c>
      <c r="G3256" s="5" t="str">
        <f t="shared" si="101"/>
        <v>КОЛЬЦОВО</v>
      </c>
      <c r="J3256" s="5"/>
      <c r="AL3256" s="5">
        <f t="shared" si="102"/>
        <v>0</v>
      </c>
    </row>
    <row r="3257" spans="1:38" ht="25.5" customHeight="1" x14ac:dyDescent="0.25">
      <c r="A3257" s="10" t="s">
        <v>2936</v>
      </c>
      <c r="B3257" s="11" t="s">
        <v>1636</v>
      </c>
      <c r="C3257" s="5">
        <v>52246.960299999999</v>
      </c>
      <c r="D3257" s="5">
        <v>52246.960299999999</v>
      </c>
      <c r="E3257" s="5">
        <v>47310.556700000001</v>
      </c>
      <c r="G3257" s="5" t="str">
        <f t="shared" si="101"/>
        <v>ГОРНЫЙ ЩИТ</v>
      </c>
      <c r="J3257" s="5"/>
      <c r="AL3257" s="5">
        <f t="shared" si="102"/>
        <v>0</v>
      </c>
    </row>
    <row r="3258" spans="1:38" ht="25.5" customHeight="1" x14ac:dyDescent="0.25">
      <c r="A3258" s="10" t="s">
        <v>2937</v>
      </c>
      <c r="B3258" s="11" t="s">
        <v>1661</v>
      </c>
      <c r="C3258" s="5">
        <v>51175.5573</v>
      </c>
      <c r="D3258" s="5">
        <v>51175.5573</v>
      </c>
      <c r="E3258" s="5">
        <v>46340.381600000001</v>
      </c>
      <c r="G3258" s="5" t="str">
        <f t="shared" si="101"/>
        <v>СЕВЕРКА</v>
      </c>
      <c r="J3258" s="5"/>
      <c r="AL3258" s="5">
        <f t="shared" si="102"/>
        <v>0</v>
      </c>
    </row>
    <row r="3259" spans="1:38" ht="25.5" customHeight="1" x14ac:dyDescent="0.25">
      <c r="A3259" s="10" t="s">
        <v>2938</v>
      </c>
      <c r="B3259" s="11" t="s">
        <v>1647</v>
      </c>
      <c r="C3259" s="5">
        <v>63178.133800000003</v>
      </c>
      <c r="D3259" s="5">
        <v>63178.133800000003</v>
      </c>
      <c r="E3259" s="5">
        <v>57208.931499999999</v>
      </c>
      <c r="G3259" s="5" t="str">
        <f t="shared" si="101"/>
        <v>ШИРОКАЯ РЕЧКА</v>
      </c>
      <c r="J3259" s="5"/>
      <c r="AL3259" s="5">
        <f t="shared" si="102"/>
        <v>0</v>
      </c>
    </row>
    <row r="3260" spans="1:38" ht="25.5" customHeight="1" x14ac:dyDescent="0.25">
      <c r="A3260" s="10" t="s">
        <v>2939</v>
      </c>
      <c r="B3260" s="11" t="s">
        <v>1674</v>
      </c>
      <c r="C3260" s="5">
        <v>29199.565200000001</v>
      </c>
      <c r="D3260" s="5">
        <v>29199.565200000001</v>
      </c>
      <c r="E3260" s="5">
        <v>26261.5317</v>
      </c>
      <c r="G3260" s="5" t="str">
        <f t="shared" si="101"/>
        <v>УАЗ</v>
      </c>
      <c r="J3260" s="5"/>
      <c r="AL3260" s="5">
        <f t="shared" si="102"/>
        <v>0</v>
      </c>
    </row>
    <row r="3261" spans="1:38" ht="25.5" customHeight="1" x14ac:dyDescent="0.25">
      <c r="A3261" s="10" t="s">
        <v>2940</v>
      </c>
      <c r="B3261" s="11" t="s">
        <v>1645</v>
      </c>
      <c r="C3261" s="5">
        <v>60958.294800000003</v>
      </c>
      <c r="D3261" s="5">
        <v>60958.294800000003</v>
      </c>
      <c r="E3261" s="5">
        <v>55198.825199999999</v>
      </c>
      <c r="G3261" s="5" t="str">
        <f t="shared" si="101"/>
        <v>ЕЛИЗАВЕТ</v>
      </c>
      <c r="J3261" s="5"/>
      <c r="AL3261" s="5">
        <f t="shared" si="102"/>
        <v>0</v>
      </c>
    </row>
    <row r="3262" spans="1:38" ht="25.5" customHeight="1" x14ac:dyDescent="0.25">
      <c r="A3262" s="10" t="s">
        <v>2941</v>
      </c>
      <c r="B3262" s="11" t="s">
        <v>1653</v>
      </c>
      <c r="C3262" s="5">
        <v>56847.723400000003</v>
      </c>
      <c r="D3262" s="5">
        <v>56847.723400000003</v>
      </c>
      <c r="E3262" s="5">
        <v>51476.629399999998</v>
      </c>
      <c r="G3262" s="5" t="str">
        <f t="shared" si="101"/>
        <v>ПТИЦЕФАБРИКА</v>
      </c>
      <c r="J3262" s="5"/>
      <c r="AL3262" s="5">
        <f t="shared" si="102"/>
        <v>0</v>
      </c>
    </row>
    <row r="3263" spans="1:38" ht="25.5" customHeight="1" x14ac:dyDescent="0.25">
      <c r="A3263" s="10" t="s">
        <v>2942</v>
      </c>
      <c r="B3263" s="11" t="s">
        <v>1657</v>
      </c>
      <c r="C3263" s="5">
        <v>54886.9666</v>
      </c>
      <c r="D3263" s="5">
        <v>54886.9666</v>
      </c>
      <c r="E3263" s="5">
        <v>49701.1319</v>
      </c>
      <c r="G3263" s="5" t="str">
        <f t="shared" si="101"/>
        <v>КОЛЬЦОВО</v>
      </c>
      <c r="J3263" s="5"/>
      <c r="AL3263" s="5">
        <f t="shared" si="102"/>
        <v>0</v>
      </c>
    </row>
    <row r="3264" spans="1:38" ht="25.5" customHeight="1" x14ac:dyDescent="0.25">
      <c r="A3264" s="10" t="s">
        <v>2943</v>
      </c>
      <c r="B3264" s="11" t="s">
        <v>1644</v>
      </c>
      <c r="C3264" s="5">
        <v>61980.678599999999</v>
      </c>
      <c r="D3264" s="5">
        <v>61980.678599999999</v>
      </c>
      <c r="E3264" s="5">
        <v>56124.615700000002</v>
      </c>
      <c r="G3264" s="5" t="str">
        <f t="shared" si="101"/>
        <v>ХИММАШ</v>
      </c>
      <c r="J3264" s="5"/>
      <c r="AL3264" s="5">
        <f t="shared" si="102"/>
        <v>0</v>
      </c>
    </row>
    <row r="3265" spans="1:38" ht="25.5" customHeight="1" x14ac:dyDescent="0.25">
      <c r="A3265" s="10" t="s">
        <v>2944</v>
      </c>
      <c r="B3265" s="11" t="s">
        <v>1650</v>
      </c>
      <c r="C3265" s="5">
        <v>37590.3603</v>
      </c>
      <c r="D3265" s="5">
        <v>37590.3603</v>
      </c>
      <c r="E3265" s="5">
        <v>34038.745900000002</v>
      </c>
      <c r="G3265" s="5" t="str">
        <f t="shared" si="101"/>
        <v>ШАБРОВСКИЙ</v>
      </c>
      <c r="J3265" s="5"/>
      <c r="AL3265" s="5">
        <f t="shared" si="102"/>
        <v>0</v>
      </c>
    </row>
    <row r="3266" spans="1:38" ht="25.5" customHeight="1" x14ac:dyDescent="0.25">
      <c r="A3266" s="10" t="s">
        <v>2945</v>
      </c>
      <c r="B3266" s="11" t="s">
        <v>1647</v>
      </c>
      <c r="C3266" s="5">
        <v>63178.133800000003</v>
      </c>
      <c r="D3266" s="5">
        <v>63178.133800000003</v>
      </c>
      <c r="E3266" s="5">
        <v>57208.931499999999</v>
      </c>
      <c r="G3266" s="5" t="str">
        <f t="shared" ref="G3266:G3329" si="103">B3266</f>
        <v>ШИРОКАЯ РЕЧКА</v>
      </c>
      <c r="J3266" s="5"/>
      <c r="AL3266" s="5">
        <f t="shared" ref="AL3266:AL3329" si="104">AF3266</f>
        <v>0</v>
      </c>
    </row>
    <row r="3267" spans="1:38" ht="25.5" customHeight="1" x14ac:dyDescent="0.25">
      <c r="A3267" s="10" t="s">
        <v>2946</v>
      </c>
      <c r="B3267" s="11" t="s">
        <v>1668</v>
      </c>
      <c r="C3267" s="5">
        <v>51343.6201</v>
      </c>
      <c r="D3267" s="5">
        <v>51343.6201</v>
      </c>
      <c r="E3267" s="5">
        <v>46492.558799999999</v>
      </c>
      <c r="G3267" s="5" t="str">
        <f t="shared" si="103"/>
        <v>МЕДНЫЙ</v>
      </c>
      <c r="J3267" s="5"/>
      <c r="AL3267" s="5">
        <f t="shared" si="104"/>
        <v>0</v>
      </c>
    </row>
    <row r="3268" spans="1:38" ht="25.5" customHeight="1" x14ac:dyDescent="0.25">
      <c r="A3268" s="10" t="s">
        <v>2947</v>
      </c>
      <c r="B3268" s="11" t="s">
        <v>1675</v>
      </c>
      <c r="C3268" s="5">
        <v>35756.285400000001</v>
      </c>
      <c r="D3268" s="5">
        <v>35756.285400000001</v>
      </c>
      <c r="E3268" s="5">
        <v>32158.5213</v>
      </c>
      <c r="G3268" s="5" t="str">
        <f t="shared" si="103"/>
        <v>УАЗ-II</v>
      </c>
      <c r="J3268" s="5"/>
      <c r="AL3268" s="5">
        <f t="shared" si="104"/>
        <v>0</v>
      </c>
    </row>
    <row r="3269" spans="1:38" ht="25.5" customHeight="1" x14ac:dyDescent="0.25">
      <c r="A3269" s="10" t="s">
        <v>1085</v>
      </c>
      <c r="B3269" s="11" t="s">
        <v>1632</v>
      </c>
      <c r="C3269" s="5">
        <v>83744.997499999998</v>
      </c>
      <c r="D3269" s="5">
        <v>83744.997499999998</v>
      </c>
      <c r="E3269" s="5">
        <v>75832.596099999995</v>
      </c>
      <c r="G3269" s="5" t="str">
        <f t="shared" si="103"/>
        <v>АВТОВОКЗАЛ</v>
      </c>
      <c r="J3269" s="5"/>
      <c r="AL3269" s="5">
        <f t="shared" si="104"/>
        <v>0</v>
      </c>
    </row>
    <row r="3270" spans="1:38" ht="25.5" customHeight="1" x14ac:dyDescent="0.25">
      <c r="A3270" s="10" t="s">
        <v>2948</v>
      </c>
      <c r="B3270" s="11" t="s">
        <v>1666</v>
      </c>
      <c r="C3270" s="5">
        <v>46784.877899999999</v>
      </c>
      <c r="D3270" s="5">
        <v>46784.877899999999</v>
      </c>
      <c r="E3270" s="5">
        <v>42364.543299999998</v>
      </c>
      <c r="G3270" s="5" t="str">
        <f t="shared" si="103"/>
        <v>Сулим.Торфянник</v>
      </c>
      <c r="J3270" s="5"/>
      <c r="AL3270" s="5">
        <f t="shared" si="104"/>
        <v>0</v>
      </c>
    </row>
    <row r="3271" spans="1:38" ht="25.5" customHeight="1" x14ac:dyDescent="0.25">
      <c r="A3271" s="10" t="s">
        <v>2949</v>
      </c>
      <c r="B3271" s="11" t="s">
        <v>1657</v>
      </c>
      <c r="C3271" s="5">
        <v>54886.9666</v>
      </c>
      <c r="D3271" s="5">
        <v>54886.9666</v>
      </c>
      <c r="E3271" s="5">
        <v>49701.1319</v>
      </c>
      <c r="G3271" s="5" t="str">
        <f t="shared" si="103"/>
        <v>КОЛЬЦОВО</v>
      </c>
      <c r="J3271" s="5"/>
      <c r="AL3271" s="5">
        <f t="shared" si="104"/>
        <v>0</v>
      </c>
    </row>
    <row r="3272" spans="1:38" ht="25.5" customHeight="1" x14ac:dyDescent="0.25">
      <c r="A3272" s="10" t="s">
        <v>1458</v>
      </c>
      <c r="B3272" s="11" t="s">
        <v>14</v>
      </c>
      <c r="C3272" s="5">
        <v>93989.912800000006</v>
      </c>
      <c r="D3272" s="5">
        <v>93989.912800000006</v>
      </c>
      <c r="E3272" s="5">
        <v>85109.545199999993</v>
      </c>
      <c r="G3272" s="5" t="str">
        <f t="shared" si="103"/>
        <v>Центр</v>
      </c>
      <c r="J3272" s="5"/>
      <c r="AL3272" s="5">
        <f t="shared" si="104"/>
        <v>0</v>
      </c>
    </row>
    <row r="3273" spans="1:38" ht="25.5" customHeight="1" x14ac:dyDescent="0.25">
      <c r="A3273" s="10" t="s">
        <v>1447</v>
      </c>
      <c r="B3273" s="11" t="s">
        <v>1673</v>
      </c>
      <c r="C3273" s="5">
        <v>35563.243300000002</v>
      </c>
      <c r="D3273" s="5">
        <v>35563.243300000002</v>
      </c>
      <c r="E3273" s="5">
        <v>31984.905299999999</v>
      </c>
      <c r="G3273" s="5" t="str">
        <f t="shared" si="103"/>
        <v>УАЗ-III - 49 кв.</v>
      </c>
      <c r="J3273" s="5"/>
      <c r="AL3273" s="5">
        <f t="shared" si="104"/>
        <v>0</v>
      </c>
    </row>
    <row r="3274" spans="1:38" ht="25.5" customHeight="1" x14ac:dyDescent="0.25">
      <c r="A3274" s="10" t="s">
        <v>2950</v>
      </c>
      <c r="B3274" s="11" t="s">
        <v>1657</v>
      </c>
      <c r="C3274" s="5">
        <v>54886.9666</v>
      </c>
      <c r="D3274" s="5">
        <v>54886.9666</v>
      </c>
      <c r="E3274" s="5">
        <v>49701.1319</v>
      </c>
      <c r="G3274" s="5" t="str">
        <f t="shared" si="103"/>
        <v>КОЛЬЦОВО</v>
      </c>
      <c r="J3274" s="5"/>
      <c r="AL3274" s="5">
        <f t="shared" si="104"/>
        <v>0</v>
      </c>
    </row>
    <row r="3275" spans="1:38" ht="25.5" customHeight="1" x14ac:dyDescent="0.25">
      <c r="A3275" s="10" t="s">
        <v>2951</v>
      </c>
      <c r="B3275" s="11" t="s">
        <v>1638</v>
      </c>
      <c r="C3275" s="5">
        <v>63640.311600000001</v>
      </c>
      <c r="D3275" s="5">
        <v>63640.311600000001</v>
      </c>
      <c r="E3275" s="5">
        <v>57627.4473</v>
      </c>
      <c r="G3275" s="5" t="str">
        <f t="shared" si="103"/>
        <v>УКТУС</v>
      </c>
      <c r="J3275" s="5"/>
      <c r="AL3275" s="5">
        <f t="shared" si="104"/>
        <v>0</v>
      </c>
    </row>
    <row r="3276" spans="1:38" ht="25.5" customHeight="1" x14ac:dyDescent="0.25">
      <c r="A3276" s="10" t="s">
        <v>2952</v>
      </c>
      <c r="B3276" s="11" t="s">
        <v>1636</v>
      </c>
      <c r="C3276" s="5">
        <v>52246.960299999999</v>
      </c>
      <c r="D3276" s="5">
        <v>52246.960299999999</v>
      </c>
      <c r="E3276" s="5">
        <v>47310.556700000001</v>
      </c>
      <c r="G3276" s="5" t="str">
        <f t="shared" si="103"/>
        <v>ГОРНЫЙ ЩИТ</v>
      </c>
      <c r="J3276" s="5"/>
      <c r="AL3276" s="5">
        <f t="shared" si="104"/>
        <v>0</v>
      </c>
    </row>
    <row r="3277" spans="1:38" ht="25.5" customHeight="1" x14ac:dyDescent="0.25">
      <c r="A3277" s="10" t="s">
        <v>2953</v>
      </c>
      <c r="B3277" s="11" t="s">
        <v>1675</v>
      </c>
      <c r="C3277" s="5">
        <v>35756.285400000001</v>
      </c>
      <c r="D3277" s="5">
        <v>35756.285400000001</v>
      </c>
      <c r="E3277" s="5">
        <v>32158.5213</v>
      </c>
      <c r="G3277" s="5" t="str">
        <f t="shared" si="103"/>
        <v>УАЗ-II</v>
      </c>
      <c r="J3277" s="5"/>
      <c r="AL3277" s="5">
        <f t="shared" si="104"/>
        <v>0</v>
      </c>
    </row>
    <row r="3278" spans="1:38" ht="25.5" customHeight="1" x14ac:dyDescent="0.25">
      <c r="A3278" s="10" t="s">
        <v>313</v>
      </c>
      <c r="B3278" s="11" t="s">
        <v>1673</v>
      </c>
      <c r="C3278" s="5">
        <v>35563.243300000002</v>
      </c>
      <c r="D3278" s="5">
        <v>35563.243300000002</v>
      </c>
      <c r="E3278" s="5">
        <v>31984.905299999999</v>
      </c>
      <c r="G3278" s="5" t="str">
        <f t="shared" si="103"/>
        <v>УАЗ-III - 49 кв.</v>
      </c>
      <c r="J3278" s="5"/>
      <c r="AL3278" s="5">
        <f t="shared" si="104"/>
        <v>0</v>
      </c>
    </row>
    <row r="3279" spans="1:38" ht="25.5" customHeight="1" x14ac:dyDescent="0.25">
      <c r="A3279" s="10" t="s">
        <v>2954</v>
      </c>
      <c r="B3279" s="11" t="s">
        <v>1661</v>
      </c>
      <c r="C3279" s="5">
        <v>51175.5573</v>
      </c>
      <c r="D3279" s="5">
        <v>51175.5573</v>
      </c>
      <c r="E3279" s="5">
        <v>46340.381600000001</v>
      </c>
      <c r="G3279" s="5" t="str">
        <f t="shared" si="103"/>
        <v>СЕВЕРКА</v>
      </c>
      <c r="J3279" s="5"/>
      <c r="AL3279" s="5">
        <f t="shared" si="104"/>
        <v>0</v>
      </c>
    </row>
    <row r="3280" spans="1:38" ht="25.5" customHeight="1" x14ac:dyDescent="0.25">
      <c r="A3280" s="10" t="s">
        <v>2955</v>
      </c>
      <c r="B3280" s="11" t="s">
        <v>1637</v>
      </c>
      <c r="C3280" s="5">
        <v>59368.686099999999</v>
      </c>
      <c r="D3280" s="5">
        <v>59368.686099999999</v>
      </c>
      <c r="E3280" s="5">
        <v>53759.401700000002</v>
      </c>
      <c r="G3280" s="5" t="str">
        <f t="shared" si="103"/>
        <v>Старая сортировка</v>
      </c>
      <c r="J3280" s="5"/>
      <c r="AL3280" s="5">
        <f t="shared" si="104"/>
        <v>0</v>
      </c>
    </row>
    <row r="3281" spans="1:38" ht="25.5" customHeight="1" x14ac:dyDescent="0.25">
      <c r="A3281" s="10" t="s">
        <v>2956</v>
      </c>
      <c r="B3281" s="11" t="s">
        <v>389</v>
      </c>
      <c r="C3281" s="5">
        <v>51175.5573</v>
      </c>
      <c r="D3281" s="5">
        <v>51175.5573</v>
      </c>
      <c r="E3281" s="5">
        <v>46340.381600000001</v>
      </c>
      <c r="G3281" s="5" t="str">
        <f t="shared" si="103"/>
        <v>Северка</v>
      </c>
      <c r="J3281" s="5"/>
      <c r="AL3281" s="5">
        <f t="shared" si="104"/>
        <v>0</v>
      </c>
    </row>
    <row r="3282" spans="1:38" ht="25.5" customHeight="1" x14ac:dyDescent="0.25">
      <c r="A3282" s="10" t="s">
        <v>2957</v>
      </c>
      <c r="B3282" s="11" t="s">
        <v>118</v>
      </c>
      <c r="C3282" s="5">
        <v>53500.443299999999</v>
      </c>
      <c r="D3282" s="5">
        <v>53500.443299999999</v>
      </c>
      <c r="E3282" s="5">
        <v>48445.605100000001</v>
      </c>
      <c r="G3282" s="5" t="str">
        <f t="shared" si="103"/>
        <v>Исток</v>
      </c>
      <c r="J3282" s="5"/>
      <c r="AL3282" s="5">
        <f t="shared" si="104"/>
        <v>0</v>
      </c>
    </row>
    <row r="3283" spans="1:38" ht="25.5" customHeight="1" x14ac:dyDescent="0.25">
      <c r="A3283" s="10" t="s">
        <v>2958</v>
      </c>
      <c r="B3283" s="11" t="s">
        <v>389</v>
      </c>
      <c r="C3283" s="5">
        <v>51175.5573</v>
      </c>
      <c r="D3283" s="5">
        <v>51175.5573</v>
      </c>
      <c r="E3283" s="5">
        <v>46340.381600000001</v>
      </c>
      <c r="G3283" s="5" t="str">
        <f t="shared" si="103"/>
        <v>Северка</v>
      </c>
      <c r="J3283" s="5"/>
      <c r="AL3283" s="5">
        <f t="shared" si="104"/>
        <v>0</v>
      </c>
    </row>
    <row r="3284" spans="1:38" ht="25.5" customHeight="1" x14ac:dyDescent="0.25">
      <c r="A3284" s="10" t="s">
        <v>2959</v>
      </c>
      <c r="B3284" s="11" t="s">
        <v>1636</v>
      </c>
      <c r="C3284" s="5">
        <v>52246.960299999999</v>
      </c>
      <c r="D3284" s="5">
        <v>52246.960299999999</v>
      </c>
      <c r="E3284" s="5">
        <v>47310.556700000001</v>
      </c>
      <c r="G3284" s="5" t="str">
        <f t="shared" si="103"/>
        <v>ГОРНЫЙ ЩИТ</v>
      </c>
      <c r="J3284" s="5"/>
      <c r="AL3284" s="5">
        <f t="shared" si="104"/>
        <v>0</v>
      </c>
    </row>
    <row r="3285" spans="1:38" ht="25.5" customHeight="1" x14ac:dyDescent="0.25">
      <c r="A3285" s="10" t="s">
        <v>1568</v>
      </c>
      <c r="B3285" s="5" t="s">
        <v>33</v>
      </c>
      <c r="C3285" s="5">
        <v>84298.205100000006</v>
      </c>
      <c r="D3285" s="5">
        <v>84298.205100000006</v>
      </c>
      <c r="E3285" s="5">
        <v>76333.533100000001</v>
      </c>
      <c r="G3285" s="5" t="str">
        <f t="shared" si="103"/>
        <v>ВИЗ</v>
      </c>
      <c r="J3285" s="5"/>
      <c r="AL3285" s="5">
        <f t="shared" si="104"/>
        <v>0</v>
      </c>
    </row>
    <row r="3286" spans="1:38" ht="25.5" customHeight="1" x14ac:dyDescent="0.25">
      <c r="A3286" s="10" t="s">
        <v>718</v>
      </c>
      <c r="B3286" s="11" t="s">
        <v>1666</v>
      </c>
      <c r="C3286" s="5">
        <v>46784.877899999999</v>
      </c>
      <c r="D3286" s="5">
        <v>46784.877899999999</v>
      </c>
      <c r="E3286" s="5">
        <v>42364.543299999998</v>
      </c>
      <c r="G3286" s="5" t="str">
        <f t="shared" si="103"/>
        <v>Сулим.Торфянник</v>
      </c>
      <c r="J3286" s="5"/>
      <c r="AL3286" s="5">
        <f t="shared" si="104"/>
        <v>0</v>
      </c>
    </row>
    <row r="3287" spans="1:38" ht="25.5" customHeight="1" x14ac:dyDescent="0.25">
      <c r="A3287" s="10" t="s">
        <v>2960</v>
      </c>
      <c r="B3287" s="11" t="s">
        <v>1645</v>
      </c>
      <c r="C3287" s="5">
        <v>60958.294800000003</v>
      </c>
      <c r="D3287" s="5">
        <v>60958.294800000003</v>
      </c>
      <c r="E3287" s="5">
        <v>55198.825199999999</v>
      </c>
      <c r="G3287" s="5" t="str">
        <f t="shared" si="103"/>
        <v>ЕЛИЗАВЕТ</v>
      </c>
      <c r="J3287" s="5"/>
      <c r="AL3287" s="5">
        <f t="shared" si="104"/>
        <v>0</v>
      </c>
    </row>
    <row r="3288" spans="1:38" ht="25.5" customHeight="1" x14ac:dyDescent="0.25">
      <c r="A3288" s="10" t="s">
        <v>2961</v>
      </c>
      <c r="B3288" s="11" t="s">
        <v>1661</v>
      </c>
      <c r="C3288" s="5">
        <v>51175.5573</v>
      </c>
      <c r="D3288" s="5">
        <v>51175.5573</v>
      </c>
      <c r="E3288" s="5">
        <v>46340.381600000001</v>
      </c>
      <c r="G3288" s="5" t="str">
        <f t="shared" si="103"/>
        <v>СЕВЕРКА</v>
      </c>
      <c r="J3288" s="5"/>
      <c r="AL3288" s="5">
        <f t="shared" si="104"/>
        <v>0</v>
      </c>
    </row>
    <row r="3289" spans="1:38" ht="25.5" customHeight="1" x14ac:dyDescent="0.25">
      <c r="A3289" s="10" t="s">
        <v>2962</v>
      </c>
      <c r="B3289" s="11" t="s">
        <v>1636</v>
      </c>
      <c r="C3289" s="5">
        <v>52246.960299999999</v>
      </c>
      <c r="D3289" s="5">
        <v>52246.960299999999</v>
      </c>
      <c r="E3289" s="5">
        <v>47310.556700000001</v>
      </c>
      <c r="G3289" s="5" t="str">
        <f t="shared" si="103"/>
        <v>ГОРНЫЙ ЩИТ</v>
      </c>
      <c r="J3289" s="5"/>
      <c r="AL3289" s="5">
        <f t="shared" si="104"/>
        <v>0</v>
      </c>
    </row>
    <row r="3290" spans="1:38" ht="25.5" customHeight="1" x14ac:dyDescent="0.25">
      <c r="A3290" s="10" t="s">
        <v>2963</v>
      </c>
      <c r="B3290" s="11" t="s">
        <v>1657</v>
      </c>
      <c r="C3290" s="5">
        <v>54886.9666</v>
      </c>
      <c r="D3290" s="5">
        <v>54886.9666</v>
      </c>
      <c r="E3290" s="5">
        <v>49701.1319</v>
      </c>
      <c r="G3290" s="5" t="str">
        <f t="shared" si="103"/>
        <v>КОЛЬЦОВО</v>
      </c>
      <c r="J3290" s="5"/>
      <c r="AL3290" s="5">
        <f t="shared" si="104"/>
        <v>0</v>
      </c>
    </row>
    <row r="3291" spans="1:38" ht="25.5" customHeight="1" x14ac:dyDescent="0.25">
      <c r="A3291" s="10" t="s">
        <v>2964</v>
      </c>
      <c r="B3291" s="11" t="s">
        <v>1657</v>
      </c>
      <c r="C3291" s="5">
        <v>54886.9666</v>
      </c>
      <c r="D3291" s="5">
        <v>54886.9666</v>
      </c>
      <c r="E3291" s="5">
        <v>49701.1319</v>
      </c>
      <c r="G3291" s="5" t="str">
        <f t="shared" si="103"/>
        <v>КОЛЬЦОВО</v>
      </c>
      <c r="J3291" s="5"/>
      <c r="AL3291" s="5">
        <f t="shared" si="104"/>
        <v>0</v>
      </c>
    </row>
    <row r="3292" spans="1:38" ht="25.5" customHeight="1" x14ac:dyDescent="0.25">
      <c r="A3292" s="10" t="s">
        <v>2965</v>
      </c>
      <c r="B3292" s="11" t="s">
        <v>1644</v>
      </c>
      <c r="C3292" s="5">
        <v>61980.678599999999</v>
      </c>
      <c r="D3292" s="5">
        <v>61980.678599999999</v>
      </c>
      <c r="E3292" s="5">
        <v>56124.615700000002</v>
      </c>
      <c r="G3292" s="5" t="str">
        <f t="shared" si="103"/>
        <v>ХИММАШ</v>
      </c>
      <c r="J3292" s="5"/>
      <c r="AL3292" s="5">
        <f t="shared" si="104"/>
        <v>0</v>
      </c>
    </row>
    <row r="3293" spans="1:38" ht="25.5" customHeight="1" x14ac:dyDescent="0.25">
      <c r="A3293" s="10" t="s">
        <v>2966</v>
      </c>
      <c r="B3293" s="11" t="s">
        <v>1632</v>
      </c>
      <c r="C3293" s="5">
        <v>83744.997499999998</v>
      </c>
      <c r="D3293" s="5">
        <v>83744.997499999998</v>
      </c>
      <c r="E3293" s="5">
        <v>75832.596099999995</v>
      </c>
      <c r="G3293" s="5" t="str">
        <f t="shared" si="103"/>
        <v>АВТОВОКЗАЛ</v>
      </c>
      <c r="J3293" s="5"/>
      <c r="AL3293" s="5">
        <f t="shared" si="104"/>
        <v>0</v>
      </c>
    </row>
    <row r="3294" spans="1:38" ht="25.5" customHeight="1" x14ac:dyDescent="0.25">
      <c r="A3294" s="10" t="s">
        <v>1446</v>
      </c>
      <c r="B3294" s="11" t="s">
        <v>1653</v>
      </c>
      <c r="C3294" s="5">
        <v>56847.723400000003</v>
      </c>
      <c r="D3294" s="5">
        <v>56847.723400000003</v>
      </c>
      <c r="E3294" s="5">
        <v>51476.629399999998</v>
      </c>
      <c r="G3294" s="5" t="str">
        <f t="shared" si="103"/>
        <v>ПТИЦЕФАБРИКА</v>
      </c>
      <c r="J3294" s="5"/>
      <c r="AL3294" s="5">
        <f t="shared" si="104"/>
        <v>0</v>
      </c>
    </row>
    <row r="3295" spans="1:38" ht="25.5" customHeight="1" x14ac:dyDescent="0.25">
      <c r="A3295" s="10" t="s">
        <v>2967</v>
      </c>
      <c r="B3295" s="11" t="s">
        <v>1688</v>
      </c>
      <c r="C3295" s="5">
        <v>29893.73</v>
      </c>
      <c r="D3295" s="5">
        <v>29893.73</v>
      </c>
      <c r="E3295" s="5">
        <v>26241.207699999999</v>
      </c>
      <c r="G3295" s="5" t="str">
        <f t="shared" si="103"/>
        <v>Сух_Г-Кам_Н_Кушва_Н-Черм</v>
      </c>
      <c r="J3295" s="5"/>
      <c r="AL3295" s="5">
        <f t="shared" si="104"/>
        <v>0</v>
      </c>
    </row>
    <row r="3296" spans="1:38" ht="25.5" customHeight="1" x14ac:dyDescent="0.25">
      <c r="A3296" s="10" t="s">
        <v>285</v>
      </c>
      <c r="B3296" s="11" t="s">
        <v>1679</v>
      </c>
      <c r="C3296" s="5">
        <v>28855.326499999999</v>
      </c>
      <c r="D3296" s="5">
        <v>28855.326499999999</v>
      </c>
      <c r="E3296" s="5">
        <v>25951.933700000001</v>
      </c>
      <c r="G3296" s="5" t="str">
        <f t="shared" si="103"/>
        <v>Ст.Каменск-Хозспособ</v>
      </c>
      <c r="J3296" s="5"/>
      <c r="AL3296" s="5">
        <f t="shared" si="104"/>
        <v>0</v>
      </c>
    </row>
    <row r="3297" spans="1:38" ht="25.5" customHeight="1" x14ac:dyDescent="0.25">
      <c r="A3297" s="10" t="s">
        <v>2968</v>
      </c>
      <c r="B3297" s="11" t="s">
        <v>1660</v>
      </c>
      <c r="C3297" s="5">
        <v>53262.345800000003</v>
      </c>
      <c r="D3297" s="5">
        <v>53262.345800000003</v>
      </c>
      <c r="E3297" s="5">
        <v>48230.0095</v>
      </c>
      <c r="G3297" s="5" t="str">
        <f t="shared" si="103"/>
        <v>САДОВЫЙ</v>
      </c>
      <c r="J3297" s="5"/>
      <c r="AL3297" s="5">
        <f t="shared" si="104"/>
        <v>0</v>
      </c>
    </row>
    <row r="3298" spans="1:38" ht="25.5" customHeight="1" x14ac:dyDescent="0.25">
      <c r="A3298" s="10" t="s">
        <v>2969</v>
      </c>
      <c r="B3298" s="11" t="s">
        <v>33</v>
      </c>
      <c r="C3298" s="5">
        <v>84298.205100000006</v>
      </c>
      <c r="D3298" s="5">
        <v>84298.205100000006</v>
      </c>
      <c r="E3298" s="5">
        <v>76333.533100000001</v>
      </c>
      <c r="G3298" s="5" t="str">
        <f t="shared" si="103"/>
        <v>ВИЗ</v>
      </c>
      <c r="J3298" s="5"/>
      <c r="AL3298" s="5">
        <f t="shared" si="104"/>
        <v>0</v>
      </c>
    </row>
    <row r="3299" spans="1:38" ht="25.5" customHeight="1" x14ac:dyDescent="0.25">
      <c r="A3299" s="10" t="s">
        <v>1618</v>
      </c>
      <c r="B3299" s="11" t="s">
        <v>1640</v>
      </c>
      <c r="C3299" s="5">
        <v>64914.8</v>
      </c>
      <c r="D3299" s="5">
        <v>64914.8</v>
      </c>
      <c r="E3299" s="5">
        <v>58781.519200000002</v>
      </c>
      <c r="G3299" s="5" t="str">
        <f t="shared" si="103"/>
        <v>Новая сортировка</v>
      </c>
      <c r="J3299" s="5"/>
      <c r="AL3299" s="5">
        <f t="shared" si="104"/>
        <v>0</v>
      </c>
    </row>
    <row r="3300" spans="1:38" ht="25.5" customHeight="1" x14ac:dyDescent="0.25">
      <c r="A3300" s="10" t="s">
        <v>2970</v>
      </c>
      <c r="B3300" s="11" t="s">
        <v>1647</v>
      </c>
      <c r="C3300" s="5">
        <v>63178.133800000003</v>
      </c>
      <c r="D3300" s="5">
        <v>63178.133800000003</v>
      </c>
      <c r="E3300" s="5">
        <v>57208.931499999999</v>
      </c>
      <c r="G3300" s="5" t="str">
        <f t="shared" si="103"/>
        <v>ШИРОКАЯ РЕЧКА</v>
      </c>
      <c r="J3300" s="5"/>
      <c r="AL3300" s="5">
        <f t="shared" si="104"/>
        <v>0</v>
      </c>
    </row>
    <row r="3301" spans="1:38" ht="25.5" customHeight="1" x14ac:dyDescent="0.25">
      <c r="A3301" s="10" t="s">
        <v>630</v>
      </c>
      <c r="B3301" s="11" t="s">
        <v>1681</v>
      </c>
      <c r="C3301" s="5">
        <v>32172.2909</v>
      </c>
      <c r="D3301" s="5">
        <v>32172.2909</v>
      </c>
      <c r="E3301" s="5">
        <v>28935.146499999999</v>
      </c>
      <c r="G3301" s="5" t="str">
        <f t="shared" si="103"/>
        <v>Ленин-Олимп</v>
      </c>
      <c r="J3301" s="5"/>
      <c r="AL3301" s="5">
        <f t="shared" si="104"/>
        <v>0</v>
      </c>
    </row>
    <row r="3302" spans="1:38" ht="25.5" customHeight="1" x14ac:dyDescent="0.25">
      <c r="A3302" s="10" t="s">
        <v>2971</v>
      </c>
      <c r="B3302" s="11" t="s">
        <v>1679</v>
      </c>
      <c r="C3302" s="5">
        <v>28855.326499999999</v>
      </c>
      <c r="D3302" s="5">
        <v>28855.326499999999</v>
      </c>
      <c r="E3302" s="5">
        <v>25951.933700000001</v>
      </c>
      <c r="G3302" s="5" t="str">
        <f t="shared" si="103"/>
        <v>Ст.Каменск-Хозспособ</v>
      </c>
      <c r="J3302" s="5"/>
      <c r="AL3302" s="5">
        <f t="shared" si="104"/>
        <v>0</v>
      </c>
    </row>
    <row r="3303" spans="1:38" ht="25.5" customHeight="1" x14ac:dyDescent="0.25">
      <c r="A3303" s="10" t="s">
        <v>2972</v>
      </c>
      <c r="B3303" s="11" t="s">
        <v>1636</v>
      </c>
      <c r="C3303" s="5">
        <v>52246.960299999999</v>
      </c>
      <c r="D3303" s="5">
        <v>52246.960299999999</v>
      </c>
      <c r="E3303" s="5">
        <v>47310.556700000001</v>
      </c>
      <c r="G3303" s="5" t="str">
        <f t="shared" si="103"/>
        <v>ГОРНЫЙ ЩИТ</v>
      </c>
      <c r="J3303" s="5"/>
      <c r="AL3303" s="5">
        <f t="shared" si="104"/>
        <v>0</v>
      </c>
    </row>
    <row r="3304" spans="1:38" ht="25.5" customHeight="1" x14ac:dyDescent="0.25">
      <c r="A3304" s="10" t="s">
        <v>2973</v>
      </c>
      <c r="B3304" s="11" t="s">
        <v>1663</v>
      </c>
      <c r="C3304" s="5">
        <v>44242.899599999997</v>
      </c>
      <c r="D3304" s="5">
        <v>44242.899599999997</v>
      </c>
      <c r="E3304" s="5">
        <v>40062.737300000001</v>
      </c>
      <c r="G3304" s="5" t="str">
        <f t="shared" si="103"/>
        <v>ШУВАКИШ</v>
      </c>
      <c r="J3304" s="5"/>
      <c r="AL3304" s="5">
        <f t="shared" si="104"/>
        <v>0</v>
      </c>
    </row>
    <row r="3305" spans="1:38" ht="25.5" customHeight="1" x14ac:dyDescent="0.25">
      <c r="A3305" s="10" t="s">
        <v>970</v>
      </c>
      <c r="B3305" s="11" t="s">
        <v>1678</v>
      </c>
      <c r="C3305" s="5">
        <v>37400.280599999998</v>
      </c>
      <c r="D3305" s="5">
        <v>37400.280599999998</v>
      </c>
      <c r="E3305" s="5">
        <v>33637.106500000002</v>
      </c>
      <c r="G3305" s="5" t="str">
        <f t="shared" si="103"/>
        <v>Южный</v>
      </c>
      <c r="J3305" s="5"/>
      <c r="AL3305" s="5">
        <f t="shared" si="104"/>
        <v>0</v>
      </c>
    </row>
    <row r="3306" spans="1:38" ht="25.5" customHeight="1" x14ac:dyDescent="0.25">
      <c r="A3306" s="10" t="s">
        <v>2974</v>
      </c>
      <c r="B3306" s="11" t="s">
        <v>1656</v>
      </c>
      <c r="C3306" s="5">
        <v>60173.9879</v>
      </c>
      <c r="D3306" s="5">
        <v>60173.9879</v>
      </c>
      <c r="E3306" s="5">
        <v>54488.630299999997</v>
      </c>
      <c r="G3306" s="5" t="str">
        <f t="shared" si="103"/>
        <v>МАЛЫЙ ИСТОК</v>
      </c>
      <c r="J3306" s="5"/>
      <c r="AL3306" s="5">
        <f t="shared" si="104"/>
        <v>0</v>
      </c>
    </row>
    <row r="3307" spans="1:38" ht="25.5" customHeight="1" x14ac:dyDescent="0.25">
      <c r="A3307" s="10" t="s">
        <v>2975</v>
      </c>
      <c r="B3307" s="11" t="s">
        <v>1631</v>
      </c>
      <c r="C3307" s="5">
        <v>70026.7601</v>
      </c>
      <c r="D3307" s="5">
        <v>70026.7601</v>
      </c>
      <c r="E3307" s="5">
        <v>63410.482000000004</v>
      </c>
      <c r="G3307" s="5" t="str">
        <f t="shared" si="103"/>
        <v>УРАЛМАШ</v>
      </c>
      <c r="J3307" s="5"/>
      <c r="AL3307" s="5">
        <f t="shared" si="104"/>
        <v>0</v>
      </c>
    </row>
    <row r="3308" spans="1:38" ht="25.5" customHeight="1" x14ac:dyDescent="0.25">
      <c r="A3308" s="10" t="s">
        <v>1266</v>
      </c>
      <c r="B3308" s="11" t="s">
        <v>1657</v>
      </c>
      <c r="C3308" s="5">
        <v>54886.9666</v>
      </c>
      <c r="D3308" s="5">
        <v>54886.9666</v>
      </c>
      <c r="E3308" s="5">
        <v>49701.1319</v>
      </c>
      <c r="G3308" s="5" t="str">
        <f t="shared" si="103"/>
        <v>КОЛЬЦОВО</v>
      </c>
      <c r="J3308" s="5"/>
      <c r="AL3308" s="5">
        <f t="shared" si="104"/>
        <v>0</v>
      </c>
    </row>
    <row r="3309" spans="1:38" ht="25.5" customHeight="1" x14ac:dyDescent="0.25">
      <c r="A3309" s="10" t="s">
        <v>447</v>
      </c>
      <c r="B3309" s="11" t="s">
        <v>1679</v>
      </c>
      <c r="C3309" s="5">
        <v>28855.326499999999</v>
      </c>
      <c r="D3309" s="5">
        <v>28855.326499999999</v>
      </c>
      <c r="E3309" s="5">
        <v>25951.933700000001</v>
      </c>
      <c r="G3309" s="5" t="str">
        <f t="shared" si="103"/>
        <v>Ст.Каменск-Хозспособ</v>
      </c>
      <c r="J3309" s="5"/>
      <c r="AL3309" s="5">
        <f t="shared" si="104"/>
        <v>0</v>
      </c>
    </row>
    <row r="3310" spans="1:38" ht="25.5" customHeight="1" x14ac:dyDescent="0.25">
      <c r="A3310" s="10" t="s">
        <v>693</v>
      </c>
      <c r="B3310" s="11" t="s">
        <v>5166</v>
      </c>
      <c r="C3310" s="5">
        <v>49782.025399999999</v>
      </c>
      <c r="D3310" s="5">
        <v>49782.025399999999</v>
      </c>
      <c r="E3310" s="5">
        <v>45078.506800000003</v>
      </c>
      <c r="G3310" s="5" t="str">
        <f t="shared" si="103"/>
        <v>Чусовское озеро</v>
      </c>
      <c r="J3310" s="5"/>
      <c r="AL3310" s="5">
        <f t="shared" si="104"/>
        <v>0</v>
      </c>
    </row>
    <row r="3311" spans="1:38" ht="25.5" customHeight="1" x14ac:dyDescent="0.25">
      <c r="A3311" s="10" t="s">
        <v>2976</v>
      </c>
      <c r="B3311" s="11" t="s">
        <v>118</v>
      </c>
      <c r="C3311" s="5">
        <v>53500.443299999999</v>
      </c>
      <c r="D3311" s="5">
        <v>53500.443299999999</v>
      </c>
      <c r="E3311" s="5">
        <v>48445.605100000001</v>
      </c>
      <c r="G3311" s="5" t="str">
        <f t="shared" si="103"/>
        <v>Исток</v>
      </c>
      <c r="J3311" s="5"/>
      <c r="AL3311" s="5">
        <f t="shared" si="104"/>
        <v>0</v>
      </c>
    </row>
    <row r="3312" spans="1:38" ht="25.5" customHeight="1" x14ac:dyDescent="0.25">
      <c r="A3312" s="10" t="s">
        <v>2977</v>
      </c>
      <c r="B3312" s="11" t="s">
        <v>1635</v>
      </c>
      <c r="C3312" s="5">
        <v>57793.0844</v>
      </c>
      <c r="D3312" s="5">
        <v>57793.0844</v>
      </c>
      <c r="E3312" s="5">
        <v>52332.6639</v>
      </c>
      <c r="G3312" s="5" t="str">
        <f t="shared" si="103"/>
        <v>ЛЕЧЕБНЫЙ</v>
      </c>
      <c r="J3312" s="5"/>
      <c r="AL3312" s="5">
        <f t="shared" si="104"/>
        <v>0</v>
      </c>
    </row>
    <row r="3313" spans="1:38" ht="25.5" customHeight="1" x14ac:dyDescent="0.25">
      <c r="A3313" s="10" t="s">
        <v>1278</v>
      </c>
      <c r="B3313" s="11" t="s">
        <v>1659</v>
      </c>
      <c r="C3313" s="5">
        <v>59746.832600000002</v>
      </c>
      <c r="D3313" s="5">
        <v>59746.832600000002</v>
      </c>
      <c r="E3313" s="5">
        <v>54101.823700000001</v>
      </c>
      <c r="G3313" s="5" t="str">
        <f t="shared" si="103"/>
        <v>СОВХОЗ</v>
      </c>
      <c r="J3313" s="5"/>
      <c r="AL3313" s="5">
        <f t="shared" si="104"/>
        <v>0</v>
      </c>
    </row>
    <row r="3314" spans="1:38" ht="25.5" customHeight="1" x14ac:dyDescent="0.25">
      <c r="A3314" s="10" t="s">
        <v>2978</v>
      </c>
      <c r="B3314" s="11" t="s">
        <v>1629</v>
      </c>
      <c r="C3314" s="5">
        <v>77743.704100000003</v>
      </c>
      <c r="D3314" s="5">
        <v>77743.704100000003</v>
      </c>
      <c r="E3314" s="5">
        <v>70398.310800000007</v>
      </c>
      <c r="G3314" s="5" t="str">
        <f t="shared" si="103"/>
        <v>ПИОНЕРСКИЙ</v>
      </c>
      <c r="J3314" s="5"/>
      <c r="AL3314" s="5">
        <f t="shared" si="104"/>
        <v>0</v>
      </c>
    </row>
    <row r="3315" spans="1:38" ht="25.5" customHeight="1" x14ac:dyDescent="0.25">
      <c r="A3315" s="10" t="s">
        <v>2979</v>
      </c>
      <c r="B3315" s="11" t="s">
        <v>389</v>
      </c>
      <c r="C3315" s="5">
        <v>51175.5573</v>
      </c>
      <c r="D3315" s="5">
        <v>51175.5573</v>
      </c>
      <c r="E3315" s="5">
        <v>46340.381600000001</v>
      </c>
      <c r="G3315" s="5" t="str">
        <f t="shared" si="103"/>
        <v>Северка</v>
      </c>
      <c r="J3315" s="5"/>
      <c r="AL3315" s="5">
        <f t="shared" si="104"/>
        <v>0</v>
      </c>
    </row>
    <row r="3316" spans="1:38" ht="25.5" customHeight="1" x14ac:dyDescent="0.25">
      <c r="A3316" s="10" t="s">
        <v>2980</v>
      </c>
      <c r="B3316" s="11" t="s">
        <v>118</v>
      </c>
      <c r="C3316" s="5">
        <v>53500.443299999999</v>
      </c>
      <c r="D3316" s="5">
        <v>53500.443299999999</v>
      </c>
      <c r="E3316" s="5">
        <v>48445.605100000001</v>
      </c>
      <c r="G3316" s="5" t="str">
        <f t="shared" si="103"/>
        <v>Исток</v>
      </c>
      <c r="J3316" s="5"/>
      <c r="AL3316" s="5">
        <f t="shared" si="104"/>
        <v>0</v>
      </c>
    </row>
    <row r="3317" spans="1:38" ht="25.5" customHeight="1" x14ac:dyDescent="0.25">
      <c r="A3317" s="10" t="s">
        <v>2981</v>
      </c>
      <c r="B3317" s="11" t="s">
        <v>1639</v>
      </c>
      <c r="C3317" s="5">
        <v>53500.443299999999</v>
      </c>
      <c r="D3317" s="5">
        <v>53500.443299999999</v>
      </c>
      <c r="E3317" s="5">
        <v>48445.605100000001</v>
      </c>
      <c r="G3317" s="5" t="str">
        <f t="shared" si="103"/>
        <v>ИСТОК</v>
      </c>
      <c r="J3317" s="5"/>
      <c r="AL3317" s="5">
        <f t="shared" si="104"/>
        <v>0</v>
      </c>
    </row>
    <row r="3318" spans="1:38" ht="25.5" customHeight="1" x14ac:dyDescent="0.25">
      <c r="A3318" s="10" t="s">
        <v>1502</v>
      </c>
      <c r="B3318" s="11" t="s">
        <v>1643</v>
      </c>
      <c r="C3318" s="5">
        <v>76630.280299999999</v>
      </c>
      <c r="D3318" s="5">
        <v>76630.280299999999</v>
      </c>
      <c r="E3318" s="5">
        <v>69390.088799999998</v>
      </c>
      <c r="G3318" s="5" t="str">
        <f t="shared" si="103"/>
        <v>Ю-З</v>
      </c>
      <c r="J3318" s="5"/>
      <c r="AL3318" s="5">
        <f t="shared" si="104"/>
        <v>0</v>
      </c>
    </row>
    <row r="3319" spans="1:38" ht="25.5" customHeight="1" x14ac:dyDescent="0.25">
      <c r="A3319" s="10" t="s">
        <v>2982</v>
      </c>
      <c r="B3319" s="11" t="s">
        <v>1643</v>
      </c>
      <c r="C3319" s="5">
        <v>76630.280299999999</v>
      </c>
      <c r="D3319" s="5">
        <v>76630.280299999999</v>
      </c>
      <c r="E3319" s="5">
        <v>69390.088799999998</v>
      </c>
      <c r="G3319" s="5" t="str">
        <f t="shared" si="103"/>
        <v>Ю-З</v>
      </c>
      <c r="J3319" s="5"/>
      <c r="AL3319" s="5">
        <f t="shared" si="104"/>
        <v>0</v>
      </c>
    </row>
    <row r="3320" spans="1:38" ht="25.5" customHeight="1" x14ac:dyDescent="0.25">
      <c r="A3320" s="10" t="s">
        <v>882</v>
      </c>
      <c r="B3320" s="11" t="s">
        <v>1636</v>
      </c>
      <c r="C3320" s="5">
        <v>52246.960299999999</v>
      </c>
      <c r="D3320" s="5">
        <v>52246.960299999999</v>
      </c>
      <c r="E3320" s="5">
        <v>47310.556700000001</v>
      </c>
      <c r="G3320" s="5" t="str">
        <f t="shared" si="103"/>
        <v>ГОРНЫЙ ЩИТ</v>
      </c>
      <c r="J3320" s="5"/>
      <c r="AL3320" s="5">
        <f t="shared" si="104"/>
        <v>0</v>
      </c>
    </row>
    <row r="3321" spans="1:38" ht="25.5" customHeight="1" x14ac:dyDescent="0.25">
      <c r="A3321" s="10" t="s">
        <v>2983</v>
      </c>
      <c r="B3321" s="11" t="s">
        <v>33</v>
      </c>
      <c r="C3321" s="5">
        <v>84298.205100000006</v>
      </c>
      <c r="D3321" s="5">
        <v>84298.205100000006</v>
      </c>
      <c r="E3321" s="5">
        <v>76333.533100000001</v>
      </c>
      <c r="G3321" s="5" t="str">
        <f t="shared" si="103"/>
        <v>ВИЗ</v>
      </c>
      <c r="J3321" s="5"/>
      <c r="AL3321" s="5">
        <f t="shared" si="104"/>
        <v>0</v>
      </c>
    </row>
    <row r="3322" spans="1:38" ht="25.5" customHeight="1" x14ac:dyDescent="0.25">
      <c r="A3322" s="10" t="s">
        <v>186</v>
      </c>
      <c r="B3322" s="11" t="s">
        <v>1646</v>
      </c>
      <c r="C3322" s="5">
        <v>61763.596599999997</v>
      </c>
      <c r="D3322" s="5">
        <v>61763.596599999997</v>
      </c>
      <c r="E3322" s="5">
        <v>55928.0435</v>
      </c>
      <c r="G3322" s="5" t="str">
        <f t="shared" si="103"/>
        <v>АКАДЕМИЧЕСКИЙ</v>
      </c>
      <c r="J3322" s="5"/>
      <c r="AL3322" s="5">
        <f t="shared" si="104"/>
        <v>0</v>
      </c>
    </row>
    <row r="3323" spans="1:38" ht="25.5" customHeight="1" x14ac:dyDescent="0.25">
      <c r="A3323" s="10" t="s">
        <v>456</v>
      </c>
      <c r="B3323" s="11" t="s">
        <v>1643</v>
      </c>
      <c r="C3323" s="5">
        <v>76630.280299999999</v>
      </c>
      <c r="D3323" s="5">
        <v>76630.280299999999</v>
      </c>
      <c r="E3323" s="5">
        <v>69390.088799999998</v>
      </c>
      <c r="G3323" s="5" t="str">
        <f t="shared" si="103"/>
        <v>Ю-З</v>
      </c>
      <c r="J3323" s="5"/>
      <c r="AL3323" s="5">
        <f t="shared" si="104"/>
        <v>0</v>
      </c>
    </row>
    <row r="3324" spans="1:38" ht="25.5" customHeight="1" x14ac:dyDescent="0.25">
      <c r="A3324" s="10" t="s">
        <v>396</v>
      </c>
      <c r="B3324" s="11" t="s">
        <v>1630</v>
      </c>
      <c r="C3324" s="5">
        <v>62652.9401</v>
      </c>
      <c r="D3324" s="5">
        <v>62652.9401</v>
      </c>
      <c r="E3324" s="5">
        <v>56733.3557</v>
      </c>
      <c r="G3324" s="5" t="str">
        <f t="shared" si="103"/>
        <v>ЧЕРМЕТ</v>
      </c>
      <c r="J3324" s="5"/>
      <c r="AL3324" s="5">
        <f t="shared" si="104"/>
        <v>0</v>
      </c>
    </row>
    <row r="3325" spans="1:38" ht="25.5" customHeight="1" x14ac:dyDescent="0.25">
      <c r="A3325" s="10" t="s">
        <v>2984</v>
      </c>
      <c r="B3325" s="11" t="s">
        <v>1674</v>
      </c>
      <c r="C3325" s="5">
        <v>29199.565200000001</v>
      </c>
      <c r="D3325" s="5">
        <v>29199.565200000001</v>
      </c>
      <c r="E3325" s="5">
        <v>26261.5317</v>
      </c>
      <c r="G3325" s="5" t="str">
        <f t="shared" si="103"/>
        <v>УАЗ</v>
      </c>
      <c r="J3325" s="5"/>
      <c r="AL3325" s="5">
        <f t="shared" si="104"/>
        <v>0</v>
      </c>
    </row>
    <row r="3326" spans="1:38" ht="25.5" customHeight="1" x14ac:dyDescent="0.25">
      <c r="A3326" s="10" t="s">
        <v>2985</v>
      </c>
      <c r="B3326" s="11" t="s">
        <v>118</v>
      </c>
      <c r="C3326" s="5">
        <v>53500.443299999999</v>
      </c>
      <c r="D3326" s="5">
        <v>53500.443299999999</v>
      </c>
      <c r="E3326" s="5">
        <v>48445.605100000001</v>
      </c>
      <c r="G3326" s="5" t="str">
        <f t="shared" si="103"/>
        <v>Исток</v>
      </c>
      <c r="J3326" s="5"/>
      <c r="AL3326" s="5">
        <f t="shared" si="104"/>
        <v>0</v>
      </c>
    </row>
    <row r="3327" spans="1:38" ht="25.5" customHeight="1" x14ac:dyDescent="0.25">
      <c r="A3327" s="10" t="s">
        <v>2986</v>
      </c>
      <c r="B3327" s="11" t="s">
        <v>1679</v>
      </c>
      <c r="C3327" s="5">
        <v>28855.326499999999</v>
      </c>
      <c r="D3327" s="5">
        <v>28855.326499999999</v>
      </c>
      <c r="E3327" s="5">
        <v>25951.933700000001</v>
      </c>
      <c r="G3327" s="5" t="str">
        <f t="shared" si="103"/>
        <v>Ст.Каменск-Хозспособ</v>
      </c>
      <c r="J3327" s="5"/>
      <c r="AL3327" s="5">
        <f t="shared" si="104"/>
        <v>0</v>
      </c>
    </row>
    <row r="3328" spans="1:38" ht="25.5" customHeight="1" x14ac:dyDescent="0.25">
      <c r="A3328" s="10" t="s">
        <v>2987</v>
      </c>
      <c r="B3328" s="11" t="s">
        <v>1647</v>
      </c>
      <c r="C3328" s="5">
        <v>63178.133800000003</v>
      </c>
      <c r="D3328" s="5">
        <v>63178.133800000003</v>
      </c>
      <c r="E3328" s="5">
        <v>57208.931499999999</v>
      </c>
      <c r="G3328" s="5" t="str">
        <f t="shared" si="103"/>
        <v>ШИРОКАЯ РЕЧКА</v>
      </c>
      <c r="J3328" s="5"/>
      <c r="AL3328" s="5">
        <f t="shared" si="104"/>
        <v>0</v>
      </c>
    </row>
    <row r="3329" spans="1:38" ht="25.5" customHeight="1" x14ac:dyDescent="0.25">
      <c r="A3329" s="10" t="s">
        <v>2988</v>
      </c>
      <c r="B3329" s="11" t="s">
        <v>1660</v>
      </c>
      <c r="C3329" s="5">
        <v>53262.345800000003</v>
      </c>
      <c r="D3329" s="5">
        <v>53262.345800000003</v>
      </c>
      <c r="E3329" s="5">
        <v>48230.0095</v>
      </c>
      <c r="G3329" s="5" t="str">
        <f t="shared" si="103"/>
        <v>САДОВЫЙ</v>
      </c>
      <c r="J3329" s="5"/>
      <c r="AL3329" s="5">
        <f t="shared" si="104"/>
        <v>0</v>
      </c>
    </row>
    <row r="3330" spans="1:38" ht="25.5" customHeight="1" x14ac:dyDescent="0.25">
      <c r="A3330" s="10" t="s">
        <v>1311</v>
      </c>
      <c r="B3330" s="11" t="s">
        <v>1644</v>
      </c>
      <c r="C3330" s="5">
        <v>61980.678599999999</v>
      </c>
      <c r="D3330" s="5">
        <v>61980.678599999999</v>
      </c>
      <c r="E3330" s="5">
        <v>56124.615700000002</v>
      </c>
      <c r="G3330" s="5" t="str">
        <f t="shared" ref="G3330:G3393" si="105">B3330</f>
        <v>ХИММАШ</v>
      </c>
      <c r="J3330" s="5"/>
      <c r="AL3330" s="5">
        <f t="shared" ref="AL3330:AL3393" si="106">AF3330</f>
        <v>0</v>
      </c>
    </row>
    <row r="3331" spans="1:38" ht="25.5" customHeight="1" x14ac:dyDescent="0.25">
      <c r="A3331" s="10" t="s">
        <v>2989</v>
      </c>
      <c r="B3331" s="11" t="s">
        <v>1665</v>
      </c>
      <c r="C3331" s="5">
        <v>55692.278700000003</v>
      </c>
      <c r="D3331" s="5">
        <v>55692.278700000003</v>
      </c>
      <c r="E3331" s="5">
        <v>50430.350200000001</v>
      </c>
      <c r="G3331" s="5" t="str">
        <f t="shared" si="105"/>
        <v>ПОЛЕВОДСТВО</v>
      </c>
      <c r="J3331" s="5"/>
      <c r="AL3331" s="5">
        <f t="shared" si="106"/>
        <v>0</v>
      </c>
    </row>
    <row r="3332" spans="1:38" ht="25.5" customHeight="1" x14ac:dyDescent="0.25">
      <c r="A3332" s="10" t="s">
        <v>2990</v>
      </c>
      <c r="B3332" s="11" t="s">
        <v>1668</v>
      </c>
      <c r="C3332" s="5">
        <v>51343.6201</v>
      </c>
      <c r="D3332" s="5">
        <v>51343.6201</v>
      </c>
      <c r="E3332" s="5">
        <v>46492.558799999999</v>
      </c>
      <c r="G3332" s="5" t="str">
        <f t="shared" si="105"/>
        <v>МЕДНЫЙ</v>
      </c>
      <c r="J3332" s="5"/>
      <c r="AL3332" s="5">
        <f t="shared" si="106"/>
        <v>0</v>
      </c>
    </row>
    <row r="3333" spans="1:38" ht="25.5" customHeight="1" x14ac:dyDescent="0.25">
      <c r="A3333" s="10" t="s">
        <v>2991</v>
      </c>
      <c r="B3333" s="11" t="s">
        <v>1631</v>
      </c>
      <c r="C3333" s="5">
        <v>70026.7601</v>
      </c>
      <c r="D3333" s="5">
        <v>70026.7601</v>
      </c>
      <c r="E3333" s="5">
        <v>63410.482000000004</v>
      </c>
      <c r="G3333" s="5" t="str">
        <f t="shared" si="105"/>
        <v>УРАЛМАШ</v>
      </c>
      <c r="J3333" s="5"/>
      <c r="AL3333" s="5">
        <f t="shared" si="106"/>
        <v>0</v>
      </c>
    </row>
    <row r="3334" spans="1:38" ht="25.5" customHeight="1" x14ac:dyDescent="0.25">
      <c r="A3334" s="10" t="s">
        <v>1491</v>
      </c>
      <c r="B3334" s="11" t="s">
        <v>1637</v>
      </c>
      <c r="C3334" s="5">
        <v>59368.686099999999</v>
      </c>
      <c r="D3334" s="5">
        <v>59368.686099999999</v>
      </c>
      <c r="E3334" s="5">
        <v>53759.401700000002</v>
      </c>
      <c r="G3334" s="5" t="str">
        <f t="shared" si="105"/>
        <v>Старая сортировка</v>
      </c>
      <c r="J3334" s="5"/>
      <c r="AL3334" s="5">
        <f t="shared" si="106"/>
        <v>0</v>
      </c>
    </row>
    <row r="3335" spans="1:38" ht="25.5" customHeight="1" x14ac:dyDescent="0.25">
      <c r="A3335" s="10" t="s">
        <v>2992</v>
      </c>
      <c r="B3335" s="11" t="s">
        <v>33</v>
      </c>
      <c r="C3335" s="5">
        <v>84298.205100000006</v>
      </c>
      <c r="D3335" s="5">
        <v>84298.205100000006</v>
      </c>
      <c r="E3335" s="5">
        <v>76333.533100000001</v>
      </c>
      <c r="G3335" s="5" t="str">
        <f t="shared" si="105"/>
        <v>ВИЗ</v>
      </c>
      <c r="J3335" s="5"/>
      <c r="AL3335" s="5">
        <f t="shared" si="106"/>
        <v>0</v>
      </c>
    </row>
    <row r="3336" spans="1:38" ht="25.5" customHeight="1" x14ac:dyDescent="0.25">
      <c r="A3336" s="10" t="s">
        <v>2993</v>
      </c>
      <c r="B3336" s="11" t="s">
        <v>1653</v>
      </c>
      <c r="C3336" s="5">
        <v>56847.723400000003</v>
      </c>
      <c r="D3336" s="5">
        <v>56847.723400000003</v>
      </c>
      <c r="E3336" s="5">
        <v>51476.629399999998</v>
      </c>
      <c r="G3336" s="5" t="str">
        <f t="shared" si="105"/>
        <v>ПТИЦЕФАБРИКА</v>
      </c>
      <c r="J3336" s="5"/>
      <c r="AL3336" s="5">
        <f t="shared" si="106"/>
        <v>0</v>
      </c>
    </row>
    <row r="3337" spans="1:38" ht="25.5" customHeight="1" x14ac:dyDescent="0.25">
      <c r="A3337" s="10" t="s">
        <v>2994</v>
      </c>
      <c r="B3337" s="11" t="s">
        <v>1650</v>
      </c>
      <c r="C3337" s="5">
        <v>37590.3603</v>
      </c>
      <c r="D3337" s="5">
        <v>37590.3603</v>
      </c>
      <c r="E3337" s="5">
        <v>34038.745900000002</v>
      </c>
      <c r="G3337" s="5" t="str">
        <f t="shared" si="105"/>
        <v>ШАБРОВСКИЙ</v>
      </c>
      <c r="J3337" s="5"/>
      <c r="AL3337" s="5">
        <f t="shared" si="106"/>
        <v>0</v>
      </c>
    </row>
    <row r="3338" spans="1:38" ht="25.5" customHeight="1" x14ac:dyDescent="0.25">
      <c r="A3338" s="10" t="s">
        <v>2995</v>
      </c>
      <c r="B3338" s="11" t="s">
        <v>1638</v>
      </c>
      <c r="C3338" s="5">
        <v>63640.311600000001</v>
      </c>
      <c r="D3338" s="5">
        <v>63640.311600000001</v>
      </c>
      <c r="E3338" s="5">
        <v>57627.4473</v>
      </c>
      <c r="G3338" s="5" t="str">
        <f t="shared" si="105"/>
        <v>УКТУС</v>
      </c>
      <c r="J3338" s="5"/>
      <c r="AL3338" s="5">
        <f t="shared" si="106"/>
        <v>0</v>
      </c>
    </row>
    <row r="3339" spans="1:38" ht="25.5" customHeight="1" x14ac:dyDescent="0.25">
      <c r="A3339" s="10" t="s">
        <v>2996</v>
      </c>
      <c r="B3339" s="11" t="s">
        <v>1637</v>
      </c>
      <c r="C3339" s="5">
        <v>59368.686099999999</v>
      </c>
      <c r="D3339" s="5">
        <v>59368.686099999999</v>
      </c>
      <c r="E3339" s="5">
        <v>53759.401700000002</v>
      </c>
      <c r="G3339" s="5" t="str">
        <f t="shared" si="105"/>
        <v>Старая сортировка</v>
      </c>
      <c r="J3339" s="5"/>
      <c r="AL3339" s="5">
        <f t="shared" si="106"/>
        <v>0</v>
      </c>
    </row>
    <row r="3340" spans="1:38" ht="25.5" customHeight="1" x14ac:dyDescent="0.25">
      <c r="A3340" s="10" t="s">
        <v>2997</v>
      </c>
      <c r="B3340" s="11" t="s">
        <v>1647</v>
      </c>
      <c r="C3340" s="5">
        <v>63178.133800000003</v>
      </c>
      <c r="D3340" s="5">
        <v>63178.133800000003</v>
      </c>
      <c r="E3340" s="5">
        <v>57208.931499999999</v>
      </c>
      <c r="G3340" s="5" t="str">
        <f t="shared" si="105"/>
        <v>ШИРОКАЯ РЕЧКА</v>
      </c>
      <c r="J3340" s="5"/>
      <c r="AL3340" s="5">
        <f t="shared" si="106"/>
        <v>0</v>
      </c>
    </row>
    <row r="3341" spans="1:38" ht="25.5" customHeight="1" x14ac:dyDescent="0.25">
      <c r="A3341" s="10" t="s">
        <v>414</v>
      </c>
      <c r="B3341" s="11" t="s">
        <v>66</v>
      </c>
      <c r="C3341" s="5">
        <v>64795.756300000001</v>
      </c>
      <c r="D3341" s="5">
        <v>64795.756300000001</v>
      </c>
      <c r="E3341" s="5">
        <v>58673.716200000003</v>
      </c>
      <c r="G3341" s="5" t="str">
        <f t="shared" si="105"/>
        <v>УНЦ</v>
      </c>
      <c r="J3341" s="5"/>
      <c r="AL3341" s="5">
        <f t="shared" si="106"/>
        <v>0</v>
      </c>
    </row>
    <row r="3342" spans="1:38" ht="25.5" customHeight="1" x14ac:dyDescent="0.25">
      <c r="A3342" s="10" t="s">
        <v>2998</v>
      </c>
      <c r="B3342" s="11" t="s">
        <v>118</v>
      </c>
      <c r="C3342" s="5">
        <v>53500.443299999999</v>
      </c>
      <c r="D3342" s="5">
        <v>53500.443299999999</v>
      </c>
      <c r="E3342" s="5">
        <v>48445.605100000001</v>
      </c>
      <c r="G3342" s="5" t="str">
        <f t="shared" si="105"/>
        <v>Исток</v>
      </c>
      <c r="J3342" s="5"/>
      <c r="AL3342" s="5">
        <f t="shared" si="106"/>
        <v>0</v>
      </c>
    </row>
    <row r="3343" spans="1:38" ht="25.5" customHeight="1" x14ac:dyDescent="0.25">
      <c r="A3343" s="10" t="s">
        <v>195</v>
      </c>
      <c r="B3343" s="11" t="s">
        <v>1674</v>
      </c>
      <c r="C3343" s="5">
        <v>29199.565200000001</v>
      </c>
      <c r="D3343" s="5">
        <v>29199.565200000001</v>
      </c>
      <c r="E3343" s="5">
        <v>26261.5317</v>
      </c>
      <c r="G3343" s="5" t="str">
        <f t="shared" si="105"/>
        <v>УАЗ</v>
      </c>
      <c r="J3343" s="5"/>
      <c r="AL3343" s="5">
        <f t="shared" si="106"/>
        <v>0</v>
      </c>
    </row>
    <row r="3344" spans="1:38" ht="25.5" customHeight="1" x14ac:dyDescent="0.25">
      <c r="A3344" s="10" t="s">
        <v>2999</v>
      </c>
      <c r="B3344" s="11" t="s">
        <v>1647</v>
      </c>
      <c r="C3344" s="5">
        <v>63178.133800000003</v>
      </c>
      <c r="D3344" s="5">
        <v>63178.133800000003</v>
      </c>
      <c r="E3344" s="5">
        <v>57208.931499999999</v>
      </c>
      <c r="G3344" s="5" t="str">
        <f t="shared" si="105"/>
        <v>ШИРОКАЯ РЕЧКА</v>
      </c>
      <c r="J3344" s="5"/>
      <c r="AL3344" s="5">
        <f t="shared" si="106"/>
        <v>0</v>
      </c>
    </row>
    <row r="3345" spans="1:38" ht="25.5" customHeight="1" x14ac:dyDescent="0.25">
      <c r="A3345" s="10" t="s">
        <v>3000</v>
      </c>
      <c r="B3345" s="11" t="s">
        <v>1675</v>
      </c>
      <c r="C3345" s="5">
        <v>35756.285400000001</v>
      </c>
      <c r="D3345" s="5">
        <v>35756.285400000001</v>
      </c>
      <c r="E3345" s="5">
        <v>32158.5213</v>
      </c>
      <c r="G3345" s="5" t="str">
        <f t="shared" si="105"/>
        <v>УАЗ-II</v>
      </c>
      <c r="J3345" s="5"/>
      <c r="AL3345" s="5">
        <f t="shared" si="106"/>
        <v>0</v>
      </c>
    </row>
    <row r="3346" spans="1:38" ht="25.5" customHeight="1" x14ac:dyDescent="0.25">
      <c r="A3346" s="10" t="s">
        <v>830</v>
      </c>
      <c r="B3346" s="11" t="s">
        <v>1674</v>
      </c>
      <c r="C3346" s="5">
        <v>29199.565200000001</v>
      </c>
      <c r="D3346" s="5">
        <v>29199.565200000001</v>
      </c>
      <c r="E3346" s="5">
        <v>26261.5317</v>
      </c>
      <c r="G3346" s="5" t="str">
        <f t="shared" si="105"/>
        <v>УАЗ</v>
      </c>
      <c r="J3346" s="5"/>
      <c r="AL3346" s="5">
        <f t="shared" si="106"/>
        <v>0</v>
      </c>
    </row>
    <row r="3347" spans="1:38" ht="25.5" customHeight="1" x14ac:dyDescent="0.25">
      <c r="A3347" s="10" t="s">
        <v>3001</v>
      </c>
      <c r="B3347" s="11" t="s">
        <v>1638</v>
      </c>
      <c r="C3347" s="5">
        <v>63640.311600000001</v>
      </c>
      <c r="D3347" s="5">
        <v>63640.311600000001</v>
      </c>
      <c r="E3347" s="5">
        <v>57627.4473</v>
      </c>
      <c r="G3347" s="5" t="str">
        <f t="shared" si="105"/>
        <v>УКТУС</v>
      </c>
      <c r="J3347" s="5"/>
      <c r="AL3347" s="5">
        <f t="shared" si="106"/>
        <v>0</v>
      </c>
    </row>
    <row r="3348" spans="1:38" ht="25.5" customHeight="1" x14ac:dyDescent="0.25">
      <c r="A3348" s="10" t="s">
        <v>3002</v>
      </c>
      <c r="B3348" s="11" t="s">
        <v>1650</v>
      </c>
      <c r="C3348" s="5">
        <v>37590.3603</v>
      </c>
      <c r="D3348" s="5">
        <v>37590.3603</v>
      </c>
      <c r="E3348" s="5">
        <v>34038.745900000002</v>
      </c>
      <c r="G3348" s="5" t="str">
        <f t="shared" si="105"/>
        <v>ШАБРОВСКИЙ</v>
      </c>
      <c r="J3348" s="5"/>
      <c r="AL3348" s="5">
        <f t="shared" si="106"/>
        <v>0</v>
      </c>
    </row>
    <row r="3349" spans="1:38" ht="25.5" customHeight="1" x14ac:dyDescent="0.25">
      <c r="A3349" s="10" t="s">
        <v>3003</v>
      </c>
      <c r="B3349" s="11" t="s">
        <v>1636</v>
      </c>
      <c r="C3349" s="5">
        <v>52246.960299999999</v>
      </c>
      <c r="D3349" s="5">
        <v>52246.960299999999</v>
      </c>
      <c r="E3349" s="5">
        <v>47310.556700000001</v>
      </c>
      <c r="G3349" s="5" t="str">
        <f t="shared" si="105"/>
        <v>ГОРНЫЙ ЩИТ</v>
      </c>
      <c r="J3349" s="5"/>
      <c r="AL3349" s="5">
        <f t="shared" si="106"/>
        <v>0</v>
      </c>
    </row>
    <row r="3350" spans="1:38" ht="25.5" customHeight="1" x14ac:dyDescent="0.25">
      <c r="A3350" s="10" t="s">
        <v>3004</v>
      </c>
      <c r="B3350" s="11" t="s">
        <v>1656</v>
      </c>
      <c r="C3350" s="5">
        <v>60173.9879</v>
      </c>
      <c r="D3350" s="5">
        <v>60173.9879</v>
      </c>
      <c r="E3350" s="5">
        <v>54488.630299999997</v>
      </c>
      <c r="G3350" s="5" t="str">
        <f t="shared" si="105"/>
        <v>МАЛЫЙ ИСТОК</v>
      </c>
      <c r="J3350" s="5"/>
      <c r="AL3350" s="5">
        <f t="shared" si="106"/>
        <v>0</v>
      </c>
    </row>
    <row r="3351" spans="1:38" ht="25.5" customHeight="1" x14ac:dyDescent="0.25">
      <c r="A3351" s="10" t="s">
        <v>3005</v>
      </c>
      <c r="B3351" s="11" t="s">
        <v>1660</v>
      </c>
      <c r="C3351" s="5">
        <v>53262.345800000003</v>
      </c>
      <c r="D3351" s="5">
        <v>53262.345800000003</v>
      </c>
      <c r="E3351" s="5">
        <v>48230.0095</v>
      </c>
      <c r="G3351" s="5" t="str">
        <f t="shared" si="105"/>
        <v>САДОВЫЙ</v>
      </c>
      <c r="J3351" s="5"/>
      <c r="AL3351" s="5">
        <f t="shared" si="106"/>
        <v>0</v>
      </c>
    </row>
    <row r="3352" spans="1:38" ht="25.5" customHeight="1" x14ac:dyDescent="0.25">
      <c r="A3352" s="10" t="s">
        <v>1216</v>
      </c>
      <c r="B3352" s="11" t="s">
        <v>1650</v>
      </c>
      <c r="C3352" s="5">
        <v>37590.3603</v>
      </c>
      <c r="D3352" s="5">
        <v>37590.3603</v>
      </c>
      <c r="E3352" s="5">
        <v>34038.745900000002</v>
      </c>
      <c r="G3352" s="5" t="str">
        <f t="shared" si="105"/>
        <v>ШАБРОВСКИЙ</v>
      </c>
      <c r="J3352" s="5"/>
      <c r="AL3352" s="5">
        <f t="shared" si="106"/>
        <v>0</v>
      </c>
    </row>
    <row r="3353" spans="1:38" ht="25.5" customHeight="1" x14ac:dyDescent="0.25">
      <c r="A3353" s="10" t="s">
        <v>3006</v>
      </c>
      <c r="B3353" s="11" t="s">
        <v>1639</v>
      </c>
      <c r="C3353" s="5">
        <v>53500.443299999999</v>
      </c>
      <c r="D3353" s="5">
        <v>53500.443299999999</v>
      </c>
      <c r="E3353" s="5">
        <v>48445.605100000001</v>
      </c>
      <c r="G3353" s="5" t="str">
        <f t="shared" si="105"/>
        <v>ИСТОК</v>
      </c>
      <c r="J3353" s="5"/>
      <c r="AL3353" s="5">
        <f t="shared" si="106"/>
        <v>0</v>
      </c>
    </row>
    <row r="3354" spans="1:38" ht="25.5" customHeight="1" x14ac:dyDescent="0.25">
      <c r="A3354" s="10" t="s">
        <v>3007</v>
      </c>
      <c r="B3354" s="11" t="s">
        <v>1686</v>
      </c>
      <c r="C3354" s="5">
        <v>24299.835599999999</v>
      </c>
      <c r="D3354" s="5">
        <v>24299.835599999999</v>
      </c>
      <c r="E3354" s="5">
        <v>21330.794900000001</v>
      </c>
      <c r="G3354" s="5" t="str">
        <f t="shared" si="105"/>
        <v>Евст_В-Черм</v>
      </c>
      <c r="J3354" s="5"/>
      <c r="AL3354" s="5">
        <f t="shared" si="106"/>
        <v>0</v>
      </c>
    </row>
    <row r="3355" spans="1:38" ht="25.5" customHeight="1" x14ac:dyDescent="0.25">
      <c r="A3355" s="10" t="s">
        <v>3008</v>
      </c>
      <c r="B3355" s="11" t="s">
        <v>1657</v>
      </c>
      <c r="C3355" s="5">
        <v>54886.9666</v>
      </c>
      <c r="D3355" s="5">
        <v>54886.9666</v>
      </c>
      <c r="E3355" s="5">
        <v>49701.1319</v>
      </c>
      <c r="G3355" s="5" t="str">
        <f t="shared" si="105"/>
        <v>КОЛЬЦОВО</v>
      </c>
      <c r="J3355" s="5"/>
      <c r="AL3355" s="5">
        <f t="shared" si="106"/>
        <v>0</v>
      </c>
    </row>
    <row r="3356" spans="1:38" ht="25.5" customHeight="1" x14ac:dyDescent="0.25">
      <c r="A3356" s="10" t="s">
        <v>3009</v>
      </c>
      <c r="B3356" s="11" t="s">
        <v>66</v>
      </c>
      <c r="C3356" s="5">
        <v>64795.756300000001</v>
      </c>
      <c r="D3356" s="5">
        <v>64795.756300000001</v>
      </c>
      <c r="E3356" s="5">
        <v>58673.716200000003</v>
      </c>
      <c r="G3356" s="5" t="str">
        <f t="shared" si="105"/>
        <v>УНЦ</v>
      </c>
      <c r="J3356" s="5"/>
      <c r="AL3356" s="5">
        <f t="shared" si="106"/>
        <v>0</v>
      </c>
    </row>
    <row r="3357" spans="1:38" ht="25.5" customHeight="1" x14ac:dyDescent="0.25">
      <c r="A3357" s="10" t="s">
        <v>3010</v>
      </c>
      <c r="B3357" s="11" t="s">
        <v>1647</v>
      </c>
      <c r="C3357" s="5">
        <v>63178.133800000003</v>
      </c>
      <c r="D3357" s="5">
        <v>63178.133800000003</v>
      </c>
      <c r="E3357" s="5">
        <v>57208.931499999999</v>
      </c>
      <c r="G3357" s="5" t="str">
        <f t="shared" si="105"/>
        <v>ШИРОКАЯ РЕЧКА</v>
      </c>
      <c r="J3357" s="5"/>
      <c r="AL3357" s="5">
        <f t="shared" si="106"/>
        <v>0</v>
      </c>
    </row>
    <row r="3358" spans="1:38" ht="25.5" customHeight="1" x14ac:dyDescent="0.25">
      <c r="A3358" s="10" t="s">
        <v>3011</v>
      </c>
      <c r="B3358" s="11" t="s">
        <v>1676</v>
      </c>
      <c r="C3358" s="5">
        <v>28848.8855</v>
      </c>
      <c r="D3358" s="5">
        <v>28848.8855</v>
      </c>
      <c r="E3358" s="5">
        <v>25946.143</v>
      </c>
      <c r="G3358" s="5" t="str">
        <f t="shared" si="105"/>
        <v>Чкаловский</v>
      </c>
      <c r="J3358" s="5"/>
      <c r="AL3358" s="5">
        <f t="shared" si="106"/>
        <v>0</v>
      </c>
    </row>
    <row r="3359" spans="1:38" ht="25.5" customHeight="1" x14ac:dyDescent="0.25">
      <c r="A3359" s="10" t="s">
        <v>1142</v>
      </c>
      <c r="B3359" s="11" t="s">
        <v>1659</v>
      </c>
      <c r="C3359" s="5">
        <v>59746.832600000002</v>
      </c>
      <c r="D3359" s="5">
        <v>59746.832600000002</v>
      </c>
      <c r="E3359" s="5">
        <v>54101.823700000001</v>
      </c>
      <c r="G3359" s="5" t="str">
        <f t="shared" si="105"/>
        <v>СОВХОЗ</v>
      </c>
      <c r="J3359" s="5"/>
      <c r="AL3359" s="5">
        <f t="shared" si="106"/>
        <v>0</v>
      </c>
    </row>
    <row r="3360" spans="1:38" ht="25.5" customHeight="1" x14ac:dyDescent="0.25">
      <c r="A3360" s="10" t="s">
        <v>3012</v>
      </c>
      <c r="B3360" s="11" t="s">
        <v>1666</v>
      </c>
      <c r="C3360" s="5">
        <v>46784.877899999999</v>
      </c>
      <c r="D3360" s="5">
        <v>46784.877899999999</v>
      </c>
      <c r="E3360" s="5">
        <v>42364.543299999998</v>
      </c>
      <c r="G3360" s="5" t="str">
        <f t="shared" si="105"/>
        <v>Сулим.Торфянник</v>
      </c>
      <c r="J3360" s="5"/>
      <c r="AL3360" s="5">
        <f t="shared" si="106"/>
        <v>0</v>
      </c>
    </row>
    <row r="3361" spans="1:38" ht="25.5" customHeight="1" x14ac:dyDescent="0.25">
      <c r="A3361" s="10" t="s">
        <v>3013</v>
      </c>
      <c r="B3361" s="11" t="s">
        <v>1651</v>
      </c>
      <c r="C3361" s="5">
        <v>68129.029500000004</v>
      </c>
      <c r="D3361" s="5">
        <v>68129.029500000004</v>
      </c>
      <c r="E3361" s="5">
        <v>61692.054799999998</v>
      </c>
      <c r="G3361" s="5" t="str">
        <f t="shared" si="105"/>
        <v>ШАРТАШ</v>
      </c>
      <c r="J3361" s="5"/>
      <c r="AL3361" s="5">
        <f t="shared" si="106"/>
        <v>0</v>
      </c>
    </row>
    <row r="3362" spans="1:38" ht="25.5" customHeight="1" x14ac:dyDescent="0.25">
      <c r="A3362" s="10" t="s">
        <v>810</v>
      </c>
      <c r="B3362" s="11" t="s">
        <v>1636</v>
      </c>
      <c r="C3362" s="5">
        <v>52246.960299999999</v>
      </c>
      <c r="D3362" s="5">
        <v>52246.960299999999</v>
      </c>
      <c r="E3362" s="5">
        <v>47310.556700000001</v>
      </c>
      <c r="G3362" s="5" t="str">
        <f t="shared" si="105"/>
        <v>ГОРНЫЙ ЩИТ</v>
      </c>
      <c r="J3362" s="5"/>
      <c r="AL3362" s="5">
        <f t="shared" si="106"/>
        <v>0</v>
      </c>
    </row>
    <row r="3363" spans="1:38" ht="25.5" customHeight="1" x14ac:dyDescent="0.25">
      <c r="A3363" s="10" t="s">
        <v>3014</v>
      </c>
      <c r="B3363" s="11" t="s">
        <v>1656</v>
      </c>
      <c r="C3363" s="5">
        <v>60173.9879</v>
      </c>
      <c r="D3363" s="5">
        <v>60173.9879</v>
      </c>
      <c r="E3363" s="5">
        <v>54488.630299999997</v>
      </c>
      <c r="G3363" s="5" t="str">
        <f t="shared" si="105"/>
        <v>МАЛЫЙ ИСТОК</v>
      </c>
      <c r="J3363" s="5"/>
      <c r="AL3363" s="5">
        <f t="shared" si="106"/>
        <v>0</v>
      </c>
    </row>
    <row r="3364" spans="1:38" ht="25.5" customHeight="1" x14ac:dyDescent="0.25">
      <c r="A3364" s="10" t="s">
        <v>3015</v>
      </c>
      <c r="B3364" s="11" t="s">
        <v>1636</v>
      </c>
      <c r="C3364" s="5">
        <v>52246.960299999999</v>
      </c>
      <c r="D3364" s="5">
        <v>52246.960299999999</v>
      </c>
      <c r="E3364" s="5">
        <v>47310.556700000001</v>
      </c>
      <c r="G3364" s="5" t="str">
        <f t="shared" si="105"/>
        <v>ГОРНЫЙ ЩИТ</v>
      </c>
      <c r="J3364" s="5"/>
      <c r="AL3364" s="5">
        <f t="shared" si="106"/>
        <v>0</v>
      </c>
    </row>
    <row r="3365" spans="1:38" ht="25.5" customHeight="1" x14ac:dyDescent="0.25">
      <c r="A3365" s="10" t="s">
        <v>3016</v>
      </c>
      <c r="B3365" s="11" t="s">
        <v>1645</v>
      </c>
      <c r="C3365" s="5">
        <v>60958.294800000003</v>
      </c>
      <c r="D3365" s="5">
        <v>60958.294800000003</v>
      </c>
      <c r="E3365" s="5">
        <v>55198.825199999999</v>
      </c>
      <c r="G3365" s="5" t="str">
        <f t="shared" si="105"/>
        <v>ЕЛИЗАВЕТ</v>
      </c>
      <c r="J3365" s="5"/>
      <c r="AL3365" s="5">
        <f t="shared" si="106"/>
        <v>0</v>
      </c>
    </row>
    <row r="3366" spans="1:38" ht="25.5" customHeight="1" x14ac:dyDescent="0.25">
      <c r="A3366" s="10" t="s">
        <v>3017</v>
      </c>
      <c r="B3366" s="11" t="s">
        <v>1657</v>
      </c>
      <c r="C3366" s="5">
        <v>54886.9666</v>
      </c>
      <c r="D3366" s="5">
        <v>54886.9666</v>
      </c>
      <c r="E3366" s="5">
        <v>49701.1319</v>
      </c>
      <c r="G3366" s="5" t="str">
        <f t="shared" si="105"/>
        <v>КОЛЬЦОВО</v>
      </c>
      <c r="J3366" s="5"/>
      <c r="AL3366" s="5">
        <f t="shared" si="106"/>
        <v>0</v>
      </c>
    </row>
    <row r="3367" spans="1:38" ht="25.5" customHeight="1" x14ac:dyDescent="0.25">
      <c r="A3367" s="10" t="s">
        <v>3018</v>
      </c>
      <c r="B3367" s="11" t="s">
        <v>1662</v>
      </c>
      <c r="C3367" s="5">
        <v>46784.877899999999</v>
      </c>
      <c r="D3367" s="5">
        <v>46784.877899999999</v>
      </c>
      <c r="E3367" s="5">
        <v>42364.543299999998</v>
      </c>
      <c r="G3367" s="5" t="str">
        <f t="shared" si="105"/>
        <v>РУДНЫЙ</v>
      </c>
      <c r="J3367" s="5"/>
      <c r="AL3367" s="5">
        <f t="shared" si="106"/>
        <v>0</v>
      </c>
    </row>
    <row r="3368" spans="1:38" ht="25.5" customHeight="1" x14ac:dyDescent="0.25">
      <c r="A3368" s="10" t="s">
        <v>3019</v>
      </c>
      <c r="B3368" s="11" t="s">
        <v>1664</v>
      </c>
      <c r="C3368" s="5">
        <v>53668.506099999999</v>
      </c>
      <c r="D3368" s="5">
        <v>53668.506099999999</v>
      </c>
      <c r="E3368" s="5">
        <v>48597.792699999998</v>
      </c>
      <c r="G3368" s="5" t="str">
        <f t="shared" si="105"/>
        <v>ИЗОПЛИТ</v>
      </c>
      <c r="J3368" s="5"/>
      <c r="AL3368" s="5">
        <f t="shared" si="106"/>
        <v>0</v>
      </c>
    </row>
    <row r="3369" spans="1:38" ht="25.5" customHeight="1" x14ac:dyDescent="0.25">
      <c r="A3369" s="10" t="s">
        <v>907</v>
      </c>
      <c r="B3369" s="11" t="s">
        <v>1679</v>
      </c>
      <c r="C3369" s="5">
        <v>28855.326499999999</v>
      </c>
      <c r="D3369" s="5">
        <v>28855.326499999999</v>
      </c>
      <c r="E3369" s="5">
        <v>25951.933700000001</v>
      </c>
      <c r="G3369" s="5" t="str">
        <f t="shared" si="105"/>
        <v>Ст.Каменск-Хозспособ</v>
      </c>
      <c r="J3369" s="5"/>
      <c r="AL3369" s="5">
        <f t="shared" si="106"/>
        <v>0</v>
      </c>
    </row>
    <row r="3370" spans="1:38" ht="25.5" customHeight="1" x14ac:dyDescent="0.25">
      <c r="A3370" s="10" t="s">
        <v>1154</v>
      </c>
      <c r="B3370" s="11" t="s">
        <v>1677</v>
      </c>
      <c r="C3370" s="5">
        <v>39105.413099999998</v>
      </c>
      <c r="D3370" s="5">
        <v>39105.413099999998</v>
      </c>
      <c r="E3370" s="5">
        <v>35170.666700000002</v>
      </c>
      <c r="G3370" s="5" t="str">
        <f t="shared" si="105"/>
        <v>Октябрьский</v>
      </c>
      <c r="J3370" s="5"/>
      <c r="AL3370" s="5">
        <f t="shared" si="106"/>
        <v>0</v>
      </c>
    </row>
    <row r="3371" spans="1:38" ht="25.5" customHeight="1" x14ac:dyDescent="0.25">
      <c r="A3371" s="10" t="s">
        <v>1671</v>
      </c>
      <c r="B3371" s="5" t="s">
        <v>1672</v>
      </c>
      <c r="C3371" s="5">
        <v>60173.9879</v>
      </c>
      <c r="D3371" s="5">
        <v>60173.9879</v>
      </c>
      <c r="E3371" s="5">
        <v>54488.630299999997</v>
      </c>
      <c r="G3371" s="5" t="str">
        <f t="shared" si="105"/>
        <v>Малый Исток</v>
      </c>
      <c r="J3371" s="5"/>
      <c r="AL3371" s="5">
        <f t="shared" si="106"/>
        <v>0</v>
      </c>
    </row>
    <row r="3372" spans="1:38" ht="25.5" customHeight="1" x14ac:dyDescent="0.25">
      <c r="A3372" s="10" t="s">
        <v>3020</v>
      </c>
      <c r="B3372" s="11" t="s">
        <v>1674</v>
      </c>
      <c r="C3372" s="5">
        <v>29199.565200000001</v>
      </c>
      <c r="D3372" s="5">
        <v>29199.565200000001</v>
      </c>
      <c r="E3372" s="5">
        <v>26261.5317</v>
      </c>
      <c r="G3372" s="5" t="str">
        <f t="shared" si="105"/>
        <v>УАЗ</v>
      </c>
      <c r="J3372" s="5"/>
      <c r="AL3372" s="5">
        <f t="shared" si="106"/>
        <v>0</v>
      </c>
    </row>
    <row r="3373" spans="1:38" ht="25.5" customHeight="1" x14ac:dyDescent="0.25">
      <c r="A3373" s="10" t="s">
        <v>3021</v>
      </c>
      <c r="B3373" s="11" t="s">
        <v>1637</v>
      </c>
      <c r="C3373" s="5">
        <v>59368.686099999999</v>
      </c>
      <c r="D3373" s="5">
        <v>59368.686099999999</v>
      </c>
      <c r="E3373" s="5">
        <v>53759.401700000002</v>
      </c>
      <c r="G3373" s="5" t="str">
        <f t="shared" si="105"/>
        <v>Старая сортировка</v>
      </c>
      <c r="J3373" s="5"/>
      <c r="AL3373" s="5">
        <f t="shared" si="106"/>
        <v>0</v>
      </c>
    </row>
    <row r="3374" spans="1:38" ht="25.5" customHeight="1" x14ac:dyDescent="0.25">
      <c r="A3374" s="10" t="s">
        <v>3022</v>
      </c>
      <c r="B3374" s="11" t="s">
        <v>1676</v>
      </c>
      <c r="C3374" s="5">
        <v>28848.8855</v>
      </c>
      <c r="D3374" s="5">
        <v>28848.8855</v>
      </c>
      <c r="E3374" s="5">
        <v>25946.143</v>
      </c>
      <c r="G3374" s="5" t="str">
        <f t="shared" si="105"/>
        <v>Чкаловский</v>
      </c>
      <c r="J3374" s="5"/>
      <c r="AL3374" s="5">
        <f t="shared" si="106"/>
        <v>0</v>
      </c>
    </row>
    <row r="3375" spans="1:38" ht="25.5" customHeight="1" x14ac:dyDescent="0.25">
      <c r="A3375" s="10" t="s">
        <v>3023</v>
      </c>
      <c r="B3375" s="11" t="s">
        <v>1644</v>
      </c>
      <c r="C3375" s="5">
        <v>61980.678599999999</v>
      </c>
      <c r="D3375" s="5">
        <v>61980.678599999999</v>
      </c>
      <c r="E3375" s="5">
        <v>56124.615700000002</v>
      </c>
      <c r="G3375" s="5" t="str">
        <f t="shared" si="105"/>
        <v>ХИММАШ</v>
      </c>
      <c r="J3375" s="5"/>
      <c r="AL3375" s="5">
        <f t="shared" si="106"/>
        <v>0</v>
      </c>
    </row>
    <row r="3376" spans="1:38" ht="25.5" customHeight="1" x14ac:dyDescent="0.25">
      <c r="A3376" s="10" t="s">
        <v>3024</v>
      </c>
      <c r="B3376" s="11" t="s">
        <v>1636</v>
      </c>
      <c r="C3376" s="5">
        <v>52246.960299999999</v>
      </c>
      <c r="D3376" s="5">
        <v>52246.960299999999</v>
      </c>
      <c r="E3376" s="5">
        <v>47310.556700000001</v>
      </c>
      <c r="G3376" s="5" t="str">
        <f t="shared" si="105"/>
        <v>ГОРНЫЙ ЩИТ</v>
      </c>
      <c r="J3376" s="5"/>
      <c r="AL3376" s="5">
        <f t="shared" si="106"/>
        <v>0</v>
      </c>
    </row>
    <row r="3377" spans="1:38" ht="25.5" customHeight="1" x14ac:dyDescent="0.25">
      <c r="A3377" s="10" t="s">
        <v>3025</v>
      </c>
      <c r="B3377" s="11" t="s">
        <v>1665</v>
      </c>
      <c r="C3377" s="5">
        <v>55692.278700000003</v>
      </c>
      <c r="D3377" s="5">
        <v>55692.278700000003</v>
      </c>
      <c r="E3377" s="5">
        <v>50430.350200000001</v>
      </c>
      <c r="G3377" s="5" t="str">
        <f t="shared" si="105"/>
        <v>ПОЛЕВОДСТВО</v>
      </c>
      <c r="J3377" s="5"/>
      <c r="AL3377" s="5">
        <f t="shared" si="106"/>
        <v>0</v>
      </c>
    </row>
    <row r="3378" spans="1:38" ht="25.5" customHeight="1" x14ac:dyDescent="0.25">
      <c r="A3378" s="10" t="s">
        <v>3026</v>
      </c>
      <c r="B3378" s="11" t="s">
        <v>1645</v>
      </c>
      <c r="C3378" s="5">
        <v>60958.294800000003</v>
      </c>
      <c r="D3378" s="5">
        <v>60958.294800000003</v>
      </c>
      <c r="E3378" s="5">
        <v>55198.825199999999</v>
      </c>
      <c r="G3378" s="5" t="str">
        <f t="shared" si="105"/>
        <v>ЕЛИЗАВЕТ</v>
      </c>
      <c r="J3378" s="5"/>
      <c r="AL3378" s="5">
        <f t="shared" si="106"/>
        <v>0</v>
      </c>
    </row>
    <row r="3379" spans="1:38" ht="25.5" customHeight="1" x14ac:dyDescent="0.25">
      <c r="A3379" s="10" t="s">
        <v>3027</v>
      </c>
      <c r="B3379" s="11" t="s">
        <v>1679</v>
      </c>
      <c r="C3379" s="5">
        <v>28855.326499999999</v>
      </c>
      <c r="D3379" s="5">
        <v>28855.326499999999</v>
      </c>
      <c r="E3379" s="5">
        <v>25951.933700000001</v>
      </c>
      <c r="G3379" s="5" t="str">
        <f t="shared" si="105"/>
        <v>Ст.Каменск-Хозспособ</v>
      </c>
      <c r="J3379" s="5"/>
      <c r="AL3379" s="5">
        <f t="shared" si="106"/>
        <v>0</v>
      </c>
    </row>
    <row r="3380" spans="1:38" ht="25.5" customHeight="1" x14ac:dyDescent="0.25">
      <c r="A3380" s="10" t="s">
        <v>3028</v>
      </c>
      <c r="B3380" s="11" t="s">
        <v>1691</v>
      </c>
      <c r="C3380" s="5">
        <v>36244.5985</v>
      </c>
      <c r="D3380" s="5">
        <v>36244.5985</v>
      </c>
      <c r="E3380" s="5">
        <v>32992.053800000002</v>
      </c>
      <c r="G3380" s="5" t="str">
        <f t="shared" si="105"/>
        <v>ДинСанПод</v>
      </c>
      <c r="J3380" s="5"/>
      <c r="AL3380" s="5">
        <f t="shared" si="106"/>
        <v>0</v>
      </c>
    </row>
    <row r="3381" spans="1:38" ht="25.5" customHeight="1" x14ac:dyDescent="0.25">
      <c r="A3381" s="10" t="s">
        <v>3029</v>
      </c>
      <c r="B3381" s="11" t="s">
        <v>1691</v>
      </c>
      <c r="C3381" s="5">
        <v>36244.5985</v>
      </c>
      <c r="D3381" s="5">
        <v>36244.5985</v>
      </c>
      <c r="E3381" s="5">
        <v>32992.053800000002</v>
      </c>
      <c r="G3381" s="5" t="str">
        <f t="shared" si="105"/>
        <v>ДинСанПод</v>
      </c>
      <c r="J3381" s="5"/>
      <c r="AL3381" s="5">
        <f t="shared" si="106"/>
        <v>0</v>
      </c>
    </row>
    <row r="3382" spans="1:38" ht="25.5" customHeight="1" x14ac:dyDescent="0.25">
      <c r="A3382" s="10" t="s">
        <v>3030</v>
      </c>
      <c r="B3382" s="11" t="s">
        <v>389</v>
      </c>
      <c r="C3382" s="5">
        <v>51175.5573</v>
      </c>
      <c r="D3382" s="5">
        <v>51175.5573</v>
      </c>
      <c r="E3382" s="5">
        <v>46340.381600000001</v>
      </c>
      <c r="G3382" s="5" t="str">
        <f t="shared" si="105"/>
        <v>Северка</v>
      </c>
      <c r="J3382" s="5"/>
      <c r="AL3382" s="5">
        <f t="shared" si="106"/>
        <v>0</v>
      </c>
    </row>
    <row r="3383" spans="1:38" ht="25.5" customHeight="1" x14ac:dyDescent="0.25">
      <c r="A3383" s="10" t="s">
        <v>1593</v>
      </c>
      <c r="B3383" s="11" t="s">
        <v>1629</v>
      </c>
      <c r="C3383" s="5">
        <v>77743.704100000003</v>
      </c>
      <c r="D3383" s="5">
        <v>77743.704100000003</v>
      </c>
      <c r="E3383" s="5">
        <v>70398.310800000007</v>
      </c>
      <c r="G3383" s="5" t="str">
        <f t="shared" si="105"/>
        <v>ПИОНЕРСКИЙ</v>
      </c>
      <c r="J3383" s="5"/>
      <c r="AL3383" s="5">
        <f t="shared" si="106"/>
        <v>0</v>
      </c>
    </row>
    <row r="3384" spans="1:38" ht="25.5" customHeight="1" x14ac:dyDescent="0.25">
      <c r="A3384" s="10" t="s">
        <v>3031</v>
      </c>
      <c r="B3384" s="11" t="s">
        <v>1681</v>
      </c>
      <c r="C3384" s="5">
        <v>32172.2909</v>
      </c>
      <c r="D3384" s="5">
        <v>32172.2909</v>
      </c>
      <c r="E3384" s="5">
        <v>28935.146499999999</v>
      </c>
      <c r="G3384" s="5" t="str">
        <f t="shared" si="105"/>
        <v>Ленин-Олимп</v>
      </c>
      <c r="J3384" s="5"/>
      <c r="AL3384" s="5">
        <f t="shared" si="106"/>
        <v>0</v>
      </c>
    </row>
    <row r="3385" spans="1:38" ht="25.5" customHeight="1" x14ac:dyDescent="0.25">
      <c r="A3385" s="10" t="s">
        <v>1098</v>
      </c>
      <c r="B3385" s="11" t="s">
        <v>1661</v>
      </c>
      <c r="C3385" s="5">
        <v>51175.5573</v>
      </c>
      <c r="D3385" s="5">
        <v>51175.5573</v>
      </c>
      <c r="E3385" s="5">
        <v>46340.381600000001</v>
      </c>
      <c r="G3385" s="5" t="str">
        <f t="shared" si="105"/>
        <v>СЕВЕРКА</v>
      </c>
      <c r="J3385" s="5"/>
      <c r="AL3385" s="5">
        <f t="shared" si="106"/>
        <v>0</v>
      </c>
    </row>
    <row r="3386" spans="1:38" ht="25.5" customHeight="1" x14ac:dyDescent="0.25">
      <c r="A3386" s="10" t="s">
        <v>3032</v>
      </c>
      <c r="B3386" s="11" t="s">
        <v>1647</v>
      </c>
      <c r="C3386" s="5">
        <v>63178.133800000003</v>
      </c>
      <c r="D3386" s="5">
        <v>63178.133800000003</v>
      </c>
      <c r="E3386" s="5">
        <v>57208.931499999999</v>
      </c>
      <c r="G3386" s="5" t="str">
        <f t="shared" si="105"/>
        <v>ШИРОКАЯ РЕЧКА</v>
      </c>
      <c r="J3386" s="5"/>
      <c r="AL3386" s="5">
        <f t="shared" si="106"/>
        <v>0</v>
      </c>
    </row>
    <row r="3387" spans="1:38" ht="25.5" customHeight="1" x14ac:dyDescent="0.25">
      <c r="A3387" s="10" t="s">
        <v>1597</v>
      </c>
      <c r="B3387" s="11" t="s">
        <v>1675</v>
      </c>
      <c r="C3387" s="5">
        <v>35756.285400000001</v>
      </c>
      <c r="D3387" s="5">
        <v>35756.285400000001</v>
      </c>
      <c r="E3387" s="5">
        <v>32158.5213</v>
      </c>
      <c r="G3387" s="5" t="str">
        <f t="shared" si="105"/>
        <v>УАЗ-II</v>
      </c>
      <c r="J3387" s="5"/>
      <c r="AL3387" s="5">
        <f t="shared" si="106"/>
        <v>0</v>
      </c>
    </row>
    <row r="3388" spans="1:38" ht="25.5" customHeight="1" x14ac:dyDescent="0.25">
      <c r="A3388" s="10" t="s">
        <v>3033</v>
      </c>
      <c r="B3388" s="11" t="s">
        <v>1674</v>
      </c>
      <c r="C3388" s="5">
        <v>29199.565200000001</v>
      </c>
      <c r="D3388" s="5">
        <v>29199.565200000001</v>
      </c>
      <c r="E3388" s="5">
        <v>26261.5317</v>
      </c>
      <c r="G3388" s="5" t="str">
        <f t="shared" si="105"/>
        <v>УАЗ</v>
      </c>
      <c r="J3388" s="5"/>
      <c r="AL3388" s="5">
        <f t="shared" si="106"/>
        <v>0</v>
      </c>
    </row>
    <row r="3389" spans="1:38" ht="25.5" customHeight="1" x14ac:dyDescent="0.25">
      <c r="A3389" s="10" t="s">
        <v>3034</v>
      </c>
      <c r="B3389" s="11" t="s">
        <v>1677</v>
      </c>
      <c r="C3389" s="5">
        <v>39105.413099999998</v>
      </c>
      <c r="D3389" s="5">
        <v>39105.413099999998</v>
      </c>
      <c r="E3389" s="5">
        <v>35170.666700000002</v>
      </c>
      <c r="G3389" s="5" t="str">
        <f t="shared" si="105"/>
        <v>Октябрьский</v>
      </c>
      <c r="J3389" s="5"/>
      <c r="AL3389" s="5">
        <f t="shared" si="106"/>
        <v>0</v>
      </c>
    </row>
    <row r="3390" spans="1:38" ht="25.5" customHeight="1" x14ac:dyDescent="0.25">
      <c r="A3390" s="10" t="s">
        <v>3035</v>
      </c>
      <c r="B3390" s="11" t="s">
        <v>1647</v>
      </c>
      <c r="C3390" s="5">
        <v>63178.133800000003</v>
      </c>
      <c r="D3390" s="5">
        <v>63178.133800000003</v>
      </c>
      <c r="E3390" s="5">
        <v>57208.931499999999</v>
      </c>
      <c r="G3390" s="5" t="str">
        <f t="shared" si="105"/>
        <v>ШИРОКАЯ РЕЧКА</v>
      </c>
      <c r="J3390" s="5"/>
      <c r="AL3390" s="5">
        <f t="shared" si="106"/>
        <v>0</v>
      </c>
    </row>
    <row r="3391" spans="1:38" ht="25.5" customHeight="1" x14ac:dyDescent="0.25">
      <c r="A3391" s="10" t="s">
        <v>3036</v>
      </c>
      <c r="B3391" s="11" t="s">
        <v>33</v>
      </c>
      <c r="C3391" s="5">
        <v>84298.205100000006</v>
      </c>
      <c r="D3391" s="5">
        <v>84298.205100000006</v>
      </c>
      <c r="E3391" s="5">
        <v>76333.533100000001</v>
      </c>
      <c r="G3391" s="5" t="str">
        <f t="shared" si="105"/>
        <v>ВИЗ</v>
      </c>
      <c r="J3391" s="5"/>
      <c r="AL3391" s="5">
        <f t="shared" si="106"/>
        <v>0</v>
      </c>
    </row>
    <row r="3392" spans="1:38" ht="25.5" customHeight="1" x14ac:dyDescent="0.25">
      <c r="A3392" s="10" t="s">
        <v>582</v>
      </c>
      <c r="B3392" s="11" t="s">
        <v>1637</v>
      </c>
      <c r="C3392" s="5">
        <v>59368.686099999999</v>
      </c>
      <c r="D3392" s="5">
        <v>59368.686099999999</v>
      </c>
      <c r="E3392" s="5">
        <v>53759.401700000002</v>
      </c>
      <c r="G3392" s="5" t="str">
        <f t="shared" si="105"/>
        <v>Старая сортировка</v>
      </c>
      <c r="J3392" s="5"/>
      <c r="AL3392" s="5">
        <f t="shared" si="106"/>
        <v>0</v>
      </c>
    </row>
    <row r="3393" spans="1:38" ht="25.5" customHeight="1" x14ac:dyDescent="0.25">
      <c r="A3393" s="10" t="s">
        <v>778</v>
      </c>
      <c r="B3393" s="11" t="s">
        <v>779</v>
      </c>
      <c r="C3393" s="5">
        <v>46784.877899999999</v>
      </c>
      <c r="D3393" s="5">
        <v>46784.877899999999</v>
      </c>
      <c r="E3393" s="5">
        <v>42364.543299999998</v>
      </c>
      <c r="G3393" s="5" t="str">
        <f t="shared" si="105"/>
        <v>Нижнеисетский</v>
      </c>
      <c r="J3393" s="5"/>
      <c r="AL3393" s="5">
        <f t="shared" si="106"/>
        <v>0</v>
      </c>
    </row>
    <row r="3394" spans="1:38" ht="25.5" customHeight="1" x14ac:dyDescent="0.25">
      <c r="A3394" s="10" t="s">
        <v>1521</v>
      </c>
      <c r="B3394" s="11" t="s">
        <v>1631</v>
      </c>
      <c r="C3394" s="5">
        <v>70026.7601</v>
      </c>
      <c r="D3394" s="5">
        <v>70026.7601</v>
      </c>
      <c r="E3394" s="5">
        <v>63410.482000000004</v>
      </c>
      <c r="G3394" s="5" t="str">
        <f t="shared" ref="G3394:G3456" si="107">B3394</f>
        <v>УРАЛМАШ</v>
      </c>
      <c r="J3394" s="5"/>
      <c r="AL3394" s="5">
        <f t="shared" ref="AL3394:AL3456" si="108">AF3394</f>
        <v>0</v>
      </c>
    </row>
    <row r="3395" spans="1:38" x14ac:dyDescent="0.25">
      <c r="A3395" s="10" t="s">
        <v>3037</v>
      </c>
      <c r="B3395" s="11" t="s">
        <v>1674</v>
      </c>
      <c r="C3395" s="5">
        <v>29199.565200000001</v>
      </c>
      <c r="D3395" s="5">
        <v>29199.565200000001</v>
      </c>
      <c r="E3395" s="5">
        <v>26261.5317</v>
      </c>
      <c r="G3395" s="5" t="str">
        <f t="shared" si="107"/>
        <v>УАЗ</v>
      </c>
      <c r="J3395" s="5"/>
      <c r="AL3395" s="5">
        <f t="shared" si="108"/>
        <v>0</v>
      </c>
    </row>
    <row r="3396" spans="1:38" ht="25.5" customHeight="1" x14ac:dyDescent="0.25">
      <c r="A3396" s="10" t="s">
        <v>1210</v>
      </c>
      <c r="B3396" s="11" t="s">
        <v>1657</v>
      </c>
      <c r="C3396" s="5">
        <v>54886.9666</v>
      </c>
      <c r="D3396" s="5">
        <v>54886.9666</v>
      </c>
      <c r="E3396" s="5">
        <v>49701.1319</v>
      </c>
      <c r="G3396" s="5" t="str">
        <f t="shared" si="107"/>
        <v>КОЛЬЦОВО</v>
      </c>
      <c r="J3396" s="5"/>
      <c r="AL3396" s="5">
        <f t="shared" si="108"/>
        <v>0</v>
      </c>
    </row>
    <row r="3397" spans="1:38" ht="25.5" customHeight="1" x14ac:dyDescent="0.25">
      <c r="A3397" s="10" t="s">
        <v>3038</v>
      </c>
      <c r="B3397" s="11" t="s">
        <v>1644</v>
      </c>
      <c r="C3397" s="5">
        <v>61980.678599999999</v>
      </c>
      <c r="D3397" s="5">
        <v>61980.678599999999</v>
      </c>
      <c r="E3397" s="5">
        <v>56124.615700000002</v>
      </c>
      <c r="G3397" s="5" t="str">
        <f t="shared" si="107"/>
        <v>ХИММАШ</v>
      </c>
      <c r="J3397" s="5"/>
      <c r="AL3397" s="5">
        <f t="shared" si="108"/>
        <v>0</v>
      </c>
    </row>
    <row r="3398" spans="1:38" ht="25.5" customHeight="1" x14ac:dyDescent="0.25">
      <c r="A3398" s="10" t="s">
        <v>3039</v>
      </c>
      <c r="B3398" s="11" t="s">
        <v>1666</v>
      </c>
      <c r="C3398" s="5">
        <v>46784.877899999999</v>
      </c>
      <c r="D3398" s="5">
        <v>46784.877899999999</v>
      </c>
      <c r="E3398" s="5">
        <v>42364.543299999998</v>
      </c>
      <c r="G3398" s="5" t="str">
        <f t="shared" si="107"/>
        <v>Сулим.Торфянник</v>
      </c>
      <c r="J3398" s="5"/>
      <c r="AL3398" s="5">
        <f t="shared" si="108"/>
        <v>0</v>
      </c>
    </row>
    <row r="3399" spans="1:38" ht="25.5" customHeight="1" x14ac:dyDescent="0.25">
      <c r="A3399" s="10" t="s">
        <v>3040</v>
      </c>
      <c r="B3399" s="11" t="s">
        <v>1628</v>
      </c>
      <c r="C3399" s="5">
        <v>70734.0236</v>
      </c>
      <c r="D3399" s="5">
        <v>70734.0236</v>
      </c>
      <c r="E3399" s="5">
        <v>64050.9208</v>
      </c>
      <c r="G3399" s="5" t="str">
        <f t="shared" si="107"/>
        <v>ЭЛЬМАШ</v>
      </c>
      <c r="J3399" s="5"/>
      <c r="AL3399" s="5">
        <f t="shared" si="108"/>
        <v>0</v>
      </c>
    </row>
    <row r="3400" spans="1:38" ht="25.5" customHeight="1" x14ac:dyDescent="0.25">
      <c r="A3400" s="10" t="s">
        <v>480</v>
      </c>
      <c r="B3400" s="11" t="s">
        <v>1645</v>
      </c>
      <c r="C3400" s="5">
        <v>60958.294800000003</v>
      </c>
      <c r="D3400" s="5">
        <v>60958.294800000003</v>
      </c>
      <c r="E3400" s="5">
        <v>55198.825199999999</v>
      </c>
      <c r="G3400" s="5" t="str">
        <f t="shared" si="107"/>
        <v>ЕЛИЗАВЕТ</v>
      </c>
      <c r="J3400" s="5"/>
      <c r="AL3400" s="5">
        <f t="shared" si="108"/>
        <v>0</v>
      </c>
    </row>
    <row r="3401" spans="1:38" ht="25.5" customHeight="1" x14ac:dyDescent="0.25">
      <c r="A3401" s="10" t="s">
        <v>3041</v>
      </c>
      <c r="B3401" s="11" t="s">
        <v>389</v>
      </c>
      <c r="C3401" s="5">
        <v>51175.5573</v>
      </c>
      <c r="D3401" s="5">
        <v>51175.5573</v>
      </c>
      <c r="E3401" s="5">
        <v>46340.381600000001</v>
      </c>
      <c r="G3401" s="5" t="str">
        <f t="shared" si="107"/>
        <v>Северка</v>
      </c>
      <c r="J3401" s="5"/>
      <c r="AL3401" s="5">
        <f t="shared" si="108"/>
        <v>0</v>
      </c>
    </row>
    <row r="3402" spans="1:38" ht="25.5" customHeight="1" x14ac:dyDescent="0.25">
      <c r="A3402" s="10" t="s">
        <v>1186</v>
      </c>
      <c r="B3402" s="11" t="s">
        <v>1659</v>
      </c>
      <c r="C3402" s="5">
        <v>59746.832600000002</v>
      </c>
      <c r="D3402" s="5">
        <v>59746.832600000002</v>
      </c>
      <c r="E3402" s="5">
        <v>54101.823700000001</v>
      </c>
      <c r="G3402" s="5" t="str">
        <f t="shared" si="107"/>
        <v>СОВХОЗ</v>
      </c>
      <c r="J3402" s="5"/>
      <c r="AL3402" s="5">
        <f t="shared" si="108"/>
        <v>0</v>
      </c>
    </row>
    <row r="3403" spans="1:38" ht="25.5" customHeight="1" x14ac:dyDescent="0.25">
      <c r="A3403" s="10" t="s">
        <v>3042</v>
      </c>
      <c r="B3403" s="11" t="s">
        <v>389</v>
      </c>
      <c r="C3403" s="5">
        <v>51175.5573</v>
      </c>
      <c r="D3403" s="5">
        <v>51175.5573</v>
      </c>
      <c r="E3403" s="5">
        <v>46340.381600000001</v>
      </c>
      <c r="G3403" s="5" t="str">
        <f t="shared" si="107"/>
        <v>Северка</v>
      </c>
      <c r="J3403" s="5"/>
      <c r="AL3403" s="5">
        <f t="shared" si="108"/>
        <v>0</v>
      </c>
    </row>
    <row r="3404" spans="1:38" ht="25.5" customHeight="1" x14ac:dyDescent="0.25">
      <c r="A3404" s="10" t="s">
        <v>3043</v>
      </c>
      <c r="B3404" s="11" t="s">
        <v>1691</v>
      </c>
      <c r="C3404" s="5">
        <v>36244.5985</v>
      </c>
      <c r="D3404" s="5">
        <v>36244.5985</v>
      </c>
      <c r="E3404" s="5">
        <v>32992.053800000002</v>
      </c>
      <c r="G3404" s="5" t="str">
        <f t="shared" si="107"/>
        <v>ДинСанПод</v>
      </c>
      <c r="J3404" s="5"/>
      <c r="AL3404" s="5">
        <f t="shared" si="108"/>
        <v>0</v>
      </c>
    </row>
    <row r="3405" spans="1:38" ht="25.5" customHeight="1" x14ac:dyDescent="0.25">
      <c r="A3405" s="10" t="s">
        <v>3044</v>
      </c>
      <c r="B3405" s="11" t="s">
        <v>1647</v>
      </c>
      <c r="C3405" s="5">
        <v>63178.133800000003</v>
      </c>
      <c r="D3405" s="5">
        <v>63178.133800000003</v>
      </c>
      <c r="E3405" s="5">
        <v>57208.931499999999</v>
      </c>
      <c r="G3405" s="5" t="str">
        <f t="shared" si="107"/>
        <v>ШИРОКАЯ РЕЧКА</v>
      </c>
      <c r="J3405" s="5"/>
      <c r="AL3405" s="5">
        <f t="shared" si="108"/>
        <v>0</v>
      </c>
    </row>
    <row r="3406" spans="1:38" ht="25.5" customHeight="1" x14ac:dyDescent="0.25">
      <c r="A3406" s="10" t="s">
        <v>3045</v>
      </c>
      <c r="B3406" s="11" t="s">
        <v>1663</v>
      </c>
      <c r="C3406" s="5">
        <v>44242.899599999997</v>
      </c>
      <c r="D3406" s="5">
        <v>44242.899599999997</v>
      </c>
      <c r="E3406" s="5">
        <v>40062.737300000001</v>
      </c>
      <c r="G3406" s="5" t="str">
        <f t="shared" si="107"/>
        <v>ШУВАКИШ</v>
      </c>
      <c r="J3406" s="5"/>
      <c r="AL3406" s="5">
        <f t="shared" si="108"/>
        <v>0</v>
      </c>
    </row>
    <row r="3407" spans="1:38" ht="25.5" customHeight="1" x14ac:dyDescent="0.25">
      <c r="A3407" s="10" t="s">
        <v>1144</v>
      </c>
      <c r="B3407" s="11" t="s">
        <v>1676</v>
      </c>
      <c r="C3407" s="5">
        <v>28848.8855</v>
      </c>
      <c r="D3407" s="5">
        <v>28848.8855</v>
      </c>
      <c r="E3407" s="5">
        <v>25946.143</v>
      </c>
      <c r="G3407" s="5" t="str">
        <f t="shared" si="107"/>
        <v>Чкаловский</v>
      </c>
      <c r="J3407" s="5"/>
      <c r="AL3407" s="5">
        <f t="shared" si="108"/>
        <v>0</v>
      </c>
    </row>
    <row r="3408" spans="1:38" ht="25.5" customHeight="1" x14ac:dyDescent="0.25">
      <c r="A3408" s="10" t="s">
        <v>1028</v>
      </c>
      <c r="B3408" s="11" t="s">
        <v>1630</v>
      </c>
      <c r="C3408" s="5">
        <v>62652.9401</v>
      </c>
      <c r="D3408" s="5">
        <v>62652.9401</v>
      </c>
      <c r="E3408" s="5">
        <v>56733.3557</v>
      </c>
      <c r="G3408" s="5" t="str">
        <f t="shared" si="107"/>
        <v>ЧЕРМЕТ</v>
      </c>
      <c r="J3408" s="5"/>
      <c r="AL3408" s="5">
        <f t="shared" si="108"/>
        <v>0</v>
      </c>
    </row>
    <row r="3409" spans="1:38" ht="25.5" customHeight="1" x14ac:dyDescent="0.25">
      <c r="A3409" s="10" t="s">
        <v>3046</v>
      </c>
      <c r="B3409" s="11" t="s">
        <v>1652</v>
      </c>
      <c r="C3409" s="5">
        <v>71105.171700000006</v>
      </c>
      <c r="D3409" s="5">
        <v>71105.171700000006</v>
      </c>
      <c r="E3409" s="5">
        <v>64387.005100000002</v>
      </c>
      <c r="G3409" s="5" t="str">
        <f t="shared" si="107"/>
        <v>ЗАРЕЧНЫЙ</v>
      </c>
      <c r="J3409" s="5"/>
      <c r="AL3409" s="5">
        <f t="shared" si="108"/>
        <v>0</v>
      </c>
    </row>
    <row r="3410" spans="1:38" ht="25.5" customHeight="1" x14ac:dyDescent="0.25">
      <c r="A3410" s="10" t="s">
        <v>3047</v>
      </c>
      <c r="B3410" s="11" t="s">
        <v>1644</v>
      </c>
      <c r="C3410" s="5">
        <v>61980.678599999999</v>
      </c>
      <c r="D3410" s="5">
        <v>61980.678599999999</v>
      </c>
      <c r="E3410" s="5">
        <v>56124.615700000002</v>
      </c>
      <c r="G3410" s="5" t="str">
        <f t="shared" si="107"/>
        <v>ХИММАШ</v>
      </c>
      <c r="J3410" s="5"/>
      <c r="AL3410" s="5">
        <f t="shared" si="108"/>
        <v>0</v>
      </c>
    </row>
    <row r="3411" spans="1:38" ht="25.5" customHeight="1" x14ac:dyDescent="0.25">
      <c r="A3411" s="10" t="s">
        <v>1403</v>
      </c>
      <c r="B3411" s="11" t="s">
        <v>1643</v>
      </c>
      <c r="C3411" s="5">
        <v>76630.280299999999</v>
      </c>
      <c r="D3411" s="5">
        <v>76630.280299999999</v>
      </c>
      <c r="E3411" s="5">
        <v>69390.088799999998</v>
      </c>
      <c r="G3411" s="5" t="str">
        <f t="shared" si="107"/>
        <v>Ю-З</v>
      </c>
      <c r="J3411" s="5"/>
      <c r="AL3411" s="5">
        <f t="shared" si="108"/>
        <v>0</v>
      </c>
    </row>
    <row r="3412" spans="1:38" ht="25.5" customHeight="1" x14ac:dyDescent="0.25">
      <c r="A3412" s="10" t="s">
        <v>847</v>
      </c>
      <c r="B3412" s="11" t="s">
        <v>1674</v>
      </c>
      <c r="C3412" s="5">
        <v>29199.565200000001</v>
      </c>
      <c r="D3412" s="5">
        <v>29199.565200000001</v>
      </c>
      <c r="E3412" s="5">
        <v>26261.5317</v>
      </c>
      <c r="G3412" s="5" t="str">
        <f t="shared" si="107"/>
        <v>УАЗ</v>
      </c>
      <c r="J3412" s="5"/>
      <c r="AL3412" s="5">
        <f t="shared" si="108"/>
        <v>0</v>
      </c>
    </row>
    <row r="3413" spans="1:38" ht="25.5" customHeight="1" x14ac:dyDescent="0.25">
      <c r="A3413" s="10" t="s">
        <v>3048</v>
      </c>
      <c r="B3413" s="11" t="s">
        <v>1661</v>
      </c>
      <c r="C3413" s="5">
        <v>51175.5573</v>
      </c>
      <c r="D3413" s="5">
        <v>51175.5573</v>
      </c>
      <c r="E3413" s="5">
        <v>46340.381600000001</v>
      </c>
      <c r="G3413" s="5" t="str">
        <f t="shared" si="107"/>
        <v>СЕВЕРКА</v>
      </c>
      <c r="J3413" s="5"/>
      <c r="AL3413" s="5">
        <f t="shared" si="108"/>
        <v>0</v>
      </c>
    </row>
    <row r="3414" spans="1:38" ht="25.5" customHeight="1" x14ac:dyDescent="0.25">
      <c r="A3414" s="10" t="s">
        <v>3049</v>
      </c>
      <c r="B3414" s="11" t="s">
        <v>1636</v>
      </c>
      <c r="C3414" s="5">
        <v>52246.960299999999</v>
      </c>
      <c r="D3414" s="5">
        <v>52246.960299999999</v>
      </c>
      <c r="E3414" s="5">
        <v>47310.556700000001</v>
      </c>
      <c r="G3414" s="5" t="str">
        <f t="shared" si="107"/>
        <v>ГОРНЫЙ ЩИТ</v>
      </c>
      <c r="J3414" s="5"/>
      <c r="AL3414" s="5">
        <f t="shared" si="108"/>
        <v>0</v>
      </c>
    </row>
    <row r="3415" spans="1:38" ht="25.5" customHeight="1" x14ac:dyDescent="0.25">
      <c r="A3415" s="10" t="s">
        <v>3050</v>
      </c>
      <c r="B3415" s="11" t="s">
        <v>33</v>
      </c>
      <c r="C3415" s="5">
        <v>84298.205100000006</v>
      </c>
      <c r="D3415" s="5">
        <v>84298.205100000006</v>
      </c>
      <c r="E3415" s="5">
        <v>76333.533100000001</v>
      </c>
      <c r="G3415" s="5" t="str">
        <f t="shared" si="107"/>
        <v>ВИЗ</v>
      </c>
      <c r="J3415" s="5"/>
      <c r="AL3415" s="5">
        <f t="shared" si="108"/>
        <v>0</v>
      </c>
    </row>
    <row r="3416" spans="1:38" ht="25.5" customHeight="1" x14ac:dyDescent="0.25">
      <c r="A3416" s="10" t="s">
        <v>3051</v>
      </c>
      <c r="B3416" s="11" t="s">
        <v>1645</v>
      </c>
      <c r="C3416" s="5">
        <v>60958.294800000003</v>
      </c>
      <c r="D3416" s="5">
        <v>60958.294800000003</v>
      </c>
      <c r="E3416" s="5">
        <v>55198.825199999999</v>
      </c>
      <c r="G3416" s="5" t="str">
        <f t="shared" si="107"/>
        <v>ЕЛИЗАВЕТ</v>
      </c>
      <c r="J3416" s="5"/>
      <c r="AL3416" s="5">
        <f t="shared" si="108"/>
        <v>0</v>
      </c>
    </row>
    <row r="3417" spans="1:38" ht="25.5" customHeight="1" x14ac:dyDescent="0.25">
      <c r="A3417" s="10" t="s">
        <v>1418</v>
      </c>
      <c r="B3417" s="11" t="s">
        <v>1638</v>
      </c>
      <c r="C3417" s="5">
        <v>63640.311600000001</v>
      </c>
      <c r="D3417" s="5">
        <v>63640.311600000001</v>
      </c>
      <c r="E3417" s="5">
        <v>57627.4473</v>
      </c>
      <c r="G3417" s="5" t="str">
        <f t="shared" si="107"/>
        <v>УКТУС</v>
      </c>
      <c r="J3417" s="5"/>
      <c r="AL3417" s="5">
        <f t="shared" si="108"/>
        <v>0</v>
      </c>
    </row>
    <row r="3418" spans="1:38" ht="25.5" customHeight="1" x14ac:dyDescent="0.25">
      <c r="A3418" s="10" t="s">
        <v>3052</v>
      </c>
      <c r="B3418" s="11" t="s">
        <v>1644</v>
      </c>
      <c r="C3418" s="5">
        <v>61980.678599999999</v>
      </c>
      <c r="D3418" s="5">
        <v>61980.678599999999</v>
      </c>
      <c r="E3418" s="5">
        <v>56124.615700000002</v>
      </c>
      <c r="G3418" s="5" t="str">
        <f t="shared" si="107"/>
        <v>ХИММАШ</v>
      </c>
      <c r="J3418" s="5"/>
      <c r="AL3418" s="5">
        <f t="shared" si="108"/>
        <v>0</v>
      </c>
    </row>
    <row r="3419" spans="1:38" ht="25.5" customHeight="1" x14ac:dyDescent="0.25">
      <c r="A3419" s="10" t="s">
        <v>3053</v>
      </c>
      <c r="B3419" s="11" t="s">
        <v>389</v>
      </c>
      <c r="C3419" s="5">
        <v>51175.5573</v>
      </c>
      <c r="D3419" s="5">
        <v>51175.5573</v>
      </c>
      <c r="E3419" s="5">
        <v>46340.381600000001</v>
      </c>
      <c r="G3419" s="5" t="str">
        <f t="shared" si="107"/>
        <v>Северка</v>
      </c>
      <c r="J3419" s="5"/>
      <c r="AL3419" s="5">
        <f t="shared" si="108"/>
        <v>0</v>
      </c>
    </row>
    <row r="3420" spans="1:38" ht="25.5" customHeight="1" x14ac:dyDescent="0.25">
      <c r="A3420" s="10" t="s">
        <v>3054</v>
      </c>
      <c r="B3420" s="11" t="s">
        <v>1647</v>
      </c>
      <c r="C3420" s="5">
        <v>63178.133800000003</v>
      </c>
      <c r="D3420" s="5">
        <v>63178.133800000003</v>
      </c>
      <c r="E3420" s="5">
        <v>57208.931499999999</v>
      </c>
      <c r="G3420" s="5" t="str">
        <f t="shared" si="107"/>
        <v>ШИРОКАЯ РЕЧКА</v>
      </c>
      <c r="J3420" s="5"/>
      <c r="AL3420" s="5">
        <f t="shared" si="108"/>
        <v>0</v>
      </c>
    </row>
    <row r="3421" spans="1:38" ht="25.5" customHeight="1" x14ac:dyDescent="0.25">
      <c r="A3421" s="20" t="s">
        <v>3055</v>
      </c>
      <c r="B3421" s="22">
        <v>1003</v>
      </c>
      <c r="C3421" s="5">
        <v>21261.0285</v>
      </c>
      <c r="D3421" s="5">
        <v>21261.0285</v>
      </c>
      <c r="E3421" s="5">
        <v>20837.465199999999</v>
      </c>
      <c r="G3421" s="5">
        <f t="shared" si="107"/>
        <v>1003</v>
      </c>
      <c r="J3421" s="5"/>
      <c r="AL3421" s="5">
        <f t="shared" si="108"/>
        <v>0</v>
      </c>
    </row>
    <row r="3422" spans="1:38" ht="25.5" customHeight="1" x14ac:dyDescent="0.25">
      <c r="A3422" s="10" t="s">
        <v>3056</v>
      </c>
      <c r="B3422" s="11" t="s">
        <v>1651</v>
      </c>
      <c r="C3422" s="5">
        <v>68129.029500000004</v>
      </c>
      <c r="D3422" s="5">
        <v>68129.029500000004</v>
      </c>
      <c r="E3422" s="5">
        <v>61692.054799999998</v>
      </c>
      <c r="G3422" s="5" t="str">
        <f t="shared" si="107"/>
        <v>ШАРТАШ</v>
      </c>
      <c r="J3422" s="5"/>
      <c r="AL3422" s="5">
        <f t="shared" si="108"/>
        <v>0</v>
      </c>
    </row>
    <row r="3423" spans="1:38" ht="25.5" customHeight="1" x14ac:dyDescent="0.25">
      <c r="A3423" s="10" t="s">
        <v>3057</v>
      </c>
      <c r="B3423" s="11" t="s">
        <v>1657</v>
      </c>
      <c r="C3423" s="5">
        <v>54886.9666</v>
      </c>
      <c r="D3423" s="5">
        <v>54886.9666</v>
      </c>
      <c r="E3423" s="5">
        <v>49701.1319</v>
      </c>
      <c r="G3423" s="5" t="str">
        <f t="shared" si="107"/>
        <v>КОЛЬЦОВО</v>
      </c>
      <c r="J3423" s="5"/>
      <c r="AL3423" s="5">
        <f t="shared" si="108"/>
        <v>0</v>
      </c>
    </row>
    <row r="3424" spans="1:38" x14ac:dyDescent="0.25">
      <c r="A3424" s="10" t="s">
        <v>3058</v>
      </c>
      <c r="B3424" s="11" t="s">
        <v>1680</v>
      </c>
      <c r="C3424" s="5">
        <v>29151.309799999999</v>
      </c>
      <c r="D3424" s="5">
        <v>29151.309799999999</v>
      </c>
      <c r="E3424" s="5">
        <v>26218.127700000001</v>
      </c>
      <c r="G3424" s="5" t="str">
        <f t="shared" si="107"/>
        <v>Северный</v>
      </c>
      <c r="J3424" s="5"/>
      <c r="AL3424" s="5">
        <f t="shared" si="108"/>
        <v>0</v>
      </c>
    </row>
    <row r="3425" spans="1:38" ht="25.5" customHeight="1" x14ac:dyDescent="0.25">
      <c r="A3425" s="10" t="s">
        <v>3059</v>
      </c>
      <c r="B3425" s="11" t="s">
        <v>1638</v>
      </c>
      <c r="C3425" s="5">
        <v>63640.311600000001</v>
      </c>
      <c r="D3425" s="5">
        <v>63640.311600000001</v>
      </c>
      <c r="E3425" s="5">
        <v>57627.4473</v>
      </c>
      <c r="G3425" s="5" t="str">
        <f t="shared" si="107"/>
        <v>УКТУС</v>
      </c>
      <c r="J3425" s="5"/>
      <c r="AL3425" s="5">
        <f t="shared" si="108"/>
        <v>0</v>
      </c>
    </row>
    <row r="3426" spans="1:38" ht="25.5" customHeight="1" x14ac:dyDescent="0.25">
      <c r="A3426" s="10" t="s">
        <v>1581</v>
      </c>
      <c r="B3426" s="11" t="s">
        <v>1637</v>
      </c>
      <c r="C3426" s="5">
        <v>59368.686099999999</v>
      </c>
      <c r="D3426" s="5">
        <v>59368.686099999999</v>
      </c>
      <c r="E3426" s="5">
        <v>53759.401700000002</v>
      </c>
      <c r="G3426" s="5" t="str">
        <f t="shared" si="107"/>
        <v>Старая сортировка</v>
      </c>
      <c r="J3426" s="5"/>
      <c r="AL3426" s="5">
        <f t="shared" si="108"/>
        <v>0</v>
      </c>
    </row>
    <row r="3427" spans="1:38" ht="25.5" customHeight="1" x14ac:dyDescent="0.25">
      <c r="A3427" s="10" t="s">
        <v>3060</v>
      </c>
      <c r="B3427" s="11" t="s">
        <v>1680</v>
      </c>
      <c r="C3427" s="5">
        <v>29151.309799999999</v>
      </c>
      <c r="D3427" s="5">
        <v>29151.309799999999</v>
      </c>
      <c r="E3427" s="5">
        <v>26218.127700000001</v>
      </c>
      <c r="G3427" s="5" t="str">
        <f t="shared" si="107"/>
        <v>Северный</v>
      </c>
      <c r="J3427" s="5"/>
      <c r="AL3427" s="5">
        <f t="shared" si="108"/>
        <v>0</v>
      </c>
    </row>
    <row r="3428" spans="1:38" ht="25.5" customHeight="1" x14ac:dyDescent="0.25">
      <c r="A3428" s="10" t="s">
        <v>3061</v>
      </c>
      <c r="B3428" s="11" t="s">
        <v>1636</v>
      </c>
      <c r="C3428" s="5">
        <v>52246.960299999999</v>
      </c>
      <c r="D3428" s="5">
        <v>52246.960299999999</v>
      </c>
      <c r="E3428" s="5">
        <v>47310.556700000001</v>
      </c>
      <c r="G3428" s="5" t="str">
        <f t="shared" si="107"/>
        <v>ГОРНЫЙ ЩИТ</v>
      </c>
      <c r="J3428" s="5"/>
      <c r="AL3428" s="5">
        <f t="shared" si="108"/>
        <v>0</v>
      </c>
    </row>
    <row r="3429" spans="1:38" ht="25.5" customHeight="1" x14ac:dyDescent="0.25">
      <c r="A3429" s="10" t="s">
        <v>686</v>
      </c>
      <c r="B3429" s="11" t="s">
        <v>1635</v>
      </c>
      <c r="C3429" s="5">
        <v>57793.0844</v>
      </c>
      <c r="D3429" s="5">
        <v>57793.0844</v>
      </c>
      <c r="E3429" s="5">
        <v>52332.6639</v>
      </c>
      <c r="G3429" s="5" t="str">
        <f t="shared" si="107"/>
        <v>ЛЕЧЕБНЫЙ</v>
      </c>
      <c r="J3429" s="5"/>
      <c r="AL3429" s="5">
        <f t="shared" si="108"/>
        <v>0</v>
      </c>
    </row>
    <row r="3430" spans="1:38" ht="25.5" customHeight="1" x14ac:dyDescent="0.25">
      <c r="A3430" s="10" t="s">
        <v>650</v>
      </c>
      <c r="B3430" s="11" t="s">
        <v>1674</v>
      </c>
      <c r="C3430" s="5">
        <v>29199.565200000001</v>
      </c>
      <c r="D3430" s="5">
        <v>29199.565200000001</v>
      </c>
      <c r="E3430" s="5">
        <v>26261.5317</v>
      </c>
      <c r="G3430" s="5" t="str">
        <f t="shared" si="107"/>
        <v>УАЗ</v>
      </c>
      <c r="J3430" s="5"/>
      <c r="AL3430" s="5">
        <f t="shared" si="108"/>
        <v>0</v>
      </c>
    </row>
    <row r="3431" spans="1:38" ht="25.5" customHeight="1" x14ac:dyDescent="0.25">
      <c r="A3431" s="10" t="s">
        <v>204</v>
      </c>
      <c r="B3431" s="11" t="s">
        <v>1676</v>
      </c>
      <c r="C3431" s="5">
        <v>28848.8855</v>
      </c>
      <c r="D3431" s="5">
        <v>28848.8855</v>
      </c>
      <c r="E3431" s="5">
        <v>25946.143</v>
      </c>
      <c r="G3431" s="5" t="str">
        <f t="shared" si="107"/>
        <v>Чкаловский</v>
      </c>
      <c r="J3431" s="5"/>
      <c r="AL3431" s="5">
        <f t="shared" si="108"/>
        <v>0</v>
      </c>
    </row>
    <row r="3432" spans="1:38" ht="25.5" customHeight="1" x14ac:dyDescent="0.25">
      <c r="A3432" s="10" t="s">
        <v>1044</v>
      </c>
      <c r="B3432" s="11" t="s">
        <v>1679</v>
      </c>
      <c r="C3432" s="5">
        <v>28855.326499999999</v>
      </c>
      <c r="D3432" s="5">
        <v>28855.326499999999</v>
      </c>
      <c r="E3432" s="5">
        <v>25951.933700000001</v>
      </c>
      <c r="G3432" s="5" t="str">
        <f t="shared" si="107"/>
        <v>Ст.Каменск-Хозспособ</v>
      </c>
      <c r="J3432" s="5"/>
      <c r="AL3432" s="5">
        <f t="shared" si="108"/>
        <v>0</v>
      </c>
    </row>
    <row r="3433" spans="1:38" ht="25.5" customHeight="1" x14ac:dyDescent="0.25">
      <c r="A3433" s="10" t="s">
        <v>3062</v>
      </c>
      <c r="B3433" s="11" t="s">
        <v>1647</v>
      </c>
      <c r="C3433" s="5">
        <v>63178.133800000003</v>
      </c>
      <c r="D3433" s="5">
        <v>63178.133800000003</v>
      </c>
      <c r="E3433" s="5">
        <v>57208.931499999999</v>
      </c>
      <c r="G3433" s="5" t="str">
        <f t="shared" si="107"/>
        <v>ШИРОКАЯ РЕЧКА</v>
      </c>
      <c r="J3433" s="5"/>
      <c r="AL3433" s="5">
        <f t="shared" si="108"/>
        <v>0</v>
      </c>
    </row>
    <row r="3434" spans="1:38" ht="25.5" customHeight="1" x14ac:dyDescent="0.25">
      <c r="A3434" s="10" t="s">
        <v>1011</v>
      </c>
      <c r="B3434" s="11" t="s">
        <v>1651</v>
      </c>
      <c r="C3434" s="5">
        <v>68129.029500000004</v>
      </c>
      <c r="D3434" s="5">
        <v>68129.029500000004</v>
      </c>
      <c r="E3434" s="5">
        <v>61692.054799999998</v>
      </c>
      <c r="G3434" s="5" t="str">
        <f t="shared" si="107"/>
        <v>ШАРТАШ</v>
      </c>
      <c r="J3434" s="5"/>
      <c r="AL3434" s="5">
        <f t="shared" si="108"/>
        <v>0</v>
      </c>
    </row>
    <row r="3435" spans="1:38" ht="25.5" customHeight="1" x14ac:dyDescent="0.25">
      <c r="A3435" s="10" t="s">
        <v>3063</v>
      </c>
      <c r="B3435" s="11" t="s">
        <v>1659</v>
      </c>
      <c r="C3435" s="5">
        <v>59746.832600000002</v>
      </c>
      <c r="D3435" s="5">
        <v>59746.832600000002</v>
      </c>
      <c r="E3435" s="5">
        <v>54101.823700000001</v>
      </c>
      <c r="G3435" s="5" t="str">
        <f t="shared" si="107"/>
        <v>СОВХОЗ</v>
      </c>
      <c r="J3435" s="5"/>
      <c r="AL3435" s="5">
        <f t="shared" si="108"/>
        <v>0</v>
      </c>
    </row>
    <row r="3436" spans="1:38" ht="25.5" customHeight="1" x14ac:dyDescent="0.25">
      <c r="A3436" s="10" t="s">
        <v>3064</v>
      </c>
      <c r="B3436" s="11" t="s">
        <v>1628</v>
      </c>
      <c r="C3436" s="5">
        <v>70734.0236</v>
      </c>
      <c r="D3436" s="5">
        <v>70734.0236</v>
      </c>
      <c r="E3436" s="5">
        <v>64050.9208</v>
      </c>
      <c r="G3436" s="5" t="str">
        <f t="shared" si="107"/>
        <v>ЭЛЬМАШ</v>
      </c>
      <c r="J3436" s="5"/>
      <c r="AL3436" s="5">
        <f t="shared" si="108"/>
        <v>0</v>
      </c>
    </row>
    <row r="3437" spans="1:38" ht="25.5" customHeight="1" x14ac:dyDescent="0.25">
      <c r="A3437" s="10" t="s">
        <v>1342</v>
      </c>
      <c r="B3437" s="11" t="s">
        <v>1636</v>
      </c>
      <c r="C3437" s="5">
        <v>52246.960299999999</v>
      </c>
      <c r="D3437" s="5">
        <v>52246.960299999999</v>
      </c>
      <c r="E3437" s="5">
        <v>47310.556700000001</v>
      </c>
      <c r="G3437" s="5" t="str">
        <f t="shared" si="107"/>
        <v>ГОРНЫЙ ЩИТ</v>
      </c>
      <c r="J3437" s="5"/>
      <c r="AL3437" s="5">
        <f t="shared" si="108"/>
        <v>0</v>
      </c>
    </row>
    <row r="3438" spans="1:38" ht="25.5" customHeight="1" x14ac:dyDescent="0.25">
      <c r="A3438" s="10" t="s">
        <v>3065</v>
      </c>
      <c r="B3438" s="11" t="s">
        <v>1636</v>
      </c>
      <c r="C3438" s="5">
        <v>52246.960299999999</v>
      </c>
      <c r="D3438" s="5">
        <v>52246.960299999999</v>
      </c>
      <c r="E3438" s="5">
        <v>47310.556700000001</v>
      </c>
      <c r="G3438" s="5" t="str">
        <f t="shared" si="107"/>
        <v>ГОРНЫЙ ЩИТ</v>
      </c>
      <c r="J3438" s="5"/>
      <c r="AL3438" s="5">
        <f t="shared" si="108"/>
        <v>0</v>
      </c>
    </row>
    <row r="3439" spans="1:38" ht="25.5" customHeight="1" x14ac:dyDescent="0.25">
      <c r="A3439" s="10" t="s">
        <v>3066</v>
      </c>
      <c r="B3439" s="11" t="s">
        <v>1647</v>
      </c>
      <c r="C3439" s="5">
        <v>63178.133800000003</v>
      </c>
      <c r="D3439" s="5">
        <v>63178.133800000003</v>
      </c>
      <c r="E3439" s="5">
        <v>57208.931499999999</v>
      </c>
      <c r="G3439" s="5" t="str">
        <f t="shared" si="107"/>
        <v>ШИРОКАЯ РЕЧКА</v>
      </c>
      <c r="J3439" s="5"/>
      <c r="AL3439" s="5">
        <f t="shared" si="108"/>
        <v>0</v>
      </c>
    </row>
    <row r="3440" spans="1:38" ht="25.5" customHeight="1" x14ac:dyDescent="0.25">
      <c r="A3440" s="10" t="s">
        <v>3067</v>
      </c>
      <c r="B3440" s="11" t="s">
        <v>1647</v>
      </c>
      <c r="C3440" s="5">
        <v>63178.133800000003</v>
      </c>
      <c r="D3440" s="5">
        <v>63178.133800000003</v>
      </c>
      <c r="E3440" s="5">
        <v>57208.931499999999</v>
      </c>
      <c r="G3440" s="5" t="str">
        <f t="shared" si="107"/>
        <v>ШИРОКАЯ РЕЧКА</v>
      </c>
      <c r="J3440" s="5"/>
      <c r="AL3440" s="5">
        <f t="shared" si="108"/>
        <v>0</v>
      </c>
    </row>
    <row r="3441" spans="1:38" ht="25.5" customHeight="1" x14ac:dyDescent="0.25">
      <c r="A3441" s="10" t="s">
        <v>3068</v>
      </c>
      <c r="B3441" s="11" t="s">
        <v>1647</v>
      </c>
      <c r="C3441" s="5">
        <v>63178.133800000003</v>
      </c>
      <c r="D3441" s="5">
        <v>63178.133800000003</v>
      </c>
      <c r="E3441" s="5">
        <v>57208.931499999999</v>
      </c>
      <c r="G3441" s="5" t="str">
        <f t="shared" si="107"/>
        <v>ШИРОКАЯ РЕЧКА</v>
      </c>
      <c r="J3441" s="5"/>
      <c r="AL3441" s="5">
        <f t="shared" si="108"/>
        <v>0</v>
      </c>
    </row>
    <row r="3442" spans="1:38" ht="25.5" customHeight="1" x14ac:dyDescent="0.25">
      <c r="A3442" s="10" t="s">
        <v>3069</v>
      </c>
      <c r="B3442" s="11" t="s">
        <v>1680</v>
      </c>
      <c r="C3442" s="5">
        <v>29151.309799999999</v>
      </c>
      <c r="D3442" s="5">
        <v>29151.309799999999</v>
      </c>
      <c r="E3442" s="5">
        <v>26218.127700000001</v>
      </c>
      <c r="G3442" s="5" t="str">
        <f t="shared" si="107"/>
        <v>Северный</v>
      </c>
      <c r="J3442" s="5"/>
      <c r="AL3442" s="5">
        <f t="shared" si="108"/>
        <v>0</v>
      </c>
    </row>
    <row r="3443" spans="1:38" ht="25.5" customHeight="1" x14ac:dyDescent="0.25">
      <c r="A3443" s="10" t="s">
        <v>3070</v>
      </c>
      <c r="B3443" s="11" t="s">
        <v>1660</v>
      </c>
      <c r="C3443" s="5">
        <v>53262.345800000003</v>
      </c>
      <c r="D3443" s="5">
        <v>53262.345800000003</v>
      </c>
      <c r="E3443" s="5">
        <v>48230.0095</v>
      </c>
      <c r="G3443" s="5" t="str">
        <f t="shared" si="107"/>
        <v>САДОВЫЙ</v>
      </c>
      <c r="J3443" s="5"/>
      <c r="AL3443" s="5">
        <f t="shared" si="108"/>
        <v>0</v>
      </c>
    </row>
    <row r="3444" spans="1:38" ht="25.5" customHeight="1" x14ac:dyDescent="0.25">
      <c r="A3444" s="10" t="s">
        <v>1456</v>
      </c>
      <c r="B3444" s="11" t="s">
        <v>1643</v>
      </c>
      <c r="C3444" s="5">
        <v>76630.280299999999</v>
      </c>
      <c r="D3444" s="5">
        <v>76630.280299999999</v>
      </c>
      <c r="E3444" s="5">
        <v>69390.088799999998</v>
      </c>
      <c r="G3444" s="5" t="str">
        <f t="shared" si="107"/>
        <v>Ю-З</v>
      </c>
      <c r="J3444" s="5"/>
      <c r="AL3444" s="5">
        <f t="shared" si="108"/>
        <v>0</v>
      </c>
    </row>
    <row r="3445" spans="1:38" ht="25.5" customHeight="1" x14ac:dyDescent="0.25">
      <c r="A3445" s="10" t="s">
        <v>3071</v>
      </c>
      <c r="B3445" s="11" t="s">
        <v>1653</v>
      </c>
      <c r="C3445" s="5">
        <v>56847.723400000003</v>
      </c>
      <c r="D3445" s="5">
        <v>56847.723400000003</v>
      </c>
      <c r="E3445" s="5">
        <v>51476.629399999998</v>
      </c>
      <c r="G3445" s="5" t="str">
        <f t="shared" si="107"/>
        <v>ПТИЦЕФАБРИКА</v>
      </c>
      <c r="J3445" s="5"/>
      <c r="AL3445" s="5">
        <f t="shared" si="108"/>
        <v>0</v>
      </c>
    </row>
    <row r="3446" spans="1:38" ht="25.5" customHeight="1" x14ac:dyDescent="0.25">
      <c r="A3446" s="10" t="s">
        <v>3072</v>
      </c>
      <c r="B3446" s="11" t="s">
        <v>1653</v>
      </c>
      <c r="C3446" s="5">
        <v>56847.723400000003</v>
      </c>
      <c r="D3446" s="5">
        <v>56847.723400000003</v>
      </c>
      <c r="E3446" s="5">
        <v>51476.629399999998</v>
      </c>
      <c r="G3446" s="5" t="str">
        <f t="shared" si="107"/>
        <v>ПТИЦЕФАБРИКА</v>
      </c>
      <c r="J3446" s="5"/>
      <c r="AL3446" s="5">
        <f t="shared" si="108"/>
        <v>0</v>
      </c>
    </row>
    <row r="3447" spans="1:38" ht="25.5" customHeight="1" x14ac:dyDescent="0.25">
      <c r="A3447" s="10" t="s">
        <v>3073</v>
      </c>
      <c r="B3447" s="11" t="s">
        <v>1653</v>
      </c>
      <c r="C3447" s="5">
        <v>56847.723400000003</v>
      </c>
      <c r="D3447" s="5">
        <v>56847.723400000003</v>
      </c>
      <c r="E3447" s="5">
        <v>51476.629399999998</v>
      </c>
      <c r="G3447" s="5" t="str">
        <f t="shared" si="107"/>
        <v>ПТИЦЕФАБРИКА</v>
      </c>
      <c r="J3447" s="5"/>
      <c r="AL3447" s="5">
        <f t="shared" si="108"/>
        <v>0</v>
      </c>
    </row>
    <row r="3448" spans="1:38" ht="25.5" customHeight="1" x14ac:dyDescent="0.25">
      <c r="A3448" s="10" t="s">
        <v>3074</v>
      </c>
      <c r="B3448" s="11" t="s">
        <v>1645</v>
      </c>
      <c r="C3448" s="5">
        <v>60958.294800000003</v>
      </c>
      <c r="D3448" s="5">
        <v>60958.294800000003</v>
      </c>
      <c r="E3448" s="5">
        <v>55198.825199999999</v>
      </c>
      <c r="G3448" s="5" t="str">
        <f t="shared" si="107"/>
        <v>ЕЛИЗАВЕТ</v>
      </c>
      <c r="J3448" s="5"/>
      <c r="AL3448" s="5">
        <f t="shared" si="108"/>
        <v>0</v>
      </c>
    </row>
    <row r="3449" spans="1:38" ht="25.5" customHeight="1" x14ac:dyDescent="0.25">
      <c r="A3449" s="10" t="s">
        <v>3076</v>
      </c>
      <c r="B3449" s="11" t="s">
        <v>1647</v>
      </c>
      <c r="C3449" s="5">
        <v>63178.133800000003</v>
      </c>
      <c r="D3449" s="5">
        <v>63178.133800000003</v>
      </c>
      <c r="E3449" s="5">
        <v>57208.931499999999</v>
      </c>
      <c r="G3449" s="5" t="str">
        <f t="shared" si="107"/>
        <v>ШИРОКАЯ РЕЧКА</v>
      </c>
      <c r="J3449" s="5"/>
      <c r="AL3449" s="5">
        <f t="shared" si="108"/>
        <v>0</v>
      </c>
    </row>
    <row r="3450" spans="1:38" ht="25.5" customHeight="1" x14ac:dyDescent="0.25">
      <c r="A3450" s="10" t="s">
        <v>3077</v>
      </c>
      <c r="B3450" s="11" t="s">
        <v>1636</v>
      </c>
      <c r="C3450" s="5">
        <v>52246.960299999999</v>
      </c>
      <c r="D3450" s="5">
        <v>52246.960299999999</v>
      </c>
      <c r="E3450" s="5">
        <v>47310.556700000001</v>
      </c>
      <c r="G3450" s="5" t="str">
        <f t="shared" si="107"/>
        <v>ГОРНЫЙ ЩИТ</v>
      </c>
      <c r="J3450" s="5"/>
      <c r="AL3450" s="5">
        <f t="shared" si="108"/>
        <v>0</v>
      </c>
    </row>
    <row r="3451" spans="1:38" ht="25.5" customHeight="1" x14ac:dyDescent="0.25">
      <c r="A3451" s="10" t="s">
        <v>3078</v>
      </c>
      <c r="B3451" s="11" t="s">
        <v>1647</v>
      </c>
      <c r="C3451" s="5">
        <v>63178.133800000003</v>
      </c>
      <c r="D3451" s="5">
        <v>63178.133800000003</v>
      </c>
      <c r="E3451" s="5">
        <v>57208.931499999999</v>
      </c>
      <c r="G3451" s="5" t="str">
        <f t="shared" si="107"/>
        <v>ШИРОКАЯ РЕЧКА</v>
      </c>
      <c r="J3451" s="5"/>
      <c r="AL3451" s="5">
        <f t="shared" si="108"/>
        <v>0</v>
      </c>
    </row>
    <row r="3452" spans="1:38" ht="25.5" customHeight="1" x14ac:dyDescent="0.25">
      <c r="A3452" s="10" t="s">
        <v>738</v>
      </c>
      <c r="B3452" s="11" t="s">
        <v>1638</v>
      </c>
      <c r="C3452" s="5">
        <v>63640.311600000001</v>
      </c>
      <c r="D3452" s="5">
        <v>63640.311600000001</v>
      </c>
      <c r="E3452" s="5">
        <v>57627.4473</v>
      </c>
      <c r="G3452" s="5" t="str">
        <f t="shared" si="107"/>
        <v>УКТУС</v>
      </c>
      <c r="J3452" s="5"/>
      <c r="AL3452" s="5">
        <f t="shared" si="108"/>
        <v>0</v>
      </c>
    </row>
    <row r="3453" spans="1:38" ht="25.5" customHeight="1" x14ac:dyDescent="0.25">
      <c r="A3453" s="10" t="s">
        <v>3080</v>
      </c>
      <c r="B3453" s="11" t="s">
        <v>1661</v>
      </c>
      <c r="C3453" s="5">
        <v>51175.5573</v>
      </c>
      <c r="D3453" s="5">
        <v>51175.5573</v>
      </c>
      <c r="E3453" s="5">
        <v>46340.381600000001</v>
      </c>
      <c r="G3453" s="5" t="str">
        <f t="shared" si="107"/>
        <v>СЕВЕРКА</v>
      </c>
      <c r="J3453" s="5"/>
      <c r="AL3453" s="5">
        <f t="shared" si="108"/>
        <v>0</v>
      </c>
    </row>
    <row r="3454" spans="1:38" ht="25.5" customHeight="1" x14ac:dyDescent="0.25">
      <c r="A3454" s="10" t="s">
        <v>3081</v>
      </c>
      <c r="B3454" s="11" t="s">
        <v>1631</v>
      </c>
      <c r="C3454" s="5">
        <v>70026.7601</v>
      </c>
      <c r="D3454" s="5">
        <v>70026.7601</v>
      </c>
      <c r="E3454" s="5">
        <v>63410.482000000004</v>
      </c>
      <c r="G3454" s="5" t="str">
        <f t="shared" si="107"/>
        <v>УРАЛМАШ</v>
      </c>
      <c r="J3454" s="5"/>
      <c r="AL3454" s="5">
        <f t="shared" si="108"/>
        <v>0</v>
      </c>
    </row>
    <row r="3455" spans="1:38" ht="25.5" customHeight="1" x14ac:dyDescent="0.25">
      <c r="A3455" s="10" t="s">
        <v>3082</v>
      </c>
      <c r="B3455" s="11" t="s">
        <v>1630</v>
      </c>
      <c r="C3455" s="5">
        <v>62652.9401</v>
      </c>
      <c r="D3455" s="5">
        <v>62652.9401</v>
      </c>
      <c r="E3455" s="5">
        <v>56733.3557</v>
      </c>
      <c r="G3455" s="5" t="str">
        <f t="shared" si="107"/>
        <v>ЧЕРМЕТ</v>
      </c>
      <c r="J3455" s="5"/>
      <c r="AL3455" s="5">
        <f t="shared" si="108"/>
        <v>0</v>
      </c>
    </row>
    <row r="3456" spans="1:38" ht="25.5" customHeight="1" x14ac:dyDescent="0.25">
      <c r="A3456" s="10" t="s">
        <v>3083</v>
      </c>
      <c r="B3456" s="11" t="s">
        <v>1691</v>
      </c>
      <c r="C3456" s="5">
        <v>36244.5985</v>
      </c>
      <c r="D3456" s="5">
        <v>36244.5985</v>
      </c>
      <c r="E3456" s="5">
        <v>32992.053800000002</v>
      </c>
      <c r="G3456" s="5" t="str">
        <f t="shared" si="107"/>
        <v>ДинСанПод</v>
      </c>
      <c r="J3456" s="5"/>
      <c r="AL3456" s="5">
        <f t="shared" si="108"/>
        <v>0</v>
      </c>
    </row>
    <row r="3457" spans="1:38" ht="25.5" customHeight="1" x14ac:dyDescent="0.25">
      <c r="A3457" s="10" t="s">
        <v>1184</v>
      </c>
      <c r="B3457" s="11" t="s">
        <v>1650</v>
      </c>
      <c r="C3457" s="5">
        <v>37590.3603</v>
      </c>
      <c r="D3457" s="5">
        <v>37590.3603</v>
      </c>
      <c r="E3457" s="5">
        <v>34038.745900000002</v>
      </c>
      <c r="G3457" s="5" t="str">
        <f t="shared" ref="G3457:G3520" si="109">B3457</f>
        <v>ШАБРОВСКИЙ</v>
      </c>
      <c r="J3457" s="5"/>
      <c r="AL3457" s="5">
        <f t="shared" ref="AL3457:AL3520" si="110">AF3457</f>
        <v>0</v>
      </c>
    </row>
    <row r="3458" spans="1:38" ht="25.5" customHeight="1" x14ac:dyDescent="0.25">
      <c r="A3458" s="10" t="s">
        <v>3084</v>
      </c>
      <c r="B3458" s="11" t="s">
        <v>1638</v>
      </c>
      <c r="C3458" s="5">
        <v>63640.311600000001</v>
      </c>
      <c r="D3458" s="5">
        <v>63640.311600000001</v>
      </c>
      <c r="E3458" s="5">
        <v>57627.4473</v>
      </c>
      <c r="G3458" s="5" t="str">
        <f t="shared" si="109"/>
        <v>УКТУС</v>
      </c>
      <c r="J3458" s="5"/>
      <c r="AL3458" s="5">
        <f t="shared" si="110"/>
        <v>0</v>
      </c>
    </row>
    <row r="3459" spans="1:38" ht="25.5" customHeight="1" x14ac:dyDescent="0.25">
      <c r="A3459" s="10" t="s">
        <v>3085</v>
      </c>
      <c r="B3459" s="11" t="s">
        <v>1647</v>
      </c>
      <c r="C3459" s="5">
        <v>63178.133800000003</v>
      </c>
      <c r="D3459" s="5">
        <v>63178.133800000003</v>
      </c>
      <c r="E3459" s="5">
        <v>57208.931499999999</v>
      </c>
      <c r="G3459" s="5" t="str">
        <f t="shared" si="109"/>
        <v>ШИРОКАЯ РЕЧКА</v>
      </c>
      <c r="J3459" s="5"/>
      <c r="AL3459" s="5">
        <f t="shared" si="110"/>
        <v>0</v>
      </c>
    </row>
    <row r="3460" spans="1:38" ht="25.5" customHeight="1" x14ac:dyDescent="0.25">
      <c r="A3460" s="10" t="s">
        <v>1265</v>
      </c>
      <c r="B3460" s="11" t="s">
        <v>483</v>
      </c>
      <c r="C3460" s="5">
        <v>44242.899599999997</v>
      </c>
      <c r="D3460" s="5">
        <v>44242.899599999997</v>
      </c>
      <c r="E3460" s="5">
        <v>40062.737300000001</v>
      </c>
      <c r="G3460" s="5" t="str">
        <f t="shared" si="109"/>
        <v>Шувакиш</v>
      </c>
      <c r="J3460" s="5"/>
      <c r="AL3460" s="5">
        <f t="shared" si="110"/>
        <v>0</v>
      </c>
    </row>
    <row r="3461" spans="1:38" ht="25.5" customHeight="1" x14ac:dyDescent="0.25">
      <c r="A3461" s="10" t="s">
        <v>235</v>
      </c>
      <c r="B3461" s="11" t="s">
        <v>14</v>
      </c>
      <c r="C3461" s="5">
        <v>93989.912800000006</v>
      </c>
      <c r="D3461" s="5">
        <v>93989.912800000006</v>
      </c>
      <c r="E3461" s="5">
        <v>85109.545199999993</v>
      </c>
      <c r="G3461" s="5" t="str">
        <f t="shared" si="109"/>
        <v>Центр</v>
      </c>
      <c r="J3461" s="5"/>
      <c r="AL3461" s="5">
        <f t="shared" si="110"/>
        <v>0</v>
      </c>
    </row>
    <row r="3462" spans="1:38" ht="25.5" customHeight="1" x14ac:dyDescent="0.25">
      <c r="A3462" s="10" t="s">
        <v>3086</v>
      </c>
      <c r="B3462" s="11" t="s">
        <v>1645</v>
      </c>
      <c r="C3462" s="5">
        <v>60958.294800000003</v>
      </c>
      <c r="D3462" s="5">
        <v>60958.294800000003</v>
      </c>
      <c r="E3462" s="5">
        <v>55198.825199999999</v>
      </c>
      <c r="G3462" s="5" t="str">
        <f t="shared" si="109"/>
        <v>ЕЛИЗАВЕТ</v>
      </c>
      <c r="J3462" s="5"/>
      <c r="AL3462" s="5">
        <f t="shared" si="110"/>
        <v>0</v>
      </c>
    </row>
    <row r="3463" spans="1:38" ht="25.5" customHeight="1" x14ac:dyDescent="0.25">
      <c r="A3463" s="10" t="s">
        <v>3087</v>
      </c>
      <c r="B3463" s="11" t="s">
        <v>1635</v>
      </c>
      <c r="C3463" s="5">
        <v>57793.0844</v>
      </c>
      <c r="D3463" s="5">
        <v>57793.0844</v>
      </c>
      <c r="E3463" s="5">
        <v>52332.6639</v>
      </c>
      <c r="G3463" s="5" t="str">
        <f t="shared" si="109"/>
        <v>ЛЕЧЕБНЫЙ</v>
      </c>
      <c r="J3463" s="5"/>
      <c r="AL3463" s="5">
        <f t="shared" si="110"/>
        <v>0</v>
      </c>
    </row>
    <row r="3464" spans="1:38" ht="25.5" customHeight="1" x14ac:dyDescent="0.25">
      <c r="A3464" s="10" t="s">
        <v>3088</v>
      </c>
      <c r="B3464" s="11" t="s">
        <v>1668</v>
      </c>
      <c r="C3464" s="5">
        <v>51343.6201</v>
      </c>
      <c r="D3464" s="5">
        <v>51343.6201</v>
      </c>
      <c r="E3464" s="5">
        <v>46492.558799999999</v>
      </c>
      <c r="G3464" s="5" t="str">
        <f t="shared" si="109"/>
        <v>МЕДНЫЙ</v>
      </c>
      <c r="J3464" s="5"/>
      <c r="AL3464" s="5">
        <f t="shared" si="110"/>
        <v>0</v>
      </c>
    </row>
    <row r="3465" spans="1:38" ht="25.5" customHeight="1" x14ac:dyDescent="0.25">
      <c r="A3465" s="10" t="s">
        <v>3089</v>
      </c>
      <c r="B3465" s="11" t="s">
        <v>1650</v>
      </c>
      <c r="C3465" s="5">
        <v>37590.3603</v>
      </c>
      <c r="D3465" s="5">
        <v>37590.3603</v>
      </c>
      <c r="E3465" s="5">
        <v>34038.745900000002</v>
      </c>
      <c r="G3465" s="5" t="str">
        <f t="shared" si="109"/>
        <v>ШАБРОВСКИЙ</v>
      </c>
      <c r="J3465" s="5"/>
      <c r="AL3465" s="5">
        <f t="shared" si="110"/>
        <v>0</v>
      </c>
    </row>
    <row r="3466" spans="1:38" ht="25.5" customHeight="1" x14ac:dyDescent="0.25">
      <c r="A3466" s="10" t="s">
        <v>3090</v>
      </c>
      <c r="B3466" s="11" t="s">
        <v>1647</v>
      </c>
      <c r="C3466" s="5">
        <v>63178.133800000003</v>
      </c>
      <c r="D3466" s="5">
        <v>63178.133800000003</v>
      </c>
      <c r="E3466" s="5">
        <v>57208.931499999999</v>
      </c>
      <c r="G3466" s="5" t="str">
        <f t="shared" si="109"/>
        <v>ШИРОКАЯ РЕЧКА</v>
      </c>
      <c r="J3466" s="5"/>
      <c r="AL3466" s="5">
        <f t="shared" si="110"/>
        <v>0</v>
      </c>
    </row>
    <row r="3467" spans="1:38" ht="25.5" customHeight="1" x14ac:dyDescent="0.25">
      <c r="A3467" s="10" t="s">
        <v>3091</v>
      </c>
      <c r="B3467" s="11" t="s">
        <v>1668</v>
      </c>
      <c r="C3467" s="5">
        <v>51343.6201</v>
      </c>
      <c r="D3467" s="5">
        <v>51343.6201</v>
      </c>
      <c r="E3467" s="5">
        <v>46492.558799999999</v>
      </c>
      <c r="G3467" s="5" t="str">
        <f t="shared" si="109"/>
        <v>МЕДНЫЙ</v>
      </c>
      <c r="J3467" s="5"/>
      <c r="AL3467" s="5">
        <f t="shared" si="110"/>
        <v>0</v>
      </c>
    </row>
    <row r="3468" spans="1:38" ht="25.5" customHeight="1" x14ac:dyDescent="0.25">
      <c r="A3468" s="10" t="s">
        <v>3092</v>
      </c>
      <c r="B3468" s="11" t="s">
        <v>1631</v>
      </c>
      <c r="C3468" s="5">
        <v>70026.7601</v>
      </c>
      <c r="D3468" s="5">
        <v>70026.7601</v>
      </c>
      <c r="E3468" s="5">
        <v>63410.482000000004</v>
      </c>
      <c r="G3468" s="5" t="str">
        <f t="shared" si="109"/>
        <v>УРАЛМАШ</v>
      </c>
      <c r="J3468" s="5"/>
      <c r="AL3468" s="5">
        <f t="shared" si="110"/>
        <v>0</v>
      </c>
    </row>
    <row r="3469" spans="1:38" ht="25.5" customHeight="1" x14ac:dyDescent="0.25">
      <c r="A3469" s="10" t="s">
        <v>3093</v>
      </c>
      <c r="B3469" s="11" t="s">
        <v>1631</v>
      </c>
      <c r="C3469" s="5">
        <v>70026.7601</v>
      </c>
      <c r="D3469" s="5">
        <v>70026.7601</v>
      </c>
      <c r="E3469" s="5">
        <v>63410.482000000004</v>
      </c>
      <c r="G3469" s="5" t="str">
        <f t="shared" si="109"/>
        <v>УРАЛМАШ</v>
      </c>
      <c r="J3469" s="5"/>
      <c r="AL3469" s="5">
        <f t="shared" si="110"/>
        <v>0</v>
      </c>
    </row>
    <row r="3470" spans="1:38" ht="25.5" customHeight="1" x14ac:dyDescent="0.25">
      <c r="A3470" s="10" t="s">
        <v>1464</v>
      </c>
      <c r="B3470" s="11" t="s">
        <v>1637</v>
      </c>
      <c r="C3470" s="5">
        <v>59368.686099999999</v>
      </c>
      <c r="D3470" s="5">
        <v>59368.686099999999</v>
      </c>
      <c r="E3470" s="5">
        <v>53759.401700000002</v>
      </c>
      <c r="G3470" s="5" t="str">
        <f t="shared" si="109"/>
        <v>Старая сортировка</v>
      </c>
      <c r="J3470" s="5"/>
      <c r="AL3470" s="5">
        <f t="shared" si="110"/>
        <v>0</v>
      </c>
    </row>
    <row r="3471" spans="1:38" ht="25.5" customHeight="1" x14ac:dyDescent="0.25">
      <c r="A3471" s="10" t="s">
        <v>3094</v>
      </c>
      <c r="B3471" s="11" t="s">
        <v>1631</v>
      </c>
      <c r="C3471" s="5">
        <v>70026.7601</v>
      </c>
      <c r="D3471" s="5">
        <v>70026.7601</v>
      </c>
      <c r="E3471" s="5">
        <v>63410.482000000004</v>
      </c>
      <c r="G3471" s="5" t="str">
        <f t="shared" si="109"/>
        <v>УРАЛМАШ</v>
      </c>
      <c r="J3471" s="5"/>
      <c r="AL3471" s="5">
        <f t="shared" si="110"/>
        <v>0</v>
      </c>
    </row>
    <row r="3472" spans="1:38" ht="25.5" customHeight="1" x14ac:dyDescent="0.25">
      <c r="A3472" s="10" t="s">
        <v>3095</v>
      </c>
      <c r="B3472" s="11" t="s">
        <v>1691</v>
      </c>
      <c r="C3472" s="5">
        <v>36244.5985</v>
      </c>
      <c r="D3472" s="5">
        <v>36244.5985</v>
      </c>
      <c r="E3472" s="5">
        <v>32992.053800000002</v>
      </c>
      <c r="G3472" s="5" t="str">
        <f t="shared" si="109"/>
        <v>ДинСанПод</v>
      </c>
      <c r="J3472" s="5"/>
      <c r="AL3472" s="5">
        <f t="shared" si="110"/>
        <v>0</v>
      </c>
    </row>
    <row r="3473" spans="1:38" ht="25.5" customHeight="1" x14ac:dyDescent="0.25">
      <c r="A3473" s="10" t="s">
        <v>3096</v>
      </c>
      <c r="B3473" s="11" t="s">
        <v>1699</v>
      </c>
      <c r="C3473" s="5">
        <v>34007.852099999996</v>
      </c>
      <c r="D3473" s="5">
        <v>34007.852099999996</v>
      </c>
      <c r="E3473" s="5">
        <v>30956.028900000001</v>
      </c>
      <c r="G3473" s="5" t="str">
        <f t="shared" si="109"/>
        <v>Шайтанка</v>
      </c>
      <c r="J3473" s="5"/>
      <c r="AL3473" s="5">
        <f t="shared" si="110"/>
        <v>0</v>
      </c>
    </row>
    <row r="3474" spans="1:38" ht="25.5" customHeight="1" x14ac:dyDescent="0.25">
      <c r="A3474" s="10" t="s">
        <v>387</v>
      </c>
      <c r="B3474" s="11" t="s">
        <v>1638</v>
      </c>
      <c r="C3474" s="5">
        <v>63640.311600000001</v>
      </c>
      <c r="D3474" s="5">
        <v>63640.311600000001</v>
      </c>
      <c r="E3474" s="5">
        <v>57627.4473</v>
      </c>
      <c r="G3474" s="5" t="str">
        <f t="shared" si="109"/>
        <v>УКТУС</v>
      </c>
      <c r="J3474" s="5"/>
      <c r="AL3474" s="5">
        <f t="shared" si="110"/>
        <v>0</v>
      </c>
    </row>
    <row r="3475" spans="1:38" ht="25.5" customHeight="1" x14ac:dyDescent="0.25">
      <c r="A3475" s="10" t="s">
        <v>3097</v>
      </c>
      <c r="B3475" s="11" t="s">
        <v>1691</v>
      </c>
      <c r="C3475" s="5">
        <v>36244.5985</v>
      </c>
      <c r="D3475" s="5">
        <v>36244.5985</v>
      </c>
      <c r="E3475" s="5">
        <v>32992.053800000002</v>
      </c>
      <c r="G3475" s="5" t="str">
        <f t="shared" si="109"/>
        <v>ДинСанПод</v>
      </c>
      <c r="J3475" s="5"/>
      <c r="AL3475" s="5">
        <f t="shared" si="110"/>
        <v>0</v>
      </c>
    </row>
    <row r="3476" spans="1:38" ht="25.5" customHeight="1" x14ac:dyDescent="0.25">
      <c r="A3476" s="10" t="s">
        <v>3098</v>
      </c>
      <c r="B3476" s="11" t="s">
        <v>1659</v>
      </c>
      <c r="C3476" s="5">
        <v>59746.832600000002</v>
      </c>
      <c r="D3476" s="5">
        <v>59746.832600000002</v>
      </c>
      <c r="E3476" s="5">
        <v>54101.823700000001</v>
      </c>
      <c r="G3476" s="5" t="str">
        <f t="shared" si="109"/>
        <v>СОВХОЗ</v>
      </c>
      <c r="J3476" s="5"/>
      <c r="AL3476" s="5">
        <f t="shared" si="110"/>
        <v>0</v>
      </c>
    </row>
    <row r="3477" spans="1:38" ht="25.5" customHeight="1" x14ac:dyDescent="0.25">
      <c r="A3477" s="10" t="s">
        <v>452</v>
      </c>
      <c r="B3477" s="11" t="s">
        <v>1643</v>
      </c>
      <c r="C3477" s="5">
        <v>76630.280299999999</v>
      </c>
      <c r="D3477" s="5">
        <v>76630.280299999999</v>
      </c>
      <c r="E3477" s="5">
        <v>69390.088799999998</v>
      </c>
      <c r="G3477" s="5" t="str">
        <f t="shared" si="109"/>
        <v>Ю-З</v>
      </c>
      <c r="J3477" s="5"/>
      <c r="AL3477" s="5">
        <f t="shared" si="110"/>
        <v>0</v>
      </c>
    </row>
    <row r="3478" spans="1:38" ht="25.5" customHeight="1" x14ac:dyDescent="0.25">
      <c r="A3478" s="10" t="s">
        <v>3099</v>
      </c>
      <c r="B3478" s="11" t="s">
        <v>1628</v>
      </c>
      <c r="C3478" s="5">
        <v>70734.0236</v>
      </c>
      <c r="D3478" s="5">
        <v>70734.0236</v>
      </c>
      <c r="E3478" s="5">
        <v>64050.9208</v>
      </c>
      <c r="G3478" s="5" t="str">
        <f t="shared" si="109"/>
        <v>ЭЛЬМАШ</v>
      </c>
      <c r="J3478" s="5"/>
      <c r="AL3478" s="5">
        <f t="shared" si="110"/>
        <v>0</v>
      </c>
    </row>
    <row r="3479" spans="1:38" ht="25.5" customHeight="1" x14ac:dyDescent="0.25">
      <c r="A3479" s="10" t="s">
        <v>76</v>
      </c>
      <c r="B3479" s="11" t="s">
        <v>1633</v>
      </c>
      <c r="C3479" s="5">
        <v>77071.442599999995</v>
      </c>
      <c r="D3479" s="5">
        <v>77071.442599999995</v>
      </c>
      <c r="E3479" s="5">
        <v>69789.570900000006</v>
      </c>
      <c r="G3479" s="5" t="str">
        <f t="shared" si="109"/>
        <v>ВТУЗГОРОДОК</v>
      </c>
      <c r="J3479" s="5"/>
      <c r="AL3479" s="5">
        <f t="shared" si="110"/>
        <v>0</v>
      </c>
    </row>
    <row r="3480" spans="1:38" ht="25.5" customHeight="1" x14ac:dyDescent="0.25">
      <c r="A3480" s="10" t="s">
        <v>3100</v>
      </c>
      <c r="B3480" s="11" t="s">
        <v>1650</v>
      </c>
      <c r="C3480" s="5">
        <v>37590.3603</v>
      </c>
      <c r="D3480" s="5">
        <v>37590.3603</v>
      </c>
      <c r="E3480" s="5">
        <v>34038.745900000002</v>
      </c>
      <c r="G3480" s="5" t="str">
        <f t="shared" si="109"/>
        <v>ШАБРОВСКИЙ</v>
      </c>
      <c r="J3480" s="5"/>
      <c r="AL3480" s="5">
        <f t="shared" si="110"/>
        <v>0</v>
      </c>
    </row>
    <row r="3481" spans="1:38" ht="25.5" customHeight="1" x14ac:dyDescent="0.25">
      <c r="A3481" s="10" t="s">
        <v>3101</v>
      </c>
      <c r="B3481" s="11" t="s">
        <v>483</v>
      </c>
      <c r="C3481" s="5">
        <v>44242.899599999997</v>
      </c>
      <c r="D3481" s="5">
        <v>44242.899599999997</v>
      </c>
      <c r="E3481" s="5">
        <v>40062.737300000001</v>
      </c>
      <c r="G3481" s="5" t="str">
        <f t="shared" si="109"/>
        <v>Шувакиш</v>
      </c>
      <c r="J3481" s="5"/>
      <c r="AL3481" s="5">
        <f t="shared" si="110"/>
        <v>0</v>
      </c>
    </row>
    <row r="3482" spans="1:38" ht="25.5" customHeight="1" x14ac:dyDescent="0.25">
      <c r="A3482" s="10" t="s">
        <v>3102</v>
      </c>
      <c r="B3482" s="11" t="s">
        <v>14</v>
      </c>
      <c r="C3482" s="5">
        <v>93989.912800000006</v>
      </c>
      <c r="D3482" s="5">
        <v>93989.912800000006</v>
      </c>
      <c r="E3482" s="5">
        <v>85109.545199999993</v>
      </c>
      <c r="G3482" s="5" t="str">
        <f t="shared" si="109"/>
        <v>Центр</v>
      </c>
      <c r="J3482" s="5"/>
      <c r="AL3482" s="5">
        <f t="shared" si="110"/>
        <v>0</v>
      </c>
    </row>
    <row r="3483" spans="1:38" ht="25.5" customHeight="1" x14ac:dyDescent="0.25">
      <c r="A3483" s="20" t="s">
        <v>3103</v>
      </c>
      <c r="B3483" s="22">
        <v>1003</v>
      </c>
      <c r="C3483" s="5">
        <v>21261.0285</v>
      </c>
      <c r="D3483" s="5">
        <v>21261.0285</v>
      </c>
      <c r="E3483" s="5">
        <v>20837.465199999999</v>
      </c>
      <c r="G3483" s="5">
        <f t="shared" si="109"/>
        <v>1003</v>
      </c>
      <c r="J3483" s="5"/>
      <c r="AL3483" s="5">
        <f t="shared" si="110"/>
        <v>0</v>
      </c>
    </row>
    <row r="3484" spans="1:38" ht="25.5" customHeight="1" x14ac:dyDescent="0.25">
      <c r="A3484" s="10" t="s">
        <v>3104</v>
      </c>
      <c r="B3484" s="11" t="s">
        <v>14</v>
      </c>
      <c r="C3484" s="5">
        <v>93989.912800000006</v>
      </c>
      <c r="D3484" s="5">
        <v>93989.912800000006</v>
      </c>
      <c r="E3484" s="5">
        <v>85109.545199999993</v>
      </c>
      <c r="G3484" s="5" t="str">
        <f t="shared" si="109"/>
        <v>Центр</v>
      </c>
      <c r="J3484" s="5"/>
      <c r="AL3484" s="5">
        <f t="shared" si="110"/>
        <v>0</v>
      </c>
    </row>
    <row r="3485" spans="1:38" x14ac:dyDescent="0.25">
      <c r="A3485" s="10" t="s">
        <v>3105</v>
      </c>
      <c r="B3485" s="11" t="s">
        <v>1681</v>
      </c>
      <c r="C3485" s="5">
        <v>32172.2909</v>
      </c>
      <c r="D3485" s="5">
        <v>32172.2909</v>
      </c>
      <c r="E3485" s="5">
        <v>28935.146499999999</v>
      </c>
      <c r="G3485" s="5" t="str">
        <f t="shared" si="109"/>
        <v>Ленин-Олимп</v>
      </c>
      <c r="J3485" s="5"/>
      <c r="AL3485" s="5">
        <f t="shared" si="110"/>
        <v>0</v>
      </c>
    </row>
    <row r="3486" spans="1:38" ht="25.5" customHeight="1" x14ac:dyDescent="0.25">
      <c r="A3486" s="10" t="s">
        <v>3106</v>
      </c>
      <c r="B3486" s="11" t="s">
        <v>483</v>
      </c>
      <c r="C3486" s="5">
        <v>44242.899599999997</v>
      </c>
      <c r="D3486" s="5">
        <v>44242.899599999997</v>
      </c>
      <c r="E3486" s="5">
        <v>40062.737300000001</v>
      </c>
      <c r="G3486" s="5" t="str">
        <f t="shared" si="109"/>
        <v>Шувакиш</v>
      </c>
      <c r="J3486" s="5"/>
      <c r="AL3486" s="5">
        <f t="shared" si="110"/>
        <v>0</v>
      </c>
    </row>
    <row r="3487" spans="1:38" ht="25.5" customHeight="1" x14ac:dyDescent="0.25">
      <c r="A3487" s="10" t="s">
        <v>3107</v>
      </c>
      <c r="B3487" s="11" t="s">
        <v>1643</v>
      </c>
      <c r="C3487" s="5">
        <v>76630.280299999999</v>
      </c>
      <c r="D3487" s="5">
        <v>76630.280299999999</v>
      </c>
      <c r="E3487" s="5">
        <v>69390.088799999998</v>
      </c>
      <c r="G3487" s="5" t="str">
        <f t="shared" si="109"/>
        <v>Ю-З</v>
      </c>
      <c r="J3487" s="5"/>
      <c r="AL3487" s="5">
        <f t="shared" si="110"/>
        <v>0</v>
      </c>
    </row>
    <row r="3488" spans="1:38" ht="25.5" customHeight="1" x14ac:dyDescent="0.25">
      <c r="A3488" s="10" t="s">
        <v>3108</v>
      </c>
      <c r="B3488" s="11" t="s">
        <v>14</v>
      </c>
      <c r="C3488" s="5">
        <v>93989.912800000006</v>
      </c>
      <c r="D3488" s="5">
        <v>93989.912800000006</v>
      </c>
      <c r="E3488" s="5">
        <v>85109.545199999993</v>
      </c>
      <c r="G3488" s="5" t="str">
        <f t="shared" si="109"/>
        <v>Центр</v>
      </c>
      <c r="J3488" s="5"/>
      <c r="AL3488" s="5">
        <f t="shared" si="110"/>
        <v>0</v>
      </c>
    </row>
    <row r="3489" spans="1:38" ht="25.5" customHeight="1" x14ac:dyDescent="0.25">
      <c r="A3489" s="10" t="s">
        <v>400</v>
      </c>
      <c r="B3489" s="11" t="s">
        <v>1635</v>
      </c>
      <c r="C3489" s="5">
        <v>57793.0844</v>
      </c>
      <c r="D3489" s="5">
        <v>57793.0844</v>
      </c>
      <c r="E3489" s="5">
        <v>52332.6639</v>
      </c>
      <c r="G3489" s="5" t="str">
        <f t="shared" si="109"/>
        <v>ЛЕЧЕБНЫЙ</v>
      </c>
      <c r="J3489" s="5"/>
      <c r="AL3489" s="5">
        <f t="shared" si="110"/>
        <v>0</v>
      </c>
    </row>
    <row r="3490" spans="1:38" ht="25.5" customHeight="1" x14ac:dyDescent="0.25">
      <c r="A3490" s="10" t="s">
        <v>1329</v>
      </c>
      <c r="B3490" s="11" t="s">
        <v>779</v>
      </c>
      <c r="C3490" s="5">
        <v>46784.877899999999</v>
      </c>
      <c r="D3490" s="5">
        <v>46784.877899999999</v>
      </c>
      <c r="E3490" s="5">
        <v>42364.543299999998</v>
      </c>
      <c r="G3490" s="5" t="str">
        <f t="shared" si="109"/>
        <v>Нижнеисетский</v>
      </c>
      <c r="J3490" s="5"/>
      <c r="AL3490" s="5">
        <f t="shared" si="110"/>
        <v>0</v>
      </c>
    </row>
    <row r="3491" spans="1:38" ht="25.5" customHeight="1" x14ac:dyDescent="0.25">
      <c r="A3491" s="10" t="s">
        <v>3110</v>
      </c>
      <c r="B3491" s="11" t="s">
        <v>1691</v>
      </c>
      <c r="C3491" s="5">
        <v>36244.5985</v>
      </c>
      <c r="D3491" s="5">
        <v>36244.5985</v>
      </c>
      <c r="E3491" s="5">
        <v>32992.053800000002</v>
      </c>
      <c r="G3491" s="5" t="str">
        <f t="shared" si="109"/>
        <v>ДинСанПод</v>
      </c>
      <c r="J3491" s="5"/>
      <c r="AL3491" s="5">
        <f t="shared" si="110"/>
        <v>0</v>
      </c>
    </row>
    <row r="3492" spans="1:38" ht="25.5" customHeight="1" x14ac:dyDescent="0.25">
      <c r="A3492" s="10" t="s">
        <v>1578</v>
      </c>
      <c r="B3492" s="11" t="s">
        <v>1639</v>
      </c>
      <c r="C3492" s="5">
        <v>53500.443299999999</v>
      </c>
      <c r="D3492" s="5">
        <v>53500.443299999999</v>
      </c>
      <c r="E3492" s="5">
        <v>48445.605100000001</v>
      </c>
      <c r="G3492" s="5" t="str">
        <f t="shared" si="109"/>
        <v>ИСТОК</v>
      </c>
      <c r="J3492" s="5"/>
      <c r="AL3492" s="5">
        <f t="shared" si="110"/>
        <v>0</v>
      </c>
    </row>
    <row r="3493" spans="1:38" ht="25.5" customHeight="1" x14ac:dyDescent="0.25">
      <c r="A3493" s="10" t="s">
        <v>3111</v>
      </c>
      <c r="B3493" s="11" t="s">
        <v>1665</v>
      </c>
      <c r="C3493" s="5">
        <v>55692.278700000003</v>
      </c>
      <c r="D3493" s="5">
        <v>55692.278700000003</v>
      </c>
      <c r="E3493" s="5">
        <v>50430.350200000001</v>
      </c>
      <c r="G3493" s="5" t="str">
        <f t="shared" si="109"/>
        <v>ПОЛЕВОДСТВО</v>
      </c>
      <c r="J3493" s="5"/>
      <c r="AL3493" s="5">
        <f t="shared" si="110"/>
        <v>0</v>
      </c>
    </row>
    <row r="3494" spans="1:38" ht="25.5" customHeight="1" x14ac:dyDescent="0.25">
      <c r="A3494" s="10" t="s">
        <v>3112</v>
      </c>
      <c r="B3494" s="11" t="s">
        <v>1656</v>
      </c>
      <c r="C3494" s="5">
        <v>60173.9879</v>
      </c>
      <c r="D3494" s="5">
        <v>60173.9879</v>
      </c>
      <c r="E3494" s="5">
        <v>54488.630299999997</v>
      </c>
      <c r="G3494" s="5" t="str">
        <f t="shared" si="109"/>
        <v>МАЛЫЙ ИСТОК</v>
      </c>
      <c r="J3494" s="5"/>
      <c r="AL3494" s="5">
        <f t="shared" si="110"/>
        <v>0</v>
      </c>
    </row>
    <row r="3495" spans="1:38" ht="25.5" customHeight="1" x14ac:dyDescent="0.25">
      <c r="A3495" s="10" t="s">
        <v>3113</v>
      </c>
      <c r="B3495" s="11" t="s">
        <v>1650</v>
      </c>
      <c r="C3495" s="5">
        <v>37590.3603</v>
      </c>
      <c r="D3495" s="5">
        <v>37590.3603</v>
      </c>
      <c r="E3495" s="5">
        <v>34038.745900000002</v>
      </c>
      <c r="G3495" s="5" t="str">
        <f t="shared" si="109"/>
        <v>ШАБРОВСКИЙ</v>
      </c>
      <c r="J3495" s="5"/>
      <c r="AL3495" s="5">
        <f t="shared" si="110"/>
        <v>0</v>
      </c>
    </row>
    <row r="3496" spans="1:38" ht="25.5" customHeight="1" x14ac:dyDescent="0.25">
      <c r="A3496" s="10" t="s">
        <v>1557</v>
      </c>
      <c r="B3496" s="11" t="s">
        <v>1647</v>
      </c>
      <c r="C3496" s="5">
        <v>63178.133800000003</v>
      </c>
      <c r="D3496" s="5">
        <v>63178.133800000003</v>
      </c>
      <c r="E3496" s="5">
        <v>57208.931499999999</v>
      </c>
      <c r="G3496" s="5" t="str">
        <f t="shared" si="109"/>
        <v>ШИРОКАЯ РЕЧКА</v>
      </c>
      <c r="J3496" s="5"/>
      <c r="AL3496" s="5">
        <f t="shared" si="110"/>
        <v>0</v>
      </c>
    </row>
    <row r="3497" spans="1:38" ht="25.5" customHeight="1" x14ac:dyDescent="0.25">
      <c r="A3497" s="20" t="s">
        <v>3114</v>
      </c>
      <c r="B3497" s="22">
        <v>1003</v>
      </c>
      <c r="C3497" s="5">
        <v>21261.0285</v>
      </c>
      <c r="D3497" s="5">
        <v>21261.0285</v>
      </c>
      <c r="E3497" s="5">
        <v>20837.465199999999</v>
      </c>
      <c r="G3497" s="5">
        <f t="shared" si="109"/>
        <v>1003</v>
      </c>
      <c r="J3497" s="5"/>
      <c r="AL3497" s="5">
        <f t="shared" si="110"/>
        <v>0</v>
      </c>
    </row>
    <row r="3498" spans="1:38" ht="25.5" customHeight="1" x14ac:dyDescent="0.25">
      <c r="A3498" s="20" t="s">
        <v>3115</v>
      </c>
      <c r="B3498" s="22">
        <v>1003</v>
      </c>
      <c r="C3498" s="5">
        <v>21261.0285</v>
      </c>
      <c r="D3498" s="5">
        <v>21261.0285</v>
      </c>
      <c r="E3498" s="5">
        <v>20837.465199999999</v>
      </c>
      <c r="G3498" s="5">
        <f t="shared" si="109"/>
        <v>1003</v>
      </c>
      <c r="J3498" s="5"/>
      <c r="AL3498" s="5">
        <f t="shared" si="110"/>
        <v>0</v>
      </c>
    </row>
    <row r="3499" spans="1:38" ht="25.5" customHeight="1" x14ac:dyDescent="0.25">
      <c r="A3499" s="10" t="s">
        <v>3116</v>
      </c>
      <c r="B3499" s="11" t="s">
        <v>1660</v>
      </c>
      <c r="C3499" s="5">
        <v>53262.345800000003</v>
      </c>
      <c r="D3499" s="5">
        <v>53262.345800000003</v>
      </c>
      <c r="E3499" s="5">
        <v>48230.0095</v>
      </c>
      <c r="G3499" s="5" t="str">
        <f t="shared" si="109"/>
        <v>САДОВЫЙ</v>
      </c>
      <c r="J3499" s="5"/>
      <c r="AL3499" s="5">
        <f t="shared" si="110"/>
        <v>0</v>
      </c>
    </row>
    <row r="3500" spans="1:38" ht="25.5" customHeight="1" x14ac:dyDescent="0.25">
      <c r="A3500" s="10" t="s">
        <v>3117</v>
      </c>
      <c r="B3500" s="11" t="s">
        <v>5166</v>
      </c>
      <c r="C3500" s="5">
        <v>49782.025399999999</v>
      </c>
      <c r="D3500" s="5">
        <v>49782.025399999999</v>
      </c>
      <c r="E3500" s="5">
        <v>45078.506800000003</v>
      </c>
      <c r="G3500" s="5" t="str">
        <f t="shared" si="109"/>
        <v>Чусовское озеро</v>
      </c>
      <c r="J3500" s="5"/>
      <c r="AL3500" s="5">
        <f t="shared" si="110"/>
        <v>0</v>
      </c>
    </row>
    <row r="3501" spans="1:38" ht="25.5" customHeight="1" x14ac:dyDescent="0.25">
      <c r="A3501" s="10" t="s">
        <v>3118</v>
      </c>
      <c r="B3501" s="11" t="s">
        <v>1650</v>
      </c>
      <c r="C3501" s="5">
        <v>37590.3603</v>
      </c>
      <c r="D3501" s="5">
        <v>37590.3603</v>
      </c>
      <c r="E3501" s="5">
        <v>34038.745900000002</v>
      </c>
      <c r="G3501" s="5" t="str">
        <f t="shared" si="109"/>
        <v>ШАБРОВСКИЙ</v>
      </c>
      <c r="J3501" s="5"/>
      <c r="AL3501" s="5">
        <f t="shared" si="110"/>
        <v>0</v>
      </c>
    </row>
    <row r="3502" spans="1:38" ht="25.5" customHeight="1" x14ac:dyDescent="0.25">
      <c r="A3502" s="10" t="s">
        <v>785</v>
      </c>
      <c r="B3502" s="11" t="s">
        <v>1659</v>
      </c>
      <c r="C3502" s="5">
        <v>59746.832600000002</v>
      </c>
      <c r="D3502" s="5">
        <v>59746.832600000002</v>
      </c>
      <c r="E3502" s="5">
        <v>54101.823700000001</v>
      </c>
      <c r="G3502" s="5" t="str">
        <f t="shared" si="109"/>
        <v>СОВХОЗ</v>
      </c>
      <c r="J3502" s="5"/>
      <c r="AL3502" s="5">
        <f t="shared" si="110"/>
        <v>0</v>
      </c>
    </row>
    <row r="3503" spans="1:38" ht="25.5" customHeight="1" x14ac:dyDescent="0.25">
      <c r="A3503" s="10" t="s">
        <v>3119</v>
      </c>
      <c r="B3503" s="11" t="s">
        <v>1629</v>
      </c>
      <c r="C3503" s="5">
        <v>77743.704100000003</v>
      </c>
      <c r="D3503" s="5">
        <v>77743.704100000003</v>
      </c>
      <c r="E3503" s="5">
        <v>70398.310800000007</v>
      </c>
      <c r="G3503" s="5" t="str">
        <f t="shared" si="109"/>
        <v>ПИОНЕРСКИЙ</v>
      </c>
      <c r="J3503" s="5"/>
      <c r="AL3503" s="5">
        <f t="shared" si="110"/>
        <v>0</v>
      </c>
    </row>
    <row r="3504" spans="1:38" ht="25.5" customHeight="1" x14ac:dyDescent="0.25">
      <c r="A3504" s="10" t="s">
        <v>3120</v>
      </c>
      <c r="B3504" s="11" t="s">
        <v>1663</v>
      </c>
      <c r="C3504" s="5">
        <v>44242.899599999997</v>
      </c>
      <c r="D3504" s="5">
        <v>44242.899599999997</v>
      </c>
      <c r="E3504" s="5">
        <v>40062.737300000001</v>
      </c>
      <c r="G3504" s="5" t="str">
        <f t="shared" si="109"/>
        <v>ШУВАКИШ</v>
      </c>
      <c r="J3504" s="5"/>
      <c r="AL3504" s="5">
        <f t="shared" si="110"/>
        <v>0</v>
      </c>
    </row>
    <row r="3505" spans="1:38" ht="25.5" customHeight="1" x14ac:dyDescent="0.25">
      <c r="A3505" s="10" t="s">
        <v>3121</v>
      </c>
      <c r="B3505" s="11" t="s">
        <v>1647</v>
      </c>
      <c r="C3505" s="5">
        <v>63178.133800000003</v>
      </c>
      <c r="D3505" s="5">
        <v>63178.133800000003</v>
      </c>
      <c r="E3505" s="5">
        <v>57208.931499999999</v>
      </c>
      <c r="G3505" s="5" t="str">
        <f t="shared" si="109"/>
        <v>ШИРОКАЯ РЕЧКА</v>
      </c>
      <c r="J3505" s="5"/>
      <c r="AL3505" s="5">
        <f t="shared" si="110"/>
        <v>0</v>
      </c>
    </row>
    <row r="3506" spans="1:38" ht="25.5" customHeight="1" x14ac:dyDescent="0.25">
      <c r="A3506" s="10" t="s">
        <v>3122</v>
      </c>
      <c r="B3506" s="11" t="s">
        <v>1669</v>
      </c>
      <c r="C3506" s="5">
        <v>60615.160499999998</v>
      </c>
      <c r="D3506" s="5">
        <v>60615.160499999998</v>
      </c>
      <c r="E3506" s="5">
        <v>54888.112399999998</v>
      </c>
      <c r="G3506" s="5" t="str">
        <f t="shared" si="109"/>
        <v>СОЛНЕЧНЫЙ</v>
      </c>
      <c r="J3506" s="5"/>
      <c r="AL3506" s="5">
        <f t="shared" si="110"/>
        <v>0</v>
      </c>
    </row>
    <row r="3507" spans="1:38" ht="25.5" customHeight="1" x14ac:dyDescent="0.25">
      <c r="A3507" s="10" t="s">
        <v>3123</v>
      </c>
      <c r="B3507" s="11" t="s">
        <v>1696</v>
      </c>
      <c r="C3507" s="5">
        <v>36808.582300000002</v>
      </c>
      <c r="D3507" s="5">
        <v>36808.582300000002</v>
      </c>
      <c r="E3507" s="5">
        <v>33505.428800000002</v>
      </c>
      <c r="G3507" s="5" t="str">
        <f t="shared" si="109"/>
        <v>Талица</v>
      </c>
      <c r="J3507" s="5"/>
      <c r="AL3507" s="5">
        <f t="shared" si="110"/>
        <v>0</v>
      </c>
    </row>
    <row r="3508" spans="1:38" ht="25.5" customHeight="1" x14ac:dyDescent="0.25">
      <c r="A3508" s="10" t="s">
        <v>3124</v>
      </c>
      <c r="B3508" s="11" t="s">
        <v>1631</v>
      </c>
      <c r="C3508" s="5">
        <v>70026.7601</v>
      </c>
      <c r="D3508" s="5">
        <v>70026.7601</v>
      </c>
      <c r="E3508" s="5">
        <v>63410.482000000004</v>
      </c>
      <c r="G3508" s="5" t="str">
        <f t="shared" si="109"/>
        <v>УРАЛМАШ</v>
      </c>
      <c r="J3508" s="5"/>
      <c r="AL3508" s="5">
        <f t="shared" si="110"/>
        <v>0</v>
      </c>
    </row>
    <row r="3509" spans="1:38" ht="25.5" customHeight="1" x14ac:dyDescent="0.25">
      <c r="A3509" s="10" t="s">
        <v>3125</v>
      </c>
      <c r="B3509" s="11" t="s">
        <v>1691</v>
      </c>
      <c r="C3509" s="5">
        <v>36244.5985</v>
      </c>
      <c r="D3509" s="5">
        <v>36244.5985</v>
      </c>
      <c r="E3509" s="5">
        <v>32992.053800000002</v>
      </c>
      <c r="G3509" s="5" t="str">
        <f t="shared" si="109"/>
        <v>ДинСанПод</v>
      </c>
      <c r="J3509" s="5"/>
      <c r="AL3509" s="5">
        <f t="shared" si="110"/>
        <v>0</v>
      </c>
    </row>
    <row r="3510" spans="1:38" ht="25.5" customHeight="1" x14ac:dyDescent="0.25">
      <c r="A3510" s="10" t="s">
        <v>3126</v>
      </c>
      <c r="B3510" s="11" t="s">
        <v>1691</v>
      </c>
      <c r="C3510" s="5">
        <v>36244.5985</v>
      </c>
      <c r="D3510" s="5">
        <v>36244.5985</v>
      </c>
      <c r="E3510" s="5">
        <v>32992.053800000002</v>
      </c>
      <c r="G3510" s="5" t="str">
        <f t="shared" si="109"/>
        <v>ДинСанПод</v>
      </c>
      <c r="J3510" s="5"/>
      <c r="AL3510" s="5">
        <f t="shared" si="110"/>
        <v>0</v>
      </c>
    </row>
    <row r="3511" spans="1:38" ht="25.5" customHeight="1" x14ac:dyDescent="0.25">
      <c r="A3511" s="10" t="s">
        <v>301</v>
      </c>
      <c r="B3511" s="11" t="s">
        <v>1643</v>
      </c>
      <c r="C3511" s="5">
        <v>76630.280299999999</v>
      </c>
      <c r="D3511" s="5">
        <v>76630.280299999999</v>
      </c>
      <c r="E3511" s="5">
        <v>69390.088799999998</v>
      </c>
      <c r="G3511" s="5" t="str">
        <f t="shared" si="109"/>
        <v>Ю-З</v>
      </c>
      <c r="J3511" s="5"/>
      <c r="AL3511" s="5">
        <f t="shared" si="110"/>
        <v>0</v>
      </c>
    </row>
    <row r="3512" spans="1:38" ht="25.5" customHeight="1" x14ac:dyDescent="0.25">
      <c r="A3512" s="10" t="s">
        <v>3127</v>
      </c>
      <c r="B3512" s="11" t="s">
        <v>1644</v>
      </c>
      <c r="C3512" s="5">
        <v>61980.678599999999</v>
      </c>
      <c r="D3512" s="5">
        <v>61980.678599999999</v>
      </c>
      <c r="E3512" s="5">
        <v>56124.615700000002</v>
      </c>
      <c r="G3512" s="5" t="str">
        <f t="shared" si="109"/>
        <v>ХИММАШ</v>
      </c>
      <c r="J3512" s="5"/>
      <c r="AL3512" s="5">
        <f t="shared" si="110"/>
        <v>0</v>
      </c>
    </row>
    <row r="3513" spans="1:38" ht="25.5" customHeight="1" x14ac:dyDescent="0.25">
      <c r="A3513" s="10" t="s">
        <v>1514</v>
      </c>
      <c r="B3513" s="11" t="s">
        <v>779</v>
      </c>
      <c r="C3513" s="5">
        <v>46784.877899999999</v>
      </c>
      <c r="D3513" s="5">
        <v>46784.877899999999</v>
      </c>
      <c r="E3513" s="5">
        <v>42364.543299999998</v>
      </c>
      <c r="G3513" s="5" t="str">
        <f t="shared" si="109"/>
        <v>Нижнеисетский</v>
      </c>
      <c r="J3513" s="5"/>
      <c r="AL3513" s="5">
        <f t="shared" si="110"/>
        <v>0</v>
      </c>
    </row>
    <row r="3514" spans="1:38" ht="25.5" customHeight="1" x14ac:dyDescent="0.25">
      <c r="A3514" s="10" t="s">
        <v>3128</v>
      </c>
      <c r="B3514" s="11" t="s">
        <v>1691</v>
      </c>
      <c r="C3514" s="5">
        <v>36244.5985</v>
      </c>
      <c r="D3514" s="5">
        <v>36244.5985</v>
      </c>
      <c r="E3514" s="5">
        <v>32992.053800000002</v>
      </c>
      <c r="G3514" s="5" t="str">
        <f t="shared" si="109"/>
        <v>ДинСанПод</v>
      </c>
      <c r="J3514" s="5"/>
      <c r="AL3514" s="5">
        <f t="shared" si="110"/>
        <v>0</v>
      </c>
    </row>
    <row r="3515" spans="1:38" ht="25.5" customHeight="1" x14ac:dyDescent="0.25">
      <c r="A3515" s="10" t="s">
        <v>3130</v>
      </c>
      <c r="B3515" s="11" t="s">
        <v>1691</v>
      </c>
      <c r="C3515" s="5">
        <v>36244.5985</v>
      </c>
      <c r="D3515" s="5">
        <v>36244.5985</v>
      </c>
      <c r="E3515" s="5">
        <v>32992.053800000002</v>
      </c>
      <c r="G3515" s="5" t="str">
        <f t="shared" si="109"/>
        <v>ДинСанПод</v>
      </c>
      <c r="J3515" s="5"/>
      <c r="AL3515" s="5">
        <f t="shared" si="110"/>
        <v>0</v>
      </c>
    </row>
    <row r="3516" spans="1:38" ht="25.5" customHeight="1" x14ac:dyDescent="0.25">
      <c r="A3516" s="20" t="s">
        <v>3131</v>
      </c>
      <c r="B3516" s="22">
        <v>1003</v>
      </c>
      <c r="C3516" s="5">
        <v>21261.0285</v>
      </c>
      <c r="D3516" s="5">
        <v>21261.0285</v>
      </c>
      <c r="E3516" s="5">
        <v>20837.465199999999</v>
      </c>
      <c r="G3516" s="5">
        <f t="shared" si="109"/>
        <v>1003</v>
      </c>
      <c r="J3516" s="5"/>
      <c r="AL3516" s="5">
        <f t="shared" si="110"/>
        <v>0</v>
      </c>
    </row>
    <row r="3517" spans="1:38" ht="25.5" customHeight="1" x14ac:dyDescent="0.25">
      <c r="A3517" s="10" t="s">
        <v>3132</v>
      </c>
      <c r="B3517" s="11" t="s">
        <v>1636</v>
      </c>
      <c r="C3517" s="5">
        <v>52246.960299999999</v>
      </c>
      <c r="D3517" s="5">
        <v>52246.960299999999</v>
      </c>
      <c r="E3517" s="5">
        <v>47310.556700000001</v>
      </c>
      <c r="G3517" s="5" t="str">
        <f t="shared" si="109"/>
        <v>ГОРНЫЙ ЩИТ</v>
      </c>
      <c r="J3517" s="5"/>
      <c r="AL3517" s="5">
        <f t="shared" si="110"/>
        <v>0</v>
      </c>
    </row>
    <row r="3518" spans="1:38" ht="25.5" customHeight="1" x14ac:dyDescent="0.25">
      <c r="A3518" s="10" t="s">
        <v>3134</v>
      </c>
      <c r="B3518" s="11" t="s">
        <v>1645</v>
      </c>
      <c r="C3518" s="5">
        <v>60958.294800000003</v>
      </c>
      <c r="D3518" s="5">
        <v>60958.294800000003</v>
      </c>
      <c r="E3518" s="5">
        <v>55198.825199999999</v>
      </c>
      <c r="G3518" s="5" t="str">
        <f t="shared" si="109"/>
        <v>ЕЛИЗАВЕТ</v>
      </c>
      <c r="J3518" s="5"/>
      <c r="AL3518" s="5">
        <f t="shared" si="110"/>
        <v>0</v>
      </c>
    </row>
    <row r="3519" spans="1:38" ht="25.5" customHeight="1" x14ac:dyDescent="0.25">
      <c r="A3519" s="10" t="s">
        <v>3135</v>
      </c>
      <c r="B3519" s="11" t="s">
        <v>389</v>
      </c>
      <c r="C3519" s="5">
        <v>51175.5573</v>
      </c>
      <c r="D3519" s="5">
        <v>51175.5573</v>
      </c>
      <c r="E3519" s="5">
        <v>46340.381600000001</v>
      </c>
      <c r="G3519" s="5" t="str">
        <f t="shared" si="109"/>
        <v>Северка</v>
      </c>
      <c r="J3519" s="5"/>
      <c r="AL3519" s="5">
        <f t="shared" si="110"/>
        <v>0</v>
      </c>
    </row>
    <row r="3520" spans="1:38" ht="25.5" customHeight="1" x14ac:dyDescent="0.25">
      <c r="A3520" s="10" t="s">
        <v>3136</v>
      </c>
      <c r="B3520" s="11" t="s">
        <v>1668</v>
      </c>
      <c r="C3520" s="5">
        <v>51343.6201</v>
      </c>
      <c r="D3520" s="5">
        <v>51343.6201</v>
      </c>
      <c r="E3520" s="5">
        <v>46492.558799999999</v>
      </c>
      <c r="G3520" s="5" t="str">
        <f t="shared" si="109"/>
        <v>МЕДНЫЙ</v>
      </c>
      <c r="J3520" s="5"/>
      <c r="AL3520" s="5">
        <f t="shared" si="110"/>
        <v>0</v>
      </c>
    </row>
    <row r="3521" spans="1:38" ht="25.5" customHeight="1" x14ac:dyDescent="0.25">
      <c r="A3521" s="10" t="s">
        <v>3137</v>
      </c>
      <c r="B3521" s="11" t="s">
        <v>1691</v>
      </c>
      <c r="C3521" s="5">
        <v>36244.5985</v>
      </c>
      <c r="D3521" s="5">
        <v>36244.5985</v>
      </c>
      <c r="E3521" s="5">
        <v>32992.053800000002</v>
      </c>
      <c r="G3521" s="5" t="str">
        <f t="shared" ref="G3521:G3582" si="111">B3521</f>
        <v>ДинСанПод</v>
      </c>
      <c r="J3521" s="5"/>
      <c r="AL3521" s="5">
        <f t="shared" ref="AL3521:AL3582" si="112">AF3521</f>
        <v>0</v>
      </c>
    </row>
    <row r="3522" spans="1:38" ht="25.5" customHeight="1" x14ac:dyDescent="0.25">
      <c r="A3522" s="10" t="s">
        <v>3138</v>
      </c>
      <c r="B3522" s="11" t="s">
        <v>1639</v>
      </c>
      <c r="C3522" s="5">
        <v>53500.443299999999</v>
      </c>
      <c r="D3522" s="5">
        <v>53500.443299999999</v>
      </c>
      <c r="E3522" s="5">
        <v>48445.605100000001</v>
      </c>
      <c r="G3522" s="5" t="str">
        <f t="shared" si="111"/>
        <v>ИСТОК</v>
      </c>
      <c r="J3522" s="5"/>
      <c r="AL3522" s="5">
        <f t="shared" si="112"/>
        <v>0</v>
      </c>
    </row>
    <row r="3523" spans="1:38" ht="25.5" customHeight="1" x14ac:dyDescent="0.25">
      <c r="A3523" s="10" t="s">
        <v>3139</v>
      </c>
      <c r="B3523" s="11" t="s">
        <v>1651</v>
      </c>
      <c r="C3523" s="5">
        <v>68129.029500000004</v>
      </c>
      <c r="D3523" s="5">
        <v>68129.029500000004</v>
      </c>
      <c r="E3523" s="5">
        <v>61692.054799999998</v>
      </c>
      <c r="G3523" s="5" t="str">
        <f t="shared" si="111"/>
        <v>ШАРТАШ</v>
      </c>
      <c r="J3523" s="5"/>
      <c r="AL3523" s="5">
        <f t="shared" si="112"/>
        <v>0</v>
      </c>
    </row>
    <row r="3524" spans="1:38" ht="25.5" customHeight="1" x14ac:dyDescent="0.25">
      <c r="A3524" s="10" t="s">
        <v>1522</v>
      </c>
      <c r="B3524" s="11" t="s">
        <v>1676</v>
      </c>
      <c r="C3524" s="5">
        <v>28848.8855</v>
      </c>
      <c r="D3524" s="5">
        <v>28848.8855</v>
      </c>
      <c r="E3524" s="5">
        <v>25946.143</v>
      </c>
      <c r="G3524" s="5" t="str">
        <f t="shared" si="111"/>
        <v>Чкаловский</v>
      </c>
      <c r="J3524" s="5"/>
      <c r="AL3524" s="5">
        <f t="shared" si="112"/>
        <v>0</v>
      </c>
    </row>
    <row r="3525" spans="1:38" ht="25.5" customHeight="1" x14ac:dyDescent="0.25">
      <c r="A3525" s="10" t="s">
        <v>3140</v>
      </c>
      <c r="B3525" s="11" t="s">
        <v>1663</v>
      </c>
      <c r="C3525" s="5">
        <v>44242.899599999997</v>
      </c>
      <c r="D3525" s="5">
        <v>44242.899599999997</v>
      </c>
      <c r="E3525" s="5">
        <v>40062.737300000001</v>
      </c>
      <c r="G3525" s="5" t="str">
        <f t="shared" si="111"/>
        <v>ШУВАКИШ</v>
      </c>
      <c r="J3525" s="5"/>
      <c r="AL3525" s="5">
        <f t="shared" si="112"/>
        <v>0</v>
      </c>
    </row>
    <row r="3526" spans="1:38" ht="25.5" customHeight="1" x14ac:dyDescent="0.25">
      <c r="A3526" s="10" t="s">
        <v>3141</v>
      </c>
      <c r="B3526" s="11" t="s">
        <v>1691</v>
      </c>
      <c r="C3526" s="5">
        <v>36244.5985</v>
      </c>
      <c r="D3526" s="5">
        <v>36244.5985</v>
      </c>
      <c r="E3526" s="5">
        <v>32992.053800000002</v>
      </c>
      <c r="G3526" s="5" t="str">
        <f t="shared" si="111"/>
        <v>ДинСанПод</v>
      </c>
      <c r="J3526" s="5"/>
      <c r="AL3526" s="5">
        <f t="shared" si="112"/>
        <v>0</v>
      </c>
    </row>
    <row r="3527" spans="1:38" ht="25.5" customHeight="1" x14ac:dyDescent="0.25">
      <c r="A3527" s="10" t="s">
        <v>3142</v>
      </c>
      <c r="B3527" s="11" t="s">
        <v>1660</v>
      </c>
      <c r="C3527" s="5">
        <v>53262.345800000003</v>
      </c>
      <c r="D3527" s="5">
        <v>53262.345800000003</v>
      </c>
      <c r="E3527" s="5">
        <v>48230.0095</v>
      </c>
      <c r="G3527" s="5" t="str">
        <f t="shared" si="111"/>
        <v>САДОВЫЙ</v>
      </c>
      <c r="J3527" s="5"/>
      <c r="AL3527" s="5">
        <f t="shared" si="112"/>
        <v>0</v>
      </c>
    </row>
    <row r="3528" spans="1:38" ht="25.5" customHeight="1" x14ac:dyDescent="0.25">
      <c r="A3528" s="10" t="s">
        <v>1419</v>
      </c>
      <c r="B3528" s="11" t="s">
        <v>1664</v>
      </c>
      <c r="C3528" s="5">
        <v>53668.506099999999</v>
      </c>
      <c r="D3528" s="5">
        <v>53668.506099999999</v>
      </c>
      <c r="E3528" s="5">
        <v>48597.792699999998</v>
      </c>
      <c r="G3528" s="5" t="str">
        <f t="shared" si="111"/>
        <v>ИЗОПЛИТ</v>
      </c>
      <c r="J3528" s="5"/>
      <c r="AL3528" s="5">
        <f t="shared" si="112"/>
        <v>0</v>
      </c>
    </row>
    <row r="3529" spans="1:38" ht="25.5" customHeight="1" x14ac:dyDescent="0.25">
      <c r="A3529" s="10" t="s">
        <v>3143</v>
      </c>
      <c r="B3529" s="11" t="s">
        <v>1666</v>
      </c>
      <c r="C3529" s="5">
        <v>46784.877899999999</v>
      </c>
      <c r="D3529" s="5">
        <v>46784.877899999999</v>
      </c>
      <c r="E3529" s="5">
        <v>42364.543299999998</v>
      </c>
      <c r="G3529" s="5" t="str">
        <f t="shared" si="111"/>
        <v>Сулим.Торфянник</v>
      </c>
      <c r="J3529" s="5"/>
      <c r="AL3529" s="5">
        <f t="shared" si="112"/>
        <v>0</v>
      </c>
    </row>
    <row r="3530" spans="1:38" ht="25.5" customHeight="1" x14ac:dyDescent="0.25">
      <c r="A3530" s="10" t="s">
        <v>3144</v>
      </c>
      <c r="B3530" s="11" t="s">
        <v>1637</v>
      </c>
      <c r="C3530" s="5">
        <v>59368.686099999999</v>
      </c>
      <c r="D3530" s="5">
        <v>59368.686099999999</v>
      </c>
      <c r="E3530" s="5">
        <v>53759.401700000002</v>
      </c>
      <c r="G3530" s="5" t="str">
        <f t="shared" si="111"/>
        <v>Старая сортировка</v>
      </c>
      <c r="J3530" s="5"/>
      <c r="AL3530" s="5">
        <f t="shared" si="112"/>
        <v>0</v>
      </c>
    </row>
    <row r="3531" spans="1:38" ht="25.5" customHeight="1" x14ac:dyDescent="0.25">
      <c r="A3531" s="10" t="s">
        <v>3145</v>
      </c>
      <c r="B3531" s="11" t="s">
        <v>33</v>
      </c>
      <c r="C3531" s="5">
        <v>84298.205100000006</v>
      </c>
      <c r="D3531" s="5">
        <v>84298.205100000006</v>
      </c>
      <c r="E3531" s="5">
        <v>76333.533100000001</v>
      </c>
      <c r="G3531" s="5" t="str">
        <f t="shared" si="111"/>
        <v>ВИЗ</v>
      </c>
      <c r="J3531" s="5"/>
      <c r="AL3531" s="5">
        <f t="shared" si="112"/>
        <v>0</v>
      </c>
    </row>
    <row r="3532" spans="1:38" ht="25.5" customHeight="1" x14ac:dyDescent="0.25">
      <c r="A3532" s="10" t="s">
        <v>3146</v>
      </c>
      <c r="B3532" s="11" t="s">
        <v>1668</v>
      </c>
      <c r="C3532" s="5">
        <v>51343.6201</v>
      </c>
      <c r="D3532" s="5">
        <v>51343.6201</v>
      </c>
      <c r="E3532" s="5">
        <v>46492.558799999999</v>
      </c>
      <c r="G3532" s="5" t="str">
        <f t="shared" si="111"/>
        <v>МЕДНЫЙ</v>
      </c>
      <c r="J3532" s="5"/>
      <c r="AL3532" s="5">
        <f t="shared" si="112"/>
        <v>0</v>
      </c>
    </row>
    <row r="3533" spans="1:38" ht="25.5" customHeight="1" x14ac:dyDescent="0.25">
      <c r="A3533" s="10" t="s">
        <v>3147</v>
      </c>
      <c r="B3533" s="11" t="s">
        <v>1647</v>
      </c>
      <c r="C3533" s="5">
        <v>63178.133800000003</v>
      </c>
      <c r="D3533" s="5">
        <v>63178.133800000003</v>
      </c>
      <c r="E3533" s="5">
        <v>57208.931499999999</v>
      </c>
      <c r="G3533" s="5" t="str">
        <f t="shared" si="111"/>
        <v>ШИРОКАЯ РЕЧКА</v>
      </c>
      <c r="J3533" s="5"/>
      <c r="AL3533" s="5">
        <f t="shared" si="112"/>
        <v>0</v>
      </c>
    </row>
    <row r="3534" spans="1:38" ht="25.5" customHeight="1" x14ac:dyDescent="0.25">
      <c r="A3534" s="10" t="s">
        <v>3148</v>
      </c>
      <c r="B3534" s="11" t="s">
        <v>1668</v>
      </c>
      <c r="C3534" s="5">
        <v>51343.6201</v>
      </c>
      <c r="D3534" s="5">
        <v>51343.6201</v>
      </c>
      <c r="E3534" s="5">
        <v>46492.558799999999</v>
      </c>
      <c r="G3534" s="5" t="str">
        <f t="shared" si="111"/>
        <v>МЕДНЫЙ</v>
      </c>
      <c r="J3534" s="5"/>
      <c r="AL3534" s="5">
        <f t="shared" si="112"/>
        <v>0</v>
      </c>
    </row>
    <row r="3535" spans="1:38" ht="25.5" customHeight="1" x14ac:dyDescent="0.25">
      <c r="A3535" s="10" t="s">
        <v>3149</v>
      </c>
      <c r="B3535" s="11" t="s">
        <v>1635</v>
      </c>
      <c r="C3535" s="5">
        <v>57793.0844</v>
      </c>
      <c r="D3535" s="5">
        <v>57793.0844</v>
      </c>
      <c r="E3535" s="5">
        <v>52332.6639</v>
      </c>
      <c r="G3535" s="5" t="str">
        <f t="shared" si="111"/>
        <v>ЛЕЧЕБНЫЙ</v>
      </c>
      <c r="J3535" s="5"/>
      <c r="AL3535" s="5">
        <f t="shared" si="112"/>
        <v>0</v>
      </c>
    </row>
    <row r="3536" spans="1:38" ht="25.5" customHeight="1" x14ac:dyDescent="0.25">
      <c r="A3536" s="10" t="s">
        <v>1563</v>
      </c>
      <c r="B3536" s="11" t="s">
        <v>1636</v>
      </c>
      <c r="C3536" s="5">
        <v>52246.960299999999</v>
      </c>
      <c r="D3536" s="5">
        <v>52246.960299999999</v>
      </c>
      <c r="E3536" s="5">
        <v>47310.556700000001</v>
      </c>
      <c r="G3536" s="5" t="str">
        <f t="shared" si="111"/>
        <v>ГОРНЫЙ ЩИТ</v>
      </c>
      <c r="J3536" s="5"/>
      <c r="AL3536" s="5">
        <f t="shared" si="112"/>
        <v>0</v>
      </c>
    </row>
    <row r="3537" spans="1:38" ht="25.5" customHeight="1" x14ac:dyDescent="0.25">
      <c r="A3537" s="10" t="s">
        <v>355</v>
      </c>
      <c r="B3537" s="11" t="s">
        <v>1650</v>
      </c>
      <c r="C3537" s="5">
        <v>37590.3603</v>
      </c>
      <c r="D3537" s="5">
        <v>37590.3603</v>
      </c>
      <c r="E3537" s="5">
        <v>34038.745900000002</v>
      </c>
      <c r="G3537" s="5" t="str">
        <f t="shared" si="111"/>
        <v>ШАБРОВСКИЙ</v>
      </c>
      <c r="J3537" s="5"/>
      <c r="AL3537" s="5">
        <f t="shared" si="112"/>
        <v>0</v>
      </c>
    </row>
    <row r="3538" spans="1:38" ht="25.5" customHeight="1" x14ac:dyDescent="0.25">
      <c r="A3538" s="10" t="s">
        <v>3150</v>
      </c>
      <c r="B3538" s="11" t="s">
        <v>1634</v>
      </c>
      <c r="C3538" s="5">
        <v>77064.444199999998</v>
      </c>
      <c r="D3538" s="5">
        <v>77064.444199999998</v>
      </c>
      <c r="E3538" s="5">
        <v>69783.233200000002</v>
      </c>
      <c r="G3538" s="5" t="str">
        <f t="shared" si="111"/>
        <v>БОТАНИЧЕСКИЙ</v>
      </c>
      <c r="J3538" s="5"/>
      <c r="AL3538" s="5">
        <f t="shared" si="112"/>
        <v>0</v>
      </c>
    </row>
    <row r="3539" spans="1:38" ht="25.5" customHeight="1" x14ac:dyDescent="0.25">
      <c r="A3539" s="10" t="s">
        <v>3151</v>
      </c>
      <c r="B3539" s="11" t="s">
        <v>483</v>
      </c>
      <c r="C3539" s="5">
        <v>44242.899599999997</v>
      </c>
      <c r="D3539" s="5">
        <v>44242.899599999997</v>
      </c>
      <c r="E3539" s="5">
        <v>40062.737300000001</v>
      </c>
      <c r="G3539" s="5" t="str">
        <f t="shared" si="111"/>
        <v>Шувакиш</v>
      </c>
      <c r="J3539" s="5"/>
      <c r="AL3539" s="5">
        <f t="shared" si="112"/>
        <v>0</v>
      </c>
    </row>
    <row r="3540" spans="1:38" ht="25.5" customHeight="1" x14ac:dyDescent="0.25">
      <c r="A3540" s="10" t="s">
        <v>729</v>
      </c>
      <c r="B3540" s="11" t="s">
        <v>1674</v>
      </c>
      <c r="C3540" s="5">
        <v>29199.565200000001</v>
      </c>
      <c r="D3540" s="5">
        <v>29199.565200000001</v>
      </c>
      <c r="E3540" s="5">
        <v>26261.5317</v>
      </c>
      <c r="G3540" s="5" t="str">
        <f t="shared" si="111"/>
        <v>УАЗ</v>
      </c>
      <c r="J3540" s="5"/>
      <c r="AL3540" s="5">
        <f t="shared" si="112"/>
        <v>0</v>
      </c>
    </row>
    <row r="3541" spans="1:38" ht="25.5" customHeight="1" x14ac:dyDescent="0.25">
      <c r="A3541" s="10" t="s">
        <v>3153</v>
      </c>
      <c r="B3541" s="11" t="s">
        <v>1657</v>
      </c>
      <c r="C3541" s="5">
        <v>54886.9666</v>
      </c>
      <c r="D3541" s="5">
        <v>54886.9666</v>
      </c>
      <c r="E3541" s="5">
        <v>49701.1319</v>
      </c>
      <c r="G3541" s="5" t="str">
        <f t="shared" si="111"/>
        <v>КОЛЬЦОВО</v>
      </c>
      <c r="J3541" s="5"/>
      <c r="AL3541" s="5">
        <f t="shared" si="112"/>
        <v>0</v>
      </c>
    </row>
    <row r="3542" spans="1:38" ht="25.5" customHeight="1" x14ac:dyDescent="0.25">
      <c r="A3542" s="10" t="s">
        <v>3154</v>
      </c>
      <c r="B3542" s="11" t="s">
        <v>1631</v>
      </c>
      <c r="C3542" s="5">
        <v>70026.7601</v>
      </c>
      <c r="D3542" s="5">
        <v>70026.7601</v>
      </c>
      <c r="E3542" s="5">
        <v>63410.482000000004</v>
      </c>
      <c r="G3542" s="5" t="str">
        <f t="shared" si="111"/>
        <v>УРАЛМАШ</v>
      </c>
      <c r="J3542" s="5"/>
      <c r="AL3542" s="5">
        <f t="shared" si="112"/>
        <v>0</v>
      </c>
    </row>
    <row r="3543" spans="1:38" ht="25.5" customHeight="1" x14ac:dyDescent="0.25">
      <c r="A3543" s="10" t="s">
        <v>1437</v>
      </c>
      <c r="B3543" s="11" t="s">
        <v>779</v>
      </c>
      <c r="C3543" s="5">
        <v>46784.877899999999</v>
      </c>
      <c r="D3543" s="5">
        <v>46784.877899999999</v>
      </c>
      <c r="E3543" s="5">
        <v>42364.543299999998</v>
      </c>
      <c r="G3543" s="5" t="str">
        <f t="shared" si="111"/>
        <v>Нижнеисетский</v>
      </c>
      <c r="J3543" s="5"/>
      <c r="AL3543" s="5">
        <f t="shared" si="112"/>
        <v>0</v>
      </c>
    </row>
    <row r="3544" spans="1:38" ht="25.5" customHeight="1" x14ac:dyDescent="0.25">
      <c r="A3544" s="10" t="s">
        <v>3155</v>
      </c>
      <c r="B3544" s="11" t="s">
        <v>389</v>
      </c>
      <c r="C3544" s="5">
        <v>51175.5573</v>
      </c>
      <c r="D3544" s="5">
        <v>51175.5573</v>
      </c>
      <c r="E3544" s="5">
        <v>46340.381600000001</v>
      </c>
      <c r="G3544" s="5" t="str">
        <f t="shared" si="111"/>
        <v>Северка</v>
      </c>
      <c r="J3544" s="5"/>
      <c r="AL3544" s="5">
        <f t="shared" si="112"/>
        <v>0</v>
      </c>
    </row>
    <row r="3545" spans="1:38" ht="25.5" customHeight="1" x14ac:dyDescent="0.25">
      <c r="A3545" s="10" t="s">
        <v>3156</v>
      </c>
      <c r="B3545" s="11" t="s">
        <v>5166</v>
      </c>
      <c r="C3545" s="5">
        <v>49782.025399999999</v>
      </c>
      <c r="D3545" s="5">
        <v>49782.025399999999</v>
      </c>
      <c r="E3545" s="5">
        <v>45078.506800000003</v>
      </c>
      <c r="G3545" s="5" t="str">
        <f t="shared" si="111"/>
        <v>Чусовское озеро</v>
      </c>
      <c r="J3545" s="5"/>
      <c r="AL3545" s="5">
        <f t="shared" si="112"/>
        <v>0</v>
      </c>
    </row>
    <row r="3546" spans="1:38" ht="25.5" customHeight="1" x14ac:dyDescent="0.25">
      <c r="A3546" s="10" t="s">
        <v>3157</v>
      </c>
      <c r="B3546" s="11" t="s">
        <v>1676</v>
      </c>
      <c r="C3546" s="5">
        <v>28848.8855</v>
      </c>
      <c r="D3546" s="5">
        <v>28848.8855</v>
      </c>
      <c r="E3546" s="5">
        <v>25946.143</v>
      </c>
      <c r="G3546" s="5" t="str">
        <f t="shared" si="111"/>
        <v>Чкаловский</v>
      </c>
      <c r="J3546" s="5"/>
      <c r="AL3546" s="5">
        <f t="shared" si="112"/>
        <v>0</v>
      </c>
    </row>
    <row r="3547" spans="1:38" ht="25.5" customHeight="1" x14ac:dyDescent="0.25">
      <c r="A3547" s="10" t="s">
        <v>3158</v>
      </c>
      <c r="B3547" s="11" t="s">
        <v>1647</v>
      </c>
      <c r="C3547" s="5">
        <v>63178.133800000003</v>
      </c>
      <c r="D3547" s="5">
        <v>63178.133800000003</v>
      </c>
      <c r="E3547" s="5">
        <v>57208.931499999999</v>
      </c>
      <c r="G3547" s="5" t="str">
        <f t="shared" si="111"/>
        <v>ШИРОКАЯ РЕЧКА</v>
      </c>
      <c r="J3547" s="5"/>
      <c r="AL3547" s="5">
        <f t="shared" si="112"/>
        <v>0</v>
      </c>
    </row>
    <row r="3548" spans="1:38" ht="25.5" customHeight="1" x14ac:dyDescent="0.25">
      <c r="A3548" s="10" t="s">
        <v>1309</v>
      </c>
      <c r="B3548" s="11" t="s">
        <v>1660</v>
      </c>
      <c r="C3548" s="5">
        <v>53262.345800000003</v>
      </c>
      <c r="D3548" s="5">
        <v>53262.345800000003</v>
      </c>
      <c r="E3548" s="5">
        <v>48230.0095</v>
      </c>
      <c r="G3548" s="5" t="str">
        <f t="shared" si="111"/>
        <v>САДОВЫЙ</v>
      </c>
      <c r="J3548" s="5"/>
      <c r="AL3548" s="5">
        <f t="shared" si="112"/>
        <v>0</v>
      </c>
    </row>
    <row r="3549" spans="1:38" ht="25.5" customHeight="1" x14ac:dyDescent="0.25">
      <c r="A3549" s="10" t="s">
        <v>3159</v>
      </c>
      <c r="B3549" s="11" t="s">
        <v>1632</v>
      </c>
      <c r="C3549" s="5">
        <v>83744.997499999998</v>
      </c>
      <c r="D3549" s="5">
        <v>83744.997499999998</v>
      </c>
      <c r="E3549" s="5">
        <v>75832.596099999995</v>
      </c>
      <c r="G3549" s="5" t="str">
        <f t="shared" si="111"/>
        <v>АВТОВОКЗАЛ</v>
      </c>
      <c r="J3549" s="5"/>
      <c r="AL3549" s="5">
        <f t="shared" si="112"/>
        <v>0</v>
      </c>
    </row>
    <row r="3550" spans="1:38" ht="25.5" customHeight="1" x14ac:dyDescent="0.25">
      <c r="A3550" s="10" t="s">
        <v>3160</v>
      </c>
      <c r="B3550" s="11" t="s">
        <v>1637</v>
      </c>
      <c r="C3550" s="5">
        <v>59368.686099999999</v>
      </c>
      <c r="D3550" s="5">
        <v>59368.686099999999</v>
      </c>
      <c r="E3550" s="5">
        <v>53759.401700000002</v>
      </c>
      <c r="G3550" s="5" t="str">
        <f t="shared" si="111"/>
        <v>Старая сортировка</v>
      </c>
      <c r="J3550" s="5"/>
      <c r="AL3550" s="5">
        <f t="shared" si="112"/>
        <v>0</v>
      </c>
    </row>
    <row r="3551" spans="1:38" ht="25.5" customHeight="1" x14ac:dyDescent="0.25">
      <c r="A3551" s="10" t="s">
        <v>3161</v>
      </c>
      <c r="B3551" s="11" t="s">
        <v>209</v>
      </c>
      <c r="C3551" s="5">
        <v>69382.512499999997</v>
      </c>
      <c r="D3551" s="5">
        <v>69382.512499999997</v>
      </c>
      <c r="E3551" s="5">
        <v>62827.103199999998</v>
      </c>
      <c r="G3551" s="5" t="str">
        <f t="shared" si="111"/>
        <v>ЖБИ</v>
      </c>
      <c r="J3551" s="5"/>
      <c r="AL3551" s="5">
        <f t="shared" si="112"/>
        <v>0</v>
      </c>
    </row>
    <row r="3552" spans="1:38" ht="25.5" customHeight="1" x14ac:dyDescent="0.25">
      <c r="A3552" s="10" t="s">
        <v>1291</v>
      </c>
      <c r="B3552" s="11" t="s">
        <v>1632</v>
      </c>
      <c r="C3552" s="5">
        <v>83744.997499999998</v>
      </c>
      <c r="D3552" s="5">
        <v>83744.997499999998</v>
      </c>
      <c r="E3552" s="5">
        <v>75832.596099999995</v>
      </c>
      <c r="G3552" s="5" t="str">
        <f t="shared" si="111"/>
        <v>АВТОВОКЗАЛ</v>
      </c>
      <c r="J3552" s="5"/>
      <c r="AL3552" s="5">
        <f t="shared" si="112"/>
        <v>0</v>
      </c>
    </row>
    <row r="3553" spans="1:38" ht="25.5" customHeight="1" x14ac:dyDescent="0.25">
      <c r="A3553" s="10" t="s">
        <v>3162</v>
      </c>
      <c r="B3553" s="11" t="s">
        <v>1639</v>
      </c>
      <c r="C3553" s="5">
        <v>53500.443299999999</v>
      </c>
      <c r="D3553" s="5">
        <v>53500.443299999999</v>
      </c>
      <c r="E3553" s="5">
        <v>48445.605100000001</v>
      </c>
      <c r="G3553" s="5" t="str">
        <f t="shared" si="111"/>
        <v>ИСТОК</v>
      </c>
      <c r="J3553" s="5"/>
      <c r="AL3553" s="5">
        <f t="shared" si="112"/>
        <v>0</v>
      </c>
    </row>
    <row r="3554" spans="1:38" ht="25.5" customHeight="1" x14ac:dyDescent="0.25">
      <c r="A3554" s="10" t="s">
        <v>3163</v>
      </c>
      <c r="B3554" s="11" t="s">
        <v>1660</v>
      </c>
      <c r="C3554" s="5">
        <v>53262.345800000003</v>
      </c>
      <c r="D3554" s="5">
        <v>53262.345800000003</v>
      </c>
      <c r="E3554" s="5">
        <v>48230.0095</v>
      </c>
      <c r="G3554" s="5" t="str">
        <f t="shared" si="111"/>
        <v>САДОВЫЙ</v>
      </c>
      <c r="J3554" s="5"/>
      <c r="AL3554" s="5">
        <f t="shared" si="112"/>
        <v>0</v>
      </c>
    </row>
    <row r="3555" spans="1:38" ht="25.5" customHeight="1" x14ac:dyDescent="0.25">
      <c r="A3555" s="10" t="s">
        <v>3164</v>
      </c>
      <c r="B3555" s="11" t="s">
        <v>1663</v>
      </c>
      <c r="C3555" s="5">
        <v>44242.899599999997</v>
      </c>
      <c r="D3555" s="5">
        <v>44242.899599999997</v>
      </c>
      <c r="E3555" s="5">
        <v>40062.737300000001</v>
      </c>
      <c r="G3555" s="5" t="str">
        <f t="shared" si="111"/>
        <v>ШУВАКИШ</v>
      </c>
      <c r="J3555" s="5"/>
      <c r="AL3555" s="5">
        <f t="shared" si="112"/>
        <v>0</v>
      </c>
    </row>
    <row r="3556" spans="1:38" ht="25.5" customHeight="1" x14ac:dyDescent="0.25">
      <c r="A3556" s="10" t="s">
        <v>3165</v>
      </c>
      <c r="B3556" s="11" t="s">
        <v>1631</v>
      </c>
      <c r="C3556" s="5">
        <v>70026.7601</v>
      </c>
      <c r="D3556" s="5">
        <v>70026.7601</v>
      </c>
      <c r="E3556" s="5">
        <v>63410.482000000004</v>
      </c>
      <c r="G3556" s="5" t="str">
        <f t="shared" si="111"/>
        <v>УРАЛМАШ</v>
      </c>
      <c r="J3556" s="5"/>
      <c r="AL3556" s="5">
        <f t="shared" si="112"/>
        <v>0</v>
      </c>
    </row>
    <row r="3557" spans="1:38" ht="25.5" customHeight="1" x14ac:dyDescent="0.25">
      <c r="A3557" s="10" t="s">
        <v>3166</v>
      </c>
      <c r="B3557" s="11" t="s">
        <v>1662</v>
      </c>
      <c r="C3557" s="5">
        <v>46784.877899999999</v>
      </c>
      <c r="D3557" s="5">
        <v>46784.877899999999</v>
      </c>
      <c r="E3557" s="5">
        <v>42364.543299999998</v>
      </c>
      <c r="G3557" s="5" t="str">
        <f t="shared" si="111"/>
        <v>РУДНЫЙ</v>
      </c>
      <c r="J3557" s="5"/>
      <c r="AL3557" s="5">
        <f t="shared" si="112"/>
        <v>0</v>
      </c>
    </row>
    <row r="3558" spans="1:38" ht="25.5" customHeight="1" x14ac:dyDescent="0.25">
      <c r="A3558" s="10" t="s">
        <v>3167</v>
      </c>
      <c r="B3558" s="11" t="s">
        <v>1647</v>
      </c>
      <c r="C3558" s="5">
        <v>63178.133800000003</v>
      </c>
      <c r="D3558" s="5">
        <v>63178.133800000003</v>
      </c>
      <c r="E3558" s="5">
        <v>57208.931499999999</v>
      </c>
      <c r="G3558" s="5" t="str">
        <f t="shared" si="111"/>
        <v>ШИРОКАЯ РЕЧКА</v>
      </c>
      <c r="J3558" s="5"/>
      <c r="AL3558" s="5">
        <f t="shared" si="112"/>
        <v>0</v>
      </c>
    </row>
    <row r="3559" spans="1:38" ht="25.5" customHeight="1" x14ac:dyDescent="0.25">
      <c r="A3559" s="10" t="s">
        <v>3168</v>
      </c>
      <c r="B3559" s="11" t="s">
        <v>33</v>
      </c>
      <c r="C3559" s="5">
        <v>84298.205100000006</v>
      </c>
      <c r="D3559" s="5">
        <v>84298.205100000006</v>
      </c>
      <c r="E3559" s="5">
        <v>76333.533100000001</v>
      </c>
      <c r="G3559" s="5" t="str">
        <f t="shared" si="111"/>
        <v>ВИЗ</v>
      </c>
      <c r="J3559" s="5"/>
      <c r="AL3559" s="5">
        <f t="shared" si="112"/>
        <v>0</v>
      </c>
    </row>
    <row r="3560" spans="1:38" ht="25.5" customHeight="1" x14ac:dyDescent="0.25">
      <c r="A3560" s="10" t="s">
        <v>3169</v>
      </c>
      <c r="B3560" s="11" t="s">
        <v>1650</v>
      </c>
      <c r="C3560" s="5">
        <v>37590.3603</v>
      </c>
      <c r="D3560" s="5">
        <v>37590.3603</v>
      </c>
      <c r="E3560" s="5">
        <v>34038.745900000002</v>
      </c>
      <c r="G3560" s="5" t="str">
        <f t="shared" si="111"/>
        <v>ШАБРОВСКИЙ</v>
      </c>
      <c r="J3560" s="5"/>
      <c r="AL3560" s="5">
        <f t="shared" si="112"/>
        <v>0</v>
      </c>
    </row>
    <row r="3561" spans="1:38" ht="25.5" customHeight="1" x14ac:dyDescent="0.25">
      <c r="A3561" s="10" t="s">
        <v>3170</v>
      </c>
      <c r="B3561" s="11" t="s">
        <v>1644</v>
      </c>
      <c r="C3561" s="5">
        <v>61980.678599999999</v>
      </c>
      <c r="D3561" s="5">
        <v>61980.678599999999</v>
      </c>
      <c r="E3561" s="5">
        <v>56124.615700000002</v>
      </c>
      <c r="G3561" s="5" t="str">
        <f t="shared" si="111"/>
        <v>ХИММАШ</v>
      </c>
      <c r="J3561" s="5"/>
      <c r="AL3561" s="5">
        <f t="shared" si="112"/>
        <v>0</v>
      </c>
    </row>
    <row r="3562" spans="1:38" ht="25.5" customHeight="1" x14ac:dyDescent="0.25">
      <c r="A3562" s="10" t="s">
        <v>3171</v>
      </c>
      <c r="B3562" s="11" t="s">
        <v>33</v>
      </c>
      <c r="C3562" s="5">
        <v>84298.205100000006</v>
      </c>
      <c r="D3562" s="5">
        <v>84298.205100000006</v>
      </c>
      <c r="E3562" s="5">
        <v>76333.533100000001</v>
      </c>
      <c r="G3562" s="5" t="str">
        <f t="shared" si="111"/>
        <v>ВИЗ</v>
      </c>
      <c r="J3562" s="5"/>
      <c r="AL3562" s="5">
        <f t="shared" si="112"/>
        <v>0</v>
      </c>
    </row>
    <row r="3563" spans="1:38" ht="25.5" customHeight="1" x14ac:dyDescent="0.25">
      <c r="A3563" s="10" t="s">
        <v>1470</v>
      </c>
      <c r="B3563" s="11" t="s">
        <v>66</v>
      </c>
      <c r="C3563" s="5">
        <v>64795.756300000001</v>
      </c>
      <c r="D3563" s="5">
        <v>64795.756300000001</v>
      </c>
      <c r="E3563" s="5">
        <v>58673.716200000003</v>
      </c>
      <c r="G3563" s="5" t="str">
        <f t="shared" si="111"/>
        <v>УНЦ</v>
      </c>
      <c r="J3563" s="5"/>
      <c r="AL3563" s="5">
        <f t="shared" si="112"/>
        <v>0</v>
      </c>
    </row>
    <row r="3564" spans="1:38" ht="25.5" customHeight="1" x14ac:dyDescent="0.25">
      <c r="A3564" s="10" t="s">
        <v>3172</v>
      </c>
      <c r="B3564" s="11" t="s">
        <v>1647</v>
      </c>
      <c r="C3564" s="5">
        <v>63178.133800000003</v>
      </c>
      <c r="D3564" s="5">
        <v>63178.133800000003</v>
      </c>
      <c r="E3564" s="5">
        <v>57208.931499999999</v>
      </c>
      <c r="G3564" s="5" t="str">
        <f t="shared" si="111"/>
        <v>ШИРОКАЯ РЕЧКА</v>
      </c>
      <c r="J3564" s="5"/>
      <c r="AL3564" s="5">
        <f t="shared" si="112"/>
        <v>0</v>
      </c>
    </row>
    <row r="3565" spans="1:38" ht="25.5" customHeight="1" x14ac:dyDescent="0.25">
      <c r="A3565" s="10" t="s">
        <v>932</v>
      </c>
      <c r="B3565" s="11" t="s">
        <v>1657</v>
      </c>
      <c r="C3565" s="5">
        <v>54886.9666</v>
      </c>
      <c r="D3565" s="5">
        <v>54886.9666</v>
      </c>
      <c r="E3565" s="5">
        <v>49701.1319</v>
      </c>
      <c r="G3565" s="5" t="str">
        <f t="shared" si="111"/>
        <v>КОЛЬЦОВО</v>
      </c>
      <c r="J3565" s="5"/>
      <c r="AL3565" s="5">
        <f t="shared" si="112"/>
        <v>0</v>
      </c>
    </row>
    <row r="3566" spans="1:38" ht="25.5" customHeight="1" x14ac:dyDescent="0.25">
      <c r="A3566" s="10" t="s">
        <v>1484</v>
      </c>
      <c r="B3566" s="11" t="s">
        <v>1657</v>
      </c>
      <c r="C3566" s="5">
        <v>54886.9666</v>
      </c>
      <c r="D3566" s="5">
        <v>54886.9666</v>
      </c>
      <c r="E3566" s="5">
        <v>49701.1319</v>
      </c>
      <c r="G3566" s="5" t="str">
        <f t="shared" si="111"/>
        <v>КОЛЬЦОВО</v>
      </c>
      <c r="J3566" s="5"/>
      <c r="AL3566" s="5">
        <f t="shared" si="112"/>
        <v>0</v>
      </c>
    </row>
    <row r="3567" spans="1:38" ht="25.5" customHeight="1" x14ac:dyDescent="0.25">
      <c r="A3567" s="10" t="s">
        <v>3173</v>
      </c>
      <c r="B3567" s="11" t="s">
        <v>5166</v>
      </c>
      <c r="C3567" s="5">
        <v>49782.025399999999</v>
      </c>
      <c r="D3567" s="5">
        <v>49782.025399999999</v>
      </c>
      <c r="E3567" s="5">
        <v>45078.506800000003</v>
      </c>
      <c r="G3567" s="5" t="str">
        <f t="shared" si="111"/>
        <v>Чусовское озеро</v>
      </c>
      <c r="J3567" s="5"/>
      <c r="AL3567" s="5">
        <f t="shared" si="112"/>
        <v>0</v>
      </c>
    </row>
    <row r="3568" spans="1:38" ht="25.5" customHeight="1" x14ac:dyDescent="0.25">
      <c r="A3568" s="10" t="s">
        <v>3174</v>
      </c>
      <c r="B3568" s="11" t="s">
        <v>1676</v>
      </c>
      <c r="C3568" s="5">
        <v>28848.8855</v>
      </c>
      <c r="D3568" s="5">
        <v>28848.8855</v>
      </c>
      <c r="E3568" s="5">
        <v>25946.143</v>
      </c>
      <c r="G3568" s="5" t="str">
        <f t="shared" si="111"/>
        <v>Чкаловский</v>
      </c>
      <c r="J3568" s="5"/>
      <c r="AL3568" s="5">
        <f t="shared" si="112"/>
        <v>0</v>
      </c>
    </row>
    <row r="3569" spans="1:38" ht="25.5" customHeight="1" x14ac:dyDescent="0.25">
      <c r="A3569" s="10" t="s">
        <v>832</v>
      </c>
      <c r="B3569" s="11" t="s">
        <v>1643</v>
      </c>
      <c r="C3569" s="5">
        <v>76630.280299999999</v>
      </c>
      <c r="D3569" s="5">
        <v>76630.280299999999</v>
      </c>
      <c r="E3569" s="5">
        <v>69390.088799999998</v>
      </c>
      <c r="G3569" s="5" t="str">
        <f t="shared" si="111"/>
        <v>Ю-З</v>
      </c>
      <c r="J3569" s="5"/>
      <c r="AL3569" s="5">
        <f t="shared" si="112"/>
        <v>0</v>
      </c>
    </row>
    <row r="3570" spans="1:38" ht="25.5" customHeight="1" x14ac:dyDescent="0.25">
      <c r="A3570" s="10" t="s">
        <v>3175</v>
      </c>
      <c r="B3570" s="11" t="s">
        <v>33</v>
      </c>
      <c r="C3570" s="5">
        <v>84298.205100000006</v>
      </c>
      <c r="D3570" s="5">
        <v>84298.205100000006</v>
      </c>
      <c r="E3570" s="5">
        <v>76333.533100000001</v>
      </c>
      <c r="G3570" s="5" t="str">
        <f t="shared" si="111"/>
        <v>ВИЗ</v>
      </c>
      <c r="J3570" s="5"/>
      <c r="AL3570" s="5">
        <f t="shared" si="112"/>
        <v>0</v>
      </c>
    </row>
    <row r="3571" spans="1:38" ht="25.5" customHeight="1" x14ac:dyDescent="0.25">
      <c r="A3571" s="10" t="s">
        <v>3176</v>
      </c>
      <c r="B3571" s="11" t="s">
        <v>1645</v>
      </c>
      <c r="C3571" s="5">
        <v>60958.294800000003</v>
      </c>
      <c r="D3571" s="5">
        <v>60958.294800000003</v>
      </c>
      <c r="E3571" s="5">
        <v>55198.825199999999</v>
      </c>
      <c r="G3571" s="5" t="str">
        <f t="shared" si="111"/>
        <v>ЕЛИЗАВЕТ</v>
      </c>
      <c r="J3571" s="5"/>
      <c r="AL3571" s="5">
        <f t="shared" si="112"/>
        <v>0</v>
      </c>
    </row>
    <row r="3572" spans="1:38" ht="25.5" customHeight="1" x14ac:dyDescent="0.25">
      <c r="A3572" s="10" t="s">
        <v>3177</v>
      </c>
      <c r="B3572" s="11" t="s">
        <v>1650</v>
      </c>
      <c r="C3572" s="5">
        <v>37590.3603</v>
      </c>
      <c r="D3572" s="5">
        <v>37590.3603</v>
      </c>
      <c r="E3572" s="5">
        <v>34038.745900000002</v>
      </c>
      <c r="G3572" s="5" t="str">
        <f t="shared" si="111"/>
        <v>ШАБРОВСКИЙ</v>
      </c>
      <c r="J3572" s="5"/>
      <c r="AL3572" s="5">
        <f t="shared" si="112"/>
        <v>0</v>
      </c>
    </row>
    <row r="3573" spans="1:38" ht="25.5" customHeight="1" x14ac:dyDescent="0.25">
      <c r="A3573" s="10" t="s">
        <v>3178</v>
      </c>
      <c r="B3573" s="11" t="s">
        <v>1676</v>
      </c>
      <c r="C3573" s="5">
        <v>28848.8855</v>
      </c>
      <c r="D3573" s="5">
        <v>28848.8855</v>
      </c>
      <c r="E3573" s="5">
        <v>25946.143</v>
      </c>
      <c r="G3573" s="5" t="str">
        <f t="shared" si="111"/>
        <v>Чкаловский</v>
      </c>
      <c r="J3573" s="5"/>
      <c r="AL3573" s="5">
        <f t="shared" si="112"/>
        <v>0</v>
      </c>
    </row>
    <row r="3574" spans="1:38" ht="25.5" customHeight="1" x14ac:dyDescent="0.25">
      <c r="A3574" s="10" t="s">
        <v>3179</v>
      </c>
      <c r="B3574" s="11" t="s">
        <v>1648</v>
      </c>
      <c r="C3574" s="5">
        <v>49782.025399999999</v>
      </c>
      <c r="D3574" s="5">
        <v>49782.025399999999</v>
      </c>
      <c r="E3574" s="5">
        <v>45078.506800000003</v>
      </c>
      <c r="G3574" s="5" t="str">
        <f t="shared" si="111"/>
        <v>ЧУСОВСКОЕ ОЗЕРО</v>
      </c>
      <c r="J3574" s="5"/>
      <c r="AL3574" s="5">
        <f t="shared" si="112"/>
        <v>0</v>
      </c>
    </row>
    <row r="3575" spans="1:38" ht="25.5" customHeight="1" x14ac:dyDescent="0.25">
      <c r="A3575" s="10" t="s">
        <v>3180</v>
      </c>
      <c r="B3575" s="11" t="s">
        <v>1647</v>
      </c>
      <c r="C3575" s="5">
        <v>63178.133800000003</v>
      </c>
      <c r="D3575" s="5">
        <v>63178.133800000003</v>
      </c>
      <c r="E3575" s="5">
        <v>57208.931499999999</v>
      </c>
      <c r="G3575" s="5" t="str">
        <f t="shared" si="111"/>
        <v>ШИРОКАЯ РЕЧКА</v>
      </c>
      <c r="J3575" s="5"/>
      <c r="AL3575" s="5">
        <f t="shared" si="112"/>
        <v>0</v>
      </c>
    </row>
    <row r="3576" spans="1:38" ht="25.5" customHeight="1" x14ac:dyDescent="0.25">
      <c r="A3576" s="10" t="s">
        <v>3181</v>
      </c>
      <c r="B3576" s="11" t="s">
        <v>1631</v>
      </c>
      <c r="C3576" s="5">
        <v>70026.7601</v>
      </c>
      <c r="D3576" s="5">
        <v>70026.7601</v>
      </c>
      <c r="E3576" s="5">
        <v>63410.482000000004</v>
      </c>
      <c r="G3576" s="5" t="str">
        <f t="shared" si="111"/>
        <v>УРАЛМАШ</v>
      </c>
      <c r="J3576" s="5"/>
      <c r="AL3576" s="5">
        <f t="shared" si="112"/>
        <v>0</v>
      </c>
    </row>
    <row r="3577" spans="1:38" ht="25.5" customHeight="1" x14ac:dyDescent="0.25">
      <c r="A3577" s="10" t="s">
        <v>3182</v>
      </c>
      <c r="B3577" s="11" t="s">
        <v>389</v>
      </c>
      <c r="C3577" s="5">
        <v>51175.5573</v>
      </c>
      <c r="D3577" s="5">
        <v>51175.5573</v>
      </c>
      <c r="E3577" s="5">
        <v>46340.381600000001</v>
      </c>
      <c r="G3577" s="5" t="str">
        <f t="shared" si="111"/>
        <v>Северка</v>
      </c>
      <c r="J3577" s="5"/>
      <c r="AL3577" s="5">
        <f t="shared" si="112"/>
        <v>0</v>
      </c>
    </row>
    <row r="3578" spans="1:38" ht="25.5" customHeight="1" x14ac:dyDescent="0.25">
      <c r="A3578" s="10" t="s">
        <v>3183</v>
      </c>
      <c r="B3578" s="11" t="s">
        <v>1650</v>
      </c>
      <c r="C3578" s="5">
        <v>37590.3603</v>
      </c>
      <c r="D3578" s="5">
        <v>37590.3603</v>
      </c>
      <c r="E3578" s="5">
        <v>34038.745900000002</v>
      </c>
      <c r="G3578" s="5" t="str">
        <f t="shared" si="111"/>
        <v>ШАБРОВСКИЙ</v>
      </c>
      <c r="J3578" s="5"/>
      <c r="AL3578" s="5">
        <f t="shared" si="112"/>
        <v>0</v>
      </c>
    </row>
    <row r="3579" spans="1:38" ht="25.5" customHeight="1" x14ac:dyDescent="0.25">
      <c r="A3579" s="10" t="s">
        <v>1166</v>
      </c>
      <c r="B3579" s="11" t="s">
        <v>1647</v>
      </c>
      <c r="C3579" s="5">
        <v>63178.133800000003</v>
      </c>
      <c r="D3579" s="5">
        <v>63178.133800000003</v>
      </c>
      <c r="E3579" s="5">
        <v>57208.931499999999</v>
      </c>
      <c r="G3579" s="5" t="str">
        <f t="shared" si="111"/>
        <v>ШИРОКАЯ РЕЧКА</v>
      </c>
      <c r="J3579" s="5"/>
      <c r="AL3579" s="5">
        <f t="shared" si="112"/>
        <v>0</v>
      </c>
    </row>
    <row r="3580" spans="1:38" ht="25.5" customHeight="1" x14ac:dyDescent="0.25">
      <c r="A3580" s="10" t="s">
        <v>65</v>
      </c>
      <c r="B3580" s="11" t="s">
        <v>66</v>
      </c>
      <c r="C3580" s="5">
        <v>64795.756300000001</v>
      </c>
      <c r="D3580" s="5">
        <v>64795.756300000001</v>
      </c>
      <c r="E3580" s="5">
        <v>58673.716200000003</v>
      </c>
      <c r="G3580" s="5" t="str">
        <f t="shared" si="111"/>
        <v>УНЦ</v>
      </c>
      <c r="J3580" s="5"/>
      <c r="AL3580" s="5">
        <f t="shared" si="112"/>
        <v>0</v>
      </c>
    </row>
    <row r="3581" spans="1:38" ht="25.5" customHeight="1" x14ac:dyDescent="0.25">
      <c r="A3581" s="10" t="s">
        <v>3184</v>
      </c>
      <c r="B3581" s="11" t="s">
        <v>1644</v>
      </c>
      <c r="C3581" s="5">
        <v>61980.678599999999</v>
      </c>
      <c r="D3581" s="5">
        <v>61980.678599999999</v>
      </c>
      <c r="E3581" s="5">
        <v>56124.615700000002</v>
      </c>
      <c r="G3581" s="5" t="str">
        <f t="shared" si="111"/>
        <v>ХИММАШ</v>
      </c>
      <c r="J3581" s="5"/>
      <c r="AL3581" s="5">
        <f t="shared" si="112"/>
        <v>0</v>
      </c>
    </row>
    <row r="3582" spans="1:38" ht="25.5" customHeight="1" x14ac:dyDescent="0.25">
      <c r="A3582" s="10" t="s">
        <v>3185</v>
      </c>
      <c r="B3582" s="11" t="s">
        <v>1666</v>
      </c>
      <c r="C3582" s="5">
        <v>46784.877899999999</v>
      </c>
      <c r="D3582" s="5">
        <v>46784.877899999999</v>
      </c>
      <c r="E3582" s="5">
        <v>42364.543299999998</v>
      </c>
      <c r="G3582" s="5" t="str">
        <f t="shared" si="111"/>
        <v>Сулим.Торфянник</v>
      </c>
      <c r="J3582" s="5"/>
      <c r="AL3582" s="5">
        <f t="shared" si="112"/>
        <v>0</v>
      </c>
    </row>
    <row r="3583" spans="1:38" ht="25.5" customHeight="1" x14ac:dyDescent="0.25">
      <c r="A3583" s="10" t="s">
        <v>117</v>
      </c>
      <c r="B3583" s="11" t="s">
        <v>1639</v>
      </c>
      <c r="C3583" s="5">
        <v>53500.443299999999</v>
      </c>
      <c r="D3583" s="5">
        <v>53500.443299999999</v>
      </c>
      <c r="E3583" s="5">
        <v>48445.605100000001</v>
      </c>
      <c r="G3583" s="5" t="str">
        <f t="shared" ref="G3583:G3646" si="113">B3583</f>
        <v>ИСТОК</v>
      </c>
      <c r="J3583" s="5"/>
      <c r="AL3583" s="5">
        <f t="shared" ref="AL3583:AL3646" si="114">AF3583</f>
        <v>0</v>
      </c>
    </row>
    <row r="3584" spans="1:38" ht="25.5" customHeight="1" x14ac:dyDescent="0.25">
      <c r="A3584" s="10" t="s">
        <v>1598</v>
      </c>
      <c r="B3584" s="11" t="s">
        <v>33</v>
      </c>
      <c r="C3584" s="5">
        <v>84298.205100000006</v>
      </c>
      <c r="D3584" s="5">
        <v>84298.205100000006</v>
      </c>
      <c r="E3584" s="5">
        <v>76333.533100000001</v>
      </c>
      <c r="G3584" s="5" t="str">
        <f t="shared" si="113"/>
        <v>ВИЗ</v>
      </c>
      <c r="J3584" s="5"/>
      <c r="AL3584" s="5">
        <f t="shared" si="114"/>
        <v>0</v>
      </c>
    </row>
    <row r="3585" spans="1:38" ht="25.5" customHeight="1" x14ac:dyDescent="0.25">
      <c r="A3585" s="10" t="s">
        <v>3186</v>
      </c>
      <c r="B3585" s="11" t="s">
        <v>118</v>
      </c>
      <c r="C3585" s="5">
        <v>53500.443299999999</v>
      </c>
      <c r="D3585" s="5">
        <v>53500.443299999999</v>
      </c>
      <c r="E3585" s="5">
        <v>48445.605100000001</v>
      </c>
      <c r="G3585" s="5" t="str">
        <f t="shared" si="113"/>
        <v>Исток</v>
      </c>
      <c r="J3585" s="5"/>
      <c r="AL3585" s="5">
        <f t="shared" si="114"/>
        <v>0</v>
      </c>
    </row>
    <row r="3586" spans="1:38" ht="25.5" customHeight="1" x14ac:dyDescent="0.25">
      <c r="A3586" s="10" t="s">
        <v>3187</v>
      </c>
      <c r="B3586" s="11" t="s">
        <v>1636</v>
      </c>
      <c r="C3586" s="5">
        <v>52246.960299999999</v>
      </c>
      <c r="D3586" s="5">
        <v>52246.960299999999</v>
      </c>
      <c r="E3586" s="5">
        <v>47310.556700000001</v>
      </c>
      <c r="G3586" s="5" t="str">
        <f t="shared" si="113"/>
        <v>ГОРНЫЙ ЩИТ</v>
      </c>
      <c r="J3586" s="5"/>
      <c r="AL3586" s="5">
        <f t="shared" si="114"/>
        <v>0</v>
      </c>
    </row>
    <row r="3587" spans="1:38" ht="25.5" customHeight="1" x14ac:dyDescent="0.25">
      <c r="A3587" s="10" t="s">
        <v>3188</v>
      </c>
      <c r="B3587" s="11" t="s">
        <v>1638</v>
      </c>
      <c r="C3587" s="5">
        <v>63640.311600000001</v>
      </c>
      <c r="D3587" s="5">
        <v>63640.311600000001</v>
      </c>
      <c r="E3587" s="5">
        <v>57627.4473</v>
      </c>
      <c r="G3587" s="5" t="str">
        <f t="shared" si="113"/>
        <v>УКТУС</v>
      </c>
      <c r="J3587" s="5"/>
      <c r="AL3587" s="5">
        <f t="shared" si="114"/>
        <v>0</v>
      </c>
    </row>
    <row r="3588" spans="1:38" ht="25.5" customHeight="1" x14ac:dyDescent="0.25">
      <c r="A3588" s="10" t="s">
        <v>3189</v>
      </c>
      <c r="B3588" s="11" t="s">
        <v>1679</v>
      </c>
      <c r="C3588" s="5">
        <v>28855.326499999999</v>
      </c>
      <c r="D3588" s="5">
        <v>28855.326499999999</v>
      </c>
      <c r="E3588" s="5">
        <v>25951.933700000001</v>
      </c>
      <c r="G3588" s="5" t="str">
        <f t="shared" si="113"/>
        <v>Ст.Каменск-Хозспособ</v>
      </c>
      <c r="J3588" s="5"/>
      <c r="AL3588" s="5">
        <f t="shared" si="114"/>
        <v>0</v>
      </c>
    </row>
    <row r="3589" spans="1:38" ht="25.5" customHeight="1" x14ac:dyDescent="0.25">
      <c r="A3589" s="10" t="s">
        <v>3190</v>
      </c>
      <c r="B3589" s="11" t="s">
        <v>1639</v>
      </c>
      <c r="C3589" s="5">
        <v>53500.443299999999</v>
      </c>
      <c r="D3589" s="5">
        <v>53500.443299999999</v>
      </c>
      <c r="E3589" s="5">
        <v>48445.605100000001</v>
      </c>
      <c r="G3589" s="5" t="str">
        <f t="shared" si="113"/>
        <v>ИСТОК</v>
      </c>
      <c r="J3589" s="5"/>
      <c r="AL3589" s="5">
        <f t="shared" si="114"/>
        <v>0</v>
      </c>
    </row>
    <row r="3590" spans="1:38" ht="25.5" customHeight="1" x14ac:dyDescent="0.25">
      <c r="A3590" s="10" t="s">
        <v>3191</v>
      </c>
      <c r="B3590" s="11" t="s">
        <v>1650</v>
      </c>
      <c r="C3590" s="5">
        <v>37590.3603</v>
      </c>
      <c r="D3590" s="5">
        <v>37590.3603</v>
      </c>
      <c r="E3590" s="5">
        <v>34038.745900000002</v>
      </c>
      <c r="G3590" s="5" t="str">
        <f t="shared" si="113"/>
        <v>ШАБРОВСКИЙ</v>
      </c>
      <c r="J3590" s="5"/>
      <c r="AL3590" s="5">
        <f t="shared" si="114"/>
        <v>0</v>
      </c>
    </row>
    <row r="3591" spans="1:38" ht="25.5" customHeight="1" x14ac:dyDescent="0.25">
      <c r="A3591" s="10" t="s">
        <v>3192</v>
      </c>
      <c r="B3591" s="11" t="s">
        <v>1639</v>
      </c>
      <c r="C3591" s="5">
        <v>53500.443299999999</v>
      </c>
      <c r="D3591" s="5">
        <v>53500.443299999999</v>
      </c>
      <c r="E3591" s="5">
        <v>48445.605100000001</v>
      </c>
      <c r="G3591" s="5" t="str">
        <f t="shared" si="113"/>
        <v>ИСТОК</v>
      </c>
      <c r="J3591" s="5"/>
      <c r="AL3591" s="5">
        <f t="shared" si="114"/>
        <v>0</v>
      </c>
    </row>
    <row r="3592" spans="1:38" ht="25.5" customHeight="1" x14ac:dyDescent="0.25">
      <c r="A3592" s="10" t="s">
        <v>599</v>
      </c>
      <c r="B3592" s="11" t="s">
        <v>1673</v>
      </c>
      <c r="C3592" s="5">
        <v>35563.243300000002</v>
      </c>
      <c r="D3592" s="5">
        <v>35563.243300000002</v>
      </c>
      <c r="E3592" s="5">
        <v>31984.905299999999</v>
      </c>
      <c r="G3592" s="5" t="str">
        <f t="shared" si="113"/>
        <v>УАЗ-III - 49 кв.</v>
      </c>
      <c r="J3592" s="5"/>
      <c r="AL3592" s="5">
        <f t="shared" si="114"/>
        <v>0</v>
      </c>
    </row>
    <row r="3593" spans="1:38" ht="25.5" customHeight="1" x14ac:dyDescent="0.25">
      <c r="A3593" s="10" t="s">
        <v>3193</v>
      </c>
      <c r="B3593" s="11" t="s">
        <v>1630</v>
      </c>
      <c r="C3593" s="5">
        <v>62652.9401</v>
      </c>
      <c r="D3593" s="5">
        <v>62652.9401</v>
      </c>
      <c r="E3593" s="5">
        <v>56733.3557</v>
      </c>
      <c r="G3593" s="5" t="str">
        <f t="shared" si="113"/>
        <v>ЧЕРМЕТ</v>
      </c>
      <c r="J3593" s="5"/>
      <c r="AL3593" s="5">
        <f t="shared" si="114"/>
        <v>0</v>
      </c>
    </row>
    <row r="3594" spans="1:38" ht="25.5" customHeight="1" x14ac:dyDescent="0.25">
      <c r="A3594" s="10" t="s">
        <v>3194</v>
      </c>
      <c r="B3594" s="11" t="s">
        <v>33</v>
      </c>
      <c r="C3594" s="5">
        <v>84298.205100000006</v>
      </c>
      <c r="D3594" s="5">
        <v>84298.205100000006</v>
      </c>
      <c r="E3594" s="5">
        <v>76333.533100000001</v>
      </c>
      <c r="G3594" s="5" t="str">
        <f t="shared" si="113"/>
        <v>ВИЗ</v>
      </c>
      <c r="J3594" s="5"/>
      <c r="AL3594" s="5">
        <f t="shared" si="114"/>
        <v>0</v>
      </c>
    </row>
    <row r="3595" spans="1:38" ht="25.5" customHeight="1" x14ac:dyDescent="0.25">
      <c r="A3595" s="10" t="s">
        <v>3195</v>
      </c>
      <c r="B3595" s="11" t="s">
        <v>33</v>
      </c>
      <c r="C3595" s="5">
        <v>84298.205100000006</v>
      </c>
      <c r="D3595" s="5">
        <v>84298.205100000006</v>
      </c>
      <c r="E3595" s="5">
        <v>76333.533100000001</v>
      </c>
      <c r="G3595" s="5" t="str">
        <f t="shared" si="113"/>
        <v>ВИЗ</v>
      </c>
      <c r="J3595" s="5"/>
      <c r="AL3595" s="5">
        <f t="shared" si="114"/>
        <v>0</v>
      </c>
    </row>
    <row r="3596" spans="1:38" ht="25.5" customHeight="1" x14ac:dyDescent="0.25">
      <c r="A3596" s="20" t="s">
        <v>3196</v>
      </c>
      <c r="B3596" s="22">
        <v>1003</v>
      </c>
      <c r="C3596" s="5">
        <v>21261.0285</v>
      </c>
      <c r="D3596" s="5">
        <v>21261.0285</v>
      </c>
      <c r="E3596" s="5">
        <v>20837.465199999999</v>
      </c>
      <c r="G3596" s="5">
        <f t="shared" si="113"/>
        <v>1003</v>
      </c>
      <c r="J3596" s="5"/>
      <c r="AL3596" s="5">
        <f t="shared" si="114"/>
        <v>0</v>
      </c>
    </row>
    <row r="3597" spans="1:38" ht="25.5" customHeight="1" x14ac:dyDescent="0.25">
      <c r="A3597" s="20" t="s">
        <v>3197</v>
      </c>
      <c r="B3597" s="22">
        <v>1003</v>
      </c>
      <c r="C3597" s="5">
        <v>21261.0285</v>
      </c>
      <c r="D3597" s="5">
        <v>21261.0285</v>
      </c>
      <c r="E3597" s="5">
        <v>20837.465199999999</v>
      </c>
      <c r="G3597" s="5">
        <f t="shared" si="113"/>
        <v>1003</v>
      </c>
      <c r="J3597" s="5"/>
      <c r="AL3597" s="5">
        <f t="shared" si="114"/>
        <v>0</v>
      </c>
    </row>
    <row r="3598" spans="1:38" ht="25.5" customHeight="1" x14ac:dyDescent="0.25">
      <c r="A3598" s="10" t="s">
        <v>1358</v>
      </c>
      <c r="B3598" s="11" t="s">
        <v>1647</v>
      </c>
      <c r="C3598" s="5">
        <v>63178.133800000003</v>
      </c>
      <c r="D3598" s="5">
        <v>63178.133800000003</v>
      </c>
      <c r="E3598" s="5">
        <v>57208.931499999999</v>
      </c>
      <c r="G3598" s="5" t="str">
        <f t="shared" si="113"/>
        <v>ШИРОКАЯ РЕЧКА</v>
      </c>
      <c r="J3598" s="5"/>
      <c r="AL3598" s="5">
        <f t="shared" si="114"/>
        <v>0</v>
      </c>
    </row>
    <row r="3599" spans="1:38" ht="25.5" customHeight="1" x14ac:dyDescent="0.25">
      <c r="A3599" s="10" t="s">
        <v>608</v>
      </c>
      <c r="B3599" s="11" t="s">
        <v>14</v>
      </c>
      <c r="C3599" s="5">
        <v>93989.912800000006</v>
      </c>
      <c r="D3599" s="5">
        <v>93989.912800000006</v>
      </c>
      <c r="E3599" s="5">
        <v>85109.545199999993</v>
      </c>
      <c r="G3599" s="5" t="str">
        <f t="shared" si="113"/>
        <v>Центр</v>
      </c>
      <c r="J3599" s="5"/>
      <c r="AL3599" s="5">
        <f t="shared" si="114"/>
        <v>0</v>
      </c>
    </row>
    <row r="3600" spans="1:38" ht="25.5" customHeight="1" x14ac:dyDescent="0.25">
      <c r="A3600" s="10" t="s">
        <v>3198</v>
      </c>
      <c r="B3600" s="11" t="s">
        <v>1630</v>
      </c>
      <c r="C3600" s="5">
        <v>62652.9401</v>
      </c>
      <c r="D3600" s="5">
        <v>62652.9401</v>
      </c>
      <c r="E3600" s="5">
        <v>56733.3557</v>
      </c>
      <c r="G3600" s="5" t="str">
        <f t="shared" si="113"/>
        <v>ЧЕРМЕТ</v>
      </c>
      <c r="J3600" s="5"/>
      <c r="AL3600" s="5">
        <f t="shared" si="114"/>
        <v>0</v>
      </c>
    </row>
    <row r="3601" spans="1:38" ht="25.5" customHeight="1" x14ac:dyDescent="0.25">
      <c r="A3601" s="10" t="s">
        <v>1292</v>
      </c>
      <c r="B3601" s="11" t="s">
        <v>1654</v>
      </c>
      <c r="C3601" s="5">
        <v>56140.449699999997</v>
      </c>
      <c r="D3601" s="5">
        <v>56140.449699999997</v>
      </c>
      <c r="E3601" s="5">
        <v>50836.1803</v>
      </c>
      <c r="G3601" s="5" t="str">
        <f t="shared" si="113"/>
        <v>ЗАВОКЗАЛЬНЫЙ</v>
      </c>
      <c r="J3601" s="5"/>
      <c r="AL3601" s="5">
        <f t="shared" si="114"/>
        <v>0</v>
      </c>
    </row>
    <row r="3602" spans="1:38" ht="25.5" customHeight="1" x14ac:dyDescent="0.25">
      <c r="A3602" s="10" t="s">
        <v>3199</v>
      </c>
      <c r="B3602" s="11" t="s">
        <v>1664</v>
      </c>
      <c r="C3602" s="5">
        <v>53668.506099999999</v>
      </c>
      <c r="D3602" s="5">
        <v>53668.506099999999</v>
      </c>
      <c r="E3602" s="5">
        <v>48597.792699999998</v>
      </c>
      <c r="G3602" s="5" t="str">
        <f t="shared" si="113"/>
        <v>ИЗОПЛИТ</v>
      </c>
      <c r="J3602" s="5"/>
      <c r="AL3602" s="5">
        <f t="shared" si="114"/>
        <v>0</v>
      </c>
    </row>
    <row r="3603" spans="1:38" ht="25.5" customHeight="1" x14ac:dyDescent="0.25">
      <c r="A3603" s="10" t="s">
        <v>1108</v>
      </c>
      <c r="B3603" s="11" t="s">
        <v>1631</v>
      </c>
      <c r="C3603" s="5">
        <v>70026.7601</v>
      </c>
      <c r="D3603" s="5">
        <v>70026.7601</v>
      </c>
      <c r="E3603" s="5">
        <v>63410.482000000004</v>
      </c>
      <c r="G3603" s="5" t="str">
        <f t="shared" si="113"/>
        <v>УРАЛМАШ</v>
      </c>
      <c r="J3603" s="5"/>
      <c r="AL3603" s="5">
        <f t="shared" si="114"/>
        <v>0</v>
      </c>
    </row>
    <row r="3604" spans="1:38" ht="25.5" customHeight="1" x14ac:dyDescent="0.25">
      <c r="A3604" s="10" t="s">
        <v>3200</v>
      </c>
      <c r="B3604" s="11" t="s">
        <v>14</v>
      </c>
      <c r="C3604" s="5">
        <v>93989.912800000006</v>
      </c>
      <c r="D3604" s="5">
        <v>93989.912800000006</v>
      </c>
      <c r="E3604" s="5">
        <v>85109.545199999993</v>
      </c>
      <c r="G3604" s="5" t="str">
        <f t="shared" si="113"/>
        <v>Центр</v>
      </c>
      <c r="J3604" s="5"/>
      <c r="AL3604" s="5">
        <f t="shared" si="114"/>
        <v>0</v>
      </c>
    </row>
    <row r="3605" spans="1:38" ht="25.5" customHeight="1" x14ac:dyDescent="0.25">
      <c r="A3605" s="10" t="s">
        <v>178</v>
      </c>
      <c r="B3605" s="11" t="s">
        <v>1630</v>
      </c>
      <c r="C3605" s="5">
        <v>62652.9401</v>
      </c>
      <c r="D3605" s="5">
        <v>62652.9401</v>
      </c>
      <c r="E3605" s="5">
        <v>56733.3557</v>
      </c>
      <c r="G3605" s="5" t="str">
        <f t="shared" si="113"/>
        <v>ЧЕРМЕТ</v>
      </c>
      <c r="J3605" s="5"/>
      <c r="AL3605" s="5">
        <f t="shared" si="114"/>
        <v>0</v>
      </c>
    </row>
    <row r="3606" spans="1:38" ht="25.5" customHeight="1" x14ac:dyDescent="0.25">
      <c r="A3606" s="10" t="s">
        <v>3201</v>
      </c>
      <c r="B3606" s="11" t="s">
        <v>33</v>
      </c>
      <c r="C3606" s="5">
        <v>84298.205100000006</v>
      </c>
      <c r="D3606" s="5">
        <v>84298.205100000006</v>
      </c>
      <c r="E3606" s="5">
        <v>76333.533100000001</v>
      </c>
      <c r="G3606" s="5" t="str">
        <f t="shared" si="113"/>
        <v>ВИЗ</v>
      </c>
      <c r="J3606" s="5"/>
      <c r="AL3606" s="5">
        <f t="shared" si="114"/>
        <v>0</v>
      </c>
    </row>
    <row r="3607" spans="1:38" ht="25.5" customHeight="1" x14ac:dyDescent="0.25">
      <c r="A3607" s="10" t="s">
        <v>3202</v>
      </c>
      <c r="B3607" s="11" t="s">
        <v>1628</v>
      </c>
      <c r="C3607" s="5">
        <v>70734.0236</v>
      </c>
      <c r="D3607" s="5">
        <v>70734.0236</v>
      </c>
      <c r="E3607" s="5">
        <v>64050.9208</v>
      </c>
      <c r="G3607" s="5" t="str">
        <f t="shared" si="113"/>
        <v>ЭЛЬМАШ</v>
      </c>
      <c r="J3607" s="5"/>
      <c r="AL3607" s="5">
        <f t="shared" si="114"/>
        <v>0</v>
      </c>
    </row>
    <row r="3608" spans="1:38" ht="25.5" customHeight="1" x14ac:dyDescent="0.25">
      <c r="A3608" s="10" t="s">
        <v>3203</v>
      </c>
      <c r="B3608" s="11" t="s">
        <v>1638</v>
      </c>
      <c r="C3608" s="5">
        <v>63640.311600000001</v>
      </c>
      <c r="D3608" s="5">
        <v>63640.311600000001</v>
      </c>
      <c r="E3608" s="5">
        <v>57627.4473</v>
      </c>
      <c r="G3608" s="5" t="str">
        <f t="shared" si="113"/>
        <v>УКТУС</v>
      </c>
      <c r="J3608" s="5"/>
      <c r="AL3608" s="5">
        <f t="shared" si="114"/>
        <v>0</v>
      </c>
    </row>
    <row r="3609" spans="1:38" ht="25.5" customHeight="1" x14ac:dyDescent="0.25">
      <c r="A3609" s="10" t="s">
        <v>1609</v>
      </c>
      <c r="B3609" s="11" t="s">
        <v>1643</v>
      </c>
      <c r="C3609" s="5">
        <v>76630.280299999999</v>
      </c>
      <c r="D3609" s="5">
        <v>76630.280299999999</v>
      </c>
      <c r="E3609" s="5">
        <v>69390.088799999998</v>
      </c>
      <c r="G3609" s="5" t="str">
        <f t="shared" si="113"/>
        <v>Ю-З</v>
      </c>
      <c r="J3609" s="5"/>
      <c r="AL3609" s="5">
        <f t="shared" si="114"/>
        <v>0</v>
      </c>
    </row>
    <row r="3610" spans="1:38" ht="25.5" customHeight="1" x14ac:dyDescent="0.25">
      <c r="A3610" s="10" t="s">
        <v>3204</v>
      </c>
      <c r="B3610" s="11" t="s">
        <v>1638</v>
      </c>
      <c r="C3610" s="5">
        <v>63640.311600000001</v>
      </c>
      <c r="D3610" s="5">
        <v>63640.311600000001</v>
      </c>
      <c r="E3610" s="5">
        <v>57627.4473</v>
      </c>
      <c r="G3610" s="5" t="str">
        <f t="shared" si="113"/>
        <v>УКТУС</v>
      </c>
      <c r="J3610" s="5"/>
      <c r="AL3610" s="5">
        <f t="shared" si="114"/>
        <v>0</v>
      </c>
    </row>
    <row r="3611" spans="1:38" ht="25.5" customHeight="1" x14ac:dyDescent="0.25">
      <c r="A3611" s="10" t="s">
        <v>891</v>
      </c>
      <c r="B3611" s="11" t="s">
        <v>1637</v>
      </c>
      <c r="C3611" s="5">
        <v>59368.686099999999</v>
      </c>
      <c r="D3611" s="5">
        <v>59368.686099999999</v>
      </c>
      <c r="E3611" s="5">
        <v>53759.401700000002</v>
      </c>
      <c r="G3611" s="5" t="str">
        <f t="shared" si="113"/>
        <v>Старая сортировка</v>
      </c>
      <c r="J3611" s="5"/>
      <c r="AL3611" s="5">
        <f t="shared" si="114"/>
        <v>0</v>
      </c>
    </row>
    <row r="3612" spans="1:38" ht="25.5" customHeight="1" x14ac:dyDescent="0.25">
      <c r="A3612" s="10" t="s">
        <v>1045</v>
      </c>
      <c r="B3612" s="11" t="s">
        <v>1637</v>
      </c>
      <c r="C3612" s="5">
        <v>59368.686099999999</v>
      </c>
      <c r="D3612" s="5">
        <v>59368.686099999999</v>
      </c>
      <c r="E3612" s="5">
        <v>53759.401700000002</v>
      </c>
      <c r="G3612" s="5" t="str">
        <f t="shared" si="113"/>
        <v>Старая сортировка</v>
      </c>
      <c r="J3612" s="5"/>
      <c r="AL3612" s="5">
        <f t="shared" si="114"/>
        <v>0</v>
      </c>
    </row>
    <row r="3613" spans="1:38" ht="25.5" customHeight="1" x14ac:dyDescent="0.25">
      <c r="A3613" s="10" t="s">
        <v>3205</v>
      </c>
      <c r="B3613" s="11" t="s">
        <v>209</v>
      </c>
      <c r="C3613" s="5">
        <v>69382.512499999997</v>
      </c>
      <c r="D3613" s="5">
        <v>69382.512499999997</v>
      </c>
      <c r="E3613" s="5">
        <v>62827.103199999998</v>
      </c>
      <c r="G3613" s="5" t="str">
        <f t="shared" si="113"/>
        <v>ЖБИ</v>
      </c>
      <c r="J3613" s="5"/>
      <c r="AL3613" s="5">
        <f t="shared" si="114"/>
        <v>0</v>
      </c>
    </row>
    <row r="3614" spans="1:38" ht="25.5" customHeight="1" x14ac:dyDescent="0.25">
      <c r="A3614" s="10" t="s">
        <v>3206</v>
      </c>
      <c r="B3614" s="11" t="s">
        <v>1630</v>
      </c>
      <c r="C3614" s="5">
        <v>62652.9401</v>
      </c>
      <c r="D3614" s="5">
        <v>62652.9401</v>
      </c>
      <c r="E3614" s="5">
        <v>56733.3557</v>
      </c>
      <c r="G3614" s="5" t="str">
        <f t="shared" si="113"/>
        <v>ЧЕРМЕТ</v>
      </c>
      <c r="J3614" s="5"/>
      <c r="AL3614" s="5">
        <f t="shared" si="114"/>
        <v>0</v>
      </c>
    </row>
    <row r="3615" spans="1:38" ht="25.5" customHeight="1" x14ac:dyDescent="0.25">
      <c r="A3615" s="10" t="s">
        <v>607</v>
      </c>
      <c r="B3615" s="11" t="s">
        <v>33</v>
      </c>
      <c r="C3615" s="5">
        <v>84298.205100000006</v>
      </c>
      <c r="D3615" s="5">
        <v>84298.205100000006</v>
      </c>
      <c r="E3615" s="5">
        <v>76333.533100000001</v>
      </c>
      <c r="G3615" s="5" t="str">
        <f t="shared" si="113"/>
        <v>ВИЗ</v>
      </c>
      <c r="J3615" s="5"/>
      <c r="AL3615" s="5">
        <f t="shared" si="114"/>
        <v>0</v>
      </c>
    </row>
    <row r="3616" spans="1:38" ht="25.5" customHeight="1" x14ac:dyDescent="0.25">
      <c r="A3616" s="10" t="s">
        <v>1079</v>
      </c>
      <c r="B3616" s="11" t="s">
        <v>14</v>
      </c>
      <c r="C3616" s="5">
        <v>93989.912800000006</v>
      </c>
      <c r="D3616" s="5">
        <v>93989.912800000006</v>
      </c>
      <c r="E3616" s="5">
        <v>85109.545199999993</v>
      </c>
      <c r="G3616" s="5" t="str">
        <f t="shared" si="113"/>
        <v>Центр</v>
      </c>
      <c r="J3616" s="5"/>
      <c r="AL3616" s="5">
        <f t="shared" si="114"/>
        <v>0</v>
      </c>
    </row>
    <row r="3617" spans="1:38" ht="25.5" customHeight="1" x14ac:dyDescent="0.25">
      <c r="A3617" s="10" t="s">
        <v>351</v>
      </c>
      <c r="B3617" s="11" t="s">
        <v>14</v>
      </c>
      <c r="C3617" s="5">
        <v>93989.912800000006</v>
      </c>
      <c r="D3617" s="5">
        <v>93989.912800000006</v>
      </c>
      <c r="E3617" s="5">
        <v>85109.545199999993</v>
      </c>
      <c r="G3617" s="5" t="str">
        <f t="shared" si="113"/>
        <v>Центр</v>
      </c>
      <c r="J3617" s="5"/>
      <c r="AL3617" s="5">
        <f t="shared" si="114"/>
        <v>0</v>
      </c>
    </row>
    <row r="3618" spans="1:38" ht="25.5" customHeight="1" x14ac:dyDescent="0.25">
      <c r="A3618" s="10" t="s">
        <v>3207</v>
      </c>
      <c r="B3618" s="11" t="s">
        <v>209</v>
      </c>
      <c r="C3618" s="5">
        <v>69382.512499999997</v>
      </c>
      <c r="D3618" s="5">
        <v>69382.512499999997</v>
      </c>
      <c r="E3618" s="5">
        <v>62827.103199999998</v>
      </c>
      <c r="G3618" s="5" t="str">
        <f t="shared" si="113"/>
        <v>ЖБИ</v>
      </c>
      <c r="J3618" s="5"/>
      <c r="AL3618" s="5">
        <f t="shared" si="114"/>
        <v>0</v>
      </c>
    </row>
    <row r="3619" spans="1:38" ht="25.5" customHeight="1" x14ac:dyDescent="0.25">
      <c r="A3619" s="10" t="s">
        <v>3208</v>
      </c>
      <c r="B3619" s="11" t="s">
        <v>1647</v>
      </c>
      <c r="C3619" s="5">
        <v>63178.133800000003</v>
      </c>
      <c r="D3619" s="5">
        <v>63178.133800000003</v>
      </c>
      <c r="E3619" s="5">
        <v>57208.931499999999</v>
      </c>
      <c r="G3619" s="5" t="str">
        <f t="shared" si="113"/>
        <v>ШИРОКАЯ РЕЧКА</v>
      </c>
      <c r="J3619" s="5"/>
      <c r="AL3619" s="5">
        <f t="shared" si="114"/>
        <v>0</v>
      </c>
    </row>
    <row r="3620" spans="1:38" ht="25.5" customHeight="1" x14ac:dyDescent="0.25">
      <c r="A3620" s="10" t="s">
        <v>1320</v>
      </c>
      <c r="B3620" s="11" t="s">
        <v>1632</v>
      </c>
      <c r="C3620" s="5">
        <v>83744.997499999998</v>
      </c>
      <c r="D3620" s="5">
        <v>83744.997499999998</v>
      </c>
      <c r="E3620" s="5">
        <v>75832.596099999995</v>
      </c>
      <c r="G3620" s="5" t="str">
        <f t="shared" si="113"/>
        <v>АВТОВОКЗАЛ</v>
      </c>
      <c r="J3620" s="5"/>
      <c r="AL3620" s="5">
        <f t="shared" si="114"/>
        <v>0</v>
      </c>
    </row>
    <row r="3621" spans="1:38" ht="25.5" customHeight="1" x14ac:dyDescent="0.25">
      <c r="A3621" s="10" t="s">
        <v>1012</v>
      </c>
      <c r="B3621" s="5" t="s">
        <v>1632</v>
      </c>
      <c r="C3621" s="5">
        <v>83744.997499999998</v>
      </c>
      <c r="D3621" s="5">
        <v>83744.997499999998</v>
      </c>
      <c r="E3621" s="5">
        <v>75832.596099999995</v>
      </c>
      <c r="G3621" s="5" t="str">
        <f t="shared" si="113"/>
        <v>АВТОВОКЗАЛ</v>
      </c>
      <c r="J3621" s="5"/>
      <c r="AL3621" s="5">
        <f t="shared" si="114"/>
        <v>0</v>
      </c>
    </row>
    <row r="3622" spans="1:38" ht="25.5" customHeight="1" x14ac:dyDescent="0.25">
      <c r="A3622" s="10" t="s">
        <v>3209</v>
      </c>
      <c r="B3622" s="11" t="s">
        <v>1636</v>
      </c>
      <c r="C3622" s="5">
        <v>52246.960299999999</v>
      </c>
      <c r="D3622" s="5">
        <v>52246.960299999999</v>
      </c>
      <c r="E3622" s="5">
        <v>47310.556700000001</v>
      </c>
      <c r="G3622" s="5" t="str">
        <f t="shared" si="113"/>
        <v>ГОРНЫЙ ЩИТ</v>
      </c>
      <c r="J3622" s="5"/>
      <c r="AL3622" s="5">
        <f t="shared" si="114"/>
        <v>0</v>
      </c>
    </row>
    <row r="3623" spans="1:38" ht="25.5" customHeight="1" x14ac:dyDescent="0.25">
      <c r="A3623" s="10" t="s">
        <v>3210</v>
      </c>
      <c r="B3623" s="11" t="s">
        <v>1644</v>
      </c>
      <c r="C3623" s="5">
        <v>61980.678599999999</v>
      </c>
      <c r="D3623" s="5">
        <v>61980.678599999999</v>
      </c>
      <c r="E3623" s="5">
        <v>56124.615700000002</v>
      </c>
      <c r="G3623" s="5" t="str">
        <f t="shared" si="113"/>
        <v>ХИММАШ</v>
      </c>
      <c r="J3623" s="5"/>
      <c r="AL3623" s="5">
        <f t="shared" si="114"/>
        <v>0</v>
      </c>
    </row>
    <row r="3624" spans="1:38" ht="25.5" customHeight="1" x14ac:dyDescent="0.25">
      <c r="A3624" s="10" t="s">
        <v>1525</v>
      </c>
      <c r="B3624" s="11" t="s">
        <v>14</v>
      </c>
      <c r="C3624" s="5">
        <v>93989.912800000006</v>
      </c>
      <c r="D3624" s="5">
        <v>93989.912800000006</v>
      </c>
      <c r="E3624" s="5">
        <v>85109.545199999993</v>
      </c>
      <c r="G3624" s="5" t="str">
        <f t="shared" si="113"/>
        <v>Центр</v>
      </c>
      <c r="J3624" s="5"/>
      <c r="AL3624" s="5">
        <f t="shared" si="114"/>
        <v>0</v>
      </c>
    </row>
    <row r="3625" spans="1:38" ht="25.5" customHeight="1" x14ac:dyDescent="0.25">
      <c r="A3625" s="10" t="s">
        <v>3211</v>
      </c>
      <c r="B3625" s="11" t="s">
        <v>1652</v>
      </c>
      <c r="C3625" s="5">
        <v>71105.171700000006</v>
      </c>
      <c r="D3625" s="5">
        <v>71105.171700000006</v>
      </c>
      <c r="E3625" s="5">
        <v>64387.005100000002</v>
      </c>
      <c r="G3625" s="5" t="str">
        <f t="shared" si="113"/>
        <v>ЗАРЕЧНЫЙ</v>
      </c>
      <c r="J3625" s="5"/>
      <c r="AL3625" s="5">
        <f t="shared" si="114"/>
        <v>0</v>
      </c>
    </row>
    <row r="3626" spans="1:38" ht="25.5" customHeight="1" x14ac:dyDescent="0.25">
      <c r="A3626" s="10" t="s">
        <v>885</v>
      </c>
      <c r="B3626" s="11" t="s">
        <v>1632</v>
      </c>
      <c r="C3626" s="5">
        <v>83744.997499999998</v>
      </c>
      <c r="D3626" s="5">
        <v>83744.997499999998</v>
      </c>
      <c r="E3626" s="5">
        <v>75832.596099999995</v>
      </c>
      <c r="G3626" s="5" t="str">
        <f t="shared" si="113"/>
        <v>АВТОВОКЗАЛ</v>
      </c>
      <c r="J3626" s="5"/>
      <c r="AL3626" s="5">
        <f t="shared" si="114"/>
        <v>0</v>
      </c>
    </row>
    <row r="3627" spans="1:38" ht="25.5" customHeight="1" x14ac:dyDescent="0.25">
      <c r="A3627" s="10" t="s">
        <v>1556</v>
      </c>
      <c r="B3627" s="11" t="s">
        <v>33</v>
      </c>
      <c r="C3627" s="5">
        <v>84298.205100000006</v>
      </c>
      <c r="D3627" s="5">
        <v>84298.205100000006</v>
      </c>
      <c r="E3627" s="5">
        <v>76333.533100000001</v>
      </c>
      <c r="G3627" s="5" t="str">
        <f t="shared" si="113"/>
        <v>ВИЗ</v>
      </c>
      <c r="J3627" s="5"/>
      <c r="AL3627" s="5">
        <f t="shared" si="114"/>
        <v>0</v>
      </c>
    </row>
    <row r="3628" spans="1:38" ht="25.5" customHeight="1" x14ac:dyDescent="0.25">
      <c r="A3628" s="10" t="s">
        <v>634</v>
      </c>
      <c r="B3628" s="11" t="s">
        <v>1628</v>
      </c>
      <c r="C3628" s="5">
        <v>70734.0236</v>
      </c>
      <c r="D3628" s="5">
        <v>70734.0236</v>
      </c>
      <c r="E3628" s="5">
        <v>64050.9208</v>
      </c>
      <c r="G3628" s="5" t="str">
        <f t="shared" si="113"/>
        <v>ЭЛЬМАШ</v>
      </c>
      <c r="J3628" s="5"/>
      <c r="AL3628" s="5">
        <f t="shared" si="114"/>
        <v>0</v>
      </c>
    </row>
    <row r="3629" spans="1:38" ht="25.5" customHeight="1" x14ac:dyDescent="0.25">
      <c r="A3629" s="10" t="s">
        <v>3212</v>
      </c>
      <c r="B3629" s="11" t="s">
        <v>1637</v>
      </c>
      <c r="C3629" s="5">
        <v>59368.686099999999</v>
      </c>
      <c r="D3629" s="5">
        <v>59368.686099999999</v>
      </c>
      <c r="E3629" s="5">
        <v>53759.401700000002</v>
      </c>
      <c r="G3629" s="5" t="str">
        <f t="shared" si="113"/>
        <v>Старая сортировка</v>
      </c>
      <c r="J3629" s="5"/>
      <c r="AL3629" s="5">
        <f t="shared" si="114"/>
        <v>0</v>
      </c>
    </row>
    <row r="3630" spans="1:38" ht="25.5" customHeight="1" x14ac:dyDescent="0.25">
      <c r="A3630" s="10" t="s">
        <v>3213</v>
      </c>
      <c r="B3630" s="11" t="s">
        <v>1628</v>
      </c>
      <c r="C3630" s="5">
        <v>70734.0236</v>
      </c>
      <c r="D3630" s="5">
        <v>70734.0236</v>
      </c>
      <c r="E3630" s="5">
        <v>64050.9208</v>
      </c>
      <c r="G3630" s="5" t="str">
        <f t="shared" si="113"/>
        <v>ЭЛЬМАШ</v>
      </c>
      <c r="J3630" s="5"/>
      <c r="AL3630" s="5">
        <f t="shared" si="114"/>
        <v>0</v>
      </c>
    </row>
    <row r="3631" spans="1:38" ht="25.5" customHeight="1" x14ac:dyDescent="0.25">
      <c r="A3631" s="10" t="s">
        <v>873</v>
      </c>
      <c r="B3631" s="11" t="s">
        <v>1638</v>
      </c>
      <c r="C3631" s="5">
        <v>63640.311600000001</v>
      </c>
      <c r="D3631" s="5">
        <v>63640.311600000001</v>
      </c>
      <c r="E3631" s="5">
        <v>57627.4473</v>
      </c>
      <c r="G3631" s="5" t="str">
        <f t="shared" si="113"/>
        <v>УКТУС</v>
      </c>
      <c r="J3631" s="5"/>
      <c r="AL3631" s="5">
        <f t="shared" si="114"/>
        <v>0</v>
      </c>
    </row>
    <row r="3632" spans="1:38" ht="25.5" customHeight="1" x14ac:dyDescent="0.25">
      <c r="A3632" s="10" t="s">
        <v>691</v>
      </c>
      <c r="B3632" s="11" t="s">
        <v>1633</v>
      </c>
      <c r="C3632" s="5">
        <v>77071.442599999995</v>
      </c>
      <c r="D3632" s="5">
        <v>77071.442599999995</v>
      </c>
      <c r="E3632" s="5">
        <v>69789.570900000006</v>
      </c>
      <c r="G3632" s="5" t="str">
        <f t="shared" si="113"/>
        <v>ВТУЗГОРОДОК</v>
      </c>
      <c r="J3632" s="5"/>
      <c r="AL3632" s="5">
        <f t="shared" si="114"/>
        <v>0</v>
      </c>
    </row>
    <row r="3633" spans="1:38" ht="25.5" customHeight="1" x14ac:dyDescent="0.25">
      <c r="A3633" s="10" t="s">
        <v>3214</v>
      </c>
      <c r="B3633" s="11" t="s">
        <v>1652</v>
      </c>
      <c r="C3633" s="5">
        <v>71105.171700000006</v>
      </c>
      <c r="D3633" s="5">
        <v>71105.171700000006</v>
      </c>
      <c r="E3633" s="5">
        <v>64387.005100000002</v>
      </c>
      <c r="G3633" s="5" t="str">
        <f t="shared" si="113"/>
        <v>ЗАРЕЧНЫЙ</v>
      </c>
      <c r="J3633" s="5"/>
      <c r="AL3633" s="5">
        <f t="shared" si="114"/>
        <v>0</v>
      </c>
    </row>
    <row r="3634" spans="1:38" ht="25.5" customHeight="1" x14ac:dyDescent="0.25">
      <c r="A3634" s="10" t="s">
        <v>710</v>
      </c>
      <c r="B3634" s="11" t="s">
        <v>1649</v>
      </c>
      <c r="C3634" s="5">
        <v>78633.047600000005</v>
      </c>
      <c r="D3634" s="5">
        <v>78633.047600000005</v>
      </c>
      <c r="E3634" s="5">
        <v>71203.623000000007</v>
      </c>
      <c r="G3634" s="5" t="str">
        <f t="shared" si="113"/>
        <v>ВОКЗАЛЬНЫЙ</v>
      </c>
      <c r="J3634" s="5"/>
      <c r="AL3634" s="5">
        <f t="shared" si="114"/>
        <v>0</v>
      </c>
    </row>
    <row r="3635" spans="1:38" ht="25.5" customHeight="1" x14ac:dyDescent="0.25">
      <c r="A3635" s="10" t="s">
        <v>3215</v>
      </c>
      <c r="B3635" s="11" t="s">
        <v>1637</v>
      </c>
      <c r="C3635" s="5">
        <v>59368.686099999999</v>
      </c>
      <c r="D3635" s="5">
        <v>59368.686099999999</v>
      </c>
      <c r="E3635" s="5">
        <v>53759.401700000002</v>
      </c>
      <c r="G3635" s="5" t="str">
        <f t="shared" si="113"/>
        <v>Старая сортировка</v>
      </c>
      <c r="J3635" s="5"/>
      <c r="AL3635" s="5">
        <f t="shared" si="114"/>
        <v>0</v>
      </c>
    </row>
    <row r="3636" spans="1:38" ht="25.5" customHeight="1" x14ac:dyDescent="0.25">
      <c r="A3636" s="10" t="s">
        <v>1239</v>
      </c>
      <c r="B3636" s="11" t="s">
        <v>14</v>
      </c>
      <c r="C3636" s="5">
        <v>93989.912800000006</v>
      </c>
      <c r="D3636" s="5">
        <v>93989.912800000006</v>
      </c>
      <c r="E3636" s="5">
        <v>85109.545199999993</v>
      </c>
      <c r="G3636" s="5" t="str">
        <f t="shared" si="113"/>
        <v>Центр</v>
      </c>
      <c r="J3636" s="5"/>
      <c r="AL3636" s="5">
        <f t="shared" si="114"/>
        <v>0</v>
      </c>
    </row>
    <row r="3637" spans="1:38" ht="25.5" customHeight="1" x14ac:dyDescent="0.25">
      <c r="A3637" s="10" t="s">
        <v>3216</v>
      </c>
      <c r="B3637" s="11" t="s">
        <v>33</v>
      </c>
      <c r="C3637" s="5">
        <v>84298.205100000006</v>
      </c>
      <c r="D3637" s="5">
        <v>84298.205100000006</v>
      </c>
      <c r="E3637" s="5">
        <v>76333.533100000001</v>
      </c>
      <c r="G3637" s="5" t="str">
        <f t="shared" si="113"/>
        <v>ВИЗ</v>
      </c>
      <c r="J3637" s="5"/>
      <c r="AL3637" s="5">
        <f t="shared" si="114"/>
        <v>0</v>
      </c>
    </row>
    <row r="3638" spans="1:38" ht="25.5" customHeight="1" x14ac:dyDescent="0.25">
      <c r="A3638" s="10" t="s">
        <v>3217</v>
      </c>
      <c r="B3638" s="11" t="s">
        <v>1638</v>
      </c>
      <c r="C3638" s="5">
        <v>63640.311600000001</v>
      </c>
      <c r="D3638" s="5">
        <v>63640.311600000001</v>
      </c>
      <c r="E3638" s="5">
        <v>57627.4473</v>
      </c>
      <c r="G3638" s="5" t="str">
        <f t="shared" si="113"/>
        <v>УКТУС</v>
      </c>
      <c r="J3638" s="5"/>
      <c r="AL3638" s="5">
        <f t="shared" si="114"/>
        <v>0</v>
      </c>
    </row>
    <row r="3639" spans="1:38" ht="25.5" customHeight="1" x14ac:dyDescent="0.25">
      <c r="A3639" s="10" t="s">
        <v>218</v>
      </c>
      <c r="B3639" s="11" t="s">
        <v>1631</v>
      </c>
      <c r="C3639" s="5">
        <v>70026.7601</v>
      </c>
      <c r="D3639" s="5">
        <v>70026.7601</v>
      </c>
      <c r="E3639" s="5">
        <v>63410.482000000004</v>
      </c>
      <c r="G3639" s="5" t="str">
        <f t="shared" si="113"/>
        <v>УРАЛМАШ</v>
      </c>
      <c r="J3639" s="5"/>
      <c r="AL3639" s="5">
        <f t="shared" si="114"/>
        <v>0</v>
      </c>
    </row>
    <row r="3640" spans="1:38" ht="25.5" customHeight="1" x14ac:dyDescent="0.25">
      <c r="A3640" s="10" t="s">
        <v>517</v>
      </c>
      <c r="B3640" s="11" t="s">
        <v>1628</v>
      </c>
      <c r="C3640" s="5">
        <v>70734.0236</v>
      </c>
      <c r="D3640" s="5">
        <v>70734.0236</v>
      </c>
      <c r="E3640" s="5">
        <v>64050.9208</v>
      </c>
      <c r="G3640" s="5" t="str">
        <f t="shared" si="113"/>
        <v>ЭЛЬМАШ</v>
      </c>
      <c r="J3640" s="5"/>
      <c r="AL3640" s="5">
        <f t="shared" si="114"/>
        <v>0</v>
      </c>
    </row>
    <row r="3641" spans="1:38" ht="25.5" customHeight="1" x14ac:dyDescent="0.25">
      <c r="A3641" s="10" t="s">
        <v>3218</v>
      </c>
      <c r="B3641" s="11" t="s">
        <v>1668</v>
      </c>
      <c r="C3641" s="5">
        <v>51343.6201</v>
      </c>
      <c r="D3641" s="5">
        <v>51343.6201</v>
      </c>
      <c r="E3641" s="5">
        <v>46492.558799999999</v>
      </c>
      <c r="G3641" s="5" t="str">
        <f t="shared" si="113"/>
        <v>МЕДНЫЙ</v>
      </c>
      <c r="J3641" s="5"/>
      <c r="AL3641" s="5">
        <f t="shared" si="114"/>
        <v>0</v>
      </c>
    </row>
    <row r="3642" spans="1:38" ht="25.5" customHeight="1" x14ac:dyDescent="0.25">
      <c r="A3642" s="10" t="s">
        <v>395</v>
      </c>
      <c r="B3642" s="11" t="s">
        <v>14</v>
      </c>
      <c r="C3642" s="5">
        <v>93989.912800000006</v>
      </c>
      <c r="D3642" s="5">
        <v>93989.912800000006</v>
      </c>
      <c r="E3642" s="5">
        <v>85109.545199999993</v>
      </c>
      <c r="G3642" s="5" t="str">
        <f t="shared" si="113"/>
        <v>Центр</v>
      </c>
      <c r="J3642" s="5"/>
      <c r="AL3642" s="5">
        <f t="shared" si="114"/>
        <v>0</v>
      </c>
    </row>
    <row r="3643" spans="1:38" ht="25.5" customHeight="1" x14ac:dyDescent="0.25">
      <c r="A3643" s="10" t="s">
        <v>3219</v>
      </c>
      <c r="B3643" s="11" t="s">
        <v>1636</v>
      </c>
      <c r="C3643" s="5">
        <v>52246.960299999999</v>
      </c>
      <c r="D3643" s="5">
        <v>52246.960299999999</v>
      </c>
      <c r="E3643" s="5">
        <v>47310.556700000001</v>
      </c>
      <c r="G3643" s="5" t="str">
        <f t="shared" si="113"/>
        <v>ГОРНЫЙ ЩИТ</v>
      </c>
      <c r="J3643" s="5"/>
      <c r="AL3643" s="5">
        <f t="shared" si="114"/>
        <v>0</v>
      </c>
    </row>
    <row r="3644" spans="1:38" ht="25.5" customHeight="1" x14ac:dyDescent="0.25">
      <c r="A3644" s="10" t="s">
        <v>3220</v>
      </c>
      <c r="B3644" s="11" t="s">
        <v>779</v>
      </c>
      <c r="C3644" s="5">
        <v>46784.877899999999</v>
      </c>
      <c r="D3644" s="5">
        <v>46784.877899999999</v>
      </c>
      <c r="E3644" s="5">
        <v>42364.543299999998</v>
      </c>
      <c r="G3644" s="5" t="str">
        <f t="shared" si="113"/>
        <v>Нижнеисетский</v>
      </c>
      <c r="J3644" s="5"/>
      <c r="AL3644" s="5">
        <f t="shared" si="114"/>
        <v>0</v>
      </c>
    </row>
    <row r="3645" spans="1:38" ht="25.5" customHeight="1" x14ac:dyDescent="0.25">
      <c r="A3645" s="10" t="s">
        <v>428</v>
      </c>
      <c r="B3645" s="11" t="s">
        <v>1652</v>
      </c>
      <c r="C3645" s="5">
        <v>71105.171700000006</v>
      </c>
      <c r="D3645" s="5">
        <v>71105.171700000006</v>
      </c>
      <c r="E3645" s="5">
        <v>64387.005100000002</v>
      </c>
      <c r="G3645" s="5" t="str">
        <f t="shared" si="113"/>
        <v>ЗАРЕЧНЫЙ</v>
      </c>
      <c r="J3645" s="5"/>
      <c r="AL3645" s="5">
        <f t="shared" si="114"/>
        <v>0</v>
      </c>
    </row>
    <row r="3646" spans="1:38" ht="25.5" customHeight="1" x14ac:dyDescent="0.25">
      <c r="A3646" s="10" t="s">
        <v>3221</v>
      </c>
      <c r="B3646" s="11" t="s">
        <v>14</v>
      </c>
      <c r="C3646" s="5">
        <v>93989.912800000006</v>
      </c>
      <c r="D3646" s="5">
        <v>93989.912800000006</v>
      </c>
      <c r="E3646" s="5">
        <v>85109.545199999993</v>
      </c>
      <c r="G3646" s="5" t="str">
        <f t="shared" si="113"/>
        <v>Центр</v>
      </c>
      <c r="J3646" s="5"/>
      <c r="AL3646" s="5">
        <f t="shared" si="114"/>
        <v>0</v>
      </c>
    </row>
    <row r="3647" spans="1:38" ht="25.5" customHeight="1" x14ac:dyDescent="0.25">
      <c r="A3647" s="10" t="s">
        <v>356</v>
      </c>
      <c r="B3647" s="11" t="s">
        <v>1634</v>
      </c>
      <c r="C3647" s="5">
        <v>77064.444199999998</v>
      </c>
      <c r="D3647" s="5">
        <v>77064.444199999998</v>
      </c>
      <c r="E3647" s="5">
        <v>69783.233200000002</v>
      </c>
      <c r="G3647" s="5" t="str">
        <f t="shared" ref="G3647:G3710" si="115">B3647</f>
        <v>БОТАНИЧЕСКИЙ</v>
      </c>
      <c r="J3647" s="5"/>
      <c r="AL3647" s="5">
        <f t="shared" ref="AL3647:AL3710" si="116">AF3647</f>
        <v>0</v>
      </c>
    </row>
    <row r="3648" spans="1:38" ht="25.5" customHeight="1" x14ac:dyDescent="0.25">
      <c r="A3648" s="10" t="s">
        <v>565</v>
      </c>
      <c r="B3648" s="11" t="s">
        <v>1664</v>
      </c>
      <c r="C3648" s="5">
        <v>53668.506099999999</v>
      </c>
      <c r="D3648" s="5">
        <v>53668.506099999999</v>
      </c>
      <c r="E3648" s="5">
        <v>48597.792699999998</v>
      </c>
      <c r="G3648" s="5" t="str">
        <f t="shared" si="115"/>
        <v>ИЗОПЛИТ</v>
      </c>
      <c r="J3648" s="5"/>
      <c r="AL3648" s="5">
        <f t="shared" si="116"/>
        <v>0</v>
      </c>
    </row>
    <row r="3649" spans="1:38" ht="25.5" customHeight="1" x14ac:dyDescent="0.25">
      <c r="A3649" s="10" t="s">
        <v>758</v>
      </c>
      <c r="B3649" s="11" t="s">
        <v>1638</v>
      </c>
      <c r="C3649" s="5">
        <v>63640.311600000001</v>
      </c>
      <c r="D3649" s="5">
        <v>63640.311600000001</v>
      </c>
      <c r="E3649" s="5">
        <v>57627.4473</v>
      </c>
      <c r="G3649" s="5" t="str">
        <f t="shared" si="115"/>
        <v>УКТУС</v>
      </c>
      <c r="J3649" s="5"/>
      <c r="AL3649" s="5">
        <f t="shared" si="116"/>
        <v>0</v>
      </c>
    </row>
    <row r="3650" spans="1:38" ht="25.5" customHeight="1" x14ac:dyDescent="0.25">
      <c r="A3650" s="10" t="s">
        <v>3222</v>
      </c>
      <c r="B3650" s="11" t="s">
        <v>33</v>
      </c>
      <c r="C3650" s="5">
        <v>84298.205100000006</v>
      </c>
      <c r="D3650" s="5">
        <v>84298.205100000006</v>
      </c>
      <c r="E3650" s="5">
        <v>76333.533100000001</v>
      </c>
      <c r="G3650" s="5" t="str">
        <f t="shared" si="115"/>
        <v>ВИЗ</v>
      </c>
      <c r="J3650" s="5"/>
      <c r="AL3650" s="5">
        <f t="shared" si="116"/>
        <v>0</v>
      </c>
    </row>
    <row r="3651" spans="1:38" ht="25.5" customHeight="1" x14ac:dyDescent="0.25">
      <c r="A3651" s="10" t="s">
        <v>374</v>
      </c>
      <c r="B3651" s="11" t="s">
        <v>1644</v>
      </c>
      <c r="C3651" s="5">
        <v>61980.678599999999</v>
      </c>
      <c r="D3651" s="5">
        <v>61980.678599999999</v>
      </c>
      <c r="E3651" s="5">
        <v>56124.615700000002</v>
      </c>
      <c r="G3651" s="5" t="str">
        <f t="shared" si="115"/>
        <v>ХИММАШ</v>
      </c>
      <c r="J3651" s="5"/>
      <c r="AL3651" s="5">
        <f t="shared" si="116"/>
        <v>0</v>
      </c>
    </row>
    <row r="3652" spans="1:38" ht="25.5" customHeight="1" x14ac:dyDescent="0.25">
      <c r="A3652" s="10" t="s">
        <v>1194</v>
      </c>
      <c r="B3652" s="11" t="s">
        <v>14</v>
      </c>
      <c r="C3652" s="5">
        <v>93989.912800000006</v>
      </c>
      <c r="D3652" s="5">
        <v>93989.912800000006</v>
      </c>
      <c r="E3652" s="5">
        <v>85109.545199999993</v>
      </c>
      <c r="G3652" s="5" t="str">
        <f t="shared" si="115"/>
        <v>Центр</v>
      </c>
      <c r="J3652" s="5"/>
      <c r="AL3652" s="5">
        <f t="shared" si="116"/>
        <v>0</v>
      </c>
    </row>
    <row r="3653" spans="1:38" ht="25.5" customHeight="1" x14ac:dyDescent="0.25">
      <c r="A3653" s="10" t="s">
        <v>249</v>
      </c>
      <c r="B3653" s="11" t="s">
        <v>33</v>
      </c>
      <c r="C3653" s="5">
        <v>84298.205100000006</v>
      </c>
      <c r="D3653" s="5">
        <v>84298.205100000006</v>
      </c>
      <c r="E3653" s="5">
        <v>76333.533100000001</v>
      </c>
      <c r="G3653" s="5" t="str">
        <f t="shared" si="115"/>
        <v>ВИЗ</v>
      </c>
      <c r="J3653" s="5"/>
      <c r="AL3653" s="5">
        <f t="shared" si="116"/>
        <v>0</v>
      </c>
    </row>
    <row r="3654" spans="1:38" ht="25.5" customHeight="1" x14ac:dyDescent="0.25">
      <c r="A3654" s="10" t="s">
        <v>1363</v>
      </c>
      <c r="B3654" s="11" t="s">
        <v>1631</v>
      </c>
      <c r="C3654" s="5">
        <v>70026.7601</v>
      </c>
      <c r="D3654" s="5">
        <v>70026.7601</v>
      </c>
      <c r="E3654" s="5">
        <v>63410.482000000004</v>
      </c>
      <c r="G3654" s="5" t="str">
        <f t="shared" si="115"/>
        <v>УРАЛМАШ</v>
      </c>
      <c r="J3654" s="5"/>
      <c r="AL3654" s="5">
        <f t="shared" si="116"/>
        <v>0</v>
      </c>
    </row>
    <row r="3655" spans="1:38" ht="25.5" customHeight="1" x14ac:dyDescent="0.25">
      <c r="A3655" s="10" t="s">
        <v>3223</v>
      </c>
      <c r="B3655" s="11" t="s">
        <v>1650</v>
      </c>
      <c r="C3655" s="5">
        <v>37590.3603</v>
      </c>
      <c r="D3655" s="5">
        <v>37590.3603</v>
      </c>
      <c r="E3655" s="5">
        <v>34038.745900000002</v>
      </c>
      <c r="G3655" s="5" t="str">
        <f t="shared" si="115"/>
        <v>ШАБРОВСКИЙ</v>
      </c>
      <c r="J3655" s="5"/>
      <c r="AL3655" s="5">
        <f t="shared" si="116"/>
        <v>0</v>
      </c>
    </row>
    <row r="3656" spans="1:38" ht="25.5" customHeight="1" x14ac:dyDescent="0.25">
      <c r="A3656" s="10" t="s">
        <v>3224</v>
      </c>
      <c r="B3656" s="11" t="s">
        <v>1637</v>
      </c>
      <c r="C3656" s="5">
        <v>59368.686099999999</v>
      </c>
      <c r="D3656" s="5">
        <v>59368.686099999999</v>
      </c>
      <c r="E3656" s="5">
        <v>53759.401700000002</v>
      </c>
      <c r="G3656" s="5" t="str">
        <f t="shared" si="115"/>
        <v>Старая сортировка</v>
      </c>
      <c r="J3656" s="5"/>
      <c r="AL3656" s="5">
        <f t="shared" si="116"/>
        <v>0</v>
      </c>
    </row>
    <row r="3657" spans="1:38" ht="25.5" customHeight="1" x14ac:dyDescent="0.25">
      <c r="A3657" s="10" t="s">
        <v>981</v>
      </c>
      <c r="B3657" s="11" t="s">
        <v>1667</v>
      </c>
      <c r="C3657" s="5">
        <v>56546.599699999999</v>
      </c>
      <c r="D3657" s="5">
        <v>56546.599699999999</v>
      </c>
      <c r="E3657" s="5">
        <v>51203.963499999998</v>
      </c>
      <c r="G3657" s="5" t="str">
        <f t="shared" si="115"/>
        <v>КАЛИНОВСКИЙ</v>
      </c>
      <c r="J3657" s="5"/>
      <c r="AL3657" s="5">
        <f t="shared" si="116"/>
        <v>0</v>
      </c>
    </row>
    <row r="3658" spans="1:38" ht="25.5" customHeight="1" x14ac:dyDescent="0.25">
      <c r="A3658" s="10" t="s">
        <v>1571</v>
      </c>
      <c r="B3658" s="11" t="s">
        <v>66</v>
      </c>
      <c r="C3658" s="5">
        <v>64795.756300000001</v>
      </c>
      <c r="D3658" s="5">
        <v>64795.756300000001</v>
      </c>
      <c r="E3658" s="5">
        <v>58673.716200000003</v>
      </c>
      <c r="G3658" s="5" t="str">
        <f t="shared" si="115"/>
        <v>УНЦ</v>
      </c>
      <c r="J3658" s="5"/>
      <c r="AL3658" s="5">
        <f t="shared" si="116"/>
        <v>0</v>
      </c>
    </row>
    <row r="3659" spans="1:38" ht="25.5" customHeight="1" x14ac:dyDescent="0.25">
      <c r="A3659" s="10" t="s">
        <v>3225</v>
      </c>
      <c r="B3659" s="11" t="s">
        <v>1637</v>
      </c>
      <c r="C3659" s="5">
        <v>59368.686099999999</v>
      </c>
      <c r="D3659" s="5">
        <v>59368.686099999999</v>
      </c>
      <c r="E3659" s="5">
        <v>53759.401700000002</v>
      </c>
      <c r="G3659" s="5" t="str">
        <f t="shared" si="115"/>
        <v>Старая сортировка</v>
      </c>
      <c r="J3659" s="5"/>
      <c r="AL3659" s="5">
        <f t="shared" si="116"/>
        <v>0</v>
      </c>
    </row>
    <row r="3660" spans="1:38" ht="25.5" customHeight="1" x14ac:dyDescent="0.25">
      <c r="A3660" s="10" t="s">
        <v>1122</v>
      </c>
      <c r="B3660" s="11" t="s">
        <v>1632</v>
      </c>
      <c r="C3660" s="5">
        <v>83744.997499999998</v>
      </c>
      <c r="D3660" s="5">
        <v>83744.997499999998</v>
      </c>
      <c r="E3660" s="5">
        <v>75832.596099999995</v>
      </c>
      <c r="G3660" s="5" t="str">
        <f t="shared" si="115"/>
        <v>АВТОВОКЗАЛ</v>
      </c>
      <c r="J3660" s="5"/>
      <c r="AL3660" s="5">
        <f t="shared" si="116"/>
        <v>0</v>
      </c>
    </row>
    <row r="3661" spans="1:38" ht="25.5" customHeight="1" x14ac:dyDescent="0.25">
      <c r="A3661" s="10" t="s">
        <v>708</v>
      </c>
      <c r="B3661" s="11" t="s">
        <v>14</v>
      </c>
      <c r="C3661" s="5">
        <v>93989.912800000006</v>
      </c>
      <c r="D3661" s="5">
        <v>93989.912800000006</v>
      </c>
      <c r="E3661" s="5">
        <v>85109.545199999993</v>
      </c>
      <c r="G3661" s="5" t="str">
        <f t="shared" si="115"/>
        <v>Центр</v>
      </c>
      <c r="J3661" s="5"/>
      <c r="AL3661" s="5">
        <f t="shared" si="116"/>
        <v>0</v>
      </c>
    </row>
    <row r="3662" spans="1:38" ht="25.5" customHeight="1" x14ac:dyDescent="0.25">
      <c r="A3662" s="10" t="s">
        <v>3226</v>
      </c>
      <c r="B3662" s="11" t="s">
        <v>1643</v>
      </c>
      <c r="C3662" s="5">
        <v>76630.280299999999</v>
      </c>
      <c r="D3662" s="5">
        <v>76630.280299999999</v>
      </c>
      <c r="E3662" s="5">
        <v>69390.088799999998</v>
      </c>
      <c r="G3662" s="5" t="str">
        <f t="shared" si="115"/>
        <v>Ю-З</v>
      </c>
      <c r="J3662" s="5"/>
      <c r="AL3662" s="5">
        <f t="shared" si="116"/>
        <v>0</v>
      </c>
    </row>
    <row r="3663" spans="1:38" ht="25.5" customHeight="1" x14ac:dyDescent="0.25">
      <c r="A3663" s="10" t="s">
        <v>3227</v>
      </c>
      <c r="B3663" s="11" t="s">
        <v>1637</v>
      </c>
      <c r="C3663" s="5">
        <v>59368.686099999999</v>
      </c>
      <c r="D3663" s="5">
        <v>59368.686099999999</v>
      </c>
      <c r="E3663" s="5">
        <v>53759.401700000002</v>
      </c>
      <c r="G3663" s="5" t="str">
        <f t="shared" si="115"/>
        <v>Старая сортировка</v>
      </c>
      <c r="J3663" s="5"/>
      <c r="AL3663" s="5">
        <f t="shared" si="116"/>
        <v>0</v>
      </c>
    </row>
    <row r="3664" spans="1:38" ht="25.5" customHeight="1" x14ac:dyDescent="0.25">
      <c r="A3664" s="10" t="s">
        <v>3228</v>
      </c>
      <c r="B3664" s="11" t="s">
        <v>1659</v>
      </c>
      <c r="C3664" s="5">
        <v>59746.832600000002</v>
      </c>
      <c r="D3664" s="5">
        <v>59746.832600000002</v>
      </c>
      <c r="E3664" s="5">
        <v>54101.823700000001</v>
      </c>
      <c r="G3664" s="5" t="str">
        <f t="shared" si="115"/>
        <v>СОВХОЗ</v>
      </c>
      <c r="J3664" s="5"/>
      <c r="AL3664" s="5">
        <f t="shared" si="116"/>
        <v>0</v>
      </c>
    </row>
    <row r="3665" spans="1:38" ht="25.5" customHeight="1" x14ac:dyDescent="0.25">
      <c r="A3665" s="10" t="s">
        <v>3229</v>
      </c>
      <c r="B3665" s="11" t="s">
        <v>1638</v>
      </c>
      <c r="C3665" s="5">
        <v>63640.311600000001</v>
      </c>
      <c r="D3665" s="5">
        <v>63640.311600000001</v>
      </c>
      <c r="E3665" s="5">
        <v>57627.4473</v>
      </c>
      <c r="G3665" s="5" t="str">
        <f t="shared" si="115"/>
        <v>УКТУС</v>
      </c>
      <c r="J3665" s="5"/>
      <c r="AL3665" s="5">
        <f t="shared" si="116"/>
        <v>0</v>
      </c>
    </row>
    <row r="3666" spans="1:38" ht="25.5" customHeight="1" x14ac:dyDescent="0.25">
      <c r="A3666" s="10" t="s">
        <v>3230</v>
      </c>
      <c r="B3666" s="11" t="s">
        <v>1647</v>
      </c>
      <c r="C3666" s="5">
        <v>63178.133800000003</v>
      </c>
      <c r="D3666" s="5">
        <v>63178.133800000003</v>
      </c>
      <c r="E3666" s="5">
        <v>57208.931499999999</v>
      </c>
      <c r="G3666" s="5" t="str">
        <f t="shared" si="115"/>
        <v>ШИРОКАЯ РЕЧКА</v>
      </c>
      <c r="J3666" s="5"/>
      <c r="AL3666" s="5">
        <f t="shared" si="116"/>
        <v>0</v>
      </c>
    </row>
    <row r="3667" spans="1:38" ht="25.5" customHeight="1" x14ac:dyDescent="0.25">
      <c r="A3667" s="10" t="s">
        <v>411</v>
      </c>
      <c r="B3667" s="11" t="s">
        <v>1628</v>
      </c>
      <c r="C3667" s="5">
        <v>70734.0236</v>
      </c>
      <c r="D3667" s="5">
        <v>70734.0236</v>
      </c>
      <c r="E3667" s="5">
        <v>64050.9208</v>
      </c>
      <c r="G3667" s="5" t="str">
        <f t="shared" si="115"/>
        <v>ЭЛЬМАШ</v>
      </c>
      <c r="J3667" s="5"/>
      <c r="AL3667" s="5">
        <f t="shared" si="116"/>
        <v>0</v>
      </c>
    </row>
    <row r="3668" spans="1:38" ht="25.5" customHeight="1" x14ac:dyDescent="0.25">
      <c r="A3668" s="10" t="s">
        <v>1193</v>
      </c>
      <c r="B3668" s="11" t="s">
        <v>1637</v>
      </c>
      <c r="C3668" s="5">
        <v>59368.686099999999</v>
      </c>
      <c r="D3668" s="5">
        <v>59368.686099999999</v>
      </c>
      <c r="E3668" s="5">
        <v>53759.401700000002</v>
      </c>
      <c r="G3668" s="5" t="str">
        <f t="shared" si="115"/>
        <v>Старая сортировка</v>
      </c>
      <c r="J3668" s="5"/>
      <c r="AL3668" s="5">
        <f t="shared" si="116"/>
        <v>0</v>
      </c>
    </row>
    <row r="3669" spans="1:38" ht="25.5" customHeight="1" x14ac:dyDescent="0.25">
      <c r="A3669" s="10" t="s">
        <v>815</v>
      </c>
      <c r="B3669" s="11" t="s">
        <v>1631</v>
      </c>
      <c r="C3669" s="5">
        <v>70026.7601</v>
      </c>
      <c r="D3669" s="5">
        <v>70026.7601</v>
      </c>
      <c r="E3669" s="5">
        <v>63410.482000000004</v>
      </c>
      <c r="G3669" s="5" t="str">
        <f t="shared" si="115"/>
        <v>УРАЛМАШ</v>
      </c>
      <c r="J3669" s="5"/>
      <c r="AL3669" s="5">
        <f t="shared" si="116"/>
        <v>0</v>
      </c>
    </row>
    <row r="3670" spans="1:38" ht="25.5" customHeight="1" x14ac:dyDescent="0.25">
      <c r="A3670" s="10" t="s">
        <v>3231</v>
      </c>
      <c r="B3670" s="11" t="s">
        <v>1638</v>
      </c>
      <c r="C3670" s="5">
        <v>63640.311600000001</v>
      </c>
      <c r="D3670" s="5">
        <v>63640.311600000001</v>
      </c>
      <c r="E3670" s="5">
        <v>57627.4473</v>
      </c>
      <c r="G3670" s="5" t="str">
        <f t="shared" si="115"/>
        <v>УКТУС</v>
      </c>
      <c r="J3670" s="5"/>
      <c r="AL3670" s="5">
        <f t="shared" si="116"/>
        <v>0</v>
      </c>
    </row>
    <row r="3671" spans="1:38" ht="25.5" customHeight="1" x14ac:dyDescent="0.25">
      <c r="A3671" s="10" t="s">
        <v>211</v>
      </c>
      <c r="B3671" s="11" t="s">
        <v>1649</v>
      </c>
      <c r="C3671" s="5">
        <v>78633.047600000005</v>
      </c>
      <c r="D3671" s="5">
        <v>78633.047600000005</v>
      </c>
      <c r="E3671" s="5">
        <v>71203.623000000007</v>
      </c>
      <c r="G3671" s="5" t="str">
        <f t="shared" si="115"/>
        <v>ВОКЗАЛЬНЫЙ</v>
      </c>
      <c r="J3671" s="5"/>
      <c r="AL3671" s="5">
        <f t="shared" si="116"/>
        <v>0</v>
      </c>
    </row>
    <row r="3672" spans="1:38" ht="25.5" customHeight="1" x14ac:dyDescent="0.25">
      <c r="A3672" s="10" t="s">
        <v>3232</v>
      </c>
      <c r="B3672" s="11" t="s">
        <v>5166</v>
      </c>
      <c r="C3672" s="5">
        <v>49782.025399999999</v>
      </c>
      <c r="D3672" s="5">
        <v>49782.025399999999</v>
      </c>
      <c r="E3672" s="5">
        <v>45078.506800000003</v>
      </c>
      <c r="G3672" s="5" t="str">
        <f t="shared" si="115"/>
        <v>Чусовское озеро</v>
      </c>
      <c r="J3672" s="5"/>
      <c r="AL3672" s="5">
        <f t="shared" si="116"/>
        <v>0</v>
      </c>
    </row>
    <row r="3673" spans="1:38" ht="25.5" customHeight="1" x14ac:dyDescent="0.25">
      <c r="A3673" s="10" t="s">
        <v>505</v>
      </c>
      <c r="B3673" s="11" t="s">
        <v>1654</v>
      </c>
      <c r="C3673" s="5">
        <v>56140.449699999997</v>
      </c>
      <c r="D3673" s="5">
        <v>56140.449699999997</v>
      </c>
      <c r="E3673" s="5">
        <v>50836.1803</v>
      </c>
      <c r="G3673" s="5" t="str">
        <f t="shared" si="115"/>
        <v>ЗАВОКЗАЛЬНЫЙ</v>
      </c>
      <c r="J3673" s="5"/>
      <c r="AL3673" s="5">
        <f t="shared" si="116"/>
        <v>0</v>
      </c>
    </row>
    <row r="3674" spans="1:38" ht="25.5" customHeight="1" x14ac:dyDescent="0.25">
      <c r="A3674" s="10" t="s">
        <v>3233</v>
      </c>
      <c r="B3674" s="11" t="s">
        <v>1668</v>
      </c>
      <c r="C3674" s="5">
        <v>51343.6201</v>
      </c>
      <c r="D3674" s="5">
        <v>51343.6201</v>
      </c>
      <c r="E3674" s="5">
        <v>46492.558799999999</v>
      </c>
      <c r="G3674" s="5" t="str">
        <f t="shared" si="115"/>
        <v>МЕДНЫЙ</v>
      </c>
      <c r="J3674" s="5"/>
      <c r="AL3674" s="5">
        <f t="shared" si="116"/>
        <v>0</v>
      </c>
    </row>
    <row r="3675" spans="1:38" ht="25.5" customHeight="1" x14ac:dyDescent="0.25">
      <c r="A3675" s="10" t="s">
        <v>3234</v>
      </c>
      <c r="B3675" s="11" t="s">
        <v>14</v>
      </c>
      <c r="C3675" s="5">
        <v>93989.912800000006</v>
      </c>
      <c r="D3675" s="5">
        <v>93989.912800000006</v>
      </c>
      <c r="E3675" s="5">
        <v>85109.545199999993</v>
      </c>
      <c r="G3675" s="5" t="str">
        <f t="shared" si="115"/>
        <v>Центр</v>
      </c>
      <c r="J3675" s="5"/>
      <c r="AL3675" s="5">
        <f t="shared" si="116"/>
        <v>0</v>
      </c>
    </row>
    <row r="3676" spans="1:38" ht="25.5" customHeight="1" x14ac:dyDescent="0.25">
      <c r="A3676" s="10" t="s">
        <v>689</v>
      </c>
      <c r="B3676" s="11" t="s">
        <v>1654</v>
      </c>
      <c r="C3676" s="5">
        <v>56140.449699999997</v>
      </c>
      <c r="D3676" s="5">
        <v>56140.449699999997</v>
      </c>
      <c r="E3676" s="5">
        <v>50836.1803</v>
      </c>
      <c r="G3676" s="5" t="str">
        <f t="shared" si="115"/>
        <v>ЗАВОКЗАЛЬНЫЙ</v>
      </c>
      <c r="J3676" s="5"/>
      <c r="AL3676" s="5">
        <f t="shared" si="116"/>
        <v>0</v>
      </c>
    </row>
    <row r="3677" spans="1:38" ht="25.5" customHeight="1" x14ac:dyDescent="0.25">
      <c r="A3677" s="10" t="s">
        <v>1543</v>
      </c>
      <c r="B3677" s="11" t="s">
        <v>1643</v>
      </c>
      <c r="C3677" s="5">
        <v>76630.280299999999</v>
      </c>
      <c r="D3677" s="5">
        <v>76630.280299999999</v>
      </c>
      <c r="E3677" s="5">
        <v>69390.088799999998</v>
      </c>
      <c r="G3677" s="5" t="str">
        <f t="shared" si="115"/>
        <v>Ю-З</v>
      </c>
      <c r="J3677" s="5"/>
      <c r="AL3677" s="5">
        <f t="shared" si="116"/>
        <v>0</v>
      </c>
    </row>
    <row r="3678" spans="1:38" ht="25.5" customHeight="1" x14ac:dyDescent="0.25">
      <c r="A3678" s="10" t="s">
        <v>1611</v>
      </c>
      <c r="B3678" s="11" t="s">
        <v>1655</v>
      </c>
      <c r="C3678" s="5">
        <v>79683.445300000007</v>
      </c>
      <c r="D3678" s="5">
        <v>79683.445300000007</v>
      </c>
      <c r="E3678" s="5">
        <v>72154.784899999999</v>
      </c>
      <c r="G3678" s="5" t="str">
        <f t="shared" si="115"/>
        <v>Шарташский рынок</v>
      </c>
      <c r="J3678" s="5"/>
      <c r="AL3678" s="5">
        <f t="shared" si="116"/>
        <v>0</v>
      </c>
    </row>
    <row r="3679" spans="1:38" ht="25.5" customHeight="1" x14ac:dyDescent="0.25">
      <c r="A3679" s="10" t="s">
        <v>1294</v>
      </c>
      <c r="B3679" s="11" t="s">
        <v>1659</v>
      </c>
      <c r="C3679" s="5">
        <v>59746.832600000002</v>
      </c>
      <c r="D3679" s="5">
        <v>59746.832600000002</v>
      </c>
      <c r="E3679" s="5">
        <v>54101.823700000001</v>
      </c>
      <c r="G3679" s="5" t="str">
        <f t="shared" si="115"/>
        <v>СОВХОЗ</v>
      </c>
      <c r="J3679" s="5"/>
      <c r="AL3679" s="5">
        <f t="shared" si="116"/>
        <v>0</v>
      </c>
    </row>
    <row r="3680" spans="1:38" ht="25.5" customHeight="1" x14ac:dyDescent="0.25">
      <c r="A3680" s="10" t="s">
        <v>1129</v>
      </c>
      <c r="B3680" s="11" t="s">
        <v>1638</v>
      </c>
      <c r="C3680" s="5">
        <v>63640.311600000001</v>
      </c>
      <c r="D3680" s="5">
        <v>63640.311600000001</v>
      </c>
      <c r="E3680" s="5">
        <v>57627.4473</v>
      </c>
      <c r="G3680" s="5" t="str">
        <f t="shared" si="115"/>
        <v>УКТУС</v>
      </c>
      <c r="J3680" s="5"/>
      <c r="AL3680" s="5">
        <f t="shared" si="116"/>
        <v>0</v>
      </c>
    </row>
    <row r="3681" spans="1:38" ht="25.5" customHeight="1" x14ac:dyDescent="0.25">
      <c r="A3681" s="10" t="s">
        <v>1195</v>
      </c>
      <c r="B3681" s="11" t="s">
        <v>14</v>
      </c>
      <c r="C3681" s="5">
        <v>93989.912800000006</v>
      </c>
      <c r="D3681" s="5">
        <v>93989.912800000006</v>
      </c>
      <c r="E3681" s="5">
        <v>85109.545199999993</v>
      </c>
      <c r="G3681" s="5" t="str">
        <f t="shared" si="115"/>
        <v>Центр</v>
      </c>
      <c r="J3681" s="5"/>
      <c r="AL3681" s="5">
        <f t="shared" si="116"/>
        <v>0</v>
      </c>
    </row>
    <row r="3682" spans="1:38" ht="25.5" customHeight="1" x14ac:dyDescent="0.25">
      <c r="A3682" s="10" t="s">
        <v>1279</v>
      </c>
      <c r="B3682" s="11" t="s">
        <v>1637</v>
      </c>
      <c r="C3682" s="5">
        <v>59368.686099999999</v>
      </c>
      <c r="D3682" s="5">
        <v>59368.686099999999</v>
      </c>
      <c r="E3682" s="5">
        <v>53759.401700000002</v>
      </c>
      <c r="G3682" s="5" t="str">
        <f t="shared" si="115"/>
        <v>Старая сортировка</v>
      </c>
      <c r="J3682" s="5"/>
      <c r="AL3682" s="5">
        <f t="shared" si="116"/>
        <v>0</v>
      </c>
    </row>
    <row r="3683" spans="1:38" ht="25.5" customHeight="1" x14ac:dyDescent="0.25">
      <c r="A3683" s="10" t="s">
        <v>3235</v>
      </c>
      <c r="B3683" s="11" t="s">
        <v>33</v>
      </c>
      <c r="C3683" s="5">
        <v>84298.205100000006</v>
      </c>
      <c r="D3683" s="5">
        <v>84298.205100000006</v>
      </c>
      <c r="E3683" s="5">
        <v>76333.533100000001</v>
      </c>
      <c r="G3683" s="5" t="str">
        <f t="shared" si="115"/>
        <v>ВИЗ</v>
      </c>
      <c r="J3683" s="5"/>
      <c r="AL3683" s="5">
        <f t="shared" si="116"/>
        <v>0</v>
      </c>
    </row>
    <row r="3684" spans="1:38" ht="25.5" customHeight="1" x14ac:dyDescent="0.25">
      <c r="A3684" s="10" t="s">
        <v>1296</v>
      </c>
      <c r="B3684" s="11" t="s">
        <v>14</v>
      </c>
      <c r="C3684" s="5">
        <v>93989.912800000006</v>
      </c>
      <c r="D3684" s="5">
        <v>93989.912800000006</v>
      </c>
      <c r="E3684" s="5">
        <v>85109.545199999993</v>
      </c>
      <c r="G3684" s="5" t="str">
        <f t="shared" si="115"/>
        <v>Центр</v>
      </c>
      <c r="J3684" s="5"/>
      <c r="AL3684" s="5">
        <f t="shared" si="116"/>
        <v>0</v>
      </c>
    </row>
    <row r="3685" spans="1:38" ht="25.5" customHeight="1" x14ac:dyDescent="0.25">
      <c r="A3685" s="10" t="s">
        <v>3236</v>
      </c>
      <c r="B3685" s="11" t="s">
        <v>1628</v>
      </c>
      <c r="C3685" s="5">
        <v>70734.0236</v>
      </c>
      <c r="D3685" s="5">
        <v>70734.0236</v>
      </c>
      <c r="E3685" s="5">
        <v>64050.9208</v>
      </c>
      <c r="G3685" s="5" t="str">
        <f t="shared" si="115"/>
        <v>ЭЛЬМАШ</v>
      </c>
      <c r="J3685" s="5"/>
      <c r="AL3685" s="5">
        <f t="shared" si="116"/>
        <v>0</v>
      </c>
    </row>
    <row r="3686" spans="1:38" ht="25.5" customHeight="1" x14ac:dyDescent="0.25">
      <c r="A3686" s="10" t="s">
        <v>743</v>
      </c>
      <c r="B3686" s="11" t="s">
        <v>1637</v>
      </c>
      <c r="C3686" s="5">
        <v>59368.686099999999</v>
      </c>
      <c r="D3686" s="5">
        <v>59368.686099999999</v>
      </c>
      <c r="E3686" s="5">
        <v>53759.401700000002</v>
      </c>
      <c r="G3686" s="5" t="str">
        <f t="shared" si="115"/>
        <v>Старая сортировка</v>
      </c>
      <c r="J3686" s="5"/>
      <c r="AL3686" s="5">
        <f t="shared" si="116"/>
        <v>0</v>
      </c>
    </row>
    <row r="3687" spans="1:38" ht="25.5" customHeight="1" x14ac:dyDescent="0.25">
      <c r="A3687" s="10" t="s">
        <v>753</v>
      </c>
      <c r="B3687" s="11" t="s">
        <v>33</v>
      </c>
      <c r="C3687" s="5">
        <v>84298.205100000006</v>
      </c>
      <c r="D3687" s="5">
        <v>84298.205100000006</v>
      </c>
      <c r="E3687" s="5">
        <v>76333.533100000001</v>
      </c>
      <c r="G3687" s="5" t="str">
        <f t="shared" si="115"/>
        <v>ВИЗ</v>
      </c>
      <c r="J3687" s="5"/>
      <c r="AL3687" s="5">
        <f t="shared" si="116"/>
        <v>0</v>
      </c>
    </row>
    <row r="3688" spans="1:38" ht="25.5" customHeight="1" x14ac:dyDescent="0.25">
      <c r="A3688" s="10" t="s">
        <v>258</v>
      </c>
      <c r="B3688" s="11" t="s">
        <v>1631</v>
      </c>
      <c r="C3688" s="5">
        <v>70026.7601</v>
      </c>
      <c r="D3688" s="5">
        <v>70026.7601</v>
      </c>
      <c r="E3688" s="5">
        <v>63410.482000000004</v>
      </c>
      <c r="G3688" s="5" t="str">
        <f t="shared" si="115"/>
        <v>УРАЛМАШ</v>
      </c>
      <c r="J3688" s="5"/>
      <c r="AL3688" s="5">
        <f t="shared" si="116"/>
        <v>0</v>
      </c>
    </row>
    <row r="3689" spans="1:38" ht="25.5" customHeight="1" x14ac:dyDescent="0.25">
      <c r="A3689" s="10" t="s">
        <v>3237</v>
      </c>
      <c r="B3689" s="11" t="s">
        <v>1651</v>
      </c>
      <c r="C3689" s="5">
        <v>68129.029500000004</v>
      </c>
      <c r="D3689" s="5">
        <v>68129.029500000004</v>
      </c>
      <c r="E3689" s="5">
        <v>61692.054799999998</v>
      </c>
      <c r="G3689" s="5" t="str">
        <f t="shared" si="115"/>
        <v>ШАРТАШ</v>
      </c>
      <c r="J3689" s="5"/>
      <c r="AL3689" s="5">
        <f t="shared" si="116"/>
        <v>0</v>
      </c>
    </row>
    <row r="3690" spans="1:38" ht="25.5" customHeight="1" x14ac:dyDescent="0.25">
      <c r="A3690" s="10" t="s">
        <v>3238</v>
      </c>
      <c r="B3690" s="11" t="s">
        <v>1652</v>
      </c>
      <c r="C3690" s="5">
        <v>71105.171700000006</v>
      </c>
      <c r="D3690" s="5">
        <v>71105.171700000006</v>
      </c>
      <c r="E3690" s="5">
        <v>64387.005100000002</v>
      </c>
      <c r="G3690" s="5" t="str">
        <f t="shared" si="115"/>
        <v>ЗАРЕЧНЫЙ</v>
      </c>
      <c r="J3690" s="5"/>
      <c r="AL3690" s="5">
        <f t="shared" si="116"/>
        <v>0</v>
      </c>
    </row>
    <row r="3691" spans="1:38" ht="25.5" customHeight="1" x14ac:dyDescent="0.25">
      <c r="A3691" s="10" t="s">
        <v>1081</v>
      </c>
      <c r="B3691" s="11" t="s">
        <v>1628</v>
      </c>
      <c r="C3691" s="5">
        <v>70734.0236</v>
      </c>
      <c r="D3691" s="5">
        <v>70734.0236</v>
      </c>
      <c r="E3691" s="5">
        <v>64050.9208</v>
      </c>
      <c r="G3691" s="5" t="str">
        <f t="shared" si="115"/>
        <v>ЭЛЬМАШ</v>
      </c>
      <c r="J3691" s="5"/>
      <c r="AL3691" s="5">
        <f t="shared" si="116"/>
        <v>0</v>
      </c>
    </row>
    <row r="3692" spans="1:38" ht="25.5" customHeight="1" x14ac:dyDescent="0.25">
      <c r="A3692" s="10" t="s">
        <v>1127</v>
      </c>
      <c r="B3692" s="11" t="s">
        <v>1638</v>
      </c>
      <c r="C3692" s="5">
        <v>63640.311600000001</v>
      </c>
      <c r="D3692" s="5">
        <v>63640.311600000001</v>
      </c>
      <c r="E3692" s="5">
        <v>57627.4473</v>
      </c>
      <c r="G3692" s="5" t="str">
        <f t="shared" si="115"/>
        <v>УКТУС</v>
      </c>
      <c r="J3692" s="5"/>
      <c r="AL3692" s="5">
        <f t="shared" si="116"/>
        <v>0</v>
      </c>
    </row>
    <row r="3693" spans="1:38" ht="25.5" customHeight="1" x14ac:dyDescent="0.25">
      <c r="A3693" s="10" t="s">
        <v>3239</v>
      </c>
      <c r="B3693" s="11" t="s">
        <v>1631</v>
      </c>
      <c r="C3693" s="5">
        <v>70026.7601</v>
      </c>
      <c r="D3693" s="5">
        <v>70026.7601</v>
      </c>
      <c r="E3693" s="5">
        <v>63410.482000000004</v>
      </c>
      <c r="G3693" s="5" t="str">
        <f t="shared" si="115"/>
        <v>УРАЛМАШ</v>
      </c>
      <c r="J3693" s="5"/>
      <c r="AL3693" s="5">
        <f t="shared" si="116"/>
        <v>0</v>
      </c>
    </row>
    <row r="3694" spans="1:38" ht="25.5" customHeight="1" x14ac:dyDescent="0.25">
      <c r="A3694" s="10" t="s">
        <v>3240</v>
      </c>
      <c r="B3694" s="11" t="s">
        <v>14</v>
      </c>
      <c r="C3694" s="5">
        <v>93989.912800000006</v>
      </c>
      <c r="D3694" s="5">
        <v>93989.912800000006</v>
      </c>
      <c r="E3694" s="5">
        <v>85109.545199999993</v>
      </c>
      <c r="G3694" s="5" t="str">
        <f t="shared" si="115"/>
        <v>Центр</v>
      </c>
      <c r="J3694" s="5"/>
      <c r="AL3694" s="5">
        <f t="shared" si="116"/>
        <v>0</v>
      </c>
    </row>
    <row r="3695" spans="1:38" ht="25.5" customHeight="1" x14ac:dyDescent="0.25">
      <c r="A3695" s="10" t="s">
        <v>3241</v>
      </c>
      <c r="B3695" s="11" t="s">
        <v>1636</v>
      </c>
      <c r="C3695" s="5">
        <v>52246.960299999999</v>
      </c>
      <c r="D3695" s="5">
        <v>52246.960299999999</v>
      </c>
      <c r="E3695" s="5">
        <v>47310.556700000001</v>
      </c>
      <c r="G3695" s="5" t="str">
        <f t="shared" si="115"/>
        <v>ГОРНЫЙ ЩИТ</v>
      </c>
      <c r="J3695" s="5"/>
      <c r="AL3695" s="5">
        <f t="shared" si="116"/>
        <v>0</v>
      </c>
    </row>
    <row r="3696" spans="1:38" ht="25.5" customHeight="1" x14ac:dyDescent="0.25">
      <c r="A3696" s="10" t="s">
        <v>3242</v>
      </c>
      <c r="B3696" s="11" t="s">
        <v>1668</v>
      </c>
      <c r="C3696" s="5">
        <v>51343.6201</v>
      </c>
      <c r="D3696" s="5">
        <v>51343.6201</v>
      </c>
      <c r="E3696" s="5">
        <v>46492.558799999999</v>
      </c>
      <c r="G3696" s="5" t="str">
        <f t="shared" si="115"/>
        <v>МЕДНЫЙ</v>
      </c>
      <c r="J3696" s="5"/>
      <c r="AL3696" s="5">
        <f t="shared" si="116"/>
        <v>0</v>
      </c>
    </row>
    <row r="3697" spans="1:38" ht="25.5" customHeight="1" x14ac:dyDescent="0.25">
      <c r="A3697" s="10" t="s">
        <v>3243</v>
      </c>
      <c r="B3697" s="11" t="s">
        <v>1647</v>
      </c>
      <c r="C3697" s="5">
        <v>63178.133800000003</v>
      </c>
      <c r="D3697" s="5">
        <v>63178.133800000003</v>
      </c>
      <c r="E3697" s="5">
        <v>57208.931499999999</v>
      </c>
      <c r="G3697" s="5" t="str">
        <f t="shared" si="115"/>
        <v>ШИРОКАЯ РЕЧКА</v>
      </c>
      <c r="J3697" s="5"/>
      <c r="AL3697" s="5">
        <f t="shared" si="116"/>
        <v>0</v>
      </c>
    </row>
    <row r="3698" spans="1:38" ht="25.5" customHeight="1" x14ac:dyDescent="0.25">
      <c r="A3698" s="10" t="s">
        <v>3244</v>
      </c>
      <c r="B3698" s="11" t="s">
        <v>1652</v>
      </c>
      <c r="C3698" s="5">
        <v>71105.171700000006</v>
      </c>
      <c r="D3698" s="5">
        <v>71105.171700000006</v>
      </c>
      <c r="E3698" s="5">
        <v>64387.005100000002</v>
      </c>
      <c r="G3698" s="5" t="str">
        <f t="shared" si="115"/>
        <v>ЗАРЕЧНЫЙ</v>
      </c>
      <c r="J3698" s="5"/>
      <c r="AL3698" s="5">
        <f t="shared" si="116"/>
        <v>0</v>
      </c>
    </row>
    <row r="3699" spans="1:38" ht="25.5" customHeight="1" x14ac:dyDescent="0.25">
      <c r="A3699" s="10" t="s">
        <v>3245</v>
      </c>
      <c r="B3699" s="11" t="s">
        <v>779</v>
      </c>
      <c r="C3699" s="5">
        <v>46784.877899999999</v>
      </c>
      <c r="D3699" s="5">
        <v>46784.877899999999</v>
      </c>
      <c r="E3699" s="5">
        <v>42364.543299999998</v>
      </c>
      <c r="G3699" s="5" t="str">
        <f t="shared" si="115"/>
        <v>Нижнеисетский</v>
      </c>
      <c r="J3699" s="5"/>
      <c r="AL3699" s="5">
        <f t="shared" si="116"/>
        <v>0</v>
      </c>
    </row>
    <row r="3700" spans="1:38" ht="25.5" customHeight="1" x14ac:dyDescent="0.25">
      <c r="A3700" s="10" t="s">
        <v>3246</v>
      </c>
      <c r="B3700" s="11" t="s">
        <v>779</v>
      </c>
      <c r="C3700" s="5">
        <v>46784.877899999999</v>
      </c>
      <c r="D3700" s="5">
        <v>46784.877899999999</v>
      </c>
      <c r="E3700" s="5">
        <v>42364.543299999998</v>
      </c>
      <c r="G3700" s="5" t="str">
        <f t="shared" si="115"/>
        <v>Нижнеисетский</v>
      </c>
      <c r="J3700" s="5"/>
      <c r="AL3700" s="5">
        <f t="shared" si="116"/>
        <v>0</v>
      </c>
    </row>
    <row r="3701" spans="1:38" ht="25.5" customHeight="1" x14ac:dyDescent="0.25">
      <c r="A3701" s="10" t="s">
        <v>3247</v>
      </c>
      <c r="B3701" s="11" t="s">
        <v>33</v>
      </c>
      <c r="C3701" s="5">
        <v>84298.205100000006</v>
      </c>
      <c r="D3701" s="5">
        <v>84298.205100000006</v>
      </c>
      <c r="E3701" s="5">
        <v>76333.533100000001</v>
      </c>
      <c r="G3701" s="5" t="str">
        <f t="shared" si="115"/>
        <v>ВИЗ</v>
      </c>
      <c r="J3701" s="5"/>
      <c r="AL3701" s="5">
        <f t="shared" si="116"/>
        <v>0</v>
      </c>
    </row>
    <row r="3702" spans="1:38" ht="25.5" customHeight="1" x14ac:dyDescent="0.25">
      <c r="A3702" s="10" t="s">
        <v>3248</v>
      </c>
      <c r="B3702" s="11" t="s">
        <v>1647</v>
      </c>
      <c r="C3702" s="5">
        <v>63178.133800000003</v>
      </c>
      <c r="D3702" s="5">
        <v>63178.133800000003</v>
      </c>
      <c r="E3702" s="5">
        <v>57208.931499999999</v>
      </c>
      <c r="G3702" s="5" t="str">
        <f t="shared" si="115"/>
        <v>ШИРОКАЯ РЕЧКА</v>
      </c>
      <c r="J3702" s="5"/>
      <c r="AL3702" s="5">
        <f t="shared" si="116"/>
        <v>0</v>
      </c>
    </row>
    <row r="3703" spans="1:38" ht="25.5" customHeight="1" x14ac:dyDescent="0.25">
      <c r="A3703" s="10" t="s">
        <v>3249</v>
      </c>
      <c r="B3703" s="11" t="s">
        <v>1638</v>
      </c>
      <c r="C3703" s="5">
        <v>63640.311600000001</v>
      </c>
      <c r="D3703" s="5">
        <v>63640.311600000001</v>
      </c>
      <c r="E3703" s="5">
        <v>57627.4473</v>
      </c>
      <c r="G3703" s="5" t="str">
        <f t="shared" si="115"/>
        <v>УКТУС</v>
      </c>
      <c r="J3703" s="5"/>
      <c r="AL3703" s="5">
        <f t="shared" si="116"/>
        <v>0</v>
      </c>
    </row>
    <row r="3704" spans="1:38" ht="25.5" customHeight="1" x14ac:dyDescent="0.25">
      <c r="A3704" s="10" t="s">
        <v>3250</v>
      </c>
      <c r="B3704" s="11" t="s">
        <v>33</v>
      </c>
      <c r="C3704" s="5">
        <v>84298.205100000006</v>
      </c>
      <c r="D3704" s="5">
        <v>84298.205100000006</v>
      </c>
      <c r="E3704" s="5">
        <v>76333.533100000001</v>
      </c>
      <c r="G3704" s="5" t="str">
        <f t="shared" si="115"/>
        <v>ВИЗ</v>
      </c>
      <c r="J3704" s="5"/>
      <c r="AL3704" s="5">
        <f t="shared" si="116"/>
        <v>0</v>
      </c>
    </row>
    <row r="3705" spans="1:38" ht="25.5" customHeight="1" x14ac:dyDescent="0.25">
      <c r="A3705" s="10" t="s">
        <v>3251</v>
      </c>
      <c r="B3705" s="11" t="s">
        <v>14</v>
      </c>
      <c r="C3705" s="5">
        <v>93989.912800000006</v>
      </c>
      <c r="D3705" s="5">
        <v>93989.912800000006</v>
      </c>
      <c r="E3705" s="5">
        <v>85109.545199999993</v>
      </c>
      <c r="G3705" s="5" t="str">
        <f t="shared" si="115"/>
        <v>Центр</v>
      </c>
      <c r="J3705" s="5"/>
      <c r="AL3705" s="5">
        <f t="shared" si="116"/>
        <v>0</v>
      </c>
    </row>
    <row r="3706" spans="1:38" ht="25.5" customHeight="1" x14ac:dyDescent="0.25">
      <c r="A3706" s="10" t="s">
        <v>3252</v>
      </c>
      <c r="B3706" s="11" t="s">
        <v>1654</v>
      </c>
      <c r="C3706" s="5">
        <v>56140.449699999997</v>
      </c>
      <c r="D3706" s="5">
        <v>56140.449699999997</v>
      </c>
      <c r="E3706" s="5">
        <v>50836.1803</v>
      </c>
      <c r="G3706" s="5" t="str">
        <f t="shared" si="115"/>
        <v>ЗАВОКЗАЛЬНЫЙ</v>
      </c>
      <c r="J3706" s="5"/>
      <c r="AL3706" s="5">
        <f t="shared" si="116"/>
        <v>0</v>
      </c>
    </row>
    <row r="3707" spans="1:38" ht="25.5" customHeight="1" x14ac:dyDescent="0.25">
      <c r="A3707" s="10" t="s">
        <v>580</v>
      </c>
      <c r="B3707" s="11" t="s">
        <v>1627</v>
      </c>
      <c r="C3707" s="5">
        <v>56392.543899999997</v>
      </c>
      <c r="D3707" s="5">
        <v>56392.543899999997</v>
      </c>
      <c r="E3707" s="5">
        <v>51064.4617</v>
      </c>
      <c r="G3707" s="5" t="str">
        <f t="shared" si="115"/>
        <v>КОМПРЕССОРНЫЙ</v>
      </c>
      <c r="J3707" s="5"/>
      <c r="AL3707" s="5">
        <f t="shared" si="116"/>
        <v>0</v>
      </c>
    </row>
    <row r="3708" spans="1:38" ht="25.5" customHeight="1" x14ac:dyDescent="0.25">
      <c r="A3708" s="10" t="s">
        <v>1300</v>
      </c>
      <c r="B3708" s="11" t="s">
        <v>33</v>
      </c>
      <c r="C3708" s="5">
        <v>84298.205100000006</v>
      </c>
      <c r="D3708" s="5">
        <v>84298.205100000006</v>
      </c>
      <c r="E3708" s="5">
        <v>76333.533100000001</v>
      </c>
      <c r="G3708" s="5" t="str">
        <f t="shared" si="115"/>
        <v>ВИЗ</v>
      </c>
      <c r="J3708" s="5"/>
      <c r="AL3708" s="5">
        <f t="shared" si="116"/>
        <v>0</v>
      </c>
    </row>
    <row r="3709" spans="1:38" ht="25.5" customHeight="1" x14ac:dyDescent="0.25">
      <c r="A3709" s="10" t="s">
        <v>1225</v>
      </c>
      <c r="B3709" s="11" t="s">
        <v>1631</v>
      </c>
      <c r="C3709" s="5">
        <v>70026.7601</v>
      </c>
      <c r="D3709" s="5">
        <v>70026.7601</v>
      </c>
      <c r="E3709" s="5">
        <v>63410.482000000004</v>
      </c>
      <c r="G3709" s="5" t="str">
        <f t="shared" si="115"/>
        <v>УРАЛМАШ</v>
      </c>
      <c r="J3709" s="5"/>
      <c r="AL3709" s="5">
        <f t="shared" si="116"/>
        <v>0</v>
      </c>
    </row>
    <row r="3710" spans="1:38" ht="25.5" customHeight="1" x14ac:dyDescent="0.25">
      <c r="A3710" s="10" t="s">
        <v>3253</v>
      </c>
      <c r="B3710" s="11" t="s">
        <v>33</v>
      </c>
      <c r="C3710" s="5">
        <v>84298.205100000006</v>
      </c>
      <c r="D3710" s="5">
        <v>84298.205100000006</v>
      </c>
      <c r="E3710" s="5">
        <v>76333.533100000001</v>
      </c>
      <c r="G3710" s="5" t="str">
        <f t="shared" si="115"/>
        <v>ВИЗ</v>
      </c>
      <c r="J3710" s="5"/>
      <c r="AL3710" s="5">
        <f t="shared" si="116"/>
        <v>0</v>
      </c>
    </row>
    <row r="3711" spans="1:38" ht="25.5" customHeight="1" x14ac:dyDescent="0.25">
      <c r="A3711" s="10" t="s">
        <v>1315</v>
      </c>
      <c r="B3711" s="11" t="s">
        <v>1637</v>
      </c>
      <c r="C3711" s="5">
        <v>59368.686099999999</v>
      </c>
      <c r="D3711" s="5">
        <v>59368.686099999999</v>
      </c>
      <c r="E3711" s="5">
        <v>53759.401700000002</v>
      </c>
      <c r="G3711" s="5" t="str">
        <f t="shared" ref="G3711:G3774" si="117">B3711</f>
        <v>Старая сортировка</v>
      </c>
      <c r="J3711" s="5"/>
      <c r="AL3711" s="5">
        <f t="shared" ref="AL3711:AL3774" si="118">AF3711</f>
        <v>0</v>
      </c>
    </row>
    <row r="3712" spans="1:38" ht="25.5" customHeight="1" x14ac:dyDescent="0.25">
      <c r="A3712" s="10" t="s">
        <v>839</v>
      </c>
      <c r="B3712" s="11" t="s">
        <v>1643</v>
      </c>
      <c r="C3712" s="5">
        <v>76630.280299999999</v>
      </c>
      <c r="D3712" s="5">
        <v>76630.280299999999</v>
      </c>
      <c r="E3712" s="5">
        <v>69390.088799999998</v>
      </c>
      <c r="G3712" s="5" t="str">
        <f t="shared" si="117"/>
        <v>Ю-З</v>
      </c>
      <c r="J3712" s="5"/>
      <c r="AL3712" s="5">
        <f t="shared" si="118"/>
        <v>0</v>
      </c>
    </row>
    <row r="3713" spans="1:38" ht="25.5" customHeight="1" x14ac:dyDescent="0.25">
      <c r="A3713" s="10" t="s">
        <v>3254</v>
      </c>
      <c r="B3713" s="11" t="s">
        <v>1630</v>
      </c>
      <c r="C3713" s="5">
        <v>62652.9401</v>
      </c>
      <c r="D3713" s="5">
        <v>62652.9401</v>
      </c>
      <c r="E3713" s="5">
        <v>56733.3557</v>
      </c>
      <c r="G3713" s="5" t="str">
        <f t="shared" si="117"/>
        <v>ЧЕРМЕТ</v>
      </c>
      <c r="J3713" s="5"/>
      <c r="AL3713" s="5">
        <f t="shared" si="118"/>
        <v>0</v>
      </c>
    </row>
    <row r="3714" spans="1:38" ht="25.5" customHeight="1" x14ac:dyDescent="0.25">
      <c r="A3714" s="10" t="s">
        <v>1126</v>
      </c>
      <c r="B3714" s="11" t="s">
        <v>1631</v>
      </c>
      <c r="C3714" s="5">
        <v>70026.7601</v>
      </c>
      <c r="D3714" s="5">
        <v>70026.7601</v>
      </c>
      <c r="E3714" s="5">
        <v>63410.482000000004</v>
      </c>
      <c r="G3714" s="5" t="str">
        <f t="shared" si="117"/>
        <v>УРАЛМАШ</v>
      </c>
      <c r="J3714" s="5"/>
      <c r="AL3714" s="5">
        <f t="shared" si="118"/>
        <v>0</v>
      </c>
    </row>
    <row r="3715" spans="1:38" ht="25.5" customHeight="1" x14ac:dyDescent="0.25">
      <c r="A3715" s="10" t="s">
        <v>230</v>
      </c>
      <c r="B3715" s="11" t="s">
        <v>1633</v>
      </c>
      <c r="C3715" s="5">
        <v>77071.442599999995</v>
      </c>
      <c r="D3715" s="5">
        <v>77071.442599999995</v>
      </c>
      <c r="E3715" s="5">
        <v>69789.570900000006</v>
      </c>
      <c r="G3715" s="5" t="str">
        <f t="shared" si="117"/>
        <v>ВТУЗГОРОДОК</v>
      </c>
      <c r="J3715" s="5"/>
      <c r="AL3715" s="5">
        <f t="shared" si="118"/>
        <v>0</v>
      </c>
    </row>
    <row r="3716" spans="1:38" ht="25.5" customHeight="1" x14ac:dyDescent="0.25">
      <c r="A3716" s="10" t="s">
        <v>1602</v>
      </c>
      <c r="B3716" s="11" t="s">
        <v>1627</v>
      </c>
      <c r="C3716" s="5">
        <v>56392.543899999997</v>
      </c>
      <c r="D3716" s="5">
        <v>56392.543899999997</v>
      </c>
      <c r="E3716" s="5">
        <v>51064.4617</v>
      </c>
      <c r="G3716" s="5" t="str">
        <f t="shared" si="117"/>
        <v>КОМПРЕССОРНЫЙ</v>
      </c>
      <c r="J3716" s="5"/>
      <c r="AL3716" s="5">
        <f t="shared" si="118"/>
        <v>0</v>
      </c>
    </row>
    <row r="3717" spans="1:38" ht="25.5" customHeight="1" x14ac:dyDescent="0.25">
      <c r="A3717" s="10" t="s">
        <v>255</v>
      </c>
      <c r="B3717" s="11" t="s">
        <v>1629</v>
      </c>
      <c r="C3717" s="5">
        <v>77743.704100000003</v>
      </c>
      <c r="D3717" s="5">
        <v>77743.704100000003</v>
      </c>
      <c r="E3717" s="5">
        <v>70398.310800000007</v>
      </c>
      <c r="G3717" s="5" t="str">
        <f t="shared" si="117"/>
        <v>ПИОНЕРСКИЙ</v>
      </c>
      <c r="J3717" s="5"/>
      <c r="AL3717" s="5">
        <f t="shared" si="118"/>
        <v>0</v>
      </c>
    </row>
    <row r="3718" spans="1:38" ht="25.5" customHeight="1" x14ac:dyDescent="0.25">
      <c r="A3718" s="10" t="s">
        <v>3255</v>
      </c>
      <c r="B3718" s="11" t="s">
        <v>1638</v>
      </c>
      <c r="C3718" s="5">
        <v>63640.311600000001</v>
      </c>
      <c r="D3718" s="5">
        <v>63640.311600000001</v>
      </c>
      <c r="E3718" s="5">
        <v>57627.4473</v>
      </c>
      <c r="G3718" s="5" t="str">
        <f t="shared" si="117"/>
        <v>УКТУС</v>
      </c>
      <c r="J3718" s="5"/>
      <c r="AL3718" s="5">
        <f t="shared" si="118"/>
        <v>0</v>
      </c>
    </row>
    <row r="3719" spans="1:38" ht="25.5" customHeight="1" x14ac:dyDescent="0.25">
      <c r="A3719" s="10" t="s">
        <v>1587</v>
      </c>
      <c r="B3719" s="11" t="s">
        <v>1638</v>
      </c>
      <c r="C3719" s="5">
        <v>63640.311600000001</v>
      </c>
      <c r="D3719" s="5">
        <v>63640.311600000001</v>
      </c>
      <c r="E3719" s="5">
        <v>57627.4473</v>
      </c>
      <c r="G3719" s="5" t="str">
        <f t="shared" si="117"/>
        <v>УКТУС</v>
      </c>
      <c r="J3719" s="5"/>
      <c r="AL3719" s="5">
        <f t="shared" si="118"/>
        <v>0</v>
      </c>
    </row>
    <row r="3720" spans="1:38" ht="25.5" customHeight="1" x14ac:dyDescent="0.25">
      <c r="A3720" s="10" t="s">
        <v>397</v>
      </c>
      <c r="B3720" s="11" t="s">
        <v>1639</v>
      </c>
      <c r="C3720" s="5">
        <v>53500.443299999999</v>
      </c>
      <c r="D3720" s="5">
        <v>53500.443299999999</v>
      </c>
      <c r="E3720" s="5">
        <v>48445.605100000001</v>
      </c>
      <c r="G3720" s="5" t="str">
        <f t="shared" si="117"/>
        <v>ИСТОК</v>
      </c>
      <c r="J3720" s="5"/>
      <c r="AL3720" s="5">
        <f t="shared" si="118"/>
        <v>0</v>
      </c>
    </row>
    <row r="3721" spans="1:38" ht="25.5" customHeight="1" x14ac:dyDescent="0.25">
      <c r="A3721" s="10" t="s">
        <v>3256</v>
      </c>
      <c r="B3721" s="11" t="s">
        <v>14</v>
      </c>
      <c r="C3721" s="5">
        <v>93989.912800000006</v>
      </c>
      <c r="D3721" s="5">
        <v>93989.912800000006</v>
      </c>
      <c r="E3721" s="5">
        <v>85109.545199999993</v>
      </c>
      <c r="G3721" s="5" t="str">
        <f t="shared" si="117"/>
        <v>Центр</v>
      </c>
      <c r="J3721" s="5"/>
      <c r="AL3721" s="5">
        <f t="shared" si="118"/>
        <v>0</v>
      </c>
    </row>
    <row r="3722" spans="1:38" ht="25.5" customHeight="1" x14ac:dyDescent="0.25">
      <c r="A3722" s="10" t="s">
        <v>3257</v>
      </c>
      <c r="B3722" s="11" t="s">
        <v>1647</v>
      </c>
      <c r="C3722" s="5">
        <v>63178.133800000003</v>
      </c>
      <c r="D3722" s="5">
        <v>63178.133800000003</v>
      </c>
      <c r="E3722" s="5">
        <v>57208.931499999999</v>
      </c>
      <c r="G3722" s="5" t="str">
        <f t="shared" si="117"/>
        <v>ШИРОКАЯ РЕЧКА</v>
      </c>
      <c r="J3722" s="5"/>
      <c r="AL3722" s="5">
        <f t="shared" si="118"/>
        <v>0</v>
      </c>
    </row>
    <row r="3723" spans="1:38" ht="25.5" customHeight="1" x14ac:dyDescent="0.25">
      <c r="A3723" s="10" t="s">
        <v>1415</v>
      </c>
      <c r="B3723" s="11" t="s">
        <v>1650</v>
      </c>
      <c r="C3723" s="5">
        <v>37590.3603</v>
      </c>
      <c r="D3723" s="5">
        <v>37590.3603</v>
      </c>
      <c r="E3723" s="5">
        <v>34038.745900000002</v>
      </c>
      <c r="G3723" s="5" t="str">
        <f t="shared" si="117"/>
        <v>ШАБРОВСКИЙ</v>
      </c>
      <c r="J3723" s="5"/>
      <c r="AL3723" s="5">
        <f t="shared" si="118"/>
        <v>0</v>
      </c>
    </row>
    <row r="3724" spans="1:38" ht="25.5" customHeight="1" x14ac:dyDescent="0.25">
      <c r="A3724" s="10" t="s">
        <v>1579</v>
      </c>
      <c r="B3724" s="11" t="s">
        <v>1631</v>
      </c>
      <c r="C3724" s="5">
        <v>70026.7601</v>
      </c>
      <c r="D3724" s="5">
        <v>70026.7601</v>
      </c>
      <c r="E3724" s="5">
        <v>63410.482000000004</v>
      </c>
      <c r="G3724" s="5" t="str">
        <f t="shared" si="117"/>
        <v>УРАЛМАШ</v>
      </c>
      <c r="J3724" s="5"/>
      <c r="AL3724" s="5">
        <f t="shared" si="118"/>
        <v>0</v>
      </c>
    </row>
    <row r="3725" spans="1:38" ht="25.5" customHeight="1" x14ac:dyDescent="0.25">
      <c r="A3725" s="10" t="s">
        <v>3258</v>
      </c>
      <c r="B3725" s="11" t="s">
        <v>1657</v>
      </c>
      <c r="C3725" s="5">
        <v>54886.9666</v>
      </c>
      <c r="D3725" s="5">
        <v>54886.9666</v>
      </c>
      <c r="E3725" s="5">
        <v>49701.1319</v>
      </c>
      <c r="G3725" s="5" t="str">
        <f t="shared" si="117"/>
        <v>КОЛЬЦОВО</v>
      </c>
      <c r="J3725" s="5"/>
      <c r="AL3725" s="5">
        <f t="shared" si="118"/>
        <v>0</v>
      </c>
    </row>
    <row r="3726" spans="1:38" ht="25.5" customHeight="1" x14ac:dyDescent="0.25">
      <c r="A3726" s="10" t="s">
        <v>1138</v>
      </c>
      <c r="B3726" s="11" t="s">
        <v>33</v>
      </c>
      <c r="C3726" s="5">
        <v>84298.205100000006</v>
      </c>
      <c r="D3726" s="5">
        <v>84298.205100000006</v>
      </c>
      <c r="E3726" s="5">
        <v>76333.533100000001</v>
      </c>
      <c r="G3726" s="5" t="str">
        <f t="shared" si="117"/>
        <v>ВИЗ</v>
      </c>
      <c r="J3726" s="5"/>
      <c r="AL3726" s="5">
        <f t="shared" si="118"/>
        <v>0</v>
      </c>
    </row>
    <row r="3727" spans="1:38" ht="25.5" customHeight="1" x14ac:dyDescent="0.25">
      <c r="A3727" s="10" t="s">
        <v>3259</v>
      </c>
      <c r="B3727" s="11" t="s">
        <v>1644</v>
      </c>
      <c r="C3727" s="5">
        <v>61980.678599999999</v>
      </c>
      <c r="D3727" s="5">
        <v>61980.678599999999</v>
      </c>
      <c r="E3727" s="5">
        <v>56124.615700000002</v>
      </c>
      <c r="G3727" s="5" t="str">
        <f t="shared" si="117"/>
        <v>ХИММАШ</v>
      </c>
      <c r="J3727" s="5"/>
      <c r="AL3727" s="5">
        <f t="shared" si="118"/>
        <v>0</v>
      </c>
    </row>
    <row r="3728" spans="1:38" ht="25.5" customHeight="1" x14ac:dyDescent="0.25">
      <c r="A3728" s="10" t="s">
        <v>3260</v>
      </c>
      <c r="B3728" s="11" t="s">
        <v>1630</v>
      </c>
      <c r="C3728" s="5">
        <v>62652.9401</v>
      </c>
      <c r="D3728" s="5">
        <v>62652.9401</v>
      </c>
      <c r="E3728" s="5">
        <v>56733.3557</v>
      </c>
      <c r="G3728" s="5" t="str">
        <f t="shared" si="117"/>
        <v>ЧЕРМЕТ</v>
      </c>
      <c r="J3728" s="5"/>
      <c r="AL3728" s="5">
        <f t="shared" si="118"/>
        <v>0</v>
      </c>
    </row>
    <row r="3729" spans="1:38" ht="25.5" customHeight="1" x14ac:dyDescent="0.25">
      <c r="A3729" s="10" t="s">
        <v>1393</v>
      </c>
      <c r="B3729" s="11" t="s">
        <v>33</v>
      </c>
      <c r="C3729" s="5">
        <v>84298.205100000006</v>
      </c>
      <c r="D3729" s="5">
        <v>84298.205100000006</v>
      </c>
      <c r="E3729" s="5">
        <v>76333.533100000001</v>
      </c>
      <c r="G3729" s="5" t="str">
        <f t="shared" si="117"/>
        <v>ВИЗ</v>
      </c>
      <c r="J3729" s="5"/>
      <c r="AL3729" s="5">
        <f t="shared" si="118"/>
        <v>0</v>
      </c>
    </row>
    <row r="3730" spans="1:38" ht="25.5" customHeight="1" x14ac:dyDescent="0.25">
      <c r="A3730" s="10" t="s">
        <v>680</v>
      </c>
      <c r="B3730" s="11" t="s">
        <v>33</v>
      </c>
      <c r="C3730" s="5">
        <v>84298.205100000006</v>
      </c>
      <c r="D3730" s="5">
        <v>84298.205100000006</v>
      </c>
      <c r="E3730" s="5">
        <v>76333.533100000001</v>
      </c>
      <c r="G3730" s="5" t="str">
        <f t="shared" si="117"/>
        <v>ВИЗ</v>
      </c>
      <c r="J3730" s="5"/>
      <c r="AL3730" s="5">
        <f t="shared" si="118"/>
        <v>0</v>
      </c>
    </row>
    <row r="3731" spans="1:38" ht="25.5" customHeight="1" x14ac:dyDescent="0.25">
      <c r="A3731" s="10" t="s">
        <v>39</v>
      </c>
      <c r="B3731" s="11" t="s">
        <v>1628</v>
      </c>
      <c r="C3731" s="5">
        <v>70734.0236</v>
      </c>
      <c r="D3731" s="5">
        <v>70734.0236</v>
      </c>
      <c r="E3731" s="5">
        <v>64050.9208</v>
      </c>
      <c r="G3731" s="5" t="str">
        <f t="shared" si="117"/>
        <v>ЭЛЬМАШ</v>
      </c>
      <c r="J3731" s="5"/>
      <c r="AL3731" s="5">
        <f t="shared" si="118"/>
        <v>0</v>
      </c>
    </row>
    <row r="3732" spans="1:38" ht="25.5" customHeight="1" x14ac:dyDescent="0.25">
      <c r="A3732" s="10" t="s">
        <v>462</v>
      </c>
      <c r="B3732" s="11" t="s">
        <v>1628</v>
      </c>
      <c r="C3732" s="5">
        <v>70734.0236</v>
      </c>
      <c r="D3732" s="5">
        <v>70734.0236</v>
      </c>
      <c r="E3732" s="5">
        <v>64050.9208</v>
      </c>
      <c r="G3732" s="5" t="str">
        <f t="shared" si="117"/>
        <v>ЭЛЬМАШ</v>
      </c>
      <c r="J3732" s="5"/>
      <c r="AL3732" s="5">
        <f t="shared" si="118"/>
        <v>0</v>
      </c>
    </row>
    <row r="3733" spans="1:38" ht="25.5" customHeight="1" x14ac:dyDescent="0.25">
      <c r="A3733" s="10" t="s">
        <v>1254</v>
      </c>
      <c r="B3733" s="11" t="s">
        <v>1643</v>
      </c>
      <c r="C3733" s="5">
        <v>76630.280299999999</v>
      </c>
      <c r="D3733" s="5">
        <v>76630.280299999999</v>
      </c>
      <c r="E3733" s="5">
        <v>69390.088799999998</v>
      </c>
      <c r="G3733" s="5" t="str">
        <f t="shared" si="117"/>
        <v>Ю-З</v>
      </c>
      <c r="J3733" s="5"/>
      <c r="AL3733" s="5">
        <f t="shared" si="118"/>
        <v>0</v>
      </c>
    </row>
    <row r="3734" spans="1:38" ht="25.5" customHeight="1" x14ac:dyDescent="0.25">
      <c r="A3734" s="10" t="s">
        <v>3261</v>
      </c>
      <c r="B3734" s="11" t="s">
        <v>1644</v>
      </c>
      <c r="C3734" s="5">
        <v>61980.678599999999</v>
      </c>
      <c r="D3734" s="5">
        <v>61980.678599999999</v>
      </c>
      <c r="E3734" s="5">
        <v>56124.615700000002</v>
      </c>
      <c r="G3734" s="5" t="str">
        <f t="shared" si="117"/>
        <v>ХИММАШ</v>
      </c>
      <c r="J3734" s="5"/>
      <c r="AL3734" s="5">
        <f t="shared" si="118"/>
        <v>0</v>
      </c>
    </row>
    <row r="3735" spans="1:38" ht="25.5" customHeight="1" x14ac:dyDescent="0.25">
      <c r="A3735" s="10" t="s">
        <v>822</v>
      </c>
      <c r="B3735" s="11" t="s">
        <v>1659</v>
      </c>
      <c r="C3735" s="5">
        <v>59746.832600000002</v>
      </c>
      <c r="D3735" s="5">
        <v>59746.832600000002</v>
      </c>
      <c r="E3735" s="5">
        <v>54101.823700000001</v>
      </c>
      <c r="G3735" s="5" t="str">
        <f t="shared" si="117"/>
        <v>СОВХОЗ</v>
      </c>
      <c r="J3735" s="5"/>
      <c r="AL3735" s="5">
        <f t="shared" si="118"/>
        <v>0</v>
      </c>
    </row>
    <row r="3736" spans="1:38" ht="25.5" customHeight="1" x14ac:dyDescent="0.25">
      <c r="A3736" s="10" t="s">
        <v>3262</v>
      </c>
      <c r="B3736" s="11" t="s">
        <v>33</v>
      </c>
      <c r="C3736" s="5">
        <v>84298.205100000006</v>
      </c>
      <c r="D3736" s="5">
        <v>84298.205100000006</v>
      </c>
      <c r="E3736" s="5">
        <v>76333.533100000001</v>
      </c>
      <c r="G3736" s="5" t="str">
        <f t="shared" si="117"/>
        <v>ВИЗ</v>
      </c>
      <c r="J3736" s="5"/>
      <c r="AL3736" s="5">
        <f t="shared" si="118"/>
        <v>0</v>
      </c>
    </row>
    <row r="3737" spans="1:38" ht="25.5" customHeight="1" x14ac:dyDescent="0.25">
      <c r="A3737" s="10" t="s">
        <v>109</v>
      </c>
      <c r="B3737" s="11" t="s">
        <v>1629</v>
      </c>
      <c r="C3737" s="5">
        <v>77743.704100000003</v>
      </c>
      <c r="D3737" s="5">
        <v>77743.704100000003</v>
      </c>
      <c r="E3737" s="5">
        <v>70398.310800000007</v>
      </c>
      <c r="G3737" s="5" t="str">
        <f t="shared" si="117"/>
        <v>ПИОНЕРСКИЙ</v>
      </c>
      <c r="J3737" s="5"/>
      <c r="AL3737" s="5">
        <f t="shared" si="118"/>
        <v>0</v>
      </c>
    </row>
    <row r="3738" spans="1:38" ht="25.5" customHeight="1" x14ac:dyDescent="0.25">
      <c r="A3738" s="10" t="s">
        <v>3263</v>
      </c>
      <c r="B3738" s="11" t="s">
        <v>1629</v>
      </c>
      <c r="C3738" s="5">
        <v>77743.704100000003</v>
      </c>
      <c r="D3738" s="5">
        <v>77743.704100000003</v>
      </c>
      <c r="E3738" s="5">
        <v>70398.310800000007</v>
      </c>
      <c r="G3738" s="5" t="str">
        <f t="shared" si="117"/>
        <v>ПИОНЕРСКИЙ</v>
      </c>
      <c r="J3738" s="5"/>
      <c r="AL3738" s="5">
        <f t="shared" si="118"/>
        <v>0</v>
      </c>
    </row>
    <row r="3739" spans="1:38" ht="25.5" customHeight="1" x14ac:dyDescent="0.25">
      <c r="A3739" s="10" t="s">
        <v>3264</v>
      </c>
      <c r="B3739" s="11" t="s">
        <v>1651</v>
      </c>
      <c r="C3739" s="5">
        <v>68129.029500000004</v>
      </c>
      <c r="D3739" s="5">
        <v>68129.029500000004</v>
      </c>
      <c r="E3739" s="5">
        <v>61692.054799999998</v>
      </c>
      <c r="G3739" s="5" t="str">
        <f t="shared" si="117"/>
        <v>ШАРТАШ</v>
      </c>
      <c r="J3739" s="5"/>
      <c r="AL3739" s="5">
        <f t="shared" si="118"/>
        <v>0</v>
      </c>
    </row>
    <row r="3740" spans="1:38" ht="25.5" customHeight="1" x14ac:dyDescent="0.25">
      <c r="A3740" s="10" t="s">
        <v>3265</v>
      </c>
      <c r="B3740" s="11" t="s">
        <v>1653</v>
      </c>
      <c r="C3740" s="5">
        <v>56847.723400000003</v>
      </c>
      <c r="D3740" s="5">
        <v>56847.723400000003</v>
      </c>
      <c r="E3740" s="5">
        <v>51476.629399999998</v>
      </c>
      <c r="G3740" s="5" t="str">
        <f t="shared" si="117"/>
        <v>ПТИЦЕФАБРИКА</v>
      </c>
      <c r="J3740" s="5"/>
      <c r="AL3740" s="5">
        <f t="shared" si="118"/>
        <v>0</v>
      </c>
    </row>
    <row r="3741" spans="1:38" ht="25.5" customHeight="1" x14ac:dyDescent="0.25">
      <c r="A3741" s="10" t="s">
        <v>3266</v>
      </c>
      <c r="B3741" s="11" t="s">
        <v>1654</v>
      </c>
      <c r="C3741" s="5">
        <v>56140.449699999997</v>
      </c>
      <c r="D3741" s="5">
        <v>56140.449699999997</v>
      </c>
      <c r="E3741" s="5">
        <v>50836.1803</v>
      </c>
      <c r="G3741" s="5" t="str">
        <f t="shared" si="117"/>
        <v>ЗАВОКЗАЛЬНЫЙ</v>
      </c>
      <c r="J3741" s="5"/>
      <c r="AL3741" s="5">
        <f t="shared" si="118"/>
        <v>0</v>
      </c>
    </row>
    <row r="3742" spans="1:38" ht="25.5" customHeight="1" x14ac:dyDescent="0.25">
      <c r="A3742" s="10" t="s">
        <v>232</v>
      </c>
      <c r="B3742" s="11" t="s">
        <v>1651</v>
      </c>
      <c r="C3742" s="5">
        <v>68129.029500000004</v>
      </c>
      <c r="D3742" s="5">
        <v>68129.029500000004</v>
      </c>
      <c r="E3742" s="5">
        <v>61692.054799999998</v>
      </c>
      <c r="G3742" s="5" t="str">
        <f t="shared" si="117"/>
        <v>ШАРТАШ</v>
      </c>
      <c r="J3742" s="5"/>
      <c r="AL3742" s="5">
        <f t="shared" si="118"/>
        <v>0</v>
      </c>
    </row>
    <row r="3743" spans="1:38" ht="25.5" customHeight="1" x14ac:dyDescent="0.25">
      <c r="A3743" s="10" t="s">
        <v>3267</v>
      </c>
      <c r="B3743" s="11" t="s">
        <v>1634</v>
      </c>
      <c r="C3743" s="5">
        <v>77064.444199999998</v>
      </c>
      <c r="D3743" s="5">
        <v>77064.444199999998</v>
      </c>
      <c r="E3743" s="5">
        <v>69783.233200000002</v>
      </c>
      <c r="G3743" s="5" t="str">
        <f t="shared" si="117"/>
        <v>БОТАНИЧЕСКИЙ</v>
      </c>
      <c r="J3743" s="5"/>
      <c r="AL3743" s="5">
        <f t="shared" si="118"/>
        <v>0</v>
      </c>
    </row>
    <row r="3744" spans="1:38" ht="25.5" customHeight="1" x14ac:dyDescent="0.25">
      <c r="A3744" s="10" t="s">
        <v>837</v>
      </c>
      <c r="B3744" s="11" t="s">
        <v>1664</v>
      </c>
      <c r="C3744" s="5">
        <v>53668.506099999999</v>
      </c>
      <c r="D3744" s="5">
        <v>53668.506099999999</v>
      </c>
      <c r="E3744" s="5">
        <v>48597.792699999998</v>
      </c>
      <c r="G3744" s="5" t="str">
        <f t="shared" si="117"/>
        <v>ИЗОПЛИТ</v>
      </c>
      <c r="J3744" s="5"/>
      <c r="AL3744" s="5">
        <f t="shared" si="118"/>
        <v>0</v>
      </c>
    </row>
    <row r="3745" spans="1:38" ht="25.5" customHeight="1" x14ac:dyDescent="0.25">
      <c r="A3745" s="10" t="s">
        <v>3268</v>
      </c>
      <c r="B3745" s="11" t="s">
        <v>1653</v>
      </c>
      <c r="C3745" s="5">
        <v>56847.723400000003</v>
      </c>
      <c r="D3745" s="5">
        <v>56847.723400000003</v>
      </c>
      <c r="E3745" s="5">
        <v>51476.629399999998</v>
      </c>
      <c r="G3745" s="5" t="str">
        <f t="shared" si="117"/>
        <v>ПТИЦЕФАБРИКА</v>
      </c>
      <c r="J3745" s="5"/>
      <c r="AL3745" s="5">
        <f t="shared" si="118"/>
        <v>0</v>
      </c>
    </row>
    <row r="3746" spans="1:38" ht="25.5" customHeight="1" x14ac:dyDescent="0.25">
      <c r="A3746" s="10" t="s">
        <v>3269</v>
      </c>
      <c r="B3746" s="11" t="s">
        <v>1653</v>
      </c>
      <c r="C3746" s="5">
        <v>56847.723400000003</v>
      </c>
      <c r="D3746" s="5">
        <v>56847.723400000003</v>
      </c>
      <c r="E3746" s="5">
        <v>51476.629399999998</v>
      </c>
      <c r="G3746" s="5" t="str">
        <f t="shared" si="117"/>
        <v>ПТИЦЕФАБРИКА</v>
      </c>
      <c r="J3746" s="5"/>
      <c r="AL3746" s="5">
        <f t="shared" si="118"/>
        <v>0</v>
      </c>
    </row>
    <row r="3747" spans="1:38" ht="25.5" customHeight="1" x14ac:dyDescent="0.25">
      <c r="A3747" s="10" t="s">
        <v>1169</v>
      </c>
      <c r="B3747" s="11" t="s">
        <v>1645</v>
      </c>
      <c r="C3747" s="5">
        <v>60958.294800000003</v>
      </c>
      <c r="D3747" s="5">
        <v>60958.294800000003</v>
      </c>
      <c r="E3747" s="5">
        <v>55198.825199999999</v>
      </c>
      <c r="G3747" s="5" t="str">
        <f t="shared" si="117"/>
        <v>ЕЛИЗАВЕТ</v>
      </c>
      <c r="J3747" s="5"/>
      <c r="AL3747" s="5">
        <f t="shared" si="118"/>
        <v>0</v>
      </c>
    </row>
    <row r="3748" spans="1:38" ht="25.5" customHeight="1" x14ac:dyDescent="0.25">
      <c r="A3748" s="10" t="s">
        <v>3270</v>
      </c>
      <c r="B3748" s="11" t="s">
        <v>1638</v>
      </c>
      <c r="C3748" s="5">
        <v>63640.311600000001</v>
      </c>
      <c r="D3748" s="5">
        <v>63640.311600000001</v>
      </c>
      <c r="E3748" s="5">
        <v>57627.4473</v>
      </c>
      <c r="G3748" s="5" t="str">
        <f t="shared" si="117"/>
        <v>УКТУС</v>
      </c>
      <c r="J3748" s="5"/>
      <c r="AL3748" s="5">
        <f t="shared" si="118"/>
        <v>0</v>
      </c>
    </row>
    <row r="3749" spans="1:38" ht="25.5" customHeight="1" x14ac:dyDescent="0.25">
      <c r="A3749" s="10" t="s">
        <v>3271</v>
      </c>
      <c r="B3749" s="11" t="s">
        <v>1635</v>
      </c>
      <c r="C3749" s="5">
        <v>57793.0844</v>
      </c>
      <c r="D3749" s="5">
        <v>57793.0844</v>
      </c>
      <c r="E3749" s="5">
        <v>52332.6639</v>
      </c>
      <c r="G3749" s="5" t="str">
        <f t="shared" si="117"/>
        <v>ЛЕЧЕБНЫЙ</v>
      </c>
      <c r="J3749" s="5"/>
      <c r="AL3749" s="5">
        <f t="shared" si="118"/>
        <v>0</v>
      </c>
    </row>
    <row r="3750" spans="1:38" ht="25.5" customHeight="1" x14ac:dyDescent="0.25">
      <c r="A3750" s="10" t="s">
        <v>220</v>
      </c>
      <c r="B3750" s="11" t="s">
        <v>33</v>
      </c>
      <c r="C3750" s="5">
        <v>84298.205100000006</v>
      </c>
      <c r="D3750" s="5">
        <v>84298.205100000006</v>
      </c>
      <c r="E3750" s="5">
        <v>76333.533100000001</v>
      </c>
      <c r="G3750" s="5" t="str">
        <f t="shared" si="117"/>
        <v>ВИЗ</v>
      </c>
      <c r="J3750" s="5"/>
      <c r="AL3750" s="5">
        <f t="shared" si="118"/>
        <v>0</v>
      </c>
    </row>
    <row r="3751" spans="1:38" ht="25.5" customHeight="1" x14ac:dyDescent="0.25">
      <c r="A3751" s="10" t="s">
        <v>3272</v>
      </c>
      <c r="B3751" s="11" t="s">
        <v>1651</v>
      </c>
      <c r="C3751" s="5">
        <v>68129.029500000004</v>
      </c>
      <c r="D3751" s="5">
        <v>68129.029500000004</v>
      </c>
      <c r="E3751" s="5">
        <v>61692.054799999998</v>
      </c>
      <c r="G3751" s="5" t="str">
        <f t="shared" si="117"/>
        <v>ШАРТАШ</v>
      </c>
      <c r="J3751" s="5"/>
      <c r="AL3751" s="5">
        <f t="shared" si="118"/>
        <v>0</v>
      </c>
    </row>
    <row r="3752" spans="1:38" ht="25.5" customHeight="1" x14ac:dyDescent="0.25">
      <c r="A3752" s="10" t="s">
        <v>1235</v>
      </c>
      <c r="B3752" s="11" t="s">
        <v>1631</v>
      </c>
      <c r="C3752" s="5">
        <v>70026.7601</v>
      </c>
      <c r="D3752" s="5">
        <v>70026.7601</v>
      </c>
      <c r="E3752" s="5">
        <v>63410.482000000004</v>
      </c>
      <c r="G3752" s="5" t="str">
        <f t="shared" si="117"/>
        <v>УРАЛМАШ</v>
      </c>
      <c r="J3752" s="5"/>
      <c r="AL3752" s="5">
        <f t="shared" si="118"/>
        <v>0</v>
      </c>
    </row>
    <row r="3753" spans="1:38" ht="25.5" customHeight="1" x14ac:dyDescent="0.25">
      <c r="A3753" s="10" t="s">
        <v>3273</v>
      </c>
      <c r="B3753" s="11" t="s">
        <v>1650</v>
      </c>
      <c r="C3753" s="5">
        <v>37590.3603</v>
      </c>
      <c r="D3753" s="5">
        <v>37590.3603</v>
      </c>
      <c r="E3753" s="5">
        <v>34038.745900000002</v>
      </c>
      <c r="G3753" s="5" t="str">
        <f t="shared" si="117"/>
        <v>ШАБРОВСКИЙ</v>
      </c>
      <c r="J3753" s="5"/>
      <c r="AL3753" s="5">
        <f t="shared" si="118"/>
        <v>0</v>
      </c>
    </row>
    <row r="3754" spans="1:38" ht="25.5" customHeight="1" x14ac:dyDescent="0.25">
      <c r="A3754" s="10" t="s">
        <v>3274</v>
      </c>
      <c r="B3754" s="11" t="s">
        <v>33</v>
      </c>
      <c r="C3754" s="5">
        <v>84298.205100000006</v>
      </c>
      <c r="D3754" s="5">
        <v>84298.205100000006</v>
      </c>
      <c r="E3754" s="5">
        <v>76333.533100000001</v>
      </c>
      <c r="G3754" s="5" t="str">
        <f t="shared" si="117"/>
        <v>ВИЗ</v>
      </c>
      <c r="J3754" s="5"/>
      <c r="AL3754" s="5">
        <f t="shared" si="118"/>
        <v>0</v>
      </c>
    </row>
    <row r="3755" spans="1:38" ht="25.5" customHeight="1" x14ac:dyDescent="0.25">
      <c r="A3755" s="10" t="s">
        <v>3275</v>
      </c>
      <c r="B3755" s="11" t="s">
        <v>1651</v>
      </c>
      <c r="C3755" s="5">
        <v>68129.029500000004</v>
      </c>
      <c r="D3755" s="5">
        <v>68129.029500000004</v>
      </c>
      <c r="E3755" s="5">
        <v>61692.054799999998</v>
      </c>
      <c r="G3755" s="5" t="str">
        <f t="shared" si="117"/>
        <v>ШАРТАШ</v>
      </c>
      <c r="J3755" s="5"/>
      <c r="AL3755" s="5">
        <f t="shared" si="118"/>
        <v>0</v>
      </c>
    </row>
    <row r="3756" spans="1:38" ht="25.5" customHeight="1" x14ac:dyDescent="0.25">
      <c r="A3756" s="10" t="s">
        <v>133</v>
      </c>
      <c r="B3756" s="11" t="s">
        <v>1643</v>
      </c>
      <c r="C3756" s="5">
        <v>76630.280299999999</v>
      </c>
      <c r="D3756" s="5">
        <v>76630.280299999999</v>
      </c>
      <c r="E3756" s="5">
        <v>69390.088799999998</v>
      </c>
      <c r="G3756" s="5" t="str">
        <f t="shared" si="117"/>
        <v>Ю-З</v>
      </c>
      <c r="J3756" s="5"/>
      <c r="AL3756" s="5">
        <f t="shared" si="118"/>
        <v>0</v>
      </c>
    </row>
    <row r="3757" spans="1:38" ht="25.5" customHeight="1" x14ac:dyDescent="0.25">
      <c r="A3757" s="10" t="s">
        <v>3276</v>
      </c>
      <c r="B3757" s="11" t="s">
        <v>1628</v>
      </c>
      <c r="C3757" s="5">
        <v>70734.0236</v>
      </c>
      <c r="D3757" s="5">
        <v>70734.0236</v>
      </c>
      <c r="E3757" s="5">
        <v>64050.9208</v>
      </c>
      <c r="G3757" s="5" t="str">
        <f t="shared" si="117"/>
        <v>ЭЛЬМАШ</v>
      </c>
      <c r="J3757" s="5"/>
      <c r="AL3757" s="5">
        <f t="shared" si="118"/>
        <v>0</v>
      </c>
    </row>
    <row r="3758" spans="1:38" ht="25.5" customHeight="1" x14ac:dyDescent="0.25">
      <c r="A3758" s="10" t="s">
        <v>548</v>
      </c>
      <c r="B3758" s="11" t="s">
        <v>1643</v>
      </c>
      <c r="C3758" s="5">
        <v>76630.280299999999</v>
      </c>
      <c r="D3758" s="5">
        <v>76630.280299999999</v>
      </c>
      <c r="E3758" s="5">
        <v>69390.088799999998</v>
      </c>
      <c r="G3758" s="5" t="str">
        <f t="shared" si="117"/>
        <v>Ю-З</v>
      </c>
      <c r="J3758" s="5"/>
      <c r="AL3758" s="5">
        <f t="shared" si="118"/>
        <v>0</v>
      </c>
    </row>
    <row r="3759" spans="1:38" ht="25.5" customHeight="1" x14ac:dyDescent="0.25">
      <c r="A3759" s="10" t="s">
        <v>3277</v>
      </c>
      <c r="B3759" s="11" t="s">
        <v>1651</v>
      </c>
      <c r="C3759" s="5">
        <v>68129.029500000004</v>
      </c>
      <c r="D3759" s="5">
        <v>68129.029500000004</v>
      </c>
      <c r="E3759" s="5">
        <v>61692.054799999998</v>
      </c>
      <c r="G3759" s="5" t="str">
        <f t="shared" si="117"/>
        <v>ШАРТАШ</v>
      </c>
      <c r="J3759" s="5"/>
      <c r="AL3759" s="5">
        <f t="shared" si="118"/>
        <v>0</v>
      </c>
    </row>
    <row r="3760" spans="1:38" ht="25.5" customHeight="1" x14ac:dyDescent="0.25">
      <c r="A3760" s="10" t="s">
        <v>799</v>
      </c>
      <c r="B3760" s="11" t="s">
        <v>1634</v>
      </c>
      <c r="C3760" s="5">
        <v>77064.444199999998</v>
      </c>
      <c r="D3760" s="5">
        <v>77064.444199999998</v>
      </c>
      <c r="E3760" s="5">
        <v>69783.233200000002</v>
      </c>
      <c r="G3760" s="5" t="str">
        <f t="shared" si="117"/>
        <v>БОТАНИЧЕСКИЙ</v>
      </c>
      <c r="J3760" s="5"/>
      <c r="AL3760" s="5">
        <f t="shared" si="118"/>
        <v>0</v>
      </c>
    </row>
    <row r="3761" spans="1:38" ht="25.5" customHeight="1" x14ac:dyDescent="0.25">
      <c r="A3761" s="10" t="s">
        <v>594</v>
      </c>
      <c r="B3761" s="11" t="s">
        <v>1643</v>
      </c>
      <c r="C3761" s="5">
        <v>76630.280299999999</v>
      </c>
      <c r="D3761" s="5">
        <v>76630.280299999999</v>
      </c>
      <c r="E3761" s="5">
        <v>69390.088799999998</v>
      </c>
      <c r="G3761" s="5" t="str">
        <f t="shared" si="117"/>
        <v>Ю-З</v>
      </c>
      <c r="J3761" s="5"/>
      <c r="AL3761" s="5">
        <f t="shared" si="118"/>
        <v>0</v>
      </c>
    </row>
    <row r="3762" spans="1:38" ht="25.5" customHeight="1" x14ac:dyDescent="0.25">
      <c r="A3762" s="10" t="s">
        <v>360</v>
      </c>
      <c r="B3762" s="11" t="s">
        <v>14</v>
      </c>
      <c r="C3762" s="5">
        <v>93989.912800000006</v>
      </c>
      <c r="D3762" s="5">
        <v>93989.912800000006</v>
      </c>
      <c r="E3762" s="5">
        <v>85109.545199999993</v>
      </c>
      <c r="G3762" s="5" t="str">
        <f t="shared" si="117"/>
        <v>Центр</v>
      </c>
      <c r="J3762" s="5"/>
      <c r="AL3762" s="5">
        <f t="shared" si="118"/>
        <v>0</v>
      </c>
    </row>
    <row r="3763" spans="1:38" ht="25.5" customHeight="1" x14ac:dyDescent="0.25">
      <c r="A3763" s="10" t="s">
        <v>293</v>
      </c>
      <c r="B3763" s="11" t="s">
        <v>1633</v>
      </c>
      <c r="C3763" s="5">
        <v>77071.442599999995</v>
      </c>
      <c r="D3763" s="5">
        <v>77071.442599999995</v>
      </c>
      <c r="E3763" s="5">
        <v>69789.570900000006</v>
      </c>
      <c r="G3763" s="5" t="str">
        <f t="shared" si="117"/>
        <v>ВТУЗГОРОДОК</v>
      </c>
      <c r="J3763" s="5"/>
      <c r="AL3763" s="5">
        <f t="shared" si="118"/>
        <v>0</v>
      </c>
    </row>
    <row r="3764" spans="1:38" ht="25.5" customHeight="1" x14ac:dyDescent="0.25">
      <c r="A3764" s="10" t="s">
        <v>3278</v>
      </c>
      <c r="B3764" s="11" t="s">
        <v>1636</v>
      </c>
      <c r="C3764" s="5">
        <v>52246.960299999999</v>
      </c>
      <c r="D3764" s="5">
        <v>52246.960299999999</v>
      </c>
      <c r="E3764" s="5">
        <v>47310.556700000001</v>
      </c>
      <c r="G3764" s="5" t="str">
        <f t="shared" si="117"/>
        <v>ГОРНЫЙ ЩИТ</v>
      </c>
      <c r="J3764" s="5"/>
      <c r="AL3764" s="5">
        <f t="shared" si="118"/>
        <v>0</v>
      </c>
    </row>
    <row r="3765" spans="1:38" ht="25.5" customHeight="1" x14ac:dyDescent="0.25">
      <c r="A3765" s="10" t="s">
        <v>3279</v>
      </c>
      <c r="B3765" s="11" t="s">
        <v>1651</v>
      </c>
      <c r="C3765" s="5">
        <v>68129.029500000004</v>
      </c>
      <c r="D3765" s="5">
        <v>68129.029500000004</v>
      </c>
      <c r="E3765" s="5">
        <v>61692.054799999998</v>
      </c>
      <c r="G3765" s="5" t="str">
        <f t="shared" si="117"/>
        <v>ШАРТАШ</v>
      </c>
      <c r="J3765" s="5"/>
      <c r="AL3765" s="5">
        <f t="shared" si="118"/>
        <v>0</v>
      </c>
    </row>
    <row r="3766" spans="1:38" ht="25.5" customHeight="1" x14ac:dyDescent="0.25">
      <c r="A3766" s="10" t="s">
        <v>3280</v>
      </c>
      <c r="B3766" s="11" t="s">
        <v>1652</v>
      </c>
      <c r="C3766" s="5">
        <v>71105.171700000006</v>
      </c>
      <c r="D3766" s="5">
        <v>71105.171700000006</v>
      </c>
      <c r="E3766" s="5">
        <v>64387.005100000002</v>
      </c>
      <c r="G3766" s="5" t="str">
        <f t="shared" si="117"/>
        <v>ЗАРЕЧНЫЙ</v>
      </c>
      <c r="J3766" s="5"/>
      <c r="AL3766" s="5">
        <f t="shared" si="118"/>
        <v>0</v>
      </c>
    </row>
    <row r="3767" spans="1:38" ht="25.5" customHeight="1" x14ac:dyDescent="0.25">
      <c r="A3767" s="10" t="s">
        <v>300</v>
      </c>
      <c r="B3767" s="11" t="s">
        <v>33</v>
      </c>
      <c r="C3767" s="5">
        <v>84298.205100000006</v>
      </c>
      <c r="D3767" s="5">
        <v>84298.205100000006</v>
      </c>
      <c r="E3767" s="5">
        <v>76333.533100000001</v>
      </c>
      <c r="G3767" s="5" t="str">
        <f t="shared" si="117"/>
        <v>ВИЗ</v>
      </c>
      <c r="J3767" s="5"/>
      <c r="AL3767" s="5">
        <f t="shared" si="118"/>
        <v>0</v>
      </c>
    </row>
    <row r="3768" spans="1:38" ht="25.5" customHeight="1" x14ac:dyDescent="0.25">
      <c r="A3768" s="10" t="s">
        <v>3281</v>
      </c>
      <c r="B3768" s="11" t="s">
        <v>33</v>
      </c>
      <c r="C3768" s="5">
        <v>84298.205100000006</v>
      </c>
      <c r="D3768" s="5">
        <v>84298.205100000006</v>
      </c>
      <c r="E3768" s="5">
        <v>76333.533100000001</v>
      </c>
      <c r="G3768" s="5" t="str">
        <f t="shared" si="117"/>
        <v>ВИЗ</v>
      </c>
      <c r="J3768" s="5"/>
      <c r="AL3768" s="5">
        <f t="shared" si="118"/>
        <v>0</v>
      </c>
    </row>
    <row r="3769" spans="1:38" ht="25.5" customHeight="1" x14ac:dyDescent="0.25">
      <c r="A3769" s="10" t="s">
        <v>3282</v>
      </c>
      <c r="B3769" s="11" t="s">
        <v>1637</v>
      </c>
      <c r="C3769" s="5">
        <v>59368.686099999999</v>
      </c>
      <c r="D3769" s="5">
        <v>59368.686099999999</v>
      </c>
      <c r="E3769" s="5">
        <v>53759.401700000002</v>
      </c>
      <c r="G3769" s="5" t="str">
        <f t="shared" si="117"/>
        <v>Старая сортировка</v>
      </c>
      <c r="J3769" s="5"/>
      <c r="AL3769" s="5">
        <f t="shared" si="118"/>
        <v>0</v>
      </c>
    </row>
    <row r="3770" spans="1:38" ht="25.5" customHeight="1" x14ac:dyDescent="0.25">
      <c r="A3770" s="10" t="s">
        <v>3283</v>
      </c>
      <c r="B3770" s="11" t="s">
        <v>1664</v>
      </c>
      <c r="C3770" s="5">
        <v>53668.506099999999</v>
      </c>
      <c r="D3770" s="5">
        <v>53668.506099999999</v>
      </c>
      <c r="E3770" s="5">
        <v>48597.792699999998</v>
      </c>
      <c r="G3770" s="5" t="str">
        <f t="shared" si="117"/>
        <v>ИЗОПЛИТ</v>
      </c>
      <c r="J3770" s="5"/>
      <c r="AL3770" s="5">
        <f t="shared" si="118"/>
        <v>0</v>
      </c>
    </row>
    <row r="3771" spans="1:38" ht="25.5" customHeight="1" x14ac:dyDescent="0.25">
      <c r="A3771" s="10" t="s">
        <v>3284</v>
      </c>
      <c r="B3771" s="11" t="s">
        <v>779</v>
      </c>
      <c r="C3771" s="5">
        <v>46784.877899999999</v>
      </c>
      <c r="D3771" s="5">
        <v>46784.877899999999</v>
      </c>
      <c r="E3771" s="5">
        <v>42364.543299999998</v>
      </c>
      <c r="G3771" s="5" t="str">
        <f t="shared" si="117"/>
        <v>Нижнеисетский</v>
      </c>
      <c r="J3771" s="5"/>
      <c r="AL3771" s="5">
        <f t="shared" si="118"/>
        <v>0</v>
      </c>
    </row>
    <row r="3772" spans="1:38" ht="25.5" customHeight="1" x14ac:dyDescent="0.25">
      <c r="A3772" s="10" t="s">
        <v>486</v>
      </c>
      <c r="B3772" s="11" t="s">
        <v>1647</v>
      </c>
      <c r="C3772" s="5">
        <v>63178.133800000003</v>
      </c>
      <c r="D3772" s="5">
        <v>63178.133800000003</v>
      </c>
      <c r="E3772" s="5">
        <v>57208.931499999999</v>
      </c>
      <c r="G3772" s="5" t="str">
        <f t="shared" si="117"/>
        <v>ШИРОКАЯ РЕЧКА</v>
      </c>
      <c r="J3772" s="5"/>
      <c r="AL3772" s="5">
        <f t="shared" si="118"/>
        <v>0</v>
      </c>
    </row>
    <row r="3773" spans="1:38" ht="25.5" customHeight="1" x14ac:dyDescent="0.25">
      <c r="A3773" s="10" t="s">
        <v>1369</v>
      </c>
      <c r="B3773" s="11" t="s">
        <v>14</v>
      </c>
      <c r="C3773" s="5">
        <v>93989.912800000006</v>
      </c>
      <c r="D3773" s="5">
        <v>93989.912800000006</v>
      </c>
      <c r="E3773" s="5">
        <v>85109.545199999993</v>
      </c>
      <c r="G3773" s="5" t="str">
        <f t="shared" si="117"/>
        <v>Центр</v>
      </c>
      <c r="J3773" s="5"/>
      <c r="AL3773" s="5">
        <f t="shared" si="118"/>
        <v>0</v>
      </c>
    </row>
    <row r="3774" spans="1:38" ht="25.5" customHeight="1" x14ac:dyDescent="0.25">
      <c r="A3774" s="10" t="s">
        <v>3285</v>
      </c>
      <c r="B3774" s="11" t="s">
        <v>1647</v>
      </c>
      <c r="C3774" s="5">
        <v>63178.133800000003</v>
      </c>
      <c r="D3774" s="5">
        <v>63178.133800000003</v>
      </c>
      <c r="E3774" s="5">
        <v>57208.931499999999</v>
      </c>
      <c r="G3774" s="5" t="str">
        <f t="shared" si="117"/>
        <v>ШИРОКАЯ РЕЧКА</v>
      </c>
      <c r="J3774" s="5"/>
      <c r="AL3774" s="5">
        <f t="shared" si="118"/>
        <v>0</v>
      </c>
    </row>
    <row r="3775" spans="1:38" ht="25.5" customHeight="1" x14ac:dyDescent="0.25">
      <c r="A3775" s="10" t="s">
        <v>3286</v>
      </c>
      <c r="B3775" s="11" t="s">
        <v>1645</v>
      </c>
      <c r="C3775" s="5">
        <v>60958.294800000003</v>
      </c>
      <c r="D3775" s="5">
        <v>60958.294800000003</v>
      </c>
      <c r="E3775" s="5">
        <v>55198.825199999999</v>
      </c>
      <c r="G3775" s="5" t="str">
        <f t="shared" ref="G3775:G3838" si="119">B3775</f>
        <v>ЕЛИЗАВЕТ</v>
      </c>
      <c r="J3775" s="5"/>
      <c r="AL3775" s="5">
        <f t="shared" ref="AL3775:AL3838" si="120">AF3775</f>
        <v>0</v>
      </c>
    </row>
    <row r="3776" spans="1:38" ht="25.5" customHeight="1" x14ac:dyDescent="0.25">
      <c r="A3776" s="10" t="s">
        <v>3287</v>
      </c>
      <c r="B3776" s="11" t="s">
        <v>14</v>
      </c>
      <c r="C3776" s="5">
        <v>93989.912800000006</v>
      </c>
      <c r="D3776" s="5">
        <v>93989.912800000006</v>
      </c>
      <c r="E3776" s="5">
        <v>85109.545199999993</v>
      </c>
      <c r="G3776" s="5" t="str">
        <f t="shared" si="119"/>
        <v>Центр</v>
      </c>
      <c r="J3776" s="5"/>
      <c r="AL3776" s="5">
        <f t="shared" si="120"/>
        <v>0</v>
      </c>
    </row>
    <row r="3777" spans="1:38" ht="25.5" customHeight="1" x14ac:dyDescent="0.25">
      <c r="A3777" s="10" t="s">
        <v>840</v>
      </c>
      <c r="B3777" s="11" t="s">
        <v>14</v>
      </c>
      <c r="C3777" s="5">
        <v>93989.912800000006</v>
      </c>
      <c r="D3777" s="5">
        <v>93989.912800000006</v>
      </c>
      <c r="E3777" s="5">
        <v>85109.545199999993</v>
      </c>
      <c r="G3777" s="5" t="str">
        <f t="shared" si="119"/>
        <v>Центр</v>
      </c>
      <c r="J3777" s="5"/>
      <c r="AL3777" s="5">
        <f t="shared" si="120"/>
        <v>0</v>
      </c>
    </row>
    <row r="3778" spans="1:38" ht="25.5" customHeight="1" x14ac:dyDescent="0.25">
      <c r="A3778" s="10" t="s">
        <v>3288</v>
      </c>
      <c r="B3778" s="11" t="s">
        <v>1647</v>
      </c>
      <c r="C3778" s="5">
        <v>63178.133800000003</v>
      </c>
      <c r="D3778" s="5">
        <v>63178.133800000003</v>
      </c>
      <c r="E3778" s="5">
        <v>57208.931499999999</v>
      </c>
      <c r="G3778" s="5" t="str">
        <f t="shared" si="119"/>
        <v>ШИРОКАЯ РЕЧКА</v>
      </c>
      <c r="J3778" s="5"/>
      <c r="AL3778" s="5">
        <f t="shared" si="120"/>
        <v>0</v>
      </c>
    </row>
    <row r="3779" spans="1:38" ht="25.5" customHeight="1" x14ac:dyDescent="0.25">
      <c r="A3779" s="10" t="s">
        <v>3289</v>
      </c>
      <c r="B3779" s="11" t="s">
        <v>14</v>
      </c>
      <c r="C3779" s="5">
        <v>93989.912800000006</v>
      </c>
      <c r="D3779" s="5">
        <v>93989.912800000006</v>
      </c>
      <c r="E3779" s="5">
        <v>85109.545199999993</v>
      </c>
      <c r="G3779" s="5" t="str">
        <f t="shared" si="119"/>
        <v>Центр</v>
      </c>
      <c r="J3779" s="5"/>
      <c r="AL3779" s="5">
        <f t="shared" si="120"/>
        <v>0</v>
      </c>
    </row>
    <row r="3780" spans="1:38" ht="25.5" customHeight="1" x14ac:dyDescent="0.25">
      <c r="A3780" s="10" t="s">
        <v>819</v>
      </c>
      <c r="B3780" s="11" t="s">
        <v>1628</v>
      </c>
      <c r="C3780" s="5">
        <v>70734.0236</v>
      </c>
      <c r="D3780" s="5">
        <v>70734.0236</v>
      </c>
      <c r="E3780" s="5">
        <v>64050.9208</v>
      </c>
      <c r="G3780" s="5" t="str">
        <f t="shared" si="119"/>
        <v>ЭЛЬМАШ</v>
      </c>
      <c r="J3780" s="5"/>
      <c r="AL3780" s="5">
        <f t="shared" si="120"/>
        <v>0</v>
      </c>
    </row>
    <row r="3781" spans="1:38" ht="25.5" customHeight="1" x14ac:dyDescent="0.25">
      <c r="A3781" s="10" t="s">
        <v>304</v>
      </c>
      <c r="B3781" s="11" t="s">
        <v>1629</v>
      </c>
      <c r="C3781" s="5">
        <v>77743.704100000003</v>
      </c>
      <c r="D3781" s="5">
        <v>77743.704100000003</v>
      </c>
      <c r="E3781" s="5">
        <v>70398.310800000007</v>
      </c>
      <c r="G3781" s="5" t="str">
        <f t="shared" si="119"/>
        <v>ПИОНЕРСКИЙ</v>
      </c>
      <c r="J3781" s="5"/>
      <c r="AL3781" s="5">
        <f t="shared" si="120"/>
        <v>0</v>
      </c>
    </row>
    <row r="3782" spans="1:38" ht="25.5" customHeight="1" x14ac:dyDescent="0.25">
      <c r="A3782" s="10" t="s">
        <v>3290</v>
      </c>
      <c r="B3782" s="11" t="s">
        <v>1638</v>
      </c>
      <c r="C3782" s="5">
        <v>63640.311600000001</v>
      </c>
      <c r="D3782" s="5">
        <v>63640.311600000001</v>
      </c>
      <c r="E3782" s="5">
        <v>57627.4473</v>
      </c>
      <c r="G3782" s="5" t="str">
        <f t="shared" si="119"/>
        <v>УКТУС</v>
      </c>
      <c r="J3782" s="5"/>
      <c r="AL3782" s="5">
        <f t="shared" si="120"/>
        <v>0</v>
      </c>
    </row>
    <row r="3783" spans="1:38" ht="25.5" customHeight="1" x14ac:dyDescent="0.25">
      <c r="A3783" s="10" t="s">
        <v>690</v>
      </c>
      <c r="B3783" s="11" t="s">
        <v>1642</v>
      </c>
      <c r="C3783" s="5">
        <v>81392.097599999994</v>
      </c>
      <c r="D3783" s="5">
        <v>81392.097599999994</v>
      </c>
      <c r="E3783" s="5">
        <v>73702.001099999994</v>
      </c>
      <c r="G3783" s="5" t="str">
        <f t="shared" si="119"/>
        <v>ПАРКОВЫЙ</v>
      </c>
      <c r="J3783" s="5"/>
      <c r="AL3783" s="5">
        <f t="shared" si="120"/>
        <v>0</v>
      </c>
    </row>
    <row r="3784" spans="1:38" ht="25.5" customHeight="1" x14ac:dyDescent="0.25">
      <c r="A3784" s="10" t="s">
        <v>1399</v>
      </c>
      <c r="B3784" s="11" t="s">
        <v>1638</v>
      </c>
      <c r="C3784" s="5">
        <v>63640.311600000001</v>
      </c>
      <c r="D3784" s="5">
        <v>63640.311600000001</v>
      </c>
      <c r="E3784" s="5">
        <v>57627.4473</v>
      </c>
      <c r="G3784" s="5" t="str">
        <f t="shared" si="119"/>
        <v>УКТУС</v>
      </c>
      <c r="J3784" s="5"/>
      <c r="AL3784" s="5">
        <f t="shared" si="120"/>
        <v>0</v>
      </c>
    </row>
    <row r="3785" spans="1:38" ht="25.5" customHeight="1" x14ac:dyDescent="0.25">
      <c r="A3785" s="10" t="s">
        <v>1240</v>
      </c>
      <c r="B3785" s="11" t="s">
        <v>1634</v>
      </c>
      <c r="C3785" s="5">
        <v>77064.444199999998</v>
      </c>
      <c r="D3785" s="5">
        <v>77064.444199999998</v>
      </c>
      <c r="E3785" s="5">
        <v>69783.233200000002</v>
      </c>
      <c r="G3785" s="5" t="str">
        <f t="shared" si="119"/>
        <v>БОТАНИЧЕСКИЙ</v>
      </c>
      <c r="J3785" s="5"/>
      <c r="AL3785" s="5">
        <f t="shared" si="120"/>
        <v>0</v>
      </c>
    </row>
    <row r="3786" spans="1:38" ht="25.5" customHeight="1" x14ac:dyDescent="0.25">
      <c r="A3786" s="10" t="s">
        <v>3291</v>
      </c>
      <c r="B3786" s="11" t="s">
        <v>1633</v>
      </c>
      <c r="C3786" s="5">
        <v>77071.442599999995</v>
      </c>
      <c r="D3786" s="5">
        <v>77071.442599999995</v>
      </c>
      <c r="E3786" s="5">
        <v>69789.570900000006</v>
      </c>
      <c r="G3786" s="5" t="str">
        <f t="shared" si="119"/>
        <v>ВТУЗГОРОДОК</v>
      </c>
      <c r="J3786" s="5"/>
      <c r="AL3786" s="5">
        <f t="shared" si="120"/>
        <v>0</v>
      </c>
    </row>
    <row r="3787" spans="1:38" ht="25.5" customHeight="1" x14ac:dyDescent="0.25">
      <c r="A3787" s="10" t="s">
        <v>3292</v>
      </c>
      <c r="B3787" s="11" t="s">
        <v>1647</v>
      </c>
      <c r="C3787" s="5">
        <v>63178.133800000003</v>
      </c>
      <c r="D3787" s="5">
        <v>63178.133800000003</v>
      </c>
      <c r="E3787" s="5">
        <v>57208.931499999999</v>
      </c>
      <c r="G3787" s="5" t="str">
        <f t="shared" si="119"/>
        <v>ШИРОКАЯ РЕЧКА</v>
      </c>
      <c r="J3787" s="5"/>
      <c r="AL3787" s="5">
        <f t="shared" si="120"/>
        <v>0</v>
      </c>
    </row>
    <row r="3788" spans="1:38" ht="25.5" customHeight="1" x14ac:dyDescent="0.25">
      <c r="A3788" s="10" t="s">
        <v>354</v>
      </c>
      <c r="B3788" s="11" t="s">
        <v>14</v>
      </c>
      <c r="C3788" s="5">
        <v>93989.912800000006</v>
      </c>
      <c r="D3788" s="5">
        <v>93989.912800000006</v>
      </c>
      <c r="E3788" s="5">
        <v>85109.545199999993</v>
      </c>
      <c r="G3788" s="5" t="str">
        <f t="shared" si="119"/>
        <v>Центр</v>
      </c>
      <c r="J3788" s="5"/>
      <c r="AL3788" s="5">
        <f t="shared" si="120"/>
        <v>0</v>
      </c>
    </row>
    <row r="3789" spans="1:38" ht="25.5" customHeight="1" x14ac:dyDescent="0.25">
      <c r="A3789" s="10" t="s">
        <v>1570</v>
      </c>
      <c r="B3789" s="11" t="s">
        <v>1657</v>
      </c>
      <c r="C3789" s="5">
        <v>54886.9666</v>
      </c>
      <c r="D3789" s="5">
        <v>54886.9666</v>
      </c>
      <c r="E3789" s="5">
        <v>49701.1319</v>
      </c>
      <c r="G3789" s="5" t="str">
        <f t="shared" si="119"/>
        <v>КОЛЬЦОВО</v>
      </c>
      <c r="J3789" s="5"/>
      <c r="AL3789" s="5">
        <f t="shared" si="120"/>
        <v>0</v>
      </c>
    </row>
    <row r="3790" spans="1:38" ht="25.5" customHeight="1" x14ac:dyDescent="0.25">
      <c r="A3790" s="10" t="s">
        <v>1283</v>
      </c>
      <c r="B3790" s="11" t="s">
        <v>1643</v>
      </c>
      <c r="C3790" s="5">
        <v>76630.280299999999</v>
      </c>
      <c r="D3790" s="5">
        <v>76630.280299999999</v>
      </c>
      <c r="E3790" s="5">
        <v>69390.088799999998</v>
      </c>
      <c r="G3790" s="5" t="str">
        <f t="shared" si="119"/>
        <v>Ю-З</v>
      </c>
      <c r="J3790" s="5"/>
      <c r="AL3790" s="5">
        <f t="shared" si="120"/>
        <v>0</v>
      </c>
    </row>
    <row r="3791" spans="1:38" ht="25.5" customHeight="1" x14ac:dyDescent="0.25">
      <c r="A3791" s="10" t="s">
        <v>3293</v>
      </c>
      <c r="B3791" s="11" t="s">
        <v>1637</v>
      </c>
      <c r="C3791" s="5">
        <v>59368.686099999999</v>
      </c>
      <c r="D3791" s="5">
        <v>59368.686099999999</v>
      </c>
      <c r="E3791" s="5">
        <v>53759.401700000002</v>
      </c>
      <c r="G3791" s="5" t="str">
        <f t="shared" si="119"/>
        <v>Старая сортировка</v>
      </c>
      <c r="J3791" s="5"/>
      <c r="AL3791" s="5">
        <f t="shared" si="120"/>
        <v>0</v>
      </c>
    </row>
    <row r="3792" spans="1:38" ht="25.5" customHeight="1" x14ac:dyDescent="0.25">
      <c r="A3792" s="10" t="s">
        <v>3294</v>
      </c>
      <c r="B3792" s="11" t="s">
        <v>1651</v>
      </c>
      <c r="C3792" s="5">
        <v>68129.029500000004</v>
      </c>
      <c r="D3792" s="5">
        <v>68129.029500000004</v>
      </c>
      <c r="E3792" s="5">
        <v>61692.054799999998</v>
      </c>
      <c r="G3792" s="5" t="str">
        <f t="shared" si="119"/>
        <v>ШАРТАШ</v>
      </c>
      <c r="J3792" s="5"/>
      <c r="AL3792" s="5">
        <f t="shared" si="120"/>
        <v>0</v>
      </c>
    </row>
    <row r="3793" spans="1:38" ht="25.5" customHeight="1" x14ac:dyDescent="0.25">
      <c r="A3793" s="10" t="s">
        <v>362</v>
      </c>
      <c r="B3793" s="11" t="s">
        <v>1660</v>
      </c>
      <c r="C3793" s="5">
        <v>53262.345800000003</v>
      </c>
      <c r="D3793" s="5">
        <v>53262.345800000003</v>
      </c>
      <c r="E3793" s="5">
        <v>48230.0095</v>
      </c>
      <c r="G3793" s="5" t="str">
        <f t="shared" si="119"/>
        <v>САДОВЫЙ</v>
      </c>
      <c r="J3793" s="5"/>
      <c r="AL3793" s="5">
        <f t="shared" si="120"/>
        <v>0</v>
      </c>
    </row>
    <row r="3794" spans="1:38" ht="25.5" customHeight="1" x14ac:dyDescent="0.25">
      <c r="A3794" s="10" t="s">
        <v>378</v>
      </c>
      <c r="B3794" s="11" t="s">
        <v>1643</v>
      </c>
      <c r="C3794" s="5">
        <v>76630.280299999999</v>
      </c>
      <c r="D3794" s="5">
        <v>76630.280299999999</v>
      </c>
      <c r="E3794" s="5">
        <v>69390.088799999998</v>
      </c>
      <c r="G3794" s="5" t="str">
        <f t="shared" si="119"/>
        <v>Ю-З</v>
      </c>
      <c r="J3794" s="5"/>
      <c r="AL3794" s="5">
        <f t="shared" si="120"/>
        <v>0</v>
      </c>
    </row>
    <row r="3795" spans="1:38" ht="25.5" customHeight="1" x14ac:dyDescent="0.25">
      <c r="A3795" s="10" t="s">
        <v>3295</v>
      </c>
      <c r="B3795" s="11" t="s">
        <v>33</v>
      </c>
      <c r="C3795" s="5">
        <v>84298.205100000006</v>
      </c>
      <c r="D3795" s="5">
        <v>84298.205100000006</v>
      </c>
      <c r="E3795" s="5">
        <v>76333.533100000001</v>
      </c>
      <c r="G3795" s="5" t="str">
        <f t="shared" si="119"/>
        <v>ВИЗ</v>
      </c>
      <c r="J3795" s="5"/>
      <c r="AL3795" s="5">
        <f t="shared" si="120"/>
        <v>0</v>
      </c>
    </row>
    <row r="3796" spans="1:38" ht="25.5" customHeight="1" x14ac:dyDescent="0.25">
      <c r="A3796" s="10" t="s">
        <v>1551</v>
      </c>
      <c r="B3796" s="11" t="s">
        <v>1643</v>
      </c>
      <c r="C3796" s="5">
        <v>76630.280299999999</v>
      </c>
      <c r="D3796" s="5">
        <v>76630.280299999999</v>
      </c>
      <c r="E3796" s="5">
        <v>69390.088799999998</v>
      </c>
      <c r="G3796" s="5" t="str">
        <f t="shared" si="119"/>
        <v>Ю-З</v>
      </c>
      <c r="J3796" s="5"/>
      <c r="AL3796" s="5">
        <f t="shared" si="120"/>
        <v>0</v>
      </c>
    </row>
    <row r="3797" spans="1:38" ht="25.5" customHeight="1" x14ac:dyDescent="0.25">
      <c r="A3797" s="10" t="s">
        <v>1387</v>
      </c>
      <c r="B3797" s="11" t="s">
        <v>1629</v>
      </c>
      <c r="C3797" s="5">
        <v>77743.704100000003</v>
      </c>
      <c r="D3797" s="5">
        <v>77743.704100000003</v>
      </c>
      <c r="E3797" s="5">
        <v>70398.310800000007</v>
      </c>
      <c r="G3797" s="5" t="str">
        <f t="shared" si="119"/>
        <v>ПИОНЕРСКИЙ</v>
      </c>
      <c r="J3797" s="5"/>
      <c r="AL3797" s="5">
        <f t="shared" si="120"/>
        <v>0</v>
      </c>
    </row>
    <row r="3798" spans="1:38" ht="25.5" customHeight="1" x14ac:dyDescent="0.25">
      <c r="A3798" s="10" t="s">
        <v>3296</v>
      </c>
      <c r="B3798" s="11" t="s">
        <v>33</v>
      </c>
      <c r="C3798" s="5">
        <v>84298.205100000006</v>
      </c>
      <c r="D3798" s="5">
        <v>84298.205100000006</v>
      </c>
      <c r="E3798" s="5">
        <v>76333.533100000001</v>
      </c>
      <c r="G3798" s="5" t="str">
        <f t="shared" si="119"/>
        <v>ВИЗ</v>
      </c>
      <c r="J3798" s="5"/>
      <c r="AL3798" s="5">
        <f t="shared" si="120"/>
        <v>0</v>
      </c>
    </row>
    <row r="3799" spans="1:38" ht="25.5" customHeight="1" x14ac:dyDescent="0.25">
      <c r="A3799" s="10" t="s">
        <v>3297</v>
      </c>
      <c r="B3799" s="11" t="s">
        <v>1666</v>
      </c>
      <c r="C3799" s="5">
        <v>46784.877899999999</v>
      </c>
      <c r="D3799" s="5">
        <v>46784.877899999999</v>
      </c>
      <c r="E3799" s="5">
        <v>42364.543299999998</v>
      </c>
      <c r="G3799" s="5" t="str">
        <f t="shared" si="119"/>
        <v>Сулим.Торфянник</v>
      </c>
      <c r="J3799" s="5"/>
      <c r="AL3799" s="5">
        <f t="shared" si="120"/>
        <v>0</v>
      </c>
    </row>
    <row r="3800" spans="1:38" ht="25.5" customHeight="1" x14ac:dyDescent="0.25">
      <c r="A3800" s="10" t="s">
        <v>1277</v>
      </c>
      <c r="B3800" s="11" t="s">
        <v>1657</v>
      </c>
      <c r="C3800" s="5">
        <v>54886.9666</v>
      </c>
      <c r="D3800" s="5">
        <v>54886.9666</v>
      </c>
      <c r="E3800" s="5">
        <v>49701.1319</v>
      </c>
      <c r="G3800" s="5" t="str">
        <f t="shared" si="119"/>
        <v>КОЛЬЦОВО</v>
      </c>
      <c r="J3800" s="5"/>
      <c r="AL3800" s="5">
        <f t="shared" si="120"/>
        <v>0</v>
      </c>
    </row>
    <row r="3801" spans="1:38" ht="25.5" customHeight="1" x14ac:dyDescent="0.25">
      <c r="A3801" s="10" t="s">
        <v>593</v>
      </c>
      <c r="B3801" s="11" t="s">
        <v>1643</v>
      </c>
      <c r="C3801" s="5">
        <v>76630.280299999999</v>
      </c>
      <c r="D3801" s="5">
        <v>76630.280299999999</v>
      </c>
      <c r="E3801" s="5">
        <v>69390.088799999998</v>
      </c>
      <c r="G3801" s="5" t="str">
        <f t="shared" si="119"/>
        <v>Ю-З</v>
      </c>
      <c r="J3801" s="5"/>
      <c r="AL3801" s="5">
        <f t="shared" si="120"/>
        <v>0</v>
      </c>
    </row>
    <row r="3802" spans="1:38" ht="25.5" customHeight="1" x14ac:dyDescent="0.25">
      <c r="A3802" s="10" t="s">
        <v>3298</v>
      </c>
      <c r="B3802" s="11" t="s">
        <v>33</v>
      </c>
      <c r="C3802" s="5">
        <v>84298.205100000006</v>
      </c>
      <c r="D3802" s="5">
        <v>84298.205100000006</v>
      </c>
      <c r="E3802" s="5">
        <v>76333.533100000001</v>
      </c>
      <c r="G3802" s="5" t="str">
        <f t="shared" si="119"/>
        <v>ВИЗ</v>
      </c>
      <c r="J3802" s="5"/>
      <c r="AL3802" s="5">
        <f t="shared" si="120"/>
        <v>0</v>
      </c>
    </row>
    <row r="3803" spans="1:38" ht="25.5" customHeight="1" x14ac:dyDescent="0.25">
      <c r="A3803" s="10" t="s">
        <v>3299</v>
      </c>
      <c r="B3803" s="11" t="s">
        <v>1638</v>
      </c>
      <c r="C3803" s="5">
        <v>63640.311600000001</v>
      </c>
      <c r="D3803" s="5">
        <v>63640.311600000001</v>
      </c>
      <c r="E3803" s="5">
        <v>57627.4473</v>
      </c>
      <c r="G3803" s="5" t="str">
        <f t="shared" si="119"/>
        <v>УКТУС</v>
      </c>
      <c r="J3803" s="5"/>
      <c r="AL3803" s="5">
        <f t="shared" si="120"/>
        <v>0</v>
      </c>
    </row>
    <row r="3804" spans="1:38" ht="25.5" customHeight="1" x14ac:dyDescent="0.25">
      <c r="A3804" s="10" t="s">
        <v>1535</v>
      </c>
      <c r="B3804" s="11" t="s">
        <v>1643</v>
      </c>
      <c r="C3804" s="5">
        <v>76630.280299999999</v>
      </c>
      <c r="D3804" s="5">
        <v>76630.280299999999</v>
      </c>
      <c r="E3804" s="5">
        <v>69390.088799999998</v>
      </c>
      <c r="G3804" s="5" t="str">
        <f t="shared" si="119"/>
        <v>Ю-З</v>
      </c>
      <c r="J3804" s="5"/>
      <c r="AL3804" s="5">
        <f t="shared" si="120"/>
        <v>0</v>
      </c>
    </row>
    <row r="3805" spans="1:38" ht="25.5" customHeight="1" x14ac:dyDescent="0.25">
      <c r="A3805" s="10" t="s">
        <v>3300</v>
      </c>
      <c r="B3805" s="11" t="s">
        <v>1638</v>
      </c>
      <c r="C3805" s="5">
        <v>63640.311600000001</v>
      </c>
      <c r="D3805" s="5">
        <v>63640.311600000001</v>
      </c>
      <c r="E3805" s="5">
        <v>57627.4473</v>
      </c>
      <c r="G3805" s="5" t="str">
        <f t="shared" si="119"/>
        <v>УКТУС</v>
      </c>
      <c r="J3805" s="5"/>
      <c r="AL3805" s="5">
        <f t="shared" si="120"/>
        <v>0</v>
      </c>
    </row>
    <row r="3806" spans="1:38" ht="25.5" customHeight="1" x14ac:dyDescent="0.25">
      <c r="A3806" s="10" t="s">
        <v>1389</v>
      </c>
      <c r="B3806" s="11" t="s">
        <v>14</v>
      </c>
      <c r="C3806" s="5">
        <v>93989.912800000006</v>
      </c>
      <c r="D3806" s="5">
        <v>93989.912800000006</v>
      </c>
      <c r="E3806" s="5">
        <v>85109.545199999993</v>
      </c>
      <c r="G3806" s="5" t="str">
        <f t="shared" si="119"/>
        <v>Центр</v>
      </c>
      <c r="J3806" s="5"/>
      <c r="AL3806" s="5">
        <f t="shared" si="120"/>
        <v>0</v>
      </c>
    </row>
    <row r="3807" spans="1:38" ht="25.5" customHeight="1" x14ac:dyDescent="0.25">
      <c r="A3807" s="10" t="s">
        <v>3301</v>
      </c>
      <c r="B3807" s="11" t="s">
        <v>1645</v>
      </c>
      <c r="C3807" s="5">
        <v>60958.294800000003</v>
      </c>
      <c r="D3807" s="5">
        <v>60958.294800000003</v>
      </c>
      <c r="E3807" s="5">
        <v>55198.825199999999</v>
      </c>
      <c r="G3807" s="5" t="str">
        <f t="shared" si="119"/>
        <v>ЕЛИЗАВЕТ</v>
      </c>
      <c r="J3807" s="5"/>
      <c r="AL3807" s="5">
        <f t="shared" si="120"/>
        <v>0</v>
      </c>
    </row>
    <row r="3808" spans="1:38" ht="25.5" customHeight="1" x14ac:dyDescent="0.25">
      <c r="A3808" s="10" t="s">
        <v>3302</v>
      </c>
      <c r="B3808" s="11" t="s">
        <v>1636</v>
      </c>
      <c r="C3808" s="5">
        <v>52246.960299999999</v>
      </c>
      <c r="D3808" s="5">
        <v>52246.960299999999</v>
      </c>
      <c r="E3808" s="5">
        <v>47310.556700000001</v>
      </c>
      <c r="G3808" s="5" t="str">
        <f t="shared" si="119"/>
        <v>ГОРНЫЙ ЩИТ</v>
      </c>
      <c r="J3808" s="5"/>
      <c r="AL3808" s="5">
        <f t="shared" si="120"/>
        <v>0</v>
      </c>
    </row>
    <row r="3809" spans="1:38" ht="25.5" customHeight="1" x14ac:dyDescent="0.25">
      <c r="A3809" s="10" t="s">
        <v>994</v>
      </c>
      <c r="B3809" s="11" t="s">
        <v>1662</v>
      </c>
      <c r="C3809" s="5">
        <v>46784.877899999999</v>
      </c>
      <c r="D3809" s="5">
        <v>46784.877899999999</v>
      </c>
      <c r="E3809" s="5">
        <v>42364.543299999998</v>
      </c>
      <c r="G3809" s="5" t="str">
        <f t="shared" si="119"/>
        <v>РУДНЫЙ</v>
      </c>
      <c r="J3809" s="5"/>
      <c r="AL3809" s="5">
        <f t="shared" si="120"/>
        <v>0</v>
      </c>
    </row>
    <row r="3810" spans="1:38" ht="25.5" customHeight="1" x14ac:dyDescent="0.25">
      <c r="A3810" s="10" t="s">
        <v>3303</v>
      </c>
      <c r="B3810" s="11" t="s">
        <v>1638</v>
      </c>
      <c r="C3810" s="5">
        <v>63640.311600000001</v>
      </c>
      <c r="D3810" s="5">
        <v>63640.311600000001</v>
      </c>
      <c r="E3810" s="5">
        <v>57627.4473</v>
      </c>
      <c r="G3810" s="5" t="str">
        <f t="shared" si="119"/>
        <v>УКТУС</v>
      </c>
      <c r="J3810" s="5"/>
      <c r="AL3810" s="5">
        <f t="shared" si="120"/>
        <v>0</v>
      </c>
    </row>
    <row r="3811" spans="1:38" ht="25.5" customHeight="1" x14ac:dyDescent="0.25">
      <c r="A3811" s="10" t="s">
        <v>3304</v>
      </c>
      <c r="B3811" s="11" t="s">
        <v>1645</v>
      </c>
      <c r="C3811" s="5">
        <v>60958.294800000003</v>
      </c>
      <c r="D3811" s="5">
        <v>60958.294800000003</v>
      </c>
      <c r="E3811" s="5">
        <v>55198.825199999999</v>
      </c>
      <c r="G3811" s="5" t="str">
        <f t="shared" si="119"/>
        <v>ЕЛИЗАВЕТ</v>
      </c>
      <c r="J3811" s="5"/>
      <c r="AL3811" s="5">
        <f t="shared" si="120"/>
        <v>0</v>
      </c>
    </row>
    <row r="3812" spans="1:38" ht="25.5" customHeight="1" x14ac:dyDescent="0.25">
      <c r="A3812" s="10" t="s">
        <v>185</v>
      </c>
      <c r="B3812" s="11" t="s">
        <v>1630</v>
      </c>
      <c r="C3812" s="5">
        <v>62652.9401</v>
      </c>
      <c r="D3812" s="5">
        <v>62652.9401</v>
      </c>
      <c r="E3812" s="5">
        <v>56733.3557</v>
      </c>
      <c r="G3812" s="5" t="str">
        <f t="shared" si="119"/>
        <v>ЧЕРМЕТ</v>
      </c>
      <c r="J3812" s="5"/>
      <c r="AL3812" s="5">
        <f t="shared" si="120"/>
        <v>0</v>
      </c>
    </row>
    <row r="3813" spans="1:38" ht="25.5" customHeight="1" x14ac:dyDescent="0.25">
      <c r="A3813" s="10" t="s">
        <v>3305</v>
      </c>
      <c r="B3813" s="11" t="s">
        <v>1659</v>
      </c>
      <c r="C3813" s="5">
        <v>59746.832600000002</v>
      </c>
      <c r="D3813" s="5">
        <v>59746.832600000002</v>
      </c>
      <c r="E3813" s="5">
        <v>54101.823700000001</v>
      </c>
      <c r="G3813" s="5" t="str">
        <f t="shared" si="119"/>
        <v>СОВХОЗ</v>
      </c>
      <c r="J3813" s="5"/>
      <c r="AL3813" s="5">
        <f t="shared" si="120"/>
        <v>0</v>
      </c>
    </row>
    <row r="3814" spans="1:38" ht="25.5" customHeight="1" x14ac:dyDescent="0.25">
      <c r="A3814" s="10" t="s">
        <v>949</v>
      </c>
      <c r="B3814" s="11" t="s">
        <v>14</v>
      </c>
      <c r="C3814" s="5">
        <v>93989.912800000006</v>
      </c>
      <c r="D3814" s="5">
        <v>93989.912800000006</v>
      </c>
      <c r="E3814" s="5">
        <v>85109.545199999993</v>
      </c>
      <c r="G3814" s="5" t="str">
        <f t="shared" si="119"/>
        <v>Центр</v>
      </c>
      <c r="J3814" s="5"/>
      <c r="AL3814" s="5">
        <f t="shared" si="120"/>
        <v>0</v>
      </c>
    </row>
    <row r="3815" spans="1:38" ht="25.5" customHeight="1" x14ac:dyDescent="0.25">
      <c r="A3815" s="10" t="s">
        <v>385</v>
      </c>
      <c r="B3815" s="11" t="s">
        <v>1643</v>
      </c>
      <c r="C3815" s="5">
        <v>76630.280299999999</v>
      </c>
      <c r="D3815" s="5">
        <v>76630.280299999999</v>
      </c>
      <c r="E3815" s="5">
        <v>69390.088799999998</v>
      </c>
      <c r="G3815" s="5" t="str">
        <f t="shared" si="119"/>
        <v>Ю-З</v>
      </c>
      <c r="J3815" s="5"/>
      <c r="AL3815" s="5">
        <f t="shared" si="120"/>
        <v>0</v>
      </c>
    </row>
    <row r="3816" spans="1:38" ht="25.5" customHeight="1" x14ac:dyDescent="0.25">
      <c r="A3816" s="10" t="s">
        <v>406</v>
      </c>
      <c r="B3816" s="11" t="s">
        <v>1643</v>
      </c>
      <c r="C3816" s="5">
        <v>76630.280299999999</v>
      </c>
      <c r="D3816" s="5">
        <v>76630.280299999999</v>
      </c>
      <c r="E3816" s="5">
        <v>69390.088799999998</v>
      </c>
      <c r="G3816" s="5" t="str">
        <f t="shared" si="119"/>
        <v>Ю-З</v>
      </c>
      <c r="J3816" s="5"/>
      <c r="AL3816" s="5">
        <f t="shared" si="120"/>
        <v>0</v>
      </c>
    </row>
    <row r="3817" spans="1:38" ht="25.5" customHeight="1" x14ac:dyDescent="0.25">
      <c r="A3817" s="10" t="s">
        <v>3306</v>
      </c>
      <c r="B3817" s="11" t="s">
        <v>1631</v>
      </c>
      <c r="C3817" s="5">
        <v>70026.7601</v>
      </c>
      <c r="D3817" s="5">
        <v>70026.7601</v>
      </c>
      <c r="E3817" s="5">
        <v>63410.482000000004</v>
      </c>
      <c r="G3817" s="5" t="str">
        <f t="shared" si="119"/>
        <v>УРАЛМАШ</v>
      </c>
      <c r="J3817" s="5"/>
      <c r="AL3817" s="5">
        <f t="shared" si="120"/>
        <v>0</v>
      </c>
    </row>
    <row r="3818" spans="1:38" ht="25.5" customHeight="1" x14ac:dyDescent="0.25">
      <c r="A3818" s="10" t="s">
        <v>569</v>
      </c>
      <c r="B3818" s="11" t="s">
        <v>1644</v>
      </c>
      <c r="C3818" s="5">
        <v>61980.678599999999</v>
      </c>
      <c r="D3818" s="5">
        <v>61980.678599999999</v>
      </c>
      <c r="E3818" s="5">
        <v>56124.615700000002</v>
      </c>
      <c r="G3818" s="5" t="str">
        <f t="shared" si="119"/>
        <v>ХИММАШ</v>
      </c>
      <c r="J3818" s="5"/>
      <c r="AL3818" s="5">
        <f t="shared" si="120"/>
        <v>0</v>
      </c>
    </row>
    <row r="3819" spans="1:38" ht="25.5" customHeight="1" x14ac:dyDescent="0.25">
      <c r="A3819" s="10" t="s">
        <v>3307</v>
      </c>
      <c r="B3819" s="11" t="s">
        <v>1628</v>
      </c>
      <c r="C3819" s="5">
        <v>70734.0236</v>
      </c>
      <c r="D3819" s="5">
        <v>70734.0236</v>
      </c>
      <c r="E3819" s="5">
        <v>64050.9208</v>
      </c>
      <c r="G3819" s="5" t="str">
        <f t="shared" si="119"/>
        <v>ЭЛЬМАШ</v>
      </c>
      <c r="J3819" s="5"/>
      <c r="AL3819" s="5">
        <f t="shared" si="120"/>
        <v>0</v>
      </c>
    </row>
    <row r="3820" spans="1:38" ht="25.5" customHeight="1" x14ac:dyDescent="0.25">
      <c r="A3820" s="10" t="s">
        <v>520</v>
      </c>
      <c r="B3820" s="11" t="s">
        <v>1633</v>
      </c>
      <c r="C3820" s="5">
        <v>77071.442599999995</v>
      </c>
      <c r="D3820" s="5">
        <v>77071.442599999995</v>
      </c>
      <c r="E3820" s="5">
        <v>69789.570900000006</v>
      </c>
      <c r="G3820" s="5" t="str">
        <f t="shared" si="119"/>
        <v>ВТУЗГОРОДОК</v>
      </c>
      <c r="J3820" s="5"/>
      <c r="AL3820" s="5">
        <f t="shared" si="120"/>
        <v>0</v>
      </c>
    </row>
    <row r="3821" spans="1:38" ht="25.5" customHeight="1" x14ac:dyDescent="0.25">
      <c r="A3821" s="10" t="s">
        <v>1295</v>
      </c>
      <c r="B3821" s="11" t="s">
        <v>1630</v>
      </c>
      <c r="C3821" s="5">
        <v>62652.9401</v>
      </c>
      <c r="D3821" s="5">
        <v>62652.9401</v>
      </c>
      <c r="E3821" s="5">
        <v>56733.3557</v>
      </c>
      <c r="G3821" s="5" t="str">
        <f t="shared" si="119"/>
        <v>ЧЕРМЕТ</v>
      </c>
      <c r="J3821" s="5"/>
      <c r="AL3821" s="5">
        <f t="shared" si="120"/>
        <v>0</v>
      </c>
    </row>
    <row r="3822" spans="1:38" ht="25.5" customHeight="1" x14ac:dyDescent="0.25">
      <c r="A3822" s="10" t="s">
        <v>1324</v>
      </c>
      <c r="B3822" s="11" t="s">
        <v>66</v>
      </c>
      <c r="C3822" s="5">
        <v>64795.756300000001</v>
      </c>
      <c r="D3822" s="5">
        <v>64795.756300000001</v>
      </c>
      <c r="E3822" s="5">
        <v>58673.716200000003</v>
      </c>
      <c r="G3822" s="5" t="str">
        <f t="shared" si="119"/>
        <v>УНЦ</v>
      </c>
      <c r="J3822" s="5"/>
      <c r="AL3822" s="5">
        <f t="shared" si="120"/>
        <v>0</v>
      </c>
    </row>
    <row r="3823" spans="1:38" ht="25.5" customHeight="1" x14ac:dyDescent="0.25">
      <c r="A3823" s="10" t="s">
        <v>3308</v>
      </c>
      <c r="B3823" s="11" t="s">
        <v>1651</v>
      </c>
      <c r="C3823" s="5">
        <v>68129.029500000004</v>
      </c>
      <c r="D3823" s="5">
        <v>68129.029500000004</v>
      </c>
      <c r="E3823" s="5">
        <v>61692.054799999998</v>
      </c>
      <c r="G3823" s="5" t="str">
        <f t="shared" si="119"/>
        <v>ШАРТАШ</v>
      </c>
      <c r="J3823" s="5"/>
      <c r="AL3823" s="5">
        <f t="shared" si="120"/>
        <v>0</v>
      </c>
    </row>
    <row r="3824" spans="1:38" ht="25.5" customHeight="1" x14ac:dyDescent="0.25">
      <c r="A3824" s="10" t="s">
        <v>262</v>
      </c>
      <c r="B3824" s="11" t="s">
        <v>209</v>
      </c>
      <c r="C3824" s="5">
        <v>69382.512499999997</v>
      </c>
      <c r="D3824" s="5">
        <v>69382.512499999997</v>
      </c>
      <c r="E3824" s="5">
        <v>62827.103199999998</v>
      </c>
      <c r="G3824" s="5" t="str">
        <f t="shared" si="119"/>
        <v>ЖБИ</v>
      </c>
      <c r="J3824" s="5"/>
      <c r="AL3824" s="5">
        <f t="shared" si="120"/>
        <v>0</v>
      </c>
    </row>
    <row r="3825" spans="1:38" ht="25.5" customHeight="1" x14ac:dyDescent="0.25">
      <c r="A3825" s="10" t="s">
        <v>3309</v>
      </c>
      <c r="B3825" s="11" t="s">
        <v>1637</v>
      </c>
      <c r="C3825" s="5">
        <v>59368.686099999999</v>
      </c>
      <c r="D3825" s="5">
        <v>59368.686099999999</v>
      </c>
      <c r="E3825" s="5">
        <v>53759.401700000002</v>
      </c>
      <c r="G3825" s="5" t="str">
        <f t="shared" si="119"/>
        <v>Старая сортировка</v>
      </c>
      <c r="J3825" s="5"/>
      <c r="AL3825" s="5">
        <f t="shared" si="120"/>
        <v>0</v>
      </c>
    </row>
    <row r="3826" spans="1:38" ht="25.5" customHeight="1" x14ac:dyDescent="0.25">
      <c r="A3826" s="10" t="s">
        <v>3310</v>
      </c>
      <c r="B3826" s="11" t="s">
        <v>1630</v>
      </c>
      <c r="C3826" s="5">
        <v>62652.9401</v>
      </c>
      <c r="D3826" s="5">
        <v>62652.9401</v>
      </c>
      <c r="E3826" s="5">
        <v>56733.3557</v>
      </c>
      <c r="G3826" s="5" t="str">
        <f t="shared" si="119"/>
        <v>ЧЕРМЕТ</v>
      </c>
      <c r="J3826" s="5"/>
      <c r="AL3826" s="5">
        <f t="shared" si="120"/>
        <v>0</v>
      </c>
    </row>
    <row r="3827" spans="1:38" ht="25.5" customHeight="1" x14ac:dyDescent="0.25">
      <c r="A3827" s="10" t="s">
        <v>3311</v>
      </c>
      <c r="B3827" s="11" t="s">
        <v>1647</v>
      </c>
      <c r="C3827" s="5">
        <v>63178.133800000003</v>
      </c>
      <c r="D3827" s="5">
        <v>63178.133800000003</v>
      </c>
      <c r="E3827" s="5">
        <v>57208.931499999999</v>
      </c>
      <c r="G3827" s="5" t="str">
        <f t="shared" si="119"/>
        <v>ШИРОКАЯ РЕЧКА</v>
      </c>
      <c r="J3827" s="5"/>
      <c r="AL3827" s="5">
        <f t="shared" si="120"/>
        <v>0</v>
      </c>
    </row>
    <row r="3828" spans="1:38" ht="25.5" customHeight="1" x14ac:dyDescent="0.25">
      <c r="A3828" s="10" t="s">
        <v>3312</v>
      </c>
      <c r="B3828" s="11" t="s">
        <v>1638</v>
      </c>
      <c r="C3828" s="5">
        <v>63640.311600000001</v>
      </c>
      <c r="D3828" s="5">
        <v>63640.311600000001</v>
      </c>
      <c r="E3828" s="5">
        <v>57627.4473</v>
      </c>
      <c r="G3828" s="5" t="str">
        <f t="shared" si="119"/>
        <v>УКТУС</v>
      </c>
      <c r="J3828" s="5"/>
      <c r="AL3828" s="5">
        <f t="shared" si="120"/>
        <v>0</v>
      </c>
    </row>
    <row r="3829" spans="1:38" ht="25.5" customHeight="1" x14ac:dyDescent="0.25">
      <c r="A3829" s="10" t="s">
        <v>802</v>
      </c>
      <c r="B3829" s="11" t="s">
        <v>779</v>
      </c>
      <c r="C3829" s="5">
        <v>46784.877899999999</v>
      </c>
      <c r="D3829" s="5">
        <v>46784.877899999999</v>
      </c>
      <c r="E3829" s="5">
        <v>42364.543299999998</v>
      </c>
      <c r="G3829" s="5" t="str">
        <f t="shared" si="119"/>
        <v>Нижнеисетский</v>
      </c>
      <c r="J3829" s="5"/>
      <c r="AL3829" s="5">
        <f t="shared" si="120"/>
        <v>0</v>
      </c>
    </row>
    <row r="3830" spans="1:38" ht="25.5" customHeight="1" x14ac:dyDescent="0.25">
      <c r="A3830" s="10" t="s">
        <v>1365</v>
      </c>
      <c r="B3830" s="11" t="s">
        <v>14</v>
      </c>
      <c r="C3830" s="5">
        <v>93989.912800000006</v>
      </c>
      <c r="D3830" s="5">
        <v>93989.912800000006</v>
      </c>
      <c r="E3830" s="5">
        <v>85109.545199999993</v>
      </c>
      <c r="G3830" s="5" t="str">
        <f t="shared" si="119"/>
        <v>Центр</v>
      </c>
      <c r="J3830" s="5"/>
      <c r="AL3830" s="5">
        <f t="shared" si="120"/>
        <v>0</v>
      </c>
    </row>
    <row r="3831" spans="1:38" ht="25.5" customHeight="1" x14ac:dyDescent="0.25">
      <c r="A3831" s="10" t="s">
        <v>3313</v>
      </c>
      <c r="B3831" s="11" t="s">
        <v>1640</v>
      </c>
      <c r="C3831" s="5">
        <v>64914.8</v>
      </c>
      <c r="D3831" s="5">
        <v>64914.8</v>
      </c>
      <c r="E3831" s="5">
        <v>58781.519200000002</v>
      </c>
      <c r="G3831" s="5" t="str">
        <f t="shared" si="119"/>
        <v>Новая сортировка</v>
      </c>
      <c r="J3831" s="5"/>
      <c r="AL3831" s="5">
        <f t="shared" si="120"/>
        <v>0</v>
      </c>
    </row>
    <row r="3832" spans="1:38" ht="25.5" customHeight="1" x14ac:dyDescent="0.25">
      <c r="A3832" s="10" t="s">
        <v>624</v>
      </c>
      <c r="B3832" s="11" t="s">
        <v>1635</v>
      </c>
      <c r="C3832" s="5">
        <v>57793.0844</v>
      </c>
      <c r="D3832" s="5">
        <v>57793.0844</v>
      </c>
      <c r="E3832" s="5">
        <v>52332.6639</v>
      </c>
      <c r="G3832" s="5" t="str">
        <f t="shared" si="119"/>
        <v>ЛЕЧЕБНЫЙ</v>
      </c>
      <c r="J3832" s="5"/>
      <c r="AL3832" s="5">
        <f t="shared" si="120"/>
        <v>0</v>
      </c>
    </row>
    <row r="3833" spans="1:38" ht="25.5" customHeight="1" x14ac:dyDescent="0.25">
      <c r="A3833" s="10" t="s">
        <v>3314</v>
      </c>
      <c r="B3833" s="11" t="s">
        <v>33</v>
      </c>
      <c r="C3833" s="5">
        <v>84298.205100000006</v>
      </c>
      <c r="D3833" s="5">
        <v>84298.205100000006</v>
      </c>
      <c r="E3833" s="5">
        <v>76333.533100000001</v>
      </c>
      <c r="G3833" s="5" t="str">
        <f t="shared" si="119"/>
        <v>ВИЗ</v>
      </c>
      <c r="J3833" s="5"/>
      <c r="AL3833" s="5">
        <f t="shared" si="120"/>
        <v>0</v>
      </c>
    </row>
    <row r="3834" spans="1:38" ht="25.5" customHeight="1" x14ac:dyDescent="0.25">
      <c r="A3834" s="10" t="s">
        <v>297</v>
      </c>
      <c r="B3834" s="11" t="s">
        <v>1632</v>
      </c>
      <c r="C3834" s="5">
        <v>83744.997499999998</v>
      </c>
      <c r="D3834" s="5">
        <v>83744.997499999998</v>
      </c>
      <c r="E3834" s="5">
        <v>75832.596099999995</v>
      </c>
      <c r="G3834" s="5" t="str">
        <f t="shared" si="119"/>
        <v>АВТОВОКЗАЛ</v>
      </c>
      <c r="J3834" s="5"/>
      <c r="AL3834" s="5">
        <f t="shared" si="120"/>
        <v>0</v>
      </c>
    </row>
    <row r="3835" spans="1:38" ht="25.5" customHeight="1" x14ac:dyDescent="0.25">
      <c r="A3835" s="10" t="s">
        <v>895</v>
      </c>
      <c r="B3835" s="11" t="s">
        <v>1654</v>
      </c>
      <c r="C3835" s="5">
        <v>56140.449699999997</v>
      </c>
      <c r="D3835" s="5">
        <v>56140.449699999997</v>
      </c>
      <c r="E3835" s="5">
        <v>50836.1803</v>
      </c>
      <c r="G3835" s="5" t="str">
        <f t="shared" si="119"/>
        <v>ЗАВОКЗАЛЬНЫЙ</v>
      </c>
      <c r="J3835" s="5"/>
      <c r="AL3835" s="5">
        <f t="shared" si="120"/>
        <v>0</v>
      </c>
    </row>
    <row r="3836" spans="1:38" ht="25.5" customHeight="1" x14ac:dyDescent="0.25">
      <c r="A3836" s="10" t="s">
        <v>104</v>
      </c>
      <c r="B3836" s="11" t="s">
        <v>14</v>
      </c>
      <c r="C3836" s="5">
        <v>93989.912800000006</v>
      </c>
      <c r="D3836" s="5">
        <v>93989.912800000006</v>
      </c>
      <c r="E3836" s="5">
        <v>85109.545199999993</v>
      </c>
      <c r="G3836" s="5" t="str">
        <f t="shared" si="119"/>
        <v>Центр</v>
      </c>
      <c r="J3836" s="5"/>
      <c r="AL3836" s="5">
        <f t="shared" si="120"/>
        <v>0</v>
      </c>
    </row>
    <row r="3837" spans="1:38" ht="25.5" customHeight="1" x14ac:dyDescent="0.25">
      <c r="A3837" s="10" t="s">
        <v>616</v>
      </c>
      <c r="B3837" s="11" t="s">
        <v>1632</v>
      </c>
      <c r="C3837" s="5">
        <v>83744.997499999998</v>
      </c>
      <c r="D3837" s="5">
        <v>83744.997499999998</v>
      </c>
      <c r="E3837" s="5">
        <v>75832.596099999995</v>
      </c>
      <c r="G3837" s="5" t="str">
        <f t="shared" si="119"/>
        <v>АВТОВОКЗАЛ</v>
      </c>
      <c r="J3837" s="5"/>
      <c r="AL3837" s="5">
        <f t="shared" si="120"/>
        <v>0</v>
      </c>
    </row>
    <row r="3838" spans="1:38" ht="25.5" customHeight="1" x14ac:dyDescent="0.25">
      <c r="A3838" s="10" t="s">
        <v>3315</v>
      </c>
      <c r="B3838" s="11" t="s">
        <v>779</v>
      </c>
      <c r="C3838" s="5">
        <v>46784.877899999999</v>
      </c>
      <c r="D3838" s="5">
        <v>46784.877899999999</v>
      </c>
      <c r="E3838" s="5">
        <v>42364.543299999998</v>
      </c>
      <c r="G3838" s="5" t="str">
        <f t="shared" si="119"/>
        <v>Нижнеисетский</v>
      </c>
      <c r="J3838" s="5"/>
      <c r="AL3838" s="5">
        <f t="shared" si="120"/>
        <v>0</v>
      </c>
    </row>
    <row r="3839" spans="1:38" ht="25.5" customHeight="1" x14ac:dyDescent="0.25">
      <c r="A3839" s="10" t="s">
        <v>880</v>
      </c>
      <c r="B3839" s="11" t="s">
        <v>14</v>
      </c>
      <c r="C3839" s="5">
        <v>93989.912800000006</v>
      </c>
      <c r="D3839" s="5">
        <v>93989.912800000006</v>
      </c>
      <c r="E3839" s="5">
        <v>85109.545199999993</v>
      </c>
      <c r="G3839" s="5" t="str">
        <f t="shared" ref="G3839:G3902" si="121">B3839</f>
        <v>Центр</v>
      </c>
      <c r="J3839" s="5"/>
      <c r="AL3839" s="5">
        <f t="shared" ref="AL3839:AL3902" si="122">AF3839</f>
        <v>0</v>
      </c>
    </row>
    <row r="3840" spans="1:38" ht="25.5" customHeight="1" x14ac:dyDescent="0.25">
      <c r="A3840" s="10" t="s">
        <v>676</v>
      </c>
      <c r="B3840" s="11" t="s">
        <v>1650</v>
      </c>
      <c r="C3840" s="5">
        <v>37590.3603</v>
      </c>
      <c r="D3840" s="5">
        <v>37590.3603</v>
      </c>
      <c r="E3840" s="5">
        <v>34038.745900000002</v>
      </c>
      <c r="G3840" s="5" t="str">
        <f t="shared" si="121"/>
        <v>ШАБРОВСКИЙ</v>
      </c>
      <c r="J3840" s="5"/>
      <c r="AL3840" s="5">
        <f t="shared" si="122"/>
        <v>0</v>
      </c>
    </row>
    <row r="3841" spans="1:38" ht="25.5" customHeight="1" x14ac:dyDescent="0.25">
      <c r="A3841" s="10" t="s">
        <v>1345</v>
      </c>
      <c r="B3841" s="11" t="s">
        <v>1627</v>
      </c>
      <c r="C3841" s="5">
        <v>56392.543899999997</v>
      </c>
      <c r="D3841" s="5">
        <v>56392.543899999997</v>
      </c>
      <c r="E3841" s="5">
        <v>51064.4617</v>
      </c>
      <c r="G3841" s="5" t="str">
        <f t="shared" si="121"/>
        <v>КОМПРЕССОРНЫЙ</v>
      </c>
      <c r="J3841" s="5"/>
      <c r="AL3841" s="5">
        <f t="shared" si="122"/>
        <v>0</v>
      </c>
    </row>
    <row r="3842" spans="1:38" ht="25.5" customHeight="1" x14ac:dyDescent="0.25">
      <c r="A3842" s="10" t="s">
        <v>1136</v>
      </c>
      <c r="B3842" s="11" t="s">
        <v>1633</v>
      </c>
      <c r="C3842" s="5">
        <v>77071.442599999995</v>
      </c>
      <c r="D3842" s="5">
        <v>77071.442599999995</v>
      </c>
      <c r="E3842" s="5">
        <v>69789.570900000006</v>
      </c>
      <c r="G3842" s="5" t="str">
        <f t="shared" si="121"/>
        <v>ВТУЗГОРОДОК</v>
      </c>
      <c r="J3842" s="5"/>
      <c r="AL3842" s="5">
        <f t="shared" si="122"/>
        <v>0</v>
      </c>
    </row>
    <row r="3843" spans="1:38" ht="25.5" customHeight="1" x14ac:dyDescent="0.25">
      <c r="A3843" s="10" t="s">
        <v>1074</v>
      </c>
      <c r="B3843" s="11" t="s">
        <v>1638</v>
      </c>
      <c r="C3843" s="5">
        <v>63640.311600000001</v>
      </c>
      <c r="D3843" s="5">
        <v>63640.311600000001</v>
      </c>
      <c r="E3843" s="5">
        <v>57627.4473</v>
      </c>
      <c r="G3843" s="5" t="str">
        <f t="shared" si="121"/>
        <v>УКТУС</v>
      </c>
      <c r="J3843" s="5"/>
      <c r="AL3843" s="5">
        <f t="shared" si="122"/>
        <v>0</v>
      </c>
    </row>
    <row r="3844" spans="1:38" ht="25.5" customHeight="1" x14ac:dyDescent="0.25">
      <c r="A3844" s="10" t="s">
        <v>975</v>
      </c>
      <c r="B3844" s="11" t="s">
        <v>1631</v>
      </c>
      <c r="C3844" s="5">
        <v>70026.7601</v>
      </c>
      <c r="D3844" s="5">
        <v>70026.7601</v>
      </c>
      <c r="E3844" s="5">
        <v>63410.482000000004</v>
      </c>
      <c r="G3844" s="5" t="str">
        <f t="shared" si="121"/>
        <v>УРАЛМАШ</v>
      </c>
      <c r="J3844" s="5"/>
      <c r="AL3844" s="5">
        <f t="shared" si="122"/>
        <v>0</v>
      </c>
    </row>
    <row r="3845" spans="1:38" ht="25.5" customHeight="1" x14ac:dyDescent="0.25">
      <c r="A3845" s="10" t="s">
        <v>3316</v>
      </c>
      <c r="B3845" s="11" t="s">
        <v>1645</v>
      </c>
      <c r="C3845" s="5">
        <v>60958.294800000003</v>
      </c>
      <c r="D3845" s="5">
        <v>60958.294800000003</v>
      </c>
      <c r="E3845" s="5">
        <v>55198.825199999999</v>
      </c>
      <c r="G3845" s="5" t="str">
        <f t="shared" si="121"/>
        <v>ЕЛИЗАВЕТ</v>
      </c>
      <c r="J3845" s="5"/>
      <c r="AL3845" s="5">
        <f t="shared" si="122"/>
        <v>0</v>
      </c>
    </row>
    <row r="3846" spans="1:38" ht="25.5" customHeight="1" x14ac:dyDescent="0.25">
      <c r="A3846" s="10" t="s">
        <v>1050</v>
      </c>
      <c r="B3846" s="11" t="s">
        <v>14</v>
      </c>
      <c r="C3846" s="5">
        <v>93989.912800000006</v>
      </c>
      <c r="D3846" s="5">
        <v>93989.912800000006</v>
      </c>
      <c r="E3846" s="5">
        <v>85109.545199999993</v>
      </c>
      <c r="G3846" s="5" t="str">
        <f t="shared" si="121"/>
        <v>Центр</v>
      </c>
      <c r="J3846" s="5"/>
      <c r="AL3846" s="5">
        <f t="shared" si="122"/>
        <v>0</v>
      </c>
    </row>
    <row r="3847" spans="1:38" ht="25.5" customHeight="1" x14ac:dyDescent="0.25">
      <c r="A3847" s="10" t="s">
        <v>1151</v>
      </c>
      <c r="B3847" s="11" t="s">
        <v>14</v>
      </c>
      <c r="C3847" s="5">
        <v>93989.912800000006</v>
      </c>
      <c r="D3847" s="5">
        <v>93989.912800000006</v>
      </c>
      <c r="E3847" s="5">
        <v>85109.545199999993</v>
      </c>
      <c r="G3847" s="5" t="str">
        <f t="shared" si="121"/>
        <v>Центр</v>
      </c>
      <c r="J3847" s="5"/>
      <c r="AL3847" s="5">
        <f t="shared" si="122"/>
        <v>0</v>
      </c>
    </row>
    <row r="3848" spans="1:38" ht="25.5" customHeight="1" x14ac:dyDescent="0.25">
      <c r="A3848" s="10" t="s">
        <v>3317</v>
      </c>
      <c r="B3848" s="11" t="s">
        <v>1647</v>
      </c>
      <c r="C3848" s="5">
        <v>63178.133800000003</v>
      </c>
      <c r="D3848" s="5">
        <v>63178.133800000003</v>
      </c>
      <c r="E3848" s="5">
        <v>57208.931499999999</v>
      </c>
      <c r="G3848" s="5" t="str">
        <f t="shared" si="121"/>
        <v>ШИРОКАЯ РЕЧКА</v>
      </c>
      <c r="J3848" s="5"/>
      <c r="AL3848" s="5">
        <f t="shared" si="122"/>
        <v>0</v>
      </c>
    </row>
    <row r="3849" spans="1:38" ht="25.5" customHeight="1" x14ac:dyDescent="0.25">
      <c r="A3849" s="10" t="s">
        <v>507</v>
      </c>
      <c r="B3849" s="11" t="s">
        <v>1643</v>
      </c>
      <c r="C3849" s="5">
        <v>76630.280299999999</v>
      </c>
      <c r="D3849" s="5">
        <v>76630.280299999999</v>
      </c>
      <c r="E3849" s="5">
        <v>69390.088799999998</v>
      </c>
      <c r="G3849" s="5" t="str">
        <f t="shared" si="121"/>
        <v>Ю-З</v>
      </c>
      <c r="J3849" s="5"/>
      <c r="AL3849" s="5">
        <f t="shared" si="122"/>
        <v>0</v>
      </c>
    </row>
    <row r="3850" spans="1:38" ht="25.5" customHeight="1" x14ac:dyDescent="0.25">
      <c r="A3850" s="10" t="s">
        <v>1268</v>
      </c>
      <c r="B3850" s="11" t="s">
        <v>1637</v>
      </c>
      <c r="C3850" s="5">
        <v>59368.686099999999</v>
      </c>
      <c r="D3850" s="5">
        <v>59368.686099999999</v>
      </c>
      <c r="E3850" s="5">
        <v>53759.401700000002</v>
      </c>
      <c r="G3850" s="5" t="str">
        <f t="shared" si="121"/>
        <v>Старая сортировка</v>
      </c>
      <c r="J3850" s="5"/>
      <c r="AL3850" s="5">
        <f t="shared" si="122"/>
        <v>0</v>
      </c>
    </row>
    <row r="3851" spans="1:38" ht="25.5" customHeight="1" x14ac:dyDescent="0.25">
      <c r="A3851" s="10" t="s">
        <v>49</v>
      </c>
      <c r="B3851" s="11" t="s">
        <v>1628</v>
      </c>
      <c r="C3851" s="5">
        <v>70734.0236</v>
      </c>
      <c r="D3851" s="5">
        <v>70734.0236</v>
      </c>
      <c r="E3851" s="5">
        <v>64050.9208</v>
      </c>
      <c r="G3851" s="5" t="str">
        <f t="shared" si="121"/>
        <v>ЭЛЬМАШ</v>
      </c>
      <c r="J3851" s="5"/>
      <c r="AL3851" s="5">
        <f t="shared" si="122"/>
        <v>0</v>
      </c>
    </row>
    <row r="3852" spans="1:38" ht="25.5" customHeight="1" x14ac:dyDescent="0.25">
      <c r="A3852" s="10" t="s">
        <v>3318</v>
      </c>
      <c r="B3852" s="11" t="s">
        <v>118</v>
      </c>
      <c r="C3852" s="5">
        <v>53500.443299999999</v>
      </c>
      <c r="D3852" s="5">
        <v>53500.443299999999</v>
      </c>
      <c r="E3852" s="5">
        <v>48445.605100000001</v>
      </c>
      <c r="G3852" s="5" t="str">
        <f t="shared" si="121"/>
        <v>Исток</v>
      </c>
      <c r="J3852" s="5"/>
      <c r="AL3852" s="5">
        <f t="shared" si="122"/>
        <v>0</v>
      </c>
    </row>
    <row r="3853" spans="1:38" ht="25.5" customHeight="1" x14ac:dyDescent="0.25">
      <c r="A3853" s="10" t="s">
        <v>818</v>
      </c>
      <c r="B3853" s="11" t="s">
        <v>1631</v>
      </c>
      <c r="C3853" s="5">
        <v>70026.7601</v>
      </c>
      <c r="D3853" s="5">
        <v>70026.7601</v>
      </c>
      <c r="E3853" s="5">
        <v>63410.482000000004</v>
      </c>
      <c r="G3853" s="5" t="str">
        <f t="shared" si="121"/>
        <v>УРАЛМАШ</v>
      </c>
      <c r="J3853" s="5"/>
      <c r="AL3853" s="5">
        <f t="shared" si="122"/>
        <v>0</v>
      </c>
    </row>
    <row r="3854" spans="1:38" ht="25.5" customHeight="1" x14ac:dyDescent="0.25">
      <c r="A3854" s="10" t="s">
        <v>3319</v>
      </c>
      <c r="B3854" s="11" t="s">
        <v>389</v>
      </c>
      <c r="C3854" s="5">
        <v>51175.5573</v>
      </c>
      <c r="D3854" s="5">
        <v>51175.5573</v>
      </c>
      <c r="E3854" s="5">
        <v>46340.381600000001</v>
      </c>
      <c r="G3854" s="5" t="str">
        <f t="shared" si="121"/>
        <v>Северка</v>
      </c>
      <c r="J3854" s="5"/>
      <c r="AL3854" s="5">
        <f t="shared" si="122"/>
        <v>0</v>
      </c>
    </row>
    <row r="3855" spans="1:38" ht="25.5" customHeight="1" x14ac:dyDescent="0.25">
      <c r="A3855" s="10" t="s">
        <v>361</v>
      </c>
      <c r="B3855" s="11" t="s">
        <v>1634</v>
      </c>
      <c r="C3855" s="5">
        <v>77064.444199999998</v>
      </c>
      <c r="D3855" s="5">
        <v>77064.444199999998</v>
      </c>
      <c r="E3855" s="5">
        <v>69783.233200000002</v>
      </c>
      <c r="G3855" s="5" t="str">
        <f t="shared" si="121"/>
        <v>БОТАНИЧЕСКИЙ</v>
      </c>
      <c r="J3855" s="5"/>
      <c r="AL3855" s="5">
        <f t="shared" si="122"/>
        <v>0</v>
      </c>
    </row>
    <row r="3856" spans="1:38" ht="25.5" customHeight="1" x14ac:dyDescent="0.25">
      <c r="A3856" s="10" t="s">
        <v>3320</v>
      </c>
      <c r="B3856" s="11" t="s">
        <v>1647</v>
      </c>
      <c r="C3856" s="5">
        <v>63178.133800000003</v>
      </c>
      <c r="D3856" s="5">
        <v>63178.133800000003</v>
      </c>
      <c r="E3856" s="5">
        <v>57208.931499999999</v>
      </c>
      <c r="G3856" s="5" t="str">
        <f t="shared" si="121"/>
        <v>ШИРОКАЯ РЕЧКА</v>
      </c>
      <c r="J3856" s="5"/>
      <c r="AL3856" s="5">
        <f t="shared" si="122"/>
        <v>0</v>
      </c>
    </row>
    <row r="3857" spans="1:38" ht="25.5" customHeight="1" x14ac:dyDescent="0.25">
      <c r="A3857" s="10" t="s">
        <v>1135</v>
      </c>
      <c r="B3857" s="11" t="s">
        <v>14</v>
      </c>
      <c r="C3857" s="5">
        <v>93989.912800000006</v>
      </c>
      <c r="D3857" s="5">
        <v>93989.912800000006</v>
      </c>
      <c r="E3857" s="5">
        <v>85109.545199999993</v>
      </c>
      <c r="G3857" s="5" t="str">
        <f t="shared" si="121"/>
        <v>Центр</v>
      </c>
      <c r="J3857" s="5"/>
      <c r="AL3857" s="5">
        <f t="shared" si="122"/>
        <v>0</v>
      </c>
    </row>
    <row r="3858" spans="1:38" ht="25.5" customHeight="1" x14ac:dyDescent="0.25">
      <c r="A3858" s="10" t="s">
        <v>3321</v>
      </c>
      <c r="B3858" s="11" t="s">
        <v>1631</v>
      </c>
      <c r="C3858" s="5">
        <v>70026.7601</v>
      </c>
      <c r="D3858" s="5">
        <v>70026.7601</v>
      </c>
      <c r="E3858" s="5">
        <v>63410.482000000004</v>
      </c>
      <c r="G3858" s="5" t="str">
        <f t="shared" si="121"/>
        <v>УРАЛМАШ</v>
      </c>
      <c r="J3858" s="5"/>
      <c r="AL3858" s="5">
        <f t="shared" si="122"/>
        <v>0</v>
      </c>
    </row>
    <row r="3859" spans="1:38" ht="25.5" customHeight="1" x14ac:dyDescent="0.25">
      <c r="A3859" s="10" t="s">
        <v>3322</v>
      </c>
      <c r="B3859" s="11" t="s">
        <v>33</v>
      </c>
      <c r="C3859" s="5">
        <v>84298.205100000006</v>
      </c>
      <c r="D3859" s="5">
        <v>84298.205100000006</v>
      </c>
      <c r="E3859" s="5">
        <v>76333.533100000001</v>
      </c>
      <c r="G3859" s="5" t="str">
        <f t="shared" si="121"/>
        <v>ВИЗ</v>
      </c>
      <c r="J3859" s="5"/>
      <c r="AL3859" s="5">
        <f t="shared" si="122"/>
        <v>0</v>
      </c>
    </row>
    <row r="3860" spans="1:38" ht="25.5" customHeight="1" x14ac:dyDescent="0.25">
      <c r="A3860" s="10" t="s">
        <v>409</v>
      </c>
      <c r="B3860" s="11" t="s">
        <v>1632</v>
      </c>
      <c r="C3860" s="5">
        <v>83744.997499999998</v>
      </c>
      <c r="D3860" s="5">
        <v>83744.997499999998</v>
      </c>
      <c r="E3860" s="5">
        <v>75832.596099999995</v>
      </c>
      <c r="G3860" s="5" t="str">
        <f t="shared" si="121"/>
        <v>АВТОВОКЗАЛ</v>
      </c>
      <c r="J3860" s="5"/>
      <c r="AL3860" s="5">
        <f t="shared" si="122"/>
        <v>0</v>
      </c>
    </row>
    <row r="3861" spans="1:38" ht="25.5" customHeight="1" x14ac:dyDescent="0.25">
      <c r="A3861" s="10" t="s">
        <v>296</v>
      </c>
      <c r="B3861" s="11" t="s">
        <v>1638</v>
      </c>
      <c r="C3861" s="5">
        <v>63640.311600000001</v>
      </c>
      <c r="D3861" s="5">
        <v>63640.311600000001</v>
      </c>
      <c r="E3861" s="5">
        <v>57627.4473</v>
      </c>
      <c r="G3861" s="5" t="str">
        <f t="shared" si="121"/>
        <v>УКТУС</v>
      </c>
      <c r="J3861" s="5"/>
      <c r="AL3861" s="5">
        <f t="shared" si="122"/>
        <v>0</v>
      </c>
    </row>
    <row r="3862" spans="1:38" ht="25.5" customHeight="1" x14ac:dyDescent="0.25">
      <c r="A3862" s="10" t="s">
        <v>3323</v>
      </c>
      <c r="B3862" s="11" t="s">
        <v>1647</v>
      </c>
      <c r="C3862" s="5">
        <v>63178.133800000003</v>
      </c>
      <c r="D3862" s="5">
        <v>63178.133800000003</v>
      </c>
      <c r="E3862" s="5">
        <v>57208.931499999999</v>
      </c>
      <c r="G3862" s="5" t="str">
        <f t="shared" si="121"/>
        <v>ШИРОКАЯ РЕЧКА</v>
      </c>
      <c r="J3862" s="5"/>
      <c r="AL3862" s="5">
        <f t="shared" si="122"/>
        <v>0</v>
      </c>
    </row>
    <row r="3863" spans="1:38" ht="25.5" customHeight="1" x14ac:dyDescent="0.25">
      <c r="A3863" s="10" t="s">
        <v>3324</v>
      </c>
      <c r="B3863" s="11" t="s">
        <v>1638</v>
      </c>
      <c r="C3863" s="5">
        <v>63640.311600000001</v>
      </c>
      <c r="D3863" s="5">
        <v>63640.311600000001</v>
      </c>
      <c r="E3863" s="5">
        <v>57627.4473</v>
      </c>
      <c r="G3863" s="5" t="str">
        <f t="shared" si="121"/>
        <v>УКТУС</v>
      </c>
      <c r="J3863" s="5"/>
      <c r="AL3863" s="5">
        <f t="shared" si="122"/>
        <v>0</v>
      </c>
    </row>
    <row r="3864" spans="1:38" ht="25.5" customHeight="1" x14ac:dyDescent="0.25">
      <c r="A3864" s="10" t="s">
        <v>265</v>
      </c>
      <c r="B3864" s="11" t="s">
        <v>209</v>
      </c>
      <c r="C3864" s="5">
        <v>69382.512499999997</v>
      </c>
      <c r="D3864" s="5">
        <v>69382.512499999997</v>
      </c>
      <c r="E3864" s="5">
        <v>62827.103199999998</v>
      </c>
      <c r="G3864" s="5" t="str">
        <f t="shared" si="121"/>
        <v>ЖБИ</v>
      </c>
      <c r="J3864" s="5"/>
      <c r="AL3864" s="5">
        <f t="shared" si="122"/>
        <v>0</v>
      </c>
    </row>
    <row r="3865" spans="1:38" ht="25.5" customHeight="1" x14ac:dyDescent="0.25">
      <c r="A3865" s="10" t="s">
        <v>3325</v>
      </c>
      <c r="B3865" s="11" t="s">
        <v>1638</v>
      </c>
      <c r="C3865" s="5">
        <v>63640.311600000001</v>
      </c>
      <c r="D3865" s="5">
        <v>63640.311600000001</v>
      </c>
      <c r="E3865" s="5">
        <v>57627.4473</v>
      </c>
      <c r="G3865" s="5" t="str">
        <f t="shared" si="121"/>
        <v>УКТУС</v>
      </c>
      <c r="J3865" s="5"/>
      <c r="AL3865" s="5">
        <f t="shared" si="122"/>
        <v>0</v>
      </c>
    </row>
    <row r="3866" spans="1:38" ht="25.5" customHeight="1" x14ac:dyDescent="0.25">
      <c r="A3866" s="10" t="s">
        <v>522</v>
      </c>
      <c r="B3866" s="11" t="s">
        <v>1637</v>
      </c>
      <c r="C3866" s="5">
        <v>59368.686099999999</v>
      </c>
      <c r="D3866" s="5">
        <v>59368.686099999999</v>
      </c>
      <c r="E3866" s="5">
        <v>53759.401700000002</v>
      </c>
      <c r="G3866" s="5" t="str">
        <f t="shared" si="121"/>
        <v>Старая сортировка</v>
      </c>
      <c r="J3866" s="5"/>
      <c r="AL3866" s="5">
        <f t="shared" si="122"/>
        <v>0</v>
      </c>
    </row>
    <row r="3867" spans="1:38" ht="25.5" customHeight="1" x14ac:dyDescent="0.25">
      <c r="A3867" s="10" t="s">
        <v>373</v>
      </c>
      <c r="B3867" s="11" t="s">
        <v>1629</v>
      </c>
      <c r="C3867" s="5">
        <v>77743.704100000003</v>
      </c>
      <c r="D3867" s="5">
        <v>77743.704100000003</v>
      </c>
      <c r="E3867" s="5">
        <v>70398.310800000007</v>
      </c>
      <c r="G3867" s="5" t="str">
        <f t="shared" si="121"/>
        <v>ПИОНЕРСКИЙ</v>
      </c>
      <c r="J3867" s="5"/>
      <c r="AL3867" s="5">
        <f t="shared" si="122"/>
        <v>0</v>
      </c>
    </row>
    <row r="3868" spans="1:38" ht="25.5" customHeight="1" x14ac:dyDescent="0.25">
      <c r="A3868" s="10" t="s">
        <v>3326</v>
      </c>
      <c r="B3868" s="11" t="s">
        <v>1629</v>
      </c>
      <c r="C3868" s="5">
        <v>77743.704100000003</v>
      </c>
      <c r="D3868" s="5">
        <v>77743.704100000003</v>
      </c>
      <c r="E3868" s="5">
        <v>70398.310800000007</v>
      </c>
      <c r="G3868" s="5" t="str">
        <f t="shared" si="121"/>
        <v>ПИОНЕРСКИЙ</v>
      </c>
      <c r="J3868" s="5"/>
      <c r="AL3868" s="5">
        <f t="shared" si="122"/>
        <v>0</v>
      </c>
    </row>
    <row r="3869" spans="1:38" ht="25.5" customHeight="1" x14ac:dyDescent="0.25">
      <c r="A3869" s="10" t="s">
        <v>3327</v>
      </c>
      <c r="B3869" s="11" t="s">
        <v>1644</v>
      </c>
      <c r="C3869" s="5">
        <v>61980.678599999999</v>
      </c>
      <c r="D3869" s="5">
        <v>61980.678599999999</v>
      </c>
      <c r="E3869" s="5">
        <v>56124.615700000002</v>
      </c>
      <c r="G3869" s="5" t="str">
        <f t="shared" si="121"/>
        <v>ХИММАШ</v>
      </c>
      <c r="J3869" s="5"/>
      <c r="AL3869" s="5">
        <f t="shared" si="122"/>
        <v>0</v>
      </c>
    </row>
    <row r="3870" spans="1:38" ht="25.5" customHeight="1" x14ac:dyDescent="0.25">
      <c r="A3870" s="10" t="s">
        <v>3328</v>
      </c>
      <c r="B3870" s="11" t="s">
        <v>1643</v>
      </c>
      <c r="C3870" s="5">
        <v>76630.280299999999</v>
      </c>
      <c r="D3870" s="5">
        <v>76630.280299999999</v>
      </c>
      <c r="E3870" s="5">
        <v>69390.088799999998</v>
      </c>
      <c r="G3870" s="5" t="str">
        <f t="shared" si="121"/>
        <v>Ю-З</v>
      </c>
      <c r="J3870" s="5"/>
      <c r="AL3870" s="5">
        <f t="shared" si="122"/>
        <v>0</v>
      </c>
    </row>
    <row r="3871" spans="1:38" ht="25.5" customHeight="1" x14ac:dyDescent="0.25">
      <c r="A3871" s="10" t="s">
        <v>3329</v>
      </c>
      <c r="B3871" s="11" t="s">
        <v>66</v>
      </c>
      <c r="C3871" s="5">
        <v>64795.756300000001</v>
      </c>
      <c r="D3871" s="5">
        <v>64795.756300000001</v>
      </c>
      <c r="E3871" s="5">
        <v>58673.716200000003</v>
      </c>
      <c r="G3871" s="5" t="str">
        <f t="shared" si="121"/>
        <v>УНЦ</v>
      </c>
      <c r="J3871" s="5"/>
      <c r="AL3871" s="5">
        <f t="shared" si="122"/>
        <v>0</v>
      </c>
    </row>
    <row r="3872" spans="1:38" ht="25.5" customHeight="1" x14ac:dyDescent="0.25">
      <c r="A3872" s="10" t="s">
        <v>3330</v>
      </c>
      <c r="B3872" s="11" t="s">
        <v>1638</v>
      </c>
      <c r="C3872" s="5">
        <v>63640.311600000001</v>
      </c>
      <c r="D3872" s="5">
        <v>63640.311600000001</v>
      </c>
      <c r="E3872" s="5">
        <v>57627.4473</v>
      </c>
      <c r="G3872" s="5" t="str">
        <f t="shared" si="121"/>
        <v>УКТУС</v>
      </c>
      <c r="J3872" s="5"/>
      <c r="AL3872" s="5">
        <f t="shared" si="122"/>
        <v>0</v>
      </c>
    </row>
    <row r="3873" spans="1:38" ht="25.5" customHeight="1" x14ac:dyDescent="0.25">
      <c r="A3873" s="10" t="s">
        <v>3331</v>
      </c>
      <c r="B3873" s="11" t="s">
        <v>1636</v>
      </c>
      <c r="C3873" s="5">
        <v>52246.960299999999</v>
      </c>
      <c r="D3873" s="5">
        <v>52246.960299999999</v>
      </c>
      <c r="E3873" s="5">
        <v>47310.556700000001</v>
      </c>
      <c r="G3873" s="5" t="str">
        <f t="shared" si="121"/>
        <v>ГОРНЫЙ ЩИТ</v>
      </c>
      <c r="J3873" s="5"/>
      <c r="AL3873" s="5">
        <f t="shared" si="122"/>
        <v>0</v>
      </c>
    </row>
    <row r="3874" spans="1:38" ht="25.5" customHeight="1" x14ac:dyDescent="0.25">
      <c r="A3874" s="10" t="s">
        <v>1061</v>
      </c>
      <c r="B3874" s="11" t="s">
        <v>1631</v>
      </c>
      <c r="C3874" s="5">
        <v>70026.7601</v>
      </c>
      <c r="D3874" s="5">
        <v>70026.7601</v>
      </c>
      <c r="E3874" s="5">
        <v>63410.482000000004</v>
      </c>
      <c r="G3874" s="5" t="str">
        <f t="shared" si="121"/>
        <v>УРАЛМАШ</v>
      </c>
      <c r="J3874" s="5"/>
      <c r="AL3874" s="5">
        <f t="shared" si="122"/>
        <v>0</v>
      </c>
    </row>
    <row r="3875" spans="1:38" ht="25.5" customHeight="1" x14ac:dyDescent="0.25">
      <c r="A3875" s="10" t="s">
        <v>1015</v>
      </c>
      <c r="B3875" s="11" t="s">
        <v>14</v>
      </c>
      <c r="C3875" s="5">
        <v>93989.912800000006</v>
      </c>
      <c r="D3875" s="5">
        <v>93989.912800000006</v>
      </c>
      <c r="E3875" s="5">
        <v>85109.545199999993</v>
      </c>
      <c r="G3875" s="5" t="str">
        <f t="shared" si="121"/>
        <v>Центр</v>
      </c>
      <c r="J3875" s="5"/>
      <c r="AL3875" s="5">
        <f t="shared" si="122"/>
        <v>0</v>
      </c>
    </row>
    <row r="3876" spans="1:38" ht="25.5" customHeight="1" x14ac:dyDescent="0.25">
      <c r="A3876" s="10" t="s">
        <v>3332</v>
      </c>
      <c r="B3876" s="11" t="s">
        <v>1628</v>
      </c>
      <c r="C3876" s="5">
        <v>70734.0236</v>
      </c>
      <c r="D3876" s="5">
        <v>70734.0236</v>
      </c>
      <c r="E3876" s="5">
        <v>64050.9208</v>
      </c>
      <c r="G3876" s="5" t="str">
        <f t="shared" si="121"/>
        <v>ЭЛЬМАШ</v>
      </c>
      <c r="J3876" s="5"/>
      <c r="AL3876" s="5">
        <f t="shared" si="122"/>
        <v>0</v>
      </c>
    </row>
    <row r="3877" spans="1:38" ht="25.5" customHeight="1" x14ac:dyDescent="0.25">
      <c r="A3877" s="10" t="s">
        <v>3333</v>
      </c>
      <c r="B3877" s="11" t="s">
        <v>1651</v>
      </c>
      <c r="C3877" s="5">
        <v>68129.029500000004</v>
      </c>
      <c r="D3877" s="5">
        <v>68129.029500000004</v>
      </c>
      <c r="E3877" s="5">
        <v>61692.054799999998</v>
      </c>
      <c r="G3877" s="5" t="str">
        <f t="shared" si="121"/>
        <v>ШАРТАШ</v>
      </c>
      <c r="J3877" s="5"/>
      <c r="AL3877" s="5">
        <f t="shared" si="122"/>
        <v>0</v>
      </c>
    </row>
    <row r="3878" spans="1:38" ht="25.5" customHeight="1" x14ac:dyDescent="0.25">
      <c r="A3878" s="10" t="s">
        <v>471</v>
      </c>
      <c r="B3878" s="11" t="s">
        <v>1631</v>
      </c>
      <c r="C3878" s="5">
        <v>70026.7601</v>
      </c>
      <c r="D3878" s="5">
        <v>70026.7601</v>
      </c>
      <c r="E3878" s="5">
        <v>63410.482000000004</v>
      </c>
      <c r="G3878" s="5" t="str">
        <f t="shared" si="121"/>
        <v>УРАЛМАШ</v>
      </c>
      <c r="J3878" s="5"/>
      <c r="AL3878" s="5">
        <f t="shared" si="122"/>
        <v>0</v>
      </c>
    </row>
    <row r="3879" spans="1:38" ht="25.5" customHeight="1" x14ac:dyDescent="0.25">
      <c r="A3879" s="10" t="s">
        <v>259</v>
      </c>
      <c r="B3879" s="11" t="s">
        <v>1654</v>
      </c>
      <c r="C3879" s="5">
        <v>56140.449699999997</v>
      </c>
      <c r="D3879" s="5">
        <v>56140.449699999997</v>
      </c>
      <c r="E3879" s="5">
        <v>50836.1803</v>
      </c>
      <c r="G3879" s="5" t="str">
        <f t="shared" si="121"/>
        <v>ЗАВОКЗАЛЬНЫЙ</v>
      </c>
      <c r="J3879" s="5"/>
      <c r="AL3879" s="5">
        <f t="shared" si="122"/>
        <v>0</v>
      </c>
    </row>
    <row r="3880" spans="1:38" ht="25.5" customHeight="1" x14ac:dyDescent="0.25">
      <c r="A3880" s="10" t="s">
        <v>1438</v>
      </c>
      <c r="B3880" s="11" t="s">
        <v>14</v>
      </c>
      <c r="C3880" s="5">
        <v>93989.912800000006</v>
      </c>
      <c r="D3880" s="5">
        <v>93989.912800000006</v>
      </c>
      <c r="E3880" s="5">
        <v>85109.545199999993</v>
      </c>
      <c r="G3880" s="5" t="str">
        <f t="shared" si="121"/>
        <v>Центр</v>
      </c>
      <c r="J3880" s="5"/>
      <c r="AL3880" s="5">
        <f t="shared" si="122"/>
        <v>0</v>
      </c>
    </row>
    <row r="3881" spans="1:38" ht="25.5" customHeight="1" x14ac:dyDescent="0.25">
      <c r="A3881" s="10" t="s">
        <v>1236</v>
      </c>
      <c r="B3881" s="5" t="s">
        <v>33</v>
      </c>
      <c r="C3881" s="5">
        <v>84298.205100000006</v>
      </c>
      <c r="D3881" s="5">
        <v>84298.205100000006</v>
      </c>
      <c r="E3881" s="5">
        <v>76333.533100000001</v>
      </c>
      <c r="G3881" s="5" t="str">
        <f t="shared" si="121"/>
        <v>ВИЗ</v>
      </c>
      <c r="J3881" s="5"/>
      <c r="AL3881" s="5">
        <f t="shared" si="122"/>
        <v>0</v>
      </c>
    </row>
    <row r="3882" spans="1:38" ht="25.5" customHeight="1" x14ac:dyDescent="0.25">
      <c r="A3882" s="10" t="s">
        <v>1357</v>
      </c>
      <c r="B3882" s="11" t="s">
        <v>1638</v>
      </c>
      <c r="C3882" s="5">
        <v>63640.311600000001</v>
      </c>
      <c r="D3882" s="5">
        <v>63640.311600000001</v>
      </c>
      <c r="E3882" s="5">
        <v>57627.4473</v>
      </c>
      <c r="G3882" s="5" t="str">
        <f t="shared" si="121"/>
        <v>УКТУС</v>
      </c>
      <c r="J3882" s="5"/>
      <c r="AL3882" s="5">
        <f t="shared" si="122"/>
        <v>0</v>
      </c>
    </row>
    <row r="3883" spans="1:38" ht="25.5" customHeight="1" x14ac:dyDescent="0.25">
      <c r="A3883" s="10" t="s">
        <v>904</v>
      </c>
      <c r="B3883" s="11" t="s">
        <v>14</v>
      </c>
      <c r="C3883" s="5">
        <v>93989.912800000006</v>
      </c>
      <c r="D3883" s="5">
        <v>93989.912800000006</v>
      </c>
      <c r="E3883" s="5">
        <v>85109.545199999993</v>
      </c>
      <c r="G3883" s="5" t="str">
        <f t="shared" si="121"/>
        <v>Центр</v>
      </c>
      <c r="J3883" s="5"/>
      <c r="AL3883" s="5">
        <f t="shared" si="122"/>
        <v>0</v>
      </c>
    </row>
    <row r="3884" spans="1:38" ht="25.5" customHeight="1" x14ac:dyDescent="0.25">
      <c r="A3884" s="10" t="s">
        <v>3334</v>
      </c>
      <c r="B3884" s="11" t="s">
        <v>14</v>
      </c>
      <c r="C3884" s="5">
        <v>93989.912800000006</v>
      </c>
      <c r="D3884" s="5">
        <v>93989.912800000006</v>
      </c>
      <c r="E3884" s="5">
        <v>85109.545199999993</v>
      </c>
      <c r="G3884" s="5" t="str">
        <f t="shared" si="121"/>
        <v>Центр</v>
      </c>
      <c r="J3884" s="5"/>
      <c r="AL3884" s="5">
        <f t="shared" si="122"/>
        <v>0</v>
      </c>
    </row>
    <row r="3885" spans="1:38" ht="25.5" customHeight="1" x14ac:dyDescent="0.25">
      <c r="A3885" s="10" t="s">
        <v>3335</v>
      </c>
      <c r="B3885" s="11" t="s">
        <v>209</v>
      </c>
      <c r="C3885" s="5">
        <v>69382.512499999997</v>
      </c>
      <c r="D3885" s="5">
        <v>69382.512499999997</v>
      </c>
      <c r="E3885" s="5">
        <v>62827.103199999998</v>
      </c>
      <c r="G3885" s="5" t="str">
        <f t="shared" si="121"/>
        <v>ЖБИ</v>
      </c>
      <c r="J3885" s="5"/>
      <c r="AL3885" s="5">
        <f t="shared" si="122"/>
        <v>0</v>
      </c>
    </row>
    <row r="3886" spans="1:38" ht="25.5" customHeight="1" x14ac:dyDescent="0.25">
      <c r="A3886" s="10" t="s">
        <v>3336</v>
      </c>
      <c r="B3886" s="11" t="s">
        <v>1633</v>
      </c>
      <c r="C3886" s="5">
        <v>77071.442599999995</v>
      </c>
      <c r="D3886" s="5">
        <v>77071.442599999995</v>
      </c>
      <c r="E3886" s="5">
        <v>69789.570900000006</v>
      </c>
      <c r="G3886" s="5" t="str">
        <f t="shared" si="121"/>
        <v>ВТУЗГОРОДОК</v>
      </c>
      <c r="J3886" s="5"/>
      <c r="AL3886" s="5">
        <f t="shared" si="122"/>
        <v>0</v>
      </c>
    </row>
    <row r="3887" spans="1:38" ht="25.5" customHeight="1" x14ac:dyDescent="0.25">
      <c r="A3887" s="10" t="s">
        <v>3337</v>
      </c>
      <c r="B3887" s="11" t="s">
        <v>1630</v>
      </c>
      <c r="C3887" s="5">
        <v>62652.9401</v>
      </c>
      <c r="D3887" s="5">
        <v>62652.9401</v>
      </c>
      <c r="E3887" s="5">
        <v>56733.3557</v>
      </c>
      <c r="G3887" s="5" t="str">
        <f t="shared" si="121"/>
        <v>ЧЕРМЕТ</v>
      </c>
      <c r="J3887" s="5"/>
      <c r="AL3887" s="5">
        <f t="shared" si="122"/>
        <v>0</v>
      </c>
    </row>
    <row r="3888" spans="1:38" ht="25.5" customHeight="1" x14ac:dyDescent="0.25">
      <c r="A3888" s="10" t="s">
        <v>3338</v>
      </c>
      <c r="B3888" s="11" t="s">
        <v>1629</v>
      </c>
      <c r="C3888" s="5">
        <v>77743.704100000003</v>
      </c>
      <c r="D3888" s="5">
        <v>77743.704100000003</v>
      </c>
      <c r="E3888" s="5">
        <v>70398.310800000007</v>
      </c>
      <c r="G3888" s="5" t="str">
        <f t="shared" si="121"/>
        <v>ПИОНЕРСКИЙ</v>
      </c>
      <c r="J3888" s="5"/>
      <c r="AL3888" s="5">
        <f t="shared" si="122"/>
        <v>0</v>
      </c>
    </row>
    <row r="3889" spans="1:38" ht="25.5" customHeight="1" x14ac:dyDescent="0.25">
      <c r="A3889" s="10" t="s">
        <v>229</v>
      </c>
      <c r="B3889" s="11" t="s">
        <v>209</v>
      </c>
      <c r="C3889" s="5">
        <v>69382.512499999997</v>
      </c>
      <c r="D3889" s="5">
        <v>69382.512499999997</v>
      </c>
      <c r="E3889" s="5">
        <v>62827.103199999998</v>
      </c>
      <c r="G3889" s="5" t="str">
        <f t="shared" si="121"/>
        <v>ЖБИ</v>
      </c>
      <c r="J3889" s="5"/>
      <c r="AL3889" s="5">
        <f t="shared" si="122"/>
        <v>0</v>
      </c>
    </row>
    <row r="3890" spans="1:38" ht="25.5" customHeight="1" x14ac:dyDescent="0.25">
      <c r="A3890" s="10" t="s">
        <v>3339</v>
      </c>
      <c r="B3890" s="11" t="s">
        <v>1638</v>
      </c>
      <c r="C3890" s="5">
        <v>63640.311600000001</v>
      </c>
      <c r="D3890" s="5">
        <v>63640.311600000001</v>
      </c>
      <c r="E3890" s="5">
        <v>57627.4473</v>
      </c>
      <c r="G3890" s="5" t="str">
        <f t="shared" si="121"/>
        <v>УКТУС</v>
      </c>
      <c r="J3890" s="5"/>
      <c r="AL3890" s="5">
        <f t="shared" si="122"/>
        <v>0</v>
      </c>
    </row>
    <row r="3891" spans="1:38" ht="25.5" customHeight="1" x14ac:dyDescent="0.25">
      <c r="A3891" s="10" t="s">
        <v>3340</v>
      </c>
      <c r="B3891" s="11" t="s">
        <v>14</v>
      </c>
      <c r="C3891" s="5">
        <v>93989.912800000006</v>
      </c>
      <c r="D3891" s="5">
        <v>93989.912800000006</v>
      </c>
      <c r="E3891" s="5">
        <v>85109.545199999993</v>
      </c>
      <c r="G3891" s="5" t="str">
        <f t="shared" si="121"/>
        <v>Центр</v>
      </c>
      <c r="J3891" s="5"/>
      <c r="AL3891" s="5">
        <f t="shared" si="122"/>
        <v>0</v>
      </c>
    </row>
    <row r="3892" spans="1:38" ht="25.5" customHeight="1" x14ac:dyDescent="0.25">
      <c r="A3892" s="10" t="s">
        <v>90</v>
      </c>
      <c r="B3892" s="11" t="s">
        <v>1632</v>
      </c>
      <c r="C3892" s="5">
        <v>83744.997499999998</v>
      </c>
      <c r="D3892" s="5">
        <v>83744.997499999998</v>
      </c>
      <c r="E3892" s="5">
        <v>75832.596099999995</v>
      </c>
      <c r="G3892" s="5" t="str">
        <f t="shared" si="121"/>
        <v>АВТОВОКЗАЛ</v>
      </c>
      <c r="J3892" s="5"/>
      <c r="AL3892" s="5">
        <f t="shared" si="122"/>
        <v>0</v>
      </c>
    </row>
    <row r="3893" spans="1:38" ht="25.5" customHeight="1" x14ac:dyDescent="0.25">
      <c r="A3893" s="10" t="s">
        <v>3341</v>
      </c>
      <c r="B3893" s="11" t="s">
        <v>1643</v>
      </c>
      <c r="C3893" s="5">
        <v>76630.280299999999</v>
      </c>
      <c r="D3893" s="5">
        <v>76630.280299999999</v>
      </c>
      <c r="E3893" s="5">
        <v>69390.088799999998</v>
      </c>
      <c r="G3893" s="5" t="str">
        <f t="shared" si="121"/>
        <v>Ю-З</v>
      </c>
      <c r="J3893" s="5"/>
      <c r="AL3893" s="5">
        <f t="shared" si="122"/>
        <v>0</v>
      </c>
    </row>
    <row r="3894" spans="1:38" ht="25.5" customHeight="1" x14ac:dyDescent="0.25">
      <c r="A3894" s="10" t="s">
        <v>3342</v>
      </c>
      <c r="B3894" s="11" t="s">
        <v>1657</v>
      </c>
      <c r="C3894" s="5">
        <v>54886.9666</v>
      </c>
      <c r="D3894" s="5">
        <v>54886.9666</v>
      </c>
      <c r="E3894" s="5">
        <v>49701.1319</v>
      </c>
      <c r="G3894" s="5" t="str">
        <f t="shared" si="121"/>
        <v>КОЛЬЦОВО</v>
      </c>
      <c r="J3894" s="5"/>
      <c r="AL3894" s="5">
        <f t="shared" si="122"/>
        <v>0</v>
      </c>
    </row>
    <row r="3895" spans="1:38" ht="25.5" customHeight="1" x14ac:dyDescent="0.25">
      <c r="A3895" s="10" t="s">
        <v>1143</v>
      </c>
      <c r="B3895" s="11" t="s">
        <v>1638</v>
      </c>
      <c r="C3895" s="5">
        <v>63640.311600000001</v>
      </c>
      <c r="D3895" s="5">
        <v>63640.311600000001</v>
      </c>
      <c r="E3895" s="5">
        <v>57627.4473</v>
      </c>
      <c r="G3895" s="5" t="str">
        <f t="shared" si="121"/>
        <v>УКТУС</v>
      </c>
      <c r="J3895" s="5"/>
      <c r="AL3895" s="5">
        <f t="shared" si="122"/>
        <v>0</v>
      </c>
    </row>
    <row r="3896" spans="1:38" ht="25.5" customHeight="1" x14ac:dyDescent="0.25">
      <c r="A3896" s="10" t="s">
        <v>3343</v>
      </c>
      <c r="B3896" s="11" t="s">
        <v>1654</v>
      </c>
      <c r="C3896" s="5">
        <v>56140.449699999997</v>
      </c>
      <c r="D3896" s="5">
        <v>56140.449699999997</v>
      </c>
      <c r="E3896" s="5">
        <v>50836.1803</v>
      </c>
      <c r="G3896" s="5" t="str">
        <f t="shared" si="121"/>
        <v>ЗАВОКЗАЛЬНЫЙ</v>
      </c>
      <c r="J3896" s="5"/>
      <c r="AL3896" s="5">
        <f t="shared" si="122"/>
        <v>0</v>
      </c>
    </row>
    <row r="3897" spans="1:38" ht="25.5" customHeight="1" x14ac:dyDescent="0.25">
      <c r="A3897" s="10" t="s">
        <v>925</v>
      </c>
      <c r="B3897" s="11" t="s">
        <v>14</v>
      </c>
      <c r="C3897" s="5">
        <v>93989.912800000006</v>
      </c>
      <c r="D3897" s="5">
        <v>93989.912800000006</v>
      </c>
      <c r="E3897" s="5">
        <v>85109.545199999993</v>
      </c>
      <c r="G3897" s="5" t="str">
        <f t="shared" si="121"/>
        <v>Центр</v>
      </c>
      <c r="J3897" s="5"/>
      <c r="AL3897" s="5">
        <f t="shared" si="122"/>
        <v>0</v>
      </c>
    </row>
    <row r="3898" spans="1:38" ht="25.5" customHeight="1" x14ac:dyDescent="0.25">
      <c r="A3898" s="10" t="s">
        <v>546</v>
      </c>
      <c r="B3898" s="11" t="s">
        <v>33</v>
      </c>
      <c r="C3898" s="5">
        <v>84298.205100000006</v>
      </c>
      <c r="D3898" s="5">
        <v>84298.205100000006</v>
      </c>
      <c r="E3898" s="5">
        <v>76333.533100000001</v>
      </c>
      <c r="G3898" s="5" t="str">
        <f t="shared" si="121"/>
        <v>ВИЗ</v>
      </c>
      <c r="J3898" s="5"/>
      <c r="AL3898" s="5">
        <f t="shared" si="122"/>
        <v>0</v>
      </c>
    </row>
    <row r="3899" spans="1:38" ht="25.5" customHeight="1" x14ac:dyDescent="0.25">
      <c r="A3899" s="10" t="s">
        <v>3344</v>
      </c>
      <c r="B3899" s="11" t="s">
        <v>1638</v>
      </c>
      <c r="C3899" s="5">
        <v>63640.311600000001</v>
      </c>
      <c r="D3899" s="5">
        <v>63640.311600000001</v>
      </c>
      <c r="E3899" s="5">
        <v>57627.4473</v>
      </c>
      <c r="G3899" s="5" t="str">
        <f t="shared" si="121"/>
        <v>УКТУС</v>
      </c>
      <c r="J3899" s="5"/>
      <c r="AL3899" s="5">
        <f t="shared" si="122"/>
        <v>0</v>
      </c>
    </row>
    <row r="3900" spans="1:38" ht="25.5" customHeight="1" x14ac:dyDescent="0.25">
      <c r="A3900" s="10" t="s">
        <v>1483</v>
      </c>
      <c r="B3900" s="11" t="s">
        <v>1647</v>
      </c>
      <c r="C3900" s="5">
        <v>63178.133800000003</v>
      </c>
      <c r="D3900" s="5">
        <v>63178.133800000003</v>
      </c>
      <c r="E3900" s="5">
        <v>57208.931499999999</v>
      </c>
      <c r="G3900" s="5" t="str">
        <f t="shared" si="121"/>
        <v>ШИРОКАЯ РЕЧКА</v>
      </c>
      <c r="J3900" s="5"/>
      <c r="AL3900" s="5">
        <f t="shared" si="122"/>
        <v>0</v>
      </c>
    </row>
    <row r="3901" spans="1:38" ht="25.5" customHeight="1" x14ac:dyDescent="0.25">
      <c r="A3901" s="10" t="s">
        <v>216</v>
      </c>
      <c r="B3901" s="11" t="s">
        <v>14</v>
      </c>
      <c r="C3901" s="5">
        <v>93989.912800000006</v>
      </c>
      <c r="D3901" s="5">
        <v>93989.912800000006</v>
      </c>
      <c r="E3901" s="5">
        <v>85109.545199999993</v>
      </c>
      <c r="G3901" s="5" t="str">
        <f t="shared" si="121"/>
        <v>Центр</v>
      </c>
      <c r="J3901" s="5"/>
      <c r="AL3901" s="5">
        <f t="shared" si="122"/>
        <v>0</v>
      </c>
    </row>
    <row r="3902" spans="1:38" ht="25.5" customHeight="1" x14ac:dyDescent="0.25">
      <c r="A3902" s="10" t="s">
        <v>3345</v>
      </c>
      <c r="B3902" s="11" t="s">
        <v>1643</v>
      </c>
      <c r="C3902" s="5">
        <v>76630.280299999999</v>
      </c>
      <c r="D3902" s="5">
        <v>76630.280299999999</v>
      </c>
      <c r="E3902" s="5">
        <v>69390.088799999998</v>
      </c>
      <c r="G3902" s="5" t="str">
        <f t="shared" si="121"/>
        <v>Ю-З</v>
      </c>
      <c r="J3902" s="5"/>
      <c r="AL3902" s="5">
        <f t="shared" si="122"/>
        <v>0</v>
      </c>
    </row>
    <row r="3903" spans="1:38" ht="25.5" customHeight="1" x14ac:dyDescent="0.25">
      <c r="A3903" s="10" t="s">
        <v>557</v>
      </c>
      <c r="B3903" s="11" t="s">
        <v>1634</v>
      </c>
      <c r="C3903" s="5">
        <v>77064.444199999998</v>
      </c>
      <c r="D3903" s="5">
        <v>77064.444199999998</v>
      </c>
      <c r="E3903" s="5">
        <v>69783.233200000002</v>
      </c>
      <c r="G3903" s="5" t="str">
        <f t="shared" ref="G3903:G3966" si="123">B3903</f>
        <v>БОТАНИЧЕСКИЙ</v>
      </c>
      <c r="J3903" s="5"/>
      <c r="AL3903" s="5">
        <f t="shared" ref="AL3903:AL3966" si="124">AF3903</f>
        <v>0</v>
      </c>
    </row>
    <row r="3904" spans="1:38" ht="25.5" customHeight="1" x14ac:dyDescent="0.25">
      <c r="A3904" s="10" t="s">
        <v>3346</v>
      </c>
      <c r="B3904" s="11" t="s">
        <v>1631</v>
      </c>
      <c r="C3904" s="5">
        <v>70026.7601</v>
      </c>
      <c r="D3904" s="5">
        <v>70026.7601</v>
      </c>
      <c r="E3904" s="5">
        <v>63410.482000000004</v>
      </c>
      <c r="G3904" s="5" t="str">
        <f t="shared" si="123"/>
        <v>УРАЛМАШ</v>
      </c>
      <c r="J3904" s="5"/>
      <c r="AL3904" s="5">
        <f t="shared" si="124"/>
        <v>0</v>
      </c>
    </row>
    <row r="3905" spans="1:38" ht="25.5" customHeight="1" x14ac:dyDescent="0.25">
      <c r="A3905" s="10" t="s">
        <v>3347</v>
      </c>
      <c r="B3905" s="11" t="s">
        <v>1644</v>
      </c>
      <c r="C3905" s="5">
        <v>61980.678599999999</v>
      </c>
      <c r="D3905" s="5">
        <v>61980.678599999999</v>
      </c>
      <c r="E3905" s="5">
        <v>56124.615700000002</v>
      </c>
      <c r="G3905" s="5" t="str">
        <f t="shared" si="123"/>
        <v>ХИММАШ</v>
      </c>
      <c r="J3905" s="5"/>
      <c r="AL3905" s="5">
        <f t="shared" si="124"/>
        <v>0</v>
      </c>
    </row>
    <row r="3906" spans="1:38" ht="25.5" customHeight="1" x14ac:dyDescent="0.25">
      <c r="A3906" s="10" t="s">
        <v>102</v>
      </c>
      <c r="B3906" s="11" t="s">
        <v>33</v>
      </c>
      <c r="C3906" s="5">
        <v>84298.205100000006</v>
      </c>
      <c r="D3906" s="5">
        <v>84298.205100000006</v>
      </c>
      <c r="E3906" s="5">
        <v>76333.533100000001</v>
      </c>
      <c r="G3906" s="5" t="str">
        <f t="shared" si="123"/>
        <v>ВИЗ</v>
      </c>
      <c r="J3906" s="5"/>
      <c r="AL3906" s="5">
        <f t="shared" si="124"/>
        <v>0</v>
      </c>
    </row>
    <row r="3907" spans="1:38" ht="25.5" customHeight="1" x14ac:dyDescent="0.25">
      <c r="A3907" s="10" t="s">
        <v>889</v>
      </c>
      <c r="B3907" s="11" t="s">
        <v>1637</v>
      </c>
      <c r="C3907" s="5">
        <v>59368.686099999999</v>
      </c>
      <c r="D3907" s="5">
        <v>59368.686099999999</v>
      </c>
      <c r="E3907" s="5">
        <v>53759.401700000002</v>
      </c>
      <c r="G3907" s="5" t="str">
        <f t="shared" si="123"/>
        <v>Старая сортировка</v>
      </c>
      <c r="J3907" s="5"/>
      <c r="AL3907" s="5">
        <f t="shared" si="124"/>
        <v>0</v>
      </c>
    </row>
    <row r="3908" spans="1:38" ht="25.5" customHeight="1" x14ac:dyDescent="0.25">
      <c r="A3908" s="10" t="s">
        <v>3348</v>
      </c>
      <c r="B3908" s="11" t="s">
        <v>1631</v>
      </c>
      <c r="C3908" s="5">
        <v>70026.7601</v>
      </c>
      <c r="D3908" s="5">
        <v>70026.7601</v>
      </c>
      <c r="E3908" s="5">
        <v>63410.482000000004</v>
      </c>
      <c r="G3908" s="5" t="str">
        <f t="shared" si="123"/>
        <v>УРАЛМАШ</v>
      </c>
      <c r="J3908" s="5"/>
      <c r="AL3908" s="5">
        <f t="shared" si="124"/>
        <v>0</v>
      </c>
    </row>
    <row r="3909" spans="1:38" ht="25.5" customHeight="1" x14ac:dyDescent="0.25">
      <c r="A3909" s="10" t="s">
        <v>3349</v>
      </c>
      <c r="B3909" s="11" t="s">
        <v>33</v>
      </c>
      <c r="C3909" s="5">
        <v>84298.205100000006</v>
      </c>
      <c r="D3909" s="5">
        <v>84298.205100000006</v>
      </c>
      <c r="E3909" s="5">
        <v>76333.533100000001</v>
      </c>
      <c r="G3909" s="5" t="str">
        <f t="shared" si="123"/>
        <v>ВИЗ</v>
      </c>
      <c r="J3909" s="5"/>
      <c r="AL3909" s="5">
        <f t="shared" si="124"/>
        <v>0</v>
      </c>
    </row>
    <row r="3910" spans="1:38" ht="25.5" customHeight="1" x14ac:dyDescent="0.25">
      <c r="A3910" s="10" t="s">
        <v>3350</v>
      </c>
      <c r="B3910" s="11" t="s">
        <v>1628</v>
      </c>
      <c r="C3910" s="5">
        <v>70734.0236</v>
      </c>
      <c r="D3910" s="5">
        <v>70734.0236</v>
      </c>
      <c r="E3910" s="5">
        <v>64050.9208</v>
      </c>
      <c r="G3910" s="5" t="str">
        <f t="shared" si="123"/>
        <v>ЭЛЬМАШ</v>
      </c>
      <c r="J3910" s="5"/>
      <c r="AL3910" s="5">
        <f t="shared" si="124"/>
        <v>0</v>
      </c>
    </row>
    <row r="3911" spans="1:38" ht="25.5" customHeight="1" x14ac:dyDescent="0.25">
      <c r="A3911" s="10" t="s">
        <v>3351</v>
      </c>
      <c r="B3911" s="11" t="s">
        <v>1632</v>
      </c>
      <c r="C3911" s="5">
        <v>83744.997499999998</v>
      </c>
      <c r="D3911" s="5">
        <v>83744.997499999998</v>
      </c>
      <c r="E3911" s="5">
        <v>75832.596099999995</v>
      </c>
      <c r="G3911" s="5" t="str">
        <f t="shared" si="123"/>
        <v>АВТОВОКЗАЛ</v>
      </c>
      <c r="J3911" s="5"/>
      <c r="AL3911" s="5">
        <f t="shared" si="124"/>
        <v>0</v>
      </c>
    </row>
    <row r="3912" spans="1:38" ht="25.5" customHeight="1" x14ac:dyDescent="0.25">
      <c r="A3912" s="10" t="s">
        <v>246</v>
      </c>
      <c r="B3912" s="11" t="s">
        <v>1653</v>
      </c>
      <c r="C3912" s="5">
        <v>56847.723400000003</v>
      </c>
      <c r="D3912" s="5">
        <v>56847.723400000003</v>
      </c>
      <c r="E3912" s="5">
        <v>51476.629399999998</v>
      </c>
      <c r="G3912" s="5" t="str">
        <f t="shared" si="123"/>
        <v>ПТИЦЕФАБРИКА</v>
      </c>
      <c r="J3912" s="5"/>
      <c r="AL3912" s="5">
        <f t="shared" si="124"/>
        <v>0</v>
      </c>
    </row>
    <row r="3913" spans="1:38" ht="25.5" customHeight="1" x14ac:dyDescent="0.25">
      <c r="A3913" s="10" t="s">
        <v>3352</v>
      </c>
      <c r="B3913" s="11" t="s">
        <v>1630</v>
      </c>
      <c r="C3913" s="5">
        <v>62652.9401</v>
      </c>
      <c r="D3913" s="5">
        <v>62652.9401</v>
      </c>
      <c r="E3913" s="5">
        <v>56733.3557</v>
      </c>
      <c r="G3913" s="5" t="str">
        <f t="shared" si="123"/>
        <v>ЧЕРМЕТ</v>
      </c>
      <c r="J3913" s="5"/>
      <c r="AL3913" s="5">
        <f t="shared" si="124"/>
        <v>0</v>
      </c>
    </row>
    <row r="3914" spans="1:38" ht="25.5" customHeight="1" x14ac:dyDescent="0.25">
      <c r="A3914" s="10" t="s">
        <v>103</v>
      </c>
      <c r="B3914" s="11" t="s">
        <v>14</v>
      </c>
      <c r="C3914" s="5">
        <v>93989.912800000006</v>
      </c>
      <c r="D3914" s="5">
        <v>93989.912800000006</v>
      </c>
      <c r="E3914" s="5">
        <v>85109.545199999993</v>
      </c>
      <c r="G3914" s="5" t="str">
        <f t="shared" si="123"/>
        <v>Центр</v>
      </c>
      <c r="J3914" s="5"/>
      <c r="AL3914" s="5">
        <f t="shared" si="124"/>
        <v>0</v>
      </c>
    </row>
    <row r="3915" spans="1:38" ht="25.5" customHeight="1" x14ac:dyDescent="0.25">
      <c r="A3915" s="10" t="s">
        <v>1090</v>
      </c>
      <c r="B3915" s="11" t="s">
        <v>1627</v>
      </c>
      <c r="C3915" s="5">
        <v>56392.543899999997</v>
      </c>
      <c r="D3915" s="5">
        <v>56392.543899999997</v>
      </c>
      <c r="E3915" s="5">
        <v>51064.4617</v>
      </c>
      <c r="G3915" s="5" t="str">
        <f t="shared" si="123"/>
        <v>КОМПРЕССОРНЫЙ</v>
      </c>
      <c r="J3915" s="5"/>
      <c r="AL3915" s="5">
        <f t="shared" si="124"/>
        <v>0</v>
      </c>
    </row>
    <row r="3916" spans="1:38" ht="25.5" customHeight="1" x14ac:dyDescent="0.25">
      <c r="A3916" s="10" t="s">
        <v>3353</v>
      </c>
      <c r="B3916" s="11" t="s">
        <v>1651</v>
      </c>
      <c r="C3916" s="5">
        <v>68129.029500000004</v>
      </c>
      <c r="D3916" s="5">
        <v>68129.029500000004</v>
      </c>
      <c r="E3916" s="5">
        <v>61692.054799999998</v>
      </c>
      <c r="G3916" s="5" t="str">
        <f t="shared" si="123"/>
        <v>ШАРТАШ</v>
      </c>
      <c r="J3916" s="5"/>
      <c r="AL3916" s="5">
        <f t="shared" si="124"/>
        <v>0</v>
      </c>
    </row>
    <row r="3917" spans="1:38" ht="25.5" customHeight="1" x14ac:dyDescent="0.25">
      <c r="A3917" s="10" t="s">
        <v>1058</v>
      </c>
      <c r="B3917" s="11" t="s">
        <v>1632</v>
      </c>
      <c r="C3917" s="5">
        <v>83744.997499999998</v>
      </c>
      <c r="D3917" s="5">
        <v>83744.997499999998</v>
      </c>
      <c r="E3917" s="5">
        <v>75832.596099999995</v>
      </c>
      <c r="G3917" s="5" t="str">
        <f t="shared" si="123"/>
        <v>АВТОВОКЗАЛ</v>
      </c>
      <c r="J3917" s="5"/>
      <c r="AL3917" s="5">
        <f t="shared" si="124"/>
        <v>0</v>
      </c>
    </row>
    <row r="3918" spans="1:38" ht="25.5" customHeight="1" x14ac:dyDescent="0.25">
      <c r="A3918" s="10" t="s">
        <v>3354</v>
      </c>
      <c r="B3918" s="11" t="s">
        <v>33</v>
      </c>
      <c r="C3918" s="5">
        <v>84298.205100000006</v>
      </c>
      <c r="D3918" s="5">
        <v>84298.205100000006</v>
      </c>
      <c r="E3918" s="5">
        <v>76333.533100000001</v>
      </c>
      <c r="G3918" s="5" t="str">
        <f t="shared" si="123"/>
        <v>ВИЗ</v>
      </c>
      <c r="J3918" s="5"/>
      <c r="AL3918" s="5">
        <f t="shared" si="124"/>
        <v>0</v>
      </c>
    </row>
    <row r="3919" spans="1:38" ht="25.5" customHeight="1" x14ac:dyDescent="0.25">
      <c r="A3919" s="10" t="s">
        <v>415</v>
      </c>
      <c r="B3919" s="11" t="s">
        <v>33</v>
      </c>
      <c r="C3919" s="5">
        <v>84298.205100000006</v>
      </c>
      <c r="D3919" s="5">
        <v>84298.205100000006</v>
      </c>
      <c r="E3919" s="5">
        <v>76333.533100000001</v>
      </c>
      <c r="G3919" s="5" t="str">
        <f t="shared" si="123"/>
        <v>ВИЗ</v>
      </c>
      <c r="J3919" s="5"/>
      <c r="AL3919" s="5">
        <f t="shared" si="124"/>
        <v>0</v>
      </c>
    </row>
    <row r="3920" spans="1:38" ht="25.5" customHeight="1" x14ac:dyDescent="0.25">
      <c r="A3920" s="10" t="s">
        <v>441</v>
      </c>
      <c r="B3920" s="11" t="s">
        <v>1632</v>
      </c>
      <c r="C3920" s="5">
        <v>83744.997499999998</v>
      </c>
      <c r="D3920" s="5">
        <v>83744.997499999998</v>
      </c>
      <c r="E3920" s="5">
        <v>75832.596099999995</v>
      </c>
      <c r="G3920" s="5" t="str">
        <f t="shared" si="123"/>
        <v>АВТОВОКЗАЛ</v>
      </c>
      <c r="J3920" s="5"/>
      <c r="AL3920" s="5">
        <f t="shared" si="124"/>
        <v>0</v>
      </c>
    </row>
    <row r="3921" spans="1:38" ht="25.5" customHeight="1" x14ac:dyDescent="0.25">
      <c r="A3921" s="10" t="s">
        <v>1051</v>
      </c>
      <c r="B3921" s="11" t="s">
        <v>1644</v>
      </c>
      <c r="C3921" s="5">
        <v>61980.678599999999</v>
      </c>
      <c r="D3921" s="5">
        <v>61980.678599999999</v>
      </c>
      <c r="E3921" s="5">
        <v>56124.615700000002</v>
      </c>
      <c r="G3921" s="5" t="str">
        <f t="shared" si="123"/>
        <v>ХИММАШ</v>
      </c>
      <c r="J3921" s="5"/>
      <c r="AL3921" s="5">
        <f t="shared" si="124"/>
        <v>0</v>
      </c>
    </row>
    <row r="3922" spans="1:38" ht="25.5" customHeight="1" x14ac:dyDescent="0.25">
      <c r="A3922" s="10" t="s">
        <v>1247</v>
      </c>
      <c r="B3922" s="11" t="s">
        <v>1629</v>
      </c>
      <c r="C3922" s="5">
        <v>77743.704100000003</v>
      </c>
      <c r="D3922" s="5">
        <v>77743.704100000003</v>
      </c>
      <c r="E3922" s="5">
        <v>70398.310800000007</v>
      </c>
      <c r="G3922" s="5" t="str">
        <f t="shared" si="123"/>
        <v>ПИОНЕРСКИЙ</v>
      </c>
      <c r="J3922" s="5"/>
      <c r="AL3922" s="5">
        <f t="shared" si="124"/>
        <v>0</v>
      </c>
    </row>
    <row r="3923" spans="1:38" ht="25.5" customHeight="1" x14ac:dyDescent="0.25">
      <c r="A3923" s="10" t="s">
        <v>1286</v>
      </c>
      <c r="B3923" s="11" t="s">
        <v>1650</v>
      </c>
      <c r="C3923" s="5">
        <v>37590.3603</v>
      </c>
      <c r="D3923" s="5">
        <v>37590.3603</v>
      </c>
      <c r="E3923" s="5">
        <v>34038.745900000002</v>
      </c>
      <c r="G3923" s="5" t="str">
        <f t="shared" si="123"/>
        <v>ШАБРОВСКИЙ</v>
      </c>
      <c r="J3923" s="5"/>
      <c r="AL3923" s="5">
        <f t="shared" si="124"/>
        <v>0</v>
      </c>
    </row>
    <row r="3924" spans="1:38" ht="25.5" customHeight="1" x14ac:dyDescent="0.25">
      <c r="A3924" s="10" t="s">
        <v>261</v>
      </c>
      <c r="B3924" s="11" t="s">
        <v>1643</v>
      </c>
      <c r="C3924" s="5">
        <v>76630.280299999999</v>
      </c>
      <c r="D3924" s="5">
        <v>76630.280299999999</v>
      </c>
      <c r="E3924" s="5">
        <v>69390.088799999998</v>
      </c>
      <c r="G3924" s="5" t="str">
        <f t="shared" si="123"/>
        <v>Ю-З</v>
      </c>
      <c r="J3924" s="5"/>
      <c r="AL3924" s="5">
        <f t="shared" si="124"/>
        <v>0</v>
      </c>
    </row>
    <row r="3925" spans="1:38" ht="25.5" customHeight="1" x14ac:dyDescent="0.25">
      <c r="A3925" s="10" t="s">
        <v>3355</v>
      </c>
      <c r="B3925" s="11" t="s">
        <v>14</v>
      </c>
      <c r="C3925" s="5">
        <v>93989.912800000006</v>
      </c>
      <c r="D3925" s="5">
        <v>93989.912800000006</v>
      </c>
      <c r="E3925" s="5">
        <v>85109.545199999993</v>
      </c>
      <c r="G3925" s="5" t="str">
        <f t="shared" si="123"/>
        <v>Центр</v>
      </c>
      <c r="J3925" s="5"/>
      <c r="AL3925" s="5">
        <f t="shared" si="124"/>
        <v>0</v>
      </c>
    </row>
    <row r="3926" spans="1:38" ht="25.5" customHeight="1" x14ac:dyDescent="0.25">
      <c r="A3926" s="10" t="s">
        <v>407</v>
      </c>
      <c r="B3926" s="11" t="s">
        <v>1633</v>
      </c>
      <c r="C3926" s="5">
        <v>77071.442599999995</v>
      </c>
      <c r="D3926" s="5">
        <v>77071.442599999995</v>
      </c>
      <c r="E3926" s="5">
        <v>69789.570900000006</v>
      </c>
      <c r="G3926" s="5" t="str">
        <f t="shared" si="123"/>
        <v>ВТУЗГОРОДОК</v>
      </c>
      <c r="J3926" s="5"/>
      <c r="AL3926" s="5">
        <f t="shared" si="124"/>
        <v>0</v>
      </c>
    </row>
    <row r="3927" spans="1:38" ht="25.5" customHeight="1" x14ac:dyDescent="0.25">
      <c r="A3927" s="10" t="s">
        <v>861</v>
      </c>
      <c r="B3927" s="11" t="s">
        <v>1638</v>
      </c>
      <c r="C3927" s="5">
        <v>63640.311600000001</v>
      </c>
      <c r="D3927" s="5">
        <v>63640.311600000001</v>
      </c>
      <c r="E3927" s="5">
        <v>57627.4473</v>
      </c>
      <c r="G3927" s="5" t="str">
        <f t="shared" si="123"/>
        <v>УКТУС</v>
      </c>
      <c r="J3927" s="5"/>
      <c r="AL3927" s="5">
        <f t="shared" si="124"/>
        <v>0</v>
      </c>
    </row>
    <row r="3928" spans="1:38" ht="25.5" customHeight="1" x14ac:dyDescent="0.25">
      <c r="A3928" s="10" t="s">
        <v>3356</v>
      </c>
      <c r="B3928" s="11" t="s">
        <v>1636</v>
      </c>
      <c r="C3928" s="5">
        <v>52246.960299999999</v>
      </c>
      <c r="D3928" s="5">
        <v>52246.960299999999</v>
      </c>
      <c r="E3928" s="5">
        <v>47310.556700000001</v>
      </c>
      <c r="G3928" s="5" t="str">
        <f t="shared" si="123"/>
        <v>ГОРНЫЙ ЩИТ</v>
      </c>
      <c r="J3928" s="5"/>
      <c r="AL3928" s="5">
        <f t="shared" si="124"/>
        <v>0</v>
      </c>
    </row>
    <row r="3929" spans="1:38" ht="25.5" customHeight="1" x14ac:dyDescent="0.25">
      <c r="A3929" s="10" t="s">
        <v>3357</v>
      </c>
      <c r="B3929" s="11" t="s">
        <v>1651</v>
      </c>
      <c r="C3929" s="5">
        <v>68129.029500000004</v>
      </c>
      <c r="D3929" s="5">
        <v>68129.029500000004</v>
      </c>
      <c r="E3929" s="5">
        <v>61692.054799999998</v>
      </c>
      <c r="G3929" s="5" t="str">
        <f t="shared" si="123"/>
        <v>ШАРТАШ</v>
      </c>
      <c r="J3929" s="5"/>
      <c r="AL3929" s="5">
        <f t="shared" si="124"/>
        <v>0</v>
      </c>
    </row>
    <row r="3930" spans="1:38" ht="25.5" customHeight="1" x14ac:dyDescent="0.25">
      <c r="A3930" s="10" t="s">
        <v>923</v>
      </c>
      <c r="B3930" s="11" t="s">
        <v>1628</v>
      </c>
      <c r="C3930" s="5">
        <v>70734.0236</v>
      </c>
      <c r="D3930" s="5">
        <v>70734.0236</v>
      </c>
      <c r="E3930" s="5">
        <v>64050.9208</v>
      </c>
      <c r="G3930" s="5" t="str">
        <f t="shared" si="123"/>
        <v>ЭЛЬМАШ</v>
      </c>
      <c r="J3930" s="5"/>
      <c r="AL3930" s="5">
        <f t="shared" si="124"/>
        <v>0</v>
      </c>
    </row>
    <row r="3931" spans="1:38" ht="25.5" customHeight="1" x14ac:dyDescent="0.25">
      <c r="A3931" s="10" t="s">
        <v>3358</v>
      </c>
      <c r="B3931" s="11" t="s">
        <v>1660</v>
      </c>
      <c r="C3931" s="5">
        <v>53262.345800000003</v>
      </c>
      <c r="D3931" s="5">
        <v>53262.345800000003</v>
      </c>
      <c r="E3931" s="5">
        <v>48230.0095</v>
      </c>
      <c r="G3931" s="5" t="str">
        <f t="shared" si="123"/>
        <v>САДОВЫЙ</v>
      </c>
      <c r="J3931" s="5"/>
      <c r="AL3931" s="5">
        <f t="shared" si="124"/>
        <v>0</v>
      </c>
    </row>
    <row r="3932" spans="1:38" ht="25.5" customHeight="1" x14ac:dyDescent="0.25">
      <c r="A3932" s="10" t="s">
        <v>299</v>
      </c>
      <c r="B3932" s="11" t="s">
        <v>1629</v>
      </c>
      <c r="C3932" s="5">
        <v>77743.704100000003</v>
      </c>
      <c r="D3932" s="5">
        <v>77743.704100000003</v>
      </c>
      <c r="E3932" s="5">
        <v>70398.310800000007</v>
      </c>
      <c r="G3932" s="5" t="str">
        <f t="shared" si="123"/>
        <v>ПИОНЕРСКИЙ</v>
      </c>
      <c r="J3932" s="5"/>
      <c r="AL3932" s="5">
        <f t="shared" si="124"/>
        <v>0</v>
      </c>
    </row>
    <row r="3933" spans="1:38" ht="25.5" customHeight="1" x14ac:dyDescent="0.25">
      <c r="A3933" s="10" t="s">
        <v>3359</v>
      </c>
      <c r="B3933" s="11" t="s">
        <v>1645</v>
      </c>
      <c r="C3933" s="5">
        <v>60958.294800000003</v>
      </c>
      <c r="D3933" s="5">
        <v>60958.294800000003</v>
      </c>
      <c r="E3933" s="5">
        <v>55198.825199999999</v>
      </c>
      <c r="G3933" s="5" t="str">
        <f t="shared" si="123"/>
        <v>ЕЛИЗАВЕТ</v>
      </c>
      <c r="J3933" s="5"/>
      <c r="AL3933" s="5">
        <f t="shared" si="124"/>
        <v>0</v>
      </c>
    </row>
    <row r="3934" spans="1:38" ht="25.5" customHeight="1" x14ac:dyDescent="0.25">
      <c r="A3934" s="10" t="s">
        <v>67</v>
      </c>
      <c r="B3934" s="11" t="s">
        <v>1631</v>
      </c>
      <c r="C3934" s="5">
        <v>70026.7601</v>
      </c>
      <c r="D3934" s="5">
        <v>70026.7601</v>
      </c>
      <c r="E3934" s="5">
        <v>63410.482000000004</v>
      </c>
      <c r="G3934" s="5" t="str">
        <f t="shared" si="123"/>
        <v>УРАЛМАШ</v>
      </c>
      <c r="J3934" s="5"/>
      <c r="AL3934" s="5">
        <f t="shared" si="124"/>
        <v>0</v>
      </c>
    </row>
    <row r="3935" spans="1:38" ht="25.5" customHeight="1" x14ac:dyDescent="0.25">
      <c r="A3935" s="10" t="s">
        <v>3360</v>
      </c>
      <c r="B3935" s="11" t="s">
        <v>1634</v>
      </c>
      <c r="C3935" s="5">
        <v>77064.444199999998</v>
      </c>
      <c r="D3935" s="5">
        <v>77064.444199999998</v>
      </c>
      <c r="E3935" s="5">
        <v>69783.233200000002</v>
      </c>
      <c r="G3935" s="5" t="str">
        <f t="shared" si="123"/>
        <v>БОТАНИЧЕСКИЙ</v>
      </c>
      <c r="J3935" s="5"/>
      <c r="AL3935" s="5">
        <f t="shared" si="124"/>
        <v>0</v>
      </c>
    </row>
    <row r="3936" spans="1:38" ht="25.5" customHeight="1" x14ac:dyDescent="0.25">
      <c r="A3936" s="10" t="s">
        <v>1531</v>
      </c>
      <c r="B3936" s="11" t="s">
        <v>14</v>
      </c>
      <c r="C3936" s="5">
        <v>93989.912800000006</v>
      </c>
      <c r="D3936" s="5">
        <v>93989.912800000006</v>
      </c>
      <c r="E3936" s="5">
        <v>85109.545199999993</v>
      </c>
      <c r="G3936" s="5" t="str">
        <f t="shared" si="123"/>
        <v>Центр</v>
      </c>
      <c r="J3936" s="5"/>
      <c r="AL3936" s="5">
        <f t="shared" si="124"/>
        <v>0</v>
      </c>
    </row>
    <row r="3937" spans="1:38" ht="25.5" customHeight="1" x14ac:dyDescent="0.25">
      <c r="A3937" s="10" t="s">
        <v>1121</v>
      </c>
      <c r="B3937" s="11" t="s">
        <v>1631</v>
      </c>
      <c r="C3937" s="5">
        <v>70026.7601</v>
      </c>
      <c r="D3937" s="5">
        <v>70026.7601</v>
      </c>
      <c r="E3937" s="5">
        <v>63410.482000000004</v>
      </c>
      <c r="G3937" s="5" t="str">
        <f t="shared" si="123"/>
        <v>УРАЛМАШ</v>
      </c>
      <c r="J3937" s="5"/>
      <c r="AL3937" s="5">
        <f t="shared" si="124"/>
        <v>0</v>
      </c>
    </row>
    <row r="3938" spans="1:38" ht="25.5" customHeight="1" x14ac:dyDescent="0.25">
      <c r="A3938" s="10" t="s">
        <v>1092</v>
      </c>
      <c r="B3938" s="11" t="s">
        <v>1629</v>
      </c>
      <c r="C3938" s="5">
        <v>77743.704100000003</v>
      </c>
      <c r="D3938" s="5">
        <v>77743.704100000003</v>
      </c>
      <c r="E3938" s="5">
        <v>70398.310800000007</v>
      </c>
      <c r="G3938" s="5" t="str">
        <f t="shared" si="123"/>
        <v>ПИОНЕРСКИЙ</v>
      </c>
      <c r="J3938" s="5"/>
      <c r="AL3938" s="5">
        <f t="shared" si="124"/>
        <v>0</v>
      </c>
    </row>
    <row r="3939" spans="1:38" ht="25.5" customHeight="1" x14ac:dyDescent="0.25">
      <c r="A3939" s="10" t="s">
        <v>311</v>
      </c>
      <c r="B3939" s="11" t="s">
        <v>1633</v>
      </c>
      <c r="C3939" s="5">
        <v>77071.442599999995</v>
      </c>
      <c r="D3939" s="5">
        <v>77071.442599999995</v>
      </c>
      <c r="E3939" s="5">
        <v>69789.570900000006</v>
      </c>
      <c r="G3939" s="5" t="str">
        <f t="shared" si="123"/>
        <v>ВТУЗГОРОДОК</v>
      </c>
      <c r="J3939" s="5"/>
      <c r="AL3939" s="5">
        <f t="shared" si="124"/>
        <v>0</v>
      </c>
    </row>
    <row r="3940" spans="1:38" ht="25.5" customHeight="1" x14ac:dyDescent="0.25">
      <c r="A3940" s="10" t="s">
        <v>1130</v>
      </c>
      <c r="B3940" s="11" t="s">
        <v>14</v>
      </c>
      <c r="C3940" s="5">
        <v>93989.912800000006</v>
      </c>
      <c r="D3940" s="5">
        <v>93989.912800000006</v>
      </c>
      <c r="E3940" s="5">
        <v>85109.545199999993</v>
      </c>
      <c r="G3940" s="5" t="str">
        <f t="shared" si="123"/>
        <v>Центр</v>
      </c>
      <c r="J3940" s="5"/>
      <c r="AL3940" s="5">
        <f t="shared" si="124"/>
        <v>0</v>
      </c>
    </row>
    <row r="3941" spans="1:38" ht="25.5" customHeight="1" x14ac:dyDescent="0.25">
      <c r="A3941" s="10" t="s">
        <v>1355</v>
      </c>
      <c r="B3941" s="11" t="s">
        <v>1651</v>
      </c>
      <c r="C3941" s="5">
        <v>68129.029500000004</v>
      </c>
      <c r="D3941" s="5">
        <v>68129.029500000004</v>
      </c>
      <c r="E3941" s="5">
        <v>61692.054799999998</v>
      </c>
      <c r="G3941" s="5" t="str">
        <f t="shared" si="123"/>
        <v>ШАРТАШ</v>
      </c>
      <c r="J3941" s="5"/>
      <c r="AL3941" s="5">
        <f t="shared" si="124"/>
        <v>0</v>
      </c>
    </row>
    <row r="3942" spans="1:38" ht="25.5" customHeight="1" x14ac:dyDescent="0.25">
      <c r="A3942" s="10" t="s">
        <v>3361</v>
      </c>
      <c r="B3942" s="11" t="s">
        <v>779</v>
      </c>
      <c r="C3942" s="5">
        <v>46784.877899999999</v>
      </c>
      <c r="D3942" s="5">
        <v>46784.877899999999</v>
      </c>
      <c r="E3942" s="5">
        <v>42364.543299999998</v>
      </c>
      <c r="G3942" s="5" t="str">
        <f t="shared" si="123"/>
        <v>Нижнеисетский</v>
      </c>
      <c r="J3942" s="5"/>
      <c r="AL3942" s="5">
        <f t="shared" si="124"/>
        <v>0</v>
      </c>
    </row>
    <row r="3943" spans="1:38" ht="25.5" customHeight="1" x14ac:dyDescent="0.25">
      <c r="A3943" s="10" t="s">
        <v>96</v>
      </c>
      <c r="B3943" s="11" t="s">
        <v>1630</v>
      </c>
      <c r="C3943" s="5">
        <v>62652.9401</v>
      </c>
      <c r="D3943" s="5">
        <v>62652.9401</v>
      </c>
      <c r="E3943" s="5">
        <v>56733.3557</v>
      </c>
      <c r="G3943" s="5" t="str">
        <f t="shared" si="123"/>
        <v>ЧЕРМЕТ</v>
      </c>
      <c r="J3943" s="5"/>
      <c r="AL3943" s="5">
        <f t="shared" si="124"/>
        <v>0</v>
      </c>
    </row>
    <row r="3944" spans="1:38" ht="25.5" customHeight="1" x14ac:dyDescent="0.25">
      <c r="A3944" s="10" t="s">
        <v>274</v>
      </c>
      <c r="B3944" s="11" t="s">
        <v>14</v>
      </c>
      <c r="C3944" s="5">
        <v>93989.912800000006</v>
      </c>
      <c r="D3944" s="5">
        <v>93989.912800000006</v>
      </c>
      <c r="E3944" s="5">
        <v>85109.545199999993</v>
      </c>
      <c r="G3944" s="5" t="str">
        <f t="shared" si="123"/>
        <v>Центр</v>
      </c>
      <c r="J3944" s="5"/>
      <c r="AL3944" s="5">
        <f t="shared" si="124"/>
        <v>0</v>
      </c>
    </row>
    <row r="3945" spans="1:38" ht="25.5" customHeight="1" x14ac:dyDescent="0.25">
      <c r="A3945" s="10" t="s">
        <v>329</v>
      </c>
      <c r="B3945" s="11" t="s">
        <v>33</v>
      </c>
      <c r="C3945" s="5">
        <v>84298.205100000006</v>
      </c>
      <c r="D3945" s="5">
        <v>84298.205100000006</v>
      </c>
      <c r="E3945" s="5">
        <v>76333.533100000001</v>
      </c>
      <c r="G3945" s="5" t="str">
        <f t="shared" si="123"/>
        <v>ВИЗ</v>
      </c>
      <c r="J3945" s="5"/>
      <c r="AL3945" s="5">
        <f t="shared" si="124"/>
        <v>0</v>
      </c>
    </row>
    <row r="3946" spans="1:38" ht="25.5" customHeight="1" x14ac:dyDescent="0.25">
      <c r="A3946" s="10" t="s">
        <v>700</v>
      </c>
      <c r="B3946" s="11" t="s">
        <v>1632</v>
      </c>
      <c r="C3946" s="5">
        <v>83744.997499999998</v>
      </c>
      <c r="D3946" s="5">
        <v>83744.997499999998</v>
      </c>
      <c r="E3946" s="5">
        <v>75832.596099999995</v>
      </c>
      <c r="G3946" s="5" t="str">
        <f t="shared" si="123"/>
        <v>АВТОВОКЗАЛ</v>
      </c>
      <c r="J3946" s="5"/>
      <c r="AL3946" s="5">
        <f t="shared" si="124"/>
        <v>0</v>
      </c>
    </row>
    <row r="3947" spans="1:38" ht="25.5" customHeight="1" x14ac:dyDescent="0.25">
      <c r="A3947" s="10" t="s">
        <v>1232</v>
      </c>
      <c r="B3947" s="11" t="s">
        <v>1643</v>
      </c>
      <c r="C3947" s="5">
        <v>76630.280299999999</v>
      </c>
      <c r="D3947" s="5">
        <v>76630.280299999999</v>
      </c>
      <c r="E3947" s="5">
        <v>69390.088799999998</v>
      </c>
      <c r="G3947" s="5" t="str">
        <f t="shared" si="123"/>
        <v>Ю-З</v>
      </c>
      <c r="J3947" s="5"/>
      <c r="AL3947" s="5">
        <f t="shared" si="124"/>
        <v>0</v>
      </c>
    </row>
    <row r="3948" spans="1:38" ht="25.5" customHeight="1" x14ac:dyDescent="0.25">
      <c r="A3948" s="10" t="s">
        <v>1546</v>
      </c>
      <c r="B3948" s="11" t="s">
        <v>14</v>
      </c>
      <c r="C3948" s="5">
        <v>93989.912800000006</v>
      </c>
      <c r="D3948" s="5">
        <v>93989.912800000006</v>
      </c>
      <c r="E3948" s="5">
        <v>85109.545199999993</v>
      </c>
      <c r="G3948" s="5" t="str">
        <f t="shared" si="123"/>
        <v>Центр</v>
      </c>
      <c r="J3948" s="5"/>
      <c r="AL3948" s="5">
        <f t="shared" si="124"/>
        <v>0</v>
      </c>
    </row>
    <row r="3949" spans="1:38" ht="25.5" customHeight="1" x14ac:dyDescent="0.25">
      <c r="A3949" s="10" t="s">
        <v>394</v>
      </c>
      <c r="B3949" s="11" t="s">
        <v>1638</v>
      </c>
      <c r="C3949" s="5">
        <v>63640.311600000001</v>
      </c>
      <c r="D3949" s="5">
        <v>63640.311600000001</v>
      </c>
      <c r="E3949" s="5">
        <v>57627.4473</v>
      </c>
      <c r="G3949" s="5" t="str">
        <f t="shared" si="123"/>
        <v>УКТУС</v>
      </c>
      <c r="J3949" s="5"/>
      <c r="AL3949" s="5">
        <f t="shared" si="124"/>
        <v>0</v>
      </c>
    </row>
    <row r="3950" spans="1:38" ht="25.5" customHeight="1" x14ac:dyDescent="0.25">
      <c r="A3950" s="10" t="s">
        <v>1321</v>
      </c>
      <c r="B3950" s="11" t="s">
        <v>1632</v>
      </c>
      <c r="C3950" s="5">
        <v>83744.997499999998</v>
      </c>
      <c r="D3950" s="5">
        <v>83744.997499999998</v>
      </c>
      <c r="E3950" s="5">
        <v>75832.596099999995</v>
      </c>
      <c r="G3950" s="5" t="str">
        <f t="shared" si="123"/>
        <v>АВТОВОКЗАЛ</v>
      </c>
      <c r="J3950" s="5"/>
      <c r="AL3950" s="5">
        <f t="shared" si="124"/>
        <v>0</v>
      </c>
    </row>
    <row r="3951" spans="1:38" ht="25.5" customHeight="1" x14ac:dyDescent="0.25">
      <c r="A3951" s="10" t="s">
        <v>1532</v>
      </c>
      <c r="B3951" s="11" t="s">
        <v>1633</v>
      </c>
      <c r="C3951" s="5">
        <v>77071.442599999995</v>
      </c>
      <c r="D3951" s="5">
        <v>77071.442599999995</v>
      </c>
      <c r="E3951" s="5">
        <v>69789.570900000006</v>
      </c>
      <c r="G3951" s="5" t="str">
        <f t="shared" si="123"/>
        <v>ВТУЗГОРОДОК</v>
      </c>
      <c r="J3951" s="5"/>
      <c r="AL3951" s="5">
        <f t="shared" si="124"/>
        <v>0</v>
      </c>
    </row>
    <row r="3952" spans="1:38" ht="25.5" customHeight="1" x14ac:dyDescent="0.25">
      <c r="A3952" s="10" t="s">
        <v>3362</v>
      </c>
      <c r="B3952" s="11" t="s">
        <v>1638</v>
      </c>
      <c r="C3952" s="5">
        <v>63640.311600000001</v>
      </c>
      <c r="D3952" s="5">
        <v>63640.311600000001</v>
      </c>
      <c r="E3952" s="5">
        <v>57627.4473</v>
      </c>
      <c r="G3952" s="5" t="str">
        <f t="shared" si="123"/>
        <v>УКТУС</v>
      </c>
      <c r="J3952" s="5"/>
      <c r="AL3952" s="5">
        <f t="shared" si="124"/>
        <v>0</v>
      </c>
    </row>
    <row r="3953" spans="1:38" ht="25.5" customHeight="1" x14ac:dyDescent="0.25">
      <c r="A3953" s="10" t="s">
        <v>1250</v>
      </c>
      <c r="B3953" s="11" t="s">
        <v>1630</v>
      </c>
      <c r="C3953" s="5">
        <v>62652.9401</v>
      </c>
      <c r="D3953" s="5">
        <v>62652.9401</v>
      </c>
      <c r="E3953" s="5">
        <v>56733.3557</v>
      </c>
      <c r="G3953" s="5" t="str">
        <f t="shared" si="123"/>
        <v>ЧЕРМЕТ</v>
      </c>
      <c r="J3953" s="5"/>
      <c r="AL3953" s="5">
        <f t="shared" si="124"/>
        <v>0</v>
      </c>
    </row>
    <row r="3954" spans="1:38" ht="25.5" customHeight="1" x14ac:dyDescent="0.25">
      <c r="A3954" s="10" t="s">
        <v>3363</v>
      </c>
      <c r="B3954" s="11" t="s">
        <v>66</v>
      </c>
      <c r="C3954" s="5">
        <v>64795.756300000001</v>
      </c>
      <c r="D3954" s="5">
        <v>64795.756300000001</v>
      </c>
      <c r="E3954" s="5">
        <v>58673.716200000003</v>
      </c>
      <c r="G3954" s="5" t="str">
        <f t="shared" si="123"/>
        <v>УНЦ</v>
      </c>
      <c r="J3954" s="5"/>
      <c r="AL3954" s="5">
        <f t="shared" si="124"/>
        <v>0</v>
      </c>
    </row>
    <row r="3955" spans="1:38" ht="25.5" customHeight="1" x14ac:dyDescent="0.25">
      <c r="A3955" s="10" t="s">
        <v>3364</v>
      </c>
      <c r="B3955" s="11" t="s">
        <v>1643</v>
      </c>
      <c r="C3955" s="5">
        <v>76630.280299999999</v>
      </c>
      <c r="D3955" s="5">
        <v>76630.280299999999</v>
      </c>
      <c r="E3955" s="5">
        <v>69390.088799999998</v>
      </c>
      <c r="G3955" s="5" t="str">
        <f t="shared" si="123"/>
        <v>Ю-З</v>
      </c>
      <c r="J3955" s="5"/>
      <c r="AL3955" s="5">
        <f t="shared" si="124"/>
        <v>0</v>
      </c>
    </row>
    <row r="3956" spans="1:38" ht="25.5" customHeight="1" x14ac:dyDescent="0.25">
      <c r="A3956" s="10" t="s">
        <v>1082</v>
      </c>
      <c r="B3956" s="11" t="s">
        <v>1655</v>
      </c>
      <c r="C3956" s="5">
        <v>79683.445300000007</v>
      </c>
      <c r="D3956" s="5">
        <v>79683.445300000007</v>
      </c>
      <c r="E3956" s="5">
        <v>72154.784899999999</v>
      </c>
      <c r="G3956" s="5" t="str">
        <f t="shared" si="123"/>
        <v>Шарташский рынок</v>
      </c>
      <c r="J3956" s="5"/>
      <c r="AL3956" s="5">
        <f t="shared" si="124"/>
        <v>0</v>
      </c>
    </row>
    <row r="3957" spans="1:38" ht="25.5" customHeight="1" x14ac:dyDescent="0.25">
      <c r="A3957" s="10" t="s">
        <v>3365</v>
      </c>
      <c r="B3957" s="11" t="s">
        <v>1636</v>
      </c>
      <c r="C3957" s="5">
        <v>52246.960299999999</v>
      </c>
      <c r="D3957" s="5">
        <v>52246.960299999999</v>
      </c>
      <c r="E3957" s="5">
        <v>47310.556700000001</v>
      </c>
      <c r="G3957" s="5" t="str">
        <f t="shared" si="123"/>
        <v>ГОРНЫЙ ЩИТ</v>
      </c>
      <c r="J3957" s="5"/>
      <c r="AL3957" s="5">
        <f t="shared" si="124"/>
        <v>0</v>
      </c>
    </row>
    <row r="3958" spans="1:38" ht="25.5" customHeight="1" x14ac:dyDescent="0.25">
      <c r="A3958" s="10" t="s">
        <v>3366</v>
      </c>
      <c r="B3958" s="11" t="s">
        <v>1637</v>
      </c>
      <c r="C3958" s="5">
        <v>59368.686099999999</v>
      </c>
      <c r="D3958" s="5">
        <v>59368.686099999999</v>
      </c>
      <c r="E3958" s="5">
        <v>53759.401700000002</v>
      </c>
      <c r="G3958" s="5" t="str">
        <f t="shared" si="123"/>
        <v>Старая сортировка</v>
      </c>
      <c r="J3958" s="5"/>
      <c r="AL3958" s="5">
        <f t="shared" si="124"/>
        <v>0</v>
      </c>
    </row>
    <row r="3959" spans="1:38" ht="25.5" customHeight="1" x14ac:dyDescent="0.25">
      <c r="A3959" s="10" t="s">
        <v>1089</v>
      </c>
      <c r="B3959" s="5" t="s">
        <v>1638</v>
      </c>
      <c r="C3959" s="5">
        <v>63640.311600000001</v>
      </c>
      <c r="D3959" s="5">
        <v>63640.311600000001</v>
      </c>
      <c r="E3959" s="5">
        <v>57627.4473</v>
      </c>
      <c r="G3959" s="5" t="str">
        <f t="shared" si="123"/>
        <v>УКТУС</v>
      </c>
      <c r="J3959" s="5"/>
      <c r="AL3959" s="5">
        <f t="shared" si="124"/>
        <v>0</v>
      </c>
    </row>
    <row r="3960" spans="1:38" ht="25.5" customHeight="1" x14ac:dyDescent="0.25">
      <c r="A3960" s="10" t="s">
        <v>3367</v>
      </c>
      <c r="B3960" s="11" t="s">
        <v>1630</v>
      </c>
      <c r="C3960" s="5">
        <v>62652.9401</v>
      </c>
      <c r="D3960" s="5">
        <v>62652.9401</v>
      </c>
      <c r="E3960" s="5">
        <v>56733.3557</v>
      </c>
      <c r="G3960" s="5" t="str">
        <f t="shared" si="123"/>
        <v>ЧЕРМЕТ</v>
      </c>
      <c r="J3960" s="5"/>
      <c r="AL3960" s="5">
        <f t="shared" si="124"/>
        <v>0</v>
      </c>
    </row>
    <row r="3961" spans="1:38" ht="25.5" customHeight="1" x14ac:dyDescent="0.25">
      <c r="A3961" s="10" t="s">
        <v>1182</v>
      </c>
      <c r="B3961" s="11" t="s">
        <v>1657</v>
      </c>
      <c r="C3961" s="5">
        <v>54886.9666</v>
      </c>
      <c r="D3961" s="5">
        <v>54886.9666</v>
      </c>
      <c r="E3961" s="5">
        <v>49701.1319</v>
      </c>
      <c r="G3961" s="5" t="str">
        <f t="shared" si="123"/>
        <v>КОЛЬЦОВО</v>
      </c>
      <c r="J3961" s="5"/>
      <c r="AL3961" s="5">
        <f t="shared" si="124"/>
        <v>0</v>
      </c>
    </row>
    <row r="3962" spans="1:38" ht="25.5" customHeight="1" x14ac:dyDescent="0.25">
      <c r="A3962" s="10" t="s">
        <v>910</v>
      </c>
      <c r="B3962" s="11" t="s">
        <v>14</v>
      </c>
      <c r="C3962" s="5">
        <v>93989.912800000006</v>
      </c>
      <c r="D3962" s="5">
        <v>93989.912800000006</v>
      </c>
      <c r="E3962" s="5">
        <v>85109.545199999993</v>
      </c>
      <c r="G3962" s="5" t="str">
        <f t="shared" si="123"/>
        <v>Центр</v>
      </c>
      <c r="J3962" s="5"/>
      <c r="AL3962" s="5">
        <f t="shared" si="124"/>
        <v>0</v>
      </c>
    </row>
    <row r="3963" spans="1:38" ht="25.5" customHeight="1" x14ac:dyDescent="0.25">
      <c r="A3963" s="10" t="s">
        <v>357</v>
      </c>
      <c r="B3963" s="11" t="s">
        <v>1659</v>
      </c>
      <c r="C3963" s="5">
        <v>59746.832600000002</v>
      </c>
      <c r="D3963" s="5">
        <v>59746.832600000002</v>
      </c>
      <c r="E3963" s="5">
        <v>54101.823700000001</v>
      </c>
      <c r="G3963" s="5" t="str">
        <f t="shared" si="123"/>
        <v>СОВХОЗ</v>
      </c>
      <c r="J3963" s="5"/>
      <c r="AL3963" s="5">
        <f t="shared" si="124"/>
        <v>0</v>
      </c>
    </row>
    <row r="3964" spans="1:38" ht="25.5" customHeight="1" x14ac:dyDescent="0.25">
      <c r="A3964" s="10" t="s">
        <v>665</v>
      </c>
      <c r="B3964" s="11" t="s">
        <v>1628</v>
      </c>
      <c r="C3964" s="5">
        <v>70734.0236</v>
      </c>
      <c r="D3964" s="5">
        <v>70734.0236</v>
      </c>
      <c r="E3964" s="5">
        <v>64050.9208</v>
      </c>
      <c r="G3964" s="5" t="str">
        <f t="shared" si="123"/>
        <v>ЭЛЬМАШ</v>
      </c>
      <c r="J3964" s="5"/>
      <c r="AL3964" s="5">
        <f t="shared" si="124"/>
        <v>0</v>
      </c>
    </row>
    <row r="3965" spans="1:38" ht="25.5" customHeight="1" x14ac:dyDescent="0.25">
      <c r="A3965" s="10" t="s">
        <v>814</v>
      </c>
      <c r="B3965" s="11" t="s">
        <v>14</v>
      </c>
      <c r="C3965" s="5">
        <v>93989.912800000006</v>
      </c>
      <c r="D3965" s="5">
        <v>93989.912800000006</v>
      </c>
      <c r="E3965" s="5">
        <v>85109.545199999993</v>
      </c>
      <c r="G3965" s="5" t="str">
        <f t="shared" si="123"/>
        <v>Центр</v>
      </c>
      <c r="J3965" s="5"/>
      <c r="AL3965" s="5">
        <f t="shared" si="124"/>
        <v>0</v>
      </c>
    </row>
    <row r="3966" spans="1:38" ht="25.5" customHeight="1" x14ac:dyDescent="0.25">
      <c r="A3966" s="10" t="s">
        <v>3368</v>
      </c>
      <c r="B3966" s="11" t="s">
        <v>1631</v>
      </c>
      <c r="C3966" s="5">
        <v>70026.7601</v>
      </c>
      <c r="D3966" s="5">
        <v>70026.7601</v>
      </c>
      <c r="E3966" s="5">
        <v>63410.482000000004</v>
      </c>
      <c r="G3966" s="5" t="str">
        <f t="shared" si="123"/>
        <v>УРАЛМАШ</v>
      </c>
      <c r="J3966" s="5"/>
      <c r="AL3966" s="5">
        <f t="shared" si="124"/>
        <v>0</v>
      </c>
    </row>
    <row r="3967" spans="1:38" ht="25.5" customHeight="1" x14ac:dyDescent="0.25">
      <c r="A3967" s="10" t="s">
        <v>3369</v>
      </c>
      <c r="B3967" s="11" t="s">
        <v>1631</v>
      </c>
      <c r="C3967" s="5">
        <v>70026.7601</v>
      </c>
      <c r="D3967" s="5">
        <v>70026.7601</v>
      </c>
      <c r="E3967" s="5">
        <v>63410.482000000004</v>
      </c>
      <c r="G3967" s="5" t="str">
        <f t="shared" ref="G3967:G4030" si="125">B3967</f>
        <v>УРАЛМАШ</v>
      </c>
      <c r="J3967" s="5"/>
      <c r="AL3967" s="5">
        <f t="shared" ref="AL3967:AL4030" si="126">AF3967</f>
        <v>0</v>
      </c>
    </row>
    <row r="3968" spans="1:38" ht="25.5" customHeight="1" x14ac:dyDescent="0.25">
      <c r="A3968" s="10" t="s">
        <v>1481</v>
      </c>
      <c r="B3968" s="11" t="s">
        <v>1633</v>
      </c>
      <c r="C3968" s="5">
        <v>77071.442599999995</v>
      </c>
      <c r="D3968" s="5">
        <v>77071.442599999995</v>
      </c>
      <c r="E3968" s="5">
        <v>69789.570900000006</v>
      </c>
      <c r="G3968" s="5" t="str">
        <f t="shared" si="125"/>
        <v>ВТУЗГОРОДОК</v>
      </c>
      <c r="J3968" s="5"/>
      <c r="AL3968" s="5">
        <f t="shared" si="126"/>
        <v>0</v>
      </c>
    </row>
    <row r="3969" spans="1:38" ht="25.5" customHeight="1" x14ac:dyDescent="0.25">
      <c r="A3969" s="10" t="s">
        <v>562</v>
      </c>
      <c r="B3969" s="11" t="s">
        <v>14</v>
      </c>
      <c r="C3969" s="5">
        <v>93989.912800000006</v>
      </c>
      <c r="D3969" s="5">
        <v>93989.912800000006</v>
      </c>
      <c r="E3969" s="5">
        <v>85109.545199999993</v>
      </c>
      <c r="G3969" s="5" t="str">
        <f t="shared" si="125"/>
        <v>Центр</v>
      </c>
      <c r="J3969" s="5"/>
      <c r="AL3969" s="5">
        <f t="shared" si="126"/>
        <v>0</v>
      </c>
    </row>
    <row r="3970" spans="1:38" ht="25.5" customHeight="1" x14ac:dyDescent="0.25">
      <c r="A3970" s="10" t="s">
        <v>3370</v>
      </c>
      <c r="B3970" s="11" t="s">
        <v>33</v>
      </c>
      <c r="C3970" s="5">
        <v>84298.205100000006</v>
      </c>
      <c r="D3970" s="5">
        <v>84298.205100000006</v>
      </c>
      <c r="E3970" s="5">
        <v>76333.533100000001</v>
      </c>
      <c r="G3970" s="5" t="str">
        <f t="shared" si="125"/>
        <v>ВИЗ</v>
      </c>
      <c r="J3970" s="5"/>
      <c r="AL3970" s="5">
        <f t="shared" si="126"/>
        <v>0</v>
      </c>
    </row>
    <row r="3971" spans="1:38" ht="25.5" customHeight="1" x14ac:dyDescent="0.25">
      <c r="A3971" s="10" t="s">
        <v>1558</v>
      </c>
      <c r="B3971" s="11" t="s">
        <v>1640</v>
      </c>
      <c r="C3971" s="5">
        <v>64914.8</v>
      </c>
      <c r="D3971" s="5">
        <v>64914.8</v>
      </c>
      <c r="E3971" s="5">
        <v>58781.519200000002</v>
      </c>
      <c r="G3971" s="5" t="str">
        <f t="shared" si="125"/>
        <v>Новая сортировка</v>
      </c>
      <c r="J3971" s="5"/>
      <c r="AL3971" s="5">
        <f t="shared" si="126"/>
        <v>0</v>
      </c>
    </row>
    <row r="3972" spans="1:38" ht="25.5" customHeight="1" x14ac:dyDescent="0.25">
      <c r="A3972" s="10" t="s">
        <v>500</v>
      </c>
      <c r="B3972" s="11" t="s">
        <v>1647</v>
      </c>
      <c r="C3972" s="5">
        <v>63178.133800000003</v>
      </c>
      <c r="D3972" s="5">
        <v>63178.133800000003</v>
      </c>
      <c r="E3972" s="5">
        <v>57208.931499999999</v>
      </c>
      <c r="G3972" s="5" t="str">
        <f t="shared" si="125"/>
        <v>ШИРОКАЯ РЕЧКА</v>
      </c>
      <c r="J3972" s="5"/>
      <c r="AL3972" s="5">
        <f t="shared" si="126"/>
        <v>0</v>
      </c>
    </row>
    <row r="3973" spans="1:38" ht="25.5" customHeight="1" x14ac:dyDescent="0.25">
      <c r="A3973" s="10" t="s">
        <v>1066</v>
      </c>
      <c r="B3973" s="11" t="s">
        <v>1647</v>
      </c>
      <c r="C3973" s="5">
        <v>63178.133800000003</v>
      </c>
      <c r="D3973" s="5">
        <v>63178.133800000003</v>
      </c>
      <c r="E3973" s="5">
        <v>57208.931499999999</v>
      </c>
      <c r="G3973" s="5" t="str">
        <f t="shared" si="125"/>
        <v>ШИРОКАЯ РЕЧКА</v>
      </c>
      <c r="J3973" s="5"/>
      <c r="AL3973" s="5">
        <f t="shared" si="126"/>
        <v>0</v>
      </c>
    </row>
    <row r="3974" spans="1:38" ht="25.5" customHeight="1" x14ac:dyDescent="0.25">
      <c r="A3974" s="10" t="s">
        <v>1316</v>
      </c>
      <c r="B3974" s="11" t="s">
        <v>14</v>
      </c>
      <c r="C3974" s="5">
        <v>93989.912800000006</v>
      </c>
      <c r="D3974" s="5">
        <v>93989.912800000006</v>
      </c>
      <c r="E3974" s="5">
        <v>85109.545199999993</v>
      </c>
      <c r="G3974" s="5" t="str">
        <f t="shared" si="125"/>
        <v>Центр</v>
      </c>
      <c r="J3974" s="5"/>
      <c r="AL3974" s="5">
        <f t="shared" si="126"/>
        <v>0</v>
      </c>
    </row>
    <row r="3975" spans="1:38" ht="25.5" customHeight="1" x14ac:dyDescent="0.25">
      <c r="A3975" s="10" t="s">
        <v>668</v>
      </c>
      <c r="B3975" s="11" t="s">
        <v>1655</v>
      </c>
      <c r="C3975" s="5">
        <v>79683.445300000007</v>
      </c>
      <c r="D3975" s="5">
        <v>79683.445300000007</v>
      </c>
      <c r="E3975" s="5">
        <v>72154.784899999999</v>
      </c>
      <c r="G3975" s="5" t="str">
        <f t="shared" si="125"/>
        <v>Шарташский рынок</v>
      </c>
      <c r="J3975" s="5"/>
      <c r="AL3975" s="5">
        <f t="shared" si="126"/>
        <v>0</v>
      </c>
    </row>
    <row r="3976" spans="1:38" ht="25.5" customHeight="1" x14ac:dyDescent="0.25">
      <c r="A3976" s="10" t="s">
        <v>1156</v>
      </c>
      <c r="B3976" s="11" t="s">
        <v>1641</v>
      </c>
      <c r="C3976" s="5">
        <v>63556.280200000001</v>
      </c>
      <c r="D3976" s="5">
        <v>63556.280200000001</v>
      </c>
      <c r="E3976" s="5">
        <v>57551.353499999997</v>
      </c>
      <c r="G3976" s="5" t="str">
        <f t="shared" si="125"/>
        <v>СИБИРСКИЙ</v>
      </c>
      <c r="J3976" s="5"/>
      <c r="AL3976" s="5">
        <f t="shared" si="126"/>
        <v>0</v>
      </c>
    </row>
    <row r="3977" spans="1:38" ht="25.5" customHeight="1" x14ac:dyDescent="0.25">
      <c r="A3977" s="10" t="s">
        <v>615</v>
      </c>
      <c r="B3977" s="11" t="s">
        <v>1638</v>
      </c>
      <c r="C3977" s="5">
        <v>63640.311600000001</v>
      </c>
      <c r="D3977" s="5">
        <v>63640.311600000001</v>
      </c>
      <c r="E3977" s="5">
        <v>57627.4473</v>
      </c>
      <c r="G3977" s="5" t="str">
        <f t="shared" si="125"/>
        <v>УКТУС</v>
      </c>
      <c r="J3977" s="5"/>
      <c r="AL3977" s="5">
        <f t="shared" si="126"/>
        <v>0</v>
      </c>
    </row>
    <row r="3978" spans="1:38" ht="25.5" customHeight="1" x14ac:dyDescent="0.25">
      <c r="A3978" s="10" t="s">
        <v>352</v>
      </c>
      <c r="B3978" s="11" t="s">
        <v>1658</v>
      </c>
      <c r="C3978" s="5">
        <v>68647.224799999996</v>
      </c>
      <c r="D3978" s="5">
        <v>68647.224799999996</v>
      </c>
      <c r="E3978" s="5">
        <v>62161.2929</v>
      </c>
      <c r="G3978" s="5" t="str">
        <f t="shared" si="125"/>
        <v>СИНИЕ КАМНИ</v>
      </c>
      <c r="J3978" s="5"/>
      <c r="AL3978" s="5">
        <f t="shared" si="126"/>
        <v>0</v>
      </c>
    </row>
    <row r="3979" spans="1:38" ht="25.5" customHeight="1" x14ac:dyDescent="0.25">
      <c r="A3979" s="10" t="s">
        <v>1591</v>
      </c>
      <c r="B3979" s="11" t="s">
        <v>1638</v>
      </c>
      <c r="C3979" s="5">
        <v>63640.311600000001</v>
      </c>
      <c r="D3979" s="5">
        <v>63640.311600000001</v>
      </c>
      <c r="E3979" s="5">
        <v>57627.4473</v>
      </c>
      <c r="G3979" s="5" t="str">
        <f t="shared" si="125"/>
        <v>УКТУС</v>
      </c>
      <c r="J3979" s="5"/>
      <c r="AL3979" s="5">
        <f t="shared" si="126"/>
        <v>0</v>
      </c>
    </row>
    <row r="3980" spans="1:38" ht="25.5" customHeight="1" x14ac:dyDescent="0.25">
      <c r="A3980" s="10" t="s">
        <v>549</v>
      </c>
      <c r="B3980" s="11" t="s">
        <v>1631</v>
      </c>
      <c r="C3980" s="5">
        <v>70026.7601</v>
      </c>
      <c r="D3980" s="5">
        <v>70026.7601</v>
      </c>
      <c r="E3980" s="5">
        <v>63410.482000000004</v>
      </c>
      <c r="G3980" s="5" t="str">
        <f t="shared" si="125"/>
        <v>УРАЛМАШ</v>
      </c>
      <c r="J3980" s="5"/>
      <c r="AL3980" s="5">
        <f t="shared" si="126"/>
        <v>0</v>
      </c>
    </row>
    <row r="3981" spans="1:38" ht="25.5" customHeight="1" x14ac:dyDescent="0.25">
      <c r="A3981" s="10" t="s">
        <v>253</v>
      </c>
      <c r="B3981" s="11" t="s">
        <v>1628</v>
      </c>
      <c r="C3981" s="5">
        <v>70734.0236</v>
      </c>
      <c r="D3981" s="5">
        <v>70734.0236</v>
      </c>
      <c r="E3981" s="5">
        <v>64050.9208</v>
      </c>
      <c r="G3981" s="5" t="str">
        <f t="shared" si="125"/>
        <v>ЭЛЬМАШ</v>
      </c>
      <c r="J3981" s="5"/>
      <c r="AL3981" s="5">
        <f t="shared" si="126"/>
        <v>0</v>
      </c>
    </row>
    <row r="3982" spans="1:38" ht="25.5" customHeight="1" x14ac:dyDescent="0.25">
      <c r="A3982" s="10" t="s">
        <v>3371</v>
      </c>
      <c r="B3982" s="11" t="s">
        <v>1659</v>
      </c>
      <c r="C3982" s="5">
        <v>59746.832600000002</v>
      </c>
      <c r="D3982" s="5">
        <v>59746.832600000002</v>
      </c>
      <c r="E3982" s="5">
        <v>54101.823700000001</v>
      </c>
      <c r="G3982" s="5" t="str">
        <f t="shared" si="125"/>
        <v>СОВХОЗ</v>
      </c>
      <c r="J3982" s="5"/>
      <c r="AL3982" s="5">
        <f t="shared" si="126"/>
        <v>0</v>
      </c>
    </row>
    <row r="3983" spans="1:38" ht="25.5" customHeight="1" x14ac:dyDescent="0.25">
      <c r="A3983" s="10" t="s">
        <v>3372</v>
      </c>
      <c r="B3983" s="11" t="s">
        <v>1638</v>
      </c>
      <c r="C3983" s="5">
        <v>63640.311600000001</v>
      </c>
      <c r="D3983" s="5">
        <v>63640.311600000001</v>
      </c>
      <c r="E3983" s="5">
        <v>57627.4473</v>
      </c>
      <c r="G3983" s="5" t="str">
        <f t="shared" si="125"/>
        <v>УКТУС</v>
      </c>
      <c r="J3983" s="5"/>
      <c r="AL3983" s="5">
        <f t="shared" si="126"/>
        <v>0</v>
      </c>
    </row>
    <row r="3984" spans="1:38" ht="25.5" customHeight="1" x14ac:dyDescent="0.25">
      <c r="A3984" s="10" t="s">
        <v>587</v>
      </c>
      <c r="B3984" s="11" t="s">
        <v>33</v>
      </c>
      <c r="C3984" s="5">
        <v>84298.205100000006</v>
      </c>
      <c r="D3984" s="5">
        <v>84298.205100000006</v>
      </c>
      <c r="E3984" s="5">
        <v>76333.533100000001</v>
      </c>
      <c r="G3984" s="5" t="str">
        <f t="shared" si="125"/>
        <v>ВИЗ</v>
      </c>
      <c r="J3984" s="5"/>
      <c r="AL3984" s="5">
        <f t="shared" si="126"/>
        <v>0</v>
      </c>
    </row>
    <row r="3985" spans="1:38" ht="25.5" customHeight="1" x14ac:dyDescent="0.25">
      <c r="A3985" s="10" t="s">
        <v>632</v>
      </c>
      <c r="B3985" s="11" t="s">
        <v>14</v>
      </c>
      <c r="C3985" s="5">
        <v>93989.912800000006</v>
      </c>
      <c r="D3985" s="5">
        <v>93989.912800000006</v>
      </c>
      <c r="E3985" s="5">
        <v>85109.545199999993</v>
      </c>
      <c r="G3985" s="5" t="str">
        <f t="shared" si="125"/>
        <v>Центр</v>
      </c>
      <c r="J3985" s="5"/>
      <c r="AL3985" s="5">
        <f t="shared" si="126"/>
        <v>0</v>
      </c>
    </row>
    <row r="3986" spans="1:38" ht="25.5" customHeight="1" x14ac:dyDescent="0.25">
      <c r="A3986" s="10" t="s">
        <v>1083</v>
      </c>
      <c r="B3986" s="11" t="s">
        <v>1652</v>
      </c>
      <c r="C3986" s="5">
        <v>71105.171700000006</v>
      </c>
      <c r="D3986" s="5">
        <v>71105.171700000006</v>
      </c>
      <c r="E3986" s="5">
        <v>64387.005100000002</v>
      </c>
      <c r="G3986" s="5" t="str">
        <f t="shared" si="125"/>
        <v>ЗАРЕЧНЫЙ</v>
      </c>
      <c r="J3986" s="5"/>
      <c r="AL3986" s="5">
        <f t="shared" si="126"/>
        <v>0</v>
      </c>
    </row>
    <row r="3987" spans="1:38" ht="25.5" customHeight="1" x14ac:dyDescent="0.25">
      <c r="A3987" s="10" t="s">
        <v>126</v>
      </c>
      <c r="B3987" s="11" t="s">
        <v>1642</v>
      </c>
      <c r="C3987" s="5">
        <v>81392.097599999994</v>
      </c>
      <c r="D3987" s="5">
        <v>81392.097599999994</v>
      </c>
      <c r="E3987" s="5">
        <v>73702.001099999994</v>
      </c>
      <c r="G3987" s="5" t="str">
        <f t="shared" si="125"/>
        <v>ПАРКОВЫЙ</v>
      </c>
      <c r="J3987" s="5"/>
      <c r="AL3987" s="5">
        <f t="shared" si="126"/>
        <v>0</v>
      </c>
    </row>
    <row r="3988" spans="1:38" ht="25.5" customHeight="1" x14ac:dyDescent="0.25">
      <c r="A3988" s="10" t="s">
        <v>1390</v>
      </c>
      <c r="B3988" s="11" t="s">
        <v>1643</v>
      </c>
      <c r="C3988" s="5">
        <v>76630.280299999999</v>
      </c>
      <c r="D3988" s="5">
        <v>76630.280299999999</v>
      </c>
      <c r="E3988" s="5">
        <v>69390.088799999998</v>
      </c>
      <c r="G3988" s="5" t="str">
        <f t="shared" si="125"/>
        <v>Ю-З</v>
      </c>
      <c r="J3988" s="5"/>
      <c r="AL3988" s="5">
        <f t="shared" si="126"/>
        <v>0</v>
      </c>
    </row>
    <row r="3989" spans="1:38" ht="25.5" customHeight="1" x14ac:dyDescent="0.25">
      <c r="A3989" s="10" t="s">
        <v>3373</v>
      </c>
      <c r="B3989" s="11" t="s">
        <v>33</v>
      </c>
      <c r="C3989" s="5">
        <v>84298.205100000006</v>
      </c>
      <c r="D3989" s="5">
        <v>84298.205100000006</v>
      </c>
      <c r="E3989" s="5">
        <v>76333.533100000001</v>
      </c>
      <c r="G3989" s="5" t="str">
        <f t="shared" si="125"/>
        <v>ВИЗ</v>
      </c>
      <c r="J3989" s="5"/>
      <c r="AL3989" s="5">
        <f t="shared" si="126"/>
        <v>0</v>
      </c>
    </row>
    <row r="3990" spans="1:38" ht="25.5" customHeight="1" x14ac:dyDescent="0.25">
      <c r="A3990" s="10" t="s">
        <v>321</v>
      </c>
      <c r="B3990" s="5" t="s">
        <v>1647</v>
      </c>
      <c r="C3990" s="5">
        <v>63178.133800000003</v>
      </c>
      <c r="D3990" s="5">
        <v>63178.133800000003</v>
      </c>
      <c r="E3990" s="5">
        <v>57208.931499999999</v>
      </c>
      <c r="G3990" s="5" t="str">
        <f t="shared" si="125"/>
        <v>ШИРОКАЯ РЕЧКА</v>
      </c>
      <c r="J3990" s="5"/>
      <c r="AL3990" s="5">
        <f t="shared" si="126"/>
        <v>0</v>
      </c>
    </row>
    <row r="3991" spans="1:38" ht="25.5" customHeight="1" x14ac:dyDescent="0.25">
      <c r="A3991" s="10" t="s">
        <v>3374</v>
      </c>
      <c r="B3991" s="11" t="s">
        <v>1659</v>
      </c>
      <c r="C3991" s="5">
        <v>59746.832600000002</v>
      </c>
      <c r="D3991" s="5">
        <v>59746.832600000002</v>
      </c>
      <c r="E3991" s="5">
        <v>54101.823700000001</v>
      </c>
      <c r="G3991" s="5" t="str">
        <f t="shared" si="125"/>
        <v>СОВХОЗ</v>
      </c>
      <c r="J3991" s="5"/>
      <c r="AL3991" s="5">
        <f t="shared" si="126"/>
        <v>0</v>
      </c>
    </row>
    <row r="3992" spans="1:38" ht="25.5" customHeight="1" x14ac:dyDescent="0.25">
      <c r="A3992" s="10" t="s">
        <v>721</v>
      </c>
      <c r="B3992" s="11" t="s">
        <v>1631</v>
      </c>
      <c r="C3992" s="5">
        <v>70026.7601</v>
      </c>
      <c r="D3992" s="5">
        <v>70026.7601</v>
      </c>
      <c r="E3992" s="5">
        <v>63410.482000000004</v>
      </c>
      <c r="G3992" s="5" t="str">
        <f t="shared" si="125"/>
        <v>УРАЛМАШ</v>
      </c>
      <c r="J3992" s="5"/>
      <c r="AL3992" s="5">
        <f t="shared" si="126"/>
        <v>0</v>
      </c>
    </row>
    <row r="3993" spans="1:38" ht="25.5" customHeight="1" x14ac:dyDescent="0.25">
      <c r="A3993" s="10" t="s">
        <v>353</v>
      </c>
      <c r="B3993" s="11" t="s">
        <v>14</v>
      </c>
      <c r="C3993" s="5">
        <v>93989.912800000006</v>
      </c>
      <c r="D3993" s="5">
        <v>93989.912800000006</v>
      </c>
      <c r="E3993" s="5">
        <v>85109.545199999993</v>
      </c>
      <c r="G3993" s="5" t="str">
        <f t="shared" si="125"/>
        <v>Центр</v>
      </c>
      <c r="J3993" s="5"/>
      <c r="AL3993" s="5">
        <f t="shared" si="126"/>
        <v>0</v>
      </c>
    </row>
    <row r="3994" spans="1:38" ht="25.5" customHeight="1" x14ac:dyDescent="0.25">
      <c r="A3994" s="10" t="s">
        <v>836</v>
      </c>
      <c r="B3994" s="11" t="s">
        <v>1657</v>
      </c>
      <c r="C3994" s="5">
        <v>54886.9666</v>
      </c>
      <c r="D3994" s="5">
        <v>54886.9666</v>
      </c>
      <c r="E3994" s="5">
        <v>49701.1319</v>
      </c>
      <c r="G3994" s="5" t="str">
        <f t="shared" si="125"/>
        <v>КОЛЬЦОВО</v>
      </c>
      <c r="J3994" s="5"/>
      <c r="AL3994" s="5">
        <f t="shared" si="126"/>
        <v>0</v>
      </c>
    </row>
    <row r="3995" spans="1:38" ht="25.5" customHeight="1" x14ac:dyDescent="0.25">
      <c r="A3995" s="10" t="s">
        <v>3375</v>
      </c>
      <c r="B3995" s="11" t="s">
        <v>33</v>
      </c>
      <c r="C3995" s="5">
        <v>84298.205100000006</v>
      </c>
      <c r="D3995" s="5">
        <v>84298.205100000006</v>
      </c>
      <c r="E3995" s="5">
        <v>76333.533100000001</v>
      </c>
      <c r="G3995" s="5" t="str">
        <f t="shared" si="125"/>
        <v>ВИЗ</v>
      </c>
      <c r="J3995" s="5"/>
      <c r="AL3995" s="5">
        <f t="shared" si="126"/>
        <v>0</v>
      </c>
    </row>
    <row r="3996" spans="1:38" ht="25.5" customHeight="1" x14ac:dyDescent="0.25">
      <c r="A3996" s="10" t="s">
        <v>3376</v>
      </c>
      <c r="B3996" s="11" t="s">
        <v>14</v>
      </c>
      <c r="C3996" s="5">
        <v>93989.912800000006</v>
      </c>
      <c r="D3996" s="5">
        <v>93989.912800000006</v>
      </c>
      <c r="E3996" s="5">
        <v>85109.545199999993</v>
      </c>
      <c r="G3996" s="5" t="str">
        <f t="shared" si="125"/>
        <v>Центр</v>
      </c>
      <c r="J3996" s="5"/>
      <c r="AL3996" s="5">
        <f t="shared" si="126"/>
        <v>0</v>
      </c>
    </row>
    <row r="3997" spans="1:38" ht="25.5" customHeight="1" x14ac:dyDescent="0.25">
      <c r="A3997" s="10" t="s">
        <v>31</v>
      </c>
      <c r="B3997" s="11" t="s">
        <v>14</v>
      </c>
      <c r="C3997" s="5">
        <v>93989.912800000006</v>
      </c>
      <c r="D3997" s="5">
        <v>93989.912800000006</v>
      </c>
      <c r="E3997" s="5">
        <v>85109.545199999993</v>
      </c>
      <c r="G3997" s="5" t="str">
        <f t="shared" si="125"/>
        <v>Центр</v>
      </c>
      <c r="J3997" s="5"/>
      <c r="AL3997" s="5">
        <f t="shared" si="126"/>
        <v>0</v>
      </c>
    </row>
    <row r="3998" spans="1:38" ht="25.5" customHeight="1" x14ac:dyDescent="0.25">
      <c r="A3998" s="10" t="s">
        <v>1145</v>
      </c>
      <c r="B3998" s="11" t="s">
        <v>1631</v>
      </c>
      <c r="C3998" s="5">
        <v>70026.7601</v>
      </c>
      <c r="D3998" s="5">
        <v>70026.7601</v>
      </c>
      <c r="E3998" s="5">
        <v>63410.482000000004</v>
      </c>
      <c r="G3998" s="5" t="str">
        <f t="shared" si="125"/>
        <v>УРАЛМАШ</v>
      </c>
      <c r="J3998" s="5"/>
      <c r="AL3998" s="5">
        <f t="shared" si="126"/>
        <v>0</v>
      </c>
    </row>
    <row r="3999" spans="1:38" ht="25.5" customHeight="1" x14ac:dyDescent="0.25">
      <c r="A3999" s="10" t="s">
        <v>46</v>
      </c>
      <c r="B3999" s="11" t="s">
        <v>1628</v>
      </c>
      <c r="C3999" s="5">
        <v>70734.0236</v>
      </c>
      <c r="D3999" s="5">
        <v>70734.0236</v>
      </c>
      <c r="E3999" s="5">
        <v>64050.9208</v>
      </c>
      <c r="G3999" s="5" t="str">
        <f t="shared" si="125"/>
        <v>ЭЛЬМАШ</v>
      </c>
      <c r="J3999" s="5"/>
      <c r="AL3999" s="5">
        <f t="shared" si="126"/>
        <v>0</v>
      </c>
    </row>
    <row r="4000" spans="1:38" ht="25.5" customHeight="1" x14ac:dyDescent="0.25">
      <c r="A4000" s="10" t="s">
        <v>3377</v>
      </c>
      <c r="B4000" s="11" t="s">
        <v>209</v>
      </c>
      <c r="C4000" s="5">
        <v>69382.512499999997</v>
      </c>
      <c r="D4000" s="5">
        <v>69382.512499999997</v>
      </c>
      <c r="E4000" s="5">
        <v>62827.103199999998</v>
      </c>
      <c r="G4000" s="5" t="str">
        <f t="shared" si="125"/>
        <v>ЖБИ</v>
      </c>
      <c r="J4000" s="5"/>
      <c r="AL4000" s="5">
        <f t="shared" si="126"/>
        <v>0</v>
      </c>
    </row>
    <row r="4001" spans="1:38" ht="25.5" customHeight="1" x14ac:dyDescent="0.25">
      <c r="A4001" s="10" t="s">
        <v>3378</v>
      </c>
      <c r="B4001" s="11" t="s">
        <v>1654</v>
      </c>
      <c r="C4001" s="5">
        <v>56140.449699999997</v>
      </c>
      <c r="D4001" s="5">
        <v>56140.449699999997</v>
      </c>
      <c r="E4001" s="5">
        <v>50836.1803</v>
      </c>
      <c r="G4001" s="5" t="str">
        <f t="shared" si="125"/>
        <v>ЗАВОКЗАЛЬНЫЙ</v>
      </c>
      <c r="J4001" s="5"/>
      <c r="AL4001" s="5">
        <f t="shared" si="126"/>
        <v>0</v>
      </c>
    </row>
    <row r="4002" spans="1:38" ht="25.5" customHeight="1" x14ac:dyDescent="0.25">
      <c r="A4002" s="10" t="s">
        <v>3379</v>
      </c>
      <c r="B4002" s="11" t="s">
        <v>779</v>
      </c>
      <c r="C4002" s="5">
        <v>46784.877899999999</v>
      </c>
      <c r="D4002" s="5">
        <v>46784.877899999999</v>
      </c>
      <c r="E4002" s="5">
        <v>42364.543299999998</v>
      </c>
      <c r="G4002" s="5" t="str">
        <f t="shared" si="125"/>
        <v>Нижнеисетский</v>
      </c>
      <c r="J4002" s="5"/>
      <c r="AL4002" s="5">
        <f t="shared" si="126"/>
        <v>0</v>
      </c>
    </row>
    <row r="4003" spans="1:38" ht="25.5" customHeight="1" x14ac:dyDescent="0.25">
      <c r="A4003" s="10" t="s">
        <v>3380</v>
      </c>
      <c r="B4003" s="11" t="s">
        <v>1635</v>
      </c>
      <c r="C4003" s="5">
        <v>57793.0844</v>
      </c>
      <c r="D4003" s="5">
        <v>57793.0844</v>
      </c>
      <c r="E4003" s="5">
        <v>52332.6639</v>
      </c>
      <c r="G4003" s="5" t="str">
        <f t="shared" si="125"/>
        <v>ЛЕЧЕБНЫЙ</v>
      </c>
      <c r="J4003" s="5"/>
      <c r="AL4003" s="5">
        <f t="shared" si="126"/>
        <v>0</v>
      </c>
    </row>
    <row r="4004" spans="1:38" ht="25.5" customHeight="1" x14ac:dyDescent="0.25">
      <c r="A4004" s="10" t="s">
        <v>1552</v>
      </c>
      <c r="B4004" s="11" t="s">
        <v>1659</v>
      </c>
      <c r="C4004" s="5">
        <v>59746.832600000002</v>
      </c>
      <c r="D4004" s="5">
        <v>59746.832600000002</v>
      </c>
      <c r="E4004" s="5">
        <v>54101.823700000001</v>
      </c>
      <c r="G4004" s="5" t="str">
        <f t="shared" si="125"/>
        <v>СОВХОЗ</v>
      </c>
      <c r="J4004" s="5"/>
      <c r="AL4004" s="5">
        <f t="shared" si="126"/>
        <v>0</v>
      </c>
    </row>
    <row r="4005" spans="1:38" ht="25.5" customHeight="1" x14ac:dyDescent="0.25">
      <c r="A4005" s="10" t="s">
        <v>972</v>
      </c>
      <c r="B4005" s="11" t="s">
        <v>1644</v>
      </c>
      <c r="C4005" s="5">
        <v>61980.678599999999</v>
      </c>
      <c r="D4005" s="5">
        <v>61980.678599999999</v>
      </c>
      <c r="E4005" s="5">
        <v>56124.615700000002</v>
      </c>
      <c r="G4005" s="5" t="str">
        <f t="shared" si="125"/>
        <v>ХИММАШ</v>
      </c>
      <c r="J4005" s="5"/>
      <c r="AL4005" s="5">
        <f t="shared" si="126"/>
        <v>0</v>
      </c>
    </row>
    <row r="4006" spans="1:38" ht="25.5" customHeight="1" x14ac:dyDescent="0.25">
      <c r="A4006" s="10" t="s">
        <v>3381</v>
      </c>
      <c r="B4006" s="11" t="s">
        <v>1647</v>
      </c>
      <c r="C4006" s="5">
        <v>63178.133800000003</v>
      </c>
      <c r="D4006" s="5">
        <v>63178.133800000003</v>
      </c>
      <c r="E4006" s="5">
        <v>57208.931499999999</v>
      </c>
      <c r="G4006" s="5" t="str">
        <f t="shared" si="125"/>
        <v>ШИРОКАЯ РЕЧКА</v>
      </c>
      <c r="J4006" s="5"/>
      <c r="AL4006" s="5">
        <f t="shared" si="126"/>
        <v>0</v>
      </c>
    </row>
    <row r="4007" spans="1:38" ht="25.5" customHeight="1" x14ac:dyDescent="0.25">
      <c r="A4007" s="10" t="s">
        <v>3382</v>
      </c>
      <c r="B4007" s="11" t="s">
        <v>1643</v>
      </c>
      <c r="C4007" s="5">
        <v>76630.280299999999</v>
      </c>
      <c r="D4007" s="5">
        <v>76630.280299999999</v>
      </c>
      <c r="E4007" s="5">
        <v>69390.088799999998</v>
      </c>
      <c r="G4007" s="5" t="str">
        <f t="shared" si="125"/>
        <v>Ю-З</v>
      </c>
      <c r="J4007" s="5"/>
      <c r="AL4007" s="5">
        <f t="shared" si="126"/>
        <v>0</v>
      </c>
    </row>
    <row r="4008" spans="1:38" ht="25.5" customHeight="1" x14ac:dyDescent="0.25">
      <c r="A4008" s="10" t="s">
        <v>467</v>
      </c>
      <c r="B4008" s="11" t="s">
        <v>1631</v>
      </c>
      <c r="C4008" s="5">
        <v>70026.7601</v>
      </c>
      <c r="D4008" s="5">
        <v>70026.7601</v>
      </c>
      <c r="E4008" s="5">
        <v>63410.482000000004</v>
      </c>
      <c r="G4008" s="5" t="str">
        <f t="shared" si="125"/>
        <v>УРАЛМАШ</v>
      </c>
      <c r="J4008" s="5"/>
      <c r="AL4008" s="5">
        <f t="shared" si="126"/>
        <v>0</v>
      </c>
    </row>
    <row r="4009" spans="1:38" ht="25.5" customHeight="1" x14ac:dyDescent="0.25">
      <c r="A4009" s="10" t="s">
        <v>75</v>
      </c>
      <c r="B4009" s="11" t="s">
        <v>1632</v>
      </c>
      <c r="C4009" s="5">
        <v>83744.997499999998</v>
      </c>
      <c r="D4009" s="5">
        <v>83744.997499999998</v>
      </c>
      <c r="E4009" s="5">
        <v>75832.596099999995</v>
      </c>
      <c r="G4009" s="5" t="str">
        <f t="shared" si="125"/>
        <v>АВТОВОКЗАЛ</v>
      </c>
      <c r="J4009" s="5"/>
      <c r="AL4009" s="5">
        <f t="shared" si="126"/>
        <v>0</v>
      </c>
    </row>
    <row r="4010" spans="1:38" ht="25.5" customHeight="1" x14ac:dyDescent="0.25">
      <c r="A4010" s="10" t="s">
        <v>276</v>
      </c>
      <c r="B4010" s="11" t="s">
        <v>14</v>
      </c>
      <c r="C4010" s="5">
        <v>93989.912800000006</v>
      </c>
      <c r="D4010" s="5">
        <v>93989.912800000006</v>
      </c>
      <c r="E4010" s="5">
        <v>85109.545199999993</v>
      </c>
      <c r="G4010" s="5" t="str">
        <f t="shared" si="125"/>
        <v>Центр</v>
      </c>
      <c r="J4010" s="5"/>
      <c r="AL4010" s="5">
        <f t="shared" si="126"/>
        <v>0</v>
      </c>
    </row>
    <row r="4011" spans="1:38" ht="25.5" customHeight="1" x14ac:dyDescent="0.25">
      <c r="A4011" s="10" t="s">
        <v>3383</v>
      </c>
      <c r="B4011" s="11" t="s">
        <v>1643</v>
      </c>
      <c r="C4011" s="5">
        <v>76630.280299999999</v>
      </c>
      <c r="D4011" s="5">
        <v>76630.280299999999</v>
      </c>
      <c r="E4011" s="5">
        <v>69390.088799999998</v>
      </c>
      <c r="G4011" s="5" t="str">
        <f t="shared" si="125"/>
        <v>Ю-З</v>
      </c>
      <c r="J4011" s="5"/>
      <c r="AL4011" s="5">
        <f t="shared" si="126"/>
        <v>0</v>
      </c>
    </row>
    <row r="4012" spans="1:38" ht="25.5" customHeight="1" x14ac:dyDescent="0.25">
      <c r="A4012" s="10" t="s">
        <v>3384</v>
      </c>
      <c r="B4012" s="11" t="s">
        <v>1652</v>
      </c>
      <c r="C4012" s="5">
        <v>71105.171700000006</v>
      </c>
      <c r="D4012" s="5">
        <v>71105.171700000006</v>
      </c>
      <c r="E4012" s="5">
        <v>64387.005100000002</v>
      </c>
      <c r="G4012" s="5" t="str">
        <f t="shared" si="125"/>
        <v>ЗАРЕЧНЫЙ</v>
      </c>
      <c r="J4012" s="5"/>
      <c r="AL4012" s="5">
        <f t="shared" si="126"/>
        <v>0</v>
      </c>
    </row>
    <row r="4013" spans="1:38" ht="25.5" customHeight="1" x14ac:dyDescent="0.25">
      <c r="A4013" s="10" t="s">
        <v>3385</v>
      </c>
      <c r="B4013" s="11" t="s">
        <v>1643</v>
      </c>
      <c r="C4013" s="5">
        <v>76630.280299999999</v>
      </c>
      <c r="D4013" s="5">
        <v>76630.280299999999</v>
      </c>
      <c r="E4013" s="5">
        <v>69390.088799999998</v>
      </c>
      <c r="G4013" s="5" t="str">
        <f t="shared" si="125"/>
        <v>Ю-З</v>
      </c>
      <c r="J4013" s="5"/>
      <c r="AL4013" s="5">
        <f t="shared" si="126"/>
        <v>0</v>
      </c>
    </row>
    <row r="4014" spans="1:38" ht="25.5" customHeight="1" x14ac:dyDescent="0.25">
      <c r="A4014" s="10" t="s">
        <v>1307</v>
      </c>
      <c r="B4014" s="11" t="s">
        <v>14</v>
      </c>
      <c r="C4014" s="5">
        <v>93989.912800000006</v>
      </c>
      <c r="D4014" s="5">
        <v>93989.912800000006</v>
      </c>
      <c r="E4014" s="5">
        <v>85109.545199999993</v>
      </c>
      <c r="G4014" s="5" t="str">
        <f t="shared" si="125"/>
        <v>Центр</v>
      </c>
      <c r="J4014" s="5"/>
      <c r="AL4014" s="5">
        <f t="shared" si="126"/>
        <v>0</v>
      </c>
    </row>
    <row r="4015" spans="1:38" ht="25.5" customHeight="1" x14ac:dyDescent="0.25">
      <c r="A4015" s="10" t="s">
        <v>427</v>
      </c>
      <c r="B4015" s="11" t="s">
        <v>1652</v>
      </c>
      <c r="C4015" s="5">
        <v>71105.171700000006</v>
      </c>
      <c r="D4015" s="5">
        <v>71105.171700000006</v>
      </c>
      <c r="E4015" s="5">
        <v>64387.005100000002</v>
      </c>
      <c r="G4015" s="5" t="str">
        <f t="shared" si="125"/>
        <v>ЗАРЕЧНЫЙ</v>
      </c>
      <c r="J4015" s="5"/>
      <c r="AL4015" s="5">
        <f t="shared" si="126"/>
        <v>0</v>
      </c>
    </row>
    <row r="4016" spans="1:38" ht="25.5" customHeight="1" x14ac:dyDescent="0.25">
      <c r="A4016" s="10" t="s">
        <v>963</v>
      </c>
      <c r="B4016" s="11" t="s">
        <v>1633</v>
      </c>
      <c r="C4016" s="5">
        <v>77071.442599999995</v>
      </c>
      <c r="D4016" s="5">
        <v>77071.442599999995</v>
      </c>
      <c r="E4016" s="5">
        <v>69789.570900000006</v>
      </c>
      <c r="G4016" s="5" t="str">
        <f t="shared" si="125"/>
        <v>ВТУЗГОРОДОК</v>
      </c>
      <c r="J4016" s="5"/>
      <c r="AL4016" s="5">
        <f t="shared" si="126"/>
        <v>0</v>
      </c>
    </row>
    <row r="4017" spans="1:38" ht="25.5" customHeight="1" x14ac:dyDescent="0.25">
      <c r="A4017" s="10" t="s">
        <v>761</v>
      </c>
      <c r="B4017" s="11" t="s">
        <v>1628</v>
      </c>
      <c r="C4017" s="5">
        <v>70734.0236</v>
      </c>
      <c r="D4017" s="5">
        <v>70734.0236</v>
      </c>
      <c r="E4017" s="5">
        <v>64050.9208</v>
      </c>
      <c r="G4017" s="5" t="str">
        <f t="shared" si="125"/>
        <v>ЭЛЬМАШ</v>
      </c>
      <c r="J4017" s="5"/>
      <c r="AL4017" s="5">
        <f t="shared" si="126"/>
        <v>0</v>
      </c>
    </row>
    <row r="4018" spans="1:38" ht="25.5" customHeight="1" x14ac:dyDescent="0.25">
      <c r="A4018" s="10" t="s">
        <v>3386</v>
      </c>
      <c r="B4018" s="11" t="s">
        <v>1636</v>
      </c>
      <c r="C4018" s="5">
        <v>52246.960299999999</v>
      </c>
      <c r="D4018" s="5">
        <v>52246.960299999999</v>
      </c>
      <c r="E4018" s="5">
        <v>47310.556700000001</v>
      </c>
      <c r="G4018" s="5" t="str">
        <f t="shared" si="125"/>
        <v>ГОРНЫЙ ЩИТ</v>
      </c>
      <c r="J4018" s="5"/>
      <c r="AL4018" s="5">
        <f t="shared" si="126"/>
        <v>0</v>
      </c>
    </row>
    <row r="4019" spans="1:38" ht="25.5" customHeight="1" x14ac:dyDescent="0.25">
      <c r="A4019" s="10" t="s">
        <v>93</v>
      </c>
      <c r="B4019" s="11" t="s">
        <v>1635</v>
      </c>
      <c r="C4019" s="5">
        <v>57793.0844</v>
      </c>
      <c r="D4019" s="5">
        <v>57793.0844</v>
      </c>
      <c r="E4019" s="5">
        <v>52332.6639</v>
      </c>
      <c r="G4019" s="5" t="str">
        <f t="shared" si="125"/>
        <v>ЛЕЧЕБНЫЙ</v>
      </c>
      <c r="J4019" s="5"/>
      <c r="AL4019" s="5">
        <f t="shared" si="126"/>
        <v>0</v>
      </c>
    </row>
    <row r="4020" spans="1:38" ht="25.5" customHeight="1" x14ac:dyDescent="0.25">
      <c r="A4020" s="10" t="s">
        <v>3387</v>
      </c>
      <c r="B4020" s="11" t="s">
        <v>33</v>
      </c>
      <c r="C4020" s="5">
        <v>84298.205100000006</v>
      </c>
      <c r="D4020" s="5">
        <v>84298.205100000006</v>
      </c>
      <c r="E4020" s="5">
        <v>76333.533100000001</v>
      </c>
      <c r="G4020" s="5" t="str">
        <f t="shared" si="125"/>
        <v>ВИЗ</v>
      </c>
      <c r="J4020" s="5"/>
      <c r="AL4020" s="5">
        <f t="shared" si="126"/>
        <v>0</v>
      </c>
    </row>
    <row r="4021" spans="1:38" ht="25.5" customHeight="1" x14ac:dyDescent="0.25">
      <c r="A4021" s="10" t="s">
        <v>1334</v>
      </c>
      <c r="B4021" s="11" t="s">
        <v>1632</v>
      </c>
      <c r="C4021" s="5">
        <v>83744.997499999998</v>
      </c>
      <c r="D4021" s="5">
        <v>83744.997499999998</v>
      </c>
      <c r="E4021" s="5">
        <v>75832.596099999995</v>
      </c>
      <c r="G4021" s="5" t="str">
        <f t="shared" si="125"/>
        <v>АВТОВОКЗАЛ</v>
      </c>
      <c r="J4021" s="5"/>
      <c r="AL4021" s="5">
        <f t="shared" si="126"/>
        <v>0</v>
      </c>
    </row>
    <row r="4022" spans="1:38" ht="25.5" customHeight="1" x14ac:dyDescent="0.25">
      <c r="A4022" s="10" t="s">
        <v>3388</v>
      </c>
      <c r="B4022" s="11" t="s">
        <v>1641</v>
      </c>
      <c r="C4022" s="5">
        <v>63556.280200000001</v>
      </c>
      <c r="D4022" s="5">
        <v>63556.280200000001</v>
      </c>
      <c r="E4022" s="5">
        <v>57551.353499999997</v>
      </c>
      <c r="G4022" s="5" t="str">
        <f t="shared" si="125"/>
        <v>СИБИРСКИЙ</v>
      </c>
      <c r="J4022" s="5"/>
      <c r="AL4022" s="5">
        <f t="shared" si="126"/>
        <v>0</v>
      </c>
    </row>
    <row r="4023" spans="1:38" ht="25.5" customHeight="1" x14ac:dyDescent="0.25">
      <c r="A4023" s="10" t="s">
        <v>1099</v>
      </c>
      <c r="B4023" s="11" t="s">
        <v>1631</v>
      </c>
      <c r="C4023" s="5">
        <v>70026.7601</v>
      </c>
      <c r="D4023" s="5">
        <v>70026.7601</v>
      </c>
      <c r="E4023" s="5">
        <v>63410.482000000004</v>
      </c>
      <c r="G4023" s="5" t="str">
        <f t="shared" si="125"/>
        <v>УРАЛМАШ</v>
      </c>
      <c r="J4023" s="5"/>
      <c r="AL4023" s="5">
        <f t="shared" si="126"/>
        <v>0</v>
      </c>
    </row>
    <row r="4024" spans="1:38" ht="25.5" customHeight="1" x14ac:dyDescent="0.25">
      <c r="A4024" s="10" t="s">
        <v>732</v>
      </c>
      <c r="B4024" s="11" t="s">
        <v>66</v>
      </c>
      <c r="C4024" s="5">
        <v>64795.756300000001</v>
      </c>
      <c r="D4024" s="5">
        <v>64795.756300000001</v>
      </c>
      <c r="E4024" s="5">
        <v>58673.716200000003</v>
      </c>
      <c r="G4024" s="5" t="str">
        <f t="shared" si="125"/>
        <v>УНЦ</v>
      </c>
      <c r="J4024" s="5"/>
      <c r="AL4024" s="5">
        <f t="shared" si="126"/>
        <v>0</v>
      </c>
    </row>
    <row r="4025" spans="1:38" ht="25.5" customHeight="1" x14ac:dyDescent="0.25">
      <c r="A4025" s="10" t="s">
        <v>1359</v>
      </c>
      <c r="B4025" s="11" t="s">
        <v>1631</v>
      </c>
      <c r="C4025" s="5">
        <v>70026.7601</v>
      </c>
      <c r="D4025" s="5">
        <v>70026.7601</v>
      </c>
      <c r="E4025" s="5">
        <v>63410.482000000004</v>
      </c>
      <c r="G4025" s="5" t="str">
        <f t="shared" si="125"/>
        <v>УРАЛМАШ</v>
      </c>
      <c r="J4025" s="5"/>
      <c r="AL4025" s="5">
        <f t="shared" si="126"/>
        <v>0</v>
      </c>
    </row>
    <row r="4026" spans="1:38" ht="25.5" customHeight="1" x14ac:dyDescent="0.25">
      <c r="A4026" s="10" t="s">
        <v>1188</v>
      </c>
      <c r="B4026" s="11" t="s">
        <v>33</v>
      </c>
      <c r="C4026" s="5">
        <v>84298.205100000006</v>
      </c>
      <c r="D4026" s="5">
        <v>84298.205100000006</v>
      </c>
      <c r="E4026" s="5">
        <v>76333.533100000001</v>
      </c>
      <c r="G4026" s="5" t="str">
        <f t="shared" si="125"/>
        <v>ВИЗ</v>
      </c>
      <c r="J4026" s="5"/>
      <c r="AL4026" s="5">
        <f t="shared" si="126"/>
        <v>0</v>
      </c>
    </row>
    <row r="4027" spans="1:38" ht="25.5" customHeight="1" x14ac:dyDescent="0.25">
      <c r="A4027" s="10" t="s">
        <v>886</v>
      </c>
      <c r="B4027" s="11" t="s">
        <v>14</v>
      </c>
      <c r="C4027" s="5">
        <v>93989.912800000006</v>
      </c>
      <c r="D4027" s="5">
        <v>93989.912800000006</v>
      </c>
      <c r="E4027" s="5">
        <v>85109.545199999993</v>
      </c>
      <c r="G4027" s="5" t="str">
        <f t="shared" si="125"/>
        <v>Центр</v>
      </c>
      <c r="J4027" s="5"/>
      <c r="AL4027" s="5">
        <f t="shared" si="126"/>
        <v>0</v>
      </c>
    </row>
    <row r="4028" spans="1:38" ht="25.5" customHeight="1" x14ac:dyDescent="0.25">
      <c r="A4028" s="10" t="s">
        <v>1293</v>
      </c>
      <c r="B4028" s="11" t="s">
        <v>14</v>
      </c>
      <c r="C4028" s="5">
        <v>93989.912800000006</v>
      </c>
      <c r="D4028" s="5">
        <v>93989.912800000006</v>
      </c>
      <c r="E4028" s="5">
        <v>85109.545199999993</v>
      </c>
      <c r="G4028" s="5" t="str">
        <f t="shared" si="125"/>
        <v>Центр</v>
      </c>
      <c r="J4028" s="5"/>
      <c r="AL4028" s="5">
        <f t="shared" si="126"/>
        <v>0</v>
      </c>
    </row>
    <row r="4029" spans="1:38" ht="25.5" customHeight="1" x14ac:dyDescent="0.25">
      <c r="A4029" s="10" t="s">
        <v>19</v>
      </c>
      <c r="B4029" s="11" t="s">
        <v>1627</v>
      </c>
      <c r="C4029" s="5">
        <v>56392.543899999997</v>
      </c>
      <c r="D4029" s="5">
        <v>56392.543899999997</v>
      </c>
      <c r="E4029" s="5">
        <v>51064.4617</v>
      </c>
      <c r="G4029" s="5" t="str">
        <f t="shared" si="125"/>
        <v>КОМПРЕССОРНЫЙ</v>
      </c>
      <c r="J4029" s="5"/>
      <c r="AL4029" s="5">
        <f t="shared" si="126"/>
        <v>0</v>
      </c>
    </row>
    <row r="4030" spans="1:38" ht="25.5" customHeight="1" x14ac:dyDescent="0.25">
      <c r="A4030" s="10" t="s">
        <v>272</v>
      </c>
      <c r="B4030" s="11" t="s">
        <v>1631</v>
      </c>
      <c r="C4030" s="5">
        <v>70026.7601</v>
      </c>
      <c r="D4030" s="5">
        <v>70026.7601</v>
      </c>
      <c r="E4030" s="5">
        <v>63410.482000000004</v>
      </c>
      <c r="G4030" s="5" t="str">
        <f t="shared" si="125"/>
        <v>УРАЛМАШ</v>
      </c>
      <c r="J4030" s="5"/>
      <c r="AL4030" s="5">
        <f t="shared" si="126"/>
        <v>0</v>
      </c>
    </row>
    <row r="4031" spans="1:38" ht="25.5" customHeight="1" x14ac:dyDescent="0.25">
      <c r="A4031" s="10" t="s">
        <v>3389</v>
      </c>
      <c r="B4031" s="11" t="s">
        <v>1660</v>
      </c>
      <c r="C4031" s="5">
        <v>53262.345800000003</v>
      </c>
      <c r="D4031" s="5">
        <v>53262.345800000003</v>
      </c>
      <c r="E4031" s="5">
        <v>48230.0095</v>
      </c>
      <c r="G4031" s="5" t="str">
        <f t="shared" ref="G4031:G4094" si="127">B4031</f>
        <v>САДОВЫЙ</v>
      </c>
      <c r="J4031" s="5"/>
      <c r="AL4031" s="5">
        <f t="shared" ref="AL4031:AL4094" si="128">AF4031</f>
        <v>0</v>
      </c>
    </row>
    <row r="4032" spans="1:38" ht="25.5" customHeight="1" x14ac:dyDescent="0.25">
      <c r="A4032" s="10" t="s">
        <v>493</v>
      </c>
      <c r="B4032" s="11" t="s">
        <v>1629</v>
      </c>
      <c r="C4032" s="5">
        <v>77743.704100000003</v>
      </c>
      <c r="D4032" s="5">
        <v>77743.704100000003</v>
      </c>
      <c r="E4032" s="5">
        <v>70398.310800000007</v>
      </c>
      <c r="G4032" s="5" t="str">
        <f t="shared" si="127"/>
        <v>ПИОНЕРСКИЙ</v>
      </c>
      <c r="J4032" s="5"/>
      <c r="AL4032" s="5">
        <f t="shared" si="128"/>
        <v>0</v>
      </c>
    </row>
    <row r="4033" spans="1:38" ht="25.5" customHeight="1" x14ac:dyDescent="0.25">
      <c r="A4033" s="10" t="s">
        <v>495</v>
      </c>
      <c r="B4033" s="11" t="s">
        <v>1631</v>
      </c>
      <c r="C4033" s="5">
        <v>70026.7601</v>
      </c>
      <c r="D4033" s="5">
        <v>70026.7601</v>
      </c>
      <c r="E4033" s="5">
        <v>63410.482000000004</v>
      </c>
      <c r="G4033" s="5" t="str">
        <f t="shared" si="127"/>
        <v>УРАЛМАШ</v>
      </c>
      <c r="J4033" s="5"/>
      <c r="AL4033" s="5">
        <f t="shared" si="128"/>
        <v>0</v>
      </c>
    </row>
    <row r="4034" spans="1:38" ht="25.5" customHeight="1" x14ac:dyDescent="0.25">
      <c r="A4034" s="10" t="s">
        <v>3390</v>
      </c>
      <c r="B4034" s="11" t="s">
        <v>1648</v>
      </c>
      <c r="C4034" s="5">
        <v>49782.025399999999</v>
      </c>
      <c r="D4034" s="5">
        <v>49782.025399999999</v>
      </c>
      <c r="E4034" s="5">
        <v>45078.506800000003</v>
      </c>
      <c r="G4034" s="5" t="str">
        <f t="shared" si="127"/>
        <v>ЧУСОВСКОЕ ОЗЕРО</v>
      </c>
      <c r="J4034" s="5"/>
      <c r="AL4034" s="5">
        <f t="shared" si="128"/>
        <v>0</v>
      </c>
    </row>
    <row r="4035" spans="1:38" ht="25.5" customHeight="1" x14ac:dyDescent="0.25">
      <c r="A4035" s="10" t="s">
        <v>1177</v>
      </c>
      <c r="B4035" s="11" t="s">
        <v>1628</v>
      </c>
      <c r="C4035" s="5">
        <v>70734.0236</v>
      </c>
      <c r="D4035" s="5">
        <v>70734.0236</v>
      </c>
      <c r="E4035" s="5">
        <v>64050.9208</v>
      </c>
      <c r="G4035" s="5" t="str">
        <f t="shared" si="127"/>
        <v>ЭЛЬМАШ</v>
      </c>
      <c r="J4035" s="5"/>
      <c r="AL4035" s="5">
        <f t="shared" si="128"/>
        <v>0</v>
      </c>
    </row>
    <row r="4036" spans="1:38" ht="25.5" customHeight="1" x14ac:dyDescent="0.25">
      <c r="A4036" s="10" t="s">
        <v>3391</v>
      </c>
      <c r="B4036" s="11" t="s">
        <v>1640</v>
      </c>
      <c r="C4036" s="5">
        <v>64914.8</v>
      </c>
      <c r="D4036" s="5">
        <v>64914.8</v>
      </c>
      <c r="E4036" s="5">
        <v>58781.519200000002</v>
      </c>
      <c r="G4036" s="5" t="str">
        <f t="shared" si="127"/>
        <v>Новая сортировка</v>
      </c>
      <c r="J4036" s="5"/>
      <c r="AL4036" s="5">
        <f t="shared" si="128"/>
        <v>0</v>
      </c>
    </row>
    <row r="4037" spans="1:38" ht="25.5" customHeight="1" x14ac:dyDescent="0.25">
      <c r="A4037" s="10" t="s">
        <v>3392</v>
      </c>
      <c r="B4037" s="11" t="s">
        <v>1665</v>
      </c>
      <c r="C4037" s="5">
        <v>55692.278700000003</v>
      </c>
      <c r="D4037" s="5">
        <v>55692.278700000003</v>
      </c>
      <c r="E4037" s="5">
        <v>50430.350200000001</v>
      </c>
      <c r="G4037" s="5" t="str">
        <f t="shared" si="127"/>
        <v>ПОЛЕВОДСТВО</v>
      </c>
      <c r="J4037" s="5"/>
      <c r="AL4037" s="5">
        <f t="shared" si="128"/>
        <v>0</v>
      </c>
    </row>
    <row r="4038" spans="1:38" ht="25.5" customHeight="1" x14ac:dyDescent="0.25">
      <c r="A4038" s="10" t="s">
        <v>3393</v>
      </c>
      <c r="B4038" s="11" t="s">
        <v>1636</v>
      </c>
      <c r="C4038" s="5">
        <v>52246.960299999999</v>
      </c>
      <c r="D4038" s="5">
        <v>52246.960299999999</v>
      </c>
      <c r="E4038" s="5">
        <v>47310.556700000001</v>
      </c>
      <c r="G4038" s="5" t="str">
        <f t="shared" si="127"/>
        <v>ГОРНЫЙ ЩИТ</v>
      </c>
      <c r="J4038" s="5"/>
      <c r="AL4038" s="5">
        <f t="shared" si="128"/>
        <v>0</v>
      </c>
    </row>
    <row r="4039" spans="1:38" ht="25.5" customHeight="1" x14ac:dyDescent="0.25">
      <c r="A4039" s="10" t="s">
        <v>575</v>
      </c>
      <c r="B4039" s="11" t="s">
        <v>1628</v>
      </c>
      <c r="C4039" s="5">
        <v>70734.0236</v>
      </c>
      <c r="D4039" s="5">
        <v>70734.0236</v>
      </c>
      <c r="E4039" s="5">
        <v>64050.9208</v>
      </c>
      <c r="G4039" s="5" t="str">
        <f t="shared" si="127"/>
        <v>ЭЛЬМАШ</v>
      </c>
      <c r="J4039" s="5"/>
      <c r="AL4039" s="5">
        <f t="shared" si="128"/>
        <v>0</v>
      </c>
    </row>
    <row r="4040" spans="1:38" ht="25.5" customHeight="1" x14ac:dyDescent="0.25">
      <c r="A4040" s="10" t="s">
        <v>1016</v>
      </c>
      <c r="B4040" s="11" t="s">
        <v>1647</v>
      </c>
      <c r="C4040" s="5">
        <v>63178.133800000003</v>
      </c>
      <c r="D4040" s="5">
        <v>63178.133800000003</v>
      </c>
      <c r="E4040" s="5">
        <v>57208.931499999999</v>
      </c>
      <c r="G4040" s="5" t="str">
        <f t="shared" si="127"/>
        <v>ШИРОКАЯ РЕЧКА</v>
      </c>
      <c r="J4040" s="5"/>
      <c r="AL4040" s="5">
        <f t="shared" si="128"/>
        <v>0</v>
      </c>
    </row>
    <row r="4041" spans="1:38" ht="25.5" customHeight="1" x14ac:dyDescent="0.25">
      <c r="A4041" s="10" t="s">
        <v>550</v>
      </c>
      <c r="B4041" s="11" t="s">
        <v>1634</v>
      </c>
      <c r="C4041" s="5">
        <v>77064.444199999998</v>
      </c>
      <c r="D4041" s="5">
        <v>77064.444199999998</v>
      </c>
      <c r="E4041" s="5">
        <v>69783.233200000002</v>
      </c>
      <c r="G4041" s="5" t="str">
        <f t="shared" si="127"/>
        <v>БОТАНИЧЕСКИЙ</v>
      </c>
      <c r="J4041" s="5"/>
      <c r="AL4041" s="5">
        <f t="shared" si="128"/>
        <v>0</v>
      </c>
    </row>
    <row r="4042" spans="1:38" ht="25.5" customHeight="1" x14ac:dyDescent="0.25">
      <c r="A4042" s="10" t="s">
        <v>221</v>
      </c>
      <c r="B4042" s="11" t="s">
        <v>1632</v>
      </c>
      <c r="C4042" s="5">
        <v>83744.997499999998</v>
      </c>
      <c r="D4042" s="5">
        <v>83744.997499999998</v>
      </c>
      <c r="E4042" s="5">
        <v>75832.596099999995</v>
      </c>
      <c r="G4042" s="5" t="str">
        <f t="shared" si="127"/>
        <v>АВТОВОКЗАЛ</v>
      </c>
      <c r="J4042" s="5"/>
      <c r="AL4042" s="5">
        <f t="shared" si="128"/>
        <v>0</v>
      </c>
    </row>
    <row r="4043" spans="1:38" ht="25.5" customHeight="1" x14ac:dyDescent="0.25">
      <c r="A4043" s="10" t="s">
        <v>1053</v>
      </c>
      <c r="B4043" s="11" t="s">
        <v>1654</v>
      </c>
      <c r="C4043" s="5">
        <v>56140.449699999997</v>
      </c>
      <c r="D4043" s="5">
        <v>56140.449699999997</v>
      </c>
      <c r="E4043" s="5">
        <v>50836.1803</v>
      </c>
      <c r="G4043" s="5" t="str">
        <f t="shared" si="127"/>
        <v>ЗАВОКЗАЛЬНЫЙ</v>
      </c>
      <c r="J4043" s="5"/>
      <c r="AL4043" s="5">
        <f t="shared" si="128"/>
        <v>0</v>
      </c>
    </row>
    <row r="4044" spans="1:38" ht="25.5" customHeight="1" x14ac:dyDescent="0.25">
      <c r="A4044" s="10" t="s">
        <v>3394</v>
      </c>
      <c r="B4044" s="11" t="s">
        <v>1637</v>
      </c>
      <c r="C4044" s="5">
        <v>59368.686099999999</v>
      </c>
      <c r="D4044" s="5">
        <v>59368.686099999999</v>
      </c>
      <c r="E4044" s="5">
        <v>53759.401700000002</v>
      </c>
      <c r="G4044" s="5" t="str">
        <f t="shared" si="127"/>
        <v>Старая сортировка</v>
      </c>
      <c r="J4044" s="5"/>
      <c r="AL4044" s="5">
        <f t="shared" si="128"/>
        <v>0</v>
      </c>
    </row>
    <row r="4045" spans="1:38" ht="25.5" customHeight="1" x14ac:dyDescent="0.25">
      <c r="A4045" s="10" t="s">
        <v>35</v>
      </c>
      <c r="B4045" s="11" t="s">
        <v>1629</v>
      </c>
      <c r="C4045" s="5">
        <v>77743.704100000003</v>
      </c>
      <c r="D4045" s="5">
        <v>77743.704100000003</v>
      </c>
      <c r="E4045" s="5">
        <v>70398.310800000007</v>
      </c>
      <c r="G4045" s="5" t="str">
        <f t="shared" si="127"/>
        <v>ПИОНЕРСКИЙ</v>
      </c>
      <c r="J4045" s="5"/>
      <c r="AL4045" s="5">
        <f t="shared" si="128"/>
        <v>0</v>
      </c>
    </row>
    <row r="4046" spans="1:38" ht="25.5" customHeight="1" x14ac:dyDescent="0.25">
      <c r="A4046" s="10" t="s">
        <v>838</v>
      </c>
      <c r="B4046" s="11" t="s">
        <v>1631</v>
      </c>
      <c r="C4046" s="5">
        <v>70026.7601</v>
      </c>
      <c r="D4046" s="5">
        <v>70026.7601</v>
      </c>
      <c r="E4046" s="5">
        <v>63410.482000000004</v>
      </c>
      <c r="G4046" s="5" t="str">
        <f t="shared" si="127"/>
        <v>УРАЛМАШ</v>
      </c>
      <c r="J4046" s="5"/>
      <c r="AL4046" s="5">
        <f t="shared" si="128"/>
        <v>0</v>
      </c>
    </row>
    <row r="4047" spans="1:38" ht="25.5" customHeight="1" x14ac:dyDescent="0.25">
      <c r="A4047" s="10" t="s">
        <v>727</v>
      </c>
      <c r="B4047" s="11" t="s">
        <v>14</v>
      </c>
      <c r="C4047" s="5">
        <v>93989.912800000006</v>
      </c>
      <c r="D4047" s="5">
        <v>93989.912800000006</v>
      </c>
      <c r="E4047" s="5">
        <v>85109.545199999993</v>
      </c>
      <c r="G4047" s="5" t="str">
        <f t="shared" si="127"/>
        <v>Центр</v>
      </c>
      <c r="J4047" s="5"/>
      <c r="AL4047" s="5">
        <f t="shared" si="128"/>
        <v>0</v>
      </c>
    </row>
    <row r="4048" spans="1:38" ht="25.5" customHeight="1" x14ac:dyDescent="0.25">
      <c r="A4048" s="10" t="s">
        <v>1411</v>
      </c>
      <c r="B4048" s="11" t="s">
        <v>1650</v>
      </c>
      <c r="C4048" s="5">
        <v>37590.3603</v>
      </c>
      <c r="D4048" s="5">
        <v>37590.3603</v>
      </c>
      <c r="E4048" s="5">
        <v>34038.745900000002</v>
      </c>
      <c r="G4048" s="5" t="str">
        <f t="shared" si="127"/>
        <v>ШАБРОВСКИЙ</v>
      </c>
      <c r="J4048" s="5"/>
      <c r="AL4048" s="5">
        <f t="shared" si="128"/>
        <v>0</v>
      </c>
    </row>
    <row r="4049" spans="1:38" ht="25.5" customHeight="1" x14ac:dyDescent="0.25">
      <c r="A4049" s="10" t="s">
        <v>3395</v>
      </c>
      <c r="B4049" s="11" t="s">
        <v>1636</v>
      </c>
      <c r="C4049" s="5">
        <v>52246.960299999999</v>
      </c>
      <c r="D4049" s="5">
        <v>52246.960299999999</v>
      </c>
      <c r="E4049" s="5">
        <v>47310.556700000001</v>
      </c>
      <c r="G4049" s="5" t="str">
        <f t="shared" si="127"/>
        <v>ГОРНЫЙ ЩИТ</v>
      </c>
      <c r="J4049" s="5"/>
      <c r="AL4049" s="5">
        <f t="shared" si="128"/>
        <v>0</v>
      </c>
    </row>
    <row r="4050" spans="1:38" ht="25.5" customHeight="1" x14ac:dyDescent="0.25">
      <c r="A4050" s="10" t="s">
        <v>532</v>
      </c>
      <c r="B4050" s="11" t="s">
        <v>1631</v>
      </c>
      <c r="C4050" s="5">
        <v>70026.7601</v>
      </c>
      <c r="D4050" s="5">
        <v>70026.7601</v>
      </c>
      <c r="E4050" s="5">
        <v>63410.482000000004</v>
      </c>
      <c r="G4050" s="5" t="str">
        <f t="shared" si="127"/>
        <v>УРАЛМАШ</v>
      </c>
      <c r="J4050" s="5"/>
      <c r="AL4050" s="5">
        <f t="shared" si="128"/>
        <v>0</v>
      </c>
    </row>
    <row r="4051" spans="1:38" ht="25.5" customHeight="1" x14ac:dyDescent="0.25">
      <c r="A4051" s="10" t="s">
        <v>3396</v>
      </c>
      <c r="B4051" s="11" t="s">
        <v>1635</v>
      </c>
      <c r="C4051" s="5">
        <v>57793.0844</v>
      </c>
      <c r="D4051" s="5">
        <v>57793.0844</v>
      </c>
      <c r="E4051" s="5">
        <v>52332.6639</v>
      </c>
      <c r="G4051" s="5" t="str">
        <f t="shared" si="127"/>
        <v>ЛЕЧЕБНЫЙ</v>
      </c>
      <c r="J4051" s="5"/>
      <c r="AL4051" s="5">
        <f t="shared" si="128"/>
        <v>0</v>
      </c>
    </row>
    <row r="4052" spans="1:38" ht="25.5" customHeight="1" x14ac:dyDescent="0.25">
      <c r="A4052" s="10" t="s">
        <v>856</v>
      </c>
      <c r="B4052" s="11" t="s">
        <v>14</v>
      </c>
      <c r="C4052" s="5">
        <v>93989.912800000006</v>
      </c>
      <c r="D4052" s="5">
        <v>93989.912800000006</v>
      </c>
      <c r="E4052" s="5">
        <v>85109.545199999993</v>
      </c>
      <c r="G4052" s="5" t="str">
        <f t="shared" si="127"/>
        <v>Центр</v>
      </c>
      <c r="J4052" s="5"/>
      <c r="AL4052" s="5">
        <f t="shared" si="128"/>
        <v>0</v>
      </c>
    </row>
    <row r="4053" spans="1:38" ht="25.5" customHeight="1" x14ac:dyDescent="0.25">
      <c r="A4053" s="10" t="s">
        <v>3397</v>
      </c>
      <c r="B4053" s="11" t="s">
        <v>1651</v>
      </c>
      <c r="C4053" s="5">
        <v>68129.029500000004</v>
      </c>
      <c r="D4053" s="5">
        <v>68129.029500000004</v>
      </c>
      <c r="E4053" s="5">
        <v>61692.054799999998</v>
      </c>
      <c r="G4053" s="5" t="str">
        <f t="shared" si="127"/>
        <v>ШАРТАШ</v>
      </c>
      <c r="J4053" s="5"/>
      <c r="AL4053" s="5">
        <f t="shared" si="128"/>
        <v>0</v>
      </c>
    </row>
    <row r="4054" spans="1:38" ht="25.5" customHeight="1" x14ac:dyDescent="0.25">
      <c r="A4054" s="10" t="s">
        <v>3398</v>
      </c>
      <c r="B4054" s="11" t="s">
        <v>1661</v>
      </c>
      <c r="C4054" s="5">
        <v>51175.5573</v>
      </c>
      <c r="D4054" s="5">
        <v>51175.5573</v>
      </c>
      <c r="E4054" s="5">
        <v>46340.381600000001</v>
      </c>
      <c r="G4054" s="5" t="str">
        <f t="shared" si="127"/>
        <v>СЕВЕРКА</v>
      </c>
      <c r="J4054" s="5"/>
      <c r="AL4054" s="5">
        <f t="shared" si="128"/>
        <v>0</v>
      </c>
    </row>
    <row r="4055" spans="1:38" ht="25.5" customHeight="1" x14ac:dyDescent="0.25">
      <c r="A4055" s="10" t="s">
        <v>1220</v>
      </c>
      <c r="B4055" s="11" t="s">
        <v>1638</v>
      </c>
      <c r="C4055" s="5">
        <v>63640.311600000001</v>
      </c>
      <c r="D4055" s="5">
        <v>63640.311600000001</v>
      </c>
      <c r="E4055" s="5">
        <v>57627.4473</v>
      </c>
      <c r="G4055" s="5" t="str">
        <f t="shared" si="127"/>
        <v>УКТУС</v>
      </c>
      <c r="J4055" s="5"/>
      <c r="AL4055" s="5">
        <f t="shared" si="128"/>
        <v>0</v>
      </c>
    </row>
    <row r="4056" spans="1:38" ht="25.5" customHeight="1" x14ac:dyDescent="0.25">
      <c r="A4056" s="10" t="s">
        <v>525</v>
      </c>
      <c r="B4056" s="11" t="s">
        <v>1649</v>
      </c>
      <c r="C4056" s="5">
        <v>78633.047600000005</v>
      </c>
      <c r="D4056" s="5">
        <v>78633.047600000005</v>
      </c>
      <c r="E4056" s="5">
        <v>71203.623000000007</v>
      </c>
      <c r="G4056" s="5" t="str">
        <f t="shared" si="127"/>
        <v>ВОКЗАЛЬНЫЙ</v>
      </c>
      <c r="J4056" s="5"/>
      <c r="AL4056" s="5">
        <f t="shared" si="128"/>
        <v>0</v>
      </c>
    </row>
    <row r="4057" spans="1:38" ht="25.5" customHeight="1" x14ac:dyDescent="0.25">
      <c r="A4057" s="10" t="s">
        <v>1410</v>
      </c>
      <c r="B4057" s="11" t="s">
        <v>1633</v>
      </c>
      <c r="C4057" s="5">
        <v>77071.442599999995</v>
      </c>
      <c r="D4057" s="5">
        <v>77071.442599999995</v>
      </c>
      <c r="E4057" s="5">
        <v>69789.570900000006</v>
      </c>
      <c r="G4057" s="5" t="str">
        <f t="shared" si="127"/>
        <v>ВТУЗГОРОДОК</v>
      </c>
      <c r="J4057" s="5"/>
      <c r="AL4057" s="5">
        <f t="shared" si="128"/>
        <v>0</v>
      </c>
    </row>
    <row r="4058" spans="1:38" ht="25.5" customHeight="1" x14ac:dyDescent="0.25">
      <c r="A4058" s="10" t="s">
        <v>491</v>
      </c>
      <c r="B4058" s="11" t="s">
        <v>1643</v>
      </c>
      <c r="C4058" s="5">
        <v>76630.280299999999</v>
      </c>
      <c r="D4058" s="5">
        <v>76630.280299999999</v>
      </c>
      <c r="E4058" s="5">
        <v>69390.088799999998</v>
      </c>
      <c r="G4058" s="5" t="str">
        <f t="shared" si="127"/>
        <v>Ю-З</v>
      </c>
      <c r="J4058" s="5"/>
      <c r="AL4058" s="5">
        <f t="shared" si="128"/>
        <v>0</v>
      </c>
    </row>
    <row r="4059" spans="1:38" ht="25.5" customHeight="1" x14ac:dyDescent="0.25">
      <c r="A4059" s="10" t="s">
        <v>3399</v>
      </c>
      <c r="B4059" s="11" t="s">
        <v>779</v>
      </c>
      <c r="C4059" s="5">
        <v>46784.877899999999</v>
      </c>
      <c r="D4059" s="5">
        <v>46784.877899999999</v>
      </c>
      <c r="E4059" s="5">
        <v>42364.543299999998</v>
      </c>
      <c r="G4059" s="5" t="str">
        <f t="shared" si="127"/>
        <v>Нижнеисетский</v>
      </c>
      <c r="J4059" s="5"/>
      <c r="AL4059" s="5">
        <f t="shared" si="128"/>
        <v>0</v>
      </c>
    </row>
    <row r="4060" spans="1:38" ht="25.5" customHeight="1" x14ac:dyDescent="0.25">
      <c r="A4060" s="10" t="s">
        <v>813</v>
      </c>
      <c r="B4060" s="11" t="s">
        <v>1631</v>
      </c>
      <c r="C4060" s="5">
        <v>70026.7601</v>
      </c>
      <c r="D4060" s="5">
        <v>70026.7601</v>
      </c>
      <c r="E4060" s="5">
        <v>63410.482000000004</v>
      </c>
      <c r="G4060" s="5" t="str">
        <f t="shared" si="127"/>
        <v>УРАЛМАШ</v>
      </c>
      <c r="J4060" s="5"/>
      <c r="AL4060" s="5">
        <f t="shared" si="128"/>
        <v>0</v>
      </c>
    </row>
    <row r="4061" spans="1:38" ht="25.5" customHeight="1" x14ac:dyDescent="0.25">
      <c r="A4061" s="10" t="s">
        <v>528</v>
      </c>
      <c r="B4061" s="11" t="s">
        <v>1640</v>
      </c>
      <c r="C4061" s="5">
        <v>64914.8</v>
      </c>
      <c r="D4061" s="5">
        <v>64914.8</v>
      </c>
      <c r="E4061" s="5">
        <v>58781.519200000002</v>
      </c>
      <c r="G4061" s="5" t="str">
        <f t="shared" si="127"/>
        <v>Новая сортировка</v>
      </c>
      <c r="J4061" s="5"/>
      <c r="AL4061" s="5">
        <f t="shared" si="128"/>
        <v>0</v>
      </c>
    </row>
    <row r="4062" spans="1:38" ht="25.5" customHeight="1" x14ac:dyDescent="0.25">
      <c r="A4062" s="10" t="s">
        <v>1214</v>
      </c>
      <c r="B4062" s="11" t="s">
        <v>1629</v>
      </c>
      <c r="C4062" s="5">
        <v>77743.704100000003</v>
      </c>
      <c r="D4062" s="5">
        <v>77743.704100000003</v>
      </c>
      <c r="E4062" s="5">
        <v>70398.310800000007</v>
      </c>
      <c r="G4062" s="5" t="str">
        <f t="shared" si="127"/>
        <v>ПИОНЕРСКИЙ</v>
      </c>
      <c r="J4062" s="5"/>
      <c r="AL4062" s="5">
        <f t="shared" si="128"/>
        <v>0</v>
      </c>
    </row>
    <row r="4063" spans="1:38" ht="25.5" customHeight="1" x14ac:dyDescent="0.25">
      <c r="A4063" s="10" t="s">
        <v>3400</v>
      </c>
      <c r="B4063" s="11" t="s">
        <v>1630</v>
      </c>
      <c r="C4063" s="5">
        <v>62652.9401</v>
      </c>
      <c r="D4063" s="5">
        <v>62652.9401</v>
      </c>
      <c r="E4063" s="5">
        <v>56733.3557</v>
      </c>
      <c r="G4063" s="5" t="str">
        <f t="shared" si="127"/>
        <v>ЧЕРМЕТ</v>
      </c>
      <c r="J4063" s="5"/>
      <c r="AL4063" s="5">
        <f t="shared" si="128"/>
        <v>0</v>
      </c>
    </row>
    <row r="4064" spans="1:38" ht="25.5" customHeight="1" x14ac:dyDescent="0.25">
      <c r="A4064" s="10" t="s">
        <v>494</v>
      </c>
      <c r="B4064" s="11" t="s">
        <v>1628</v>
      </c>
      <c r="C4064" s="5">
        <v>70734.0236</v>
      </c>
      <c r="D4064" s="5">
        <v>70734.0236</v>
      </c>
      <c r="E4064" s="5">
        <v>64050.9208</v>
      </c>
      <c r="G4064" s="5" t="str">
        <f t="shared" si="127"/>
        <v>ЭЛЬМАШ</v>
      </c>
      <c r="J4064" s="5"/>
      <c r="AL4064" s="5">
        <f t="shared" si="128"/>
        <v>0</v>
      </c>
    </row>
    <row r="4065" spans="1:38" ht="25.5" customHeight="1" x14ac:dyDescent="0.25">
      <c r="A4065" s="10" t="s">
        <v>988</v>
      </c>
      <c r="B4065" s="11" t="s">
        <v>14</v>
      </c>
      <c r="C4065" s="5">
        <v>93989.912800000006</v>
      </c>
      <c r="D4065" s="5">
        <v>93989.912800000006</v>
      </c>
      <c r="E4065" s="5">
        <v>85109.545199999993</v>
      </c>
      <c r="G4065" s="5" t="str">
        <f t="shared" si="127"/>
        <v>Центр</v>
      </c>
      <c r="J4065" s="5"/>
      <c r="AL4065" s="5">
        <f t="shared" si="128"/>
        <v>0</v>
      </c>
    </row>
    <row r="4066" spans="1:38" ht="25.5" customHeight="1" x14ac:dyDescent="0.25">
      <c r="A4066" s="10" t="s">
        <v>637</v>
      </c>
      <c r="B4066" s="11" t="s">
        <v>1629</v>
      </c>
      <c r="C4066" s="5">
        <v>77743.704100000003</v>
      </c>
      <c r="D4066" s="5">
        <v>77743.704100000003</v>
      </c>
      <c r="E4066" s="5">
        <v>70398.310800000007</v>
      </c>
      <c r="G4066" s="5" t="str">
        <f t="shared" si="127"/>
        <v>ПИОНЕРСКИЙ</v>
      </c>
      <c r="J4066" s="5"/>
      <c r="AL4066" s="5">
        <f t="shared" si="128"/>
        <v>0</v>
      </c>
    </row>
    <row r="4067" spans="1:38" ht="25.5" customHeight="1" x14ac:dyDescent="0.25">
      <c r="A4067" s="10" t="s">
        <v>1191</v>
      </c>
      <c r="B4067" s="11" t="s">
        <v>1628</v>
      </c>
      <c r="C4067" s="5">
        <v>70734.0236</v>
      </c>
      <c r="D4067" s="5">
        <v>70734.0236</v>
      </c>
      <c r="E4067" s="5">
        <v>64050.9208</v>
      </c>
      <c r="G4067" s="5" t="str">
        <f t="shared" si="127"/>
        <v>ЭЛЬМАШ</v>
      </c>
      <c r="J4067" s="5"/>
      <c r="AL4067" s="5">
        <f t="shared" si="128"/>
        <v>0</v>
      </c>
    </row>
    <row r="4068" spans="1:38" ht="25.5" customHeight="1" x14ac:dyDescent="0.25">
      <c r="A4068" s="10" t="s">
        <v>431</v>
      </c>
      <c r="B4068" s="11" t="s">
        <v>1630</v>
      </c>
      <c r="C4068" s="5">
        <v>62652.9401</v>
      </c>
      <c r="D4068" s="5">
        <v>62652.9401</v>
      </c>
      <c r="E4068" s="5">
        <v>56733.3557</v>
      </c>
      <c r="G4068" s="5" t="str">
        <f t="shared" si="127"/>
        <v>ЧЕРМЕТ</v>
      </c>
      <c r="J4068" s="5"/>
      <c r="AL4068" s="5">
        <f t="shared" si="128"/>
        <v>0</v>
      </c>
    </row>
    <row r="4069" spans="1:38" ht="25.5" customHeight="1" x14ac:dyDescent="0.25">
      <c r="A4069" s="10" t="s">
        <v>826</v>
      </c>
      <c r="B4069" s="11" t="s">
        <v>1631</v>
      </c>
      <c r="C4069" s="5">
        <v>70026.7601</v>
      </c>
      <c r="D4069" s="5">
        <v>70026.7601</v>
      </c>
      <c r="E4069" s="5">
        <v>63410.482000000004</v>
      </c>
      <c r="G4069" s="5" t="str">
        <f t="shared" si="127"/>
        <v>УРАЛМАШ</v>
      </c>
      <c r="J4069" s="5"/>
      <c r="AL4069" s="5">
        <f t="shared" si="128"/>
        <v>0</v>
      </c>
    </row>
    <row r="4070" spans="1:38" ht="25.5" customHeight="1" x14ac:dyDescent="0.25">
      <c r="A4070" s="10" t="s">
        <v>420</v>
      </c>
      <c r="B4070" s="11" t="s">
        <v>1654</v>
      </c>
      <c r="C4070" s="5">
        <v>56140.449699999997</v>
      </c>
      <c r="D4070" s="5">
        <v>56140.449699999997</v>
      </c>
      <c r="E4070" s="5">
        <v>50836.1803</v>
      </c>
      <c r="G4070" s="5" t="str">
        <f t="shared" si="127"/>
        <v>ЗАВОКЗАЛЬНЫЙ</v>
      </c>
      <c r="J4070" s="5"/>
      <c r="AL4070" s="5">
        <f t="shared" si="128"/>
        <v>0</v>
      </c>
    </row>
    <row r="4071" spans="1:38" ht="25.5" customHeight="1" x14ac:dyDescent="0.25">
      <c r="A4071" s="10" t="s">
        <v>862</v>
      </c>
      <c r="B4071" s="11" t="s">
        <v>1645</v>
      </c>
      <c r="C4071" s="5">
        <v>60958.294800000003</v>
      </c>
      <c r="D4071" s="5">
        <v>60958.294800000003</v>
      </c>
      <c r="E4071" s="5">
        <v>55198.825199999999</v>
      </c>
      <c r="G4071" s="5" t="str">
        <f t="shared" si="127"/>
        <v>ЕЛИЗАВЕТ</v>
      </c>
      <c r="J4071" s="5"/>
      <c r="AL4071" s="5">
        <f t="shared" si="128"/>
        <v>0</v>
      </c>
    </row>
    <row r="4072" spans="1:38" ht="25.5" customHeight="1" x14ac:dyDescent="0.25">
      <c r="A4072" s="10" t="s">
        <v>3401</v>
      </c>
      <c r="B4072" s="11" t="s">
        <v>1631</v>
      </c>
      <c r="C4072" s="5">
        <v>70026.7601</v>
      </c>
      <c r="D4072" s="5">
        <v>70026.7601</v>
      </c>
      <c r="E4072" s="5">
        <v>63410.482000000004</v>
      </c>
      <c r="G4072" s="5" t="str">
        <f t="shared" si="127"/>
        <v>УРАЛМАШ</v>
      </c>
      <c r="J4072" s="5"/>
      <c r="AL4072" s="5">
        <f t="shared" si="128"/>
        <v>0</v>
      </c>
    </row>
    <row r="4073" spans="1:38" ht="25.5" customHeight="1" x14ac:dyDescent="0.25">
      <c r="A4073" s="10" t="s">
        <v>1076</v>
      </c>
      <c r="B4073" s="11" t="s">
        <v>1637</v>
      </c>
      <c r="C4073" s="5">
        <v>59368.686099999999</v>
      </c>
      <c r="D4073" s="5">
        <v>59368.686099999999</v>
      </c>
      <c r="E4073" s="5">
        <v>53759.401700000002</v>
      </c>
      <c r="G4073" s="5" t="str">
        <f t="shared" si="127"/>
        <v>Старая сортировка</v>
      </c>
      <c r="J4073" s="5"/>
      <c r="AL4073" s="5">
        <f t="shared" si="128"/>
        <v>0</v>
      </c>
    </row>
    <row r="4074" spans="1:38" ht="25.5" customHeight="1" x14ac:dyDescent="0.25">
      <c r="A4074" s="10" t="s">
        <v>326</v>
      </c>
      <c r="B4074" s="11" t="s">
        <v>14</v>
      </c>
      <c r="C4074" s="5">
        <v>93989.912800000006</v>
      </c>
      <c r="D4074" s="5">
        <v>93989.912800000006</v>
      </c>
      <c r="E4074" s="5">
        <v>85109.545199999993</v>
      </c>
      <c r="G4074" s="5" t="str">
        <f t="shared" si="127"/>
        <v>Центр</v>
      </c>
      <c r="J4074" s="5"/>
      <c r="AL4074" s="5">
        <f t="shared" si="128"/>
        <v>0</v>
      </c>
    </row>
    <row r="4075" spans="1:38" ht="25.5" customHeight="1" x14ac:dyDescent="0.25">
      <c r="A4075" s="10" t="s">
        <v>760</v>
      </c>
      <c r="B4075" s="11" t="s">
        <v>33</v>
      </c>
      <c r="C4075" s="5">
        <v>84298.205100000006</v>
      </c>
      <c r="D4075" s="5">
        <v>84298.205100000006</v>
      </c>
      <c r="E4075" s="5">
        <v>76333.533100000001</v>
      </c>
      <c r="G4075" s="5" t="str">
        <f t="shared" si="127"/>
        <v>ВИЗ</v>
      </c>
      <c r="J4075" s="5"/>
      <c r="AL4075" s="5">
        <f t="shared" si="128"/>
        <v>0</v>
      </c>
    </row>
    <row r="4076" spans="1:38" ht="25.5" customHeight="1" x14ac:dyDescent="0.25">
      <c r="A4076" s="10" t="s">
        <v>835</v>
      </c>
      <c r="B4076" s="11" t="s">
        <v>1662</v>
      </c>
      <c r="C4076" s="5">
        <v>46784.877899999999</v>
      </c>
      <c r="D4076" s="5">
        <v>46784.877899999999</v>
      </c>
      <c r="E4076" s="5">
        <v>42364.543299999998</v>
      </c>
      <c r="G4076" s="5" t="str">
        <f t="shared" si="127"/>
        <v>РУДНЫЙ</v>
      </c>
      <c r="J4076" s="5"/>
      <c r="AL4076" s="5">
        <f t="shared" si="128"/>
        <v>0</v>
      </c>
    </row>
    <row r="4077" spans="1:38" ht="25.5" customHeight="1" x14ac:dyDescent="0.25">
      <c r="A4077" s="10" t="s">
        <v>3402</v>
      </c>
      <c r="B4077" s="11" t="s">
        <v>1634</v>
      </c>
      <c r="C4077" s="5">
        <v>77064.444199999998</v>
      </c>
      <c r="D4077" s="5">
        <v>77064.444199999998</v>
      </c>
      <c r="E4077" s="5">
        <v>69783.233200000002</v>
      </c>
      <c r="G4077" s="5" t="str">
        <f t="shared" si="127"/>
        <v>БОТАНИЧЕСКИЙ</v>
      </c>
      <c r="J4077" s="5"/>
      <c r="AL4077" s="5">
        <f t="shared" si="128"/>
        <v>0</v>
      </c>
    </row>
    <row r="4078" spans="1:38" ht="25.5" customHeight="1" x14ac:dyDescent="0.25">
      <c r="A4078" s="10" t="s">
        <v>3403</v>
      </c>
      <c r="B4078" s="11" t="s">
        <v>1650</v>
      </c>
      <c r="C4078" s="5">
        <v>37590.3603</v>
      </c>
      <c r="D4078" s="5">
        <v>37590.3603</v>
      </c>
      <c r="E4078" s="5">
        <v>34038.745900000002</v>
      </c>
      <c r="G4078" s="5" t="str">
        <f t="shared" si="127"/>
        <v>ШАБРОВСКИЙ</v>
      </c>
      <c r="J4078" s="5"/>
      <c r="AL4078" s="5">
        <f t="shared" si="128"/>
        <v>0</v>
      </c>
    </row>
    <row r="4079" spans="1:38" ht="25.5" customHeight="1" x14ac:dyDescent="0.25">
      <c r="A4079" s="10" t="s">
        <v>1383</v>
      </c>
      <c r="B4079" s="11" t="s">
        <v>33</v>
      </c>
      <c r="C4079" s="5">
        <v>84298.205100000006</v>
      </c>
      <c r="D4079" s="5">
        <v>84298.205100000006</v>
      </c>
      <c r="E4079" s="5">
        <v>76333.533100000001</v>
      </c>
      <c r="G4079" s="5" t="str">
        <f t="shared" si="127"/>
        <v>ВИЗ</v>
      </c>
      <c r="J4079" s="5"/>
      <c r="AL4079" s="5">
        <f t="shared" si="128"/>
        <v>0</v>
      </c>
    </row>
    <row r="4080" spans="1:38" ht="25.5" customHeight="1" x14ac:dyDescent="0.25">
      <c r="A4080" s="10" t="s">
        <v>1147</v>
      </c>
      <c r="B4080" s="11" t="s">
        <v>33</v>
      </c>
      <c r="C4080" s="5">
        <v>84298.205100000006</v>
      </c>
      <c r="D4080" s="5">
        <v>84298.205100000006</v>
      </c>
      <c r="E4080" s="5">
        <v>76333.533100000001</v>
      </c>
      <c r="G4080" s="5" t="str">
        <f t="shared" si="127"/>
        <v>ВИЗ</v>
      </c>
      <c r="J4080" s="5"/>
      <c r="AL4080" s="5">
        <f t="shared" si="128"/>
        <v>0</v>
      </c>
    </row>
    <row r="4081" spans="1:38" ht="25.5" customHeight="1" x14ac:dyDescent="0.25">
      <c r="A4081" s="10" t="s">
        <v>1131</v>
      </c>
      <c r="B4081" s="11" t="s">
        <v>1644</v>
      </c>
      <c r="C4081" s="5">
        <v>61980.678599999999</v>
      </c>
      <c r="D4081" s="5">
        <v>61980.678599999999</v>
      </c>
      <c r="E4081" s="5">
        <v>56124.615700000002</v>
      </c>
      <c r="G4081" s="5" t="str">
        <f t="shared" si="127"/>
        <v>ХИММАШ</v>
      </c>
      <c r="J4081" s="5"/>
      <c r="AL4081" s="5">
        <f t="shared" si="128"/>
        <v>0</v>
      </c>
    </row>
    <row r="4082" spans="1:38" ht="25.5" customHeight="1" x14ac:dyDescent="0.25">
      <c r="A4082" s="10" t="s">
        <v>723</v>
      </c>
      <c r="B4082" s="11" t="s">
        <v>1664</v>
      </c>
      <c r="C4082" s="5">
        <v>53668.506099999999</v>
      </c>
      <c r="D4082" s="5">
        <v>53668.506099999999</v>
      </c>
      <c r="E4082" s="5">
        <v>48597.792699999998</v>
      </c>
      <c r="G4082" s="5" t="str">
        <f t="shared" si="127"/>
        <v>ИЗОПЛИТ</v>
      </c>
      <c r="J4082" s="5"/>
      <c r="AL4082" s="5">
        <f t="shared" si="128"/>
        <v>0</v>
      </c>
    </row>
    <row r="4083" spans="1:38" ht="25.5" customHeight="1" x14ac:dyDescent="0.25">
      <c r="A4083" s="10" t="s">
        <v>3404</v>
      </c>
      <c r="B4083" s="11" t="s">
        <v>1645</v>
      </c>
      <c r="C4083" s="5">
        <v>60958.294800000003</v>
      </c>
      <c r="D4083" s="5">
        <v>60958.294800000003</v>
      </c>
      <c r="E4083" s="5">
        <v>55198.825199999999</v>
      </c>
      <c r="G4083" s="5" t="str">
        <f t="shared" si="127"/>
        <v>ЕЛИЗАВЕТ</v>
      </c>
      <c r="J4083" s="5"/>
      <c r="AL4083" s="5">
        <f t="shared" si="128"/>
        <v>0</v>
      </c>
    </row>
    <row r="4084" spans="1:38" ht="25.5" customHeight="1" x14ac:dyDescent="0.25">
      <c r="A4084" s="10" t="s">
        <v>934</v>
      </c>
      <c r="B4084" s="11" t="s">
        <v>1638</v>
      </c>
      <c r="C4084" s="5">
        <v>63640.311600000001</v>
      </c>
      <c r="D4084" s="5">
        <v>63640.311600000001</v>
      </c>
      <c r="E4084" s="5">
        <v>57627.4473</v>
      </c>
      <c r="G4084" s="5" t="str">
        <f t="shared" si="127"/>
        <v>УКТУС</v>
      </c>
      <c r="J4084" s="5"/>
      <c r="AL4084" s="5">
        <f t="shared" si="128"/>
        <v>0</v>
      </c>
    </row>
    <row r="4085" spans="1:38" ht="25.5" customHeight="1" x14ac:dyDescent="0.25">
      <c r="A4085" s="10" t="s">
        <v>81</v>
      </c>
      <c r="B4085" s="11" t="s">
        <v>1628</v>
      </c>
      <c r="C4085" s="5">
        <v>70734.0236</v>
      </c>
      <c r="D4085" s="5">
        <v>70734.0236</v>
      </c>
      <c r="E4085" s="5">
        <v>64050.9208</v>
      </c>
      <c r="G4085" s="5" t="str">
        <f t="shared" si="127"/>
        <v>ЭЛЬМАШ</v>
      </c>
      <c r="J4085" s="5"/>
      <c r="AL4085" s="5">
        <f t="shared" si="128"/>
        <v>0</v>
      </c>
    </row>
    <row r="4086" spans="1:38" ht="25.5" customHeight="1" x14ac:dyDescent="0.25">
      <c r="A4086" s="10" t="s">
        <v>3405</v>
      </c>
      <c r="B4086" s="11" t="s">
        <v>1628</v>
      </c>
      <c r="C4086" s="5">
        <v>70734.0236</v>
      </c>
      <c r="D4086" s="5">
        <v>70734.0236</v>
      </c>
      <c r="E4086" s="5">
        <v>64050.9208</v>
      </c>
      <c r="G4086" s="5" t="str">
        <f t="shared" si="127"/>
        <v>ЭЛЬМАШ</v>
      </c>
      <c r="J4086" s="5"/>
      <c r="AL4086" s="5">
        <f t="shared" si="128"/>
        <v>0</v>
      </c>
    </row>
    <row r="4087" spans="1:38" ht="25.5" customHeight="1" x14ac:dyDescent="0.25">
      <c r="A4087" s="10" t="s">
        <v>449</v>
      </c>
      <c r="B4087" s="11" t="s">
        <v>1631</v>
      </c>
      <c r="C4087" s="5">
        <v>70026.7601</v>
      </c>
      <c r="D4087" s="5">
        <v>70026.7601</v>
      </c>
      <c r="E4087" s="5">
        <v>63410.482000000004</v>
      </c>
      <c r="G4087" s="5" t="str">
        <f t="shared" si="127"/>
        <v>УРАЛМАШ</v>
      </c>
      <c r="J4087" s="5"/>
      <c r="AL4087" s="5">
        <f t="shared" si="128"/>
        <v>0</v>
      </c>
    </row>
    <row r="4088" spans="1:38" ht="25.5" customHeight="1" x14ac:dyDescent="0.25">
      <c r="A4088" s="10" t="s">
        <v>3406</v>
      </c>
      <c r="B4088" s="11" t="s">
        <v>1650</v>
      </c>
      <c r="C4088" s="5">
        <v>37590.3603</v>
      </c>
      <c r="D4088" s="5">
        <v>37590.3603</v>
      </c>
      <c r="E4088" s="5">
        <v>34038.745900000002</v>
      </c>
      <c r="G4088" s="5" t="str">
        <f t="shared" si="127"/>
        <v>ШАБРОВСКИЙ</v>
      </c>
      <c r="J4088" s="5"/>
      <c r="AL4088" s="5">
        <f t="shared" si="128"/>
        <v>0</v>
      </c>
    </row>
    <row r="4089" spans="1:38" ht="25.5" customHeight="1" x14ac:dyDescent="0.25">
      <c r="A4089" s="10" t="s">
        <v>867</v>
      </c>
      <c r="B4089" s="11" t="s">
        <v>1632</v>
      </c>
      <c r="C4089" s="5">
        <v>83744.997499999998</v>
      </c>
      <c r="D4089" s="5">
        <v>83744.997499999998</v>
      </c>
      <c r="E4089" s="5">
        <v>75832.596099999995</v>
      </c>
      <c r="G4089" s="5" t="str">
        <f t="shared" si="127"/>
        <v>АВТОВОКЗАЛ</v>
      </c>
      <c r="J4089" s="5"/>
      <c r="AL4089" s="5">
        <f t="shared" si="128"/>
        <v>0</v>
      </c>
    </row>
    <row r="4090" spans="1:38" ht="25.5" customHeight="1" x14ac:dyDescent="0.25">
      <c r="A4090" s="10" t="s">
        <v>3407</v>
      </c>
      <c r="B4090" s="11" t="s">
        <v>33</v>
      </c>
      <c r="C4090" s="5">
        <v>84298.205100000006</v>
      </c>
      <c r="D4090" s="5">
        <v>84298.205100000006</v>
      </c>
      <c r="E4090" s="5">
        <v>76333.533100000001</v>
      </c>
      <c r="G4090" s="5" t="str">
        <f t="shared" si="127"/>
        <v>ВИЗ</v>
      </c>
      <c r="J4090" s="5"/>
      <c r="AL4090" s="5">
        <f t="shared" si="128"/>
        <v>0</v>
      </c>
    </row>
    <row r="4091" spans="1:38" ht="25.5" customHeight="1" x14ac:dyDescent="0.25">
      <c r="A4091" s="10" t="s">
        <v>1564</v>
      </c>
      <c r="B4091" s="11" t="s">
        <v>1662</v>
      </c>
      <c r="C4091" s="5">
        <v>46784.877899999999</v>
      </c>
      <c r="D4091" s="5">
        <v>46784.877899999999</v>
      </c>
      <c r="E4091" s="5">
        <v>42364.543299999998</v>
      </c>
      <c r="G4091" s="5" t="str">
        <f t="shared" si="127"/>
        <v>РУДНЫЙ</v>
      </c>
      <c r="J4091" s="5"/>
      <c r="AL4091" s="5">
        <f t="shared" si="128"/>
        <v>0</v>
      </c>
    </row>
    <row r="4092" spans="1:38" ht="25.5" customHeight="1" x14ac:dyDescent="0.25">
      <c r="A4092" s="10" t="s">
        <v>674</v>
      </c>
      <c r="B4092" s="11" t="s">
        <v>1638</v>
      </c>
      <c r="C4092" s="5">
        <v>63640.311600000001</v>
      </c>
      <c r="D4092" s="5">
        <v>63640.311600000001</v>
      </c>
      <c r="E4092" s="5">
        <v>57627.4473</v>
      </c>
      <c r="G4092" s="5" t="str">
        <f t="shared" si="127"/>
        <v>УКТУС</v>
      </c>
      <c r="J4092" s="5"/>
      <c r="AL4092" s="5">
        <f t="shared" si="128"/>
        <v>0</v>
      </c>
    </row>
    <row r="4093" spans="1:38" ht="25.5" customHeight="1" x14ac:dyDescent="0.25">
      <c r="A4093" s="10" t="s">
        <v>34</v>
      </c>
      <c r="B4093" s="5" t="s">
        <v>14</v>
      </c>
      <c r="C4093" s="5">
        <v>93989.912800000006</v>
      </c>
      <c r="D4093" s="5">
        <v>93989.912800000006</v>
      </c>
      <c r="E4093" s="5">
        <v>85109.545199999993</v>
      </c>
      <c r="G4093" s="5" t="str">
        <f t="shared" si="127"/>
        <v>Центр</v>
      </c>
      <c r="J4093" s="5"/>
      <c r="AL4093" s="5">
        <f t="shared" si="128"/>
        <v>0</v>
      </c>
    </row>
    <row r="4094" spans="1:38" ht="25.5" customHeight="1" x14ac:dyDescent="0.25">
      <c r="A4094" s="10" t="s">
        <v>3408</v>
      </c>
      <c r="B4094" s="11" t="s">
        <v>1647</v>
      </c>
      <c r="C4094" s="5">
        <v>63178.133800000003</v>
      </c>
      <c r="D4094" s="5">
        <v>63178.133800000003</v>
      </c>
      <c r="E4094" s="5">
        <v>57208.931499999999</v>
      </c>
      <c r="G4094" s="5" t="str">
        <f t="shared" si="127"/>
        <v>ШИРОКАЯ РЕЧКА</v>
      </c>
      <c r="J4094" s="5"/>
      <c r="AL4094" s="5">
        <f t="shared" si="128"/>
        <v>0</v>
      </c>
    </row>
    <row r="4095" spans="1:38" ht="25.5" customHeight="1" x14ac:dyDescent="0.25">
      <c r="A4095" s="10" t="s">
        <v>1018</v>
      </c>
      <c r="B4095" s="11" t="s">
        <v>1643</v>
      </c>
      <c r="C4095" s="5">
        <v>76630.280299999999</v>
      </c>
      <c r="D4095" s="5">
        <v>76630.280299999999</v>
      </c>
      <c r="E4095" s="5">
        <v>69390.088799999998</v>
      </c>
      <c r="G4095" s="5" t="str">
        <f t="shared" ref="G4095:G4158" si="129">B4095</f>
        <v>Ю-З</v>
      </c>
      <c r="J4095" s="5"/>
      <c r="AL4095" s="5">
        <f t="shared" ref="AL4095:AL4158" si="130">AF4095</f>
        <v>0</v>
      </c>
    </row>
    <row r="4096" spans="1:38" ht="25.5" customHeight="1" x14ac:dyDescent="0.25">
      <c r="A4096" s="10" t="s">
        <v>887</v>
      </c>
      <c r="B4096" s="11" t="s">
        <v>1628</v>
      </c>
      <c r="C4096" s="5">
        <v>70734.0236</v>
      </c>
      <c r="D4096" s="5">
        <v>70734.0236</v>
      </c>
      <c r="E4096" s="5">
        <v>64050.9208</v>
      </c>
      <c r="G4096" s="5" t="str">
        <f t="shared" si="129"/>
        <v>ЭЛЬМАШ</v>
      </c>
      <c r="J4096" s="5"/>
      <c r="AL4096" s="5">
        <f t="shared" si="130"/>
        <v>0</v>
      </c>
    </row>
    <row r="4097" spans="1:38" ht="25.5" customHeight="1" x14ac:dyDescent="0.25">
      <c r="A4097" s="10" t="s">
        <v>783</v>
      </c>
      <c r="B4097" s="11" t="s">
        <v>1640</v>
      </c>
      <c r="C4097" s="5">
        <v>64914.8</v>
      </c>
      <c r="D4097" s="5">
        <v>64914.8</v>
      </c>
      <c r="E4097" s="5">
        <v>58781.519200000002</v>
      </c>
      <c r="G4097" s="5" t="str">
        <f t="shared" si="129"/>
        <v>Новая сортировка</v>
      </c>
      <c r="J4097" s="5"/>
      <c r="AL4097" s="5">
        <f t="shared" si="130"/>
        <v>0</v>
      </c>
    </row>
    <row r="4098" spans="1:38" ht="25.5" customHeight="1" x14ac:dyDescent="0.25">
      <c r="A4098" s="10" t="s">
        <v>3409</v>
      </c>
      <c r="B4098" s="11" t="s">
        <v>1651</v>
      </c>
      <c r="C4098" s="5">
        <v>68129.029500000004</v>
      </c>
      <c r="D4098" s="5">
        <v>68129.029500000004</v>
      </c>
      <c r="E4098" s="5">
        <v>61692.054799999998</v>
      </c>
      <c r="G4098" s="5" t="str">
        <f t="shared" si="129"/>
        <v>ШАРТАШ</v>
      </c>
      <c r="J4098" s="5"/>
      <c r="AL4098" s="5">
        <f t="shared" si="130"/>
        <v>0</v>
      </c>
    </row>
    <row r="4099" spans="1:38" ht="25.5" customHeight="1" x14ac:dyDescent="0.25">
      <c r="A4099" s="10" t="s">
        <v>1460</v>
      </c>
      <c r="B4099" s="11" t="s">
        <v>1631</v>
      </c>
      <c r="C4099" s="5">
        <v>70026.7601</v>
      </c>
      <c r="D4099" s="5">
        <v>70026.7601</v>
      </c>
      <c r="E4099" s="5">
        <v>63410.482000000004</v>
      </c>
      <c r="G4099" s="5" t="str">
        <f t="shared" si="129"/>
        <v>УРАЛМАШ</v>
      </c>
      <c r="J4099" s="5"/>
      <c r="AL4099" s="5">
        <f t="shared" si="130"/>
        <v>0</v>
      </c>
    </row>
    <row r="4100" spans="1:38" ht="25.5" customHeight="1" x14ac:dyDescent="0.25">
      <c r="A4100" s="10" t="s">
        <v>3410</v>
      </c>
      <c r="B4100" s="11" t="s">
        <v>66</v>
      </c>
      <c r="C4100" s="5">
        <v>64795.756300000001</v>
      </c>
      <c r="D4100" s="5">
        <v>64795.756300000001</v>
      </c>
      <c r="E4100" s="5">
        <v>58673.716200000003</v>
      </c>
      <c r="G4100" s="5" t="str">
        <f t="shared" si="129"/>
        <v>УНЦ</v>
      </c>
      <c r="J4100" s="5"/>
      <c r="AL4100" s="5">
        <f t="shared" si="130"/>
        <v>0</v>
      </c>
    </row>
    <row r="4101" spans="1:38" ht="25.5" customHeight="1" x14ac:dyDescent="0.25">
      <c r="A4101" s="10" t="s">
        <v>1021</v>
      </c>
      <c r="B4101" s="11" t="s">
        <v>1636</v>
      </c>
      <c r="C4101" s="5">
        <v>52246.960299999999</v>
      </c>
      <c r="D4101" s="5">
        <v>52246.960299999999</v>
      </c>
      <c r="E4101" s="5">
        <v>47310.556700000001</v>
      </c>
      <c r="G4101" s="5" t="str">
        <f t="shared" si="129"/>
        <v>ГОРНЫЙ ЩИТ</v>
      </c>
      <c r="J4101" s="5"/>
      <c r="AL4101" s="5">
        <f t="shared" si="130"/>
        <v>0</v>
      </c>
    </row>
    <row r="4102" spans="1:38" ht="25.5" customHeight="1" x14ac:dyDescent="0.25">
      <c r="A4102" s="10" t="s">
        <v>3411</v>
      </c>
      <c r="B4102" s="11" t="s">
        <v>1643</v>
      </c>
      <c r="C4102" s="5">
        <v>76630.280299999999</v>
      </c>
      <c r="D4102" s="5">
        <v>76630.280299999999</v>
      </c>
      <c r="E4102" s="5">
        <v>69390.088799999998</v>
      </c>
      <c r="G4102" s="5" t="str">
        <f t="shared" si="129"/>
        <v>Ю-З</v>
      </c>
      <c r="J4102" s="5"/>
      <c r="AL4102" s="5">
        <f t="shared" si="130"/>
        <v>0</v>
      </c>
    </row>
    <row r="4103" spans="1:38" ht="25.5" customHeight="1" x14ac:dyDescent="0.25">
      <c r="A4103" s="10" t="s">
        <v>3412</v>
      </c>
      <c r="B4103" s="11" t="s">
        <v>1647</v>
      </c>
      <c r="C4103" s="5">
        <v>63178.133800000003</v>
      </c>
      <c r="D4103" s="5">
        <v>63178.133800000003</v>
      </c>
      <c r="E4103" s="5">
        <v>57208.931499999999</v>
      </c>
      <c r="G4103" s="5" t="str">
        <f t="shared" si="129"/>
        <v>ШИРОКАЯ РЕЧКА</v>
      </c>
      <c r="J4103" s="5"/>
      <c r="AL4103" s="5">
        <f t="shared" si="130"/>
        <v>0</v>
      </c>
    </row>
    <row r="4104" spans="1:38" ht="25.5" customHeight="1" x14ac:dyDescent="0.25">
      <c r="A4104" s="10" t="s">
        <v>545</v>
      </c>
      <c r="B4104" s="11" t="s">
        <v>209</v>
      </c>
      <c r="C4104" s="5">
        <v>69382.512499999997</v>
      </c>
      <c r="D4104" s="5">
        <v>69382.512499999997</v>
      </c>
      <c r="E4104" s="5">
        <v>62827.103199999998</v>
      </c>
      <c r="G4104" s="5" t="str">
        <f t="shared" si="129"/>
        <v>ЖБИ</v>
      </c>
      <c r="J4104" s="5"/>
      <c r="AL4104" s="5">
        <f t="shared" si="130"/>
        <v>0</v>
      </c>
    </row>
    <row r="4105" spans="1:38" ht="25.5" customHeight="1" x14ac:dyDescent="0.25">
      <c r="A4105" s="10" t="s">
        <v>266</v>
      </c>
      <c r="B4105" s="11" t="s">
        <v>1633</v>
      </c>
      <c r="C4105" s="5">
        <v>77071.442599999995</v>
      </c>
      <c r="D4105" s="5">
        <v>77071.442599999995</v>
      </c>
      <c r="E4105" s="5">
        <v>69789.570900000006</v>
      </c>
      <c r="G4105" s="5" t="str">
        <f t="shared" si="129"/>
        <v>ВТУЗГОРОДОК</v>
      </c>
      <c r="J4105" s="5"/>
      <c r="AL4105" s="5">
        <f t="shared" si="130"/>
        <v>0</v>
      </c>
    </row>
    <row r="4106" spans="1:38" ht="25.5" customHeight="1" x14ac:dyDescent="0.25">
      <c r="A4106" s="10" t="s">
        <v>985</v>
      </c>
      <c r="B4106" s="11" t="s">
        <v>1638</v>
      </c>
      <c r="C4106" s="5">
        <v>63640.311600000001</v>
      </c>
      <c r="D4106" s="5">
        <v>63640.311600000001</v>
      </c>
      <c r="E4106" s="5">
        <v>57627.4473</v>
      </c>
      <c r="G4106" s="5" t="str">
        <f t="shared" si="129"/>
        <v>УКТУС</v>
      </c>
      <c r="J4106" s="5"/>
      <c r="AL4106" s="5">
        <f t="shared" si="130"/>
        <v>0</v>
      </c>
    </row>
    <row r="4107" spans="1:38" ht="25.5" customHeight="1" x14ac:dyDescent="0.25">
      <c r="A4107" s="10" t="s">
        <v>950</v>
      </c>
      <c r="B4107" s="11" t="s">
        <v>14</v>
      </c>
      <c r="C4107" s="5">
        <v>93989.912800000006</v>
      </c>
      <c r="D4107" s="5">
        <v>93989.912800000006</v>
      </c>
      <c r="E4107" s="5">
        <v>85109.545199999993</v>
      </c>
      <c r="G4107" s="5" t="str">
        <f t="shared" si="129"/>
        <v>Центр</v>
      </c>
      <c r="J4107" s="5"/>
      <c r="AL4107" s="5">
        <f t="shared" si="130"/>
        <v>0</v>
      </c>
    </row>
    <row r="4108" spans="1:38" ht="25.5" customHeight="1" x14ac:dyDescent="0.25">
      <c r="A4108" s="10" t="s">
        <v>3413</v>
      </c>
      <c r="B4108" s="11" t="s">
        <v>1637</v>
      </c>
      <c r="C4108" s="5">
        <v>59368.686099999999</v>
      </c>
      <c r="D4108" s="5">
        <v>59368.686099999999</v>
      </c>
      <c r="E4108" s="5">
        <v>53759.401700000002</v>
      </c>
      <c r="G4108" s="5" t="str">
        <f t="shared" si="129"/>
        <v>Старая сортировка</v>
      </c>
      <c r="J4108" s="5"/>
      <c r="AL4108" s="5">
        <f t="shared" si="130"/>
        <v>0</v>
      </c>
    </row>
    <row r="4109" spans="1:38" ht="25.5" customHeight="1" x14ac:dyDescent="0.25">
      <c r="A4109" s="10" t="s">
        <v>1201</v>
      </c>
      <c r="B4109" s="11" t="s">
        <v>1633</v>
      </c>
      <c r="C4109" s="5">
        <v>77071.442599999995</v>
      </c>
      <c r="D4109" s="5">
        <v>77071.442599999995</v>
      </c>
      <c r="E4109" s="5">
        <v>69789.570900000006</v>
      </c>
      <c r="G4109" s="5" t="str">
        <f t="shared" si="129"/>
        <v>ВТУЗГОРОДОК</v>
      </c>
      <c r="J4109" s="5"/>
      <c r="AL4109" s="5">
        <f t="shared" si="130"/>
        <v>0</v>
      </c>
    </row>
    <row r="4110" spans="1:38" ht="25.5" customHeight="1" x14ac:dyDescent="0.25">
      <c r="A4110" s="10" t="s">
        <v>3414</v>
      </c>
      <c r="B4110" s="11" t="s">
        <v>1628</v>
      </c>
      <c r="C4110" s="5">
        <v>70734.0236</v>
      </c>
      <c r="D4110" s="5">
        <v>70734.0236</v>
      </c>
      <c r="E4110" s="5">
        <v>64050.9208</v>
      </c>
      <c r="G4110" s="5" t="str">
        <f t="shared" si="129"/>
        <v>ЭЛЬМАШ</v>
      </c>
      <c r="J4110" s="5"/>
      <c r="AL4110" s="5">
        <f t="shared" si="130"/>
        <v>0</v>
      </c>
    </row>
    <row r="4111" spans="1:38" ht="25.5" customHeight="1" x14ac:dyDescent="0.25">
      <c r="A4111" s="10" t="s">
        <v>3415</v>
      </c>
      <c r="B4111" s="11" t="s">
        <v>1631</v>
      </c>
      <c r="C4111" s="5">
        <v>70026.7601</v>
      </c>
      <c r="D4111" s="5">
        <v>70026.7601</v>
      </c>
      <c r="E4111" s="5">
        <v>63410.482000000004</v>
      </c>
      <c r="G4111" s="5" t="str">
        <f t="shared" si="129"/>
        <v>УРАЛМАШ</v>
      </c>
      <c r="J4111" s="5"/>
      <c r="AL4111" s="5">
        <f t="shared" si="130"/>
        <v>0</v>
      </c>
    </row>
    <row r="4112" spans="1:38" ht="25.5" customHeight="1" x14ac:dyDescent="0.25">
      <c r="A4112" s="10" t="s">
        <v>3416</v>
      </c>
      <c r="B4112" s="11" t="s">
        <v>1666</v>
      </c>
      <c r="C4112" s="5">
        <v>46784.877899999999</v>
      </c>
      <c r="D4112" s="5">
        <v>46784.877899999999</v>
      </c>
      <c r="E4112" s="5">
        <v>42364.543299999998</v>
      </c>
      <c r="G4112" s="5" t="str">
        <f t="shared" si="129"/>
        <v>Сулим.Торфянник</v>
      </c>
      <c r="J4112" s="5"/>
      <c r="AL4112" s="5">
        <f t="shared" si="130"/>
        <v>0</v>
      </c>
    </row>
    <row r="4113" spans="1:38" ht="25.5" customHeight="1" x14ac:dyDescent="0.25">
      <c r="A4113" s="10" t="s">
        <v>986</v>
      </c>
      <c r="B4113" s="11" t="s">
        <v>1646</v>
      </c>
      <c r="C4113" s="5">
        <v>61763.596599999997</v>
      </c>
      <c r="D4113" s="5">
        <v>61763.596599999997</v>
      </c>
      <c r="E4113" s="5">
        <v>55928.0435</v>
      </c>
      <c r="G4113" s="5" t="str">
        <f t="shared" si="129"/>
        <v>АКАДЕМИЧЕСКИЙ</v>
      </c>
      <c r="J4113" s="5"/>
      <c r="AL4113" s="5">
        <f t="shared" si="130"/>
        <v>0</v>
      </c>
    </row>
    <row r="4114" spans="1:38" ht="25.5" customHeight="1" x14ac:dyDescent="0.25">
      <c r="A4114" s="10" t="s">
        <v>3417</v>
      </c>
      <c r="B4114" s="11" t="s">
        <v>1637</v>
      </c>
      <c r="C4114" s="5">
        <v>59368.686099999999</v>
      </c>
      <c r="D4114" s="5">
        <v>59368.686099999999</v>
      </c>
      <c r="E4114" s="5">
        <v>53759.401700000002</v>
      </c>
      <c r="G4114" s="5" t="str">
        <f t="shared" si="129"/>
        <v>Старая сортировка</v>
      </c>
      <c r="J4114" s="5"/>
      <c r="AL4114" s="5">
        <f t="shared" si="130"/>
        <v>0</v>
      </c>
    </row>
    <row r="4115" spans="1:38" ht="25.5" customHeight="1" x14ac:dyDescent="0.25">
      <c r="A4115" s="10" t="s">
        <v>89</v>
      </c>
      <c r="B4115" s="11" t="s">
        <v>1630</v>
      </c>
      <c r="C4115" s="5">
        <v>62652.9401</v>
      </c>
      <c r="D4115" s="5">
        <v>62652.9401</v>
      </c>
      <c r="E4115" s="5">
        <v>56733.3557</v>
      </c>
      <c r="G4115" s="5" t="str">
        <f t="shared" si="129"/>
        <v>ЧЕРМЕТ</v>
      </c>
      <c r="J4115" s="5"/>
      <c r="AL4115" s="5">
        <f t="shared" si="130"/>
        <v>0</v>
      </c>
    </row>
    <row r="4116" spans="1:38" ht="25.5" customHeight="1" x14ac:dyDescent="0.25">
      <c r="A4116" s="10" t="s">
        <v>342</v>
      </c>
      <c r="B4116" s="11" t="s">
        <v>1628</v>
      </c>
      <c r="C4116" s="5">
        <v>70734.0236</v>
      </c>
      <c r="D4116" s="5">
        <v>70734.0236</v>
      </c>
      <c r="E4116" s="5">
        <v>64050.9208</v>
      </c>
      <c r="G4116" s="5" t="str">
        <f t="shared" si="129"/>
        <v>ЭЛЬМАШ</v>
      </c>
      <c r="J4116" s="5"/>
      <c r="AL4116" s="5">
        <f t="shared" si="130"/>
        <v>0</v>
      </c>
    </row>
    <row r="4117" spans="1:38" ht="25.5" customHeight="1" x14ac:dyDescent="0.25">
      <c r="A4117" s="10" t="s">
        <v>303</v>
      </c>
      <c r="B4117" s="11" t="s">
        <v>1632</v>
      </c>
      <c r="C4117" s="5">
        <v>83744.997499999998</v>
      </c>
      <c r="D4117" s="5">
        <v>83744.997499999998</v>
      </c>
      <c r="E4117" s="5">
        <v>75832.596099999995</v>
      </c>
      <c r="G4117" s="5" t="str">
        <f t="shared" si="129"/>
        <v>АВТОВОКЗАЛ</v>
      </c>
      <c r="J4117" s="5"/>
      <c r="AL4117" s="5">
        <f t="shared" si="130"/>
        <v>0</v>
      </c>
    </row>
    <row r="4118" spans="1:38" ht="25.5" customHeight="1" x14ac:dyDescent="0.25">
      <c r="A4118" s="10" t="s">
        <v>681</v>
      </c>
      <c r="B4118" s="11" t="s">
        <v>1647</v>
      </c>
      <c r="C4118" s="5">
        <v>63178.133800000003</v>
      </c>
      <c r="D4118" s="5">
        <v>63178.133800000003</v>
      </c>
      <c r="E4118" s="5">
        <v>57208.931499999999</v>
      </c>
      <c r="G4118" s="5" t="str">
        <f t="shared" si="129"/>
        <v>ШИРОКАЯ РЕЧКА</v>
      </c>
      <c r="J4118" s="5"/>
      <c r="AL4118" s="5">
        <f t="shared" si="130"/>
        <v>0</v>
      </c>
    </row>
    <row r="4119" spans="1:38" ht="25.5" customHeight="1" x14ac:dyDescent="0.25">
      <c r="A4119" s="10" t="s">
        <v>967</v>
      </c>
      <c r="B4119" s="11" t="s">
        <v>1633</v>
      </c>
      <c r="C4119" s="5">
        <v>77071.442599999995</v>
      </c>
      <c r="D4119" s="5">
        <v>77071.442599999995</v>
      </c>
      <c r="E4119" s="5">
        <v>69789.570900000006</v>
      </c>
      <c r="G4119" s="5" t="str">
        <f t="shared" si="129"/>
        <v>ВТУЗГОРОДОК</v>
      </c>
      <c r="J4119" s="5"/>
      <c r="AL4119" s="5">
        <f t="shared" si="130"/>
        <v>0</v>
      </c>
    </row>
    <row r="4120" spans="1:38" ht="25.5" customHeight="1" x14ac:dyDescent="0.25">
      <c r="A4120" s="10" t="s">
        <v>1167</v>
      </c>
      <c r="B4120" s="11" t="s">
        <v>1632</v>
      </c>
      <c r="C4120" s="5">
        <v>83744.997499999998</v>
      </c>
      <c r="D4120" s="5">
        <v>83744.997499999998</v>
      </c>
      <c r="E4120" s="5">
        <v>75832.596099999995</v>
      </c>
      <c r="G4120" s="5" t="str">
        <f t="shared" si="129"/>
        <v>АВТОВОКЗАЛ</v>
      </c>
      <c r="J4120" s="5"/>
      <c r="AL4120" s="5">
        <f t="shared" si="130"/>
        <v>0</v>
      </c>
    </row>
    <row r="4121" spans="1:38" ht="25.5" customHeight="1" x14ac:dyDescent="0.25">
      <c r="A4121" s="10" t="s">
        <v>698</v>
      </c>
      <c r="B4121" s="11" t="s">
        <v>1644</v>
      </c>
      <c r="C4121" s="5">
        <v>61980.678599999999</v>
      </c>
      <c r="D4121" s="5">
        <v>61980.678599999999</v>
      </c>
      <c r="E4121" s="5">
        <v>56124.615700000002</v>
      </c>
      <c r="G4121" s="5" t="str">
        <f t="shared" si="129"/>
        <v>ХИММАШ</v>
      </c>
      <c r="J4121" s="5"/>
      <c r="AL4121" s="5">
        <f t="shared" si="130"/>
        <v>0</v>
      </c>
    </row>
    <row r="4122" spans="1:38" ht="25.5" customHeight="1" x14ac:dyDescent="0.25">
      <c r="A4122" s="10" t="s">
        <v>217</v>
      </c>
      <c r="B4122" s="11" t="s">
        <v>1631</v>
      </c>
      <c r="C4122" s="5">
        <v>70026.7601</v>
      </c>
      <c r="D4122" s="5">
        <v>70026.7601</v>
      </c>
      <c r="E4122" s="5">
        <v>63410.482000000004</v>
      </c>
      <c r="G4122" s="5" t="str">
        <f t="shared" si="129"/>
        <v>УРАЛМАШ</v>
      </c>
      <c r="J4122" s="5"/>
      <c r="AL4122" s="5">
        <f t="shared" si="130"/>
        <v>0</v>
      </c>
    </row>
    <row r="4123" spans="1:38" ht="25.5" customHeight="1" x14ac:dyDescent="0.25">
      <c r="A4123" s="10" t="s">
        <v>3418</v>
      </c>
      <c r="B4123" s="11" t="s">
        <v>1630</v>
      </c>
      <c r="C4123" s="5">
        <v>62652.9401</v>
      </c>
      <c r="D4123" s="5">
        <v>62652.9401</v>
      </c>
      <c r="E4123" s="5">
        <v>56733.3557</v>
      </c>
      <c r="G4123" s="5" t="str">
        <f t="shared" si="129"/>
        <v>ЧЕРМЕТ</v>
      </c>
      <c r="J4123" s="5"/>
      <c r="AL4123" s="5">
        <f t="shared" si="130"/>
        <v>0</v>
      </c>
    </row>
    <row r="4124" spans="1:38" ht="25.5" customHeight="1" x14ac:dyDescent="0.25">
      <c r="A4124" s="10" t="s">
        <v>3419</v>
      </c>
      <c r="B4124" s="11" t="s">
        <v>1667</v>
      </c>
      <c r="C4124" s="5">
        <v>56546.599699999999</v>
      </c>
      <c r="D4124" s="5">
        <v>56546.599699999999</v>
      </c>
      <c r="E4124" s="5">
        <v>51203.963499999998</v>
      </c>
      <c r="G4124" s="5" t="str">
        <f t="shared" si="129"/>
        <v>КАЛИНОВСКИЙ</v>
      </c>
      <c r="J4124" s="5"/>
      <c r="AL4124" s="5">
        <f t="shared" si="130"/>
        <v>0</v>
      </c>
    </row>
    <row r="4125" spans="1:38" ht="25.5" customHeight="1" x14ac:dyDescent="0.25">
      <c r="A4125" s="10" t="s">
        <v>3420</v>
      </c>
      <c r="B4125" s="11" t="s">
        <v>1664</v>
      </c>
      <c r="C4125" s="5">
        <v>53668.506099999999</v>
      </c>
      <c r="D4125" s="5">
        <v>53668.506099999999</v>
      </c>
      <c r="E4125" s="5">
        <v>48597.792699999998</v>
      </c>
      <c r="G4125" s="5" t="str">
        <f t="shared" si="129"/>
        <v>ИЗОПЛИТ</v>
      </c>
      <c r="J4125" s="5"/>
      <c r="AL4125" s="5">
        <f t="shared" si="130"/>
        <v>0</v>
      </c>
    </row>
    <row r="4126" spans="1:38" ht="25.5" customHeight="1" x14ac:dyDescent="0.25">
      <c r="A4126" s="10" t="s">
        <v>3421</v>
      </c>
      <c r="B4126" s="11" t="s">
        <v>1652</v>
      </c>
      <c r="C4126" s="5">
        <v>71105.171700000006</v>
      </c>
      <c r="D4126" s="5">
        <v>71105.171700000006</v>
      </c>
      <c r="E4126" s="5">
        <v>64387.005100000002</v>
      </c>
      <c r="G4126" s="5" t="str">
        <f t="shared" si="129"/>
        <v>ЗАРЕЧНЫЙ</v>
      </c>
      <c r="J4126" s="5"/>
      <c r="AL4126" s="5">
        <f t="shared" si="130"/>
        <v>0</v>
      </c>
    </row>
    <row r="4127" spans="1:38" ht="25.5" customHeight="1" x14ac:dyDescent="0.25">
      <c r="A4127" s="10" t="s">
        <v>3422</v>
      </c>
      <c r="B4127" s="11" t="s">
        <v>66</v>
      </c>
      <c r="C4127" s="5">
        <v>64795.756300000001</v>
      </c>
      <c r="D4127" s="5">
        <v>64795.756300000001</v>
      </c>
      <c r="E4127" s="5">
        <v>58673.716200000003</v>
      </c>
      <c r="G4127" s="5" t="str">
        <f t="shared" si="129"/>
        <v>УНЦ</v>
      </c>
      <c r="J4127" s="5"/>
      <c r="AL4127" s="5">
        <f t="shared" si="130"/>
        <v>0</v>
      </c>
    </row>
    <row r="4128" spans="1:38" ht="25.5" customHeight="1" x14ac:dyDescent="0.25">
      <c r="A4128" s="10" t="s">
        <v>3423</v>
      </c>
      <c r="B4128" s="11" t="s">
        <v>14</v>
      </c>
      <c r="C4128" s="5">
        <v>93989.912800000006</v>
      </c>
      <c r="D4128" s="5">
        <v>93989.912800000006</v>
      </c>
      <c r="E4128" s="5">
        <v>85109.545199999993</v>
      </c>
      <c r="G4128" s="5" t="str">
        <f t="shared" si="129"/>
        <v>Центр</v>
      </c>
      <c r="J4128" s="5"/>
      <c r="AL4128" s="5">
        <f t="shared" si="130"/>
        <v>0</v>
      </c>
    </row>
    <row r="4129" spans="1:38" ht="25.5" customHeight="1" x14ac:dyDescent="0.25">
      <c r="A4129" s="10" t="s">
        <v>1067</v>
      </c>
      <c r="B4129" s="11" t="s">
        <v>1637</v>
      </c>
      <c r="C4129" s="5">
        <v>59368.686099999999</v>
      </c>
      <c r="D4129" s="5">
        <v>59368.686099999999</v>
      </c>
      <c r="E4129" s="5">
        <v>53759.401700000002</v>
      </c>
      <c r="G4129" s="5" t="str">
        <f t="shared" si="129"/>
        <v>Старая сортировка</v>
      </c>
      <c r="J4129" s="5"/>
      <c r="AL4129" s="5">
        <f t="shared" si="130"/>
        <v>0</v>
      </c>
    </row>
    <row r="4130" spans="1:38" ht="25.5" customHeight="1" x14ac:dyDescent="0.25">
      <c r="A4130" s="10" t="s">
        <v>458</v>
      </c>
      <c r="B4130" s="11" t="s">
        <v>14</v>
      </c>
      <c r="C4130" s="5">
        <v>93989.912800000006</v>
      </c>
      <c r="D4130" s="5">
        <v>93989.912800000006</v>
      </c>
      <c r="E4130" s="5">
        <v>85109.545199999993</v>
      </c>
      <c r="G4130" s="5" t="str">
        <f t="shared" si="129"/>
        <v>Центр</v>
      </c>
      <c r="J4130" s="5"/>
      <c r="AL4130" s="5">
        <f t="shared" si="130"/>
        <v>0</v>
      </c>
    </row>
    <row r="4131" spans="1:38" ht="25.5" customHeight="1" x14ac:dyDescent="0.25">
      <c r="A4131" s="10" t="s">
        <v>3424</v>
      </c>
      <c r="B4131" s="11" t="s">
        <v>1630</v>
      </c>
      <c r="C4131" s="5">
        <v>62652.9401</v>
      </c>
      <c r="D4131" s="5">
        <v>62652.9401</v>
      </c>
      <c r="E4131" s="5">
        <v>56733.3557</v>
      </c>
      <c r="G4131" s="5" t="str">
        <f t="shared" si="129"/>
        <v>ЧЕРМЕТ</v>
      </c>
      <c r="J4131" s="5"/>
      <c r="AL4131" s="5">
        <f t="shared" si="130"/>
        <v>0</v>
      </c>
    </row>
    <row r="4132" spans="1:38" ht="25.5" customHeight="1" x14ac:dyDescent="0.25">
      <c r="A4132" s="10" t="s">
        <v>3425</v>
      </c>
      <c r="B4132" s="11" t="s">
        <v>1629</v>
      </c>
      <c r="C4132" s="5">
        <v>77743.704100000003</v>
      </c>
      <c r="D4132" s="5">
        <v>77743.704100000003</v>
      </c>
      <c r="E4132" s="5">
        <v>70398.310800000007</v>
      </c>
      <c r="G4132" s="5" t="str">
        <f t="shared" si="129"/>
        <v>ПИОНЕРСКИЙ</v>
      </c>
      <c r="J4132" s="5"/>
      <c r="AL4132" s="5">
        <f t="shared" si="130"/>
        <v>0</v>
      </c>
    </row>
    <row r="4133" spans="1:38" ht="25.5" customHeight="1" x14ac:dyDescent="0.25">
      <c r="A4133" s="10" t="s">
        <v>97</v>
      </c>
      <c r="B4133" s="11" t="s">
        <v>1627</v>
      </c>
      <c r="C4133" s="5">
        <v>56392.543899999997</v>
      </c>
      <c r="D4133" s="5">
        <v>56392.543899999997</v>
      </c>
      <c r="E4133" s="5">
        <v>51064.4617</v>
      </c>
      <c r="G4133" s="5" t="str">
        <f t="shared" si="129"/>
        <v>КОМПРЕССОРНЫЙ</v>
      </c>
      <c r="J4133" s="5"/>
      <c r="AL4133" s="5">
        <f t="shared" si="130"/>
        <v>0</v>
      </c>
    </row>
    <row r="4134" spans="1:38" ht="25.5" customHeight="1" x14ac:dyDescent="0.25">
      <c r="A4134" s="10" t="s">
        <v>984</v>
      </c>
      <c r="B4134" s="11" t="s">
        <v>14</v>
      </c>
      <c r="C4134" s="5">
        <v>93989.912800000006</v>
      </c>
      <c r="D4134" s="5">
        <v>93989.912800000006</v>
      </c>
      <c r="E4134" s="5">
        <v>85109.545199999993</v>
      </c>
      <c r="G4134" s="5" t="str">
        <f t="shared" si="129"/>
        <v>Центр</v>
      </c>
      <c r="J4134" s="5"/>
      <c r="AL4134" s="5">
        <f t="shared" si="130"/>
        <v>0</v>
      </c>
    </row>
    <row r="4135" spans="1:38" ht="25.5" customHeight="1" x14ac:dyDescent="0.25">
      <c r="A4135" s="10" t="s">
        <v>857</v>
      </c>
      <c r="B4135" s="11" t="s">
        <v>1661</v>
      </c>
      <c r="C4135" s="5">
        <v>51175.5573</v>
      </c>
      <c r="D4135" s="5">
        <v>51175.5573</v>
      </c>
      <c r="E4135" s="5">
        <v>46340.381600000001</v>
      </c>
      <c r="G4135" s="5" t="str">
        <f t="shared" si="129"/>
        <v>СЕВЕРКА</v>
      </c>
      <c r="J4135" s="5"/>
      <c r="AL4135" s="5">
        <f t="shared" si="130"/>
        <v>0</v>
      </c>
    </row>
    <row r="4136" spans="1:38" ht="25.5" customHeight="1" x14ac:dyDescent="0.25">
      <c r="A4136" s="10" t="s">
        <v>1262</v>
      </c>
      <c r="B4136" s="11" t="s">
        <v>1629</v>
      </c>
      <c r="C4136" s="5">
        <v>77743.704100000003</v>
      </c>
      <c r="D4136" s="5">
        <v>77743.704100000003</v>
      </c>
      <c r="E4136" s="5">
        <v>70398.310800000007</v>
      </c>
      <c r="G4136" s="5" t="str">
        <f t="shared" si="129"/>
        <v>ПИОНЕРСКИЙ</v>
      </c>
      <c r="J4136" s="5"/>
      <c r="AL4136" s="5">
        <f t="shared" si="130"/>
        <v>0</v>
      </c>
    </row>
    <row r="4137" spans="1:38" ht="25.5" customHeight="1" x14ac:dyDescent="0.25">
      <c r="A4137" s="10" t="s">
        <v>3426</v>
      </c>
      <c r="B4137" s="11" t="s">
        <v>779</v>
      </c>
      <c r="C4137" s="5">
        <v>46784.877899999999</v>
      </c>
      <c r="D4137" s="5">
        <v>46784.877899999999</v>
      </c>
      <c r="E4137" s="5">
        <v>42364.543299999998</v>
      </c>
      <c r="G4137" s="5" t="str">
        <f t="shared" si="129"/>
        <v>Нижнеисетский</v>
      </c>
      <c r="J4137" s="5"/>
      <c r="AL4137" s="5">
        <f t="shared" si="130"/>
        <v>0</v>
      </c>
    </row>
    <row r="4138" spans="1:38" ht="25.5" customHeight="1" x14ac:dyDescent="0.25">
      <c r="A4138" s="10" t="s">
        <v>3427</v>
      </c>
      <c r="B4138" s="11" t="s">
        <v>1628</v>
      </c>
      <c r="C4138" s="5">
        <v>70734.0236</v>
      </c>
      <c r="D4138" s="5">
        <v>70734.0236</v>
      </c>
      <c r="E4138" s="5">
        <v>64050.9208</v>
      </c>
      <c r="G4138" s="5" t="str">
        <f t="shared" si="129"/>
        <v>ЭЛЬМАШ</v>
      </c>
      <c r="J4138" s="5"/>
      <c r="AL4138" s="5">
        <f t="shared" si="130"/>
        <v>0</v>
      </c>
    </row>
    <row r="4139" spans="1:38" ht="25.5" customHeight="1" x14ac:dyDescent="0.25">
      <c r="A4139" s="10" t="s">
        <v>1046</v>
      </c>
      <c r="B4139" s="11" t="s">
        <v>1638</v>
      </c>
      <c r="C4139" s="5">
        <v>63640.311600000001</v>
      </c>
      <c r="D4139" s="5">
        <v>63640.311600000001</v>
      </c>
      <c r="E4139" s="5">
        <v>57627.4473</v>
      </c>
      <c r="G4139" s="5" t="str">
        <f t="shared" si="129"/>
        <v>УКТУС</v>
      </c>
      <c r="J4139" s="5"/>
      <c r="AL4139" s="5">
        <f t="shared" si="130"/>
        <v>0</v>
      </c>
    </row>
    <row r="4140" spans="1:38" ht="25.5" customHeight="1" x14ac:dyDescent="0.25">
      <c r="A4140" s="10" t="s">
        <v>203</v>
      </c>
      <c r="B4140" s="11" t="s">
        <v>1633</v>
      </c>
      <c r="C4140" s="5">
        <v>77071.442599999995</v>
      </c>
      <c r="D4140" s="5">
        <v>77071.442599999995</v>
      </c>
      <c r="E4140" s="5">
        <v>69789.570900000006</v>
      </c>
      <c r="G4140" s="5" t="str">
        <f t="shared" si="129"/>
        <v>ВТУЗГОРОДОК</v>
      </c>
      <c r="J4140" s="5"/>
      <c r="AL4140" s="5">
        <f t="shared" si="130"/>
        <v>0</v>
      </c>
    </row>
    <row r="4141" spans="1:38" ht="25.5" customHeight="1" x14ac:dyDescent="0.25">
      <c r="A4141" s="10" t="s">
        <v>3428</v>
      </c>
      <c r="B4141" s="11" t="s">
        <v>1659</v>
      </c>
      <c r="C4141" s="5">
        <v>59746.832600000002</v>
      </c>
      <c r="D4141" s="5">
        <v>59746.832600000002</v>
      </c>
      <c r="E4141" s="5">
        <v>54101.823700000001</v>
      </c>
      <c r="G4141" s="5" t="str">
        <f t="shared" si="129"/>
        <v>СОВХОЗ</v>
      </c>
      <c r="J4141" s="5"/>
      <c r="AL4141" s="5">
        <f t="shared" si="130"/>
        <v>0</v>
      </c>
    </row>
    <row r="4142" spans="1:38" ht="25.5" customHeight="1" x14ac:dyDescent="0.25">
      <c r="A4142" s="10" t="s">
        <v>924</v>
      </c>
      <c r="B4142" s="11" t="s">
        <v>1631</v>
      </c>
      <c r="C4142" s="5">
        <v>70026.7601</v>
      </c>
      <c r="D4142" s="5">
        <v>70026.7601</v>
      </c>
      <c r="E4142" s="5">
        <v>63410.482000000004</v>
      </c>
      <c r="G4142" s="5" t="str">
        <f t="shared" si="129"/>
        <v>УРАЛМАШ</v>
      </c>
      <c r="J4142" s="5"/>
      <c r="AL4142" s="5">
        <f t="shared" si="130"/>
        <v>0</v>
      </c>
    </row>
    <row r="4143" spans="1:38" ht="25.5" customHeight="1" x14ac:dyDescent="0.25">
      <c r="A4143" s="10" t="s">
        <v>166</v>
      </c>
      <c r="B4143" s="11" t="s">
        <v>1632</v>
      </c>
      <c r="C4143" s="5">
        <v>83744.997499999998</v>
      </c>
      <c r="D4143" s="5">
        <v>83744.997499999998</v>
      </c>
      <c r="E4143" s="5">
        <v>75832.596099999995</v>
      </c>
      <c r="G4143" s="5" t="str">
        <f t="shared" si="129"/>
        <v>АВТОВОКЗАЛ</v>
      </c>
      <c r="J4143" s="5"/>
      <c r="AL4143" s="5">
        <f t="shared" si="130"/>
        <v>0</v>
      </c>
    </row>
    <row r="4144" spans="1:38" ht="25.5" customHeight="1" x14ac:dyDescent="0.25">
      <c r="A4144" s="10" t="s">
        <v>1610</v>
      </c>
      <c r="B4144" s="11" t="s">
        <v>14</v>
      </c>
      <c r="C4144" s="5">
        <v>93989.912800000006</v>
      </c>
      <c r="D4144" s="5">
        <v>93989.912800000006</v>
      </c>
      <c r="E4144" s="5">
        <v>85109.545199999993</v>
      </c>
      <c r="G4144" s="5" t="str">
        <f t="shared" si="129"/>
        <v>Центр</v>
      </c>
      <c r="J4144" s="5"/>
      <c r="AL4144" s="5">
        <f t="shared" si="130"/>
        <v>0</v>
      </c>
    </row>
    <row r="4145" spans="1:38" ht="25.5" customHeight="1" x14ac:dyDescent="0.25">
      <c r="A4145" s="10" t="s">
        <v>529</v>
      </c>
      <c r="B4145" s="11" t="s">
        <v>1631</v>
      </c>
      <c r="C4145" s="5">
        <v>70026.7601</v>
      </c>
      <c r="D4145" s="5">
        <v>70026.7601</v>
      </c>
      <c r="E4145" s="5">
        <v>63410.482000000004</v>
      </c>
      <c r="G4145" s="5" t="str">
        <f t="shared" si="129"/>
        <v>УРАЛМАШ</v>
      </c>
      <c r="J4145" s="5"/>
      <c r="AL4145" s="5">
        <f t="shared" si="130"/>
        <v>0</v>
      </c>
    </row>
    <row r="4146" spans="1:38" ht="25.5" customHeight="1" x14ac:dyDescent="0.25">
      <c r="A4146" s="10" t="s">
        <v>1181</v>
      </c>
      <c r="B4146" s="11" t="s">
        <v>1631</v>
      </c>
      <c r="C4146" s="5">
        <v>70026.7601</v>
      </c>
      <c r="D4146" s="5">
        <v>70026.7601</v>
      </c>
      <c r="E4146" s="5">
        <v>63410.482000000004</v>
      </c>
      <c r="G4146" s="5" t="str">
        <f t="shared" si="129"/>
        <v>УРАЛМАШ</v>
      </c>
      <c r="J4146" s="5"/>
      <c r="AL4146" s="5">
        <f t="shared" si="130"/>
        <v>0</v>
      </c>
    </row>
    <row r="4147" spans="1:38" ht="25.5" customHeight="1" x14ac:dyDescent="0.25">
      <c r="A4147" s="10" t="s">
        <v>1094</v>
      </c>
      <c r="B4147" s="11" t="s">
        <v>1628</v>
      </c>
      <c r="C4147" s="5">
        <v>70734.0236</v>
      </c>
      <c r="D4147" s="5">
        <v>70734.0236</v>
      </c>
      <c r="E4147" s="5">
        <v>64050.9208</v>
      </c>
      <c r="G4147" s="5" t="str">
        <f t="shared" si="129"/>
        <v>ЭЛЬМАШ</v>
      </c>
      <c r="J4147" s="5"/>
      <c r="AL4147" s="5">
        <f t="shared" si="130"/>
        <v>0</v>
      </c>
    </row>
    <row r="4148" spans="1:38" ht="25.5" customHeight="1" x14ac:dyDescent="0.25">
      <c r="A4148" s="10" t="s">
        <v>834</v>
      </c>
      <c r="B4148" s="11" t="s">
        <v>1639</v>
      </c>
      <c r="C4148" s="5">
        <v>53500.443299999999</v>
      </c>
      <c r="D4148" s="5">
        <v>53500.443299999999</v>
      </c>
      <c r="E4148" s="5">
        <v>48445.605100000001</v>
      </c>
      <c r="G4148" s="5" t="str">
        <f t="shared" si="129"/>
        <v>ИСТОК</v>
      </c>
      <c r="J4148" s="5"/>
      <c r="AL4148" s="5">
        <f t="shared" si="130"/>
        <v>0</v>
      </c>
    </row>
    <row r="4149" spans="1:38" ht="25.5" customHeight="1" x14ac:dyDescent="0.25">
      <c r="A4149" s="10" t="s">
        <v>316</v>
      </c>
      <c r="B4149" s="11" t="s">
        <v>1630</v>
      </c>
      <c r="C4149" s="5">
        <v>62652.9401</v>
      </c>
      <c r="D4149" s="5">
        <v>62652.9401</v>
      </c>
      <c r="E4149" s="5">
        <v>56733.3557</v>
      </c>
      <c r="G4149" s="5" t="str">
        <f t="shared" si="129"/>
        <v>ЧЕРМЕТ</v>
      </c>
      <c r="J4149" s="5"/>
      <c r="AL4149" s="5">
        <f t="shared" si="130"/>
        <v>0</v>
      </c>
    </row>
    <row r="4150" spans="1:38" ht="25.5" customHeight="1" x14ac:dyDescent="0.25">
      <c r="A4150" s="10" t="s">
        <v>3429</v>
      </c>
      <c r="B4150" s="11" t="s">
        <v>14</v>
      </c>
      <c r="C4150" s="5">
        <v>93989.912800000006</v>
      </c>
      <c r="D4150" s="5">
        <v>93989.912800000006</v>
      </c>
      <c r="E4150" s="5">
        <v>85109.545199999993</v>
      </c>
      <c r="G4150" s="5" t="str">
        <f t="shared" si="129"/>
        <v>Центр</v>
      </c>
      <c r="J4150" s="5"/>
      <c r="AL4150" s="5">
        <f t="shared" si="130"/>
        <v>0</v>
      </c>
    </row>
    <row r="4151" spans="1:38" ht="25.5" customHeight="1" x14ac:dyDescent="0.25">
      <c r="A4151" s="10" t="s">
        <v>3430</v>
      </c>
      <c r="B4151" s="11" t="s">
        <v>1631</v>
      </c>
      <c r="C4151" s="5">
        <v>70026.7601</v>
      </c>
      <c r="D4151" s="5">
        <v>70026.7601</v>
      </c>
      <c r="E4151" s="5">
        <v>63410.482000000004</v>
      </c>
      <c r="G4151" s="5" t="str">
        <f t="shared" si="129"/>
        <v>УРАЛМАШ</v>
      </c>
      <c r="J4151" s="5"/>
      <c r="AL4151" s="5">
        <f t="shared" si="130"/>
        <v>0</v>
      </c>
    </row>
    <row r="4152" spans="1:38" ht="25.5" customHeight="1" x14ac:dyDescent="0.25">
      <c r="A4152" s="10" t="s">
        <v>3431</v>
      </c>
      <c r="B4152" s="11" t="s">
        <v>33</v>
      </c>
      <c r="C4152" s="5">
        <v>84298.205100000006</v>
      </c>
      <c r="D4152" s="5">
        <v>84298.205100000006</v>
      </c>
      <c r="E4152" s="5">
        <v>76333.533100000001</v>
      </c>
      <c r="G4152" s="5" t="str">
        <f t="shared" si="129"/>
        <v>ВИЗ</v>
      </c>
      <c r="J4152" s="5"/>
      <c r="AL4152" s="5">
        <f t="shared" si="130"/>
        <v>0</v>
      </c>
    </row>
    <row r="4153" spans="1:38" ht="25.5" customHeight="1" x14ac:dyDescent="0.25">
      <c r="A4153" s="10" t="s">
        <v>983</v>
      </c>
      <c r="B4153" s="11" t="s">
        <v>1633</v>
      </c>
      <c r="C4153" s="5">
        <v>77071.442599999995</v>
      </c>
      <c r="D4153" s="5">
        <v>77071.442599999995</v>
      </c>
      <c r="E4153" s="5">
        <v>69789.570900000006</v>
      </c>
      <c r="G4153" s="5" t="str">
        <f t="shared" si="129"/>
        <v>ВТУЗГОРОДОК</v>
      </c>
      <c r="J4153" s="5"/>
      <c r="AL4153" s="5">
        <f t="shared" si="130"/>
        <v>0</v>
      </c>
    </row>
    <row r="4154" spans="1:38" ht="25.5" customHeight="1" x14ac:dyDescent="0.25">
      <c r="A4154" s="10" t="s">
        <v>60</v>
      </c>
      <c r="B4154" s="11" t="s">
        <v>33</v>
      </c>
      <c r="C4154" s="5">
        <v>84298.205100000006</v>
      </c>
      <c r="D4154" s="5">
        <v>84298.205100000006</v>
      </c>
      <c r="E4154" s="5">
        <v>76333.533100000001</v>
      </c>
      <c r="G4154" s="5" t="str">
        <f t="shared" si="129"/>
        <v>ВИЗ</v>
      </c>
      <c r="J4154" s="5"/>
      <c r="AL4154" s="5">
        <f t="shared" si="130"/>
        <v>0</v>
      </c>
    </row>
    <row r="4155" spans="1:38" ht="25.5" customHeight="1" x14ac:dyDescent="0.25">
      <c r="A4155" s="10" t="s">
        <v>1559</v>
      </c>
      <c r="B4155" s="11" t="s">
        <v>1650</v>
      </c>
      <c r="C4155" s="5">
        <v>37590.3603</v>
      </c>
      <c r="D4155" s="5">
        <v>37590.3603</v>
      </c>
      <c r="E4155" s="5">
        <v>34038.745900000002</v>
      </c>
      <c r="G4155" s="5" t="str">
        <f t="shared" si="129"/>
        <v>ШАБРОВСКИЙ</v>
      </c>
      <c r="J4155" s="5"/>
      <c r="AL4155" s="5">
        <f t="shared" si="130"/>
        <v>0</v>
      </c>
    </row>
    <row r="4156" spans="1:38" ht="25.5" customHeight="1" x14ac:dyDescent="0.25">
      <c r="A4156" s="10" t="s">
        <v>3432</v>
      </c>
      <c r="B4156" s="11" t="s">
        <v>1638</v>
      </c>
      <c r="C4156" s="5">
        <v>63640.311600000001</v>
      </c>
      <c r="D4156" s="5">
        <v>63640.311600000001</v>
      </c>
      <c r="E4156" s="5">
        <v>57627.4473</v>
      </c>
      <c r="G4156" s="5" t="str">
        <f t="shared" si="129"/>
        <v>УКТУС</v>
      </c>
      <c r="J4156" s="5"/>
      <c r="AL4156" s="5">
        <f t="shared" si="130"/>
        <v>0</v>
      </c>
    </row>
    <row r="4157" spans="1:38" ht="25.5" customHeight="1" x14ac:dyDescent="0.25">
      <c r="A4157" s="10" t="s">
        <v>3433</v>
      </c>
      <c r="B4157" s="11" t="s">
        <v>209</v>
      </c>
      <c r="C4157" s="5">
        <v>69382.512499999997</v>
      </c>
      <c r="D4157" s="5">
        <v>69382.512499999997</v>
      </c>
      <c r="E4157" s="5">
        <v>62827.103199999998</v>
      </c>
      <c r="G4157" s="5" t="str">
        <f t="shared" si="129"/>
        <v>ЖБИ</v>
      </c>
      <c r="J4157" s="5"/>
      <c r="AL4157" s="5">
        <f t="shared" si="130"/>
        <v>0</v>
      </c>
    </row>
    <row r="4158" spans="1:38" ht="25.5" customHeight="1" x14ac:dyDescent="0.25">
      <c r="A4158" s="10" t="s">
        <v>3434</v>
      </c>
      <c r="B4158" s="11" t="s">
        <v>1666</v>
      </c>
      <c r="C4158" s="5">
        <v>46784.877899999999</v>
      </c>
      <c r="D4158" s="5">
        <v>46784.877899999999</v>
      </c>
      <c r="E4158" s="5">
        <v>42364.543299999998</v>
      </c>
      <c r="G4158" s="5" t="str">
        <f t="shared" si="129"/>
        <v>Сулим.Торфянник</v>
      </c>
      <c r="J4158" s="5"/>
      <c r="AL4158" s="5">
        <f t="shared" si="130"/>
        <v>0</v>
      </c>
    </row>
    <row r="4159" spans="1:38" ht="25.5" customHeight="1" x14ac:dyDescent="0.25">
      <c r="A4159" s="10" t="s">
        <v>461</v>
      </c>
      <c r="B4159" s="11" t="s">
        <v>1660</v>
      </c>
      <c r="C4159" s="5">
        <v>53262.345800000003</v>
      </c>
      <c r="D4159" s="5">
        <v>53262.345800000003</v>
      </c>
      <c r="E4159" s="5">
        <v>48230.0095</v>
      </c>
      <c r="G4159" s="5" t="str">
        <f t="shared" ref="G4159:G4222" si="131">B4159</f>
        <v>САДОВЫЙ</v>
      </c>
      <c r="J4159" s="5"/>
      <c r="AL4159" s="5">
        <f t="shared" ref="AL4159:AL4222" si="132">AF4159</f>
        <v>0</v>
      </c>
    </row>
    <row r="4160" spans="1:38" ht="25.5" customHeight="1" x14ac:dyDescent="0.25">
      <c r="A4160" s="10" t="s">
        <v>1063</v>
      </c>
      <c r="B4160" s="11" t="s">
        <v>14</v>
      </c>
      <c r="C4160" s="5">
        <v>93989.912800000006</v>
      </c>
      <c r="D4160" s="5">
        <v>93989.912800000006</v>
      </c>
      <c r="E4160" s="5">
        <v>85109.545199999993</v>
      </c>
      <c r="G4160" s="5" t="str">
        <f t="shared" si="131"/>
        <v>Центр</v>
      </c>
      <c r="J4160" s="5"/>
      <c r="AL4160" s="5">
        <f t="shared" si="132"/>
        <v>0</v>
      </c>
    </row>
    <row r="4161" spans="1:38" ht="25.5" customHeight="1" x14ac:dyDescent="0.25">
      <c r="A4161" s="10" t="s">
        <v>3435</v>
      </c>
      <c r="B4161" s="11" t="s">
        <v>1637</v>
      </c>
      <c r="C4161" s="5">
        <v>59368.686099999999</v>
      </c>
      <c r="D4161" s="5">
        <v>59368.686099999999</v>
      </c>
      <c r="E4161" s="5">
        <v>53759.401700000002</v>
      </c>
      <c r="G4161" s="5" t="str">
        <f t="shared" si="131"/>
        <v>Старая сортировка</v>
      </c>
      <c r="J4161" s="5"/>
      <c r="AL4161" s="5">
        <f t="shared" si="132"/>
        <v>0</v>
      </c>
    </row>
    <row r="4162" spans="1:38" ht="25.5" customHeight="1" x14ac:dyDescent="0.25">
      <c r="A4162" s="10" t="s">
        <v>1031</v>
      </c>
      <c r="B4162" s="11" t="s">
        <v>1631</v>
      </c>
      <c r="C4162" s="5">
        <v>70026.7601</v>
      </c>
      <c r="D4162" s="5">
        <v>70026.7601</v>
      </c>
      <c r="E4162" s="5">
        <v>63410.482000000004</v>
      </c>
      <c r="G4162" s="5" t="str">
        <f t="shared" si="131"/>
        <v>УРАЛМАШ</v>
      </c>
      <c r="J4162" s="5"/>
      <c r="AL4162" s="5">
        <f t="shared" si="132"/>
        <v>0</v>
      </c>
    </row>
    <row r="4163" spans="1:38" ht="25.5" customHeight="1" x14ac:dyDescent="0.25">
      <c r="A4163" s="10" t="s">
        <v>1180</v>
      </c>
      <c r="B4163" s="11" t="s">
        <v>1637</v>
      </c>
      <c r="C4163" s="5">
        <v>59368.686099999999</v>
      </c>
      <c r="D4163" s="5">
        <v>59368.686099999999</v>
      </c>
      <c r="E4163" s="5">
        <v>53759.401700000002</v>
      </c>
      <c r="G4163" s="5" t="str">
        <f t="shared" si="131"/>
        <v>Старая сортировка</v>
      </c>
      <c r="J4163" s="5"/>
      <c r="AL4163" s="5">
        <f t="shared" si="132"/>
        <v>0</v>
      </c>
    </row>
    <row r="4164" spans="1:38" ht="25.5" customHeight="1" x14ac:dyDescent="0.25">
      <c r="A4164" s="10" t="s">
        <v>3436</v>
      </c>
      <c r="B4164" s="11" t="s">
        <v>389</v>
      </c>
      <c r="C4164" s="5">
        <v>51175.5573</v>
      </c>
      <c r="D4164" s="5">
        <v>51175.5573</v>
      </c>
      <c r="E4164" s="5">
        <v>46340.381600000001</v>
      </c>
      <c r="G4164" s="5" t="str">
        <f t="shared" si="131"/>
        <v>Северка</v>
      </c>
      <c r="J4164" s="5"/>
      <c r="AL4164" s="5">
        <f t="shared" si="132"/>
        <v>0</v>
      </c>
    </row>
    <row r="4165" spans="1:38" ht="25.5" customHeight="1" x14ac:dyDescent="0.25">
      <c r="A4165" s="10" t="s">
        <v>3437</v>
      </c>
      <c r="B4165" s="11" t="s">
        <v>1644</v>
      </c>
      <c r="C4165" s="5">
        <v>61980.678599999999</v>
      </c>
      <c r="D4165" s="5">
        <v>61980.678599999999</v>
      </c>
      <c r="E4165" s="5">
        <v>56124.615700000002</v>
      </c>
      <c r="G4165" s="5" t="str">
        <f t="shared" si="131"/>
        <v>ХИММАШ</v>
      </c>
      <c r="J4165" s="5"/>
      <c r="AL4165" s="5">
        <f t="shared" si="132"/>
        <v>0</v>
      </c>
    </row>
    <row r="4166" spans="1:38" ht="25.5" customHeight="1" x14ac:dyDescent="0.25">
      <c r="A4166" s="10" t="s">
        <v>3438</v>
      </c>
      <c r="B4166" s="11" t="s">
        <v>33</v>
      </c>
      <c r="C4166" s="5">
        <v>84298.205100000006</v>
      </c>
      <c r="D4166" s="5">
        <v>84298.205100000006</v>
      </c>
      <c r="E4166" s="5">
        <v>76333.533100000001</v>
      </c>
      <c r="G4166" s="5" t="str">
        <f t="shared" si="131"/>
        <v>ВИЗ</v>
      </c>
      <c r="J4166" s="5"/>
      <c r="AL4166" s="5">
        <f t="shared" si="132"/>
        <v>0</v>
      </c>
    </row>
    <row r="4167" spans="1:38" ht="25.5" customHeight="1" x14ac:dyDescent="0.25">
      <c r="A4167" s="10" t="s">
        <v>741</v>
      </c>
      <c r="B4167" s="11" t="s">
        <v>14</v>
      </c>
      <c r="C4167" s="5">
        <v>93989.912800000006</v>
      </c>
      <c r="D4167" s="5">
        <v>93989.912800000006</v>
      </c>
      <c r="E4167" s="5">
        <v>85109.545199999993</v>
      </c>
      <c r="G4167" s="5" t="str">
        <f t="shared" si="131"/>
        <v>Центр</v>
      </c>
      <c r="J4167" s="5"/>
      <c r="AL4167" s="5">
        <f t="shared" si="132"/>
        <v>0</v>
      </c>
    </row>
    <row r="4168" spans="1:38" ht="25.5" customHeight="1" x14ac:dyDescent="0.25">
      <c r="A4168" s="10" t="s">
        <v>879</v>
      </c>
      <c r="B4168" s="11" t="s">
        <v>1631</v>
      </c>
      <c r="C4168" s="5">
        <v>70026.7601</v>
      </c>
      <c r="D4168" s="5">
        <v>70026.7601</v>
      </c>
      <c r="E4168" s="5">
        <v>63410.482000000004</v>
      </c>
      <c r="G4168" s="5" t="str">
        <f t="shared" si="131"/>
        <v>УРАЛМАШ</v>
      </c>
      <c r="J4168" s="5"/>
      <c r="AL4168" s="5">
        <f t="shared" si="132"/>
        <v>0</v>
      </c>
    </row>
    <row r="4169" spans="1:38" ht="25.5" customHeight="1" x14ac:dyDescent="0.25">
      <c r="A4169" s="10" t="s">
        <v>3439</v>
      </c>
      <c r="B4169" s="11" t="s">
        <v>1647</v>
      </c>
      <c r="C4169" s="5">
        <v>63178.133800000003</v>
      </c>
      <c r="D4169" s="5">
        <v>63178.133800000003</v>
      </c>
      <c r="E4169" s="5">
        <v>57208.931499999999</v>
      </c>
      <c r="G4169" s="5" t="str">
        <f t="shared" si="131"/>
        <v>ШИРОКАЯ РЕЧКА</v>
      </c>
      <c r="J4169" s="5"/>
      <c r="AL4169" s="5">
        <f t="shared" si="132"/>
        <v>0</v>
      </c>
    </row>
    <row r="4170" spans="1:38" ht="25.5" customHeight="1" x14ac:dyDescent="0.25">
      <c r="A4170" s="10" t="s">
        <v>3440</v>
      </c>
      <c r="B4170" s="11" t="s">
        <v>1647</v>
      </c>
      <c r="C4170" s="5">
        <v>63178.133800000003</v>
      </c>
      <c r="D4170" s="5">
        <v>63178.133800000003</v>
      </c>
      <c r="E4170" s="5">
        <v>57208.931499999999</v>
      </c>
      <c r="G4170" s="5" t="str">
        <f t="shared" si="131"/>
        <v>ШИРОКАЯ РЕЧКА</v>
      </c>
      <c r="J4170" s="5"/>
      <c r="AL4170" s="5">
        <f t="shared" si="132"/>
        <v>0</v>
      </c>
    </row>
    <row r="4171" spans="1:38" ht="25.5" customHeight="1" x14ac:dyDescent="0.25">
      <c r="A4171" s="10" t="s">
        <v>3441</v>
      </c>
      <c r="B4171" s="11" t="s">
        <v>33</v>
      </c>
      <c r="C4171" s="5">
        <v>84298.205100000006</v>
      </c>
      <c r="D4171" s="5">
        <v>84298.205100000006</v>
      </c>
      <c r="E4171" s="5">
        <v>76333.533100000001</v>
      </c>
      <c r="G4171" s="5" t="str">
        <f t="shared" si="131"/>
        <v>ВИЗ</v>
      </c>
      <c r="J4171" s="5"/>
      <c r="AL4171" s="5">
        <f t="shared" si="132"/>
        <v>0</v>
      </c>
    </row>
    <row r="4172" spans="1:38" ht="25.5" customHeight="1" x14ac:dyDescent="0.25">
      <c r="A4172" s="10" t="s">
        <v>425</v>
      </c>
      <c r="B4172" s="11" t="s">
        <v>33</v>
      </c>
      <c r="C4172" s="5">
        <v>84298.205100000006</v>
      </c>
      <c r="D4172" s="5">
        <v>84298.205100000006</v>
      </c>
      <c r="E4172" s="5">
        <v>76333.533100000001</v>
      </c>
      <c r="G4172" s="5" t="str">
        <f t="shared" si="131"/>
        <v>ВИЗ</v>
      </c>
      <c r="J4172" s="5"/>
      <c r="AL4172" s="5">
        <f t="shared" si="132"/>
        <v>0</v>
      </c>
    </row>
    <row r="4173" spans="1:38" ht="25.5" customHeight="1" x14ac:dyDescent="0.25">
      <c r="A4173" s="10" t="s">
        <v>422</v>
      </c>
      <c r="B4173" s="11" t="s">
        <v>1640</v>
      </c>
      <c r="C4173" s="5">
        <v>64914.8</v>
      </c>
      <c r="D4173" s="5">
        <v>64914.8</v>
      </c>
      <c r="E4173" s="5">
        <v>58781.519200000002</v>
      </c>
      <c r="G4173" s="5" t="str">
        <f t="shared" si="131"/>
        <v>Новая сортировка</v>
      </c>
      <c r="J4173" s="5"/>
      <c r="AL4173" s="5">
        <f t="shared" si="132"/>
        <v>0</v>
      </c>
    </row>
    <row r="4174" spans="1:38" ht="25.5" customHeight="1" x14ac:dyDescent="0.25">
      <c r="A4174" s="10" t="s">
        <v>3442</v>
      </c>
      <c r="B4174" s="11" t="s">
        <v>1647</v>
      </c>
      <c r="C4174" s="5">
        <v>63178.133800000003</v>
      </c>
      <c r="D4174" s="5">
        <v>63178.133800000003</v>
      </c>
      <c r="E4174" s="5">
        <v>57208.931499999999</v>
      </c>
      <c r="G4174" s="5" t="str">
        <f t="shared" si="131"/>
        <v>ШИРОКАЯ РЕЧКА</v>
      </c>
      <c r="J4174" s="5"/>
      <c r="AL4174" s="5">
        <f t="shared" si="132"/>
        <v>0</v>
      </c>
    </row>
    <row r="4175" spans="1:38" ht="25.5" customHeight="1" x14ac:dyDescent="0.25">
      <c r="A4175" s="10" t="s">
        <v>403</v>
      </c>
      <c r="B4175" s="11" t="s">
        <v>1646</v>
      </c>
      <c r="C4175" s="5">
        <v>61763.596599999997</v>
      </c>
      <c r="D4175" s="5">
        <v>61763.596599999997</v>
      </c>
      <c r="E4175" s="5">
        <v>55928.0435</v>
      </c>
      <c r="G4175" s="5" t="str">
        <f t="shared" si="131"/>
        <v>АКАДЕМИЧЕСКИЙ</v>
      </c>
      <c r="J4175" s="5"/>
      <c r="AL4175" s="5">
        <f t="shared" si="132"/>
        <v>0</v>
      </c>
    </row>
    <row r="4176" spans="1:38" ht="25.5" customHeight="1" x14ac:dyDescent="0.25">
      <c r="A4176" s="10" t="s">
        <v>1246</v>
      </c>
      <c r="B4176" s="11" t="s">
        <v>1645</v>
      </c>
      <c r="C4176" s="5">
        <v>60958.294800000003</v>
      </c>
      <c r="D4176" s="5">
        <v>60958.294800000003</v>
      </c>
      <c r="E4176" s="5">
        <v>55198.825199999999</v>
      </c>
      <c r="G4176" s="5" t="str">
        <f t="shared" si="131"/>
        <v>ЕЛИЗАВЕТ</v>
      </c>
      <c r="J4176" s="5"/>
      <c r="AL4176" s="5">
        <f t="shared" si="132"/>
        <v>0</v>
      </c>
    </row>
    <row r="4177" spans="1:38" ht="25.5" customHeight="1" x14ac:dyDescent="0.25">
      <c r="A4177" s="10" t="s">
        <v>772</v>
      </c>
      <c r="B4177" s="11" t="s">
        <v>1640</v>
      </c>
      <c r="C4177" s="5">
        <v>64914.8</v>
      </c>
      <c r="D4177" s="5">
        <v>64914.8</v>
      </c>
      <c r="E4177" s="5">
        <v>58781.519200000002</v>
      </c>
      <c r="G4177" s="5" t="str">
        <f t="shared" si="131"/>
        <v>Новая сортировка</v>
      </c>
      <c r="J4177" s="5"/>
      <c r="AL4177" s="5">
        <f t="shared" si="132"/>
        <v>0</v>
      </c>
    </row>
    <row r="4178" spans="1:38" ht="25.5" customHeight="1" x14ac:dyDescent="0.25">
      <c r="A4178" s="10" t="s">
        <v>3443</v>
      </c>
      <c r="B4178" s="11" t="s">
        <v>1630</v>
      </c>
      <c r="C4178" s="5">
        <v>62652.9401</v>
      </c>
      <c r="D4178" s="5">
        <v>62652.9401</v>
      </c>
      <c r="E4178" s="5">
        <v>56733.3557</v>
      </c>
      <c r="G4178" s="5" t="str">
        <f t="shared" si="131"/>
        <v>ЧЕРМЕТ</v>
      </c>
      <c r="J4178" s="5"/>
      <c r="AL4178" s="5">
        <f t="shared" si="132"/>
        <v>0</v>
      </c>
    </row>
    <row r="4179" spans="1:38" ht="25.5" customHeight="1" x14ac:dyDescent="0.25">
      <c r="A4179" s="10" t="s">
        <v>3444</v>
      </c>
      <c r="B4179" s="11" t="s">
        <v>1627</v>
      </c>
      <c r="C4179" s="5">
        <v>56392.543899999997</v>
      </c>
      <c r="D4179" s="5">
        <v>56392.543899999997</v>
      </c>
      <c r="E4179" s="5">
        <v>51064.4617</v>
      </c>
      <c r="G4179" s="5" t="str">
        <f t="shared" si="131"/>
        <v>КОМПРЕССОРНЫЙ</v>
      </c>
      <c r="J4179" s="5"/>
      <c r="AL4179" s="5">
        <f t="shared" si="132"/>
        <v>0</v>
      </c>
    </row>
    <row r="4180" spans="1:38" ht="25.5" customHeight="1" x14ac:dyDescent="0.25">
      <c r="A4180" s="10" t="s">
        <v>3445</v>
      </c>
      <c r="B4180" s="11" t="s">
        <v>1657</v>
      </c>
      <c r="C4180" s="5">
        <v>54886.9666</v>
      </c>
      <c r="D4180" s="5">
        <v>54886.9666</v>
      </c>
      <c r="E4180" s="5">
        <v>49701.1319</v>
      </c>
      <c r="G4180" s="5" t="str">
        <f t="shared" si="131"/>
        <v>КОЛЬЦОВО</v>
      </c>
      <c r="J4180" s="5"/>
      <c r="AL4180" s="5">
        <f t="shared" si="132"/>
        <v>0</v>
      </c>
    </row>
    <row r="4181" spans="1:38" ht="25.5" customHeight="1" x14ac:dyDescent="0.25">
      <c r="A4181" s="10" t="s">
        <v>688</v>
      </c>
      <c r="B4181" s="11" t="s">
        <v>1640</v>
      </c>
      <c r="C4181" s="5">
        <v>64914.8</v>
      </c>
      <c r="D4181" s="5">
        <v>64914.8</v>
      </c>
      <c r="E4181" s="5">
        <v>58781.519200000002</v>
      </c>
      <c r="G4181" s="5" t="str">
        <f t="shared" si="131"/>
        <v>Новая сортировка</v>
      </c>
      <c r="J4181" s="5"/>
      <c r="AL4181" s="5">
        <f t="shared" si="132"/>
        <v>0</v>
      </c>
    </row>
    <row r="4182" spans="1:38" ht="25.5" customHeight="1" x14ac:dyDescent="0.25">
      <c r="A4182" s="10" t="s">
        <v>780</v>
      </c>
      <c r="B4182" s="11" t="s">
        <v>1643</v>
      </c>
      <c r="C4182" s="5">
        <v>76630.280299999999</v>
      </c>
      <c r="D4182" s="5">
        <v>76630.280299999999</v>
      </c>
      <c r="E4182" s="5">
        <v>69390.088799999998</v>
      </c>
      <c r="G4182" s="5" t="str">
        <f t="shared" si="131"/>
        <v>Ю-З</v>
      </c>
      <c r="J4182" s="5"/>
      <c r="AL4182" s="5">
        <f t="shared" si="132"/>
        <v>0</v>
      </c>
    </row>
    <row r="4183" spans="1:38" ht="25.5" customHeight="1" x14ac:dyDescent="0.25">
      <c r="A4183" s="10" t="s">
        <v>939</v>
      </c>
      <c r="B4183" s="11" t="s">
        <v>1665</v>
      </c>
      <c r="C4183" s="5">
        <v>55692.278700000003</v>
      </c>
      <c r="D4183" s="5">
        <v>55692.278700000003</v>
      </c>
      <c r="E4183" s="5">
        <v>50430.350200000001</v>
      </c>
      <c r="G4183" s="5" t="str">
        <f t="shared" si="131"/>
        <v>ПОЛЕВОДСТВО</v>
      </c>
      <c r="J4183" s="5"/>
      <c r="AL4183" s="5">
        <f t="shared" si="132"/>
        <v>0</v>
      </c>
    </row>
    <row r="4184" spans="1:38" ht="25.5" customHeight="1" x14ac:dyDescent="0.25">
      <c r="A4184" s="10" t="s">
        <v>893</v>
      </c>
      <c r="B4184" s="11" t="s">
        <v>1633</v>
      </c>
      <c r="C4184" s="5">
        <v>77071.442599999995</v>
      </c>
      <c r="D4184" s="5">
        <v>77071.442599999995</v>
      </c>
      <c r="E4184" s="5">
        <v>69789.570900000006</v>
      </c>
      <c r="G4184" s="5" t="str">
        <f t="shared" si="131"/>
        <v>ВТУЗГОРОДОК</v>
      </c>
      <c r="J4184" s="5"/>
      <c r="AL4184" s="5">
        <f t="shared" si="132"/>
        <v>0</v>
      </c>
    </row>
    <row r="4185" spans="1:38" ht="25.5" customHeight="1" x14ac:dyDescent="0.25">
      <c r="A4185" s="10" t="s">
        <v>553</v>
      </c>
      <c r="B4185" s="11" t="s">
        <v>1637</v>
      </c>
      <c r="C4185" s="5">
        <v>59368.686099999999</v>
      </c>
      <c r="D4185" s="5">
        <v>59368.686099999999</v>
      </c>
      <c r="E4185" s="5">
        <v>53759.401700000002</v>
      </c>
      <c r="G4185" s="5" t="str">
        <f t="shared" si="131"/>
        <v>Старая сортировка</v>
      </c>
      <c r="J4185" s="5"/>
      <c r="AL4185" s="5">
        <f t="shared" si="132"/>
        <v>0</v>
      </c>
    </row>
    <row r="4186" spans="1:38" ht="25.5" customHeight="1" x14ac:dyDescent="0.25">
      <c r="A4186" s="10" t="s">
        <v>3446</v>
      </c>
      <c r="B4186" s="11" t="s">
        <v>33</v>
      </c>
      <c r="C4186" s="5">
        <v>84298.205100000006</v>
      </c>
      <c r="D4186" s="5">
        <v>84298.205100000006</v>
      </c>
      <c r="E4186" s="5">
        <v>76333.533100000001</v>
      </c>
      <c r="G4186" s="5" t="str">
        <f t="shared" si="131"/>
        <v>ВИЗ</v>
      </c>
      <c r="J4186" s="5"/>
      <c r="AL4186" s="5">
        <f t="shared" si="132"/>
        <v>0</v>
      </c>
    </row>
    <row r="4187" spans="1:38" ht="25.5" customHeight="1" x14ac:dyDescent="0.25">
      <c r="A4187" s="10" t="s">
        <v>1202</v>
      </c>
      <c r="B4187" s="11" t="s">
        <v>14</v>
      </c>
      <c r="C4187" s="5">
        <v>93989.912800000006</v>
      </c>
      <c r="D4187" s="5">
        <v>93989.912800000006</v>
      </c>
      <c r="E4187" s="5">
        <v>85109.545199999993</v>
      </c>
      <c r="G4187" s="5" t="str">
        <f t="shared" si="131"/>
        <v>Центр</v>
      </c>
      <c r="J4187" s="5"/>
      <c r="AL4187" s="5">
        <f t="shared" si="132"/>
        <v>0</v>
      </c>
    </row>
    <row r="4188" spans="1:38" ht="25.5" customHeight="1" x14ac:dyDescent="0.25">
      <c r="A4188" s="10" t="s">
        <v>3447</v>
      </c>
      <c r="B4188" s="11" t="s">
        <v>1636</v>
      </c>
      <c r="C4188" s="5">
        <v>52246.960299999999</v>
      </c>
      <c r="D4188" s="5">
        <v>52246.960299999999</v>
      </c>
      <c r="E4188" s="5">
        <v>47310.556700000001</v>
      </c>
      <c r="G4188" s="5" t="str">
        <f t="shared" si="131"/>
        <v>ГОРНЫЙ ЩИТ</v>
      </c>
      <c r="J4188" s="5"/>
      <c r="AL4188" s="5">
        <f t="shared" si="132"/>
        <v>0</v>
      </c>
    </row>
    <row r="4189" spans="1:38" ht="25.5" customHeight="1" x14ac:dyDescent="0.25">
      <c r="A4189" s="10" t="s">
        <v>1257</v>
      </c>
      <c r="B4189" s="11" t="s">
        <v>14</v>
      </c>
      <c r="C4189" s="5">
        <v>93989.912800000006</v>
      </c>
      <c r="D4189" s="5">
        <v>93989.912800000006</v>
      </c>
      <c r="E4189" s="5">
        <v>85109.545199999993</v>
      </c>
      <c r="G4189" s="5" t="str">
        <f t="shared" si="131"/>
        <v>Центр</v>
      </c>
      <c r="J4189" s="5"/>
      <c r="AL4189" s="5">
        <f t="shared" si="132"/>
        <v>0</v>
      </c>
    </row>
    <row r="4190" spans="1:38" ht="25.5" customHeight="1" x14ac:dyDescent="0.25">
      <c r="A4190" s="10" t="s">
        <v>243</v>
      </c>
      <c r="B4190" s="11" t="s">
        <v>14</v>
      </c>
      <c r="C4190" s="5">
        <v>93989.912800000006</v>
      </c>
      <c r="D4190" s="5">
        <v>93989.912800000006</v>
      </c>
      <c r="E4190" s="5">
        <v>85109.545199999993</v>
      </c>
      <c r="G4190" s="5" t="str">
        <f t="shared" si="131"/>
        <v>Центр</v>
      </c>
      <c r="J4190" s="5"/>
      <c r="AL4190" s="5">
        <f t="shared" si="132"/>
        <v>0</v>
      </c>
    </row>
    <row r="4191" spans="1:38" ht="25.5" customHeight="1" x14ac:dyDescent="0.25">
      <c r="A4191" s="10" t="s">
        <v>1086</v>
      </c>
      <c r="B4191" s="11" t="s">
        <v>1630</v>
      </c>
      <c r="C4191" s="5">
        <v>62652.9401</v>
      </c>
      <c r="D4191" s="5">
        <v>62652.9401</v>
      </c>
      <c r="E4191" s="5">
        <v>56733.3557</v>
      </c>
      <c r="G4191" s="5" t="str">
        <f t="shared" si="131"/>
        <v>ЧЕРМЕТ</v>
      </c>
      <c r="J4191" s="5"/>
      <c r="AL4191" s="5">
        <f t="shared" si="132"/>
        <v>0</v>
      </c>
    </row>
    <row r="4192" spans="1:38" ht="25.5" customHeight="1" x14ac:dyDescent="0.25">
      <c r="A4192" s="10" t="s">
        <v>3448</v>
      </c>
      <c r="B4192" s="11" t="s">
        <v>1647</v>
      </c>
      <c r="C4192" s="5">
        <v>63178.133800000003</v>
      </c>
      <c r="D4192" s="5">
        <v>63178.133800000003</v>
      </c>
      <c r="E4192" s="5">
        <v>57208.931499999999</v>
      </c>
      <c r="G4192" s="5" t="str">
        <f t="shared" si="131"/>
        <v>ШИРОКАЯ РЕЧКА</v>
      </c>
      <c r="J4192" s="5"/>
      <c r="AL4192" s="5">
        <f t="shared" si="132"/>
        <v>0</v>
      </c>
    </row>
    <row r="4193" spans="1:38" ht="25.5" customHeight="1" x14ac:dyDescent="0.25">
      <c r="A4193" s="10" t="s">
        <v>212</v>
      </c>
      <c r="B4193" s="11" t="s">
        <v>1632</v>
      </c>
      <c r="C4193" s="5">
        <v>83744.997499999998</v>
      </c>
      <c r="D4193" s="5">
        <v>83744.997499999998</v>
      </c>
      <c r="E4193" s="5">
        <v>75832.596099999995</v>
      </c>
      <c r="G4193" s="5" t="str">
        <f t="shared" si="131"/>
        <v>АВТОВОКЗАЛ</v>
      </c>
      <c r="J4193" s="5"/>
      <c r="AL4193" s="5">
        <f t="shared" si="132"/>
        <v>0</v>
      </c>
    </row>
    <row r="4194" spans="1:38" ht="25.5" customHeight="1" x14ac:dyDescent="0.25">
      <c r="A4194" s="10" t="s">
        <v>908</v>
      </c>
      <c r="B4194" s="11" t="s">
        <v>1629</v>
      </c>
      <c r="C4194" s="5">
        <v>77743.704100000003</v>
      </c>
      <c r="D4194" s="5">
        <v>77743.704100000003</v>
      </c>
      <c r="E4194" s="5">
        <v>70398.310800000007</v>
      </c>
      <c r="G4194" s="5" t="str">
        <f t="shared" si="131"/>
        <v>ПИОНЕРСКИЙ</v>
      </c>
      <c r="J4194" s="5"/>
      <c r="AL4194" s="5">
        <f t="shared" si="132"/>
        <v>0</v>
      </c>
    </row>
    <row r="4195" spans="1:38" ht="25.5" customHeight="1" x14ac:dyDescent="0.25">
      <c r="A4195" s="10" t="s">
        <v>956</v>
      </c>
      <c r="B4195" s="11" t="s">
        <v>1627</v>
      </c>
      <c r="C4195" s="5">
        <v>56392.543899999997</v>
      </c>
      <c r="D4195" s="5">
        <v>56392.543899999997</v>
      </c>
      <c r="E4195" s="5">
        <v>51064.4617</v>
      </c>
      <c r="G4195" s="5" t="str">
        <f t="shared" si="131"/>
        <v>КОМПРЕССОРНЫЙ</v>
      </c>
      <c r="J4195" s="5"/>
      <c r="AL4195" s="5">
        <f t="shared" si="132"/>
        <v>0</v>
      </c>
    </row>
    <row r="4196" spans="1:38" ht="25.5" customHeight="1" x14ac:dyDescent="0.25">
      <c r="A4196" s="10" t="s">
        <v>509</v>
      </c>
      <c r="B4196" s="11" t="s">
        <v>1633</v>
      </c>
      <c r="C4196" s="5">
        <v>77071.442599999995</v>
      </c>
      <c r="D4196" s="5">
        <v>77071.442599999995</v>
      </c>
      <c r="E4196" s="5">
        <v>69789.570900000006</v>
      </c>
      <c r="G4196" s="5" t="str">
        <f t="shared" si="131"/>
        <v>ВТУЗГОРОДОК</v>
      </c>
      <c r="J4196" s="5"/>
      <c r="AL4196" s="5">
        <f t="shared" si="132"/>
        <v>0</v>
      </c>
    </row>
    <row r="4197" spans="1:38" ht="25.5" customHeight="1" x14ac:dyDescent="0.25">
      <c r="A4197" s="10" t="s">
        <v>119</v>
      </c>
      <c r="B4197" s="11" t="s">
        <v>1631</v>
      </c>
      <c r="C4197" s="5">
        <v>70026.7601</v>
      </c>
      <c r="D4197" s="5">
        <v>70026.7601</v>
      </c>
      <c r="E4197" s="5">
        <v>63410.482000000004</v>
      </c>
      <c r="G4197" s="5" t="str">
        <f t="shared" si="131"/>
        <v>УРАЛМАШ</v>
      </c>
      <c r="J4197" s="5"/>
      <c r="AL4197" s="5">
        <f t="shared" si="132"/>
        <v>0</v>
      </c>
    </row>
    <row r="4198" spans="1:38" ht="25.5" customHeight="1" x14ac:dyDescent="0.25">
      <c r="A4198" s="10" t="s">
        <v>3449</v>
      </c>
      <c r="B4198" s="11" t="s">
        <v>779</v>
      </c>
      <c r="C4198" s="5">
        <v>46784.877899999999</v>
      </c>
      <c r="D4198" s="5">
        <v>46784.877899999999</v>
      </c>
      <c r="E4198" s="5">
        <v>42364.543299999998</v>
      </c>
      <c r="G4198" s="5" t="str">
        <f t="shared" si="131"/>
        <v>Нижнеисетский</v>
      </c>
      <c r="J4198" s="5"/>
      <c r="AL4198" s="5">
        <f t="shared" si="132"/>
        <v>0</v>
      </c>
    </row>
    <row r="4199" spans="1:38" ht="25.5" customHeight="1" x14ac:dyDescent="0.25">
      <c r="A4199" s="10" t="s">
        <v>3450</v>
      </c>
      <c r="B4199" s="11" t="s">
        <v>1662</v>
      </c>
      <c r="C4199" s="5">
        <v>46784.877899999999</v>
      </c>
      <c r="D4199" s="5">
        <v>46784.877899999999</v>
      </c>
      <c r="E4199" s="5">
        <v>42364.543299999998</v>
      </c>
      <c r="G4199" s="5" t="str">
        <f t="shared" si="131"/>
        <v>РУДНЫЙ</v>
      </c>
      <c r="J4199" s="5"/>
      <c r="AL4199" s="5">
        <f t="shared" si="132"/>
        <v>0</v>
      </c>
    </row>
    <row r="4200" spans="1:38" ht="25.5" customHeight="1" x14ac:dyDescent="0.25">
      <c r="A4200" s="10" t="s">
        <v>1017</v>
      </c>
      <c r="B4200" s="11" t="s">
        <v>1643</v>
      </c>
      <c r="C4200" s="5">
        <v>76630.280299999999</v>
      </c>
      <c r="D4200" s="5">
        <v>76630.280299999999</v>
      </c>
      <c r="E4200" s="5">
        <v>69390.088799999998</v>
      </c>
      <c r="G4200" s="5" t="str">
        <f t="shared" si="131"/>
        <v>Ю-З</v>
      </c>
      <c r="J4200" s="5"/>
      <c r="AL4200" s="5">
        <f t="shared" si="132"/>
        <v>0</v>
      </c>
    </row>
    <row r="4201" spans="1:38" ht="25.5" customHeight="1" x14ac:dyDescent="0.25">
      <c r="A4201" s="10" t="s">
        <v>905</v>
      </c>
      <c r="B4201" s="11" t="s">
        <v>1630</v>
      </c>
      <c r="C4201" s="5">
        <v>62652.9401</v>
      </c>
      <c r="D4201" s="5">
        <v>62652.9401</v>
      </c>
      <c r="E4201" s="5">
        <v>56733.3557</v>
      </c>
      <c r="G4201" s="5" t="str">
        <f t="shared" si="131"/>
        <v>ЧЕРМЕТ</v>
      </c>
      <c r="J4201" s="5"/>
      <c r="AL4201" s="5">
        <f t="shared" si="132"/>
        <v>0</v>
      </c>
    </row>
    <row r="4202" spans="1:38" ht="25.5" customHeight="1" x14ac:dyDescent="0.25">
      <c r="A4202" s="10" t="s">
        <v>1120</v>
      </c>
      <c r="B4202" s="11" t="s">
        <v>1628</v>
      </c>
      <c r="C4202" s="5">
        <v>70734.0236</v>
      </c>
      <c r="D4202" s="5">
        <v>70734.0236</v>
      </c>
      <c r="E4202" s="5">
        <v>64050.9208</v>
      </c>
      <c r="G4202" s="5" t="str">
        <f t="shared" si="131"/>
        <v>ЭЛЬМАШ</v>
      </c>
      <c r="J4202" s="5"/>
      <c r="AL4202" s="5">
        <f t="shared" si="132"/>
        <v>0</v>
      </c>
    </row>
    <row r="4203" spans="1:38" ht="25.5" customHeight="1" x14ac:dyDescent="0.25">
      <c r="A4203" s="10" t="s">
        <v>1599</v>
      </c>
      <c r="B4203" s="5" t="s">
        <v>1632</v>
      </c>
      <c r="C4203" s="5">
        <v>83744.997499999998</v>
      </c>
      <c r="D4203" s="5">
        <v>83744.997499999998</v>
      </c>
      <c r="E4203" s="5">
        <v>75832.596099999995</v>
      </c>
      <c r="G4203" s="5" t="str">
        <f t="shared" si="131"/>
        <v>АВТОВОКЗАЛ</v>
      </c>
      <c r="J4203" s="5"/>
      <c r="AL4203" s="5">
        <f t="shared" si="132"/>
        <v>0</v>
      </c>
    </row>
    <row r="4204" spans="1:38" ht="25.5" customHeight="1" x14ac:dyDescent="0.25">
      <c r="A4204" s="10" t="s">
        <v>464</v>
      </c>
      <c r="B4204" s="11" t="s">
        <v>1633</v>
      </c>
      <c r="C4204" s="5">
        <v>77071.442599999995</v>
      </c>
      <c r="D4204" s="5">
        <v>77071.442599999995</v>
      </c>
      <c r="E4204" s="5">
        <v>69789.570900000006</v>
      </c>
      <c r="G4204" s="5" t="str">
        <f t="shared" si="131"/>
        <v>ВТУЗГОРОДОК</v>
      </c>
      <c r="J4204" s="5"/>
      <c r="AL4204" s="5">
        <f t="shared" si="132"/>
        <v>0</v>
      </c>
    </row>
    <row r="4205" spans="1:38" ht="25.5" customHeight="1" x14ac:dyDescent="0.25">
      <c r="A4205" s="10" t="s">
        <v>3451</v>
      </c>
      <c r="B4205" s="11" t="s">
        <v>1651</v>
      </c>
      <c r="C4205" s="5">
        <v>68129.029500000004</v>
      </c>
      <c r="D4205" s="5">
        <v>68129.029500000004</v>
      </c>
      <c r="E4205" s="5">
        <v>61692.054799999998</v>
      </c>
      <c r="G4205" s="5" t="str">
        <f t="shared" si="131"/>
        <v>ШАРТАШ</v>
      </c>
      <c r="J4205" s="5"/>
      <c r="AL4205" s="5">
        <f t="shared" si="132"/>
        <v>0</v>
      </c>
    </row>
    <row r="4206" spans="1:38" ht="25.5" customHeight="1" x14ac:dyDescent="0.25">
      <c r="A4206" s="10" t="s">
        <v>1288</v>
      </c>
      <c r="B4206" s="11" t="s">
        <v>1628</v>
      </c>
      <c r="C4206" s="5">
        <v>70734.0236</v>
      </c>
      <c r="D4206" s="5">
        <v>70734.0236</v>
      </c>
      <c r="E4206" s="5">
        <v>64050.9208</v>
      </c>
      <c r="G4206" s="5" t="str">
        <f t="shared" si="131"/>
        <v>ЭЛЬМАШ</v>
      </c>
      <c r="J4206" s="5"/>
      <c r="AL4206" s="5">
        <f t="shared" si="132"/>
        <v>0</v>
      </c>
    </row>
    <row r="4207" spans="1:38" ht="25.5" customHeight="1" x14ac:dyDescent="0.25">
      <c r="A4207" s="10" t="s">
        <v>526</v>
      </c>
      <c r="B4207" s="11" t="s">
        <v>1631</v>
      </c>
      <c r="C4207" s="5">
        <v>70026.7601</v>
      </c>
      <c r="D4207" s="5">
        <v>70026.7601</v>
      </c>
      <c r="E4207" s="5">
        <v>63410.482000000004</v>
      </c>
      <c r="G4207" s="5" t="str">
        <f t="shared" si="131"/>
        <v>УРАЛМАШ</v>
      </c>
      <c r="J4207" s="5"/>
      <c r="AL4207" s="5">
        <f t="shared" si="132"/>
        <v>0</v>
      </c>
    </row>
    <row r="4208" spans="1:38" ht="25.5" customHeight="1" x14ac:dyDescent="0.25">
      <c r="A4208" s="10" t="s">
        <v>1008</v>
      </c>
      <c r="B4208" s="11" t="s">
        <v>1634</v>
      </c>
      <c r="C4208" s="5">
        <v>77064.444199999998</v>
      </c>
      <c r="D4208" s="5">
        <v>77064.444199999998</v>
      </c>
      <c r="E4208" s="5">
        <v>69783.233200000002</v>
      </c>
      <c r="G4208" s="5" t="str">
        <f t="shared" si="131"/>
        <v>БОТАНИЧЕСКИЙ</v>
      </c>
      <c r="J4208" s="5"/>
      <c r="AL4208" s="5">
        <f t="shared" si="132"/>
        <v>0</v>
      </c>
    </row>
    <row r="4209" spans="1:38" ht="25.5" customHeight="1" x14ac:dyDescent="0.25">
      <c r="A4209" s="10" t="s">
        <v>1043</v>
      </c>
      <c r="B4209" s="11" t="s">
        <v>1629</v>
      </c>
      <c r="C4209" s="5">
        <v>77743.704100000003</v>
      </c>
      <c r="D4209" s="5">
        <v>77743.704100000003</v>
      </c>
      <c r="E4209" s="5">
        <v>70398.310800000007</v>
      </c>
      <c r="G4209" s="5" t="str">
        <f t="shared" si="131"/>
        <v>ПИОНЕРСКИЙ</v>
      </c>
      <c r="J4209" s="5"/>
      <c r="AL4209" s="5">
        <f t="shared" si="132"/>
        <v>0</v>
      </c>
    </row>
    <row r="4210" spans="1:38" ht="25.5" customHeight="1" x14ac:dyDescent="0.25">
      <c r="A4210" s="10" t="s">
        <v>271</v>
      </c>
      <c r="B4210" s="11" t="s">
        <v>1643</v>
      </c>
      <c r="C4210" s="5">
        <v>76630.280299999999</v>
      </c>
      <c r="D4210" s="5">
        <v>76630.280299999999</v>
      </c>
      <c r="E4210" s="5">
        <v>69390.088799999998</v>
      </c>
      <c r="G4210" s="5" t="str">
        <f t="shared" si="131"/>
        <v>Ю-З</v>
      </c>
      <c r="J4210" s="5"/>
      <c r="AL4210" s="5">
        <f t="shared" si="132"/>
        <v>0</v>
      </c>
    </row>
    <row r="4211" spans="1:38" ht="25.5" customHeight="1" x14ac:dyDescent="0.25">
      <c r="A4211" s="10" t="s">
        <v>1134</v>
      </c>
      <c r="B4211" s="11" t="s">
        <v>1632</v>
      </c>
      <c r="C4211" s="5">
        <v>83744.997499999998</v>
      </c>
      <c r="D4211" s="5">
        <v>83744.997499999998</v>
      </c>
      <c r="E4211" s="5">
        <v>75832.596099999995</v>
      </c>
      <c r="G4211" s="5" t="str">
        <f t="shared" si="131"/>
        <v>АВТОВОКЗАЛ</v>
      </c>
      <c r="J4211" s="5"/>
      <c r="AL4211" s="5">
        <f t="shared" si="132"/>
        <v>0</v>
      </c>
    </row>
    <row r="4212" spans="1:38" ht="25.5" customHeight="1" x14ac:dyDescent="0.25">
      <c r="A4212" s="10" t="s">
        <v>214</v>
      </c>
      <c r="B4212" s="11" t="s">
        <v>1632</v>
      </c>
      <c r="C4212" s="5">
        <v>83744.997499999998</v>
      </c>
      <c r="D4212" s="5">
        <v>83744.997499999998</v>
      </c>
      <c r="E4212" s="5">
        <v>75832.596099999995</v>
      </c>
      <c r="G4212" s="5" t="str">
        <f t="shared" si="131"/>
        <v>АВТОВОКЗАЛ</v>
      </c>
      <c r="J4212" s="5"/>
      <c r="AL4212" s="5">
        <f t="shared" si="132"/>
        <v>0</v>
      </c>
    </row>
    <row r="4213" spans="1:38" ht="25.5" customHeight="1" x14ac:dyDescent="0.25">
      <c r="A4213" s="10" t="s">
        <v>1451</v>
      </c>
      <c r="B4213" s="11" t="s">
        <v>1633</v>
      </c>
      <c r="C4213" s="5">
        <v>77071.442599999995</v>
      </c>
      <c r="D4213" s="5">
        <v>77071.442599999995</v>
      </c>
      <c r="E4213" s="5">
        <v>69789.570900000006</v>
      </c>
      <c r="G4213" s="5" t="str">
        <f t="shared" si="131"/>
        <v>ВТУЗГОРОДОК</v>
      </c>
      <c r="J4213" s="5"/>
      <c r="AL4213" s="5">
        <f t="shared" si="132"/>
        <v>0</v>
      </c>
    </row>
    <row r="4214" spans="1:38" ht="25.5" customHeight="1" x14ac:dyDescent="0.25">
      <c r="A4214" s="10" t="s">
        <v>1575</v>
      </c>
      <c r="B4214" s="11" t="s">
        <v>14</v>
      </c>
      <c r="C4214" s="5">
        <v>93989.912800000006</v>
      </c>
      <c r="D4214" s="5">
        <v>93989.912800000006</v>
      </c>
      <c r="E4214" s="5">
        <v>85109.545199999993</v>
      </c>
      <c r="G4214" s="5" t="str">
        <f t="shared" si="131"/>
        <v>Центр</v>
      </c>
      <c r="J4214" s="5"/>
      <c r="AL4214" s="5">
        <f t="shared" si="132"/>
        <v>0</v>
      </c>
    </row>
    <row r="4215" spans="1:38" ht="25.5" customHeight="1" x14ac:dyDescent="0.25">
      <c r="A4215" s="10" t="s">
        <v>533</v>
      </c>
      <c r="B4215" s="11" t="s">
        <v>1638</v>
      </c>
      <c r="C4215" s="5">
        <v>63640.311600000001</v>
      </c>
      <c r="D4215" s="5">
        <v>63640.311600000001</v>
      </c>
      <c r="E4215" s="5">
        <v>57627.4473</v>
      </c>
      <c r="G4215" s="5" t="str">
        <f t="shared" si="131"/>
        <v>УКТУС</v>
      </c>
      <c r="J4215" s="5"/>
      <c r="AL4215" s="5">
        <f t="shared" si="132"/>
        <v>0</v>
      </c>
    </row>
    <row r="4216" spans="1:38" ht="25.5" customHeight="1" x14ac:dyDescent="0.25">
      <c r="A4216" s="10" t="s">
        <v>1115</v>
      </c>
      <c r="B4216" s="11" t="s">
        <v>33</v>
      </c>
      <c r="C4216" s="5">
        <v>84298.205100000006</v>
      </c>
      <c r="D4216" s="5">
        <v>84298.205100000006</v>
      </c>
      <c r="E4216" s="5">
        <v>76333.533100000001</v>
      </c>
      <c r="G4216" s="5" t="str">
        <f t="shared" si="131"/>
        <v>ВИЗ</v>
      </c>
      <c r="J4216" s="5"/>
      <c r="AL4216" s="5">
        <f t="shared" si="132"/>
        <v>0</v>
      </c>
    </row>
    <row r="4217" spans="1:38" ht="25.5" customHeight="1" x14ac:dyDescent="0.25">
      <c r="A4217" s="10" t="s">
        <v>3452</v>
      </c>
      <c r="B4217" s="11" t="s">
        <v>1643</v>
      </c>
      <c r="C4217" s="5">
        <v>76630.280299999999</v>
      </c>
      <c r="D4217" s="5">
        <v>76630.280299999999</v>
      </c>
      <c r="E4217" s="5">
        <v>69390.088799999998</v>
      </c>
      <c r="G4217" s="5" t="str">
        <f t="shared" si="131"/>
        <v>Ю-З</v>
      </c>
      <c r="J4217" s="5"/>
      <c r="AL4217" s="5">
        <f t="shared" si="132"/>
        <v>0</v>
      </c>
    </row>
    <row r="4218" spans="1:38" ht="25.5" customHeight="1" x14ac:dyDescent="0.25">
      <c r="A4218" s="10" t="s">
        <v>3453</v>
      </c>
      <c r="B4218" s="11" t="s">
        <v>1657</v>
      </c>
      <c r="C4218" s="5">
        <v>54886.9666</v>
      </c>
      <c r="D4218" s="5">
        <v>54886.9666</v>
      </c>
      <c r="E4218" s="5">
        <v>49701.1319</v>
      </c>
      <c r="G4218" s="5" t="str">
        <f t="shared" si="131"/>
        <v>КОЛЬЦОВО</v>
      </c>
      <c r="J4218" s="5"/>
      <c r="AL4218" s="5">
        <f t="shared" si="132"/>
        <v>0</v>
      </c>
    </row>
    <row r="4219" spans="1:38" ht="25.5" customHeight="1" x14ac:dyDescent="0.25">
      <c r="A4219" s="10" t="s">
        <v>989</v>
      </c>
      <c r="B4219" s="11" t="s">
        <v>1660</v>
      </c>
      <c r="C4219" s="5">
        <v>53262.345800000003</v>
      </c>
      <c r="D4219" s="5">
        <v>53262.345800000003</v>
      </c>
      <c r="E4219" s="5">
        <v>48230.0095</v>
      </c>
      <c r="G4219" s="5" t="str">
        <f t="shared" si="131"/>
        <v>САДОВЫЙ</v>
      </c>
      <c r="J4219" s="5"/>
      <c r="AL4219" s="5">
        <f t="shared" si="132"/>
        <v>0</v>
      </c>
    </row>
    <row r="4220" spans="1:38" ht="25.5" customHeight="1" x14ac:dyDescent="0.25">
      <c r="A4220" s="10" t="s">
        <v>1401</v>
      </c>
      <c r="B4220" s="11" t="s">
        <v>66</v>
      </c>
      <c r="C4220" s="5">
        <v>64795.756300000001</v>
      </c>
      <c r="D4220" s="5">
        <v>64795.756300000001</v>
      </c>
      <c r="E4220" s="5">
        <v>58673.716200000003</v>
      </c>
      <c r="G4220" s="5" t="str">
        <f t="shared" si="131"/>
        <v>УНЦ</v>
      </c>
      <c r="J4220" s="5"/>
      <c r="AL4220" s="5">
        <f t="shared" si="132"/>
        <v>0</v>
      </c>
    </row>
    <row r="4221" spans="1:38" ht="25.5" customHeight="1" x14ac:dyDescent="0.25">
      <c r="A4221" s="10" t="s">
        <v>57</v>
      </c>
      <c r="B4221" s="11" t="s">
        <v>1628</v>
      </c>
      <c r="C4221" s="5">
        <v>70734.0236</v>
      </c>
      <c r="D4221" s="5">
        <v>70734.0236</v>
      </c>
      <c r="E4221" s="5">
        <v>64050.9208</v>
      </c>
      <c r="G4221" s="5" t="str">
        <f t="shared" si="131"/>
        <v>ЭЛЬМАШ</v>
      </c>
      <c r="J4221" s="5"/>
      <c r="AL4221" s="5">
        <f t="shared" si="132"/>
        <v>0</v>
      </c>
    </row>
    <row r="4222" spans="1:38" ht="25.5" customHeight="1" x14ac:dyDescent="0.25">
      <c r="A4222" s="10" t="s">
        <v>3454</v>
      </c>
      <c r="B4222" s="11" t="s">
        <v>1637</v>
      </c>
      <c r="C4222" s="5">
        <v>59368.686099999999</v>
      </c>
      <c r="D4222" s="5">
        <v>59368.686099999999</v>
      </c>
      <c r="E4222" s="5">
        <v>53759.401700000002</v>
      </c>
      <c r="G4222" s="5" t="str">
        <f t="shared" si="131"/>
        <v>Старая сортировка</v>
      </c>
      <c r="J4222" s="5"/>
      <c r="AL4222" s="5">
        <f t="shared" si="132"/>
        <v>0</v>
      </c>
    </row>
    <row r="4223" spans="1:38" ht="25.5" customHeight="1" x14ac:dyDescent="0.25">
      <c r="A4223" s="10" t="s">
        <v>286</v>
      </c>
      <c r="B4223" s="11" t="s">
        <v>1632</v>
      </c>
      <c r="C4223" s="5">
        <v>83744.997499999998</v>
      </c>
      <c r="D4223" s="5">
        <v>83744.997499999998</v>
      </c>
      <c r="E4223" s="5">
        <v>75832.596099999995</v>
      </c>
      <c r="G4223" s="5" t="str">
        <f t="shared" ref="G4223:G4286" si="133">B4223</f>
        <v>АВТОВОКЗАЛ</v>
      </c>
      <c r="J4223" s="5"/>
      <c r="AL4223" s="5">
        <f t="shared" ref="AL4223:AL4286" si="134">AF4223</f>
        <v>0</v>
      </c>
    </row>
    <row r="4224" spans="1:38" ht="25.5" customHeight="1" x14ac:dyDescent="0.25">
      <c r="A4224" s="10" t="s">
        <v>852</v>
      </c>
      <c r="B4224" s="11" t="s">
        <v>14</v>
      </c>
      <c r="C4224" s="5">
        <v>93989.912800000006</v>
      </c>
      <c r="D4224" s="5">
        <v>93989.912800000006</v>
      </c>
      <c r="E4224" s="5">
        <v>85109.545199999993</v>
      </c>
      <c r="G4224" s="5" t="str">
        <f t="shared" si="133"/>
        <v>Центр</v>
      </c>
      <c r="J4224" s="5"/>
      <c r="AL4224" s="5">
        <f t="shared" si="134"/>
        <v>0</v>
      </c>
    </row>
    <row r="4225" spans="1:38" ht="25.5" customHeight="1" x14ac:dyDescent="0.25">
      <c r="A4225" s="10" t="s">
        <v>3455</v>
      </c>
      <c r="B4225" s="11" t="s">
        <v>1638</v>
      </c>
      <c r="C4225" s="5">
        <v>63640.311600000001</v>
      </c>
      <c r="D4225" s="5">
        <v>63640.311600000001</v>
      </c>
      <c r="E4225" s="5">
        <v>57627.4473</v>
      </c>
      <c r="G4225" s="5" t="str">
        <f t="shared" si="133"/>
        <v>УКТУС</v>
      </c>
      <c r="J4225" s="5"/>
      <c r="AL4225" s="5">
        <f t="shared" si="134"/>
        <v>0</v>
      </c>
    </row>
    <row r="4226" spans="1:38" ht="25.5" customHeight="1" x14ac:dyDescent="0.25">
      <c r="A4226" s="10" t="s">
        <v>3456</v>
      </c>
      <c r="B4226" s="11" t="s">
        <v>1659</v>
      </c>
      <c r="C4226" s="5">
        <v>59746.832600000002</v>
      </c>
      <c r="D4226" s="5">
        <v>59746.832600000002</v>
      </c>
      <c r="E4226" s="5">
        <v>54101.823700000001</v>
      </c>
      <c r="G4226" s="5" t="str">
        <f t="shared" si="133"/>
        <v>СОВХОЗ</v>
      </c>
      <c r="J4226" s="5"/>
      <c r="AL4226" s="5">
        <f t="shared" si="134"/>
        <v>0</v>
      </c>
    </row>
    <row r="4227" spans="1:38" ht="25.5" customHeight="1" x14ac:dyDescent="0.25">
      <c r="A4227" s="10" t="s">
        <v>1354</v>
      </c>
      <c r="B4227" s="11" t="s">
        <v>14</v>
      </c>
      <c r="C4227" s="5">
        <v>93989.912800000006</v>
      </c>
      <c r="D4227" s="5">
        <v>93989.912800000006</v>
      </c>
      <c r="E4227" s="5">
        <v>85109.545199999993</v>
      </c>
      <c r="G4227" s="5" t="str">
        <f t="shared" si="133"/>
        <v>Центр</v>
      </c>
      <c r="J4227" s="5"/>
      <c r="AL4227" s="5">
        <f t="shared" si="134"/>
        <v>0</v>
      </c>
    </row>
    <row r="4228" spans="1:38" ht="25.5" customHeight="1" x14ac:dyDescent="0.25">
      <c r="A4228" s="10" t="s">
        <v>3457</v>
      </c>
      <c r="B4228" s="11" t="s">
        <v>1632</v>
      </c>
      <c r="C4228" s="5">
        <v>83744.997499999998</v>
      </c>
      <c r="D4228" s="5">
        <v>83744.997499999998</v>
      </c>
      <c r="E4228" s="5">
        <v>75832.596099999995</v>
      </c>
      <c r="G4228" s="5" t="str">
        <f t="shared" si="133"/>
        <v>АВТОВОКЗАЛ</v>
      </c>
      <c r="J4228" s="5"/>
      <c r="AL4228" s="5">
        <f t="shared" si="134"/>
        <v>0</v>
      </c>
    </row>
    <row r="4229" spans="1:38" ht="25.5" customHeight="1" x14ac:dyDescent="0.25">
      <c r="A4229" s="10" t="s">
        <v>3458</v>
      </c>
      <c r="B4229" s="11" t="s">
        <v>14</v>
      </c>
      <c r="C4229" s="5">
        <v>93989.912800000006</v>
      </c>
      <c r="D4229" s="5">
        <v>93989.912800000006</v>
      </c>
      <c r="E4229" s="5">
        <v>85109.545199999993</v>
      </c>
      <c r="G4229" s="5" t="str">
        <f t="shared" si="133"/>
        <v>Центр</v>
      </c>
      <c r="J4229" s="5"/>
      <c r="AL4229" s="5">
        <f t="shared" si="134"/>
        <v>0</v>
      </c>
    </row>
    <row r="4230" spans="1:38" ht="25.5" customHeight="1" x14ac:dyDescent="0.25">
      <c r="A4230" s="10" t="s">
        <v>563</v>
      </c>
      <c r="B4230" s="11" t="s">
        <v>1633</v>
      </c>
      <c r="C4230" s="5">
        <v>77071.442599999995</v>
      </c>
      <c r="D4230" s="5">
        <v>77071.442599999995</v>
      </c>
      <c r="E4230" s="5">
        <v>69789.570900000006</v>
      </c>
      <c r="G4230" s="5" t="str">
        <f t="shared" si="133"/>
        <v>ВТУЗГОРОДОК</v>
      </c>
      <c r="J4230" s="5"/>
      <c r="AL4230" s="5">
        <f t="shared" si="134"/>
        <v>0</v>
      </c>
    </row>
    <row r="4231" spans="1:38" ht="25.5" customHeight="1" x14ac:dyDescent="0.25">
      <c r="A4231" s="10" t="s">
        <v>3459</v>
      </c>
      <c r="B4231" s="11" t="s">
        <v>33</v>
      </c>
      <c r="C4231" s="5">
        <v>84298.205100000006</v>
      </c>
      <c r="D4231" s="5">
        <v>84298.205100000006</v>
      </c>
      <c r="E4231" s="5">
        <v>76333.533100000001</v>
      </c>
      <c r="G4231" s="5" t="str">
        <f t="shared" si="133"/>
        <v>ВИЗ</v>
      </c>
      <c r="J4231" s="5"/>
      <c r="AL4231" s="5">
        <f t="shared" si="134"/>
        <v>0</v>
      </c>
    </row>
    <row r="4232" spans="1:38" ht="25.5" customHeight="1" x14ac:dyDescent="0.25">
      <c r="A4232" s="10" t="s">
        <v>3460</v>
      </c>
      <c r="B4232" s="11" t="s">
        <v>1652</v>
      </c>
      <c r="C4232" s="5">
        <v>71105.171700000006</v>
      </c>
      <c r="D4232" s="5">
        <v>71105.171700000006</v>
      </c>
      <c r="E4232" s="5">
        <v>64387.005100000002</v>
      </c>
      <c r="G4232" s="5" t="str">
        <f t="shared" si="133"/>
        <v>ЗАРЕЧНЫЙ</v>
      </c>
      <c r="J4232" s="5"/>
      <c r="AL4232" s="5">
        <f t="shared" si="134"/>
        <v>0</v>
      </c>
    </row>
    <row r="4233" spans="1:38" ht="25.5" customHeight="1" x14ac:dyDescent="0.25">
      <c r="A4233" s="10" t="s">
        <v>892</v>
      </c>
      <c r="B4233" s="11" t="s">
        <v>1667</v>
      </c>
      <c r="C4233" s="5">
        <v>56546.599699999999</v>
      </c>
      <c r="D4233" s="5">
        <v>56546.599699999999</v>
      </c>
      <c r="E4233" s="5">
        <v>51203.963499999998</v>
      </c>
      <c r="G4233" s="5" t="str">
        <f t="shared" si="133"/>
        <v>КАЛИНОВСКИЙ</v>
      </c>
      <c r="J4233" s="5"/>
      <c r="AL4233" s="5">
        <f t="shared" si="134"/>
        <v>0</v>
      </c>
    </row>
    <row r="4234" spans="1:38" ht="25.5" customHeight="1" x14ac:dyDescent="0.25">
      <c r="A4234" s="10" t="s">
        <v>817</v>
      </c>
      <c r="B4234" s="11" t="s">
        <v>1628</v>
      </c>
      <c r="C4234" s="5">
        <v>70734.0236</v>
      </c>
      <c r="D4234" s="5">
        <v>70734.0236</v>
      </c>
      <c r="E4234" s="5">
        <v>64050.9208</v>
      </c>
      <c r="G4234" s="5" t="str">
        <f t="shared" si="133"/>
        <v>ЭЛЬМАШ</v>
      </c>
      <c r="J4234" s="5"/>
      <c r="AL4234" s="5">
        <f t="shared" si="134"/>
        <v>0</v>
      </c>
    </row>
    <row r="4235" spans="1:38" ht="25.5" customHeight="1" x14ac:dyDescent="0.25">
      <c r="A4235" s="10" t="s">
        <v>88</v>
      </c>
      <c r="B4235" s="11" t="s">
        <v>1634</v>
      </c>
      <c r="C4235" s="5">
        <v>77064.444199999998</v>
      </c>
      <c r="D4235" s="5">
        <v>77064.444199999998</v>
      </c>
      <c r="E4235" s="5">
        <v>69783.233200000002</v>
      </c>
      <c r="G4235" s="5" t="str">
        <f t="shared" si="133"/>
        <v>БОТАНИЧЕСКИЙ</v>
      </c>
      <c r="J4235" s="5"/>
      <c r="AL4235" s="5">
        <f t="shared" si="134"/>
        <v>0</v>
      </c>
    </row>
    <row r="4236" spans="1:38" ht="25.5" customHeight="1" x14ac:dyDescent="0.25">
      <c r="A4236" s="10" t="s">
        <v>287</v>
      </c>
      <c r="B4236" s="11" t="s">
        <v>14</v>
      </c>
      <c r="C4236" s="5">
        <v>93989.912800000006</v>
      </c>
      <c r="D4236" s="5">
        <v>93989.912800000006</v>
      </c>
      <c r="E4236" s="5">
        <v>85109.545199999993</v>
      </c>
      <c r="G4236" s="5" t="str">
        <f t="shared" si="133"/>
        <v>Центр</v>
      </c>
      <c r="J4236" s="5"/>
      <c r="AL4236" s="5">
        <f t="shared" si="134"/>
        <v>0</v>
      </c>
    </row>
    <row r="4237" spans="1:38" ht="25.5" customHeight="1" x14ac:dyDescent="0.25">
      <c r="A4237" s="10" t="s">
        <v>3461</v>
      </c>
      <c r="B4237" s="11" t="s">
        <v>1643</v>
      </c>
      <c r="C4237" s="5">
        <v>76630.280299999999</v>
      </c>
      <c r="D4237" s="5">
        <v>76630.280299999999</v>
      </c>
      <c r="E4237" s="5">
        <v>69390.088799999998</v>
      </c>
      <c r="G4237" s="5" t="str">
        <f t="shared" si="133"/>
        <v>Ю-З</v>
      </c>
      <c r="J4237" s="5"/>
      <c r="AL4237" s="5">
        <f t="shared" si="134"/>
        <v>0</v>
      </c>
    </row>
    <row r="4238" spans="1:38" ht="25.5" customHeight="1" x14ac:dyDescent="0.25">
      <c r="A4238" s="10" t="s">
        <v>720</v>
      </c>
      <c r="B4238" s="11" t="s">
        <v>33</v>
      </c>
      <c r="C4238" s="5">
        <v>84298.205100000006</v>
      </c>
      <c r="D4238" s="5">
        <v>84298.205100000006</v>
      </c>
      <c r="E4238" s="5">
        <v>76333.533100000001</v>
      </c>
      <c r="G4238" s="5" t="str">
        <f t="shared" si="133"/>
        <v>ВИЗ</v>
      </c>
      <c r="J4238" s="5"/>
      <c r="AL4238" s="5">
        <f t="shared" si="134"/>
        <v>0</v>
      </c>
    </row>
    <row r="4239" spans="1:38" ht="25.5" customHeight="1" x14ac:dyDescent="0.25">
      <c r="A4239" s="10" t="s">
        <v>3462</v>
      </c>
      <c r="B4239" s="11" t="s">
        <v>1666</v>
      </c>
      <c r="C4239" s="5">
        <v>46784.877899999999</v>
      </c>
      <c r="D4239" s="5">
        <v>46784.877899999999</v>
      </c>
      <c r="E4239" s="5">
        <v>42364.543299999998</v>
      </c>
      <c r="G4239" s="5" t="str">
        <f t="shared" si="133"/>
        <v>Сулим.Торфянник</v>
      </c>
      <c r="J4239" s="5"/>
      <c r="AL4239" s="5">
        <f t="shared" si="134"/>
        <v>0</v>
      </c>
    </row>
    <row r="4240" spans="1:38" ht="25.5" customHeight="1" x14ac:dyDescent="0.25">
      <c r="A4240" s="10" t="s">
        <v>868</v>
      </c>
      <c r="B4240" s="11" t="s">
        <v>1632</v>
      </c>
      <c r="C4240" s="5">
        <v>83744.997499999998</v>
      </c>
      <c r="D4240" s="5">
        <v>83744.997499999998</v>
      </c>
      <c r="E4240" s="5">
        <v>75832.596099999995</v>
      </c>
      <c r="G4240" s="5" t="str">
        <f t="shared" si="133"/>
        <v>АВТОВОКЗАЛ</v>
      </c>
      <c r="J4240" s="5"/>
      <c r="AL4240" s="5">
        <f t="shared" si="134"/>
        <v>0</v>
      </c>
    </row>
    <row r="4241" spans="1:38" ht="25.5" customHeight="1" x14ac:dyDescent="0.25">
      <c r="A4241" s="10" t="s">
        <v>108</v>
      </c>
      <c r="B4241" s="11" t="s">
        <v>1632</v>
      </c>
      <c r="C4241" s="5">
        <v>83744.997499999998</v>
      </c>
      <c r="D4241" s="5">
        <v>83744.997499999998</v>
      </c>
      <c r="E4241" s="5">
        <v>75832.596099999995</v>
      </c>
      <c r="G4241" s="5" t="str">
        <f t="shared" si="133"/>
        <v>АВТОВОКЗАЛ</v>
      </c>
      <c r="J4241" s="5"/>
      <c r="AL4241" s="5">
        <f t="shared" si="134"/>
        <v>0</v>
      </c>
    </row>
    <row r="4242" spans="1:38" ht="25.5" customHeight="1" x14ac:dyDescent="0.25">
      <c r="A4242" s="10" t="s">
        <v>1176</v>
      </c>
      <c r="B4242" s="11" t="s">
        <v>1630</v>
      </c>
      <c r="C4242" s="5">
        <v>62652.9401</v>
      </c>
      <c r="D4242" s="5">
        <v>62652.9401</v>
      </c>
      <c r="E4242" s="5">
        <v>56733.3557</v>
      </c>
      <c r="G4242" s="5" t="str">
        <f t="shared" si="133"/>
        <v>ЧЕРМЕТ</v>
      </c>
      <c r="J4242" s="5"/>
      <c r="AL4242" s="5">
        <f t="shared" si="134"/>
        <v>0</v>
      </c>
    </row>
    <row r="4243" spans="1:38" ht="25.5" customHeight="1" x14ac:dyDescent="0.25">
      <c r="A4243" s="10" t="s">
        <v>153</v>
      </c>
      <c r="B4243" s="11" t="s">
        <v>1645</v>
      </c>
      <c r="C4243" s="5">
        <v>60958.294800000003</v>
      </c>
      <c r="D4243" s="5">
        <v>60958.294800000003</v>
      </c>
      <c r="E4243" s="5">
        <v>55198.825199999999</v>
      </c>
      <c r="G4243" s="5" t="str">
        <f t="shared" si="133"/>
        <v>ЕЛИЗАВЕТ</v>
      </c>
      <c r="J4243" s="5"/>
      <c r="AL4243" s="5">
        <f t="shared" si="134"/>
        <v>0</v>
      </c>
    </row>
    <row r="4244" spans="1:38" ht="25.5" customHeight="1" x14ac:dyDescent="0.25">
      <c r="A4244" s="10" t="s">
        <v>244</v>
      </c>
      <c r="B4244" s="11" t="s">
        <v>1652</v>
      </c>
      <c r="C4244" s="5">
        <v>71105.171700000006</v>
      </c>
      <c r="D4244" s="5">
        <v>71105.171700000006</v>
      </c>
      <c r="E4244" s="5">
        <v>64387.005100000002</v>
      </c>
      <c r="G4244" s="5" t="str">
        <f t="shared" si="133"/>
        <v>ЗАРЕЧНЫЙ</v>
      </c>
      <c r="J4244" s="5"/>
      <c r="AL4244" s="5">
        <f t="shared" si="134"/>
        <v>0</v>
      </c>
    </row>
    <row r="4245" spans="1:38" ht="25.5" customHeight="1" x14ac:dyDescent="0.25">
      <c r="A4245" s="10" t="s">
        <v>3463</v>
      </c>
      <c r="B4245" s="11" t="s">
        <v>1651</v>
      </c>
      <c r="C4245" s="5">
        <v>68129.029500000004</v>
      </c>
      <c r="D4245" s="5">
        <v>68129.029500000004</v>
      </c>
      <c r="E4245" s="5">
        <v>61692.054799999998</v>
      </c>
      <c r="G4245" s="5" t="str">
        <f t="shared" si="133"/>
        <v>ШАРТАШ</v>
      </c>
      <c r="J4245" s="5"/>
      <c r="AL4245" s="5">
        <f t="shared" si="134"/>
        <v>0</v>
      </c>
    </row>
    <row r="4246" spans="1:38" ht="25.5" customHeight="1" x14ac:dyDescent="0.25">
      <c r="A4246" s="10" t="s">
        <v>604</v>
      </c>
      <c r="B4246" s="11" t="s">
        <v>1654</v>
      </c>
      <c r="C4246" s="5">
        <v>56140.449699999997</v>
      </c>
      <c r="D4246" s="5">
        <v>56140.449699999997</v>
      </c>
      <c r="E4246" s="5">
        <v>50836.1803</v>
      </c>
      <c r="G4246" s="5" t="str">
        <f t="shared" si="133"/>
        <v>ЗАВОКЗАЛЬНЫЙ</v>
      </c>
      <c r="J4246" s="5"/>
      <c r="AL4246" s="5">
        <f t="shared" si="134"/>
        <v>0</v>
      </c>
    </row>
    <row r="4247" spans="1:38" ht="25.5" customHeight="1" x14ac:dyDescent="0.25">
      <c r="A4247" s="10" t="s">
        <v>1123</v>
      </c>
      <c r="B4247" s="11" t="s">
        <v>1633</v>
      </c>
      <c r="C4247" s="5">
        <v>77071.442599999995</v>
      </c>
      <c r="D4247" s="5">
        <v>77071.442599999995</v>
      </c>
      <c r="E4247" s="5">
        <v>69789.570900000006</v>
      </c>
      <c r="G4247" s="5" t="str">
        <f t="shared" si="133"/>
        <v>ВТУЗГОРОДОК</v>
      </c>
      <c r="J4247" s="5"/>
      <c r="AL4247" s="5">
        <f t="shared" si="134"/>
        <v>0</v>
      </c>
    </row>
    <row r="4248" spans="1:38" ht="25.5" customHeight="1" x14ac:dyDescent="0.25">
      <c r="A4248" s="10" t="s">
        <v>1037</v>
      </c>
      <c r="B4248" s="11" t="s">
        <v>1631</v>
      </c>
      <c r="C4248" s="5">
        <v>70026.7601</v>
      </c>
      <c r="D4248" s="5">
        <v>70026.7601</v>
      </c>
      <c r="E4248" s="5">
        <v>63410.482000000004</v>
      </c>
      <c r="G4248" s="5" t="str">
        <f t="shared" si="133"/>
        <v>УРАЛМАШ</v>
      </c>
      <c r="J4248" s="5"/>
      <c r="AL4248" s="5">
        <f t="shared" si="134"/>
        <v>0</v>
      </c>
    </row>
    <row r="4249" spans="1:38" ht="25.5" customHeight="1" x14ac:dyDescent="0.25">
      <c r="A4249" s="10" t="s">
        <v>116</v>
      </c>
      <c r="B4249" s="11" t="s">
        <v>1631</v>
      </c>
      <c r="C4249" s="5">
        <v>70026.7601</v>
      </c>
      <c r="D4249" s="5">
        <v>70026.7601</v>
      </c>
      <c r="E4249" s="5">
        <v>63410.482000000004</v>
      </c>
      <c r="G4249" s="5" t="str">
        <f t="shared" si="133"/>
        <v>УРАЛМАШ</v>
      </c>
      <c r="J4249" s="5"/>
      <c r="AL4249" s="5">
        <f t="shared" si="134"/>
        <v>0</v>
      </c>
    </row>
    <row r="4250" spans="1:38" ht="25.5" customHeight="1" x14ac:dyDescent="0.25">
      <c r="A4250" s="10" t="s">
        <v>3464</v>
      </c>
      <c r="B4250" s="11" t="s">
        <v>1632</v>
      </c>
      <c r="C4250" s="5">
        <v>83744.997499999998</v>
      </c>
      <c r="D4250" s="5">
        <v>83744.997499999998</v>
      </c>
      <c r="E4250" s="5">
        <v>75832.596099999995</v>
      </c>
      <c r="G4250" s="5" t="str">
        <f t="shared" si="133"/>
        <v>АВТОВОКЗАЛ</v>
      </c>
      <c r="J4250" s="5"/>
      <c r="AL4250" s="5">
        <f t="shared" si="134"/>
        <v>0</v>
      </c>
    </row>
    <row r="4251" spans="1:38" ht="25.5" customHeight="1" x14ac:dyDescent="0.25">
      <c r="A4251" s="10" t="s">
        <v>776</v>
      </c>
      <c r="B4251" s="11" t="s">
        <v>1644</v>
      </c>
      <c r="C4251" s="5">
        <v>61980.678599999999</v>
      </c>
      <c r="D4251" s="5">
        <v>61980.678599999999</v>
      </c>
      <c r="E4251" s="5">
        <v>56124.615700000002</v>
      </c>
      <c r="G4251" s="5" t="str">
        <f t="shared" si="133"/>
        <v>ХИММАШ</v>
      </c>
      <c r="J4251" s="5"/>
      <c r="AL4251" s="5">
        <f t="shared" si="134"/>
        <v>0</v>
      </c>
    </row>
    <row r="4252" spans="1:38" ht="25.5" customHeight="1" x14ac:dyDescent="0.25">
      <c r="A4252" s="10" t="s">
        <v>827</v>
      </c>
      <c r="B4252" s="11" t="s">
        <v>1631</v>
      </c>
      <c r="C4252" s="5">
        <v>70026.7601</v>
      </c>
      <c r="D4252" s="5">
        <v>70026.7601</v>
      </c>
      <c r="E4252" s="5">
        <v>63410.482000000004</v>
      </c>
      <c r="G4252" s="5" t="str">
        <f t="shared" si="133"/>
        <v>УРАЛМАШ</v>
      </c>
      <c r="J4252" s="5"/>
      <c r="AL4252" s="5">
        <f t="shared" si="134"/>
        <v>0</v>
      </c>
    </row>
    <row r="4253" spans="1:38" ht="25.5" customHeight="1" x14ac:dyDescent="0.25">
      <c r="A4253" s="10" t="s">
        <v>370</v>
      </c>
      <c r="B4253" s="11" t="s">
        <v>1643</v>
      </c>
      <c r="C4253" s="5">
        <v>76630.280299999999</v>
      </c>
      <c r="D4253" s="5">
        <v>76630.280299999999</v>
      </c>
      <c r="E4253" s="5">
        <v>69390.088799999998</v>
      </c>
      <c r="G4253" s="5" t="str">
        <f t="shared" si="133"/>
        <v>Ю-З</v>
      </c>
      <c r="J4253" s="5"/>
      <c r="AL4253" s="5">
        <f t="shared" si="134"/>
        <v>0</v>
      </c>
    </row>
    <row r="4254" spans="1:38" ht="25.5" customHeight="1" x14ac:dyDescent="0.25">
      <c r="A4254" s="10" t="s">
        <v>725</v>
      </c>
      <c r="B4254" s="11" t="s">
        <v>14</v>
      </c>
      <c r="C4254" s="5">
        <v>93989.912800000006</v>
      </c>
      <c r="D4254" s="5">
        <v>93989.912800000006</v>
      </c>
      <c r="E4254" s="5">
        <v>85109.545199999993</v>
      </c>
      <c r="G4254" s="5" t="str">
        <f t="shared" si="133"/>
        <v>Центр</v>
      </c>
      <c r="J4254" s="5"/>
      <c r="AL4254" s="5">
        <f t="shared" si="134"/>
        <v>0</v>
      </c>
    </row>
    <row r="4255" spans="1:38" ht="25.5" customHeight="1" x14ac:dyDescent="0.25">
      <c r="A4255" s="10" t="s">
        <v>3465</v>
      </c>
      <c r="B4255" s="11" t="s">
        <v>1635</v>
      </c>
      <c r="C4255" s="5">
        <v>57793.0844</v>
      </c>
      <c r="D4255" s="5">
        <v>57793.0844</v>
      </c>
      <c r="E4255" s="5">
        <v>52332.6639</v>
      </c>
      <c r="G4255" s="5" t="str">
        <f t="shared" si="133"/>
        <v>ЛЕЧЕБНЫЙ</v>
      </c>
      <c r="J4255" s="5"/>
      <c r="AL4255" s="5">
        <f t="shared" si="134"/>
        <v>0</v>
      </c>
    </row>
    <row r="4256" spans="1:38" ht="25.5" customHeight="1" x14ac:dyDescent="0.25">
      <c r="A4256" s="10" t="s">
        <v>3466</v>
      </c>
      <c r="B4256" s="11" t="s">
        <v>33</v>
      </c>
      <c r="C4256" s="5">
        <v>84298.205100000006</v>
      </c>
      <c r="D4256" s="5">
        <v>84298.205100000006</v>
      </c>
      <c r="E4256" s="5">
        <v>76333.533100000001</v>
      </c>
      <c r="G4256" s="5" t="str">
        <f t="shared" si="133"/>
        <v>ВИЗ</v>
      </c>
      <c r="J4256" s="5"/>
      <c r="AL4256" s="5">
        <f t="shared" si="134"/>
        <v>0</v>
      </c>
    </row>
    <row r="4257" spans="1:38" ht="25.5" customHeight="1" x14ac:dyDescent="0.25">
      <c r="A4257" s="10" t="s">
        <v>3467</v>
      </c>
      <c r="B4257" s="11" t="s">
        <v>1633</v>
      </c>
      <c r="C4257" s="5">
        <v>77071.442599999995</v>
      </c>
      <c r="D4257" s="5">
        <v>77071.442599999995</v>
      </c>
      <c r="E4257" s="5">
        <v>69789.570900000006</v>
      </c>
      <c r="G4257" s="5" t="str">
        <f t="shared" si="133"/>
        <v>ВТУЗГОРОДОК</v>
      </c>
      <c r="J4257" s="5"/>
      <c r="AL4257" s="5">
        <f t="shared" si="134"/>
        <v>0</v>
      </c>
    </row>
    <row r="4258" spans="1:38" ht="25.5" customHeight="1" x14ac:dyDescent="0.25">
      <c r="A4258" s="10" t="s">
        <v>628</v>
      </c>
      <c r="B4258" s="11" t="s">
        <v>1628</v>
      </c>
      <c r="C4258" s="5">
        <v>70734.0236</v>
      </c>
      <c r="D4258" s="5">
        <v>70734.0236</v>
      </c>
      <c r="E4258" s="5">
        <v>64050.9208</v>
      </c>
      <c r="G4258" s="5" t="str">
        <f t="shared" si="133"/>
        <v>ЭЛЬМАШ</v>
      </c>
      <c r="J4258" s="5"/>
      <c r="AL4258" s="5">
        <f t="shared" si="134"/>
        <v>0</v>
      </c>
    </row>
    <row r="4259" spans="1:38" ht="25.5" customHeight="1" x14ac:dyDescent="0.25">
      <c r="A4259" s="10" t="s">
        <v>1263</v>
      </c>
      <c r="B4259" s="11" t="s">
        <v>14</v>
      </c>
      <c r="C4259" s="5">
        <v>93989.912800000006</v>
      </c>
      <c r="D4259" s="5">
        <v>93989.912800000006</v>
      </c>
      <c r="E4259" s="5">
        <v>85109.545199999993</v>
      </c>
      <c r="G4259" s="5" t="str">
        <f t="shared" si="133"/>
        <v>Центр</v>
      </c>
      <c r="J4259" s="5"/>
      <c r="AL4259" s="5">
        <f t="shared" si="134"/>
        <v>0</v>
      </c>
    </row>
    <row r="4260" spans="1:38" ht="25.5" customHeight="1" x14ac:dyDescent="0.25">
      <c r="A4260" s="10" t="s">
        <v>3468</v>
      </c>
      <c r="B4260" s="11" t="s">
        <v>1651</v>
      </c>
      <c r="C4260" s="5">
        <v>68129.029500000004</v>
      </c>
      <c r="D4260" s="5">
        <v>68129.029500000004</v>
      </c>
      <c r="E4260" s="5">
        <v>61692.054799999998</v>
      </c>
      <c r="G4260" s="5" t="str">
        <f t="shared" si="133"/>
        <v>ШАРТАШ</v>
      </c>
      <c r="J4260" s="5"/>
      <c r="AL4260" s="5">
        <f t="shared" si="134"/>
        <v>0</v>
      </c>
    </row>
    <row r="4261" spans="1:38" ht="25.5" customHeight="1" x14ac:dyDescent="0.25">
      <c r="A4261" s="10" t="s">
        <v>3469</v>
      </c>
      <c r="B4261" s="11" t="s">
        <v>1632</v>
      </c>
      <c r="C4261" s="5">
        <v>83744.997499999998</v>
      </c>
      <c r="D4261" s="5">
        <v>83744.997499999998</v>
      </c>
      <c r="E4261" s="5">
        <v>75832.596099999995</v>
      </c>
      <c r="G4261" s="5" t="str">
        <f t="shared" si="133"/>
        <v>АВТОВОКЗАЛ</v>
      </c>
      <c r="J4261" s="5"/>
      <c r="AL4261" s="5">
        <f t="shared" si="134"/>
        <v>0</v>
      </c>
    </row>
    <row r="4262" spans="1:38" ht="25.5" customHeight="1" x14ac:dyDescent="0.25">
      <c r="A4262" s="10" t="s">
        <v>3470</v>
      </c>
      <c r="B4262" s="11" t="s">
        <v>779</v>
      </c>
      <c r="C4262" s="5">
        <v>46784.877899999999</v>
      </c>
      <c r="D4262" s="5">
        <v>46784.877899999999</v>
      </c>
      <c r="E4262" s="5">
        <v>42364.543299999998</v>
      </c>
      <c r="G4262" s="5" t="str">
        <f t="shared" si="133"/>
        <v>Нижнеисетский</v>
      </c>
      <c r="J4262" s="5"/>
      <c r="AL4262" s="5">
        <f t="shared" si="134"/>
        <v>0</v>
      </c>
    </row>
    <row r="4263" spans="1:38" ht="25.5" customHeight="1" x14ac:dyDescent="0.25">
      <c r="A4263" s="10" t="s">
        <v>121</v>
      </c>
      <c r="B4263" s="11" t="s">
        <v>1641</v>
      </c>
      <c r="C4263" s="5">
        <v>63556.280200000001</v>
      </c>
      <c r="D4263" s="5">
        <v>63556.280200000001</v>
      </c>
      <c r="E4263" s="5">
        <v>57551.353499999997</v>
      </c>
      <c r="G4263" s="5" t="str">
        <f t="shared" si="133"/>
        <v>СИБИРСКИЙ</v>
      </c>
      <c r="J4263" s="5"/>
      <c r="AL4263" s="5">
        <f t="shared" si="134"/>
        <v>0</v>
      </c>
    </row>
    <row r="4264" spans="1:38" ht="25.5" customHeight="1" x14ac:dyDescent="0.25">
      <c r="A4264" s="10" t="s">
        <v>871</v>
      </c>
      <c r="B4264" s="11" t="s">
        <v>1638</v>
      </c>
      <c r="C4264" s="5">
        <v>63640.311600000001</v>
      </c>
      <c r="D4264" s="5">
        <v>63640.311600000001</v>
      </c>
      <c r="E4264" s="5">
        <v>57627.4473</v>
      </c>
      <c r="G4264" s="5" t="str">
        <f t="shared" si="133"/>
        <v>УКТУС</v>
      </c>
      <c r="J4264" s="5"/>
      <c r="AL4264" s="5">
        <f t="shared" si="134"/>
        <v>0</v>
      </c>
    </row>
    <row r="4265" spans="1:38" ht="25.5" customHeight="1" x14ac:dyDescent="0.25">
      <c r="A4265" s="10" t="s">
        <v>1428</v>
      </c>
      <c r="B4265" s="11" t="s">
        <v>779</v>
      </c>
      <c r="C4265" s="5">
        <v>46784.877899999999</v>
      </c>
      <c r="D4265" s="5">
        <v>46784.877899999999</v>
      </c>
      <c r="E4265" s="5">
        <v>42364.543299999998</v>
      </c>
      <c r="G4265" s="5" t="str">
        <f t="shared" si="133"/>
        <v>Нижнеисетский</v>
      </c>
      <c r="J4265" s="5"/>
      <c r="AL4265" s="5">
        <f t="shared" si="134"/>
        <v>0</v>
      </c>
    </row>
    <row r="4266" spans="1:38" ht="25.5" customHeight="1" x14ac:dyDescent="0.25">
      <c r="A4266" s="10" t="s">
        <v>380</v>
      </c>
      <c r="B4266" s="11" t="s">
        <v>1629</v>
      </c>
      <c r="C4266" s="5">
        <v>77743.704100000003</v>
      </c>
      <c r="D4266" s="5">
        <v>77743.704100000003</v>
      </c>
      <c r="E4266" s="5">
        <v>70398.310800000007</v>
      </c>
      <c r="G4266" s="5" t="str">
        <f t="shared" si="133"/>
        <v>ПИОНЕРСКИЙ</v>
      </c>
      <c r="J4266" s="5"/>
      <c r="AL4266" s="5">
        <f t="shared" si="134"/>
        <v>0</v>
      </c>
    </row>
    <row r="4267" spans="1:38" ht="25.5" customHeight="1" x14ac:dyDescent="0.25">
      <c r="A4267" s="10" t="s">
        <v>1178</v>
      </c>
      <c r="B4267" s="11" t="s">
        <v>1631</v>
      </c>
      <c r="C4267" s="5">
        <v>70026.7601</v>
      </c>
      <c r="D4267" s="5">
        <v>70026.7601</v>
      </c>
      <c r="E4267" s="5">
        <v>63410.482000000004</v>
      </c>
      <c r="G4267" s="5" t="str">
        <f t="shared" si="133"/>
        <v>УРАЛМАШ</v>
      </c>
      <c r="J4267" s="5"/>
      <c r="AL4267" s="5">
        <f t="shared" si="134"/>
        <v>0</v>
      </c>
    </row>
    <row r="4268" spans="1:38" ht="25.5" customHeight="1" x14ac:dyDescent="0.25">
      <c r="A4268" s="10" t="s">
        <v>859</v>
      </c>
      <c r="B4268" s="11" t="s">
        <v>1644</v>
      </c>
      <c r="C4268" s="5">
        <v>61980.678599999999</v>
      </c>
      <c r="D4268" s="5">
        <v>61980.678599999999</v>
      </c>
      <c r="E4268" s="5">
        <v>56124.615700000002</v>
      </c>
      <c r="G4268" s="5" t="str">
        <f t="shared" si="133"/>
        <v>ХИММАШ</v>
      </c>
      <c r="J4268" s="5"/>
      <c r="AL4268" s="5">
        <f t="shared" si="134"/>
        <v>0</v>
      </c>
    </row>
    <row r="4269" spans="1:38" ht="25.5" customHeight="1" x14ac:dyDescent="0.25">
      <c r="A4269" s="10" t="s">
        <v>3471</v>
      </c>
      <c r="B4269" s="11" t="s">
        <v>1651</v>
      </c>
      <c r="C4269" s="5">
        <v>68129.029500000004</v>
      </c>
      <c r="D4269" s="5">
        <v>68129.029500000004</v>
      </c>
      <c r="E4269" s="5">
        <v>61692.054799999998</v>
      </c>
      <c r="G4269" s="5" t="str">
        <f t="shared" si="133"/>
        <v>ШАРТАШ</v>
      </c>
      <c r="J4269" s="5"/>
      <c r="AL4269" s="5">
        <f t="shared" si="134"/>
        <v>0</v>
      </c>
    </row>
    <row r="4270" spans="1:38" ht="25.5" customHeight="1" x14ac:dyDescent="0.25">
      <c r="A4270" s="10" t="s">
        <v>3472</v>
      </c>
      <c r="B4270" s="11" t="s">
        <v>1637</v>
      </c>
      <c r="C4270" s="5">
        <v>59368.686099999999</v>
      </c>
      <c r="D4270" s="5">
        <v>59368.686099999999</v>
      </c>
      <c r="E4270" s="5">
        <v>53759.401700000002</v>
      </c>
      <c r="G4270" s="5" t="str">
        <f t="shared" si="133"/>
        <v>Старая сортировка</v>
      </c>
      <c r="J4270" s="5"/>
      <c r="AL4270" s="5">
        <f t="shared" si="134"/>
        <v>0</v>
      </c>
    </row>
    <row r="4271" spans="1:38" ht="25.5" customHeight="1" x14ac:dyDescent="0.25">
      <c r="A4271" s="10" t="s">
        <v>3473</v>
      </c>
      <c r="B4271" s="11" t="s">
        <v>33</v>
      </c>
      <c r="C4271" s="5">
        <v>84298.205100000006</v>
      </c>
      <c r="D4271" s="5">
        <v>84298.205100000006</v>
      </c>
      <c r="E4271" s="5">
        <v>76333.533100000001</v>
      </c>
      <c r="G4271" s="5" t="str">
        <f t="shared" si="133"/>
        <v>ВИЗ</v>
      </c>
      <c r="J4271" s="5"/>
      <c r="AL4271" s="5">
        <f t="shared" si="134"/>
        <v>0</v>
      </c>
    </row>
    <row r="4272" spans="1:38" ht="25.5" customHeight="1" x14ac:dyDescent="0.25">
      <c r="A4272" s="10" t="s">
        <v>1297</v>
      </c>
      <c r="B4272" s="11" t="s">
        <v>14</v>
      </c>
      <c r="C4272" s="5">
        <v>93989.912800000006</v>
      </c>
      <c r="D4272" s="5">
        <v>93989.912800000006</v>
      </c>
      <c r="E4272" s="5">
        <v>85109.545199999993</v>
      </c>
      <c r="G4272" s="5" t="str">
        <f t="shared" si="133"/>
        <v>Центр</v>
      </c>
      <c r="J4272" s="5"/>
      <c r="AL4272" s="5">
        <f t="shared" si="134"/>
        <v>0</v>
      </c>
    </row>
    <row r="4273" spans="1:38" ht="25.5" customHeight="1" x14ac:dyDescent="0.25">
      <c r="A4273" s="10" t="s">
        <v>3474</v>
      </c>
      <c r="B4273" s="11" t="s">
        <v>1630</v>
      </c>
      <c r="C4273" s="5">
        <v>62652.9401</v>
      </c>
      <c r="D4273" s="5">
        <v>62652.9401</v>
      </c>
      <c r="E4273" s="5">
        <v>56733.3557</v>
      </c>
      <c r="G4273" s="5" t="str">
        <f t="shared" si="133"/>
        <v>ЧЕРМЕТ</v>
      </c>
      <c r="J4273" s="5"/>
      <c r="AL4273" s="5">
        <f t="shared" si="134"/>
        <v>0</v>
      </c>
    </row>
    <row r="4274" spans="1:38" ht="25.5" customHeight="1" x14ac:dyDescent="0.25">
      <c r="A4274" s="10" t="s">
        <v>3475</v>
      </c>
      <c r="B4274" s="11" t="s">
        <v>1628</v>
      </c>
      <c r="C4274" s="5">
        <v>70734.0236</v>
      </c>
      <c r="D4274" s="5">
        <v>70734.0236</v>
      </c>
      <c r="E4274" s="5">
        <v>64050.9208</v>
      </c>
      <c r="G4274" s="5" t="str">
        <f t="shared" si="133"/>
        <v>ЭЛЬМАШ</v>
      </c>
      <c r="J4274" s="5"/>
      <c r="AL4274" s="5">
        <f t="shared" si="134"/>
        <v>0</v>
      </c>
    </row>
    <row r="4275" spans="1:38" ht="25.5" customHeight="1" x14ac:dyDescent="0.25">
      <c r="A4275" s="10" t="s">
        <v>3476</v>
      </c>
      <c r="B4275" s="11" t="s">
        <v>1636</v>
      </c>
      <c r="C4275" s="5">
        <v>52246.960299999999</v>
      </c>
      <c r="D4275" s="5">
        <v>52246.960299999999</v>
      </c>
      <c r="E4275" s="5">
        <v>47310.556700000001</v>
      </c>
      <c r="G4275" s="5" t="str">
        <f t="shared" si="133"/>
        <v>ГОРНЫЙ ЩИТ</v>
      </c>
      <c r="J4275" s="5"/>
      <c r="AL4275" s="5">
        <f t="shared" si="134"/>
        <v>0</v>
      </c>
    </row>
    <row r="4276" spans="1:38" ht="25.5" customHeight="1" x14ac:dyDescent="0.25">
      <c r="A4276" s="10" t="s">
        <v>424</v>
      </c>
      <c r="B4276" s="11" t="s">
        <v>1644</v>
      </c>
      <c r="C4276" s="5">
        <v>61980.678599999999</v>
      </c>
      <c r="D4276" s="5">
        <v>61980.678599999999</v>
      </c>
      <c r="E4276" s="5">
        <v>56124.615700000002</v>
      </c>
      <c r="G4276" s="5" t="str">
        <f t="shared" si="133"/>
        <v>ХИММАШ</v>
      </c>
      <c r="J4276" s="5"/>
      <c r="AL4276" s="5">
        <f t="shared" si="134"/>
        <v>0</v>
      </c>
    </row>
    <row r="4277" spans="1:38" ht="25.5" customHeight="1" x14ac:dyDescent="0.25">
      <c r="A4277" s="10" t="s">
        <v>711</v>
      </c>
      <c r="B4277" s="11" t="s">
        <v>1633</v>
      </c>
      <c r="C4277" s="5">
        <v>77071.442599999995</v>
      </c>
      <c r="D4277" s="5">
        <v>77071.442599999995</v>
      </c>
      <c r="E4277" s="5">
        <v>69789.570900000006</v>
      </c>
      <c r="G4277" s="5" t="str">
        <f t="shared" si="133"/>
        <v>ВТУЗГОРОДОК</v>
      </c>
      <c r="J4277" s="5"/>
      <c r="AL4277" s="5">
        <f t="shared" si="134"/>
        <v>0</v>
      </c>
    </row>
    <row r="4278" spans="1:38" ht="25.5" customHeight="1" x14ac:dyDescent="0.25">
      <c r="A4278" s="10" t="s">
        <v>3477</v>
      </c>
      <c r="B4278" s="11" t="s">
        <v>1647</v>
      </c>
      <c r="C4278" s="5">
        <v>63178.133800000003</v>
      </c>
      <c r="D4278" s="5">
        <v>63178.133800000003</v>
      </c>
      <c r="E4278" s="5">
        <v>57208.931499999999</v>
      </c>
      <c r="G4278" s="5" t="str">
        <f t="shared" si="133"/>
        <v>ШИРОКАЯ РЕЧКА</v>
      </c>
      <c r="J4278" s="5"/>
      <c r="AL4278" s="5">
        <f t="shared" si="134"/>
        <v>0</v>
      </c>
    </row>
    <row r="4279" spans="1:38" ht="25.5" customHeight="1" x14ac:dyDescent="0.25">
      <c r="A4279" s="10" t="s">
        <v>702</v>
      </c>
      <c r="B4279" s="11" t="s">
        <v>1633</v>
      </c>
      <c r="C4279" s="5">
        <v>77071.442599999995</v>
      </c>
      <c r="D4279" s="5">
        <v>77071.442599999995</v>
      </c>
      <c r="E4279" s="5">
        <v>69789.570900000006</v>
      </c>
      <c r="G4279" s="5" t="str">
        <f t="shared" si="133"/>
        <v>ВТУЗГОРОДОК</v>
      </c>
      <c r="J4279" s="5"/>
      <c r="AL4279" s="5">
        <f t="shared" si="134"/>
        <v>0</v>
      </c>
    </row>
    <row r="4280" spans="1:38" ht="25.5" customHeight="1" x14ac:dyDescent="0.25">
      <c r="A4280" s="10" t="s">
        <v>3478</v>
      </c>
      <c r="B4280" s="11" t="s">
        <v>209</v>
      </c>
      <c r="C4280" s="5">
        <v>69382.512499999997</v>
      </c>
      <c r="D4280" s="5">
        <v>69382.512499999997</v>
      </c>
      <c r="E4280" s="5">
        <v>62827.103199999998</v>
      </c>
      <c r="G4280" s="5" t="str">
        <f t="shared" si="133"/>
        <v>ЖБИ</v>
      </c>
      <c r="J4280" s="5"/>
      <c r="AL4280" s="5">
        <f t="shared" si="134"/>
        <v>0</v>
      </c>
    </row>
    <row r="4281" spans="1:38" ht="25.5" customHeight="1" x14ac:dyDescent="0.25">
      <c r="A4281" s="10" t="s">
        <v>3479</v>
      </c>
      <c r="B4281" s="11" t="s">
        <v>1633</v>
      </c>
      <c r="C4281" s="5">
        <v>77071.442599999995</v>
      </c>
      <c r="D4281" s="5">
        <v>77071.442599999995</v>
      </c>
      <c r="E4281" s="5">
        <v>69789.570900000006</v>
      </c>
      <c r="G4281" s="5" t="str">
        <f t="shared" si="133"/>
        <v>ВТУЗГОРОДОК</v>
      </c>
      <c r="J4281" s="5"/>
      <c r="AL4281" s="5">
        <f t="shared" si="134"/>
        <v>0</v>
      </c>
    </row>
    <row r="4282" spans="1:38" ht="25.5" customHeight="1" x14ac:dyDescent="0.25">
      <c r="A4282" s="10" t="s">
        <v>1302</v>
      </c>
      <c r="B4282" s="11" t="s">
        <v>1643</v>
      </c>
      <c r="C4282" s="5">
        <v>76630.280299999999</v>
      </c>
      <c r="D4282" s="5">
        <v>76630.280299999999</v>
      </c>
      <c r="E4282" s="5">
        <v>69390.088799999998</v>
      </c>
      <c r="G4282" s="5" t="str">
        <f t="shared" si="133"/>
        <v>Ю-З</v>
      </c>
      <c r="J4282" s="5"/>
      <c r="AL4282" s="5">
        <f t="shared" si="134"/>
        <v>0</v>
      </c>
    </row>
    <row r="4283" spans="1:38" ht="25.5" customHeight="1" x14ac:dyDescent="0.25">
      <c r="A4283" s="10" t="s">
        <v>1231</v>
      </c>
      <c r="B4283" s="11" t="s">
        <v>14</v>
      </c>
      <c r="C4283" s="5">
        <v>93989.912800000006</v>
      </c>
      <c r="D4283" s="5">
        <v>93989.912800000006</v>
      </c>
      <c r="E4283" s="5">
        <v>85109.545199999993</v>
      </c>
      <c r="G4283" s="5" t="str">
        <f t="shared" si="133"/>
        <v>Центр</v>
      </c>
      <c r="J4283" s="5"/>
      <c r="AL4283" s="5">
        <f t="shared" si="134"/>
        <v>0</v>
      </c>
    </row>
    <row r="4284" spans="1:38" ht="25.5" customHeight="1" x14ac:dyDescent="0.25">
      <c r="A4284" s="10" t="s">
        <v>288</v>
      </c>
      <c r="B4284" s="11" t="s">
        <v>14</v>
      </c>
      <c r="C4284" s="5">
        <v>93989.912800000006</v>
      </c>
      <c r="D4284" s="5">
        <v>93989.912800000006</v>
      </c>
      <c r="E4284" s="5">
        <v>85109.545199999993</v>
      </c>
      <c r="G4284" s="5" t="str">
        <f t="shared" si="133"/>
        <v>Центр</v>
      </c>
      <c r="J4284" s="5"/>
      <c r="AL4284" s="5">
        <f t="shared" si="134"/>
        <v>0</v>
      </c>
    </row>
    <row r="4285" spans="1:38" ht="25.5" customHeight="1" x14ac:dyDescent="0.25">
      <c r="A4285" s="10" t="s">
        <v>1102</v>
      </c>
      <c r="B4285" s="11" t="s">
        <v>1651</v>
      </c>
      <c r="C4285" s="5">
        <v>68129.029500000004</v>
      </c>
      <c r="D4285" s="5">
        <v>68129.029500000004</v>
      </c>
      <c r="E4285" s="5">
        <v>61692.054799999998</v>
      </c>
      <c r="G4285" s="5" t="str">
        <f t="shared" si="133"/>
        <v>ШАРТАШ</v>
      </c>
      <c r="J4285" s="5"/>
      <c r="AL4285" s="5">
        <f t="shared" si="134"/>
        <v>0</v>
      </c>
    </row>
    <row r="4286" spans="1:38" ht="25.5" customHeight="1" x14ac:dyDescent="0.25">
      <c r="A4286" s="10" t="s">
        <v>998</v>
      </c>
      <c r="B4286" s="11" t="s">
        <v>1628</v>
      </c>
      <c r="C4286" s="5">
        <v>70734.0236</v>
      </c>
      <c r="D4286" s="5">
        <v>70734.0236</v>
      </c>
      <c r="E4286" s="5">
        <v>64050.9208</v>
      </c>
      <c r="G4286" s="5" t="str">
        <f t="shared" si="133"/>
        <v>ЭЛЬМАШ</v>
      </c>
      <c r="J4286" s="5"/>
      <c r="AL4286" s="5">
        <f t="shared" si="134"/>
        <v>0</v>
      </c>
    </row>
    <row r="4287" spans="1:38" ht="25.5" customHeight="1" x14ac:dyDescent="0.25">
      <c r="A4287" s="10" t="s">
        <v>843</v>
      </c>
      <c r="B4287" s="11" t="s">
        <v>1630</v>
      </c>
      <c r="C4287" s="5">
        <v>62652.9401</v>
      </c>
      <c r="D4287" s="5">
        <v>62652.9401</v>
      </c>
      <c r="E4287" s="5">
        <v>56733.3557</v>
      </c>
      <c r="G4287" s="5" t="str">
        <f t="shared" ref="G4287:G4350" si="135">B4287</f>
        <v>ЧЕРМЕТ</v>
      </c>
      <c r="J4287" s="5"/>
      <c r="AL4287" s="5">
        <f t="shared" ref="AL4287:AL4350" si="136">AF4287</f>
        <v>0</v>
      </c>
    </row>
    <row r="4288" spans="1:38" ht="25.5" customHeight="1" x14ac:dyDescent="0.25">
      <c r="A4288" s="10" t="s">
        <v>3480</v>
      </c>
      <c r="B4288" s="11" t="s">
        <v>118</v>
      </c>
      <c r="C4288" s="5">
        <v>53500.443299999999</v>
      </c>
      <c r="D4288" s="5">
        <v>53500.443299999999</v>
      </c>
      <c r="E4288" s="5">
        <v>48445.605100000001</v>
      </c>
      <c r="G4288" s="5" t="str">
        <f t="shared" si="135"/>
        <v>Исток</v>
      </c>
      <c r="J4288" s="5"/>
      <c r="AL4288" s="5">
        <f t="shared" si="136"/>
        <v>0</v>
      </c>
    </row>
    <row r="4289" spans="1:38" ht="25.5" customHeight="1" x14ac:dyDescent="0.25">
      <c r="A4289" s="10" t="s">
        <v>3481</v>
      </c>
      <c r="B4289" s="11" t="s">
        <v>1653</v>
      </c>
      <c r="C4289" s="5">
        <v>56847.723400000003</v>
      </c>
      <c r="D4289" s="5">
        <v>56847.723400000003</v>
      </c>
      <c r="E4289" s="5">
        <v>51476.629399999998</v>
      </c>
      <c r="G4289" s="5" t="str">
        <f t="shared" si="135"/>
        <v>ПТИЦЕФАБРИКА</v>
      </c>
      <c r="J4289" s="5"/>
      <c r="AL4289" s="5">
        <f t="shared" si="136"/>
        <v>0</v>
      </c>
    </row>
    <row r="4290" spans="1:38" ht="25.5" customHeight="1" x14ac:dyDescent="0.25">
      <c r="A4290" s="10" t="s">
        <v>759</v>
      </c>
      <c r="B4290" s="11" t="s">
        <v>1632</v>
      </c>
      <c r="C4290" s="5">
        <v>83744.997499999998</v>
      </c>
      <c r="D4290" s="5">
        <v>83744.997499999998</v>
      </c>
      <c r="E4290" s="5">
        <v>75832.596099999995</v>
      </c>
      <c r="G4290" s="5" t="str">
        <f t="shared" si="135"/>
        <v>АВТОВОКЗАЛ</v>
      </c>
      <c r="J4290" s="5"/>
      <c r="AL4290" s="5">
        <f t="shared" si="136"/>
        <v>0</v>
      </c>
    </row>
    <row r="4291" spans="1:38" ht="25.5" customHeight="1" x14ac:dyDescent="0.25">
      <c r="A4291" s="10" t="s">
        <v>3482</v>
      </c>
      <c r="B4291" s="11" t="s">
        <v>1664</v>
      </c>
      <c r="C4291" s="5">
        <v>53668.506099999999</v>
      </c>
      <c r="D4291" s="5">
        <v>53668.506099999999</v>
      </c>
      <c r="E4291" s="5">
        <v>48597.792699999998</v>
      </c>
      <c r="G4291" s="5" t="str">
        <f t="shared" si="135"/>
        <v>ИЗОПЛИТ</v>
      </c>
      <c r="J4291" s="5"/>
      <c r="AL4291" s="5">
        <f t="shared" si="136"/>
        <v>0</v>
      </c>
    </row>
    <row r="4292" spans="1:38" ht="25.5" customHeight="1" x14ac:dyDescent="0.25">
      <c r="A4292" s="10" t="s">
        <v>952</v>
      </c>
      <c r="B4292" s="11" t="s">
        <v>1640</v>
      </c>
      <c r="C4292" s="5">
        <v>64914.8</v>
      </c>
      <c r="D4292" s="5">
        <v>64914.8</v>
      </c>
      <c r="E4292" s="5">
        <v>58781.519200000002</v>
      </c>
      <c r="G4292" s="5" t="str">
        <f t="shared" si="135"/>
        <v>Новая сортировка</v>
      </c>
      <c r="J4292" s="5"/>
      <c r="AL4292" s="5">
        <f t="shared" si="136"/>
        <v>0</v>
      </c>
    </row>
    <row r="4293" spans="1:38" ht="25.5" customHeight="1" x14ac:dyDescent="0.25">
      <c r="A4293" s="10" t="s">
        <v>3483</v>
      </c>
      <c r="B4293" s="11" t="s">
        <v>1657</v>
      </c>
      <c r="C4293" s="5">
        <v>54886.9666</v>
      </c>
      <c r="D4293" s="5">
        <v>54886.9666</v>
      </c>
      <c r="E4293" s="5">
        <v>49701.1319</v>
      </c>
      <c r="G4293" s="5" t="str">
        <f t="shared" si="135"/>
        <v>КОЛЬЦОВО</v>
      </c>
      <c r="J4293" s="5"/>
      <c r="AL4293" s="5">
        <f t="shared" si="136"/>
        <v>0</v>
      </c>
    </row>
    <row r="4294" spans="1:38" ht="25.5" customHeight="1" x14ac:dyDescent="0.25">
      <c r="A4294" s="10" t="s">
        <v>129</v>
      </c>
      <c r="B4294" s="11" t="s">
        <v>1640</v>
      </c>
      <c r="C4294" s="5">
        <v>64914.8</v>
      </c>
      <c r="D4294" s="5">
        <v>64914.8</v>
      </c>
      <c r="E4294" s="5">
        <v>58781.519200000002</v>
      </c>
      <c r="G4294" s="5" t="str">
        <f t="shared" si="135"/>
        <v>Новая сортировка</v>
      </c>
      <c r="J4294" s="5"/>
      <c r="AL4294" s="5">
        <f t="shared" si="136"/>
        <v>0</v>
      </c>
    </row>
    <row r="4295" spans="1:38" ht="25.5" customHeight="1" x14ac:dyDescent="0.25">
      <c r="A4295" s="10" t="s">
        <v>961</v>
      </c>
      <c r="B4295" s="11" t="s">
        <v>14</v>
      </c>
      <c r="C4295" s="5">
        <v>93989.912800000006</v>
      </c>
      <c r="D4295" s="5">
        <v>93989.912800000006</v>
      </c>
      <c r="E4295" s="5">
        <v>85109.545199999993</v>
      </c>
      <c r="G4295" s="5" t="str">
        <f t="shared" si="135"/>
        <v>Центр</v>
      </c>
      <c r="J4295" s="5"/>
      <c r="AL4295" s="5">
        <f t="shared" si="136"/>
        <v>0</v>
      </c>
    </row>
    <row r="4296" spans="1:38" ht="25.5" customHeight="1" x14ac:dyDescent="0.25">
      <c r="A4296" s="10" t="s">
        <v>3484</v>
      </c>
      <c r="B4296" s="11" t="s">
        <v>33</v>
      </c>
      <c r="C4296" s="5">
        <v>84298.205100000006</v>
      </c>
      <c r="D4296" s="5">
        <v>84298.205100000006</v>
      </c>
      <c r="E4296" s="5">
        <v>76333.533100000001</v>
      </c>
      <c r="G4296" s="5" t="str">
        <f t="shared" si="135"/>
        <v>ВИЗ</v>
      </c>
      <c r="J4296" s="5"/>
      <c r="AL4296" s="5">
        <f t="shared" si="136"/>
        <v>0</v>
      </c>
    </row>
    <row r="4297" spans="1:38" ht="25.5" customHeight="1" x14ac:dyDescent="0.25">
      <c r="A4297" s="10" t="s">
        <v>3485</v>
      </c>
      <c r="B4297" s="11" t="s">
        <v>1630</v>
      </c>
      <c r="C4297" s="5">
        <v>62652.9401</v>
      </c>
      <c r="D4297" s="5">
        <v>62652.9401</v>
      </c>
      <c r="E4297" s="5">
        <v>56733.3557</v>
      </c>
      <c r="G4297" s="5" t="str">
        <f t="shared" si="135"/>
        <v>ЧЕРМЕТ</v>
      </c>
      <c r="J4297" s="5"/>
      <c r="AL4297" s="5">
        <f t="shared" si="136"/>
        <v>0</v>
      </c>
    </row>
    <row r="4298" spans="1:38" ht="25.5" customHeight="1" x14ac:dyDescent="0.25">
      <c r="A4298" s="10" t="s">
        <v>1298</v>
      </c>
      <c r="B4298" s="11" t="s">
        <v>33</v>
      </c>
      <c r="C4298" s="5">
        <v>84298.205100000006</v>
      </c>
      <c r="D4298" s="5">
        <v>84298.205100000006</v>
      </c>
      <c r="E4298" s="5">
        <v>76333.533100000001</v>
      </c>
      <c r="G4298" s="5" t="str">
        <f t="shared" si="135"/>
        <v>ВИЗ</v>
      </c>
      <c r="J4298" s="5"/>
      <c r="AL4298" s="5">
        <f t="shared" si="136"/>
        <v>0</v>
      </c>
    </row>
    <row r="4299" spans="1:38" ht="25.5" customHeight="1" x14ac:dyDescent="0.25">
      <c r="A4299" s="10" t="s">
        <v>3486</v>
      </c>
      <c r="B4299" s="11" t="s">
        <v>1631</v>
      </c>
      <c r="C4299" s="5">
        <v>70026.7601</v>
      </c>
      <c r="D4299" s="5">
        <v>70026.7601</v>
      </c>
      <c r="E4299" s="5">
        <v>63410.482000000004</v>
      </c>
      <c r="G4299" s="5" t="str">
        <f t="shared" si="135"/>
        <v>УРАЛМАШ</v>
      </c>
      <c r="J4299" s="5"/>
      <c r="AL4299" s="5">
        <f t="shared" si="136"/>
        <v>0</v>
      </c>
    </row>
    <row r="4300" spans="1:38" ht="25.5" customHeight="1" x14ac:dyDescent="0.25">
      <c r="A4300" s="10" t="s">
        <v>1100</v>
      </c>
      <c r="B4300" s="11" t="s">
        <v>33</v>
      </c>
      <c r="C4300" s="5">
        <v>84298.205100000006</v>
      </c>
      <c r="D4300" s="5">
        <v>84298.205100000006</v>
      </c>
      <c r="E4300" s="5">
        <v>76333.533100000001</v>
      </c>
      <c r="G4300" s="5" t="str">
        <f t="shared" si="135"/>
        <v>ВИЗ</v>
      </c>
      <c r="J4300" s="5"/>
      <c r="AL4300" s="5">
        <f t="shared" si="136"/>
        <v>0</v>
      </c>
    </row>
    <row r="4301" spans="1:38" ht="25.5" customHeight="1" x14ac:dyDescent="0.25">
      <c r="A4301" s="10" t="s">
        <v>3487</v>
      </c>
      <c r="B4301" s="11" t="s">
        <v>1645</v>
      </c>
      <c r="C4301" s="5">
        <v>60958.294800000003</v>
      </c>
      <c r="D4301" s="5">
        <v>60958.294800000003</v>
      </c>
      <c r="E4301" s="5">
        <v>55198.825199999999</v>
      </c>
      <c r="G4301" s="5" t="str">
        <f t="shared" si="135"/>
        <v>ЕЛИЗАВЕТ</v>
      </c>
      <c r="J4301" s="5"/>
      <c r="AL4301" s="5">
        <f t="shared" si="136"/>
        <v>0</v>
      </c>
    </row>
    <row r="4302" spans="1:38" ht="25.5" customHeight="1" x14ac:dyDescent="0.25">
      <c r="A4302" s="10" t="s">
        <v>611</v>
      </c>
      <c r="B4302" s="11" t="s">
        <v>1638</v>
      </c>
      <c r="C4302" s="5">
        <v>63640.311600000001</v>
      </c>
      <c r="D4302" s="5">
        <v>63640.311600000001</v>
      </c>
      <c r="E4302" s="5">
        <v>57627.4473</v>
      </c>
      <c r="G4302" s="5" t="str">
        <f t="shared" si="135"/>
        <v>УКТУС</v>
      </c>
      <c r="J4302" s="5"/>
      <c r="AL4302" s="5">
        <f t="shared" si="136"/>
        <v>0</v>
      </c>
    </row>
    <row r="4303" spans="1:38" ht="25.5" customHeight="1" x14ac:dyDescent="0.25">
      <c r="A4303" s="10" t="s">
        <v>3488</v>
      </c>
      <c r="B4303" s="11" t="s">
        <v>1647</v>
      </c>
      <c r="C4303" s="5">
        <v>63178.133800000003</v>
      </c>
      <c r="D4303" s="5">
        <v>63178.133800000003</v>
      </c>
      <c r="E4303" s="5">
        <v>57208.931499999999</v>
      </c>
      <c r="G4303" s="5" t="str">
        <f t="shared" si="135"/>
        <v>ШИРОКАЯ РЕЧКА</v>
      </c>
      <c r="J4303" s="5"/>
      <c r="AL4303" s="5">
        <f t="shared" si="136"/>
        <v>0</v>
      </c>
    </row>
    <row r="4304" spans="1:38" ht="25.5" customHeight="1" x14ac:dyDescent="0.25">
      <c r="A4304" s="10" t="s">
        <v>667</v>
      </c>
      <c r="B4304" s="11" t="s">
        <v>1629</v>
      </c>
      <c r="C4304" s="5">
        <v>77743.704100000003</v>
      </c>
      <c r="D4304" s="5">
        <v>77743.704100000003</v>
      </c>
      <c r="E4304" s="5">
        <v>70398.310800000007</v>
      </c>
      <c r="G4304" s="5" t="str">
        <f t="shared" si="135"/>
        <v>ПИОНЕРСКИЙ</v>
      </c>
      <c r="J4304" s="5"/>
      <c r="AL4304" s="5">
        <f t="shared" si="136"/>
        <v>0</v>
      </c>
    </row>
    <row r="4305" spans="1:38" ht="25.5" customHeight="1" x14ac:dyDescent="0.25">
      <c r="A4305" s="10" t="s">
        <v>706</v>
      </c>
      <c r="B4305" s="11" t="s">
        <v>1658</v>
      </c>
      <c r="C4305" s="5">
        <v>68647.224799999996</v>
      </c>
      <c r="D4305" s="5">
        <v>68647.224799999996</v>
      </c>
      <c r="E4305" s="5">
        <v>62161.2929</v>
      </c>
      <c r="G4305" s="5" t="str">
        <f t="shared" si="135"/>
        <v>СИНИЕ КАМНИ</v>
      </c>
      <c r="J4305" s="5"/>
      <c r="AL4305" s="5">
        <f t="shared" si="136"/>
        <v>0</v>
      </c>
    </row>
    <row r="4306" spans="1:38" ht="25.5" customHeight="1" x14ac:dyDescent="0.25">
      <c r="A4306" s="10" t="s">
        <v>470</v>
      </c>
      <c r="B4306" s="11" t="s">
        <v>14</v>
      </c>
      <c r="C4306" s="5">
        <v>93989.912800000006</v>
      </c>
      <c r="D4306" s="5">
        <v>93989.912800000006</v>
      </c>
      <c r="E4306" s="5">
        <v>85109.545199999993</v>
      </c>
      <c r="G4306" s="5" t="str">
        <f t="shared" si="135"/>
        <v>Центр</v>
      </c>
      <c r="J4306" s="5"/>
      <c r="AL4306" s="5">
        <f t="shared" si="136"/>
        <v>0</v>
      </c>
    </row>
    <row r="4307" spans="1:38" ht="25.5" customHeight="1" x14ac:dyDescent="0.25">
      <c r="A4307" s="10" t="s">
        <v>3489</v>
      </c>
      <c r="B4307" s="11" t="s">
        <v>209</v>
      </c>
      <c r="C4307" s="5">
        <v>69382.512499999997</v>
      </c>
      <c r="D4307" s="5">
        <v>69382.512499999997</v>
      </c>
      <c r="E4307" s="5">
        <v>62827.103199999998</v>
      </c>
      <c r="G4307" s="5" t="str">
        <f t="shared" si="135"/>
        <v>ЖБИ</v>
      </c>
      <c r="J4307" s="5"/>
      <c r="AL4307" s="5">
        <f t="shared" si="136"/>
        <v>0</v>
      </c>
    </row>
    <row r="4308" spans="1:38" ht="25.5" customHeight="1" x14ac:dyDescent="0.25">
      <c r="A4308" s="10" t="s">
        <v>742</v>
      </c>
      <c r="B4308" s="11" t="s">
        <v>1643</v>
      </c>
      <c r="C4308" s="5">
        <v>76630.280299999999</v>
      </c>
      <c r="D4308" s="5">
        <v>76630.280299999999</v>
      </c>
      <c r="E4308" s="5">
        <v>69390.088799999998</v>
      </c>
      <c r="G4308" s="5" t="str">
        <f t="shared" si="135"/>
        <v>Ю-З</v>
      </c>
      <c r="J4308" s="5"/>
      <c r="AL4308" s="5">
        <f t="shared" si="136"/>
        <v>0</v>
      </c>
    </row>
    <row r="4309" spans="1:38" ht="25.5" customHeight="1" x14ac:dyDescent="0.25">
      <c r="A4309" s="10" t="s">
        <v>3490</v>
      </c>
      <c r="B4309" s="11" t="s">
        <v>1644</v>
      </c>
      <c r="C4309" s="5">
        <v>61980.678599999999</v>
      </c>
      <c r="D4309" s="5">
        <v>61980.678599999999</v>
      </c>
      <c r="E4309" s="5">
        <v>56124.615700000002</v>
      </c>
      <c r="G4309" s="5" t="str">
        <f t="shared" si="135"/>
        <v>ХИММАШ</v>
      </c>
      <c r="J4309" s="5"/>
      <c r="AL4309" s="5">
        <f t="shared" si="136"/>
        <v>0</v>
      </c>
    </row>
    <row r="4310" spans="1:38" ht="25.5" customHeight="1" x14ac:dyDescent="0.25">
      <c r="A4310" s="10" t="s">
        <v>3491</v>
      </c>
      <c r="B4310" s="11" t="s">
        <v>1638</v>
      </c>
      <c r="C4310" s="5">
        <v>63640.311600000001</v>
      </c>
      <c r="D4310" s="5">
        <v>63640.311600000001</v>
      </c>
      <c r="E4310" s="5">
        <v>57627.4473</v>
      </c>
      <c r="G4310" s="5" t="str">
        <f t="shared" si="135"/>
        <v>УКТУС</v>
      </c>
      <c r="J4310" s="5"/>
      <c r="AL4310" s="5">
        <f t="shared" si="136"/>
        <v>0</v>
      </c>
    </row>
    <row r="4311" spans="1:38" ht="25.5" customHeight="1" x14ac:dyDescent="0.25">
      <c r="A4311" s="10" t="s">
        <v>1386</v>
      </c>
      <c r="B4311" s="11" t="s">
        <v>1630</v>
      </c>
      <c r="C4311" s="5">
        <v>62652.9401</v>
      </c>
      <c r="D4311" s="5">
        <v>62652.9401</v>
      </c>
      <c r="E4311" s="5">
        <v>56733.3557</v>
      </c>
      <c r="G4311" s="5" t="str">
        <f t="shared" si="135"/>
        <v>ЧЕРМЕТ</v>
      </c>
      <c r="J4311" s="5"/>
      <c r="AL4311" s="5">
        <f t="shared" si="136"/>
        <v>0</v>
      </c>
    </row>
    <row r="4312" spans="1:38" ht="25.5" customHeight="1" x14ac:dyDescent="0.25">
      <c r="A4312" s="10" t="s">
        <v>627</v>
      </c>
      <c r="B4312" s="11" t="s">
        <v>14</v>
      </c>
      <c r="C4312" s="5">
        <v>93989.912800000006</v>
      </c>
      <c r="D4312" s="5">
        <v>93989.912800000006</v>
      </c>
      <c r="E4312" s="5">
        <v>85109.545199999993</v>
      </c>
      <c r="G4312" s="5" t="str">
        <f t="shared" si="135"/>
        <v>Центр</v>
      </c>
      <c r="J4312" s="5"/>
      <c r="AL4312" s="5">
        <f t="shared" si="136"/>
        <v>0</v>
      </c>
    </row>
    <row r="4313" spans="1:38" ht="25.5" customHeight="1" x14ac:dyDescent="0.25">
      <c r="A4313" s="10" t="s">
        <v>993</v>
      </c>
      <c r="B4313" s="11" t="s">
        <v>1638</v>
      </c>
      <c r="C4313" s="5">
        <v>63640.311600000001</v>
      </c>
      <c r="D4313" s="5">
        <v>63640.311600000001</v>
      </c>
      <c r="E4313" s="5">
        <v>57627.4473</v>
      </c>
      <c r="G4313" s="5" t="str">
        <f t="shared" si="135"/>
        <v>УКТУС</v>
      </c>
      <c r="J4313" s="5"/>
      <c r="AL4313" s="5">
        <f t="shared" si="136"/>
        <v>0</v>
      </c>
    </row>
    <row r="4314" spans="1:38" ht="25.5" customHeight="1" x14ac:dyDescent="0.25">
      <c r="A4314" s="10" t="s">
        <v>264</v>
      </c>
      <c r="B4314" s="11" t="s">
        <v>1655</v>
      </c>
      <c r="C4314" s="5">
        <v>79683.445300000007</v>
      </c>
      <c r="D4314" s="5">
        <v>79683.445300000007</v>
      </c>
      <c r="E4314" s="5">
        <v>72154.784899999999</v>
      </c>
      <c r="G4314" s="5" t="str">
        <f t="shared" si="135"/>
        <v>Шарташский рынок</v>
      </c>
      <c r="J4314" s="5"/>
      <c r="AL4314" s="5">
        <f t="shared" si="136"/>
        <v>0</v>
      </c>
    </row>
    <row r="4315" spans="1:38" ht="25.5" customHeight="1" x14ac:dyDescent="0.25">
      <c r="A4315" s="10" t="s">
        <v>916</v>
      </c>
      <c r="B4315" s="11" t="s">
        <v>1643</v>
      </c>
      <c r="C4315" s="5">
        <v>76630.280299999999</v>
      </c>
      <c r="D4315" s="5">
        <v>76630.280299999999</v>
      </c>
      <c r="E4315" s="5">
        <v>69390.088799999998</v>
      </c>
      <c r="G4315" s="5" t="str">
        <f t="shared" si="135"/>
        <v>Ю-З</v>
      </c>
      <c r="J4315" s="5"/>
      <c r="AL4315" s="5">
        <f t="shared" si="136"/>
        <v>0</v>
      </c>
    </row>
    <row r="4316" spans="1:38" ht="25.5" customHeight="1" x14ac:dyDescent="0.25">
      <c r="A4316" s="10" t="s">
        <v>3492</v>
      </c>
      <c r="B4316" s="11" t="s">
        <v>1640</v>
      </c>
      <c r="C4316" s="5">
        <v>64914.8</v>
      </c>
      <c r="D4316" s="5">
        <v>64914.8</v>
      </c>
      <c r="E4316" s="5">
        <v>58781.519200000002</v>
      </c>
      <c r="G4316" s="5" t="str">
        <f t="shared" si="135"/>
        <v>Новая сортировка</v>
      </c>
      <c r="J4316" s="5"/>
      <c r="AL4316" s="5">
        <f t="shared" si="136"/>
        <v>0</v>
      </c>
    </row>
    <row r="4317" spans="1:38" ht="25.5" customHeight="1" x14ac:dyDescent="0.25">
      <c r="A4317" s="10" t="s">
        <v>3493</v>
      </c>
      <c r="B4317" s="11" t="s">
        <v>1659</v>
      </c>
      <c r="C4317" s="5">
        <v>59746.832600000002</v>
      </c>
      <c r="D4317" s="5">
        <v>59746.832600000002</v>
      </c>
      <c r="E4317" s="5">
        <v>54101.823700000001</v>
      </c>
      <c r="G4317" s="5" t="str">
        <f t="shared" si="135"/>
        <v>СОВХОЗ</v>
      </c>
      <c r="J4317" s="5"/>
      <c r="AL4317" s="5">
        <f t="shared" si="136"/>
        <v>0</v>
      </c>
    </row>
    <row r="4318" spans="1:38" ht="25.5" customHeight="1" x14ac:dyDescent="0.25">
      <c r="A4318" s="10" t="s">
        <v>3494</v>
      </c>
      <c r="B4318" s="11" t="s">
        <v>33</v>
      </c>
      <c r="C4318" s="5">
        <v>84298.205100000006</v>
      </c>
      <c r="D4318" s="5">
        <v>84298.205100000006</v>
      </c>
      <c r="E4318" s="5">
        <v>76333.533100000001</v>
      </c>
      <c r="G4318" s="5" t="str">
        <f t="shared" si="135"/>
        <v>ВИЗ</v>
      </c>
      <c r="J4318" s="5"/>
      <c r="AL4318" s="5">
        <f t="shared" si="136"/>
        <v>0</v>
      </c>
    </row>
    <row r="4319" spans="1:38" ht="25.5" customHeight="1" x14ac:dyDescent="0.25">
      <c r="A4319" s="10" t="s">
        <v>32</v>
      </c>
      <c r="B4319" s="11" t="s">
        <v>33</v>
      </c>
      <c r="C4319" s="5">
        <v>84298.205100000006</v>
      </c>
      <c r="D4319" s="5">
        <v>84298.205100000006</v>
      </c>
      <c r="E4319" s="5">
        <v>76333.533100000001</v>
      </c>
      <c r="G4319" s="5" t="str">
        <f t="shared" si="135"/>
        <v>ВИЗ</v>
      </c>
      <c r="J4319" s="5"/>
      <c r="AL4319" s="5">
        <f t="shared" si="136"/>
        <v>0</v>
      </c>
    </row>
    <row r="4320" spans="1:38" ht="25.5" customHeight="1" x14ac:dyDescent="0.25">
      <c r="A4320" s="10" t="s">
        <v>1282</v>
      </c>
      <c r="B4320" s="11" t="s">
        <v>1656</v>
      </c>
      <c r="C4320" s="5">
        <v>60173.9879</v>
      </c>
      <c r="D4320" s="5">
        <v>60173.9879</v>
      </c>
      <c r="E4320" s="5">
        <v>54488.630299999997</v>
      </c>
      <c r="G4320" s="5" t="str">
        <f t="shared" si="135"/>
        <v>МАЛЫЙ ИСТОК</v>
      </c>
      <c r="J4320" s="5"/>
      <c r="AL4320" s="5">
        <f t="shared" si="136"/>
        <v>0</v>
      </c>
    </row>
    <row r="4321" spans="1:38" ht="25.5" customHeight="1" x14ac:dyDescent="0.25">
      <c r="A4321" s="10" t="s">
        <v>3495</v>
      </c>
      <c r="B4321" s="11" t="s">
        <v>1648</v>
      </c>
      <c r="C4321" s="5">
        <v>49782.025399999999</v>
      </c>
      <c r="D4321" s="5">
        <v>49782.025399999999</v>
      </c>
      <c r="E4321" s="5">
        <v>45078.506800000003</v>
      </c>
      <c r="G4321" s="5" t="str">
        <f t="shared" si="135"/>
        <v>ЧУСОВСКОЕ ОЗЕРО</v>
      </c>
      <c r="J4321" s="5"/>
      <c r="AL4321" s="5">
        <f t="shared" si="136"/>
        <v>0</v>
      </c>
    </row>
    <row r="4322" spans="1:38" ht="25.5" customHeight="1" x14ac:dyDescent="0.25">
      <c r="A4322" s="10" t="s">
        <v>3496</v>
      </c>
      <c r="B4322" s="11" t="s">
        <v>1630</v>
      </c>
      <c r="C4322" s="5">
        <v>62652.9401</v>
      </c>
      <c r="D4322" s="5">
        <v>62652.9401</v>
      </c>
      <c r="E4322" s="5">
        <v>56733.3557</v>
      </c>
      <c r="G4322" s="5" t="str">
        <f t="shared" si="135"/>
        <v>ЧЕРМЕТ</v>
      </c>
      <c r="J4322" s="5"/>
      <c r="AL4322" s="5">
        <f t="shared" si="136"/>
        <v>0</v>
      </c>
    </row>
    <row r="4323" spans="1:38" ht="25.5" customHeight="1" x14ac:dyDescent="0.25">
      <c r="A4323" s="10" t="s">
        <v>476</v>
      </c>
      <c r="B4323" s="11" t="s">
        <v>1638</v>
      </c>
      <c r="C4323" s="5">
        <v>63640.311600000001</v>
      </c>
      <c r="D4323" s="5">
        <v>63640.311600000001</v>
      </c>
      <c r="E4323" s="5">
        <v>57627.4473</v>
      </c>
      <c r="G4323" s="5" t="str">
        <f t="shared" si="135"/>
        <v>УКТУС</v>
      </c>
      <c r="J4323" s="5"/>
      <c r="AL4323" s="5">
        <f t="shared" si="136"/>
        <v>0</v>
      </c>
    </row>
    <row r="4324" spans="1:38" ht="25.5" customHeight="1" x14ac:dyDescent="0.25">
      <c r="A4324" s="10" t="s">
        <v>784</v>
      </c>
      <c r="B4324" s="11" t="s">
        <v>1631</v>
      </c>
      <c r="C4324" s="5">
        <v>70026.7601</v>
      </c>
      <c r="D4324" s="5">
        <v>70026.7601</v>
      </c>
      <c r="E4324" s="5">
        <v>63410.482000000004</v>
      </c>
      <c r="G4324" s="5" t="str">
        <f t="shared" si="135"/>
        <v>УРАЛМАШ</v>
      </c>
      <c r="J4324" s="5"/>
      <c r="AL4324" s="5">
        <f t="shared" si="136"/>
        <v>0</v>
      </c>
    </row>
    <row r="4325" spans="1:38" ht="25.5" customHeight="1" x14ac:dyDescent="0.25">
      <c r="A4325" s="10" t="s">
        <v>957</v>
      </c>
      <c r="B4325" s="11" t="s">
        <v>1635</v>
      </c>
      <c r="C4325" s="5">
        <v>57793.0844</v>
      </c>
      <c r="D4325" s="5">
        <v>57793.0844</v>
      </c>
      <c r="E4325" s="5">
        <v>52332.6639</v>
      </c>
      <c r="G4325" s="5" t="str">
        <f t="shared" si="135"/>
        <v>ЛЕЧЕБНЫЙ</v>
      </c>
      <c r="J4325" s="5"/>
      <c r="AL4325" s="5">
        <f t="shared" si="136"/>
        <v>0</v>
      </c>
    </row>
    <row r="4326" spans="1:38" ht="25.5" customHeight="1" x14ac:dyDescent="0.25">
      <c r="A4326" s="10" t="s">
        <v>1496</v>
      </c>
      <c r="B4326" s="11" t="s">
        <v>66</v>
      </c>
      <c r="C4326" s="5">
        <v>64795.756300000001</v>
      </c>
      <c r="D4326" s="5">
        <v>64795.756300000001</v>
      </c>
      <c r="E4326" s="5">
        <v>58673.716200000003</v>
      </c>
      <c r="G4326" s="5" t="str">
        <f t="shared" si="135"/>
        <v>УНЦ</v>
      </c>
      <c r="J4326" s="5"/>
      <c r="AL4326" s="5">
        <f t="shared" si="136"/>
        <v>0</v>
      </c>
    </row>
    <row r="4327" spans="1:38" ht="25.5" customHeight="1" x14ac:dyDescent="0.25">
      <c r="A4327" s="10" t="s">
        <v>3497</v>
      </c>
      <c r="B4327" s="11" t="s">
        <v>14</v>
      </c>
      <c r="C4327" s="5">
        <v>93989.912800000006</v>
      </c>
      <c r="D4327" s="5">
        <v>93989.912800000006</v>
      </c>
      <c r="E4327" s="5">
        <v>85109.545199999993</v>
      </c>
      <c r="G4327" s="5" t="str">
        <f t="shared" si="135"/>
        <v>Центр</v>
      </c>
      <c r="J4327" s="5"/>
      <c r="AL4327" s="5">
        <f t="shared" si="136"/>
        <v>0</v>
      </c>
    </row>
    <row r="4328" spans="1:38" ht="25.5" customHeight="1" x14ac:dyDescent="0.25">
      <c r="A4328" s="10" t="s">
        <v>1117</v>
      </c>
      <c r="B4328" s="5" t="s">
        <v>1637</v>
      </c>
      <c r="C4328" s="5">
        <v>59368.686099999999</v>
      </c>
      <c r="D4328" s="5">
        <v>59368.686099999999</v>
      </c>
      <c r="E4328" s="5">
        <v>53759.401700000002</v>
      </c>
      <c r="G4328" s="5" t="str">
        <f t="shared" si="135"/>
        <v>Старая сортировка</v>
      </c>
      <c r="J4328" s="5"/>
      <c r="AL4328" s="5">
        <f t="shared" si="136"/>
        <v>0</v>
      </c>
    </row>
    <row r="4329" spans="1:38" ht="25.5" customHeight="1" x14ac:dyDescent="0.25">
      <c r="A4329" s="10" t="s">
        <v>1339</v>
      </c>
      <c r="B4329" s="11" t="s">
        <v>14</v>
      </c>
      <c r="C4329" s="5">
        <v>93989.912800000006</v>
      </c>
      <c r="D4329" s="5">
        <v>93989.912800000006</v>
      </c>
      <c r="E4329" s="5">
        <v>85109.545199999993</v>
      </c>
      <c r="G4329" s="5" t="str">
        <f t="shared" si="135"/>
        <v>Центр</v>
      </c>
      <c r="J4329" s="5"/>
      <c r="AL4329" s="5">
        <f t="shared" si="136"/>
        <v>0</v>
      </c>
    </row>
    <row r="4330" spans="1:38" ht="25.5" customHeight="1" x14ac:dyDescent="0.25">
      <c r="A4330" s="10" t="s">
        <v>808</v>
      </c>
      <c r="B4330" s="11" t="s">
        <v>1640</v>
      </c>
      <c r="C4330" s="5">
        <v>64914.8</v>
      </c>
      <c r="D4330" s="5">
        <v>64914.8</v>
      </c>
      <c r="E4330" s="5">
        <v>58781.519200000002</v>
      </c>
      <c r="G4330" s="5" t="str">
        <f t="shared" si="135"/>
        <v>Новая сортировка</v>
      </c>
      <c r="J4330" s="5"/>
      <c r="AL4330" s="5">
        <f t="shared" si="136"/>
        <v>0</v>
      </c>
    </row>
    <row r="4331" spans="1:38" ht="25.5" customHeight="1" x14ac:dyDescent="0.25">
      <c r="A4331" s="10" t="s">
        <v>3498</v>
      </c>
      <c r="B4331" s="11" t="s">
        <v>1645</v>
      </c>
      <c r="C4331" s="5">
        <v>60958.294800000003</v>
      </c>
      <c r="D4331" s="5">
        <v>60958.294800000003</v>
      </c>
      <c r="E4331" s="5">
        <v>55198.825199999999</v>
      </c>
      <c r="G4331" s="5" t="str">
        <f t="shared" si="135"/>
        <v>ЕЛИЗАВЕТ</v>
      </c>
      <c r="J4331" s="5"/>
      <c r="AL4331" s="5">
        <f t="shared" si="136"/>
        <v>0</v>
      </c>
    </row>
    <row r="4332" spans="1:38" ht="25.5" customHeight="1" x14ac:dyDescent="0.25">
      <c r="A4332" s="10" t="s">
        <v>752</v>
      </c>
      <c r="B4332" s="11" t="s">
        <v>1629</v>
      </c>
      <c r="C4332" s="5">
        <v>77743.704100000003</v>
      </c>
      <c r="D4332" s="5">
        <v>77743.704100000003</v>
      </c>
      <c r="E4332" s="5">
        <v>70398.310800000007</v>
      </c>
      <c r="G4332" s="5" t="str">
        <f t="shared" si="135"/>
        <v>ПИОНЕРСКИЙ</v>
      </c>
      <c r="J4332" s="5"/>
      <c r="AL4332" s="5">
        <f t="shared" si="136"/>
        <v>0</v>
      </c>
    </row>
    <row r="4333" spans="1:38" ht="25.5" customHeight="1" x14ac:dyDescent="0.25">
      <c r="A4333" s="10" t="s">
        <v>338</v>
      </c>
      <c r="B4333" s="11" t="s">
        <v>1629</v>
      </c>
      <c r="C4333" s="5">
        <v>77743.704100000003</v>
      </c>
      <c r="D4333" s="5">
        <v>77743.704100000003</v>
      </c>
      <c r="E4333" s="5">
        <v>70398.310800000007</v>
      </c>
      <c r="G4333" s="5" t="str">
        <f t="shared" si="135"/>
        <v>ПИОНЕРСКИЙ</v>
      </c>
      <c r="J4333" s="5"/>
      <c r="AL4333" s="5">
        <f t="shared" si="136"/>
        <v>0</v>
      </c>
    </row>
    <row r="4334" spans="1:38" ht="25.5" customHeight="1" x14ac:dyDescent="0.25">
      <c r="A4334" s="10" t="s">
        <v>3499</v>
      </c>
      <c r="B4334" s="11" t="s">
        <v>1631</v>
      </c>
      <c r="C4334" s="5">
        <v>70026.7601</v>
      </c>
      <c r="D4334" s="5">
        <v>70026.7601</v>
      </c>
      <c r="E4334" s="5">
        <v>63410.482000000004</v>
      </c>
      <c r="G4334" s="5" t="str">
        <f t="shared" si="135"/>
        <v>УРАЛМАШ</v>
      </c>
      <c r="J4334" s="5"/>
      <c r="AL4334" s="5">
        <f t="shared" si="136"/>
        <v>0</v>
      </c>
    </row>
    <row r="4335" spans="1:38" ht="25.5" customHeight="1" x14ac:dyDescent="0.25">
      <c r="A4335" s="10" t="s">
        <v>558</v>
      </c>
      <c r="B4335" s="11" t="s">
        <v>1633</v>
      </c>
      <c r="C4335" s="5">
        <v>77071.442599999995</v>
      </c>
      <c r="D4335" s="5">
        <v>77071.442599999995</v>
      </c>
      <c r="E4335" s="5">
        <v>69789.570900000006</v>
      </c>
      <c r="G4335" s="5" t="str">
        <f t="shared" si="135"/>
        <v>ВТУЗГОРОДОК</v>
      </c>
      <c r="J4335" s="5"/>
      <c r="AL4335" s="5">
        <f t="shared" si="136"/>
        <v>0</v>
      </c>
    </row>
    <row r="4336" spans="1:38" ht="25.5" customHeight="1" x14ac:dyDescent="0.25">
      <c r="A4336" s="10" t="s">
        <v>3500</v>
      </c>
      <c r="B4336" s="11" t="s">
        <v>1639</v>
      </c>
      <c r="C4336" s="5">
        <v>53500.443299999999</v>
      </c>
      <c r="D4336" s="5">
        <v>53500.443299999999</v>
      </c>
      <c r="E4336" s="5">
        <v>48445.605100000001</v>
      </c>
      <c r="G4336" s="5" t="str">
        <f t="shared" si="135"/>
        <v>ИСТОК</v>
      </c>
      <c r="J4336" s="5"/>
      <c r="AL4336" s="5">
        <f t="shared" si="136"/>
        <v>0</v>
      </c>
    </row>
    <row r="4337" spans="1:38" ht="25.5" customHeight="1" x14ac:dyDescent="0.25">
      <c r="A4337" s="10" t="s">
        <v>560</v>
      </c>
      <c r="B4337" s="11" t="s">
        <v>1644</v>
      </c>
      <c r="C4337" s="5">
        <v>61980.678599999999</v>
      </c>
      <c r="D4337" s="5">
        <v>61980.678599999999</v>
      </c>
      <c r="E4337" s="5">
        <v>56124.615700000002</v>
      </c>
      <c r="G4337" s="5" t="str">
        <f t="shared" si="135"/>
        <v>ХИММАШ</v>
      </c>
      <c r="J4337" s="5"/>
      <c r="AL4337" s="5">
        <f t="shared" si="136"/>
        <v>0</v>
      </c>
    </row>
    <row r="4338" spans="1:38" ht="25.5" customHeight="1" x14ac:dyDescent="0.25">
      <c r="A4338" s="10" t="s">
        <v>3501</v>
      </c>
      <c r="B4338" s="11" t="s">
        <v>1637</v>
      </c>
      <c r="C4338" s="5">
        <v>59368.686099999999</v>
      </c>
      <c r="D4338" s="5">
        <v>59368.686099999999</v>
      </c>
      <c r="E4338" s="5">
        <v>53759.401700000002</v>
      </c>
      <c r="G4338" s="5" t="str">
        <f t="shared" si="135"/>
        <v>Старая сортировка</v>
      </c>
      <c r="J4338" s="5"/>
      <c r="AL4338" s="5">
        <f t="shared" si="136"/>
        <v>0</v>
      </c>
    </row>
    <row r="4339" spans="1:38" ht="25.5" customHeight="1" x14ac:dyDescent="0.25">
      <c r="A4339" s="10" t="s">
        <v>273</v>
      </c>
      <c r="B4339" s="11" t="s">
        <v>33</v>
      </c>
      <c r="C4339" s="5">
        <v>84298.205100000006</v>
      </c>
      <c r="D4339" s="5">
        <v>84298.205100000006</v>
      </c>
      <c r="E4339" s="5">
        <v>76333.533100000001</v>
      </c>
      <c r="G4339" s="5" t="str">
        <f t="shared" si="135"/>
        <v>ВИЗ</v>
      </c>
      <c r="J4339" s="5"/>
      <c r="AL4339" s="5">
        <f t="shared" si="136"/>
        <v>0</v>
      </c>
    </row>
    <row r="4340" spans="1:38" ht="25.5" customHeight="1" x14ac:dyDescent="0.25">
      <c r="A4340" s="10" t="s">
        <v>576</v>
      </c>
      <c r="B4340" s="11" t="s">
        <v>1644</v>
      </c>
      <c r="C4340" s="5">
        <v>61980.678599999999</v>
      </c>
      <c r="D4340" s="5">
        <v>61980.678599999999</v>
      </c>
      <c r="E4340" s="5">
        <v>56124.615700000002</v>
      </c>
      <c r="G4340" s="5" t="str">
        <f t="shared" si="135"/>
        <v>ХИММАШ</v>
      </c>
      <c r="J4340" s="5"/>
      <c r="AL4340" s="5">
        <f t="shared" si="136"/>
        <v>0</v>
      </c>
    </row>
    <row r="4341" spans="1:38" ht="25.5" customHeight="1" x14ac:dyDescent="0.25">
      <c r="A4341" s="10" t="s">
        <v>508</v>
      </c>
      <c r="B4341" s="11" t="s">
        <v>1628</v>
      </c>
      <c r="C4341" s="5">
        <v>70734.0236</v>
      </c>
      <c r="D4341" s="5">
        <v>70734.0236</v>
      </c>
      <c r="E4341" s="5">
        <v>64050.9208</v>
      </c>
      <c r="G4341" s="5" t="str">
        <f t="shared" si="135"/>
        <v>ЭЛЬМАШ</v>
      </c>
      <c r="J4341" s="5"/>
      <c r="AL4341" s="5">
        <f t="shared" si="136"/>
        <v>0</v>
      </c>
    </row>
    <row r="4342" spans="1:38" ht="25.5" customHeight="1" x14ac:dyDescent="0.25">
      <c r="A4342" s="10" t="s">
        <v>3502</v>
      </c>
      <c r="B4342" s="11" t="s">
        <v>1630</v>
      </c>
      <c r="C4342" s="5">
        <v>62652.9401</v>
      </c>
      <c r="D4342" s="5">
        <v>62652.9401</v>
      </c>
      <c r="E4342" s="5">
        <v>56733.3557</v>
      </c>
      <c r="G4342" s="5" t="str">
        <f t="shared" si="135"/>
        <v>ЧЕРМЕТ</v>
      </c>
      <c r="J4342" s="5"/>
      <c r="AL4342" s="5">
        <f t="shared" si="136"/>
        <v>0</v>
      </c>
    </row>
    <row r="4343" spans="1:38" ht="25.5" customHeight="1" x14ac:dyDescent="0.25">
      <c r="A4343" s="10" t="s">
        <v>992</v>
      </c>
      <c r="B4343" s="11" t="s">
        <v>1638</v>
      </c>
      <c r="C4343" s="5">
        <v>63640.311600000001</v>
      </c>
      <c r="D4343" s="5">
        <v>63640.311600000001</v>
      </c>
      <c r="E4343" s="5">
        <v>57627.4473</v>
      </c>
      <c r="G4343" s="5" t="str">
        <f t="shared" si="135"/>
        <v>УКТУС</v>
      </c>
      <c r="J4343" s="5"/>
      <c r="AL4343" s="5">
        <f t="shared" si="136"/>
        <v>0</v>
      </c>
    </row>
    <row r="4344" spans="1:38" ht="25.5" customHeight="1" x14ac:dyDescent="0.25">
      <c r="A4344" s="10" t="s">
        <v>3503</v>
      </c>
      <c r="B4344" s="11" t="s">
        <v>1628</v>
      </c>
      <c r="C4344" s="5">
        <v>70734.0236</v>
      </c>
      <c r="D4344" s="5">
        <v>70734.0236</v>
      </c>
      <c r="E4344" s="5">
        <v>64050.9208</v>
      </c>
      <c r="G4344" s="5" t="str">
        <f t="shared" si="135"/>
        <v>ЭЛЬМАШ</v>
      </c>
      <c r="J4344" s="5"/>
      <c r="AL4344" s="5">
        <f t="shared" si="136"/>
        <v>0</v>
      </c>
    </row>
    <row r="4345" spans="1:38" ht="25.5" customHeight="1" x14ac:dyDescent="0.25">
      <c r="A4345" s="10" t="s">
        <v>556</v>
      </c>
      <c r="B4345" s="11" t="s">
        <v>1637</v>
      </c>
      <c r="C4345" s="5">
        <v>59368.686099999999</v>
      </c>
      <c r="D4345" s="5">
        <v>59368.686099999999</v>
      </c>
      <c r="E4345" s="5">
        <v>53759.401700000002</v>
      </c>
      <c r="G4345" s="5" t="str">
        <f t="shared" si="135"/>
        <v>Старая сортировка</v>
      </c>
      <c r="J4345" s="5"/>
      <c r="AL4345" s="5">
        <f t="shared" si="136"/>
        <v>0</v>
      </c>
    </row>
    <row r="4346" spans="1:38" ht="25.5" customHeight="1" x14ac:dyDescent="0.25">
      <c r="A4346" s="10" t="s">
        <v>3504</v>
      </c>
      <c r="B4346" s="11" t="s">
        <v>1637</v>
      </c>
      <c r="C4346" s="5">
        <v>59368.686099999999</v>
      </c>
      <c r="D4346" s="5">
        <v>59368.686099999999</v>
      </c>
      <c r="E4346" s="5">
        <v>53759.401700000002</v>
      </c>
      <c r="G4346" s="5" t="str">
        <f t="shared" si="135"/>
        <v>Старая сортировка</v>
      </c>
      <c r="J4346" s="5"/>
      <c r="AL4346" s="5">
        <f t="shared" si="136"/>
        <v>0</v>
      </c>
    </row>
    <row r="4347" spans="1:38" ht="25.5" customHeight="1" x14ac:dyDescent="0.25">
      <c r="A4347" s="10" t="s">
        <v>190</v>
      </c>
      <c r="B4347" s="11" t="s">
        <v>1631</v>
      </c>
      <c r="C4347" s="5">
        <v>70026.7601</v>
      </c>
      <c r="D4347" s="5">
        <v>70026.7601</v>
      </c>
      <c r="E4347" s="5">
        <v>63410.482000000004</v>
      </c>
      <c r="G4347" s="5" t="str">
        <f t="shared" si="135"/>
        <v>УРАЛМАШ</v>
      </c>
      <c r="J4347" s="5"/>
      <c r="AL4347" s="5">
        <f t="shared" si="136"/>
        <v>0</v>
      </c>
    </row>
    <row r="4348" spans="1:38" ht="25.5" customHeight="1" x14ac:dyDescent="0.25">
      <c r="A4348" s="10" t="s">
        <v>1508</v>
      </c>
      <c r="B4348" s="11" t="s">
        <v>33</v>
      </c>
      <c r="C4348" s="5">
        <v>84298.205100000006</v>
      </c>
      <c r="D4348" s="5">
        <v>84298.205100000006</v>
      </c>
      <c r="E4348" s="5">
        <v>76333.533100000001</v>
      </c>
      <c r="G4348" s="5" t="str">
        <f t="shared" si="135"/>
        <v>ВИЗ</v>
      </c>
      <c r="J4348" s="5"/>
      <c r="AL4348" s="5">
        <f t="shared" si="136"/>
        <v>0</v>
      </c>
    </row>
    <row r="4349" spans="1:38" ht="25.5" customHeight="1" x14ac:dyDescent="0.25">
      <c r="A4349" s="10" t="s">
        <v>3505</v>
      </c>
      <c r="B4349" s="11" t="s">
        <v>14</v>
      </c>
      <c r="C4349" s="5">
        <v>93989.912800000006</v>
      </c>
      <c r="D4349" s="5">
        <v>93989.912800000006</v>
      </c>
      <c r="E4349" s="5">
        <v>85109.545199999993</v>
      </c>
      <c r="G4349" s="5" t="str">
        <f t="shared" si="135"/>
        <v>Центр</v>
      </c>
      <c r="J4349" s="5"/>
      <c r="AL4349" s="5">
        <f t="shared" si="136"/>
        <v>0</v>
      </c>
    </row>
    <row r="4350" spans="1:38" ht="25.5" customHeight="1" x14ac:dyDescent="0.25">
      <c r="A4350" s="10" t="s">
        <v>955</v>
      </c>
      <c r="B4350" s="11" t="s">
        <v>1631</v>
      </c>
      <c r="C4350" s="5">
        <v>70026.7601</v>
      </c>
      <c r="D4350" s="5">
        <v>70026.7601</v>
      </c>
      <c r="E4350" s="5">
        <v>63410.482000000004</v>
      </c>
      <c r="G4350" s="5" t="str">
        <f t="shared" si="135"/>
        <v>УРАЛМАШ</v>
      </c>
      <c r="J4350" s="5"/>
      <c r="AL4350" s="5">
        <f t="shared" si="136"/>
        <v>0</v>
      </c>
    </row>
    <row r="4351" spans="1:38" ht="25.5" customHeight="1" x14ac:dyDescent="0.25">
      <c r="A4351" s="10" t="s">
        <v>3506</v>
      </c>
      <c r="B4351" s="11" t="s">
        <v>779</v>
      </c>
      <c r="C4351" s="5">
        <v>46784.877899999999</v>
      </c>
      <c r="D4351" s="5">
        <v>46784.877899999999</v>
      </c>
      <c r="E4351" s="5">
        <v>42364.543299999998</v>
      </c>
      <c r="G4351" s="5" t="str">
        <f t="shared" ref="G4351:G4414" si="137">B4351</f>
        <v>Нижнеисетский</v>
      </c>
      <c r="J4351" s="5"/>
      <c r="AL4351" s="5">
        <f t="shared" ref="AL4351:AL4414" si="138">AF4351</f>
        <v>0</v>
      </c>
    </row>
    <row r="4352" spans="1:38" ht="25.5" customHeight="1" x14ac:dyDescent="0.25">
      <c r="A4352" s="10" t="s">
        <v>3507</v>
      </c>
      <c r="B4352" s="11" t="s">
        <v>779</v>
      </c>
      <c r="C4352" s="5">
        <v>46784.877899999999</v>
      </c>
      <c r="D4352" s="5">
        <v>46784.877899999999</v>
      </c>
      <c r="E4352" s="5">
        <v>42364.543299999998</v>
      </c>
      <c r="G4352" s="5" t="str">
        <f t="shared" si="137"/>
        <v>Нижнеисетский</v>
      </c>
      <c r="J4352" s="5"/>
      <c r="AL4352" s="5">
        <f t="shared" si="138"/>
        <v>0</v>
      </c>
    </row>
    <row r="4353" spans="1:38" ht="25.5" customHeight="1" x14ac:dyDescent="0.25">
      <c r="A4353" s="10" t="s">
        <v>1157</v>
      </c>
      <c r="B4353" s="11" t="s">
        <v>1657</v>
      </c>
      <c r="C4353" s="5">
        <v>54886.9666</v>
      </c>
      <c r="D4353" s="5">
        <v>54886.9666</v>
      </c>
      <c r="E4353" s="5">
        <v>49701.1319</v>
      </c>
      <c r="G4353" s="5" t="str">
        <f t="shared" si="137"/>
        <v>КОЛЬЦОВО</v>
      </c>
      <c r="J4353" s="5"/>
      <c r="AL4353" s="5">
        <f t="shared" si="138"/>
        <v>0</v>
      </c>
    </row>
    <row r="4354" spans="1:38" ht="25.5" customHeight="1" x14ac:dyDescent="0.25">
      <c r="A4354" s="10" t="s">
        <v>3508</v>
      </c>
      <c r="B4354" s="11" t="s">
        <v>66</v>
      </c>
      <c r="C4354" s="5">
        <v>64795.756300000001</v>
      </c>
      <c r="D4354" s="5">
        <v>64795.756300000001</v>
      </c>
      <c r="E4354" s="5">
        <v>58673.716200000003</v>
      </c>
      <c r="G4354" s="5" t="str">
        <f t="shared" si="137"/>
        <v>УНЦ</v>
      </c>
      <c r="J4354" s="5"/>
      <c r="AL4354" s="5">
        <f t="shared" si="138"/>
        <v>0</v>
      </c>
    </row>
    <row r="4355" spans="1:38" ht="25.5" customHeight="1" x14ac:dyDescent="0.25">
      <c r="A4355" s="10" t="s">
        <v>3509</v>
      </c>
      <c r="B4355" s="11" t="s">
        <v>1638</v>
      </c>
      <c r="C4355" s="5">
        <v>63640.311600000001</v>
      </c>
      <c r="D4355" s="5">
        <v>63640.311600000001</v>
      </c>
      <c r="E4355" s="5">
        <v>57627.4473</v>
      </c>
      <c r="G4355" s="5" t="str">
        <f t="shared" si="137"/>
        <v>УКТУС</v>
      </c>
      <c r="J4355" s="5"/>
      <c r="AL4355" s="5">
        <f t="shared" si="138"/>
        <v>0</v>
      </c>
    </row>
    <row r="4356" spans="1:38" ht="25.5" customHeight="1" x14ac:dyDescent="0.25">
      <c r="A4356" s="10" t="s">
        <v>472</v>
      </c>
      <c r="B4356" s="11" t="s">
        <v>1643</v>
      </c>
      <c r="C4356" s="5">
        <v>76630.280299999999</v>
      </c>
      <c r="D4356" s="5">
        <v>76630.280299999999</v>
      </c>
      <c r="E4356" s="5">
        <v>69390.088799999998</v>
      </c>
      <c r="G4356" s="5" t="str">
        <f t="shared" si="137"/>
        <v>Ю-З</v>
      </c>
      <c r="J4356" s="5"/>
      <c r="AL4356" s="5">
        <f t="shared" si="138"/>
        <v>0</v>
      </c>
    </row>
    <row r="4357" spans="1:38" ht="25.5" customHeight="1" x14ac:dyDescent="0.25">
      <c r="A4357" s="10" t="s">
        <v>583</v>
      </c>
      <c r="B4357" s="11" t="s">
        <v>1633</v>
      </c>
      <c r="C4357" s="5">
        <v>77071.442599999995</v>
      </c>
      <c r="D4357" s="5">
        <v>77071.442599999995</v>
      </c>
      <c r="E4357" s="5">
        <v>69789.570900000006</v>
      </c>
      <c r="G4357" s="5" t="str">
        <f t="shared" si="137"/>
        <v>ВТУЗГОРОДОК</v>
      </c>
      <c r="J4357" s="5"/>
      <c r="AL4357" s="5">
        <f t="shared" si="138"/>
        <v>0</v>
      </c>
    </row>
    <row r="4358" spans="1:38" ht="25.5" customHeight="1" x14ac:dyDescent="0.25">
      <c r="A4358" s="10" t="s">
        <v>590</v>
      </c>
      <c r="B4358" s="11" t="s">
        <v>14</v>
      </c>
      <c r="C4358" s="5">
        <v>93989.912800000006</v>
      </c>
      <c r="D4358" s="5">
        <v>93989.912800000006</v>
      </c>
      <c r="E4358" s="5">
        <v>85109.545199999993</v>
      </c>
      <c r="G4358" s="5" t="str">
        <f t="shared" si="137"/>
        <v>Центр</v>
      </c>
      <c r="J4358" s="5"/>
      <c r="AL4358" s="5">
        <f t="shared" si="138"/>
        <v>0</v>
      </c>
    </row>
    <row r="4359" spans="1:38" ht="25.5" customHeight="1" x14ac:dyDescent="0.25">
      <c r="A4359" s="10" t="s">
        <v>3510</v>
      </c>
      <c r="B4359" s="11" t="s">
        <v>1651</v>
      </c>
      <c r="C4359" s="5">
        <v>68129.029500000004</v>
      </c>
      <c r="D4359" s="5">
        <v>68129.029500000004</v>
      </c>
      <c r="E4359" s="5">
        <v>61692.054799999998</v>
      </c>
      <c r="G4359" s="5" t="str">
        <f t="shared" si="137"/>
        <v>ШАРТАШ</v>
      </c>
      <c r="J4359" s="5"/>
      <c r="AL4359" s="5">
        <f t="shared" si="138"/>
        <v>0</v>
      </c>
    </row>
    <row r="4360" spans="1:38" ht="25.5" customHeight="1" x14ac:dyDescent="0.25">
      <c r="A4360" s="10" t="s">
        <v>3511</v>
      </c>
      <c r="B4360" s="11" t="s">
        <v>1635</v>
      </c>
      <c r="C4360" s="5">
        <v>57793.0844</v>
      </c>
      <c r="D4360" s="5">
        <v>57793.0844</v>
      </c>
      <c r="E4360" s="5">
        <v>52332.6639</v>
      </c>
      <c r="G4360" s="5" t="str">
        <f t="shared" si="137"/>
        <v>ЛЕЧЕБНЫЙ</v>
      </c>
      <c r="J4360" s="5"/>
      <c r="AL4360" s="5">
        <f t="shared" si="138"/>
        <v>0</v>
      </c>
    </row>
    <row r="4361" spans="1:38" ht="25.5" customHeight="1" x14ac:dyDescent="0.25">
      <c r="A4361" s="10" t="s">
        <v>3512</v>
      </c>
      <c r="B4361" s="11" t="s">
        <v>779</v>
      </c>
      <c r="C4361" s="5">
        <v>46784.877899999999</v>
      </c>
      <c r="D4361" s="5">
        <v>46784.877899999999</v>
      </c>
      <c r="E4361" s="5">
        <v>42364.543299999998</v>
      </c>
      <c r="G4361" s="5" t="str">
        <f t="shared" si="137"/>
        <v>Нижнеисетский</v>
      </c>
      <c r="J4361" s="5"/>
      <c r="AL4361" s="5">
        <f t="shared" si="138"/>
        <v>0</v>
      </c>
    </row>
    <row r="4362" spans="1:38" ht="25.5" customHeight="1" x14ac:dyDescent="0.25">
      <c r="A4362" s="10" t="s">
        <v>3513</v>
      </c>
      <c r="B4362" s="11" t="s">
        <v>1633</v>
      </c>
      <c r="C4362" s="5">
        <v>77071.442599999995</v>
      </c>
      <c r="D4362" s="5">
        <v>77071.442599999995</v>
      </c>
      <c r="E4362" s="5">
        <v>69789.570900000006</v>
      </c>
      <c r="G4362" s="5" t="str">
        <f t="shared" si="137"/>
        <v>ВТУЗГОРОДОК</v>
      </c>
      <c r="J4362" s="5"/>
      <c r="AL4362" s="5">
        <f t="shared" si="138"/>
        <v>0</v>
      </c>
    </row>
    <row r="4363" spans="1:38" ht="25.5" customHeight="1" x14ac:dyDescent="0.25">
      <c r="A4363" s="10" t="s">
        <v>633</v>
      </c>
      <c r="B4363" s="11" t="s">
        <v>1628</v>
      </c>
      <c r="C4363" s="5">
        <v>70734.0236</v>
      </c>
      <c r="D4363" s="5">
        <v>70734.0236</v>
      </c>
      <c r="E4363" s="5">
        <v>64050.9208</v>
      </c>
      <c r="G4363" s="5" t="str">
        <f t="shared" si="137"/>
        <v>ЭЛЬМАШ</v>
      </c>
      <c r="J4363" s="5"/>
      <c r="AL4363" s="5">
        <f t="shared" si="138"/>
        <v>0</v>
      </c>
    </row>
    <row r="4364" spans="1:38" ht="25.5" customHeight="1" x14ac:dyDescent="0.25">
      <c r="A4364" s="10" t="s">
        <v>3514</v>
      </c>
      <c r="B4364" s="11" t="s">
        <v>1647</v>
      </c>
      <c r="C4364" s="5">
        <v>63178.133800000003</v>
      </c>
      <c r="D4364" s="5">
        <v>63178.133800000003</v>
      </c>
      <c r="E4364" s="5">
        <v>57208.931499999999</v>
      </c>
      <c r="G4364" s="5" t="str">
        <f t="shared" si="137"/>
        <v>ШИРОКАЯ РЕЧКА</v>
      </c>
      <c r="J4364" s="5"/>
      <c r="AL4364" s="5">
        <f t="shared" si="138"/>
        <v>0</v>
      </c>
    </row>
    <row r="4365" spans="1:38" ht="25.5" customHeight="1" x14ac:dyDescent="0.25">
      <c r="A4365" s="10" t="s">
        <v>816</v>
      </c>
      <c r="B4365" s="11" t="s">
        <v>1631</v>
      </c>
      <c r="C4365" s="5">
        <v>70026.7601</v>
      </c>
      <c r="D4365" s="5">
        <v>70026.7601</v>
      </c>
      <c r="E4365" s="5">
        <v>63410.482000000004</v>
      </c>
      <c r="G4365" s="5" t="str">
        <f t="shared" si="137"/>
        <v>УРАЛМАШ</v>
      </c>
      <c r="J4365" s="5"/>
      <c r="AL4365" s="5">
        <f t="shared" si="138"/>
        <v>0</v>
      </c>
    </row>
    <row r="4366" spans="1:38" ht="25.5" customHeight="1" x14ac:dyDescent="0.25">
      <c r="A4366" s="10" t="s">
        <v>3515</v>
      </c>
      <c r="B4366" s="11" t="s">
        <v>1629</v>
      </c>
      <c r="C4366" s="5">
        <v>77743.704100000003</v>
      </c>
      <c r="D4366" s="5">
        <v>77743.704100000003</v>
      </c>
      <c r="E4366" s="5">
        <v>70398.310800000007</v>
      </c>
      <c r="G4366" s="5" t="str">
        <f t="shared" si="137"/>
        <v>ПИОНЕРСКИЙ</v>
      </c>
      <c r="J4366" s="5"/>
      <c r="AL4366" s="5">
        <f t="shared" si="138"/>
        <v>0</v>
      </c>
    </row>
    <row r="4367" spans="1:38" ht="25.5" customHeight="1" x14ac:dyDescent="0.25">
      <c r="A4367" s="10" t="s">
        <v>3516</v>
      </c>
      <c r="B4367" s="11" t="s">
        <v>1631</v>
      </c>
      <c r="C4367" s="5">
        <v>70026.7601</v>
      </c>
      <c r="D4367" s="5">
        <v>70026.7601</v>
      </c>
      <c r="E4367" s="5">
        <v>63410.482000000004</v>
      </c>
      <c r="G4367" s="5" t="str">
        <f t="shared" si="137"/>
        <v>УРАЛМАШ</v>
      </c>
      <c r="J4367" s="5"/>
      <c r="AL4367" s="5">
        <f t="shared" si="138"/>
        <v>0</v>
      </c>
    </row>
    <row r="4368" spans="1:38" ht="25.5" customHeight="1" x14ac:dyDescent="0.25">
      <c r="A4368" s="10" t="s">
        <v>3517</v>
      </c>
      <c r="B4368" s="11" t="s">
        <v>1637</v>
      </c>
      <c r="C4368" s="5">
        <v>59368.686099999999</v>
      </c>
      <c r="D4368" s="5">
        <v>59368.686099999999</v>
      </c>
      <c r="E4368" s="5">
        <v>53759.401700000002</v>
      </c>
      <c r="G4368" s="5" t="str">
        <f t="shared" si="137"/>
        <v>Старая сортировка</v>
      </c>
      <c r="J4368" s="5"/>
      <c r="AL4368" s="5">
        <f t="shared" si="138"/>
        <v>0</v>
      </c>
    </row>
    <row r="4369" spans="1:38" ht="25.5" customHeight="1" x14ac:dyDescent="0.25">
      <c r="A4369" s="10" t="s">
        <v>894</v>
      </c>
      <c r="B4369" s="11" t="s">
        <v>1645</v>
      </c>
      <c r="C4369" s="5">
        <v>60958.294800000003</v>
      </c>
      <c r="D4369" s="5">
        <v>60958.294800000003</v>
      </c>
      <c r="E4369" s="5">
        <v>55198.825199999999</v>
      </c>
      <c r="G4369" s="5" t="str">
        <f t="shared" si="137"/>
        <v>ЕЛИЗАВЕТ</v>
      </c>
      <c r="J4369" s="5"/>
      <c r="AL4369" s="5">
        <f t="shared" si="138"/>
        <v>0</v>
      </c>
    </row>
    <row r="4370" spans="1:38" ht="25.5" customHeight="1" x14ac:dyDescent="0.25">
      <c r="A4370" s="10" t="s">
        <v>1019</v>
      </c>
      <c r="B4370" s="11" t="s">
        <v>1631</v>
      </c>
      <c r="C4370" s="5">
        <v>70026.7601</v>
      </c>
      <c r="D4370" s="5">
        <v>70026.7601</v>
      </c>
      <c r="E4370" s="5">
        <v>63410.482000000004</v>
      </c>
      <c r="G4370" s="5" t="str">
        <f t="shared" si="137"/>
        <v>УРАЛМАШ</v>
      </c>
      <c r="J4370" s="5"/>
      <c r="AL4370" s="5">
        <f t="shared" si="138"/>
        <v>0</v>
      </c>
    </row>
    <row r="4371" spans="1:38" ht="25.5" customHeight="1" x14ac:dyDescent="0.25">
      <c r="A4371" s="10" t="s">
        <v>3518</v>
      </c>
      <c r="B4371" s="11" t="s">
        <v>33</v>
      </c>
      <c r="C4371" s="5">
        <v>84298.205100000006</v>
      </c>
      <c r="D4371" s="5">
        <v>84298.205100000006</v>
      </c>
      <c r="E4371" s="5">
        <v>76333.533100000001</v>
      </c>
      <c r="G4371" s="5" t="str">
        <f t="shared" si="137"/>
        <v>ВИЗ</v>
      </c>
      <c r="J4371" s="5"/>
      <c r="AL4371" s="5">
        <f t="shared" si="138"/>
        <v>0</v>
      </c>
    </row>
    <row r="4372" spans="1:38" ht="25.5" customHeight="1" x14ac:dyDescent="0.25">
      <c r="A4372" s="10" t="s">
        <v>888</v>
      </c>
      <c r="B4372" s="11" t="s">
        <v>1631</v>
      </c>
      <c r="C4372" s="5">
        <v>70026.7601</v>
      </c>
      <c r="D4372" s="5">
        <v>70026.7601</v>
      </c>
      <c r="E4372" s="5">
        <v>63410.482000000004</v>
      </c>
      <c r="G4372" s="5" t="str">
        <f t="shared" si="137"/>
        <v>УРАЛМАШ</v>
      </c>
      <c r="J4372" s="5"/>
      <c r="AL4372" s="5">
        <f t="shared" si="138"/>
        <v>0</v>
      </c>
    </row>
    <row r="4373" spans="1:38" ht="25.5" customHeight="1" x14ac:dyDescent="0.25">
      <c r="A4373" s="10" t="s">
        <v>3519</v>
      </c>
      <c r="B4373" s="11" t="s">
        <v>779</v>
      </c>
      <c r="C4373" s="5">
        <v>46784.877899999999</v>
      </c>
      <c r="D4373" s="5">
        <v>46784.877899999999</v>
      </c>
      <c r="E4373" s="5">
        <v>42364.543299999998</v>
      </c>
      <c r="G4373" s="5" t="str">
        <f t="shared" si="137"/>
        <v>Нижнеисетский</v>
      </c>
      <c r="J4373" s="5"/>
      <c r="AL4373" s="5">
        <f t="shared" si="138"/>
        <v>0</v>
      </c>
    </row>
    <row r="4374" spans="1:38" ht="25.5" customHeight="1" x14ac:dyDescent="0.25">
      <c r="A4374" s="10" t="s">
        <v>3520</v>
      </c>
      <c r="B4374" s="11" t="s">
        <v>14</v>
      </c>
      <c r="C4374" s="5">
        <v>93989.912800000006</v>
      </c>
      <c r="D4374" s="5">
        <v>93989.912800000006</v>
      </c>
      <c r="E4374" s="5">
        <v>85109.545199999993</v>
      </c>
      <c r="G4374" s="5" t="str">
        <f t="shared" si="137"/>
        <v>Центр</v>
      </c>
      <c r="J4374" s="5"/>
      <c r="AL4374" s="5">
        <f t="shared" si="138"/>
        <v>0</v>
      </c>
    </row>
    <row r="4375" spans="1:38" ht="25.5" customHeight="1" x14ac:dyDescent="0.25">
      <c r="A4375" s="10" t="s">
        <v>1234</v>
      </c>
      <c r="B4375" s="11" t="s">
        <v>779</v>
      </c>
      <c r="C4375" s="5">
        <v>46784.877899999999</v>
      </c>
      <c r="D4375" s="5">
        <v>46784.877899999999</v>
      </c>
      <c r="E4375" s="5">
        <v>42364.543299999998</v>
      </c>
      <c r="G4375" s="5" t="str">
        <f t="shared" si="137"/>
        <v>Нижнеисетский</v>
      </c>
      <c r="J4375" s="5"/>
      <c r="AL4375" s="5">
        <f t="shared" si="138"/>
        <v>0</v>
      </c>
    </row>
    <row r="4376" spans="1:38" ht="25.5" customHeight="1" x14ac:dyDescent="0.25">
      <c r="A4376" s="10" t="s">
        <v>277</v>
      </c>
      <c r="B4376" s="11" t="s">
        <v>1631</v>
      </c>
      <c r="C4376" s="5">
        <v>70026.7601</v>
      </c>
      <c r="D4376" s="5">
        <v>70026.7601</v>
      </c>
      <c r="E4376" s="5">
        <v>63410.482000000004</v>
      </c>
      <c r="G4376" s="5" t="str">
        <f t="shared" si="137"/>
        <v>УРАЛМАШ</v>
      </c>
      <c r="J4376" s="5"/>
      <c r="AL4376" s="5">
        <f t="shared" si="138"/>
        <v>0</v>
      </c>
    </row>
    <row r="4377" spans="1:38" ht="25.5" customHeight="1" x14ac:dyDescent="0.25">
      <c r="A4377" s="10" t="s">
        <v>3521</v>
      </c>
      <c r="B4377" s="11" t="s">
        <v>33</v>
      </c>
      <c r="C4377" s="5">
        <v>84298.205100000006</v>
      </c>
      <c r="D4377" s="5">
        <v>84298.205100000006</v>
      </c>
      <c r="E4377" s="5">
        <v>76333.533100000001</v>
      </c>
      <c r="G4377" s="5" t="str">
        <f t="shared" si="137"/>
        <v>ВИЗ</v>
      </c>
      <c r="J4377" s="5"/>
      <c r="AL4377" s="5">
        <f t="shared" si="138"/>
        <v>0</v>
      </c>
    </row>
    <row r="4378" spans="1:38" ht="25.5" customHeight="1" x14ac:dyDescent="0.25">
      <c r="A4378" s="10" t="s">
        <v>267</v>
      </c>
      <c r="B4378" s="11" t="s">
        <v>33</v>
      </c>
      <c r="C4378" s="5">
        <v>84298.205100000006</v>
      </c>
      <c r="D4378" s="5">
        <v>84298.205100000006</v>
      </c>
      <c r="E4378" s="5">
        <v>76333.533100000001</v>
      </c>
      <c r="G4378" s="5" t="str">
        <f t="shared" si="137"/>
        <v>ВИЗ</v>
      </c>
      <c r="J4378" s="5"/>
      <c r="AL4378" s="5">
        <f t="shared" si="138"/>
        <v>0</v>
      </c>
    </row>
    <row r="4379" spans="1:38" ht="25.5" customHeight="1" x14ac:dyDescent="0.25">
      <c r="A4379" s="10" t="s">
        <v>3522</v>
      </c>
      <c r="B4379" s="11" t="s">
        <v>1647</v>
      </c>
      <c r="C4379" s="5">
        <v>63178.133800000003</v>
      </c>
      <c r="D4379" s="5">
        <v>63178.133800000003</v>
      </c>
      <c r="E4379" s="5">
        <v>57208.931499999999</v>
      </c>
      <c r="G4379" s="5" t="str">
        <f t="shared" si="137"/>
        <v>ШИРОКАЯ РЕЧКА</v>
      </c>
      <c r="J4379" s="5"/>
      <c r="AL4379" s="5">
        <f t="shared" si="138"/>
        <v>0</v>
      </c>
    </row>
    <row r="4380" spans="1:38" ht="25.5" customHeight="1" x14ac:dyDescent="0.25">
      <c r="A4380" s="10" t="s">
        <v>451</v>
      </c>
      <c r="B4380" s="11" t="s">
        <v>1637</v>
      </c>
      <c r="C4380" s="5">
        <v>59368.686099999999</v>
      </c>
      <c r="D4380" s="5">
        <v>59368.686099999999</v>
      </c>
      <c r="E4380" s="5">
        <v>53759.401700000002</v>
      </c>
      <c r="G4380" s="5" t="str">
        <f t="shared" si="137"/>
        <v>Старая сортировка</v>
      </c>
      <c r="J4380" s="5"/>
      <c r="AL4380" s="5">
        <f t="shared" si="138"/>
        <v>0</v>
      </c>
    </row>
    <row r="4381" spans="1:38" ht="25.5" customHeight="1" x14ac:dyDescent="0.25">
      <c r="A4381" s="10" t="s">
        <v>842</v>
      </c>
      <c r="B4381" s="11" t="s">
        <v>1645</v>
      </c>
      <c r="C4381" s="5">
        <v>60958.294800000003</v>
      </c>
      <c r="D4381" s="5">
        <v>60958.294800000003</v>
      </c>
      <c r="E4381" s="5">
        <v>55198.825199999999</v>
      </c>
      <c r="G4381" s="5" t="str">
        <f t="shared" si="137"/>
        <v>ЕЛИЗАВЕТ</v>
      </c>
      <c r="J4381" s="5"/>
      <c r="AL4381" s="5">
        <f t="shared" si="138"/>
        <v>0</v>
      </c>
    </row>
    <row r="4382" spans="1:38" ht="25.5" customHeight="1" x14ac:dyDescent="0.25">
      <c r="A4382" s="10" t="s">
        <v>3523</v>
      </c>
      <c r="B4382" s="11" t="s">
        <v>33</v>
      </c>
      <c r="C4382" s="5">
        <v>84298.205100000006</v>
      </c>
      <c r="D4382" s="5">
        <v>84298.205100000006</v>
      </c>
      <c r="E4382" s="5">
        <v>76333.533100000001</v>
      </c>
      <c r="G4382" s="5" t="str">
        <f t="shared" si="137"/>
        <v>ВИЗ</v>
      </c>
      <c r="J4382" s="5"/>
      <c r="AL4382" s="5">
        <f t="shared" si="138"/>
        <v>0</v>
      </c>
    </row>
    <row r="4383" spans="1:38" ht="25.5" customHeight="1" x14ac:dyDescent="0.25">
      <c r="A4383" s="10" t="s">
        <v>1284</v>
      </c>
      <c r="B4383" s="11" t="s">
        <v>1650</v>
      </c>
      <c r="C4383" s="5">
        <v>37590.3603</v>
      </c>
      <c r="D4383" s="5">
        <v>37590.3603</v>
      </c>
      <c r="E4383" s="5">
        <v>34038.745900000002</v>
      </c>
      <c r="G4383" s="5" t="str">
        <f t="shared" si="137"/>
        <v>ШАБРОВСКИЙ</v>
      </c>
      <c r="J4383" s="5"/>
      <c r="AL4383" s="5">
        <f t="shared" si="138"/>
        <v>0</v>
      </c>
    </row>
    <row r="4384" spans="1:38" ht="25.5" customHeight="1" x14ac:dyDescent="0.25">
      <c r="A4384" s="10" t="s">
        <v>1306</v>
      </c>
      <c r="B4384" s="11" t="s">
        <v>1642</v>
      </c>
      <c r="C4384" s="5">
        <v>81392.097599999994</v>
      </c>
      <c r="D4384" s="5">
        <v>81392.097599999994</v>
      </c>
      <c r="E4384" s="5">
        <v>73702.001099999994</v>
      </c>
      <c r="G4384" s="5" t="str">
        <f t="shared" si="137"/>
        <v>ПАРКОВЫЙ</v>
      </c>
      <c r="J4384" s="5"/>
      <c r="AL4384" s="5">
        <f t="shared" si="138"/>
        <v>0</v>
      </c>
    </row>
    <row r="4385" spans="1:38" ht="25.5" customHeight="1" x14ac:dyDescent="0.25">
      <c r="A4385" s="10" t="s">
        <v>242</v>
      </c>
      <c r="B4385" s="11" t="s">
        <v>1630</v>
      </c>
      <c r="C4385" s="5">
        <v>62652.9401</v>
      </c>
      <c r="D4385" s="5">
        <v>62652.9401</v>
      </c>
      <c r="E4385" s="5">
        <v>56733.3557</v>
      </c>
      <c r="G4385" s="5" t="str">
        <f t="shared" si="137"/>
        <v>ЧЕРМЕТ</v>
      </c>
      <c r="J4385" s="5"/>
      <c r="AL4385" s="5">
        <f t="shared" si="138"/>
        <v>0</v>
      </c>
    </row>
    <row r="4386" spans="1:38" ht="25.5" customHeight="1" x14ac:dyDescent="0.25">
      <c r="A4386" s="10" t="s">
        <v>245</v>
      </c>
      <c r="B4386" s="11" t="s">
        <v>1637</v>
      </c>
      <c r="C4386" s="5">
        <v>59368.686099999999</v>
      </c>
      <c r="D4386" s="5">
        <v>59368.686099999999</v>
      </c>
      <c r="E4386" s="5">
        <v>53759.401700000002</v>
      </c>
      <c r="G4386" s="5" t="str">
        <f t="shared" si="137"/>
        <v>Старая сортировка</v>
      </c>
      <c r="J4386" s="5"/>
      <c r="AL4386" s="5">
        <f t="shared" si="138"/>
        <v>0</v>
      </c>
    </row>
    <row r="4387" spans="1:38" ht="25.5" customHeight="1" x14ac:dyDescent="0.25">
      <c r="A4387" s="10" t="s">
        <v>703</v>
      </c>
      <c r="B4387" s="11" t="s">
        <v>1658</v>
      </c>
      <c r="C4387" s="5">
        <v>68647.224799999996</v>
      </c>
      <c r="D4387" s="5">
        <v>68647.224799999996</v>
      </c>
      <c r="E4387" s="5">
        <v>62161.2929</v>
      </c>
      <c r="G4387" s="5" t="str">
        <f t="shared" si="137"/>
        <v>СИНИЕ КАМНИ</v>
      </c>
      <c r="J4387" s="5"/>
      <c r="AL4387" s="5">
        <f t="shared" si="138"/>
        <v>0</v>
      </c>
    </row>
    <row r="4388" spans="1:38" ht="25.5" customHeight="1" x14ac:dyDescent="0.25">
      <c r="A4388" s="10" t="s">
        <v>1020</v>
      </c>
      <c r="B4388" s="11" t="s">
        <v>1631</v>
      </c>
      <c r="C4388" s="5">
        <v>70026.7601</v>
      </c>
      <c r="D4388" s="5">
        <v>70026.7601</v>
      </c>
      <c r="E4388" s="5">
        <v>63410.482000000004</v>
      </c>
      <c r="G4388" s="5" t="str">
        <f t="shared" si="137"/>
        <v>УРАЛМАШ</v>
      </c>
      <c r="J4388" s="5"/>
      <c r="AL4388" s="5">
        <f t="shared" si="138"/>
        <v>0</v>
      </c>
    </row>
    <row r="4389" spans="1:38" ht="25.5" customHeight="1" x14ac:dyDescent="0.25">
      <c r="A4389" s="10" t="s">
        <v>3524</v>
      </c>
      <c r="B4389" s="11" t="s">
        <v>14</v>
      </c>
      <c r="C4389" s="5">
        <v>93989.912800000006</v>
      </c>
      <c r="D4389" s="5">
        <v>93989.912800000006</v>
      </c>
      <c r="E4389" s="5">
        <v>85109.545199999993</v>
      </c>
      <c r="G4389" s="5" t="str">
        <f t="shared" si="137"/>
        <v>Центр</v>
      </c>
      <c r="J4389" s="5"/>
      <c r="AL4389" s="5">
        <f t="shared" si="138"/>
        <v>0</v>
      </c>
    </row>
    <row r="4390" spans="1:38" ht="25.5" customHeight="1" x14ac:dyDescent="0.25">
      <c r="A4390" s="10" t="s">
        <v>3525</v>
      </c>
      <c r="B4390" s="11" t="s">
        <v>1635</v>
      </c>
      <c r="C4390" s="5">
        <v>57793.0844</v>
      </c>
      <c r="D4390" s="5">
        <v>57793.0844</v>
      </c>
      <c r="E4390" s="5">
        <v>52332.6639</v>
      </c>
      <c r="G4390" s="5" t="str">
        <f t="shared" si="137"/>
        <v>ЛЕЧЕБНЫЙ</v>
      </c>
      <c r="J4390" s="5"/>
      <c r="AL4390" s="5">
        <f t="shared" si="138"/>
        <v>0</v>
      </c>
    </row>
    <row r="4391" spans="1:38" ht="25.5" customHeight="1" x14ac:dyDescent="0.25">
      <c r="A4391" s="10" t="s">
        <v>3526</v>
      </c>
      <c r="B4391" s="11" t="s">
        <v>1657</v>
      </c>
      <c r="C4391" s="5">
        <v>54886.9666</v>
      </c>
      <c r="D4391" s="5">
        <v>54886.9666</v>
      </c>
      <c r="E4391" s="5">
        <v>49701.1319</v>
      </c>
      <c r="G4391" s="5" t="str">
        <f t="shared" si="137"/>
        <v>КОЛЬЦОВО</v>
      </c>
      <c r="J4391" s="5"/>
      <c r="AL4391" s="5">
        <f t="shared" si="138"/>
        <v>0</v>
      </c>
    </row>
    <row r="4392" spans="1:38" ht="25.5" customHeight="1" x14ac:dyDescent="0.25">
      <c r="A4392" s="10" t="s">
        <v>3527</v>
      </c>
      <c r="B4392" s="11" t="s">
        <v>1666</v>
      </c>
      <c r="C4392" s="5">
        <v>46784.877899999999</v>
      </c>
      <c r="D4392" s="5">
        <v>46784.877899999999</v>
      </c>
      <c r="E4392" s="5">
        <v>42364.543299999998</v>
      </c>
      <c r="G4392" s="5" t="str">
        <f t="shared" si="137"/>
        <v>Сулим.Торфянник</v>
      </c>
      <c r="J4392" s="5"/>
      <c r="AL4392" s="5">
        <f t="shared" si="138"/>
        <v>0</v>
      </c>
    </row>
    <row r="4393" spans="1:38" ht="25.5" customHeight="1" x14ac:dyDescent="0.25">
      <c r="A4393" s="10" t="s">
        <v>260</v>
      </c>
      <c r="B4393" s="11" t="s">
        <v>1638</v>
      </c>
      <c r="C4393" s="5">
        <v>63640.311600000001</v>
      </c>
      <c r="D4393" s="5">
        <v>63640.311600000001</v>
      </c>
      <c r="E4393" s="5">
        <v>57627.4473</v>
      </c>
      <c r="G4393" s="5" t="str">
        <f t="shared" si="137"/>
        <v>УКТУС</v>
      </c>
      <c r="J4393" s="5"/>
      <c r="AL4393" s="5">
        <f t="shared" si="138"/>
        <v>0</v>
      </c>
    </row>
    <row r="4394" spans="1:38" ht="25.5" customHeight="1" x14ac:dyDescent="0.25">
      <c r="A4394" s="10" t="s">
        <v>213</v>
      </c>
      <c r="B4394" s="11" t="s">
        <v>1630</v>
      </c>
      <c r="C4394" s="5">
        <v>62652.9401</v>
      </c>
      <c r="D4394" s="5">
        <v>62652.9401</v>
      </c>
      <c r="E4394" s="5">
        <v>56733.3557</v>
      </c>
      <c r="G4394" s="5" t="str">
        <f t="shared" si="137"/>
        <v>ЧЕРМЕТ</v>
      </c>
      <c r="J4394" s="5"/>
      <c r="AL4394" s="5">
        <f t="shared" si="138"/>
        <v>0</v>
      </c>
    </row>
    <row r="4395" spans="1:38" ht="25.5" customHeight="1" x14ac:dyDescent="0.25">
      <c r="A4395" s="10" t="s">
        <v>877</v>
      </c>
      <c r="B4395" s="11" t="s">
        <v>1644</v>
      </c>
      <c r="C4395" s="5">
        <v>61980.678599999999</v>
      </c>
      <c r="D4395" s="5">
        <v>61980.678599999999</v>
      </c>
      <c r="E4395" s="5">
        <v>56124.615700000002</v>
      </c>
      <c r="G4395" s="5" t="str">
        <f t="shared" si="137"/>
        <v>ХИММАШ</v>
      </c>
      <c r="J4395" s="5"/>
      <c r="AL4395" s="5">
        <f t="shared" si="138"/>
        <v>0</v>
      </c>
    </row>
    <row r="4396" spans="1:38" ht="25.5" customHeight="1" x14ac:dyDescent="0.25">
      <c r="A4396" s="10" t="s">
        <v>3528</v>
      </c>
      <c r="B4396" s="11" t="s">
        <v>33</v>
      </c>
      <c r="C4396" s="5">
        <v>84298.205100000006</v>
      </c>
      <c r="D4396" s="5">
        <v>84298.205100000006</v>
      </c>
      <c r="E4396" s="5">
        <v>76333.533100000001</v>
      </c>
      <c r="G4396" s="5" t="str">
        <f t="shared" si="137"/>
        <v>ВИЗ</v>
      </c>
      <c r="J4396" s="5"/>
      <c r="AL4396" s="5">
        <f t="shared" si="138"/>
        <v>0</v>
      </c>
    </row>
    <row r="4397" spans="1:38" ht="25.5" customHeight="1" x14ac:dyDescent="0.25">
      <c r="A4397" s="10" t="s">
        <v>413</v>
      </c>
      <c r="B4397" s="11" t="s">
        <v>33</v>
      </c>
      <c r="C4397" s="5">
        <v>84298.205100000006</v>
      </c>
      <c r="D4397" s="5">
        <v>84298.205100000006</v>
      </c>
      <c r="E4397" s="5">
        <v>76333.533100000001</v>
      </c>
      <c r="G4397" s="5" t="str">
        <f t="shared" si="137"/>
        <v>ВИЗ</v>
      </c>
      <c r="J4397" s="5"/>
      <c r="AL4397" s="5">
        <f t="shared" si="138"/>
        <v>0</v>
      </c>
    </row>
    <row r="4398" spans="1:38" ht="25.5" customHeight="1" x14ac:dyDescent="0.25">
      <c r="A4398" s="10" t="s">
        <v>1463</v>
      </c>
      <c r="B4398" s="11" t="s">
        <v>1645</v>
      </c>
      <c r="C4398" s="5">
        <v>60958.294800000003</v>
      </c>
      <c r="D4398" s="5">
        <v>60958.294800000003</v>
      </c>
      <c r="E4398" s="5">
        <v>55198.825199999999</v>
      </c>
      <c r="G4398" s="5" t="str">
        <f t="shared" si="137"/>
        <v>ЕЛИЗАВЕТ</v>
      </c>
      <c r="J4398" s="5"/>
      <c r="AL4398" s="5">
        <f t="shared" si="138"/>
        <v>0</v>
      </c>
    </row>
    <row r="4399" spans="1:38" ht="25.5" customHeight="1" x14ac:dyDescent="0.25">
      <c r="A4399" s="10" t="s">
        <v>3529</v>
      </c>
      <c r="B4399" s="11" t="s">
        <v>1644</v>
      </c>
      <c r="C4399" s="5">
        <v>61980.678599999999</v>
      </c>
      <c r="D4399" s="5">
        <v>61980.678599999999</v>
      </c>
      <c r="E4399" s="5">
        <v>56124.615700000002</v>
      </c>
      <c r="G4399" s="5" t="str">
        <f t="shared" si="137"/>
        <v>ХИММАШ</v>
      </c>
      <c r="J4399" s="5"/>
      <c r="AL4399" s="5">
        <f t="shared" si="138"/>
        <v>0</v>
      </c>
    </row>
    <row r="4400" spans="1:38" ht="25.5" customHeight="1" x14ac:dyDescent="0.25">
      <c r="A4400" s="10" t="s">
        <v>547</v>
      </c>
      <c r="B4400" s="11" t="s">
        <v>1629</v>
      </c>
      <c r="C4400" s="5">
        <v>77743.704100000003</v>
      </c>
      <c r="D4400" s="5">
        <v>77743.704100000003</v>
      </c>
      <c r="E4400" s="5">
        <v>70398.310800000007</v>
      </c>
      <c r="G4400" s="5" t="str">
        <f t="shared" si="137"/>
        <v>ПИОНЕРСКИЙ</v>
      </c>
      <c r="J4400" s="5"/>
      <c r="AL4400" s="5">
        <f t="shared" si="138"/>
        <v>0</v>
      </c>
    </row>
    <row r="4401" spans="1:38" ht="25.5" customHeight="1" x14ac:dyDescent="0.25">
      <c r="A4401" s="10" t="s">
        <v>3530</v>
      </c>
      <c r="B4401" s="11" t="s">
        <v>1636</v>
      </c>
      <c r="C4401" s="5">
        <v>52246.960299999999</v>
      </c>
      <c r="D4401" s="5">
        <v>52246.960299999999</v>
      </c>
      <c r="E4401" s="5">
        <v>47310.556700000001</v>
      </c>
      <c r="G4401" s="5" t="str">
        <f t="shared" si="137"/>
        <v>ГОРНЫЙ ЩИТ</v>
      </c>
      <c r="J4401" s="5"/>
      <c r="AL4401" s="5">
        <f t="shared" si="138"/>
        <v>0</v>
      </c>
    </row>
    <row r="4402" spans="1:38" ht="25.5" customHeight="1" x14ac:dyDescent="0.25">
      <c r="A4402" s="10" t="s">
        <v>3531</v>
      </c>
      <c r="B4402" s="11" t="s">
        <v>1647</v>
      </c>
      <c r="C4402" s="5">
        <v>63178.133800000003</v>
      </c>
      <c r="D4402" s="5">
        <v>63178.133800000003</v>
      </c>
      <c r="E4402" s="5">
        <v>57208.931499999999</v>
      </c>
      <c r="G4402" s="5" t="str">
        <f t="shared" si="137"/>
        <v>ШИРОКАЯ РЕЧКА</v>
      </c>
      <c r="J4402" s="5"/>
      <c r="AL4402" s="5">
        <f t="shared" si="138"/>
        <v>0</v>
      </c>
    </row>
    <row r="4403" spans="1:38" ht="25.5" customHeight="1" x14ac:dyDescent="0.25">
      <c r="A4403" s="10" t="s">
        <v>3532</v>
      </c>
      <c r="B4403" s="11" t="s">
        <v>1628</v>
      </c>
      <c r="C4403" s="5">
        <v>70734.0236</v>
      </c>
      <c r="D4403" s="5">
        <v>70734.0236</v>
      </c>
      <c r="E4403" s="5">
        <v>64050.9208</v>
      </c>
      <c r="G4403" s="5" t="str">
        <f t="shared" si="137"/>
        <v>ЭЛЬМАШ</v>
      </c>
      <c r="J4403" s="5"/>
      <c r="AL4403" s="5">
        <f t="shared" si="138"/>
        <v>0</v>
      </c>
    </row>
    <row r="4404" spans="1:38" ht="25.5" customHeight="1" x14ac:dyDescent="0.25">
      <c r="A4404" s="10" t="s">
        <v>544</v>
      </c>
      <c r="B4404" s="11" t="s">
        <v>1628</v>
      </c>
      <c r="C4404" s="5">
        <v>70734.0236</v>
      </c>
      <c r="D4404" s="5">
        <v>70734.0236</v>
      </c>
      <c r="E4404" s="5">
        <v>64050.9208</v>
      </c>
      <c r="G4404" s="5" t="str">
        <f t="shared" si="137"/>
        <v>ЭЛЬМАШ</v>
      </c>
      <c r="J4404" s="5"/>
      <c r="AL4404" s="5">
        <f t="shared" si="138"/>
        <v>0</v>
      </c>
    </row>
    <row r="4405" spans="1:38" ht="25.5" customHeight="1" x14ac:dyDescent="0.25">
      <c r="A4405" s="10" t="s">
        <v>828</v>
      </c>
      <c r="B4405" s="11" t="s">
        <v>14</v>
      </c>
      <c r="C4405" s="5">
        <v>93989.912800000006</v>
      </c>
      <c r="D4405" s="5">
        <v>93989.912800000006</v>
      </c>
      <c r="E4405" s="5">
        <v>85109.545199999993</v>
      </c>
      <c r="G4405" s="5" t="str">
        <f t="shared" si="137"/>
        <v>Центр</v>
      </c>
      <c r="J4405" s="5"/>
      <c r="AL4405" s="5">
        <f t="shared" si="138"/>
        <v>0</v>
      </c>
    </row>
    <row r="4406" spans="1:38" ht="25.5" customHeight="1" x14ac:dyDescent="0.25">
      <c r="A4406" s="10" t="s">
        <v>1140</v>
      </c>
      <c r="B4406" s="11" t="s">
        <v>1644</v>
      </c>
      <c r="C4406" s="5">
        <v>61980.678599999999</v>
      </c>
      <c r="D4406" s="5">
        <v>61980.678599999999</v>
      </c>
      <c r="E4406" s="5">
        <v>56124.615700000002</v>
      </c>
      <c r="G4406" s="5" t="str">
        <f t="shared" si="137"/>
        <v>ХИММАШ</v>
      </c>
      <c r="J4406" s="5"/>
      <c r="AL4406" s="5">
        <f t="shared" si="138"/>
        <v>0</v>
      </c>
    </row>
    <row r="4407" spans="1:38" ht="25.5" customHeight="1" x14ac:dyDescent="0.25">
      <c r="A4407" s="10" t="s">
        <v>595</v>
      </c>
      <c r="B4407" s="11" t="s">
        <v>1629</v>
      </c>
      <c r="C4407" s="5">
        <v>77743.704100000003</v>
      </c>
      <c r="D4407" s="5">
        <v>77743.704100000003</v>
      </c>
      <c r="E4407" s="5">
        <v>70398.310800000007</v>
      </c>
      <c r="G4407" s="5" t="str">
        <f t="shared" si="137"/>
        <v>ПИОНЕРСКИЙ</v>
      </c>
      <c r="J4407" s="5"/>
      <c r="AL4407" s="5">
        <f t="shared" si="138"/>
        <v>0</v>
      </c>
    </row>
    <row r="4408" spans="1:38" ht="25.5" customHeight="1" x14ac:dyDescent="0.25">
      <c r="A4408" s="10" t="s">
        <v>798</v>
      </c>
      <c r="B4408" s="11" t="s">
        <v>1630</v>
      </c>
      <c r="C4408" s="5">
        <v>62652.9401</v>
      </c>
      <c r="D4408" s="5">
        <v>62652.9401</v>
      </c>
      <c r="E4408" s="5">
        <v>56733.3557</v>
      </c>
      <c r="G4408" s="5" t="str">
        <f t="shared" si="137"/>
        <v>ЧЕРМЕТ</v>
      </c>
      <c r="J4408" s="5"/>
      <c r="AL4408" s="5">
        <f t="shared" si="138"/>
        <v>0</v>
      </c>
    </row>
    <row r="4409" spans="1:38" ht="25.5" customHeight="1" x14ac:dyDescent="0.25">
      <c r="A4409" s="10" t="s">
        <v>1595</v>
      </c>
      <c r="B4409" s="11" t="s">
        <v>1643</v>
      </c>
      <c r="C4409" s="5">
        <v>76630.280299999999</v>
      </c>
      <c r="D4409" s="5">
        <v>76630.280299999999</v>
      </c>
      <c r="E4409" s="5">
        <v>69390.088799999998</v>
      </c>
      <c r="G4409" s="5" t="str">
        <f t="shared" si="137"/>
        <v>Ю-З</v>
      </c>
      <c r="J4409" s="5"/>
      <c r="AL4409" s="5">
        <f t="shared" si="138"/>
        <v>0</v>
      </c>
    </row>
    <row r="4410" spans="1:38" ht="25.5" customHeight="1" x14ac:dyDescent="0.25">
      <c r="A4410" s="10" t="s">
        <v>3533</v>
      </c>
      <c r="B4410" s="11" t="s">
        <v>1628</v>
      </c>
      <c r="C4410" s="5">
        <v>70734.0236</v>
      </c>
      <c r="D4410" s="5">
        <v>70734.0236</v>
      </c>
      <c r="E4410" s="5">
        <v>64050.9208</v>
      </c>
      <c r="G4410" s="5" t="str">
        <f t="shared" si="137"/>
        <v>ЭЛЬМАШ</v>
      </c>
      <c r="J4410" s="5"/>
      <c r="AL4410" s="5">
        <f t="shared" si="138"/>
        <v>0</v>
      </c>
    </row>
    <row r="4411" spans="1:38" ht="25.5" customHeight="1" x14ac:dyDescent="0.25">
      <c r="A4411" s="10" t="s">
        <v>781</v>
      </c>
      <c r="B4411" s="11" t="s">
        <v>33</v>
      </c>
      <c r="C4411" s="5">
        <v>84298.205100000006</v>
      </c>
      <c r="D4411" s="5">
        <v>84298.205100000006</v>
      </c>
      <c r="E4411" s="5">
        <v>76333.533100000001</v>
      </c>
      <c r="G4411" s="5" t="str">
        <f t="shared" si="137"/>
        <v>ВИЗ</v>
      </c>
      <c r="J4411" s="5"/>
      <c r="AL4411" s="5">
        <f t="shared" si="138"/>
        <v>0</v>
      </c>
    </row>
    <row r="4412" spans="1:38" ht="25.5" customHeight="1" x14ac:dyDescent="0.25">
      <c r="A4412" s="10" t="s">
        <v>3534</v>
      </c>
      <c r="B4412" s="11" t="s">
        <v>1628</v>
      </c>
      <c r="C4412" s="5">
        <v>70734.0236</v>
      </c>
      <c r="D4412" s="5">
        <v>70734.0236</v>
      </c>
      <c r="E4412" s="5">
        <v>64050.9208</v>
      </c>
      <c r="G4412" s="5" t="str">
        <f t="shared" si="137"/>
        <v>ЭЛЬМАШ</v>
      </c>
      <c r="J4412" s="5"/>
      <c r="AL4412" s="5">
        <f t="shared" si="138"/>
        <v>0</v>
      </c>
    </row>
    <row r="4413" spans="1:38" ht="25.5" customHeight="1" x14ac:dyDescent="0.25">
      <c r="A4413" s="10" t="s">
        <v>3535</v>
      </c>
      <c r="B4413" s="11" t="s">
        <v>1636</v>
      </c>
      <c r="C4413" s="5">
        <v>52246.960299999999</v>
      </c>
      <c r="D4413" s="5">
        <v>52246.960299999999</v>
      </c>
      <c r="E4413" s="5">
        <v>47310.556700000001</v>
      </c>
      <c r="G4413" s="5" t="str">
        <f t="shared" si="137"/>
        <v>ГОРНЫЙ ЩИТ</v>
      </c>
      <c r="J4413" s="5"/>
      <c r="AL4413" s="5">
        <f t="shared" si="138"/>
        <v>0</v>
      </c>
    </row>
    <row r="4414" spans="1:38" ht="25.5" customHeight="1" x14ac:dyDescent="0.25">
      <c r="A4414" s="10" t="s">
        <v>3536</v>
      </c>
      <c r="B4414" s="11" t="s">
        <v>1629</v>
      </c>
      <c r="C4414" s="5">
        <v>77743.704100000003</v>
      </c>
      <c r="D4414" s="5">
        <v>77743.704100000003</v>
      </c>
      <c r="E4414" s="5">
        <v>70398.310800000007</v>
      </c>
      <c r="G4414" s="5" t="str">
        <f t="shared" si="137"/>
        <v>ПИОНЕРСКИЙ</v>
      </c>
      <c r="J4414" s="5"/>
      <c r="AL4414" s="5">
        <f t="shared" si="138"/>
        <v>0</v>
      </c>
    </row>
    <row r="4415" spans="1:38" ht="25.5" customHeight="1" x14ac:dyDescent="0.25">
      <c r="A4415" s="10" t="s">
        <v>477</v>
      </c>
      <c r="B4415" s="11" t="s">
        <v>14</v>
      </c>
      <c r="C4415" s="5">
        <v>93989.912800000006</v>
      </c>
      <c r="D4415" s="5">
        <v>93989.912800000006</v>
      </c>
      <c r="E4415" s="5">
        <v>85109.545199999993</v>
      </c>
      <c r="G4415" s="5" t="str">
        <f t="shared" ref="G4415:G4478" si="139">B4415</f>
        <v>Центр</v>
      </c>
      <c r="J4415" s="5"/>
      <c r="AL4415" s="5">
        <f t="shared" ref="AL4415:AL4478" si="140">AF4415</f>
        <v>0</v>
      </c>
    </row>
    <row r="4416" spans="1:38" ht="25.5" customHeight="1" x14ac:dyDescent="0.25">
      <c r="A4416" s="10" t="s">
        <v>3537</v>
      </c>
      <c r="B4416" s="11" t="s">
        <v>1635</v>
      </c>
      <c r="C4416" s="5">
        <v>57793.0844</v>
      </c>
      <c r="D4416" s="5">
        <v>57793.0844</v>
      </c>
      <c r="E4416" s="5">
        <v>52332.6639</v>
      </c>
      <c r="G4416" s="5" t="str">
        <f t="shared" si="139"/>
        <v>ЛЕЧЕБНЫЙ</v>
      </c>
      <c r="J4416" s="5"/>
      <c r="AL4416" s="5">
        <f t="shared" si="140"/>
        <v>0</v>
      </c>
    </row>
    <row r="4417" spans="1:38" ht="25.5" customHeight="1" x14ac:dyDescent="0.25">
      <c r="A4417" s="10" t="s">
        <v>3538</v>
      </c>
      <c r="B4417" s="11" t="s">
        <v>14</v>
      </c>
      <c r="C4417" s="5">
        <v>93989.912800000006</v>
      </c>
      <c r="D4417" s="5">
        <v>93989.912800000006</v>
      </c>
      <c r="E4417" s="5">
        <v>85109.545199999993</v>
      </c>
      <c r="G4417" s="5" t="str">
        <f t="shared" si="139"/>
        <v>Центр</v>
      </c>
      <c r="J4417" s="5"/>
      <c r="AL4417" s="5">
        <f t="shared" si="140"/>
        <v>0</v>
      </c>
    </row>
    <row r="4418" spans="1:38" ht="25.5" customHeight="1" x14ac:dyDescent="0.25">
      <c r="A4418" s="10" t="s">
        <v>268</v>
      </c>
      <c r="B4418" s="11" t="s">
        <v>1655</v>
      </c>
      <c r="C4418" s="5">
        <v>79683.445300000007</v>
      </c>
      <c r="D4418" s="5">
        <v>79683.445300000007</v>
      </c>
      <c r="E4418" s="5">
        <v>72154.784899999999</v>
      </c>
      <c r="G4418" s="5" t="str">
        <f t="shared" si="139"/>
        <v>Шарташский рынок</v>
      </c>
      <c r="J4418" s="5"/>
      <c r="AL4418" s="5">
        <f t="shared" si="140"/>
        <v>0</v>
      </c>
    </row>
    <row r="4419" spans="1:38" ht="25.5" customHeight="1" x14ac:dyDescent="0.25">
      <c r="A4419" s="10" t="s">
        <v>3539</v>
      </c>
      <c r="B4419" s="11" t="s">
        <v>1635</v>
      </c>
      <c r="C4419" s="5">
        <v>57793.0844</v>
      </c>
      <c r="D4419" s="5">
        <v>57793.0844</v>
      </c>
      <c r="E4419" s="5">
        <v>52332.6639</v>
      </c>
      <c r="G4419" s="5" t="str">
        <f t="shared" si="139"/>
        <v>ЛЕЧЕБНЫЙ</v>
      </c>
      <c r="J4419" s="5"/>
      <c r="AL4419" s="5">
        <f t="shared" si="140"/>
        <v>0</v>
      </c>
    </row>
    <row r="4420" spans="1:38" ht="25.5" customHeight="1" x14ac:dyDescent="0.25">
      <c r="A4420" s="10" t="s">
        <v>3540</v>
      </c>
      <c r="B4420" s="11" t="s">
        <v>1647</v>
      </c>
      <c r="C4420" s="5">
        <v>63178.133800000003</v>
      </c>
      <c r="D4420" s="5">
        <v>63178.133800000003</v>
      </c>
      <c r="E4420" s="5">
        <v>57208.931499999999</v>
      </c>
      <c r="G4420" s="5" t="str">
        <f t="shared" si="139"/>
        <v>ШИРОКАЯ РЕЧКА</v>
      </c>
      <c r="J4420" s="5"/>
      <c r="AL4420" s="5">
        <f t="shared" si="140"/>
        <v>0</v>
      </c>
    </row>
    <row r="4421" spans="1:38" ht="25.5" customHeight="1" x14ac:dyDescent="0.25">
      <c r="A4421" s="10" t="s">
        <v>510</v>
      </c>
      <c r="B4421" s="11" t="s">
        <v>1628</v>
      </c>
      <c r="C4421" s="5">
        <v>70734.0236</v>
      </c>
      <c r="D4421" s="5">
        <v>70734.0236</v>
      </c>
      <c r="E4421" s="5">
        <v>64050.9208</v>
      </c>
      <c r="G4421" s="5" t="str">
        <f t="shared" si="139"/>
        <v>ЭЛЬМАШ</v>
      </c>
      <c r="J4421" s="5"/>
      <c r="AL4421" s="5">
        <f t="shared" si="140"/>
        <v>0</v>
      </c>
    </row>
    <row r="4422" spans="1:38" ht="25.5" customHeight="1" x14ac:dyDescent="0.25">
      <c r="A4422" s="10" t="s">
        <v>469</v>
      </c>
      <c r="B4422" s="11" t="s">
        <v>1629</v>
      </c>
      <c r="C4422" s="5">
        <v>77743.704100000003</v>
      </c>
      <c r="D4422" s="5">
        <v>77743.704100000003</v>
      </c>
      <c r="E4422" s="5">
        <v>70398.310800000007</v>
      </c>
      <c r="G4422" s="5" t="str">
        <f t="shared" si="139"/>
        <v>ПИОНЕРСКИЙ</v>
      </c>
      <c r="J4422" s="5"/>
      <c r="AL4422" s="5">
        <f t="shared" si="140"/>
        <v>0</v>
      </c>
    </row>
    <row r="4423" spans="1:38" ht="25.5" customHeight="1" x14ac:dyDescent="0.25">
      <c r="A4423" s="10" t="s">
        <v>3541</v>
      </c>
      <c r="B4423" s="11" t="s">
        <v>1648</v>
      </c>
      <c r="C4423" s="5">
        <v>49782.025399999999</v>
      </c>
      <c r="D4423" s="5">
        <v>49782.025399999999</v>
      </c>
      <c r="E4423" s="5">
        <v>45078.506800000003</v>
      </c>
      <c r="G4423" s="5" t="str">
        <f t="shared" si="139"/>
        <v>ЧУСОВСКОЕ ОЗЕРО</v>
      </c>
      <c r="J4423" s="5"/>
      <c r="AL4423" s="5">
        <f t="shared" si="140"/>
        <v>0</v>
      </c>
    </row>
    <row r="4424" spans="1:38" ht="25.5" customHeight="1" x14ac:dyDescent="0.25">
      <c r="A4424" s="10" t="s">
        <v>564</v>
      </c>
      <c r="B4424" s="11" t="s">
        <v>1629</v>
      </c>
      <c r="C4424" s="5">
        <v>77743.704100000003</v>
      </c>
      <c r="D4424" s="5">
        <v>77743.704100000003</v>
      </c>
      <c r="E4424" s="5">
        <v>70398.310800000007</v>
      </c>
      <c r="G4424" s="5" t="str">
        <f t="shared" si="139"/>
        <v>ПИОНЕРСКИЙ</v>
      </c>
      <c r="J4424" s="5"/>
      <c r="AL4424" s="5">
        <f t="shared" si="140"/>
        <v>0</v>
      </c>
    </row>
    <row r="4425" spans="1:38" ht="25.5" customHeight="1" x14ac:dyDescent="0.25">
      <c r="A4425" s="10" t="s">
        <v>3542</v>
      </c>
      <c r="B4425" s="11" t="s">
        <v>1637</v>
      </c>
      <c r="C4425" s="5">
        <v>59368.686099999999</v>
      </c>
      <c r="D4425" s="5">
        <v>59368.686099999999</v>
      </c>
      <c r="E4425" s="5">
        <v>53759.401700000002</v>
      </c>
      <c r="G4425" s="5" t="str">
        <f t="shared" si="139"/>
        <v>Старая сортировка</v>
      </c>
      <c r="J4425" s="5"/>
      <c r="AL4425" s="5">
        <f t="shared" si="140"/>
        <v>0</v>
      </c>
    </row>
    <row r="4426" spans="1:38" ht="25.5" customHeight="1" x14ac:dyDescent="0.25">
      <c r="A4426" s="10" t="s">
        <v>3543</v>
      </c>
      <c r="B4426" s="11" t="s">
        <v>1658</v>
      </c>
      <c r="C4426" s="5">
        <v>68647.224799999996</v>
      </c>
      <c r="D4426" s="5">
        <v>68647.224799999996</v>
      </c>
      <c r="E4426" s="5">
        <v>62161.2929</v>
      </c>
      <c r="G4426" s="5" t="str">
        <f t="shared" si="139"/>
        <v>СИНИЕ КАМНИ</v>
      </c>
      <c r="J4426" s="5"/>
      <c r="AL4426" s="5">
        <f t="shared" si="140"/>
        <v>0</v>
      </c>
    </row>
    <row r="4427" spans="1:38" ht="25.5" customHeight="1" x14ac:dyDescent="0.25">
      <c r="A4427" s="10" t="s">
        <v>180</v>
      </c>
      <c r="B4427" s="11" t="s">
        <v>1631</v>
      </c>
      <c r="C4427" s="5">
        <v>70026.7601</v>
      </c>
      <c r="D4427" s="5">
        <v>70026.7601</v>
      </c>
      <c r="E4427" s="5">
        <v>63410.482000000004</v>
      </c>
      <c r="G4427" s="5" t="str">
        <f t="shared" si="139"/>
        <v>УРАЛМАШ</v>
      </c>
      <c r="J4427" s="5"/>
      <c r="AL4427" s="5">
        <f t="shared" si="140"/>
        <v>0</v>
      </c>
    </row>
    <row r="4428" spans="1:38" ht="25.5" customHeight="1" x14ac:dyDescent="0.25">
      <c r="A4428" s="10" t="s">
        <v>3544</v>
      </c>
      <c r="B4428" s="11" t="s">
        <v>1643</v>
      </c>
      <c r="C4428" s="5">
        <v>76630.280299999999</v>
      </c>
      <c r="D4428" s="5">
        <v>76630.280299999999</v>
      </c>
      <c r="E4428" s="5">
        <v>69390.088799999998</v>
      </c>
      <c r="G4428" s="5" t="str">
        <f t="shared" si="139"/>
        <v>Ю-З</v>
      </c>
      <c r="J4428" s="5"/>
      <c r="AL4428" s="5">
        <f t="shared" si="140"/>
        <v>0</v>
      </c>
    </row>
    <row r="4429" spans="1:38" ht="25.5" customHeight="1" x14ac:dyDescent="0.25">
      <c r="A4429" s="10" t="s">
        <v>3545</v>
      </c>
      <c r="B4429" s="11" t="s">
        <v>779</v>
      </c>
      <c r="C4429" s="5">
        <v>46784.877899999999</v>
      </c>
      <c r="D4429" s="5">
        <v>46784.877899999999</v>
      </c>
      <c r="E4429" s="5">
        <v>42364.543299999998</v>
      </c>
      <c r="G4429" s="5" t="str">
        <f t="shared" si="139"/>
        <v>Нижнеисетский</v>
      </c>
      <c r="J4429" s="5"/>
      <c r="AL4429" s="5">
        <f t="shared" si="140"/>
        <v>0</v>
      </c>
    </row>
    <row r="4430" spans="1:38" ht="25.5" customHeight="1" x14ac:dyDescent="0.25">
      <c r="A4430" s="10" t="s">
        <v>3546</v>
      </c>
      <c r="B4430" s="11" t="s">
        <v>1633</v>
      </c>
      <c r="C4430" s="5">
        <v>77071.442599999995</v>
      </c>
      <c r="D4430" s="5">
        <v>77071.442599999995</v>
      </c>
      <c r="E4430" s="5">
        <v>69789.570900000006</v>
      </c>
      <c r="G4430" s="5" t="str">
        <f t="shared" si="139"/>
        <v>ВТУЗГОРОДОК</v>
      </c>
      <c r="J4430" s="5"/>
      <c r="AL4430" s="5">
        <f t="shared" si="140"/>
        <v>0</v>
      </c>
    </row>
    <row r="4431" spans="1:38" ht="25.5" customHeight="1" x14ac:dyDescent="0.25">
      <c r="A4431" s="10" t="s">
        <v>3547</v>
      </c>
      <c r="B4431" s="11" t="s">
        <v>1647</v>
      </c>
      <c r="C4431" s="5">
        <v>63178.133800000003</v>
      </c>
      <c r="D4431" s="5">
        <v>63178.133800000003</v>
      </c>
      <c r="E4431" s="5">
        <v>57208.931499999999</v>
      </c>
      <c r="G4431" s="5" t="str">
        <f t="shared" si="139"/>
        <v>ШИРОКАЯ РЕЧКА</v>
      </c>
      <c r="J4431" s="5"/>
      <c r="AL4431" s="5">
        <f t="shared" si="140"/>
        <v>0</v>
      </c>
    </row>
    <row r="4432" spans="1:38" ht="25.5" customHeight="1" x14ac:dyDescent="0.25">
      <c r="A4432" s="10" t="s">
        <v>3548</v>
      </c>
      <c r="B4432" s="11" t="s">
        <v>1647</v>
      </c>
      <c r="C4432" s="5">
        <v>63178.133800000003</v>
      </c>
      <c r="D4432" s="5">
        <v>63178.133800000003</v>
      </c>
      <c r="E4432" s="5">
        <v>57208.931499999999</v>
      </c>
      <c r="G4432" s="5" t="str">
        <f t="shared" si="139"/>
        <v>ШИРОКАЯ РЕЧКА</v>
      </c>
      <c r="J4432" s="5"/>
      <c r="AL4432" s="5">
        <f t="shared" si="140"/>
        <v>0</v>
      </c>
    </row>
    <row r="4433" spans="1:38" ht="25.5" customHeight="1" x14ac:dyDescent="0.25">
      <c r="A4433" s="10" t="s">
        <v>3549</v>
      </c>
      <c r="B4433" s="11" t="s">
        <v>779</v>
      </c>
      <c r="C4433" s="5">
        <v>46784.877899999999</v>
      </c>
      <c r="D4433" s="5">
        <v>46784.877899999999</v>
      </c>
      <c r="E4433" s="5">
        <v>42364.543299999998</v>
      </c>
      <c r="G4433" s="5" t="str">
        <f t="shared" si="139"/>
        <v>Нижнеисетский</v>
      </c>
      <c r="J4433" s="5"/>
      <c r="AL4433" s="5">
        <f t="shared" si="140"/>
        <v>0</v>
      </c>
    </row>
    <row r="4434" spans="1:38" ht="25.5" customHeight="1" x14ac:dyDescent="0.25">
      <c r="A4434" s="10" t="s">
        <v>959</v>
      </c>
      <c r="B4434" s="11" t="s">
        <v>1652</v>
      </c>
      <c r="C4434" s="5">
        <v>71105.171700000006</v>
      </c>
      <c r="D4434" s="5">
        <v>71105.171700000006</v>
      </c>
      <c r="E4434" s="5">
        <v>64387.005100000002</v>
      </c>
      <c r="G4434" s="5" t="str">
        <f t="shared" si="139"/>
        <v>ЗАРЕЧНЫЙ</v>
      </c>
      <c r="J4434" s="5"/>
      <c r="AL4434" s="5">
        <f t="shared" si="140"/>
        <v>0</v>
      </c>
    </row>
    <row r="4435" spans="1:38" ht="25.5" customHeight="1" x14ac:dyDescent="0.25">
      <c r="A4435" s="10" t="s">
        <v>3550</v>
      </c>
      <c r="B4435" s="11" t="s">
        <v>1657</v>
      </c>
      <c r="C4435" s="5">
        <v>54886.9666</v>
      </c>
      <c r="D4435" s="5">
        <v>54886.9666</v>
      </c>
      <c r="E4435" s="5">
        <v>49701.1319</v>
      </c>
      <c r="G4435" s="5" t="str">
        <f t="shared" si="139"/>
        <v>КОЛЬЦОВО</v>
      </c>
      <c r="J4435" s="5"/>
      <c r="AL4435" s="5">
        <f t="shared" si="140"/>
        <v>0</v>
      </c>
    </row>
    <row r="4436" spans="1:38" ht="25.5" customHeight="1" x14ac:dyDescent="0.25">
      <c r="A4436" s="10" t="s">
        <v>3551</v>
      </c>
      <c r="B4436" s="11" t="s">
        <v>33</v>
      </c>
      <c r="C4436" s="5">
        <v>84298.205100000006</v>
      </c>
      <c r="D4436" s="5">
        <v>84298.205100000006</v>
      </c>
      <c r="E4436" s="5">
        <v>76333.533100000001</v>
      </c>
      <c r="G4436" s="5" t="str">
        <f t="shared" si="139"/>
        <v>ВИЗ</v>
      </c>
      <c r="J4436" s="5"/>
      <c r="AL4436" s="5">
        <f t="shared" si="140"/>
        <v>0</v>
      </c>
    </row>
    <row r="4437" spans="1:38" ht="25.5" customHeight="1" x14ac:dyDescent="0.25">
      <c r="A4437" s="10" t="s">
        <v>559</v>
      </c>
      <c r="B4437" s="11" t="s">
        <v>1644</v>
      </c>
      <c r="C4437" s="5">
        <v>61980.678599999999</v>
      </c>
      <c r="D4437" s="5">
        <v>61980.678599999999</v>
      </c>
      <c r="E4437" s="5">
        <v>56124.615700000002</v>
      </c>
      <c r="G4437" s="5" t="str">
        <f t="shared" si="139"/>
        <v>ХИММАШ</v>
      </c>
      <c r="J4437" s="5"/>
      <c r="AL4437" s="5">
        <f t="shared" si="140"/>
        <v>0</v>
      </c>
    </row>
    <row r="4438" spans="1:38" ht="25.5" customHeight="1" x14ac:dyDescent="0.25">
      <c r="A4438" s="10" t="s">
        <v>3552</v>
      </c>
      <c r="B4438" s="11" t="s">
        <v>1644</v>
      </c>
      <c r="C4438" s="5">
        <v>61980.678599999999</v>
      </c>
      <c r="D4438" s="5">
        <v>61980.678599999999</v>
      </c>
      <c r="E4438" s="5">
        <v>56124.615700000002</v>
      </c>
      <c r="G4438" s="5" t="str">
        <f t="shared" si="139"/>
        <v>ХИММАШ</v>
      </c>
      <c r="J4438" s="5"/>
      <c r="AL4438" s="5">
        <f t="shared" si="140"/>
        <v>0</v>
      </c>
    </row>
    <row r="4439" spans="1:38" ht="25.5" customHeight="1" x14ac:dyDescent="0.25">
      <c r="A4439" s="10" t="s">
        <v>3553</v>
      </c>
      <c r="B4439" s="11" t="s">
        <v>1638</v>
      </c>
      <c r="C4439" s="5">
        <v>63640.311600000001</v>
      </c>
      <c r="D4439" s="5">
        <v>63640.311600000001</v>
      </c>
      <c r="E4439" s="5">
        <v>57627.4473</v>
      </c>
      <c r="G4439" s="5" t="str">
        <f t="shared" si="139"/>
        <v>УКТУС</v>
      </c>
      <c r="J4439" s="5"/>
      <c r="AL4439" s="5">
        <f t="shared" si="140"/>
        <v>0</v>
      </c>
    </row>
    <row r="4440" spans="1:38" ht="25.5" customHeight="1" x14ac:dyDescent="0.25">
      <c r="A4440" s="10" t="s">
        <v>3554</v>
      </c>
      <c r="B4440" s="11" t="s">
        <v>1651</v>
      </c>
      <c r="C4440" s="5">
        <v>68129.029500000004</v>
      </c>
      <c r="D4440" s="5">
        <v>68129.029500000004</v>
      </c>
      <c r="E4440" s="5">
        <v>61692.054799999998</v>
      </c>
      <c r="G4440" s="5" t="str">
        <f t="shared" si="139"/>
        <v>ШАРТАШ</v>
      </c>
      <c r="J4440" s="5"/>
      <c r="AL4440" s="5">
        <f t="shared" si="140"/>
        <v>0</v>
      </c>
    </row>
    <row r="4441" spans="1:38" ht="25.5" customHeight="1" x14ac:dyDescent="0.25">
      <c r="A4441" s="10" t="s">
        <v>3555</v>
      </c>
      <c r="B4441" s="11" t="s">
        <v>1643</v>
      </c>
      <c r="C4441" s="5">
        <v>76630.280299999999</v>
      </c>
      <c r="D4441" s="5">
        <v>76630.280299999999</v>
      </c>
      <c r="E4441" s="5">
        <v>69390.088799999998</v>
      </c>
      <c r="G4441" s="5" t="str">
        <f t="shared" si="139"/>
        <v>Ю-З</v>
      </c>
      <c r="J4441" s="5"/>
      <c r="AL4441" s="5">
        <f t="shared" si="140"/>
        <v>0</v>
      </c>
    </row>
    <row r="4442" spans="1:38" ht="25.5" customHeight="1" x14ac:dyDescent="0.25">
      <c r="A4442" s="10" t="s">
        <v>1536</v>
      </c>
      <c r="B4442" s="11" t="s">
        <v>33</v>
      </c>
      <c r="C4442" s="5">
        <v>84298.205100000006</v>
      </c>
      <c r="D4442" s="5">
        <v>84298.205100000006</v>
      </c>
      <c r="E4442" s="5">
        <v>76333.533100000001</v>
      </c>
      <c r="G4442" s="5" t="str">
        <f t="shared" si="139"/>
        <v>ВИЗ</v>
      </c>
      <c r="J4442" s="5"/>
      <c r="AL4442" s="5">
        <f t="shared" si="140"/>
        <v>0</v>
      </c>
    </row>
    <row r="4443" spans="1:38" ht="25.5" customHeight="1" x14ac:dyDescent="0.25">
      <c r="A4443" s="10" t="s">
        <v>1516</v>
      </c>
      <c r="B4443" s="11" t="s">
        <v>1637</v>
      </c>
      <c r="C4443" s="5">
        <v>59368.686099999999</v>
      </c>
      <c r="D4443" s="5">
        <v>59368.686099999999</v>
      </c>
      <c r="E4443" s="5">
        <v>53759.401700000002</v>
      </c>
      <c r="G4443" s="5" t="str">
        <f t="shared" si="139"/>
        <v>Старая сортировка</v>
      </c>
      <c r="J4443" s="5"/>
      <c r="AL4443" s="5">
        <f t="shared" si="140"/>
        <v>0</v>
      </c>
    </row>
    <row r="4444" spans="1:38" ht="25.5" customHeight="1" x14ac:dyDescent="0.25">
      <c r="A4444" s="10" t="s">
        <v>3556</v>
      </c>
      <c r="B4444" s="11" t="s">
        <v>1647</v>
      </c>
      <c r="C4444" s="5">
        <v>63178.133800000003</v>
      </c>
      <c r="D4444" s="5">
        <v>63178.133800000003</v>
      </c>
      <c r="E4444" s="5">
        <v>57208.931499999999</v>
      </c>
      <c r="G4444" s="5" t="str">
        <f t="shared" si="139"/>
        <v>ШИРОКАЯ РЕЧКА</v>
      </c>
      <c r="J4444" s="5"/>
      <c r="AL4444" s="5">
        <f t="shared" si="140"/>
        <v>0</v>
      </c>
    </row>
    <row r="4445" spans="1:38" ht="25.5" customHeight="1" x14ac:dyDescent="0.25">
      <c r="A4445" s="10" t="s">
        <v>3557</v>
      </c>
      <c r="B4445" s="11" t="s">
        <v>1637</v>
      </c>
      <c r="C4445" s="5">
        <v>59368.686099999999</v>
      </c>
      <c r="D4445" s="5">
        <v>59368.686099999999</v>
      </c>
      <c r="E4445" s="5">
        <v>53759.401700000002</v>
      </c>
      <c r="G4445" s="5" t="str">
        <f t="shared" si="139"/>
        <v>Старая сортировка</v>
      </c>
      <c r="J4445" s="5"/>
      <c r="AL4445" s="5">
        <f t="shared" si="140"/>
        <v>0</v>
      </c>
    </row>
    <row r="4446" spans="1:38" ht="25.5" customHeight="1" x14ac:dyDescent="0.25">
      <c r="A4446" s="10" t="s">
        <v>3558</v>
      </c>
      <c r="B4446" s="11" t="s">
        <v>1668</v>
      </c>
      <c r="C4446" s="5">
        <v>51343.6201</v>
      </c>
      <c r="D4446" s="5">
        <v>51343.6201</v>
      </c>
      <c r="E4446" s="5">
        <v>46492.558799999999</v>
      </c>
      <c r="G4446" s="5" t="str">
        <f t="shared" si="139"/>
        <v>МЕДНЫЙ</v>
      </c>
      <c r="J4446" s="5"/>
      <c r="AL4446" s="5">
        <f t="shared" si="140"/>
        <v>0</v>
      </c>
    </row>
    <row r="4447" spans="1:38" ht="25.5" customHeight="1" x14ac:dyDescent="0.25">
      <c r="A4447" s="10" t="s">
        <v>589</v>
      </c>
      <c r="B4447" s="11" t="s">
        <v>1649</v>
      </c>
      <c r="C4447" s="5">
        <v>78633.047600000005</v>
      </c>
      <c r="D4447" s="5">
        <v>78633.047600000005</v>
      </c>
      <c r="E4447" s="5">
        <v>71203.623000000007</v>
      </c>
      <c r="G4447" s="5" t="str">
        <f t="shared" si="139"/>
        <v>ВОКЗАЛЬНЫЙ</v>
      </c>
      <c r="J4447" s="5"/>
      <c r="AL4447" s="5">
        <f t="shared" si="140"/>
        <v>0</v>
      </c>
    </row>
    <row r="4448" spans="1:38" ht="25.5" customHeight="1" x14ac:dyDescent="0.25">
      <c r="A4448" s="10" t="s">
        <v>3559</v>
      </c>
      <c r="B4448" s="11" t="s">
        <v>1641</v>
      </c>
      <c r="C4448" s="5">
        <v>63556.280200000001</v>
      </c>
      <c r="D4448" s="5">
        <v>63556.280200000001</v>
      </c>
      <c r="E4448" s="5">
        <v>57551.353499999997</v>
      </c>
      <c r="G4448" s="5" t="str">
        <f t="shared" si="139"/>
        <v>СИБИРСКИЙ</v>
      </c>
      <c r="J4448" s="5"/>
      <c r="AL4448" s="5">
        <f t="shared" si="140"/>
        <v>0</v>
      </c>
    </row>
    <row r="4449" spans="1:38" ht="25.5" customHeight="1" x14ac:dyDescent="0.25">
      <c r="A4449" s="10" t="s">
        <v>3560</v>
      </c>
      <c r="B4449" s="11" t="s">
        <v>1631</v>
      </c>
      <c r="C4449" s="5">
        <v>70026.7601</v>
      </c>
      <c r="D4449" s="5">
        <v>70026.7601</v>
      </c>
      <c r="E4449" s="5">
        <v>63410.482000000004</v>
      </c>
      <c r="G4449" s="5" t="str">
        <f t="shared" si="139"/>
        <v>УРАЛМАШ</v>
      </c>
      <c r="J4449" s="5"/>
      <c r="AL4449" s="5">
        <f t="shared" si="140"/>
        <v>0</v>
      </c>
    </row>
    <row r="4450" spans="1:38" ht="25.5" customHeight="1" x14ac:dyDescent="0.25">
      <c r="A4450" s="10" t="s">
        <v>3561</v>
      </c>
      <c r="B4450" s="11" t="s">
        <v>5166</v>
      </c>
      <c r="C4450" s="5">
        <v>49782.025399999999</v>
      </c>
      <c r="D4450" s="5">
        <v>49782.025399999999</v>
      </c>
      <c r="E4450" s="5">
        <v>45078.506800000003</v>
      </c>
      <c r="G4450" s="5" t="str">
        <f t="shared" si="139"/>
        <v>Чусовское озеро</v>
      </c>
      <c r="J4450" s="5"/>
      <c r="AL4450" s="5">
        <f t="shared" si="140"/>
        <v>0</v>
      </c>
    </row>
    <row r="4451" spans="1:38" ht="25.5" customHeight="1" x14ac:dyDescent="0.25">
      <c r="A4451" s="10" t="s">
        <v>3562</v>
      </c>
      <c r="B4451" s="11" t="s">
        <v>1630</v>
      </c>
      <c r="C4451" s="5">
        <v>62652.9401</v>
      </c>
      <c r="D4451" s="5">
        <v>62652.9401</v>
      </c>
      <c r="E4451" s="5">
        <v>56733.3557</v>
      </c>
      <c r="G4451" s="5" t="str">
        <f t="shared" si="139"/>
        <v>ЧЕРМЕТ</v>
      </c>
      <c r="J4451" s="5"/>
      <c r="AL4451" s="5">
        <f t="shared" si="140"/>
        <v>0</v>
      </c>
    </row>
    <row r="4452" spans="1:38" ht="25.5" customHeight="1" x14ac:dyDescent="0.25">
      <c r="A4452" s="10" t="s">
        <v>3563</v>
      </c>
      <c r="B4452" s="11" t="s">
        <v>389</v>
      </c>
      <c r="C4452" s="5">
        <v>51175.5573</v>
      </c>
      <c r="D4452" s="5">
        <v>51175.5573</v>
      </c>
      <c r="E4452" s="5">
        <v>46340.381600000001</v>
      </c>
      <c r="G4452" s="5" t="str">
        <f t="shared" si="139"/>
        <v>Северка</v>
      </c>
      <c r="J4452" s="5"/>
      <c r="AL4452" s="5">
        <f t="shared" si="140"/>
        <v>0</v>
      </c>
    </row>
    <row r="4453" spans="1:38" ht="25.5" customHeight="1" x14ac:dyDescent="0.25">
      <c r="A4453" s="10" t="s">
        <v>3564</v>
      </c>
      <c r="B4453" s="11" t="s">
        <v>1628</v>
      </c>
      <c r="C4453" s="5">
        <v>70734.0236</v>
      </c>
      <c r="D4453" s="5">
        <v>70734.0236</v>
      </c>
      <c r="E4453" s="5">
        <v>64050.9208</v>
      </c>
      <c r="G4453" s="5" t="str">
        <f t="shared" si="139"/>
        <v>ЭЛЬМАШ</v>
      </c>
      <c r="J4453" s="5"/>
      <c r="AL4453" s="5">
        <f t="shared" si="140"/>
        <v>0</v>
      </c>
    </row>
    <row r="4454" spans="1:38" ht="25.5" customHeight="1" x14ac:dyDescent="0.25">
      <c r="A4454" s="10" t="s">
        <v>739</v>
      </c>
      <c r="B4454" s="11" t="s">
        <v>1629</v>
      </c>
      <c r="C4454" s="5">
        <v>77743.704100000003</v>
      </c>
      <c r="D4454" s="5">
        <v>77743.704100000003</v>
      </c>
      <c r="E4454" s="5">
        <v>70398.310800000007</v>
      </c>
      <c r="G4454" s="5" t="str">
        <f t="shared" si="139"/>
        <v>ПИОНЕРСКИЙ</v>
      </c>
      <c r="J4454" s="5"/>
      <c r="AL4454" s="5">
        <f t="shared" si="140"/>
        <v>0</v>
      </c>
    </row>
    <row r="4455" spans="1:38" ht="25.5" customHeight="1" x14ac:dyDescent="0.25">
      <c r="A4455" s="10" t="s">
        <v>865</v>
      </c>
      <c r="B4455" s="11" t="s">
        <v>1628</v>
      </c>
      <c r="C4455" s="5">
        <v>70734.0236</v>
      </c>
      <c r="D4455" s="5">
        <v>70734.0236</v>
      </c>
      <c r="E4455" s="5">
        <v>64050.9208</v>
      </c>
      <c r="G4455" s="5" t="str">
        <f t="shared" si="139"/>
        <v>ЭЛЬМАШ</v>
      </c>
      <c r="J4455" s="5"/>
      <c r="AL4455" s="5">
        <f t="shared" si="140"/>
        <v>0</v>
      </c>
    </row>
    <row r="4456" spans="1:38" ht="25.5" customHeight="1" x14ac:dyDescent="0.25">
      <c r="A4456" s="10" t="s">
        <v>958</v>
      </c>
      <c r="B4456" s="11" t="s">
        <v>1630</v>
      </c>
      <c r="C4456" s="5">
        <v>62652.9401</v>
      </c>
      <c r="D4456" s="5">
        <v>62652.9401</v>
      </c>
      <c r="E4456" s="5">
        <v>56733.3557</v>
      </c>
      <c r="G4456" s="5" t="str">
        <f t="shared" si="139"/>
        <v>ЧЕРМЕТ</v>
      </c>
      <c r="J4456" s="5"/>
      <c r="AL4456" s="5">
        <f t="shared" si="140"/>
        <v>0</v>
      </c>
    </row>
    <row r="4457" spans="1:38" ht="25.5" customHeight="1" x14ac:dyDescent="0.25">
      <c r="A4457" s="10" t="s">
        <v>3565</v>
      </c>
      <c r="B4457" s="11" t="s">
        <v>1639</v>
      </c>
      <c r="C4457" s="5">
        <v>53500.443299999999</v>
      </c>
      <c r="D4457" s="5">
        <v>53500.443299999999</v>
      </c>
      <c r="E4457" s="5">
        <v>48445.605100000001</v>
      </c>
      <c r="G4457" s="5" t="str">
        <f t="shared" si="139"/>
        <v>ИСТОК</v>
      </c>
      <c r="J4457" s="5"/>
      <c r="AL4457" s="5">
        <f t="shared" si="140"/>
        <v>0</v>
      </c>
    </row>
    <row r="4458" spans="1:38" ht="25.5" customHeight="1" x14ac:dyDescent="0.25">
      <c r="A4458" s="10" t="s">
        <v>3566</v>
      </c>
      <c r="B4458" s="11" t="s">
        <v>14</v>
      </c>
      <c r="C4458" s="5">
        <v>93989.912800000006</v>
      </c>
      <c r="D4458" s="5">
        <v>93989.912800000006</v>
      </c>
      <c r="E4458" s="5">
        <v>85109.545199999993</v>
      </c>
      <c r="G4458" s="5" t="str">
        <f t="shared" si="139"/>
        <v>Центр</v>
      </c>
      <c r="J4458" s="5"/>
      <c r="AL4458" s="5">
        <f t="shared" si="140"/>
        <v>0</v>
      </c>
    </row>
    <row r="4459" spans="1:38" ht="25.5" customHeight="1" x14ac:dyDescent="0.25">
      <c r="A4459" s="10" t="s">
        <v>3567</v>
      </c>
      <c r="B4459" s="11" t="s">
        <v>1632</v>
      </c>
      <c r="C4459" s="5">
        <v>83744.997499999998</v>
      </c>
      <c r="D4459" s="5">
        <v>83744.997499999998</v>
      </c>
      <c r="E4459" s="5">
        <v>75832.596099999995</v>
      </c>
      <c r="G4459" s="5" t="str">
        <f t="shared" si="139"/>
        <v>АВТОВОКЗАЛ</v>
      </c>
      <c r="J4459" s="5"/>
      <c r="AL4459" s="5">
        <f t="shared" si="140"/>
        <v>0</v>
      </c>
    </row>
    <row r="4460" spans="1:38" ht="25.5" customHeight="1" x14ac:dyDescent="0.25">
      <c r="A4460" s="10" t="s">
        <v>1670</v>
      </c>
      <c r="B4460" s="11" t="s">
        <v>1637</v>
      </c>
      <c r="C4460" s="5">
        <v>59368.686099999999</v>
      </c>
      <c r="D4460" s="5">
        <v>59368.686099999999</v>
      </c>
      <c r="E4460" s="5">
        <v>53759.401700000002</v>
      </c>
      <c r="G4460" s="5" t="str">
        <f t="shared" si="139"/>
        <v>Старая сортировка</v>
      </c>
      <c r="J4460" s="5"/>
      <c r="AL4460" s="5">
        <f t="shared" si="140"/>
        <v>0</v>
      </c>
    </row>
    <row r="4461" spans="1:38" ht="25.5" customHeight="1" x14ac:dyDescent="0.25">
      <c r="A4461" s="10" t="s">
        <v>3568</v>
      </c>
      <c r="B4461" s="11" t="s">
        <v>66</v>
      </c>
      <c r="C4461" s="5">
        <v>64795.756300000001</v>
      </c>
      <c r="D4461" s="5">
        <v>64795.756300000001</v>
      </c>
      <c r="E4461" s="5">
        <v>58673.716200000003</v>
      </c>
      <c r="G4461" s="5" t="str">
        <f t="shared" si="139"/>
        <v>УНЦ</v>
      </c>
      <c r="J4461" s="5"/>
      <c r="AL4461" s="5">
        <f t="shared" si="140"/>
        <v>0</v>
      </c>
    </row>
    <row r="4462" spans="1:38" ht="25.5" customHeight="1" x14ac:dyDescent="0.25">
      <c r="A4462" s="10" t="s">
        <v>1078</v>
      </c>
      <c r="B4462" s="11" t="s">
        <v>1631</v>
      </c>
      <c r="C4462" s="5">
        <v>70026.7601</v>
      </c>
      <c r="D4462" s="5">
        <v>70026.7601</v>
      </c>
      <c r="E4462" s="5">
        <v>63410.482000000004</v>
      </c>
      <c r="G4462" s="5" t="str">
        <f t="shared" si="139"/>
        <v>УРАЛМАШ</v>
      </c>
      <c r="J4462" s="5"/>
      <c r="AL4462" s="5">
        <f t="shared" si="140"/>
        <v>0</v>
      </c>
    </row>
    <row r="4463" spans="1:38" ht="25.5" customHeight="1" x14ac:dyDescent="0.25">
      <c r="A4463" s="10" t="s">
        <v>1041</v>
      </c>
      <c r="B4463" s="11" t="s">
        <v>14</v>
      </c>
      <c r="C4463" s="5">
        <v>93989.912800000006</v>
      </c>
      <c r="D4463" s="5">
        <v>93989.912800000006</v>
      </c>
      <c r="E4463" s="5">
        <v>85109.545199999993</v>
      </c>
      <c r="G4463" s="5" t="str">
        <f t="shared" si="139"/>
        <v>Центр</v>
      </c>
      <c r="J4463" s="5"/>
      <c r="AL4463" s="5">
        <f t="shared" si="140"/>
        <v>0</v>
      </c>
    </row>
    <row r="4464" spans="1:38" ht="25.5" customHeight="1" x14ac:dyDescent="0.25">
      <c r="A4464" s="10" t="s">
        <v>3569</v>
      </c>
      <c r="B4464" s="11" t="s">
        <v>1629</v>
      </c>
      <c r="C4464" s="5">
        <v>77743.704100000003</v>
      </c>
      <c r="D4464" s="5">
        <v>77743.704100000003</v>
      </c>
      <c r="E4464" s="5">
        <v>70398.310800000007</v>
      </c>
      <c r="G4464" s="5" t="str">
        <f t="shared" si="139"/>
        <v>ПИОНЕРСКИЙ</v>
      </c>
      <c r="J4464" s="5"/>
      <c r="AL4464" s="5">
        <f t="shared" si="140"/>
        <v>0</v>
      </c>
    </row>
    <row r="4465" spans="1:38" ht="25.5" customHeight="1" x14ac:dyDescent="0.25">
      <c r="A4465" s="10" t="s">
        <v>3570</v>
      </c>
      <c r="B4465" s="11" t="s">
        <v>5166</v>
      </c>
      <c r="C4465" s="5">
        <v>49782.025399999999</v>
      </c>
      <c r="D4465" s="5">
        <v>49782.025399999999</v>
      </c>
      <c r="E4465" s="5">
        <v>45078.506800000003</v>
      </c>
      <c r="G4465" s="5" t="str">
        <f t="shared" si="139"/>
        <v>Чусовское озеро</v>
      </c>
      <c r="J4465" s="5"/>
      <c r="AL4465" s="5">
        <f t="shared" si="140"/>
        <v>0</v>
      </c>
    </row>
    <row r="4466" spans="1:38" ht="25.5" customHeight="1" x14ac:dyDescent="0.25">
      <c r="A4466" s="10" t="s">
        <v>940</v>
      </c>
      <c r="B4466" s="11" t="s">
        <v>14</v>
      </c>
      <c r="C4466" s="5">
        <v>93989.912800000006</v>
      </c>
      <c r="D4466" s="5">
        <v>93989.912800000006</v>
      </c>
      <c r="E4466" s="5">
        <v>85109.545199999993</v>
      </c>
      <c r="G4466" s="5" t="str">
        <f t="shared" si="139"/>
        <v>Центр</v>
      </c>
      <c r="J4466" s="5"/>
      <c r="AL4466" s="5">
        <f t="shared" si="140"/>
        <v>0</v>
      </c>
    </row>
    <row r="4467" spans="1:38" ht="25.5" customHeight="1" x14ac:dyDescent="0.25">
      <c r="A4467" s="10" t="s">
        <v>3571</v>
      </c>
      <c r="B4467" s="11" t="s">
        <v>1647</v>
      </c>
      <c r="C4467" s="5">
        <v>63178.133800000003</v>
      </c>
      <c r="D4467" s="5">
        <v>63178.133800000003</v>
      </c>
      <c r="E4467" s="5">
        <v>57208.931499999999</v>
      </c>
      <c r="G4467" s="5" t="str">
        <f t="shared" si="139"/>
        <v>ШИРОКАЯ РЕЧКА</v>
      </c>
      <c r="J4467" s="5"/>
      <c r="AL4467" s="5">
        <f t="shared" si="140"/>
        <v>0</v>
      </c>
    </row>
    <row r="4468" spans="1:38" ht="25.5" customHeight="1" x14ac:dyDescent="0.25">
      <c r="A4468" s="10" t="s">
        <v>3572</v>
      </c>
      <c r="B4468" s="11" t="s">
        <v>1650</v>
      </c>
      <c r="C4468" s="5">
        <v>37590.3603</v>
      </c>
      <c r="D4468" s="5">
        <v>37590.3603</v>
      </c>
      <c r="E4468" s="5">
        <v>34038.745900000002</v>
      </c>
      <c r="G4468" s="5" t="str">
        <f t="shared" si="139"/>
        <v>ШАБРОВСКИЙ</v>
      </c>
      <c r="J4468" s="5"/>
      <c r="AL4468" s="5">
        <f t="shared" si="140"/>
        <v>0</v>
      </c>
    </row>
    <row r="4469" spans="1:38" ht="25.5" customHeight="1" x14ac:dyDescent="0.25">
      <c r="A4469" s="10" t="s">
        <v>1351</v>
      </c>
      <c r="B4469" s="11" t="s">
        <v>1638</v>
      </c>
      <c r="C4469" s="5">
        <v>63640.311600000001</v>
      </c>
      <c r="D4469" s="5">
        <v>63640.311600000001</v>
      </c>
      <c r="E4469" s="5">
        <v>57627.4473</v>
      </c>
      <c r="G4469" s="5" t="str">
        <f t="shared" si="139"/>
        <v>УКТУС</v>
      </c>
      <c r="J4469" s="5"/>
      <c r="AL4469" s="5">
        <f t="shared" si="140"/>
        <v>0</v>
      </c>
    </row>
    <row r="4470" spans="1:38" ht="25.5" customHeight="1" x14ac:dyDescent="0.25">
      <c r="A4470" s="10" t="s">
        <v>1113</v>
      </c>
      <c r="B4470" s="11" t="s">
        <v>14</v>
      </c>
      <c r="C4470" s="5">
        <v>93989.912800000006</v>
      </c>
      <c r="D4470" s="5">
        <v>93989.912800000006</v>
      </c>
      <c r="E4470" s="5">
        <v>85109.545199999993</v>
      </c>
      <c r="G4470" s="5" t="str">
        <f t="shared" si="139"/>
        <v>Центр</v>
      </c>
      <c r="J4470" s="5"/>
      <c r="AL4470" s="5">
        <f t="shared" si="140"/>
        <v>0</v>
      </c>
    </row>
    <row r="4471" spans="1:38" ht="25.5" customHeight="1" x14ac:dyDescent="0.25">
      <c r="A4471" s="10" t="s">
        <v>3573</v>
      </c>
      <c r="B4471" s="11" t="s">
        <v>1650</v>
      </c>
      <c r="C4471" s="5">
        <v>37590.3603</v>
      </c>
      <c r="D4471" s="5">
        <v>37590.3603</v>
      </c>
      <c r="E4471" s="5">
        <v>34038.745900000002</v>
      </c>
      <c r="G4471" s="5" t="str">
        <f t="shared" si="139"/>
        <v>ШАБРОВСКИЙ</v>
      </c>
      <c r="J4471" s="5"/>
      <c r="AL4471" s="5">
        <f t="shared" si="140"/>
        <v>0</v>
      </c>
    </row>
    <row r="4472" spans="1:38" ht="25.5" customHeight="1" x14ac:dyDescent="0.25">
      <c r="A4472" s="10" t="s">
        <v>884</v>
      </c>
      <c r="B4472" s="11" t="s">
        <v>1631</v>
      </c>
      <c r="C4472" s="5">
        <v>70026.7601</v>
      </c>
      <c r="D4472" s="5">
        <v>70026.7601</v>
      </c>
      <c r="E4472" s="5">
        <v>63410.482000000004</v>
      </c>
      <c r="G4472" s="5" t="str">
        <f t="shared" si="139"/>
        <v>УРАЛМАШ</v>
      </c>
      <c r="J4472" s="5"/>
      <c r="AL4472" s="5">
        <f t="shared" si="140"/>
        <v>0</v>
      </c>
    </row>
    <row r="4473" spans="1:38" ht="25.5" customHeight="1" x14ac:dyDescent="0.25">
      <c r="A4473" s="10" t="s">
        <v>1243</v>
      </c>
      <c r="B4473" s="11" t="s">
        <v>1629</v>
      </c>
      <c r="C4473" s="5">
        <v>77743.704100000003</v>
      </c>
      <c r="D4473" s="5">
        <v>77743.704100000003</v>
      </c>
      <c r="E4473" s="5">
        <v>70398.310800000007</v>
      </c>
      <c r="G4473" s="5" t="str">
        <f t="shared" si="139"/>
        <v>ПИОНЕРСКИЙ</v>
      </c>
      <c r="J4473" s="5"/>
      <c r="AL4473" s="5">
        <f t="shared" si="140"/>
        <v>0</v>
      </c>
    </row>
    <row r="4474" spans="1:38" ht="25.5" customHeight="1" x14ac:dyDescent="0.25">
      <c r="A4474" s="10" t="s">
        <v>1068</v>
      </c>
      <c r="B4474" s="11" t="s">
        <v>14</v>
      </c>
      <c r="C4474" s="5">
        <v>93989.912800000006</v>
      </c>
      <c r="D4474" s="5">
        <v>93989.912800000006</v>
      </c>
      <c r="E4474" s="5">
        <v>85109.545199999993</v>
      </c>
      <c r="G4474" s="5" t="str">
        <f t="shared" si="139"/>
        <v>Центр</v>
      </c>
      <c r="J4474" s="5"/>
      <c r="AL4474" s="5">
        <f t="shared" si="140"/>
        <v>0</v>
      </c>
    </row>
    <row r="4475" spans="1:38" ht="25.5" customHeight="1" x14ac:dyDescent="0.25">
      <c r="A4475" s="10" t="s">
        <v>3574</v>
      </c>
      <c r="B4475" s="11" t="s">
        <v>1664</v>
      </c>
      <c r="C4475" s="5">
        <v>53668.506099999999</v>
      </c>
      <c r="D4475" s="5">
        <v>53668.506099999999</v>
      </c>
      <c r="E4475" s="5">
        <v>48597.792699999998</v>
      </c>
      <c r="G4475" s="5" t="str">
        <f t="shared" si="139"/>
        <v>ИЗОПЛИТ</v>
      </c>
      <c r="J4475" s="5"/>
      <c r="AL4475" s="5">
        <f t="shared" si="140"/>
        <v>0</v>
      </c>
    </row>
    <row r="4476" spans="1:38" ht="25.5" customHeight="1" x14ac:dyDescent="0.25">
      <c r="A4476" s="10" t="s">
        <v>3575</v>
      </c>
      <c r="B4476" s="11" t="s">
        <v>1647</v>
      </c>
      <c r="C4476" s="5">
        <v>63178.133800000003</v>
      </c>
      <c r="D4476" s="5">
        <v>63178.133800000003</v>
      </c>
      <c r="E4476" s="5">
        <v>57208.931499999999</v>
      </c>
      <c r="G4476" s="5" t="str">
        <f t="shared" si="139"/>
        <v>ШИРОКАЯ РЕЧКА</v>
      </c>
      <c r="J4476" s="5"/>
      <c r="AL4476" s="5">
        <f t="shared" si="140"/>
        <v>0</v>
      </c>
    </row>
    <row r="4477" spans="1:38" ht="25.5" customHeight="1" x14ac:dyDescent="0.25">
      <c r="A4477" s="10" t="s">
        <v>740</v>
      </c>
      <c r="B4477" s="11" t="s">
        <v>1628</v>
      </c>
      <c r="C4477" s="5">
        <v>70734.0236</v>
      </c>
      <c r="D4477" s="5">
        <v>70734.0236</v>
      </c>
      <c r="E4477" s="5">
        <v>64050.9208</v>
      </c>
      <c r="G4477" s="5" t="str">
        <f t="shared" si="139"/>
        <v>ЭЛЬМАШ</v>
      </c>
      <c r="J4477" s="5"/>
      <c r="AL4477" s="5">
        <f t="shared" si="140"/>
        <v>0</v>
      </c>
    </row>
    <row r="4478" spans="1:38" ht="25.5" customHeight="1" x14ac:dyDescent="0.25">
      <c r="A4478" s="10" t="s">
        <v>58</v>
      </c>
      <c r="B4478" s="11" t="s">
        <v>1631</v>
      </c>
      <c r="C4478" s="5">
        <v>70026.7601</v>
      </c>
      <c r="D4478" s="5">
        <v>70026.7601</v>
      </c>
      <c r="E4478" s="5">
        <v>63410.482000000004</v>
      </c>
      <c r="G4478" s="5" t="str">
        <f t="shared" si="139"/>
        <v>УРАЛМАШ</v>
      </c>
      <c r="J4478" s="5"/>
      <c r="AL4478" s="5">
        <f t="shared" si="140"/>
        <v>0</v>
      </c>
    </row>
    <row r="4479" spans="1:38" ht="25.5" customHeight="1" x14ac:dyDescent="0.25">
      <c r="A4479" s="10" t="s">
        <v>36</v>
      </c>
      <c r="B4479" s="11" t="s">
        <v>1628</v>
      </c>
      <c r="C4479" s="5">
        <v>70734.0236</v>
      </c>
      <c r="D4479" s="5">
        <v>70734.0236</v>
      </c>
      <c r="E4479" s="5">
        <v>64050.9208</v>
      </c>
      <c r="G4479" s="5" t="str">
        <f t="shared" ref="G4479:G4542" si="141">B4479</f>
        <v>ЭЛЬМАШ</v>
      </c>
      <c r="J4479" s="5"/>
      <c r="AL4479" s="5">
        <f t="shared" ref="AL4479:AL4542" si="142">AF4479</f>
        <v>0</v>
      </c>
    </row>
    <row r="4480" spans="1:38" ht="25.5" customHeight="1" x14ac:dyDescent="0.25">
      <c r="A4480" s="10" t="s">
        <v>947</v>
      </c>
      <c r="B4480" s="11" t="s">
        <v>1637</v>
      </c>
      <c r="C4480" s="5">
        <v>59368.686099999999</v>
      </c>
      <c r="D4480" s="5">
        <v>59368.686099999999</v>
      </c>
      <c r="E4480" s="5">
        <v>53759.401700000002</v>
      </c>
      <c r="G4480" s="5" t="str">
        <f t="shared" si="141"/>
        <v>Старая сортировка</v>
      </c>
      <c r="J4480" s="5"/>
      <c r="AL4480" s="5">
        <f t="shared" si="142"/>
        <v>0</v>
      </c>
    </row>
    <row r="4481" spans="1:38" ht="25.5" customHeight="1" x14ac:dyDescent="0.25">
      <c r="A4481" s="10" t="s">
        <v>3576</v>
      </c>
      <c r="B4481" s="11" t="s">
        <v>5166</v>
      </c>
      <c r="C4481" s="5">
        <v>49782.025399999999</v>
      </c>
      <c r="D4481" s="5">
        <v>49782.025399999999</v>
      </c>
      <c r="E4481" s="5">
        <v>45078.506800000003</v>
      </c>
      <c r="G4481" s="5" t="str">
        <f t="shared" si="141"/>
        <v>Чусовское озеро</v>
      </c>
      <c r="J4481" s="5"/>
      <c r="AL4481" s="5">
        <f t="shared" si="142"/>
        <v>0</v>
      </c>
    </row>
    <row r="4482" spans="1:38" ht="25.5" customHeight="1" x14ac:dyDescent="0.25">
      <c r="A4482" s="10" t="s">
        <v>3577</v>
      </c>
      <c r="B4482" s="11" t="s">
        <v>1636</v>
      </c>
      <c r="C4482" s="5">
        <v>52246.960299999999</v>
      </c>
      <c r="D4482" s="5">
        <v>52246.960299999999</v>
      </c>
      <c r="E4482" s="5">
        <v>47310.556700000001</v>
      </c>
      <c r="G4482" s="5" t="str">
        <f t="shared" si="141"/>
        <v>ГОРНЫЙ ЩИТ</v>
      </c>
      <c r="J4482" s="5"/>
      <c r="AL4482" s="5">
        <f t="shared" si="142"/>
        <v>0</v>
      </c>
    </row>
    <row r="4483" spans="1:38" ht="25.5" customHeight="1" x14ac:dyDescent="0.25">
      <c r="A4483" s="10" t="s">
        <v>1110</v>
      </c>
      <c r="B4483" s="11" t="s">
        <v>1661</v>
      </c>
      <c r="C4483" s="5">
        <v>51175.5573</v>
      </c>
      <c r="D4483" s="5">
        <v>51175.5573</v>
      </c>
      <c r="E4483" s="5">
        <v>46340.381600000001</v>
      </c>
      <c r="G4483" s="5" t="str">
        <f t="shared" si="141"/>
        <v>СЕВЕРКА</v>
      </c>
      <c r="J4483" s="5"/>
      <c r="AL4483" s="5">
        <f t="shared" si="142"/>
        <v>0</v>
      </c>
    </row>
    <row r="4484" spans="1:38" ht="25.5" customHeight="1" x14ac:dyDescent="0.25">
      <c r="A4484" s="10" t="s">
        <v>1392</v>
      </c>
      <c r="B4484" s="11" t="s">
        <v>14</v>
      </c>
      <c r="C4484" s="5">
        <v>93989.912800000006</v>
      </c>
      <c r="D4484" s="5">
        <v>93989.912800000006</v>
      </c>
      <c r="E4484" s="5">
        <v>85109.545199999993</v>
      </c>
      <c r="G4484" s="5" t="str">
        <f t="shared" si="141"/>
        <v>Центр</v>
      </c>
      <c r="J4484" s="5"/>
      <c r="AL4484" s="5">
        <f t="shared" si="142"/>
        <v>0</v>
      </c>
    </row>
    <row r="4485" spans="1:38" ht="25.5" customHeight="1" x14ac:dyDescent="0.25">
      <c r="A4485" s="10" t="s">
        <v>3578</v>
      </c>
      <c r="B4485" s="11" t="s">
        <v>1633</v>
      </c>
      <c r="C4485" s="5">
        <v>77071.442599999995</v>
      </c>
      <c r="D4485" s="5">
        <v>77071.442599999995</v>
      </c>
      <c r="E4485" s="5">
        <v>69789.570900000006</v>
      </c>
      <c r="G4485" s="5" t="str">
        <f t="shared" si="141"/>
        <v>ВТУЗГОРОДОК</v>
      </c>
      <c r="J4485" s="5"/>
      <c r="AL4485" s="5">
        <f t="shared" si="142"/>
        <v>0</v>
      </c>
    </row>
    <row r="4486" spans="1:38" ht="25.5" customHeight="1" x14ac:dyDescent="0.25">
      <c r="A4486" s="10" t="s">
        <v>3579</v>
      </c>
      <c r="B4486" s="11" t="s">
        <v>1668</v>
      </c>
      <c r="C4486" s="5">
        <v>51343.6201</v>
      </c>
      <c r="D4486" s="5">
        <v>51343.6201</v>
      </c>
      <c r="E4486" s="5">
        <v>46492.558799999999</v>
      </c>
      <c r="G4486" s="5" t="str">
        <f t="shared" si="141"/>
        <v>МЕДНЫЙ</v>
      </c>
      <c r="J4486" s="5"/>
      <c r="AL4486" s="5">
        <f t="shared" si="142"/>
        <v>0</v>
      </c>
    </row>
    <row r="4487" spans="1:38" ht="25.5" customHeight="1" x14ac:dyDescent="0.25">
      <c r="A4487" s="10" t="s">
        <v>1433</v>
      </c>
      <c r="B4487" s="11" t="s">
        <v>14</v>
      </c>
      <c r="C4487" s="5">
        <v>93989.912800000006</v>
      </c>
      <c r="D4487" s="5">
        <v>93989.912800000006</v>
      </c>
      <c r="E4487" s="5">
        <v>85109.545199999993</v>
      </c>
      <c r="G4487" s="5" t="str">
        <f t="shared" si="141"/>
        <v>Центр</v>
      </c>
      <c r="J4487" s="5"/>
      <c r="AL4487" s="5">
        <f t="shared" si="142"/>
        <v>0</v>
      </c>
    </row>
    <row r="4488" spans="1:38" ht="25.5" customHeight="1" x14ac:dyDescent="0.25">
      <c r="A4488" s="10" t="s">
        <v>3580</v>
      </c>
      <c r="B4488" s="11" t="s">
        <v>1641</v>
      </c>
      <c r="C4488" s="5">
        <v>63556.280200000001</v>
      </c>
      <c r="D4488" s="5">
        <v>63556.280200000001</v>
      </c>
      <c r="E4488" s="5">
        <v>57551.353499999997</v>
      </c>
      <c r="G4488" s="5" t="str">
        <f t="shared" si="141"/>
        <v>СИБИРСКИЙ</v>
      </c>
      <c r="J4488" s="5"/>
      <c r="AL4488" s="5">
        <f t="shared" si="142"/>
        <v>0</v>
      </c>
    </row>
    <row r="4489" spans="1:38" ht="25.5" customHeight="1" x14ac:dyDescent="0.25">
      <c r="A4489" s="10" t="s">
        <v>3581</v>
      </c>
      <c r="B4489" s="11" t="s">
        <v>1648</v>
      </c>
      <c r="C4489" s="5">
        <v>49782.025399999999</v>
      </c>
      <c r="D4489" s="5">
        <v>49782.025399999999</v>
      </c>
      <c r="E4489" s="5">
        <v>45078.506800000003</v>
      </c>
      <c r="G4489" s="5" t="str">
        <f t="shared" si="141"/>
        <v>ЧУСОВСКОЕ ОЗЕРО</v>
      </c>
      <c r="J4489" s="5"/>
      <c r="AL4489" s="5">
        <f t="shared" si="142"/>
        <v>0</v>
      </c>
    </row>
    <row r="4490" spans="1:38" ht="25.5" customHeight="1" x14ac:dyDescent="0.25">
      <c r="A4490" s="10" t="s">
        <v>3582</v>
      </c>
      <c r="B4490" s="11" t="s">
        <v>33</v>
      </c>
      <c r="C4490" s="5">
        <v>84298.205100000006</v>
      </c>
      <c r="D4490" s="5">
        <v>84298.205100000006</v>
      </c>
      <c r="E4490" s="5">
        <v>76333.533100000001</v>
      </c>
      <c r="G4490" s="5" t="str">
        <f t="shared" si="141"/>
        <v>ВИЗ</v>
      </c>
      <c r="J4490" s="5"/>
      <c r="AL4490" s="5">
        <f t="shared" si="142"/>
        <v>0</v>
      </c>
    </row>
    <row r="4491" spans="1:38" ht="25.5" customHeight="1" x14ac:dyDescent="0.25">
      <c r="A4491" s="10" t="s">
        <v>234</v>
      </c>
      <c r="B4491" s="11" t="s">
        <v>1631</v>
      </c>
      <c r="C4491" s="5">
        <v>70026.7601</v>
      </c>
      <c r="D4491" s="5">
        <v>70026.7601</v>
      </c>
      <c r="E4491" s="5">
        <v>63410.482000000004</v>
      </c>
      <c r="G4491" s="5" t="str">
        <f t="shared" si="141"/>
        <v>УРАЛМАШ</v>
      </c>
      <c r="J4491" s="5"/>
      <c r="AL4491" s="5">
        <f t="shared" si="142"/>
        <v>0</v>
      </c>
    </row>
    <row r="4492" spans="1:38" ht="25.5" customHeight="1" x14ac:dyDescent="0.25">
      <c r="A4492" s="10" t="s">
        <v>3583</v>
      </c>
      <c r="B4492" s="11" t="s">
        <v>1642</v>
      </c>
      <c r="C4492" s="5">
        <v>81392.097599999994</v>
      </c>
      <c r="D4492" s="5">
        <v>81392.097599999994</v>
      </c>
      <c r="E4492" s="5">
        <v>73702.001099999994</v>
      </c>
      <c r="G4492" s="5" t="str">
        <f t="shared" si="141"/>
        <v>ПАРКОВЫЙ</v>
      </c>
      <c r="J4492" s="5"/>
      <c r="AL4492" s="5">
        <f t="shared" si="142"/>
        <v>0</v>
      </c>
    </row>
    <row r="4493" spans="1:38" ht="25.5" customHeight="1" x14ac:dyDescent="0.25">
      <c r="A4493" s="10" t="s">
        <v>3584</v>
      </c>
      <c r="B4493" s="11" t="s">
        <v>1668</v>
      </c>
      <c r="C4493" s="5">
        <v>51343.6201</v>
      </c>
      <c r="D4493" s="5">
        <v>51343.6201</v>
      </c>
      <c r="E4493" s="5">
        <v>46492.558799999999</v>
      </c>
      <c r="G4493" s="5" t="str">
        <f t="shared" si="141"/>
        <v>МЕДНЫЙ</v>
      </c>
      <c r="J4493" s="5"/>
      <c r="AL4493" s="5">
        <f t="shared" si="142"/>
        <v>0</v>
      </c>
    </row>
    <row r="4494" spans="1:38" ht="25.5" customHeight="1" x14ac:dyDescent="0.25">
      <c r="A4494" s="10" t="s">
        <v>1585</v>
      </c>
      <c r="B4494" s="11" t="s">
        <v>14</v>
      </c>
      <c r="C4494" s="5">
        <v>93989.912800000006</v>
      </c>
      <c r="D4494" s="5">
        <v>93989.912800000006</v>
      </c>
      <c r="E4494" s="5">
        <v>85109.545199999993</v>
      </c>
      <c r="G4494" s="5" t="str">
        <f t="shared" si="141"/>
        <v>Центр</v>
      </c>
      <c r="J4494" s="5"/>
      <c r="AL4494" s="5">
        <f t="shared" si="142"/>
        <v>0</v>
      </c>
    </row>
    <row r="4495" spans="1:38" ht="25.5" customHeight="1" x14ac:dyDescent="0.25">
      <c r="A4495" s="10" t="s">
        <v>3585</v>
      </c>
      <c r="B4495" s="11" t="s">
        <v>33</v>
      </c>
      <c r="C4495" s="5">
        <v>84298.205100000006</v>
      </c>
      <c r="D4495" s="5">
        <v>84298.205100000006</v>
      </c>
      <c r="E4495" s="5">
        <v>76333.533100000001</v>
      </c>
      <c r="G4495" s="5" t="str">
        <f t="shared" si="141"/>
        <v>ВИЗ</v>
      </c>
      <c r="J4495" s="5"/>
      <c r="AL4495" s="5">
        <f t="shared" si="142"/>
        <v>0</v>
      </c>
    </row>
    <row r="4496" spans="1:38" ht="25.5" customHeight="1" x14ac:dyDescent="0.25">
      <c r="A4496" s="10" t="s">
        <v>3586</v>
      </c>
      <c r="B4496" s="11" t="s">
        <v>1661</v>
      </c>
      <c r="C4496" s="5">
        <v>51175.5573</v>
      </c>
      <c r="D4496" s="5">
        <v>51175.5573</v>
      </c>
      <c r="E4496" s="5">
        <v>46340.381600000001</v>
      </c>
      <c r="G4496" s="5" t="str">
        <f t="shared" si="141"/>
        <v>СЕВЕРКА</v>
      </c>
      <c r="J4496" s="5"/>
      <c r="AL4496" s="5">
        <f t="shared" si="142"/>
        <v>0</v>
      </c>
    </row>
    <row r="4497" spans="1:38" ht="25.5" customHeight="1" x14ac:dyDescent="0.25">
      <c r="A4497" s="10" t="s">
        <v>154</v>
      </c>
      <c r="B4497" s="11" t="s">
        <v>1632</v>
      </c>
      <c r="C4497" s="5">
        <v>83744.997499999998</v>
      </c>
      <c r="D4497" s="5">
        <v>83744.997499999998</v>
      </c>
      <c r="E4497" s="5">
        <v>75832.596099999995</v>
      </c>
      <c r="G4497" s="5" t="str">
        <f t="shared" si="141"/>
        <v>АВТОВОКЗАЛ</v>
      </c>
      <c r="J4497" s="5"/>
      <c r="AL4497" s="5">
        <f t="shared" si="142"/>
        <v>0</v>
      </c>
    </row>
    <row r="4498" spans="1:38" ht="25.5" customHeight="1" x14ac:dyDescent="0.25">
      <c r="A4498" s="10" t="s">
        <v>3587</v>
      </c>
      <c r="B4498" s="11" t="s">
        <v>1638</v>
      </c>
      <c r="C4498" s="5">
        <v>63640.311600000001</v>
      </c>
      <c r="D4498" s="5">
        <v>63640.311600000001</v>
      </c>
      <c r="E4498" s="5">
        <v>57627.4473</v>
      </c>
      <c r="G4498" s="5" t="str">
        <f t="shared" si="141"/>
        <v>УКТУС</v>
      </c>
      <c r="J4498" s="5"/>
      <c r="AL4498" s="5">
        <f t="shared" si="142"/>
        <v>0</v>
      </c>
    </row>
    <row r="4499" spans="1:38" ht="25.5" customHeight="1" x14ac:dyDescent="0.25">
      <c r="A4499" s="10" t="s">
        <v>538</v>
      </c>
      <c r="B4499" s="11" t="s">
        <v>1632</v>
      </c>
      <c r="C4499" s="5">
        <v>83744.997499999998</v>
      </c>
      <c r="D4499" s="5">
        <v>83744.997499999998</v>
      </c>
      <c r="E4499" s="5">
        <v>75832.596099999995</v>
      </c>
      <c r="G4499" s="5" t="str">
        <f t="shared" si="141"/>
        <v>АВТОВОКЗАЛ</v>
      </c>
      <c r="J4499" s="5"/>
      <c r="AL4499" s="5">
        <f t="shared" si="142"/>
        <v>0</v>
      </c>
    </row>
    <row r="4500" spans="1:38" ht="25.5" customHeight="1" x14ac:dyDescent="0.25">
      <c r="A4500" s="10" t="s">
        <v>3588</v>
      </c>
      <c r="B4500" s="11" t="s">
        <v>1650</v>
      </c>
      <c r="C4500" s="5">
        <v>37590.3603</v>
      </c>
      <c r="D4500" s="5">
        <v>37590.3603</v>
      </c>
      <c r="E4500" s="5">
        <v>34038.745900000002</v>
      </c>
      <c r="G4500" s="5" t="str">
        <f t="shared" si="141"/>
        <v>ШАБРОВСКИЙ</v>
      </c>
      <c r="J4500" s="5"/>
      <c r="AL4500" s="5">
        <f t="shared" si="142"/>
        <v>0</v>
      </c>
    </row>
    <row r="4501" spans="1:38" ht="25.5" customHeight="1" x14ac:dyDescent="0.25">
      <c r="A4501" s="10" t="s">
        <v>3589</v>
      </c>
      <c r="B4501" s="11" t="s">
        <v>1647</v>
      </c>
      <c r="C4501" s="5">
        <v>63178.133800000003</v>
      </c>
      <c r="D4501" s="5">
        <v>63178.133800000003</v>
      </c>
      <c r="E4501" s="5">
        <v>57208.931499999999</v>
      </c>
      <c r="G4501" s="5" t="str">
        <f t="shared" si="141"/>
        <v>ШИРОКАЯ РЕЧКА</v>
      </c>
      <c r="J4501" s="5"/>
      <c r="AL4501" s="5">
        <f t="shared" si="142"/>
        <v>0</v>
      </c>
    </row>
    <row r="4502" spans="1:38" ht="25.5" customHeight="1" x14ac:dyDescent="0.25">
      <c r="A4502" s="10" t="s">
        <v>717</v>
      </c>
      <c r="B4502" s="5" t="s">
        <v>1649</v>
      </c>
      <c r="C4502" s="5">
        <v>78633.047600000005</v>
      </c>
      <c r="D4502" s="5">
        <v>78633.047600000005</v>
      </c>
      <c r="E4502" s="5">
        <v>71203.623000000007</v>
      </c>
      <c r="G4502" s="5" t="str">
        <f t="shared" si="141"/>
        <v>ВОКЗАЛЬНЫЙ</v>
      </c>
      <c r="J4502" s="5"/>
      <c r="AL4502" s="5">
        <f t="shared" si="142"/>
        <v>0</v>
      </c>
    </row>
    <row r="4503" spans="1:38" ht="25.5" customHeight="1" x14ac:dyDescent="0.25">
      <c r="A4503" s="10" t="s">
        <v>3590</v>
      </c>
      <c r="B4503" s="11" t="s">
        <v>1628</v>
      </c>
      <c r="C4503" s="5">
        <v>70734.0236</v>
      </c>
      <c r="D4503" s="5">
        <v>70734.0236</v>
      </c>
      <c r="E4503" s="5">
        <v>64050.9208</v>
      </c>
      <c r="G4503" s="5" t="str">
        <f t="shared" si="141"/>
        <v>ЭЛЬМАШ</v>
      </c>
      <c r="J4503" s="5"/>
      <c r="AL4503" s="5">
        <f t="shared" si="142"/>
        <v>0</v>
      </c>
    </row>
    <row r="4504" spans="1:38" ht="25.5" customHeight="1" x14ac:dyDescent="0.25">
      <c r="A4504" s="10" t="s">
        <v>3591</v>
      </c>
      <c r="B4504" s="11" t="s">
        <v>1651</v>
      </c>
      <c r="C4504" s="5">
        <v>68129.029500000004</v>
      </c>
      <c r="D4504" s="5">
        <v>68129.029500000004</v>
      </c>
      <c r="E4504" s="5">
        <v>61692.054799999998</v>
      </c>
      <c r="G4504" s="5" t="str">
        <f t="shared" si="141"/>
        <v>ШАРТАШ</v>
      </c>
      <c r="J4504" s="5"/>
      <c r="AL4504" s="5">
        <f t="shared" si="142"/>
        <v>0</v>
      </c>
    </row>
    <row r="4505" spans="1:38" ht="25.5" customHeight="1" x14ac:dyDescent="0.25">
      <c r="A4505" s="10" t="s">
        <v>755</v>
      </c>
      <c r="B4505" s="11" t="s">
        <v>1631</v>
      </c>
      <c r="C4505" s="5">
        <v>70026.7601</v>
      </c>
      <c r="D4505" s="5">
        <v>70026.7601</v>
      </c>
      <c r="E4505" s="5">
        <v>63410.482000000004</v>
      </c>
      <c r="G4505" s="5" t="str">
        <f t="shared" si="141"/>
        <v>УРАЛМАШ</v>
      </c>
      <c r="J4505" s="5"/>
      <c r="AL4505" s="5">
        <f t="shared" si="142"/>
        <v>0</v>
      </c>
    </row>
    <row r="4506" spans="1:38" ht="25.5" customHeight="1" x14ac:dyDescent="0.25">
      <c r="A4506" s="10" t="s">
        <v>3592</v>
      </c>
      <c r="B4506" s="11" t="s">
        <v>1630</v>
      </c>
      <c r="C4506" s="5">
        <v>62652.9401</v>
      </c>
      <c r="D4506" s="5">
        <v>62652.9401</v>
      </c>
      <c r="E4506" s="5">
        <v>56733.3557</v>
      </c>
      <c r="G4506" s="5" t="str">
        <f t="shared" si="141"/>
        <v>ЧЕРМЕТ</v>
      </c>
      <c r="J4506" s="5"/>
      <c r="AL4506" s="5">
        <f t="shared" si="142"/>
        <v>0</v>
      </c>
    </row>
    <row r="4507" spans="1:38" ht="25.5" customHeight="1" x14ac:dyDescent="0.25">
      <c r="A4507" s="10" t="s">
        <v>3593</v>
      </c>
      <c r="B4507" s="11" t="s">
        <v>1636</v>
      </c>
      <c r="C4507" s="5">
        <v>52246.960299999999</v>
      </c>
      <c r="D4507" s="5">
        <v>52246.960299999999</v>
      </c>
      <c r="E4507" s="5">
        <v>47310.556700000001</v>
      </c>
      <c r="G4507" s="5" t="str">
        <f t="shared" si="141"/>
        <v>ГОРНЫЙ ЩИТ</v>
      </c>
      <c r="J4507" s="5"/>
      <c r="AL4507" s="5">
        <f t="shared" si="142"/>
        <v>0</v>
      </c>
    </row>
    <row r="4508" spans="1:38" ht="25.5" customHeight="1" x14ac:dyDescent="0.25">
      <c r="A4508" s="10" t="s">
        <v>3594</v>
      </c>
      <c r="B4508" s="11" t="s">
        <v>1645</v>
      </c>
      <c r="C4508" s="5">
        <v>60958.294800000003</v>
      </c>
      <c r="D4508" s="5">
        <v>60958.294800000003</v>
      </c>
      <c r="E4508" s="5">
        <v>55198.825199999999</v>
      </c>
      <c r="G4508" s="5" t="str">
        <f t="shared" si="141"/>
        <v>ЕЛИЗАВЕТ</v>
      </c>
      <c r="J4508" s="5"/>
      <c r="AL4508" s="5">
        <f t="shared" si="142"/>
        <v>0</v>
      </c>
    </row>
    <row r="4509" spans="1:38" ht="25.5" customHeight="1" x14ac:dyDescent="0.25">
      <c r="A4509" s="10" t="s">
        <v>3595</v>
      </c>
      <c r="B4509" s="11" t="s">
        <v>1629</v>
      </c>
      <c r="C4509" s="5">
        <v>77743.704100000003</v>
      </c>
      <c r="D4509" s="5">
        <v>77743.704100000003</v>
      </c>
      <c r="E4509" s="5">
        <v>70398.310800000007</v>
      </c>
      <c r="G4509" s="5" t="str">
        <f t="shared" si="141"/>
        <v>ПИОНЕРСКИЙ</v>
      </c>
      <c r="J4509" s="5"/>
      <c r="AL4509" s="5">
        <f t="shared" si="142"/>
        <v>0</v>
      </c>
    </row>
    <row r="4510" spans="1:38" ht="25.5" customHeight="1" x14ac:dyDescent="0.25">
      <c r="A4510" s="10" t="s">
        <v>3596</v>
      </c>
      <c r="B4510" s="11" t="s">
        <v>1637</v>
      </c>
      <c r="C4510" s="5">
        <v>59368.686099999999</v>
      </c>
      <c r="D4510" s="5">
        <v>59368.686099999999</v>
      </c>
      <c r="E4510" s="5">
        <v>53759.401700000002</v>
      </c>
      <c r="G4510" s="5" t="str">
        <f t="shared" si="141"/>
        <v>Старая сортировка</v>
      </c>
      <c r="J4510" s="5"/>
      <c r="AL4510" s="5">
        <f t="shared" si="142"/>
        <v>0</v>
      </c>
    </row>
    <row r="4511" spans="1:38" ht="25.5" customHeight="1" x14ac:dyDescent="0.25">
      <c r="A4511" s="10" t="s">
        <v>1173</v>
      </c>
      <c r="B4511" s="11" t="s">
        <v>1669</v>
      </c>
      <c r="C4511" s="5">
        <v>60615.160499999998</v>
      </c>
      <c r="D4511" s="5">
        <v>60615.160499999998</v>
      </c>
      <c r="E4511" s="5">
        <v>54888.112399999998</v>
      </c>
      <c r="G4511" s="5" t="str">
        <f t="shared" si="141"/>
        <v>СОЛНЕЧНЫЙ</v>
      </c>
      <c r="J4511" s="5"/>
      <c r="AL4511" s="5">
        <f t="shared" si="142"/>
        <v>0</v>
      </c>
    </row>
    <row r="4512" spans="1:38" ht="25.5" customHeight="1" x14ac:dyDescent="0.25">
      <c r="A4512" s="10" t="s">
        <v>3597</v>
      </c>
      <c r="B4512" s="11" t="s">
        <v>1633</v>
      </c>
      <c r="C4512" s="5">
        <v>77071.442599999995</v>
      </c>
      <c r="D4512" s="5">
        <v>77071.442599999995</v>
      </c>
      <c r="E4512" s="5">
        <v>69789.570900000006</v>
      </c>
      <c r="G4512" s="5" t="str">
        <f t="shared" si="141"/>
        <v>ВТУЗГОРОДОК</v>
      </c>
      <c r="J4512" s="5"/>
      <c r="AL4512" s="5">
        <f t="shared" si="142"/>
        <v>0</v>
      </c>
    </row>
    <row r="4513" spans="1:38" ht="25.5" customHeight="1" x14ac:dyDescent="0.25">
      <c r="A4513" s="10" t="s">
        <v>1534</v>
      </c>
      <c r="B4513" s="11" t="s">
        <v>33</v>
      </c>
      <c r="C4513" s="5">
        <v>84298.205100000006</v>
      </c>
      <c r="D4513" s="5">
        <v>84298.205100000006</v>
      </c>
      <c r="E4513" s="5">
        <v>76333.533100000001</v>
      </c>
      <c r="G4513" s="5" t="str">
        <f t="shared" si="141"/>
        <v>ВИЗ</v>
      </c>
      <c r="J4513" s="5"/>
      <c r="AL4513" s="5">
        <f t="shared" si="142"/>
        <v>0</v>
      </c>
    </row>
    <row r="4514" spans="1:38" ht="25.5" customHeight="1" x14ac:dyDescent="0.25">
      <c r="A4514" s="10" t="s">
        <v>1560</v>
      </c>
      <c r="B4514" s="11" t="s">
        <v>33</v>
      </c>
      <c r="C4514" s="5">
        <v>84298.205100000006</v>
      </c>
      <c r="D4514" s="5">
        <v>84298.205100000006</v>
      </c>
      <c r="E4514" s="5">
        <v>76333.533100000001</v>
      </c>
      <c r="G4514" s="5" t="str">
        <f t="shared" si="141"/>
        <v>ВИЗ</v>
      </c>
      <c r="J4514" s="5"/>
      <c r="AL4514" s="5">
        <f t="shared" si="142"/>
        <v>0</v>
      </c>
    </row>
    <row r="4515" spans="1:38" ht="25.5" customHeight="1" x14ac:dyDescent="0.25">
      <c r="A4515" s="10" t="s">
        <v>101</v>
      </c>
      <c r="B4515" s="11" t="s">
        <v>1637</v>
      </c>
      <c r="C4515" s="5">
        <v>59368.686099999999</v>
      </c>
      <c r="D4515" s="5">
        <v>59368.686099999999</v>
      </c>
      <c r="E4515" s="5">
        <v>53759.401700000002</v>
      </c>
      <c r="G4515" s="5" t="str">
        <f t="shared" si="141"/>
        <v>Старая сортировка</v>
      </c>
      <c r="J4515" s="5"/>
      <c r="AL4515" s="5">
        <f t="shared" si="142"/>
        <v>0</v>
      </c>
    </row>
    <row r="4516" spans="1:38" ht="25.5" customHeight="1" x14ac:dyDescent="0.25">
      <c r="A4516" s="10" t="s">
        <v>3598</v>
      </c>
      <c r="B4516" s="11" t="s">
        <v>1637</v>
      </c>
      <c r="C4516" s="5">
        <v>59368.686099999999</v>
      </c>
      <c r="D4516" s="5">
        <v>59368.686099999999</v>
      </c>
      <c r="E4516" s="5">
        <v>53759.401700000002</v>
      </c>
      <c r="G4516" s="5" t="str">
        <f t="shared" si="141"/>
        <v>Старая сортировка</v>
      </c>
      <c r="J4516" s="5"/>
      <c r="AL4516" s="5">
        <f t="shared" si="142"/>
        <v>0</v>
      </c>
    </row>
    <row r="4517" spans="1:38" ht="25.5" customHeight="1" x14ac:dyDescent="0.25">
      <c r="A4517" s="10" t="s">
        <v>3599</v>
      </c>
      <c r="B4517" s="11" t="s">
        <v>779</v>
      </c>
      <c r="C4517" s="5">
        <v>46784.877899999999</v>
      </c>
      <c r="D4517" s="5">
        <v>46784.877899999999</v>
      </c>
      <c r="E4517" s="5">
        <v>42364.543299999998</v>
      </c>
      <c r="G4517" s="5" t="str">
        <f t="shared" si="141"/>
        <v>Нижнеисетский</v>
      </c>
      <c r="J4517" s="5"/>
      <c r="AL4517" s="5">
        <f t="shared" si="142"/>
        <v>0</v>
      </c>
    </row>
    <row r="4518" spans="1:38" ht="25.5" customHeight="1" x14ac:dyDescent="0.25">
      <c r="A4518" s="10" t="s">
        <v>1260</v>
      </c>
      <c r="B4518" s="11" t="s">
        <v>1631</v>
      </c>
      <c r="C4518" s="5">
        <v>70026.7601</v>
      </c>
      <c r="D4518" s="5">
        <v>70026.7601</v>
      </c>
      <c r="E4518" s="5">
        <v>63410.482000000004</v>
      </c>
      <c r="G4518" s="5" t="str">
        <f t="shared" si="141"/>
        <v>УРАЛМАШ</v>
      </c>
      <c r="J4518" s="5"/>
      <c r="AL4518" s="5">
        <f t="shared" si="142"/>
        <v>0</v>
      </c>
    </row>
    <row r="4519" spans="1:38" ht="25.5" customHeight="1" x14ac:dyDescent="0.25">
      <c r="A4519" s="10" t="s">
        <v>3600</v>
      </c>
      <c r="B4519" s="11" t="s">
        <v>389</v>
      </c>
      <c r="C4519" s="5">
        <v>51175.5573</v>
      </c>
      <c r="D4519" s="5">
        <v>51175.5573</v>
      </c>
      <c r="E4519" s="5">
        <v>46340.381600000001</v>
      </c>
      <c r="G4519" s="5" t="str">
        <f t="shared" si="141"/>
        <v>Северка</v>
      </c>
      <c r="J4519" s="5"/>
      <c r="AL4519" s="5">
        <f t="shared" si="142"/>
        <v>0</v>
      </c>
    </row>
    <row r="4520" spans="1:38" ht="25.5" customHeight="1" x14ac:dyDescent="0.25">
      <c r="A4520" s="10" t="s">
        <v>3601</v>
      </c>
      <c r="B4520" s="11" t="s">
        <v>14</v>
      </c>
      <c r="C4520" s="5">
        <v>93989.912800000006</v>
      </c>
      <c r="D4520" s="5">
        <v>93989.912800000006</v>
      </c>
      <c r="E4520" s="5">
        <v>85109.545199999993</v>
      </c>
      <c r="G4520" s="5" t="str">
        <f t="shared" si="141"/>
        <v>Центр</v>
      </c>
      <c r="J4520" s="5"/>
      <c r="AL4520" s="5">
        <f t="shared" si="142"/>
        <v>0</v>
      </c>
    </row>
    <row r="4521" spans="1:38" ht="25.5" customHeight="1" x14ac:dyDescent="0.25">
      <c r="A4521" s="10" t="s">
        <v>3602</v>
      </c>
      <c r="B4521" s="11" t="s">
        <v>1649</v>
      </c>
      <c r="C4521" s="5">
        <v>78633.047600000005</v>
      </c>
      <c r="D4521" s="5">
        <v>78633.047600000005</v>
      </c>
      <c r="E4521" s="5">
        <v>71203.623000000007</v>
      </c>
      <c r="G4521" s="5" t="str">
        <f t="shared" si="141"/>
        <v>ВОКЗАЛЬНЫЙ</v>
      </c>
      <c r="J4521" s="5"/>
      <c r="AL4521" s="5">
        <f t="shared" si="142"/>
        <v>0</v>
      </c>
    </row>
    <row r="4522" spans="1:38" ht="25.5" customHeight="1" x14ac:dyDescent="0.25">
      <c r="A4522" s="10" t="s">
        <v>11</v>
      </c>
      <c r="B4522" s="11" t="s">
        <v>14</v>
      </c>
      <c r="C4522" s="5">
        <v>93989.912800000006</v>
      </c>
      <c r="D4522" s="5">
        <v>93989.912800000006</v>
      </c>
      <c r="E4522" s="5">
        <v>85109.545199999993</v>
      </c>
      <c r="G4522" s="5" t="str">
        <f t="shared" si="141"/>
        <v>Центр</v>
      </c>
      <c r="J4522" s="5"/>
      <c r="AL4522" s="5">
        <f t="shared" si="142"/>
        <v>0</v>
      </c>
    </row>
    <row r="4523" spans="1:38" ht="25.5" customHeight="1" x14ac:dyDescent="0.25">
      <c r="A4523" s="10" t="s">
        <v>3603</v>
      </c>
      <c r="B4523" s="11" t="s">
        <v>1637</v>
      </c>
      <c r="C4523" s="5">
        <v>59368.686099999999</v>
      </c>
      <c r="D4523" s="5">
        <v>59368.686099999999</v>
      </c>
      <c r="E4523" s="5">
        <v>53759.401700000002</v>
      </c>
      <c r="G4523" s="5" t="str">
        <f t="shared" si="141"/>
        <v>Старая сортировка</v>
      </c>
      <c r="J4523" s="5"/>
      <c r="AL4523" s="5">
        <f t="shared" si="142"/>
        <v>0</v>
      </c>
    </row>
    <row r="4524" spans="1:38" ht="25.5" customHeight="1" x14ac:dyDescent="0.25">
      <c r="A4524" s="10" t="s">
        <v>1264</v>
      </c>
      <c r="B4524" s="11" t="s">
        <v>1628</v>
      </c>
      <c r="C4524" s="5">
        <v>70734.0236</v>
      </c>
      <c r="D4524" s="5">
        <v>70734.0236</v>
      </c>
      <c r="E4524" s="5">
        <v>64050.9208</v>
      </c>
      <c r="G4524" s="5" t="str">
        <f t="shared" si="141"/>
        <v>ЭЛЬМАШ</v>
      </c>
      <c r="J4524" s="5"/>
      <c r="AL4524" s="5">
        <f t="shared" si="142"/>
        <v>0</v>
      </c>
    </row>
    <row r="4525" spans="1:38" ht="25.5" customHeight="1" x14ac:dyDescent="0.25">
      <c r="A4525" s="10" t="s">
        <v>3604</v>
      </c>
      <c r="B4525" s="11" t="s">
        <v>1642</v>
      </c>
      <c r="C4525" s="5">
        <v>81392.097599999994</v>
      </c>
      <c r="D4525" s="5">
        <v>81392.097599999994</v>
      </c>
      <c r="E4525" s="5">
        <v>73702.001099999994</v>
      </c>
      <c r="G4525" s="5" t="str">
        <f t="shared" si="141"/>
        <v>ПАРКОВЫЙ</v>
      </c>
      <c r="J4525" s="5"/>
      <c r="AL4525" s="5">
        <f t="shared" si="142"/>
        <v>0</v>
      </c>
    </row>
    <row r="4526" spans="1:38" ht="25.5" customHeight="1" x14ac:dyDescent="0.25">
      <c r="A4526" s="10" t="s">
        <v>3605</v>
      </c>
      <c r="B4526" s="11" t="s">
        <v>14</v>
      </c>
      <c r="C4526" s="5">
        <v>93989.912800000006</v>
      </c>
      <c r="D4526" s="5">
        <v>93989.912800000006</v>
      </c>
      <c r="E4526" s="5">
        <v>85109.545199999993</v>
      </c>
      <c r="G4526" s="5" t="str">
        <f t="shared" si="141"/>
        <v>Центр</v>
      </c>
      <c r="J4526" s="5"/>
      <c r="AL4526" s="5">
        <f t="shared" si="142"/>
        <v>0</v>
      </c>
    </row>
    <row r="4527" spans="1:38" ht="25.5" customHeight="1" x14ac:dyDescent="0.25">
      <c r="A4527" s="10" t="s">
        <v>3606</v>
      </c>
      <c r="B4527" s="11" t="s">
        <v>1637</v>
      </c>
      <c r="C4527" s="5">
        <v>59368.686099999999</v>
      </c>
      <c r="D4527" s="5">
        <v>59368.686099999999</v>
      </c>
      <c r="E4527" s="5">
        <v>53759.401700000002</v>
      </c>
      <c r="G4527" s="5" t="str">
        <f t="shared" si="141"/>
        <v>Старая сортировка</v>
      </c>
      <c r="J4527" s="5"/>
      <c r="AL4527" s="5">
        <f t="shared" si="142"/>
        <v>0</v>
      </c>
    </row>
    <row r="4528" spans="1:38" ht="25.5" customHeight="1" x14ac:dyDescent="0.25">
      <c r="A4528" s="10" t="s">
        <v>1420</v>
      </c>
      <c r="B4528" s="11" t="s">
        <v>1636</v>
      </c>
      <c r="C4528" s="5">
        <v>52246.960299999999</v>
      </c>
      <c r="D4528" s="5">
        <v>52246.960299999999</v>
      </c>
      <c r="E4528" s="5">
        <v>47310.556700000001</v>
      </c>
      <c r="G4528" s="5" t="str">
        <f t="shared" si="141"/>
        <v>ГОРНЫЙ ЩИТ</v>
      </c>
      <c r="J4528" s="5"/>
      <c r="AL4528" s="5">
        <f t="shared" si="142"/>
        <v>0</v>
      </c>
    </row>
    <row r="4529" spans="1:38" ht="25.5" customHeight="1" x14ac:dyDescent="0.25">
      <c r="A4529" s="10" t="s">
        <v>3607</v>
      </c>
      <c r="B4529" s="11" t="s">
        <v>1645</v>
      </c>
      <c r="C4529" s="5">
        <v>60958.294800000003</v>
      </c>
      <c r="D4529" s="5">
        <v>60958.294800000003</v>
      </c>
      <c r="E4529" s="5">
        <v>55198.825199999999</v>
      </c>
      <c r="G4529" s="5" t="str">
        <f t="shared" si="141"/>
        <v>ЕЛИЗАВЕТ</v>
      </c>
      <c r="J4529" s="5"/>
      <c r="AL4529" s="5">
        <f t="shared" si="142"/>
        <v>0</v>
      </c>
    </row>
    <row r="4530" spans="1:38" ht="25.5" customHeight="1" x14ac:dyDescent="0.25">
      <c r="A4530" s="10" t="s">
        <v>3608</v>
      </c>
      <c r="B4530" s="11" t="s">
        <v>1647</v>
      </c>
      <c r="C4530" s="5">
        <v>63178.133800000003</v>
      </c>
      <c r="D4530" s="5">
        <v>63178.133800000003</v>
      </c>
      <c r="E4530" s="5">
        <v>57208.931499999999</v>
      </c>
      <c r="G4530" s="5" t="str">
        <f t="shared" si="141"/>
        <v>ШИРОКАЯ РЕЧКА</v>
      </c>
      <c r="J4530" s="5"/>
      <c r="AL4530" s="5">
        <f t="shared" si="142"/>
        <v>0</v>
      </c>
    </row>
    <row r="4531" spans="1:38" ht="25.5" customHeight="1" x14ac:dyDescent="0.25">
      <c r="A4531" s="10" t="s">
        <v>110</v>
      </c>
      <c r="B4531" s="5" t="s">
        <v>1637</v>
      </c>
      <c r="C4531" s="5">
        <v>59368.686099999999</v>
      </c>
      <c r="D4531" s="5">
        <v>59368.686099999999</v>
      </c>
      <c r="E4531" s="5">
        <v>53759.401700000002</v>
      </c>
      <c r="G4531" s="5" t="str">
        <f t="shared" si="141"/>
        <v>Старая сортировка</v>
      </c>
      <c r="J4531" s="5"/>
      <c r="AL4531" s="5">
        <f t="shared" si="142"/>
        <v>0</v>
      </c>
    </row>
    <row r="4532" spans="1:38" ht="25.5" customHeight="1" x14ac:dyDescent="0.25">
      <c r="A4532" s="10" t="s">
        <v>3609</v>
      </c>
      <c r="B4532" s="11" t="s">
        <v>1643</v>
      </c>
      <c r="C4532" s="5">
        <v>76630.280299999999</v>
      </c>
      <c r="D4532" s="5">
        <v>76630.280299999999</v>
      </c>
      <c r="E4532" s="5">
        <v>69390.088799999998</v>
      </c>
      <c r="G4532" s="5" t="str">
        <f t="shared" si="141"/>
        <v>Ю-З</v>
      </c>
      <c r="J4532" s="5"/>
      <c r="AL4532" s="5">
        <f t="shared" si="142"/>
        <v>0</v>
      </c>
    </row>
    <row r="4533" spans="1:38" ht="25.5" customHeight="1" x14ac:dyDescent="0.25">
      <c r="A4533" s="10" t="s">
        <v>3610</v>
      </c>
      <c r="B4533" s="11" t="s">
        <v>118</v>
      </c>
      <c r="C4533" s="5">
        <v>53500.443299999999</v>
      </c>
      <c r="D4533" s="5">
        <v>53500.443299999999</v>
      </c>
      <c r="E4533" s="5">
        <v>48445.605100000001</v>
      </c>
      <c r="G4533" s="5" t="str">
        <f t="shared" si="141"/>
        <v>Исток</v>
      </c>
      <c r="J4533" s="5"/>
      <c r="AL4533" s="5">
        <f t="shared" si="142"/>
        <v>0</v>
      </c>
    </row>
    <row r="4534" spans="1:38" ht="25.5" customHeight="1" x14ac:dyDescent="0.25">
      <c r="A4534" s="10" t="s">
        <v>383</v>
      </c>
      <c r="B4534" s="11" t="s">
        <v>33</v>
      </c>
      <c r="C4534" s="5">
        <v>84298.205100000006</v>
      </c>
      <c r="D4534" s="5">
        <v>84298.205100000006</v>
      </c>
      <c r="E4534" s="5">
        <v>76333.533100000001</v>
      </c>
      <c r="G4534" s="5" t="str">
        <f t="shared" si="141"/>
        <v>ВИЗ</v>
      </c>
      <c r="J4534" s="5"/>
      <c r="AL4534" s="5">
        <f t="shared" si="142"/>
        <v>0</v>
      </c>
    </row>
    <row r="4535" spans="1:38" ht="25.5" customHeight="1" x14ac:dyDescent="0.25">
      <c r="A4535" s="10" t="s">
        <v>3611</v>
      </c>
      <c r="B4535" s="11" t="s">
        <v>1631</v>
      </c>
      <c r="C4535" s="5">
        <v>70026.7601</v>
      </c>
      <c r="D4535" s="5">
        <v>70026.7601</v>
      </c>
      <c r="E4535" s="5">
        <v>63410.482000000004</v>
      </c>
      <c r="G4535" s="5" t="str">
        <f t="shared" si="141"/>
        <v>УРАЛМАШ</v>
      </c>
      <c r="J4535" s="5"/>
      <c r="AL4535" s="5">
        <f t="shared" si="142"/>
        <v>0</v>
      </c>
    </row>
    <row r="4536" spans="1:38" ht="25.5" customHeight="1" x14ac:dyDescent="0.25">
      <c r="A4536" s="10" t="s">
        <v>3612</v>
      </c>
      <c r="B4536" s="11" t="s">
        <v>14</v>
      </c>
      <c r="C4536" s="5">
        <v>93989.912800000006</v>
      </c>
      <c r="D4536" s="5">
        <v>93989.912800000006</v>
      </c>
      <c r="E4536" s="5">
        <v>85109.545199999993</v>
      </c>
      <c r="G4536" s="5" t="str">
        <f t="shared" si="141"/>
        <v>Центр</v>
      </c>
      <c r="J4536" s="5"/>
      <c r="AL4536" s="5">
        <f t="shared" si="142"/>
        <v>0</v>
      </c>
    </row>
    <row r="4537" spans="1:38" ht="25.5" customHeight="1" x14ac:dyDescent="0.25">
      <c r="A4537" s="10" t="s">
        <v>3613</v>
      </c>
      <c r="B4537" s="11" t="s">
        <v>1647</v>
      </c>
      <c r="C4537" s="5">
        <v>63178.133800000003</v>
      </c>
      <c r="D4537" s="5">
        <v>63178.133800000003</v>
      </c>
      <c r="E4537" s="5">
        <v>57208.931499999999</v>
      </c>
      <c r="G4537" s="5" t="str">
        <f t="shared" si="141"/>
        <v>ШИРОКАЯ РЕЧКА</v>
      </c>
      <c r="J4537" s="5"/>
      <c r="AL4537" s="5">
        <f t="shared" si="142"/>
        <v>0</v>
      </c>
    </row>
    <row r="4538" spans="1:38" ht="25.5" customHeight="1" x14ac:dyDescent="0.25">
      <c r="A4538" s="10" t="s">
        <v>3614</v>
      </c>
      <c r="B4538" s="11" t="s">
        <v>1629</v>
      </c>
      <c r="C4538" s="5">
        <v>77743.704100000003</v>
      </c>
      <c r="D4538" s="5">
        <v>77743.704100000003</v>
      </c>
      <c r="E4538" s="5">
        <v>70398.310800000007</v>
      </c>
      <c r="G4538" s="5" t="str">
        <f t="shared" si="141"/>
        <v>ПИОНЕРСКИЙ</v>
      </c>
      <c r="J4538" s="5"/>
      <c r="AL4538" s="5">
        <f t="shared" si="142"/>
        <v>0</v>
      </c>
    </row>
    <row r="4539" spans="1:38" ht="25.5" customHeight="1" x14ac:dyDescent="0.25">
      <c r="A4539" s="10" t="s">
        <v>62</v>
      </c>
      <c r="B4539" s="11" t="s">
        <v>1631</v>
      </c>
      <c r="C4539" s="5">
        <v>70026.7601</v>
      </c>
      <c r="D4539" s="5">
        <v>70026.7601</v>
      </c>
      <c r="E4539" s="5">
        <v>63410.482000000004</v>
      </c>
      <c r="G4539" s="5" t="str">
        <f t="shared" si="141"/>
        <v>УРАЛМАШ</v>
      </c>
      <c r="J4539" s="5"/>
      <c r="AL4539" s="5">
        <f t="shared" si="142"/>
        <v>0</v>
      </c>
    </row>
    <row r="4540" spans="1:38" ht="25.5" customHeight="1" x14ac:dyDescent="0.25">
      <c r="A4540" s="10" t="s">
        <v>269</v>
      </c>
      <c r="B4540" s="11" t="s">
        <v>14</v>
      </c>
      <c r="C4540" s="5">
        <v>93989.912800000006</v>
      </c>
      <c r="D4540" s="5">
        <v>93989.912800000006</v>
      </c>
      <c r="E4540" s="5">
        <v>85109.545199999993</v>
      </c>
      <c r="G4540" s="5" t="str">
        <f t="shared" si="141"/>
        <v>Центр</v>
      </c>
      <c r="J4540" s="5"/>
      <c r="AL4540" s="5">
        <f t="shared" si="142"/>
        <v>0</v>
      </c>
    </row>
    <row r="4541" spans="1:38" ht="25.5" customHeight="1" x14ac:dyDescent="0.25">
      <c r="A4541" s="10" t="s">
        <v>1064</v>
      </c>
      <c r="B4541" s="11" t="s">
        <v>1644</v>
      </c>
      <c r="C4541" s="5">
        <v>61980.678599999999</v>
      </c>
      <c r="D4541" s="5">
        <v>61980.678599999999</v>
      </c>
      <c r="E4541" s="5">
        <v>56124.615700000002</v>
      </c>
      <c r="G4541" s="5" t="str">
        <f t="shared" si="141"/>
        <v>ХИММАШ</v>
      </c>
      <c r="J4541" s="5"/>
      <c r="AL4541" s="5">
        <f t="shared" si="142"/>
        <v>0</v>
      </c>
    </row>
    <row r="4542" spans="1:38" ht="25.5" customHeight="1" x14ac:dyDescent="0.25">
      <c r="A4542" s="10" t="s">
        <v>3615</v>
      </c>
      <c r="B4542" s="11" t="s">
        <v>1640</v>
      </c>
      <c r="C4542" s="5">
        <v>64914.8</v>
      </c>
      <c r="D4542" s="5">
        <v>64914.8</v>
      </c>
      <c r="E4542" s="5">
        <v>58781.519200000002</v>
      </c>
      <c r="G4542" s="5" t="str">
        <f t="shared" si="141"/>
        <v>Новая сортировка</v>
      </c>
      <c r="J4542" s="5"/>
      <c r="AL4542" s="5">
        <f t="shared" si="142"/>
        <v>0</v>
      </c>
    </row>
    <row r="4543" spans="1:38" ht="25.5" customHeight="1" x14ac:dyDescent="0.25">
      <c r="A4543" s="10" t="s">
        <v>282</v>
      </c>
      <c r="B4543" s="11" t="s">
        <v>1642</v>
      </c>
      <c r="C4543" s="5">
        <v>81392.097599999994</v>
      </c>
      <c r="D4543" s="5">
        <v>81392.097599999994</v>
      </c>
      <c r="E4543" s="5">
        <v>73702.001099999994</v>
      </c>
      <c r="G4543" s="5" t="str">
        <f t="shared" ref="G4543:G4606" si="143">B4543</f>
        <v>ПАРКОВЫЙ</v>
      </c>
      <c r="J4543" s="5"/>
      <c r="AL4543" s="5">
        <f t="shared" ref="AL4543:AL4606" si="144">AF4543</f>
        <v>0</v>
      </c>
    </row>
    <row r="4544" spans="1:38" ht="25.5" customHeight="1" x14ac:dyDescent="0.25">
      <c r="A4544" s="10" t="s">
        <v>99</v>
      </c>
      <c r="B4544" s="11" t="s">
        <v>1631</v>
      </c>
      <c r="C4544" s="5">
        <v>70026.7601</v>
      </c>
      <c r="D4544" s="5">
        <v>70026.7601</v>
      </c>
      <c r="E4544" s="5">
        <v>63410.482000000004</v>
      </c>
      <c r="G4544" s="5" t="str">
        <f t="shared" si="143"/>
        <v>УРАЛМАШ</v>
      </c>
      <c r="J4544" s="5"/>
      <c r="AL4544" s="5">
        <f t="shared" si="144"/>
        <v>0</v>
      </c>
    </row>
    <row r="4545" spans="1:38" ht="25.5" customHeight="1" x14ac:dyDescent="0.25">
      <c r="A4545" s="10" t="s">
        <v>3616</v>
      </c>
      <c r="B4545" s="11" t="s">
        <v>1638</v>
      </c>
      <c r="C4545" s="5">
        <v>63640.311600000001</v>
      </c>
      <c r="D4545" s="5">
        <v>63640.311600000001</v>
      </c>
      <c r="E4545" s="5">
        <v>57627.4473</v>
      </c>
      <c r="G4545" s="5" t="str">
        <f t="shared" si="143"/>
        <v>УКТУС</v>
      </c>
      <c r="J4545" s="5"/>
      <c r="AL4545" s="5">
        <f t="shared" si="144"/>
        <v>0</v>
      </c>
    </row>
    <row r="4546" spans="1:38" ht="25.5" customHeight="1" x14ac:dyDescent="0.25">
      <c r="A4546" s="10" t="s">
        <v>401</v>
      </c>
      <c r="B4546" s="11" t="s">
        <v>1629</v>
      </c>
      <c r="C4546" s="5">
        <v>77743.704100000003</v>
      </c>
      <c r="D4546" s="5">
        <v>77743.704100000003</v>
      </c>
      <c r="E4546" s="5">
        <v>70398.310800000007</v>
      </c>
      <c r="G4546" s="5" t="str">
        <f t="shared" si="143"/>
        <v>ПИОНЕРСКИЙ</v>
      </c>
      <c r="J4546" s="5"/>
      <c r="AL4546" s="5">
        <f t="shared" si="144"/>
        <v>0</v>
      </c>
    </row>
    <row r="4547" spans="1:38" ht="25.5" customHeight="1" x14ac:dyDescent="0.25">
      <c r="A4547" s="10" t="s">
        <v>3617</v>
      </c>
      <c r="B4547" s="11" t="s">
        <v>5166</v>
      </c>
      <c r="C4547" s="5">
        <v>49782.025399999999</v>
      </c>
      <c r="D4547" s="5">
        <v>49782.025399999999</v>
      </c>
      <c r="E4547" s="5">
        <v>45078.506800000003</v>
      </c>
      <c r="G4547" s="5" t="str">
        <f t="shared" si="143"/>
        <v>Чусовское озеро</v>
      </c>
      <c r="J4547" s="5"/>
      <c r="AL4547" s="5">
        <f t="shared" si="144"/>
        <v>0</v>
      </c>
    </row>
    <row r="4548" spans="1:38" ht="25.5" customHeight="1" x14ac:dyDescent="0.25">
      <c r="A4548" s="10" t="s">
        <v>3618</v>
      </c>
      <c r="B4548" s="11" t="s">
        <v>1657</v>
      </c>
      <c r="C4548" s="5">
        <v>54886.9666</v>
      </c>
      <c r="D4548" s="5">
        <v>54886.9666</v>
      </c>
      <c r="E4548" s="5">
        <v>49701.1319</v>
      </c>
      <c r="G4548" s="5" t="str">
        <f t="shared" si="143"/>
        <v>КОЛЬЦОВО</v>
      </c>
      <c r="J4548" s="5"/>
      <c r="AL4548" s="5">
        <f t="shared" si="144"/>
        <v>0</v>
      </c>
    </row>
    <row r="4549" spans="1:38" ht="25.5" customHeight="1" x14ac:dyDescent="0.25">
      <c r="A4549" s="10" t="s">
        <v>3619</v>
      </c>
      <c r="B4549" s="11" t="s">
        <v>33</v>
      </c>
      <c r="C4549" s="5">
        <v>84298.205100000006</v>
      </c>
      <c r="D4549" s="5">
        <v>84298.205100000006</v>
      </c>
      <c r="E4549" s="5">
        <v>76333.533100000001</v>
      </c>
      <c r="G4549" s="5" t="str">
        <f t="shared" si="143"/>
        <v>ВИЗ</v>
      </c>
      <c r="J4549" s="5"/>
      <c r="AL4549" s="5">
        <f t="shared" si="144"/>
        <v>0</v>
      </c>
    </row>
    <row r="4550" spans="1:38" ht="25.5" customHeight="1" x14ac:dyDescent="0.25">
      <c r="A4550" s="10" t="s">
        <v>1190</v>
      </c>
      <c r="B4550" s="11" t="s">
        <v>1628</v>
      </c>
      <c r="C4550" s="5">
        <v>70734.0236</v>
      </c>
      <c r="D4550" s="5">
        <v>70734.0236</v>
      </c>
      <c r="E4550" s="5">
        <v>64050.9208</v>
      </c>
      <c r="G4550" s="5" t="str">
        <f t="shared" si="143"/>
        <v>ЭЛЬМАШ</v>
      </c>
      <c r="J4550" s="5"/>
      <c r="AL4550" s="5">
        <f t="shared" si="144"/>
        <v>0</v>
      </c>
    </row>
    <row r="4551" spans="1:38" ht="25.5" customHeight="1" x14ac:dyDescent="0.25">
      <c r="A4551" s="10" t="s">
        <v>1030</v>
      </c>
      <c r="B4551" s="11" t="s">
        <v>1660</v>
      </c>
      <c r="C4551" s="5">
        <v>53262.345800000003</v>
      </c>
      <c r="D4551" s="5">
        <v>53262.345800000003</v>
      </c>
      <c r="E4551" s="5">
        <v>48230.0095</v>
      </c>
      <c r="G4551" s="5" t="str">
        <f t="shared" si="143"/>
        <v>САДОВЫЙ</v>
      </c>
      <c r="J4551" s="5"/>
      <c r="AL4551" s="5">
        <f t="shared" si="144"/>
        <v>0</v>
      </c>
    </row>
    <row r="4552" spans="1:38" ht="25.5" customHeight="1" x14ac:dyDescent="0.25">
      <c r="A4552" s="10" t="s">
        <v>3620</v>
      </c>
      <c r="B4552" s="11" t="s">
        <v>1659</v>
      </c>
      <c r="C4552" s="5">
        <v>59746.832600000002</v>
      </c>
      <c r="D4552" s="5">
        <v>59746.832600000002</v>
      </c>
      <c r="E4552" s="5">
        <v>54101.823700000001</v>
      </c>
      <c r="G4552" s="5" t="str">
        <f t="shared" si="143"/>
        <v>СОВХОЗ</v>
      </c>
      <c r="J4552" s="5"/>
      <c r="AL4552" s="5">
        <f t="shared" si="144"/>
        <v>0</v>
      </c>
    </row>
    <row r="4553" spans="1:38" ht="25.5" customHeight="1" x14ac:dyDescent="0.25">
      <c r="A4553" s="10" t="s">
        <v>3621</v>
      </c>
      <c r="B4553" s="11" t="s">
        <v>1660</v>
      </c>
      <c r="C4553" s="5">
        <v>53262.345800000003</v>
      </c>
      <c r="D4553" s="5">
        <v>53262.345800000003</v>
      </c>
      <c r="E4553" s="5">
        <v>48230.0095</v>
      </c>
      <c r="G4553" s="5" t="str">
        <f t="shared" si="143"/>
        <v>САДОВЫЙ</v>
      </c>
      <c r="J4553" s="5"/>
      <c r="AL4553" s="5">
        <f t="shared" si="144"/>
        <v>0</v>
      </c>
    </row>
    <row r="4554" spans="1:38" ht="25.5" customHeight="1" x14ac:dyDescent="0.25">
      <c r="A4554" s="10" t="s">
        <v>3622</v>
      </c>
      <c r="B4554" s="11" t="s">
        <v>1628</v>
      </c>
      <c r="C4554" s="5">
        <v>70734.0236</v>
      </c>
      <c r="D4554" s="5">
        <v>70734.0236</v>
      </c>
      <c r="E4554" s="5">
        <v>64050.9208</v>
      </c>
      <c r="G4554" s="5" t="str">
        <f t="shared" si="143"/>
        <v>ЭЛЬМАШ</v>
      </c>
      <c r="J4554" s="5"/>
      <c r="AL4554" s="5">
        <f t="shared" si="144"/>
        <v>0</v>
      </c>
    </row>
    <row r="4555" spans="1:38" ht="25.5" customHeight="1" x14ac:dyDescent="0.25">
      <c r="A4555" s="10" t="s">
        <v>350</v>
      </c>
      <c r="B4555" s="11" t="s">
        <v>209</v>
      </c>
      <c r="C4555" s="5">
        <v>69382.512499999997</v>
      </c>
      <c r="D4555" s="5">
        <v>69382.512499999997</v>
      </c>
      <c r="E4555" s="5">
        <v>62827.103199999998</v>
      </c>
      <c r="G4555" s="5" t="str">
        <f t="shared" si="143"/>
        <v>ЖБИ</v>
      </c>
      <c r="J4555" s="5"/>
      <c r="AL4555" s="5">
        <f t="shared" si="144"/>
        <v>0</v>
      </c>
    </row>
    <row r="4556" spans="1:38" ht="25.5" customHeight="1" x14ac:dyDescent="0.25">
      <c r="A4556" s="10" t="s">
        <v>162</v>
      </c>
      <c r="B4556" s="11" t="s">
        <v>1629</v>
      </c>
      <c r="C4556" s="5">
        <v>77743.704100000003</v>
      </c>
      <c r="D4556" s="5">
        <v>77743.704100000003</v>
      </c>
      <c r="E4556" s="5">
        <v>70398.310800000007</v>
      </c>
      <c r="G4556" s="5" t="str">
        <f t="shared" si="143"/>
        <v>ПИОНЕРСКИЙ</v>
      </c>
      <c r="J4556" s="5"/>
      <c r="AL4556" s="5">
        <f t="shared" si="144"/>
        <v>0</v>
      </c>
    </row>
    <row r="4557" spans="1:38" ht="25.5" customHeight="1" x14ac:dyDescent="0.25">
      <c r="A4557" s="10" t="s">
        <v>1222</v>
      </c>
      <c r="B4557" s="11" t="s">
        <v>1655</v>
      </c>
      <c r="C4557" s="5">
        <v>79683.445300000007</v>
      </c>
      <c r="D4557" s="5">
        <v>79683.445300000007</v>
      </c>
      <c r="E4557" s="5">
        <v>72154.784899999999</v>
      </c>
      <c r="G4557" s="5" t="str">
        <f t="shared" si="143"/>
        <v>Шарташский рынок</v>
      </c>
      <c r="J4557" s="5"/>
      <c r="AL4557" s="5">
        <f t="shared" si="144"/>
        <v>0</v>
      </c>
    </row>
    <row r="4558" spans="1:38" ht="25.5" customHeight="1" x14ac:dyDescent="0.25">
      <c r="A4558" s="10" t="s">
        <v>1527</v>
      </c>
      <c r="B4558" s="11" t="s">
        <v>1637</v>
      </c>
      <c r="C4558" s="5">
        <v>59368.686099999999</v>
      </c>
      <c r="D4558" s="5">
        <v>59368.686099999999</v>
      </c>
      <c r="E4558" s="5">
        <v>53759.401700000002</v>
      </c>
      <c r="G4558" s="5" t="str">
        <f t="shared" si="143"/>
        <v>Старая сортировка</v>
      </c>
      <c r="J4558" s="5"/>
      <c r="AL4558" s="5">
        <f t="shared" si="144"/>
        <v>0</v>
      </c>
    </row>
    <row r="4559" spans="1:38" ht="25.5" customHeight="1" x14ac:dyDescent="0.25">
      <c r="A4559" s="10" t="s">
        <v>172</v>
      </c>
      <c r="B4559" s="11" t="s">
        <v>1643</v>
      </c>
      <c r="C4559" s="5">
        <v>76630.280299999999</v>
      </c>
      <c r="D4559" s="5">
        <v>76630.280299999999</v>
      </c>
      <c r="E4559" s="5">
        <v>69390.088799999998</v>
      </c>
      <c r="G4559" s="5" t="str">
        <f t="shared" si="143"/>
        <v>Ю-З</v>
      </c>
      <c r="J4559" s="5"/>
      <c r="AL4559" s="5">
        <f t="shared" si="144"/>
        <v>0</v>
      </c>
    </row>
    <row r="4560" spans="1:38" ht="25.5" customHeight="1" x14ac:dyDescent="0.25">
      <c r="A4560" s="10" t="s">
        <v>1253</v>
      </c>
      <c r="B4560" s="11" t="s">
        <v>1630</v>
      </c>
      <c r="C4560" s="5">
        <v>62652.9401</v>
      </c>
      <c r="D4560" s="5">
        <v>62652.9401</v>
      </c>
      <c r="E4560" s="5">
        <v>56733.3557</v>
      </c>
      <c r="G4560" s="5" t="str">
        <f t="shared" si="143"/>
        <v>ЧЕРМЕТ</v>
      </c>
      <c r="J4560" s="5"/>
      <c r="AL4560" s="5">
        <f t="shared" si="144"/>
        <v>0</v>
      </c>
    </row>
    <row r="4561" spans="1:38" ht="25.5" customHeight="1" x14ac:dyDescent="0.25">
      <c r="A4561" s="10" t="s">
        <v>3623</v>
      </c>
      <c r="B4561" s="11" t="s">
        <v>779</v>
      </c>
      <c r="C4561" s="5">
        <v>46784.877899999999</v>
      </c>
      <c r="D4561" s="5">
        <v>46784.877899999999</v>
      </c>
      <c r="E4561" s="5">
        <v>42364.543299999998</v>
      </c>
      <c r="G4561" s="5" t="str">
        <f t="shared" si="143"/>
        <v>Нижнеисетский</v>
      </c>
      <c r="J4561" s="5"/>
      <c r="AL4561" s="5">
        <f t="shared" si="144"/>
        <v>0</v>
      </c>
    </row>
    <row r="4562" spans="1:38" ht="25.5" customHeight="1" x14ac:dyDescent="0.25">
      <c r="A4562" s="10" t="s">
        <v>3624</v>
      </c>
      <c r="B4562" s="11" t="s">
        <v>1637</v>
      </c>
      <c r="C4562" s="5">
        <v>59368.686099999999</v>
      </c>
      <c r="D4562" s="5">
        <v>59368.686099999999</v>
      </c>
      <c r="E4562" s="5">
        <v>53759.401700000002</v>
      </c>
      <c r="G4562" s="5" t="str">
        <f t="shared" si="143"/>
        <v>Старая сортировка</v>
      </c>
      <c r="J4562" s="5"/>
      <c r="AL4562" s="5">
        <f t="shared" si="144"/>
        <v>0</v>
      </c>
    </row>
    <row r="4563" spans="1:38" ht="25.5" customHeight="1" x14ac:dyDescent="0.25">
      <c r="A4563" s="10" t="s">
        <v>860</v>
      </c>
      <c r="B4563" s="11" t="s">
        <v>1632</v>
      </c>
      <c r="C4563" s="5">
        <v>83744.997499999998</v>
      </c>
      <c r="D4563" s="5">
        <v>83744.997499999998</v>
      </c>
      <c r="E4563" s="5">
        <v>75832.596099999995</v>
      </c>
      <c r="G4563" s="5" t="str">
        <f t="shared" si="143"/>
        <v>АВТОВОКЗАЛ</v>
      </c>
      <c r="J4563" s="5"/>
      <c r="AL4563" s="5">
        <f t="shared" si="144"/>
        <v>0</v>
      </c>
    </row>
    <row r="4564" spans="1:38" ht="25.5" customHeight="1" x14ac:dyDescent="0.25">
      <c r="A4564" s="10" t="s">
        <v>3625</v>
      </c>
      <c r="B4564" s="11" t="s">
        <v>1655</v>
      </c>
      <c r="C4564" s="5">
        <v>79683.445300000007</v>
      </c>
      <c r="D4564" s="5">
        <v>79683.445300000007</v>
      </c>
      <c r="E4564" s="5">
        <v>72154.784899999999</v>
      </c>
      <c r="G4564" s="5" t="str">
        <f t="shared" si="143"/>
        <v>Шарташский рынок</v>
      </c>
      <c r="J4564" s="5"/>
      <c r="AL4564" s="5">
        <f t="shared" si="144"/>
        <v>0</v>
      </c>
    </row>
    <row r="4565" spans="1:38" ht="25.5" customHeight="1" x14ac:dyDescent="0.25">
      <c r="A4565" s="10" t="s">
        <v>1328</v>
      </c>
      <c r="B4565" s="11" t="s">
        <v>1638</v>
      </c>
      <c r="C4565" s="5">
        <v>63640.311600000001</v>
      </c>
      <c r="D4565" s="5">
        <v>63640.311600000001</v>
      </c>
      <c r="E4565" s="5">
        <v>57627.4473</v>
      </c>
      <c r="G4565" s="5" t="str">
        <f t="shared" si="143"/>
        <v>УКТУС</v>
      </c>
      <c r="J4565" s="5"/>
      <c r="AL4565" s="5">
        <f t="shared" si="144"/>
        <v>0</v>
      </c>
    </row>
    <row r="4566" spans="1:38" ht="25.5" customHeight="1" x14ac:dyDescent="0.25">
      <c r="A4566" s="10" t="s">
        <v>327</v>
      </c>
      <c r="B4566" s="11" t="s">
        <v>1639</v>
      </c>
      <c r="C4566" s="5">
        <v>53500.443299999999</v>
      </c>
      <c r="D4566" s="5">
        <v>53500.443299999999</v>
      </c>
      <c r="E4566" s="5">
        <v>48445.605100000001</v>
      </c>
      <c r="G4566" s="5" t="str">
        <f t="shared" si="143"/>
        <v>ИСТОК</v>
      </c>
      <c r="J4566" s="5"/>
      <c r="AL4566" s="5">
        <f t="shared" si="144"/>
        <v>0</v>
      </c>
    </row>
    <row r="4567" spans="1:38" ht="25.5" customHeight="1" x14ac:dyDescent="0.25">
      <c r="A4567" s="10" t="s">
        <v>1119</v>
      </c>
      <c r="B4567" s="11" t="s">
        <v>1648</v>
      </c>
      <c r="C4567" s="5">
        <v>49782.025399999999</v>
      </c>
      <c r="D4567" s="5">
        <v>49782.025399999999</v>
      </c>
      <c r="E4567" s="5">
        <v>45078.506800000003</v>
      </c>
      <c r="G4567" s="5" t="str">
        <f t="shared" si="143"/>
        <v>ЧУСОВСКОЕ ОЗЕРО</v>
      </c>
      <c r="J4567" s="5"/>
      <c r="AL4567" s="5">
        <f t="shared" si="144"/>
        <v>0</v>
      </c>
    </row>
    <row r="4568" spans="1:38" ht="25.5" customHeight="1" x14ac:dyDescent="0.25">
      <c r="A4568" s="10" t="s">
        <v>3626</v>
      </c>
      <c r="B4568" s="11" t="s">
        <v>14</v>
      </c>
      <c r="C4568" s="5">
        <v>93989.912800000006</v>
      </c>
      <c r="D4568" s="5">
        <v>93989.912800000006</v>
      </c>
      <c r="E4568" s="5">
        <v>85109.545199999993</v>
      </c>
      <c r="G4568" s="5" t="str">
        <f t="shared" si="143"/>
        <v>Центр</v>
      </c>
      <c r="J4568" s="5"/>
      <c r="AL4568" s="5">
        <f t="shared" si="144"/>
        <v>0</v>
      </c>
    </row>
    <row r="4569" spans="1:38" ht="25.5" customHeight="1" x14ac:dyDescent="0.25">
      <c r="A4569" s="10" t="s">
        <v>3627</v>
      </c>
      <c r="B4569" s="11" t="s">
        <v>1645</v>
      </c>
      <c r="C4569" s="5">
        <v>60958.294800000003</v>
      </c>
      <c r="D4569" s="5">
        <v>60958.294800000003</v>
      </c>
      <c r="E4569" s="5">
        <v>55198.825199999999</v>
      </c>
      <c r="G4569" s="5" t="str">
        <f t="shared" si="143"/>
        <v>ЕЛИЗАВЕТ</v>
      </c>
      <c r="J4569" s="5"/>
      <c r="AL4569" s="5">
        <f t="shared" si="144"/>
        <v>0</v>
      </c>
    </row>
    <row r="4570" spans="1:38" ht="25.5" customHeight="1" x14ac:dyDescent="0.25">
      <c r="A4570" s="10" t="s">
        <v>3628</v>
      </c>
      <c r="B4570" s="11" t="s">
        <v>1635</v>
      </c>
      <c r="C4570" s="5">
        <v>57793.0844</v>
      </c>
      <c r="D4570" s="5">
        <v>57793.0844</v>
      </c>
      <c r="E4570" s="5">
        <v>52332.6639</v>
      </c>
      <c r="G4570" s="5" t="str">
        <f t="shared" si="143"/>
        <v>ЛЕЧЕБНЫЙ</v>
      </c>
      <c r="J4570" s="5"/>
      <c r="AL4570" s="5">
        <f t="shared" si="144"/>
        <v>0</v>
      </c>
    </row>
    <row r="4571" spans="1:38" ht="25.5" customHeight="1" x14ac:dyDescent="0.25">
      <c r="A4571" s="10" t="s">
        <v>3629</v>
      </c>
      <c r="B4571" s="11" t="s">
        <v>1652</v>
      </c>
      <c r="C4571" s="5">
        <v>71105.171700000006</v>
      </c>
      <c r="D4571" s="5">
        <v>71105.171700000006</v>
      </c>
      <c r="E4571" s="5">
        <v>64387.005100000002</v>
      </c>
      <c r="G4571" s="5" t="str">
        <f t="shared" si="143"/>
        <v>ЗАРЕЧНЫЙ</v>
      </c>
      <c r="J4571" s="5"/>
      <c r="AL4571" s="5">
        <f t="shared" si="144"/>
        <v>0</v>
      </c>
    </row>
    <row r="4572" spans="1:38" ht="25.5" customHeight="1" x14ac:dyDescent="0.25">
      <c r="A4572" s="10" t="s">
        <v>3630</v>
      </c>
      <c r="B4572" s="11" t="s">
        <v>5166</v>
      </c>
      <c r="C4572" s="5">
        <v>49782.025399999999</v>
      </c>
      <c r="D4572" s="5">
        <v>49782.025399999999</v>
      </c>
      <c r="E4572" s="5">
        <v>45078.506800000003</v>
      </c>
      <c r="G4572" s="5" t="str">
        <f t="shared" si="143"/>
        <v>Чусовское озеро</v>
      </c>
      <c r="J4572" s="5"/>
      <c r="AL4572" s="5">
        <f t="shared" si="144"/>
        <v>0</v>
      </c>
    </row>
    <row r="4573" spans="1:38" ht="25.5" customHeight="1" x14ac:dyDescent="0.25">
      <c r="A4573" s="10" t="s">
        <v>1114</v>
      </c>
      <c r="B4573" s="11" t="s">
        <v>1638</v>
      </c>
      <c r="C4573" s="5">
        <v>63640.311600000001</v>
      </c>
      <c r="D4573" s="5">
        <v>63640.311600000001</v>
      </c>
      <c r="E4573" s="5">
        <v>57627.4473</v>
      </c>
      <c r="G4573" s="5" t="str">
        <f t="shared" si="143"/>
        <v>УКТУС</v>
      </c>
      <c r="J4573" s="5"/>
      <c r="AL4573" s="5">
        <f t="shared" si="144"/>
        <v>0</v>
      </c>
    </row>
    <row r="4574" spans="1:38" ht="25.5" customHeight="1" x14ac:dyDescent="0.25">
      <c r="A4574" s="10" t="s">
        <v>3631</v>
      </c>
      <c r="B4574" s="11" t="s">
        <v>1653</v>
      </c>
      <c r="C4574" s="5">
        <v>56847.723400000003</v>
      </c>
      <c r="D4574" s="5">
        <v>56847.723400000003</v>
      </c>
      <c r="E4574" s="5">
        <v>51476.629399999998</v>
      </c>
      <c r="G4574" s="5" t="str">
        <f t="shared" si="143"/>
        <v>ПТИЦЕФАБРИКА</v>
      </c>
      <c r="J4574" s="5"/>
      <c r="AL4574" s="5">
        <f t="shared" si="144"/>
        <v>0</v>
      </c>
    </row>
    <row r="4575" spans="1:38" ht="25.5" customHeight="1" x14ac:dyDescent="0.25">
      <c r="A4575" s="10" t="s">
        <v>3632</v>
      </c>
      <c r="B4575" s="11" t="s">
        <v>1651</v>
      </c>
      <c r="C4575" s="5">
        <v>68129.029500000004</v>
      </c>
      <c r="D4575" s="5">
        <v>68129.029500000004</v>
      </c>
      <c r="E4575" s="5">
        <v>61692.054799999998</v>
      </c>
      <c r="G4575" s="5" t="str">
        <f t="shared" si="143"/>
        <v>ШАРТАШ</v>
      </c>
      <c r="J4575" s="5"/>
      <c r="AL4575" s="5">
        <f t="shared" si="144"/>
        <v>0</v>
      </c>
    </row>
    <row r="4576" spans="1:38" ht="25.5" customHeight="1" x14ac:dyDescent="0.25">
      <c r="A4576" s="10" t="s">
        <v>123</v>
      </c>
      <c r="B4576" s="11" t="s">
        <v>1637</v>
      </c>
      <c r="C4576" s="5">
        <v>59368.686099999999</v>
      </c>
      <c r="D4576" s="5">
        <v>59368.686099999999</v>
      </c>
      <c r="E4576" s="5">
        <v>53759.401700000002</v>
      </c>
      <c r="G4576" s="5" t="str">
        <f t="shared" si="143"/>
        <v>Старая сортировка</v>
      </c>
      <c r="J4576" s="5"/>
      <c r="AL4576" s="5">
        <f t="shared" si="144"/>
        <v>0</v>
      </c>
    </row>
    <row r="4577" spans="1:38" ht="25.5" customHeight="1" x14ac:dyDescent="0.25">
      <c r="A4577" s="10" t="s">
        <v>678</v>
      </c>
      <c r="B4577" s="11" t="s">
        <v>1627</v>
      </c>
      <c r="C4577" s="5">
        <v>56392.543899999997</v>
      </c>
      <c r="D4577" s="5">
        <v>56392.543899999997</v>
      </c>
      <c r="E4577" s="5">
        <v>51064.4617</v>
      </c>
      <c r="G4577" s="5" t="str">
        <f t="shared" si="143"/>
        <v>КОМПРЕССОРНЫЙ</v>
      </c>
      <c r="J4577" s="5"/>
      <c r="AL4577" s="5">
        <f t="shared" si="144"/>
        <v>0</v>
      </c>
    </row>
    <row r="4578" spans="1:38" ht="25.5" customHeight="1" x14ac:dyDescent="0.25">
      <c r="A4578" s="10" t="s">
        <v>3633</v>
      </c>
      <c r="B4578" s="11" t="s">
        <v>1635</v>
      </c>
      <c r="C4578" s="5">
        <v>57793.0844</v>
      </c>
      <c r="D4578" s="5">
        <v>57793.0844</v>
      </c>
      <c r="E4578" s="5">
        <v>52332.6639</v>
      </c>
      <c r="G4578" s="5" t="str">
        <f t="shared" si="143"/>
        <v>ЛЕЧЕБНЫЙ</v>
      </c>
      <c r="J4578" s="5"/>
      <c r="AL4578" s="5">
        <f t="shared" si="144"/>
        <v>0</v>
      </c>
    </row>
    <row r="4579" spans="1:38" ht="25.5" customHeight="1" x14ac:dyDescent="0.25">
      <c r="A4579" s="10" t="s">
        <v>3634</v>
      </c>
      <c r="B4579" s="11" t="s">
        <v>1637</v>
      </c>
      <c r="C4579" s="5">
        <v>59368.686099999999</v>
      </c>
      <c r="D4579" s="5">
        <v>59368.686099999999</v>
      </c>
      <c r="E4579" s="5">
        <v>53759.401700000002</v>
      </c>
      <c r="G4579" s="5" t="str">
        <f t="shared" si="143"/>
        <v>Старая сортировка</v>
      </c>
      <c r="J4579" s="5"/>
      <c r="AL4579" s="5">
        <f t="shared" si="144"/>
        <v>0</v>
      </c>
    </row>
    <row r="4580" spans="1:38" ht="25.5" customHeight="1" x14ac:dyDescent="0.25">
      <c r="A4580" s="10" t="s">
        <v>3635</v>
      </c>
      <c r="B4580" s="11" t="s">
        <v>1647</v>
      </c>
      <c r="C4580" s="5">
        <v>63178.133800000003</v>
      </c>
      <c r="D4580" s="5">
        <v>63178.133800000003</v>
      </c>
      <c r="E4580" s="5">
        <v>57208.931499999999</v>
      </c>
      <c r="G4580" s="5" t="str">
        <f t="shared" si="143"/>
        <v>ШИРОКАЯ РЕЧКА</v>
      </c>
      <c r="J4580" s="5"/>
      <c r="AL4580" s="5">
        <f t="shared" si="144"/>
        <v>0</v>
      </c>
    </row>
    <row r="4581" spans="1:38" ht="25.5" customHeight="1" x14ac:dyDescent="0.25">
      <c r="A4581" s="10" t="s">
        <v>3636</v>
      </c>
      <c r="B4581" s="11" t="s">
        <v>1643</v>
      </c>
      <c r="C4581" s="5">
        <v>76630.280299999999</v>
      </c>
      <c r="D4581" s="5">
        <v>76630.280299999999</v>
      </c>
      <c r="E4581" s="5">
        <v>69390.088799999998</v>
      </c>
      <c r="G4581" s="5" t="str">
        <f t="shared" si="143"/>
        <v>Ю-З</v>
      </c>
      <c r="J4581" s="5"/>
      <c r="AL4581" s="5">
        <f t="shared" si="144"/>
        <v>0</v>
      </c>
    </row>
    <row r="4582" spans="1:38" ht="25.5" customHeight="1" x14ac:dyDescent="0.25">
      <c r="A4582" s="10" t="s">
        <v>610</v>
      </c>
      <c r="B4582" s="11" t="s">
        <v>1628</v>
      </c>
      <c r="C4582" s="5">
        <v>70734.0236</v>
      </c>
      <c r="D4582" s="5">
        <v>70734.0236</v>
      </c>
      <c r="E4582" s="5">
        <v>64050.9208</v>
      </c>
      <c r="G4582" s="5" t="str">
        <f t="shared" si="143"/>
        <v>ЭЛЬМАШ</v>
      </c>
      <c r="J4582" s="5"/>
      <c r="AL4582" s="5">
        <f t="shared" si="144"/>
        <v>0</v>
      </c>
    </row>
    <row r="4583" spans="1:38" ht="25.5" customHeight="1" x14ac:dyDescent="0.25">
      <c r="A4583" s="10" t="s">
        <v>3637</v>
      </c>
      <c r="B4583" s="11" t="s">
        <v>1636</v>
      </c>
      <c r="C4583" s="5">
        <v>52246.960299999999</v>
      </c>
      <c r="D4583" s="5">
        <v>52246.960299999999</v>
      </c>
      <c r="E4583" s="5">
        <v>47310.556700000001</v>
      </c>
      <c r="G4583" s="5" t="str">
        <f t="shared" si="143"/>
        <v>ГОРНЫЙ ЩИТ</v>
      </c>
      <c r="J4583" s="5"/>
      <c r="AL4583" s="5">
        <f t="shared" si="144"/>
        <v>0</v>
      </c>
    </row>
    <row r="4584" spans="1:38" ht="25.5" customHeight="1" x14ac:dyDescent="0.25">
      <c r="A4584" s="10" t="s">
        <v>539</v>
      </c>
      <c r="B4584" s="11" t="s">
        <v>1638</v>
      </c>
      <c r="C4584" s="5">
        <v>63640.311600000001</v>
      </c>
      <c r="D4584" s="5">
        <v>63640.311600000001</v>
      </c>
      <c r="E4584" s="5">
        <v>57627.4473</v>
      </c>
      <c r="G4584" s="5" t="str">
        <f t="shared" si="143"/>
        <v>УКТУС</v>
      </c>
      <c r="J4584" s="5"/>
      <c r="AL4584" s="5">
        <f t="shared" si="144"/>
        <v>0</v>
      </c>
    </row>
    <row r="4585" spans="1:38" ht="25.5" customHeight="1" x14ac:dyDescent="0.25">
      <c r="A4585" s="10" t="s">
        <v>3638</v>
      </c>
      <c r="B4585" s="11" t="s">
        <v>14</v>
      </c>
      <c r="C4585" s="5">
        <v>93989.912800000006</v>
      </c>
      <c r="D4585" s="5">
        <v>93989.912800000006</v>
      </c>
      <c r="E4585" s="5">
        <v>85109.545199999993</v>
      </c>
      <c r="G4585" s="5" t="str">
        <f t="shared" si="143"/>
        <v>Центр</v>
      </c>
      <c r="J4585" s="5"/>
      <c r="AL4585" s="5">
        <f t="shared" si="144"/>
        <v>0</v>
      </c>
    </row>
    <row r="4586" spans="1:38" ht="25.5" customHeight="1" x14ac:dyDescent="0.25">
      <c r="A4586" s="10" t="s">
        <v>800</v>
      </c>
      <c r="B4586" s="11" t="s">
        <v>1630</v>
      </c>
      <c r="C4586" s="5">
        <v>62652.9401</v>
      </c>
      <c r="D4586" s="5">
        <v>62652.9401</v>
      </c>
      <c r="E4586" s="5">
        <v>56733.3557</v>
      </c>
      <c r="G4586" s="5" t="str">
        <f t="shared" si="143"/>
        <v>ЧЕРМЕТ</v>
      </c>
      <c r="J4586" s="5"/>
      <c r="AL4586" s="5">
        <f t="shared" si="144"/>
        <v>0</v>
      </c>
    </row>
    <row r="4587" spans="1:38" ht="25.5" customHeight="1" x14ac:dyDescent="0.25">
      <c r="A4587" s="10" t="s">
        <v>3639</v>
      </c>
      <c r="B4587" s="11" t="s">
        <v>1643</v>
      </c>
      <c r="C4587" s="5">
        <v>76630.280299999999</v>
      </c>
      <c r="D4587" s="5">
        <v>76630.280299999999</v>
      </c>
      <c r="E4587" s="5">
        <v>69390.088799999998</v>
      </c>
      <c r="G4587" s="5" t="str">
        <f t="shared" si="143"/>
        <v>Ю-З</v>
      </c>
      <c r="J4587" s="5"/>
      <c r="AL4587" s="5">
        <f t="shared" si="144"/>
        <v>0</v>
      </c>
    </row>
    <row r="4588" spans="1:38" ht="25.5" customHeight="1" x14ac:dyDescent="0.25">
      <c r="A4588" s="10" t="s">
        <v>3640</v>
      </c>
      <c r="B4588" s="11" t="s">
        <v>779</v>
      </c>
      <c r="C4588" s="5">
        <v>46784.877899999999</v>
      </c>
      <c r="D4588" s="5">
        <v>46784.877899999999</v>
      </c>
      <c r="E4588" s="5">
        <v>42364.543299999998</v>
      </c>
      <c r="G4588" s="5" t="str">
        <f t="shared" si="143"/>
        <v>Нижнеисетский</v>
      </c>
      <c r="J4588" s="5"/>
      <c r="AL4588" s="5">
        <f t="shared" si="144"/>
        <v>0</v>
      </c>
    </row>
    <row r="4589" spans="1:38" ht="25.5" customHeight="1" x14ac:dyDescent="0.25">
      <c r="A4589" s="10" t="s">
        <v>346</v>
      </c>
      <c r="B4589" s="11" t="s">
        <v>1632</v>
      </c>
      <c r="C4589" s="5">
        <v>83744.997499999998</v>
      </c>
      <c r="D4589" s="5">
        <v>83744.997499999998</v>
      </c>
      <c r="E4589" s="5">
        <v>75832.596099999995</v>
      </c>
      <c r="G4589" s="5" t="str">
        <f t="shared" si="143"/>
        <v>АВТОВОКЗАЛ</v>
      </c>
      <c r="J4589" s="5"/>
      <c r="AL4589" s="5">
        <f t="shared" si="144"/>
        <v>0</v>
      </c>
    </row>
    <row r="4590" spans="1:38" ht="25.5" customHeight="1" x14ac:dyDescent="0.25">
      <c r="A4590" s="10" t="s">
        <v>3641</v>
      </c>
      <c r="B4590" s="11" t="s">
        <v>1653</v>
      </c>
      <c r="C4590" s="5">
        <v>56847.723400000003</v>
      </c>
      <c r="D4590" s="5">
        <v>56847.723400000003</v>
      </c>
      <c r="E4590" s="5">
        <v>51476.629399999998</v>
      </c>
      <c r="G4590" s="5" t="str">
        <f t="shared" si="143"/>
        <v>ПТИЦЕФАБРИКА</v>
      </c>
      <c r="J4590" s="5"/>
      <c r="AL4590" s="5">
        <f t="shared" si="144"/>
        <v>0</v>
      </c>
    </row>
    <row r="4591" spans="1:38" ht="25.5" customHeight="1" x14ac:dyDescent="0.25">
      <c r="A4591" s="10" t="s">
        <v>3642</v>
      </c>
      <c r="B4591" s="11" t="s">
        <v>1642</v>
      </c>
      <c r="C4591" s="5">
        <v>81392.097599999994</v>
      </c>
      <c r="D4591" s="5">
        <v>81392.097599999994</v>
      </c>
      <c r="E4591" s="5">
        <v>73702.001099999994</v>
      </c>
      <c r="G4591" s="5" t="str">
        <f t="shared" si="143"/>
        <v>ПАРКОВЫЙ</v>
      </c>
      <c r="J4591" s="5"/>
      <c r="AL4591" s="5">
        <f t="shared" si="144"/>
        <v>0</v>
      </c>
    </row>
    <row r="4592" spans="1:38" ht="25.5" customHeight="1" x14ac:dyDescent="0.25">
      <c r="A4592" s="10" t="s">
        <v>3643</v>
      </c>
      <c r="B4592" s="11" t="s">
        <v>1668</v>
      </c>
      <c r="C4592" s="5">
        <v>51343.6201</v>
      </c>
      <c r="D4592" s="5">
        <v>51343.6201</v>
      </c>
      <c r="E4592" s="5">
        <v>46492.558799999999</v>
      </c>
      <c r="G4592" s="5" t="str">
        <f t="shared" si="143"/>
        <v>МЕДНЫЙ</v>
      </c>
      <c r="J4592" s="5"/>
      <c r="AL4592" s="5">
        <f t="shared" si="144"/>
        <v>0</v>
      </c>
    </row>
    <row r="4593" spans="1:38" ht="25.5" customHeight="1" x14ac:dyDescent="0.25">
      <c r="A4593" s="10" t="s">
        <v>979</v>
      </c>
      <c r="B4593" s="11" t="s">
        <v>1662</v>
      </c>
      <c r="C4593" s="5">
        <v>46784.877899999999</v>
      </c>
      <c r="D4593" s="5">
        <v>46784.877899999999</v>
      </c>
      <c r="E4593" s="5">
        <v>42364.543299999998</v>
      </c>
      <c r="G4593" s="5" t="str">
        <f t="shared" si="143"/>
        <v>РУДНЫЙ</v>
      </c>
      <c r="J4593" s="5"/>
      <c r="AL4593" s="5">
        <f t="shared" si="144"/>
        <v>0</v>
      </c>
    </row>
    <row r="4594" spans="1:38" ht="25.5" customHeight="1" x14ac:dyDescent="0.25">
      <c r="A4594" s="10" t="s">
        <v>751</v>
      </c>
      <c r="B4594" s="11" t="s">
        <v>1633</v>
      </c>
      <c r="C4594" s="5">
        <v>77071.442599999995</v>
      </c>
      <c r="D4594" s="5">
        <v>77071.442599999995</v>
      </c>
      <c r="E4594" s="5">
        <v>69789.570900000006</v>
      </c>
      <c r="G4594" s="5" t="str">
        <f t="shared" si="143"/>
        <v>ВТУЗГОРОДОК</v>
      </c>
      <c r="J4594" s="5"/>
      <c r="AL4594" s="5">
        <f t="shared" si="144"/>
        <v>0</v>
      </c>
    </row>
    <row r="4595" spans="1:38" ht="25.5" customHeight="1" x14ac:dyDescent="0.25">
      <c r="A4595" s="10" t="s">
        <v>973</v>
      </c>
      <c r="B4595" s="11" t="s">
        <v>1657</v>
      </c>
      <c r="C4595" s="5">
        <v>54886.9666</v>
      </c>
      <c r="D4595" s="5">
        <v>54886.9666</v>
      </c>
      <c r="E4595" s="5">
        <v>49701.1319</v>
      </c>
      <c r="G4595" s="5" t="str">
        <f t="shared" si="143"/>
        <v>КОЛЬЦОВО</v>
      </c>
      <c r="J4595" s="5"/>
      <c r="AL4595" s="5">
        <f t="shared" si="144"/>
        <v>0</v>
      </c>
    </row>
    <row r="4596" spans="1:38" ht="25.5" customHeight="1" x14ac:dyDescent="0.25">
      <c r="A4596" s="10" t="s">
        <v>980</v>
      </c>
      <c r="B4596" s="11" t="s">
        <v>33</v>
      </c>
      <c r="C4596" s="5">
        <v>84298.205100000006</v>
      </c>
      <c r="D4596" s="5">
        <v>84298.205100000006</v>
      </c>
      <c r="E4596" s="5">
        <v>76333.533100000001</v>
      </c>
      <c r="G4596" s="5" t="str">
        <f t="shared" si="143"/>
        <v>ВИЗ</v>
      </c>
      <c r="J4596" s="5"/>
      <c r="AL4596" s="5">
        <f t="shared" si="144"/>
        <v>0</v>
      </c>
    </row>
    <row r="4597" spans="1:38" ht="25.5" customHeight="1" x14ac:dyDescent="0.25">
      <c r="A4597" s="10" t="s">
        <v>3644</v>
      </c>
      <c r="B4597" s="11" t="s">
        <v>1631</v>
      </c>
      <c r="C4597" s="5">
        <v>70026.7601</v>
      </c>
      <c r="D4597" s="5">
        <v>70026.7601</v>
      </c>
      <c r="E4597" s="5">
        <v>63410.482000000004</v>
      </c>
      <c r="G4597" s="5" t="str">
        <f t="shared" si="143"/>
        <v>УРАЛМАШ</v>
      </c>
      <c r="J4597" s="5"/>
      <c r="AL4597" s="5">
        <f t="shared" si="144"/>
        <v>0</v>
      </c>
    </row>
    <row r="4598" spans="1:38" ht="25.5" customHeight="1" x14ac:dyDescent="0.25">
      <c r="A4598" s="10" t="s">
        <v>3645</v>
      </c>
      <c r="B4598" s="11" t="s">
        <v>1629</v>
      </c>
      <c r="C4598" s="5">
        <v>77743.704100000003</v>
      </c>
      <c r="D4598" s="5">
        <v>77743.704100000003</v>
      </c>
      <c r="E4598" s="5">
        <v>70398.310800000007</v>
      </c>
      <c r="G4598" s="5" t="str">
        <f t="shared" si="143"/>
        <v>ПИОНЕРСКИЙ</v>
      </c>
      <c r="J4598" s="5"/>
      <c r="AL4598" s="5">
        <f t="shared" si="144"/>
        <v>0</v>
      </c>
    </row>
    <row r="4599" spans="1:38" ht="25.5" customHeight="1" x14ac:dyDescent="0.25">
      <c r="A4599" s="10" t="s">
        <v>1509</v>
      </c>
      <c r="B4599" s="11" t="s">
        <v>1631</v>
      </c>
      <c r="C4599" s="5">
        <v>70026.7601</v>
      </c>
      <c r="D4599" s="5">
        <v>70026.7601</v>
      </c>
      <c r="E4599" s="5">
        <v>63410.482000000004</v>
      </c>
      <c r="G4599" s="5" t="str">
        <f t="shared" si="143"/>
        <v>УРАЛМАШ</v>
      </c>
      <c r="J4599" s="5"/>
      <c r="AL4599" s="5">
        <f t="shared" si="144"/>
        <v>0</v>
      </c>
    </row>
    <row r="4600" spans="1:38" ht="25.5" customHeight="1" x14ac:dyDescent="0.25">
      <c r="A4600" s="10" t="s">
        <v>1056</v>
      </c>
      <c r="B4600" s="11" t="s">
        <v>14</v>
      </c>
      <c r="C4600" s="5">
        <v>93989.912800000006</v>
      </c>
      <c r="D4600" s="5">
        <v>93989.912800000006</v>
      </c>
      <c r="E4600" s="5">
        <v>85109.545199999993</v>
      </c>
      <c r="G4600" s="5" t="str">
        <f t="shared" si="143"/>
        <v>Центр</v>
      </c>
      <c r="J4600" s="5"/>
      <c r="AL4600" s="5">
        <f t="shared" si="144"/>
        <v>0</v>
      </c>
    </row>
    <row r="4601" spans="1:38" ht="25.5" customHeight="1" x14ac:dyDescent="0.25">
      <c r="A4601" s="10" t="s">
        <v>1075</v>
      </c>
      <c r="B4601" s="11" t="s">
        <v>1643</v>
      </c>
      <c r="C4601" s="5">
        <v>76630.280299999999</v>
      </c>
      <c r="D4601" s="5">
        <v>76630.280299999999</v>
      </c>
      <c r="E4601" s="5">
        <v>69390.088799999998</v>
      </c>
      <c r="G4601" s="5" t="str">
        <f t="shared" si="143"/>
        <v>Ю-З</v>
      </c>
      <c r="J4601" s="5"/>
      <c r="AL4601" s="5">
        <f t="shared" si="144"/>
        <v>0</v>
      </c>
    </row>
    <row r="4602" spans="1:38" ht="25.5" customHeight="1" x14ac:dyDescent="0.25">
      <c r="A4602" s="10" t="s">
        <v>1230</v>
      </c>
      <c r="B4602" s="11" t="s">
        <v>1651</v>
      </c>
      <c r="C4602" s="5">
        <v>68129.029500000004</v>
      </c>
      <c r="D4602" s="5">
        <v>68129.029500000004</v>
      </c>
      <c r="E4602" s="5">
        <v>61692.054799999998</v>
      </c>
      <c r="G4602" s="5" t="str">
        <f t="shared" si="143"/>
        <v>ШАРТАШ</v>
      </c>
      <c r="J4602" s="5"/>
      <c r="AL4602" s="5">
        <f t="shared" si="144"/>
        <v>0</v>
      </c>
    </row>
    <row r="4603" spans="1:38" ht="25.5" customHeight="1" x14ac:dyDescent="0.25">
      <c r="A4603" s="10" t="s">
        <v>1455</v>
      </c>
      <c r="B4603" s="11" t="s">
        <v>1651</v>
      </c>
      <c r="C4603" s="5">
        <v>68129.029500000004</v>
      </c>
      <c r="D4603" s="5">
        <v>68129.029500000004</v>
      </c>
      <c r="E4603" s="5">
        <v>61692.054799999998</v>
      </c>
      <c r="G4603" s="5" t="str">
        <f t="shared" si="143"/>
        <v>ШАРТАШ</v>
      </c>
      <c r="J4603" s="5"/>
      <c r="AL4603" s="5">
        <f t="shared" si="144"/>
        <v>0</v>
      </c>
    </row>
    <row r="4604" spans="1:38" ht="25.5" customHeight="1" x14ac:dyDescent="0.25">
      <c r="A4604" s="10" t="s">
        <v>3646</v>
      </c>
      <c r="B4604" s="11" t="s">
        <v>1638</v>
      </c>
      <c r="C4604" s="5">
        <v>63640.311600000001</v>
      </c>
      <c r="D4604" s="5">
        <v>63640.311600000001</v>
      </c>
      <c r="E4604" s="5">
        <v>57627.4473</v>
      </c>
      <c r="G4604" s="5" t="str">
        <f t="shared" si="143"/>
        <v>УКТУС</v>
      </c>
      <c r="J4604" s="5"/>
      <c r="AL4604" s="5">
        <f t="shared" si="144"/>
        <v>0</v>
      </c>
    </row>
    <row r="4605" spans="1:38" ht="25.5" customHeight="1" x14ac:dyDescent="0.25">
      <c r="A4605" s="10" t="s">
        <v>3647</v>
      </c>
      <c r="B4605" s="11" t="s">
        <v>1647</v>
      </c>
      <c r="C4605" s="5">
        <v>63178.133800000003</v>
      </c>
      <c r="D4605" s="5">
        <v>63178.133800000003</v>
      </c>
      <c r="E4605" s="5">
        <v>57208.931499999999</v>
      </c>
      <c r="G4605" s="5" t="str">
        <f t="shared" si="143"/>
        <v>ШИРОКАЯ РЕЧКА</v>
      </c>
      <c r="J4605" s="5"/>
      <c r="AL4605" s="5">
        <f t="shared" si="144"/>
        <v>0</v>
      </c>
    </row>
    <row r="4606" spans="1:38" ht="25.5" customHeight="1" x14ac:dyDescent="0.25">
      <c r="A4606" s="10" t="s">
        <v>3648</v>
      </c>
      <c r="B4606" s="11" t="s">
        <v>14</v>
      </c>
      <c r="C4606" s="5">
        <v>93989.912800000006</v>
      </c>
      <c r="D4606" s="5">
        <v>93989.912800000006</v>
      </c>
      <c r="E4606" s="5">
        <v>85109.545199999993</v>
      </c>
      <c r="G4606" s="5" t="str">
        <f t="shared" si="143"/>
        <v>Центр</v>
      </c>
      <c r="J4606" s="5"/>
      <c r="AL4606" s="5">
        <f t="shared" si="144"/>
        <v>0</v>
      </c>
    </row>
    <row r="4607" spans="1:38" ht="25.5" customHeight="1" x14ac:dyDescent="0.25">
      <c r="A4607" s="10" t="s">
        <v>749</v>
      </c>
      <c r="B4607" s="11" t="s">
        <v>1629</v>
      </c>
      <c r="C4607" s="5">
        <v>77743.704100000003</v>
      </c>
      <c r="D4607" s="5">
        <v>77743.704100000003</v>
      </c>
      <c r="E4607" s="5">
        <v>70398.310800000007</v>
      </c>
      <c r="G4607" s="5" t="str">
        <f t="shared" ref="G4607:G4670" si="145">B4607</f>
        <v>ПИОНЕРСКИЙ</v>
      </c>
      <c r="J4607" s="5"/>
      <c r="AL4607" s="5">
        <f t="shared" ref="AL4607:AL4670" si="146">AF4607</f>
        <v>0</v>
      </c>
    </row>
    <row r="4608" spans="1:38" ht="25.5" customHeight="1" x14ac:dyDescent="0.25">
      <c r="A4608" s="10" t="s">
        <v>953</v>
      </c>
      <c r="B4608" s="11" t="s">
        <v>1657</v>
      </c>
      <c r="C4608" s="5">
        <v>54886.9666</v>
      </c>
      <c r="D4608" s="5">
        <v>54886.9666</v>
      </c>
      <c r="E4608" s="5">
        <v>49701.1319</v>
      </c>
      <c r="G4608" s="5" t="str">
        <f t="shared" si="145"/>
        <v>КОЛЬЦОВО</v>
      </c>
      <c r="J4608" s="5"/>
      <c r="AL4608" s="5">
        <f t="shared" si="146"/>
        <v>0</v>
      </c>
    </row>
    <row r="4609" spans="1:38" ht="25.5" customHeight="1" x14ac:dyDescent="0.25">
      <c r="A4609" s="10" t="s">
        <v>1549</v>
      </c>
      <c r="B4609" s="11" t="s">
        <v>1628</v>
      </c>
      <c r="C4609" s="5">
        <v>70734.0236</v>
      </c>
      <c r="D4609" s="5">
        <v>70734.0236</v>
      </c>
      <c r="E4609" s="5">
        <v>64050.9208</v>
      </c>
      <c r="G4609" s="5" t="str">
        <f t="shared" si="145"/>
        <v>ЭЛЬМАШ</v>
      </c>
      <c r="J4609" s="5"/>
      <c r="AL4609" s="5">
        <f t="shared" si="146"/>
        <v>0</v>
      </c>
    </row>
    <row r="4610" spans="1:38" ht="25.5" customHeight="1" x14ac:dyDescent="0.25">
      <c r="A4610" s="10" t="s">
        <v>3649</v>
      </c>
      <c r="B4610" s="11" t="s">
        <v>1643</v>
      </c>
      <c r="C4610" s="5">
        <v>76630.280299999999</v>
      </c>
      <c r="D4610" s="5">
        <v>76630.280299999999</v>
      </c>
      <c r="E4610" s="5">
        <v>69390.088799999998</v>
      </c>
      <c r="G4610" s="5" t="str">
        <f t="shared" si="145"/>
        <v>Ю-З</v>
      </c>
      <c r="J4610" s="5"/>
      <c r="AL4610" s="5">
        <f t="shared" si="146"/>
        <v>0</v>
      </c>
    </row>
    <row r="4611" spans="1:38" ht="25.5" customHeight="1" x14ac:dyDescent="0.25">
      <c r="A4611" s="10" t="s">
        <v>390</v>
      </c>
      <c r="B4611" s="11" t="s">
        <v>1630</v>
      </c>
      <c r="C4611" s="5">
        <v>62652.9401</v>
      </c>
      <c r="D4611" s="5">
        <v>62652.9401</v>
      </c>
      <c r="E4611" s="5">
        <v>56733.3557</v>
      </c>
      <c r="G4611" s="5" t="str">
        <f t="shared" si="145"/>
        <v>ЧЕРМЕТ</v>
      </c>
      <c r="J4611" s="5"/>
      <c r="AL4611" s="5">
        <f t="shared" si="146"/>
        <v>0</v>
      </c>
    </row>
    <row r="4612" spans="1:38" ht="25.5" customHeight="1" x14ac:dyDescent="0.25">
      <c r="A4612" s="10" t="s">
        <v>3650</v>
      </c>
      <c r="B4612" s="11" t="s">
        <v>33</v>
      </c>
      <c r="C4612" s="5">
        <v>84298.205100000006</v>
      </c>
      <c r="D4612" s="5">
        <v>84298.205100000006</v>
      </c>
      <c r="E4612" s="5">
        <v>76333.533100000001</v>
      </c>
      <c r="G4612" s="5" t="str">
        <f t="shared" si="145"/>
        <v>ВИЗ</v>
      </c>
      <c r="J4612" s="5"/>
      <c r="AL4612" s="5">
        <f t="shared" si="146"/>
        <v>0</v>
      </c>
    </row>
    <row r="4613" spans="1:38" ht="25.5" customHeight="1" x14ac:dyDescent="0.25">
      <c r="A4613" s="10" t="s">
        <v>3651</v>
      </c>
      <c r="B4613" s="11" t="s">
        <v>1642</v>
      </c>
      <c r="C4613" s="5">
        <v>81392.097599999994</v>
      </c>
      <c r="D4613" s="5">
        <v>81392.097599999994</v>
      </c>
      <c r="E4613" s="5">
        <v>73702.001099999994</v>
      </c>
      <c r="G4613" s="5" t="str">
        <f t="shared" si="145"/>
        <v>ПАРКОВЫЙ</v>
      </c>
      <c r="J4613" s="5"/>
      <c r="AL4613" s="5">
        <f t="shared" si="146"/>
        <v>0</v>
      </c>
    </row>
    <row r="4614" spans="1:38" ht="25.5" customHeight="1" x14ac:dyDescent="0.25">
      <c r="A4614" s="10" t="s">
        <v>3652</v>
      </c>
      <c r="B4614" s="11" t="s">
        <v>1651</v>
      </c>
      <c r="C4614" s="5">
        <v>68129.029500000004</v>
      </c>
      <c r="D4614" s="5">
        <v>68129.029500000004</v>
      </c>
      <c r="E4614" s="5">
        <v>61692.054799999998</v>
      </c>
      <c r="G4614" s="5" t="str">
        <f t="shared" si="145"/>
        <v>ШАРТАШ</v>
      </c>
      <c r="J4614" s="5"/>
      <c r="AL4614" s="5">
        <f t="shared" si="146"/>
        <v>0</v>
      </c>
    </row>
    <row r="4615" spans="1:38" ht="25.5" customHeight="1" x14ac:dyDescent="0.25">
      <c r="A4615" s="10" t="s">
        <v>3653</v>
      </c>
      <c r="B4615" s="11" t="s">
        <v>1636</v>
      </c>
      <c r="C4615" s="5">
        <v>52246.960299999999</v>
      </c>
      <c r="D4615" s="5">
        <v>52246.960299999999</v>
      </c>
      <c r="E4615" s="5">
        <v>47310.556700000001</v>
      </c>
      <c r="G4615" s="5" t="str">
        <f t="shared" si="145"/>
        <v>ГОРНЫЙ ЩИТ</v>
      </c>
      <c r="J4615" s="5"/>
      <c r="AL4615" s="5">
        <f t="shared" si="146"/>
        <v>0</v>
      </c>
    </row>
    <row r="4616" spans="1:38" ht="25.5" customHeight="1" x14ac:dyDescent="0.25">
      <c r="A4616" s="10" t="s">
        <v>3654</v>
      </c>
      <c r="B4616" s="11" t="s">
        <v>1668</v>
      </c>
      <c r="C4616" s="5">
        <v>51343.6201</v>
      </c>
      <c r="D4616" s="5">
        <v>51343.6201</v>
      </c>
      <c r="E4616" s="5">
        <v>46492.558799999999</v>
      </c>
      <c r="G4616" s="5" t="str">
        <f t="shared" si="145"/>
        <v>МЕДНЫЙ</v>
      </c>
      <c r="J4616" s="5"/>
      <c r="AL4616" s="5">
        <f t="shared" si="146"/>
        <v>0</v>
      </c>
    </row>
    <row r="4617" spans="1:38" ht="25.5" customHeight="1" x14ac:dyDescent="0.25">
      <c r="A4617" s="10" t="s">
        <v>1517</v>
      </c>
      <c r="B4617" s="11" t="s">
        <v>1635</v>
      </c>
      <c r="C4617" s="5">
        <v>57793.0844</v>
      </c>
      <c r="D4617" s="5">
        <v>57793.0844</v>
      </c>
      <c r="E4617" s="5">
        <v>52332.6639</v>
      </c>
      <c r="G4617" s="5" t="str">
        <f t="shared" si="145"/>
        <v>ЛЕЧЕБНЫЙ</v>
      </c>
      <c r="J4617" s="5"/>
      <c r="AL4617" s="5">
        <f t="shared" si="146"/>
        <v>0</v>
      </c>
    </row>
    <row r="4618" spans="1:38" ht="25.5" customHeight="1" x14ac:dyDescent="0.25">
      <c r="A4618" s="10" t="s">
        <v>543</v>
      </c>
      <c r="B4618" s="11" t="s">
        <v>1650</v>
      </c>
      <c r="C4618" s="5">
        <v>37590.3603</v>
      </c>
      <c r="D4618" s="5">
        <v>37590.3603</v>
      </c>
      <c r="E4618" s="5">
        <v>34038.745900000002</v>
      </c>
      <c r="G4618" s="5" t="str">
        <f t="shared" si="145"/>
        <v>ШАБРОВСКИЙ</v>
      </c>
      <c r="J4618" s="5"/>
      <c r="AL4618" s="5">
        <f t="shared" si="146"/>
        <v>0</v>
      </c>
    </row>
    <row r="4619" spans="1:38" ht="25.5" customHeight="1" x14ac:dyDescent="0.25">
      <c r="A4619" s="10" t="s">
        <v>1565</v>
      </c>
      <c r="B4619" s="11" t="s">
        <v>1638</v>
      </c>
      <c r="C4619" s="5">
        <v>63640.311600000001</v>
      </c>
      <c r="D4619" s="5">
        <v>63640.311600000001</v>
      </c>
      <c r="E4619" s="5">
        <v>57627.4473</v>
      </c>
      <c r="G4619" s="5" t="str">
        <f t="shared" si="145"/>
        <v>УКТУС</v>
      </c>
      <c r="J4619" s="5"/>
      <c r="AL4619" s="5">
        <f t="shared" si="146"/>
        <v>0</v>
      </c>
    </row>
    <row r="4620" spans="1:38" ht="25.5" customHeight="1" x14ac:dyDescent="0.25">
      <c r="A4620" s="10" t="s">
        <v>3655</v>
      </c>
      <c r="B4620" s="11" t="s">
        <v>1631</v>
      </c>
      <c r="C4620" s="5">
        <v>70026.7601</v>
      </c>
      <c r="D4620" s="5">
        <v>70026.7601</v>
      </c>
      <c r="E4620" s="5">
        <v>63410.482000000004</v>
      </c>
      <c r="G4620" s="5" t="str">
        <f t="shared" si="145"/>
        <v>УРАЛМАШ</v>
      </c>
      <c r="J4620" s="5"/>
      <c r="AL4620" s="5">
        <f t="shared" si="146"/>
        <v>0</v>
      </c>
    </row>
    <row r="4621" spans="1:38" ht="25.5" customHeight="1" x14ac:dyDescent="0.25">
      <c r="A4621" s="10" t="s">
        <v>3656</v>
      </c>
      <c r="B4621" s="11" t="s">
        <v>1651</v>
      </c>
      <c r="C4621" s="5">
        <v>68129.029500000004</v>
      </c>
      <c r="D4621" s="5">
        <v>68129.029500000004</v>
      </c>
      <c r="E4621" s="5">
        <v>61692.054799999998</v>
      </c>
      <c r="G4621" s="5" t="str">
        <f t="shared" si="145"/>
        <v>ШАРТАШ</v>
      </c>
      <c r="J4621" s="5"/>
      <c r="AL4621" s="5">
        <f t="shared" si="146"/>
        <v>0</v>
      </c>
    </row>
    <row r="4622" spans="1:38" ht="25.5" customHeight="1" x14ac:dyDescent="0.25">
      <c r="A4622" s="10" t="s">
        <v>881</v>
      </c>
      <c r="B4622" s="11" t="s">
        <v>1630</v>
      </c>
      <c r="C4622" s="5">
        <v>62652.9401</v>
      </c>
      <c r="D4622" s="5">
        <v>62652.9401</v>
      </c>
      <c r="E4622" s="5">
        <v>56733.3557</v>
      </c>
      <c r="G4622" s="5" t="str">
        <f t="shared" si="145"/>
        <v>ЧЕРМЕТ</v>
      </c>
      <c r="J4622" s="5"/>
      <c r="AL4622" s="5">
        <f t="shared" si="146"/>
        <v>0</v>
      </c>
    </row>
    <row r="4623" spans="1:38" ht="25.5" customHeight="1" x14ac:dyDescent="0.25">
      <c r="A4623" s="10" t="s">
        <v>3657</v>
      </c>
      <c r="B4623" s="11" t="s">
        <v>33</v>
      </c>
      <c r="C4623" s="5">
        <v>84298.205100000006</v>
      </c>
      <c r="D4623" s="5">
        <v>84298.205100000006</v>
      </c>
      <c r="E4623" s="5">
        <v>76333.533100000001</v>
      </c>
      <c r="G4623" s="5" t="str">
        <f t="shared" si="145"/>
        <v>ВИЗ</v>
      </c>
      <c r="J4623" s="5"/>
      <c r="AL4623" s="5">
        <f t="shared" si="146"/>
        <v>0</v>
      </c>
    </row>
    <row r="4624" spans="1:38" ht="25.5" customHeight="1" x14ac:dyDescent="0.25">
      <c r="A4624" s="10" t="s">
        <v>3658</v>
      </c>
      <c r="B4624" s="11" t="s">
        <v>33</v>
      </c>
      <c r="C4624" s="5">
        <v>84298.205100000006</v>
      </c>
      <c r="D4624" s="5">
        <v>84298.205100000006</v>
      </c>
      <c r="E4624" s="5">
        <v>76333.533100000001</v>
      </c>
      <c r="G4624" s="5" t="str">
        <f t="shared" si="145"/>
        <v>ВИЗ</v>
      </c>
      <c r="J4624" s="5"/>
      <c r="AL4624" s="5">
        <f t="shared" si="146"/>
        <v>0</v>
      </c>
    </row>
    <row r="4625" spans="1:38" ht="25.5" customHeight="1" x14ac:dyDescent="0.25">
      <c r="A4625" s="10" t="s">
        <v>152</v>
      </c>
      <c r="B4625" s="11" t="s">
        <v>1632</v>
      </c>
      <c r="C4625" s="5">
        <v>83744.997499999998</v>
      </c>
      <c r="D4625" s="5">
        <v>83744.997499999998</v>
      </c>
      <c r="E4625" s="5">
        <v>75832.596099999995</v>
      </c>
      <c r="G4625" s="5" t="str">
        <f t="shared" si="145"/>
        <v>АВТОВОКЗАЛ</v>
      </c>
      <c r="J4625" s="5"/>
      <c r="AL4625" s="5">
        <f t="shared" si="146"/>
        <v>0</v>
      </c>
    </row>
    <row r="4626" spans="1:38" ht="25.5" customHeight="1" x14ac:dyDescent="0.25">
      <c r="A4626" s="10" t="s">
        <v>1208</v>
      </c>
      <c r="B4626" s="11" t="s">
        <v>1631</v>
      </c>
      <c r="C4626" s="5">
        <v>70026.7601</v>
      </c>
      <c r="D4626" s="5">
        <v>70026.7601</v>
      </c>
      <c r="E4626" s="5">
        <v>63410.482000000004</v>
      </c>
      <c r="G4626" s="5" t="str">
        <f t="shared" si="145"/>
        <v>УРАЛМАШ</v>
      </c>
      <c r="J4626" s="5"/>
      <c r="AL4626" s="5">
        <f t="shared" si="146"/>
        <v>0</v>
      </c>
    </row>
    <row r="4627" spans="1:38" ht="25.5" customHeight="1" x14ac:dyDescent="0.25">
      <c r="A4627" s="10" t="s">
        <v>3659</v>
      </c>
      <c r="B4627" s="11" t="s">
        <v>1657</v>
      </c>
      <c r="C4627" s="5">
        <v>54886.9666</v>
      </c>
      <c r="D4627" s="5">
        <v>54886.9666</v>
      </c>
      <c r="E4627" s="5">
        <v>49701.1319</v>
      </c>
      <c r="G4627" s="5" t="str">
        <f t="shared" si="145"/>
        <v>КОЛЬЦОВО</v>
      </c>
      <c r="J4627" s="5"/>
      <c r="AL4627" s="5">
        <f t="shared" si="146"/>
        <v>0</v>
      </c>
    </row>
    <row r="4628" spans="1:38" ht="25.5" customHeight="1" x14ac:dyDescent="0.25">
      <c r="A4628" s="10" t="s">
        <v>869</v>
      </c>
      <c r="B4628" s="11" t="s">
        <v>1631</v>
      </c>
      <c r="C4628" s="5">
        <v>70026.7601</v>
      </c>
      <c r="D4628" s="5">
        <v>70026.7601</v>
      </c>
      <c r="E4628" s="5">
        <v>63410.482000000004</v>
      </c>
      <c r="G4628" s="5" t="str">
        <f t="shared" si="145"/>
        <v>УРАЛМАШ</v>
      </c>
      <c r="J4628" s="5"/>
      <c r="AL4628" s="5">
        <f t="shared" si="146"/>
        <v>0</v>
      </c>
    </row>
    <row r="4629" spans="1:38" ht="25.5" customHeight="1" x14ac:dyDescent="0.25">
      <c r="A4629" s="10" t="s">
        <v>1002</v>
      </c>
      <c r="B4629" s="11" t="s">
        <v>1635</v>
      </c>
      <c r="C4629" s="5">
        <v>57793.0844</v>
      </c>
      <c r="D4629" s="5">
        <v>57793.0844</v>
      </c>
      <c r="E4629" s="5">
        <v>52332.6639</v>
      </c>
      <c r="G4629" s="5" t="str">
        <f t="shared" si="145"/>
        <v>ЛЕЧЕБНЫЙ</v>
      </c>
      <c r="J4629" s="5"/>
      <c r="AL4629" s="5">
        <f t="shared" si="146"/>
        <v>0</v>
      </c>
    </row>
    <row r="4630" spans="1:38" ht="25.5" customHeight="1" x14ac:dyDescent="0.25">
      <c r="A4630" s="10" t="s">
        <v>3660</v>
      </c>
      <c r="B4630" s="11" t="s">
        <v>1638</v>
      </c>
      <c r="C4630" s="5">
        <v>63640.311600000001</v>
      </c>
      <c r="D4630" s="5">
        <v>63640.311600000001</v>
      </c>
      <c r="E4630" s="5">
        <v>57627.4473</v>
      </c>
      <c r="G4630" s="5" t="str">
        <f t="shared" si="145"/>
        <v>УКТУС</v>
      </c>
      <c r="J4630" s="5"/>
      <c r="AL4630" s="5">
        <f t="shared" si="146"/>
        <v>0</v>
      </c>
    </row>
    <row r="4631" spans="1:38" ht="25.5" customHeight="1" x14ac:dyDescent="0.25">
      <c r="A4631" s="10" t="s">
        <v>911</v>
      </c>
      <c r="B4631" s="11" t="s">
        <v>1668</v>
      </c>
      <c r="C4631" s="5">
        <v>51343.6201</v>
      </c>
      <c r="D4631" s="5">
        <v>51343.6201</v>
      </c>
      <c r="E4631" s="5">
        <v>46492.558799999999</v>
      </c>
      <c r="G4631" s="5" t="str">
        <f t="shared" si="145"/>
        <v>МЕДНЫЙ</v>
      </c>
      <c r="J4631" s="5"/>
      <c r="AL4631" s="5">
        <f t="shared" si="146"/>
        <v>0</v>
      </c>
    </row>
    <row r="4632" spans="1:38" ht="25.5" customHeight="1" x14ac:dyDescent="0.25">
      <c r="A4632" s="10" t="s">
        <v>3661</v>
      </c>
      <c r="B4632" s="11" t="s">
        <v>1647</v>
      </c>
      <c r="C4632" s="5">
        <v>63178.133800000003</v>
      </c>
      <c r="D4632" s="5">
        <v>63178.133800000003</v>
      </c>
      <c r="E4632" s="5">
        <v>57208.931499999999</v>
      </c>
      <c r="G4632" s="5" t="str">
        <f t="shared" si="145"/>
        <v>ШИРОКАЯ РЕЧКА</v>
      </c>
      <c r="J4632" s="5"/>
      <c r="AL4632" s="5">
        <f t="shared" si="146"/>
        <v>0</v>
      </c>
    </row>
    <row r="4633" spans="1:38" ht="25.5" customHeight="1" x14ac:dyDescent="0.25">
      <c r="A4633" s="10" t="s">
        <v>3662</v>
      </c>
      <c r="B4633" s="11" t="s">
        <v>1645</v>
      </c>
      <c r="C4633" s="5">
        <v>60958.294800000003</v>
      </c>
      <c r="D4633" s="5">
        <v>60958.294800000003</v>
      </c>
      <c r="E4633" s="5">
        <v>55198.825199999999</v>
      </c>
      <c r="G4633" s="5" t="str">
        <f t="shared" si="145"/>
        <v>ЕЛИЗАВЕТ</v>
      </c>
      <c r="J4633" s="5"/>
      <c r="AL4633" s="5">
        <f t="shared" si="146"/>
        <v>0</v>
      </c>
    </row>
    <row r="4634" spans="1:38" ht="25.5" customHeight="1" x14ac:dyDescent="0.25">
      <c r="A4634" s="10" t="s">
        <v>1205</v>
      </c>
      <c r="B4634" s="11" t="s">
        <v>1650</v>
      </c>
      <c r="C4634" s="5">
        <v>37590.3603</v>
      </c>
      <c r="D4634" s="5">
        <v>37590.3603</v>
      </c>
      <c r="E4634" s="5">
        <v>34038.745900000002</v>
      </c>
      <c r="G4634" s="5" t="str">
        <f t="shared" si="145"/>
        <v>ШАБРОВСКИЙ</v>
      </c>
      <c r="J4634" s="5"/>
      <c r="AL4634" s="5">
        <f t="shared" si="146"/>
        <v>0</v>
      </c>
    </row>
    <row r="4635" spans="1:38" ht="25.5" customHeight="1" x14ac:dyDescent="0.25">
      <c r="A4635" s="10" t="s">
        <v>92</v>
      </c>
      <c r="B4635" s="11" t="s">
        <v>1631</v>
      </c>
      <c r="C4635" s="5">
        <v>70026.7601</v>
      </c>
      <c r="D4635" s="5">
        <v>70026.7601</v>
      </c>
      <c r="E4635" s="5">
        <v>63410.482000000004</v>
      </c>
      <c r="G4635" s="5" t="str">
        <f t="shared" si="145"/>
        <v>УРАЛМАШ</v>
      </c>
      <c r="J4635" s="5"/>
      <c r="AL4635" s="5">
        <f t="shared" si="146"/>
        <v>0</v>
      </c>
    </row>
    <row r="4636" spans="1:38" ht="25.5" customHeight="1" x14ac:dyDescent="0.25">
      <c r="A4636" s="10" t="s">
        <v>1542</v>
      </c>
      <c r="B4636" s="11" t="s">
        <v>1631</v>
      </c>
      <c r="C4636" s="5">
        <v>70026.7601</v>
      </c>
      <c r="D4636" s="5">
        <v>70026.7601</v>
      </c>
      <c r="E4636" s="5">
        <v>63410.482000000004</v>
      </c>
      <c r="G4636" s="5" t="str">
        <f t="shared" si="145"/>
        <v>УРАЛМАШ</v>
      </c>
      <c r="J4636" s="5"/>
      <c r="AL4636" s="5">
        <f t="shared" si="146"/>
        <v>0</v>
      </c>
    </row>
    <row r="4637" spans="1:38" ht="25.5" customHeight="1" x14ac:dyDescent="0.25">
      <c r="A4637" s="10" t="s">
        <v>982</v>
      </c>
      <c r="B4637" s="11" t="s">
        <v>1655</v>
      </c>
      <c r="C4637" s="5">
        <v>79683.445300000007</v>
      </c>
      <c r="D4637" s="5">
        <v>79683.445300000007</v>
      </c>
      <c r="E4637" s="5">
        <v>72154.784899999999</v>
      </c>
      <c r="G4637" s="5" t="str">
        <f t="shared" si="145"/>
        <v>Шарташский рынок</v>
      </c>
      <c r="J4637" s="5"/>
      <c r="AL4637" s="5">
        <f t="shared" si="146"/>
        <v>0</v>
      </c>
    </row>
    <row r="4638" spans="1:38" ht="25.5" customHeight="1" x14ac:dyDescent="0.25">
      <c r="A4638" s="10" t="s">
        <v>1070</v>
      </c>
      <c r="B4638" s="5" t="s">
        <v>1637</v>
      </c>
      <c r="C4638" s="5">
        <v>59368.686099999999</v>
      </c>
      <c r="D4638" s="5">
        <v>59368.686099999999</v>
      </c>
      <c r="E4638" s="5">
        <v>53759.401700000002</v>
      </c>
      <c r="G4638" s="5" t="str">
        <f t="shared" si="145"/>
        <v>Старая сортировка</v>
      </c>
      <c r="J4638" s="5"/>
      <c r="AL4638" s="5">
        <f t="shared" si="146"/>
        <v>0</v>
      </c>
    </row>
    <row r="4639" spans="1:38" ht="25.5" customHeight="1" x14ac:dyDescent="0.25">
      <c r="A4639" s="10" t="s">
        <v>3663</v>
      </c>
      <c r="B4639" s="11" t="s">
        <v>1636</v>
      </c>
      <c r="C4639" s="5">
        <v>52246.960299999999</v>
      </c>
      <c r="D4639" s="5">
        <v>52246.960299999999</v>
      </c>
      <c r="E4639" s="5">
        <v>47310.556700000001</v>
      </c>
      <c r="G4639" s="5" t="str">
        <f t="shared" si="145"/>
        <v>ГОРНЫЙ ЩИТ</v>
      </c>
      <c r="J4639" s="5"/>
      <c r="AL4639" s="5">
        <f t="shared" si="146"/>
        <v>0</v>
      </c>
    </row>
    <row r="4640" spans="1:38" ht="25.5" customHeight="1" x14ac:dyDescent="0.25">
      <c r="A4640" s="10" t="s">
        <v>3664</v>
      </c>
      <c r="B4640" s="11" t="s">
        <v>779</v>
      </c>
      <c r="C4640" s="5">
        <v>46784.877899999999</v>
      </c>
      <c r="D4640" s="5">
        <v>46784.877899999999</v>
      </c>
      <c r="E4640" s="5">
        <v>42364.543299999998</v>
      </c>
      <c r="G4640" s="5" t="str">
        <f t="shared" si="145"/>
        <v>Нижнеисетский</v>
      </c>
      <c r="J4640" s="5"/>
      <c r="AL4640" s="5">
        <f t="shared" si="146"/>
        <v>0</v>
      </c>
    </row>
    <row r="4641" spans="1:38" ht="25.5" customHeight="1" x14ac:dyDescent="0.25">
      <c r="A4641" s="10" t="s">
        <v>3665</v>
      </c>
      <c r="B4641" s="11" t="s">
        <v>14</v>
      </c>
      <c r="C4641" s="5">
        <v>93989.912800000006</v>
      </c>
      <c r="D4641" s="5">
        <v>93989.912800000006</v>
      </c>
      <c r="E4641" s="5">
        <v>85109.545199999993</v>
      </c>
      <c r="G4641" s="5" t="str">
        <f t="shared" si="145"/>
        <v>Центр</v>
      </c>
      <c r="J4641" s="5"/>
      <c r="AL4641" s="5">
        <f t="shared" si="146"/>
        <v>0</v>
      </c>
    </row>
    <row r="4642" spans="1:38" ht="25.5" customHeight="1" x14ac:dyDescent="0.25">
      <c r="A4642" s="10" t="s">
        <v>3666</v>
      </c>
      <c r="B4642" s="11" t="s">
        <v>1640</v>
      </c>
      <c r="C4642" s="5">
        <v>64914.8</v>
      </c>
      <c r="D4642" s="5">
        <v>64914.8</v>
      </c>
      <c r="E4642" s="5">
        <v>58781.519200000002</v>
      </c>
      <c r="G4642" s="5" t="str">
        <f t="shared" si="145"/>
        <v>Новая сортировка</v>
      </c>
      <c r="J4642" s="5"/>
      <c r="AL4642" s="5">
        <f t="shared" si="146"/>
        <v>0</v>
      </c>
    </row>
    <row r="4643" spans="1:38" ht="25.5" customHeight="1" x14ac:dyDescent="0.25">
      <c r="A4643" s="10" t="s">
        <v>335</v>
      </c>
      <c r="B4643" s="11" t="s">
        <v>1651</v>
      </c>
      <c r="C4643" s="5">
        <v>68129.029500000004</v>
      </c>
      <c r="D4643" s="5">
        <v>68129.029500000004</v>
      </c>
      <c r="E4643" s="5">
        <v>61692.054799999998</v>
      </c>
      <c r="G4643" s="5" t="str">
        <f t="shared" si="145"/>
        <v>ШАРТАШ</v>
      </c>
      <c r="J4643" s="5"/>
      <c r="AL4643" s="5">
        <f t="shared" si="146"/>
        <v>0</v>
      </c>
    </row>
    <row r="4644" spans="1:38" ht="25.5" customHeight="1" x14ac:dyDescent="0.25">
      <c r="A4644" s="10" t="s">
        <v>3667</v>
      </c>
      <c r="B4644" s="11" t="s">
        <v>1649</v>
      </c>
      <c r="C4644" s="5">
        <v>78633.047600000005</v>
      </c>
      <c r="D4644" s="5">
        <v>78633.047600000005</v>
      </c>
      <c r="E4644" s="5">
        <v>71203.623000000007</v>
      </c>
      <c r="G4644" s="5" t="str">
        <f t="shared" si="145"/>
        <v>ВОКЗАЛЬНЫЙ</v>
      </c>
      <c r="J4644" s="5"/>
      <c r="AL4644" s="5">
        <f t="shared" si="146"/>
        <v>0</v>
      </c>
    </row>
    <row r="4645" spans="1:38" ht="25.5" customHeight="1" x14ac:dyDescent="0.25">
      <c r="A4645" s="10" t="s">
        <v>3668</v>
      </c>
      <c r="B4645" s="11" t="s">
        <v>33</v>
      </c>
      <c r="C4645" s="5">
        <v>84298.205100000006</v>
      </c>
      <c r="D4645" s="5">
        <v>84298.205100000006</v>
      </c>
      <c r="E4645" s="5">
        <v>76333.533100000001</v>
      </c>
      <c r="G4645" s="5" t="str">
        <f t="shared" si="145"/>
        <v>ВИЗ</v>
      </c>
      <c r="J4645" s="5"/>
      <c r="AL4645" s="5">
        <f t="shared" si="146"/>
        <v>0</v>
      </c>
    </row>
    <row r="4646" spans="1:38" ht="25.5" customHeight="1" x14ac:dyDescent="0.25">
      <c r="A4646" s="10" t="s">
        <v>3669</v>
      </c>
      <c r="B4646" s="11" t="s">
        <v>1651</v>
      </c>
      <c r="C4646" s="5">
        <v>68129.029500000004</v>
      </c>
      <c r="D4646" s="5">
        <v>68129.029500000004</v>
      </c>
      <c r="E4646" s="5">
        <v>61692.054799999998</v>
      </c>
      <c r="G4646" s="5" t="str">
        <f t="shared" si="145"/>
        <v>ШАРТАШ</v>
      </c>
      <c r="J4646" s="5"/>
      <c r="AL4646" s="5">
        <f t="shared" si="146"/>
        <v>0</v>
      </c>
    </row>
    <row r="4647" spans="1:38" ht="25.5" customHeight="1" x14ac:dyDescent="0.25">
      <c r="A4647" s="10" t="s">
        <v>3670</v>
      </c>
      <c r="B4647" s="11" t="s">
        <v>1647</v>
      </c>
      <c r="C4647" s="5">
        <v>63178.133800000003</v>
      </c>
      <c r="D4647" s="5">
        <v>63178.133800000003</v>
      </c>
      <c r="E4647" s="5">
        <v>57208.931499999999</v>
      </c>
      <c r="G4647" s="5" t="str">
        <f t="shared" si="145"/>
        <v>ШИРОКАЯ РЕЧКА</v>
      </c>
      <c r="J4647" s="5"/>
      <c r="AL4647" s="5">
        <f t="shared" si="146"/>
        <v>0</v>
      </c>
    </row>
    <row r="4648" spans="1:38" ht="25.5" customHeight="1" x14ac:dyDescent="0.25">
      <c r="A4648" s="10" t="s">
        <v>3671</v>
      </c>
      <c r="B4648" s="11" t="s">
        <v>14</v>
      </c>
      <c r="C4648" s="5">
        <v>93989.912800000006</v>
      </c>
      <c r="D4648" s="5">
        <v>93989.912800000006</v>
      </c>
      <c r="E4648" s="5">
        <v>85109.545199999993</v>
      </c>
      <c r="G4648" s="5" t="str">
        <f t="shared" si="145"/>
        <v>Центр</v>
      </c>
      <c r="J4648" s="5"/>
      <c r="AL4648" s="5">
        <f t="shared" si="146"/>
        <v>0</v>
      </c>
    </row>
    <row r="4649" spans="1:38" ht="25.5" customHeight="1" x14ac:dyDescent="0.25">
      <c r="A4649" s="10" t="s">
        <v>3672</v>
      </c>
      <c r="B4649" s="11" t="s">
        <v>1659</v>
      </c>
      <c r="C4649" s="5">
        <v>59746.832600000002</v>
      </c>
      <c r="D4649" s="5">
        <v>59746.832600000002</v>
      </c>
      <c r="E4649" s="5">
        <v>54101.823700000001</v>
      </c>
      <c r="G4649" s="5" t="str">
        <f t="shared" si="145"/>
        <v>СОВХОЗ</v>
      </c>
      <c r="J4649" s="5"/>
      <c r="AL4649" s="5">
        <f t="shared" si="146"/>
        <v>0</v>
      </c>
    </row>
    <row r="4650" spans="1:38" ht="25.5" customHeight="1" x14ac:dyDescent="0.25">
      <c r="A4650" s="10" t="s">
        <v>679</v>
      </c>
      <c r="B4650" s="11" t="s">
        <v>1629</v>
      </c>
      <c r="C4650" s="5">
        <v>77743.704100000003</v>
      </c>
      <c r="D4650" s="5">
        <v>77743.704100000003</v>
      </c>
      <c r="E4650" s="5">
        <v>70398.310800000007</v>
      </c>
      <c r="G4650" s="5" t="str">
        <f t="shared" si="145"/>
        <v>ПИОНЕРСКИЙ</v>
      </c>
      <c r="J4650" s="5"/>
      <c r="AL4650" s="5">
        <f t="shared" si="146"/>
        <v>0</v>
      </c>
    </row>
    <row r="4651" spans="1:38" ht="25.5" customHeight="1" x14ac:dyDescent="0.25">
      <c r="A4651" s="10" t="s">
        <v>1133</v>
      </c>
      <c r="B4651" s="11" t="s">
        <v>1657</v>
      </c>
      <c r="C4651" s="5">
        <v>54886.9666</v>
      </c>
      <c r="D4651" s="5">
        <v>54886.9666</v>
      </c>
      <c r="E4651" s="5">
        <v>49701.1319</v>
      </c>
      <c r="G4651" s="5" t="str">
        <f t="shared" si="145"/>
        <v>КОЛЬЦОВО</v>
      </c>
      <c r="J4651" s="5"/>
      <c r="AL4651" s="5">
        <f t="shared" si="146"/>
        <v>0</v>
      </c>
    </row>
    <row r="4652" spans="1:38" ht="25.5" customHeight="1" x14ac:dyDescent="0.25">
      <c r="A4652" s="10" t="s">
        <v>1029</v>
      </c>
      <c r="B4652" s="11" t="s">
        <v>1630</v>
      </c>
      <c r="C4652" s="5">
        <v>62652.9401</v>
      </c>
      <c r="D4652" s="5">
        <v>62652.9401</v>
      </c>
      <c r="E4652" s="5">
        <v>56733.3557</v>
      </c>
      <c r="G4652" s="5" t="str">
        <f t="shared" si="145"/>
        <v>ЧЕРМЕТ</v>
      </c>
      <c r="J4652" s="5"/>
      <c r="AL4652" s="5">
        <f t="shared" si="146"/>
        <v>0</v>
      </c>
    </row>
    <row r="4653" spans="1:38" ht="25.5" customHeight="1" x14ac:dyDescent="0.25">
      <c r="A4653" s="10" t="s">
        <v>3673</v>
      </c>
      <c r="B4653" s="11" t="s">
        <v>1651</v>
      </c>
      <c r="C4653" s="5">
        <v>68129.029500000004</v>
      </c>
      <c r="D4653" s="5">
        <v>68129.029500000004</v>
      </c>
      <c r="E4653" s="5">
        <v>61692.054799999998</v>
      </c>
      <c r="G4653" s="5" t="str">
        <f t="shared" si="145"/>
        <v>ШАРТАШ</v>
      </c>
      <c r="J4653" s="5"/>
      <c r="AL4653" s="5">
        <f t="shared" si="146"/>
        <v>0</v>
      </c>
    </row>
    <row r="4654" spans="1:38" ht="25.5" customHeight="1" x14ac:dyDescent="0.25">
      <c r="A4654" s="10" t="s">
        <v>3674</v>
      </c>
      <c r="B4654" s="11" t="s">
        <v>1637</v>
      </c>
      <c r="C4654" s="5">
        <v>59368.686099999999</v>
      </c>
      <c r="D4654" s="5">
        <v>59368.686099999999</v>
      </c>
      <c r="E4654" s="5">
        <v>53759.401700000002</v>
      </c>
      <c r="G4654" s="5" t="str">
        <f t="shared" si="145"/>
        <v>Старая сортировка</v>
      </c>
      <c r="J4654" s="5"/>
      <c r="AL4654" s="5">
        <f t="shared" si="146"/>
        <v>0</v>
      </c>
    </row>
    <row r="4655" spans="1:38" ht="25.5" customHeight="1" x14ac:dyDescent="0.25">
      <c r="A4655" s="10" t="s">
        <v>1574</v>
      </c>
      <c r="B4655" s="11" t="s">
        <v>1631</v>
      </c>
      <c r="C4655" s="5">
        <v>70026.7601</v>
      </c>
      <c r="D4655" s="5">
        <v>70026.7601</v>
      </c>
      <c r="E4655" s="5">
        <v>63410.482000000004</v>
      </c>
      <c r="G4655" s="5" t="str">
        <f t="shared" si="145"/>
        <v>УРАЛМАШ</v>
      </c>
      <c r="J4655" s="5"/>
      <c r="AL4655" s="5">
        <f t="shared" si="146"/>
        <v>0</v>
      </c>
    </row>
    <row r="4656" spans="1:38" ht="25.5" customHeight="1" x14ac:dyDescent="0.25">
      <c r="A4656" s="10" t="s">
        <v>3675</v>
      </c>
      <c r="B4656" s="11" t="s">
        <v>1630</v>
      </c>
      <c r="C4656" s="5">
        <v>62652.9401</v>
      </c>
      <c r="D4656" s="5">
        <v>62652.9401</v>
      </c>
      <c r="E4656" s="5">
        <v>56733.3557</v>
      </c>
      <c r="G4656" s="5" t="str">
        <f t="shared" si="145"/>
        <v>ЧЕРМЕТ</v>
      </c>
      <c r="J4656" s="5"/>
      <c r="AL4656" s="5">
        <f t="shared" si="146"/>
        <v>0</v>
      </c>
    </row>
    <row r="4657" spans="1:38" ht="25.5" customHeight="1" x14ac:dyDescent="0.25">
      <c r="A4657" s="10" t="s">
        <v>1577</v>
      </c>
      <c r="B4657" s="11" t="s">
        <v>1631</v>
      </c>
      <c r="C4657" s="5">
        <v>70026.7601</v>
      </c>
      <c r="D4657" s="5">
        <v>70026.7601</v>
      </c>
      <c r="E4657" s="5">
        <v>63410.482000000004</v>
      </c>
      <c r="G4657" s="5" t="str">
        <f t="shared" si="145"/>
        <v>УРАЛМАШ</v>
      </c>
      <c r="J4657" s="5"/>
      <c r="AL4657" s="5">
        <f t="shared" si="146"/>
        <v>0</v>
      </c>
    </row>
    <row r="4658" spans="1:38" ht="25.5" customHeight="1" x14ac:dyDescent="0.25">
      <c r="A4658" s="10" t="s">
        <v>3676</v>
      </c>
      <c r="B4658" s="11" t="s">
        <v>1630</v>
      </c>
      <c r="C4658" s="5">
        <v>62652.9401</v>
      </c>
      <c r="D4658" s="5">
        <v>62652.9401</v>
      </c>
      <c r="E4658" s="5">
        <v>56733.3557</v>
      </c>
      <c r="G4658" s="5" t="str">
        <f t="shared" si="145"/>
        <v>ЧЕРМЕТ</v>
      </c>
      <c r="J4658" s="5"/>
      <c r="AL4658" s="5">
        <f t="shared" si="146"/>
        <v>0</v>
      </c>
    </row>
    <row r="4659" spans="1:38" ht="25.5" customHeight="1" x14ac:dyDescent="0.25">
      <c r="A4659" s="10" t="s">
        <v>3677</v>
      </c>
      <c r="B4659" s="11" t="s">
        <v>1651</v>
      </c>
      <c r="C4659" s="5">
        <v>68129.029500000004</v>
      </c>
      <c r="D4659" s="5">
        <v>68129.029500000004</v>
      </c>
      <c r="E4659" s="5">
        <v>61692.054799999998</v>
      </c>
      <c r="G4659" s="5" t="str">
        <f t="shared" si="145"/>
        <v>ШАРТАШ</v>
      </c>
      <c r="J4659" s="5"/>
      <c r="AL4659" s="5">
        <f t="shared" si="146"/>
        <v>0</v>
      </c>
    </row>
    <row r="4660" spans="1:38" ht="25.5" customHeight="1" x14ac:dyDescent="0.25">
      <c r="A4660" s="10" t="s">
        <v>1084</v>
      </c>
      <c r="B4660" s="11" t="s">
        <v>1628</v>
      </c>
      <c r="C4660" s="5">
        <v>70734.0236</v>
      </c>
      <c r="D4660" s="5">
        <v>70734.0236</v>
      </c>
      <c r="E4660" s="5">
        <v>64050.9208</v>
      </c>
      <c r="G4660" s="5" t="str">
        <f t="shared" si="145"/>
        <v>ЭЛЬМАШ</v>
      </c>
      <c r="J4660" s="5"/>
      <c r="AL4660" s="5">
        <f t="shared" si="146"/>
        <v>0</v>
      </c>
    </row>
    <row r="4661" spans="1:38" ht="25.5" customHeight="1" x14ac:dyDescent="0.25">
      <c r="A4661" s="10" t="s">
        <v>3678</v>
      </c>
      <c r="B4661" s="11" t="s">
        <v>1630</v>
      </c>
      <c r="C4661" s="5">
        <v>62652.9401</v>
      </c>
      <c r="D4661" s="5">
        <v>62652.9401</v>
      </c>
      <c r="E4661" s="5">
        <v>56733.3557</v>
      </c>
      <c r="G4661" s="5" t="str">
        <f t="shared" si="145"/>
        <v>ЧЕРМЕТ</v>
      </c>
      <c r="J4661" s="5"/>
      <c r="AL4661" s="5">
        <f t="shared" si="146"/>
        <v>0</v>
      </c>
    </row>
    <row r="4662" spans="1:38" ht="25.5" customHeight="1" x14ac:dyDescent="0.25">
      <c r="A4662" s="10" t="s">
        <v>3679</v>
      </c>
      <c r="B4662" s="11" t="s">
        <v>66</v>
      </c>
      <c r="C4662" s="5">
        <v>64795.756300000001</v>
      </c>
      <c r="D4662" s="5">
        <v>64795.756300000001</v>
      </c>
      <c r="E4662" s="5">
        <v>58673.716200000003</v>
      </c>
      <c r="G4662" s="5" t="str">
        <f t="shared" si="145"/>
        <v>УНЦ</v>
      </c>
      <c r="J4662" s="5"/>
      <c r="AL4662" s="5">
        <f t="shared" si="146"/>
        <v>0</v>
      </c>
    </row>
    <row r="4663" spans="1:38" ht="25.5" customHeight="1" x14ac:dyDescent="0.25">
      <c r="A4663" s="10" t="s">
        <v>571</v>
      </c>
      <c r="B4663" s="11" t="s">
        <v>1651</v>
      </c>
      <c r="C4663" s="5">
        <v>68129.029500000004</v>
      </c>
      <c r="D4663" s="5">
        <v>68129.029500000004</v>
      </c>
      <c r="E4663" s="5">
        <v>61692.054799999998</v>
      </c>
      <c r="G4663" s="5" t="str">
        <f t="shared" si="145"/>
        <v>ШАРТАШ</v>
      </c>
      <c r="J4663" s="5"/>
      <c r="AL4663" s="5">
        <f t="shared" si="146"/>
        <v>0</v>
      </c>
    </row>
    <row r="4664" spans="1:38" ht="25.5" customHeight="1" x14ac:dyDescent="0.25">
      <c r="A4664" s="10" t="s">
        <v>3680</v>
      </c>
      <c r="B4664" s="11" t="s">
        <v>1630</v>
      </c>
      <c r="C4664" s="5">
        <v>62652.9401</v>
      </c>
      <c r="D4664" s="5">
        <v>62652.9401</v>
      </c>
      <c r="E4664" s="5">
        <v>56733.3557</v>
      </c>
      <c r="G4664" s="5" t="str">
        <f t="shared" si="145"/>
        <v>ЧЕРМЕТ</v>
      </c>
      <c r="J4664" s="5"/>
      <c r="AL4664" s="5">
        <f t="shared" si="146"/>
        <v>0</v>
      </c>
    </row>
    <row r="4665" spans="1:38" ht="25.5" customHeight="1" x14ac:dyDescent="0.25">
      <c r="A4665" s="10" t="s">
        <v>1175</v>
      </c>
      <c r="B4665" s="5" t="s">
        <v>1645</v>
      </c>
      <c r="C4665" s="5">
        <v>60958.294800000003</v>
      </c>
      <c r="D4665" s="5">
        <v>60958.294800000003</v>
      </c>
      <c r="E4665" s="5">
        <v>55198.825199999999</v>
      </c>
      <c r="G4665" s="5" t="str">
        <f t="shared" si="145"/>
        <v>ЕЛИЗАВЕТ</v>
      </c>
      <c r="J4665" s="5"/>
      <c r="AL4665" s="5">
        <f t="shared" si="146"/>
        <v>0</v>
      </c>
    </row>
    <row r="4666" spans="1:38" ht="25.5" customHeight="1" x14ac:dyDescent="0.25">
      <c r="A4666" s="10" t="s">
        <v>1333</v>
      </c>
      <c r="B4666" s="11" t="s">
        <v>1643</v>
      </c>
      <c r="C4666" s="5">
        <v>76630.280299999999</v>
      </c>
      <c r="D4666" s="5">
        <v>76630.280299999999</v>
      </c>
      <c r="E4666" s="5">
        <v>69390.088799999998</v>
      </c>
      <c r="G4666" s="5" t="str">
        <f t="shared" si="145"/>
        <v>Ю-З</v>
      </c>
      <c r="J4666" s="5"/>
      <c r="AL4666" s="5">
        <f t="shared" si="146"/>
        <v>0</v>
      </c>
    </row>
    <row r="4667" spans="1:38" ht="25.5" customHeight="1" x14ac:dyDescent="0.25">
      <c r="A4667" s="10" t="s">
        <v>3681</v>
      </c>
      <c r="B4667" s="11" t="s">
        <v>1660</v>
      </c>
      <c r="C4667" s="5">
        <v>53262.345800000003</v>
      </c>
      <c r="D4667" s="5">
        <v>53262.345800000003</v>
      </c>
      <c r="E4667" s="5">
        <v>48230.0095</v>
      </c>
      <c r="G4667" s="5" t="str">
        <f t="shared" si="145"/>
        <v>САДОВЫЙ</v>
      </c>
      <c r="J4667" s="5"/>
      <c r="AL4667" s="5">
        <f t="shared" si="146"/>
        <v>0</v>
      </c>
    </row>
    <row r="4668" spans="1:38" ht="25.5" customHeight="1" x14ac:dyDescent="0.25">
      <c r="A4668" s="10" t="s">
        <v>3682</v>
      </c>
      <c r="B4668" s="11" t="s">
        <v>33</v>
      </c>
      <c r="C4668" s="5">
        <v>84298.205100000006</v>
      </c>
      <c r="D4668" s="5">
        <v>84298.205100000006</v>
      </c>
      <c r="E4668" s="5">
        <v>76333.533100000001</v>
      </c>
      <c r="G4668" s="5" t="str">
        <f t="shared" si="145"/>
        <v>ВИЗ</v>
      </c>
      <c r="J4668" s="5"/>
      <c r="AL4668" s="5">
        <f t="shared" si="146"/>
        <v>0</v>
      </c>
    </row>
    <row r="4669" spans="1:38" ht="25.5" customHeight="1" x14ac:dyDescent="0.25">
      <c r="A4669" s="10" t="s">
        <v>638</v>
      </c>
      <c r="B4669" s="11" t="s">
        <v>1636</v>
      </c>
      <c r="C4669" s="5">
        <v>52246.960299999999</v>
      </c>
      <c r="D4669" s="5">
        <v>52246.960299999999</v>
      </c>
      <c r="E4669" s="5">
        <v>47310.556700000001</v>
      </c>
      <c r="G4669" s="5" t="str">
        <f t="shared" si="145"/>
        <v>ГОРНЫЙ ЩИТ</v>
      </c>
      <c r="J4669" s="5"/>
      <c r="AL4669" s="5">
        <f t="shared" si="146"/>
        <v>0</v>
      </c>
    </row>
    <row r="4670" spans="1:38" ht="25.5" customHeight="1" x14ac:dyDescent="0.25">
      <c r="A4670" s="10" t="s">
        <v>1562</v>
      </c>
      <c r="B4670" s="11" t="s">
        <v>33</v>
      </c>
      <c r="C4670" s="5">
        <v>84298.205100000006</v>
      </c>
      <c r="D4670" s="5">
        <v>84298.205100000006</v>
      </c>
      <c r="E4670" s="5">
        <v>76333.533100000001</v>
      </c>
      <c r="G4670" s="5" t="str">
        <f t="shared" si="145"/>
        <v>ВИЗ</v>
      </c>
      <c r="J4670" s="5"/>
      <c r="AL4670" s="5">
        <f t="shared" si="146"/>
        <v>0</v>
      </c>
    </row>
    <row r="4671" spans="1:38" ht="25.5" customHeight="1" x14ac:dyDescent="0.25">
      <c r="A4671" s="10" t="s">
        <v>3683</v>
      </c>
      <c r="B4671" s="11" t="s">
        <v>1629</v>
      </c>
      <c r="C4671" s="5">
        <v>77743.704100000003</v>
      </c>
      <c r="D4671" s="5">
        <v>77743.704100000003</v>
      </c>
      <c r="E4671" s="5">
        <v>70398.310800000007</v>
      </c>
      <c r="G4671" s="5" t="str">
        <f t="shared" ref="G4671:G4734" si="147">B4671</f>
        <v>ПИОНЕРСКИЙ</v>
      </c>
      <c r="J4671" s="5"/>
      <c r="AL4671" s="5">
        <f t="shared" ref="AL4671:AL4734" si="148">AF4671</f>
        <v>0</v>
      </c>
    </row>
    <row r="4672" spans="1:38" ht="25.5" customHeight="1" x14ac:dyDescent="0.25">
      <c r="A4672" s="10" t="s">
        <v>807</v>
      </c>
      <c r="B4672" s="11" t="s">
        <v>1628</v>
      </c>
      <c r="C4672" s="5">
        <v>70734.0236</v>
      </c>
      <c r="D4672" s="5">
        <v>70734.0236</v>
      </c>
      <c r="E4672" s="5">
        <v>64050.9208</v>
      </c>
      <c r="G4672" s="5" t="str">
        <f t="shared" si="147"/>
        <v>ЭЛЬМАШ</v>
      </c>
      <c r="J4672" s="5"/>
      <c r="AL4672" s="5">
        <f t="shared" si="148"/>
        <v>0</v>
      </c>
    </row>
    <row r="4673" spans="1:38" ht="25.5" customHeight="1" x14ac:dyDescent="0.25">
      <c r="A4673" s="10" t="s">
        <v>964</v>
      </c>
      <c r="B4673" s="11" t="s">
        <v>1628</v>
      </c>
      <c r="C4673" s="5">
        <v>70734.0236</v>
      </c>
      <c r="D4673" s="5">
        <v>70734.0236</v>
      </c>
      <c r="E4673" s="5">
        <v>64050.9208</v>
      </c>
      <c r="G4673" s="5" t="str">
        <f t="shared" si="147"/>
        <v>ЭЛЬМАШ</v>
      </c>
      <c r="J4673" s="5"/>
      <c r="AL4673" s="5">
        <f t="shared" si="148"/>
        <v>0</v>
      </c>
    </row>
    <row r="4674" spans="1:38" ht="25.5" customHeight="1" x14ac:dyDescent="0.25">
      <c r="A4674" s="10" t="s">
        <v>1336</v>
      </c>
      <c r="B4674" s="11" t="s">
        <v>14</v>
      </c>
      <c r="C4674" s="5">
        <v>93989.912800000006</v>
      </c>
      <c r="D4674" s="5">
        <v>93989.912800000006</v>
      </c>
      <c r="E4674" s="5">
        <v>85109.545199999993</v>
      </c>
      <c r="G4674" s="5" t="str">
        <f t="shared" si="147"/>
        <v>Центр</v>
      </c>
      <c r="J4674" s="5"/>
      <c r="AL4674" s="5">
        <f t="shared" si="148"/>
        <v>0</v>
      </c>
    </row>
    <row r="4675" spans="1:38" ht="25.5" customHeight="1" x14ac:dyDescent="0.25">
      <c r="A4675" s="10" t="s">
        <v>3684</v>
      </c>
      <c r="B4675" s="11" t="s">
        <v>1647</v>
      </c>
      <c r="C4675" s="5">
        <v>63178.133800000003</v>
      </c>
      <c r="D4675" s="5">
        <v>63178.133800000003</v>
      </c>
      <c r="E4675" s="5">
        <v>57208.931499999999</v>
      </c>
      <c r="G4675" s="5" t="str">
        <f t="shared" si="147"/>
        <v>ШИРОКАЯ РЕЧКА</v>
      </c>
      <c r="J4675" s="5"/>
      <c r="AL4675" s="5">
        <f t="shared" si="148"/>
        <v>0</v>
      </c>
    </row>
    <row r="4676" spans="1:38" ht="25.5" customHeight="1" x14ac:dyDescent="0.25">
      <c r="A4676" s="10" t="s">
        <v>769</v>
      </c>
      <c r="B4676" s="11" t="s">
        <v>1627</v>
      </c>
      <c r="C4676" s="5">
        <v>56392.543899999997</v>
      </c>
      <c r="D4676" s="5">
        <v>56392.543899999997</v>
      </c>
      <c r="E4676" s="5">
        <v>51064.4617</v>
      </c>
      <c r="G4676" s="5" t="str">
        <f t="shared" si="147"/>
        <v>КОМПРЕССОРНЫЙ</v>
      </c>
      <c r="J4676" s="5"/>
      <c r="AL4676" s="5">
        <f t="shared" si="148"/>
        <v>0</v>
      </c>
    </row>
    <row r="4677" spans="1:38" ht="25.5" customHeight="1" x14ac:dyDescent="0.25">
      <c r="A4677" s="10" t="s">
        <v>3685</v>
      </c>
      <c r="B4677" s="11" t="s">
        <v>1644</v>
      </c>
      <c r="C4677" s="5">
        <v>61980.678599999999</v>
      </c>
      <c r="D4677" s="5">
        <v>61980.678599999999</v>
      </c>
      <c r="E4677" s="5">
        <v>56124.615700000002</v>
      </c>
      <c r="G4677" s="5" t="str">
        <f t="shared" si="147"/>
        <v>ХИММАШ</v>
      </c>
      <c r="J4677" s="5"/>
      <c r="AL4677" s="5">
        <f t="shared" si="148"/>
        <v>0</v>
      </c>
    </row>
    <row r="4678" spans="1:38" ht="25.5" customHeight="1" x14ac:dyDescent="0.25">
      <c r="A4678" s="10" t="s">
        <v>3686</v>
      </c>
      <c r="B4678" s="11" t="s">
        <v>1636</v>
      </c>
      <c r="C4678" s="5">
        <v>52246.960299999999</v>
      </c>
      <c r="D4678" s="5">
        <v>52246.960299999999</v>
      </c>
      <c r="E4678" s="5">
        <v>47310.556700000001</v>
      </c>
      <c r="G4678" s="5" t="str">
        <f t="shared" si="147"/>
        <v>ГОРНЫЙ ЩИТ</v>
      </c>
      <c r="J4678" s="5"/>
      <c r="AL4678" s="5">
        <f t="shared" si="148"/>
        <v>0</v>
      </c>
    </row>
    <row r="4679" spans="1:38" ht="25.5" customHeight="1" x14ac:dyDescent="0.25">
      <c r="A4679" s="10" t="s">
        <v>3687</v>
      </c>
      <c r="B4679" s="11" t="s">
        <v>1635</v>
      </c>
      <c r="C4679" s="5">
        <v>57793.0844</v>
      </c>
      <c r="D4679" s="5">
        <v>57793.0844</v>
      </c>
      <c r="E4679" s="5">
        <v>52332.6639</v>
      </c>
      <c r="G4679" s="5" t="str">
        <f t="shared" si="147"/>
        <v>ЛЕЧЕБНЫЙ</v>
      </c>
      <c r="J4679" s="5"/>
      <c r="AL4679" s="5">
        <f t="shared" si="148"/>
        <v>0</v>
      </c>
    </row>
    <row r="4680" spans="1:38" ht="25.5" customHeight="1" x14ac:dyDescent="0.25">
      <c r="A4680" s="10" t="s">
        <v>3688</v>
      </c>
      <c r="B4680" s="11" t="s">
        <v>1643</v>
      </c>
      <c r="C4680" s="5">
        <v>76630.280299999999</v>
      </c>
      <c r="D4680" s="5">
        <v>76630.280299999999</v>
      </c>
      <c r="E4680" s="5">
        <v>69390.088799999998</v>
      </c>
      <c r="G4680" s="5" t="str">
        <f t="shared" si="147"/>
        <v>Ю-З</v>
      </c>
      <c r="J4680" s="5"/>
      <c r="AL4680" s="5">
        <f t="shared" si="148"/>
        <v>0</v>
      </c>
    </row>
    <row r="4681" spans="1:38" ht="25.5" customHeight="1" x14ac:dyDescent="0.25">
      <c r="A4681" s="10" t="s">
        <v>1299</v>
      </c>
      <c r="B4681" s="11" t="s">
        <v>1638</v>
      </c>
      <c r="C4681" s="5">
        <v>63640.311600000001</v>
      </c>
      <c r="D4681" s="5">
        <v>63640.311600000001</v>
      </c>
      <c r="E4681" s="5">
        <v>57627.4473</v>
      </c>
      <c r="G4681" s="5" t="str">
        <f t="shared" si="147"/>
        <v>УКТУС</v>
      </c>
      <c r="J4681" s="5"/>
      <c r="AL4681" s="5">
        <f t="shared" si="148"/>
        <v>0</v>
      </c>
    </row>
    <row r="4682" spans="1:38" ht="25.5" customHeight="1" x14ac:dyDescent="0.25">
      <c r="A4682" s="10" t="s">
        <v>3689</v>
      </c>
      <c r="B4682" s="11" t="s">
        <v>1636</v>
      </c>
      <c r="C4682" s="5">
        <v>52246.960299999999</v>
      </c>
      <c r="D4682" s="5">
        <v>52246.960299999999</v>
      </c>
      <c r="E4682" s="5">
        <v>47310.556700000001</v>
      </c>
      <c r="G4682" s="5" t="str">
        <f t="shared" si="147"/>
        <v>ГОРНЫЙ ЩИТ</v>
      </c>
      <c r="J4682" s="5"/>
      <c r="AL4682" s="5">
        <f t="shared" si="148"/>
        <v>0</v>
      </c>
    </row>
    <row r="4683" spans="1:38" ht="25.5" customHeight="1" x14ac:dyDescent="0.25">
      <c r="A4683" s="10" t="s">
        <v>3690</v>
      </c>
      <c r="B4683" s="11" t="s">
        <v>1650</v>
      </c>
      <c r="C4683" s="5">
        <v>37590.3603</v>
      </c>
      <c r="D4683" s="5">
        <v>37590.3603</v>
      </c>
      <c r="E4683" s="5">
        <v>34038.745900000002</v>
      </c>
      <c r="G4683" s="5" t="str">
        <f t="shared" si="147"/>
        <v>ШАБРОВСКИЙ</v>
      </c>
      <c r="J4683" s="5"/>
      <c r="AL4683" s="5">
        <f t="shared" si="148"/>
        <v>0</v>
      </c>
    </row>
    <row r="4684" spans="1:38" ht="25.5" customHeight="1" x14ac:dyDescent="0.25">
      <c r="A4684" s="10" t="s">
        <v>578</v>
      </c>
      <c r="B4684" s="11" t="s">
        <v>1644</v>
      </c>
      <c r="C4684" s="5">
        <v>61980.678599999999</v>
      </c>
      <c r="D4684" s="5">
        <v>61980.678599999999</v>
      </c>
      <c r="E4684" s="5">
        <v>56124.615700000002</v>
      </c>
      <c r="G4684" s="5" t="str">
        <f t="shared" si="147"/>
        <v>ХИММАШ</v>
      </c>
      <c r="J4684" s="5"/>
      <c r="AL4684" s="5">
        <f t="shared" si="148"/>
        <v>0</v>
      </c>
    </row>
    <row r="4685" spans="1:38" ht="25.5" customHeight="1" x14ac:dyDescent="0.25">
      <c r="A4685" s="10" t="s">
        <v>3691</v>
      </c>
      <c r="B4685" s="11" t="s">
        <v>1658</v>
      </c>
      <c r="C4685" s="5">
        <v>68647.224799999996</v>
      </c>
      <c r="D4685" s="5">
        <v>68647.224799999996</v>
      </c>
      <c r="E4685" s="5">
        <v>62161.2929</v>
      </c>
      <c r="G4685" s="5" t="str">
        <f t="shared" si="147"/>
        <v>СИНИЕ КАМНИ</v>
      </c>
      <c r="J4685" s="5"/>
      <c r="AL4685" s="5">
        <f t="shared" si="148"/>
        <v>0</v>
      </c>
    </row>
    <row r="4686" spans="1:38" ht="25.5" customHeight="1" x14ac:dyDescent="0.25">
      <c r="A4686" s="10" t="s">
        <v>3692</v>
      </c>
      <c r="B4686" s="11" t="s">
        <v>1660</v>
      </c>
      <c r="C4686" s="5">
        <v>53262.345800000003</v>
      </c>
      <c r="D4686" s="5">
        <v>53262.345800000003</v>
      </c>
      <c r="E4686" s="5">
        <v>48230.0095</v>
      </c>
      <c r="G4686" s="5" t="str">
        <f t="shared" si="147"/>
        <v>САДОВЫЙ</v>
      </c>
      <c r="J4686" s="5"/>
      <c r="AL4686" s="5">
        <f t="shared" si="148"/>
        <v>0</v>
      </c>
    </row>
    <row r="4687" spans="1:38" ht="25.5" customHeight="1" x14ac:dyDescent="0.25">
      <c r="A4687" s="10" t="s">
        <v>1330</v>
      </c>
      <c r="B4687" s="11" t="s">
        <v>1645</v>
      </c>
      <c r="C4687" s="5">
        <v>60958.294800000003</v>
      </c>
      <c r="D4687" s="5">
        <v>60958.294800000003</v>
      </c>
      <c r="E4687" s="5">
        <v>55198.825199999999</v>
      </c>
      <c r="G4687" s="5" t="str">
        <f t="shared" si="147"/>
        <v>ЕЛИЗАВЕТ</v>
      </c>
      <c r="J4687" s="5"/>
      <c r="AL4687" s="5">
        <f t="shared" si="148"/>
        <v>0</v>
      </c>
    </row>
    <row r="4688" spans="1:38" ht="25.5" customHeight="1" x14ac:dyDescent="0.25">
      <c r="A4688" s="10" t="s">
        <v>3693</v>
      </c>
      <c r="B4688" s="11" t="s">
        <v>1664</v>
      </c>
      <c r="C4688" s="5">
        <v>53668.506099999999</v>
      </c>
      <c r="D4688" s="5">
        <v>53668.506099999999</v>
      </c>
      <c r="E4688" s="5">
        <v>48597.792699999998</v>
      </c>
      <c r="G4688" s="5" t="str">
        <f t="shared" si="147"/>
        <v>ИЗОПЛИТ</v>
      </c>
      <c r="J4688" s="5"/>
      <c r="AL4688" s="5">
        <f t="shared" si="148"/>
        <v>0</v>
      </c>
    </row>
    <row r="4689" spans="1:38" ht="25.5" customHeight="1" x14ac:dyDescent="0.25">
      <c r="A4689" s="10" t="s">
        <v>3694</v>
      </c>
      <c r="B4689" s="11" t="s">
        <v>1643</v>
      </c>
      <c r="C4689" s="5">
        <v>76630.280299999999</v>
      </c>
      <c r="D4689" s="5">
        <v>76630.280299999999</v>
      </c>
      <c r="E4689" s="5">
        <v>69390.088799999998</v>
      </c>
      <c r="G4689" s="5" t="str">
        <f t="shared" si="147"/>
        <v>Ю-З</v>
      </c>
      <c r="J4689" s="5"/>
      <c r="AL4689" s="5">
        <f t="shared" si="148"/>
        <v>0</v>
      </c>
    </row>
    <row r="4690" spans="1:38" ht="25.5" customHeight="1" x14ac:dyDescent="0.25">
      <c r="A4690" s="10" t="s">
        <v>997</v>
      </c>
      <c r="B4690" s="11" t="s">
        <v>14</v>
      </c>
      <c r="C4690" s="5">
        <v>93989.912800000006</v>
      </c>
      <c r="D4690" s="5">
        <v>93989.912800000006</v>
      </c>
      <c r="E4690" s="5">
        <v>85109.545199999993</v>
      </c>
      <c r="G4690" s="5" t="str">
        <f t="shared" si="147"/>
        <v>Центр</v>
      </c>
      <c r="J4690" s="5"/>
      <c r="AL4690" s="5">
        <f t="shared" si="148"/>
        <v>0</v>
      </c>
    </row>
    <row r="4691" spans="1:38" ht="25.5" customHeight="1" x14ac:dyDescent="0.25">
      <c r="A4691" s="10" t="s">
        <v>165</v>
      </c>
      <c r="B4691" s="11" t="s">
        <v>1632</v>
      </c>
      <c r="C4691" s="5">
        <v>83744.997499999998</v>
      </c>
      <c r="D4691" s="5">
        <v>83744.997499999998</v>
      </c>
      <c r="E4691" s="5">
        <v>75832.596099999995</v>
      </c>
      <c r="G4691" s="5" t="str">
        <f t="shared" si="147"/>
        <v>АВТОВОКЗАЛ</v>
      </c>
      <c r="J4691" s="5"/>
      <c r="AL4691" s="5">
        <f t="shared" si="148"/>
        <v>0</v>
      </c>
    </row>
    <row r="4692" spans="1:38" ht="25.5" customHeight="1" x14ac:dyDescent="0.25">
      <c r="A4692" s="10" t="s">
        <v>1054</v>
      </c>
      <c r="B4692" s="11" t="s">
        <v>1628</v>
      </c>
      <c r="C4692" s="5">
        <v>70734.0236</v>
      </c>
      <c r="D4692" s="5">
        <v>70734.0236</v>
      </c>
      <c r="E4692" s="5">
        <v>64050.9208</v>
      </c>
      <c r="G4692" s="5" t="str">
        <f t="shared" si="147"/>
        <v>ЭЛЬМАШ</v>
      </c>
      <c r="J4692" s="5"/>
      <c r="AL4692" s="5">
        <f t="shared" si="148"/>
        <v>0</v>
      </c>
    </row>
    <row r="4693" spans="1:38" ht="25.5" customHeight="1" x14ac:dyDescent="0.25">
      <c r="A4693" s="10" t="s">
        <v>1112</v>
      </c>
      <c r="B4693" s="11" t="s">
        <v>1628</v>
      </c>
      <c r="C4693" s="5">
        <v>70734.0236</v>
      </c>
      <c r="D4693" s="5">
        <v>70734.0236</v>
      </c>
      <c r="E4693" s="5">
        <v>64050.9208</v>
      </c>
      <c r="G4693" s="5" t="str">
        <f t="shared" si="147"/>
        <v>ЭЛЬМАШ</v>
      </c>
      <c r="J4693" s="5"/>
      <c r="AL4693" s="5">
        <f t="shared" si="148"/>
        <v>0</v>
      </c>
    </row>
    <row r="4694" spans="1:38" ht="25.5" customHeight="1" x14ac:dyDescent="0.25">
      <c r="A4694" s="10" t="s">
        <v>1604</v>
      </c>
      <c r="B4694" s="11" t="s">
        <v>1643</v>
      </c>
      <c r="C4694" s="5">
        <v>76630.280299999999</v>
      </c>
      <c r="D4694" s="5">
        <v>76630.280299999999</v>
      </c>
      <c r="E4694" s="5">
        <v>69390.088799999998</v>
      </c>
      <c r="G4694" s="5" t="str">
        <f t="shared" si="147"/>
        <v>Ю-З</v>
      </c>
      <c r="J4694" s="5"/>
      <c r="AL4694" s="5">
        <f t="shared" si="148"/>
        <v>0</v>
      </c>
    </row>
    <row r="4695" spans="1:38" ht="25.5" customHeight="1" x14ac:dyDescent="0.25">
      <c r="A4695" s="10" t="s">
        <v>3695</v>
      </c>
      <c r="B4695" s="11" t="s">
        <v>1635</v>
      </c>
      <c r="C4695" s="5">
        <v>57793.0844</v>
      </c>
      <c r="D4695" s="5">
        <v>57793.0844</v>
      </c>
      <c r="E4695" s="5">
        <v>52332.6639</v>
      </c>
      <c r="G4695" s="5" t="str">
        <f t="shared" si="147"/>
        <v>ЛЕЧЕБНЫЙ</v>
      </c>
      <c r="J4695" s="5"/>
      <c r="AL4695" s="5">
        <f t="shared" si="148"/>
        <v>0</v>
      </c>
    </row>
    <row r="4696" spans="1:38" ht="25.5" customHeight="1" x14ac:dyDescent="0.25">
      <c r="A4696" s="10" t="s">
        <v>3696</v>
      </c>
      <c r="B4696" s="11" t="s">
        <v>1645</v>
      </c>
      <c r="C4696" s="5">
        <v>60958.294800000003</v>
      </c>
      <c r="D4696" s="5">
        <v>60958.294800000003</v>
      </c>
      <c r="E4696" s="5">
        <v>55198.825199999999</v>
      </c>
      <c r="G4696" s="5" t="str">
        <f t="shared" si="147"/>
        <v>ЕЛИЗАВЕТ</v>
      </c>
      <c r="J4696" s="5"/>
      <c r="AL4696" s="5">
        <f t="shared" si="148"/>
        <v>0</v>
      </c>
    </row>
    <row r="4697" spans="1:38" ht="25.5" customHeight="1" x14ac:dyDescent="0.25">
      <c r="A4697" s="10" t="s">
        <v>3697</v>
      </c>
      <c r="B4697" s="11" t="s">
        <v>1638</v>
      </c>
      <c r="C4697" s="5">
        <v>63640.311600000001</v>
      </c>
      <c r="D4697" s="5">
        <v>63640.311600000001</v>
      </c>
      <c r="E4697" s="5">
        <v>57627.4473</v>
      </c>
      <c r="G4697" s="5" t="str">
        <f t="shared" si="147"/>
        <v>УКТУС</v>
      </c>
      <c r="J4697" s="5"/>
      <c r="AL4697" s="5">
        <f t="shared" si="148"/>
        <v>0</v>
      </c>
    </row>
    <row r="4698" spans="1:38" ht="25.5" customHeight="1" x14ac:dyDescent="0.25">
      <c r="A4698" s="10" t="s">
        <v>588</v>
      </c>
      <c r="B4698" s="11" t="s">
        <v>1628</v>
      </c>
      <c r="C4698" s="5">
        <v>70734.0236</v>
      </c>
      <c r="D4698" s="5">
        <v>70734.0236</v>
      </c>
      <c r="E4698" s="5">
        <v>64050.9208</v>
      </c>
      <c r="G4698" s="5" t="str">
        <f t="shared" si="147"/>
        <v>ЭЛЬМАШ</v>
      </c>
      <c r="J4698" s="5"/>
      <c r="AL4698" s="5">
        <f t="shared" si="148"/>
        <v>0</v>
      </c>
    </row>
    <row r="4699" spans="1:38" ht="25.5" customHeight="1" x14ac:dyDescent="0.25">
      <c r="A4699" s="10" t="s">
        <v>3698</v>
      </c>
      <c r="B4699" s="11" t="s">
        <v>1635</v>
      </c>
      <c r="C4699" s="5">
        <v>57793.0844</v>
      </c>
      <c r="D4699" s="5">
        <v>57793.0844</v>
      </c>
      <c r="E4699" s="5">
        <v>52332.6639</v>
      </c>
      <c r="G4699" s="5" t="str">
        <f t="shared" si="147"/>
        <v>ЛЕЧЕБНЫЙ</v>
      </c>
      <c r="J4699" s="5"/>
      <c r="AL4699" s="5">
        <f t="shared" si="148"/>
        <v>0</v>
      </c>
    </row>
    <row r="4700" spans="1:38" ht="25.5" customHeight="1" x14ac:dyDescent="0.25">
      <c r="A4700" s="10" t="s">
        <v>3699</v>
      </c>
      <c r="B4700" s="11" t="s">
        <v>1630</v>
      </c>
      <c r="C4700" s="5">
        <v>62652.9401</v>
      </c>
      <c r="D4700" s="5">
        <v>62652.9401</v>
      </c>
      <c r="E4700" s="5">
        <v>56733.3557</v>
      </c>
      <c r="G4700" s="5" t="str">
        <f t="shared" si="147"/>
        <v>ЧЕРМЕТ</v>
      </c>
      <c r="J4700" s="5"/>
      <c r="AL4700" s="5">
        <f t="shared" si="148"/>
        <v>0</v>
      </c>
    </row>
    <row r="4701" spans="1:38" ht="25.5" customHeight="1" x14ac:dyDescent="0.25">
      <c r="A4701" s="10" t="s">
        <v>603</v>
      </c>
      <c r="B4701" s="11" t="s">
        <v>1632</v>
      </c>
      <c r="C4701" s="5">
        <v>83744.997499999998</v>
      </c>
      <c r="D4701" s="5">
        <v>83744.997499999998</v>
      </c>
      <c r="E4701" s="5">
        <v>75832.596099999995</v>
      </c>
      <c r="G4701" s="5" t="str">
        <f t="shared" si="147"/>
        <v>АВТОВОКЗАЛ</v>
      </c>
      <c r="J4701" s="5"/>
      <c r="AL4701" s="5">
        <f t="shared" si="148"/>
        <v>0</v>
      </c>
    </row>
    <row r="4702" spans="1:38" ht="25.5" customHeight="1" x14ac:dyDescent="0.25">
      <c r="A4702" s="10" t="s">
        <v>3700</v>
      </c>
      <c r="B4702" s="11" t="s">
        <v>1651</v>
      </c>
      <c r="C4702" s="5">
        <v>68129.029500000004</v>
      </c>
      <c r="D4702" s="5">
        <v>68129.029500000004</v>
      </c>
      <c r="E4702" s="5">
        <v>61692.054799999998</v>
      </c>
      <c r="G4702" s="5" t="str">
        <f t="shared" si="147"/>
        <v>ШАРТАШ</v>
      </c>
      <c r="J4702" s="5"/>
      <c r="AL4702" s="5">
        <f t="shared" si="148"/>
        <v>0</v>
      </c>
    </row>
    <row r="4703" spans="1:38" ht="25.5" customHeight="1" x14ac:dyDescent="0.25">
      <c r="A4703" s="10" t="s">
        <v>1404</v>
      </c>
      <c r="B4703" s="11" t="s">
        <v>1644</v>
      </c>
      <c r="C4703" s="5">
        <v>61980.678599999999</v>
      </c>
      <c r="D4703" s="5">
        <v>61980.678599999999</v>
      </c>
      <c r="E4703" s="5">
        <v>56124.615700000002</v>
      </c>
      <c r="G4703" s="5" t="str">
        <f t="shared" si="147"/>
        <v>ХИММАШ</v>
      </c>
      <c r="J4703" s="5"/>
      <c r="AL4703" s="5">
        <f t="shared" si="148"/>
        <v>0</v>
      </c>
    </row>
    <row r="4704" spans="1:38" ht="25.5" customHeight="1" x14ac:dyDescent="0.25">
      <c r="A4704" s="10" t="s">
        <v>592</v>
      </c>
      <c r="B4704" s="11" t="s">
        <v>1628</v>
      </c>
      <c r="C4704" s="5">
        <v>70734.0236</v>
      </c>
      <c r="D4704" s="5">
        <v>70734.0236</v>
      </c>
      <c r="E4704" s="5">
        <v>64050.9208</v>
      </c>
      <c r="G4704" s="5" t="str">
        <f t="shared" si="147"/>
        <v>ЭЛЬМАШ</v>
      </c>
      <c r="J4704" s="5"/>
      <c r="AL4704" s="5">
        <f t="shared" si="148"/>
        <v>0</v>
      </c>
    </row>
    <row r="4705" spans="1:38" ht="25.5" customHeight="1" x14ac:dyDescent="0.25">
      <c r="A4705" s="10" t="s">
        <v>3701</v>
      </c>
      <c r="B4705" s="11" t="s">
        <v>1660</v>
      </c>
      <c r="C4705" s="5">
        <v>53262.345800000003</v>
      </c>
      <c r="D4705" s="5">
        <v>53262.345800000003</v>
      </c>
      <c r="E4705" s="5">
        <v>48230.0095</v>
      </c>
      <c r="G4705" s="5" t="str">
        <f t="shared" si="147"/>
        <v>САДОВЫЙ</v>
      </c>
      <c r="J4705" s="5"/>
      <c r="AL4705" s="5">
        <f t="shared" si="148"/>
        <v>0</v>
      </c>
    </row>
    <row r="4706" spans="1:38" ht="25.5" customHeight="1" x14ac:dyDescent="0.25">
      <c r="A4706" s="10" t="s">
        <v>1340</v>
      </c>
      <c r="B4706" s="11" t="s">
        <v>1637</v>
      </c>
      <c r="C4706" s="5">
        <v>59368.686099999999</v>
      </c>
      <c r="D4706" s="5">
        <v>59368.686099999999</v>
      </c>
      <c r="E4706" s="5">
        <v>53759.401700000002</v>
      </c>
      <c r="G4706" s="5" t="str">
        <f t="shared" si="147"/>
        <v>Старая сортировка</v>
      </c>
      <c r="J4706" s="5"/>
      <c r="AL4706" s="5">
        <f t="shared" si="148"/>
        <v>0</v>
      </c>
    </row>
    <row r="4707" spans="1:38" ht="25.5" customHeight="1" x14ac:dyDescent="0.25">
      <c r="A4707" s="10" t="s">
        <v>3702</v>
      </c>
      <c r="B4707" s="11" t="s">
        <v>1653</v>
      </c>
      <c r="C4707" s="5">
        <v>56847.723400000003</v>
      </c>
      <c r="D4707" s="5">
        <v>56847.723400000003</v>
      </c>
      <c r="E4707" s="5">
        <v>51476.629399999998</v>
      </c>
      <c r="G4707" s="5" t="str">
        <f t="shared" si="147"/>
        <v>ПТИЦЕФАБРИКА</v>
      </c>
      <c r="J4707" s="5"/>
      <c r="AL4707" s="5">
        <f t="shared" si="148"/>
        <v>0</v>
      </c>
    </row>
    <row r="4708" spans="1:38" ht="25.5" customHeight="1" x14ac:dyDescent="0.25">
      <c r="A4708" s="10" t="s">
        <v>3703</v>
      </c>
      <c r="B4708" s="11" t="s">
        <v>1637</v>
      </c>
      <c r="C4708" s="5">
        <v>59368.686099999999</v>
      </c>
      <c r="D4708" s="5">
        <v>59368.686099999999</v>
      </c>
      <c r="E4708" s="5">
        <v>53759.401700000002</v>
      </c>
      <c r="G4708" s="5" t="str">
        <f t="shared" si="147"/>
        <v>Старая сортировка</v>
      </c>
      <c r="J4708" s="5"/>
      <c r="AL4708" s="5">
        <f t="shared" si="148"/>
        <v>0</v>
      </c>
    </row>
    <row r="4709" spans="1:38" ht="25.5" customHeight="1" x14ac:dyDescent="0.25">
      <c r="A4709" s="10" t="s">
        <v>875</v>
      </c>
      <c r="B4709" s="11" t="s">
        <v>1632</v>
      </c>
      <c r="C4709" s="5">
        <v>83744.997499999998</v>
      </c>
      <c r="D4709" s="5">
        <v>83744.997499999998</v>
      </c>
      <c r="E4709" s="5">
        <v>75832.596099999995</v>
      </c>
      <c r="G4709" s="5" t="str">
        <f t="shared" si="147"/>
        <v>АВТОВОКЗАЛ</v>
      </c>
      <c r="J4709" s="5"/>
      <c r="AL4709" s="5">
        <f t="shared" si="148"/>
        <v>0</v>
      </c>
    </row>
    <row r="4710" spans="1:38" ht="25.5" customHeight="1" x14ac:dyDescent="0.25">
      <c r="A4710" s="10" t="s">
        <v>534</v>
      </c>
      <c r="B4710" s="11" t="s">
        <v>1633</v>
      </c>
      <c r="C4710" s="5">
        <v>77071.442599999995</v>
      </c>
      <c r="D4710" s="5">
        <v>77071.442599999995</v>
      </c>
      <c r="E4710" s="5">
        <v>69789.570900000006</v>
      </c>
      <c r="G4710" s="5" t="str">
        <f t="shared" si="147"/>
        <v>ВТУЗГОРОДОК</v>
      </c>
      <c r="J4710" s="5"/>
      <c r="AL4710" s="5">
        <f t="shared" si="148"/>
        <v>0</v>
      </c>
    </row>
    <row r="4711" spans="1:38" ht="25.5" customHeight="1" x14ac:dyDescent="0.25">
      <c r="A4711" s="10" t="s">
        <v>3704</v>
      </c>
      <c r="B4711" s="11" t="s">
        <v>1631</v>
      </c>
      <c r="C4711" s="5">
        <v>70026.7601</v>
      </c>
      <c r="D4711" s="5">
        <v>70026.7601</v>
      </c>
      <c r="E4711" s="5">
        <v>63410.482000000004</v>
      </c>
      <c r="G4711" s="5" t="str">
        <f t="shared" si="147"/>
        <v>УРАЛМАШ</v>
      </c>
      <c r="J4711" s="5"/>
      <c r="AL4711" s="5">
        <f t="shared" si="148"/>
        <v>0</v>
      </c>
    </row>
    <row r="4712" spans="1:38" ht="25.5" customHeight="1" x14ac:dyDescent="0.25">
      <c r="A4712" s="10" t="s">
        <v>3705</v>
      </c>
      <c r="B4712" s="11" t="s">
        <v>1632</v>
      </c>
      <c r="C4712" s="5">
        <v>83744.997499999998</v>
      </c>
      <c r="D4712" s="5">
        <v>83744.997499999998</v>
      </c>
      <c r="E4712" s="5">
        <v>75832.596099999995</v>
      </c>
      <c r="G4712" s="5" t="str">
        <f t="shared" si="147"/>
        <v>АВТОВОКЗАЛ</v>
      </c>
      <c r="J4712" s="5"/>
      <c r="AL4712" s="5">
        <f t="shared" si="148"/>
        <v>0</v>
      </c>
    </row>
    <row r="4713" spans="1:38" ht="25.5" customHeight="1" x14ac:dyDescent="0.25">
      <c r="A4713" s="10" t="s">
        <v>3706</v>
      </c>
      <c r="B4713" s="11" t="s">
        <v>1631</v>
      </c>
      <c r="C4713" s="5">
        <v>70026.7601</v>
      </c>
      <c r="D4713" s="5">
        <v>70026.7601</v>
      </c>
      <c r="E4713" s="5">
        <v>63410.482000000004</v>
      </c>
      <c r="G4713" s="5" t="str">
        <f t="shared" si="147"/>
        <v>УРАЛМАШ</v>
      </c>
      <c r="J4713" s="5"/>
      <c r="AL4713" s="5">
        <f t="shared" si="148"/>
        <v>0</v>
      </c>
    </row>
    <row r="4714" spans="1:38" ht="25.5" customHeight="1" x14ac:dyDescent="0.25">
      <c r="A4714" s="10" t="s">
        <v>3707</v>
      </c>
      <c r="B4714" s="11" t="s">
        <v>1637</v>
      </c>
      <c r="C4714" s="5">
        <v>59368.686099999999</v>
      </c>
      <c r="D4714" s="5">
        <v>59368.686099999999</v>
      </c>
      <c r="E4714" s="5">
        <v>53759.401700000002</v>
      </c>
      <c r="G4714" s="5" t="str">
        <f t="shared" si="147"/>
        <v>Старая сортировка</v>
      </c>
      <c r="J4714" s="5"/>
      <c r="AL4714" s="5">
        <f t="shared" si="148"/>
        <v>0</v>
      </c>
    </row>
    <row r="4715" spans="1:38" ht="25.5" customHeight="1" x14ac:dyDescent="0.25">
      <c r="A4715" s="10" t="s">
        <v>3708</v>
      </c>
      <c r="B4715" s="11" t="s">
        <v>1637</v>
      </c>
      <c r="C4715" s="5">
        <v>59368.686099999999</v>
      </c>
      <c r="D4715" s="5">
        <v>59368.686099999999</v>
      </c>
      <c r="E4715" s="5">
        <v>53759.401700000002</v>
      </c>
      <c r="G4715" s="5" t="str">
        <f t="shared" si="147"/>
        <v>Старая сортировка</v>
      </c>
      <c r="J4715" s="5"/>
      <c r="AL4715" s="5">
        <f t="shared" si="148"/>
        <v>0</v>
      </c>
    </row>
    <row r="4716" spans="1:38" ht="25.5" customHeight="1" x14ac:dyDescent="0.25">
      <c r="A4716" s="10" t="s">
        <v>1617</v>
      </c>
      <c r="B4716" s="11" t="s">
        <v>14</v>
      </c>
      <c r="C4716" s="5">
        <v>93989.912800000006</v>
      </c>
      <c r="D4716" s="5">
        <v>93989.912800000006</v>
      </c>
      <c r="E4716" s="5">
        <v>85109.545199999993</v>
      </c>
      <c r="G4716" s="5" t="str">
        <f t="shared" si="147"/>
        <v>Центр</v>
      </c>
      <c r="J4716" s="5"/>
      <c r="AL4716" s="5">
        <f t="shared" si="148"/>
        <v>0</v>
      </c>
    </row>
    <row r="4717" spans="1:38" ht="25.5" customHeight="1" x14ac:dyDescent="0.25">
      <c r="A4717" s="10" t="s">
        <v>181</v>
      </c>
      <c r="B4717" s="11" t="s">
        <v>1630</v>
      </c>
      <c r="C4717" s="5">
        <v>62652.9401</v>
      </c>
      <c r="D4717" s="5">
        <v>62652.9401</v>
      </c>
      <c r="E4717" s="5">
        <v>56733.3557</v>
      </c>
      <c r="G4717" s="5" t="str">
        <f t="shared" si="147"/>
        <v>ЧЕРМЕТ</v>
      </c>
      <c r="J4717" s="5"/>
      <c r="AL4717" s="5">
        <f t="shared" si="148"/>
        <v>0</v>
      </c>
    </row>
    <row r="4718" spans="1:38" ht="25.5" customHeight="1" x14ac:dyDescent="0.25">
      <c r="A4718" s="10" t="s">
        <v>612</v>
      </c>
      <c r="B4718" s="11" t="s">
        <v>1644</v>
      </c>
      <c r="C4718" s="5">
        <v>61980.678599999999</v>
      </c>
      <c r="D4718" s="5">
        <v>61980.678599999999</v>
      </c>
      <c r="E4718" s="5">
        <v>56124.615700000002</v>
      </c>
      <c r="G4718" s="5" t="str">
        <f t="shared" si="147"/>
        <v>ХИММАШ</v>
      </c>
      <c r="J4718" s="5"/>
      <c r="AL4718" s="5">
        <f t="shared" si="148"/>
        <v>0</v>
      </c>
    </row>
    <row r="4719" spans="1:38" ht="25.5" customHeight="1" x14ac:dyDescent="0.25">
      <c r="A4719" s="10" t="s">
        <v>3709</v>
      </c>
      <c r="B4719" s="11" t="s">
        <v>1651</v>
      </c>
      <c r="C4719" s="5">
        <v>68129.029500000004</v>
      </c>
      <c r="D4719" s="5">
        <v>68129.029500000004</v>
      </c>
      <c r="E4719" s="5">
        <v>61692.054799999998</v>
      </c>
      <c r="G4719" s="5" t="str">
        <f t="shared" si="147"/>
        <v>ШАРТАШ</v>
      </c>
      <c r="J4719" s="5"/>
      <c r="AL4719" s="5">
        <f t="shared" si="148"/>
        <v>0</v>
      </c>
    </row>
    <row r="4720" spans="1:38" ht="25.5" customHeight="1" x14ac:dyDescent="0.25">
      <c r="A4720" s="10" t="s">
        <v>3710</v>
      </c>
      <c r="B4720" s="11" t="s">
        <v>1630</v>
      </c>
      <c r="C4720" s="5">
        <v>62652.9401</v>
      </c>
      <c r="D4720" s="5">
        <v>62652.9401</v>
      </c>
      <c r="E4720" s="5">
        <v>56733.3557</v>
      </c>
      <c r="G4720" s="5" t="str">
        <f t="shared" si="147"/>
        <v>ЧЕРМЕТ</v>
      </c>
      <c r="J4720" s="5"/>
      <c r="AL4720" s="5">
        <f t="shared" si="148"/>
        <v>0</v>
      </c>
    </row>
    <row r="4721" spans="1:38" ht="25.5" customHeight="1" x14ac:dyDescent="0.25">
      <c r="A4721" s="10" t="s">
        <v>302</v>
      </c>
      <c r="B4721" s="11" t="s">
        <v>1631</v>
      </c>
      <c r="C4721" s="5">
        <v>70026.7601</v>
      </c>
      <c r="D4721" s="5">
        <v>70026.7601</v>
      </c>
      <c r="E4721" s="5">
        <v>63410.482000000004</v>
      </c>
      <c r="G4721" s="5" t="str">
        <f t="shared" si="147"/>
        <v>УРАЛМАШ</v>
      </c>
      <c r="J4721" s="5"/>
      <c r="AL4721" s="5">
        <f t="shared" si="148"/>
        <v>0</v>
      </c>
    </row>
    <row r="4722" spans="1:38" ht="25.5" customHeight="1" x14ac:dyDescent="0.25">
      <c r="A4722" s="10" t="s">
        <v>1026</v>
      </c>
      <c r="B4722" s="11" t="s">
        <v>1653</v>
      </c>
      <c r="C4722" s="5">
        <v>56847.723400000003</v>
      </c>
      <c r="D4722" s="5">
        <v>56847.723400000003</v>
      </c>
      <c r="E4722" s="5">
        <v>51476.629399999998</v>
      </c>
      <c r="G4722" s="5" t="str">
        <f t="shared" si="147"/>
        <v>ПТИЦЕФАБРИКА</v>
      </c>
      <c r="J4722" s="5"/>
      <c r="AL4722" s="5">
        <f t="shared" si="148"/>
        <v>0</v>
      </c>
    </row>
    <row r="4723" spans="1:38" ht="25.5" customHeight="1" x14ac:dyDescent="0.25">
      <c r="A4723" s="10" t="s">
        <v>3711</v>
      </c>
      <c r="B4723" s="11" t="s">
        <v>66</v>
      </c>
      <c r="C4723" s="5">
        <v>64795.756300000001</v>
      </c>
      <c r="D4723" s="5">
        <v>64795.756300000001</v>
      </c>
      <c r="E4723" s="5">
        <v>58673.716200000003</v>
      </c>
      <c r="G4723" s="5" t="str">
        <f t="shared" si="147"/>
        <v>УНЦ</v>
      </c>
      <c r="J4723" s="5"/>
      <c r="AL4723" s="5">
        <f t="shared" si="148"/>
        <v>0</v>
      </c>
    </row>
    <row r="4724" spans="1:38" ht="25.5" customHeight="1" x14ac:dyDescent="0.25">
      <c r="A4724" s="10" t="s">
        <v>899</v>
      </c>
      <c r="B4724" s="11" t="s">
        <v>1629</v>
      </c>
      <c r="C4724" s="5">
        <v>77743.704100000003</v>
      </c>
      <c r="D4724" s="5">
        <v>77743.704100000003</v>
      </c>
      <c r="E4724" s="5">
        <v>70398.310800000007</v>
      </c>
      <c r="G4724" s="5" t="str">
        <f t="shared" si="147"/>
        <v>ПИОНЕРСКИЙ</v>
      </c>
      <c r="J4724" s="5"/>
      <c r="AL4724" s="5">
        <f t="shared" si="148"/>
        <v>0</v>
      </c>
    </row>
    <row r="4725" spans="1:38" ht="25.5" customHeight="1" x14ac:dyDescent="0.25">
      <c r="A4725" s="10" t="s">
        <v>1573</v>
      </c>
      <c r="B4725" s="11" t="s">
        <v>1643</v>
      </c>
      <c r="C4725" s="5">
        <v>76630.280299999999</v>
      </c>
      <c r="D4725" s="5">
        <v>76630.280299999999</v>
      </c>
      <c r="E4725" s="5">
        <v>69390.088799999998</v>
      </c>
      <c r="G4725" s="5" t="str">
        <f t="shared" si="147"/>
        <v>Ю-З</v>
      </c>
      <c r="J4725" s="5"/>
      <c r="AL4725" s="5">
        <f t="shared" si="148"/>
        <v>0</v>
      </c>
    </row>
    <row r="4726" spans="1:38" ht="25.5" customHeight="1" x14ac:dyDescent="0.25">
      <c r="A4726" s="10" t="s">
        <v>3712</v>
      </c>
      <c r="B4726" s="11" t="s">
        <v>1630</v>
      </c>
      <c r="C4726" s="5">
        <v>62652.9401</v>
      </c>
      <c r="D4726" s="5">
        <v>62652.9401</v>
      </c>
      <c r="E4726" s="5">
        <v>56733.3557</v>
      </c>
      <c r="G4726" s="5" t="str">
        <f t="shared" si="147"/>
        <v>ЧЕРМЕТ</v>
      </c>
      <c r="J4726" s="5"/>
      <c r="AL4726" s="5">
        <f t="shared" si="148"/>
        <v>0</v>
      </c>
    </row>
    <row r="4727" spans="1:38" ht="25.5" customHeight="1" x14ac:dyDescent="0.25">
      <c r="A4727" s="10" t="s">
        <v>3713</v>
      </c>
      <c r="B4727" s="11" t="s">
        <v>1658</v>
      </c>
      <c r="C4727" s="5">
        <v>68647.224799999996</v>
      </c>
      <c r="D4727" s="5">
        <v>68647.224799999996</v>
      </c>
      <c r="E4727" s="5">
        <v>62161.2929</v>
      </c>
      <c r="G4727" s="5" t="str">
        <f t="shared" si="147"/>
        <v>СИНИЕ КАМНИ</v>
      </c>
      <c r="J4727" s="5"/>
      <c r="AL4727" s="5">
        <f t="shared" si="148"/>
        <v>0</v>
      </c>
    </row>
    <row r="4728" spans="1:38" ht="25.5" customHeight="1" x14ac:dyDescent="0.25">
      <c r="A4728" s="10" t="s">
        <v>3714</v>
      </c>
      <c r="B4728" s="11" t="s">
        <v>1657</v>
      </c>
      <c r="C4728" s="5">
        <v>54886.9666</v>
      </c>
      <c r="D4728" s="5">
        <v>54886.9666</v>
      </c>
      <c r="E4728" s="5">
        <v>49701.1319</v>
      </c>
      <c r="G4728" s="5" t="str">
        <f t="shared" si="147"/>
        <v>КОЛЬЦОВО</v>
      </c>
      <c r="J4728" s="5"/>
      <c r="AL4728" s="5">
        <f t="shared" si="148"/>
        <v>0</v>
      </c>
    </row>
    <row r="4729" spans="1:38" ht="25.5" customHeight="1" x14ac:dyDescent="0.25">
      <c r="A4729" s="10" t="s">
        <v>3715</v>
      </c>
      <c r="B4729" s="11" t="s">
        <v>1630</v>
      </c>
      <c r="C4729" s="5">
        <v>62652.9401</v>
      </c>
      <c r="D4729" s="5">
        <v>62652.9401</v>
      </c>
      <c r="E4729" s="5">
        <v>56733.3557</v>
      </c>
      <c r="G4729" s="5" t="str">
        <f t="shared" si="147"/>
        <v>ЧЕРМЕТ</v>
      </c>
      <c r="J4729" s="5"/>
      <c r="AL4729" s="5">
        <f t="shared" si="148"/>
        <v>0</v>
      </c>
    </row>
    <row r="4730" spans="1:38" ht="25.5" customHeight="1" x14ac:dyDescent="0.25">
      <c r="A4730" s="10" t="s">
        <v>3716</v>
      </c>
      <c r="B4730" s="11" t="s">
        <v>33</v>
      </c>
      <c r="C4730" s="5">
        <v>84298.205100000006</v>
      </c>
      <c r="D4730" s="5">
        <v>84298.205100000006</v>
      </c>
      <c r="E4730" s="5">
        <v>76333.533100000001</v>
      </c>
      <c r="G4730" s="5" t="str">
        <f t="shared" si="147"/>
        <v>ВИЗ</v>
      </c>
      <c r="J4730" s="5"/>
      <c r="AL4730" s="5">
        <f t="shared" si="148"/>
        <v>0</v>
      </c>
    </row>
    <row r="4731" spans="1:38" ht="25.5" customHeight="1" x14ac:dyDescent="0.25">
      <c r="A4731" s="10" t="s">
        <v>3717</v>
      </c>
      <c r="B4731" s="11" t="s">
        <v>1641</v>
      </c>
      <c r="C4731" s="5">
        <v>63556.280200000001</v>
      </c>
      <c r="D4731" s="5">
        <v>63556.280200000001</v>
      </c>
      <c r="E4731" s="5">
        <v>57551.353499999997</v>
      </c>
      <c r="G4731" s="5" t="str">
        <f t="shared" si="147"/>
        <v>СИБИРСКИЙ</v>
      </c>
      <c r="J4731" s="5"/>
      <c r="AL4731" s="5">
        <f t="shared" si="148"/>
        <v>0</v>
      </c>
    </row>
    <row r="4732" spans="1:38" ht="25.5" customHeight="1" x14ac:dyDescent="0.25">
      <c r="A4732" s="10" t="s">
        <v>712</v>
      </c>
      <c r="B4732" s="11" t="s">
        <v>1627</v>
      </c>
      <c r="C4732" s="5">
        <v>56392.543899999997</v>
      </c>
      <c r="D4732" s="5">
        <v>56392.543899999997</v>
      </c>
      <c r="E4732" s="5">
        <v>51064.4617</v>
      </c>
      <c r="G4732" s="5" t="str">
        <f t="shared" si="147"/>
        <v>КОМПРЕССОРНЫЙ</v>
      </c>
      <c r="J4732" s="5"/>
      <c r="AL4732" s="5">
        <f t="shared" si="148"/>
        <v>0</v>
      </c>
    </row>
    <row r="4733" spans="1:38" ht="25.5" customHeight="1" x14ac:dyDescent="0.25">
      <c r="A4733" s="10" t="s">
        <v>3718</v>
      </c>
      <c r="B4733" s="11" t="s">
        <v>1647</v>
      </c>
      <c r="C4733" s="5">
        <v>63178.133800000003</v>
      </c>
      <c r="D4733" s="5">
        <v>63178.133800000003</v>
      </c>
      <c r="E4733" s="5">
        <v>57208.931499999999</v>
      </c>
      <c r="G4733" s="5" t="str">
        <f t="shared" si="147"/>
        <v>ШИРОКАЯ РЕЧКА</v>
      </c>
      <c r="J4733" s="5"/>
      <c r="AL4733" s="5">
        <f t="shared" si="148"/>
        <v>0</v>
      </c>
    </row>
    <row r="4734" spans="1:38" ht="25.5" customHeight="1" x14ac:dyDescent="0.25">
      <c r="A4734" s="10" t="s">
        <v>3719</v>
      </c>
      <c r="B4734" s="11" t="s">
        <v>14</v>
      </c>
      <c r="C4734" s="5">
        <v>93989.912800000006</v>
      </c>
      <c r="D4734" s="5">
        <v>93989.912800000006</v>
      </c>
      <c r="E4734" s="5">
        <v>85109.545199999993</v>
      </c>
      <c r="G4734" s="5" t="str">
        <f t="shared" si="147"/>
        <v>Центр</v>
      </c>
      <c r="J4734" s="5"/>
      <c r="AL4734" s="5">
        <f t="shared" si="148"/>
        <v>0</v>
      </c>
    </row>
    <row r="4735" spans="1:38" ht="25.5" customHeight="1" x14ac:dyDescent="0.25">
      <c r="A4735" s="10" t="s">
        <v>3720</v>
      </c>
      <c r="B4735" s="11" t="s">
        <v>1637</v>
      </c>
      <c r="C4735" s="5">
        <v>59368.686099999999</v>
      </c>
      <c r="D4735" s="5">
        <v>59368.686099999999</v>
      </c>
      <c r="E4735" s="5">
        <v>53759.401700000002</v>
      </c>
      <c r="G4735" s="5" t="str">
        <f t="shared" ref="G4735:G4798" si="149">B4735</f>
        <v>Старая сортировка</v>
      </c>
      <c r="J4735" s="5"/>
      <c r="AL4735" s="5">
        <f t="shared" ref="AL4735:AL4798" si="150">AF4735</f>
        <v>0</v>
      </c>
    </row>
    <row r="4736" spans="1:38" ht="25.5" customHeight="1" x14ac:dyDescent="0.25">
      <c r="A4736" s="10" t="s">
        <v>1518</v>
      </c>
      <c r="B4736" s="11" t="s">
        <v>1654</v>
      </c>
      <c r="C4736" s="5">
        <v>56140.449699999997</v>
      </c>
      <c r="D4736" s="5">
        <v>56140.449699999997</v>
      </c>
      <c r="E4736" s="5">
        <v>50836.1803</v>
      </c>
      <c r="G4736" s="5" t="str">
        <f t="shared" si="149"/>
        <v>ЗАВОКЗАЛЬНЫЙ</v>
      </c>
      <c r="J4736" s="5"/>
      <c r="AL4736" s="5">
        <f t="shared" si="150"/>
        <v>0</v>
      </c>
    </row>
    <row r="4737" spans="1:38" ht="25.5" customHeight="1" x14ac:dyDescent="0.25">
      <c r="A4737" s="10" t="s">
        <v>3721</v>
      </c>
      <c r="B4737" s="11" t="s">
        <v>1647</v>
      </c>
      <c r="C4737" s="5">
        <v>63178.133800000003</v>
      </c>
      <c r="D4737" s="5">
        <v>63178.133800000003</v>
      </c>
      <c r="E4737" s="5">
        <v>57208.931499999999</v>
      </c>
      <c r="G4737" s="5" t="str">
        <f t="shared" si="149"/>
        <v>ШИРОКАЯ РЕЧКА</v>
      </c>
      <c r="J4737" s="5"/>
      <c r="AL4737" s="5">
        <f t="shared" si="150"/>
        <v>0</v>
      </c>
    </row>
    <row r="4738" spans="1:38" ht="25.5" customHeight="1" x14ac:dyDescent="0.25">
      <c r="A4738" s="10" t="s">
        <v>3722</v>
      </c>
      <c r="B4738" s="11" t="s">
        <v>1637</v>
      </c>
      <c r="C4738" s="5">
        <v>59368.686099999999</v>
      </c>
      <c r="D4738" s="5">
        <v>59368.686099999999</v>
      </c>
      <c r="E4738" s="5">
        <v>53759.401700000002</v>
      </c>
      <c r="G4738" s="5" t="str">
        <f t="shared" si="149"/>
        <v>Старая сортировка</v>
      </c>
      <c r="J4738" s="5"/>
      <c r="AL4738" s="5">
        <f t="shared" si="150"/>
        <v>0</v>
      </c>
    </row>
    <row r="4739" spans="1:38" ht="25.5" customHeight="1" x14ac:dyDescent="0.25">
      <c r="A4739" s="10" t="s">
        <v>1406</v>
      </c>
      <c r="B4739" s="11" t="s">
        <v>1660</v>
      </c>
      <c r="C4739" s="5">
        <v>53262.345800000003</v>
      </c>
      <c r="D4739" s="5">
        <v>53262.345800000003</v>
      </c>
      <c r="E4739" s="5">
        <v>48230.0095</v>
      </c>
      <c r="G4739" s="5" t="str">
        <f t="shared" si="149"/>
        <v>САДОВЫЙ</v>
      </c>
      <c r="J4739" s="5"/>
      <c r="AL4739" s="5">
        <f t="shared" si="150"/>
        <v>0</v>
      </c>
    </row>
    <row r="4740" spans="1:38" ht="25.5" customHeight="1" x14ac:dyDescent="0.25">
      <c r="A4740" s="10" t="s">
        <v>1087</v>
      </c>
      <c r="B4740" s="11" t="s">
        <v>1647</v>
      </c>
      <c r="C4740" s="5">
        <v>63178.133800000003</v>
      </c>
      <c r="D4740" s="5">
        <v>63178.133800000003</v>
      </c>
      <c r="E4740" s="5">
        <v>57208.931499999999</v>
      </c>
      <c r="G4740" s="5" t="str">
        <f t="shared" si="149"/>
        <v>ШИРОКАЯ РЕЧКА</v>
      </c>
      <c r="J4740" s="5"/>
      <c r="AL4740" s="5">
        <f t="shared" si="150"/>
        <v>0</v>
      </c>
    </row>
    <row r="4741" spans="1:38" ht="25.5" customHeight="1" x14ac:dyDescent="0.25">
      <c r="A4741" s="10" t="s">
        <v>3723</v>
      </c>
      <c r="B4741" s="11" t="s">
        <v>1632</v>
      </c>
      <c r="C4741" s="5">
        <v>83744.997499999998</v>
      </c>
      <c r="D4741" s="5">
        <v>83744.997499999998</v>
      </c>
      <c r="E4741" s="5">
        <v>75832.596099999995</v>
      </c>
      <c r="G4741" s="5" t="str">
        <f t="shared" si="149"/>
        <v>АВТОВОКЗАЛ</v>
      </c>
      <c r="J4741" s="5"/>
      <c r="AL4741" s="5">
        <f t="shared" si="150"/>
        <v>0</v>
      </c>
    </row>
    <row r="4742" spans="1:38" ht="25.5" customHeight="1" x14ac:dyDescent="0.25">
      <c r="A4742" s="10" t="s">
        <v>673</v>
      </c>
      <c r="B4742" s="11" t="s">
        <v>1638</v>
      </c>
      <c r="C4742" s="5">
        <v>63640.311600000001</v>
      </c>
      <c r="D4742" s="5">
        <v>63640.311600000001</v>
      </c>
      <c r="E4742" s="5">
        <v>57627.4473</v>
      </c>
      <c r="G4742" s="5" t="str">
        <f t="shared" si="149"/>
        <v>УКТУС</v>
      </c>
      <c r="J4742" s="5"/>
      <c r="AL4742" s="5">
        <f t="shared" si="150"/>
        <v>0</v>
      </c>
    </row>
    <row r="4743" spans="1:38" ht="25.5" customHeight="1" x14ac:dyDescent="0.25">
      <c r="A4743" s="10" t="s">
        <v>3724</v>
      </c>
      <c r="B4743" s="11" t="s">
        <v>1651</v>
      </c>
      <c r="C4743" s="5">
        <v>68129.029500000004</v>
      </c>
      <c r="D4743" s="5">
        <v>68129.029500000004</v>
      </c>
      <c r="E4743" s="5">
        <v>61692.054799999998</v>
      </c>
      <c r="G4743" s="5" t="str">
        <f t="shared" si="149"/>
        <v>ШАРТАШ</v>
      </c>
      <c r="J4743" s="5"/>
      <c r="AL4743" s="5">
        <f t="shared" si="150"/>
        <v>0</v>
      </c>
    </row>
    <row r="4744" spans="1:38" ht="25.5" customHeight="1" x14ac:dyDescent="0.25">
      <c r="A4744" s="10" t="s">
        <v>3725</v>
      </c>
      <c r="B4744" s="11" t="s">
        <v>1643</v>
      </c>
      <c r="C4744" s="5">
        <v>76630.280299999999</v>
      </c>
      <c r="D4744" s="5">
        <v>76630.280299999999</v>
      </c>
      <c r="E4744" s="5">
        <v>69390.088799999998</v>
      </c>
      <c r="G4744" s="5" t="str">
        <f t="shared" si="149"/>
        <v>Ю-З</v>
      </c>
      <c r="J4744" s="5"/>
      <c r="AL4744" s="5">
        <f t="shared" si="150"/>
        <v>0</v>
      </c>
    </row>
    <row r="4745" spans="1:38" ht="25.5" customHeight="1" x14ac:dyDescent="0.25">
      <c r="A4745" s="10" t="s">
        <v>63</v>
      </c>
      <c r="B4745" s="11" t="s">
        <v>1631</v>
      </c>
      <c r="C4745" s="5">
        <v>70026.7601</v>
      </c>
      <c r="D4745" s="5">
        <v>70026.7601</v>
      </c>
      <c r="E4745" s="5">
        <v>63410.482000000004</v>
      </c>
      <c r="G4745" s="5" t="str">
        <f t="shared" si="149"/>
        <v>УРАЛМАШ</v>
      </c>
      <c r="J4745" s="5"/>
      <c r="AL4745" s="5">
        <f t="shared" si="150"/>
        <v>0</v>
      </c>
    </row>
    <row r="4746" spans="1:38" ht="25.5" customHeight="1" x14ac:dyDescent="0.25">
      <c r="A4746" s="10" t="s">
        <v>3726</v>
      </c>
      <c r="B4746" s="11" t="s">
        <v>5166</v>
      </c>
      <c r="C4746" s="5">
        <v>49782.025399999999</v>
      </c>
      <c r="D4746" s="5">
        <v>49782.025399999999</v>
      </c>
      <c r="E4746" s="5">
        <v>45078.506800000003</v>
      </c>
      <c r="G4746" s="5" t="str">
        <f t="shared" si="149"/>
        <v>Чусовское озеро</v>
      </c>
      <c r="J4746" s="5"/>
      <c r="AL4746" s="5">
        <f t="shared" si="150"/>
        <v>0</v>
      </c>
    </row>
    <row r="4747" spans="1:38" ht="25.5" customHeight="1" x14ac:dyDescent="0.25">
      <c r="A4747" s="10" t="s">
        <v>3727</v>
      </c>
      <c r="B4747" s="11" t="s">
        <v>1630</v>
      </c>
      <c r="C4747" s="5">
        <v>62652.9401</v>
      </c>
      <c r="D4747" s="5">
        <v>62652.9401</v>
      </c>
      <c r="E4747" s="5">
        <v>56733.3557</v>
      </c>
      <c r="G4747" s="5" t="str">
        <f t="shared" si="149"/>
        <v>ЧЕРМЕТ</v>
      </c>
      <c r="J4747" s="5"/>
      <c r="AL4747" s="5">
        <f t="shared" si="150"/>
        <v>0</v>
      </c>
    </row>
    <row r="4748" spans="1:38" ht="25.5" customHeight="1" x14ac:dyDescent="0.25">
      <c r="A4748" s="10" t="s">
        <v>3728</v>
      </c>
      <c r="B4748" s="11" t="s">
        <v>1651</v>
      </c>
      <c r="C4748" s="5">
        <v>68129.029500000004</v>
      </c>
      <c r="D4748" s="5">
        <v>68129.029500000004</v>
      </c>
      <c r="E4748" s="5">
        <v>61692.054799999998</v>
      </c>
      <c r="G4748" s="5" t="str">
        <f t="shared" si="149"/>
        <v>ШАРТАШ</v>
      </c>
      <c r="J4748" s="5"/>
      <c r="AL4748" s="5">
        <f t="shared" si="150"/>
        <v>0</v>
      </c>
    </row>
    <row r="4749" spans="1:38" ht="25.5" customHeight="1" x14ac:dyDescent="0.25">
      <c r="A4749" s="10" t="s">
        <v>1052</v>
      </c>
      <c r="B4749" s="11" t="s">
        <v>1649</v>
      </c>
      <c r="C4749" s="5">
        <v>78633.047600000005</v>
      </c>
      <c r="D4749" s="5">
        <v>78633.047600000005</v>
      </c>
      <c r="E4749" s="5">
        <v>71203.623000000007</v>
      </c>
      <c r="G4749" s="5" t="str">
        <f t="shared" si="149"/>
        <v>ВОКЗАЛЬНЫЙ</v>
      </c>
      <c r="J4749" s="5"/>
      <c r="AL4749" s="5">
        <f t="shared" si="150"/>
        <v>0</v>
      </c>
    </row>
    <row r="4750" spans="1:38" ht="25.5" customHeight="1" x14ac:dyDescent="0.25">
      <c r="A4750" s="10" t="s">
        <v>3729</v>
      </c>
      <c r="B4750" s="11" t="s">
        <v>1657</v>
      </c>
      <c r="C4750" s="5">
        <v>54886.9666</v>
      </c>
      <c r="D4750" s="5">
        <v>54886.9666</v>
      </c>
      <c r="E4750" s="5">
        <v>49701.1319</v>
      </c>
      <c r="G4750" s="5" t="str">
        <f t="shared" si="149"/>
        <v>КОЛЬЦОВО</v>
      </c>
      <c r="J4750" s="5"/>
      <c r="AL4750" s="5">
        <f t="shared" si="150"/>
        <v>0</v>
      </c>
    </row>
    <row r="4751" spans="1:38" ht="25.5" customHeight="1" x14ac:dyDescent="0.25">
      <c r="A4751" s="10" t="s">
        <v>3730</v>
      </c>
      <c r="B4751" s="11" t="s">
        <v>33</v>
      </c>
      <c r="C4751" s="5">
        <v>84298.205100000006</v>
      </c>
      <c r="D4751" s="5">
        <v>84298.205100000006</v>
      </c>
      <c r="E4751" s="5">
        <v>76333.533100000001</v>
      </c>
      <c r="G4751" s="5" t="str">
        <f t="shared" si="149"/>
        <v>ВИЗ</v>
      </c>
      <c r="J4751" s="5"/>
      <c r="AL4751" s="5">
        <f t="shared" si="150"/>
        <v>0</v>
      </c>
    </row>
    <row r="4752" spans="1:38" ht="25.5" customHeight="1" x14ac:dyDescent="0.25">
      <c r="A4752" s="10" t="s">
        <v>3731</v>
      </c>
      <c r="B4752" s="11" t="s">
        <v>779</v>
      </c>
      <c r="C4752" s="5">
        <v>46784.877899999999</v>
      </c>
      <c r="D4752" s="5">
        <v>46784.877899999999</v>
      </c>
      <c r="E4752" s="5">
        <v>42364.543299999998</v>
      </c>
      <c r="G4752" s="5" t="str">
        <f t="shared" si="149"/>
        <v>Нижнеисетский</v>
      </c>
      <c r="J4752" s="5"/>
      <c r="AL4752" s="5">
        <f t="shared" si="150"/>
        <v>0</v>
      </c>
    </row>
    <row r="4753" spans="1:38" ht="25.5" customHeight="1" x14ac:dyDescent="0.25">
      <c r="A4753" s="10" t="s">
        <v>421</v>
      </c>
      <c r="B4753" s="11" t="s">
        <v>1628</v>
      </c>
      <c r="C4753" s="5">
        <v>70734.0236</v>
      </c>
      <c r="D4753" s="5">
        <v>70734.0236</v>
      </c>
      <c r="E4753" s="5">
        <v>64050.9208</v>
      </c>
      <c r="G4753" s="5" t="str">
        <f t="shared" si="149"/>
        <v>ЭЛЬМАШ</v>
      </c>
      <c r="J4753" s="5"/>
      <c r="AL4753" s="5">
        <f t="shared" si="150"/>
        <v>0</v>
      </c>
    </row>
    <row r="4754" spans="1:38" ht="25.5" customHeight="1" x14ac:dyDescent="0.25">
      <c r="A4754" s="10" t="s">
        <v>3732</v>
      </c>
      <c r="B4754" s="11" t="s">
        <v>1636</v>
      </c>
      <c r="C4754" s="5">
        <v>52246.960299999999</v>
      </c>
      <c r="D4754" s="5">
        <v>52246.960299999999</v>
      </c>
      <c r="E4754" s="5">
        <v>47310.556700000001</v>
      </c>
      <c r="G4754" s="5" t="str">
        <f t="shared" si="149"/>
        <v>ГОРНЫЙ ЩИТ</v>
      </c>
      <c r="J4754" s="5"/>
      <c r="AL4754" s="5">
        <f t="shared" si="150"/>
        <v>0</v>
      </c>
    </row>
    <row r="4755" spans="1:38" ht="25.5" customHeight="1" x14ac:dyDescent="0.25">
      <c r="A4755" s="10" t="s">
        <v>3733</v>
      </c>
      <c r="B4755" s="11" t="s">
        <v>1644</v>
      </c>
      <c r="C4755" s="5">
        <v>61980.678599999999</v>
      </c>
      <c r="D4755" s="5">
        <v>61980.678599999999</v>
      </c>
      <c r="E4755" s="5">
        <v>56124.615700000002</v>
      </c>
      <c r="G4755" s="5" t="str">
        <f t="shared" si="149"/>
        <v>ХИММАШ</v>
      </c>
      <c r="J4755" s="5"/>
      <c r="AL4755" s="5">
        <f t="shared" si="150"/>
        <v>0</v>
      </c>
    </row>
    <row r="4756" spans="1:38" ht="25.5" customHeight="1" x14ac:dyDescent="0.25">
      <c r="A4756" s="10" t="s">
        <v>283</v>
      </c>
      <c r="B4756" s="11" t="s">
        <v>1631</v>
      </c>
      <c r="C4756" s="5">
        <v>70026.7601</v>
      </c>
      <c r="D4756" s="5">
        <v>70026.7601</v>
      </c>
      <c r="E4756" s="5">
        <v>63410.482000000004</v>
      </c>
      <c r="G4756" s="5" t="str">
        <f t="shared" si="149"/>
        <v>УРАЛМАШ</v>
      </c>
      <c r="J4756" s="5"/>
      <c r="AL4756" s="5">
        <f t="shared" si="150"/>
        <v>0</v>
      </c>
    </row>
    <row r="4757" spans="1:38" ht="25.5" customHeight="1" x14ac:dyDescent="0.25">
      <c r="A4757" s="10" t="s">
        <v>1501</v>
      </c>
      <c r="B4757" s="11" t="s">
        <v>1632</v>
      </c>
      <c r="C4757" s="5">
        <v>83744.997499999998</v>
      </c>
      <c r="D4757" s="5">
        <v>83744.997499999998</v>
      </c>
      <c r="E4757" s="5">
        <v>75832.596099999995</v>
      </c>
      <c r="G4757" s="5" t="str">
        <f t="shared" si="149"/>
        <v>АВТОВОКЗАЛ</v>
      </c>
      <c r="J4757" s="5"/>
      <c r="AL4757" s="5">
        <f t="shared" si="150"/>
        <v>0</v>
      </c>
    </row>
    <row r="4758" spans="1:38" ht="25.5" customHeight="1" x14ac:dyDescent="0.25">
      <c r="A4758" s="10" t="s">
        <v>3734</v>
      </c>
      <c r="B4758" s="11" t="s">
        <v>1657</v>
      </c>
      <c r="C4758" s="5">
        <v>54886.9666</v>
      </c>
      <c r="D4758" s="5">
        <v>54886.9666</v>
      </c>
      <c r="E4758" s="5">
        <v>49701.1319</v>
      </c>
      <c r="G4758" s="5" t="str">
        <f t="shared" si="149"/>
        <v>КОЛЬЦОВО</v>
      </c>
      <c r="J4758" s="5"/>
      <c r="AL4758" s="5">
        <f t="shared" si="150"/>
        <v>0</v>
      </c>
    </row>
    <row r="4759" spans="1:38" ht="25.5" customHeight="1" x14ac:dyDescent="0.25">
      <c r="A4759" s="10" t="s">
        <v>3735</v>
      </c>
      <c r="B4759" s="11" t="s">
        <v>1643</v>
      </c>
      <c r="C4759" s="5">
        <v>76630.280299999999</v>
      </c>
      <c r="D4759" s="5">
        <v>76630.280299999999</v>
      </c>
      <c r="E4759" s="5">
        <v>69390.088799999998</v>
      </c>
      <c r="G4759" s="5" t="str">
        <f t="shared" si="149"/>
        <v>Ю-З</v>
      </c>
      <c r="J4759" s="5"/>
      <c r="AL4759" s="5">
        <f t="shared" si="150"/>
        <v>0</v>
      </c>
    </row>
    <row r="4760" spans="1:38" ht="25.5" customHeight="1" x14ac:dyDescent="0.25">
      <c r="A4760" s="10" t="s">
        <v>3736</v>
      </c>
      <c r="B4760" s="11" t="s">
        <v>779</v>
      </c>
      <c r="C4760" s="5">
        <v>46784.877899999999</v>
      </c>
      <c r="D4760" s="5">
        <v>46784.877899999999</v>
      </c>
      <c r="E4760" s="5">
        <v>42364.543299999998</v>
      </c>
      <c r="G4760" s="5" t="str">
        <f t="shared" si="149"/>
        <v>Нижнеисетский</v>
      </c>
      <c r="J4760" s="5"/>
      <c r="AL4760" s="5">
        <f t="shared" si="150"/>
        <v>0</v>
      </c>
    </row>
    <row r="4761" spans="1:38" ht="25.5" customHeight="1" x14ac:dyDescent="0.25">
      <c r="A4761" s="10" t="s">
        <v>169</v>
      </c>
      <c r="B4761" s="11" t="s">
        <v>1637</v>
      </c>
      <c r="C4761" s="5">
        <v>59368.686099999999</v>
      </c>
      <c r="D4761" s="5">
        <v>59368.686099999999</v>
      </c>
      <c r="E4761" s="5">
        <v>53759.401700000002</v>
      </c>
      <c r="G4761" s="5" t="str">
        <f t="shared" si="149"/>
        <v>Старая сортировка</v>
      </c>
      <c r="J4761" s="5"/>
      <c r="AL4761" s="5">
        <f t="shared" si="150"/>
        <v>0</v>
      </c>
    </row>
    <row r="4762" spans="1:38" ht="25.5" customHeight="1" x14ac:dyDescent="0.25">
      <c r="A4762" s="10" t="s">
        <v>3737</v>
      </c>
      <c r="B4762" s="11" t="s">
        <v>1657</v>
      </c>
      <c r="C4762" s="5">
        <v>54886.9666</v>
      </c>
      <c r="D4762" s="5">
        <v>54886.9666</v>
      </c>
      <c r="E4762" s="5">
        <v>49701.1319</v>
      </c>
      <c r="G4762" s="5" t="str">
        <f t="shared" si="149"/>
        <v>КОЛЬЦОВО</v>
      </c>
      <c r="J4762" s="5"/>
      <c r="AL4762" s="5">
        <f t="shared" si="150"/>
        <v>0</v>
      </c>
    </row>
    <row r="4763" spans="1:38" ht="25.5" customHeight="1" x14ac:dyDescent="0.25">
      <c r="A4763" s="10" t="s">
        <v>870</v>
      </c>
      <c r="B4763" s="11" t="s">
        <v>1631</v>
      </c>
      <c r="C4763" s="5">
        <v>70026.7601</v>
      </c>
      <c r="D4763" s="5">
        <v>70026.7601</v>
      </c>
      <c r="E4763" s="5">
        <v>63410.482000000004</v>
      </c>
      <c r="G4763" s="5" t="str">
        <f t="shared" si="149"/>
        <v>УРАЛМАШ</v>
      </c>
      <c r="J4763" s="5"/>
      <c r="AL4763" s="5">
        <f t="shared" si="150"/>
        <v>0</v>
      </c>
    </row>
    <row r="4764" spans="1:38" ht="25.5" customHeight="1" x14ac:dyDescent="0.25">
      <c r="A4764" s="10" t="s">
        <v>3738</v>
      </c>
      <c r="B4764" s="11" t="s">
        <v>1638</v>
      </c>
      <c r="C4764" s="5">
        <v>63640.311600000001</v>
      </c>
      <c r="D4764" s="5">
        <v>63640.311600000001</v>
      </c>
      <c r="E4764" s="5">
        <v>57627.4473</v>
      </c>
      <c r="G4764" s="5" t="str">
        <f t="shared" si="149"/>
        <v>УКТУС</v>
      </c>
      <c r="J4764" s="5"/>
      <c r="AL4764" s="5">
        <f t="shared" si="150"/>
        <v>0</v>
      </c>
    </row>
    <row r="4765" spans="1:38" ht="25.5" customHeight="1" x14ac:dyDescent="0.25">
      <c r="A4765" s="10" t="s">
        <v>3739</v>
      </c>
      <c r="B4765" s="11" t="s">
        <v>1637</v>
      </c>
      <c r="C4765" s="5">
        <v>59368.686099999999</v>
      </c>
      <c r="D4765" s="5">
        <v>59368.686099999999</v>
      </c>
      <c r="E4765" s="5">
        <v>53759.401700000002</v>
      </c>
      <c r="G4765" s="5" t="str">
        <f t="shared" si="149"/>
        <v>Старая сортировка</v>
      </c>
      <c r="J4765" s="5"/>
      <c r="AL4765" s="5">
        <f t="shared" si="150"/>
        <v>0</v>
      </c>
    </row>
    <row r="4766" spans="1:38" ht="25.5" customHeight="1" x14ac:dyDescent="0.25">
      <c r="A4766" s="10" t="s">
        <v>3740</v>
      </c>
      <c r="B4766" s="11" t="s">
        <v>118</v>
      </c>
      <c r="C4766" s="5">
        <v>53500.443299999999</v>
      </c>
      <c r="D4766" s="5">
        <v>53500.443299999999</v>
      </c>
      <c r="E4766" s="5">
        <v>48445.605100000001</v>
      </c>
      <c r="G4766" s="5" t="str">
        <f t="shared" si="149"/>
        <v>Исток</v>
      </c>
      <c r="J4766" s="5"/>
      <c r="AL4766" s="5">
        <f t="shared" si="150"/>
        <v>0</v>
      </c>
    </row>
    <row r="4767" spans="1:38" ht="25.5" customHeight="1" x14ac:dyDescent="0.25">
      <c r="A4767" s="10" t="s">
        <v>574</v>
      </c>
      <c r="B4767" s="11" t="s">
        <v>1644</v>
      </c>
      <c r="C4767" s="5">
        <v>61980.678599999999</v>
      </c>
      <c r="D4767" s="5">
        <v>61980.678599999999</v>
      </c>
      <c r="E4767" s="5">
        <v>56124.615700000002</v>
      </c>
      <c r="G4767" s="5" t="str">
        <f t="shared" si="149"/>
        <v>ХИММАШ</v>
      </c>
      <c r="J4767" s="5"/>
      <c r="AL4767" s="5">
        <f t="shared" si="150"/>
        <v>0</v>
      </c>
    </row>
    <row r="4768" spans="1:38" ht="25.5" customHeight="1" x14ac:dyDescent="0.25">
      <c r="A4768" s="10" t="s">
        <v>3741</v>
      </c>
      <c r="B4768" s="11" t="s">
        <v>1647</v>
      </c>
      <c r="C4768" s="5">
        <v>63178.133800000003</v>
      </c>
      <c r="D4768" s="5">
        <v>63178.133800000003</v>
      </c>
      <c r="E4768" s="5">
        <v>57208.931499999999</v>
      </c>
      <c r="G4768" s="5" t="str">
        <f t="shared" si="149"/>
        <v>ШИРОКАЯ РЕЧКА</v>
      </c>
      <c r="J4768" s="5"/>
      <c r="AL4768" s="5">
        <f t="shared" si="150"/>
        <v>0</v>
      </c>
    </row>
    <row r="4769" spans="1:38" ht="25.5" customHeight="1" x14ac:dyDescent="0.25">
      <c r="A4769" s="10" t="s">
        <v>3742</v>
      </c>
      <c r="B4769" s="11" t="s">
        <v>1647</v>
      </c>
      <c r="C4769" s="5">
        <v>63178.133800000003</v>
      </c>
      <c r="D4769" s="5">
        <v>63178.133800000003</v>
      </c>
      <c r="E4769" s="5">
        <v>57208.931499999999</v>
      </c>
      <c r="G4769" s="5" t="str">
        <f t="shared" si="149"/>
        <v>ШИРОКАЯ РЕЧКА</v>
      </c>
      <c r="J4769" s="5"/>
      <c r="AL4769" s="5">
        <f t="shared" si="150"/>
        <v>0</v>
      </c>
    </row>
    <row r="4770" spans="1:38" ht="25.5" customHeight="1" x14ac:dyDescent="0.25">
      <c r="A4770" s="10" t="s">
        <v>3743</v>
      </c>
      <c r="B4770" s="11" t="s">
        <v>66</v>
      </c>
      <c r="C4770" s="5">
        <v>64795.756300000001</v>
      </c>
      <c r="D4770" s="5">
        <v>64795.756300000001</v>
      </c>
      <c r="E4770" s="5">
        <v>58673.716200000003</v>
      </c>
      <c r="G4770" s="5" t="str">
        <f t="shared" si="149"/>
        <v>УНЦ</v>
      </c>
      <c r="J4770" s="5"/>
      <c r="AL4770" s="5">
        <f t="shared" si="150"/>
        <v>0</v>
      </c>
    </row>
    <row r="4771" spans="1:38" ht="25.5" customHeight="1" x14ac:dyDescent="0.25">
      <c r="A4771" s="10" t="s">
        <v>3744</v>
      </c>
      <c r="B4771" s="11" t="s">
        <v>1645</v>
      </c>
      <c r="C4771" s="5">
        <v>60958.294800000003</v>
      </c>
      <c r="D4771" s="5">
        <v>60958.294800000003</v>
      </c>
      <c r="E4771" s="5">
        <v>55198.825199999999</v>
      </c>
      <c r="G4771" s="5" t="str">
        <f t="shared" si="149"/>
        <v>ЕЛИЗАВЕТ</v>
      </c>
      <c r="J4771" s="5"/>
      <c r="AL4771" s="5">
        <f t="shared" si="150"/>
        <v>0</v>
      </c>
    </row>
    <row r="4772" spans="1:38" ht="25.5" customHeight="1" x14ac:dyDescent="0.25">
      <c r="A4772" s="10" t="s">
        <v>3745</v>
      </c>
      <c r="B4772" s="11" t="s">
        <v>1636</v>
      </c>
      <c r="C4772" s="5">
        <v>52246.960299999999</v>
      </c>
      <c r="D4772" s="5">
        <v>52246.960299999999</v>
      </c>
      <c r="E4772" s="5">
        <v>47310.556700000001</v>
      </c>
      <c r="G4772" s="5" t="str">
        <f t="shared" si="149"/>
        <v>ГОРНЫЙ ЩИТ</v>
      </c>
      <c r="J4772" s="5"/>
      <c r="AL4772" s="5">
        <f t="shared" si="150"/>
        <v>0</v>
      </c>
    </row>
    <row r="4773" spans="1:38" ht="25.5" customHeight="1" x14ac:dyDescent="0.25">
      <c r="A4773" s="10" t="s">
        <v>3746</v>
      </c>
      <c r="B4773" s="11" t="s">
        <v>1647</v>
      </c>
      <c r="C4773" s="5">
        <v>63178.133800000003</v>
      </c>
      <c r="D4773" s="5">
        <v>63178.133800000003</v>
      </c>
      <c r="E4773" s="5">
        <v>57208.931499999999</v>
      </c>
      <c r="G4773" s="5" t="str">
        <f t="shared" si="149"/>
        <v>ШИРОКАЯ РЕЧКА</v>
      </c>
      <c r="J4773" s="5"/>
      <c r="AL4773" s="5">
        <f t="shared" si="150"/>
        <v>0</v>
      </c>
    </row>
    <row r="4774" spans="1:38" ht="25.5" customHeight="1" x14ac:dyDescent="0.25">
      <c r="A4774" s="10" t="s">
        <v>171</v>
      </c>
      <c r="B4774" s="11" t="s">
        <v>14</v>
      </c>
      <c r="C4774" s="5">
        <v>93989.912800000006</v>
      </c>
      <c r="D4774" s="5">
        <v>93989.912800000006</v>
      </c>
      <c r="E4774" s="5">
        <v>85109.545199999993</v>
      </c>
      <c r="G4774" s="5" t="str">
        <f t="shared" si="149"/>
        <v>Центр</v>
      </c>
      <c r="J4774" s="5"/>
      <c r="AL4774" s="5">
        <f t="shared" si="150"/>
        <v>0</v>
      </c>
    </row>
    <row r="4775" spans="1:38" ht="25.5" customHeight="1" x14ac:dyDescent="0.25">
      <c r="A4775" s="10" t="s">
        <v>1346</v>
      </c>
      <c r="B4775" s="11" t="s">
        <v>1664</v>
      </c>
      <c r="C4775" s="5">
        <v>53668.506099999999</v>
      </c>
      <c r="D4775" s="5">
        <v>53668.506099999999</v>
      </c>
      <c r="E4775" s="5">
        <v>48597.792699999998</v>
      </c>
      <c r="G4775" s="5" t="str">
        <f t="shared" si="149"/>
        <v>ИЗОПЛИТ</v>
      </c>
      <c r="J4775" s="5"/>
      <c r="AL4775" s="5">
        <f t="shared" si="150"/>
        <v>0</v>
      </c>
    </row>
    <row r="4776" spans="1:38" ht="25.5" customHeight="1" x14ac:dyDescent="0.25">
      <c r="A4776" s="10" t="s">
        <v>3747</v>
      </c>
      <c r="B4776" s="11" t="s">
        <v>1636</v>
      </c>
      <c r="C4776" s="5">
        <v>52246.960299999999</v>
      </c>
      <c r="D4776" s="5">
        <v>52246.960299999999</v>
      </c>
      <c r="E4776" s="5">
        <v>47310.556700000001</v>
      </c>
      <c r="G4776" s="5" t="str">
        <f t="shared" si="149"/>
        <v>ГОРНЫЙ ЩИТ</v>
      </c>
      <c r="J4776" s="5"/>
      <c r="AL4776" s="5">
        <f t="shared" si="150"/>
        <v>0</v>
      </c>
    </row>
    <row r="4777" spans="1:38" ht="25.5" customHeight="1" x14ac:dyDescent="0.25">
      <c r="A4777" s="10" t="s">
        <v>1606</v>
      </c>
      <c r="B4777" s="11" t="s">
        <v>1667</v>
      </c>
      <c r="C4777" s="5">
        <v>56546.599699999999</v>
      </c>
      <c r="D4777" s="5">
        <v>56546.599699999999</v>
      </c>
      <c r="E4777" s="5">
        <v>51203.963499999998</v>
      </c>
      <c r="G4777" s="5" t="str">
        <f t="shared" si="149"/>
        <v>КАЛИНОВСКИЙ</v>
      </c>
      <c r="J4777" s="5"/>
      <c r="AL4777" s="5">
        <f t="shared" si="150"/>
        <v>0</v>
      </c>
    </row>
    <row r="4778" spans="1:38" ht="25.5" customHeight="1" x14ac:dyDescent="0.25">
      <c r="A4778" s="10" t="s">
        <v>3748</v>
      </c>
      <c r="B4778" s="11" t="s">
        <v>779</v>
      </c>
      <c r="C4778" s="5">
        <v>46784.877899999999</v>
      </c>
      <c r="D4778" s="5">
        <v>46784.877899999999</v>
      </c>
      <c r="E4778" s="5">
        <v>42364.543299999998</v>
      </c>
      <c r="G4778" s="5" t="str">
        <f t="shared" si="149"/>
        <v>Нижнеисетский</v>
      </c>
      <c r="J4778" s="5"/>
      <c r="AL4778" s="5">
        <f t="shared" si="150"/>
        <v>0</v>
      </c>
    </row>
    <row r="4779" spans="1:38" ht="25.5" customHeight="1" x14ac:dyDescent="0.25">
      <c r="A4779" s="10" t="s">
        <v>1022</v>
      </c>
      <c r="B4779" s="11" t="s">
        <v>1642</v>
      </c>
      <c r="C4779" s="5">
        <v>81392.097599999994</v>
      </c>
      <c r="D4779" s="5">
        <v>81392.097599999994</v>
      </c>
      <c r="E4779" s="5">
        <v>73702.001099999994</v>
      </c>
      <c r="G4779" s="5" t="str">
        <f t="shared" si="149"/>
        <v>ПАРКОВЫЙ</v>
      </c>
      <c r="J4779" s="5"/>
      <c r="AL4779" s="5">
        <f t="shared" si="150"/>
        <v>0</v>
      </c>
    </row>
    <row r="4780" spans="1:38" ht="25.5" customHeight="1" x14ac:dyDescent="0.25">
      <c r="A4780" s="10" t="s">
        <v>3749</v>
      </c>
      <c r="B4780" s="11" t="s">
        <v>1637</v>
      </c>
      <c r="C4780" s="5">
        <v>59368.686099999999</v>
      </c>
      <c r="D4780" s="5">
        <v>59368.686099999999</v>
      </c>
      <c r="E4780" s="5">
        <v>53759.401700000002</v>
      </c>
      <c r="G4780" s="5" t="str">
        <f t="shared" si="149"/>
        <v>Старая сортировка</v>
      </c>
      <c r="J4780" s="5"/>
      <c r="AL4780" s="5">
        <f t="shared" si="150"/>
        <v>0</v>
      </c>
    </row>
    <row r="4781" spans="1:38" ht="25.5" customHeight="1" x14ac:dyDescent="0.25">
      <c r="A4781" s="10" t="s">
        <v>3750</v>
      </c>
      <c r="B4781" s="11" t="s">
        <v>1629</v>
      </c>
      <c r="C4781" s="5">
        <v>77743.704100000003</v>
      </c>
      <c r="D4781" s="5">
        <v>77743.704100000003</v>
      </c>
      <c r="E4781" s="5">
        <v>70398.310800000007</v>
      </c>
      <c r="G4781" s="5" t="str">
        <f t="shared" si="149"/>
        <v>ПИОНЕРСКИЙ</v>
      </c>
      <c r="J4781" s="5"/>
      <c r="AL4781" s="5">
        <f t="shared" si="150"/>
        <v>0</v>
      </c>
    </row>
    <row r="4782" spans="1:38" ht="25.5" customHeight="1" x14ac:dyDescent="0.25">
      <c r="A4782" s="10" t="s">
        <v>1457</v>
      </c>
      <c r="B4782" s="11" t="s">
        <v>33</v>
      </c>
      <c r="C4782" s="5">
        <v>84298.205100000006</v>
      </c>
      <c r="D4782" s="5">
        <v>84298.205100000006</v>
      </c>
      <c r="E4782" s="5">
        <v>76333.533100000001</v>
      </c>
      <c r="G4782" s="5" t="str">
        <f t="shared" si="149"/>
        <v>ВИЗ</v>
      </c>
      <c r="J4782" s="5"/>
      <c r="AL4782" s="5">
        <f t="shared" si="150"/>
        <v>0</v>
      </c>
    </row>
    <row r="4783" spans="1:38" ht="25.5" customHeight="1" x14ac:dyDescent="0.25">
      <c r="A4783" s="10" t="s">
        <v>3751</v>
      </c>
      <c r="B4783" s="11" t="s">
        <v>1668</v>
      </c>
      <c r="C4783" s="5">
        <v>51343.6201</v>
      </c>
      <c r="D4783" s="5">
        <v>51343.6201</v>
      </c>
      <c r="E4783" s="5">
        <v>46492.558799999999</v>
      </c>
      <c r="G4783" s="5" t="str">
        <f t="shared" si="149"/>
        <v>МЕДНЫЙ</v>
      </c>
      <c r="J4783" s="5"/>
      <c r="AL4783" s="5">
        <f t="shared" si="150"/>
        <v>0</v>
      </c>
    </row>
    <row r="4784" spans="1:38" ht="25.5" customHeight="1" x14ac:dyDescent="0.25">
      <c r="A4784" s="10" t="s">
        <v>3752</v>
      </c>
      <c r="B4784" s="11" t="s">
        <v>5166</v>
      </c>
      <c r="C4784" s="5">
        <v>49782.025399999999</v>
      </c>
      <c r="D4784" s="5">
        <v>49782.025399999999</v>
      </c>
      <c r="E4784" s="5">
        <v>45078.506800000003</v>
      </c>
      <c r="G4784" s="5" t="str">
        <f t="shared" si="149"/>
        <v>Чусовское озеро</v>
      </c>
      <c r="J4784" s="5"/>
      <c r="AL4784" s="5">
        <f t="shared" si="150"/>
        <v>0</v>
      </c>
    </row>
    <row r="4785" spans="1:38" ht="25.5" customHeight="1" x14ac:dyDescent="0.25">
      <c r="A4785" s="10" t="s">
        <v>1603</v>
      </c>
      <c r="B4785" s="11" t="s">
        <v>1629</v>
      </c>
      <c r="C4785" s="5">
        <v>77743.704100000003</v>
      </c>
      <c r="D4785" s="5">
        <v>77743.704100000003</v>
      </c>
      <c r="E4785" s="5">
        <v>70398.310800000007</v>
      </c>
      <c r="G4785" s="5" t="str">
        <f t="shared" si="149"/>
        <v>ПИОНЕРСКИЙ</v>
      </c>
      <c r="J4785" s="5"/>
      <c r="AL4785" s="5">
        <f t="shared" si="150"/>
        <v>0</v>
      </c>
    </row>
    <row r="4786" spans="1:38" ht="25.5" customHeight="1" x14ac:dyDescent="0.25">
      <c r="A4786" s="10" t="s">
        <v>3753</v>
      </c>
      <c r="B4786" s="11" t="s">
        <v>1668</v>
      </c>
      <c r="C4786" s="5">
        <v>51343.6201</v>
      </c>
      <c r="D4786" s="5">
        <v>51343.6201</v>
      </c>
      <c r="E4786" s="5">
        <v>46492.558799999999</v>
      </c>
      <c r="G4786" s="5" t="str">
        <f t="shared" si="149"/>
        <v>МЕДНЫЙ</v>
      </c>
      <c r="J4786" s="5"/>
      <c r="AL4786" s="5">
        <f t="shared" si="150"/>
        <v>0</v>
      </c>
    </row>
    <row r="4787" spans="1:38" ht="25.5" customHeight="1" x14ac:dyDescent="0.25">
      <c r="A4787" s="10" t="s">
        <v>1590</v>
      </c>
      <c r="B4787" s="11" t="s">
        <v>1632</v>
      </c>
      <c r="C4787" s="5">
        <v>83744.997499999998</v>
      </c>
      <c r="D4787" s="5">
        <v>83744.997499999998</v>
      </c>
      <c r="E4787" s="5">
        <v>75832.596099999995</v>
      </c>
      <c r="G4787" s="5" t="str">
        <f t="shared" si="149"/>
        <v>АВТОВОКЗАЛ</v>
      </c>
      <c r="J4787" s="5"/>
      <c r="AL4787" s="5">
        <f t="shared" si="150"/>
        <v>0</v>
      </c>
    </row>
    <row r="4788" spans="1:38" ht="25.5" customHeight="1" x14ac:dyDescent="0.25">
      <c r="A4788" s="10" t="s">
        <v>844</v>
      </c>
      <c r="B4788" s="11" t="s">
        <v>1657</v>
      </c>
      <c r="C4788" s="5">
        <v>54886.9666</v>
      </c>
      <c r="D4788" s="5">
        <v>54886.9666</v>
      </c>
      <c r="E4788" s="5">
        <v>49701.1319</v>
      </c>
      <c r="G4788" s="5" t="str">
        <f t="shared" si="149"/>
        <v>КОЛЬЦОВО</v>
      </c>
      <c r="J4788" s="5"/>
      <c r="AL4788" s="5">
        <f t="shared" si="150"/>
        <v>0</v>
      </c>
    </row>
    <row r="4789" spans="1:38" ht="25.5" customHeight="1" x14ac:dyDescent="0.25">
      <c r="A4789" s="10" t="s">
        <v>3754</v>
      </c>
      <c r="B4789" s="11" t="s">
        <v>1651</v>
      </c>
      <c r="C4789" s="5">
        <v>68129.029500000004</v>
      </c>
      <c r="D4789" s="5">
        <v>68129.029500000004</v>
      </c>
      <c r="E4789" s="5">
        <v>61692.054799999998</v>
      </c>
      <c r="G4789" s="5" t="str">
        <f t="shared" si="149"/>
        <v>ШАРТАШ</v>
      </c>
      <c r="J4789" s="5"/>
      <c r="AL4789" s="5">
        <f t="shared" si="150"/>
        <v>0</v>
      </c>
    </row>
    <row r="4790" spans="1:38" ht="25.5" customHeight="1" x14ac:dyDescent="0.25">
      <c r="A4790" s="10" t="s">
        <v>3755</v>
      </c>
      <c r="B4790" s="11" t="s">
        <v>1632</v>
      </c>
      <c r="C4790" s="5">
        <v>83744.997499999998</v>
      </c>
      <c r="D4790" s="5">
        <v>83744.997499999998</v>
      </c>
      <c r="E4790" s="5">
        <v>75832.596099999995</v>
      </c>
      <c r="G4790" s="5" t="str">
        <f t="shared" si="149"/>
        <v>АВТОВОКЗАЛ</v>
      </c>
      <c r="J4790" s="5"/>
      <c r="AL4790" s="5">
        <f t="shared" si="150"/>
        <v>0</v>
      </c>
    </row>
    <row r="4791" spans="1:38" ht="25.5" customHeight="1" x14ac:dyDescent="0.25">
      <c r="A4791" s="10" t="s">
        <v>111</v>
      </c>
      <c r="B4791" s="11" t="s">
        <v>1631</v>
      </c>
      <c r="C4791" s="5">
        <v>70026.7601</v>
      </c>
      <c r="D4791" s="5">
        <v>70026.7601</v>
      </c>
      <c r="E4791" s="5">
        <v>63410.482000000004</v>
      </c>
      <c r="G4791" s="5" t="str">
        <f t="shared" si="149"/>
        <v>УРАЛМАШ</v>
      </c>
      <c r="J4791" s="5"/>
      <c r="AL4791" s="5">
        <f t="shared" si="150"/>
        <v>0</v>
      </c>
    </row>
    <row r="4792" spans="1:38" ht="25.5" customHeight="1" x14ac:dyDescent="0.25">
      <c r="A4792" s="10" t="s">
        <v>1567</v>
      </c>
      <c r="B4792" s="11" t="s">
        <v>14</v>
      </c>
      <c r="C4792" s="5">
        <v>93989.912800000006</v>
      </c>
      <c r="D4792" s="5">
        <v>93989.912800000006</v>
      </c>
      <c r="E4792" s="5">
        <v>85109.545199999993</v>
      </c>
      <c r="G4792" s="5" t="str">
        <f t="shared" si="149"/>
        <v>Центр</v>
      </c>
      <c r="J4792" s="5"/>
      <c r="AL4792" s="5">
        <f t="shared" si="150"/>
        <v>0</v>
      </c>
    </row>
    <row r="4793" spans="1:38" ht="25.5" customHeight="1" x14ac:dyDescent="0.25">
      <c r="A4793" s="10" t="s">
        <v>617</v>
      </c>
      <c r="B4793" s="11" t="s">
        <v>1643</v>
      </c>
      <c r="C4793" s="5">
        <v>76630.280299999999</v>
      </c>
      <c r="D4793" s="5">
        <v>76630.280299999999</v>
      </c>
      <c r="E4793" s="5">
        <v>69390.088799999998</v>
      </c>
      <c r="G4793" s="5" t="str">
        <f t="shared" si="149"/>
        <v>Ю-З</v>
      </c>
      <c r="J4793" s="5"/>
      <c r="AL4793" s="5">
        <f t="shared" si="150"/>
        <v>0</v>
      </c>
    </row>
    <row r="4794" spans="1:38" ht="25.5" customHeight="1" x14ac:dyDescent="0.25">
      <c r="A4794" s="10" t="s">
        <v>30</v>
      </c>
      <c r="B4794" s="11" t="s">
        <v>1628</v>
      </c>
      <c r="C4794" s="5">
        <v>70734.0236</v>
      </c>
      <c r="D4794" s="5">
        <v>70734.0236</v>
      </c>
      <c r="E4794" s="5">
        <v>64050.9208</v>
      </c>
      <c r="G4794" s="5" t="str">
        <f t="shared" si="149"/>
        <v>ЭЛЬМАШ</v>
      </c>
      <c r="J4794" s="5"/>
      <c r="AL4794" s="5">
        <f t="shared" si="150"/>
        <v>0</v>
      </c>
    </row>
    <row r="4795" spans="1:38" ht="25.5" customHeight="1" x14ac:dyDescent="0.25">
      <c r="A4795" s="10" t="s">
        <v>3756</v>
      </c>
      <c r="B4795" s="11" t="s">
        <v>1630</v>
      </c>
      <c r="C4795" s="5">
        <v>62652.9401</v>
      </c>
      <c r="D4795" s="5">
        <v>62652.9401</v>
      </c>
      <c r="E4795" s="5">
        <v>56733.3557</v>
      </c>
      <c r="G4795" s="5" t="str">
        <f t="shared" si="149"/>
        <v>ЧЕРМЕТ</v>
      </c>
      <c r="J4795" s="5"/>
      <c r="AL4795" s="5">
        <f t="shared" si="150"/>
        <v>0</v>
      </c>
    </row>
    <row r="4796" spans="1:38" ht="25.5" customHeight="1" x14ac:dyDescent="0.25">
      <c r="A4796" s="10" t="s">
        <v>3757</v>
      </c>
      <c r="B4796" s="11" t="s">
        <v>33</v>
      </c>
      <c r="C4796" s="5">
        <v>84298.205100000006</v>
      </c>
      <c r="D4796" s="5">
        <v>84298.205100000006</v>
      </c>
      <c r="E4796" s="5">
        <v>76333.533100000001</v>
      </c>
      <c r="G4796" s="5" t="str">
        <f t="shared" si="149"/>
        <v>ВИЗ</v>
      </c>
      <c r="J4796" s="5"/>
      <c r="AL4796" s="5">
        <f t="shared" si="150"/>
        <v>0</v>
      </c>
    </row>
    <row r="4797" spans="1:38" ht="25.5" customHeight="1" x14ac:dyDescent="0.25">
      <c r="A4797" s="10" t="s">
        <v>3758</v>
      </c>
      <c r="B4797" s="11" t="s">
        <v>1628</v>
      </c>
      <c r="C4797" s="5">
        <v>70734.0236</v>
      </c>
      <c r="D4797" s="5">
        <v>70734.0236</v>
      </c>
      <c r="E4797" s="5">
        <v>64050.9208</v>
      </c>
      <c r="G4797" s="5" t="str">
        <f t="shared" si="149"/>
        <v>ЭЛЬМАШ</v>
      </c>
      <c r="J4797" s="5"/>
      <c r="AL4797" s="5">
        <f t="shared" si="150"/>
        <v>0</v>
      </c>
    </row>
    <row r="4798" spans="1:38" ht="25.5" customHeight="1" x14ac:dyDescent="0.25">
      <c r="A4798" s="10" t="s">
        <v>3759</v>
      </c>
      <c r="B4798" s="11" t="s">
        <v>1630</v>
      </c>
      <c r="C4798" s="5">
        <v>62652.9401</v>
      </c>
      <c r="D4798" s="5">
        <v>62652.9401</v>
      </c>
      <c r="E4798" s="5">
        <v>56733.3557</v>
      </c>
      <c r="G4798" s="5" t="str">
        <f t="shared" si="149"/>
        <v>ЧЕРМЕТ</v>
      </c>
      <c r="J4798" s="5"/>
      <c r="AL4798" s="5">
        <f t="shared" si="150"/>
        <v>0</v>
      </c>
    </row>
    <row r="4799" spans="1:38" ht="25.5" customHeight="1" x14ac:dyDescent="0.25">
      <c r="A4799" s="10" t="s">
        <v>1498</v>
      </c>
      <c r="B4799" s="11" t="s">
        <v>1627</v>
      </c>
      <c r="C4799" s="5">
        <v>56392.543899999997</v>
      </c>
      <c r="D4799" s="5">
        <v>56392.543899999997</v>
      </c>
      <c r="E4799" s="5">
        <v>51064.4617</v>
      </c>
      <c r="G4799" s="5" t="str">
        <f t="shared" ref="G4799:G4862" si="151">B4799</f>
        <v>КОМПРЕССОРНЫЙ</v>
      </c>
      <c r="J4799" s="5"/>
      <c r="AL4799" s="5">
        <f t="shared" ref="AL4799:AL4862" si="152">AF4799</f>
        <v>0</v>
      </c>
    </row>
    <row r="4800" spans="1:38" ht="25.5" customHeight="1" x14ac:dyDescent="0.25">
      <c r="A4800" s="10" t="s">
        <v>3760</v>
      </c>
      <c r="B4800" s="11" t="s">
        <v>33</v>
      </c>
      <c r="C4800" s="5">
        <v>84298.205100000006</v>
      </c>
      <c r="D4800" s="5">
        <v>84298.205100000006</v>
      </c>
      <c r="E4800" s="5">
        <v>76333.533100000001</v>
      </c>
      <c r="G4800" s="5" t="str">
        <f t="shared" si="151"/>
        <v>ВИЗ</v>
      </c>
      <c r="J4800" s="5"/>
      <c r="AL4800" s="5">
        <f t="shared" si="152"/>
        <v>0</v>
      </c>
    </row>
    <row r="4801" spans="1:38" ht="25.5" customHeight="1" x14ac:dyDescent="0.25">
      <c r="A4801" s="10" t="s">
        <v>248</v>
      </c>
      <c r="B4801" s="11" t="s">
        <v>1630</v>
      </c>
      <c r="C4801" s="5">
        <v>62652.9401</v>
      </c>
      <c r="D4801" s="5">
        <v>62652.9401</v>
      </c>
      <c r="E4801" s="5">
        <v>56733.3557</v>
      </c>
      <c r="G4801" s="5" t="str">
        <f t="shared" si="151"/>
        <v>ЧЕРМЕТ</v>
      </c>
      <c r="J4801" s="5"/>
      <c r="AL4801" s="5">
        <f t="shared" si="152"/>
        <v>0</v>
      </c>
    </row>
    <row r="4802" spans="1:38" ht="25.5" customHeight="1" x14ac:dyDescent="0.25">
      <c r="A4802" s="10" t="s">
        <v>1272</v>
      </c>
      <c r="B4802" s="11" t="s">
        <v>14</v>
      </c>
      <c r="C4802" s="5">
        <v>93989.912800000006</v>
      </c>
      <c r="D4802" s="5">
        <v>93989.912800000006</v>
      </c>
      <c r="E4802" s="5">
        <v>85109.545199999993</v>
      </c>
      <c r="G4802" s="5" t="str">
        <f t="shared" si="151"/>
        <v>Центр</v>
      </c>
      <c r="J4802" s="5"/>
      <c r="AL4802" s="5">
        <f t="shared" si="152"/>
        <v>0</v>
      </c>
    </row>
    <row r="4803" spans="1:38" ht="25.5" customHeight="1" x14ac:dyDescent="0.25">
      <c r="A4803" s="10" t="s">
        <v>3761</v>
      </c>
      <c r="B4803" s="11" t="s">
        <v>1631</v>
      </c>
      <c r="C4803" s="5">
        <v>70026.7601</v>
      </c>
      <c r="D4803" s="5">
        <v>70026.7601</v>
      </c>
      <c r="E4803" s="5">
        <v>63410.482000000004</v>
      </c>
      <c r="G4803" s="5" t="str">
        <f t="shared" si="151"/>
        <v>УРАЛМАШ</v>
      </c>
      <c r="J4803" s="5"/>
      <c r="AL4803" s="5">
        <f t="shared" si="152"/>
        <v>0</v>
      </c>
    </row>
    <row r="4804" spans="1:38" ht="25.5" customHeight="1" x14ac:dyDescent="0.25">
      <c r="A4804" s="10" t="s">
        <v>3762</v>
      </c>
      <c r="B4804" s="11" t="s">
        <v>1630</v>
      </c>
      <c r="C4804" s="5">
        <v>62652.9401</v>
      </c>
      <c r="D4804" s="5">
        <v>62652.9401</v>
      </c>
      <c r="E4804" s="5">
        <v>56733.3557</v>
      </c>
      <c r="G4804" s="5" t="str">
        <f t="shared" si="151"/>
        <v>ЧЕРМЕТ</v>
      </c>
      <c r="J4804" s="5"/>
      <c r="AL4804" s="5">
        <f t="shared" si="152"/>
        <v>0</v>
      </c>
    </row>
    <row r="4805" spans="1:38" ht="25.5" customHeight="1" x14ac:dyDescent="0.25">
      <c r="A4805" s="10" t="s">
        <v>3763</v>
      </c>
      <c r="B4805" s="11" t="s">
        <v>1647</v>
      </c>
      <c r="C4805" s="5">
        <v>63178.133800000003</v>
      </c>
      <c r="D4805" s="5">
        <v>63178.133800000003</v>
      </c>
      <c r="E4805" s="5">
        <v>57208.931499999999</v>
      </c>
      <c r="G4805" s="5" t="str">
        <f t="shared" si="151"/>
        <v>ШИРОКАЯ РЕЧКА</v>
      </c>
      <c r="J4805" s="5"/>
      <c r="AL4805" s="5">
        <f t="shared" si="152"/>
        <v>0</v>
      </c>
    </row>
    <row r="4806" spans="1:38" ht="25.5" customHeight="1" x14ac:dyDescent="0.25">
      <c r="A4806" s="10" t="s">
        <v>699</v>
      </c>
      <c r="B4806" s="11" t="s">
        <v>1631</v>
      </c>
      <c r="C4806" s="5">
        <v>70026.7601</v>
      </c>
      <c r="D4806" s="5">
        <v>70026.7601</v>
      </c>
      <c r="E4806" s="5">
        <v>63410.482000000004</v>
      </c>
      <c r="G4806" s="5" t="str">
        <f t="shared" si="151"/>
        <v>УРАЛМАШ</v>
      </c>
      <c r="J4806" s="5"/>
      <c r="AL4806" s="5">
        <f t="shared" si="152"/>
        <v>0</v>
      </c>
    </row>
    <row r="4807" spans="1:38" ht="25.5" customHeight="1" x14ac:dyDescent="0.25">
      <c r="A4807" s="10" t="s">
        <v>3764</v>
      </c>
      <c r="B4807" s="11" t="s">
        <v>1638</v>
      </c>
      <c r="C4807" s="5">
        <v>63640.311600000001</v>
      </c>
      <c r="D4807" s="5">
        <v>63640.311600000001</v>
      </c>
      <c r="E4807" s="5">
        <v>57627.4473</v>
      </c>
      <c r="G4807" s="5" t="str">
        <f t="shared" si="151"/>
        <v>УКТУС</v>
      </c>
      <c r="J4807" s="5"/>
      <c r="AL4807" s="5">
        <f t="shared" si="152"/>
        <v>0</v>
      </c>
    </row>
    <row r="4808" spans="1:38" ht="25.5" customHeight="1" x14ac:dyDescent="0.25">
      <c r="A4808" s="10" t="s">
        <v>227</v>
      </c>
      <c r="B4808" s="11" t="s">
        <v>1650</v>
      </c>
      <c r="C4808" s="5">
        <v>37590.3603</v>
      </c>
      <c r="D4808" s="5">
        <v>37590.3603</v>
      </c>
      <c r="E4808" s="5">
        <v>34038.745900000002</v>
      </c>
      <c r="G4808" s="5" t="str">
        <f t="shared" si="151"/>
        <v>ШАБРОВСКИЙ</v>
      </c>
      <c r="J4808" s="5"/>
      <c r="AL4808" s="5">
        <f t="shared" si="152"/>
        <v>0</v>
      </c>
    </row>
    <row r="4809" spans="1:38" ht="25.5" customHeight="1" x14ac:dyDescent="0.25">
      <c r="A4809" s="10" t="s">
        <v>3765</v>
      </c>
      <c r="B4809" s="11" t="s">
        <v>1651</v>
      </c>
      <c r="C4809" s="5">
        <v>68129.029500000004</v>
      </c>
      <c r="D4809" s="5">
        <v>68129.029500000004</v>
      </c>
      <c r="E4809" s="5">
        <v>61692.054799999998</v>
      </c>
      <c r="G4809" s="5" t="str">
        <f t="shared" si="151"/>
        <v>ШАРТАШ</v>
      </c>
      <c r="J4809" s="5"/>
      <c r="AL4809" s="5">
        <f t="shared" si="152"/>
        <v>0</v>
      </c>
    </row>
    <row r="4810" spans="1:38" ht="25.5" customHeight="1" x14ac:dyDescent="0.25">
      <c r="A4810" s="10" t="s">
        <v>3766</v>
      </c>
      <c r="B4810" s="11" t="s">
        <v>1643</v>
      </c>
      <c r="C4810" s="5">
        <v>76630.280299999999</v>
      </c>
      <c r="D4810" s="5">
        <v>76630.280299999999</v>
      </c>
      <c r="E4810" s="5">
        <v>69390.088799999998</v>
      </c>
      <c r="G4810" s="5" t="str">
        <f t="shared" si="151"/>
        <v>Ю-З</v>
      </c>
      <c r="J4810" s="5"/>
      <c r="AL4810" s="5">
        <f t="shared" si="152"/>
        <v>0</v>
      </c>
    </row>
    <row r="4811" spans="1:38" ht="25.5" customHeight="1" x14ac:dyDescent="0.25">
      <c r="A4811" s="10" t="s">
        <v>3767</v>
      </c>
      <c r="B4811" s="11" t="s">
        <v>1635</v>
      </c>
      <c r="C4811" s="5">
        <v>57793.0844</v>
      </c>
      <c r="D4811" s="5">
        <v>57793.0844</v>
      </c>
      <c r="E4811" s="5">
        <v>52332.6639</v>
      </c>
      <c r="G4811" s="5" t="str">
        <f t="shared" si="151"/>
        <v>ЛЕЧЕБНЫЙ</v>
      </c>
      <c r="J4811" s="5"/>
      <c r="AL4811" s="5">
        <f t="shared" si="152"/>
        <v>0</v>
      </c>
    </row>
    <row r="4812" spans="1:38" ht="25.5" customHeight="1" x14ac:dyDescent="0.25">
      <c r="A4812" s="10" t="s">
        <v>3768</v>
      </c>
      <c r="B4812" s="11" t="s">
        <v>1636</v>
      </c>
      <c r="C4812" s="5">
        <v>52246.960299999999</v>
      </c>
      <c r="D4812" s="5">
        <v>52246.960299999999</v>
      </c>
      <c r="E4812" s="5">
        <v>47310.556700000001</v>
      </c>
      <c r="G4812" s="5" t="str">
        <f t="shared" si="151"/>
        <v>ГОРНЫЙ ЩИТ</v>
      </c>
      <c r="J4812" s="5"/>
      <c r="AL4812" s="5">
        <f t="shared" si="152"/>
        <v>0</v>
      </c>
    </row>
    <row r="4813" spans="1:38" ht="25.5" customHeight="1" x14ac:dyDescent="0.25">
      <c r="A4813" s="10" t="s">
        <v>1035</v>
      </c>
      <c r="B4813" s="11" t="s">
        <v>1635</v>
      </c>
      <c r="C4813" s="5">
        <v>57793.0844</v>
      </c>
      <c r="D4813" s="5">
        <v>57793.0844</v>
      </c>
      <c r="E4813" s="5">
        <v>52332.6639</v>
      </c>
      <c r="G4813" s="5" t="str">
        <f t="shared" si="151"/>
        <v>ЛЕЧЕБНЫЙ</v>
      </c>
      <c r="J4813" s="5"/>
      <c r="AL4813" s="5">
        <f t="shared" si="152"/>
        <v>0</v>
      </c>
    </row>
    <row r="4814" spans="1:38" ht="25.5" customHeight="1" x14ac:dyDescent="0.25">
      <c r="A4814" s="10" t="s">
        <v>515</v>
      </c>
      <c r="B4814" s="11" t="s">
        <v>1629</v>
      </c>
      <c r="C4814" s="5">
        <v>77743.704100000003</v>
      </c>
      <c r="D4814" s="5">
        <v>77743.704100000003</v>
      </c>
      <c r="E4814" s="5">
        <v>70398.310800000007</v>
      </c>
      <c r="G4814" s="5" t="str">
        <f t="shared" si="151"/>
        <v>ПИОНЕРСКИЙ</v>
      </c>
      <c r="J4814" s="5"/>
      <c r="AL4814" s="5">
        <f t="shared" si="152"/>
        <v>0</v>
      </c>
    </row>
    <row r="4815" spans="1:38" ht="25.5" customHeight="1" x14ac:dyDescent="0.25">
      <c r="A4815" s="10" t="s">
        <v>3769</v>
      </c>
      <c r="B4815" s="11" t="s">
        <v>1647</v>
      </c>
      <c r="C4815" s="5">
        <v>63178.133800000003</v>
      </c>
      <c r="D4815" s="5">
        <v>63178.133800000003</v>
      </c>
      <c r="E4815" s="5">
        <v>57208.931499999999</v>
      </c>
      <c r="G4815" s="5" t="str">
        <f t="shared" si="151"/>
        <v>ШИРОКАЯ РЕЧКА</v>
      </c>
      <c r="J4815" s="5"/>
      <c r="AL4815" s="5">
        <f t="shared" si="152"/>
        <v>0</v>
      </c>
    </row>
    <row r="4816" spans="1:38" ht="25.5" customHeight="1" x14ac:dyDescent="0.25">
      <c r="A4816" s="10" t="s">
        <v>796</v>
      </c>
      <c r="B4816" s="11" t="s">
        <v>1643</v>
      </c>
      <c r="C4816" s="5">
        <v>76630.280299999999</v>
      </c>
      <c r="D4816" s="5">
        <v>76630.280299999999</v>
      </c>
      <c r="E4816" s="5">
        <v>69390.088799999998</v>
      </c>
      <c r="G4816" s="5" t="str">
        <f t="shared" si="151"/>
        <v>Ю-З</v>
      </c>
      <c r="J4816" s="5"/>
      <c r="AL4816" s="5">
        <f t="shared" si="152"/>
        <v>0</v>
      </c>
    </row>
    <row r="4817" spans="1:38" ht="25.5" customHeight="1" x14ac:dyDescent="0.25">
      <c r="A4817" s="10" t="s">
        <v>1537</v>
      </c>
      <c r="B4817" s="11" t="s">
        <v>33</v>
      </c>
      <c r="C4817" s="5">
        <v>84298.205100000006</v>
      </c>
      <c r="D4817" s="5">
        <v>84298.205100000006</v>
      </c>
      <c r="E4817" s="5">
        <v>76333.533100000001</v>
      </c>
      <c r="G4817" s="5" t="str">
        <f t="shared" si="151"/>
        <v>ВИЗ</v>
      </c>
      <c r="J4817" s="5"/>
      <c r="AL4817" s="5">
        <f t="shared" si="152"/>
        <v>0</v>
      </c>
    </row>
    <row r="4818" spans="1:38" ht="25.5" customHeight="1" x14ac:dyDescent="0.25">
      <c r="A4818" s="10" t="s">
        <v>168</v>
      </c>
      <c r="B4818" s="11" t="s">
        <v>1632</v>
      </c>
      <c r="C4818" s="5">
        <v>83744.997499999998</v>
      </c>
      <c r="D4818" s="5">
        <v>83744.997499999998</v>
      </c>
      <c r="E4818" s="5">
        <v>75832.596099999995</v>
      </c>
      <c r="G4818" s="5" t="str">
        <f t="shared" si="151"/>
        <v>АВТОВОКЗАЛ</v>
      </c>
      <c r="J4818" s="5"/>
      <c r="AL4818" s="5">
        <f t="shared" si="152"/>
        <v>0</v>
      </c>
    </row>
    <row r="4819" spans="1:38" ht="25.5" customHeight="1" x14ac:dyDescent="0.25">
      <c r="A4819" s="10" t="s">
        <v>3770</v>
      </c>
      <c r="B4819" s="11" t="s">
        <v>1645</v>
      </c>
      <c r="C4819" s="5">
        <v>60958.294800000003</v>
      </c>
      <c r="D4819" s="5">
        <v>60958.294800000003</v>
      </c>
      <c r="E4819" s="5">
        <v>55198.825199999999</v>
      </c>
      <c r="G4819" s="5" t="str">
        <f t="shared" si="151"/>
        <v>ЕЛИЗАВЕТ</v>
      </c>
      <c r="J4819" s="5"/>
      <c r="AL4819" s="5">
        <f t="shared" si="152"/>
        <v>0</v>
      </c>
    </row>
    <row r="4820" spans="1:38" ht="25.5" customHeight="1" x14ac:dyDescent="0.25">
      <c r="A4820" s="10" t="s">
        <v>731</v>
      </c>
      <c r="B4820" s="11" t="s">
        <v>14</v>
      </c>
      <c r="C4820" s="5">
        <v>93989.912800000006</v>
      </c>
      <c r="D4820" s="5">
        <v>93989.912800000006</v>
      </c>
      <c r="E4820" s="5">
        <v>85109.545199999993</v>
      </c>
      <c r="G4820" s="5" t="str">
        <f t="shared" si="151"/>
        <v>Центр</v>
      </c>
      <c r="J4820" s="5"/>
      <c r="AL4820" s="5">
        <f t="shared" si="152"/>
        <v>0</v>
      </c>
    </row>
    <row r="4821" spans="1:38" ht="25.5" customHeight="1" x14ac:dyDescent="0.25">
      <c r="A4821" s="10" t="s">
        <v>754</v>
      </c>
      <c r="B4821" s="11" t="s">
        <v>1633</v>
      </c>
      <c r="C4821" s="5">
        <v>77071.442599999995</v>
      </c>
      <c r="D4821" s="5">
        <v>77071.442599999995</v>
      </c>
      <c r="E4821" s="5">
        <v>69789.570900000006</v>
      </c>
      <c r="G4821" s="5" t="str">
        <f t="shared" si="151"/>
        <v>ВТУЗГОРОДОК</v>
      </c>
      <c r="J4821" s="5"/>
      <c r="AL4821" s="5">
        <f t="shared" si="152"/>
        <v>0</v>
      </c>
    </row>
    <row r="4822" spans="1:38" ht="25.5" customHeight="1" x14ac:dyDescent="0.25">
      <c r="A4822" s="10" t="s">
        <v>3771</v>
      </c>
      <c r="B4822" s="11" t="s">
        <v>1636</v>
      </c>
      <c r="C4822" s="5">
        <v>52246.960299999999</v>
      </c>
      <c r="D4822" s="5">
        <v>52246.960299999999</v>
      </c>
      <c r="E4822" s="5">
        <v>47310.556700000001</v>
      </c>
      <c r="G4822" s="5" t="str">
        <f t="shared" si="151"/>
        <v>ГОРНЫЙ ЩИТ</v>
      </c>
      <c r="J4822" s="5"/>
      <c r="AL4822" s="5">
        <f t="shared" si="152"/>
        <v>0</v>
      </c>
    </row>
    <row r="4823" spans="1:38" ht="25.5" customHeight="1" x14ac:dyDescent="0.25">
      <c r="A4823" s="10" t="s">
        <v>3772</v>
      </c>
      <c r="B4823" s="11" t="s">
        <v>1660</v>
      </c>
      <c r="C4823" s="5">
        <v>53262.345800000003</v>
      </c>
      <c r="D4823" s="5">
        <v>53262.345800000003</v>
      </c>
      <c r="E4823" s="5">
        <v>48230.0095</v>
      </c>
      <c r="G4823" s="5" t="str">
        <f t="shared" si="151"/>
        <v>САДОВЫЙ</v>
      </c>
      <c r="J4823" s="5"/>
      <c r="AL4823" s="5">
        <f t="shared" si="152"/>
        <v>0</v>
      </c>
    </row>
    <row r="4824" spans="1:38" ht="25.5" customHeight="1" x14ac:dyDescent="0.25">
      <c r="A4824" s="10" t="s">
        <v>812</v>
      </c>
      <c r="B4824" s="11" t="s">
        <v>1631</v>
      </c>
      <c r="C4824" s="5">
        <v>70026.7601</v>
      </c>
      <c r="D4824" s="5">
        <v>70026.7601</v>
      </c>
      <c r="E4824" s="5">
        <v>63410.482000000004</v>
      </c>
      <c r="G4824" s="5" t="str">
        <f t="shared" si="151"/>
        <v>УРАЛМАШ</v>
      </c>
      <c r="J4824" s="5"/>
      <c r="AL4824" s="5">
        <f t="shared" si="152"/>
        <v>0</v>
      </c>
    </row>
    <row r="4825" spans="1:38" ht="25.5" customHeight="1" x14ac:dyDescent="0.25">
      <c r="A4825" s="10" t="s">
        <v>3773</v>
      </c>
      <c r="B4825" s="11" t="s">
        <v>33</v>
      </c>
      <c r="C4825" s="5">
        <v>84298.205100000006</v>
      </c>
      <c r="D4825" s="5">
        <v>84298.205100000006</v>
      </c>
      <c r="E4825" s="5">
        <v>76333.533100000001</v>
      </c>
      <c r="G4825" s="5" t="str">
        <f t="shared" si="151"/>
        <v>ВИЗ</v>
      </c>
      <c r="J4825" s="5"/>
      <c r="AL4825" s="5">
        <f t="shared" si="152"/>
        <v>0</v>
      </c>
    </row>
    <row r="4826" spans="1:38" ht="25.5" customHeight="1" x14ac:dyDescent="0.25">
      <c r="A4826" s="10" t="s">
        <v>3774</v>
      </c>
      <c r="B4826" s="11" t="s">
        <v>33</v>
      </c>
      <c r="C4826" s="5">
        <v>84298.205100000006</v>
      </c>
      <c r="D4826" s="5">
        <v>84298.205100000006</v>
      </c>
      <c r="E4826" s="5">
        <v>76333.533100000001</v>
      </c>
      <c r="G4826" s="5" t="str">
        <f t="shared" si="151"/>
        <v>ВИЗ</v>
      </c>
      <c r="J4826" s="5"/>
      <c r="AL4826" s="5">
        <f t="shared" si="152"/>
        <v>0</v>
      </c>
    </row>
    <row r="4827" spans="1:38" ht="25.5" customHeight="1" x14ac:dyDescent="0.25">
      <c r="A4827" s="10" t="s">
        <v>3775</v>
      </c>
      <c r="B4827" s="11" t="s">
        <v>1637</v>
      </c>
      <c r="C4827" s="5">
        <v>59368.686099999999</v>
      </c>
      <c r="D4827" s="5">
        <v>59368.686099999999</v>
      </c>
      <c r="E4827" s="5">
        <v>53759.401700000002</v>
      </c>
      <c r="G4827" s="5" t="str">
        <f t="shared" si="151"/>
        <v>Старая сортировка</v>
      </c>
      <c r="J4827" s="5"/>
      <c r="AL4827" s="5">
        <f t="shared" si="152"/>
        <v>0</v>
      </c>
    </row>
    <row r="4828" spans="1:38" ht="25.5" customHeight="1" x14ac:dyDescent="0.25">
      <c r="A4828" s="10" t="s">
        <v>523</v>
      </c>
      <c r="B4828" s="11" t="s">
        <v>1637</v>
      </c>
      <c r="C4828" s="5">
        <v>59368.686099999999</v>
      </c>
      <c r="D4828" s="5">
        <v>59368.686099999999</v>
      </c>
      <c r="E4828" s="5">
        <v>53759.401700000002</v>
      </c>
      <c r="G4828" s="5" t="str">
        <f t="shared" si="151"/>
        <v>Старая сортировка</v>
      </c>
      <c r="J4828" s="5"/>
      <c r="AL4828" s="5">
        <f t="shared" si="152"/>
        <v>0</v>
      </c>
    </row>
    <row r="4829" spans="1:38" ht="25.5" customHeight="1" x14ac:dyDescent="0.25">
      <c r="A4829" s="10" t="s">
        <v>3776</v>
      </c>
      <c r="B4829" s="11" t="s">
        <v>1652</v>
      </c>
      <c r="C4829" s="5">
        <v>71105.171700000006</v>
      </c>
      <c r="D4829" s="5">
        <v>71105.171700000006</v>
      </c>
      <c r="E4829" s="5">
        <v>64387.005100000002</v>
      </c>
      <c r="G4829" s="5" t="str">
        <f t="shared" si="151"/>
        <v>ЗАРЕЧНЫЙ</v>
      </c>
      <c r="J4829" s="5"/>
      <c r="AL4829" s="5">
        <f t="shared" si="152"/>
        <v>0</v>
      </c>
    </row>
    <row r="4830" spans="1:38" ht="25.5" customHeight="1" x14ac:dyDescent="0.25">
      <c r="A4830" s="10" t="s">
        <v>489</v>
      </c>
      <c r="B4830" s="11" t="s">
        <v>1638</v>
      </c>
      <c r="C4830" s="5">
        <v>63640.311600000001</v>
      </c>
      <c r="D4830" s="5">
        <v>63640.311600000001</v>
      </c>
      <c r="E4830" s="5">
        <v>57627.4473</v>
      </c>
      <c r="G4830" s="5" t="str">
        <f t="shared" si="151"/>
        <v>УКТУС</v>
      </c>
      <c r="J4830" s="5"/>
      <c r="AL4830" s="5">
        <f t="shared" si="152"/>
        <v>0</v>
      </c>
    </row>
    <row r="4831" spans="1:38" ht="25.5" customHeight="1" x14ac:dyDescent="0.25">
      <c r="A4831" s="10" t="s">
        <v>492</v>
      </c>
      <c r="B4831" s="11" t="s">
        <v>1642</v>
      </c>
      <c r="C4831" s="5">
        <v>81392.097599999994</v>
      </c>
      <c r="D4831" s="5">
        <v>81392.097599999994</v>
      </c>
      <c r="E4831" s="5">
        <v>73702.001099999994</v>
      </c>
      <c r="G4831" s="5" t="str">
        <f t="shared" si="151"/>
        <v>ПАРКОВЫЙ</v>
      </c>
      <c r="J4831" s="5"/>
      <c r="AL4831" s="5">
        <f t="shared" si="152"/>
        <v>0</v>
      </c>
    </row>
    <row r="4832" spans="1:38" ht="25.5" customHeight="1" x14ac:dyDescent="0.25">
      <c r="A4832" s="10" t="s">
        <v>514</v>
      </c>
      <c r="B4832" s="11" t="s">
        <v>1636</v>
      </c>
      <c r="C4832" s="5">
        <v>52246.960299999999</v>
      </c>
      <c r="D4832" s="5">
        <v>52246.960299999999</v>
      </c>
      <c r="E4832" s="5">
        <v>47310.556700000001</v>
      </c>
      <c r="G4832" s="5" t="str">
        <f t="shared" si="151"/>
        <v>ГОРНЫЙ ЩИТ</v>
      </c>
      <c r="J4832" s="5"/>
      <c r="AL4832" s="5">
        <f t="shared" si="152"/>
        <v>0</v>
      </c>
    </row>
    <row r="4833" spans="1:38" ht="25.5" customHeight="1" x14ac:dyDescent="0.25">
      <c r="A4833" s="10" t="s">
        <v>1515</v>
      </c>
      <c r="B4833" s="11" t="s">
        <v>1644</v>
      </c>
      <c r="C4833" s="5">
        <v>61980.678599999999</v>
      </c>
      <c r="D4833" s="5">
        <v>61980.678599999999</v>
      </c>
      <c r="E4833" s="5">
        <v>56124.615700000002</v>
      </c>
      <c r="G4833" s="5" t="str">
        <f t="shared" si="151"/>
        <v>ХИММАШ</v>
      </c>
      <c r="J4833" s="5"/>
      <c r="AL4833" s="5">
        <f t="shared" si="152"/>
        <v>0</v>
      </c>
    </row>
    <row r="4834" spans="1:38" ht="25.5" customHeight="1" x14ac:dyDescent="0.25">
      <c r="A4834" s="10" t="s">
        <v>1172</v>
      </c>
      <c r="B4834" s="11" t="s">
        <v>1630</v>
      </c>
      <c r="C4834" s="5">
        <v>62652.9401</v>
      </c>
      <c r="D4834" s="5">
        <v>62652.9401</v>
      </c>
      <c r="E4834" s="5">
        <v>56733.3557</v>
      </c>
      <c r="G4834" s="5" t="str">
        <f t="shared" si="151"/>
        <v>ЧЕРМЕТ</v>
      </c>
      <c r="J4834" s="5"/>
      <c r="AL4834" s="5">
        <f t="shared" si="152"/>
        <v>0</v>
      </c>
    </row>
    <row r="4835" spans="1:38" ht="25.5" customHeight="1" x14ac:dyDescent="0.25">
      <c r="A4835" s="10" t="s">
        <v>1124</v>
      </c>
      <c r="B4835" s="11" t="s">
        <v>1628</v>
      </c>
      <c r="C4835" s="5">
        <v>70734.0236</v>
      </c>
      <c r="D4835" s="5">
        <v>70734.0236</v>
      </c>
      <c r="E4835" s="5">
        <v>64050.9208</v>
      </c>
      <c r="G4835" s="5" t="str">
        <f t="shared" si="151"/>
        <v>ЭЛЬМАШ</v>
      </c>
      <c r="J4835" s="5"/>
      <c r="AL4835" s="5">
        <f t="shared" si="152"/>
        <v>0</v>
      </c>
    </row>
    <row r="4836" spans="1:38" ht="25.5" customHeight="1" x14ac:dyDescent="0.25">
      <c r="A4836" s="10" t="s">
        <v>3777</v>
      </c>
      <c r="B4836" s="11" t="s">
        <v>1660</v>
      </c>
      <c r="C4836" s="5">
        <v>53262.345800000003</v>
      </c>
      <c r="D4836" s="5">
        <v>53262.345800000003</v>
      </c>
      <c r="E4836" s="5">
        <v>48230.0095</v>
      </c>
      <c r="G4836" s="5" t="str">
        <f t="shared" si="151"/>
        <v>САДОВЫЙ</v>
      </c>
      <c r="J4836" s="5"/>
      <c r="AL4836" s="5">
        <f t="shared" si="152"/>
        <v>0</v>
      </c>
    </row>
    <row r="4837" spans="1:38" ht="25.5" customHeight="1" x14ac:dyDescent="0.25">
      <c r="A4837" s="10" t="s">
        <v>3778</v>
      </c>
      <c r="B4837" s="11" t="s">
        <v>1643</v>
      </c>
      <c r="C4837" s="5">
        <v>76630.280299999999</v>
      </c>
      <c r="D4837" s="5">
        <v>76630.280299999999</v>
      </c>
      <c r="E4837" s="5">
        <v>69390.088799999998</v>
      </c>
      <c r="G4837" s="5" t="str">
        <f t="shared" si="151"/>
        <v>Ю-З</v>
      </c>
      <c r="J4837" s="5"/>
      <c r="AL4837" s="5">
        <f t="shared" si="152"/>
        <v>0</v>
      </c>
    </row>
    <row r="4838" spans="1:38" ht="25.5" customHeight="1" x14ac:dyDescent="0.25">
      <c r="A4838" s="10" t="s">
        <v>3779</v>
      </c>
      <c r="B4838" s="11" t="s">
        <v>1659</v>
      </c>
      <c r="C4838" s="5">
        <v>59746.832600000002</v>
      </c>
      <c r="D4838" s="5">
        <v>59746.832600000002</v>
      </c>
      <c r="E4838" s="5">
        <v>54101.823700000001</v>
      </c>
      <c r="G4838" s="5" t="str">
        <f t="shared" si="151"/>
        <v>СОВХОЗ</v>
      </c>
      <c r="J4838" s="5"/>
      <c r="AL4838" s="5">
        <f t="shared" si="152"/>
        <v>0</v>
      </c>
    </row>
    <row r="4839" spans="1:38" ht="25.5" customHeight="1" x14ac:dyDescent="0.25">
      <c r="A4839" s="10" t="s">
        <v>3780</v>
      </c>
      <c r="B4839" s="11" t="s">
        <v>1628</v>
      </c>
      <c r="C4839" s="5">
        <v>70734.0236</v>
      </c>
      <c r="D4839" s="5">
        <v>70734.0236</v>
      </c>
      <c r="E4839" s="5">
        <v>64050.9208</v>
      </c>
      <c r="G4839" s="5" t="str">
        <f t="shared" si="151"/>
        <v>ЭЛЬМАШ</v>
      </c>
      <c r="J4839" s="5"/>
      <c r="AL4839" s="5">
        <f t="shared" si="152"/>
        <v>0</v>
      </c>
    </row>
    <row r="4840" spans="1:38" ht="25.5" customHeight="1" x14ac:dyDescent="0.25">
      <c r="A4840" s="10" t="s">
        <v>3781</v>
      </c>
      <c r="B4840" s="11" t="s">
        <v>1644</v>
      </c>
      <c r="C4840" s="5">
        <v>61980.678599999999</v>
      </c>
      <c r="D4840" s="5">
        <v>61980.678599999999</v>
      </c>
      <c r="E4840" s="5">
        <v>56124.615700000002</v>
      </c>
      <c r="G4840" s="5" t="str">
        <f t="shared" si="151"/>
        <v>ХИММАШ</v>
      </c>
      <c r="J4840" s="5"/>
      <c r="AL4840" s="5">
        <f t="shared" si="152"/>
        <v>0</v>
      </c>
    </row>
    <row r="4841" spans="1:38" ht="25.5" customHeight="1" x14ac:dyDescent="0.25">
      <c r="A4841" s="10" t="s">
        <v>530</v>
      </c>
      <c r="B4841" s="11" t="s">
        <v>1633</v>
      </c>
      <c r="C4841" s="5">
        <v>77071.442599999995</v>
      </c>
      <c r="D4841" s="5">
        <v>77071.442599999995</v>
      </c>
      <c r="E4841" s="5">
        <v>69789.570900000006</v>
      </c>
      <c r="G4841" s="5" t="str">
        <f t="shared" si="151"/>
        <v>ВТУЗГОРОДОК</v>
      </c>
      <c r="J4841" s="5"/>
      <c r="AL4841" s="5">
        <f t="shared" si="152"/>
        <v>0</v>
      </c>
    </row>
    <row r="4842" spans="1:38" ht="25.5" customHeight="1" x14ac:dyDescent="0.25">
      <c r="A4842" s="10" t="s">
        <v>3782</v>
      </c>
      <c r="B4842" s="11" t="s">
        <v>1637</v>
      </c>
      <c r="C4842" s="5">
        <v>59368.686099999999</v>
      </c>
      <c r="D4842" s="5">
        <v>59368.686099999999</v>
      </c>
      <c r="E4842" s="5">
        <v>53759.401700000002</v>
      </c>
      <c r="G4842" s="5" t="str">
        <f t="shared" si="151"/>
        <v>Старая сортировка</v>
      </c>
      <c r="J4842" s="5"/>
      <c r="AL4842" s="5">
        <f t="shared" si="152"/>
        <v>0</v>
      </c>
    </row>
    <row r="4843" spans="1:38" ht="25.5" customHeight="1" x14ac:dyDescent="0.25">
      <c r="A4843" s="10" t="s">
        <v>3783</v>
      </c>
      <c r="B4843" s="11" t="s">
        <v>1643</v>
      </c>
      <c r="C4843" s="5">
        <v>76630.280299999999</v>
      </c>
      <c r="D4843" s="5">
        <v>76630.280299999999</v>
      </c>
      <c r="E4843" s="5">
        <v>69390.088799999998</v>
      </c>
      <c r="G4843" s="5" t="str">
        <f t="shared" si="151"/>
        <v>Ю-З</v>
      </c>
      <c r="J4843" s="5"/>
      <c r="AL4843" s="5">
        <f t="shared" si="152"/>
        <v>0</v>
      </c>
    </row>
    <row r="4844" spans="1:38" ht="25.5" customHeight="1" x14ac:dyDescent="0.25">
      <c r="A4844" s="10" t="s">
        <v>3784</v>
      </c>
      <c r="B4844" s="11" t="s">
        <v>1637</v>
      </c>
      <c r="C4844" s="5">
        <v>59368.686099999999</v>
      </c>
      <c r="D4844" s="5">
        <v>59368.686099999999</v>
      </c>
      <c r="E4844" s="5">
        <v>53759.401700000002</v>
      </c>
      <c r="G4844" s="5" t="str">
        <f t="shared" si="151"/>
        <v>Старая сортировка</v>
      </c>
      <c r="J4844" s="5"/>
      <c r="AL4844" s="5">
        <f t="shared" si="152"/>
        <v>0</v>
      </c>
    </row>
    <row r="4845" spans="1:38" ht="25.5" customHeight="1" x14ac:dyDescent="0.25">
      <c r="A4845" s="10" t="s">
        <v>1270</v>
      </c>
      <c r="B4845" s="11" t="s">
        <v>1628</v>
      </c>
      <c r="C4845" s="5">
        <v>70734.0236</v>
      </c>
      <c r="D4845" s="5">
        <v>70734.0236</v>
      </c>
      <c r="E4845" s="5">
        <v>64050.9208</v>
      </c>
      <c r="G4845" s="5" t="str">
        <f t="shared" si="151"/>
        <v>ЭЛЬМАШ</v>
      </c>
      <c r="J4845" s="5"/>
      <c r="AL4845" s="5">
        <f t="shared" si="152"/>
        <v>0</v>
      </c>
    </row>
    <row r="4846" spans="1:38" ht="25.5" customHeight="1" x14ac:dyDescent="0.25">
      <c r="A4846" s="10" t="s">
        <v>3785</v>
      </c>
      <c r="B4846" s="11" t="s">
        <v>1647</v>
      </c>
      <c r="C4846" s="5">
        <v>63178.133800000003</v>
      </c>
      <c r="D4846" s="5">
        <v>63178.133800000003</v>
      </c>
      <c r="E4846" s="5">
        <v>57208.931499999999</v>
      </c>
      <c r="G4846" s="5" t="str">
        <f t="shared" si="151"/>
        <v>ШИРОКАЯ РЕЧКА</v>
      </c>
      <c r="J4846" s="5"/>
      <c r="AL4846" s="5">
        <f t="shared" si="152"/>
        <v>0</v>
      </c>
    </row>
    <row r="4847" spans="1:38" ht="25.5" customHeight="1" x14ac:dyDescent="0.25">
      <c r="A4847" s="10" t="s">
        <v>3786</v>
      </c>
      <c r="B4847" s="11" t="s">
        <v>1638</v>
      </c>
      <c r="C4847" s="5">
        <v>63640.311600000001</v>
      </c>
      <c r="D4847" s="5">
        <v>63640.311600000001</v>
      </c>
      <c r="E4847" s="5">
        <v>57627.4473</v>
      </c>
      <c r="G4847" s="5" t="str">
        <f t="shared" si="151"/>
        <v>УКТУС</v>
      </c>
      <c r="J4847" s="5"/>
      <c r="AL4847" s="5">
        <f t="shared" si="152"/>
        <v>0</v>
      </c>
    </row>
    <row r="4848" spans="1:38" ht="25.5" customHeight="1" x14ac:dyDescent="0.25">
      <c r="A4848" s="10" t="s">
        <v>3787</v>
      </c>
      <c r="B4848" s="11" t="s">
        <v>1637</v>
      </c>
      <c r="C4848" s="5">
        <v>59368.686099999999</v>
      </c>
      <c r="D4848" s="5">
        <v>59368.686099999999</v>
      </c>
      <c r="E4848" s="5">
        <v>53759.401700000002</v>
      </c>
      <c r="G4848" s="5" t="str">
        <f t="shared" si="151"/>
        <v>Старая сортировка</v>
      </c>
      <c r="J4848" s="5"/>
      <c r="AL4848" s="5">
        <f t="shared" si="152"/>
        <v>0</v>
      </c>
    </row>
    <row r="4849" spans="1:38" ht="25.5" customHeight="1" x14ac:dyDescent="0.25">
      <c r="A4849" s="10" t="s">
        <v>1305</v>
      </c>
      <c r="B4849" s="11" t="s">
        <v>1628</v>
      </c>
      <c r="C4849" s="5">
        <v>70734.0236</v>
      </c>
      <c r="D4849" s="5">
        <v>70734.0236</v>
      </c>
      <c r="E4849" s="5">
        <v>64050.9208</v>
      </c>
      <c r="G4849" s="5" t="str">
        <f t="shared" si="151"/>
        <v>ЭЛЬМАШ</v>
      </c>
      <c r="J4849" s="5"/>
      <c r="AL4849" s="5">
        <f t="shared" si="152"/>
        <v>0</v>
      </c>
    </row>
    <row r="4850" spans="1:38" ht="25.5" customHeight="1" x14ac:dyDescent="0.25">
      <c r="A4850" s="10" t="s">
        <v>3788</v>
      </c>
      <c r="B4850" s="11" t="s">
        <v>14</v>
      </c>
      <c r="C4850" s="5">
        <v>93989.912800000006</v>
      </c>
      <c r="D4850" s="5">
        <v>93989.912800000006</v>
      </c>
      <c r="E4850" s="5">
        <v>85109.545199999993</v>
      </c>
      <c r="G4850" s="5" t="str">
        <f t="shared" si="151"/>
        <v>Центр</v>
      </c>
      <c r="J4850" s="5"/>
      <c r="AL4850" s="5">
        <f t="shared" si="152"/>
        <v>0</v>
      </c>
    </row>
    <row r="4851" spans="1:38" ht="25.5" customHeight="1" x14ac:dyDescent="0.25">
      <c r="A4851" s="10" t="s">
        <v>3789</v>
      </c>
      <c r="B4851" s="11" t="s">
        <v>1637</v>
      </c>
      <c r="C4851" s="5">
        <v>59368.686099999999</v>
      </c>
      <c r="D4851" s="5">
        <v>59368.686099999999</v>
      </c>
      <c r="E4851" s="5">
        <v>53759.401700000002</v>
      </c>
      <c r="G4851" s="5" t="str">
        <f t="shared" si="151"/>
        <v>Старая сортировка</v>
      </c>
      <c r="J4851" s="5"/>
      <c r="AL4851" s="5">
        <f t="shared" si="152"/>
        <v>0</v>
      </c>
    </row>
    <row r="4852" spans="1:38" ht="25.5" customHeight="1" x14ac:dyDescent="0.25">
      <c r="A4852" s="10" t="s">
        <v>3790</v>
      </c>
      <c r="B4852" s="11" t="s">
        <v>33</v>
      </c>
      <c r="C4852" s="5">
        <v>84298.205100000006</v>
      </c>
      <c r="D4852" s="5">
        <v>84298.205100000006</v>
      </c>
      <c r="E4852" s="5">
        <v>76333.533100000001</v>
      </c>
      <c r="G4852" s="5" t="str">
        <f t="shared" si="151"/>
        <v>ВИЗ</v>
      </c>
      <c r="J4852" s="5"/>
      <c r="AL4852" s="5">
        <f t="shared" si="152"/>
        <v>0</v>
      </c>
    </row>
    <row r="4853" spans="1:38" ht="25.5" customHeight="1" x14ac:dyDescent="0.25">
      <c r="A4853" s="10" t="s">
        <v>3791</v>
      </c>
      <c r="B4853" s="11" t="s">
        <v>1630</v>
      </c>
      <c r="C4853" s="5">
        <v>62652.9401</v>
      </c>
      <c r="D4853" s="5">
        <v>62652.9401</v>
      </c>
      <c r="E4853" s="5">
        <v>56733.3557</v>
      </c>
      <c r="G4853" s="5" t="str">
        <f t="shared" si="151"/>
        <v>ЧЕРМЕТ</v>
      </c>
      <c r="J4853" s="5"/>
      <c r="AL4853" s="5">
        <f t="shared" si="152"/>
        <v>0</v>
      </c>
    </row>
    <row r="4854" spans="1:38" ht="25.5" customHeight="1" x14ac:dyDescent="0.25">
      <c r="A4854" s="10" t="s">
        <v>3792</v>
      </c>
      <c r="B4854" s="11" t="s">
        <v>1650</v>
      </c>
      <c r="C4854" s="5">
        <v>37590.3603</v>
      </c>
      <c r="D4854" s="5">
        <v>37590.3603</v>
      </c>
      <c r="E4854" s="5">
        <v>34038.745900000002</v>
      </c>
      <c r="G4854" s="5" t="str">
        <f t="shared" si="151"/>
        <v>ШАБРОВСКИЙ</v>
      </c>
      <c r="J4854" s="5"/>
      <c r="AL4854" s="5">
        <f t="shared" si="152"/>
        <v>0</v>
      </c>
    </row>
    <row r="4855" spans="1:38" ht="25.5" customHeight="1" x14ac:dyDescent="0.25">
      <c r="A4855" s="10" t="s">
        <v>3793</v>
      </c>
      <c r="B4855" s="11" t="s">
        <v>1648</v>
      </c>
      <c r="C4855" s="5">
        <v>49782.025399999999</v>
      </c>
      <c r="D4855" s="5">
        <v>49782.025399999999</v>
      </c>
      <c r="E4855" s="5">
        <v>45078.506800000003</v>
      </c>
      <c r="G4855" s="5" t="str">
        <f t="shared" si="151"/>
        <v>ЧУСОВСКОЕ ОЗЕРО</v>
      </c>
      <c r="J4855" s="5"/>
      <c r="AL4855" s="5">
        <f t="shared" si="152"/>
        <v>0</v>
      </c>
    </row>
    <row r="4856" spans="1:38" ht="25.5" customHeight="1" x14ac:dyDescent="0.25">
      <c r="A4856" s="10" t="s">
        <v>317</v>
      </c>
      <c r="B4856" s="11" t="s">
        <v>1654</v>
      </c>
      <c r="C4856" s="5">
        <v>56140.449699999997</v>
      </c>
      <c r="D4856" s="5">
        <v>56140.449699999997</v>
      </c>
      <c r="E4856" s="5">
        <v>50836.1803</v>
      </c>
      <c r="G4856" s="5" t="str">
        <f t="shared" si="151"/>
        <v>ЗАВОКЗАЛЬНЫЙ</v>
      </c>
      <c r="J4856" s="5"/>
      <c r="AL4856" s="5">
        <f t="shared" si="152"/>
        <v>0</v>
      </c>
    </row>
    <row r="4857" spans="1:38" ht="25.5" customHeight="1" x14ac:dyDescent="0.25">
      <c r="A4857" s="10" t="s">
        <v>3794</v>
      </c>
      <c r="B4857" s="11" t="s">
        <v>1657</v>
      </c>
      <c r="C4857" s="5">
        <v>54886.9666</v>
      </c>
      <c r="D4857" s="5">
        <v>54886.9666</v>
      </c>
      <c r="E4857" s="5">
        <v>49701.1319</v>
      </c>
      <c r="G4857" s="5" t="str">
        <f t="shared" si="151"/>
        <v>КОЛЬЦОВО</v>
      </c>
      <c r="J4857" s="5"/>
      <c r="AL4857" s="5">
        <f t="shared" si="152"/>
        <v>0</v>
      </c>
    </row>
    <row r="4858" spans="1:38" ht="25.5" customHeight="1" x14ac:dyDescent="0.25">
      <c r="A4858" s="10" t="s">
        <v>135</v>
      </c>
      <c r="B4858" s="11" t="s">
        <v>1644</v>
      </c>
      <c r="C4858" s="5">
        <v>61980.678599999999</v>
      </c>
      <c r="D4858" s="5">
        <v>61980.678599999999</v>
      </c>
      <c r="E4858" s="5">
        <v>56124.615700000002</v>
      </c>
      <c r="G4858" s="5" t="str">
        <f t="shared" si="151"/>
        <v>ХИММАШ</v>
      </c>
      <c r="J4858" s="5"/>
      <c r="AL4858" s="5">
        <f t="shared" si="152"/>
        <v>0</v>
      </c>
    </row>
    <row r="4859" spans="1:38" ht="25.5" customHeight="1" x14ac:dyDescent="0.25">
      <c r="A4859" s="10" t="s">
        <v>485</v>
      </c>
      <c r="B4859" s="11" t="s">
        <v>1644</v>
      </c>
      <c r="C4859" s="5">
        <v>61980.678599999999</v>
      </c>
      <c r="D4859" s="5">
        <v>61980.678599999999</v>
      </c>
      <c r="E4859" s="5">
        <v>56124.615700000002</v>
      </c>
      <c r="G4859" s="5" t="str">
        <f t="shared" si="151"/>
        <v>ХИММАШ</v>
      </c>
      <c r="J4859" s="5"/>
      <c r="AL4859" s="5">
        <f t="shared" si="152"/>
        <v>0</v>
      </c>
    </row>
    <row r="4860" spans="1:38" ht="25.5" customHeight="1" x14ac:dyDescent="0.25">
      <c r="A4860" s="10" t="s">
        <v>1128</v>
      </c>
      <c r="B4860" s="11" t="s">
        <v>1632</v>
      </c>
      <c r="C4860" s="5">
        <v>83744.997499999998</v>
      </c>
      <c r="D4860" s="5">
        <v>83744.997499999998</v>
      </c>
      <c r="E4860" s="5">
        <v>75832.596099999995</v>
      </c>
      <c r="G4860" s="5" t="str">
        <f t="shared" si="151"/>
        <v>АВТОВОКЗАЛ</v>
      </c>
      <c r="J4860" s="5"/>
      <c r="AL4860" s="5">
        <f t="shared" si="152"/>
        <v>0</v>
      </c>
    </row>
    <row r="4861" spans="1:38" ht="25.5" customHeight="1" x14ac:dyDescent="0.25">
      <c r="A4861" s="10" t="s">
        <v>797</v>
      </c>
      <c r="B4861" s="11" t="s">
        <v>1632</v>
      </c>
      <c r="C4861" s="5">
        <v>83744.997499999998</v>
      </c>
      <c r="D4861" s="5">
        <v>83744.997499999998</v>
      </c>
      <c r="E4861" s="5">
        <v>75832.596099999995</v>
      </c>
      <c r="G4861" s="5" t="str">
        <f t="shared" si="151"/>
        <v>АВТОВОКЗАЛ</v>
      </c>
      <c r="J4861" s="5"/>
      <c r="AL4861" s="5">
        <f t="shared" si="152"/>
        <v>0</v>
      </c>
    </row>
    <row r="4862" spans="1:38" ht="25.5" customHeight="1" x14ac:dyDescent="0.25">
      <c r="A4862" s="10" t="s">
        <v>3795</v>
      </c>
      <c r="B4862" s="11" t="s">
        <v>1631</v>
      </c>
      <c r="C4862" s="5">
        <v>70026.7601</v>
      </c>
      <c r="D4862" s="5">
        <v>70026.7601</v>
      </c>
      <c r="E4862" s="5">
        <v>63410.482000000004</v>
      </c>
      <c r="G4862" s="5" t="str">
        <f t="shared" si="151"/>
        <v>УРАЛМАШ</v>
      </c>
      <c r="J4862" s="5"/>
      <c r="AL4862" s="5">
        <f t="shared" si="152"/>
        <v>0</v>
      </c>
    </row>
    <row r="4863" spans="1:38" ht="25.5" customHeight="1" x14ac:dyDescent="0.25">
      <c r="A4863" s="10" t="s">
        <v>1526</v>
      </c>
      <c r="B4863" s="11" t="s">
        <v>33</v>
      </c>
      <c r="C4863" s="5">
        <v>84298.205100000006</v>
      </c>
      <c r="D4863" s="5">
        <v>84298.205100000006</v>
      </c>
      <c r="E4863" s="5">
        <v>76333.533100000001</v>
      </c>
      <c r="G4863" s="5" t="str">
        <f t="shared" ref="G4863:G4926" si="153">B4863</f>
        <v>ВИЗ</v>
      </c>
      <c r="J4863" s="5"/>
      <c r="AL4863" s="5">
        <f t="shared" ref="AL4863:AL4926" si="154">AF4863</f>
        <v>0</v>
      </c>
    </row>
    <row r="4864" spans="1:38" ht="25.5" customHeight="1" x14ac:dyDescent="0.25">
      <c r="A4864" s="10" t="s">
        <v>3796</v>
      </c>
      <c r="B4864" s="11" t="s">
        <v>1645</v>
      </c>
      <c r="C4864" s="5">
        <v>60958.294800000003</v>
      </c>
      <c r="D4864" s="5">
        <v>60958.294800000003</v>
      </c>
      <c r="E4864" s="5">
        <v>55198.825199999999</v>
      </c>
      <c r="G4864" s="5" t="str">
        <f t="shared" si="153"/>
        <v>ЕЛИЗАВЕТ</v>
      </c>
      <c r="J4864" s="5"/>
      <c r="AL4864" s="5">
        <f t="shared" si="154"/>
        <v>0</v>
      </c>
    </row>
    <row r="4865" spans="1:38" ht="25.5" customHeight="1" x14ac:dyDescent="0.25">
      <c r="A4865" s="10" t="s">
        <v>3797</v>
      </c>
      <c r="B4865" s="11" t="s">
        <v>1643</v>
      </c>
      <c r="C4865" s="5">
        <v>76630.280299999999</v>
      </c>
      <c r="D4865" s="5">
        <v>76630.280299999999</v>
      </c>
      <c r="E4865" s="5">
        <v>69390.088799999998</v>
      </c>
      <c r="G4865" s="5" t="str">
        <f t="shared" si="153"/>
        <v>Ю-З</v>
      </c>
      <c r="J4865" s="5"/>
      <c r="AL4865" s="5">
        <f t="shared" si="154"/>
        <v>0</v>
      </c>
    </row>
    <row r="4866" spans="1:38" ht="25.5" customHeight="1" x14ac:dyDescent="0.25">
      <c r="A4866" s="10" t="s">
        <v>3798</v>
      </c>
      <c r="B4866" s="11" t="s">
        <v>1643</v>
      </c>
      <c r="C4866" s="5">
        <v>76630.280299999999</v>
      </c>
      <c r="D4866" s="5">
        <v>76630.280299999999</v>
      </c>
      <c r="E4866" s="5">
        <v>69390.088799999998</v>
      </c>
      <c r="G4866" s="5" t="str">
        <f t="shared" si="153"/>
        <v>Ю-З</v>
      </c>
      <c r="J4866" s="5"/>
      <c r="AL4866" s="5">
        <f t="shared" si="154"/>
        <v>0</v>
      </c>
    </row>
    <row r="4867" spans="1:38" ht="25.5" customHeight="1" x14ac:dyDescent="0.25">
      <c r="A4867" s="10" t="s">
        <v>1009</v>
      </c>
      <c r="B4867" s="11" t="s">
        <v>1631</v>
      </c>
      <c r="C4867" s="5">
        <v>70026.7601</v>
      </c>
      <c r="D4867" s="5">
        <v>70026.7601</v>
      </c>
      <c r="E4867" s="5">
        <v>63410.482000000004</v>
      </c>
      <c r="G4867" s="5" t="str">
        <f t="shared" si="153"/>
        <v>УРАЛМАШ</v>
      </c>
      <c r="J4867" s="5"/>
      <c r="AL4867" s="5">
        <f t="shared" si="154"/>
        <v>0</v>
      </c>
    </row>
    <row r="4868" spans="1:38" ht="25.5" customHeight="1" x14ac:dyDescent="0.25">
      <c r="A4868" s="10" t="s">
        <v>3799</v>
      </c>
      <c r="B4868" s="11" t="s">
        <v>1652</v>
      </c>
      <c r="C4868" s="5">
        <v>71105.171700000006</v>
      </c>
      <c r="D4868" s="5">
        <v>71105.171700000006</v>
      </c>
      <c r="E4868" s="5">
        <v>64387.005100000002</v>
      </c>
      <c r="G4868" s="5" t="str">
        <f t="shared" si="153"/>
        <v>ЗАРЕЧНЫЙ</v>
      </c>
      <c r="J4868" s="5"/>
      <c r="AL4868" s="5">
        <f t="shared" si="154"/>
        <v>0</v>
      </c>
    </row>
    <row r="4869" spans="1:38" ht="25.5" customHeight="1" x14ac:dyDescent="0.25">
      <c r="A4869" s="10" t="s">
        <v>3800</v>
      </c>
      <c r="B4869" s="11" t="s">
        <v>1643</v>
      </c>
      <c r="C4869" s="5">
        <v>76630.280299999999</v>
      </c>
      <c r="D4869" s="5">
        <v>76630.280299999999</v>
      </c>
      <c r="E4869" s="5">
        <v>69390.088799999998</v>
      </c>
      <c r="G4869" s="5" t="str">
        <f t="shared" si="153"/>
        <v>Ю-З</v>
      </c>
      <c r="J4869" s="5"/>
      <c r="AL4869" s="5">
        <f t="shared" si="154"/>
        <v>0</v>
      </c>
    </row>
    <row r="4870" spans="1:38" ht="25.5" customHeight="1" x14ac:dyDescent="0.25">
      <c r="A4870" s="10" t="s">
        <v>3801</v>
      </c>
      <c r="B4870" s="11" t="s">
        <v>1630</v>
      </c>
      <c r="C4870" s="5">
        <v>62652.9401</v>
      </c>
      <c r="D4870" s="5">
        <v>62652.9401</v>
      </c>
      <c r="E4870" s="5">
        <v>56733.3557</v>
      </c>
      <c r="G4870" s="5" t="str">
        <f t="shared" si="153"/>
        <v>ЧЕРМЕТ</v>
      </c>
      <c r="J4870" s="5"/>
      <c r="AL4870" s="5">
        <f t="shared" si="154"/>
        <v>0</v>
      </c>
    </row>
    <row r="4871" spans="1:38" ht="25.5" customHeight="1" x14ac:dyDescent="0.25">
      <c r="A4871" s="10" t="s">
        <v>3802</v>
      </c>
      <c r="B4871" s="11" t="s">
        <v>1650</v>
      </c>
      <c r="C4871" s="5">
        <v>37590.3603</v>
      </c>
      <c r="D4871" s="5">
        <v>37590.3603</v>
      </c>
      <c r="E4871" s="5">
        <v>34038.745900000002</v>
      </c>
      <c r="G4871" s="5" t="str">
        <f t="shared" si="153"/>
        <v>ШАБРОВСКИЙ</v>
      </c>
      <c r="J4871" s="5"/>
      <c r="AL4871" s="5">
        <f t="shared" si="154"/>
        <v>0</v>
      </c>
    </row>
    <row r="4872" spans="1:38" ht="25.5" customHeight="1" x14ac:dyDescent="0.25">
      <c r="A4872" s="10" t="s">
        <v>3803</v>
      </c>
      <c r="B4872" s="11" t="s">
        <v>1659</v>
      </c>
      <c r="C4872" s="5">
        <v>59746.832600000002</v>
      </c>
      <c r="D4872" s="5">
        <v>59746.832600000002</v>
      </c>
      <c r="E4872" s="5">
        <v>54101.823700000001</v>
      </c>
      <c r="G4872" s="5" t="str">
        <f t="shared" si="153"/>
        <v>СОВХОЗ</v>
      </c>
      <c r="J4872" s="5"/>
      <c r="AL4872" s="5">
        <f t="shared" si="154"/>
        <v>0</v>
      </c>
    </row>
    <row r="4873" spans="1:38" ht="25.5" customHeight="1" x14ac:dyDescent="0.25">
      <c r="A4873" s="10" t="s">
        <v>3804</v>
      </c>
      <c r="B4873" s="11" t="s">
        <v>1636</v>
      </c>
      <c r="C4873" s="5">
        <v>52246.960299999999</v>
      </c>
      <c r="D4873" s="5">
        <v>52246.960299999999</v>
      </c>
      <c r="E4873" s="5">
        <v>47310.556700000001</v>
      </c>
      <c r="G4873" s="5" t="str">
        <f t="shared" si="153"/>
        <v>ГОРНЫЙ ЩИТ</v>
      </c>
      <c r="J4873" s="5"/>
      <c r="AL4873" s="5">
        <f t="shared" si="154"/>
        <v>0</v>
      </c>
    </row>
    <row r="4874" spans="1:38" ht="25.5" customHeight="1" x14ac:dyDescent="0.25">
      <c r="A4874" s="10" t="s">
        <v>3805</v>
      </c>
      <c r="B4874" s="11" t="s">
        <v>1649</v>
      </c>
      <c r="C4874" s="5">
        <v>78633.047600000005</v>
      </c>
      <c r="D4874" s="5">
        <v>78633.047600000005</v>
      </c>
      <c r="E4874" s="5">
        <v>71203.623000000007</v>
      </c>
      <c r="G4874" s="5" t="str">
        <f t="shared" si="153"/>
        <v>ВОКЗАЛЬНЫЙ</v>
      </c>
      <c r="J4874" s="5"/>
      <c r="AL4874" s="5">
        <f t="shared" si="154"/>
        <v>0</v>
      </c>
    </row>
    <row r="4875" spans="1:38" ht="25.5" customHeight="1" x14ac:dyDescent="0.25">
      <c r="A4875" s="10" t="s">
        <v>254</v>
      </c>
      <c r="B4875" s="11" t="s">
        <v>1630</v>
      </c>
      <c r="C4875" s="5">
        <v>62652.9401</v>
      </c>
      <c r="D4875" s="5">
        <v>62652.9401</v>
      </c>
      <c r="E4875" s="5">
        <v>56733.3557</v>
      </c>
      <c r="G4875" s="5" t="str">
        <f t="shared" si="153"/>
        <v>ЧЕРМЕТ</v>
      </c>
      <c r="J4875" s="5"/>
      <c r="AL4875" s="5">
        <f t="shared" si="154"/>
        <v>0</v>
      </c>
    </row>
    <row r="4876" spans="1:38" ht="25.5" customHeight="1" x14ac:dyDescent="0.25">
      <c r="A4876" s="10" t="s">
        <v>1523</v>
      </c>
      <c r="B4876" s="11" t="s">
        <v>66</v>
      </c>
      <c r="C4876" s="5">
        <v>64795.756300000001</v>
      </c>
      <c r="D4876" s="5">
        <v>64795.756300000001</v>
      </c>
      <c r="E4876" s="5">
        <v>58673.716200000003</v>
      </c>
      <c r="G4876" s="5" t="str">
        <f t="shared" si="153"/>
        <v>УНЦ</v>
      </c>
      <c r="J4876" s="5"/>
      <c r="AL4876" s="5">
        <f t="shared" si="154"/>
        <v>0</v>
      </c>
    </row>
    <row r="4877" spans="1:38" ht="25.5" customHeight="1" x14ac:dyDescent="0.25">
      <c r="A4877" s="10" t="s">
        <v>3806</v>
      </c>
      <c r="B4877" s="11" t="s">
        <v>33</v>
      </c>
      <c r="C4877" s="5">
        <v>84298.205100000006</v>
      </c>
      <c r="D4877" s="5">
        <v>84298.205100000006</v>
      </c>
      <c r="E4877" s="5">
        <v>76333.533100000001</v>
      </c>
      <c r="G4877" s="5" t="str">
        <f t="shared" si="153"/>
        <v>ВИЗ</v>
      </c>
      <c r="J4877" s="5"/>
      <c r="AL4877" s="5">
        <f t="shared" si="154"/>
        <v>0</v>
      </c>
    </row>
    <row r="4878" spans="1:38" ht="25.5" customHeight="1" x14ac:dyDescent="0.25">
      <c r="A4878" s="10" t="s">
        <v>3807</v>
      </c>
      <c r="B4878" s="11" t="s">
        <v>1629</v>
      </c>
      <c r="C4878" s="5">
        <v>77743.704100000003</v>
      </c>
      <c r="D4878" s="5">
        <v>77743.704100000003</v>
      </c>
      <c r="E4878" s="5">
        <v>70398.310800000007</v>
      </c>
      <c r="G4878" s="5" t="str">
        <f t="shared" si="153"/>
        <v>ПИОНЕРСКИЙ</v>
      </c>
      <c r="J4878" s="5"/>
      <c r="AL4878" s="5">
        <f t="shared" si="154"/>
        <v>0</v>
      </c>
    </row>
    <row r="4879" spans="1:38" ht="25.5" customHeight="1" x14ac:dyDescent="0.25">
      <c r="A4879" s="10" t="s">
        <v>3808</v>
      </c>
      <c r="B4879" s="11" t="s">
        <v>1638</v>
      </c>
      <c r="C4879" s="5">
        <v>63640.311600000001</v>
      </c>
      <c r="D4879" s="5">
        <v>63640.311600000001</v>
      </c>
      <c r="E4879" s="5">
        <v>57627.4473</v>
      </c>
      <c r="G4879" s="5" t="str">
        <f t="shared" si="153"/>
        <v>УКТУС</v>
      </c>
      <c r="J4879" s="5"/>
      <c r="AL4879" s="5">
        <f t="shared" si="154"/>
        <v>0</v>
      </c>
    </row>
    <row r="4880" spans="1:38" ht="25.5" customHeight="1" x14ac:dyDescent="0.25">
      <c r="A4880" s="10" t="s">
        <v>3809</v>
      </c>
      <c r="B4880" s="11" t="s">
        <v>1638</v>
      </c>
      <c r="C4880" s="5">
        <v>63640.311600000001</v>
      </c>
      <c r="D4880" s="5">
        <v>63640.311600000001</v>
      </c>
      <c r="E4880" s="5">
        <v>57627.4473</v>
      </c>
      <c r="G4880" s="5" t="str">
        <f t="shared" si="153"/>
        <v>УКТУС</v>
      </c>
      <c r="J4880" s="5"/>
      <c r="AL4880" s="5">
        <f t="shared" si="154"/>
        <v>0</v>
      </c>
    </row>
    <row r="4881" spans="1:38" ht="25.5" customHeight="1" x14ac:dyDescent="0.25">
      <c r="A4881" s="10" t="s">
        <v>179</v>
      </c>
      <c r="B4881" s="11" t="s">
        <v>1633</v>
      </c>
      <c r="C4881" s="5">
        <v>77071.442599999995</v>
      </c>
      <c r="D4881" s="5">
        <v>77071.442599999995</v>
      </c>
      <c r="E4881" s="5">
        <v>69789.570900000006</v>
      </c>
      <c r="G4881" s="5" t="str">
        <f t="shared" si="153"/>
        <v>ВТУЗГОРОДОК</v>
      </c>
      <c r="J4881" s="5"/>
      <c r="AL4881" s="5">
        <f t="shared" si="154"/>
        <v>0</v>
      </c>
    </row>
    <row r="4882" spans="1:38" ht="25.5" customHeight="1" x14ac:dyDescent="0.25">
      <c r="A4882" s="10" t="s">
        <v>143</v>
      </c>
      <c r="B4882" s="11" t="s">
        <v>1633</v>
      </c>
      <c r="C4882" s="5">
        <v>77071.442599999995</v>
      </c>
      <c r="D4882" s="5">
        <v>77071.442599999995</v>
      </c>
      <c r="E4882" s="5">
        <v>69789.570900000006</v>
      </c>
      <c r="G4882" s="5" t="str">
        <f t="shared" si="153"/>
        <v>ВТУЗГОРОДОК</v>
      </c>
      <c r="J4882" s="5"/>
      <c r="AL4882" s="5">
        <f t="shared" si="154"/>
        <v>0</v>
      </c>
    </row>
    <row r="4883" spans="1:38" ht="25.5" customHeight="1" x14ac:dyDescent="0.25">
      <c r="A4883" s="10" t="s">
        <v>3810</v>
      </c>
      <c r="B4883" s="11" t="s">
        <v>1628</v>
      </c>
      <c r="C4883" s="5">
        <v>70734.0236</v>
      </c>
      <c r="D4883" s="5">
        <v>70734.0236</v>
      </c>
      <c r="E4883" s="5">
        <v>64050.9208</v>
      </c>
      <c r="G4883" s="5" t="str">
        <f t="shared" si="153"/>
        <v>ЭЛЬМАШ</v>
      </c>
      <c r="J4883" s="5"/>
      <c r="AL4883" s="5">
        <f t="shared" si="154"/>
        <v>0</v>
      </c>
    </row>
    <row r="4884" spans="1:38" ht="25.5" customHeight="1" x14ac:dyDescent="0.25">
      <c r="A4884" s="10" t="s">
        <v>479</v>
      </c>
      <c r="B4884" s="11" t="s">
        <v>1651</v>
      </c>
      <c r="C4884" s="5">
        <v>68129.029500000004</v>
      </c>
      <c r="D4884" s="5">
        <v>68129.029500000004</v>
      </c>
      <c r="E4884" s="5">
        <v>61692.054799999998</v>
      </c>
      <c r="G4884" s="5" t="str">
        <f t="shared" si="153"/>
        <v>ШАРТАШ</v>
      </c>
      <c r="J4884" s="5"/>
      <c r="AL4884" s="5">
        <f t="shared" si="154"/>
        <v>0</v>
      </c>
    </row>
    <row r="4885" spans="1:38" ht="25.5" customHeight="1" x14ac:dyDescent="0.25">
      <c r="A4885" s="10" t="s">
        <v>3811</v>
      </c>
      <c r="B4885" s="11" t="s">
        <v>1636</v>
      </c>
      <c r="C4885" s="5">
        <v>52246.960299999999</v>
      </c>
      <c r="D4885" s="5">
        <v>52246.960299999999</v>
      </c>
      <c r="E4885" s="5">
        <v>47310.556700000001</v>
      </c>
      <c r="G4885" s="5" t="str">
        <f t="shared" si="153"/>
        <v>ГОРНЫЙ ЩИТ</v>
      </c>
      <c r="J4885" s="5"/>
      <c r="AL4885" s="5">
        <f t="shared" si="154"/>
        <v>0</v>
      </c>
    </row>
    <row r="4886" spans="1:38" ht="25.5" customHeight="1" x14ac:dyDescent="0.25">
      <c r="A4886" s="10" t="s">
        <v>728</v>
      </c>
      <c r="B4886" s="11" t="s">
        <v>14</v>
      </c>
      <c r="C4886" s="5">
        <v>93989.912800000006</v>
      </c>
      <c r="D4886" s="5">
        <v>93989.912800000006</v>
      </c>
      <c r="E4886" s="5">
        <v>85109.545199999993</v>
      </c>
      <c r="G4886" s="5" t="str">
        <f t="shared" si="153"/>
        <v>Центр</v>
      </c>
      <c r="J4886" s="5"/>
      <c r="AL4886" s="5">
        <f t="shared" si="154"/>
        <v>0</v>
      </c>
    </row>
    <row r="4887" spans="1:38" ht="25.5" customHeight="1" x14ac:dyDescent="0.25">
      <c r="A4887" s="10" t="s">
        <v>3812</v>
      </c>
      <c r="B4887" s="11" t="s">
        <v>1659</v>
      </c>
      <c r="C4887" s="5">
        <v>59746.832600000002</v>
      </c>
      <c r="D4887" s="5">
        <v>59746.832600000002</v>
      </c>
      <c r="E4887" s="5">
        <v>54101.823700000001</v>
      </c>
      <c r="G4887" s="5" t="str">
        <f t="shared" si="153"/>
        <v>СОВХОЗ</v>
      </c>
      <c r="J4887" s="5"/>
      <c r="AL4887" s="5">
        <f t="shared" si="154"/>
        <v>0</v>
      </c>
    </row>
    <row r="4888" spans="1:38" ht="25.5" customHeight="1" x14ac:dyDescent="0.25">
      <c r="A4888" s="10" t="s">
        <v>372</v>
      </c>
      <c r="B4888" s="11" t="s">
        <v>1630</v>
      </c>
      <c r="C4888" s="5">
        <v>62652.9401</v>
      </c>
      <c r="D4888" s="5">
        <v>62652.9401</v>
      </c>
      <c r="E4888" s="5">
        <v>56733.3557</v>
      </c>
      <c r="G4888" s="5" t="str">
        <f t="shared" si="153"/>
        <v>ЧЕРМЕТ</v>
      </c>
      <c r="J4888" s="5"/>
      <c r="AL4888" s="5">
        <f t="shared" si="154"/>
        <v>0</v>
      </c>
    </row>
    <row r="4889" spans="1:38" ht="25.5" customHeight="1" x14ac:dyDescent="0.25">
      <c r="A4889" s="10" t="s">
        <v>3813</v>
      </c>
      <c r="B4889" s="11" t="s">
        <v>1643</v>
      </c>
      <c r="C4889" s="5">
        <v>76630.280299999999</v>
      </c>
      <c r="D4889" s="5">
        <v>76630.280299999999</v>
      </c>
      <c r="E4889" s="5">
        <v>69390.088799999998</v>
      </c>
      <c r="G4889" s="5" t="str">
        <f t="shared" si="153"/>
        <v>Ю-З</v>
      </c>
      <c r="J4889" s="5"/>
      <c r="AL4889" s="5">
        <f t="shared" si="154"/>
        <v>0</v>
      </c>
    </row>
    <row r="4890" spans="1:38" ht="25.5" customHeight="1" x14ac:dyDescent="0.25">
      <c r="A4890" s="10" t="s">
        <v>3814</v>
      </c>
      <c r="B4890" s="11" t="s">
        <v>1652</v>
      </c>
      <c r="C4890" s="5">
        <v>71105.171700000006</v>
      </c>
      <c r="D4890" s="5">
        <v>71105.171700000006</v>
      </c>
      <c r="E4890" s="5">
        <v>64387.005100000002</v>
      </c>
      <c r="G4890" s="5" t="str">
        <f t="shared" si="153"/>
        <v>ЗАРЕЧНЫЙ</v>
      </c>
      <c r="J4890" s="5"/>
      <c r="AL4890" s="5">
        <f t="shared" si="154"/>
        <v>0</v>
      </c>
    </row>
    <row r="4891" spans="1:38" ht="25.5" customHeight="1" x14ac:dyDescent="0.25">
      <c r="A4891" s="10" t="s">
        <v>3815</v>
      </c>
      <c r="B4891" s="11" t="s">
        <v>1630</v>
      </c>
      <c r="C4891" s="5">
        <v>62652.9401</v>
      </c>
      <c r="D4891" s="5">
        <v>62652.9401</v>
      </c>
      <c r="E4891" s="5">
        <v>56733.3557</v>
      </c>
      <c r="G4891" s="5" t="str">
        <f t="shared" si="153"/>
        <v>ЧЕРМЕТ</v>
      </c>
      <c r="J4891" s="5"/>
      <c r="AL4891" s="5">
        <f t="shared" si="154"/>
        <v>0</v>
      </c>
    </row>
    <row r="4892" spans="1:38" ht="25.5" customHeight="1" x14ac:dyDescent="0.25">
      <c r="A4892" s="10" t="s">
        <v>3816</v>
      </c>
      <c r="B4892" s="11" t="s">
        <v>1640</v>
      </c>
      <c r="C4892" s="5">
        <v>64914.8</v>
      </c>
      <c r="D4892" s="5">
        <v>64914.8</v>
      </c>
      <c r="E4892" s="5">
        <v>58781.519200000002</v>
      </c>
      <c r="G4892" s="5" t="str">
        <f t="shared" si="153"/>
        <v>Новая сортировка</v>
      </c>
      <c r="J4892" s="5"/>
      <c r="AL4892" s="5">
        <f t="shared" si="154"/>
        <v>0</v>
      </c>
    </row>
    <row r="4893" spans="1:38" ht="25.5" customHeight="1" x14ac:dyDescent="0.25">
      <c r="A4893" s="10" t="s">
        <v>3817</v>
      </c>
      <c r="B4893" s="11" t="s">
        <v>779</v>
      </c>
      <c r="C4893" s="5">
        <v>46784.877899999999</v>
      </c>
      <c r="D4893" s="5">
        <v>46784.877899999999</v>
      </c>
      <c r="E4893" s="5">
        <v>42364.543299999998</v>
      </c>
      <c r="G4893" s="5" t="str">
        <f t="shared" si="153"/>
        <v>Нижнеисетский</v>
      </c>
      <c r="J4893" s="5"/>
      <c r="AL4893" s="5">
        <f t="shared" si="154"/>
        <v>0</v>
      </c>
    </row>
    <row r="4894" spans="1:38" ht="25.5" customHeight="1" x14ac:dyDescent="0.25">
      <c r="A4894" s="10" t="s">
        <v>3818</v>
      </c>
      <c r="B4894" s="11" t="s">
        <v>1657</v>
      </c>
      <c r="C4894" s="5">
        <v>54886.9666</v>
      </c>
      <c r="D4894" s="5">
        <v>54886.9666</v>
      </c>
      <c r="E4894" s="5">
        <v>49701.1319</v>
      </c>
      <c r="G4894" s="5" t="str">
        <f t="shared" si="153"/>
        <v>КОЛЬЦОВО</v>
      </c>
      <c r="J4894" s="5"/>
      <c r="AL4894" s="5">
        <f t="shared" si="154"/>
        <v>0</v>
      </c>
    </row>
    <row r="4895" spans="1:38" ht="25.5" customHeight="1" x14ac:dyDescent="0.25">
      <c r="A4895" s="10" t="s">
        <v>359</v>
      </c>
      <c r="B4895" s="11" t="s">
        <v>14</v>
      </c>
      <c r="C4895" s="5">
        <v>93989.912800000006</v>
      </c>
      <c r="D4895" s="5">
        <v>93989.912800000006</v>
      </c>
      <c r="E4895" s="5">
        <v>85109.545199999993</v>
      </c>
      <c r="G4895" s="5" t="str">
        <f t="shared" si="153"/>
        <v>Центр</v>
      </c>
      <c r="J4895" s="5"/>
      <c r="AL4895" s="5">
        <f t="shared" si="154"/>
        <v>0</v>
      </c>
    </row>
    <row r="4896" spans="1:38" ht="25.5" customHeight="1" x14ac:dyDescent="0.25">
      <c r="A4896" s="10" t="s">
        <v>423</v>
      </c>
      <c r="B4896" s="11" t="s">
        <v>1643</v>
      </c>
      <c r="C4896" s="5">
        <v>76630.280299999999</v>
      </c>
      <c r="D4896" s="5">
        <v>76630.280299999999</v>
      </c>
      <c r="E4896" s="5">
        <v>69390.088799999998</v>
      </c>
      <c r="G4896" s="5" t="str">
        <f t="shared" si="153"/>
        <v>Ю-З</v>
      </c>
      <c r="J4896" s="5"/>
      <c r="AL4896" s="5">
        <f t="shared" si="154"/>
        <v>0</v>
      </c>
    </row>
    <row r="4897" spans="1:38" ht="25.5" customHeight="1" x14ac:dyDescent="0.25">
      <c r="A4897" s="10" t="s">
        <v>3819</v>
      </c>
      <c r="B4897" s="11" t="s">
        <v>209</v>
      </c>
      <c r="C4897" s="5">
        <v>69382.512499999997</v>
      </c>
      <c r="D4897" s="5">
        <v>69382.512499999997</v>
      </c>
      <c r="E4897" s="5">
        <v>62827.103199999998</v>
      </c>
      <c r="G4897" s="5" t="str">
        <f t="shared" si="153"/>
        <v>ЖБИ</v>
      </c>
      <c r="J4897" s="5"/>
      <c r="AL4897" s="5">
        <f t="shared" si="154"/>
        <v>0</v>
      </c>
    </row>
    <row r="4898" spans="1:38" ht="25.5" customHeight="1" x14ac:dyDescent="0.25">
      <c r="A4898" s="10" t="s">
        <v>98</v>
      </c>
      <c r="B4898" s="11" t="s">
        <v>14</v>
      </c>
      <c r="C4898" s="5">
        <v>93989.912800000006</v>
      </c>
      <c r="D4898" s="5">
        <v>93989.912800000006</v>
      </c>
      <c r="E4898" s="5">
        <v>85109.545199999993</v>
      </c>
      <c r="G4898" s="5" t="str">
        <f t="shared" si="153"/>
        <v>Центр</v>
      </c>
      <c r="J4898" s="5"/>
      <c r="AL4898" s="5">
        <f t="shared" si="154"/>
        <v>0</v>
      </c>
    </row>
    <row r="4899" spans="1:38" ht="25.5" customHeight="1" x14ac:dyDescent="0.25">
      <c r="A4899" s="10" t="s">
        <v>1241</v>
      </c>
      <c r="B4899" s="11" t="s">
        <v>1629</v>
      </c>
      <c r="C4899" s="5">
        <v>77743.704100000003</v>
      </c>
      <c r="D4899" s="5">
        <v>77743.704100000003</v>
      </c>
      <c r="E4899" s="5">
        <v>70398.310800000007</v>
      </c>
      <c r="G4899" s="5" t="str">
        <f t="shared" si="153"/>
        <v>ПИОНЕРСКИЙ</v>
      </c>
      <c r="J4899" s="5"/>
      <c r="AL4899" s="5">
        <f t="shared" si="154"/>
        <v>0</v>
      </c>
    </row>
    <row r="4900" spans="1:38" ht="25.5" customHeight="1" x14ac:dyDescent="0.25">
      <c r="A4900" s="10" t="s">
        <v>45</v>
      </c>
      <c r="B4900" s="11" t="s">
        <v>1630</v>
      </c>
      <c r="C4900" s="5">
        <v>62652.9401</v>
      </c>
      <c r="D4900" s="5">
        <v>62652.9401</v>
      </c>
      <c r="E4900" s="5">
        <v>56733.3557</v>
      </c>
      <c r="G4900" s="5" t="str">
        <f t="shared" si="153"/>
        <v>ЧЕРМЕТ</v>
      </c>
      <c r="J4900" s="5"/>
      <c r="AL4900" s="5">
        <f t="shared" si="154"/>
        <v>0</v>
      </c>
    </row>
    <row r="4901" spans="1:38" ht="25.5" customHeight="1" x14ac:dyDescent="0.25">
      <c r="A4901" s="10" t="s">
        <v>750</v>
      </c>
      <c r="B4901" s="11" t="s">
        <v>1628</v>
      </c>
      <c r="C4901" s="5">
        <v>70734.0236</v>
      </c>
      <c r="D4901" s="5">
        <v>70734.0236</v>
      </c>
      <c r="E4901" s="5">
        <v>64050.9208</v>
      </c>
      <c r="G4901" s="5" t="str">
        <f t="shared" si="153"/>
        <v>ЭЛЬМАШ</v>
      </c>
      <c r="J4901" s="5"/>
      <c r="AL4901" s="5">
        <f t="shared" si="154"/>
        <v>0</v>
      </c>
    </row>
    <row r="4902" spans="1:38" ht="25.5" customHeight="1" x14ac:dyDescent="0.25">
      <c r="A4902" s="10" t="s">
        <v>3820</v>
      </c>
      <c r="B4902" s="11" t="s">
        <v>1645</v>
      </c>
      <c r="C4902" s="5">
        <v>60958.294800000003</v>
      </c>
      <c r="D4902" s="5">
        <v>60958.294800000003</v>
      </c>
      <c r="E4902" s="5">
        <v>55198.825199999999</v>
      </c>
      <c r="G4902" s="5" t="str">
        <f t="shared" si="153"/>
        <v>ЕЛИЗАВЕТ</v>
      </c>
      <c r="J4902" s="5"/>
      <c r="AL4902" s="5">
        <f t="shared" si="154"/>
        <v>0</v>
      </c>
    </row>
    <row r="4903" spans="1:38" ht="25.5" customHeight="1" x14ac:dyDescent="0.25">
      <c r="A4903" s="10" t="s">
        <v>3821</v>
      </c>
      <c r="B4903" s="11" t="s">
        <v>1642</v>
      </c>
      <c r="C4903" s="5">
        <v>81392.097599999994</v>
      </c>
      <c r="D4903" s="5">
        <v>81392.097599999994</v>
      </c>
      <c r="E4903" s="5">
        <v>73702.001099999994</v>
      </c>
      <c r="G4903" s="5" t="str">
        <f t="shared" si="153"/>
        <v>ПАРКОВЫЙ</v>
      </c>
      <c r="J4903" s="5"/>
      <c r="AL4903" s="5">
        <f t="shared" si="154"/>
        <v>0</v>
      </c>
    </row>
    <row r="4904" spans="1:38" ht="25.5" customHeight="1" x14ac:dyDescent="0.25">
      <c r="A4904" s="10" t="s">
        <v>3822</v>
      </c>
      <c r="B4904" s="11" t="s">
        <v>1637</v>
      </c>
      <c r="C4904" s="5">
        <v>59368.686099999999</v>
      </c>
      <c r="D4904" s="5">
        <v>59368.686099999999</v>
      </c>
      <c r="E4904" s="5">
        <v>53759.401700000002</v>
      </c>
      <c r="G4904" s="5" t="str">
        <f t="shared" si="153"/>
        <v>Старая сортировка</v>
      </c>
      <c r="J4904" s="5"/>
      <c r="AL4904" s="5">
        <f t="shared" si="154"/>
        <v>0</v>
      </c>
    </row>
    <row r="4905" spans="1:38" ht="25.5" customHeight="1" x14ac:dyDescent="0.25">
      <c r="A4905" s="10" t="s">
        <v>1425</v>
      </c>
      <c r="B4905" s="11" t="s">
        <v>1664</v>
      </c>
      <c r="C4905" s="5">
        <v>53668.506099999999</v>
      </c>
      <c r="D4905" s="5">
        <v>53668.506099999999</v>
      </c>
      <c r="E4905" s="5">
        <v>48597.792699999998</v>
      </c>
      <c r="G4905" s="5" t="str">
        <f t="shared" si="153"/>
        <v>ИЗОПЛИТ</v>
      </c>
      <c r="J4905" s="5"/>
      <c r="AL4905" s="5">
        <f t="shared" si="154"/>
        <v>0</v>
      </c>
    </row>
    <row r="4906" spans="1:38" ht="25.5" customHeight="1" x14ac:dyDescent="0.25">
      <c r="A4906" s="10" t="s">
        <v>3823</v>
      </c>
      <c r="B4906" s="11" t="s">
        <v>1631</v>
      </c>
      <c r="C4906" s="5">
        <v>70026.7601</v>
      </c>
      <c r="D4906" s="5">
        <v>70026.7601</v>
      </c>
      <c r="E4906" s="5">
        <v>63410.482000000004</v>
      </c>
      <c r="G4906" s="5" t="str">
        <f t="shared" si="153"/>
        <v>УРАЛМАШ</v>
      </c>
      <c r="J4906" s="5"/>
      <c r="AL4906" s="5">
        <f t="shared" si="154"/>
        <v>0</v>
      </c>
    </row>
    <row r="4907" spans="1:38" ht="25.5" customHeight="1" x14ac:dyDescent="0.25">
      <c r="A4907" s="10" t="s">
        <v>3824</v>
      </c>
      <c r="B4907" s="11" t="s">
        <v>1659</v>
      </c>
      <c r="C4907" s="5">
        <v>59746.832600000002</v>
      </c>
      <c r="D4907" s="5">
        <v>59746.832600000002</v>
      </c>
      <c r="E4907" s="5">
        <v>54101.823700000001</v>
      </c>
      <c r="G4907" s="5" t="str">
        <f t="shared" si="153"/>
        <v>СОВХОЗ</v>
      </c>
      <c r="J4907" s="5"/>
      <c r="AL4907" s="5">
        <f t="shared" si="154"/>
        <v>0</v>
      </c>
    </row>
    <row r="4908" spans="1:38" ht="25.5" customHeight="1" x14ac:dyDescent="0.25">
      <c r="A4908" s="10" t="s">
        <v>3825</v>
      </c>
      <c r="B4908" s="11" t="s">
        <v>779</v>
      </c>
      <c r="C4908" s="5">
        <v>46784.877899999999</v>
      </c>
      <c r="D4908" s="5">
        <v>46784.877899999999</v>
      </c>
      <c r="E4908" s="5">
        <v>42364.543299999998</v>
      </c>
      <c r="G4908" s="5" t="str">
        <f t="shared" si="153"/>
        <v>Нижнеисетский</v>
      </c>
      <c r="J4908" s="5"/>
      <c r="AL4908" s="5">
        <f t="shared" si="154"/>
        <v>0</v>
      </c>
    </row>
    <row r="4909" spans="1:38" ht="25.5" customHeight="1" x14ac:dyDescent="0.25">
      <c r="A4909" s="10" t="s">
        <v>3826</v>
      </c>
      <c r="B4909" s="11" t="s">
        <v>1636</v>
      </c>
      <c r="C4909" s="5">
        <v>52246.960299999999</v>
      </c>
      <c r="D4909" s="5">
        <v>52246.960299999999</v>
      </c>
      <c r="E4909" s="5">
        <v>47310.556700000001</v>
      </c>
      <c r="G4909" s="5" t="str">
        <f t="shared" si="153"/>
        <v>ГОРНЫЙ ЩИТ</v>
      </c>
      <c r="J4909" s="5"/>
      <c r="AL4909" s="5">
        <f t="shared" si="154"/>
        <v>0</v>
      </c>
    </row>
    <row r="4910" spans="1:38" ht="25.5" customHeight="1" x14ac:dyDescent="0.25">
      <c r="A4910" s="10" t="s">
        <v>1394</v>
      </c>
      <c r="B4910" s="11" t="s">
        <v>1652</v>
      </c>
      <c r="C4910" s="5">
        <v>71105.171700000006</v>
      </c>
      <c r="D4910" s="5">
        <v>71105.171700000006</v>
      </c>
      <c r="E4910" s="5">
        <v>64387.005100000002</v>
      </c>
      <c r="G4910" s="5" t="str">
        <f t="shared" si="153"/>
        <v>ЗАРЕЧНЫЙ</v>
      </c>
      <c r="J4910" s="5"/>
      <c r="AL4910" s="5">
        <f t="shared" si="154"/>
        <v>0</v>
      </c>
    </row>
    <row r="4911" spans="1:38" ht="25.5" customHeight="1" x14ac:dyDescent="0.25">
      <c r="A4911" s="10" t="s">
        <v>3827</v>
      </c>
      <c r="B4911" s="11" t="s">
        <v>209</v>
      </c>
      <c r="C4911" s="5">
        <v>69382.512499999997</v>
      </c>
      <c r="D4911" s="5">
        <v>69382.512499999997</v>
      </c>
      <c r="E4911" s="5">
        <v>62827.103199999998</v>
      </c>
      <c r="G4911" s="5" t="str">
        <f t="shared" si="153"/>
        <v>ЖБИ</v>
      </c>
      <c r="J4911" s="5"/>
      <c r="AL4911" s="5">
        <f t="shared" si="154"/>
        <v>0</v>
      </c>
    </row>
    <row r="4912" spans="1:38" ht="25.5" customHeight="1" x14ac:dyDescent="0.25">
      <c r="A4912" s="10" t="s">
        <v>3828</v>
      </c>
      <c r="B4912" s="11" t="s">
        <v>1631</v>
      </c>
      <c r="C4912" s="5">
        <v>70026.7601</v>
      </c>
      <c r="D4912" s="5">
        <v>70026.7601</v>
      </c>
      <c r="E4912" s="5">
        <v>63410.482000000004</v>
      </c>
      <c r="G4912" s="5" t="str">
        <f t="shared" si="153"/>
        <v>УРАЛМАШ</v>
      </c>
      <c r="J4912" s="5"/>
      <c r="AL4912" s="5">
        <f t="shared" si="154"/>
        <v>0</v>
      </c>
    </row>
    <row r="4913" spans="1:38" ht="25.5" customHeight="1" x14ac:dyDescent="0.25">
      <c r="A4913" s="10" t="s">
        <v>3829</v>
      </c>
      <c r="B4913" s="11" t="s">
        <v>33</v>
      </c>
      <c r="C4913" s="5">
        <v>84298.205100000006</v>
      </c>
      <c r="D4913" s="5">
        <v>84298.205100000006</v>
      </c>
      <c r="E4913" s="5">
        <v>76333.533100000001</v>
      </c>
      <c r="G4913" s="5" t="str">
        <f t="shared" si="153"/>
        <v>ВИЗ</v>
      </c>
      <c r="J4913" s="5"/>
      <c r="AL4913" s="5">
        <f t="shared" si="154"/>
        <v>0</v>
      </c>
    </row>
    <row r="4914" spans="1:38" ht="25.5" customHeight="1" x14ac:dyDescent="0.25">
      <c r="A4914" s="10" t="s">
        <v>3830</v>
      </c>
      <c r="B4914" s="11" t="s">
        <v>66</v>
      </c>
      <c r="C4914" s="5">
        <v>64795.756300000001</v>
      </c>
      <c r="D4914" s="5">
        <v>64795.756300000001</v>
      </c>
      <c r="E4914" s="5">
        <v>58673.716200000003</v>
      </c>
      <c r="G4914" s="5" t="str">
        <f t="shared" si="153"/>
        <v>УНЦ</v>
      </c>
      <c r="J4914" s="5"/>
      <c r="AL4914" s="5">
        <f t="shared" si="154"/>
        <v>0</v>
      </c>
    </row>
    <row r="4915" spans="1:38" ht="25.5" customHeight="1" x14ac:dyDescent="0.25">
      <c r="A4915" s="10" t="s">
        <v>3831</v>
      </c>
      <c r="B4915" s="11" t="s">
        <v>1651</v>
      </c>
      <c r="C4915" s="5">
        <v>68129.029500000004</v>
      </c>
      <c r="D4915" s="5">
        <v>68129.029500000004</v>
      </c>
      <c r="E4915" s="5">
        <v>61692.054799999998</v>
      </c>
      <c r="G4915" s="5" t="str">
        <f t="shared" si="153"/>
        <v>ШАРТАШ</v>
      </c>
      <c r="J4915" s="5"/>
      <c r="AL4915" s="5">
        <f t="shared" si="154"/>
        <v>0</v>
      </c>
    </row>
    <row r="4916" spans="1:38" ht="25.5" customHeight="1" x14ac:dyDescent="0.25">
      <c r="A4916" s="10" t="s">
        <v>3832</v>
      </c>
      <c r="B4916" s="11" t="s">
        <v>1660</v>
      </c>
      <c r="C4916" s="5">
        <v>53262.345800000003</v>
      </c>
      <c r="D4916" s="5">
        <v>53262.345800000003</v>
      </c>
      <c r="E4916" s="5">
        <v>48230.0095</v>
      </c>
      <c r="G4916" s="5" t="str">
        <f t="shared" si="153"/>
        <v>САДОВЫЙ</v>
      </c>
      <c r="J4916" s="5"/>
      <c r="AL4916" s="5">
        <f t="shared" si="154"/>
        <v>0</v>
      </c>
    </row>
    <row r="4917" spans="1:38" ht="25.5" customHeight="1" x14ac:dyDescent="0.25">
      <c r="A4917" s="10" t="s">
        <v>3833</v>
      </c>
      <c r="B4917" s="11" t="s">
        <v>1636</v>
      </c>
      <c r="C4917" s="5">
        <v>52246.960299999999</v>
      </c>
      <c r="D4917" s="5">
        <v>52246.960299999999</v>
      </c>
      <c r="E4917" s="5">
        <v>47310.556700000001</v>
      </c>
      <c r="G4917" s="5" t="str">
        <f t="shared" si="153"/>
        <v>ГОРНЫЙ ЩИТ</v>
      </c>
      <c r="J4917" s="5"/>
      <c r="AL4917" s="5">
        <f t="shared" si="154"/>
        <v>0</v>
      </c>
    </row>
    <row r="4918" spans="1:38" ht="25.5" customHeight="1" x14ac:dyDescent="0.25">
      <c r="A4918" s="10" t="s">
        <v>3834</v>
      </c>
      <c r="B4918" s="11" t="s">
        <v>1643</v>
      </c>
      <c r="C4918" s="5">
        <v>76630.280299999999</v>
      </c>
      <c r="D4918" s="5">
        <v>76630.280299999999</v>
      </c>
      <c r="E4918" s="5">
        <v>69390.088799999998</v>
      </c>
      <c r="G4918" s="5" t="str">
        <f t="shared" si="153"/>
        <v>Ю-З</v>
      </c>
      <c r="J4918" s="5"/>
      <c r="AL4918" s="5">
        <f t="shared" si="154"/>
        <v>0</v>
      </c>
    </row>
    <row r="4919" spans="1:38" ht="25.5" customHeight="1" x14ac:dyDescent="0.25">
      <c r="A4919" s="10" t="s">
        <v>3835</v>
      </c>
      <c r="B4919" s="11" t="s">
        <v>1661</v>
      </c>
      <c r="C4919" s="5">
        <v>51175.5573</v>
      </c>
      <c r="D4919" s="5">
        <v>51175.5573</v>
      </c>
      <c r="E4919" s="5">
        <v>46340.381600000001</v>
      </c>
      <c r="G4919" s="5" t="str">
        <f t="shared" si="153"/>
        <v>СЕВЕРКА</v>
      </c>
      <c r="J4919" s="5"/>
      <c r="AL4919" s="5">
        <f t="shared" si="154"/>
        <v>0</v>
      </c>
    </row>
    <row r="4920" spans="1:38" ht="25.5" customHeight="1" x14ac:dyDescent="0.25">
      <c r="A4920" s="10" t="s">
        <v>3836</v>
      </c>
      <c r="B4920" s="11" t="s">
        <v>33</v>
      </c>
      <c r="C4920" s="5">
        <v>84298.205100000006</v>
      </c>
      <c r="D4920" s="5">
        <v>84298.205100000006</v>
      </c>
      <c r="E4920" s="5">
        <v>76333.533100000001</v>
      </c>
      <c r="G4920" s="5" t="str">
        <f t="shared" si="153"/>
        <v>ВИЗ</v>
      </c>
      <c r="J4920" s="5"/>
      <c r="AL4920" s="5">
        <f t="shared" si="154"/>
        <v>0</v>
      </c>
    </row>
    <row r="4921" spans="1:38" ht="25.5" customHeight="1" x14ac:dyDescent="0.25">
      <c r="A4921" s="10" t="s">
        <v>3837</v>
      </c>
      <c r="B4921" s="11" t="s">
        <v>1637</v>
      </c>
      <c r="C4921" s="5">
        <v>59368.686099999999</v>
      </c>
      <c r="D4921" s="5">
        <v>59368.686099999999</v>
      </c>
      <c r="E4921" s="5">
        <v>53759.401700000002</v>
      </c>
      <c r="G4921" s="5" t="str">
        <f t="shared" si="153"/>
        <v>Старая сортировка</v>
      </c>
      <c r="J4921" s="5"/>
      <c r="AL4921" s="5">
        <f t="shared" si="154"/>
        <v>0</v>
      </c>
    </row>
    <row r="4922" spans="1:38" ht="25.5" customHeight="1" x14ac:dyDescent="0.25">
      <c r="A4922" s="10" t="s">
        <v>3838</v>
      </c>
      <c r="B4922" s="11" t="s">
        <v>779</v>
      </c>
      <c r="C4922" s="5">
        <v>46784.877899999999</v>
      </c>
      <c r="D4922" s="5">
        <v>46784.877899999999</v>
      </c>
      <c r="E4922" s="5">
        <v>42364.543299999998</v>
      </c>
      <c r="G4922" s="5" t="str">
        <f t="shared" si="153"/>
        <v>Нижнеисетский</v>
      </c>
      <c r="J4922" s="5"/>
      <c r="AL4922" s="5">
        <f t="shared" si="154"/>
        <v>0</v>
      </c>
    </row>
    <row r="4923" spans="1:38" ht="25.5" customHeight="1" x14ac:dyDescent="0.25">
      <c r="A4923" s="10" t="s">
        <v>1118</v>
      </c>
      <c r="B4923" s="11" t="s">
        <v>1631</v>
      </c>
      <c r="C4923" s="5">
        <v>70026.7601</v>
      </c>
      <c r="D4923" s="5">
        <v>70026.7601</v>
      </c>
      <c r="E4923" s="5">
        <v>63410.482000000004</v>
      </c>
      <c r="G4923" s="5" t="str">
        <f t="shared" si="153"/>
        <v>УРАЛМАШ</v>
      </c>
      <c r="J4923" s="5"/>
      <c r="AL4923" s="5">
        <f t="shared" si="154"/>
        <v>0</v>
      </c>
    </row>
    <row r="4924" spans="1:38" ht="25.5" customHeight="1" x14ac:dyDescent="0.25">
      <c r="A4924" s="10" t="s">
        <v>3839</v>
      </c>
      <c r="B4924" s="11" t="s">
        <v>5166</v>
      </c>
      <c r="C4924" s="5">
        <v>49782.025399999999</v>
      </c>
      <c r="D4924" s="5">
        <v>49782.025399999999</v>
      </c>
      <c r="E4924" s="5">
        <v>45078.506800000003</v>
      </c>
      <c r="G4924" s="5" t="str">
        <f t="shared" si="153"/>
        <v>Чусовское озеро</v>
      </c>
      <c r="J4924" s="5"/>
      <c r="AL4924" s="5">
        <f t="shared" si="154"/>
        <v>0</v>
      </c>
    </row>
    <row r="4925" spans="1:38" ht="25.5" customHeight="1" x14ac:dyDescent="0.25">
      <c r="A4925" s="10" t="s">
        <v>3840</v>
      </c>
      <c r="B4925" s="11" t="s">
        <v>389</v>
      </c>
      <c r="C4925" s="5">
        <v>51175.5573</v>
      </c>
      <c r="D4925" s="5">
        <v>51175.5573</v>
      </c>
      <c r="E4925" s="5">
        <v>46340.381600000001</v>
      </c>
      <c r="G4925" s="5" t="str">
        <f t="shared" si="153"/>
        <v>Северка</v>
      </c>
      <c r="J4925" s="5"/>
      <c r="AL4925" s="5">
        <f t="shared" si="154"/>
        <v>0</v>
      </c>
    </row>
    <row r="4926" spans="1:38" ht="25.5" customHeight="1" x14ac:dyDescent="0.25">
      <c r="A4926" s="10" t="s">
        <v>3841</v>
      </c>
      <c r="B4926" s="11" t="s">
        <v>1652</v>
      </c>
      <c r="C4926" s="5">
        <v>71105.171700000006</v>
      </c>
      <c r="D4926" s="5">
        <v>71105.171700000006</v>
      </c>
      <c r="E4926" s="5">
        <v>64387.005100000002</v>
      </c>
      <c r="G4926" s="5" t="str">
        <f t="shared" si="153"/>
        <v>ЗАРЕЧНЫЙ</v>
      </c>
      <c r="J4926" s="5"/>
      <c r="AL4926" s="5">
        <f t="shared" si="154"/>
        <v>0</v>
      </c>
    </row>
    <row r="4927" spans="1:38" ht="25.5" customHeight="1" x14ac:dyDescent="0.25">
      <c r="A4927" s="10" t="s">
        <v>1497</v>
      </c>
      <c r="B4927" s="11" t="s">
        <v>1627</v>
      </c>
      <c r="C4927" s="5">
        <v>56392.543899999997</v>
      </c>
      <c r="D4927" s="5">
        <v>56392.543899999997</v>
      </c>
      <c r="E4927" s="5">
        <v>51064.4617</v>
      </c>
      <c r="G4927" s="5" t="str">
        <f t="shared" ref="G4927:G4990" si="155">B4927</f>
        <v>КОМПРЕССОРНЫЙ</v>
      </c>
      <c r="J4927" s="5"/>
      <c r="AL4927" s="5">
        <f t="shared" ref="AL4927:AL4990" si="156">AF4927</f>
        <v>0</v>
      </c>
    </row>
    <row r="4928" spans="1:38" ht="25.5" customHeight="1" x14ac:dyDescent="0.25">
      <c r="A4928" s="10" t="s">
        <v>3842</v>
      </c>
      <c r="B4928" s="11" t="s">
        <v>1668</v>
      </c>
      <c r="C4928" s="5">
        <v>51343.6201</v>
      </c>
      <c r="D4928" s="5">
        <v>51343.6201</v>
      </c>
      <c r="E4928" s="5">
        <v>46492.558799999999</v>
      </c>
      <c r="G4928" s="5" t="str">
        <f t="shared" si="155"/>
        <v>МЕДНЫЙ</v>
      </c>
      <c r="J4928" s="5"/>
      <c r="AL4928" s="5">
        <f t="shared" si="156"/>
        <v>0</v>
      </c>
    </row>
    <row r="4929" spans="1:38" ht="25.5" customHeight="1" x14ac:dyDescent="0.25">
      <c r="A4929" s="10" t="s">
        <v>3843</v>
      </c>
      <c r="B4929" s="11" t="s">
        <v>779</v>
      </c>
      <c r="C4929" s="5">
        <v>46784.877899999999</v>
      </c>
      <c r="D4929" s="5">
        <v>46784.877899999999</v>
      </c>
      <c r="E4929" s="5">
        <v>42364.543299999998</v>
      </c>
      <c r="G4929" s="5" t="str">
        <f t="shared" si="155"/>
        <v>Нижнеисетский</v>
      </c>
      <c r="J4929" s="5"/>
      <c r="AL4929" s="5">
        <f t="shared" si="156"/>
        <v>0</v>
      </c>
    </row>
    <row r="4930" spans="1:38" ht="25.5" customHeight="1" x14ac:dyDescent="0.25">
      <c r="A4930" s="10" t="s">
        <v>3844</v>
      </c>
      <c r="B4930" s="11" t="s">
        <v>1641</v>
      </c>
      <c r="C4930" s="5">
        <v>63556.280200000001</v>
      </c>
      <c r="D4930" s="5">
        <v>63556.280200000001</v>
      </c>
      <c r="E4930" s="5">
        <v>57551.353499999997</v>
      </c>
      <c r="G4930" s="5" t="str">
        <f t="shared" si="155"/>
        <v>СИБИРСКИЙ</v>
      </c>
      <c r="J4930" s="5"/>
      <c r="AL4930" s="5">
        <f t="shared" si="156"/>
        <v>0</v>
      </c>
    </row>
    <row r="4931" spans="1:38" ht="25.5" customHeight="1" x14ac:dyDescent="0.25">
      <c r="A4931" s="10" t="s">
        <v>3845</v>
      </c>
      <c r="B4931" s="11" t="s">
        <v>1630</v>
      </c>
      <c r="C4931" s="5">
        <v>62652.9401</v>
      </c>
      <c r="D4931" s="5">
        <v>62652.9401</v>
      </c>
      <c r="E4931" s="5">
        <v>56733.3557</v>
      </c>
      <c r="G4931" s="5" t="str">
        <f t="shared" si="155"/>
        <v>ЧЕРМЕТ</v>
      </c>
      <c r="J4931" s="5"/>
      <c r="AL4931" s="5">
        <f t="shared" si="156"/>
        <v>0</v>
      </c>
    </row>
    <row r="4932" spans="1:38" ht="25.5" customHeight="1" x14ac:dyDescent="0.25">
      <c r="A4932" s="10" t="s">
        <v>3846</v>
      </c>
      <c r="B4932" s="11" t="s">
        <v>1631</v>
      </c>
      <c r="C4932" s="5">
        <v>70026.7601</v>
      </c>
      <c r="D4932" s="5">
        <v>70026.7601</v>
      </c>
      <c r="E4932" s="5">
        <v>63410.482000000004</v>
      </c>
      <c r="G4932" s="5" t="str">
        <f t="shared" si="155"/>
        <v>УРАЛМАШ</v>
      </c>
      <c r="J4932" s="5"/>
      <c r="AL4932" s="5">
        <f t="shared" si="156"/>
        <v>0</v>
      </c>
    </row>
    <row r="4933" spans="1:38" ht="25.5" customHeight="1" x14ac:dyDescent="0.25">
      <c r="A4933" s="10" t="s">
        <v>1301</v>
      </c>
      <c r="B4933" s="11" t="s">
        <v>1644</v>
      </c>
      <c r="C4933" s="5">
        <v>61980.678599999999</v>
      </c>
      <c r="D4933" s="5">
        <v>61980.678599999999</v>
      </c>
      <c r="E4933" s="5">
        <v>56124.615700000002</v>
      </c>
      <c r="G4933" s="5" t="str">
        <f t="shared" si="155"/>
        <v>ХИММАШ</v>
      </c>
      <c r="J4933" s="5"/>
      <c r="AL4933" s="5">
        <f t="shared" si="156"/>
        <v>0</v>
      </c>
    </row>
    <row r="4934" spans="1:38" ht="25.5" customHeight="1" x14ac:dyDescent="0.25">
      <c r="A4934" s="10" t="s">
        <v>398</v>
      </c>
      <c r="B4934" s="11" t="s">
        <v>1632</v>
      </c>
      <c r="C4934" s="5">
        <v>83744.997499999998</v>
      </c>
      <c r="D4934" s="5">
        <v>83744.997499999998</v>
      </c>
      <c r="E4934" s="5">
        <v>75832.596099999995</v>
      </c>
      <c r="G4934" s="5" t="str">
        <f t="shared" si="155"/>
        <v>АВТОВОКЗАЛ</v>
      </c>
      <c r="J4934" s="5"/>
      <c r="AL4934" s="5">
        <f t="shared" si="156"/>
        <v>0</v>
      </c>
    </row>
    <row r="4935" spans="1:38" ht="25.5" customHeight="1" x14ac:dyDescent="0.25">
      <c r="A4935" s="10" t="s">
        <v>3847</v>
      </c>
      <c r="B4935" s="11" t="s">
        <v>1630</v>
      </c>
      <c r="C4935" s="5">
        <v>62652.9401</v>
      </c>
      <c r="D4935" s="5">
        <v>62652.9401</v>
      </c>
      <c r="E4935" s="5">
        <v>56733.3557</v>
      </c>
      <c r="G4935" s="5" t="str">
        <f t="shared" si="155"/>
        <v>ЧЕРМЕТ</v>
      </c>
      <c r="J4935" s="5"/>
      <c r="AL4935" s="5">
        <f t="shared" si="156"/>
        <v>0</v>
      </c>
    </row>
    <row r="4936" spans="1:38" ht="25.5" customHeight="1" x14ac:dyDescent="0.25">
      <c r="A4936" s="10" t="s">
        <v>3848</v>
      </c>
      <c r="B4936" s="11" t="s">
        <v>1635</v>
      </c>
      <c r="C4936" s="5">
        <v>57793.0844</v>
      </c>
      <c r="D4936" s="5">
        <v>57793.0844</v>
      </c>
      <c r="E4936" s="5">
        <v>52332.6639</v>
      </c>
      <c r="G4936" s="5" t="str">
        <f t="shared" si="155"/>
        <v>ЛЕЧЕБНЫЙ</v>
      </c>
      <c r="J4936" s="5"/>
      <c r="AL4936" s="5">
        <f t="shared" si="156"/>
        <v>0</v>
      </c>
    </row>
    <row r="4937" spans="1:38" ht="25.5" customHeight="1" x14ac:dyDescent="0.25">
      <c r="A4937" s="10" t="s">
        <v>3849</v>
      </c>
      <c r="B4937" s="11" t="s">
        <v>33</v>
      </c>
      <c r="C4937" s="5">
        <v>84298.205100000006</v>
      </c>
      <c r="D4937" s="5">
        <v>84298.205100000006</v>
      </c>
      <c r="E4937" s="5">
        <v>76333.533100000001</v>
      </c>
      <c r="G4937" s="5" t="str">
        <f t="shared" si="155"/>
        <v>ВИЗ</v>
      </c>
      <c r="J4937" s="5"/>
      <c r="AL4937" s="5">
        <f t="shared" si="156"/>
        <v>0</v>
      </c>
    </row>
    <row r="4938" spans="1:38" ht="25.5" customHeight="1" x14ac:dyDescent="0.25">
      <c r="A4938" s="10" t="s">
        <v>3850</v>
      </c>
      <c r="B4938" s="11" t="s">
        <v>1644</v>
      </c>
      <c r="C4938" s="5">
        <v>61980.678599999999</v>
      </c>
      <c r="D4938" s="5">
        <v>61980.678599999999</v>
      </c>
      <c r="E4938" s="5">
        <v>56124.615700000002</v>
      </c>
      <c r="G4938" s="5" t="str">
        <f t="shared" si="155"/>
        <v>ХИММАШ</v>
      </c>
      <c r="J4938" s="5"/>
      <c r="AL4938" s="5">
        <f t="shared" si="156"/>
        <v>0</v>
      </c>
    </row>
    <row r="4939" spans="1:38" ht="25.5" customHeight="1" x14ac:dyDescent="0.25">
      <c r="A4939" s="10" t="s">
        <v>3851</v>
      </c>
      <c r="B4939" s="11" t="s">
        <v>1645</v>
      </c>
      <c r="C4939" s="5">
        <v>60958.294800000003</v>
      </c>
      <c r="D4939" s="5">
        <v>60958.294800000003</v>
      </c>
      <c r="E4939" s="5">
        <v>55198.825199999999</v>
      </c>
      <c r="G4939" s="5" t="str">
        <f t="shared" si="155"/>
        <v>ЕЛИЗАВЕТ</v>
      </c>
      <c r="J4939" s="5"/>
      <c r="AL4939" s="5">
        <f t="shared" si="156"/>
        <v>0</v>
      </c>
    </row>
    <row r="4940" spans="1:38" ht="25.5" customHeight="1" x14ac:dyDescent="0.25">
      <c r="A4940" s="10" t="s">
        <v>3852</v>
      </c>
      <c r="B4940" s="11" t="s">
        <v>1640</v>
      </c>
      <c r="C4940" s="5">
        <v>64914.8</v>
      </c>
      <c r="D4940" s="5">
        <v>64914.8</v>
      </c>
      <c r="E4940" s="5">
        <v>58781.519200000002</v>
      </c>
      <c r="G4940" s="5" t="str">
        <f t="shared" si="155"/>
        <v>Новая сортировка</v>
      </c>
      <c r="J4940" s="5"/>
      <c r="AL4940" s="5">
        <f t="shared" si="156"/>
        <v>0</v>
      </c>
    </row>
    <row r="4941" spans="1:38" ht="25.5" customHeight="1" x14ac:dyDescent="0.25">
      <c r="A4941" s="10" t="s">
        <v>3853</v>
      </c>
      <c r="B4941" s="11" t="s">
        <v>1651</v>
      </c>
      <c r="C4941" s="5">
        <v>68129.029500000004</v>
      </c>
      <c r="D4941" s="5">
        <v>68129.029500000004</v>
      </c>
      <c r="E4941" s="5">
        <v>61692.054799999998</v>
      </c>
      <c r="G4941" s="5" t="str">
        <f t="shared" si="155"/>
        <v>ШАРТАШ</v>
      </c>
      <c r="J4941" s="5"/>
      <c r="AL4941" s="5">
        <f t="shared" si="156"/>
        <v>0</v>
      </c>
    </row>
    <row r="4942" spans="1:38" ht="25.5" customHeight="1" x14ac:dyDescent="0.25">
      <c r="A4942" s="10" t="s">
        <v>490</v>
      </c>
      <c r="B4942" s="11" t="s">
        <v>14</v>
      </c>
      <c r="C4942" s="5">
        <v>93989.912800000006</v>
      </c>
      <c r="D4942" s="5">
        <v>93989.912800000006</v>
      </c>
      <c r="E4942" s="5">
        <v>85109.545199999993</v>
      </c>
      <c r="G4942" s="5" t="str">
        <f t="shared" si="155"/>
        <v>Центр</v>
      </c>
      <c r="J4942" s="5"/>
      <c r="AL4942" s="5">
        <f t="shared" si="156"/>
        <v>0</v>
      </c>
    </row>
    <row r="4943" spans="1:38" ht="25.5" customHeight="1" x14ac:dyDescent="0.25">
      <c r="A4943" s="10" t="s">
        <v>3854</v>
      </c>
      <c r="B4943" s="11" t="s">
        <v>1631</v>
      </c>
      <c r="C4943" s="5">
        <v>70026.7601</v>
      </c>
      <c r="D4943" s="5">
        <v>70026.7601</v>
      </c>
      <c r="E4943" s="5">
        <v>63410.482000000004</v>
      </c>
      <c r="G4943" s="5" t="str">
        <f t="shared" si="155"/>
        <v>УРАЛМАШ</v>
      </c>
      <c r="J4943" s="5"/>
      <c r="AL4943" s="5">
        <f t="shared" si="156"/>
        <v>0</v>
      </c>
    </row>
    <row r="4944" spans="1:38" ht="25.5" customHeight="1" x14ac:dyDescent="0.25">
      <c r="A4944" s="10" t="s">
        <v>3855</v>
      </c>
      <c r="B4944" s="11" t="s">
        <v>1643</v>
      </c>
      <c r="C4944" s="5">
        <v>76630.280299999999</v>
      </c>
      <c r="D4944" s="5">
        <v>76630.280299999999</v>
      </c>
      <c r="E4944" s="5">
        <v>69390.088799999998</v>
      </c>
      <c r="G4944" s="5" t="str">
        <f t="shared" si="155"/>
        <v>Ю-З</v>
      </c>
      <c r="J4944" s="5"/>
      <c r="AL4944" s="5">
        <f t="shared" si="156"/>
        <v>0</v>
      </c>
    </row>
    <row r="4945" spans="1:38" ht="25.5" customHeight="1" x14ac:dyDescent="0.25">
      <c r="A4945" s="10" t="s">
        <v>900</v>
      </c>
      <c r="B4945" s="11" t="s">
        <v>1630</v>
      </c>
      <c r="C4945" s="5">
        <v>62652.9401</v>
      </c>
      <c r="D4945" s="5">
        <v>62652.9401</v>
      </c>
      <c r="E4945" s="5">
        <v>56733.3557</v>
      </c>
      <c r="G4945" s="5" t="str">
        <f t="shared" si="155"/>
        <v>ЧЕРМЕТ</v>
      </c>
      <c r="J4945" s="5"/>
      <c r="AL4945" s="5">
        <f t="shared" si="156"/>
        <v>0</v>
      </c>
    </row>
    <row r="4946" spans="1:38" ht="25.5" customHeight="1" x14ac:dyDescent="0.25">
      <c r="A4946" s="10" t="s">
        <v>1040</v>
      </c>
      <c r="B4946" s="11" t="s">
        <v>1636</v>
      </c>
      <c r="C4946" s="5">
        <v>52246.960299999999</v>
      </c>
      <c r="D4946" s="5">
        <v>52246.960299999999</v>
      </c>
      <c r="E4946" s="5">
        <v>47310.556700000001</v>
      </c>
      <c r="G4946" s="5" t="str">
        <f t="shared" si="155"/>
        <v>ГОРНЫЙ ЩИТ</v>
      </c>
      <c r="J4946" s="5"/>
      <c r="AL4946" s="5">
        <f t="shared" si="156"/>
        <v>0</v>
      </c>
    </row>
    <row r="4947" spans="1:38" ht="25.5" customHeight="1" x14ac:dyDescent="0.25">
      <c r="A4947" s="10" t="s">
        <v>3856</v>
      </c>
      <c r="B4947" s="11" t="s">
        <v>1637</v>
      </c>
      <c r="C4947" s="5">
        <v>59368.686099999999</v>
      </c>
      <c r="D4947" s="5">
        <v>59368.686099999999</v>
      </c>
      <c r="E4947" s="5">
        <v>53759.401700000002</v>
      </c>
      <c r="G4947" s="5" t="str">
        <f t="shared" si="155"/>
        <v>Старая сортировка</v>
      </c>
      <c r="J4947" s="5"/>
      <c r="AL4947" s="5">
        <f t="shared" si="156"/>
        <v>0</v>
      </c>
    </row>
    <row r="4948" spans="1:38" ht="25.5" customHeight="1" x14ac:dyDescent="0.25">
      <c r="A4948" s="10" t="s">
        <v>1582</v>
      </c>
      <c r="B4948" s="11" t="s">
        <v>1638</v>
      </c>
      <c r="C4948" s="5">
        <v>63640.311600000001</v>
      </c>
      <c r="D4948" s="5">
        <v>63640.311600000001</v>
      </c>
      <c r="E4948" s="5">
        <v>57627.4473</v>
      </c>
      <c r="G4948" s="5" t="str">
        <f t="shared" si="155"/>
        <v>УКТУС</v>
      </c>
      <c r="J4948" s="5"/>
      <c r="AL4948" s="5">
        <f t="shared" si="156"/>
        <v>0</v>
      </c>
    </row>
    <row r="4949" spans="1:38" ht="25.5" customHeight="1" x14ac:dyDescent="0.25">
      <c r="A4949" s="10" t="s">
        <v>3857</v>
      </c>
      <c r="B4949" s="11" t="s">
        <v>1651</v>
      </c>
      <c r="C4949" s="5">
        <v>68129.029500000004</v>
      </c>
      <c r="D4949" s="5">
        <v>68129.029500000004</v>
      </c>
      <c r="E4949" s="5">
        <v>61692.054799999998</v>
      </c>
      <c r="G4949" s="5" t="str">
        <f t="shared" si="155"/>
        <v>ШАРТАШ</v>
      </c>
      <c r="J4949" s="5"/>
      <c r="AL4949" s="5">
        <f t="shared" si="156"/>
        <v>0</v>
      </c>
    </row>
    <row r="4950" spans="1:38" ht="25.5" customHeight="1" x14ac:dyDescent="0.25">
      <c r="A4950" s="10" t="s">
        <v>3858</v>
      </c>
      <c r="B4950" s="11" t="s">
        <v>1641</v>
      </c>
      <c r="C4950" s="5">
        <v>63556.280200000001</v>
      </c>
      <c r="D4950" s="5">
        <v>63556.280200000001</v>
      </c>
      <c r="E4950" s="5">
        <v>57551.353499999997</v>
      </c>
      <c r="G4950" s="5" t="str">
        <f t="shared" si="155"/>
        <v>СИБИРСКИЙ</v>
      </c>
      <c r="J4950" s="5"/>
      <c r="AL4950" s="5">
        <f t="shared" si="156"/>
        <v>0</v>
      </c>
    </row>
    <row r="4951" spans="1:38" ht="25.5" customHeight="1" x14ac:dyDescent="0.25">
      <c r="A4951" s="10" t="s">
        <v>1349</v>
      </c>
      <c r="B4951" s="11" t="s">
        <v>14</v>
      </c>
      <c r="C4951" s="5">
        <v>93989.912800000006</v>
      </c>
      <c r="D4951" s="5">
        <v>93989.912800000006</v>
      </c>
      <c r="E4951" s="5">
        <v>85109.545199999993</v>
      </c>
      <c r="G4951" s="5" t="str">
        <f t="shared" si="155"/>
        <v>Центр</v>
      </c>
      <c r="J4951" s="5"/>
      <c r="AL4951" s="5">
        <f t="shared" si="156"/>
        <v>0</v>
      </c>
    </row>
    <row r="4952" spans="1:38" ht="25.5" customHeight="1" x14ac:dyDescent="0.25">
      <c r="A4952" s="10" t="s">
        <v>3859</v>
      </c>
      <c r="B4952" s="11" t="s">
        <v>1664</v>
      </c>
      <c r="C4952" s="5">
        <v>53668.506099999999</v>
      </c>
      <c r="D4952" s="5">
        <v>53668.506099999999</v>
      </c>
      <c r="E4952" s="5">
        <v>48597.792699999998</v>
      </c>
      <c r="G4952" s="5" t="str">
        <f t="shared" si="155"/>
        <v>ИЗОПЛИТ</v>
      </c>
      <c r="J4952" s="5"/>
      <c r="AL4952" s="5">
        <f t="shared" si="156"/>
        <v>0</v>
      </c>
    </row>
    <row r="4953" spans="1:38" ht="25.5" customHeight="1" x14ac:dyDescent="0.25">
      <c r="A4953" s="10" t="s">
        <v>3860</v>
      </c>
      <c r="B4953" s="11" t="s">
        <v>1638</v>
      </c>
      <c r="C4953" s="5">
        <v>63640.311600000001</v>
      </c>
      <c r="D4953" s="5">
        <v>63640.311600000001</v>
      </c>
      <c r="E4953" s="5">
        <v>57627.4473</v>
      </c>
      <c r="G4953" s="5" t="str">
        <f t="shared" si="155"/>
        <v>УКТУС</v>
      </c>
      <c r="J4953" s="5"/>
      <c r="AL4953" s="5">
        <f t="shared" si="156"/>
        <v>0</v>
      </c>
    </row>
    <row r="4954" spans="1:38" ht="25.5" customHeight="1" x14ac:dyDescent="0.25">
      <c r="A4954" s="10" t="s">
        <v>3861</v>
      </c>
      <c r="B4954" s="11" t="s">
        <v>1627</v>
      </c>
      <c r="C4954" s="5">
        <v>56392.543899999997</v>
      </c>
      <c r="D4954" s="5">
        <v>56392.543899999997</v>
      </c>
      <c r="E4954" s="5">
        <v>51064.4617</v>
      </c>
      <c r="G4954" s="5" t="str">
        <f t="shared" si="155"/>
        <v>КОМПРЕССОРНЫЙ</v>
      </c>
      <c r="J4954" s="5"/>
      <c r="AL4954" s="5">
        <f t="shared" si="156"/>
        <v>0</v>
      </c>
    </row>
    <row r="4955" spans="1:38" ht="25.5" customHeight="1" x14ac:dyDescent="0.25">
      <c r="A4955" s="10" t="s">
        <v>3862</v>
      </c>
      <c r="B4955" s="11" t="s">
        <v>66</v>
      </c>
      <c r="C4955" s="5">
        <v>64795.756300000001</v>
      </c>
      <c r="D4955" s="5">
        <v>64795.756300000001</v>
      </c>
      <c r="E4955" s="5">
        <v>58673.716200000003</v>
      </c>
      <c r="G4955" s="5" t="str">
        <f t="shared" si="155"/>
        <v>УНЦ</v>
      </c>
      <c r="J4955" s="5"/>
      <c r="AL4955" s="5">
        <f t="shared" si="156"/>
        <v>0</v>
      </c>
    </row>
    <row r="4956" spans="1:38" ht="25.5" customHeight="1" x14ac:dyDescent="0.25">
      <c r="A4956" s="10" t="s">
        <v>392</v>
      </c>
      <c r="B4956" s="11" t="s">
        <v>33</v>
      </c>
      <c r="C4956" s="5">
        <v>84298.205100000006</v>
      </c>
      <c r="D4956" s="5">
        <v>84298.205100000006</v>
      </c>
      <c r="E4956" s="5">
        <v>76333.533100000001</v>
      </c>
      <c r="G4956" s="5" t="str">
        <f t="shared" si="155"/>
        <v>ВИЗ</v>
      </c>
      <c r="J4956" s="5"/>
      <c r="AL4956" s="5">
        <f t="shared" si="156"/>
        <v>0</v>
      </c>
    </row>
    <row r="4957" spans="1:38" ht="25.5" customHeight="1" x14ac:dyDescent="0.25">
      <c r="A4957" s="10" t="s">
        <v>3863</v>
      </c>
      <c r="B4957" s="11" t="s">
        <v>5166</v>
      </c>
      <c r="C4957" s="5">
        <v>49782.025399999999</v>
      </c>
      <c r="D4957" s="5">
        <v>49782.025399999999</v>
      </c>
      <c r="E4957" s="5">
        <v>45078.506800000003</v>
      </c>
      <c r="G4957" s="5" t="str">
        <f t="shared" si="155"/>
        <v>Чусовское озеро</v>
      </c>
      <c r="J4957" s="5"/>
      <c r="AL4957" s="5">
        <f t="shared" si="156"/>
        <v>0</v>
      </c>
    </row>
    <row r="4958" spans="1:38" ht="25.5" customHeight="1" x14ac:dyDescent="0.25">
      <c r="A4958" s="10" t="s">
        <v>3864</v>
      </c>
      <c r="B4958" s="11" t="s">
        <v>1635</v>
      </c>
      <c r="C4958" s="5">
        <v>57793.0844</v>
      </c>
      <c r="D4958" s="5">
        <v>57793.0844</v>
      </c>
      <c r="E4958" s="5">
        <v>52332.6639</v>
      </c>
      <c r="G4958" s="5" t="str">
        <f t="shared" si="155"/>
        <v>ЛЕЧЕБНЫЙ</v>
      </c>
      <c r="J4958" s="5"/>
      <c r="AL4958" s="5">
        <f t="shared" si="156"/>
        <v>0</v>
      </c>
    </row>
    <row r="4959" spans="1:38" ht="25.5" customHeight="1" x14ac:dyDescent="0.25">
      <c r="A4959" s="10" t="s">
        <v>3865</v>
      </c>
      <c r="B4959" s="11" t="s">
        <v>1635</v>
      </c>
      <c r="C4959" s="5">
        <v>57793.0844</v>
      </c>
      <c r="D4959" s="5">
        <v>57793.0844</v>
      </c>
      <c r="E4959" s="5">
        <v>52332.6639</v>
      </c>
      <c r="G4959" s="5" t="str">
        <f t="shared" si="155"/>
        <v>ЛЕЧЕБНЫЙ</v>
      </c>
      <c r="J4959" s="5"/>
      <c r="AL4959" s="5">
        <f t="shared" si="156"/>
        <v>0</v>
      </c>
    </row>
    <row r="4960" spans="1:38" ht="25.5" customHeight="1" x14ac:dyDescent="0.25">
      <c r="A4960" s="10" t="s">
        <v>3866</v>
      </c>
      <c r="B4960" s="11" t="s">
        <v>1664</v>
      </c>
      <c r="C4960" s="5">
        <v>53668.506099999999</v>
      </c>
      <c r="D4960" s="5">
        <v>53668.506099999999</v>
      </c>
      <c r="E4960" s="5">
        <v>48597.792699999998</v>
      </c>
      <c r="G4960" s="5" t="str">
        <f t="shared" si="155"/>
        <v>ИЗОПЛИТ</v>
      </c>
      <c r="J4960" s="5"/>
      <c r="AL4960" s="5">
        <f t="shared" si="156"/>
        <v>0</v>
      </c>
    </row>
    <row r="4961" spans="1:38" ht="25.5" customHeight="1" x14ac:dyDescent="0.25">
      <c r="A4961" s="10" t="s">
        <v>3867</v>
      </c>
      <c r="B4961" s="11" t="s">
        <v>1631</v>
      </c>
      <c r="C4961" s="5">
        <v>70026.7601</v>
      </c>
      <c r="D4961" s="5">
        <v>70026.7601</v>
      </c>
      <c r="E4961" s="5">
        <v>63410.482000000004</v>
      </c>
      <c r="G4961" s="5" t="str">
        <f t="shared" si="155"/>
        <v>УРАЛМАШ</v>
      </c>
      <c r="J4961" s="5"/>
      <c r="AL4961" s="5">
        <f t="shared" si="156"/>
        <v>0</v>
      </c>
    </row>
    <row r="4962" spans="1:38" ht="25.5" customHeight="1" x14ac:dyDescent="0.25">
      <c r="A4962" s="10" t="s">
        <v>3868</v>
      </c>
      <c r="B4962" s="11" t="s">
        <v>1647</v>
      </c>
      <c r="C4962" s="5">
        <v>63178.133800000003</v>
      </c>
      <c r="D4962" s="5">
        <v>63178.133800000003</v>
      </c>
      <c r="E4962" s="5">
        <v>57208.931499999999</v>
      </c>
      <c r="G4962" s="5" t="str">
        <f t="shared" si="155"/>
        <v>ШИРОКАЯ РЕЧКА</v>
      </c>
      <c r="J4962" s="5"/>
      <c r="AL4962" s="5">
        <f t="shared" si="156"/>
        <v>0</v>
      </c>
    </row>
    <row r="4963" spans="1:38" ht="25.5" customHeight="1" x14ac:dyDescent="0.25">
      <c r="A4963" s="10" t="s">
        <v>3869</v>
      </c>
      <c r="B4963" s="11" t="s">
        <v>1632</v>
      </c>
      <c r="C4963" s="5">
        <v>83744.997499999998</v>
      </c>
      <c r="D4963" s="5">
        <v>83744.997499999998</v>
      </c>
      <c r="E4963" s="5">
        <v>75832.596099999995</v>
      </c>
      <c r="G4963" s="5" t="str">
        <f t="shared" si="155"/>
        <v>АВТОВОКЗАЛ</v>
      </c>
      <c r="J4963" s="5"/>
      <c r="AL4963" s="5">
        <f t="shared" si="156"/>
        <v>0</v>
      </c>
    </row>
    <row r="4964" spans="1:38" ht="25.5" customHeight="1" x14ac:dyDescent="0.25">
      <c r="A4964" s="10" t="s">
        <v>3870</v>
      </c>
      <c r="B4964" s="11" t="s">
        <v>1651</v>
      </c>
      <c r="C4964" s="5">
        <v>68129.029500000004</v>
      </c>
      <c r="D4964" s="5">
        <v>68129.029500000004</v>
      </c>
      <c r="E4964" s="5">
        <v>61692.054799999998</v>
      </c>
      <c r="G4964" s="5" t="str">
        <f t="shared" si="155"/>
        <v>ШАРТАШ</v>
      </c>
      <c r="J4964" s="5"/>
      <c r="AL4964" s="5">
        <f t="shared" si="156"/>
        <v>0</v>
      </c>
    </row>
    <row r="4965" spans="1:38" ht="25.5" customHeight="1" x14ac:dyDescent="0.25">
      <c r="A4965" s="10" t="s">
        <v>3871</v>
      </c>
      <c r="B4965" s="11" t="s">
        <v>1631</v>
      </c>
      <c r="C4965" s="5">
        <v>70026.7601</v>
      </c>
      <c r="D4965" s="5">
        <v>70026.7601</v>
      </c>
      <c r="E4965" s="5">
        <v>63410.482000000004</v>
      </c>
      <c r="G4965" s="5" t="str">
        <f t="shared" si="155"/>
        <v>УРАЛМАШ</v>
      </c>
      <c r="J4965" s="5"/>
      <c r="AL4965" s="5">
        <f t="shared" si="156"/>
        <v>0</v>
      </c>
    </row>
    <row r="4966" spans="1:38" ht="25.5" customHeight="1" x14ac:dyDescent="0.25">
      <c r="A4966" s="10" t="s">
        <v>3872</v>
      </c>
      <c r="B4966" s="11" t="s">
        <v>1651</v>
      </c>
      <c r="C4966" s="5">
        <v>68129.029500000004</v>
      </c>
      <c r="D4966" s="5">
        <v>68129.029500000004</v>
      </c>
      <c r="E4966" s="5">
        <v>61692.054799999998</v>
      </c>
      <c r="G4966" s="5" t="str">
        <f t="shared" si="155"/>
        <v>ШАРТАШ</v>
      </c>
      <c r="J4966" s="5"/>
      <c r="AL4966" s="5">
        <f t="shared" si="156"/>
        <v>0</v>
      </c>
    </row>
    <row r="4967" spans="1:38" ht="25.5" customHeight="1" x14ac:dyDescent="0.25">
      <c r="A4967" s="10" t="s">
        <v>3873</v>
      </c>
      <c r="B4967" s="11" t="s">
        <v>779</v>
      </c>
      <c r="C4967" s="5">
        <v>46784.877899999999</v>
      </c>
      <c r="D4967" s="5">
        <v>46784.877899999999</v>
      </c>
      <c r="E4967" s="5">
        <v>42364.543299999998</v>
      </c>
      <c r="G4967" s="5" t="str">
        <f t="shared" si="155"/>
        <v>Нижнеисетский</v>
      </c>
      <c r="J4967" s="5"/>
      <c r="AL4967" s="5">
        <f t="shared" si="156"/>
        <v>0</v>
      </c>
    </row>
    <row r="4968" spans="1:38" ht="25.5" customHeight="1" x14ac:dyDescent="0.25">
      <c r="A4968" s="10" t="s">
        <v>478</v>
      </c>
      <c r="B4968" s="11" t="s">
        <v>33</v>
      </c>
      <c r="C4968" s="5">
        <v>84298.205100000006</v>
      </c>
      <c r="D4968" s="5">
        <v>84298.205100000006</v>
      </c>
      <c r="E4968" s="5">
        <v>76333.533100000001</v>
      </c>
      <c r="G4968" s="5" t="str">
        <f t="shared" si="155"/>
        <v>ВИЗ</v>
      </c>
      <c r="J4968" s="5"/>
      <c r="AL4968" s="5">
        <f t="shared" si="156"/>
        <v>0</v>
      </c>
    </row>
    <row r="4969" spans="1:38" ht="25.5" customHeight="1" x14ac:dyDescent="0.25">
      <c r="A4969" s="10" t="s">
        <v>439</v>
      </c>
      <c r="B4969" s="11" t="s">
        <v>1632</v>
      </c>
      <c r="C4969" s="5">
        <v>83744.997499999998</v>
      </c>
      <c r="D4969" s="5">
        <v>83744.997499999998</v>
      </c>
      <c r="E4969" s="5">
        <v>75832.596099999995</v>
      </c>
      <c r="G4969" s="5" t="str">
        <f t="shared" si="155"/>
        <v>АВТОВОКЗАЛ</v>
      </c>
      <c r="J4969" s="5"/>
      <c r="AL4969" s="5">
        <f t="shared" si="156"/>
        <v>0</v>
      </c>
    </row>
    <row r="4970" spans="1:38" ht="25.5" customHeight="1" x14ac:dyDescent="0.25">
      <c r="A4970" s="10" t="s">
        <v>3874</v>
      </c>
      <c r="B4970" s="11" t="s">
        <v>1640</v>
      </c>
      <c r="C4970" s="5">
        <v>64914.8</v>
      </c>
      <c r="D4970" s="5">
        <v>64914.8</v>
      </c>
      <c r="E4970" s="5">
        <v>58781.519200000002</v>
      </c>
      <c r="G4970" s="5" t="str">
        <f t="shared" si="155"/>
        <v>Новая сортировка</v>
      </c>
      <c r="J4970" s="5"/>
      <c r="AL4970" s="5">
        <f t="shared" si="156"/>
        <v>0</v>
      </c>
    </row>
    <row r="4971" spans="1:38" ht="25.5" customHeight="1" x14ac:dyDescent="0.25">
      <c r="A4971" s="10" t="s">
        <v>3875</v>
      </c>
      <c r="B4971" s="11" t="s">
        <v>1651</v>
      </c>
      <c r="C4971" s="5">
        <v>68129.029500000004</v>
      </c>
      <c r="D4971" s="5">
        <v>68129.029500000004</v>
      </c>
      <c r="E4971" s="5">
        <v>61692.054799999998</v>
      </c>
      <c r="G4971" s="5" t="str">
        <f t="shared" si="155"/>
        <v>ШАРТАШ</v>
      </c>
      <c r="J4971" s="5"/>
      <c r="AL4971" s="5">
        <f t="shared" si="156"/>
        <v>0</v>
      </c>
    </row>
    <row r="4972" spans="1:38" ht="25.5" customHeight="1" x14ac:dyDescent="0.25">
      <c r="A4972" s="10" t="s">
        <v>3876</v>
      </c>
      <c r="B4972" s="11" t="s">
        <v>1638</v>
      </c>
      <c r="C4972" s="5">
        <v>63640.311600000001</v>
      </c>
      <c r="D4972" s="5">
        <v>63640.311600000001</v>
      </c>
      <c r="E4972" s="5">
        <v>57627.4473</v>
      </c>
      <c r="G4972" s="5" t="str">
        <f t="shared" si="155"/>
        <v>УКТУС</v>
      </c>
      <c r="J4972" s="5"/>
      <c r="AL4972" s="5">
        <f t="shared" si="156"/>
        <v>0</v>
      </c>
    </row>
    <row r="4973" spans="1:38" ht="25.5" customHeight="1" x14ac:dyDescent="0.25">
      <c r="A4973" s="10" t="s">
        <v>3877</v>
      </c>
      <c r="B4973" s="11" t="s">
        <v>1651</v>
      </c>
      <c r="C4973" s="5">
        <v>68129.029500000004</v>
      </c>
      <c r="D4973" s="5">
        <v>68129.029500000004</v>
      </c>
      <c r="E4973" s="5">
        <v>61692.054799999998</v>
      </c>
      <c r="G4973" s="5" t="str">
        <f t="shared" si="155"/>
        <v>ШАРТАШ</v>
      </c>
      <c r="J4973" s="5"/>
      <c r="AL4973" s="5">
        <f t="shared" si="156"/>
        <v>0</v>
      </c>
    </row>
    <row r="4974" spans="1:38" ht="25.5" customHeight="1" x14ac:dyDescent="0.25">
      <c r="A4974" s="10" t="s">
        <v>3878</v>
      </c>
      <c r="B4974" s="11" t="s">
        <v>1655</v>
      </c>
      <c r="C4974" s="5">
        <v>79683.445300000007</v>
      </c>
      <c r="D4974" s="5">
        <v>79683.445300000007</v>
      </c>
      <c r="E4974" s="5">
        <v>72154.784899999999</v>
      </c>
      <c r="G4974" s="5" t="str">
        <f t="shared" si="155"/>
        <v>Шарташский рынок</v>
      </c>
      <c r="J4974" s="5"/>
      <c r="AL4974" s="5">
        <f t="shared" si="156"/>
        <v>0</v>
      </c>
    </row>
    <row r="4975" spans="1:38" ht="25.5" customHeight="1" x14ac:dyDescent="0.25">
      <c r="A4975" s="10" t="s">
        <v>3879</v>
      </c>
      <c r="B4975" s="11" t="s">
        <v>1635</v>
      </c>
      <c r="C4975" s="5">
        <v>57793.0844</v>
      </c>
      <c r="D4975" s="5">
        <v>57793.0844</v>
      </c>
      <c r="E4975" s="5">
        <v>52332.6639</v>
      </c>
      <c r="G4975" s="5" t="str">
        <f t="shared" si="155"/>
        <v>ЛЕЧЕБНЫЙ</v>
      </c>
      <c r="J4975" s="5"/>
      <c r="AL4975" s="5">
        <f t="shared" si="156"/>
        <v>0</v>
      </c>
    </row>
    <row r="4976" spans="1:38" ht="25.5" customHeight="1" x14ac:dyDescent="0.25">
      <c r="A4976" s="10" t="s">
        <v>3880</v>
      </c>
      <c r="B4976" s="11" t="s">
        <v>1647</v>
      </c>
      <c r="C4976" s="5">
        <v>63178.133800000003</v>
      </c>
      <c r="D4976" s="5">
        <v>63178.133800000003</v>
      </c>
      <c r="E4976" s="5">
        <v>57208.931499999999</v>
      </c>
      <c r="G4976" s="5" t="str">
        <f t="shared" si="155"/>
        <v>ШИРОКАЯ РЕЧКА</v>
      </c>
      <c r="J4976" s="5"/>
      <c r="AL4976" s="5">
        <f t="shared" si="156"/>
        <v>0</v>
      </c>
    </row>
    <row r="4977" spans="1:38" ht="25.5" customHeight="1" x14ac:dyDescent="0.25">
      <c r="A4977" s="10" t="s">
        <v>292</v>
      </c>
      <c r="B4977" s="11" t="s">
        <v>1628</v>
      </c>
      <c r="C4977" s="5">
        <v>70734.0236</v>
      </c>
      <c r="D4977" s="5">
        <v>70734.0236</v>
      </c>
      <c r="E4977" s="5">
        <v>64050.9208</v>
      </c>
      <c r="G4977" s="5" t="str">
        <f t="shared" si="155"/>
        <v>ЭЛЬМАШ</v>
      </c>
      <c r="J4977" s="5"/>
      <c r="AL4977" s="5">
        <f t="shared" si="156"/>
        <v>0</v>
      </c>
    </row>
    <row r="4978" spans="1:38" ht="25.5" customHeight="1" x14ac:dyDescent="0.25">
      <c r="A4978" s="10" t="s">
        <v>1003</v>
      </c>
      <c r="B4978" s="11" t="s">
        <v>1665</v>
      </c>
      <c r="C4978" s="5">
        <v>55692.278700000003</v>
      </c>
      <c r="D4978" s="5">
        <v>55692.278700000003</v>
      </c>
      <c r="E4978" s="5">
        <v>50430.350200000001</v>
      </c>
      <c r="G4978" s="5" t="str">
        <f t="shared" si="155"/>
        <v>ПОЛЕВОДСТВО</v>
      </c>
      <c r="J4978" s="5"/>
      <c r="AL4978" s="5">
        <f t="shared" si="156"/>
        <v>0</v>
      </c>
    </row>
    <row r="4979" spans="1:38" ht="25.5" customHeight="1" x14ac:dyDescent="0.25">
      <c r="A4979" s="10" t="s">
        <v>3881</v>
      </c>
      <c r="B4979" s="11" t="s">
        <v>1659</v>
      </c>
      <c r="C4979" s="5">
        <v>59746.832600000002</v>
      </c>
      <c r="D4979" s="5">
        <v>59746.832600000002</v>
      </c>
      <c r="E4979" s="5">
        <v>54101.823700000001</v>
      </c>
      <c r="G4979" s="5" t="str">
        <f t="shared" si="155"/>
        <v>СОВХОЗ</v>
      </c>
      <c r="J4979" s="5"/>
      <c r="AL4979" s="5">
        <f t="shared" si="156"/>
        <v>0</v>
      </c>
    </row>
    <row r="4980" spans="1:38" ht="25.5" customHeight="1" x14ac:dyDescent="0.25">
      <c r="A4980" s="10" t="s">
        <v>3882</v>
      </c>
      <c r="B4980" s="11" t="s">
        <v>1647</v>
      </c>
      <c r="C4980" s="5">
        <v>63178.133800000003</v>
      </c>
      <c r="D4980" s="5">
        <v>63178.133800000003</v>
      </c>
      <c r="E4980" s="5">
        <v>57208.931499999999</v>
      </c>
      <c r="G4980" s="5" t="str">
        <f t="shared" si="155"/>
        <v>ШИРОКАЯ РЕЧКА</v>
      </c>
      <c r="J4980" s="5"/>
      <c r="AL4980" s="5">
        <f t="shared" si="156"/>
        <v>0</v>
      </c>
    </row>
    <row r="4981" spans="1:38" ht="25.5" customHeight="1" x14ac:dyDescent="0.25">
      <c r="A4981" s="10" t="s">
        <v>3883</v>
      </c>
      <c r="B4981" s="11" t="s">
        <v>1655</v>
      </c>
      <c r="C4981" s="5">
        <v>79683.445300000007</v>
      </c>
      <c r="D4981" s="5">
        <v>79683.445300000007</v>
      </c>
      <c r="E4981" s="5">
        <v>72154.784899999999</v>
      </c>
      <c r="G4981" s="5" t="str">
        <f t="shared" si="155"/>
        <v>Шарташский рынок</v>
      </c>
      <c r="J4981" s="5"/>
      <c r="AL4981" s="5">
        <f t="shared" si="156"/>
        <v>0</v>
      </c>
    </row>
    <row r="4982" spans="1:38" ht="25.5" customHeight="1" x14ac:dyDescent="0.25">
      <c r="A4982" s="10" t="s">
        <v>1461</v>
      </c>
      <c r="B4982" s="11" t="s">
        <v>1637</v>
      </c>
      <c r="C4982" s="5">
        <v>59368.686099999999</v>
      </c>
      <c r="D4982" s="5">
        <v>59368.686099999999</v>
      </c>
      <c r="E4982" s="5">
        <v>53759.401700000002</v>
      </c>
      <c r="G4982" s="5" t="str">
        <f t="shared" si="155"/>
        <v>Старая сортировка</v>
      </c>
      <c r="J4982" s="5"/>
      <c r="AL4982" s="5">
        <f t="shared" si="156"/>
        <v>0</v>
      </c>
    </row>
    <row r="4983" spans="1:38" ht="25.5" customHeight="1" x14ac:dyDescent="0.25">
      <c r="A4983" s="10" t="s">
        <v>3884</v>
      </c>
      <c r="B4983" s="11" t="s">
        <v>1643</v>
      </c>
      <c r="C4983" s="5">
        <v>76630.280299999999</v>
      </c>
      <c r="D4983" s="5">
        <v>76630.280299999999</v>
      </c>
      <c r="E4983" s="5">
        <v>69390.088799999998</v>
      </c>
      <c r="G4983" s="5" t="str">
        <f t="shared" si="155"/>
        <v>Ю-З</v>
      </c>
      <c r="J4983" s="5"/>
      <c r="AL4983" s="5">
        <f t="shared" si="156"/>
        <v>0</v>
      </c>
    </row>
    <row r="4984" spans="1:38" ht="25.5" customHeight="1" x14ac:dyDescent="0.25">
      <c r="A4984" s="10" t="s">
        <v>3885</v>
      </c>
      <c r="B4984" s="11" t="s">
        <v>33</v>
      </c>
      <c r="C4984" s="5">
        <v>84298.205100000006</v>
      </c>
      <c r="D4984" s="5">
        <v>84298.205100000006</v>
      </c>
      <c r="E4984" s="5">
        <v>76333.533100000001</v>
      </c>
      <c r="G4984" s="5" t="str">
        <f t="shared" si="155"/>
        <v>ВИЗ</v>
      </c>
      <c r="J4984" s="5"/>
      <c r="AL4984" s="5">
        <f t="shared" si="156"/>
        <v>0</v>
      </c>
    </row>
    <row r="4985" spans="1:38" ht="25.5" customHeight="1" x14ac:dyDescent="0.25">
      <c r="A4985" s="10" t="s">
        <v>3886</v>
      </c>
      <c r="B4985" s="11" t="s">
        <v>1644</v>
      </c>
      <c r="C4985" s="5">
        <v>61980.678599999999</v>
      </c>
      <c r="D4985" s="5">
        <v>61980.678599999999</v>
      </c>
      <c r="E4985" s="5">
        <v>56124.615700000002</v>
      </c>
      <c r="G4985" s="5" t="str">
        <f t="shared" si="155"/>
        <v>ХИММАШ</v>
      </c>
      <c r="J4985" s="5"/>
      <c r="AL4985" s="5">
        <f t="shared" si="156"/>
        <v>0</v>
      </c>
    </row>
    <row r="4986" spans="1:38" ht="25.5" customHeight="1" x14ac:dyDescent="0.25">
      <c r="A4986" s="10" t="s">
        <v>701</v>
      </c>
      <c r="B4986" s="11" t="s">
        <v>14</v>
      </c>
      <c r="C4986" s="5">
        <v>93989.912800000006</v>
      </c>
      <c r="D4986" s="5">
        <v>93989.912800000006</v>
      </c>
      <c r="E4986" s="5">
        <v>85109.545199999993</v>
      </c>
      <c r="G4986" s="5" t="str">
        <f t="shared" si="155"/>
        <v>Центр</v>
      </c>
      <c r="J4986" s="5"/>
      <c r="AL4986" s="5">
        <f t="shared" si="156"/>
        <v>0</v>
      </c>
    </row>
    <row r="4987" spans="1:38" ht="25.5" customHeight="1" x14ac:dyDescent="0.25">
      <c r="A4987" s="10" t="s">
        <v>3887</v>
      </c>
      <c r="B4987" s="11" t="s">
        <v>1635</v>
      </c>
      <c r="C4987" s="5">
        <v>57793.0844</v>
      </c>
      <c r="D4987" s="5">
        <v>57793.0844</v>
      </c>
      <c r="E4987" s="5">
        <v>52332.6639</v>
      </c>
      <c r="G4987" s="5" t="str">
        <f t="shared" si="155"/>
        <v>ЛЕЧЕБНЫЙ</v>
      </c>
      <c r="J4987" s="5"/>
      <c r="AL4987" s="5">
        <f t="shared" si="156"/>
        <v>0</v>
      </c>
    </row>
    <row r="4988" spans="1:38" ht="25.5" customHeight="1" x14ac:dyDescent="0.25">
      <c r="A4988" s="10" t="s">
        <v>1443</v>
      </c>
      <c r="B4988" s="11" t="s">
        <v>1630</v>
      </c>
      <c r="C4988" s="5">
        <v>62652.9401</v>
      </c>
      <c r="D4988" s="5">
        <v>62652.9401</v>
      </c>
      <c r="E4988" s="5">
        <v>56733.3557</v>
      </c>
      <c r="G4988" s="5" t="str">
        <f t="shared" si="155"/>
        <v>ЧЕРМЕТ</v>
      </c>
      <c r="J4988" s="5"/>
      <c r="AL4988" s="5">
        <f t="shared" si="156"/>
        <v>0</v>
      </c>
    </row>
    <row r="4989" spans="1:38" ht="25.5" customHeight="1" x14ac:dyDescent="0.25">
      <c r="A4989" s="10" t="s">
        <v>3888</v>
      </c>
      <c r="B4989" s="11" t="s">
        <v>1660</v>
      </c>
      <c r="C4989" s="5">
        <v>53262.345800000003</v>
      </c>
      <c r="D4989" s="5">
        <v>53262.345800000003</v>
      </c>
      <c r="E4989" s="5">
        <v>48230.0095</v>
      </c>
      <c r="G4989" s="5" t="str">
        <f t="shared" si="155"/>
        <v>САДОВЫЙ</v>
      </c>
      <c r="J4989" s="5"/>
      <c r="AL4989" s="5">
        <f t="shared" si="156"/>
        <v>0</v>
      </c>
    </row>
    <row r="4990" spans="1:38" ht="25.5" customHeight="1" x14ac:dyDescent="0.25">
      <c r="A4990" s="10" t="s">
        <v>622</v>
      </c>
      <c r="B4990" s="11" t="s">
        <v>1642</v>
      </c>
      <c r="C4990" s="5">
        <v>81392.097599999994</v>
      </c>
      <c r="D4990" s="5">
        <v>81392.097599999994</v>
      </c>
      <c r="E4990" s="5">
        <v>73702.001099999994</v>
      </c>
      <c r="G4990" s="5" t="str">
        <f t="shared" si="155"/>
        <v>ПАРКОВЫЙ</v>
      </c>
      <c r="J4990" s="5"/>
      <c r="AL4990" s="5">
        <f t="shared" si="156"/>
        <v>0</v>
      </c>
    </row>
    <row r="4991" spans="1:38" ht="25.5" customHeight="1" x14ac:dyDescent="0.25">
      <c r="A4991" s="10" t="s">
        <v>3889</v>
      </c>
      <c r="B4991" s="11" t="s">
        <v>1636</v>
      </c>
      <c r="C4991" s="5">
        <v>52246.960299999999</v>
      </c>
      <c r="D4991" s="5">
        <v>52246.960299999999</v>
      </c>
      <c r="E4991" s="5">
        <v>47310.556700000001</v>
      </c>
      <c r="G4991" s="5" t="str">
        <f t="shared" ref="G4991:G5054" si="157">B4991</f>
        <v>ГОРНЫЙ ЩИТ</v>
      </c>
      <c r="J4991" s="5"/>
      <c r="AL4991" s="5">
        <f t="shared" ref="AL4991:AL5054" si="158">AF4991</f>
        <v>0</v>
      </c>
    </row>
    <row r="4992" spans="1:38" ht="25.5" customHeight="1" x14ac:dyDescent="0.25">
      <c r="A4992" s="10" t="s">
        <v>1594</v>
      </c>
      <c r="B4992" s="11" t="s">
        <v>1643</v>
      </c>
      <c r="C4992" s="5">
        <v>76630.280299999999</v>
      </c>
      <c r="D4992" s="5">
        <v>76630.280299999999</v>
      </c>
      <c r="E4992" s="5">
        <v>69390.088799999998</v>
      </c>
      <c r="G4992" s="5" t="str">
        <f t="shared" si="157"/>
        <v>Ю-З</v>
      </c>
      <c r="J4992" s="5"/>
      <c r="AL4992" s="5">
        <f t="shared" si="158"/>
        <v>0</v>
      </c>
    </row>
    <row r="4993" spans="1:38" ht="25.5" customHeight="1" x14ac:dyDescent="0.25">
      <c r="A4993" s="10" t="s">
        <v>497</v>
      </c>
      <c r="B4993" s="11" t="s">
        <v>1644</v>
      </c>
      <c r="C4993" s="5">
        <v>61980.678599999999</v>
      </c>
      <c r="D4993" s="5">
        <v>61980.678599999999</v>
      </c>
      <c r="E4993" s="5">
        <v>56124.615700000002</v>
      </c>
      <c r="G4993" s="5" t="str">
        <f t="shared" si="157"/>
        <v>ХИММАШ</v>
      </c>
      <c r="J4993" s="5"/>
      <c r="AL4993" s="5">
        <f t="shared" si="158"/>
        <v>0</v>
      </c>
    </row>
    <row r="4994" spans="1:38" ht="25.5" customHeight="1" x14ac:dyDescent="0.25">
      <c r="A4994" s="10" t="s">
        <v>3890</v>
      </c>
      <c r="B4994" s="11" t="s">
        <v>1636</v>
      </c>
      <c r="C4994" s="5">
        <v>52246.960299999999</v>
      </c>
      <c r="D4994" s="5">
        <v>52246.960299999999</v>
      </c>
      <c r="E4994" s="5">
        <v>47310.556700000001</v>
      </c>
      <c r="G4994" s="5" t="str">
        <f t="shared" si="157"/>
        <v>ГОРНЫЙ ЩИТ</v>
      </c>
      <c r="J4994" s="5"/>
      <c r="AL4994" s="5">
        <f t="shared" si="158"/>
        <v>0</v>
      </c>
    </row>
    <row r="4995" spans="1:38" ht="25.5" customHeight="1" x14ac:dyDescent="0.25">
      <c r="A4995" s="10" t="s">
        <v>1596</v>
      </c>
      <c r="B4995" s="11" t="s">
        <v>33</v>
      </c>
      <c r="C4995" s="5">
        <v>84298.205100000006</v>
      </c>
      <c r="D4995" s="5">
        <v>84298.205100000006</v>
      </c>
      <c r="E4995" s="5">
        <v>76333.533100000001</v>
      </c>
      <c r="G4995" s="5" t="str">
        <f t="shared" si="157"/>
        <v>ВИЗ</v>
      </c>
      <c r="J4995" s="5"/>
      <c r="AL4995" s="5">
        <f t="shared" si="158"/>
        <v>0</v>
      </c>
    </row>
    <row r="4996" spans="1:38" ht="25.5" customHeight="1" x14ac:dyDescent="0.25">
      <c r="A4996" s="10" t="s">
        <v>3891</v>
      </c>
      <c r="B4996" s="11" t="s">
        <v>1629</v>
      </c>
      <c r="C4996" s="5">
        <v>77743.704100000003</v>
      </c>
      <c r="D4996" s="5">
        <v>77743.704100000003</v>
      </c>
      <c r="E4996" s="5">
        <v>70398.310800000007</v>
      </c>
      <c r="G4996" s="5" t="str">
        <f t="shared" si="157"/>
        <v>ПИОНЕРСКИЙ</v>
      </c>
      <c r="J4996" s="5"/>
      <c r="AL4996" s="5">
        <f t="shared" si="158"/>
        <v>0</v>
      </c>
    </row>
    <row r="4997" spans="1:38" ht="25.5" customHeight="1" x14ac:dyDescent="0.25">
      <c r="A4997" s="10" t="s">
        <v>3892</v>
      </c>
      <c r="B4997" s="11" t="s">
        <v>1637</v>
      </c>
      <c r="C4997" s="5">
        <v>59368.686099999999</v>
      </c>
      <c r="D4997" s="5">
        <v>59368.686099999999</v>
      </c>
      <c r="E4997" s="5">
        <v>53759.401700000002</v>
      </c>
      <c r="G4997" s="5" t="str">
        <f t="shared" si="157"/>
        <v>Старая сортировка</v>
      </c>
      <c r="J4997" s="5"/>
      <c r="AL4997" s="5">
        <f t="shared" si="158"/>
        <v>0</v>
      </c>
    </row>
    <row r="4998" spans="1:38" ht="25.5" customHeight="1" x14ac:dyDescent="0.25">
      <c r="A4998" s="10" t="s">
        <v>3893</v>
      </c>
      <c r="B4998" s="11" t="s">
        <v>1660</v>
      </c>
      <c r="C4998" s="5">
        <v>53262.345800000003</v>
      </c>
      <c r="D4998" s="5">
        <v>53262.345800000003</v>
      </c>
      <c r="E4998" s="5">
        <v>48230.0095</v>
      </c>
      <c r="G4998" s="5" t="str">
        <f t="shared" si="157"/>
        <v>САДОВЫЙ</v>
      </c>
      <c r="J4998" s="5"/>
      <c r="AL4998" s="5">
        <f t="shared" si="158"/>
        <v>0</v>
      </c>
    </row>
    <row r="4999" spans="1:38" ht="25.5" customHeight="1" x14ac:dyDescent="0.25">
      <c r="A4999" s="10" t="s">
        <v>3894</v>
      </c>
      <c r="B4999" s="11" t="s">
        <v>1627</v>
      </c>
      <c r="C4999" s="5">
        <v>56392.543899999997</v>
      </c>
      <c r="D4999" s="5">
        <v>56392.543899999997</v>
      </c>
      <c r="E4999" s="5">
        <v>51064.4617</v>
      </c>
      <c r="G4999" s="5" t="str">
        <f t="shared" si="157"/>
        <v>КОМПРЕССОРНЫЙ</v>
      </c>
      <c r="J4999" s="5"/>
      <c r="AL4999" s="5">
        <f t="shared" si="158"/>
        <v>0</v>
      </c>
    </row>
    <row r="5000" spans="1:38" ht="25.5" customHeight="1" x14ac:dyDescent="0.25">
      <c r="A5000" s="10" t="s">
        <v>3895</v>
      </c>
      <c r="B5000" s="11" t="s">
        <v>1628</v>
      </c>
      <c r="C5000" s="5">
        <v>70734.0236</v>
      </c>
      <c r="D5000" s="5">
        <v>70734.0236</v>
      </c>
      <c r="E5000" s="5">
        <v>64050.9208</v>
      </c>
      <c r="G5000" s="5" t="str">
        <f t="shared" si="157"/>
        <v>ЭЛЬМАШ</v>
      </c>
      <c r="J5000" s="5"/>
      <c r="AL5000" s="5">
        <f t="shared" si="158"/>
        <v>0</v>
      </c>
    </row>
    <row r="5001" spans="1:38" ht="25.5" customHeight="1" x14ac:dyDescent="0.25">
      <c r="A5001" s="10" t="s">
        <v>960</v>
      </c>
      <c r="B5001" s="11" t="s">
        <v>1650</v>
      </c>
      <c r="C5001" s="5">
        <v>37590.3603</v>
      </c>
      <c r="D5001" s="5">
        <v>37590.3603</v>
      </c>
      <c r="E5001" s="5">
        <v>34038.745900000002</v>
      </c>
      <c r="G5001" s="5" t="str">
        <f t="shared" si="157"/>
        <v>ШАБРОВСКИЙ</v>
      </c>
      <c r="J5001" s="5"/>
      <c r="AL5001" s="5">
        <f t="shared" si="158"/>
        <v>0</v>
      </c>
    </row>
    <row r="5002" spans="1:38" ht="25.5" customHeight="1" x14ac:dyDescent="0.25">
      <c r="A5002" s="10" t="s">
        <v>853</v>
      </c>
      <c r="B5002" s="11" t="s">
        <v>1631</v>
      </c>
      <c r="C5002" s="5">
        <v>70026.7601</v>
      </c>
      <c r="D5002" s="5">
        <v>70026.7601</v>
      </c>
      <c r="E5002" s="5">
        <v>63410.482000000004</v>
      </c>
      <c r="G5002" s="5" t="str">
        <f t="shared" si="157"/>
        <v>УРАЛМАШ</v>
      </c>
      <c r="J5002" s="5"/>
      <c r="AL5002" s="5">
        <f t="shared" si="158"/>
        <v>0</v>
      </c>
    </row>
    <row r="5003" spans="1:38" ht="25.5" customHeight="1" x14ac:dyDescent="0.25">
      <c r="A5003" s="10" t="s">
        <v>3896</v>
      </c>
      <c r="B5003" s="11" t="s">
        <v>33</v>
      </c>
      <c r="C5003" s="5">
        <v>84298.205100000006</v>
      </c>
      <c r="D5003" s="5">
        <v>84298.205100000006</v>
      </c>
      <c r="E5003" s="5">
        <v>76333.533100000001</v>
      </c>
      <c r="G5003" s="5" t="str">
        <f t="shared" si="157"/>
        <v>ВИЗ</v>
      </c>
      <c r="J5003" s="5"/>
      <c r="AL5003" s="5">
        <f t="shared" si="158"/>
        <v>0</v>
      </c>
    </row>
    <row r="5004" spans="1:38" ht="25.5" customHeight="1" x14ac:dyDescent="0.25">
      <c r="A5004" s="10" t="s">
        <v>3897</v>
      </c>
      <c r="B5004" s="11" t="s">
        <v>33</v>
      </c>
      <c r="C5004" s="5">
        <v>84298.205100000006</v>
      </c>
      <c r="D5004" s="5">
        <v>84298.205100000006</v>
      </c>
      <c r="E5004" s="5">
        <v>76333.533100000001</v>
      </c>
      <c r="G5004" s="5" t="str">
        <f t="shared" si="157"/>
        <v>ВИЗ</v>
      </c>
      <c r="J5004" s="5"/>
      <c r="AL5004" s="5">
        <f t="shared" si="158"/>
        <v>0</v>
      </c>
    </row>
    <row r="5005" spans="1:38" ht="25.5" customHeight="1" x14ac:dyDescent="0.25">
      <c r="A5005" s="10" t="s">
        <v>3898</v>
      </c>
      <c r="B5005" s="11" t="s">
        <v>1668</v>
      </c>
      <c r="C5005" s="5">
        <v>51343.6201</v>
      </c>
      <c r="D5005" s="5">
        <v>51343.6201</v>
      </c>
      <c r="E5005" s="5">
        <v>46492.558799999999</v>
      </c>
      <c r="G5005" s="5" t="str">
        <f t="shared" si="157"/>
        <v>МЕДНЫЙ</v>
      </c>
      <c r="J5005" s="5"/>
      <c r="AL5005" s="5">
        <f t="shared" si="158"/>
        <v>0</v>
      </c>
    </row>
    <row r="5006" spans="1:38" ht="25.5" customHeight="1" x14ac:dyDescent="0.25">
      <c r="A5006" s="10" t="s">
        <v>250</v>
      </c>
      <c r="B5006" s="11" t="s">
        <v>1630</v>
      </c>
      <c r="C5006" s="5">
        <v>62652.9401</v>
      </c>
      <c r="D5006" s="5">
        <v>62652.9401</v>
      </c>
      <c r="E5006" s="5">
        <v>56733.3557</v>
      </c>
      <c r="G5006" s="5" t="str">
        <f t="shared" si="157"/>
        <v>ЧЕРМЕТ</v>
      </c>
      <c r="J5006" s="5"/>
      <c r="AL5006" s="5">
        <f t="shared" si="158"/>
        <v>0</v>
      </c>
    </row>
    <row r="5007" spans="1:38" ht="25.5" customHeight="1" x14ac:dyDescent="0.25">
      <c r="A5007" s="10" t="s">
        <v>1290</v>
      </c>
      <c r="B5007" s="11" t="s">
        <v>1633</v>
      </c>
      <c r="C5007" s="5">
        <v>77071.442599999995</v>
      </c>
      <c r="D5007" s="5">
        <v>77071.442599999995</v>
      </c>
      <c r="E5007" s="5">
        <v>69789.570900000006</v>
      </c>
      <c r="G5007" s="5" t="str">
        <f t="shared" si="157"/>
        <v>ВТУЗГОРОДОК</v>
      </c>
      <c r="J5007" s="5"/>
      <c r="AL5007" s="5">
        <f t="shared" si="158"/>
        <v>0</v>
      </c>
    </row>
    <row r="5008" spans="1:38" ht="25.5" customHeight="1" x14ac:dyDescent="0.25">
      <c r="A5008" s="10" t="s">
        <v>3899</v>
      </c>
      <c r="B5008" s="11" t="s">
        <v>779</v>
      </c>
      <c r="C5008" s="5">
        <v>46784.877899999999</v>
      </c>
      <c r="D5008" s="5">
        <v>46784.877899999999</v>
      </c>
      <c r="E5008" s="5">
        <v>42364.543299999998</v>
      </c>
      <c r="G5008" s="5" t="str">
        <f t="shared" si="157"/>
        <v>Нижнеисетский</v>
      </c>
      <c r="J5008" s="5"/>
      <c r="AL5008" s="5">
        <f t="shared" si="158"/>
        <v>0</v>
      </c>
    </row>
    <row r="5009" spans="1:38" ht="25.5" customHeight="1" x14ac:dyDescent="0.25">
      <c r="A5009" s="10" t="s">
        <v>3900</v>
      </c>
      <c r="B5009" s="11" t="s">
        <v>1631</v>
      </c>
      <c r="C5009" s="5">
        <v>70026.7601</v>
      </c>
      <c r="D5009" s="5">
        <v>70026.7601</v>
      </c>
      <c r="E5009" s="5">
        <v>63410.482000000004</v>
      </c>
      <c r="G5009" s="5" t="str">
        <f t="shared" si="157"/>
        <v>УРАЛМАШ</v>
      </c>
      <c r="J5009" s="5"/>
      <c r="AL5009" s="5">
        <f t="shared" si="158"/>
        <v>0</v>
      </c>
    </row>
    <row r="5010" spans="1:38" ht="25.5" customHeight="1" x14ac:dyDescent="0.25">
      <c r="A5010" s="10" t="s">
        <v>3901</v>
      </c>
      <c r="B5010" s="11" t="s">
        <v>1647</v>
      </c>
      <c r="C5010" s="5">
        <v>63178.133800000003</v>
      </c>
      <c r="D5010" s="5">
        <v>63178.133800000003</v>
      </c>
      <c r="E5010" s="5">
        <v>57208.931499999999</v>
      </c>
      <c r="G5010" s="5" t="str">
        <f t="shared" si="157"/>
        <v>ШИРОКАЯ РЕЧКА</v>
      </c>
      <c r="J5010" s="5"/>
      <c r="AL5010" s="5">
        <f t="shared" si="158"/>
        <v>0</v>
      </c>
    </row>
    <row r="5011" spans="1:38" ht="25.5" customHeight="1" x14ac:dyDescent="0.25">
      <c r="A5011" s="10" t="s">
        <v>3902</v>
      </c>
      <c r="B5011" s="11" t="s">
        <v>33</v>
      </c>
      <c r="C5011" s="5">
        <v>84298.205100000006</v>
      </c>
      <c r="D5011" s="5">
        <v>84298.205100000006</v>
      </c>
      <c r="E5011" s="5">
        <v>76333.533100000001</v>
      </c>
      <c r="G5011" s="5" t="str">
        <f t="shared" si="157"/>
        <v>ВИЗ</v>
      </c>
      <c r="J5011" s="5"/>
      <c r="AL5011" s="5">
        <f t="shared" si="158"/>
        <v>0</v>
      </c>
    </row>
    <row r="5012" spans="1:38" ht="25.5" customHeight="1" x14ac:dyDescent="0.25">
      <c r="A5012" s="10" t="s">
        <v>1450</v>
      </c>
      <c r="B5012" s="11" t="s">
        <v>1644</v>
      </c>
      <c r="C5012" s="5">
        <v>61980.678599999999</v>
      </c>
      <c r="D5012" s="5">
        <v>61980.678599999999</v>
      </c>
      <c r="E5012" s="5">
        <v>56124.615700000002</v>
      </c>
      <c r="G5012" s="5" t="str">
        <f t="shared" si="157"/>
        <v>ХИММАШ</v>
      </c>
      <c r="J5012" s="5"/>
      <c r="AL5012" s="5">
        <f t="shared" si="158"/>
        <v>0</v>
      </c>
    </row>
    <row r="5013" spans="1:38" ht="25.5" customHeight="1" x14ac:dyDescent="0.25">
      <c r="A5013" s="10" t="s">
        <v>3903</v>
      </c>
      <c r="B5013" s="11" t="s">
        <v>1639</v>
      </c>
      <c r="C5013" s="5">
        <v>53500.443299999999</v>
      </c>
      <c r="D5013" s="5">
        <v>53500.443299999999</v>
      </c>
      <c r="E5013" s="5">
        <v>48445.605100000001</v>
      </c>
      <c r="G5013" s="5" t="str">
        <f t="shared" si="157"/>
        <v>ИСТОК</v>
      </c>
      <c r="J5013" s="5"/>
      <c r="AL5013" s="5">
        <f t="shared" si="158"/>
        <v>0</v>
      </c>
    </row>
    <row r="5014" spans="1:38" ht="25.5" customHeight="1" x14ac:dyDescent="0.25">
      <c r="A5014" s="10" t="s">
        <v>3904</v>
      </c>
      <c r="B5014" s="11" t="s">
        <v>1657</v>
      </c>
      <c r="C5014" s="5">
        <v>54886.9666</v>
      </c>
      <c r="D5014" s="5">
        <v>54886.9666</v>
      </c>
      <c r="E5014" s="5">
        <v>49701.1319</v>
      </c>
      <c r="G5014" s="5" t="str">
        <f t="shared" si="157"/>
        <v>КОЛЬЦОВО</v>
      </c>
      <c r="J5014" s="5"/>
      <c r="AL5014" s="5">
        <f t="shared" si="158"/>
        <v>0</v>
      </c>
    </row>
    <row r="5015" spans="1:38" ht="25.5" customHeight="1" x14ac:dyDescent="0.25">
      <c r="A5015" s="10" t="s">
        <v>3905</v>
      </c>
      <c r="B5015" s="11" t="s">
        <v>1630</v>
      </c>
      <c r="C5015" s="5">
        <v>62652.9401</v>
      </c>
      <c r="D5015" s="5">
        <v>62652.9401</v>
      </c>
      <c r="E5015" s="5">
        <v>56733.3557</v>
      </c>
      <c r="G5015" s="5" t="str">
        <f t="shared" si="157"/>
        <v>ЧЕРМЕТ</v>
      </c>
      <c r="J5015" s="5"/>
      <c r="AL5015" s="5">
        <f t="shared" si="158"/>
        <v>0</v>
      </c>
    </row>
    <row r="5016" spans="1:38" ht="25.5" customHeight="1" x14ac:dyDescent="0.25">
      <c r="A5016" s="10" t="s">
        <v>3906</v>
      </c>
      <c r="B5016" s="11" t="s">
        <v>1631</v>
      </c>
      <c r="C5016" s="5">
        <v>70026.7601</v>
      </c>
      <c r="D5016" s="5">
        <v>70026.7601</v>
      </c>
      <c r="E5016" s="5">
        <v>63410.482000000004</v>
      </c>
      <c r="G5016" s="5" t="str">
        <f t="shared" si="157"/>
        <v>УРАЛМАШ</v>
      </c>
      <c r="J5016" s="5"/>
      <c r="AL5016" s="5">
        <f t="shared" si="158"/>
        <v>0</v>
      </c>
    </row>
    <row r="5017" spans="1:38" ht="25.5" customHeight="1" x14ac:dyDescent="0.25">
      <c r="A5017" s="10" t="s">
        <v>709</v>
      </c>
      <c r="B5017" s="11" t="s">
        <v>1654</v>
      </c>
      <c r="C5017" s="5">
        <v>56140.449699999997</v>
      </c>
      <c r="D5017" s="5">
        <v>56140.449699999997</v>
      </c>
      <c r="E5017" s="5">
        <v>50836.1803</v>
      </c>
      <c r="G5017" s="5" t="str">
        <f t="shared" si="157"/>
        <v>ЗАВОКЗАЛЬНЫЙ</v>
      </c>
      <c r="J5017" s="5"/>
      <c r="AL5017" s="5">
        <f t="shared" si="158"/>
        <v>0</v>
      </c>
    </row>
    <row r="5018" spans="1:38" ht="25.5" customHeight="1" x14ac:dyDescent="0.25">
      <c r="A5018" s="10" t="s">
        <v>3907</v>
      </c>
      <c r="B5018" s="11" t="s">
        <v>1648</v>
      </c>
      <c r="C5018" s="5">
        <v>49782.025399999999</v>
      </c>
      <c r="D5018" s="5">
        <v>49782.025399999999</v>
      </c>
      <c r="E5018" s="5">
        <v>45078.506800000003</v>
      </c>
      <c r="G5018" s="5" t="str">
        <f t="shared" si="157"/>
        <v>ЧУСОВСКОЕ ОЗЕРО</v>
      </c>
      <c r="J5018" s="5"/>
      <c r="AL5018" s="5">
        <f t="shared" si="158"/>
        <v>0</v>
      </c>
    </row>
    <row r="5019" spans="1:38" ht="25.5" customHeight="1" x14ac:dyDescent="0.25">
      <c r="A5019" s="10" t="s">
        <v>3908</v>
      </c>
      <c r="B5019" s="11" t="s">
        <v>1666</v>
      </c>
      <c r="C5019" s="5">
        <v>46784.877899999999</v>
      </c>
      <c r="D5019" s="5">
        <v>46784.877899999999</v>
      </c>
      <c r="E5019" s="5">
        <v>42364.543299999998</v>
      </c>
      <c r="G5019" s="5" t="str">
        <f t="shared" si="157"/>
        <v>Сулим.Торфянник</v>
      </c>
      <c r="J5019" s="5"/>
      <c r="AL5019" s="5">
        <f t="shared" si="158"/>
        <v>0</v>
      </c>
    </row>
    <row r="5020" spans="1:38" ht="25.5" customHeight="1" x14ac:dyDescent="0.25">
      <c r="A5020" s="10" t="s">
        <v>3909</v>
      </c>
      <c r="B5020" s="11" t="s">
        <v>1660</v>
      </c>
      <c r="C5020" s="5">
        <v>53262.345800000003</v>
      </c>
      <c r="D5020" s="5">
        <v>53262.345800000003</v>
      </c>
      <c r="E5020" s="5">
        <v>48230.0095</v>
      </c>
      <c r="G5020" s="5" t="str">
        <f t="shared" si="157"/>
        <v>САДОВЫЙ</v>
      </c>
      <c r="J5020" s="5"/>
      <c r="AL5020" s="5">
        <f t="shared" si="158"/>
        <v>0</v>
      </c>
    </row>
    <row r="5021" spans="1:38" ht="25.5" customHeight="1" x14ac:dyDescent="0.25">
      <c r="A5021" s="10" t="s">
        <v>3910</v>
      </c>
      <c r="B5021" s="11" t="s">
        <v>14</v>
      </c>
      <c r="C5021" s="5">
        <v>93989.912800000006</v>
      </c>
      <c r="D5021" s="5">
        <v>93989.912800000006</v>
      </c>
      <c r="E5021" s="5">
        <v>85109.545199999993</v>
      </c>
      <c r="G5021" s="5" t="str">
        <f t="shared" si="157"/>
        <v>Центр</v>
      </c>
      <c r="J5021" s="5"/>
      <c r="AL5021" s="5">
        <f t="shared" si="158"/>
        <v>0</v>
      </c>
    </row>
    <row r="5022" spans="1:38" ht="25.5" customHeight="1" x14ac:dyDescent="0.25">
      <c r="A5022" s="10" t="s">
        <v>3911</v>
      </c>
      <c r="B5022" s="11" t="s">
        <v>1631</v>
      </c>
      <c r="C5022" s="5">
        <v>70026.7601</v>
      </c>
      <c r="D5022" s="5">
        <v>70026.7601</v>
      </c>
      <c r="E5022" s="5">
        <v>63410.482000000004</v>
      </c>
      <c r="G5022" s="5" t="str">
        <f t="shared" si="157"/>
        <v>УРАЛМАШ</v>
      </c>
      <c r="J5022" s="5"/>
      <c r="AL5022" s="5">
        <f t="shared" si="158"/>
        <v>0</v>
      </c>
    </row>
    <row r="5023" spans="1:38" ht="25.5" customHeight="1" x14ac:dyDescent="0.25">
      <c r="A5023" s="10" t="s">
        <v>3912</v>
      </c>
      <c r="B5023" s="11" t="s">
        <v>66</v>
      </c>
      <c r="C5023" s="5">
        <v>64795.756300000001</v>
      </c>
      <c r="D5023" s="5">
        <v>64795.756300000001</v>
      </c>
      <c r="E5023" s="5">
        <v>58673.716200000003</v>
      </c>
      <c r="G5023" s="5" t="str">
        <f t="shared" si="157"/>
        <v>УНЦ</v>
      </c>
      <c r="J5023" s="5"/>
      <c r="AL5023" s="5">
        <f t="shared" si="158"/>
        <v>0</v>
      </c>
    </row>
    <row r="5024" spans="1:38" ht="25.5" customHeight="1" x14ac:dyDescent="0.25">
      <c r="A5024" s="10" t="s">
        <v>965</v>
      </c>
      <c r="B5024" s="11" t="s">
        <v>1638</v>
      </c>
      <c r="C5024" s="5">
        <v>63640.311600000001</v>
      </c>
      <c r="D5024" s="5">
        <v>63640.311600000001</v>
      </c>
      <c r="E5024" s="5">
        <v>57627.4473</v>
      </c>
      <c r="G5024" s="5" t="str">
        <f t="shared" si="157"/>
        <v>УКТУС</v>
      </c>
      <c r="J5024" s="5"/>
      <c r="AL5024" s="5">
        <f t="shared" si="158"/>
        <v>0</v>
      </c>
    </row>
    <row r="5025" spans="1:38" ht="25.5" customHeight="1" x14ac:dyDescent="0.25">
      <c r="A5025" s="10" t="s">
        <v>524</v>
      </c>
      <c r="B5025" s="11" t="s">
        <v>1654</v>
      </c>
      <c r="C5025" s="5">
        <v>56140.449699999997</v>
      </c>
      <c r="D5025" s="5">
        <v>56140.449699999997</v>
      </c>
      <c r="E5025" s="5">
        <v>50836.1803</v>
      </c>
      <c r="G5025" s="5" t="str">
        <f t="shared" si="157"/>
        <v>ЗАВОКЗАЛЬНЫЙ</v>
      </c>
      <c r="J5025" s="5"/>
      <c r="AL5025" s="5">
        <f t="shared" si="158"/>
        <v>0</v>
      </c>
    </row>
    <row r="5026" spans="1:38" ht="25.5" customHeight="1" x14ac:dyDescent="0.25">
      <c r="A5026" s="10" t="s">
        <v>1439</v>
      </c>
      <c r="B5026" s="11" t="s">
        <v>1659</v>
      </c>
      <c r="C5026" s="5">
        <v>59746.832600000002</v>
      </c>
      <c r="D5026" s="5">
        <v>59746.832600000002</v>
      </c>
      <c r="E5026" s="5">
        <v>54101.823700000001</v>
      </c>
      <c r="G5026" s="5" t="str">
        <f t="shared" si="157"/>
        <v>СОВХОЗ</v>
      </c>
      <c r="J5026" s="5"/>
      <c r="AL5026" s="5">
        <f t="shared" si="158"/>
        <v>0</v>
      </c>
    </row>
    <row r="5027" spans="1:38" ht="25.5" customHeight="1" x14ac:dyDescent="0.25">
      <c r="A5027" s="10" t="s">
        <v>3913</v>
      </c>
      <c r="B5027" s="11" t="s">
        <v>779</v>
      </c>
      <c r="C5027" s="5">
        <v>46784.877899999999</v>
      </c>
      <c r="D5027" s="5">
        <v>46784.877899999999</v>
      </c>
      <c r="E5027" s="5">
        <v>42364.543299999998</v>
      </c>
      <c r="G5027" s="5" t="str">
        <f t="shared" si="157"/>
        <v>Нижнеисетский</v>
      </c>
      <c r="J5027" s="5"/>
      <c r="AL5027" s="5">
        <f t="shared" si="158"/>
        <v>0</v>
      </c>
    </row>
    <row r="5028" spans="1:38" ht="25.5" customHeight="1" x14ac:dyDescent="0.25">
      <c r="A5028" s="10" t="s">
        <v>3914</v>
      </c>
      <c r="B5028" s="11" t="s">
        <v>33</v>
      </c>
      <c r="C5028" s="5">
        <v>84298.205100000006</v>
      </c>
      <c r="D5028" s="5">
        <v>84298.205100000006</v>
      </c>
      <c r="E5028" s="5">
        <v>76333.533100000001</v>
      </c>
      <c r="G5028" s="5" t="str">
        <f t="shared" si="157"/>
        <v>ВИЗ</v>
      </c>
      <c r="J5028" s="5"/>
      <c r="AL5028" s="5">
        <f t="shared" si="158"/>
        <v>0</v>
      </c>
    </row>
    <row r="5029" spans="1:38" ht="25.5" customHeight="1" x14ac:dyDescent="0.25">
      <c r="A5029" s="10" t="s">
        <v>3915</v>
      </c>
      <c r="B5029" s="11" t="s">
        <v>1653</v>
      </c>
      <c r="C5029" s="5">
        <v>56847.723400000003</v>
      </c>
      <c r="D5029" s="5">
        <v>56847.723400000003</v>
      </c>
      <c r="E5029" s="5">
        <v>51476.629399999998</v>
      </c>
      <c r="G5029" s="5" t="str">
        <f t="shared" si="157"/>
        <v>ПТИЦЕФАБРИКА</v>
      </c>
      <c r="J5029" s="5"/>
      <c r="AL5029" s="5">
        <f t="shared" si="158"/>
        <v>0</v>
      </c>
    </row>
    <row r="5030" spans="1:38" ht="25.5" customHeight="1" x14ac:dyDescent="0.25">
      <c r="A5030" s="10" t="s">
        <v>3916</v>
      </c>
      <c r="B5030" s="11" t="s">
        <v>1635</v>
      </c>
      <c r="C5030" s="5">
        <v>57793.0844</v>
      </c>
      <c r="D5030" s="5">
        <v>57793.0844</v>
      </c>
      <c r="E5030" s="5">
        <v>52332.6639</v>
      </c>
      <c r="G5030" s="5" t="str">
        <f t="shared" si="157"/>
        <v>ЛЕЧЕБНЫЙ</v>
      </c>
      <c r="J5030" s="5"/>
      <c r="AL5030" s="5">
        <f t="shared" si="158"/>
        <v>0</v>
      </c>
    </row>
    <row r="5031" spans="1:38" ht="25.5" customHeight="1" x14ac:dyDescent="0.25">
      <c r="A5031" s="10" t="s">
        <v>3917</v>
      </c>
      <c r="B5031" s="11" t="s">
        <v>1630</v>
      </c>
      <c r="C5031" s="5">
        <v>62652.9401</v>
      </c>
      <c r="D5031" s="5">
        <v>62652.9401</v>
      </c>
      <c r="E5031" s="5">
        <v>56733.3557</v>
      </c>
      <c r="G5031" s="5" t="str">
        <f t="shared" si="157"/>
        <v>ЧЕРМЕТ</v>
      </c>
      <c r="J5031" s="5"/>
      <c r="AL5031" s="5">
        <f t="shared" si="158"/>
        <v>0</v>
      </c>
    </row>
    <row r="5032" spans="1:38" ht="25.5" customHeight="1" x14ac:dyDescent="0.25">
      <c r="A5032" s="10" t="s">
        <v>340</v>
      </c>
      <c r="B5032" s="11" t="s">
        <v>1628</v>
      </c>
      <c r="C5032" s="5">
        <v>70734.0236</v>
      </c>
      <c r="D5032" s="5">
        <v>70734.0236</v>
      </c>
      <c r="E5032" s="5">
        <v>64050.9208</v>
      </c>
      <c r="G5032" s="5" t="str">
        <f t="shared" si="157"/>
        <v>ЭЛЬМАШ</v>
      </c>
      <c r="J5032" s="5"/>
      <c r="AL5032" s="5">
        <f t="shared" si="158"/>
        <v>0</v>
      </c>
    </row>
    <row r="5033" spans="1:38" ht="25.5" customHeight="1" x14ac:dyDescent="0.25">
      <c r="A5033" s="10" t="s">
        <v>3918</v>
      </c>
      <c r="B5033" s="11" t="s">
        <v>33</v>
      </c>
      <c r="C5033" s="5">
        <v>84298.205100000006</v>
      </c>
      <c r="D5033" s="5">
        <v>84298.205100000006</v>
      </c>
      <c r="E5033" s="5">
        <v>76333.533100000001</v>
      </c>
      <c r="G5033" s="5" t="str">
        <f t="shared" si="157"/>
        <v>ВИЗ</v>
      </c>
      <c r="J5033" s="5"/>
      <c r="AL5033" s="5">
        <f t="shared" si="158"/>
        <v>0</v>
      </c>
    </row>
    <row r="5034" spans="1:38" ht="25.5" customHeight="1" x14ac:dyDescent="0.25">
      <c r="A5034" s="10" t="s">
        <v>3919</v>
      </c>
      <c r="B5034" s="11" t="s">
        <v>1650</v>
      </c>
      <c r="C5034" s="5">
        <v>37590.3603</v>
      </c>
      <c r="D5034" s="5">
        <v>37590.3603</v>
      </c>
      <c r="E5034" s="5">
        <v>34038.745900000002</v>
      </c>
      <c r="G5034" s="5" t="str">
        <f t="shared" si="157"/>
        <v>ШАБРОВСКИЙ</v>
      </c>
      <c r="J5034" s="5"/>
      <c r="AL5034" s="5">
        <f t="shared" si="158"/>
        <v>0</v>
      </c>
    </row>
    <row r="5035" spans="1:38" ht="25.5" customHeight="1" x14ac:dyDescent="0.25">
      <c r="A5035" s="10" t="s">
        <v>1569</v>
      </c>
      <c r="B5035" s="11" t="s">
        <v>1651</v>
      </c>
      <c r="C5035" s="5">
        <v>68129.029500000004</v>
      </c>
      <c r="D5035" s="5">
        <v>68129.029500000004</v>
      </c>
      <c r="E5035" s="5">
        <v>61692.054799999998</v>
      </c>
      <c r="G5035" s="5" t="str">
        <f t="shared" si="157"/>
        <v>ШАРТАШ</v>
      </c>
      <c r="J5035" s="5"/>
      <c r="AL5035" s="5">
        <f t="shared" si="158"/>
        <v>0</v>
      </c>
    </row>
    <row r="5036" spans="1:38" ht="25.5" customHeight="1" x14ac:dyDescent="0.25">
      <c r="A5036" s="10" t="s">
        <v>3920</v>
      </c>
      <c r="B5036" s="11" t="s">
        <v>33</v>
      </c>
      <c r="C5036" s="5">
        <v>84298.205100000006</v>
      </c>
      <c r="D5036" s="5">
        <v>84298.205100000006</v>
      </c>
      <c r="E5036" s="5">
        <v>76333.533100000001</v>
      </c>
      <c r="G5036" s="5" t="str">
        <f t="shared" si="157"/>
        <v>ВИЗ</v>
      </c>
      <c r="J5036" s="5"/>
      <c r="AL5036" s="5">
        <f t="shared" si="158"/>
        <v>0</v>
      </c>
    </row>
    <row r="5037" spans="1:38" ht="25.5" customHeight="1" x14ac:dyDescent="0.25">
      <c r="A5037" s="10" t="s">
        <v>3921</v>
      </c>
      <c r="B5037" s="11" t="s">
        <v>1638</v>
      </c>
      <c r="C5037" s="5">
        <v>63640.311600000001</v>
      </c>
      <c r="D5037" s="5">
        <v>63640.311600000001</v>
      </c>
      <c r="E5037" s="5">
        <v>57627.4473</v>
      </c>
      <c r="G5037" s="5" t="str">
        <f t="shared" si="157"/>
        <v>УКТУС</v>
      </c>
      <c r="J5037" s="5"/>
      <c r="AL5037" s="5">
        <f t="shared" si="158"/>
        <v>0</v>
      </c>
    </row>
    <row r="5038" spans="1:38" ht="25.5" customHeight="1" x14ac:dyDescent="0.25">
      <c r="A5038" s="10" t="s">
        <v>1146</v>
      </c>
      <c r="B5038" s="11" t="s">
        <v>1636</v>
      </c>
      <c r="C5038" s="5">
        <v>52246.960299999999</v>
      </c>
      <c r="D5038" s="5">
        <v>52246.960299999999</v>
      </c>
      <c r="E5038" s="5">
        <v>47310.556700000001</v>
      </c>
      <c r="G5038" s="5" t="str">
        <f t="shared" si="157"/>
        <v>ГОРНЫЙ ЩИТ</v>
      </c>
      <c r="J5038" s="5"/>
      <c r="AL5038" s="5">
        <f t="shared" si="158"/>
        <v>0</v>
      </c>
    </row>
    <row r="5039" spans="1:38" ht="25.5" customHeight="1" x14ac:dyDescent="0.25">
      <c r="A5039" s="10" t="s">
        <v>3922</v>
      </c>
      <c r="B5039" s="11" t="s">
        <v>1628</v>
      </c>
      <c r="C5039" s="5">
        <v>70734.0236</v>
      </c>
      <c r="D5039" s="5">
        <v>70734.0236</v>
      </c>
      <c r="E5039" s="5">
        <v>64050.9208</v>
      </c>
      <c r="G5039" s="5" t="str">
        <f t="shared" si="157"/>
        <v>ЭЛЬМАШ</v>
      </c>
      <c r="J5039" s="5"/>
      <c r="AL5039" s="5">
        <f t="shared" si="158"/>
        <v>0</v>
      </c>
    </row>
    <row r="5040" spans="1:38" ht="25.5" customHeight="1" x14ac:dyDescent="0.25">
      <c r="A5040" s="10" t="s">
        <v>3923</v>
      </c>
      <c r="B5040" s="11" t="s">
        <v>1637</v>
      </c>
      <c r="C5040" s="5">
        <v>59368.686099999999</v>
      </c>
      <c r="D5040" s="5">
        <v>59368.686099999999</v>
      </c>
      <c r="E5040" s="5">
        <v>53759.401700000002</v>
      </c>
      <c r="G5040" s="5" t="str">
        <f t="shared" si="157"/>
        <v>Старая сортировка</v>
      </c>
      <c r="J5040" s="5"/>
      <c r="AL5040" s="5">
        <f t="shared" si="158"/>
        <v>0</v>
      </c>
    </row>
    <row r="5041" spans="1:38" ht="25.5" customHeight="1" x14ac:dyDescent="0.25">
      <c r="A5041" s="10" t="s">
        <v>3924</v>
      </c>
      <c r="B5041" s="11" t="s">
        <v>1643</v>
      </c>
      <c r="C5041" s="5">
        <v>76630.280299999999</v>
      </c>
      <c r="D5041" s="5">
        <v>76630.280299999999</v>
      </c>
      <c r="E5041" s="5">
        <v>69390.088799999998</v>
      </c>
      <c r="G5041" s="5" t="str">
        <f t="shared" si="157"/>
        <v>Ю-З</v>
      </c>
      <c r="J5041" s="5"/>
      <c r="AL5041" s="5">
        <f t="shared" si="158"/>
        <v>0</v>
      </c>
    </row>
    <row r="5042" spans="1:38" ht="25.5" customHeight="1" x14ac:dyDescent="0.25">
      <c r="A5042" s="10" t="s">
        <v>3925</v>
      </c>
      <c r="B5042" s="11" t="s">
        <v>1637</v>
      </c>
      <c r="C5042" s="5">
        <v>59368.686099999999</v>
      </c>
      <c r="D5042" s="5">
        <v>59368.686099999999</v>
      </c>
      <c r="E5042" s="5">
        <v>53759.401700000002</v>
      </c>
      <c r="G5042" s="5" t="str">
        <f t="shared" si="157"/>
        <v>Старая сортировка</v>
      </c>
      <c r="J5042" s="5"/>
      <c r="AL5042" s="5">
        <f t="shared" si="158"/>
        <v>0</v>
      </c>
    </row>
    <row r="5043" spans="1:38" ht="25.5" customHeight="1" x14ac:dyDescent="0.25">
      <c r="A5043" s="10" t="s">
        <v>1107</v>
      </c>
      <c r="B5043" s="11" t="s">
        <v>1655</v>
      </c>
      <c r="C5043" s="5">
        <v>79683.445300000007</v>
      </c>
      <c r="D5043" s="5">
        <v>79683.445300000007</v>
      </c>
      <c r="E5043" s="5">
        <v>72154.784899999999</v>
      </c>
      <c r="G5043" s="5" t="str">
        <f t="shared" si="157"/>
        <v>Шарташский рынок</v>
      </c>
      <c r="J5043" s="5"/>
      <c r="AL5043" s="5">
        <f t="shared" si="158"/>
        <v>0</v>
      </c>
    </row>
    <row r="5044" spans="1:38" ht="25.5" customHeight="1" x14ac:dyDescent="0.25">
      <c r="A5044" s="10" t="s">
        <v>1448</v>
      </c>
      <c r="B5044" s="11" t="s">
        <v>1659</v>
      </c>
      <c r="C5044" s="5">
        <v>59746.832600000002</v>
      </c>
      <c r="D5044" s="5">
        <v>59746.832600000002</v>
      </c>
      <c r="E5044" s="5">
        <v>54101.823700000001</v>
      </c>
      <c r="G5044" s="5" t="str">
        <f t="shared" si="157"/>
        <v>СОВХОЗ</v>
      </c>
      <c r="J5044" s="5"/>
      <c r="AL5044" s="5">
        <f t="shared" si="158"/>
        <v>0</v>
      </c>
    </row>
    <row r="5045" spans="1:38" ht="25.5" customHeight="1" x14ac:dyDescent="0.25">
      <c r="A5045" s="10" t="s">
        <v>3926</v>
      </c>
      <c r="B5045" s="11" t="s">
        <v>1643</v>
      </c>
      <c r="C5045" s="5">
        <v>76630.280299999999</v>
      </c>
      <c r="D5045" s="5">
        <v>76630.280299999999</v>
      </c>
      <c r="E5045" s="5">
        <v>69390.088799999998</v>
      </c>
      <c r="G5045" s="5" t="str">
        <f t="shared" si="157"/>
        <v>Ю-З</v>
      </c>
      <c r="J5045" s="5"/>
      <c r="AL5045" s="5">
        <f t="shared" si="158"/>
        <v>0</v>
      </c>
    </row>
    <row r="5046" spans="1:38" ht="25.5" customHeight="1" x14ac:dyDescent="0.25">
      <c r="A5046" s="10" t="s">
        <v>3927</v>
      </c>
      <c r="B5046" s="11" t="s">
        <v>1645</v>
      </c>
      <c r="C5046" s="5">
        <v>60958.294800000003</v>
      </c>
      <c r="D5046" s="5">
        <v>60958.294800000003</v>
      </c>
      <c r="E5046" s="5">
        <v>55198.825199999999</v>
      </c>
      <c r="G5046" s="5" t="str">
        <f t="shared" si="157"/>
        <v>ЕЛИЗАВЕТ</v>
      </c>
      <c r="J5046" s="5"/>
      <c r="AL5046" s="5">
        <f t="shared" si="158"/>
        <v>0</v>
      </c>
    </row>
    <row r="5047" spans="1:38" ht="25.5" customHeight="1" x14ac:dyDescent="0.25">
      <c r="A5047" s="10" t="s">
        <v>3928</v>
      </c>
      <c r="B5047" s="11" t="s">
        <v>1635</v>
      </c>
      <c r="C5047" s="5">
        <v>57793.0844</v>
      </c>
      <c r="D5047" s="5">
        <v>57793.0844</v>
      </c>
      <c r="E5047" s="5">
        <v>52332.6639</v>
      </c>
      <c r="G5047" s="5" t="str">
        <f t="shared" si="157"/>
        <v>ЛЕЧЕБНЫЙ</v>
      </c>
      <c r="J5047" s="5"/>
      <c r="AL5047" s="5">
        <f t="shared" si="158"/>
        <v>0</v>
      </c>
    </row>
    <row r="5048" spans="1:38" ht="25.5" customHeight="1" x14ac:dyDescent="0.25">
      <c r="A5048" s="10" t="s">
        <v>1429</v>
      </c>
      <c r="B5048" s="11" t="s">
        <v>1635</v>
      </c>
      <c r="C5048" s="5">
        <v>57793.0844</v>
      </c>
      <c r="D5048" s="5">
        <v>57793.0844</v>
      </c>
      <c r="E5048" s="5">
        <v>52332.6639</v>
      </c>
      <c r="G5048" s="5" t="str">
        <f t="shared" si="157"/>
        <v>ЛЕЧЕБНЫЙ</v>
      </c>
      <c r="J5048" s="5"/>
      <c r="AL5048" s="5">
        <f t="shared" si="158"/>
        <v>0</v>
      </c>
    </row>
    <row r="5049" spans="1:38" ht="25.5" customHeight="1" x14ac:dyDescent="0.25">
      <c r="A5049" s="10" t="s">
        <v>3929</v>
      </c>
      <c r="B5049" s="11" t="s">
        <v>1644</v>
      </c>
      <c r="C5049" s="5">
        <v>61980.678599999999</v>
      </c>
      <c r="D5049" s="5">
        <v>61980.678599999999</v>
      </c>
      <c r="E5049" s="5">
        <v>56124.615700000002</v>
      </c>
      <c r="G5049" s="5" t="str">
        <f t="shared" si="157"/>
        <v>ХИММАШ</v>
      </c>
      <c r="J5049" s="5"/>
      <c r="AL5049" s="5">
        <f t="shared" si="158"/>
        <v>0</v>
      </c>
    </row>
    <row r="5050" spans="1:38" ht="25.5" customHeight="1" x14ac:dyDescent="0.25">
      <c r="A5050" s="10" t="s">
        <v>3930</v>
      </c>
      <c r="B5050" s="11" t="s">
        <v>1636</v>
      </c>
      <c r="C5050" s="5">
        <v>52246.960299999999</v>
      </c>
      <c r="D5050" s="5">
        <v>52246.960299999999</v>
      </c>
      <c r="E5050" s="5">
        <v>47310.556700000001</v>
      </c>
      <c r="G5050" s="5" t="str">
        <f t="shared" si="157"/>
        <v>ГОРНЫЙ ЩИТ</v>
      </c>
      <c r="J5050" s="5"/>
      <c r="AL5050" s="5">
        <f t="shared" si="158"/>
        <v>0</v>
      </c>
    </row>
    <row r="5051" spans="1:38" ht="25.5" customHeight="1" x14ac:dyDescent="0.25">
      <c r="A5051" s="10" t="s">
        <v>3931</v>
      </c>
      <c r="B5051" s="11" t="s">
        <v>1659</v>
      </c>
      <c r="C5051" s="5">
        <v>59746.832600000002</v>
      </c>
      <c r="D5051" s="5">
        <v>59746.832600000002</v>
      </c>
      <c r="E5051" s="5">
        <v>54101.823700000001</v>
      </c>
      <c r="G5051" s="5" t="str">
        <f t="shared" si="157"/>
        <v>СОВХОЗ</v>
      </c>
      <c r="J5051" s="5"/>
      <c r="AL5051" s="5">
        <f t="shared" si="158"/>
        <v>0</v>
      </c>
    </row>
    <row r="5052" spans="1:38" ht="25.5" customHeight="1" x14ac:dyDescent="0.25">
      <c r="A5052" s="10" t="s">
        <v>3932</v>
      </c>
      <c r="B5052" s="11" t="s">
        <v>1668</v>
      </c>
      <c r="C5052" s="5">
        <v>51343.6201</v>
      </c>
      <c r="D5052" s="5">
        <v>51343.6201</v>
      </c>
      <c r="E5052" s="5">
        <v>46492.558799999999</v>
      </c>
      <c r="G5052" s="5" t="str">
        <f t="shared" si="157"/>
        <v>МЕДНЫЙ</v>
      </c>
      <c r="J5052" s="5"/>
      <c r="AL5052" s="5">
        <f t="shared" si="158"/>
        <v>0</v>
      </c>
    </row>
    <row r="5053" spans="1:38" ht="25.5" customHeight="1" x14ac:dyDescent="0.25">
      <c r="A5053" s="10" t="s">
        <v>3933</v>
      </c>
      <c r="B5053" s="11" t="s">
        <v>1660</v>
      </c>
      <c r="C5053" s="5">
        <v>53262.345800000003</v>
      </c>
      <c r="D5053" s="5">
        <v>53262.345800000003</v>
      </c>
      <c r="E5053" s="5">
        <v>48230.0095</v>
      </c>
      <c r="G5053" s="5" t="str">
        <f t="shared" si="157"/>
        <v>САДОВЫЙ</v>
      </c>
      <c r="J5053" s="5"/>
      <c r="AL5053" s="5">
        <f t="shared" si="158"/>
        <v>0</v>
      </c>
    </row>
    <row r="5054" spans="1:38" ht="25.5" customHeight="1" x14ac:dyDescent="0.25">
      <c r="A5054" s="10" t="s">
        <v>3934</v>
      </c>
      <c r="B5054" s="11" t="s">
        <v>33</v>
      </c>
      <c r="C5054" s="5">
        <v>84298.205100000006</v>
      </c>
      <c r="D5054" s="5">
        <v>84298.205100000006</v>
      </c>
      <c r="E5054" s="5">
        <v>76333.533100000001</v>
      </c>
      <c r="G5054" s="5" t="str">
        <f t="shared" si="157"/>
        <v>ВИЗ</v>
      </c>
      <c r="J5054" s="5"/>
      <c r="AL5054" s="5">
        <f t="shared" si="158"/>
        <v>0</v>
      </c>
    </row>
    <row r="5055" spans="1:38" ht="25.5" customHeight="1" x14ac:dyDescent="0.25">
      <c r="A5055" s="10" t="s">
        <v>284</v>
      </c>
      <c r="B5055" s="11" t="s">
        <v>14</v>
      </c>
      <c r="C5055" s="5">
        <v>93989.912800000006</v>
      </c>
      <c r="D5055" s="5">
        <v>93989.912800000006</v>
      </c>
      <c r="E5055" s="5">
        <v>85109.545199999993</v>
      </c>
      <c r="G5055" s="5" t="str">
        <f t="shared" ref="G5055:G5118" si="159">B5055</f>
        <v>Центр</v>
      </c>
      <c r="J5055" s="5"/>
      <c r="AL5055" s="5">
        <f t="shared" ref="AL5055:AL5118" si="160">AF5055</f>
        <v>0</v>
      </c>
    </row>
    <row r="5056" spans="1:38" ht="25.5" customHeight="1" x14ac:dyDescent="0.25">
      <c r="A5056" s="10" t="s">
        <v>3935</v>
      </c>
      <c r="B5056" s="11" t="s">
        <v>1648</v>
      </c>
      <c r="C5056" s="5">
        <v>49782.025399999999</v>
      </c>
      <c r="D5056" s="5">
        <v>49782.025399999999</v>
      </c>
      <c r="E5056" s="5">
        <v>45078.506800000003</v>
      </c>
      <c r="G5056" s="5" t="str">
        <f t="shared" si="159"/>
        <v>ЧУСОВСКОЕ ОЗЕРО</v>
      </c>
      <c r="J5056" s="5"/>
      <c r="AL5056" s="5">
        <f t="shared" si="160"/>
        <v>0</v>
      </c>
    </row>
    <row r="5057" spans="1:38" ht="25.5" customHeight="1" x14ac:dyDescent="0.25">
      <c r="A5057" s="10" t="s">
        <v>3936</v>
      </c>
      <c r="B5057" s="11" t="s">
        <v>1645</v>
      </c>
      <c r="C5057" s="5">
        <v>60958.294800000003</v>
      </c>
      <c r="D5057" s="5">
        <v>60958.294800000003</v>
      </c>
      <c r="E5057" s="5">
        <v>55198.825199999999</v>
      </c>
      <c r="G5057" s="5" t="str">
        <f t="shared" si="159"/>
        <v>ЕЛИЗАВЕТ</v>
      </c>
      <c r="J5057" s="5"/>
      <c r="AL5057" s="5">
        <f t="shared" si="160"/>
        <v>0</v>
      </c>
    </row>
    <row r="5058" spans="1:38" ht="25.5" customHeight="1" x14ac:dyDescent="0.25">
      <c r="A5058" s="10" t="s">
        <v>1192</v>
      </c>
      <c r="B5058" s="11" t="s">
        <v>1637</v>
      </c>
      <c r="C5058" s="5">
        <v>59368.686099999999</v>
      </c>
      <c r="D5058" s="5">
        <v>59368.686099999999</v>
      </c>
      <c r="E5058" s="5">
        <v>53759.401700000002</v>
      </c>
      <c r="G5058" s="5" t="str">
        <f t="shared" si="159"/>
        <v>Старая сортировка</v>
      </c>
      <c r="J5058" s="5"/>
      <c r="AL5058" s="5">
        <f t="shared" si="160"/>
        <v>0</v>
      </c>
    </row>
    <row r="5059" spans="1:38" ht="25.5" customHeight="1" x14ac:dyDescent="0.25">
      <c r="A5059" s="10" t="s">
        <v>656</v>
      </c>
      <c r="B5059" s="11" t="s">
        <v>1665</v>
      </c>
      <c r="C5059" s="5">
        <v>55692.278700000003</v>
      </c>
      <c r="D5059" s="5">
        <v>55692.278700000003</v>
      </c>
      <c r="E5059" s="5">
        <v>50430.350200000001</v>
      </c>
      <c r="G5059" s="5" t="str">
        <f t="shared" si="159"/>
        <v>ПОЛЕВОДСТВО</v>
      </c>
      <c r="J5059" s="5"/>
      <c r="AL5059" s="5">
        <f t="shared" si="160"/>
        <v>0</v>
      </c>
    </row>
    <row r="5060" spans="1:38" ht="25.5" customHeight="1" x14ac:dyDescent="0.25">
      <c r="A5060" s="10" t="s">
        <v>3937</v>
      </c>
      <c r="B5060" s="11" t="s">
        <v>1636</v>
      </c>
      <c r="C5060" s="5">
        <v>52246.960299999999</v>
      </c>
      <c r="D5060" s="5">
        <v>52246.960299999999</v>
      </c>
      <c r="E5060" s="5">
        <v>47310.556700000001</v>
      </c>
      <c r="G5060" s="5" t="str">
        <f t="shared" si="159"/>
        <v>ГОРНЫЙ ЩИТ</v>
      </c>
      <c r="J5060" s="5"/>
      <c r="AL5060" s="5">
        <f t="shared" si="160"/>
        <v>0</v>
      </c>
    </row>
    <row r="5061" spans="1:38" ht="25.5" customHeight="1" x14ac:dyDescent="0.25">
      <c r="A5061" s="10" t="s">
        <v>3938</v>
      </c>
      <c r="B5061" s="11" t="s">
        <v>1637</v>
      </c>
      <c r="C5061" s="5">
        <v>59368.686099999999</v>
      </c>
      <c r="D5061" s="5">
        <v>59368.686099999999</v>
      </c>
      <c r="E5061" s="5">
        <v>53759.401700000002</v>
      </c>
      <c r="G5061" s="5" t="str">
        <f t="shared" si="159"/>
        <v>Старая сортировка</v>
      </c>
      <c r="J5061" s="5"/>
      <c r="AL5061" s="5">
        <f t="shared" si="160"/>
        <v>0</v>
      </c>
    </row>
    <row r="5062" spans="1:38" ht="25.5" customHeight="1" x14ac:dyDescent="0.25">
      <c r="A5062" s="10" t="s">
        <v>635</v>
      </c>
      <c r="B5062" s="11" t="s">
        <v>1644</v>
      </c>
      <c r="C5062" s="5">
        <v>61980.678599999999</v>
      </c>
      <c r="D5062" s="5">
        <v>61980.678599999999</v>
      </c>
      <c r="E5062" s="5">
        <v>56124.615700000002</v>
      </c>
      <c r="G5062" s="5" t="str">
        <f t="shared" si="159"/>
        <v>ХИММАШ</v>
      </c>
      <c r="J5062" s="5"/>
      <c r="AL5062" s="5">
        <f t="shared" si="160"/>
        <v>0</v>
      </c>
    </row>
    <row r="5063" spans="1:38" ht="25.5" customHeight="1" x14ac:dyDescent="0.25">
      <c r="A5063" s="10" t="s">
        <v>3939</v>
      </c>
      <c r="B5063" s="11" t="s">
        <v>1629</v>
      </c>
      <c r="C5063" s="5">
        <v>77743.704100000003</v>
      </c>
      <c r="D5063" s="5">
        <v>77743.704100000003</v>
      </c>
      <c r="E5063" s="5">
        <v>70398.310800000007</v>
      </c>
      <c r="G5063" s="5" t="str">
        <f t="shared" si="159"/>
        <v>ПИОНЕРСКИЙ</v>
      </c>
      <c r="J5063" s="5"/>
      <c r="AL5063" s="5">
        <f t="shared" si="160"/>
        <v>0</v>
      </c>
    </row>
    <row r="5064" spans="1:38" ht="25.5" customHeight="1" x14ac:dyDescent="0.25">
      <c r="A5064" s="10" t="s">
        <v>3940</v>
      </c>
      <c r="B5064" s="11" t="s">
        <v>1627</v>
      </c>
      <c r="C5064" s="5">
        <v>56392.543899999997</v>
      </c>
      <c r="D5064" s="5">
        <v>56392.543899999997</v>
      </c>
      <c r="E5064" s="5">
        <v>51064.4617</v>
      </c>
      <c r="G5064" s="5" t="str">
        <f t="shared" si="159"/>
        <v>КОМПРЕССОРНЫЙ</v>
      </c>
      <c r="J5064" s="5"/>
      <c r="AL5064" s="5">
        <f t="shared" si="160"/>
        <v>0</v>
      </c>
    </row>
    <row r="5065" spans="1:38" ht="25.5" customHeight="1" x14ac:dyDescent="0.25">
      <c r="A5065" s="10" t="s">
        <v>336</v>
      </c>
      <c r="B5065" s="11" t="s">
        <v>1632</v>
      </c>
      <c r="C5065" s="5">
        <v>83744.997499999998</v>
      </c>
      <c r="D5065" s="5">
        <v>83744.997499999998</v>
      </c>
      <c r="E5065" s="5">
        <v>75832.596099999995</v>
      </c>
      <c r="G5065" s="5" t="str">
        <f t="shared" si="159"/>
        <v>АВТОВОКЗАЛ</v>
      </c>
      <c r="J5065" s="5"/>
      <c r="AL5065" s="5">
        <f t="shared" si="160"/>
        <v>0</v>
      </c>
    </row>
    <row r="5066" spans="1:38" ht="25.5" customHeight="1" x14ac:dyDescent="0.25">
      <c r="A5066" s="10" t="s">
        <v>926</v>
      </c>
      <c r="B5066" s="11" t="s">
        <v>1631</v>
      </c>
      <c r="C5066" s="5">
        <v>70026.7601</v>
      </c>
      <c r="D5066" s="5">
        <v>70026.7601</v>
      </c>
      <c r="E5066" s="5">
        <v>63410.482000000004</v>
      </c>
      <c r="G5066" s="5" t="str">
        <f t="shared" si="159"/>
        <v>УРАЛМАШ</v>
      </c>
      <c r="J5066" s="5"/>
      <c r="AL5066" s="5">
        <f t="shared" si="160"/>
        <v>0</v>
      </c>
    </row>
    <row r="5067" spans="1:38" ht="25.5" customHeight="1" x14ac:dyDescent="0.25">
      <c r="A5067" s="10" t="s">
        <v>3941</v>
      </c>
      <c r="B5067" s="11" t="s">
        <v>1643</v>
      </c>
      <c r="C5067" s="5">
        <v>76630.280299999999</v>
      </c>
      <c r="D5067" s="5">
        <v>76630.280299999999</v>
      </c>
      <c r="E5067" s="5">
        <v>69390.088799999998</v>
      </c>
      <c r="G5067" s="5" t="str">
        <f t="shared" si="159"/>
        <v>Ю-З</v>
      </c>
      <c r="J5067" s="5"/>
      <c r="AL5067" s="5">
        <f t="shared" si="160"/>
        <v>0</v>
      </c>
    </row>
    <row r="5068" spans="1:38" ht="25.5" customHeight="1" x14ac:dyDescent="0.25">
      <c r="A5068" s="10" t="s">
        <v>3942</v>
      </c>
      <c r="B5068" s="11" t="s">
        <v>1650</v>
      </c>
      <c r="C5068" s="5">
        <v>37590.3603</v>
      </c>
      <c r="D5068" s="5">
        <v>37590.3603</v>
      </c>
      <c r="E5068" s="5">
        <v>34038.745900000002</v>
      </c>
      <c r="G5068" s="5" t="str">
        <f t="shared" si="159"/>
        <v>ШАБРОВСКИЙ</v>
      </c>
      <c r="J5068" s="5"/>
      <c r="AL5068" s="5">
        <f t="shared" si="160"/>
        <v>0</v>
      </c>
    </row>
    <row r="5069" spans="1:38" ht="25.5" customHeight="1" x14ac:dyDescent="0.25">
      <c r="A5069" s="10" t="s">
        <v>3943</v>
      </c>
      <c r="B5069" s="11" t="s">
        <v>118</v>
      </c>
      <c r="C5069" s="5">
        <v>53500.443299999999</v>
      </c>
      <c r="D5069" s="5">
        <v>53500.443299999999</v>
      </c>
      <c r="E5069" s="5">
        <v>48445.605100000001</v>
      </c>
      <c r="G5069" s="5" t="str">
        <f t="shared" si="159"/>
        <v>Исток</v>
      </c>
      <c r="J5069" s="5"/>
      <c r="AL5069" s="5">
        <f t="shared" si="160"/>
        <v>0</v>
      </c>
    </row>
    <row r="5070" spans="1:38" ht="25.5" customHeight="1" x14ac:dyDescent="0.25">
      <c r="A5070" s="10" t="s">
        <v>3944</v>
      </c>
      <c r="B5070" s="11" t="s">
        <v>1656</v>
      </c>
      <c r="C5070" s="5">
        <v>60173.9879</v>
      </c>
      <c r="D5070" s="5">
        <v>60173.9879</v>
      </c>
      <c r="E5070" s="5">
        <v>54488.630299999997</v>
      </c>
      <c r="G5070" s="5" t="str">
        <f t="shared" si="159"/>
        <v>МАЛЫЙ ИСТОК</v>
      </c>
      <c r="J5070" s="5"/>
      <c r="AL5070" s="5">
        <f t="shared" si="160"/>
        <v>0</v>
      </c>
    </row>
    <row r="5071" spans="1:38" ht="25.5" customHeight="1" x14ac:dyDescent="0.25">
      <c r="A5071" s="10" t="s">
        <v>3945</v>
      </c>
      <c r="B5071" s="11" t="s">
        <v>779</v>
      </c>
      <c r="C5071" s="5">
        <v>46784.877899999999</v>
      </c>
      <c r="D5071" s="5">
        <v>46784.877899999999</v>
      </c>
      <c r="E5071" s="5">
        <v>42364.543299999998</v>
      </c>
      <c r="G5071" s="5" t="str">
        <f t="shared" si="159"/>
        <v>Нижнеисетский</v>
      </c>
      <c r="J5071" s="5"/>
      <c r="AL5071" s="5">
        <f t="shared" si="160"/>
        <v>0</v>
      </c>
    </row>
    <row r="5072" spans="1:38" ht="25.5" customHeight="1" x14ac:dyDescent="0.25">
      <c r="A5072" s="10" t="s">
        <v>3946</v>
      </c>
      <c r="B5072" s="11" t="s">
        <v>1637</v>
      </c>
      <c r="C5072" s="5">
        <v>59368.686099999999</v>
      </c>
      <c r="D5072" s="5">
        <v>59368.686099999999</v>
      </c>
      <c r="E5072" s="5">
        <v>53759.401700000002</v>
      </c>
      <c r="G5072" s="5" t="str">
        <f t="shared" si="159"/>
        <v>Старая сортировка</v>
      </c>
      <c r="J5072" s="5"/>
      <c r="AL5072" s="5">
        <f t="shared" si="160"/>
        <v>0</v>
      </c>
    </row>
    <row r="5073" spans="1:38" ht="25.5" customHeight="1" x14ac:dyDescent="0.25">
      <c r="A5073" s="10" t="s">
        <v>223</v>
      </c>
      <c r="B5073" s="11" t="s">
        <v>14</v>
      </c>
      <c r="C5073" s="5">
        <v>93989.912800000006</v>
      </c>
      <c r="D5073" s="5">
        <v>93989.912800000006</v>
      </c>
      <c r="E5073" s="5">
        <v>85109.545199999993</v>
      </c>
      <c r="G5073" s="5" t="str">
        <f t="shared" si="159"/>
        <v>Центр</v>
      </c>
      <c r="J5073" s="5"/>
      <c r="AL5073" s="5">
        <f t="shared" si="160"/>
        <v>0</v>
      </c>
    </row>
    <row r="5074" spans="1:38" ht="25.5" customHeight="1" x14ac:dyDescent="0.25">
      <c r="A5074" s="10" t="s">
        <v>585</v>
      </c>
      <c r="B5074" s="11" t="s">
        <v>14</v>
      </c>
      <c r="C5074" s="5">
        <v>93989.912800000006</v>
      </c>
      <c r="D5074" s="5">
        <v>93989.912800000006</v>
      </c>
      <c r="E5074" s="5">
        <v>85109.545199999993</v>
      </c>
      <c r="G5074" s="5" t="str">
        <f t="shared" si="159"/>
        <v>Центр</v>
      </c>
      <c r="J5074" s="5"/>
      <c r="AL5074" s="5">
        <f t="shared" si="160"/>
        <v>0</v>
      </c>
    </row>
    <row r="5075" spans="1:38" ht="25.5" customHeight="1" x14ac:dyDescent="0.25">
      <c r="A5075" s="10" t="s">
        <v>1036</v>
      </c>
      <c r="B5075" s="11" t="s">
        <v>1631</v>
      </c>
      <c r="C5075" s="5">
        <v>70026.7601</v>
      </c>
      <c r="D5075" s="5">
        <v>70026.7601</v>
      </c>
      <c r="E5075" s="5">
        <v>63410.482000000004</v>
      </c>
      <c r="G5075" s="5" t="str">
        <f t="shared" si="159"/>
        <v>УРАЛМАШ</v>
      </c>
      <c r="J5075" s="5"/>
      <c r="AL5075" s="5">
        <f t="shared" si="160"/>
        <v>0</v>
      </c>
    </row>
    <row r="5076" spans="1:38" ht="25.5" customHeight="1" x14ac:dyDescent="0.25">
      <c r="A5076" s="10" t="s">
        <v>3947</v>
      </c>
      <c r="B5076" s="11" t="s">
        <v>1631</v>
      </c>
      <c r="C5076" s="5">
        <v>70026.7601</v>
      </c>
      <c r="D5076" s="5">
        <v>70026.7601</v>
      </c>
      <c r="E5076" s="5">
        <v>63410.482000000004</v>
      </c>
      <c r="G5076" s="5" t="str">
        <f t="shared" si="159"/>
        <v>УРАЛМАШ</v>
      </c>
      <c r="J5076" s="5"/>
      <c r="AL5076" s="5">
        <f t="shared" si="160"/>
        <v>0</v>
      </c>
    </row>
    <row r="5077" spans="1:38" ht="25.5" customHeight="1" x14ac:dyDescent="0.25">
      <c r="A5077" s="10" t="s">
        <v>3948</v>
      </c>
      <c r="B5077" s="11" t="s">
        <v>1657</v>
      </c>
      <c r="C5077" s="5">
        <v>54886.9666</v>
      </c>
      <c r="D5077" s="5">
        <v>54886.9666</v>
      </c>
      <c r="E5077" s="5">
        <v>49701.1319</v>
      </c>
      <c r="G5077" s="5" t="str">
        <f t="shared" si="159"/>
        <v>КОЛЬЦОВО</v>
      </c>
      <c r="J5077" s="5"/>
      <c r="AL5077" s="5">
        <f t="shared" si="160"/>
        <v>0</v>
      </c>
    </row>
    <row r="5078" spans="1:38" ht="25.5" customHeight="1" x14ac:dyDescent="0.25">
      <c r="A5078" s="10" t="s">
        <v>931</v>
      </c>
      <c r="B5078" s="11" t="s">
        <v>1652</v>
      </c>
      <c r="C5078" s="5">
        <v>71105.171700000006</v>
      </c>
      <c r="D5078" s="5">
        <v>71105.171700000006</v>
      </c>
      <c r="E5078" s="5">
        <v>64387.005100000002</v>
      </c>
      <c r="G5078" s="5" t="str">
        <f t="shared" si="159"/>
        <v>ЗАРЕЧНЫЙ</v>
      </c>
      <c r="J5078" s="5"/>
      <c r="AL5078" s="5">
        <f t="shared" si="160"/>
        <v>0</v>
      </c>
    </row>
    <row r="5079" spans="1:38" ht="25.5" customHeight="1" x14ac:dyDescent="0.25">
      <c r="A5079" s="10" t="s">
        <v>1616</v>
      </c>
      <c r="B5079" s="5" t="s">
        <v>33</v>
      </c>
      <c r="C5079" s="5">
        <v>84298.205100000006</v>
      </c>
      <c r="D5079" s="5">
        <v>84298.205100000006</v>
      </c>
      <c r="E5079" s="5">
        <v>76333.533100000001</v>
      </c>
      <c r="G5079" s="5" t="str">
        <f t="shared" si="159"/>
        <v>ВИЗ</v>
      </c>
      <c r="J5079" s="5"/>
      <c r="AL5079" s="5">
        <f t="shared" si="160"/>
        <v>0</v>
      </c>
    </row>
    <row r="5080" spans="1:38" ht="25.5" customHeight="1" x14ac:dyDescent="0.25">
      <c r="A5080" s="10" t="s">
        <v>3949</v>
      </c>
      <c r="B5080" s="11" t="s">
        <v>33</v>
      </c>
      <c r="C5080" s="5">
        <v>84298.205100000006</v>
      </c>
      <c r="D5080" s="5">
        <v>84298.205100000006</v>
      </c>
      <c r="E5080" s="5">
        <v>76333.533100000001</v>
      </c>
      <c r="G5080" s="5" t="str">
        <f t="shared" si="159"/>
        <v>ВИЗ</v>
      </c>
      <c r="J5080" s="5"/>
      <c r="AL5080" s="5">
        <f t="shared" si="160"/>
        <v>0</v>
      </c>
    </row>
    <row r="5081" spans="1:38" ht="25.5" customHeight="1" x14ac:dyDescent="0.25">
      <c r="A5081" s="10" t="s">
        <v>3950</v>
      </c>
      <c r="B5081" s="11" t="s">
        <v>1659</v>
      </c>
      <c r="C5081" s="5">
        <v>59746.832600000002</v>
      </c>
      <c r="D5081" s="5">
        <v>59746.832600000002</v>
      </c>
      <c r="E5081" s="5">
        <v>54101.823700000001</v>
      </c>
      <c r="G5081" s="5" t="str">
        <f t="shared" si="159"/>
        <v>СОВХОЗ</v>
      </c>
      <c r="J5081" s="5"/>
      <c r="AL5081" s="5">
        <f t="shared" si="160"/>
        <v>0</v>
      </c>
    </row>
    <row r="5082" spans="1:38" ht="25.5" customHeight="1" x14ac:dyDescent="0.25">
      <c r="A5082" s="10" t="s">
        <v>460</v>
      </c>
      <c r="B5082" s="11" t="s">
        <v>14</v>
      </c>
      <c r="C5082" s="5">
        <v>93989.912800000006</v>
      </c>
      <c r="D5082" s="5">
        <v>93989.912800000006</v>
      </c>
      <c r="E5082" s="5">
        <v>85109.545199999993</v>
      </c>
      <c r="G5082" s="5" t="str">
        <f t="shared" si="159"/>
        <v>Центр</v>
      </c>
      <c r="J5082" s="5"/>
      <c r="AL5082" s="5">
        <f t="shared" si="160"/>
        <v>0</v>
      </c>
    </row>
    <row r="5083" spans="1:38" ht="25.5" customHeight="1" x14ac:dyDescent="0.25">
      <c r="A5083" s="10" t="s">
        <v>1071</v>
      </c>
      <c r="B5083" s="11" t="s">
        <v>1643</v>
      </c>
      <c r="C5083" s="5">
        <v>76630.280299999999</v>
      </c>
      <c r="D5083" s="5">
        <v>76630.280299999999</v>
      </c>
      <c r="E5083" s="5">
        <v>69390.088799999998</v>
      </c>
      <c r="G5083" s="5" t="str">
        <f t="shared" si="159"/>
        <v>Ю-З</v>
      </c>
      <c r="J5083" s="5"/>
      <c r="AL5083" s="5">
        <f t="shared" si="160"/>
        <v>0</v>
      </c>
    </row>
    <row r="5084" spans="1:38" ht="25.5" customHeight="1" x14ac:dyDescent="0.25">
      <c r="A5084" s="10" t="s">
        <v>3951</v>
      </c>
      <c r="B5084" s="11" t="s">
        <v>1668</v>
      </c>
      <c r="C5084" s="5">
        <v>51343.6201</v>
      </c>
      <c r="D5084" s="5">
        <v>51343.6201</v>
      </c>
      <c r="E5084" s="5">
        <v>46492.558799999999</v>
      </c>
      <c r="G5084" s="5" t="str">
        <f t="shared" si="159"/>
        <v>МЕДНЫЙ</v>
      </c>
      <c r="J5084" s="5"/>
      <c r="AL5084" s="5">
        <f t="shared" si="160"/>
        <v>0</v>
      </c>
    </row>
    <row r="5085" spans="1:38" ht="25.5" customHeight="1" x14ac:dyDescent="0.25">
      <c r="A5085" s="10" t="s">
        <v>1097</v>
      </c>
      <c r="B5085" s="11" t="s">
        <v>1637</v>
      </c>
      <c r="C5085" s="5">
        <v>59368.686099999999</v>
      </c>
      <c r="D5085" s="5">
        <v>59368.686099999999</v>
      </c>
      <c r="E5085" s="5">
        <v>53759.401700000002</v>
      </c>
      <c r="G5085" s="5" t="str">
        <f t="shared" si="159"/>
        <v>Старая сортировка</v>
      </c>
      <c r="J5085" s="5"/>
      <c r="AL5085" s="5">
        <f t="shared" si="160"/>
        <v>0</v>
      </c>
    </row>
    <row r="5086" spans="1:38" ht="25.5" customHeight="1" x14ac:dyDescent="0.25">
      <c r="A5086" s="10" t="s">
        <v>1605</v>
      </c>
      <c r="B5086" s="11" t="s">
        <v>1667</v>
      </c>
      <c r="C5086" s="5">
        <v>56546.599699999999</v>
      </c>
      <c r="D5086" s="5">
        <v>56546.599699999999</v>
      </c>
      <c r="E5086" s="5">
        <v>51203.963499999998</v>
      </c>
      <c r="G5086" s="5" t="str">
        <f t="shared" si="159"/>
        <v>КАЛИНОВСКИЙ</v>
      </c>
      <c r="J5086" s="5"/>
      <c r="AL5086" s="5">
        <f t="shared" si="160"/>
        <v>0</v>
      </c>
    </row>
    <row r="5087" spans="1:38" ht="25.5" customHeight="1" x14ac:dyDescent="0.25">
      <c r="A5087" s="10" t="s">
        <v>3952</v>
      </c>
      <c r="B5087" s="11" t="s">
        <v>779</v>
      </c>
      <c r="C5087" s="5">
        <v>46784.877899999999</v>
      </c>
      <c r="D5087" s="5">
        <v>46784.877899999999</v>
      </c>
      <c r="E5087" s="5">
        <v>42364.543299999998</v>
      </c>
      <c r="G5087" s="5" t="str">
        <f t="shared" si="159"/>
        <v>Нижнеисетский</v>
      </c>
      <c r="J5087" s="5"/>
      <c r="AL5087" s="5">
        <f t="shared" si="160"/>
        <v>0</v>
      </c>
    </row>
    <row r="5088" spans="1:38" ht="25.5" customHeight="1" x14ac:dyDescent="0.25">
      <c r="A5088" s="10" t="s">
        <v>3953</v>
      </c>
      <c r="B5088" s="11" t="s">
        <v>1641</v>
      </c>
      <c r="C5088" s="5">
        <v>63556.280200000001</v>
      </c>
      <c r="D5088" s="5">
        <v>63556.280200000001</v>
      </c>
      <c r="E5088" s="5">
        <v>57551.353499999997</v>
      </c>
      <c r="G5088" s="5" t="str">
        <f t="shared" si="159"/>
        <v>СИБИРСКИЙ</v>
      </c>
      <c r="J5088" s="5"/>
      <c r="AL5088" s="5">
        <f t="shared" si="160"/>
        <v>0</v>
      </c>
    </row>
    <row r="5089" spans="1:38" ht="25.5" customHeight="1" x14ac:dyDescent="0.25">
      <c r="A5089" s="10" t="s">
        <v>1219</v>
      </c>
      <c r="B5089" s="11" t="s">
        <v>1638</v>
      </c>
      <c r="C5089" s="5">
        <v>63640.311600000001</v>
      </c>
      <c r="D5089" s="5">
        <v>63640.311600000001</v>
      </c>
      <c r="E5089" s="5">
        <v>57627.4473</v>
      </c>
      <c r="G5089" s="5" t="str">
        <f t="shared" si="159"/>
        <v>УКТУС</v>
      </c>
      <c r="J5089" s="5"/>
      <c r="AL5089" s="5">
        <f t="shared" si="160"/>
        <v>0</v>
      </c>
    </row>
    <row r="5090" spans="1:38" ht="25.5" customHeight="1" x14ac:dyDescent="0.25">
      <c r="A5090" s="10" t="s">
        <v>3954</v>
      </c>
      <c r="B5090" s="11" t="s">
        <v>1647</v>
      </c>
      <c r="C5090" s="5">
        <v>63178.133800000003</v>
      </c>
      <c r="D5090" s="5">
        <v>63178.133800000003</v>
      </c>
      <c r="E5090" s="5">
        <v>57208.931499999999</v>
      </c>
      <c r="G5090" s="5" t="str">
        <f t="shared" si="159"/>
        <v>ШИРОКАЯ РЕЧКА</v>
      </c>
      <c r="J5090" s="5"/>
      <c r="AL5090" s="5">
        <f t="shared" si="160"/>
        <v>0</v>
      </c>
    </row>
    <row r="5091" spans="1:38" ht="25.5" customHeight="1" x14ac:dyDescent="0.25">
      <c r="A5091" s="10" t="s">
        <v>3955</v>
      </c>
      <c r="B5091" s="11" t="s">
        <v>1645</v>
      </c>
      <c r="C5091" s="5">
        <v>60958.294800000003</v>
      </c>
      <c r="D5091" s="5">
        <v>60958.294800000003</v>
      </c>
      <c r="E5091" s="5">
        <v>55198.825199999999</v>
      </c>
      <c r="G5091" s="5" t="str">
        <f t="shared" si="159"/>
        <v>ЕЛИЗАВЕТ</v>
      </c>
      <c r="J5091" s="5"/>
      <c r="AL5091" s="5">
        <f t="shared" si="160"/>
        <v>0</v>
      </c>
    </row>
    <row r="5092" spans="1:38" ht="25.5" customHeight="1" x14ac:dyDescent="0.25">
      <c r="A5092" s="10" t="s">
        <v>3956</v>
      </c>
      <c r="B5092" s="11" t="s">
        <v>1628</v>
      </c>
      <c r="C5092" s="5">
        <v>70734.0236</v>
      </c>
      <c r="D5092" s="5">
        <v>70734.0236</v>
      </c>
      <c r="E5092" s="5">
        <v>64050.9208</v>
      </c>
      <c r="G5092" s="5" t="str">
        <f t="shared" si="159"/>
        <v>ЭЛЬМАШ</v>
      </c>
      <c r="J5092" s="5"/>
      <c r="AL5092" s="5">
        <f t="shared" si="160"/>
        <v>0</v>
      </c>
    </row>
    <row r="5093" spans="1:38" ht="25.5" customHeight="1" x14ac:dyDescent="0.25">
      <c r="A5093" s="10" t="s">
        <v>3957</v>
      </c>
      <c r="B5093" s="11" t="s">
        <v>14</v>
      </c>
      <c r="C5093" s="5">
        <v>93989.912800000006</v>
      </c>
      <c r="D5093" s="5">
        <v>93989.912800000006</v>
      </c>
      <c r="E5093" s="5">
        <v>85109.545199999993</v>
      </c>
      <c r="G5093" s="5" t="str">
        <f t="shared" si="159"/>
        <v>Центр</v>
      </c>
      <c r="J5093" s="5"/>
      <c r="AL5093" s="5">
        <f t="shared" si="160"/>
        <v>0</v>
      </c>
    </row>
    <row r="5094" spans="1:38" ht="25.5" customHeight="1" x14ac:dyDescent="0.25">
      <c r="A5094" s="10" t="s">
        <v>3958</v>
      </c>
      <c r="B5094" s="11" t="s">
        <v>1645</v>
      </c>
      <c r="C5094" s="5">
        <v>60958.294800000003</v>
      </c>
      <c r="D5094" s="5">
        <v>60958.294800000003</v>
      </c>
      <c r="E5094" s="5">
        <v>55198.825199999999</v>
      </c>
      <c r="G5094" s="5" t="str">
        <f t="shared" si="159"/>
        <v>ЕЛИЗАВЕТ</v>
      </c>
      <c r="J5094" s="5"/>
      <c r="AL5094" s="5">
        <f t="shared" si="160"/>
        <v>0</v>
      </c>
    </row>
    <row r="5095" spans="1:38" ht="25.5" customHeight="1" x14ac:dyDescent="0.25">
      <c r="A5095" s="10" t="s">
        <v>3959</v>
      </c>
      <c r="B5095" s="11" t="s">
        <v>1652</v>
      </c>
      <c r="C5095" s="5">
        <v>71105.171700000006</v>
      </c>
      <c r="D5095" s="5">
        <v>71105.171700000006</v>
      </c>
      <c r="E5095" s="5">
        <v>64387.005100000002</v>
      </c>
      <c r="G5095" s="5" t="str">
        <f t="shared" si="159"/>
        <v>ЗАРЕЧНЫЙ</v>
      </c>
      <c r="J5095" s="5"/>
      <c r="AL5095" s="5">
        <f t="shared" si="160"/>
        <v>0</v>
      </c>
    </row>
    <row r="5096" spans="1:38" ht="25.5" customHeight="1" x14ac:dyDescent="0.25">
      <c r="A5096" s="10" t="s">
        <v>3960</v>
      </c>
      <c r="B5096" s="11" t="s">
        <v>1637</v>
      </c>
      <c r="C5096" s="5">
        <v>59368.686099999999</v>
      </c>
      <c r="D5096" s="5">
        <v>59368.686099999999</v>
      </c>
      <c r="E5096" s="5">
        <v>53759.401700000002</v>
      </c>
      <c r="G5096" s="5" t="str">
        <f t="shared" si="159"/>
        <v>Старая сортировка</v>
      </c>
      <c r="J5096" s="5"/>
      <c r="AL5096" s="5">
        <f t="shared" si="160"/>
        <v>0</v>
      </c>
    </row>
    <row r="5097" spans="1:38" ht="25.5" customHeight="1" x14ac:dyDescent="0.25">
      <c r="A5097" s="10" t="s">
        <v>3961</v>
      </c>
      <c r="B5097" s="11" t="s">
        <v>1630</v>
      </c>
      <c r="C5097" s="5">
        <v>62652.9401</v>
      </c>
      <c r="D5097" s="5">
        <v>62652.9401</v>
      </c>
      <c r="E5097" s="5">
        <v>56733.3557</v>
      </c>
      <c r="G5097" s="5" t="str">
        <f t="shared" si="159"/>
        <v>ЧЕРМЕТ</v>
      </c>
      <c r="J5097" s="5"/>
      <c r="AL5097" s="5">
        <f t="shared" si="160"/>
        <v>0</v>
      </c>
    </row>
    <row r="5098" spans="1:38" ht="25.5" customHeight="1" x14ac:dyDescent="0.25">
      <c r="A5098" s="10" t="s">
        <v>1280</v>
      </c>
      <c r="B5098" s="11" t="s">
        <v>1643</v>
      </c>
      <c r="C5098" s="5">
        <v>76630.280299999999</v>
      </c>
      <c r="D5098" s="5">
        <v>76630.280299999999</v>
      </c>
      <c r="E5098" s="5">
        <v>69390.088799999998</v>
      </c>
      <c r="G5098" s="5" t="str">
        <f t="shared" si="159"/>
        <v>Ю-З</v>
      </c>
      <c r="J5098" s="5"/>
      <c r="AL5098" s="5">
        <f t="shared" si="160"/>
        <v>0</v>
      </c>
    </row>
    <row r="5099" spans="1:38" ht="25.5" customHeight="1" x14ac:dyDescent="0.25">
      <c r="A5099" s="10" t="s">
        <v>3962</v>
      </c>
      <c r="B5099" s="11" t="s">
        <v>1660</v>
      </c>
      <c r="C5099" s="5">
        <v>53262.345800000003</v>
      </c>
      <c r="D5099" s="5">
        <v>53262.345800000003</v>
      </c>
      <c r="E5099" s="5">
        <v>48230.0095</v>
      </c>
      <c r="G5099" s="5" t="str">
        <f t="shared" si="159"/>
        <v>САДОВЫЙ</v>
      </c>
      <c r="J5099" s="5"/>
      <c r="AL5099" s="5">
        <f t="shared" si="160"/>
        <v>0</v>
      </c>
    </row>
    <row r="5100" spans="1:38" ht="25.5" customHeight="1" x14ac:dyDescent="0.25">
      <c r="A5100" s="10" t="s">
        <v>3963</v>
      </c>
      <c r="B5100" s="11" t="s">
        <v>209</v>
      </c>
      <c r="C5100" s="5">
        <v>69382.512499999997</v>
      </c>
      <c r="D5100" s="5">
        <v>69382.512499999997</v>
      </c>
      <c r="E5100" s="5">
        <v>62827.103199999998</v>
      </c>
      <c r="G5100" s="5" t="str">
        <f t="shared" si="159"/>
        <v>ЖБИ</v>
      </c>
      <c r="J5100" s="5"/>
      <c r="AL5100" s="5">
        <f t="shared" si="160"/>
        <v>0</v>
      </c>
    </row>
    <row r="5101" spans="1:38" ht="25.5" customHeight="1" x14ac:dyDescent="0.25">
      <c r="A5101" s="10" t="s">
        <v>1137</v>
      </c>
      <c r="B5101" s="11" t="s">
        <v>1632</v>
      </c>
      <c r="C5101" s="5">
        <v>83744.997499999998</v>
      </c>
      <c r="D5101" s="5">
        <v>83744.997499999998</v>
      </c>
      <c r="E5101" s="5">
        <v>75832.596099999995</v>
      </c>
      <c r="G5101" s="5" t="str">
        <f t="shared" si="159"/>
        <v>АВТОВОКЗАЛ</v>
      </c>
      <c r="J5101" s="5"/>
      <c r="AL5101" s="5">
        <f t="shared" si="160"/>
        <v>0</v>
      </c>
    </row>
    <row r="5102" spans="1:38" ht="25.5" customHeight="1" x14ac:dyDescent="0.25">
      <c r="A5102" s="10" t="s">
        <v>3964</v>
      </c>
      <c r="B5102" s="11" t="s">
        <v>779</v>
      </c>
      <c r="C5102" s="5">
        <v>46784.877899999999</v>
      </c>
      <c r="D5102" s="5">
        <v>46784.877899999999</v>
      </c>
      <c r="E5102" s="5">
        <v>42364.543299999998</v>
      </c>
      <c r="G5102" s="5" t="str">
        <f t="shared" si="159"/>
        <v>Нижнеисетский</v>
      </c>
      <c r="J5102" s="5"/>
      <c r="AL5102" s="5">
        <f t="shared" si="160"/>
        <v>0</v>
      </c>
    </row>
    <row r="5103" spans="1:38" ht="25.5" customHeight="1" x14ac:dyDescent="0.25">
      <c r="A5103" s="10" t="s">
        <v>3965</v>
      </c>
      <c r="B5103" s="11" t="s">
        <v>33</v>
      </c>
      <c r="C5103" s="5">
        <v>84298.205100000006</v>
      </c>
      <c r="D5103" s="5">
        <v>84298.205100000006</v>
      </c>
      <c r="E5103" s="5">
        <v>76333.533100000001</v>
      </c>
      <c r="G5103" s="5" t="str">
        <f t="shared" si="159"/>
        <v>ВИЗ</v>
      </c>
      <c r="J5103" s="5"/>
      <c r="AL5103" s="5">
        <f t="shared" si="160"/>
        <v>0</v>
      </c>
    </row>
    <row r="5104" spans="1:38" ht="25.5" customHeight="1" x14ac:dyDescent="0.25">
      <c r="A5104" s="10" t="s">
        <v>3966</v>
      </c>
      <c r="B5104" s="11" t="s">
        <v>1657</v>
      </c>
      <c r="C5104" s="5">
        <v>54886.9666</v>
      </c>
      <c r="D5104" s="5">
        <v>54886.9666</v>
      </c>
      <c r="E5104" s="5">
        <v>49701.1319</v>
      </c>
      <c r="G5104" s="5" t="str">
        <f t="shared" si="159"/>
        <v>КОЛЬЦОВО</v>
      </c>
      <c r="J5104" s="5"/>
      <c r="AL5104" s="5">
        <f t="shared" si="160"/>
        <v>0</v>
      </c>
    </row>
    <row r="5105" spans="1:38" ht="25.5" customHeight="1" x14ac:dyDescent="0.25">
      <c r="A5105" s="10" t="s">
        <v>3967</v>
      </c>
      <c r="B5105" s="11" t="s">
        <v>1628</v>
      </c>
      <c r="C5105" s="5">
        <v>70734.0236</v>
      </c>
      <c r="D5105" s="5">
        <v>70734.0236</v>
      </c>
      <c r="E5105" s="5">
        <v>64050.9208</v>
      </c>
      <c r="G5105" s="5" t="str">
        <f t="shared" si="159"/>
        <v>ЭЛЬМАШ</v>
      </c>
      <c r="J5105" s="5"/>
      <c r="AL5105" s="5">
        <f t="shared" si="160"/>
        <v>0</v>
      </c>
    </row>
    <row r="5106" spans="1:38" ht="25.5" customHeight="1" x14ac:dyDescent="0.25">
      <c r="A5106" s="10" t="s">
        <v>3968</v>
      </c>
      <c r="B5106" s="11" t="s">
        <v>1637</v>
      </c>
      <c r="C5106" s="5">
        <v>59368.686099999999</v>
      </c>
      <c r="D5106" s="5">
        <v>59368.686099999999</v>
      </c>
      <c r="E5106" s="5">
        <v>53759.401700000002</v>
      </c>
      <c r="G5106" s="5" t="str">
        <f t="shared" si="159"/>
        <v>Старая сортировка</v>
      </c>
      <c r="J5106" s="5"/>
      <c r="AL5106" s="5">
        <f t="shared" si="160"/>
        <v>0</v>
      </c>
    </row>
    <row r="5107" spans="1:38" ht="25.5" customHeight="1" x14ac:dyDescent="0.25">
      <c r="A5107" s="10" t="s">
        <v>3969</v>
      </c>
      <c r="B5107" s="11" t="s">
        <v>66</v>
      </c>
      <c r="C5107" s="5">
        <v>64795.756300000001</v>
      </c>
      <c r="D5107" s="5">
        <v>64795.756300000001</v>
      </c>
      <c r="E5107" s="5">
        <v>58673.716200000003</v>
      </c>
      <c r="G5107" s="5" t="str">
        <f t="shared" si="159"/>
        <v>УНЦ</v>
      </c>
      <c r="J5107" s="5"/>
      <c r="AL5107" s="5">
        <f t="shared" si="160"/>
        <v>0</v>
      </c>
    </row>
    <row r="5108" spans="1:38" ht="25.5" customHeight="1" x14ac:dyDescent="0.25">
      <c r="A5108" s="10" t="s">
        <v>3970</v>
      </c>
      <c r="B5108" s="11" t="s">
        <v>1631</v>
      </c>
      <c r="C5108" s="5">
        <v>70026.7601</v>
      </c>
      <c r="D5108" s="5">
        <v>70026.7601</v>
      </c>
      <c r="E5108" s="5">
        <v>63410.482000000004</v>
      </c>
      <c r="G5108" s="5" t="str">
        <f t="shared" si="159"/>
        <v>УРАЛМАШ</v>
      </c>
      <c r="J5108" s="5"/>
      <c r="AL5108" s="5">
        <f t="shared" si="160"/>
        <v>0</v>
      </c>
    </row>
    <row r="5109" spans="1:38" ht="25.5" customHeight="1" x14ac:dyDescent="0.25">
      <c r="A5109" s="10" t="s">
        <v>3971</v>
      </c>
      <c r="B5109" s="11" t="s">
        <v>1661</v>
      </c>
      <c r="C5109" s="5">
        <v>51175.5573</v>
      </c>
      <c r="D5109" s="5">
        <v>51175.5573</v>
      </c>
      <c r="E5109" s="5">
        <v>46340.381600000001</v>
      </c>
      <c r="G5109" s="5" t="str">
        <f t="shared" si="159"/>
        <v>СЕВЕРКА</v>
      </c>
      <c r="J5109" s="5"/>
      <c r="AL5109" s="5">
        <f t="shared" si="160"/>
        <v>0</v>
      </c>
    </row>
    <row r="5110" spans="1:38" ht="25.5" customHeight="1" x14ac:dyDescent="0.25">
      <c r="A5110" s="10" t="s">
        <v>3972</v>
      </c>
      <c r="B5110" s="11" t="s">
        <v>1653</v>
      </c>
      <c r="C5110" s="5">
        <v>56847.723400000003</v>
      </c>
      <c r="D5110" s="5">
        <v>56847.723400000003</v>
      </c>
      <c r="E5110" s="5">
        <v>51476.629399999998</v>
      </c>
      <c r="G5110" s="5" t="str">
        <f t="shared" si="159"/>
        <v>ПТИЦЕФАБРИКА</v>
      </c>
      <c r="J5110" s="5"/>
      <c r="AL5110" s="5">
        <f t="shared" si="160"/>
        <v>0</v>
      </c>
    </row>
    <row r="5111" spans="1:38" ht="25.5" customHeight="1" x14ac:dyDescent="0.25">
      <c r="A5111" s="10" t="s">
        <v>1468</v>
      </c>
      <c r="B5111" s="11" t="s">
        <v>1629</v>
      </c>
      <c r="C5111" s="5">
        <v>77743.704100000003</v>
      </c>
      <c r="D5111" s="5">
        <v>77743.704100000003</v>
      </c>
      <c r="E5111" s="5">
        <v>70398.310800000007</v>
      </c>
      <c r="G5111" s="5" t="str">
        <f t="shared" si="159"/>
        <v>ПИОНЕРСКИЙ</v>
      </c>
      <c r="J5111" s="5"/>
      <c r="AL5111" s="5">
        <f t="shared" si="160"/>
        <v>0</v>
      </c>
    </row>
    <row r="5112" spans="1:38" ht="25.5" customHeight="1" x14ac:dyDescent="0.25">
      <c r="A5112" s="10" t="s">
        <v>3973</v>
      </c>
      <c r="B5112" s="11" t="s">
        <v>1666</v>
      </c>
      <c r="C5112" s="5">
        <v>46784.877899999999</v>
      </c>
      <c r="D5112" s="5">
        <v>46784.877899999999</v>
      </c>
      <c r="E5112" s="5">
        <v>42364.543299999998</v>
      </c>
      <c r="G5112" s="5" t="str">
        <f t="shared" si="159"/>
        <v>Сулим.Торфянник</v>
      </c>
      <c r="J5112" s="5"/>
      <c r="AL5112" s="5">
        <f t="shared" si="160"/>
        <v>0</v>
      </c>
    </row>
    <row r="5113" spans="1:38" ht="25.5" customHeight="1" x14ac:dyDescent="0.25">
      <c r="A5113" s="10" t="s">
        <v>115</v>
      </c>
      <c r="B5113" s="11" t="s">
        <v>1638</v>
      </c>
      <c r="C5113" s="5">
        <v>63640.311600000001</v>
      </c>
      <c r="D5113" s="5">
        <v>63640.311600000001</v>
      </c>
      <c r="E5113" s="5">
        <v>57627.4473</v>
      </c>
      <c r="G5113" s="5" t="str">
        <f t="shared" si="159"/>
        <v>УКТУС</v>
      </c>
      <c r="J5113" s="5"/>
      <c r="AL5113" s="5">
        <f t="shared" si="160"/>
        <v>0</v>
      </c>
    </row>
    <row r="5114" spans="1:38" ht="25.5" customHeight="1" x14ac:dyDescent="0.25">
      <c r="A5114" s="10" t="s">
        <v>795</v>
      </c>
      <c r="B5114" s="11" t="s">
        <v>1629</v>
      </c>
      <c r="C5114" s="5">
        <v>77743.704100000003</v>
      </c>
      <c r="D5114" s="5">
        <v>77743.704100000003</v>
      </c>
      <c r="E5114" s="5">
        <v>70398.310800000007</v>
      </c>
      <c r="G5114" s="5" t="str">
        <f t="shared" si="159"/>
        <v>ПИОНЕРСКИЙ</v>
      </c>
      <c r="J5114" s="5"/>
      <c r="AL5114" s="5">
        <f t="shared" si="160"/>
        <v>0</v>
      </c>
    </row>
    <row r="5115" spans="1:38" ht="25.5" customHeight="1" x14ac:dyDescent="0.25">
      <c r="A5115" s="10" t="s">
        <v>1091</v>
      </c>
      <c r="B5115" s="11" t="s">
        <v>1653</v>
      </c>
      <c r="C5115" s="5">
        <v>56847.723400000003</v>
      </c>
      <c r="D5115" s="5">
        <v>56847.723400000003</v>
      </c>
      <c r="E5115" s="5">
        <v>51476.629399999998</v>
      </c>
      <c r="G5115" s="5" t="str">
        <f t="shared" si="159"/>
        <v>ПТИЦЕФАБРИКА</v>
      </c>
      <c r="J5115" s="5"/>
      <c r="AL5115" s="5">
        <f t="shared" si="160"/>
        <v>0</v>
      </c>
    </row>
    <row r="5116" spans="1:38" ht="25.5" customHeight="1" x14ac:dyDescent="0.25">
      <c r="A5116" s="10" t="s">
        <v>3974</v>
      </c>
      <c r="B5116" s="11" t="s">
        <v>1643</v>
      </c>
      <c r="C5116" s="5">
        <v>76630.280299999999</v>
      </c>
      <c r="D5116" s="5">
        <v>76630.280299999999</v>
      </c>
      <c r="E5116" s="5">
        <v>69390.088799999998</v>
      </c>
      <c r="G5116" s="5" t="str">
        <f t="shared" si="159"/>
        <v>Ю-З</v>
      </c>
      <c r="J5116" s="5"/>
      <c r="AL5116" s="5">
        <f t="shared" si="160"/>
        <v>0</v>
      </c>
    </row>
    <row r="5117" spans="1:38" ht="25.5" customHeight="1" x14ac:dyDescent="0.25">
      <c r="A5117" s="10" t="s">
        <v>105</v>
      </c>
      <c r="B5117" s="11" t="s">
        <v>1628</v>
      </c>
      <c r="C5117" s="5">
        <v>70734.0236</v>
      </c>
      <c r="D5117" s="5">
        <v>70734.0236</v>
      </c>
      <c r="E5117" s="5">
        <v>64050.9208</v>
      </c>
      <c r="G5117" s="5" t="str">
        <f t="shared" si="159"/>
        <v>ЭЛЬМАШ</v>
      </c>
      <c r="J5117" s="5"/>
      <c r="AL5117" s="5">
        <f t="shared" si="160"/>
        <v>0</v>
      </c>
    </row>
    <row r="5118" spans="1:38" ht="25.5" customHeight="1" x14ac:dyDescent="0.25">
      <c r="A5118" s="10" t="s">
        <v>3975</v>
      </c>
      <c r="B5118" s="11" t="s">
        <v>1637</v>
      </c>
      <c r="C5118" s="5">
        <v>59368.686099999999</v>
      </c>
      <c r="D5118" s="5">
        <v>59368.686099999999</v>
      </c>
      <c r="E5118" s="5">
        <v>53759.401700000002</v>
      </c>
      <c r="G5118" s="5" t="str">
        <f t="shared" si="159"/>
        <v>Старая сортировка</v>
      </c>
      <c r="J5118" s="5"/>
      <c r="AL5118" s="5">
        <f t="shared" si="160"/>
        <v>0</v>
      </c>
    </row>
    <row r="5119" spans="1:38" ht="25.5" customHeight="1" x14ac:dyDescent="0.25">
      <c r="A5119" s="10" t="s">
        <v>3976</v>
      </c>
      <c r="B5119" s="11" t="s">
        <v>1630</v>
      </c>
      <c r="C5119" s="5">
        <v>62652.9401</v>
      </c>
      <c r="D5119" s="5">
        <v>62652.9401</v>
      </c>
      <c r="E5119" s="5">
        <v>56733.3557</v>
      </c>
      <c r="G5119" s="5" t="str">
        <f t="shared" ref="G5119:G5182" si="161">B5119</f>
        <v>ЧЕРМЕТ</v>
      </c>
      <c r="J5119" s="5"/>
      <c r="AL5119" s="5">
        <f t="shared" ref="AL5119:AL5182" si="162">AF5119</f>
        <v>0</v>
      </c>
    </row>
    <row r="5120" spans="1:38" ht="25.5" customHeight="1" x14ac:dyDescent="0.25">
      <c r="A5120" s="10" t="s">
        <v>1132</v>
      </c>
      <c r="B5120" s="11" t="s">
        <v>1638</v>
      </c>
      <c r="C5120" s="5">
        <v>63640.311600000001</v>
      </c>
      <c r="D5120" s="5">
        <v>63640.311600000001</v>
      </c>
      <c r="E5120" s="5">
        <v>57627.4473</v>
      </c>
      <c r="G5120" s="5" t="str">
        <f t="shared" si="161"/>
        <v>УКТУС</v>
      </c>
      <c r="J5120" s="5"/>
      <c r="AL5120" s="5">
        <f t="shared" si="162"/>
        <v>0</v>
      </c>
    </row>
    <row r="5121" spans="1:38" ht="25.5" customHeight="1" x14ac:dyDescent="0.25">
      <c r="A5121" s="10" t="s">
        <v>3977</v>
      </c>
      <c r="B5121" s="11" t="s">
        <v>1629</v>
      </c>
      <c r="C5121" s="5">
        <v>77743.704100000003</v>
      </c>
      <c r="D5121" s="5">
        <v>77743.704100000003</v>
      </c>
      <c r="E5121" s="5">
        <v>70398.310800000007</v>
      </c>
      <c r="G5121" s="5" t="str">
        <f t="shared" si="161"/>
        <v>ПИОНЕРСКИЙ</v>
      </c>
      <c r="J5121" s="5"/>
      <c r="AL5121" s="5">
        <f t="shared" si="162"/>
        <v>0</v>
      </c>
    </row>
    <row r="5122" spans="1:38" ht="25.5" customHeight="1" x14ac:dyDescent="0.25">
      <c r="A5122" s="10" t="s">
        <v>3978</v>
      </c>
      <c r="B5122" s="11" t="s">
        <v>14</v>
      </c>
      <c r="C5122" s="5">
        <v>93989.912800000006</v>
      </c>
      <c r="D5122" s="5">
        <v>93989.912800000006</v>
      </c>
      <c r="E5122" s="5">
        <v>85109.545199999993</v>
      </c>
      <c r="G5122" s="5" t="str">
        <f t="shared" si="161"/>
        <v>Центр</v>
      </c>
      <c r="J5122" s="5"/>
      <c r="AL5122" s="5">
        <f t="shared" si="162"/>
        <v>0</v>
      </c>
    </row>
    <row r="5123" spans="1:38" ht="25.5" customHeight="1" x14ac:dyDescent="0.25">
      <c r="A5123" s="10" t="s">
        <v>3979</v>
      </c>
      <c r="B5123" s="11" t="s">
        <v>1632</v>
      </c>
      <c r="C5123" s="5">
        <v>83744.997499999998</v>
      </c>
      <c r="D5123" s="5">
        <v>83744.997499999998</v>
      </c>
      <c r="E5123" s="5">
        <v>75832.596099999995</v>
      </c>
      <c r="G5123" s="5" t="str">
        <f t="shared" si="161"/>
        <v>АВТОВОКЗАЛ</v>
      </c>
      <c r="J5123" s="5"/>
      <c r="AL5123" s="5">
        <f t="shared" si="162"/>
        <v>0</v>
      </c>
    </row>
    <row r="5124" spans="1:38" ht="25.5" customHeight="1" x14ac:dyDescent="0.25">
      <c r="A5124" s="10" t="s">
        <v>3980</v>
      </c>
      <c r="B5124" s="11" t="s">
        <v>1647</v>
      </c>
      <c r="C5124" s="5">
        <v>63178.133800000003</v>
      </c>
      <c r="D5124" s="5">
        <v>63178.133800000003</v>
      </c>
      <c r="E5124" s="5">
        <v>57208.931499999999</v>
      </c>
      <c r="G5124" s="5" t="str">
        <f t="shared" si="161"/>
        <v>ШИРОКАЯ РЕЧКА</v>
      </c>
      <c r="J5124" s="5"/>
      <c r="AL5124" s="5">
        <f t="shared" si="162"/>
        <v>0</v>
      </c>
    </row>
    <row r="5125" spans="1:38" ht="25.5" customHeight="1" x14ac:dyDescent="0.25">
      <c r="A5125" s="10" t="s">
        <v>3981</v>
      </c>
      <c r="B5125" s="11" t="s">
        <v>1631</v>
      </c>
      <c r="C5125" s="5">
        <v>70026.7601</v>
      </c>
      <c r="D5125" s="5">
        <v>70026.7601</v>
      </c>
      <c r="E5125" s="5">
        <v>63410.482000000004</v>
      </c>
      <c r="G5125" s="5" t="str">
        <f t="shared" si="161"/>
        <v>УРАЛМАШ</v>
      </c>
      <c r="J5125" s="5"/>
      <c r="AL5125" s="5">
        <f t="shared" si="162"/>
        <v>0</v>
      </c>
    </row>
    <row r="5126" spans="1:38" ht="25.5" customHeight="1" x14ac:dyDescent="0.25">
      <c r="A5126" s="10" t="s">
        <v>3982</v>
      </c>
      <c r="B5126" s="11" t="s">
        <v>1636</v>
      </c>
      <c r="C5126" s="5">
        <v>52246.960299999999</v>
      </c>
      <c r="D5126" s="5">
        <v>52246.960299999999</v>
      </c>
      <c r="E5126" s="5">
        <v>47310.556700000001</v>
      </c>
      <c r="G5126" s="5" t="str">
        <f t="shared" si="161"/>
        <v>ГОРНЫЙ ЩИТ</v>
      </c>
      <c r="J5126" s="5"/>
      <c r="AL5126" s="5">
        <f t="shared" si="162"/>
        <v>0</v>
      </c>
    </row>
    <row r="5127" spans="1:38" ht="25.5" customHeight="1" x14ac:dyDescent="0.25">
      <c r="A5127" s="10" t="s">
        <v>1244</v>
      </c>
      <c r="B5127" s="11" t="s">
        <v>14</v>
      </c>
      <c r="C5127" s="5">
        <v>93989.912800000006</v>
      </c>
      <c r="D5127" s="5">
        <v>93989.912800000006</v>
      </c>
      <c r="E5127" s="5">
        <v>85109.545199999993</v>
      </c>
      <c r="G5127" s="5" t="str">
        <f t="shared" si="161"/>
        <v>Центр</v>
      </c>
      <c r="J5127" s="5"/>
      <c r="AL5127" s="5">
        <f t="shared" si="162"/>
        <v>0</v>
      </c>
    </row>
    <row r="5128" spans="1:38" ht="25.5" customHeight="1" x14ac:dyDescent="0.25">
      <c r="A5128" s="10" t="s">
        <v>3983</v>
      </c>
      <c r="B5128" s="11" t="s">
        <v>1631</v>
      </c>
      <c r="C5128" s="5">
        <v>70026.7601</v>
      </c>
      <c r="D5128" s="5">
        <v>70026.7601</v>
      </c>
      <c r="E5128" s="5">
        <v>63410.482000000004</v>
      </c>
      <c r="G5128" s="5" t="str">
        <f t="shared" si="161"/>
        <v>УРАЛМАШ</v>
      </c>
      <c r="J5128" s="5"/>
      <c r="AL5128" s="5">
        <f t="shared" si="162"/>
        <v>0</v>
      </c>
    </row>
    <row r="5129" spans="1:38" ht="25.5" customHeight="1" x14ac:dyDescent="0.25">
      <c r="A5129" s="10" t="s">
        <v>3984</v>
      </c>
      <c r="B5129" s="11" t="s">
        <v>1629</v>
      </c>
      <c r="C5129" s="5">
        <v>77743.704100000003</v>
      </c>
      <c r="D5129" s="5">
        <v>77743.704100000003</v>
      </c>
      <c r="E5129" s="5">
        <v>70398.310800000007</v>
      </c>
      <c r="G5129" s="5" t="str">
        <f t="shared" si="161"/>
        <v>ПИОНЕРСКИЙ</v>
      </c>
      <c r="J5129" s="5"/>
      <c r="AL5129" s="5">
        <f t="shared" si="162"/>
        <v>0</v>
      </c>
    </row>
    <row r="5130" spans="1:38" ht="25.5" customHeight="1" x14ac:dyDescent="0.25">
      <c r="A5130" s="10" t="s">
        <v>1555</v>
      </c>
      <c r="B5130" s="11" t="s">
        <v>14</v>
      </c>
      <c r="C5130" s="5">
        <v>93989.912800000006</v>
      </c>
      <c r="D5130" s="5">
        <v>93989.912800000006</v>
      </c>
      <c r="E5130" s="5">
        <v>85109.545199999993</v>
      </c>
      <c r="G5130" s="5" t="str">
        <f t="shared" si="161"/>
        <v>Центр</v>
      </c>
      <c r="J5130" s="5"/>
      <c r="AL5130" s="5">
        <f t="shared" si="162"/>
        <v>0</v>
      </c>
    </row>
    <row r="5131" spans="1:38" ht="25.5" customHeight="1" x14ac:dyDescent="0.25">
      <c r="A5131" s="10" t="s">
        <v>3985</v>
      </c>
      <c r="B5131" s="11" t="s">
        <v>1632</v>
      </c>
      <c r="C5131" s="5">
        <v>83744.997499999998</v>
      </c>
      <c r="D5131" s="5">
        <v>83744.997499999998</v>
      </c>
      <c r="E5131" s="5">
        <v>75832.596099999995</v>
      </c>
      <c r="G5131" s="5" t="str">
        <f t="shared" si="161"/>
        <v>АВТОВОКЗАЛ</v>
      </c>
      <c r="J5131" s="5"/>
      <c r="AL5131" s="5">
        <f t="shared" si="162"/>
        <v>0</v>
      </c>
    </row>
    <row r="5132" spans="1:38" ht="25.5" customHeight="1" x14ac:dyDescent="0.25">
      <c r="A5132" s="10" t="s">
        <v>3986</v>
      </c>
      <c r="B5132" s="11" t="s">
        <v>1651</v>
      </c>
      <c r="C5132" s="5">
        <v>68129.029500000004</v>
      </c>
      <c r="D5132" s="5">
        <v>68129.029500000004</v>
      </c>
      <c r="E5132" s="5">
        <v>61692.054799999998</v>
      </c>
      <c r="G5132" s="5" t="str">
        <f t="shared" si="161"/>
        <v>ШАРТАШ</v>
      </c>
      <c r="J5132" s="5"/>
      <c r="AL5132" s="5">
        <f t="shared" si="162"/>
        <v>0</v>
      </c>
    </row>
    <row r="5133" spans="1:38" ht="25.5" customHeight="1" x14ac:dyDescent="0.25">
      <c r="A5133" s="10" t="s">
        <v>100</v>
      </c>
      <c r="B5133" s="11" t="s">
        <v>1628</v>
      </c>
      <c r="C5133" s="5">
        <v>70734.0236</v>
      </c>
      <c r="D5133" s="5">
        <v>70734.0236</v>
      </c>
      <c r="E5133" s="5">
        <v>64050.9208</v>
      </c>
      <c r="G5133" s="5" t="str">
        <f t="shared" si="161"/>
        <v>ЭЛЬМАШ</v>
      </c>
      <c r="J5133" s="5"/>
      <c r="AL5133" s="5">
        <f t="shared" si="162"/>
        <v>0</v>
      </c>
    </row>
    <row r="5134" spans="1:38" ht="25.5" customHeight="1" x14ac:dyDescent="0.25">
      <c r="A5134" s="10" t="s">
        <v>3987</v>
      </c>
      <c r="B5134" s="11" t="s">
        <v>1647</v>
      </c>
      <c r="C5134" s="5">
        <v>63178.133800000003</v>
      </c>
      <c r="D5134" s="5">
        <v>63178.133800000003</v>
      </c>
      <c r="E5134" s="5">
        <v>57208.931499999999</v>
      </c>
      <c r="G5134" s="5" t="str">
        <f t="shared" si="161"/>
        <v>ШИРОКАЯ РЕЧКА</v>
      </c>
      <c r="J5134" s="5"/>
      <c r="AL5134" s="5">
        <f t="shared" si="162"/>
        <v>0</v>
      </c>
    </row>
    <row r="5135" spans="1:38" ht="25.5" customHeight="1" x14ac:dyDescent="0.25">
      <c r="A5135" s="10" t="s">
        <v>1065</v>
      </c>
      <c r="B5135" s="11" t="s">
        <v>1631</v>
      </c>
      <c r="C5135" s="5">
        <v>70026.7601</v>
      </c>
      <c r="D5135" s="5">
        <v>70026.7601</v>
      </c>
      <c r="E5135" s="5">
        <v>63410.482000000004</v>
      </c>
      <c r="G5135" s="5" t="str">
        <f t="shared" si="161"/>
        <v>УРАЛМАШ</v>
      </c>
      <c r="J5135" s="5"/>
      <c r="AL5135" s="5">
        <f t="shared" si="162"/>
        <v>0</v>
      </c>
    </row>
    <row r="5136" spans="1:38" ht="25.5" customHeight="1" x14ac:dyDescent="0.25">
      <c r="A5136" s="10" t="s">
        <v>3988</v>
      </c>
      <c r="B5136" s="11" t="s">
        <v>14</v>
      </c>
      <c r="C5136" s="5">
        <v>93989.912800000006</v>
      </c>
      <c r="D5136" s="5">
        <v>93989.912800000006</v>
      </c>
      <c r="E5136" s="5">
        <v>85109.545199999993</v>
      </c>
      <c r="G5136" s="5" t="str">
        <f t="shared" si="161"/>
        <v>Центр</v>
      </c>
      <c r="J5136" s="5"/>
      <c r="AL5136" s="5">
        <f t="shared" si="162"/>
        <v>0</v>
      </c>
    </row>
    <row r="5137" spans="1:38" ht="25.5" customHeight="1" x14ac:dyDescent="0.25">
      <c r="A5137" s="10" t="s">
        <v>1607</v>
      </c>
      <c r="B5137" s="11" t="s">
        <v>33</v>
      </c>
      <c r="C5137" s="5">
        <v>84298.205100000006</v>
      </c>
      <c r="D5137" s="5">
        <v>84298.205100000006</v>
      </c>
      <c r="E5137" s="5">
        <v>76333.533100000001</v>
      </c>
      <c r="G5137" s="5" t="str">
        <f t="shared" si="161"/>
        <v>ВИЗ</v>
      </c>
      <c r="J5137" s="5"/>
      <c r="AL5137" s="5">
        <f t="shared" si="162"/>
        <v>0</v>
      </c>
    </row>
    <row r="5138" spans="1:38" ht="25.5" customHeight="1" x14ac:dyDescent="0.25">
      <c r="A5138" s="10" t="s">
        <v>3989</v>
      </c>
      <c r="B5138" s="11" t="s">
        <v>1652</v>
      </c>
      <c r="C5138" s="5">
        <v>71105.171700000006</v>
      </c>
      <c r="D5138" s="5">
        <v>71105.171700000006</v>
      </c>
      <c r="E5138" s="5">
        <v>64387.005100000002</v>
      </c>
      <c r="G5138" s="5" t="str">
        <f t="shared" si="161"/>
        <v>ЗАРЕЧНЫЙ</v>
      </c>
      <c r="J5138" s="5"/>
      <c r="AL5138" s="5">
        <f t="shared" si="162"/>
        <v>0</v>
      </c>
    </row>
    <row r="5139" spans="1:38" ht="25.5" customHeight="1" x14ac:dyDescent="0.25">
      <c r="A5139" s="10" t="s">
        <v>3990</v>
      </c>
      <c r="B5139" s="11" t="s">
        <v>1643</v>
      </c>
      <c r="C5139" s="5">
        <v>76630.280299999999</v>
      </c>
      <c r="D5139" s="5">
        <v>76630.280299999999</v>
      </c>
      <c r="E5139" s="5">
        <v>69390.088799999998</v>
      </c>
      <c r="G5139" s="5" t="str">
        <f t="shared" si="161"/>
        <v>Ю-З</v>
      </c>
      <c r="J5139" s="5"/>
      <c r="AL5139" s="5">
        <f t="shared" si="162"/>
        <v>0</v>
      </c>
    </row>
    <row r="5140" spans="1:38" ht="25.5" customHeight="1" x14ac:dyDescent="0.25">
      <c r="A5140" s="10" t="s">
        <v>3991</v>
      </c>
      <c r="B5140" s="11" t="s">
        <v>1644</v>
      </c>
      <c r="C5140" s="5">
        <v>61980.678599999999</v>
      </c>
      <c r="D5140" s="5">
        <v>61980.678599999999</v>
      </c>
      <c r="E5140" s="5">
        <v>56124.615700000002</v>
      </c>
      <c r="G5140" s="5" t="str">
        <f t="shared" si="161"/>
        <v>ХИММАШ</v>
      </c>
      <c r="J5140" s="5"/>
      <c r="AL5140" s="5">
        <f t="shared" si="162"/>
        <v>0</v>
      </c>
    </row>
    <row r="5141" spans="1:38" ht="25.5" customHeight="1" x14ac:dyDescent="0.25">
      <c r="A5141" s="10" t="s">
        <v>596</v>
      </c>
      <c r="B5141" s="11" t="s">
        <v>1633</v>
      </c>
      <c r="C5141" s="5">
        <v>77071.442599999995</v>
      </c>
      <c r="D5141" s="5">
        <v>77071.442599999995</v>
      </c>
      <c r="E5141" s="5">
        <v>69789.570900000006</v>
      </c>
      <c r="G5141" s="5" t="str">
        <f t="shared" si="161"/>
        <v>ВТУЗГОРОДОК</v>
      </c>
      <c r="J5141" s="5"/>
      <c r="AL5141" s="5">
        <f t="shared" si="162"/>
        <v>0</v>
      </c>
    </row>
    <row r="5142" spans="1:38" ht="25.5" customHeight="1" x14ac:dyDescent="0.25">
      <c r="A5142" s="10" t="s">
        <v>3992</v>
      </c>
      <c r="B5142" s="11" t="s">
        <v>1631</v>
      </c>
      <c r="C5142" s="5">
        <v>70026.7601</v>
      </c>
      <c r="D5142" s="5">
        <v>70026.7601</v>
      </c>
      <c r="E5142" s="5">
        <v>63410.482000000004</v>
      </c>
      <c r="G5142" s="5" t="str">
        <f t="shared" si="161"/>
        <v>УРАЛМАШ</v>
      </c>
      <c r="J5142" s="5"/>
      <c r="AL5142" s="5">
        <f t="shared" si="162"/>
        <v>0</v>
      </c>
    </row>
    <row r="5143" spans="1:38" ht="25.5" customHeight="1" x14ac:dyDescent="0.25">
      <c r="A5143" s="10" t="s">
        <v>337</v>
      </c>
      <c r="B5143" s="11" t="s">
        <v>1638</v>
      </c>
      <c r="C5143" s="5">
        <v>63640.311600000001</v>
      </c>
      <c r="D5143" s="5">
        <v>63640.311600000001</v>
      </c>
      <c r="E5143" s="5">
        <v>57627.4473</v>
      </c>
      <c r="G5143" s="5" t="str">
        <f t="shared" si="161"/>
        <v>УКТУС</v>
      </c>
      <c r="J5143" s="5"/>
      <c r="AL5143" s="5">
        <f t="shared" si="162"/>
        <v>0</v>
      </c>
    </row>
    <row r="5144" spans="1:38" ht="25.5" customHeight="1" x14ac:dyDescent="0.25">
      <c r="A5144" s="10" t="s">
        <v>3993</v>
      </c>
      <c r="B5144" s="11" t="s">
        <v>1636</v>
      </c>
      <c r="C5144" s="5">
        <v>52246.960299999999</v>
      </c>
      <c r="D5144" s="5">
        <v>52246.960299999999</v>
      </c>
      <c r="E5144" s="5">
        <v>47310.556700000001</v>
      </c>
      <c r="G5144" s="5" t="str">
        <f t="shared" si="161"/>
        <v>ГОРНЫЙ ЩИТ</v>
      </c>
      <c r="J5144" s="5"/>
      <c r="AL5144" s="5">
        <f t="shared" si="162"/>
        <v>0</v>
      </c>
    </row>
    <row r="5145" spans="1:38" ht="25.5" customHeight="1" x14ac:dyDescent="0.25">
      <c r="A5145" s="10" t="s">
        <v>1155</v>
      </c>
      <c r="B5145" s="11" t="s">
        <v>1632</v>
      </c>
      <c r="C5145" s="5">
        <v>83744.997499999998</v>
      </c>
      <c r="D5145" s="5">
        <v>83744.997499999998</v>
      </c>
      <c r="E5145" s="5">
        <v>75832.596099999995</v>
      </c>
      <c r="G5145" s="5" t="str">
        <f t="shared" si="161"/>
        <v>АВТОВОКЗАЛ</v>
      </c>
      <c r="J5145" s="5"/>
      <c r="AL5145" s="5">
        <f t="shared" si="162"/>
        <v>0</v>
      </c>
    </row>
    <row r="5146" spans="1:38" ht="25.5" customHeight="1" x14ac:dyDescent="0.25">
      <c r="A5146" s="10" t="s">
        <v>3994</v>
      </c>
      <c r="B5146" s="11" t="s">
        <v>1641</v>
      </c>
      <c r="C5146" s="5">
        <v>63556.280200000001</v>
      </c>
      <c r="D5146" s="5">
        <v>63556.280200000001</v>
      </c>
      <c r="E5146" s="5">
        <v>57551.353499999997</v>
      </c>
      <c r="G5146" s="5" t="str">
        <f t="shared" si="161"/>
        <v>СИБИРСКИЙ</v>
      </c>
      <c r="J5146" s="5"/>
      <c r="AL5146" s="5">
        <f t="shared" si="162"/>
        <v>0</v>
      </c>
    </row>
    <row r="5147" spans="1:38" ht="25.5" customHeight="1" x14ac:dyDescent="0.25">
      <c r="A5147" s="10" t="s">
        <v>1541</v>
      </c>
      <c r="B5147" s="11" t="s">
        <v>1641</v>
      </c>
      <c r="C5147" s="5">
        <v>63556.280200000001</v>
      </c>
      <c r="D5147" s="5">
        <v>63556.280200000001</v>
      </c>
      <c r="E5147" s="5">
        <v>57551.353499999997</v>
      </c>
      <c r="G5147" s="5" t="str">
        <f t="shared" si="161"/>
        <v>СИБИРСКИЙ</v>
      </c>
      <c r="J5147" s="5"/>
      <c r="AL5147" s="5">
        <f t="shared" si="162"/>
        <v>0</v>
      </c>
    </row>
    <row r="5148" spans="1:38" ht="25.5" customHeight="1" x14ac:dyDescent="0.25">
      <c r="A5148" s="10" t="s">
        <v>3995</v>
      </c>
      <c r="B5148" s="11" t="s">
        <v>1638</v>
      </c>
      <c r="C5148" s="5">
        <v>63640.311600000001</v>
      </c>
      <c r="D5148" s="5">
        <v>63640.311600000001</v>
      </c>
      <c r="E5148" s="5">
        <v>57627.4473</v>
      </c>
      <c r="G5148" s="5" t="str">
        <f t="shared" si="161"/>
        <v>УКТУС</v>
      </c>
      <c r="J5148" s="5"/>
      <c r="AL5148" s="5">
        <f t="shared" si="162"/>
        <v>0</v>
      </c>
    </row>
    <row r="5149" spans="1:38" ht="25.5" customHeight="1" x14ac:dyDescent="0.25">
      <c r="A5149" s="10" t="s">
        <v>3996</v>
      </c>
      <c r="B5149" s="11" t="s">
        <v>1659</v>
      </c>
      <c r="C5149" s="5">
        <v>59746.832600000002</v>
      </c>
      <c r="D5149" s="5">
        <v>59746.832600000002</v>
      </c>
      <c r="E5149" s="5">
        <v>54101.823700000001</v>
      </c>
      <c r="G5149" s="5" t="str">
        <f t="shared" si="161"/>
        <v>СОВХОЗ</v>
      </c>
      <c r="J5149" s="5"/>
      <c r="AL5149" s="5">
        <f t="shared" si="162"/>
        <v>0</v>
      </c>
    </row>
    <row r="5150" spans="1:38" ht="25.5" customHeight="1" x14ac:dyDescent="0.25">
      <c r="A5150" s="10" t="s">
        <v>3997</v>
      </c>
      <c r="B5150" s="11" t="s">
        <v>118</v>
      </c>
      <c r="C5150" s="5">
        <v>53500.443299999999</v>
      </c>
      <c r="D5150" s="5">
        <v>53500.443299999999</v>
      </c>
      <c r="E5150" s="5">
        <v>48445.605100000001</v>
      </c>
      <c r="G5150" s="5" t="str">
        <f t="shared" si="161"/>
        <v>Исток</v>
      </c>
      <c r="J5150" s="5"/>
      <c r="AL5150" s="5">
        <f t="shared" si="162"/>
        <v>0</v>
      </c>
    </row>
    <row r="5151" spans="1:38" ht="25.5" customHeight="1" x14ac:dyDescent="0.25">
      <c r="A5151" s="10" t="s">
        <v>1310</v>
      </c>
      <c r="B5151" s="11" t="s">
        <v>1628</v>
      </c>
      <c r="C5151" s="5">
        <v>70734.0236</v>
      </c>
      <c r="D5151" s="5">
        <v>70734.0236</v>
      </c>
      <c r="E5151" s="5">
        <v>64050.9208</v>
      </c>
      <c r="G5151" s="5" t="str">
        <f t="shared" si="161"/>
        <v>ЭЛЬМАШ</v>
      </c>
      <c r="J5151" s="5"/>
      <c r="AL5151" s="5">
        <f t="shared" si="162"/>
        <v>0</v>
      </c>
    </row>
    <row r="5152" spans="1:38" ht="25.5" customHeight="1" x14ac:dyDescent="0.25">
      <c r="A5152" s="10" t="s">
        <v>1198</v>
      </c>
      <c r="B5152" s="11" t="s">
        <v>14</v>
      </c>
      <c r="C5152" s="5">
        <v>93989.912800000006</v>
      </c>
      <c r="D5152" s="5">
        <v>93989.912800000006</v>
      </c>
      <c r="E5152" s="5">
        <v>85109.545199999993</v>
      </c>
      <c r="G5152" s="5" t="str">
        <f t="shared" si="161"/>
        <v>Центр</v>
      </c>
      <c r="J5152" s="5"/>
      <c r="AL5152" s="5">
        <f t="shared" si="162"/>
        <v>0</v>
      </c>
    </row>
    <row r="5153" spans="1:38" ht="25.5" customHeight="1" x14ac:dyDescent="0.25">
      <c r="A5153" s="10" t="s">
        <v>917</v>
      </c>
      <c r="B5153" s="11" t="s">
        <v>1643</v>
      </c>
      <c r="C5153" s="5">
        <v>76630.280299999999</v>
      </c>
      <c r="D5153" s="5">
        <v>76630.280299999999</v>
      </c>
      <c r="E5153" s="5">
        <v>69390.088799999998</v>
      </c>
      <c r="G5153" s="5" t="str">
        <f t="shared" si="161"/>
        <v>Ю-З</v>
      </c>
      <c r="J5153" s="5"/>
      <c r="AL5153" s="5">
        <f t="shared" si="162"/>
        <v>0</v>
      </c>
    </row>
    <row r="5154" spans="1:38" ht="25.5" customHeight="1" x14ac:dyDescent="0.25">
      <c r="A5154" s="10" t="s">
        <v>3998</v>
      </c>
      <c r="B5154" s="11" t="s">
        <v>1637</v>
      </c>
      <c r="C5154" s="5">
        <v>59368.686099999999</v>
      </c>
      <c r="D5154" s="5">
        <v>59368.686099999999</v>
      </c>
      <c r="E5154" s="5">
        <v>53759.401700000002</v>
      </c>
      <c r="G5154" s="5" t="str">
        <f t="shared" si="161"/>
        <v>Старая сортировка</v>
      </c>
      <c r="J5154" s="5"/>
      <c r="AL5154" s="5">
        <f t="shared" si="162"/>
        <v>0</v>
      </c>
    </row>
    <row r="5155" spans="1:38" ht="25.5" customHeight="1" x14ac:dyDescent="0.25">
      <c r="A5155" s="10" t="s">
        <v>966</v>
      </c>
      <c r="B5155" s="11" t="s">
        <v>1644</v>
      </c>
      <c r="C5155" s="5">
        <v>61980.678599999999</v>
      </c>
      <c r="D5155" s="5">
        <v>61980.678599999999</v>
      </c>
      <c r="E5155" s="5">
        <v>56124.615700000002</v>
      </c>
      <c r="G5155" s="5" t="str">
        <f t="shared" si="161"/>
        <v>ХИММАШ</v>
      </c>
      <c r="J5155" s="5"/>
      <c r="AL5155" s="5">
        <f t="shared" si="162"/>
        <v>0</v>
      </c>
    </row>
    <row r="5156" spans="1:38" ht="25.5" customHeight="1" x14ac:dyDescent="0.25">
      <c r="A5156" s="10" t="s">
        <v>3999</v>
      </c>
      <c r="B5156" s="11" t="s">
        <v>14</v>
      </c>
      <c r="C5156" s="5">
        <v>93989.912800000006</v>
      </c>
      <c r="D5156" s="5">
        <v>93989.912800000006</v>
      </c>
      <c r="E5156" s="5">
        <v>85109.545199999993</v>
      </c>
      <c r="G5156" s="5" t="str">
        <f t="shared" si="161"/>
        <v>Центр</v>
      </c>
      <c r="J5156" s="5"/>
      <c r="AL5156" s="5">
        <f t="shared" si="162"/>
        <v>0</v>
      </c>
    </row>
    <row r="5157" spans="1:38" ht="25.5" customHeight="1" x14ac:dyDescent="0.25">
      <c r="A5157" s="10" t="s">
        <v>4000</v>
      </c>
      <c r="B5157" s="11" t="s">
        <v>209</v>
      </c>
      <c r="C5157" s="5">
        <v>69382.512499999997</v>
      </c>
      <c r="D5157" s="5">
        <v>69382.512499999997</v>
      </c>
      <c r="E5157" s="5">
        <v>62827.103199999998</v>
      </c>
      <c r="G5157" s="5" t="str">
        <f t="shared" si="161"/>
        <v>ЖБИ</v>
      </c>
      <c r="J5157" s="5"/>
      <c r="AL5157" s="5">
        <f t="shared" si="162"/>
        <v>0</v>
      </c>
    </row>
    <row r="5158" spans="1:38" ht="25.5" customHeight="1" x14ac:dyDescent="0.25">
      <c r="A5158" s="10" t="s">
        <v>4001</v>
      </c>
      <c r="B5158" s="11" t="s">
        <v>1651</v>
      </c>
      <c r="C5158" s="5">
        <v>68129.029500000004</v>
      </c>
      <c r="D5158" s="5">
        <v>68129.029500000004</v>
      </c>
      <c r="E5158" s="5">
        <v>61692.054799999998</v>
      </c>
      <c r="G5158" s="5" t="str">
        <f t="shared" si="161"/>
        <v>ШАРТАШ</v>
      </c>
      <c r="J5158" s="5"/>
      <c r="AL5158" s="5">
        <f t="shared" si="162"/>
        <v>0</v>
      </c>
    </row>
    <row r="5159" spans="1:38" ht="25.5" customHeight="1" x14ac:dyDescent="0.25">
      <c r="A5159" s="10" t="s">
        <v>4002</v>
      </c>
      <c r="B5159" s="11" t="s">
        <v>1639</v>
      </c>
      <c r="C5159" s="5">
        <v>53500.443299999999</v>
      </c>
      <c r="D5159" s="5">
        <v>53500.443299999999</v>
      </c>
      <c r="E5159" s="5">
        <v>48445.605100000001</v>
      </c>
      <c r="G5159" s="5" t="str">
        <f t="shared" si="161"/>
        <v>ИСТОК</v>
      </c>
      <c r="J5159" s="5"/>
      <c r="AL5159" s="5">
        <f t="shared" si="162"/>
        <v>0</v>
      </c>
    </row>
    <row r="5160" spans="1:38" ht="25.5" customHeight="1" x14ac:dyDescent="0.25">
      <c r="A5160" s="10" t="s">
        <v>4003</v>
      </c>
      <c r="B5160" s="11" t="s">
        <v>1647</v>
      </c>
      <c r="C5160" s="5">
        <v>63178.133800000003</v>
      </c>
      <c r="D5160" s="5">
        <v>63178.133800000003</v>
      </c>
      <c r="E5160" s="5">
        <v>57208.931499999999</v>
      </c>
      <c r="G5160" s="5" t="str">
        <f t="shared" si="161"/>
        <v>ШИРОКАЯ РЕЧКА</v>
      </c>
      <c r="J5160" s="5"/>
      <c r="AL5160" s="5">
        <f t="shared" si="162"/>
        <v>0</v>
      </c>
    </row>
    <row r="5161" spans="1:38" ht="25.5" customHeight="1" x14ac:dyDescent="0.25">
      <c r="A5161" s="10" t="s">
        <v>4004</v>
      </c>
      <c r="B5161" s="11" t="s">
        <v>33</v>
      </c>
      <c r="C5161" s="5">
        <v>84298.205100000006</v>
      </c>
      <c r="D5161" s="5">
        <v>84298.205100000006</v>
      </c>
      <c r="E5161" s="5">
        <v>76333.533100000001</v>
      </c>
      <c r="G5161" s="5" t="str">
        <f t="shared" si="161"/>
        <v>ВИЗ</v>
      </c>
      <c r="J5161" s="5"/>
      <c r="AL5161" s="5">
        <f t="shared" si="162"/>
        <v>0</v>
      </c>
    </row>
    <row r="5162" spans="1:38" ht="25.5" customHeight="1" x14ac:dyDescent="0.25">
      <c r="A5162" s="10" t="s">
        <v>4005</v>
      </c>
      <c r="B5162" s="11" t="s">
        <v>1660</v>
      </c>
      <c r="C5162" s="5">
        <v>53262.345800000003</v>
      </c>
      <c r="D5162" s="5">
        <v>53262.345800000003</v>
      </c>
      <c r="E5162" s="5">
        <v>48230.0095</v>
      </c>
      <c r="G5162" s="5" t="str">
        <f t="shared" si="161"/>
        <v>САДОВЫЙ</v>
      </c>
      <c r="J5162" s="5"/>
      <c r="AL5162" s="5">
        <f t="shared" si="162"/>
        <v>0</v>
      </c>
    </row>
    <row r="5163" spans="1:38" ht="25.5" customHeight="1" x14ac:dyDescent="0.25">
      <c r="A5163" s="10" t="s">
        <v>4006</v>
      </c>
      <c r="B5163" s="11" t="s">
        <v>1667</v>
      </c>
      <c r="C5163" s="5">
        <v>56546.599699999999</v>
      </c>
      <c r="D5163" s="5">
        <v>56546.599699999999</v>
      </c>
      <c r="E5163" s="5">
        <v>51203.963499999998</v>
      </c>
      <c r="G5163" s="5" t="str">
        <f t="shared" si="161"/>
        <v>КАЛИНОВСКИЙ</v>
      </c>
      <c r="J5163" s="5"/>
      <c r="AL5163" s="5">
        <f t="shared" si="162"/>
        <v>0</v>
      </c>
    </row>
    <row r="5164" spans="1:38" ht="25.5" customHeight="1" x14ac:dyDescent="0.25">
      <c r="A5164" s="10" t="s">
        <v>4007</v>
      </c>
      <c r="B5164" s="11" t="s">
        <v>1660</v>
      </c>
      <c r="C5164" s="5">
        <v>53262.345800000003</v>
      </c>
      <c r="D5164" s="5">
        <v>53262.345800000003</v>
      </c>
      <c r="E5164" s="5">
        <v>48230.0095</v>
      </c>
      <c r="G5164" s="5" t="str">
        <f t="shared" si="161"/>
        <v>САДОВЫЙ</v>
      </c>
      <c r="J5164" s="5"/>
      <c r="AL5164" s="5">
        <f t="shared" si="162"/>
        <v>0</v>
      </c>
    </row>
    <row r="5165" spans="1:38" ht="25.5" customHeight="1" x14ac:dyDescent="0.25">
      <c r="A5165" s="10" t="s">
        <v>4008</v>
      </c>
      <c r="B5165" s="11" t="s">
        <v>1656</v>
      </c>
      <c r="C5165" s="5">
        <v>60173.9879</v>
      </c>
      <c r="D5165" s="5">
        <v>60173.9879</v>
      </c>
      <c r="E5165" s="5">
        <v>54488.630299999997</v>
      </c>
      <c r="G5165" s="5" t="str">
        <f t="shared" si="161"/>
        <v>МАЛЫЙ ИСТОК</v>
      </c>
      <c r="J5165" s="5"/>
      <c r="AL5165" s="5">
        <f t="shared" si="162"/>
        <v>0</v>
      </c>
    </row>
    <row r="5166" spans="1:38" ht="25.5" customHeight="1" x14ac:dyDescent="0.25">
      <c r="A5166" s="10" t="s">
        <v>1485</v>
      </c>
      <c r="B5166" s="11" t="s">
        <v>1651</v>
      </c>
      <c r="C5166" s="5">
        <v>68129.029500000004</v>
      </c>
      <c r="D5166" s="5">
        <v>68129.029500000004</v>
      </c>
      <c r="E5166" s="5">
        <v>61692.054799999998</v>
      </c>
      <c r="G5166" s="5" t="str">
        <f t="shared" si="161"/>
        <v>ШАРТАШ</v>
      </c>
      <c r="J5166" s="5"/>
      <c r="AL5166" s="5">
        <f t="shared" si="162"/>
        <v>0</v>
      </c>
    </row>
    <row r="5167" spans="1:38" ht="25.5" customHeight="1" x14ac:dyDescent="0.25">
      <c r="A5167" s="10" t="s">
        <v>942</v>
      </c>
      <c r="B5167" s="11" t="s">
        <v>1637</v>
      </c>
      <c r="C5167" s="5">
        <v>59368.686099999999</v>
      </c>
      <c r="D5167" s="5">
        <v>59368.686099999999</v>
      </c>
      <c r="E5167" s="5">
        <v>53759.401700000002</v>
      </c>
      <c r="G5167" s="5" t="str">
        <f t="shared" si="161"/>
        <v>Старая сортировка</v>
      </c>
      <c r="J5167" s="5"/>
      <c r="AL5167" s="5">
        <f t="shared" si="162"/>
        <v>0</v>
      </c>
    </row>
    <row r="5168" spans="1:38" ht="25.5" customHeight="1" x14ac:dyDescent="0.25">
      <c r="A5168" s="10" t="s">
        <v>4009</v>
      </c>
      <c r="B5168" s="11" t="s">
        <v>1647</v>
      </c>
      <c r="C5168" s="5">
        <v>63178.133800000003</v>
      </c>
      <c r="D5168" s="5">
        <v>63178.133800000003</v>
      </c>
      <c r="E5168" s="5">
        <v>57208.931499999999</v>
      </c>
      <c r="G5168" s="5" t="str">
        <f t="shared" si="161"/>
        <v>ШИРОКАЯ РЕЧКА</v>
      </c>
      <c r="J5168" s="5"/>
      <c r="AL5168" s="5">
        <f t="shared" si="162"/>
        <v>0</v>
      </c>
    </row>
    <row r="5169" spans="1:38" ht="25.5" customHeight="1" x14ac:dyDescent="0.25">
      <c r="A5169" s="10" t="s">
        <v>4010</v>
      </c>
      <c r="B5169" s="11" t="s">
        <v>1644</v>
      </c>
      <c r="C5169" s="5">
        <v>61980.678599999999</v>
      </c>
      <c r="D5169" s="5">
        <v>61980.678599999999</v>
      </c>
      <c r="E5169" s="5">
        <v>56124.615700000002</v>
      </c>
      <c r="G5169" s="5" t="str">
        <f t="shared" si="161"/>
        <v>ХИММАШ</v>
      </c>
      <c r="J5169" s="5"/>
      <c r="AL5169" s="5">
        <f t="shared" si="162"/>
        <v>0</v>
      </c>
    </row>
    <row r="5170" spans="1:38" ht="25.5" customHeight="1" x14ac:dyDescent="0.25">
      <c r="A5170" s="10" t="s">
        <v>4011</v>
      </c>
      <c r="B5170" s="11" t="s">
        <v>33</v>
      </c>
      <c r="C5170" s="5">
        <v>84298.205100000006</v>
      </c>
      <c r="D5170" s="5">
        <v>84298.205100000006</v>
      </c>
      <c r="E5170" s="5">
        <v>76333.533100000001</v>
      </c>
      <c r="G5170" s="5" t="str">
        <f t="shared" si="161"/>
        <v>ВИЗ</v>
      </c>
      <c r="J5170" s="5"/>
      <c r="AL5170" s="5">
        <f t="shared" si="162"/>
        <v>0</v>
      </c>
    </row>
    <row r="5171" spans="1:38" ht="25.5" customHeight="1" x14ac:dyDescent="0.25">
      <c r="A5171" s="10" t="s">
        <v>763</v>
      </c>
      <c r="B5171" s="11" t="s">
        <v>1654</v>
      </c>
      <c r="C5171" s="5">
        <v>56140.449699999997</v>
      </c>
      <c r="D5171" s="5">
        <v>56140.449699999997</v>
      </c>
      <c r="E5171" s="5">
        <v>50836.1803</v>
      </c>
      <c r="G5171" s="5" t="str">
        <f t="shared" si="161"/>
        <v>ЗАВОКЗАЛЬНЫЙ</v>
      </c>
      <c r="J5171" s="5"/>
      <c r="AL5171" s="5">
        <f t="shared" si="162"/>
        <v>0</v>
      </c>
    </row>
    <row r="5172" spans="1:38" ht="25.5" customHeight="1" x14ac:dyDescent="0.25">
      <c r="A5172" s="10" t="s">
        <v>4012</v>
      </c>
      <c r="B5172" s="11" t="s">
        <v>1653</v>
      </c>
      <c r="C5172" s="5">
        <v>56847.723400000003</v>
      </c>
      <c r="D5172" s="5">
        <v>56847.723400000003</v>
      </c>
      <c r="E5172" s="5">
        <v>51476.629399999998</v>
      </c>
      <c r="G5172" s="5" t="str">
        <f t="shared" si="161"/>
        <v>ПТИЦЕФАБРИКА</v>
      </c>
      <c r="J5172" s="5"/>
      <c r="AL5172" s="5">
        <f t="shared" si="162"/>
        <v>0</v>
      </c>
    </row>
    <row r="5173" spans="1:38" ht="25.5" customHeight="1" x14ac:dyDescent="0.25">
      <c r="A5173" s="10" t="s">
        <v>1434</v>
      </c>
      <c r="B5173" s="11" t="s">
        <v>33</v>
      </c>
      <c r="C5173" s="5">
        <v>84298.205100000006</v>
      </c>
      <c r="D5173" s="5">
        <v>84298.205100000006</v>
      </c>
      <c r="E5173" s="5">
        <v>76333.533100000001</v>
      </c>
      <c r="G5173" s="5" t="str">
        <f t="shared" si="161"/>
        <v>ВИЗ</v>
      </c>
      <c r="J5173" s="5"/>
      <c r="AL5173" s="5">
        <f t="shared" si="162"/>
        <v>0</v>
      </c>
    </row>
    <row r="5174" spans="1:38" ht="25.5" customHeight="1" x14ac:dyDescent="0.25">
      <c r="A5174" s="10" t="s">
        <v>4013</v>
      </c>
      <c r="B5174" s="11" t="s">
        <v>779</v>
      </c>
      <c r="C5174" s="5">
        <v>46784.877899999999</v>
      </c>
      <c r="D5174" s="5">
        <v>46784.877899999999</v>
      </c>
      <c r="E5174" s="5">
        <v>42364.543299999998</v>
      </c>
      <c r="G5174" s="5" t="str">
        <f t="shared" si="161"/>
        <v>Нижнеисетский</v>
      </c>
      <c r="J5174" s="5"/>
      <c r="AL5174" s="5">
        <f t="shared" si="162"/>
        <v>0</v>
      </c>
    </row>
    <row r="5175" spans="1:38" ht="25.5" customHeight="1" x14ac:dyDescent="0.25">
      <c r="A5175" s="10" t="s">
        <v>473</v>
      </c>
      <c r="B5175" s="11" t="s">
        <v>1644</v>
      </c>
      <c r="C5175" s="5">
        <v>61980.678599999999</v>
      </c>
      <c r="D5175" s="5">
        <v>61980.678599999999</v>
      </c>
      <c r="E5175" s="5">
        <v>56124.615700000002</v>
      </c>
      <c r="G5175" s="5" t="str">
        <f t="shared" si="161"/>
        <v>ХИММАШ</v>
      </c>
      <c r="J5175" s="5"/>
      <c r="AL5175" s="5">
        <f t="shared" si="162"/>
        <v>0</v>
      </c>
    </row>
    <row r="5176" spans="1:38" ht="25.5" customHeight="1" x14ac:dyDescent="0.25">
      <c r="A5176" s="10" t="s">
        <v>4014</v>
      </c>
      <c r="B5176" s="11" t="s">
        <v>1628</v>
      </c>
      <c r="C5176" s="5">
        <v>70734.0236</v>
      </c>
      <c r="D5176" s="5">
        <v>70734.0236</v>
      </c>
      <c r="E5176" s="5">
        <v>64050.9208</v>
      </c>
      <c r="G5176" s="5" t="str">
        <f t="shared" si="161"/>
        <v>ЭЛЬМАШ</v>
      </c>
      <c r="J5176" s="5"/>
      <c r="AL5176" s="5">
        <f t="shared" si="162"/>
        <v>0</v>
      </c>
    </row>
    <row r="5177" spans="1:38" ht="25.5" customHeight="1" x14ac:dyDescent="0.25">
      <c r="A5177" s="10" t="s">
        <v>4015</v>
      </c>
      <c r="B5177" s="11" t="s">
        <v>1643</v>
      </c>
      <c r="C5177" s="5">
        <v>76630.280299999999</v>
      </c>
      <c r="D5177" s="5">
        <v>76630.280299999999</v>
      </c>
      <c r="E5177" s="5">
        <v>69390.088799999998</v>
      </c>
      <c r="G5177" s="5" t="str">
        <f t="shared" si="161"/>
        <v>Ю-З</v>
      </c>
      <c r="J5177" s="5"/>
      <c r="AL5177" s="5">
        <f t="shared" si="162"/>
        <v>0</v>
      </c>
    </row>
    <row r="5178" spans="1:38" ht="25.5" customHeight="1" x14ac:dyDescent="0.25">
      <c r="A5178" s="10" t="s">
        <v>4016</v>
      </c>
      <c r="B5178" s="11" t="s">
        <v>1657</v>
      </c>
      <c r="C5178" s="5">
        <v>54886.9666</v>
      </c>
      <c r="D5178" s="5">
        <v>54886.9666</v>
      </c>
      <c r="E5178" s="5">
        <v>49701.1319</v>
      </c>
      <c r="G5178" s="5" t="str">
        <f t="shared" si="161"/>
        <v>КОЛЬЦОВО</v>
      </c>
      <c r="J5178" s="5"/>
      <c r="AL5178" s="5">
        <f t="shared" si="162"/>
        <v>0</v>
      </c>
    </row>
    <row r="5179" spans="1:38" ht="25.5" customHeight="1" x14ac:dyDescent="0.25">
      <c r="A5179" s="10" t="s">
        <v>1586</v>
      </c>
      <c r="B5179" s="11" t="s">
        <v>779</v>
      </c>
      <c r="C5179" s="5">
        <v>46784.877899999999</v>
      </c>
      <c r="D5179" s="5">
        <v>46784.877899999999</v>
      </c>
      <c r="E5179" s="5">
        <v>42364.543299999998</v>
      </c>
      <c r="G5179" s="5" t="str">
        <f t="shared" si="161"/>
        <v>Нижнеисетский</v>
      </c>
      <c r="J5179" s="5"/>
      <c r="AL5179" s="5">
        <f t="shared" si="162"/>
        <v>0</v>
      </c>
    </row>
    <row r="5180" spans="1:38" ht="25.5" customHeight="1" x14ac:dyDescent="0.25">
      <c r="A5180" s="10" t="s">
        <v>257</v>
      </c>
      <c r="B5180" s="11" t="s">
        <v>1628</v>
      </c>
      <c r="C5180" s="5">
        <v>70734.0236</v>
      </c>
      <c r="D5180" s="5">
        <v>70734.0236</v>
      </c>
      <c r="E5180" s="5">
        <v>64050.9208</v>
      </c>
      <c r="G5180" s="5" t="str">
        <f t="shared" si="161"/>
        <v>ЭЛЬМАШ</v>
      </c>
      <c r="J5180" s="5"/>
      <c r="AL5180" s="5">
        <f t="shared" si="162"/>
        <v>0</v>
      </c>
    </row>
    <row r="5181" spans="1:38" ht="25.5" customHeight="1" x14ac:dyDescent="0.25">
      <c r="A5181" s="10" t="s">
        <v>4017</v>
      </c>
      <c r="B5181" s="11" t="s">
        <v>1638</v>
      </c>
      <c r="C5181" s="5">
        <v>63640.311600000001</v>
      </c>
      <c r="D5181" s="5">
        <v>63640.311600000001</v>
      </c>
      <c r="E5181" s="5">
        <v>57627.4473</v>
      </c>
      <c r="G5181" s="5" t="str">
        <f t="shared" si="161"/>
        <v>УКТУС</v>
      </c>
      <c r="J5181" s="5"/>
      <c r="AL5181" s="5">
        <f t="shared" si="162"/>
        <v>0</v>
      </c>
    </row>
    <row r="5182" spans="1:38" ht="25.5" customHeight="1" x14ac:dyDescent="0.25">
      <c r="A5182" s="10" t="s">
        <v>4018</v>
      </c>
      <c r="B5182" s="11" t="s">
        <v>1651</v>
      </c>
      <c r="C5182" s="5">
        <v>68129.029500000004</v>
      </c>
      <c r="D5182" s="5">
        <v>68129.029500000004</v>
      </c>
      <c r="E5182" s="5">
        <v>61692.054799999998</v>
      </c>
      <c r="G5182" s="5" t="str">
        <f t="shared" si="161"/>
        <v>ШАРТАШ</v>
      </c>
      <c r="J5182" s="5"/>
      <c r="AL5182" s="5">
        <f t="shared" si="162"/>
        <v>0</v>
      </c>
    </row>
    <row r="5183" spans="1:38" ht="25.5" customHeight="1" x14ac:dyDescent="0.25">
      <c r="A5183" s="10" t="s">
        <v>898</v>
      </c>
      <c r="B5183" s="11" t="s">
        <v>1630</v>
      </c>
      <c r="C5183" s="5">
        <v>62652.9401</v>
      </c>
      <c r="D5183" s="5">
        <v>62652.9401</v>
      </c>
      <c r="E5183" s="5">
        <v>56733.3557</v>
      </c>
      <c r="G5183" s="5" t="str">
        <f t="shared" ref="G5183:G5246" si="163">B5183</f>
        <v>ЧЕРМЕТ</v>
      </c>
      <c r="J5183" s="5"/>
      <c r="AL5183" s="5">
        <f t="shared" ref="AL5183:AL5246" si="164">AF5183</f>
        <v>0</v>
      </c>
    </row>
    <row r="5184" spans="1:38" ht="25.5" customHeight="1" x14ac:dyDescent="0.25">
      <c r="A5184" s="10" t="s">
        <v>4019</v>
      </c>
      <c r="B5184" s="11" t="s">
        <v>33</v>
      </c>
      <c r="C5184" s="5">
        <v>84298.205100000006</v>
      </c>
      <c r="D5184" s="5">
        <v>84298.205100000006</v>
      </c>
      <c r="E5184" s="5">
        <v>76333.533100000001</v>
      </c>
      <c r="G5184" s="5" t="str">
        <f t="shared" si="163"/>
        <v>ВИЗ</v>
      </c>
      <c r="J5184" s="5"/>
      <c r="AL5184" s="5">
        <f t="shared" si="164"/>
        <v>0</v>
      </c>
    </row>
    <row r="5185" spans="1:38" ht="25.5" customHeight="1" x14ac:dyDescent="0.25">
      <c r="A5185" s="10" t="s">
        <v>4020</v>
      </c>
      <c r="B5185" s="11" t="s">
        <v>66</v>
      </c>
      <c r="C5185" s="5">
        <v>64795.756300000001</v>
      </c>
      <c r="D5185" s="5">
        <v>64795.756300000001</v>
      </c>
      <c r="E5185" s="5">
        <v>58673.716200000003</v>
      </c>
      <c r="G5185" s="5" t="str">
        <f t="shared" si="163"/>
        <v>УНЦ</v>
      </c>
      <c r="J5185" s="5"/>
      <c r="AL5185" s="5">
        <f t="shared" si="164"/>
        <v>0</v>
      </c>
    </row>
    <row r="5186" spans="1:38" ht="25.5" customHeight="1" x14ac:dyDescent="0.25">
      <c r="A5186" s="10" t="s">
        <v>1289</v>
      </c>
      <c r="B5186" s="11" t="s">
        <v>1631</v>
      </c>
      <c r="C5186" s="5">
        <v>70026.7601</v>
      </c>
      <c r="D5186" s="5">
        <v>70026.7601</v>
      </c>
      <c r="E5186" s="5">
        <v>63410.482000000004</v>
      </c>
      <c r="G5186" s="5" t="str">
        <f t="shared" si="163"/>
        <v>УРАЛМАШ</v>
      </c>
      <c r="J5186" s="5"/>
      <c r="AL5186" s="5">
        <f t="shared" si="164"/>
        <v>0</v>
      </c>
    </row>
    <row r="5187" spans="1:38" ht="25.5" customHeight="1" x14ac:dyDescent="0.25">
      <c r="A5187" s="10" t="s">
        <v>4021</v>
      </c>
      <c r="B5187" s="11" t="s">
        <v>1635</v>
      </c>
      <c r="C5187" s="5">
        <v>57793.0844</v>
      </c>
      <c r="D5187" s="5">
        <v>57793.0844</v>
      </c>
      <c r="E5187" s="5">
        <v>52332.6639</v>
      </c>
      <c r="G5187" s="5" t="str">
        <f t="shared" si="163"/>
        <v>ЛЕЧЕБНЫЙ</v>
      </c>
      <c r="J5187" s="5"/>
      <c r="AL5187" s="5">
        <f t="shared" si="164"/>
        <v>0</v>
      </c>
    </row>
    <row r="5188" spans="1:38" ht="25.5" customHeight="1" x14ac:dyDescent="0.25">
      <c r="A5188" s="10" t="s">
        <v>4022</v>
      </c>
      <c r="B5188" s="11" t="s">
        <v>1668</v>
      </c>
      <c r="C5188" s="5">
        <v>51343.6201</v>
      </c>
      <c r="D5188" s="5">
        <v>51343.6201</v>
      </c>
      <c r="E5188" s="5">
        <v>46492.558799999999</v>
      </c>
      <c r="G5188" s="5" t="str">
        <f t="shared" si="163"/>
        <v>МЕДНЫЙ</v>
      </c>
      <c r="J5188" s="5"/>
      <c r="AL5188" s="5">
        <f t="shared" si="164"/>
        <v>0</v>
      </c>
    </row>
    <row r="5189" spans="1:38" ht="25.5" customHeight="1" x14ac:dyDescent="0.25">
      <c r="A5189" s="10" t="s">
        <v>909</v>
      </c>
      <c r="B5189" s="11" t="s">
        <v>1632</v>
      </c>
      <c r="C5189" s="5">
        <v>83744.997499999998</v>
      </c>
      <c r="D5189" s="5">
        <v>83744.997499999998</v>
      </c>
      <c r="E5189" s="5">
        <v>75832.596099999995</v>
      </c>
      <c r="G5189" s="5" t="str">
        <f t="shared" si="163"/>
        <v>АВТОВОКЗАЛ</v>
      </c>
      <c r="J5189" s="5"/>
      <c r="AL5189" s="5">
        <f t="shared" si="164"/>
        <v>0</v>
      </c>
    </row>
    <row r="5190" spans="1:38" ht="25.5" customHeight="1" x14ac:dyDescent="0.25">
      <c r="A5190" s="10" t="s">
        <v>4023</v>
      </c>
      <c r="B5190" s="11" t="s">
        <v>1631</v>
      </c>
      <c r="C5190" s="5">
        <v>70026.7601</v>
      </c>
      <c r="D5190" s="5">
        <v>70026.7601</v>
      </c>
      <c r="E5190" s="5">
        <v>63410.482000000004</v>
      </c>
      <c r="G5190" s="5" t="str">
        <f t="shared" si="163"/>
        <v>УРАЛМАШ</v>
      </c>
      <c r="J5190" s="5"/>
      <c r="AL5190" s="5">
        <f t="shared" si="164"/>
        <v>0</v>
      </c>
    </row>
    <row r="5191" spans="1:38" ht="25.5" customHeight="1" x14ac:dyDescent="0.25">
      <c r="A5191" s="10" t="s">
        <v>222</v>
      </c>
      <c r="B5191" s="11" t="s">
        <v>1650</v>
      </c>
      <c r="C5191" s="5">
        <v>37590.3603</v>
      </c>
      <c r="D5191" s="5">
        <v>37590.3603</v>
      </c>
      <c r="E5191" s="5">
        <v>34038.745900000002</v>
      </c>
      <c r="G5191" s="5" t="str">
        <f t="shared" si="163"/>
        <v>ШАБРОВСКИЙ</v>
      </c>
      <c r="J5191" s="5"/>
      <c r="AL5191" s="5">
        <f t="shared" si="164"/>
        <v>0</v>
      </c>
    </row>
    <row r="5192" spans="1:38" ht="25.5" customHeight="1" x14ac:dyDescent="0.25">
      <c r="A5192" s="10" t="s">
        <v>4024</v>
      </c>
      <c r="B5192" s="11" t="s">
        <v>1666</v>
      </c>
      <c r="C5192" s="5">
        <v>46784.877899999999</v>
      </c>
      <c r="D5192" s="5">
        <v>46784.877899999999</v>
      </c>
      <c r="E5192" s="5">
        <v>42364.543299999998</v>
      </c>
      <c r="G5192" s="5" t="str">
        <f t="shared" si="163"/>
        <v>Сулим.Торфянник</v>
      </c>
      <c r="J5192" s="5"/>
      <c r="AL5192" s="5">
        <f t="shared" si="164"/>
        <v>0</v>
      </c>
    </row>
    <row r="5193" spans="1:38" ht="25.5" customHeight="1" x14ac:dyDescent="0.25">
      <c r="A5193" s="10" t="s">
        <v>4025</v>
      </c>
      <c r="B5193" s="11" t="s">
        <v>14</v>
      </c>
      <c r="C5193" s="5">
        <v>93989.912800000006</v>
      </c>
      <c r="D5193" s="5">
        <v>93989.912800000006</v>
      </c>
      <c r="E5193" s="5">
        <v>85109.545199999993</v>
      </c>
      <c r="G5193" s="5" t="str">
        <f t="shared" si="163"/>
        <v>Центр</v>
      </c>
      <c r="J5193" s="5"/>
      <c r="AL5193" s="5">
        <f t="shared" si="164"/>
        <v>0</v>
      </c>
    </row>
    <row r="5194" spans="1:38" ht="25.5" customHeight="1" x14ac:dyDescent="0.25">
      <c r="A5194" s="10" t="s">
        <v>4026</v>
      </c>
      <c r="B5194" s="11" t="s">
        <v>33</v>
      </c>
      <c r="C5194" s="5">
        <v>84298.205100000006</v>
      </c>
      <c r="D5194" s="5">
        <v>84298.205100000006</v>
      </c>
      <c r="E5194" s="5">
        <v>76333.533100000001</v>
      </c>
      <c r="G5194" s="5" t="str">
        <f t="shared" si="163"/>
        <v>ВИЗ</v>
      </c>
      <c r="J5194" s="5"/>
      <c r="AL5194" s="5">
        <f t="shared" si="164"/>
        <v>0</v>
      </c>
    </row>
    <row r="5195" spans="1:38" ht="25.5" customHeight="1" x14ac:dyDescent="0.25">
      <c r="A5195" s="10" t="s">
        <v>4027</v>
      </c>
      <c r="B5195" s="11" t="s">
        <v>1630</v>
      </c>
      <c r="C5195" s="5">
        <v>62652.9401</v>
      </c>
      <c r="D5195" s="5">
        <v>62652.9401</v>
      </c>
      <c r="E5195" s="5">
        <v>56733.3557</v>
      </c>
      <c r="G5195" s="5" t="str">
        <f t="shared" si="163"/>
        <v>ЧЕРМЕТ</v>
      </c>
      <c r="J5195" s="5"/>
      <c r="AL5195" s="5">
        <f t="shared" si="164"/>
        <v>0</v>
      </c>
    </row>
    <row r="5196" spans="1:38" ht="25.5" customHeight="1" x14ac:dyDescent="0.25">
      <c r="A5196" s="10" t="s">
        <v>4028</v>
      </c>
      <c r="B5196" s="11" t="s">
        <v>66</v>
      </c>
      <c r="C5196" s="5">
        <v>64795.756300000001</v>
      </c>
      <c r="D5196" s="5">
        <v>64795.756300000001</v>
      </c>
      <c r="E5196" s="5">
        <v>58673.716200000003</v>
      </c>
      <c r="G5196" s="5" t="str">
        <f t="shared" si="163"/>
        <v>УНЦ</v>
      </c>
      <c r="J5196" s="5"/>
      <c r="AL5196" s="5">
        <f t="shared" si="164"/>
        <v>0</v>
      </c>
    </row>
    <row r="5197" spans="1:38" ht="25.5" customHeight="1" x14ac:dyDescent="0.25">
      <c r="A5197" s="10" t="s">
        <v>95</v>
      </c>
      <c r="B5197" s="11" t="s">
        <v>1636</v>
      </c>
      <c r="C5197" s="5">
        <v>52246.960299999999</v>
      </c>
      <c r="D5197" s="5">
        <v>52246.960299999999</v>
      </c>
      <c r="E5197" s="5">
        <v>47310.556700000001</v>
      </c>
      <c r="G5197" s="5" t="str">
        <f t="shared" si="163"/>
        <v>ГОРНЫЙ ЩИТ</v>
      </c>
      <c r="J5197" s="5"/>
      <c r="AL5197" s="5">
        <f t="shared" si="164"/>
        <v>0</v>
      </c>
    </row>
    <row r="5198" spans="1:38" ht="25.5" customHeight="1" x14ac:dyDescent="0.25">
      <c r="A5198" s="10" t="s">
        <v>1223</v>
      </c>
      <c r="B5198" s="11" t="s">
        <v>1628</v>
      </c>
      <c r="C5198" s="5">
        <v>70734.0236</v>
      </c>
      <c r="D5198" s="5">
        <v>70734.0236</v>
      </c>
      <c r="E5198" s="5">
        <v>64050.9208</v>
      </c>
      <c r="G5198" s="5" t="str">
        <f t="shared" si="163"/>
        <v>ЭЛЬМАШ</v>
      </c>
      <c r="J5198" s="5"/>
      <c r="AL5198" s="5">
        <f t="shared" si="164"/>
        <v>0</v>
      </c>
    </row>
    <row r="5199" spans="1:38" ht="25.5" customHeight="1" x14ac:dyDescent="0.25">
      <c r="A5199" s="10" t="s">
        <v>811</v>
      </c>
      <c r="B5199" s="11" t="s">
        <v>1628</v>
      </c>
      <c r="C5199" s="5">
        <v>70734.0236</v>
      </c>
      <c r="D5199" s="5">
        <v>70734.0236</v>
      </c>
      <c r="E5199" s="5">
        <v>64050.9208</v>
      </c>
      <c r="G5199" s="5" t="str">
        <f t="shared" si="163"/>
        <v>ЭЛЬМАШ</v>
      </c>
      <c r="J5199" s="5"/>
      <c r="AL5199" s="5">
        <f t="shared" si="164"/>
        <v>0</v>
      </c>
    </row>
    <row r="5200" spans="1:38" ht="25.5" customHeight="1" x14ac:dyDescent="0.25">
      <c r="A5200" s="10" t="s">
        <v>4029</v>
      </c>
      <c r="B5200" s="11" t="s">
        <v>1651</v>
      </c>
      <c r="C5200" s="5">
        <v>68129.029500000004</v>
      </c>
      <c r="D5200" s="5">
        <v>68129.029500000004</v>
      </c>
      <c r="E5200" s="5">
        <v>61692.054799999998</v>
      </c>
      <c r="G5200" s="5" t="str">
        <f t="shared" si="163"/>
        <v>ШАРТАШ</v>
      </c>
      <c r="J5200" s="5"/>
      <c r="AL5200" s="5">
        <f t="shared" si="164"/>
        <v>0</v>
      </c>
    </row>
    <row r="5201" spans="1:38" ht="25.5" customHeight="1" x14ac:dyDescent="0.25">
      <c r="A5201" s="10" t="s">
        <v>4030</v>
      </c>
      <c r="B5201" s="11" t="s">
        <v>1635</v>
      </c>
      <c r="C5201" s="5">
        <v>57793.0844</v>
      </c>
      <c r="D5201" s="5">
        <v>57793.0844</v>
      </c>
      <c r="E5201" s="5">
        <v>52332.6639</v>
      </c>
      <c r="G5201" s="5" t="str">
        <f t="shared" si="163"/>
        <v>ЛЕЧЕБНЫЙ</v>
      </c>
      <c r="J5201" s="5"/>
      <c r="AL5201" s="5">
        <f t="shared" si="164"/>
        <v>0</v>
      </c>
    </row>
    <row r="5202" spans="1:38" ht="25.5" customHeight="1" x14ac:dyDescent="0.25">
      <c r="A5202" s="10" t="s">
        <v>1405</v>
      </c>
      <c r="B5202" s="11" t="s">
        <v>1628</v>
      </c>
      <c r="C5202" s="5">
        <v>70734.0236</v>
      </c>
      <c r="D5202" s="5">
        <v>70734.0236</v>
      </c>
      <c r="E5202" s="5">
        <v>64050.9208</v>
      </c>
      <c r="G5202" s="5" t="str">
        <f t="shared" si="163"/>
        <v>ЭЛЬМАШ</v>
      </c>
      <c r="J5202" s="5"/>
      <c r="AL5202" s="5">
        <f t="shared" si="164"/>
        <v>0</v>
      </c>
    </row>
    <row r="5203" spans="1:38" ht="25.5" customHeight="1" x14ac:dyDescent="0.25">
      <c r="A5203" s="10" t="s">
        <v>4031</v>
      </c>
      <c r="B5203" s="11" t="s">
        <v>1637</v>
      </c>
      <c r="C5203" s="5">
        <v>59368.686099999999</v>
      </c>
      <c r="D5203" s="5">
        <v>59368.686099999999</v>
      </c>
      <c r="E5203" s="5">
        <v>53759.401700000002</v>
      </c>
      <c r="G5203" s="5" t="str">
        <f t="shared" si="163"/>
        <v>Старая сортировка</v>
      </c>
      <c r="J5203" s="5"/>
      <c r="AL5203" s="5">
        <f t="shared" si="164"/>
        <v>0</v>
      </c>
    </row>
    <row r="5204" spans="1:38" ht="25.5" customHeight="1" x14ac:dyDescent="0.25">
      <c r="A5204" s="10" t="s">
        <v>4032</v>
      </c>
      <c r="B5204" s="11" t="s">
        <v>33</v>
      </c>
      <c r="C5204" s="5">
        <v>84298.205100000006</v>
      </c>
      <c r="D5204" s="5">
        <v>84298.205100000006</v>
      </c>
      <c r="E5204" s="5">
        <v>76333.533100000001</v>
      </c>
      <c r="G5204" s="5" t="str">
        <f t="shared" si="163"/>
        <v>ВИЗ</v>
      </c>
      <c r="J5204" s="5"/>
      <c r="AL5204" s="5">
        <f t="shared" si="164"/>
        <v>0</v>
      </c>
    </row>
    <row r="5205" spans="1:38" ht="25.5" customHeight="1" x14ac:dyDescent="0.25">
      <c r="A5205" s="10" t="s">
        <v>4033</v>
      </c>
      <c r="B5205" s="11" t="s">
        <v>118</v>
      </c>
      <c r="C5205" s="5">
        <v>53500.443299999999</v>
      </c>
      <c r="D5205" s="5">
        <v>53500.443299999999</v>
      </c>
      <c r="E5205" s="5">
        <v>48445.605100000001</v>
      </c>
      <c r="G5205" s="5" t="str">
        <f t="shared" si="163"/>
        <v>Исток</v>
      </c>
      <c r="J5205" s="5"/>
      <c r="AL5205" s="5">
        <f t="shared" si="164"/>
        <v>0</v>
      </c>
    </row>
    <row r="5206" spans="1:38" ht="25.5" customHeight="1" x14ac:dyDescent="0.25">
      <c r="A5206" s="10" t="s">
        <v>4034</v>
      </c>
      <c r="B5206" s="11" t="s">
        <v>1647</v>
      </c>
      <c r="C5206" s="5">
        <v>63178.133800000003</v>
      </c>
      <c r="D5206" s="5">
        <v>63178.133800000003</v>
      </c>
      <c r="E5206" s="5">
        <v>57208.931499999999</v>
      </c>
      <c r="G5206" s="5" t="str">
        <f t="shared" si="163"/>
        <v>ШИРОКАЯ РЕЧКА</v>
      </c>
      <c r="J5206" s="5"/>
      <c r="AL5206" s="5">
        <f t="shared" si="164"/>
        <v>0</v>
      </c>
    </row>
    <row r="5207" spans="1:38" ht="25.5" customHeight="1" x14ac:dyDescent="0.25">
      <c r="A5207" s="10" t="s">
        <v>4035</v>
      </c>
      <c r="B5207" s="11" t="s">
        <v>1647</v>
      </c>
      <c r="C5207" s="5">
        <v>63178.133800000003</v>
      </c>
      <c r="D5207" s="5">
        <v>63178.133800000003</v>
      </c>
      <c r="E5207" s="5">
        <v>57208.931499999999</v>
      </c>
      <c r="G5207" s="5" t="str">
        <f t="shared" si="163"/>
        <v>ШИРОКАЯ РЕЧКА</v>
      </c>
      <c r="J5207" s="5"/>
      <c r="AL5207" s="5">
        <f t="shared" si="164"/>
        <v>0</v>
      </c>
    </row>
    <row r="5208" spans="1:38" ht="25.5" customHeight="1" x14ac:dyDescent="0.25">
      <c r="A5208" s="10" t="s">
        <v>4036</v>
      </c>
      <c r="B5208" s="11" t="s">
        <v>1628</v>
      </c>
      <c r="C5208" s="5">
        <v>70734.0236</v>
      </c>
      <c r="D5208" s="5">
        <v>70734.0236</v>
      </c>
      <c r="E5208" s="5">
        <v>64050.9208</v>
      </c>
      <c r="G5208" s="5" t="str">
        <f t="shared" si="163"/>
        <v>ЭЛЬМАШ</v>
      </c>
      <c r="J5208" s="5"/>
      <c r="AL5208" s="5">
        <f t="shared" si="164"/>
        <v>0</v>
      </c>
    </row>
    <row r="5209" spans="1:38" ht="25.5" customHeight="1" x14ac:dyDescent="0.25">
      <c r="A5209" s="10" t="s">
        <v>737</v>
      </c>
      <c r="B5209" s="11" t="s">
        <v>1632</v>
      </c>
      <c r="C5209" s="5">
        <v>83744.997499999998</v>
      </c>
      <c r="D5209" s="5">
        <v>83744.997499999998</v>
      </c>
      <c r="E5209" s="5">
        <v>75832.596099999995</v>
      </c>
      <c r="G5209" s="5" t="str">
        <f t="shared" si="163"/>
        <v>АВТОВОКЗАЛ</v>
      </c>
      <c r="J5209" s="5"/>
      <c r="AL5209" s="5">
        <f t="shared" si="164"/>
        <v>0</v>
      </c>
    </row>
    <row r="5210" spans="1:38" ht="25.5" customHeight="1" x14ac:dyDescent="0.25">
      <c r="A5210" s="10" t="s">
        <v>208</v>
      </c>
      <c r="B5210" s="11" t="s">
        <v>209</v>
      </c>
      <c r="C5210" s="5">
        <v>69382.512499999997</v>
      </c>
      <c r="D5210" s="5">
        <v>69382.512499999997</v>
      </c>
      <c r="E5210" s="5">
        <v>62827.103199999998</v>
      </c>
      <c r="G5210" s="5" t="str">
        <f t="shared" si="163"/>
        <v>ЖБИ</v>
      </c>
      <c r="J5210" s="5"/>
      <c r="AL5210" s="5">
        <f t="shared" si="164"/>
        <v>0</v>
      </c>
    </row>
    <row r="5211" spans="1:38" ht="25.5" customHeight="1" x14ac:dyDescent="0.25">
      <c r="A5211" s="10" t="s">
        <v>4037</v>
      </c>
      <c r="B5211" s="11" t="s">
        <v>1657</v>
      </c>
      <c r="C5211" s="5">
        <v>54886.9666</v>
      </c>
      <c r="D5211" s="5">
        <v>54886.9666</v>
      </c>
      <c r="E5211" s="5">
        <v>49701.1319</v>
      </c>
      <c r="G5211" s="5" t="str">
        <f t="shared" si="163"/>
        <v>КОЛЬЦОВО</v>
      </c>
      <c r="J5211" s="5"/>
      <c r="AL5211" s="5">
        <f t="shared" si="164"/>
        <v>0</v>
      </c>
    </row>
    <row r="5212" spans="1:38" ht="25.5" customHeight="1" x14ac:dyDescent="0.25">
      <c r="A5212" s="10" t="s">
        <v>1378</v>
      </c>
      <c r="B5212" s="11" t="s">
        <v>1643</v>
      </c>
      <c r="C5212" s="5">
        <v>76630.280299999999</v>
      </c>
      <c r="D5212" s="5">
        <v>76630.280299999999</v>
      </c>
      <c r="E5212" s="5">
        <v>69390.088799999998</v>
      </c>
      <c r="G5212" s="5" t="str">
        <f t="shared" si="163"/>
        <v>Ю-З</v>
      </c>
      <c r="J5212" s="5"/>
      <c r="AL5212" s="5">
        <f t="shared" si="164"/>
        <v>0</v>
      </c>
    </row>
    <row r="5213" spans="1:38" ht="25.5" customHeight="1" x14ac:dyDescent="0.25">
      <c r="A5213" s="10" t="s">
        <v>4038</v>
      </c>
      <c r="B5213" s="11" t="s">
        <v>1643</v>
      </c>
      <c r="C5213" s="5">
        <v>76630.280299999999</v>
      </c>
      <c r="D5213" s="5">
        <v>76630.280299999999</v>
      </c>
      <c r="E5213" s="5">
        <v>69390.088799999998</v>
      </c>
      <c r="G5213" s="5" t="str">
        <f t="shared" si="163"/>
        <v>Ю-З</v>
      </c>
      <c r="J5213" s="5"/>
      <c r="AL5213" s="5">
        <f t="shared" si="164"/>
        <v>0</v>
      </c>
    </row>
    <row r="5214" spans="1:38" ht="25.5" customHeight="1" x14ac:dyDescent="0.25">
      <c r="A5214" s="10" t="s">
        <v>4039</v>
      </c>
      <c r="B5214" s="11" t="s">
        <v>33</v>
      </c>
      <c r="C5214" s="5">
        <v>84298.205100000006</v>
      </c>
      <c r="D5214" s="5">
        <v>84298.205100000006</v>
      </c>
      <c r="E5214" s="5">
        <v>76333.533100000001</v>
      </c>
      <c r="G5214" s="5" t="str">
        <f t="shared" si="163"/>
        <v>ВИЗ</v>
      </c>
      <c r="J5214" s="5"/>
      <c r="AL5214" s="5">
        <f t="shared" si="164"/>
        <v>0</v>
      </c>
    </row>
    <row r="5215" spans="1:38" ht="25.5" customHeight="1" x14ac:dyDescent="0.25">
      <c r="A5215" s="10" t="s">
        <v>1160</v>
      </c>
      <c r="B5215" s="11" t="s">
        <v>14</v>
      </c>
      <c r="C5215" s="5">
        <v>93989.912800000006</v>
      </c>
      <c r="D5215" s="5">
        <v>93989.912800000006</v>
      </c>
      <c r="E5215" s="5">
        <v>85109.545199999993</v>
      </c>
      <c r="G5215" s="5" t="str">
        <f t="shared" si="163"/>
        <v>Центр</v>
      </c>
      <c r="J5215" s="5"/>
      <c r="AL5215" s="5">
        <f t="shared" si="164"/>
        <v>0</v>
      </c>
    </row>
    <row r="5216" spans="1:38" ht="25.5" customHeight="1" x14ac:dyDescent="0.25">
      <c r="A5216" s="10" t="s">
        <v>4040</v>
      </c>
      <c r="B5216" s="11" t="s">
        <v>1668</v>
      </c>
      <c r="C5216" s="5">
        <v>51343.6201</v>
      </c>
      <c r="D5216" s="5">
        <v>51343.6201</v>
      </c>
      <c r="E5216" s="5">
        <v>46492.558799999999</v>
      </c>
      <c r="G5216" s="5" t="str">
        <f t="shared" si="163"/>
        <v>МЕДНЫЙ</v>
      </c>
      <c r="J5216" s="5"/>
      <c r="AL5216" s="5">
        <f t="shared" si="164"/>
        <v>0</v>
      </c>
    </row>
    <row r="5217" spans="1:38" ht="25.5" customHeight="1" x14ac:dyDescent="0.25">
      <c r="A5217" s="10" t="s">
        <v>4041</v>
      </c>
      <c r="B5217" s="11" t="s">
        <v>1631</v>
      </c>
      <c r="C5217" s="5">
        <v>70026.7601</v>
      </c>
      <c r="D5217" s="5">
        <v>70026.7601</v>
      </c>
      <c r="E5217" s="5">
        <v>63410.482000000004</v>
      </c>
      <c r="G5217" s="5" t="str">
        <f t="shared" si="163"/>
        <v>УРАЛМАШ</v>
      </c>
      <c r="J5217" s="5"/>
      <c r="AL5217" s="5">
        <f t="shared" si="164"/>
        <v>0</v>
      </c>
    </row>
    <row r="5218" spans="1:38" ht="25.5" customHeight="1" x14ac:dyDescent="0.25">
      <c r="A5218" s="10" t="s">
        <v>1237</v>
      </c>
      <c r="B5218" s="11" t="s">
        <v>1653</v>
      </c>
      <c r="C5218" s="5">
        <v>56847.723400000003</v>
      </c>
      <c r="D5218" s="5">
        <v>56847.723400000003</v>
      </c>
      <c r="E5218" s="5">
        <v>51476.629399999998</v>
      </c>
      <c r="G5218" s="5" t="str">
        <f t="shared" si="163"/>
        <v>ПТИЦЕФАБРИКА</v>
      </c>
      <c r="J5218" s="5"/>
      <c r="AL5218" s="5">
        <f t="shared" si="164"/>
        <v>0</v>
      </c>
    </row>
    <row r="5219" spans="1:38" ht="25.5" customHeight="1" x14ac:dyDescent="0.25">
      <c r="A5219" s="10" t="s">
        <v>4042</v>
      </c>
      <c r="B5219" s="11" t="s">
        <v>1637</v>
      </c>
      <c r="C5219" s="5">
        <v>59368.686099999999</v>
      </c>
      <c r="D5219" s="5">
        <v>59368.686099999999</v>
      </c>
      <c r="E5219" s="5">
        <v>53759.401700000002</v>
      </c>
      <c r="G5219" s="5" t="str">
        <f t="shared" si="163"/>
        <v>Старая сортировка</v>
      </c>
      <c r="J5219" s="5"/>
      <c r="AL5219" s="5">
        <f t="shared" si="164"/>
        <v>0</v>
      </c>
    </row>
    <row r="5220" spans="1:38" ht="25.5" customHeight="1" x14ac:dyDescent="0.25">
      <c r="A5220" s="10" t="s">
        <v>4043</v>
      </c>
      <c r="B5220" s="11" t="s">
        <v>1666</v>
      </c>
      <c r="C5220" s="5">
        <v>46784.877899999999</v>
      </c>
      <c r="D5220" s="5">
        <v>46784.877899999999</v>
      </c>
      <c r="E5220" s="5">
        <v>42364.543299999998</v>
      </c>
      <c r="G5220" s="5" t="str">
        <f t="shared" si="163"/>
        <v>Сулим.Торфянник</v>
      </c>
      <c r="J5220" s="5"/>
      <c r="AL5220" s="5">
        <f t="shared" si="164"/>
        <v>0</v>
      </c>
    </row>
    <row r="5221" spans="1:38" ht="25.5" customHeight="1" x14ac:dyDescent="0.25">
      <c r="A5221" s="10" t="s">
        <v>4044</v>
      </c>
      <c r="B5221" s="11" t="s">
        <v>1651</v>
      </c>
      <c r="C5221" s="5">
        <v>68129.029500000004</v>
      </c>
      <c r="D5221" s="5">
        <v>68129.029500000004</v>
      </c>
      <c r="E5221" s="5">
        <v>61692.054799999998</v>
      </c>
      <c r="G5221" s="5" t="str">
        <f t="shared" si="163"/>
        <v>ШАРТАШ</v>
      </c>
      <c r="J5221" s="5"/>
      <c r="AL5221" s="5">
        <f t="shared" si="164"/>
        <v>0</v>
      </c>
    </row>
    <row r="5222" spans="1:38" ht="25.5" customHeight="1" x14ac:dyDescent="0.25">
      <c r="A5222" s="10" t="s">
        <v>1242</v>
      </c>
      <c r="B5222" s="11" t="s">
        <v>1666</v>
      </c>
      <c r="C5222" s="5">
        <v>46784.877899999999</v>
      </c>
      <c r="D5222" s="5">
        <v>46784.877899999999</v>
      </c>
      <c r="E5222" s="5">
        <v>42364.543299999998</v>
      </c>
      <c r="G5222" s="5" t="str">
        <f t="shared" si="163"/>
        <v>Сулим.Торфянник</v>
      </c>
      <c r="J5222" s="5"/>
      <c r="AL5222" s="5">
        <f t="shared" si="164"/>
        <v>0</v>
      </c>
    </row>
    <row r="5223" spans="1:38" ht="25.5" customHeight="1" x14ac:dyDescent="0.25">
      <c r="A5223" s="10" t="s">
        <v>4045</v>
      </c>
      <c r="B5223" s="11" t="s">
        <v>1651</v>
      </c>
      <c r="C5223" s="5">
        <v>68129.029500000004</v>
      </c>
      <c r="D5223" s="5">
        <v>68129.029500000004</v>
      </c>
      <c r="E5223" s="5">
        <v>61692.054799999998</v>
      </c>
      <c r="G5223" s="5" t="str">
        <f t="shared" si="163"/>
        <v>ШАРТАШ</v>
      </c>
      <c r="J5223" s="5"/>
      <c r="AL5223" s="5">
        <f t="shared" si="164"/>
        <v>0</v>
      </c>
    </row>
    <row r="5224" spans="1:38" ht="25.5" customHeight="1" x14ac:dyDescent="0.25">
      <c r="A5224" s="10" t="s">
        <v>44</v>
      </c>
      <c r="B5224" s="11" t="s">
        <v>1627</v>
      </c>
      <c r="C5224" s="5">
        <v>56392.543899999997</v>
      </c>
      <c r="D5224" s="5">
        <v>56392.543899999997</v>
      </c>
      <c r="E5224" s="5">
        <v>51064.4617</v>
      </c>
      <c r="G5224" s="5" t="str">
        <f t="shared" si="163"/>
        <v>КОМПРЕССОРНЫЙ</v>
      </c>
      <c r="J5224" s="5"/>
      <c r="AL5224" s="5">
        <f t="shared" si="164"/>
        <v>0</v>
      </c>
    </row>
    <row r="5225" spans="1:38" ht="25.5" customHeight="1" x14ac:dyDescent="0.25">
      <c r="A5225" s="10" t="s">
        <v>4046</v>
      </c>
      <c r="B5225" s="11" t="s">
        <v>1628</v>
      </c>
      <c r="C5225" s="5">
        <v>70734.0236</v>
      </c>
      <c r="D5225" s="5">
        <v>70734.0236</v>
      </c>
      <c r="E5225" s="5">
        <v>64050.9208</v>
      </c>
      <c r="G5225" s="5" t="str">
        <f t="shared" si="163"/>
        <v>ЭЛЬМАШ</v>
      </c>
      <c r="J5225" s="5"/>
      <c r="AL5225" s="5">
        <f t="shared" si="164"/>
        <v>0</v>
      </c>
    </row>
    <row r="5226" spans="1:38" ht="25.5" customHeight="1" x14ac:dyDescent="0.25">
      <c r="A5226" s="10" t="s">
        <v>1226</v>
      </c>
      <c r="B5226" s="11" t="s">
        <v>1630</v>
      </c>
      <c r="C5226" s="5">
        <v>62652.9401</v>
      </c>
      <c r="D5226" s="5">
        <v>62652.9401</v>
      </c>
      <c r="E5226" s="5">
        <v>56733.3557</v>
      </c>
      <c r="G5226" s="5" t="str">
        <f t="shared" si="163"/>
        <v>ЧЕРМЕТ</v>
      </c>
      <c r="J5226" s="5"/>
      <c r="AL5226" s="5">
        <f t="shared" si="164"/>
        <v>0</v>
      </c>
    </row>
    <row r="5227" spans="1:38" ht="25.5" customHeight="1" x14ac:dyDescent="0.25">
      <c r="A5227" s="10" t="s">
        <v>4047</v>
      </c>
      <c r="B5227" s="11" t="s">
        <v>1636</v>
      </c>
      <c r="C5227" s="5">
        <v>52246.960299999999</v>
      </c>
      <c r="D5227" s="5">
        <v>52246.960299999999</v>
      </c>
      <c r="E5227" s="5">
        <v>47310.556700000001</v>
      </c>
      <c r="G5227" s="5" t="str">
        <f t="shared" si="163"/>
        <v>ГОРНЫЙ ЩИТ</v>
      </c>
      <c r="J5227" s="5"/>
      <c r="AL5227" s="5">
        <f t="shared" si="164"/>
        <v>0</v>
      </c>
    </row>
    <row r="5228" spans="1:38" ht="25.5" customHeight="1" x14ac:dyDescent="0.25">
      <c r="A5228" s="10" t="s">
        <v>938</v>
      </c>
      <c r="B5228" s="11" t="s">
        <v>1636</v>
      </c>
      <c r="C5228" s="5">
        <v>52246.960299999999</v>
      </c>
      <c r="D5228" s="5">
        <v>52246.960299999999</v>
      </c>
      <c r="E5228" s="5">
        <v>47310.556700000001</v>
      </c>
      <c r="G5228" s="5" t="str">
        <f t="shared" si="163"/>
        <v>ГОРНЫЙ ЩИТ</v>
      </c>
      <c r="J5228" s="5"/>
      <c r="AL5228" s="5">
        <f t="shared" si="164"/>
        <v>0</v>
      </c>
    </row>
    <row r="5229" spans="1:38" ht="25.5" customHeight="1" x14ac:dyDescent="0.25">
      <c r="A5229" s="10" t="s">
        <v>4048</v>
      </c>
      <c r="B5229" s="11" t="s">
        <v>1647</v>
      </c>
      <c r="C5229" s="5">
        <v>63178.133800000003</v>
      </c>
      <c r="D5229" s="5">
        <v>63178.133800000003</v>
      </c>
      <c r="E5229" s="5">
        <v>57208.931499999999</v>
      </c>
      <c r="G5229" s="5" t="str">
        <f t="shared" si="163"/>
        <v>ШИРОКАЯ РЕЧКА</v>
      </c>
      <c r="J5229" s="5"/>
      <c r="AL5229" s="5">
        <f t="shared" si="164"/>
        <v>0</v>
      </c>
    </row>
    <row r="5230" spans="1:38" ht="25.5" customHeight="1" x14ac:dyDescent="0.25">
      <c r="A5230" s="10" t="s">
        <v>4049</v>
      </c>
      <c r="B5230" s="11" t="s">
        <v>1637</v>
      </c>
      <c r="C5230" s="5">
        <v>59368.686099999999</v>
      </c>
      <c r="D5230" s="5">
        <v>59368.686099999999</v>
      </c>
      <c r="E5230" s="5">
        <v>53759.401700000002</v>
      </c>
      <c r="G5230" s="5" t="str">
        <f t="shared" si="163"/>
        <v>Старая сортировка</v>
      </c>
      <c r="J5230" s="5"/>
      <c r="AL5230" s="5">
        <f t="shared" si="164"/>
        <v>0</v>
      </c>
    </row>
    <row r="5231" spans="1:38" ht="25.5" customHeight="1" x14ac:dyDescent="0.25">
      <c r="A5231" s="10" t="s">
        <v>4050</v>
      </c>
      <c r="B5231" s="11" t="s">
        <v>1636</v>
      </c>
      <c r="C5231" s="5">
        <v>52246.960299999999</v>
      </c>
      <c r="D5231" s="5">
        <v>52246.960299999999</v>
      </c>
      <c r="E5231" s="5">
        <v>47310.556700000001</v>
      </c>
      <c r="G5231" s="5" t="str">
        <f t="shared" si="163"/>
        <v>ГОРНЫЙ ЩИТ</v>
      </c>
      <c r="J5231" s="5"/>
      <c r="AL5231" s="5">
        <f t="shared" si="164"/>
        <v>0</v>
      </c>
    </row>
    <row r="5232" spans="1:38" ht="25.5" customHeight="1" x14ac:dyDescent="0.25">
      <c r="A5232" s="10" t="s">
        <v>4051</v>
      </c>
      <c r="B5232" s="11" t="s">
        <v>1651</v>
      </c>
      <c r="C5232" s="5">
        <v>68129.029500000004</v>
      </c>
      <c r="D5232" s="5">
        <v>68129.029500000004</v>
      </c>
      <c r="E5232" s="5">
        <v>61692.054799999998</v>
      </c>
      <c r="G5232" s="5" t="str">
        <f t="shared" si="163"/>
        <v>ШАРТАШ</v>
      </c>
      <c r="J5232" s="5"/>
      <c r="AL5232" s="5">
        <f t="shared" si="164"/>
        <v>0</v>
      </c>
    </row>
    <row r="5233" spans="1:38" ht="25.5" customHeight="1" x14ac:dyDescent="0.25">
      <c r="A5233" s="10" t="s">
        <v>1185</v>
      </c>
      <c r="B5233" s="11" t="s">
        <v>1638</v>
      </c>
      <c r="C5233" s="5">
        <v>63640.311600000001</v>
      </c>
      <c r="D5233" s="5">
        <v>63640.311600000001</v>
      </c>
      <c r="E5233" s="5">
        <v>57627.4473</v>
      </c>
      <c r="G5233" s="5" t="str">
        <f t="shared" si="163"/>
        <v>УКТУС</v>
      </c>
      <c r="J5233" s="5"/>
      <c r="AL5233" s="5">
        <f t="shared" si="164"/>
        <v>0</v>
      </c>
    </row>
    <row r="5234" spans="1:38" ht="25.5" customHeight="1" x14ac:dyDescent="0.25">
      <c r="A5234" s="10" t="s">
        <v>4052</v>
      </c>
      <c r="B5234" s="11" t="s">
        <v>1660</v>
      </c>
      <c r="C5234" s="5">
        <v>53262.345800000003</v>
      </c>
      <c r="D5234" s="5">
        <v>53262.345800000003</v>
      </c>
      <c r="E5234" s="5">
        <v>48230.0095</v>
      </c>
      <c r="G5234" s="5" t="str">
        <f t="shared" si="163"/>
        <v>САДОВЫЙ</v>
      </c>
      <c r="J5234" s="5"/>
      <c r="AL5234" s="5">
        <f t="shared" si="164"/>
        <v>0</v>
      </c>
    </row>
    <row r="5235" spans="1:38" ht="25.5" customHeight="1" x14ac:dyDescent="0.25">
      <c r="A5235" s="10" t="s">
        <v>943</v>
      </c>
      <c r="B5235" s="11" t="s">
        <v>1638</v>
      </c>
      <c r="C5235" s="5">
        <v>63640.311600000001</v>
      </c>
      <c r="D5235" s="5">
        <v>63640.311600000001</v>
      </c>
      <c r="E5235" s="5">
        <v>57627.4473</v>
      </c>
      <c r="G5235" s="5" t="str">
        <f t="shared" si="163"/>
        <v>УКТУС</v>
      </c>
      <c r="J5235" s="5"/>
      <c r="AL5235" s="5">
        <f t="shared" si="164"/>
        <v>0</v>
      </c>
    </row>
    <row r="5236" spans="1:38" ht="25.5" customHeight="1" x14ac:dyDescent="0.25">
      <c r="A5236" s="10" t="s">
        <v>4053</v>
      </c>
      <c r="B5236" s="11" t="s">
        <v>1644</v>
      </c>
      <c r="C5236" s="5">
        <v>61980.678599999999</v>
      </c>
      <c r="D5236" s="5">
        <v>61980.678599999999</v>
      </c>
      <c r="E5236" s="5">
        <v>56124.615700000002</v>
      </c>
      <c r="G5236" s="5" t="str">
        <f t="shared" si="163"/>
        <v>ХИММАШ</v>
      </c>
      <c r="J5236" s="5"/>
      <c r="AL5236" s="5">
        <f t="shared" si="164"/>
        <v>0</v>
      </c>
    </row>
    <row r="5237" spans="1:38" ht="25.5" customHeight="1" x14ac:dyDescent="0.25">
      <c r="A5237" s="10" t="s">
        <v>4054</v>
      </c>
      <c r="B5237" s="11" t="s">
        <v>1638</v>
      </c>
      <c r="C5237" s="5">
        <v>63640.311600000001</v>
      </c>
      <c r="D5237" s="5">
        <v>63640.311600000001</v>
      </c>
      <c r="E5237" s="5">
        <v>57627.4473</v>
      </c>
      <c r="G5237" s="5" t="str">
        <f t="shared" si="163"/>
        <v>УКТУС</v>
      </c>
      <c r="J5237" s="5"/>
      <c r="AL5237" s="5">
        <f t="shared" si="164"/>
        <v>0</v>
      </c>
    </row>
    <row r="5238" spans="1:38" ht="25.5" customHeight="1" x14ac:dyDescent="0.25">
      <c r="A5238" s="10" t="s">
        <v>4055</v>
      </c>
      <c r="B5238" s="11" t="s">
        <v>1662</v>
      </c>
      <c r="C5238" s="5">
        <v>46784.877899999999</v>
      </c>
      <c r="D5238" s="5">
        <v>46784.877899999999</v>
      </c>
      <c r="E5238" s="5">
        <v>42364.543299999998</v>
      </c>
      <c r="G5238" s="5" t="str">
        <f t="shared" si="163"/>
        <v>РУДНЫЙ</v>
      </c>
      <c r="J5238" s="5"/>
      <c r="AL5238" s="5">
        <f t="shared" si="164"/>
        <v>0</v>
      </c>
    </row>
    <row r="5239" spans="1:38" ht="25.5" customHeight="1" x14ac:dyDescent="0.25">
      <c r="A5239" s="10" t="s">
        <v>4056</v>
      </c>
      <c r="B5239" s="11" t="s">
        <v>1649</v>
      </c>
      <c r="C5239" s="5">
        <v>78633.047600000005</v>
      </c>
      <c r="D5239" s="5">
        <v>78633.047600000005</v>
      </c>
      <c r="E5239" s="5">
        <v>71203.623000000007</v>
      </c>
      <c r="G5239" s="5" t="str">
        <f t="shared" si="163"/>
        <v>ВОКЗАЛЬНЫЙ</v>
      </c>
      <c r="J5239" s="5"/>
      <c r="AL5239" s="5">
        <f t="shared" si="164"/>
        <v>0</v>
      </c>
    </row>
    <row r="5240" spans="1:38" ht="25.5" customHeight="1" x14ac:dyDescent="0.25">
      <c r="A5240" s="10" t="s">
        <v>4057</v>
      </c>
      <c r="B5240" s="11" t="s">
        <v>1659</v>
      </c>
      <c r="C5240" s="5">
        <v>59746.832600000002</v>
      </c>
      <c r="D5240" s="5">
        <v>59746.832600000002</v>
      </c>
      <c r="E5240" s="5">
        <v>54101.823700000001</v>
      </c>
      <c r="G5240" s="5" t="str">
        <f t="shared" si="163"/>
        <v>СОВХОЗ</v>
      </c>
      <c r="J5240" s="5"/>
      <c r="AL5240" s="5">
        <f t="shared" si="164"/>
        <v>0</v>
      </c>
    </row>
    <row r="5241" spans="1:38" ht="25.5" customHeight="1" x14ac:dyDescent="0.25">
      <c r="A5241" s="10" t="s">
        <v>4058</v>
      </c>
      <c r="B5241" s="11" t="s">
        <v>1641</v>
      </c>
      <c r="C5241" s="5">
        <v>63556.280200000001</v>
      </c>
      <c r="D5241" s="5">
        <v>63556.280200000001</v>
      </c>
      <c r="E5241" s="5">
        <v>57551.353499999997</v>
      </c>
      <c r="G5241" s="5" t="str">
        <f t="shared" si="163"/>
        <v>СИБИРСКИЙ</v>
      </c>
      <c r="J5241" s="5"/>
      <c r="AL5241" s="5">
        <f t="shared" si="164"/>
        <v>0</v>
      </c>
    </row>
    <row r="5242" spans="1:38" ht="25.5" customHeight="1" x14ac:dyDescent="0.25">
      <c r="A5242" s="10" t="s">
        <v>685</v>
      </c>
      <c r="B5242" s="11" t="s">
        <v>1647</v>
      </c>
      <c r="C5242" s="5">
        <v>63178.133800000003</v>
      </c>
      <c r="D5242" s="5">
        <v>63178.133800000003</v>
      </c>
      <c r="E5242" s="5">
        <v>57208.931499999999</v>
      </c>
      <c r="G5242" s="5" t="str">
        <f t="shared" si="163"/>
        <v>ШИРОКАЯ РЕЧКА</v>
      </c>
      <c r="J5242" s="5"/>
      <c r="AL5242" s="5">
        <f t="shared" si="164"/>
        <v>0</v>
      </c>
    </row>
    <row r="5243" spans="1:38" ht="25.5" customHeight="1" x14ac:dyDescent="0.25">
      <c r="A5243" s="10" t="s">
        <v>1218</v>
      </c>
      <c r="B5243" s="11" t="s">
        <v>1636</v>
      </c>
      <c r="C5243" s="5">
        <v>52246.960299999999</v>
      </c>
      <c r="D5243" s="5">
        <v>52246.960299999999</v>
      </c>
      <c r="E5243" s="5">
        <v>47310.556700000001</v>
      </c>
      <c r="G5243" s="5" t="str">
        <f t="shared" si="163"/>
        <v>ГОРНЫЙ ЩИТ</v>
      </c>
      <c r="J5243" s="5"/>
      <c r="AL5243" s="5">
        <f t="shared" si="164"/>
        <v>0</v>
      </c>
    </row>
    <row r="5244" spans="1:38" ht="25.5" customHeight="1" x14ac:dyDescent="0.25">
      <c r="A5244" s="10" t="s">
        <v>4059</v>
      </c>
      <c r="B5244" s="11" t="s">
        <v>1637</v>
      </c>
      <c r="C5244" s="5">
        <v>59368.686099999999</v>
      </c>
      <c r="D5244" s="5">
        <v>59368.686099999999</v>
      </c>
      <c r="E5244" s="5">
        <v>53759.401700000002</v>
      </c>
      <c r="G5244" s="5" t="str">
        <f t="shared" si="163"/>
        <v>Старая сортировка</v>
      </c>
      <c r="J5244" s="5"/>
      <c r="AL5244" s="5">
        <f t="shared" si="164"/>
        <v>0</v>
      </c>
    </row>
    <row r="5245" spans="1:38" ht="25.5" customHeight="1" x14ac:dyDescent="0.25">
      <c r="A5245" s="10" t="s">
        <v>1407</v>
      </c>
      <c r="B5245" s="11" t="s">
        <v>1636</v>
      </c>
      <c r="C5245" s="5">
        <v>52246.960299999999</v>
      </c>
      <c r="D5245" s="5">
        <v>52246.960299999999</v>
      </c>
      <c r="E5245" s="5">
        <v>47310.556700000001</v>
      </c>
      <c r="G5245" s="5" t="str">
        <f t="shared" si="163"/>
        <v>ГОРНЫЙ ЩИТ</v>
      </c>
      <c r="J5245" s="5"/>
      <c r="AL5245" s="5">
        <f t="shared" si="164"/>
        <v>0</v>
      </c>
    </row>
    <row r="5246" spans="1:38" ht="25.5" customHeight="1" x14ac:dyDescent="0.25">
      <c r="A5246" s="10" t="s">
        <v>4060</v>
      </c>
      <c r="B5246" s="11" t="s">
        <v>1659</v>
      </c>
      <c r="C5246" s="5">
        <v>59746.832600000002</v>
      </c>
      <c r="D5246" s="5">
        <v>59746.832600000002</v>
      </c>
      <c r="E5246" s="5">
        <v>54101.823700000001</v>
      </c>
      <c r="G5246" s="5" t="str">
        <f t="shared" si="163"/>
        <v>СОВХОЗ</v>
      </c>
      <c r="J5246" s="5"/>
      <c r="AL5246" s="5">
        <f t="shared" si="164"/>
        <v>0</v>
      </c>
    </row>
    <row r="5247" spans="1:38" ht="25.5" customHeight="1" x14ac:dyDescent="0.25">
      <c r="A5247" s="10" t="s">
        <v>4061</v>
      </c>
      <c r="B5247" s="11" t="s">
        <v>1631</v>
      </c>
      <c r="C5247" s="5">
        <v>70026.7601</v>
      </c>
      <c r="D5247" s="5">
        <v>70026.7601</v>
      </c>
      <c r="E5247" s="5">
        <v>63410.482000000004</v>
      </c>
      <c r="G5247" s="5" t="str">
        <f t="shared" ref="G5247:G5310" si="165">B5247</f>
        <v>УРАЛМАШ</v>
      </c>
      <c r="J5247" s="5"/>
      <c r="AL5247" s="5">
        <f t="shared" ref="AL5247:AL5310" si="166">AF5247</f>
        <v>0</v>
      </c>
    </row>
    <row r="5248" spans="1:38" ht="25.5" customHeight="1" x14ac:dyDescent="0.25">
      <c r="A5248" s="10" t="s">
        <v>4062</v>
      </c>
      <c r="B5248" s="11" t="s">
        <v>66</v>
      </c>
      <c r="C5248" s="5">
        <v>64795.756300000001</v>
      </c>
      <c r="D5248" s="5">
        <v>64795.756300000001</v>
      </c>
      <c r="E5248" s="5">
        <v>58673.716200000003</v>
      </c>
      <c r="G5248" s="5" t="str">
        <f t="shared" si="165"/>
        <v>УНЦ</v>
      </c>
      <c r="J5248" s="5"/>
      <c r="AL5248" s="5">
        <f t="shared" si="166"/>
        <v>0</v>
      </c>
    </row>
    <row r="5249" spans="1:38" ht="25.5" customHeight="1" x14ac:dyDescent="0.25">
      <c r="A5249" s="10" t="s">
        <v>4063</v>
      </c>
      <c r="B5249" s="11" t="s">
        <v>118</v>
      </c>
      <c r="C5249" s="5">
        <v>53500.443299999999</v>
      </c>
      <c r="D5249" s="5">
        <v>53500.443299999999</v>
      </c>
      <c r="E5249" s="5">
        <v>48445.605100000001</v>
      </c>
      <c r="G5249" s="5" t="str">
        <f t="shared" si="165"/>
        <v>Исток</v>
      </c>
      <c r="J5249" s="5"/>
      <c r="AL5249" s="5">
        <f t="shared" si="166"/>
        <v>0</v>
      </c>
    </row>
    <row r="5250" spans="1:38" ht="25.5" customHeight="1" x14ac:dyDescent="0.25">
      <c r="A5250" s="10" t="s">
        <v>4064</v>
      </c>
      <c r="B5250" s="11" t="s">
        <v>33</v>
      </c>
      <c r="C5250" s="5">
        <v>84298.205100000006</v>
      </c>
      <c r="D5250" s="5">
        <v>84298.205100000006</v>
      </c>
      <c r="E5250" s="5">
        <v>76333.533100000001</v>
      </c>
      <c r="G5250" s="5" t="str">
        <f t="shared" si="165"/>
        <v>ВИЗ</v>
      </c>
      <c r="J5250" s="5"/>
      <c r="AL5250" s="5">
        <f t="shared" si="166"/>
        <v>0</v>
      </c>
    </row>
    <row r="5251" spans="1:38" ht="25.5" customHeight="1" x14ac:dyDescent="0.25">
      <c r="A5251" s="10" t="s">
        <v>4065</v>
      </c>
      <c r="B5251" s="11" t="s">
        <v>1630</v>
      </c>
      <c r="C5251" s="5">
        <v>62652.9401</v>
      </c>
      <c r="D5251" s="5">
        <v>62652.9401</v>
      </c>
      <c r="E5251" s="5">
        <v>56733.3557</v>
      </c>
      <c r="G5251" s="5" t="str">
        <f t="shared" si="165"/>
        <v>ЧЕРМЕТ</v>
      </c>
      <c r="J5251" s="5"/>
      <c r="AL5251" s="5">
        <f t="shared" si="166"/>
        <v>0</v>
      </c>
    </row>
    <row r="5252" spans="1:38" ht="25.5" customHeight="1" x14ac:dyDescent="0.25">
      <c r="A5252" s="10" t="s">
        <v>976</v>
      </c>
      <c r="B5252" s="11" t="s">
        <v>33</v>
      </c>
      <c r="C5252" s="5">
        <v>84298.205100000006</v>
      </c>
      <c r="D5252" s="5">
        <v>84298.205100000006</v>
      </c>
      <c r="E5252" s="5">
        <v>76333.533100000001</v>
      </c>
      <c r="G5252" s="5" t="str">
        <f t="shared" si="165"/>
        <v>ВИЗ</v>
      </c>
      <c r="J5252" s="5"/>
      <c r="AL5252" s="5">
        <f t="shared" si="166"/>
        <v>0</v>
      </c>
    </row>
    <row r="5253" spans="1:38" ht="25.5" customHeight="1" x14ac:dyDescent="0.25">
      <c r="A5253" s="10" t="s">
        <v>4066</v>
      </c>
      <c r="B5253" s="11" t="s">
        <v>1637</v>
      </c>
      <c r="C5253" s="5">
        <v>59368.686099999999</v>
      </c>
      <c r="D5253" s="5">
        <v>59368.686099999999</v>
      </c>
      <c r="E5253" s="5">
        <v>53759.401700000002</v>
      </c>
      <c r="G5253" s="5" t="str">
        <f t="shared" si="165"/>
        <v>Старая сортировка</v>
      </c>
      <c r="J5253" s="5"/>
      <c r="AL5253" s="5">
        <f t="shared" si="166"/>
        <v>0</v>
      </c>
    </row>
    <row r="5254" spans="1:38" ht="25.5" customHeight="1" x14ac:dyDescent="0.25">
      <c r="A5254" s="10" t="s">
        <v>4067</v>
      </c>
      <c r="B5254" s="11" t="s">
        <v>1666</v>
      </c>
      <c r="C5254" s="5">
        <v>46784.877899999999</v>
      </c>
      <c r="D5254" s="5">
        <v>46784.877899999999</v>
      </c>
      <c r="E5254" s="5">
        <v>42364.543299999998</v>
      </c>
      <c r="G5254" s="5" t="str">
        <f t="shared" si="165"/>
        <v>Сулим.Торфянник</v>
      </c>
      <c r="J5254" s="5"/>
      <c r="AL5254" s="5">
        <f t="shared" si="166"/>
        <v>0</v>
      </c>
    </row>
    <row r="5255" spans="1:38" ht="25.5" customHeight="1" x14ac:dyDescent="0.25">
      <c r="A5255" s="10" t="s">
        <v>707</v>
      </c>
      <c r="B5255" s="11" t="s">
        <v>1658</v>
      </c>
      <c r="C5255" s="5">
        <v>68647.224799999996</v>
      </c>
      <c r="D5255" s="5">
        <v>68647.224799999996</v>
      </c>
      <c r="E5255" s="5">
        <v>62161.2929</v>
      </c>
      <c r="G5255" s="5" t="str">
        <f t="shared" si="165"/>
        <v>СИНИЕ КАМНИ</v>
      </c>
      <c r="J5255" s="5"/>
      <c r="AL5255" s="5">
        <f t="shared" si="166"/>
        <v>0</v>
      </c>
    </row>
    <row r="5256" spans="1:38" ht="25.5" customHeight="1" x14ac:dyDescent="0.25">
      <c r="A5256" s="10" t="s">
        <v>4068</v>
      </c>
      <c r="B5256" s="11" t="s">
        <v>1653</v>
      </c>
      <c r="C5256" s="5">
        <v>56847.723400000003</v>
      </c>
      <c r="D5256" s="5">
        <v>56847.723400000003</v>
      </c>
      <c r="E5256" s="5">
        <v>51476.629399999998</v>
      </c>
      <c r="G5256" s="5" t="str">
        <f t="shared" si="165"/>
        <v>ПТИЦЕФАБРИКА</v>
      </c>
      <c r="J5256" s="5"/>
      <c r="AL5256" s="5">
        <f t="shared" si="166"/>
        <v>0</v>
      </c>
    </row>
    <row r="5257" spans="1:38" ht="25.5" customHeight="1" x14ac:dyDescent="0.25">
      <c r="A5257" s="10" t="s">
        <v>4069</v>
      </c>
      <c r="B5257" s="11" t="s">
        <v>1644</v>
      </c>
      <c r="C5257" s="5">
        <v>61980.678599999999</v>
      </c>
      <c r="D5257" s="5">
        <v>61980.678599999999</v>
      </c>
      <c r="E5257" s="5">
        <v>56124.615700000002</v>
      </c>
      <c r="G5257" s="5" t="str">
        <f t="shared" si="165"/>
        <v>ХИММАШ</v>
      </c>
      <c r="J5257" s="5"/>
      <c r="AL5257" s="5">
        <f t="shared" si="166"/>
        <v>0</v>
      </c>
    </row>
    <row r="5258" spans="1:38" ht="25.5" customHeight="1" x14ac:dyDescent="0.25">
      <c r="A5258" s="10" t="s">
        <v>4070</v>
      </c>
      <c r="B5258" s="11" t="s">
        <v>1637</v>
      </c>
      <c r="C5258" s="5">
        <v>59368.686099999999</v>
      </c>
      <c r="D5258" s="5">
        <v>59368.686099999999</v>
      </c>
      <c r="E5258" s="5">
        <v>53759.401700000002</v>
      </c>
      <c r="G5258" s="5" t="str">
        <f t="shared" si="165"/>
        <v>Старая сортировка</v>
      </c>
      <c r="J5258" s="5"/>
      <c r="AL5258" s="5">
        <f t="shared" si="166"/>
        <v>0</v>
      </c>
    </row>
    <row r="5259" spans="1:38" ht="25.5" customHeight="1" x14ac:dyDescent="0.25">
      <c r="A5259" s="10" t="s">
        <v>4071</v>
      </c>
      <c r="B5259" s="11" t="s">
        <v>1668</v>
      </c>
      <c r="C5259" s="5">
        <v>51343.6201</v>
      </c>
      <c r="D5259" s="5">
        <v>51343.6201</v>
      </c>
      <c r="E5259" s="5">
        <v>46492.558799999999</v>
      </c>
      <c r="G5259" s="5" t="str">
        <f t="shared" si="165"/>
        <v>МЕДНЫЙ</v>
      </c>
      <c r="J5259" s="5"/>
      <c r="AL5259" s="5">
        <f t="shared" si="166"/>
        <v>0</v>
      </c>
    </row>
    <row r="5260" spans="1:38" ht="25.5" customHeight="1" x14ac:dyDescent="0.25">
      <c r="A5260" s="10" t="s">
        <v>4072</v>
      </c>
      <c r="B5260" s="11" t="s">
        <v>1637</v>
      </c>
      <c r="C5260" s="5">
        <v>59368.686099999999</v>
      </c>
      <c r="D5260" s="5">
        <v>59368.686099999999</v>
      </c>
      <c r="E5260" s="5">
        <v>53759.401700000002</v>
      </c>
      <c r="G5260" s="5" t="str">
        <f t="shared" si="165"/>
        <v>Старая сортировка</v>
      </c>
      <c r="J5260" s="5"/>
      <c r="AL5260" s="5">
        <f t="shared" si="166"/>
        <v>0</v>
      </c>
    </row>
    <row r="5261" spans="1:38" ht="25.5" customHeight="1" x14ac:dyDescent="0.25">
      <c r="A5261" s="10" t="s">
        <v>187</v>
      </c>
      <c r="B5261" s="11" t="s">
        <v>1632</v>
      </c>
      <c r="C5261" s="5">
        <v>83744.997499999998</v>
      </c>
      <c r="D5261" s="5">
        <v>83744.997499999998</v>
      </c>
      <c r="E5261" s="5">
        <v>75832.596099999995</v>
      </c>
      <c r="G5261" s="5" t="str">
        <f t="shared" si="165"/>
        <v>АВТОВОКЗАЛ</v>
      </c>
      <c r="J5261" s="5"/>
      <c r="AL5261" s="5">
        <f t="shared" si="166"/>
        <v>0</v>
      </c>
    </row>
    <row r="5262" spans="1:38" ht="25.5" customHeight="1" x14ac:dyDescent="0.25">
      <c r="A5262" s="10" t="s">
        <v>4073</v>
      </c>
      <c r="B5262" s="11" t="s">
        <v>1657</v>
      </c>
      <c r="C5262" s="5">
        <v>54886.9666</v>
      </c>
      <c r="D5262" s="5">
        <v>54886.9666</v>
      </c>
      <c r="E5262" s="5">
        <v>49701.1319</v>
      </c>
      <c r="G5262" s="5" t="str">
        <f t="shared" si="165"/>
        <v>КОЛЬЦОВО</v>
      </c>
      <c r="J5262" s="5"/>
      <c r="AL5262" s="5">
        <f t="shared" si="166"/>
        <v>0</v>
      </c>
    </row>
    <row r="5263" spans="1:38" ht="25.5" customHeight="1" x14ac:dyDescent="0.25">
      <c r="A5263" s="10" t="s">
        <v>4074</v>
      </c>
      <c r="B5263" s="11" t="s">
        <v>1659</v>
      </c>
      <c r="C5263" s="5">
        <v>59746.832600000002</v>
      </c>
      <c r="D5263" s="5">
        <v>59746.832600000002</v>
      </c>
      <c r="E5263" s="5">
        <v>54101.823700000001</v>
      </c>
      <c r="G5263" s="5" t="str">
        <f t="shared" si="165"/>
        <v>СОВХОЗ</v>
      </c>
      <c r="J5263" s="5"/>
      <c r="AL5263" s="5">
        <f t="shared" si="166"/>
        <v>0</v>
      </c>
    </row>
    <row r="5264" spans="1:38" ht="25.5" customHeight="1" x14ac:dyDescent="0.25">
      <c r="A5264" s="10" t="s">
        <v>906</v>
      </c>
      <c r="B5264" s="11" t="s">
        <v>1628</v>
      </c>
      <c r="C5264" s="5">
        <v>70734.0236</v>
      </c>
      <c r="D5264" s="5">
        <v>70734.0236</v>
      </c>
      <c r="E5264" s="5">
        <v>64050.9208</v>
      </c>
      <c r="G5264" s="5" t="str">
        <f t="shared" si="165"/>
        <v>ЭЛЬМАШ</v>
      </c>
      <c r="J5264" s="5"/>
      <c r="AL5264" s="5">
        <f t="shared" si="166"/>
        <v>0</v>
      </c>
    </row>
    <row r="5265" spans="1:38" ht="25.5" customHeight="1" x14ac:dyDescent="0.25">
      <c r="A5265" s="10" t="s">
        <v>1478</v>
      </c>
      <c r="B5265" s="11" t="s">
        <v>1630</v>
      </c>
      <c r="C5265" s="5">
        <v>62652.9401</v>
      </c>
      <c r="D5265" s="5">
        <v>62652.9401</v>
      </c>
      <c r="E5265" s="5">
        <v>56733.3557</v>
      </c>
      <c r="G5265" s="5" t="str">
        <f t="shared" si="165"/>
        <v>ЧЕРМЕТ</v>
      </c>
      <c r="J5265" s="5"/>
      <c r="AL5265" s="5">
        <f t="shared" si="166"/>
        <v>0</v>
      </c>
    </row>
    <row r="5266" spans="1:38" ht="25.5" customHeight="1" x14ac:dyDescent="0.25">
      <c r="A5266" s="10" t="s">
        <v>4075</v>
      </c>
      <c r="B5266" s="11" t="s">
        <v>1659</v>
      </c>
      <c r="C5266" s="5">
        <v>59746.832600000002</v>
      </c>
      <c r="D5266" s="5">
        <v>59746.832600000002</v>
      </c>
      <c r="E5266" s="5">
        <v>54101.823700000001</v>
      </c>
      <c r="G5266" s="5" t="str">
        <f t="shared" si="165"/>
        <v>СОВХОЗ</v>
      </c>
      <c r="J5266" s="5"/>
      <c r="AL5266" s="5">
        <f t="shared" si="166"/>
        <v>0</v>
      </c>
    </row>
    <row r="5267" spans="1:38" ht="25.5" customHeight="1" x14ac:dyDescent="0.25">
      <c r="A5267" s="10" t="s">
        <v>4076</v>
      </c>
      <c r="B5267" s="11" t="s">
        <v>1659</v>
      </c>
      <c r="C5267" s="5">
        <v>59746.832600000002</v>
      </c>
      <c r="D5267" s="5">
        <v>59746.832600000002</v>
      </c>
      <c r="E5267" s="5">
        <v>54101.823700000001</v>
      </c>
      <c r="G5267" s="5" t="str">
        <f t="shared" si="165"/>
        <v>СОВХОЗ</v>
      </c>
      <c r="J5267" s="5"/>
      <c r="AL5267" s="5">
        <f t="shared" si="166"/>
        <v>0</v>
      </c>
    </row>
    <row r="5268" spans="1:38" ht="25.5" customHeight="1" x14ac:dyDescent="0.25">
      <c r="A5268" s="10" t="s">
        <v>4077</v>
      </c>
      <c r="B5268" s="11" t="s">
        <v>1636</v>
      </c>
      <c r="C5268" s="5">
        <v>52246.960299999999</v>
      </c>
      <c r="D5268" s="5">
        <v>52246.960299999999</v>
      </c>
      <c r="E5268" s="5">
        <v>47310.556700000001</v>
      </c>
      <c r="G5268" s="5" t="str">
        <f t="shared" si="165"/>
        <v>ГОРНЫЙ ЩИТ</v>
      </c>
      <c r="J5268" s="5"/>
      <c r="AL5268" s="5">
        <f t="shared" si="166"/>
        <v>0</v>
      </c>
    </row>
    <row r="5269" spans="1:38" ht="25.5" customHeight="1" x14ac:dyDescent="0.25">
      <c r="A5269" s="10" t="s">
        <v>1459</v>
      </c>
      <c r="B5269" s="11" t="s">
        <v>1635</v>
      </c>
      <c r="C5269" s="5">
        <v>57793.0844</v>
      </c>
      <c r="D5269" s="5">
        <v>57793.0844</v>
      </c>
      <c r="E5269" s="5">
        <v>52332.6639</v>
      </c>
      <c r="G5269" s="5" t="str">
        <f t="shared" si="165"/>
        <v>ЛЕЧЕБНЫЙ</v>
      </c>
      <c r="J5269" s="5"/>
      <c r="AL5269" s="5">
        <f t="shared" si="166"/>
        <v>0</v>
      </c>
    </row>
    <row r="5270" spans="1:38" ht="25.5" customHeight="1" x14ac:dyDescent="0.25">
      <c r="A5270" s="10" t="s">
        <v>1323</v>
      </c>
      <c r="B5270" s="11" t="s">
        <v>1631</v>
      </c>
      <c r="C5270" s="5">
        <v>70026.7601</v>
      </c>
      <c r="D5270" s="5">
        <v>70026.7601</v>
      </c>
      <c r="E5270" s="5">
        <v>63410.482000000004</v>
      </c>
      <c r="G5270" s="5" t="str">
        <f t="shared" si="165"/>
        <v>УРАЛМАШ</v>
      </c>
      <c r="J5270" s="5"/>
      <c r="AL5270" s="5">
        <f t="shared" si="166"/>
        <v>0</v>
      </c>
    </row>
    <row r="5271" spans="1:38" ht="25.5" customHeight="1" x14ac:dyDescent="0.25">
      <c r="A5271" s="10" t="s">
        <v>4078</v>
      </c>
      <c r="B5271" s="11" t="s">
        <v>1644</v>
      </c>
      <c r="C5271" s="5">
        <v>61980.678599999999</v>
      </c>
      <c r="D5271" s="5">
        <v>61980.678599999999</v>
      </c>
      <c r="E5271" s="5">
        <v>56124.615700000002</v>
      </c>
      <c r="G5271" s="5" t="str">
        <f t="shared" si="165"/>
        <v>ХИММАШ</v>
      </c>
      <c r="J5271" s="5"/>
      <c r="AL5271" s="5">
        <f t="shared" si="166"/>
        <v>0</v>
      </c>
    </row>
    <row r="5272" spans="1:38" ht="25.5" customHeight="1" x14ac:dyDescent="0.25">
      <c r="A5272" s="10" t="s">
        <v>4079</v>
      </c>
      <c r="B5272" s="11" t="s">
        <v>14</v>
      </c>
      <c r="C5272" s="5">
        <v>93989.912800000006</v>
      </c>
      <c r="D5272" s="5">
        <v>93989.912800000006</v>
      </c>
      <c r="E5272" s="5">
        <v>85109.545199999993</v>
      </c>
      <c r="G5272" s="5" t="str">
        <f t="shared" si="165"/>
        <v>Центр</v>
      </c>
      <c r="J5272" s="5"/>
      <c r="AL5272" s="5">
        <f t="shared" si="166"/>
        <v>0</v>
      </c>
    </row>
    <row r="5273" spans="1:38" ht="25.5" customHeight="1" x14ac:dyDescent="0.25">
      <c r="A5273" s="10" t="s">
        <v>4080</v>
      </c>
      <c r="B5273" s="11" t="s">
        <v>1660</v>
      </c>
      <c r="C5273" s="5">
        <v>53262.345800000003</v>
      </c>
      <c r="D5273" s="5">
        <v>53262.345800000003</v>
      </c>
      <c r="E5273" s="5">
        <v>48230.0095</v>
      </c>
      <c r="G5273" s="5" t="str">
        <f t="shared" si="165"/>
        <v>САДОВЫЙ</v>
      </c>
      <c r="J5273" s="5"/>
      <c r="AL5273" s="5">
        <f t="shared" si="166"/>
        <v>0</v>
      </c>
    </row>
    <row r="5274" spans="1:38" ht="25.5" customHeight="1" x14ac:dyDescent="0.25">
      <c r="A5274" s="10" t="s">
        <v>1421</v>
      </c>
      <c r="B5274" s="11" t="s">
        <v>1654</v>
      </c>
      <c r="C5274" s="5">
        <v>56140.449699999997</v>
      </c>
      <c r="D5274" s="5">
        <v>56140.449699999997</v>
      </c>
      <c r="E5274" s="5">
        <v>50836.1803</v>
      </c>
      <c r="G5274" s="5" t="str">
        <f t="shared" si="165"/>
        <v>ЗАВОКЗАЛЬНЫЙ</v>
      </c>
      <c r="J5274" s="5"/>
      <c r="AL5274" s="5">
        <f t="shared" si="166"/>
        <v>0</v>
      </c>
    </row>
    <row r="5275" spans="1:38" ht="25.5" customHeight="1" x14ac:dyDescent="0.25">
      <c r="A5275" s="10" t="s">
        <v>4081</v>
      </c>
      <c r="B5275" s="11" t="s">
        <v>33</v>
      </c>
      <c r="C5275" s="5">
        <v>84298.205100000006</v>
      </c>
      <c r="D5275" s="5">
        <v>84298.205100000006</v>
      </c>
      <c r="E5275" s="5">
        <v>76333.533100000001</v>
      </c>
      <c r="G5275" s="5" t="str">
        <f t="shared" si="165"/>
        <v>ВИЗ</v>
      </c>
      <c r="J5275" s="5"/>
      <c r="AL5275" s="5">
        <f t="shared" si="166"/>
        <v>0</v>
      </c>
    </row>
    <row r="5276" spans="1:38" ht="25.5" customHeight="1" x14ac:dyDescent="0.25">
      <c r="A5276" s="10" t="s">
        <v>4082</v>
      </c>
      <c r="B5276" s="11" t="s">
        <v>1659</v>
      </c>
      <c r="C5276" s="5">
        <v>59746.832600000002</v>
      </c>
      <c r="D5276" s="5">
        <v>59746.832600000002</v>
      </c>
      <c r="E5276" s="5">
        <v>54101.823700000001</v>
      </c>
      <c r="G5276" s="5" t="str">
        <f t="shared" si="165"/>
        <v>СОВХОЗ</v>
      </c>
      <c r="J5276" s="5"/>
      <c r="AL5276" s="5">
        <f t="shared" si="166"/>
        <v>0</v>
      </c>
    </row>
    <row r="5277" spans="1:38" ht="25.5" customHeight="1" x14ac:dyDescent="0.25">
      <c r="A5277" s="10" t="s">
        <v>4083</v>
      </c>
      <c r="B5277" s="11" t="s">
        <v>1636</v>
      </c>
      <c r="C5277" s="5">
        <v>52246.960299999999</v>
      </c>
      <c r="D5277" s="5">
        <v>52246.960299999999</v>
      </c>
      <c r="E5277" s="5">
        <v>47310.556700000001</v>
      </c>
      <c r="G5277" s="5" t="str">
        <f t="shared" si="165"/>
        <v>ГОРНЫЙ ЩИТ</v>
      </c>
      <c r="J5277" s="5"/>
      <c r="AL5277" s="5">
        <f t="shared" si="166"/>
        <v>0</v>
      </c>
    </row>
    <row r="5278" spans="1:38" ht="25.5" customHeight="1" x14ac:dyDescent="0.25">
      <c r="A5278" s="10" t="s">
        <v>4084</v>
      </c>
      <c r="B5278" s="11" t="s">
        <v>1668</v>
      </c>
      <c r="C5278" s="5">
        <v>51343.6201</v>
      </c>
      <c r="D5278" s="5">
        <v>51343.6201</v>
      </c>
      <c r="E5278" s="5">
        <v>46492.558799999999</v>
      </c>
      <c r="G5278" s="5" t="str">
        <f t="shared" si="165"/>
        <v>МЕДНЫЙ</v>
      </c>
      <c r="J5278" s="5"/>
      <c r="AL5278" s="5">
        <f t="shared" si="166"/>
        <v>0</v>
      </c>
    </row>
    <row r="5279" spans="1:38" ht="25.5" customHeight="1" x14ac:dyDescent="0.25">
      <c r="A5279" s="10" t="s">
        <v>1492</v>
      </c>
      <c r="B5279" s="11" t="s">
        <v>1643</v>
      </c>
      <c r="C5279" s="5">
        <v>76630.280299999999</v>
      </c>
      <c r="D5279" s="5">
        <v>76630.280299999999</v>
      </c>
      <c r="E5279" s="5">
        <v>69390.088799999998</v>
      </c>
      <c r="G5279" s="5" t="str">
        <f t="shared" si="165"/>
        <v>Ю-З</v>
      </c>
      <c r="J5279" s="5"/>
      <c r="AL5279" s="5">
        <f t="shared" si="166"/>
        <v>0</v>
      </c>
    </row>
    <row r="5280" spans="1:38" ht="25.5" customHeight="1" x14ac:dyDescent="0.25">
      <c r="A5280" s="10" t="s">
        <v>4085</v>
      </c>
      <c r="B5280" s="11" t="s">
        <v>1648</v>
      </c>
      <c r="C5280" s="5">
        <v>49782.025399999999</v>
      </c>
      <c r="D5280" s="5">
        <v>49782.025399999999</v>
      </c>
      <c r="E5280" s="5">
        <v>45078.506800000003</v>
      </c>
      <c r="G5280" s="5" t="str">
        <f t="shared" si="165"/>
        <v>ЧУСОВСКОЕ ОЗЕРО</v>
      </c>
      <c r="J5280" s="5"/>
      <c r="AL5280" s="5">
        <f t="shared" si="166"/>
        <v>0</v>
      </c>
    </row>
    <row r="5281" spans="1:38" ht="25.5" customHeight="1" x14ac:dyDescent="0.25">
      <c r="A5281" s="10" t="s">
        <v>4086</v>
      </c>
      <c r="B5281" s="11" t="s">
        <v>1667</v>
      </c>
      <c r="C5281" s="5">
        <v>56546.599699999999</v>
      </c>
      <c r="D5281" s="5">
        <v>56546.599699999999</v>
      </c>
      <c r="E5281" s="5">
        <v>51203.963499999998</v>
      </c>
      <c r="G5281" s="5" t="str">
        <f t="shared" si="165"/>
        <v>КАЛИНОВСКИЙ</v>
      </c>
      <c r="J5281" s="5"/>
      <c r="AL5281" s="5">
        <f t="shared" si="166"/>
        <v>0</v>
      </c>
    </row>
    <row r="5282" spans="1:38" ht="25.5" customHeight="1" x14ac:dyDescent="0.25">
      <c r="A5282" s="10" t="s">
        <v>4087</v>
      </c>
      <c r="B5282" s="11" t="s">
        <v>1631</v>
      </c>
      <c r="C5282" s="5">
        <v>70026.7601</v>
      </c>
      <c r="D5282" s="5">
        <v>70026.7601</v>
      </c>
      <c r="E5282" s="5">
        <v>63410.482000000004</v>
      </c>
      <c r="G5282" s="5" t="str">
        <f t="shared" si="165"/>
        <v>УРАЛМАШ</v>
      </c>
      <c r="J5282" s="5"/>
      <c r="AL5282" s="5">
        <f t="shared" si="166"/>
        <v>0</v>
      </c>
    </row>
    <row r="5283" spans="1:38" ht="25.5" customHeight="1" x14ac:dyDescent="0.25">
      <c r="A5283" s="10" t="s">
        <v>4088</v>
      </c>
      <c r="B5283" s="11" t="s">
        <v>33</v>
      </c>
      <c r="C5283" s="5">
        <v>84298.205100000006</v>
      </c>
      <c r="D5283" s="5">
        <v>84298.205100000006</v>
      </c>
      <c r="E5283" s="5">
        <v>76333.533100000001</v>
      </c>
      <c r="G5283" s="5" t="str">
        <f t="shared" si="165"/>
        <v>ВИЗ</v>
      </c>
      <c r="J5283" s="5"/>
      <c r="AL5283" s="5">
        <f t="shared" si="166"/>
        <v>0</v>
      </c>
    </row>
    <row r="5284" spans="1:38" ht="25.5" customHeight="1" x14ac:dyDescent="0.25">
      <c r="A5284" s="10" t="s">
        <v>4089</v>
      </c>
      <c r="B5284" s="11" t="s">
        <v>1660</v>
      </c>
      <c r="C5284" s="5">
        <v>53262.345800000003</v>
      </c>
      <c r="D5284" s="5">
        <v>53262.345800000003</v>
      </c>
      <c r="E5284" s="5">
        <v>48230.0095</v>
      </c>
      <c r="G5284" s="5" t="str">
        <f t="shared" si="165"/>
        <v>САДОВЫЙ</v>
      </c>
      <c r="J5284" s="5"/>
      <c r="AL5284" s="5">
        <f t="shared" si="166"/>
        <v>0</v>
      </c>
    </row>
    <row r="5285" spans="1:38" ht="25.5" customHeight="1" x14ac:dyDescent="0.25">
      <c r="A5285" s="10" t="s">
        <v>1001</v>
      </c>
      <c r="B5285" s="11" t="s">
        <v>1647</v>
      </c>
      <c r="C5285" s="5">
        <v>63178.133800000003</v>
      </c>
      <c r="D5285" s="5">
        <v>63178.133800000003</v>
      </c>
      <c r="E5285" s="5">
        <v>57208.931499999999</v>
      </c>
      <c r="G5285" s="5" t="str">
        <f t="shared" si="165"/>
        <v>ШИРОКАЯ РЕЧКА</v>
      </c>
      <c r="J5285" s="5"/>
      <c r="AL5285" s="5">
        <f t="shared" si="166"/>
        <v>0</v>
      </c>
    </row>
    <row r="5286" spans="1:38" ht="25.5" customHeight="1" x14ac:dyDescent="0.25">
      <c r="A5286" s="10" t="s">
        <v>1103</v>
      </c>
      <c r="B5286" s="11" t="s">
        <v>1632</v>
      </c>
      <c r="C5286" s="5">
        <v>83744.997499999998</v>
      </c>
      <c r="D5286" s="5">
        <v>83744.997499999998</v>
      </c>
      <c r="E5286" s="5">
        <v>75832.596099999995</v>
      </c>
      <c r="G5286" s="5" t="str">
        <f t="shared" si="165"/>
        <v>АВТОВОКЗАЛ</v>
      </c>
      <c r="J5286" s="5"/>
      <c r="AL5286" s="5">
        <f t="shared" si="166"/>
        <v>0</v>
      </c>
    </row>
    <row r="5287" spans="1:38" ht="25.5" customHeight="1" x14ac:dyDescent="0.25">
      <c r="A5287" s="10" t="s">
        <v>4090</v>
      </c>
      <c r="B5287" s="11" t="s">
        <v>1637</v>
      </c>
      <c r="C5287" s="5">
        <v>59368.686099999999</v>
      </c>
      <c r="D5287" s="5">
        <v>59368.686099999999</v>
      </c>
      <c r="E5287" s="5">
        <v>53759.401700000002</v>
      </c>
      <c r="G5287" s="5" t="str">
        <f t="shared" si="165"/>
        <v>Старая сортировка</v>
      </c>
      <c r="J5287" s="5"/>
      <c r="AL5287" s="5">
        <f t="shared" si="166"/>
        <v>0</v>
      </c>
    </row>
    <row r="5288" spans="1:38" ht="25.5" customHeight="1" x14ac:dyDescent="0.25">
      <c r="A5288" s="10" t="s">
        <v>1553</v>
      </c>
      <c r="B5288" s="11" t="s">
        <v>1643</v>
      </c>
      <c r="C5288" s="5">
        <v>76630.280299999999</v>
      </c>
      <c r="D5288" s="5">
        <v>76630.280299999999</v>
      </c>
      <c r="E5288" s="5">
        <v>69390.088799999998</v>
      </c>
      <c r="G5288" s="5" t="str">
        <f t="shared" si="165"/>
        <v>Ю-З</v>
      </c>
      <c r="J5288" s="5"/>
      <c r="AL5288" s="5">
        <f t="shared" si="166"/>
        <v>0</v>
      </c>
    </row>
    <row r="5289" spans="1:38" ht="25.5" customHeight="1" x14ac:dyDescent="0.25">
      <c r="A5289" s="10" t="s">
        <v>999</v>
      </c>
      <c r="B5289" s="11" t="s">
        <v>1647</v>
      </c>
      <c r="C5289" s="5">
        <v>63178.133800000003</v>
      </c>
      <c r="D5289" s="5">
        <v>63178.133800000003</v>
      </c>
      <c r="E5289" s="5">
        <v>57208.931499999999</v>
      </c>
      <c r="G5289" s="5" t="str">
        <f t="shared" si="165"/>
        <v>ШИРОКАЯ РЕЧКА</v>
      </c>
      <c r="J5289" s="5"/>
      <c r="AL5289" s="5">
        <f t="shared" si="166"/>
        <v>0</v>
      </c>
    </row>
    <row r="5290" spans="1:38" ht="25.5" customHeight="1" x14ac:dyDescent="0.25">
      <c r="A5290" s="10" t="s">
        <v>4091</v>
      </c>
      <c r="B5290" s="11" t="s">
        <v>1635</v>
      </c>
      <c r="C5290" s="5">
        <v>57793.0844</v>
      </c>
      <c r="D5290" s="5">
        <v>57793.0844</v>
      </c>
      <c r="E5290" s="5">
        <v>52332.6639</v>
      </c>
      <c r="G5290" s="5" t="str">
        <f t="shared" si="165"/>
        <v>ЛЕЧЕБНЫЙ</v>
      </c>
      <c r="J5290" s="5"/>
      <c r="AL5290" s="5">
        <f t="shared" si="166"/>
        <v>0</v>
      </c>
    </row>
    <row r="5291" spans="1:38" ht="25.5" customHeight="1" x14ac:dyDescent="0.25">
      <c r="A5291" s="10" t="s">
        <v>4092</v>
      </c>
      <c r="B5291" s="11" t="s">
        <v>1636</v>
      </c>
      <c r="C5291" s="5">
        <v>52246.960299999999</v>
      </c>
      <c r="D5291" s="5">
        <v>52246.960299999999</v>
      </c>
      <c r="E5291" s="5">
        <v>47310.556700000001</v>
      </c>
      <c r="G5291" s="5" t="str">
        <f t="shared" si="165"/>
        <v>ГОРНЫЙ ЩИТ</v>
      </c>
      <c r="J5291" s="5"/>
      <c r="AL5291" s="5">
        <f t="shared" si="166"/>
        <v>0</v>
      </c>
    </row>
    <row r="5292" spans="1:38" ht="25.5" customHeight="1" x14ac:dyDescent="0.25">
      <c r="A5292" s="10" t="s">
        <v>4093</v>
      </c>
      <c r="B5292" s="11" t="s">
        <v>1651</v>
      </c>
      <c r="C5292" s="5">
        <v>68129.029500000004</v>
      </c>
      <c r="D5292" s="5">
        <v>68129.029500000004</v>
      </c>
      <c r="E5292" s="5">
        <v>61692.054799999998</v>
      </c>
      <c r="G5292" s="5" t="str">
        <f t="shared" si="165"/>
        <v>ШАРТАШ</v>
      </c>
      <c r="J5292" s="5"/>
      <c r="AL5292" s="5">
        <f t="shared" si="166"/>
        <v>0</v>
      </c>
    </row>
    <row r="5293" spans="1:38" ht="25.5" customHeight="1" x14ac:dyDescent="0.25">
      <c r="A5293" s="10" t="s">
        <v>657</v>
      </c>
      <c r="B5293" s="11" t="s">
        <v>1650</v>
      </c>
      <c r="C5293" s="5">
        <v>37590.3603</v>
      </c>
      <c r="D5293" s="5">
        <v>37590.3603</v>
      </c>
      <c r="E5293" s="5">
        <v>34038.745900000002</v>
      </c>
      <c r="G5293" s="5" t="str">
        <f t="shared" si="165"/>
        <v>ШАБРОВСКИЙ</v>
      </c>
      <c r="J5293" s="5"/>
      <c r="AL5293" s="5">
        <f t="shared" si="166"/>
        <v>0</v>
      </c>
    </row>
    <row r="5294" spans="1:38" ht="25.5" customHeight="1" x14ac:dyDescent="0.25">
      <c r="A5294" s="10" t="s">
        <v>1088</v>
      </c>
      <c r="B5294" s="11" t="s">
        <v>1653</v>
      </c>
      <c r="C5294" s="5">
        <v>56847.723400000003</v>
      </c>
      <c r="D5294" s="5">
        <v>56847.723400000003</v>
      </c>
      <c r="E5294" s="5">
        <v>51476.629399999998</v>
      </c>
      <c r="G5294" s="5" t="str">
        <f t="shared" si="165"/>
        <v>ПТИЦЕФАБРИКА</v>
      </c>
      <c r="J5294" s="5"/>
      <c r="AL5294" s="5">
        <f t="shared" si="166"/>
        <v>0</v>
      </c>
    </row>
    <row r="5295" spans="1:38" ht="25.5" customHeight="1" x14ac:dyDescent="0.25">
      <c r="A5295" s="10" t="s">
        <v>897</v>
      </c>
      <c r="B5295" s="11" t="s">
        <v>1645</v>
      </c>
      <c r="C5295" s="5">
        <v>60958.294800000003</v>
      </c>
      <c r="D5295" s="5">
        <v>60958.294800000003</v>
      </c>
      <c r="E5295" s="5">
        <v>55198.825199999999</v>
      </c>
      <c r="G5295" s="5" t="str">
        <f t="shared" si="165"/>
        <v>ЕЛИЗАВЕТ</v>
      </c>
      <c r="J5295" s="5"/>
      <c r="AL5295" s="5">
        <f t="shared" si="166"/>
        <v>0</v>
      </c>
    </row>
    <row r="5296" spans="1:38" ht="25.5" customHeight="1" x14ac:dyDescent="0.25">
      <c r="A5296" s="10" t="s">
        <v>4094</v>
      </c>
      <c r="B5296" s="11" t="s">
        <v>1647</v>
      </c>
      <c r="C5296" s="5">
        <v>63178.133800000003</v>
      </c>
      <c r="D5296" s="5">
        <v>63178.133800000003</v>
      </c>
      <c r="E5296" s="5">
        <v>57208.931499999999</v>
      </c>
      <c r="G5296" s="5" t="str">
        <f t="shared" si="165"/>
        <v>ШИРОКАЯ РЕЧКА</v>
      </c>
      <c r="J5296" s="5"/>
      <c r="AL5296" s="5">
        <f t="shared" si="166"/>
        <v>0</v>
      </c>
    </row>
    <row r="5297" spans="1:38" ht="25.5" customHeight="1" x14ac:dyDescent="0.25">
      <c r="A5297" s="10" t="s">
        <v>1159</v>
      </c>
      <c r="B5297" s="11" t="s">
        <v>1631</v>
      </c>
      <c r="C5297" s="5">
        <v>70026.7601</v>
      </c>
      <c r="D5297" s="5">
        <v>70026.7601</v>
      </c>
      <c r="E5297" s="5">
        <v>63410.482000000004</v>
      </c>
      <c r="G5297" s="5" t="str">
        <f t="shared" si="165"/>
        <v>УРАЛМАШ</v>
      </c>
      <c r="J5297" s="5"/>
      <c r="AL5297" s="5">
        <f t="shared" si="166"/>
        <v>0</v>
      </c>
    </row>
    <row r="5298" spans="1:38" ht="25.5" customHeight="1" x14ac:dyDescent="0.25">
      <c r="A5298" s="10" t="s">
        <v>4095</v>
      </c>
      <c r="B5298" s="11" t="s">
        <v>1659</v>
      </c>
      <c r="C5298" s="5">
        <v>59746.832600000002</v>
      </c>
      <c r="D5298" s="5">
        <v>59746.832600000002</v>
      </c>
      <c r="E5298" s="5">
        <v>54101.823700000001</v>
      </c>
      <c r="G5298" s="5" t="str">
        <f t="shared" si="165"/>
        <v>СОВХОЗ</v>
      </c>
      <c r="J5298" s="5"/>
      <c r="AL5298" s="5">
        <f t="shared" si="166"/>
        <v>0</v>
      </c>
    </row>
    <row r="5299" spans="1:38" ht="25.5" customHeight="1" x14ac:dyDescent="0.25">
      <c r="A5299" s="10" t="s">
        <v>4096</v>
      </c>
      <c r="B5299" s="11" t="s">
        <v>1657</v>
      </c>
      <c r="C5299" s="5">
        <v>54886.9666</v>
      </c>
      <c r="D5299" s="5">
        <v>54886.9666</v>
      </c>
      <c r="E5299" s="5">
        <v>49701.1319</v>
      </c>
      <c r="G5299" s="5" t="str">
        <f t="shared" si="165"/>
        <v>КОЛЬЦОВО</v>
      </c>
      <c r="J5299" s="5"/>
      <c r="AL5299" s="5">
        <f t="shared" si="166"/>
        <v>0</v>
      </c>
    </row>
    <row r="5300" spans="1:38" ht="25.5" customHeight="1" x14ac:dyDescent="0.25">
      <c r="A5300" s="10" t="s">
        <v>4097</v>
      </c>
      <c r="B5300" s="11" t="s">
        <v>1635</v>
      </c>
      <c r="C5300" s="5">
        <v>57793.0844</v>
      </c>
      <c r="D5300" s="5">
        <v>57793.0844</v>
      </c>
      <c r="E5300" s="5">
        <v>52332.6639</v>
      </c>
      <c r="G5300" s="5" t="str">
        <f t="shared" si="165"/>
        <v>ЛЕЧЕБНЫЙ</v>
      </c>
      <c r="J5300" s="5"/>
      <c r="AL5300" s="5">
        <f t="shared" si="166"/>
        <v>0</v>
      </c>
    </row>
    <row r="5301" spans="1:38" ht="25.5" customHeight="1" x14ac:dyDescent="0.25">
      <c r="A5301" s="10" t="s">
        <v>4098</v>
      </c>
      <c r="B5301" s="11" t="s">
        <v>14</v>
      </c>
      <c r="C5301" s="5">
        <v>93989.912800000006</v>
      </c>
      <c r="D5301" s="5">
        <v>93989.912800000006</v>
      </c>
      <c r="E5301" s="5">
        <v>85109.545199999993</v>
      </c>
      <c r="G5301" s="5" t="str">
        <f t="shared" si="165"/>
        <v>Центр</v>
      </c>
      <c r="J5301" s="5"/>
      <c r="AL5301" s="5">
        <f t="shared" si="166"/>
        <v>0</v>
      </c>
    </row>
    <row r="5302" spans="1:38" ht="25.5" customHeight="1" x14ac:dyDescent="0.25">
      <c r="A5302" s="10" t="s">
        <v>4099</v>
      </c>
      <c r="B5302" s="11" t="s">
        <v>1631</v>
      </c>
      <c r="C5302" s="5">
        <v>70026.7601</v>
      </c>
      <c r="D5302" s="5">
        <v>70026.7601</v>
      </c>
      <c r="E5302" s="5">
        <v>63410.482000000004</v>
      </c>
      <c r="G5302" s="5" t="str">
        <f t="shared" si="165"/>
        <v>УРАЛМАШ</v>
      </c>
      <c r="J5302" s="5"/>
      <c r="AL5302" s="5">
        <f t="shared" si="166"/>
        <v>0</v>
      </c>
    </row>
    <row r="5303" spans="1:38" ht="25.5" customHeight="1" x14ac:dyDescent="0.25">
      <c r="A5303" s="10" t="s">
        <v>4100</v>
      </c>
      <c r="B5303" s="11" t="s">
        <v>1636</v>
      </c>
      <c r="C5303" s="5">
        <v>52246.960299999999</v>
      </c>
      <c r="D5303" s="5">
        <v>52246.960299999999</v>
      </c>
      <c r="E5303" s="5">
        <v>47310.556700000001</v>
      </c>
      <c r="G5303" s="5" t="str">
        <f t="shared" si="165"/>
        <v>ГОРНЫЙ ЩИТ</v>
      </c>
      <c r="J5303" s="5"/>
      <c r="AL5303" s="5">
        <f t="shared" si="166"/>
        <v>0</v>
      </c>
    </row>
    <row r="5304" spans="1:38" ht="25.5" customHeight="1" x14ac:dyDescent="0.25">
      <c r="A5304" s="10" t="s">
        <v>4101</v>
      </c>
      <c r="B5304" s="11" t="s">
        <v>1628</v>
      </c>
      <c r="C5304" s="5">
        <v>70734.0236</v>
      </c>
      <c r="D5304" s="5">
        <v>70734.0236</v>
      </c>
      <c r="E5304" s="5">
        <v>64050.9208</v>
      </c>
      <c r="G5304" s="5" t="str">
        <f t="shared" si="165"/>
        <v>ЭЛЬМАШ</v>
      </c>
      <c r="J5304" s="5"/>
      <c r="AL5304" s="5">
        <f t="shared" si="166"/>
        <v>0</v>
      </c>
    </row>
    <row r="5305" spans="1:38" ht="25.5" customHeight="1" x14ac:dyDescent="0.25">
      <c r="A5305" s="10" t="s">
        <v>4102</v>
      </c>
      <c r="B5305" s="11" t="s">
        <v>1637</v>
      </c>
      <c r="C5305" s="5">
        <v>59368.686099999999</v>
      </c>
      <c r="D5305" s="5">
        <v>59368.686099999999</v>
      </c>
      <c r="E5305" s="5">
        <v>53759.401700000002</v>
      </c>
      <c r="G5305" s="5" t="str">
        <f t="shared" si="165"/>
        <v>Старая сортировка</v>
      </c>
      <c r="J5305" s="5"/>
      <c r="AL5305" s="5">
        <f t="shared" si="166"/>
        <v>0</v>
      </c>
    </row>
    <row r="5306" spans="1:38" ht="25.5" customHeight="1" x14ac:dyDescent="0.25">
      <c r="A5306" s="10" t="s">
        <v>1319</v>
      </c>
      <c r="B5306" s="11" t="s">
        <v>1643</v>
      </c>
      <c r="C5306" s="5">
        <v>76630.280299999999</v>
      </c>
      <c r="D5306" s="5">
        <v>76630.280299999999</v>
      </c>
      <c r="E5306" s="5">
        <v>69390.088799999998</v>
      </c>
      <c r="G5306" s="5" t="str">
        <f t="shared" si="165"/>
        <v>Ю-З</v>
      </c>
      <c r="J5306" s="5"/>
      <c r="AL5306" s="5">
        <f t="shared" si="166"/>
        <v>0</v>
      </c>
    </row>
    <row r="5307" spans="1:38" ht="25.5" customHeight="1" x14ac:dyDescent="0.25">
      <c r="A5307" s="10" t="s">
        <v>1275</v>
      </c>
      <c r="B5307" s="11" t="s">
        <v>1636</v>
      </c>
      <c r="C5307" s="5">
        <v>52246.960299999999</v>
      </c>
      <c r="D5307" s="5">
        <v>52246.960299999999</v>
      </c>
      <c r="E5307" s="5">
        <v>47310.556700000001</v>
      </c>
      <c r="G5307" s="5" t="str">
        <f t="shared" si="165"/>
        <v>ГОРНЫЙ ЩИТ</v>
      </c>
      <c r="J5307" s="5"/>
      <c r="AL5307" s="5">
        <f t="shared" si="166"/>
        <v>0</v>
      </c>
    </row>
    <row r="5308" spans="1:38" ht="25.5" customHeight="1" x14ac:dyDescent="0.25">
      <c r="A5308" s="10" t="s">
        <v>4103</v>
      </c>
      <c r="B5308" s="11" t="s">
        <v>1643</v>
      </c>
      <c r="C5308" s="5">
        <v>76630.280299999999</v>
      </c>
      <c r="D5308" s="5">
        <v>76630.280299999999</v>
      </c>
      <c r="E5308" s="5">
        <v>69390.088799999998</v>
      </c>
      <c r="G5308" s="5" t="str">
        <f t="shared" si="165"/>
        <v>Ю-З</v>
      </c>
      <c r="J5308" s="5"/>
      <c r="AL5308" s="5">
        <f t="shared" si="166"/>
        <v>0</v>
      </c>
    </row>
    <row r="5309" spans="1:38" ht="25.5" customHeight="1" x14ac:dyDescent="0.25">
      <c r="A5309" s="10" t="s">
        <v>4104</v>
      </c>
      <c r="B5309" s="11" t="s">
        <v>1631</v>
      </c>
      <c r="C5309" s="5">
        <v>70026.7601</v>
      </c>
      <c r="D5309" s="5">
        <v>70026.7601</v>
      </c>
      <c r="E5309" s="5">
        <v>63410.482000000004</v>
      </c>
      <c r="G5309" s="5" t="str">
        <f t="shared" si="165"/>
        <v>УРАЛМАШ</v>
      </c>
      <c r="J5309" s="5"/>
      <c r="AL5309" s="5">
        <f t="shared" si="166"/>
        <v>0</v>
      </c>
    </row>
    <row r="5310" spans="1:38" ht="25.5" customHeight="1" x14ac:dyDescent="0.25">
      <c r="A5310" s="10" t="s">
        <v>4105</v>
      </c>
      <c r="B5310" s="11" t="s">
        <v>1631</v>
      </c>
      <c r="C5310" s="5">
        <v>70026.7601</v>
      </c>
      <c r="D5310" s="5">
        <v>70026.7601</v>
      </c>
      <c r="E5310" s="5">
        <v>63410.482000000004</v>
      </c>
      <c r="G5310" s="5" t="str">
        <f t="shared" si="165"/>
        <v>УРАЛМАШ</v>
      </c>
      <c r="J5310" s="5"/>
      <c r="AL5310" s="5">
        <f t="shared" si="166"/>
        <v>0</v>
      </c>
    </row>
    <row r="5311" spans="1:38" ht="25.5" customHeight="1" x14ac:dyDescent="0.25">
      <c r="A5311" s="10" t="s">
        <v>4106</v>
      </c>
      <c r="B5311" s="11" t="s">
        <v>1631</v>
      </c>
      <c r="C5311" s="5">
        <v>70026.7601</v>
      </c>
      <c r="D5311" s="5">
        <v>70026.7601</v>
      </c>
      <c r="E5311" s="5">
        <v>63410.482000000004</v>
      </c>
      <c r="G5311" s="5" t="str">
        <f t="shared" ref="G5311:G5374" si="167">B5311</f>
        <v>УРАЛМАШ</v>
      </c>
      <c r="J5311" s="5"/>
      <c r="AL5311" s="5">
        <f t="shared" ref="AL5311:AL5374" si="168">AF5311</f>
        <v>0</v>
      </c>
    </row>
    <row r="5312" spans="1:38" ht="25.5" customHeight="1" x14ac:dyDescent="0.25">
      <c r="A5312" s="10" t="s">
        <v>4107</v>
      </c>
      <c r="B5312" s="11" t="s">
        <v>1647</v>
      </c>
      <c r="C5312" s="5">
        <v>63178.133800000003</v>
      </c>
      <c r="D5312" s="5">
        <v>63178.133800000003</v>
      </c>
      <c r="E5312" s="5">
        <v>57208.931499999999</v>
      </c>
      <c r="G5312" s="5" t="str">
        <f t="shared" si="167"/>
        <v>ШИРОКАЯ РЕЧКА</v>
      </c>
      <c r="J5312" s="5"/>
      <c r="AL5312" s="5">
        <f t="shared" si="168"/>
        <v>0</v>
      </c>
    </row>
    <row r="5313" spans="1:38" ht="25.5" customHeight="1" x14ac:dyDescent="0.25">
      <c r="A5313" s="10" t="s">
        <v>457</v>
      </c>
      <c r="B5313" s="11" t="s">
        <v>1632</v>
      </c>
      <c r="C5313" s="5">
        <v>83744.997499999998</v>
      </c>
      <c r="D5313" s="5">
        <v>83744.997499999998</v>
      </c>
      <c r="E5313" s="5">
        <v>75832.596099999995</v>
      </c>
      <c r="G5313" s="5" t="str">
        <f t="shared" si="167"/>
        <v>АВТОВОКЗАЛ</v>
      </c>
      <c r="J5313" s="5"/>
      <c r="AL5313" s="5">
        <f t="shared" si="168"/>
        <v>0</v>
      </c>
    </row>
    <row r="5314" spans="1:38" ht="25.5" customHeight="1" x14ac:dyDescent="0.25">
      <c r="A5314" s="10" t="s">
        <v>4108</v>
      </c>
      <c r="B5314" s="11" t="s">
        <v>1645</v>
      </c>
      <c r="C5314" s="5">
        <v>60958.294800000003</v>
      </c>
      <c r="D5314" s="5">
        <v>60958.294800000003</v>
      </c>
      <c r="E5314" s="5">
        <v>55198.825199999999</v>
      </c>
      <c r="G5314" s="5" t="str">
        <f t="shared" si="167"/>
        <v>ЕЛИЗАВЕТ</v>
      </c>
      <c r="J5314" s="5"/>
      <c r="AL5314" s="5">
        <f t="shared" si="168"/>
        <v>0</v>
      </c>
    </row>
    <row r="5315" spans="1:38" ht="25.5" customHeight="1" x14ac:dyDescent="0.25">
      <c r="A5315" s="10" t="s">
        <v>636</v>
      </c>
      <c r="B5315" s="11" t="s">
        <v>1633</v>
      </c>
      <c r="C5315" s="5">
        <v>77071.442599999995</v>
      </c>
      <c r="D5315" s="5">
        <v>77071.442599999995</v>
      </c>
      <c r="E5315" s="5">
        <v>69789.570900000006</v>
      </c>
      <c r="G5315" s="5" t="str">
        <f t="shared" si="167"/>
        <v>ВТУЗГОРОДОК</v>
      </c>
      <c r="J5315" s="5"/>
      <c r="AL5315" s="5">
        <f t="shared" si="168"/>
        <v>0</v>
      </c>
    </row>
    <row r="5316" spans="1:38" ht="25.5" customHeight="1" x14ac:dyDescent="0.25">
      <c r="A5316" s="10" t="s">
        <v>4109</v>
      </c>
      <c r="B5316" s="11" t="s">
        <v>1635</v>
      </c>
      <c r="C5316" s="5">
        <v>57793.0844</v>
      </c>
      <c r="D5316" s="5">
        <v>57793.0844</v>
      </c>
      <c r="E5316" s="5">
        <v>52332.6639</v>
      </c>
      <c r="G5316" s="5" t="str">
        <f t="shared" si="167"/>
        <v>ЛЕЧЕБНЫЙ</v>
      </c>
      <c r="J5316" s="5"/>
      <c r="AL5316" s="5">
        <f t="shared" si="168"/>
        <v>0</v>
      </c>
    </row>
    <row r="5317" spans="1:38" ht="25.5" customHeight="1" x14ac:dyDescent="0.25">
      <c r="A5317" s="10" t="s">
        <v>896</v>
      </c>
      <c r="B5317" s="11" t="s">
        <v>1630</v>
      </c>
      <c r="C5317" s="5">
        <v>62652.9401</v>
      </c>
      <c r="D5317" s="5">
        <v>62652.9401</v>
      </c>
      <c r="E5317" s="5">
        <v>56733.3557</v>
      </c>
      <c r="G5317" s="5" t="str">
        <f t="shared" si="167"/>
        <v>ЧЕРМЕТ</v>
      </c>
      <c r="J5317" s="5"/>
      <c r="AL5317" s="5">
        <f t="shared" si="168"/>
        <v>0</v>
      </c>
    </row>
    <row r="5318" spans="1:38" ht="25.5" customHeight="1" x14ac:dyDescent="0.25">
      <c r="A5318" s="10" t="s">
        <v>1441</v>
      </c>
      <c r="B5318" s="11" t="s">
        <v>1661</v>
      </c>
      <c r="C5318" s="5">
        <v>51175.5573</v>
      </c>
      <c r="D5318" s="5">
        <v>51175.5573</v>
      </c>
      <c r="E5318" s="5">
        <v>46340.381600000001</v>
      </c>
      <c r="G5318" s="5" t="str">
        <f t="shared" si="167"/>
        <v>СЕВЕРКА</v>
      </c>
      <c r="J5318" s="5"/>
      <c r="AL5318" s="5">
        <f t="shared" si="168"/>
        <v>0</v>
      </c>
    </row>
    <row r="5319" spans="1:38" ht="25.5" customHeight="1" x14ac:dyDescent="0.25">
      <c r="A5319" s="10" t="s">
        <v>1273</v>
      </c>
      <c r="B5319" s="11" t="s">
        <v>1657</v>
      </c>
      <c r="C5319" s="5">
        <v>54886.9666</v>
      </c>
      <c r="D5319" s="5">
        <v>54886.9666</v>
      </c>
      <c r="E5319" s="5">
        <v>49701.1319</v>
      </c>
      <c r="G5319" s="5" t="str">
        <f t="shared" si="167"/>
        <v>КОЛЬЦОВО</v>
      </c>
      <c r="J5319" s="5"/>
      <c r="AL5319" s="5">
        <f t="shared" si="168"/>
        <v>0</v>
      </c>
    </row>
    <row r="5320" spans="1:38" ht="25.5" customHeight="1" x14ac:dyDescent="0.25">
      <c r="A5320" s="10" t="s">
        <v>597</v>
      </c>
      <c r="B5320" s="11" t="s">
        <v>1650</v>
      </c>
      <c r="C5320" s="5">
        <v>37590.3603</v>
      </c>
      <c r="D5320" s="5">
        <v>37590.3603</v>
      </c>
      <c r="E5320" s="5">
        <v>34038.745900000002</v>
      </c>
      <c r="G5320" s="5" t="str">
        <f t="shared" si="167"/>
        <v>ШАБРОВСКИЙ</v>
      </c>
      <c r="J5320" s="5"/>
      <c r="AL5320" s="5">
        <f t="shared" si="168"/>
        <v>0</v>
      </c>
    </row>
    <row r="5321" spans="1:38" ht="25.5" customHeight="1" x14ac:dyDescent="0.25">
      <c r="A5321" s="10" t="s">
        <v>4110</v>
      </c>
      <c r="B5321" s="11" t="s">
        <v>1668</v>
      </c>
      <c r="C5321" s="5">
        <v>51343.6201</v>
      </c>
      <c r="D5321" s="5">
        <v>51343.6201</v>
      </c>
      <c r="E5321" s="5">
        <v>46492.558799999999</v>
      </c>
      <c r="G5321" s="5" t="str">
        <f t="shared" si="167"/>
        <v>МЕДНЫЙ</v>
      </c>
      <c r="J5321" s="5"/>
      <c r="AL5321" s="5">
        <f t="shared" si="168"/>
        <v>0</v>
      </c>
    </row>
    <row r="5322" spans="1:38" ht="25.5" customHeight="1" x14ac:dyDescent="0.25">
      <c r="A5322" s="10" t="s">
        <v>1576</v>
      </c>
      <c r="B5322" s="11" t="s">
        <v>1637</v>
      </c>
      <c r="C5322" s="5">
        <v>59368.686099999999</v>
      </c>
      <c r="D5322" s="5">
        <v>59368.686099999999</v>
      </c>
      <c r="E5322" s="5">
        <v>53759.401700000002</v>
      </c>
      <c r="G5322" s="5" t="str">
        <f t="shared" si="167"/>
        <v>Старая сортировка</v>
      </c>
      <c r="J5322" s="5"/>
      <c r="AL5322" s="5">
        <f t="shared" si="168"/>
        <v>0</v>
      </c>
    </row>
    <row r="5323" spans="1:38" ht="25.5" customHeight="1" x14ac:dyDescent="0.25">
      <c r="A5323" s="10" t="s">
        <v>4111</v>
      </c>
      <c r="B5323" s="11" t="s">
        <v>1637</v>
      </c>
      <c r="C5323" s="5">
        <v>59368.686099999999</v>
      </c>
      <c r="D5323" s="5">
        <v>59368.686099999999</v>
      </c>
      <c r="E5323" s="5">
        <v>53759.401700000002</v>
      </c>
      <c r="G5323" s="5" t="str">
        <f t="shared" si="167"/>
        <v>Старая сортировка</v>
      </c>
      <c r="J5323" s="5"/>
      <c r="AL5323" s="5">
        <f t="shared" si="168"/>
        <v>0</v>
      </c>
    </row>
    <row r="5324" spans="1:38" ht="25.5" customHeight="1" x14ac:dyDescent="0.25">
      <c r="A5324" s="10" t="s">
        <v>687</v>
      </c>
      <c r="B5324" s="11" t="s">
        <v>1642</v>
      </c>
      <c r="C5324" s="5">
        <v>81392.097599999994</v>
      </c>
      <c r="D5324" s="5">
        <v>81392.097599999994</v>
      </c>
      <c r="E5324" s="5">
        <v>73702.001099999994</v>
      </c>
      <c r="G5324" s="5" t="str">
        <f t="shared" si="167"/>
        <v>ПАРКОВЫЙ</v>
      </c>
      <c r="J5324" s="5"/>
      <c r="AL5324" s="5">
        <f t="shared" si="168"/>
        <v>0</v>
      </c>
    </row>
    <row r="5325" spans="1:38" ht="25.5" customHeight="1" x14ac:dyDescent="0.25">
      <c r="A5325" s="10" t="s">
        <v>1217</v>
      </c>
      <c r="B5325" s="11" t="s">
        <v>1647</v>
      </c>
      <c r="C5325" s="5">
        <v>63178.133800000003</v>
      </c>
      <c r="D5325" s="5">
        <v>63178.133800000003</v>
      </c>
      <c r="E5325" s="5">
        <v>57208.931499999999</v>
      </c>
      <c r="G5325" s="5" t="str">
        <f t="shared" si="167"/>
        <v>ШИРОКАЯ РЕЧКА</v>
      </c>
      <c r="J5325" s="5"/>
      <c r="AL5325" s="5">
        <f t="shared" si="168"/>
        <v>0</v>
      </c>
    </row>
    <row r="5326" spans="1:38" ht="25.5" customHeight="1" x14ac:dyDescent="0.25">
      <c r="A5326" s="10" t="s">
        <v>1505</v>
      </c>
      <c r="B5326" s="11" t="s">
        <v>1635</v>
      </c>
      <c r="C5326" s="5">
        <v>57793.0844</v>
      </c>
      <c r="D5326" s="5">
        <v>57793.0844</v>
      </c>
      <c r="E5326" s="5">
        <v>52332.6639</v>
      </c>
      <c r="G5326" s="5" t="str">
        <f t="shared" si="167"/>
        <v>ЛЕЧЕБНЫЙ</v>
      </c>
      <c r="J5326" s="5"/>
      <c r="AL5326" s="5">
        <f t="shared" si="168"/>
        <v>0</v>
      </c>
    </row>
    <row r="5327" spans="1:38" ht="25.5" customHeight="1" x14ac:dyDescent="0.25">
      <c r="A5327" s="10" t="s">
        <v>4112</v>
      </c>
      <c r="B5327" s="11" t="s">
        <v>33</v>
      </c>
      <c r="C5327" s="5">
        <v>84298.205100000006</v>
      </c>
      <c r="D5327" s="5">
        <v>84298.205100000006</v>
      </c>
      <c r="E5327" s="5">
        <v>76333.533100000001</v>
      </c>
      <c r="G5327" s="5" t="str">
        <f t="shared" si="167"/>
        <v>ВИЗ</v>
      </c>
      <c r="J5327" s="5"/>
      <c r="AL5327" s="5">
        <f t="shared" si="168"/>
        <v>0</v>
      </c>
    </row>
    <row r="5328" spans="1:38" ht="25.5" customHeight="1" x14ac:dyDescent="0.25">
      <c r="A5328" s="10" t="s">
        <v>4113</v>
      </c>
      <c r="B5328" s="11" t="s">
        <v>1659</v>
      </c>
      <c r="C5328" s="5">
        <v>59746.832600000002</v>
      </c>
      <c r="D5328" s="5">
        <v>59746.832600000002</v>
      </c>
      <c r="E5328" s="5">
        <v>54101.823700000001</v>
      </c>
      <c r="G5328" s="5" t="str">
        <f t="shared" si="167"/>
        <v>СОВХОЗ</v>
      </c>
      <c r="J5328" s="5"/>
      <c r="AL5328" s="5">
        <f t="shared" si="168"/>
        <v>0</v>
      </c>
    </row>
    <row r="5329" spans="1:38" ht="25.5" customHeight="1" x14ac:dyDescent="0.25">
      <c r="A5329" s="10" t="s">
        <v>4114</v>
      </c>
      <c r="B5329" s="11" t="s">
        <v>1637</v>
      </c>
      <c r="C5329" s="5">
        <v>59368.686099999999</v>
      </c>
      <c r="D5329" s="5">
        <v>59368.686099999999</v>
      </c>
      <c r="E5329" s="5">
        <v>53759.401700000002</v>
      </c>
      <c r="G5329" s="5" t="str">
        <f t="shared" si="167"/>
        <v>Старая сортировка</v>
      </c>
      <c r="J5329" s="5"/>
      <c r="AL5329" s="5">
        <f t="shared" si="168"/>
        <v>0</v>
      </c>
    </row>
    <row r="5330" spans="1:38" ht="25.5" customHeight="1" x14ac:dyDescent="0.25">
      <c r="A5330" s="10" t="s">
        <v>1072</v>
      </c>
      <c r="B5330" s="11" t="s">
        <v>1645</v>
      </c>
      <c r="C5330" s="5">
        <v>60958.294800000003</v>
      </c>
      <c r="D5330" s="5">
        <v>60958.294800000003</v>
      </c>
      <c r="E5330" s="5">
        <v>55198.825199999999</v>
      </c>
      <c r="G5330" s="5" t="str">
        <f t="shared" si="167"/>
        <v>ЕЛИЗАВЕТ</v>
      </c>
      <c r="J5330" s="5"/>
      <c r="AL5330" s="5">
        <f t="shared" si="168"/>
        <v>0</v>
      </c>
    </row>
    <row r="5331" spans="1:38" ht="25.5" customHeight="1" x14ac:dyDescent="0.25">
      <c r="A5331" s="10" t="s">
        <v>912</v>
      </c>
      <c r="B5331" s="11" t="s">
        <v>1631</v>
      </c>
      <c r="C5331" s="5">
        <v>70026.7601</v>
      </c>
      <c r="D5331" s="5">
        <v>70026.7601</v>
      </c>
      <c r="E5331" s="5">
        <v>63410.482000000004</v>
      </c>
      <c r="G5331" s="5" t="str">
        <f t="shared" si="167"/>
        <v>УРАЛМАШ</v>
      </c>
      <c r="J5331" s="5"/>
      <c r="AL5331" s="5">
        <f t="shared" si="168"/>
        <v>0</v>
      </c>
    </row>
    <row r="5332" spans="1:38" ht="25.5" customHeight="1" x14ac:dyDescent="0.25">
      <c r="A5332" s="10" t="s">
        <v>4115</v>
      </c>
      <c r="B5332" s="11" t="s">
        <v>1632</v>
      </c>
      <c r="C5332" s="5">
        <v>83744.997499999998</v>
      </c>
      <c r="D5332" s="5">
        <v>83744.997499999998</v>
      </c>
      <c r="E5332" s="5">
        <v>75832.596099999995</v>
      </c>
      <c r="G5332" s="5" t="str">
        <f t="shared" si="167"/>
        <v>АВТОВОКЗАЛ</v>
      </c>
      <c r="J5332" s="5"/>
      <c r="AL5332" s="5">
        <f t="shared" si="168"/>
        <v>0</v>
      </c>
    </row>
    <row r="5333" spans="1:38" ht="25.5" customHeight="1" x14ac:dyDescent="0.25">
      <c r="A5333" s="10" t="s">
        <v>4116</v>
      </c>
      <c r="B5333" s="11" t="s">
        <v>1666</v>
      </c>
      <c r="C5333" s="5">
        <v>46784.877899999999</v>
      </c>
      <c r="D5333" s="5">
        <v>46784.877899999999</v>
      </c>
      <c r="E5333" s="5">
        <v>42364.543299999998</v>
      </c>
      <c r="G5333" s="5" t="str">
        <f t="shared" si="167"/>
        <v>Сулим.Торфянник</v>
      </c>
      <c r="J5333" s="5"/>
      <c r="AL5333" s="5">
        <f t="shared" si="168"/>
        <v>0</v>
      </c>
    </row>
    <row r="5334" spans="1:38" ht="25.5" customHeight="1" x14ac:dyDescent="0.25">
      <c r="A5334" s="10" t="s">
        <v>1444</v>
      </c>
      <c r="B5334" s="11" t="s">
        <v>1659</v>
      </c>
      <c r="C5334" s="5">
        <v>59746.832600000002</v>
      </c>
      <c r="D5334" s="5">
        <v>59746.832600000002</v>
      </c>
      <c r="E5334" s="5">
        <v>54101.823700000001</v>
      </c>
      <c r="G5334" s="5" t="str">
        <f t="shared" si="167"/>
        <v>СОВХОЗ</v>
      </c>
      <c r="J5334" s="5"/>
      <c r="AL5334" s="5">
        <f t="shared" si="168"/>
        <v>0</v>
      </c>
    </row>
    <row r="5335" spans="1:38" ht="25.5" customHeight="1" x14ac:dyDescent="0.25">
      <c r="A5335" s="10" t="s">
        <v>4117</v>
      </c>
      <c r="B5335" s="11" t="s">
        <v>33</v>
      </c>
      <c r="C5335" s="5">
        <v>84298.205100000006</v>
      </c>
      <c r="D5335" s="5">
        <v>84298.205100000006</v>
      </c>
      <c r="E5335" s="5">
        <v>76333.533100000001</v>
      </c>
      <c r="G5335" s="5" t="str">
        <f t="shared" si="167"/>
        <v>ВИЗ</v>
      </c>
      <c r="J5335" s="5"/>
      <c r="AL5335" s="5">
        <f t="shared" si="168"/>
        <v>0</v>
      </c>
    </row>
    <row r="5336" spans="1:38" ht="25.5" customHeight="1" x14ac:dyDescent="0.25">
      <c r="A5336" s="10" t="s">
        <v>4118</v>
      </c>
      <c r="B5336" s="11" t="s">
        <v>1638</v>
      </c>
      <c r="C5336" s="5">
        <v>63640.311600000001</v>
      </c>
      <c r="D5336" s="5">
        <v>63640.311600000001</v>
      </c>
      <c r="E5336" s="5">
        <v>57627.4473</v>
      </c>
      <c r="G5336" s="5" t="str">
        <f t="shared" si="167"/>
        <v>УКТУС</v>
      </c>
      <c r="J5336" s="5"/>
      <c r="AL5336" s="5">
        <f t="shared" si="168"/>
        <v>0</v>
      </c>
    </row>
    <row r="5337" spans="1:38" ht="25.5" customHeight="1" x14ac:dyDescent="0.25">
      <c r="A5337" s="10" t="s">
        <v>4119</v>
      </c>
      <c r="B5337" s="11" t="s">
        <v>1636</v>
      </c>
      <c r="C5337" s="5">
        <v>52246.960299999999</v>
      </c>
      <c r="D5337" s="5">
        <v>52246.960299999999</v>
      </c>
      <c r="E5337" s="5">
        <v>47310.556700000001</v>
      </c>
      <c r="G5337" s="5" t="str">
        <f t="shared" si="167"/>
        <v>ГОРНЫЙ ЩИТ</v>
      </c>
      <c r="J5337" s="5"/>
      <c r="AL5337" s="5">
        <f t="shared" si="168"/>
        <v>0</v>
      </c>
    </row>
    <row r="5338" spans="1:38" ht="25.5" customHeight="1" x14ac:dyDescent="0.25">
      <c r="A5338" s="10" t="s">
        <v>4120</v>
      </c>
      <c r="B5338" s="11" t="s">
        <v>1647</v>
      </c>
      <c r="C5338" s="5">
        <v>63178.133800000003</v>
      </c>
      <c r="D5338" s="5">
        <v>63178.133800000003</v>
      </c>
      <c r="E5338" s="5">
        <v>57208.931499999999</v>
      </c>
      <c r="G5338" s="5" t="str">
        <f t="shared" si="167"/>
        <v>ШИРОКАЯ РЕЧКА</v>
      </c>
      <c r="J5338" s="5"/>
      <c r="AL5338" s="5">
        <f t="shared" si="168"/>
        <v>0</v>
      </c>
    </row>
    <row r="5339" spans="1:38" ht="25.5" customHeight="1" x14ac:dyDescent="0.25">
      <c r="A5339" s="10" t="s">
        <v>4121</v>
      </c>
      <c r="B5339" s="11" t="s">
        <v>1631</v>
      </c>
      <c r="C5339" s="5">
        <v>70026.7601</v>
      </c>
      <c r="D5339" s="5">
        <v>70026.7601</v>
      </c>
      <c r="E5339" s="5">
        <v>63410.482000000004</v>
      </c>
      <c r="G5339" s="5" t="str">
        <f t="shared" si="167"/>
        <v>УРАЛМАШ</v>
      </c>
      <c r="J5339" s="5"/>
      <c r="AL5339" s="5">
        <f t="shared" si="168"/>
        <v>0</v>
      </c>
    </row>
    <row r="5340" spans="1:38" ht="25.5" customHeight="1" x14ac:dyDescent="0.25">
      <c r="A5340" s="10" t="s">
        <v>586</v>
      </c>
      <c r="B5340" s="11" t="s">
        <v>1651</v>
      </c>
      <c r="C5340" s="5">
        <v>68129.029500000004</v>
      </c>
      <c r="D5340" s="5">
        <v>68129.029500000004</v>
      </c>
      <c r="E5340" s="5">
        <v>61692.054799999998</v>
      </c>
      <c r="G5340" s="5" t="str">
        <f t="shared" si="167"/>
        <v>ШАРТАШ</v>
      </c>
      <c r="J5340" s="5"/>
      <c r="AL5340" s="5">
        <f t="shared" si="168"/>
        <v>0</v>
      </c>
    </row>
    <row r="5341" spans="1:38" ht="25.5" customHeight="1" x14ac:dyDescent="0.25">
      <c r="A5341" s="10" t="s">
        <v>933</v>
      </c>
      <c r="B5341" s="11" t="s">
        <v>1632</v>
      </c>
      <c r="C5341" s="5">
        <v>83744.997499999998</v>
      </c>
      <c r="D5341" s="5">
        <v>83744.997499999998</v>
      </c>
      <c r="E5341" s="5">
        <v>75832.596099999995</v>
      </c>
      <c r="G5341" s="5" t="str">
        <f t="shared" si="167"/>
        <v>АВТОВОКЗАЛ</v>
      </c>
      <c r="J5341" s="5"/>
      <c r="AL5341" s="5">
        <f t="shared" si="168"/>
        <v>0</v>
      </c>
    </row>
    <row r="5342" spans="1:38" ht="25.5" customHeight="1" x14ac:dyDescent="0.25">
      <c r="A5342" s="10" t="s">
        <v>4122</v>
      </c>
      <c r="B5342" s="11" t="s">
        <v>779</v>
      </c>
      <c r="C5342" s="5">
        <v>46784.877899999999</v>
      </c>
      <c r="D5342" s="5">
        <v>46784.877899999999</v>
      </c>
      <c r="E5342" s="5">
        <v>42364.543299999998</v>
      </c>
      <c r="G5342" s="5" t="str">
        <f t="shared" si="167"/>
        <v>Нижнеисетский</v>
      </c>
      <c r="J5342" s="5"/>
      <c r="AL5342" s="5">
        <f t="shared" si="168"/>
        <v>0</v>
      </c>
    </row>
    <row r="5343" spans="1:38" ht="25.5" customHeight="1" x14ac:dyDescent="0.25">
      <c r="A5343" s="10" t="s">
        <v>4123</v>
      </c>
      <c r="B5343" s="11" t="s">
        <v>66</v>
      </c>
      <c r="C5343" s="5">
        <v>64795.756300000001</v>
      </c>
      <c r="D5343" s="5">
        <v>64795.756300000001</v>
      </c>
      <c r="E5343" s="5">
        <v>58673.716200000003</v>
      </c>
      <c r="G5343" s="5" t="str">
        <f t="shared" si="167"/>
        <v>УНЦ</v>
      </c>
      <c r="J5343" s="5"/>
      <c r="AL5343" s="5">
        <f t="shared" si="168"/>
        <v>0</v>
      </c>
    </row>
    <row r="5344" spans="1:38" ht="25.5" customHeight="1" x14ac:dyDescent="0.25">
      <c r="A5344" s="10" t="s">
        <v>1417</v>
      </c>
      <c r="B5344" s="11" t="s">
        <v>779</v>
      </c>
      <c r="C5344" s="5">
        <v>46784.877899999999</v>
      </c>
      <c r="D5344" s="5">
        <v>46784.877899999999</v>
      </c>
      <c r="E5344" s="5">
        <v>42364.543299999998</v>
      </c>
      <c r="G5344" s="5" t="str">
        <f t="shared" si="167"/>
        <v>Нижнеисетский</v>
      </c>
      <c r="J5344" s="5"/>
      <c r="AL5344" s="5">
        <f t="shared" si="168"/>
        <v>0</v>
      </c>
    </row>
    <row r="5345" spans="1:38" ht="25.5" customHeight="1" x14ac:dyDescent="0.25">
      <c r="A5345" s="10" t="s">
        <v>4124</v>
      </c>
      <c r="B5345" s="11" t="s">
        <v>1630</v>
      </c>
      <c r="C5345" s="5">
        <v>62652.9401</v>
      </c>
      <c r="D5345" s="5">
        <v>62652.9401</v>
      </c>
      <c r="E5345" s="5">
        <v>56733.3557</v>
      </c>
      <c r="G5345" s="5" t="str">
        <f t="shared" si="167"/>
        <v>ЧЕРМЕТ</v>
      </c>
      <c r="J5345" s="5"/>
      <c r="AL5345" s="5">
        <f t="shared" si="168"/>
        <v>0</v>
      </c>
    </row>
    <row r="5346" spans="1:38" ht="25.5" customHeight="1" x14ac:dyDescent="0.25">
      <c r="A5346" s="10" t="s">
        <v>1507</v>
      </c>
      <c r="B5346" s="11" t="s">
        <v>1643</v>
      </c>
      <c r="C5346" s="5">
        <v>76630.280299999999</v>
      </c>
      <c r="D5346" s="5">
        <v>76630.280299999999</v>
      </c>
      <c r="E5346" s="5">
        <v>69390.088799999998</v>
      </c>
      <c r="G5346" s="5" t="str">
        <f t="shared" si="167"/>
        <v>Ю-З</v>
      </c>
      <c r="J5346" s="5"/>
      <c r="AL5346" s="5">
        <f t="shared" si="168"/>
        <v>0</v>
      </c>
    </row>
    <row r="5347" spans="1:38" ht="25.5" customHeight="1" x14ac:dyDescent="0.25">
      <c r="A5347" s="10" t="s">
        <v>4125</v>
      </c>
      <c r="B5347" s="11" t="s">
        <v>1637</v>
      </c>
      <c r="C5347" s="5">
        <v>59368.686099999999</v>
      </c>
      <c r="D5347" s="5">
        <v>59368.686099999999</v>
      </c>
      <c r="E5347" s="5">
        <v>53759.401700000002</v>
      </c>
      <c r="G5347" s="5" t="str">
        <f t="shared" si="167"/>
        <v>Старая сортировка</v>
      </c>
      <c r="J5347" s="5"/>
      <c r="AL5347" s="5">
        <f t="shared" si="168"/>
        <v>0</v>
      </c>
    </row>
    <row r="5348" spans="1:38" ht="25.5" customHeight="1" x14ac:dyDescent="0.25">
      <c r="A5348" s="10" t="s">
        <v>4126</v>
      </c>
      <c r="B5348" s="11" t="s">
        <v>1660</v>
      </c>
      <c r="C5348" s="5">
        <v>53262.345800000003</v>
      </c>
      <c r="D5348" s="5">
        <v>53262.345800000003</v>
      </c>
      <c r="E5348" s="5">
        <v>48230.0095</v>
      </c>
      <c r="G5348" s="5" t="str">
        <f t="shared" si="167"/>
        <v>САДОВЫЙ</v>
      </c>
      <c r="J5348" s="5"/>
      <c r="AL5348" s="5">
        <f t="shared" si="168"/>
        <v>0</v>
      </c>
    </row>
    <row r="5349" spans="1:38" ht="25.5" customHeight="1" x14ac:dyDescent="0.25">
      <c r="A5349" s="10" t="s">
        <v>4127</v>
      </c>
      <c r="B5349" s="11" t="s">
        <v>1667</v>
      </c>
      <c r="C5349" s="5">
        <v>56546.599699999999</v>
      </c>
      <c r="D5349" s="5">
        <v>56546.599699999999</v>
      </c>
      <c r="E5349" s="5">
        <v>51203.963499999998</v>
      </c>
      <c r="G5349" s="5" t="str">
        <f t="shared" si="167"/>
        <v>КАЛИНОВСКИЙ</v>
      </c>
      <c r="J5349" s="5"/>
      <c r="AL5349" s="5">
        <f t="shared" si="168"/>
        <v>0</v>
      </c>
    </row>
    <row r="5350" spans="1:38" ht="25.5" customHeight="1" x14ac:dyDescent="0.25">
      <c r="A5350" s="10" t="s">
        <v>4128</v>
      </c>
      <c r="B5350" s="11" t="s">
        <v>33</v>
      </c>
      <c r="C5350" s="5">
        <v>84298.205100000006</v>
      </c>
      <c r="D5350" s="5">
        <v>84298.205100000006</v>
      </c>
      <c r="E5350" s="5">
        <v>76333.533100000001</v>
      </c>
      <c r="G5350" s="5" t="str">
        <f t="shared" si="167"/>
        <v>ВИЗ</v>
      </c>
      <c r="J5350" s="5"/>
      <c r="AL5350" s="5">
        <f t="shared" si="168"/>
        <v>0</v>
      </c>
    </row>
    <row r="5351" spans="1:38" ht="25.5" customHeight="1" x14ac:dyDescent="0.25">
      <c r="A5351" s="10" t="s">
        <v>4129</v>
      </c>
      <c r="B5351" s="11" t="s">
        <v>1631</v>
      </c>
      <c r="C5351" s="5">
        <v>70026.7601</v>
      </c>
      <c r="D5351" s="5">
        <v>70026.7601</v>
      </c>
      <c r="E5351" s="5">
        <v>63410.482000000004</v>
      </c>
      <c r="G5351" s="5" t="str">
        <f t="shared" si="167"/>
        <v>УРАЛМАШ</v>
      </c>
      <c r="J5351" s="5"/>
      <c r="AL5351" s="5">
        <f t="shared" si="168"/>
        <v>0</v>
      </c>
    </row>
    <row r="5352" spans="1:38" ht="25.5" customHeight="1" x14ac:dyDescent="0.25">
      <c r="A5352" s="10" t="s">
        <v>4130</v>
      </c>
      <c r="B5352" s="11" t="s">
        <v>1638</v>
      </c>
      <c r="C5352" s="5">
        <v>63640.311600000001</v>
      </c>
      <c r="D5352" s="5">
        <v>63640.311600000001</v>
      </c>
      <c r="E5352" s="5">
        <v>57627.4473</v>
      </c>
      <c r="G5352" s="5" t="str">
        <f t="shared" si="167"/>
        <v>УКТУС</v>
      </c>
      <c r="J5352" s="5"/>
      <c r="AL5352" s="5">
        <f t="shared" si="168"/>
        <v>0</v>
      </c>
    </row>
    <row r="5353" spans="1:38" ht="25.5" customHeight="1" x14ac:dyDescent="0.25">
      <c r="A5353" s="10" t="s">
        <v>4131</v>
      </c>
      <c r="B5353" s="11" t="s">
        <v>1631</v>
      </c>
      <c r="C5353" s="5">
        <v>70026.7601</v>
      </c>
      <c r="D5353" s="5">
        <v>70026.7601</v>
      </c>
      <c r="E5353" s="5">
        <v>63410.482000000004</v>
      </c>
      <c r="G5353" s="5" t="str">
        <f t="shared" si="167"/>
        <v>УРАЛМАШ</v>
      </c>
      <c r="J5353" s="5"/>
      <c r="AL5353" s="5">
        <f t="shared" si="168"/>
        <v>0</v>
      </c>
    </row>
    <row r="5354" spans="1:38" ht="25.5" customHeight="1" x14ac:dyDescent="0.25">
      <c r="A5354" s="10" t="s">
        <v>4132</v>
      </c>
      <c r="B5354" s="11" t="s">
        <v>1629</v>
      </c>
      <c r="C5354" s="5">
        <v>77743.704100000003</v>
      </c>
      <c r="D5354" s="5">
        <v>77743.704100000003</v>
      </c>
      <c r="E5354" s="5">
        <v>70398.310800000007</v>
      </c>
      <c r="G5354" s="5" t="str">
        <f t="shared" si="167"/>
        <v>ПИОНЕРСКИЙ</v>
      </c>
      <c r="J5354" s="5"/>
      <c r="AL5354" s="5">
        <f t="shared" si="168"/>
        <v>0</v>
      </c>
    </row>
    <row r="5355" spans="1:38" ht="25.5" customHeight="1" x14ac:dyDescent="0.25">
      <c r="A5355" s="10" t="s">
        <v>4133</v>
      </c>
      <c r="B5355" s="11" t="s">
        <v>1630</v>
      </c>
      <c r="C5355" s="5">
        <v>62652.9401</v>
      </c>
      <c r="D5355" s="5">
        <v>62652.9401</v>
      </c>
      <c r="E5355" s="5">
        <v>56733.3557</v>
      </c>
      <c r="G5355" s="5" t="str">
        <f t="shared" si="167"/>
        <v>ЧЕРМЕТ</v>
      </c>
      <c r="J5355" s="5"/>
      <c r="AL5355" s="5">
        <f t="shared" si="168"/>
        <v>0</v>
      </c>
    </row>
    <row r="5356" spans="1:38" ht="25.5" customHeight="1" x14ac:dyDescent="0.25">
      <c r="A5356" s="10" t="s">
        <v>1413</v>
      </c>
      <c r="B5356" s="11" t="s">
        <v>1640</v>
      </c>
      <c r="C5356" s="5">
        <v>64914.8</v>
      </c>
      <c r="D5356" s="5">
        <v>64914.8</v>
      </c>
      <c r="E5356" s="5">
        <v>58781.519200000002</v>
      </c>
      <c r="G5356" s="5" t="str">
        <f t="shared" si="167"/>
        <v>Новая сортировка</v>
      </c>
      <c r="J5356" s="5"/>
      <c r="AL5356" s="5">
        <f t="shared" si="168"/>
        <v>0</v>
      </c>
    </row>
    <row r="5357" spans="1:38" ht="25.5" customHeight="1" x14ac:dyDescent="0.25">
      <c r="A5357" s="10" t="s">
        <v>1397</v>
      </c>
      <c r="B5357" s="11" t="s">
        <v>1659</v>
      </c>
      <c r="C5357" s="5">
        <v>59746.832600000002</v>
      </c>
      <c r="D5357" s="5">
        <v>59746.832600000002</v>
      </c>
      <c r="E5357" s="5">
        <v>54101.823700000001</v>
      </c>
      <c r="G5357" s="5" t="str">
        <f t="shared" si="167"/>
        <v>СОВХОЗ</v>
      </c>
      <c r="J5357" s="5"/>
      <c r="AL5357" s="5">
        <f t="shared" si="168"/>
        <v>0</v>
      </c>
    </row>
    <row r="5358" spans="1:38" ht="25.5" customHeight="1" x14ac:dyDescent="0.25">
      <c r="A5358" s="10" t="s">
        <v>4134</v>
      </c>
      <c r="B5358" s="11" t="s">
        <v>1635</v>
      </c>
      <c r="C5358" s="5">
        <v>57793.0844</v>
      </c>
      <c r="D5358" s="5">
        <v>57793.0844</v>
      </c>
      <c r="E5358" s="5">
        <v>52332.6639</v>
      </c>
      <c r="G5358" s="5" t="str">
        <f t="shared" si="167"/>
        <v>ЛЕЧЕБНЫЙ</v>
      </c>
      <c r="J5358" s="5"/>
      <c r="AL5358" s="5">
        <f t="shared" si="168"/>
        <v>0</v>
      </c>
    </row>
    <row r="5359" spans="1:38" ht="25.5" customHeight="1" x14ac:dyDescent="0.25">
      <c r="A5359" s="10" t="s">
        <v>1271</v>
      </c>
      <c r="B5359" s="11" t="s">
        <v>14</v>
      </c>
      <c r="C5359" s="5">
        <v>93989.912800000006</v>
      </c>
      <c r="D5359" s="5">
        <v>93989.912800000006</v>
      </c>
      <c r="E5359" s="5">
        <v>85109.545199999993</v>
      </c>
      <c r="G5359" s="5" t="str">
        <f t="shared" si="167"/>
        <v>Центр</v>
      </c>
      <c r="J5359" s="5"/>
      <c r="AL5359" s="5">
        <f t="shared" si="168"/>
        <v>0</v>
      </c>
    </row>
    <row r="5360" spans="1:38" ht="25.5" customHeight="1" x14ac:dyDescent="0.25">
      <c r="A5360" s="10" t="s">
        <v>188</v>
      </c>
      <c r="B5360" s="11" t="s">
        <v>1638</v>
      </c>
      <c r="C5360" s="5">
        <v>63640.311600000001</v>
      </c>
      <c r="D5360" s="5">
        <v>63640.311600000001</v>
      </c>
      <c r="E5360" s="5">
        <v>57627.4473</v>
      </c>
      <c r="G5360" s="5" t="str">
        <f t="shared" si="167"/>
        <v>УКТУС</v>
      </c>
      <c r="J5360" s="5"/>
      <c r="AL5360" s="5">
        <f t="shared" si="168"/>
        <v>0</v>
      </c>
    </row>
    <row r="5361" spans="1:38" ht="25.5" customHeight="1" x14ac:dyDescent="0.25">
      <c r="A5361" s="10" t="s">
        <v>499</v>
      </c>
      <c r="B5361" s="11" t="s">
        <v>1630</v>
      </c>
      <c r="C5361" s="5">
        <v>62652.9401</v>
      </c>
      <c r="D5361" s="5">
        <v>62652.9401</v>
      </c>
      <c r="E5361" s="5">
        <v>56733.3557</v>
      </c>
      <c r="G5361" s="5" t="str">
        <f t="shared" si="167"/>
        <v>ЧЕРМЕТ</v>
      </c>
      <c r="J5361" s="5"/>
      <c r="AL5361" s="5">
        <f t="shared" si="168"/>
        <v>0</v>
      </c>
    </row>
    <row r="5362" spans="1:38" ht="25.5" customHeight="1" x14ac:dyDescent="0.25">
      <c r="A5362" s="10" t="s">
        <v>4135</v>
      </c>
      <c r="B5362" s="11" t="s">
        <v>33</v>
      </c>
      <c r="C5362" s="5">
        <v>84298.205100000006</v>
      </c>
      <c r="D5362" s="5">
        <v>84298.205100000006</v>
      </c>
      <c r="E5362" s="5">
        <v>76333.533100000001</v>
      </c>
      <c r="G5362" s="5" t="str">
        <f t="shared" si="167"/>
        <v>ВИЗ</v>
      </c>
      <c r="J5362" s="5"/>
      <c r="AL5362" s="5">
        <f t="shared" si="168"/>
        <v>0</v>
      </c>
    </row>
    <row r="5363" spans="1:38" ht="25.5" customHeight="1" x14ac:dyDescent="0.25">
      <c r="A5363" s="10" t="s">
        <v>4136</v>
      </c>
      <c r="B5363" s="11" t="s">
        <v>1651</v>
      </c>
      <c r="C5363" s="5">
        <v>68129.029500000004</v>
      </c>
      <c r="D5363" s="5">
        <v>68129.029500000004</v>
      </c>
      <c r="E5363" s="5">
        <v>61692.054799999998</v>
      </c>
      <c r="G5363" s="5" t="str">
        <f t="shared" si="167"/>
        <v>ШАРТАШ</v>
      </c>
      <c r="J5363" s="5"/>
      <c r="AL5363" s="5">
        <f t="shared" si="168"/>
        <v>0</v>
      </c>
    </row>
    <row r="5364" spans="1:38" ht="25.5" customHeight="1" x14ac:dyDescent="0.25">
      <c r="A5364" s="10" t="s">
        <v>4137</v>
      </c>
      <c r="B5364" s="11" t="s">
        <v>1650</v>
      </c>
      <c r="C5364" s="5">
        <v>37590.3603</v>
      </c>
      <c r="D5364" s="5">
        <v>37590.3603</v>
      </c>
      <c r="E5364" s="5">
        <v>34038.745900000002</v>
      </c>
      <c r="G5364" s="5" t="str">
        <f t="shared" si="167"/>
        <v>ШАБРОВСКИЙ</v>
      </c>
      <c r="J5364" s="5"/>
      <c r="AL5364" s="5">
        <f t="shared" si="168"/>
        <v>0</v>
      </c>
    </row>
    <row r="5365" spans="1:38" ht="25.5" customHeight="1" x14ac:dyDescent="0.25">
      <c r="A5365" s="10" t="s">
        <v>4138</v>
      </c>
      <c r="B5365" s="11" t="s">
        <v>1647</v>
      </c>
      <c r="C5365" s="5">
        <v>63178.133800000003</v>
      </c>
      <c r="D5365" s="5">
        <v>63178.133800000003</v>
      </c>
      <c r="E5365" s="5">
        <v>57208.931499999999</v>
      </c>
      <c r="G5365" s="5" t="str">
        <f t="shared" si="167"/>
        <v>ШИРОКАЯ РЕЧКА</v>
      </c>
      <c r="J5365" s="5"/>
      <c r="AL5365" s="5">
        <f t="shared" si="168"/>
        <v>0</v>
      </c>
    </row>
    <row r="5366" spans="1:38" ht="25.5" customHeight="1" x14ac:dyDescent="0.25">
      <c r="A5366" s="10" t="s">
        <v>1398</v>
      </c>
      <c r="B5366" s="11" t="s">
        <v>1630</v>
      </c>
      <c r="C5366" s="5">
        <v>62652.9401</v>
      </c>
      <c r="D5366" s="5">
        <v>62652.9401</v>
      </c>
      <c r="E5366" s="5">
        <v>56733.3557</v>
      </c>
      <c r="G5366" s="5" t="str">
        <f t="shared" si="167"/>
        <v>ЧЕРМЕТ</v>
      </c>
      <c r="J5366" s="5"/>
      <c r="AL5366" s="5">
        <f t="shared" si="168"/>
        <v>0</v>
      </c>
    </row>
    <row r="5367" spans="1:38" ht="25.5" customHeight="1" x14ac:dyDescent="0.25">
      <c r="A5367" s="10" t="s">
        <v>1111</v>
      </c>
      <c r="B5367" s="11" t="s">
        <v>14</v>
      </c>
      <c r="C5367" s="5">
        <v>93989.912800000006</v>
      </c>
      <c r="D5367" s="5">
        <v>93989.912800000006</v>
      </c>
      <c r="E5367" s="5">
        <v>85109.545199999993</v>
      </c>
      <c r="G5367" s="5" t="str">
        <f t="shared" si="167"/>
        <v>Центр</v>
      </c>
      <c r="J5367" s="5"/>
      <c r="AL5367" s="5">
        <f t="shared" si="168"/>
        <v>0</v>
      </c>
    </row>
    <row r="5368" spans="1:38" ht="25.5" customHeight="1" x14ac:dyDescent="0.25">
      <c r="A5368" s="10" t="s">
        <v>4139</v>
      </c>
      <c r="B5368" s="11" t="s">
        <v>1668</v>
      </c>
      <c r="C5368" s="5">
        <v>51343.6201</v>
      </c>
      <c r="D5368" s="5">
        <v>51343.6201</v>
      </c>
      <c r="E5368" s="5">
        <v>46492.558799999999</v>
      </c>
      <c r="G5368" s="5" t="str">
        <f t="shared" si="167"/>
        <v>МЕДНЫЙ</v>
      </c>
      <c r="J5368" s="5"/>
      <c r="AL5368" s="5">
        <f t="shared" si="168"/>
        <v>0</v>
      </c>
    </row>
    <row r="5369" spans="1:38" ht="25.5" customHeight="1" x14ac:dyDescent="0.25">
      <c r="A5369" s="10" t="s">
        <v>918</v>
      </c>
      <c r="B5369" s="11" t="s">
        <v>1644</v>
      </c>
      <c r="C5369" s="5">
        <v>61980.678599999999</v>
      </c>
      <c r="D5369" s="5">
        <v>61980.678599999999</v>
      </c>
      <c r="E5369" s="5">
        <v>56124.615700000002</v>
      </c>
      <c r="G5369" s="5" t="str">
        <f t="shared" si="167"/>
        <v>ХИММАШ</v>
      </c>
      <c r="J5369" s="5"/>
      <c r="AL5369" s="5">
        <f t="shared" si="168"/>
        <v>0</v>
      </c>
    </row>
    <row r="5370" spans="1:38" ht="25.5" customHeight="1" x14ac:dyDescent="0.25">
      <c r="A5370" s="10" t="s">
        <v>4140</v>
      </c>
      <c r="B5370" s="11" t="s">
        <v>1647</v>
      </c>
      <c r="C5370" s="5">
        <v>63178.133800000003</v>
      </c>
      <c r="D5370" s="5">
        <v>63178.133800000003</v>
      </c>
      <c r="E5370" s="5">
        <v>57208.931499999999</v>
      </c>
      <c r="G5370" s="5" t="str">
        <f t="shared" si="167"/>
        <v>ШИРОКАЯ РЕЧКА</v>
      </c>
      <c r="J5370" s="5"/>
      <c r="AL5370" s="5">
        <f t="shared" si="168"/>
        <v>0</v>
      </c>
    </row>
    <row r="5371" spans="1:38" ht="25.5" customHeight="1" x14ac:dyDescent="0.25">
      <c r="A5371" s="10" t="s">
        <v>4141</v>
      </c>
      <c r="B5371" s="11" t="s">
        <v>1644</v>
      </c>
      <c r="C5371" s="5">
        <v>61980.678599999999</v>
      </c>
      <c r="D5371" s="5">
        <v>61980.678599999999</v>
      </c>
      <c r="E5371" s="5">
        <v>56124.615700000002</v>
      </c>
      <c r="G5371" s="5" t="str">
        <f t="shared" si="167"/>
        <v>ХИММАШ</v>
      </c>
      <c r="J5371" s="5"/>
      <c r="AL5371" s="5">
        <f t="shared" si="168"/>
        <v>0</v>
      </c>
    </row>
    <row r="5372" spans="1:38" ht="25.5" customHeight="1" x14ac:dyDescent="0.25">
      <c r="A5372" s="10" t="s">
        <v>4142</v>
      </c>
      <c r="B5372" s="11" t="s">
        <v>1630</v>
      </c>
      <c r="C5372" s="5">
        <v>62652.9401</v>
      </c>
      <c r="D5372" s="5">
        <v>62652.9401</v>
      </c>
      <c r="E5372" s="5">
        <v>56733.3557</v>
      </c>
      <c r="G5372" s="5" t="str">
        <f t="shared" si="167"/>
        <v>ЧЕРМЕТ</v>
      </c>
      <c r="J5372" s="5"/>
      <c r="AL5372" s="5">
        <f t="shared" si="168"/>
        <v>0</v>
      </c>
    </row>
    <row r="5373" spans="1:38" ht="25.5" customHeight="1" x14ac:dyDescent="0.25">
      <c r="A5373" s="10" t="s">
        <v>4143</v>
      </c>
      <c r="B5373" s="11" t="s">
        <v>1651</v>
      </c>
      <c r="C5373" s="5">
        <v>68129.029500000004</v>
      </c>
      <c r="D5373" s="5">
        <v>68129.029500000004</v>
      </c>
      <c r="E5373" s="5">
        <v>61692.054799999998</v>
      </c>
      <c r="G5373" s="5" t="str">
        <f t="shared" si="167"/>
        <v>ШАРТАШ</v>
      </c>
      <c r="J5373" s="5"/>
      <c r="AL5373" s="5">
        <f t="shared" si="168"/>
        <v>0</v>
      </c>
    </row>
    <row r="5374" spans="1:38" ht="25.5" customHeight="1" x14ac:dyDescent="0.25">
      <c r="A5374" s="10" t="s">
        <v>1183</v>
      </c>
      <c r="B5374" s="11" t="s">
        <v>1650</v>
      </c>
      <c r="C5374" s="5">
        <v>37590.3603</v>
      </c>
      <c r="D5374" s="5">
        <v>37590.3603</v>
      </c>
      <c r="E5374" s="5">
        <v>34038.745900000002</v>
      </c>
      <c r="G5374" s="5" t="str">
        <f t="shared" si="167"/>
        <v>ШАБРОВСКИЙ</v>
      </c>
      <c r="J5374" s="5"/>
      <c r="AL5374" s="5">
        <f t="shared" si="168"/>
        <v>0</v>
      </c>
    </row>
    <row r="5375" spans="1:38" ht="25.5" customHeight="1" x14ac:dyDescent="0.25">
      <c r="A5375" s="10" t="s">
        <v>4144</v>
      </c>
      <c r="B5375" s="11" t="s">
        <v>1653</v>
      </c>
      <c r="C5375" s="5">
        <v>56847.723400000003</v>
      </c>
      <c r="D5375" s="5">
        <v>56847.723400000003</v>
      </c>
      <c r="E5375" s="5">
        <v>51476.629399999998</v>
      </c>
      <c r="G5375" s="5" t="str">
        <f t="shared" ref="G5375:G5438" si="169">B5375</f>
        <v>ПТИЦЕФАБРИКА</v>
      </c>
      <c r="J5375" s="5"/>
      <c r="AL5375" s="5">
        <f t="shared" ref="AL5375:AL5438" si="170">AF5375</f>
        <v>0</v>
      </c>
    </row>
    <row r="5376" spans="1:38" ht="25.5" customHeight="1" x14ac:dyDescent="0.25">
      <c r="A5376" s="10" t="s">
        <v>1510</v>
      </c>
      <c r="B5376" s="11" t="s">
        <v>1651</v>
      </c>
      <c r="C5376" s="5">
        <v>68129.029500000004</v>
      </c>
      <c r="D5376" s="5">
        <v>68129.029500000004</v>
      </c>
      <c r="E5376" s="5">
        <v>61692.054799999998</v>
      </c>
      <c r="G5376" s="5" t="str">
        <f t="shared" si="169"/>
        <v>ШАРТАШ</v>
      </c>
      <c r="J5376" s="5"/>
      <c r="AL5376" s="5">
        <f t="shared" si="170"/>
        <v>0</v>
      </c>
    </row>
    <row r="5377" spans="1:38" ht="25.5" customHeight="1" x14ac:dyDescent="0.25">
      <c r="A5377" s="10" t="s">
        <v>4145</v>
      </c>
      <c r="B5377" s="11" t="s">
        <v>1657</v>
      </c>
      <c r="C5377" s="5">
        <v>54886.9666</v>
      </c>
      <c r="D5377" s="5">
        <v>54886.9666</v>
      </c>
      <c r="E5377" s="5">
        <v>49701.1319</v>
      </c>
      <c r="G5377" s="5" t="str">
        <f t="shared" si="169"/>
        <v>КОЛЬЦОВО</v>
      </c>
      <c r="J5377" s="5"/>
      <c r="AL5377" s="5">
        <f t="shared" si="170"/>
        <v>0</v>
      </c>
    </row>
    <row r="5378" spans="1:38" ht="25.5" customHeight="1" x14ac:dyDescent="0.25">
      <c r="A5378" s="10" t="s">
        <v>4146</v>
      </c>
      <c r="B5378" s="11" t="s">
        <v>1662</v>
      </c>
      <c r="C5378" s="5">
        <v>46784.877899999999</v>
      </c>
      <c r="D5378" s="5">
        <v>46784.877899999999</v>
      </c>
      <c r="E5378" s="5">
        <v>42364.543299999998</v>
      </c>
      <c r="G5378" s="5" t="str">
        <f t="shared" si="169"/>
        <v>РУДНЫЙ</v>
      </c>
      <c r="J5378" s="5"/>
      <c r="AL5378" s="5">
        <f t="shared" si="170"/>
        <v>0</v>
      </c>
    </row>
    <row r="5379" spans="1:38" ht="25.5" customHeight="1" x14ac:dyDescent="0.25">
      <c r="A5379" s="10" t="s">
        <v>1163</v>
      </c>
      <c r="B5379" s="11" t="s">
        <v>1631</v>
      </c>
      <c r="C5379" s="5">
        <v>70026.7601</v>
      </c>
      <c r="D5379" s="5">
        <v>70026.7601</v>
      </c>
      <c r="E5379" s="5">
        <v>63410.482000000004</v>
      </c>
      <c r="G5379" s="5" t="str">
        <f t="shared" si="169"/>
        <v>УРАЛМАШ</v>
      </c>
      <c r="J5379" s="5"/>
      <c r="AL5379" s="5">
        <f t="shared" si="170"/>
        <v>0</v>
      </c>
    </row>
    <row r="5380" spans="1:38" ht="25.5" customHeight="1" x14ac:dyDescent="0.25">
      <c r="A5380" s="10" t="s">
        <v>1430</v>
      </c>
      <c r="B5380" s="11" t="s">
        <v>1640</v>
      </c>
      <c r="C5380" s="5">
        <v>64914.8</v>
      </c>
      <c r="D5380" s="5">
        <v>64914.8</v>
      </c>
      <c r="E5380" s="5">
        <v>58781.519200000002</v>
      </c>
      <c r="G5380" s="5" t="str">
        <f t="shared" si="169"/>
        <v>Новая сортировка</v>
      </c>
      <c r="J5380" s="5"/>
      <c r="AL5380" s="5">
        <f t="shared" si="170"/>
        <v>0</v>
      </c>
    </row>
    <row r="5381" spans="1:38" ht="25.5" customHeight="1" x14ac:dyDescent="0.25">
      <c r="A5381" s="10" t="s">
        <v>412</v>
      </c>
      <c r="B5381" s="11" t="s">
        <v>1631</v>
      </c>
      <c r="C5381" s="5">
        <v>70026.7601</v>
      </c>
      <c r="D5381" s="5">
        <v>70026.7601</v>
      </c>
      <c r="E5381" s="5">
        <v>63410.482000000004</v>
      </c>
      <c r="G5381" s="5" t="str">
        <f t="shared" si="169"/>
        <v>УРАЛМАШ</v>
      </c>
      <c r="J5381" s="5"/>
      <c r="AL5381" s="5">
        <f t="shared" si="170"/>
        <v>0</v>
      </c>
    </row>
    <row r="5382" spans="1:38" ht="25.5" customHeight="1" x14ac:dyDescent="0.25">
      <c r="A5382" s="10" t="s">
        <v>4147</v>
      </c>
      <c r="B5382" s="11" t="s">
        <v>1636</v>
      </c>
      <c r="C5382" s="5">
        <v>52246.960299999999</v>
      </c>
      <c r="D5382" s="5">
        <v>52246.960299999999</v>
      </c>
      <c r="E5382" s="5">
        <v>47310.556700000001</v>
      </c>
      <c r="G5382" s="5" t="str">
        <f t="shared" si="169"/>
        <v>ГОРНЫЙ ЩИТ</v>
      </c>
      <c r="J5382" s="5"/>
      <c r="AL5382" s="5">
        <f t="shared" si="170"/>
        <v>0</v>
      </c>
    </row>
    <row r="5383" spans="1:38" ht="25.5" customHeight="1" x14ac:dyDescent="0.25">
      <c r="A5383" s="10" t="s">
        <v>4148</v>
      </c>
      <c r="B5383" s="11" t="s">
        <v>1647</v>
      </c>
      <c r="C5383" s="5">
        <v>63178.133800000003</v>
      </c>
      <c r="D5383" s="5">
        <v>63178.133800000003</v>
      </c>
      <c r="E5383" s="5">
        <v>57208.931499999999</v>
      </c>
      <c r="G5383" s="5" t="str">
        <f t="shared" si="169"/>
        <v>ШИРОКАЯ РЕЧКА</v>
      </c>
      <c r="J5383" s="5"/>
      <c r="AL5383" s="5">
        <f t="shared" si="170"/>
        <v>0</v>
      </c>
    </row>
    <row r="5384" spans="1:38" ht="25.5" customHeight="1" x14ac:dyDescent="0.25">
      <c r="A5384" s="10" t="s">
        <v>4149</v>
      </c>
      <c r="B5384" s="11" t="s">
        <v>779</v>
      </c>
      <c r="C5384" s="5">
        <v>46784.877899999999</v>
      </c>
      <c r="D5384" s="5">
        <v>46784.877899999999</v>
      </c>
      <c r="E5384" s="5">
        <v>42364.543299999998</v>
      </c>
      <c r="G5384" s="5" t="str">
        <f t="shared" si="169"/>
        <v>Нижнеисетский</v>
      </c>
      <c r="J5384" s="5"/>
      <c r="AL5384" s="5">
        <f t="shared" si="170"/>
        <v>0</v>
      </c>
    </row>
    <row r="5385" spans="1:38" ht="25.5" customHeight="1" x14ac:dyDescent="0.25">
      <c r="A5385" s="10" t="s">
        <v>4150</v>
      </c>
      <c r="B5385" s="11" t="s">
        <v>1630</v>
      </c>
      <c r="C5385" s="5">
        <v>62652.9401</v>
      </c>
      <c r="D5385" s="5">
        <v>62652.9401</v>
      </c>
      <c r="E5385" s="5">
        <v>56733.3557</v>
      </c>
      <c r="G5385" s="5" t="str">
        <f t="shared" si="169"/>
        <v>ЧЕРМЕТ</v>
      </c>
      <c r="J5385" s="5"/>
      <c r="AL5385" s="5">
        <f t="shared" si="170"/>
        <v>0</v>
      </c>
    </row>
    <row r="5386" spans="1:38" ht="25.5" customHeight="1" x14ac:dyDescent="0.25">
      <c r="A5386" s="10" t="s">
        <v>4151</v>
      </c>
      <c r="B5386" s="11" t="s">
        <v>1661</v>
      </c>
      <c r="C5386" s="5">
        <v>51175.5573</v>
      </c>
      <c r="D5386" s="5">
        <v>51175.5573</v>
      </c>
      <c r="E5386" s="5">
        <v>46340.381600000001</v>
      </c>
      <c r="G5386" s="5" t="str">
        <f t="shared" si="169"/>
        <v>СЕВЕРКА</v>
      </c>
      <c r="J5386" s="5"/>
      <c r="AL5386" s="5">
        <f t="shared" si="170"/>
        <v>0</v>
      </c>
    </row>
    <row r="5387" spans="1:38" ht="25.5" customHeight="1" x14ac:dyDescent="0.25">
      <c r="A5387" s="10" t="s">
        <v>809</v>
      </c>
      <c r="B5387" s="11" t="s">
        <v>1644</v>
      </c>
      <c r="C5387" s="5">
        <v>61980.678599999999</v>
      </c>
      <c r="D5387" s="5">
        <v>61980.678599999999</v>
      </c>
      <c r="E5387" s="5">
        <v>56124.615700000002</v>
      </c>
      <c r="G5387" s="5" t="str">
        <f t="shared" si="169"/>
        <v>ХИММАШ</v>
      </c>
      <c r="J5387" s="5"/>
      <c r="AL5387" s="5">
        <f t="shared" si="170"/>
        <v>0</v>
      </c>
    </row>
    <row r="5388" spans="1:38" ht="25.5" customHeight="1" x14ac:dyDescent="0.25">
      <c r="A5388" s="10" t="s">
        <v>4152</v>
      </c>
      <c r="B5388" s="11" t="s">
        <v>1643</v>
      </c>
      <c r="C5388" s="5">
        <v>76630.280299999999</v>
      </c>
      <c r="D5388" s="5">
        <v>76630.280299999999</v>
      </c>
      <c r="E5388" s="5">
        <v>69390.088799999998</v>
      </c>
      <c r="G5388" s="5" t="str">
        <f t="shared" si="169"/>
        <v>Ю-З</v>
      </c>
      <c r="J5388" s="5"/>
      <c r="AL5388" s="5">
        <f t="shared" si="170"/>
        <v>0</v>
      </c>
    </row>
    <row r="5389" spans="1:38" ht="25.5" customHeight="1" x14ac:dyDescent="0.25">
      <c r="A5389" s="10" t="s">
        <v>4153</v>
      </c>
      <c r="B5389" s="11" t="s">
        <v>1647</v>
      </c>
      <c r="C5389" s="5">
        <v>63178.133800000003</v>
      </c>
      <c r="D5389" s="5">
        <v>63178.133800000003</v>
      </c>
      <c r="E5389" s="5">
        <v>57208.931499999999</v>
      </c>
      <c r="G5389" s="5" t="str">
        <f t="shared" si="169"/>
        <v>ШИРОКАЯ РЕЧКА</v>
      </c>
      <c r="J5389" s="5"/>
      <c r="AL5389" s="5">
        <f t="shared" si="170"/>
        <v>0</v>
      </c>
    </row>
    <row r="5390" spans="1:38" ht="25.5" customHeight="1" x14ac:dyDescent="0.25">
      <c r="A5390" s="10" t="s">
        <v>4154</v>
      </c>
      <c r="B5390" s="11" t="s">
        <v>33</v>
      </c>
      <c r="C5390" s="5">
        <v>84298.205100000006</v>
      </c>
      <c r="D5390" s="5">
        <v>84298.205100000006</v>
      </c>
      <c r="E5390" s="5">
        <v>76333.533100000001</v>
      </c>
      <c r="G5390" s="5" t="str">
        <f t="shared" si="169"/>
        <v>ВИЗ</v>
      </c>
      <c r="J5390" s="5"/>
      <c r="AL5390" s="5">
        <f t="shared" si="170"/>
        <v>0</v>
      </c>
    </row>
    <row r="5391" spans="1:38" ht="25.5" customHeight="1" x14ac:dyDescent="0.25">
      <c r="A5391" s="10" t="s">
        <v>4155</v>
      </c>
      <c r="B5391" s="11" t="s">
        <v>1664</v>
      </c>
      <c r="C5391" s="5">
        <v>53668.506099999999</v>
      </c>
      <c r="D5391" s="5">
        <v>53668.506099999999</v>
      </c>
      <c r="E5391" s="5">
        <v>48597.792699999998</v>
      </c>
      <c r="G5391" s="5" t="str">
        <f t="shared" si="169"/>
        <v>ИЗОПЛИТ</v>
      </c>
      <c r="J5391" s="5"/>
      <c r="AL5391" s="5">
        <f t="shared" si="170"/>
        <v>0</v>
      </c>
    </row>
    <row r="5392" spans="1:38" ht="25.5" customHeight="1" x14ac:dyDescent="0.25">
      <c r="A5392" s="10" t="s">
        <v>762</v>
      </c>
      <c r="B5392" s="11" t="s">
        <v>1652</v>
      </c>
      <c r="C5392" s="5">
        <v>71105.171700000006</v>
      </c>
      <c r="D5392" s="5">
        <v>71105.171700000006</v>
      </c>
      <c r="E5392" s="5">
        <v>64387.005100000002</v>
      </c>
      <c r="G5392" s="5" t="str">
        <f t="shared" si="169"/>
        <v>ЗАРЕЧНЫЙ</v>
      </c>
      <c r="J5392" s="5"/>
      <c r="AL5392" s="5">
        <f t="shared" si="170"/>
        <v>0</v>
      </c>
    </row>
    <row r="5393" spans="1:38" ht="25.5" customHeight="1" x14ac:dyDescent="0.25">
      <c r="A5393" s="10" t="s">
        <v>4156</v>
      </c>
      <c r="B5393" s="11" t="s">
        <v>1666</v>
      </c>
      <c r="C5393" s="5">
        <v>46784.877899999999</v>
      </c>
      <c r="D5393" s="5">
        <v>46784.877899999999</v>
      </c>
      <c r="E5393" s="5">
        <v>42364.543299999998</v>
      </c>
      <c r="G5393" s="5" t="str">
        <f t="shared" si="169"/>
        <v>Сулим.Торфянник</v>
      </c>
      <c r="J5393" s="5"/>
      <c r="AL5393" s="5">
        <f t="shared" si="170"/>
        <v>0</v>
      </c>
    </row>
    <row r="5394" spans="1:38" ht="25.5" customHeight="1" x14ac:dyDescent="0.25">
      <c r="A5394" s="10" t="s">
        <v>648</v>
      </c>
      <c r="B5394" s="11" t="s">
        <v>1664</v>
      </c>
      <c r="C5394" s="5">
        <v>53668.506099999999</v>
      </c>
      <c r="D5394" s="5">
        <v>53668.506099999999</v>
      </c>
      <c r="E5394" s="5">
        <v>48597.792699999998</v>
      </c>
      <c r="G5394" s="5" t="str">
        <f t="shared" si="169"/>
        <v>ИЗОПЛИТ</v>
      </c>
      <c r="J5394" s="5"/>
      <c r="AL5394" s="5">
        <f t="shared" si="170"/>
        <v>0</v>
      </c>
    </row>
    <row r="5395" spans="1:38" ht="25.5" customHeight="1" x14ac:dyDescent="0.25">
      <c r="A5395" s="10" t="s">
        <v>4157</v>
      </c>
      <c r="B5395" s="11" t="s">
        <v>1628</v>
      </c>
      <c r="C5395" s="5">
        <v>70734.0236</v>
      </c>
      <c r="D5395" s="5">
        <v>70734.0236</v>
      </c>
      <c r="E5395" s="5">
        <v>64050.9208</v>
      </c>
      <c r="G5395" s="5" t="str">
        <f t="shared" si="169"/>
        <v>ЭЛЬМАШ</v>
      </c>
      <c r="J5395" s="5"/>
      <c r="AL5395" s="5">
        <f t="shared" si="170"/>
        <v>0</v>
      </c>
    </row>
    <row r="5396" spans="1:38" ht="25.5" customHeight="1" x14ac:dyDescent="0.25">
      <c r="A5396" s="10" t="s">
        <v>4158</v>
      </c>
      <c r="B5396" s="11" t="s">
        <v>66</v>
      </c>
      <c r="C5396" s="5">
        <v>64795.756300000001</v>
      </c>
      <c r="D5396" s="5">
        <v>64795.756300000001</v>
      </c>
      <c r="E5396" s="5">
        <v>58673.716200000003</v>
      </c>
      <c r="G5396" s="5" t="str">
        <f t="shared" si="169"/>
        <v>УНЦ</v>
      </c>
      <c r="J5396" s="5"/>
      <c r="AL5396" s="5">
        <f t="shared" si="170"/>
        <v>0</v>
      </c>
    </row>
    <row r="5397" spans="1:38" ht="25.5" customHeight="1" x14ac:dyDescent="0.25">
      <c r="A5397" s="10" t="s">
        <v>974</v>
      </c>
      <c r="B5397" s="11" t="s">
        <v>1630</v>
      </c>
      <c r="C5397" s="5">
        <v>62652.9401</v>
      </c>
      <c r="D5397" s="5">
        <v>62652.9401</v>
      </c>
      <c r="E5397" s="5">
        <v>56733.3557</v>
      </c>
      <c r="G5397" s="5" t="str">
        <f t="shared" si="169"/>
        <v>ЧЕРМЕТ</v>
      </c>
      <c r="J5397" s="5"/>
      <c r="AL5397" s="5">
        <f t="shared" si="170"/>
        <v>0</v>
      </c>
    </row>
    <row r="5398" spans="1:38" ht="25.5" customHeight="1" x14ac:dyDescent="0.25">
      <c r="A5398" s="10" t="s">
        <v>1238</v>
      </c>
      <c r="B5398" s="11" t="s">
        <v>1655</v>
      </c>
      <c r="C5398" s="5">
        <v>79683.445300000007</v>
      </c>
      <c r="D5398" s="5">
        <v>79683.445300000007</v>
      </c>
      <c r="E5398" s="5">
        <v>72154.784899999999</v>
      </c>
      <c r="G5398" s="5" t="str">
        <f t="shared" si="169"/>
        <v>Шарташский рынок</v>
      </c>
      <c r="J5398" s="5"/>
      <c r="AL5398" s="5">
        <f t="shared" si="170"/>
        <v>0</v>
      </c>
    </row>
    <row r="5399" spans="1:38" ht="25.5" customHeight="1" x14ac:dyDescent="0.25">
      <c r="A5399" s="10" t="s">
        <v>4159</v>
      </c>
      <c r="B5399" s="11" t="s">
        <v>1653</v>
      </c>
      <c r="C5399" s="5">
        <v>56847.723400000003</v>
      </c>
      <c r="D5399" s="5">
        <v>56847.723400000003</v>
      </c>
      <c r="E5399" s="5">
        <v>51476.629399999998</v>
      </c>
      <c r="G5399" s="5" t="str">
        <f t="shared" si="169"/>
        <v>ПТИЦЕФАБРИКА</v>
      </c>
      <c r="J5399" s="5"/>
      <c r="AL5399" s="5">
        <f t="shared" si="170"/>
        <v>0</v>
      </c>
    </row>
    <row r="5400" spans="1:38" ht="25.5" customHeight="1" x14ac:dyDescent="0.25">
      <c r="A5400" s="10" t="s">
        <v>341</v>
      </c>
      <c r="B5400" s="11" t="s">
        <v>1654</v>
      </c>
      <c r="C5400" s="5">
        <v>56140.449699999997</v>
      </c>
      <c r="D5400" s="5">
        <v>56140.449699999997</v>
      </c>
      <c r="E5400" s="5">
        <v>50836.1803</v>
      </c>
      <c r="G5400" s="5" t="str">
        <f t="shared" si="169"/>
        <v>ЗАВОКЗАЛЬНЫЙ</v>
      </c>
      <c r="J5400" s="5"/>
      <c r="AL5400" s="5">
        <f t="shared" si="170"/>
        <v>0</v>
      </c>
    </row>
    <row r="5401" spans="1:38" ht="25.5" customHeight="1" x14ac:dyDescent="0.25">
      <c r="A5401" s="10" t="s">
        <v>4160</v>
      </c>
      <c r="B5401" s="11" t="s">
        <v>1644</v>
      </c>
      <c r="C5401" s="5">
        <v>61980.678599999999</v>
      </c>
      <c r="D5401" s="5">
        <v>61980.678599999999</v>
      </c>
      <c r="E5401" s="5">
        <v>56124.615700000002</v>
      </c>
      <c r="G5401" s="5" t="str">
        <f t="shared" si="169"/>
        <v>ХИММАШ</v>
      </c>
      <c r="J5401" s="5"/>
      <c r="AL5401" s="5">
        <f t="shared" si="170"/>
        <v>0</v>
      </c>
    </row>
    <row r="5402" spans="1:38" ht="25.5" customHeight="1" x14ac:dyDescent="0.25">
      <c r="A5402" s="10" t="s">
        <v>1472</v>
      </c>
      <c r="B5402" s="11" t="s">
        <v>209</v>
      </c>
      <c r="C5402" s="5">
        <v>69382.512499999997</v>
      </c>
      <c r="D5402" s="5">
        <v>69382.512499999997</v>
      </c>
      <c r="E5402" s="5">
        <v>62827.103199999998</v>
      </c>
      <c r="G5402" s="5" t="str">
        <f t="shared" si="169"/>
        <v>ЖБИ</v>
      </c>
      <c r="J5402" s="5"/>
      <c r="AL5402" s="5">
        <f t="shared" si="170"/>
        <v>0</v>
      </c>
    </row>
    <row r="5403" spans="1:38" ht="25.5" customHeight="1" x14ac:dyDescent="0.25">
      <c r="A5403" s="10" t="s">
        <v>4161</v>
      </c>
      <c r="B5403" s="11" t="s">
        <v>779</v>
      </c>
      <c r="C5403" s="5">
        <v>46784.877899999999</v>
      </c>
      <c r="D5403" s="5">
        <v>46784.877899999999</v>
      </c>
      <c r="E5403" s="5">
        <v>42364.543299999998</v>
      </c>
      <c r="G5403" s="5" t="str">
        <f t="shared" si="169"/>
        <v>Нижнеисетский</v>
      </c>
      <c r="J5403" s="5"/>
      <c r="AL5403" s="5">
        <f t="shared" si="170"/>
        <v>0</v>
      </c>
    </row>
    <row r="5404" spans="1:38" ht="25.5" customHeight="1" x14ac:dyDescent="0.25">
      <c r="A5404" s="10" t="s">
        <v>4162</v>
      </c>
      <c r="B5404" s="11" t="s">
        <v>1665</v>
      </c>
      <c r="C5404" s="5">
        <v>55692.278700000003</v>
      </c>
      <c r="D5404" s="5">
        <v>55692.278700000003</v>
      </c>
      <c r="E5404" s="5">
        <v>50430.350200000001</v>
      </c>
      <c r="G5404" s="5" t="str">
        <f t="shared" si="169"/>
        <v>ПОЛЕВОДСТВО</v>
      </c>
      <c r="J5404" s="5"/>
      <c r="AL5404" s="5">
        <f t="shared" si="170"/>
        <v>0</v>
      </c>
    </row>
    <row r="5405" spans="1:38" ht="25.5" customHeight="1" x14ac:dyDescent="0.25">
      <c r="A5405" s="10" t="s">
        <v>4163</v>
      </c>
      <c r="B5405" s="11" t="s">
        <v>1635</v>
      </c>
      <c r="C5405" s="5">
        <v>57793.0844</v>
      </c>
      <c r="D5405" s="5">
        <v>57793.0844</v>
      </c>
      <c r="E5405" s="5">
        <v>52332.6639</v>
      </c>
      <c r="G5405" s="5" t="str">
        <f t="shared" si="169"/>
        <v>ЛЕЧЕБНЫЙ</v>
      </c>
      <c r="J5405" s="5"/>
      <c r="AL5405" s="5">
        <f t="shared" si="170"/>
        <v>0</v>
      </c>
    </row>
    <row r="5406" spans="1:38" ht="25.5" customHeight="1" x14ac:dyDescent="0.25">
      <c r="A5406" s="10" t="s">
        <v>4164</v>
      </c>
      <c r="B5406" s="11" t="s">
        <v>14</v>
      </c>
      <c r="C5406" s="5">
        <v>93989.912800000006</v>
      </c>
      <c r="D5406" s="5">
        <v>93989.912800000006</v>
      </c>
      <c r="E5406" s="5">
        <v>85109.545199999993</v>
      </c>
      <c r="G5406" s="5" t="str">
        <f t="shared" si="169"/>
        <v>Центр</v>
      </c>
      <c r="J5406" s="5"/>
      <c r="AL5406" s="5">
        <f t="shared" si="170"/>
        <v>0</v>
      </c>
    </row>
    <row r="5407" spans="1:38" ht="25.5" customHeight="1" x14ac:dyDescent="0.25">
      <c r="A5407" s="10" t="s">
        <v>4165</v>
      </c>
      <c r="B5407" s="11" t="s">
        <v>1659</v>
      </c>
      <c r="C5407" s="5">
        <v>59746.832600000002</v>
      </c>
      <c r="D5407" s="5">
        <v>59746.832600000002</v>
      </c>
      <c r="E5407" s="5">
        <v>54101.823700000001</v>
      </c>
      <c r="G5407" s="5" t="str">
        <f t="shared" si="169"/>
        <v>СОВХОЗ</v>
      </c>
      <c r="J5407" s="5"/>
      <c r="AL5407" s="5">
        <f t="shared" si="170"/>
        <v>0</v>
      </c>
    </row>
    <row r="5408" spans="1:38" ht="25.5" customHeight="1" x14ac:dyDescent="0.25">
      <c r="A5408" s="10" t="s">
        <v>4166</v>
      </c>
      <c r="B5408" s="11" t="s">
        <v>1668</v>
      </c>
      <c r="C5408" s="5">
        <v>51343.6201</v>
      </c>
      <c r="D5408" s="5">
        <v>51343.6201</v>
      </c>
      <c r="E5408" s="5">
        <v>46492.558799999999</v>
      </c>
      <c r="G5408" s="5" t="str">
        <f t="shared" si="169"/>
        <v>МЕДНЫЙ</v>
      </c>
      <c r="J5408" s="5"/>
      <c r="AL5408" s="5">
        <f t="shared" si="170"/>
        <v>0</v>
      </c>
    </row>
    <row r="5409" spans="1:38" ht="25.5" customHeight="1" x14ac:dyDescent="0.25">
      <c r="A5409" s="10" t="s">
        <v>4167</v>
      </c>
      <c r="B5409" s="11" t="s">
        <v>1643</v>
      </c>
      <c r="C5409" s="5">
        <v>76630.280299999999</v>
      </c>
      <c r="D5409" s="5">
        <v>76630.280299999999</v>
      </c>
      <c r="E5409" s="5">
        <v>69390.088799999998</v>
      </c>
      <c r="G5409" s="5" t="str">
        <f t="shared" si="169"/>
        <v>Ю-З</v>
      </c>
      <c r="J5409" s="5"/>
      <c r="AL5409" s="5">
        <f t="shared" si="170"/>
        <v>0</v>
      </c>
    </row>
    <row r="5410" spans="1:38" ht="25.5" customHeight="1" x14ac:dyDescent="0.25">
      <c r="A5410" s="10" t="s">
        <v>4168</v>
      </c>
      <c r="B5410" s="11" t="s">
        <v>1657</v>
      </c>
      <c r="C5410" s="5">
        <v>54886.9666</v>
      </c>
      <c r="D5410" s="5">
        <v>54886.9666</v>
      </c>
      <c r="E5410" s="5">
        <v>49701.1319</v>
      </c>
      <c r="G5410" s="5" t="str">
        <f t="shared" si="169"/>
        <v>КОЛЬЦОВО</v>
      </c>
      <c r="J5410" s="5"/>
      <c r="AL5410" s="5">
        <f t="shared" si="170"/>
        <v>0</v>
      </c>
    </row>
    <row r="5411" spans="1:38" ht="25.5" customHeight="1" x14ac:dyDescent="0.25">
      <c r="A5411" s="10" t="s">
        <v>4169</v>
      </c>
      <c r="B5411" s="11" t="s">
        <v>209</v>
      </c>
      <c r="C5411" s="5">
        <v>69382.512499999997</v>
      </c>
      <c r="D5411" s="5">
        <v>69382.512499999997</v>
      </c>
      <c r="E5411" s="5">
        <v>62827.103199999998</v>
      </c>
      <c r="G5411" s="5" t="str">
        <f t="shared" si="169"/>
        <v>ЖБИ</v>
      </c>
      <c r="J5411" s="5"/>
      <c r="AL5411" s="5">
        <f t="shared" si="170"/>
        <v>0</v>
      </c>
    </row>
    <row r="5412" spans="1:38" ht="25.5" customHeight="1" x14ac:dyDescent="0.25">
      <c r="A5412" s="10" t="s">
        <v>4170</v>
      </c>
      <c r="B5412" s="11" t="s">
        <v>1636</v>
      </c>
      <c r="C5412" s="5">
        <v>52246.960299999999</v>
      </c>
      <c r="D5412" s="5">
        <v>52246.960299999999</v>
      </c>
      <c r="E5412" s="5">
        <v>47310.556700000001</v>
      </c>
      <c r="G5412" s="5" t="str">
        <f t="shared" si="169"/>
        <v>ГОРНЫЙ ЩИТ</v>
      </c>
      <c r="J5412" s="5"/>
      <c r="AL5412" s="5">
        <f t="shared" si="170"/>
        <v>0</v>
      </c>
    </row>
    <row r="5413" spans="1:38" ht="25.5" customHeight="1" x14ac:dyDescent="0.25">
      <c r="A5413" s="10" t="s">
        <v>1453</v>
      </c>
      <c r="B5413" s="11" t="s">
        <v>1637</v>
      </c>
      <c r="C5413" s="5">
        <v>59368.686099999999</v>
      </c>
      <c r="D5413" s="5">
        <v>59368.686099999999</v>
      </c>
      <c r="E5413" s="5">
        <v>53759.401700000002</v>
      </c>
      <c r="G5413" s="5" t="str">
        <f t="shared" si="169"/>
        <v>Старая сортировка</v>
      </c>
      <c r="J5413" s="5"/>
      <c r="AL5413" s="5">
        <f t="shared" si="170"/>
        <v>0</v>
      </c>
    </row>
    <row r="5414" spans="1:38" ht="25.5" customHeight="1" x14ac:dyDescent="0.25">
      <c r="A5414" s="10" t="s">
        <v>4171</v>
      </c>
      <c r="B5414" s="11" t="s">
        <v>1657</v>
      </c>
      <c r="C5414" s="5">
        <v>54886.9666</v>
      </c>
      <c r="D5414" s="5">
        <v>54886.9666</v>
      </c>
      <c r="E5414" s="5">
        <v>49701.1319</v>
      </c>
      <c r="G5414" s="5" t="str">
        <f t="shared" si="169"/>
        <v>КОЛЬЦОВО</v>
      </c>
      <c r="J5414" s="5"/>
      <c r="AL5414" s="5">
        <f t="shared" si="170"/>
        <v>0</v>
      </c>
    </row>
    <row r="5415" spans="1:38" ht="25.5" customHeight="1" x14ac:dyDescent="0.25">
      <c r="A5415" s="10" t="s">
        <v>516</v>
      </c>
      <c r="B5415" s="11" t="s">
        <v>1657</v>
      </c>
      <c r="C5415" s="5">
        <v>54886.9666</v>
      </c>
      <c r="D5415" s="5">
        <v>54886.9666</v>
      </c>
      <c r="E5415" s="5">
        <v>49701.1319</v>
      </c>
      <c r="G5415" s="5" t="str">
        <f t="shared" si="169"/>
        <v>КОЛЬЦОВО</v>
      </c>
      <c r="J5415" s="5"/>
      <c r="AL5415" s="5">
        <f t="shared" si="170"/>
        <v>0</v>
      </c>
    </row>
    <row r="5416" spans="1:38" ht="25.5" customHeight="1" x14ac:dyDescent="0.25">
      <c r="A5416" s="10" t="s">
        <v>4172</v>
      </c>
      <c r="B5416" s="11" t="s">
        <v>1645</v>
      </c>
      <c r="C5416" s="5">
        <v>60958.294800000003</v>
      </c>
      <c r="D5416" s="5">
        <v>60958.294800000003</v>
      </c>
      <c r="E5416" s="5">
        <v>55198.825199999999</v>
      </c>
      <c r="G5416" s="5" t="str">
        <f t="shared" si="169"/>
        <v>ЕЛИЗАВЕТ</v>
      </c>
      <c r="J5416" s="5"/>
      <c r="AL5416" s="5">
        <f t="shared" si="170"/>
        <v>0</v>
      </c>
    </row>
    <row r="5417" spans="1:38" ht="25.5" customHeight="1" x14ac:dyDescent="0.25">
      <c r="A5417" s="10" t="s">
        <v>4173</v>
      </c>
      <c r="B5417" s="11" t="s">
        <v>1656</v>
      </c>
      <c r="C5417" s="5">
        <v>60173.9879</v>
      </c>
      <c r="D5417" s="5">
        <v>60173.9879</v>
      </c>
      <c r="E5417" s="5">
        <v>54488.630299999997</v>
      </c>
      <c r="G5417" s="5" t="str">
        <f t="shared" si="169"/>
        <v>МАЛЫЙ ИСТОК</v>
      </c>
      <c r="J5417" s="5"/>
      <c r="AL5417" s="5">
        <f t="shared" si="170"/>
        <v>0</v>
      </c>
    </row>
    <row r="5418" spans="1:38" ht="25.5" customHeight="1" x14ac:dyDescent="0.25">
      <c r="A5418" s="10" t="s">
        <v>4174</v>
      </c>
      <c r="B5418" s="11" t="s">
        <v>1637</v>
      </c>
      <c r="C5418" s="5">
        <v>59368.686099999999</v>
      </c>
      <c r="D5418" s="5">
        <v>59368.686099999999</v>
      </c>
      <c r="E5418" s="5">
        <v>53759.401700000002</v>
      </c>
      <c r="G5418" s="5" t="str">
        <f t="shared" si="169"/>
        <v>Старая сортировка</v>
      </c>
      <c r="J5418" s="5"/>
      <c r="AL5418" s="5">
        <f t="shared" si="170"/>
        <v>0</v>
      </c>
    </row>
    <row r="5419" spans="1:38" ht="25.5" customHeight="1" x14ac:dyDescent="0.25">
      <c r="A5419" s="10" t="s">
        <v>730</v>
      </c>
      <c r="B5419" s="11" t="s">
        <v>1643</v>
      </c>
      <c r="C5419" s="5">
        <v>76630.280299999999</v>
      </c>
      <c r="D5419" s="5">
        <v>76630.280299999999</v>
      </c>
      <c r="E5419" s="5">
        <v>69390.088799999998</v>
      </c>
      <c r="G5419" s="5" t="str">
        <f t="shared" si="169"/>
        <v>Ю-З</v>
      </c>
      <c r="J5419" s="5"/>
      <c r="AL5419" s="5">
        <f t="shared" si="170"/>
        <v>0</v>
      </c>
    </row>
    <row r="5420" spans="1:38" ht="25.5" customHeight="1" x14ac:dyDescent="0.25">
      <c r="A5420" s="10" t="s">
        <v>4175</v>
      </c>
      <c r="B5420" s="11" t="s">
        <v>1650</v>
      </c>
      <c r="C5420" s="5">
        <v>37590.3603</v>
      </c>
      <c r="D5420" s="5">
        <v>37590.3603</v>
      </c>
      <c r="E5420" s="5">
        <v>34038.745900000002</v>
      </c>
      <c r="G5420" s="5" t="str">
        <f t="shared" si="169"/>
        <v>ШАБРОВСКИЙ</v>
      </c>
      <c r="J5420" s="5"/>
      <c r="AL5420" s="5">
        <f t="shared" si="170"/>
        <v>0</v>
      </c>
    </row>
    <row r="5421" spans="1:38" ht="25.5" customHeight="1" x14ac:dyDescent="0.25">
      <c r="A5421" s="10" t="s">
        <v>4176</v>
      </c>
      <c r="B5421" s="11" t="s">
        <v>1657</v>
      </c>
      <c r="C5421" s="5">
        <v>54886.9666</v>
      </c>
      <c r="D5421" s="5">
        <v>54886.9666</v>
      </c>
      <c r="E5421" s="5">
        <v>49701.1319</v>
      </c>
      <c r="G5421" s="5" t="str">
        <f t="shared" si="169"/>
        <v>КОЛЬЦОВО</v>
      </c>
      <c r="J5421" s="5"/>
      <c r="AL5421" s="5">
        <f t="shared" si="170"/>
        <v>0</v>
      </c>
    </row>
    <row r="5422" spans="1:38" ht="25.5" customHeight="1" x14ac:dyDescent="0.25">
      <c r="A5422" s="10" t="s">
        <v>653</v>
      </c>
      <c r="B5422" s="11" t="s">
        <v>1628</v>
      </c>
      <c r="C5422" s="5">
        <v>70734.0236</v>
      </c>
      <c r="D5422" s="5">
        <v>70734.0236</v>
      </c>
      <c r="E5422" s="5">
        <v>64050.9208</v>
      </c>
      <c r="G5422" s="5" t="str">
        <f t="shared" si="169"/>
        <v>ЭЛЬМАШ</v>
      </c>
      <c r="J5422" s="5"/>
      <c r="AL5422" s="5">
        <f t="shared" si="170"/>
        <v>0</v>
      </c>
    </row>
    <row r="5423" spans="1:38" ht="25.5" customHeight="1" x14ac:dyDescent="0.25">
      <c r="A5423" s="10" t="s">
        <v>756</v>
      </c>
      <c r="B5423" s="11" t="s">
        <v>1631</v>
      </c>
      <c r="C5423" s="5">
        <v>70026.7601</v>
      </c>
      <c r="D5423" s="5">
        <v>70026.7601</v>
      </c>
      <c r="E5423" s="5">
        <v>63410.482000000004</v>
      </c>
      <c r="G5423" s="5" t="str">
        <f t="shared" si="169"/>
        <v>УРАЛМАШ</v>
      </c>
      <c r="J5423" s="5"/>
      <c r="AL5423" s="5">
        <f t="shared" si="170"/>
        <v>0</v>
      </c>
    </row>
    <row r="5424" spans="1:38" ht="25.5" customHeight="1" x14ac:dyDescent="0.25">
      <c r="A5424" s="10" t="s">
        <v>170</v>
      </c>
      <c r="B5424" s="11" t="s">
        <v>33</v>
      </c>
      <c r="C5424" s="5">
        <v>84298.205100000006</v>
      </c>
      <c r="D5424" s="5">
        <v>84298.205100000006</v>
      </c>
      <c r="E5424" s="5">
        <v>76333.533100000001</v>
      </c>
      <c r="G5424" s="5" t="str">
        <f t="shared" si="169"/>
        <v>ВИЗ</v>
      </c>
      <c r="J5424" s="5"/>
      <c r="AL5424" s="5">
        <f t="shared" si="170"/>
        <v>0</v>
      </c>
    </row>
    <row r="5425" spans="1:38" ht="25.5" customHeight="1" x14ac:dyDescent="0.25">
      <c r="A5425" s="10" t="s">
        <v>4177</v>
      </c>
      <c r="B5425" s="11" t="s">
        <v>1645</v>
      </c>
      <c r="C5425" s="5">
        <v>60958.294800000003</v>
      </c>
      <c r="D5425" s="5">
        <v>60958.294800000003</v>
      </c>
      <c r="E5425" s="5">
        <v>55198.825199999999</v>
      </c>
      <c r="G5425" s="5" t="str">
        <f t="shared" si="169"/>
        <v>ЕЛИЗАВЕТ</v>
      </c>
      <c r="J5425" s="5"/>
      <c r="AL5425" s="5">
        <f t="shared" si="170"/>
        <v>0</v>
      </c>
    </row>
    <row r="5426" spans="1:38" ht="25.5" customHeight="1" x14ac:dyDescent="0.25">
      <c r="A5426" s="10" t="s">
        <v>4178</v>
      </c>
      <c r="B5426" s="11" t="s">
        <v>1647</v>
      </c>
      <c r="C5426" s="5">
        <v>63178.133800000003</v>
      </c>
      <c r="D5426" s="5">
        <v>63178.133800000003</v>
      </c>
      <c r="E5426" s="5">
        <v>57208.931499999999</v>
      </c>
      <c r="G5426" s="5" t="str">
        <f t="shared" si="169"/>
        <v>ШИРОКАЯ РЕЧКА</v>
      </c>
      <c r="J5426" s="5"/>
      <c r="AL5426" s="5">
        <f t="shared" si="170"/>
        <v>0</v>
      </c>
    </row>
    <row r="5427" spans="1:38" ht="25.5" customHeight="1" x14ac:dyDescent="0.25">
      <c r="A5427" s="10" t="s">
        <v>4179</v>
      </c>
      <c r="B5427" s="11" t="s">
        <v>1628</v>
      </c>
      <c r="C5427" s="5">
        <v>70734.0236</v>
      </c>
      <c r="D5427" s="5">
        <v>70734.0236</v>
      </c>
      <c r="E5427" s="5">
        <v>64050.9208</v>
      </c>
      <c r="G5427" s="5" t="str">
        <f t="shared" si="169"/>
        <v>ЭЛЬМАШ</v>
      </c>
      <c r="J5427" s="5"/>
      <c r="AL5427" s="5">
        <f t="shared" si="170"/>
        <v>0</v>
      </c>
    </row>
    <row r="5428" spans="1:38" ht="25.5" customHeight="1" x14ac:dyDescent="0.25">
      <c r="A5428" s="10" t="s">
        <v>4180</v>
      </c>
      <c r="B5428" s="11" t="s">
        <v>1647</v>
      </c>
      <c r="C5428" s="5">
        <v>63178.133800000003</v>
      </c>
      <c r="D5428" s="5">
        <v>63178.133800000003</v>
      </c>
      <c r="E5428" s="5">
        <v>57208.931499999999</v>
      </c>
      <c r="G5428" s="5" t="str">
        <f t="shared" si="169"/>
        <v>ШИРОКАЯ РЕЧКА</v>
      </c>
      <c r="J5428" s="5"/>
      <c r="AL5428" s="5">
        <f t="shared" si="170"/>
        <v>0</v>
      </c>
    </row>
    <row r="5429" spans="1:38" ht="25.5" customHeight="1" x14ac:dyDescent="0.25">
      <c r="A5429" s="10" t="s">
        <v>4181</v>
      </c>
      <c r="B5429" s="11" t="s">
        <v>1644</v>
      </c>
      <c r="C5429" s="5">
        <v>61980.678599999999</v>
      </c>
      <c r="D5429" s="5">
        <v>61980.678599999999</v>
      </c>
      <c r="E5429" s="5">
        <v>56124.615700000002</v>
      </c>
      <c r="G5429" s="5" t="str">
        <f t="shared" si="169"/>
        <v>ХИММАШ</v>
      </c>
      <c r="J5429" s="5"/>
      <c r="AL5429" s="5">
        <f t="shared" si="170"/>
        <v>0</v>
      </c>
    </row>
    <row r="5430" spans="1:38" ht="25.5" customHeight="1" x14ac:dyDescent="0.25">
      <c r="A5430" s="10" t="s">
        <v>1533</v>
      </c>
      <c r="B5430" s="11" t="s">
        <v>1662</v>
      </c>
      <c r="C5430" s="5">
        <v>46784.877899999999</v>
      </c>
      <c r="D5430" s="5">
        <v>46784.877899999999</v>
      </c>
      <c r="E5430" s="5">
        <v>42364.543299999998</v>
      </c>
      <c r="G5430" s="5" t="str">
        <f t="shared" si="169"/>
        <v>РУДНЫЙ</v>
      </c>
      <c r="J5430" s="5"/>
      <c r="AL5430" s="5">
        <f t="shared" si="170"/>
        <v>0</v>
      </c>
    </row>
    <row r="5431" spans="1:38" ht="25.5" customHeight="1" x14ac:dyDescent="0.25">
      <c r="A5431" s="10" t="s">
        <v>4182</v>
      </c>
      <c r="B5431" s="11" t="s">
        <v>1661</v>
      </c>
      <c r="C5431" s="5">
        <v>51175.5573</v>
      </c>
      <c r="D5431" s="5">
        <v>51175.5573</v>
      </c>
      <c r="E5431" s="5">
        <v>46340.381600000001</v>
      </c>
      <c r="G5431" s="5" t="str">
        <f t="shared" si="169"/>
        <v>СЕВЕРКА</v>
      </c>
      <c r="J5431" s="5"/>
      <c r="AL5431" s="5">
        <f t="shared" si="170"/>
        <v>0</v>
      </c>
    </row>
    <row r="5432" spans="1:38" ht="25.5" customHeight="1" x14ac:dyDescent="0.25">
      <c r="A5432" s="10" t="s">
        <v>1248</v>
      </c>
      <c r="B5432" s="11" t="s">
        <v>1631</v>
      </c>
      <c r="C5432" s="5">
        <v>70026.7601</v>
      </c>
      <c r="D5432" s="5">
        <v>70026.7601</v>
      </c>
      <c r="E5432" s="5">
        <v>63410.482000000004</v>
      </c>
      <c r="G5432" s="5" t="str">
        <f t="shared" si="169"/>
        <v>УРАЛМАШ</v>
      </c>
      <c r="J5432" s="5"/>
      <c r="AL5432" s="5">
        <f t="shared" si="170"/>
        <v>0</v>
      </c>
    </row>
    <row r="5433" spans="1:38" ht="25.5" customHeight="1" x14ac:dyDescent="0.25">
      <c r="A5433" s="10" t="s">
        <v>4183</v>
      </c>
      <c r="B5433" s="11" t="s">
        <v>33</v>
      </c>
      <c r="C5433" s="5">
        <v>84298.205100000006</v>
      </c>
      <c r="D5433" s="5">
        <v>84298.205100000006</v>
      </c>
      <c r="E5433" s="5">
        <v>76333.533100000001</v>
      </c>
      <c r="G5433" s="5" t="str">
        <f t="shared" si="169"/>
        <v>ВИЗ</v>
      </c>
      <c r="J5433" s="5"/>
      <c r="AL5433" s="5">
        <f t="shared" si="170"/>
        <v>0</v>
      </c>
    </row>
    <row r="5434" spans="1:38" ht="25.5" customHeight="1" x14ac:dyDescent="0.25">
      <c r="A5434" s="10" t="s">
        <v>786</v>
      </c>
      <c r="B5434" s="11" t="s">
        <v>66</v>
      </c>
      <c r="C5434" s="5">
        <v>64795.756300000001</v>
      </c>
      <c r="D5434" s="5">
        <v>64795.756300000001</v>
      </c>
      <c r="E5434" s="5">
        <v>58673.716200000003</v>
      </c>
      <c r="G5434" s="5" t="str">
        <f t="shared" si="169"/>
        <v>УНЦ</v>
      </c>
      <c r="J5434" s="5"/>
      <c r="AL5434" s="5">
        <f t="shared" si="170"/>
        <v>0</v>
      </c>
    </row>
    <row r="5435" spans="1:38" ht="25.5" customHeight="1" x14ac:dyDescent="0.25">
      <c r="A5435" s="10" t="s">
        <v>4184</v>
      </c>
      <c r="B5435" s="11" t="s">
        <v>14</v>
      </c>
      <c r="C5435" s="5">
        <v>93989.912800000006</v>
      </c>
      <c r="D5435" s="5">
        <v>93989.912800000006</v>
      </c>
      <c r="E5435" s="5">
        <v>85109.545199999993</v>
      </c>
      <c r="G5435" s="5" t="str">
        <f t="shared" si="169"/>
        <v>Центр</v>
      </c>
      <c r="J5435" s="5"/>
      <c r="AL5435" s="5">
        <f t="shared" si="170"/>
        <v>0</v>
      </c>
    </row>
    <row r="5436" spans="1:38" ht="25.5" customHeight="1" x14ac:dyDescent="0.25">
      <c r="A5436" s="10" t="s">
        <v>4185</v>
      </c>
      <c r="B5436" s="11" t="s">
        <v>1637</v>
      </c>
      <c r="C5436" s="5">
        <v>59368.686099999999</v>
      </c>
      <c r="D5436" s="5">
        <v>59368.686099999999</v>
      </c>
      <c r="E5436" s="5">
        <v>53759.401700000002</v>
      </c>
      <c r="G5436" s="5" t="str">
        <f t="shared" si="169"/>
        <v>Старая сортировка</v>
      </c>
      <c r="J5436" s="5"/>
      <c r="AL5436" s="5">
        <f t="shared" si="170"/>
        <v>0</v>
      </c>
    </row>
    <row r="5437" spans="1:38" ht="25.5" customHeight="1" x14ac:dyDescent="0.25">
      <c r="A5437" s="10" t="s">
        <v>4186</v>
      </c>
      <c r="B5437" s="11" t="s">
        <v>33</v>
      </c>
      <c r="C5437" s="5">
        <v>84298.205100000006</v>
      </c>
      <c r="D5437" s="5">
        <v>84298.205100000006</v>
      </c>
      <c r="E5437" s="5">
        <v>76333.533100000001</v>
      </c>
      <c r="G5437" s="5" t="str">
        <f t="shared" si="169"/>
        <v>ВИЗ</v>
      </c>
      <c r="J5437" s="5"/>
      <c r="AL5437" s="5">
        <f t="shared" si="170"/>
        <v>0</v>
      </c>
    </row>
    <row r="5438" spans="1:38" ht="25.5" customHeight="1" x14ac:dyDescent="0.25">
      <c r="A5438" s="10" t="s">
        <v>4187</v>
      </c>
      <c r="B5438" s="11" t="s">
        <v>1661</v>
      </c>
      <c r="C5438" s="5">
        <v>51175.5573</v>
      </c>
      <c r="D5438" s="5">
        <v>51175.5573</v>
      </c>
      <c r="E5438" s="5">
        <v>46340.381600000001</v>
      </c>
      <c r="G5438" s="5" t="str">
        <f t="shared" si="169"/>
        <v>СЕВЕРКА</v>
      </c>
      <c r="J5438" s="5"/>
      <c r="AL5438" s="5">
        <f t="shared" si="170"/>
        <v>0</v>
      </c>
    </row>
    <row r="5439" spans="1:38" ht="25.5" customHeight="1" x14ac:dyDescent="0.25">
      <c r="A5439" s="10" t="s">
        <v>1477</v>
      </c>
      <c r="B5439" s="11" t="s">
        <v>1654</v>
      </c>
      <c r="C5439" s="5">
        <v>56140.449699999997</v>
      </c>
      <c r="D5439" s="5">
        <v>56140.449699999997</v>
      </c>
      <c r="E5439" s="5">
        <v>50836.1803</v>
      </c>
      <c r="G5439" s="5" t="str">
        <f t="shared" ref="G5439:G5502" si="171">B5439</f>
        <v>ЗАВОКЗАЛЬНЫЙ</v>
      </c>
      <c r="J5439" s="5"/>
      <c r="AL5439" s="5">
        <f t="shared" ref="AL5439:AL5502" si="172">AF5439</f>
        <v>0</v>
      </c>
    </row>
    <row r="5440" spans="1:38" ht="25.5" customHeight="1" x14ac:dyDescent="0.25">
      <c r="A5440" s="10" t="s">
        <v>4188</v>
      </c>
      <c r="B5440" s="11" t="s">
        <v>1647</v>
      </c>
      <c r="C5440" s="5">
        <v>63178.133800000003</v>
      </c>
      <c r="D5440" s="5">
        <v>63178.133800000003</v>
      </c>
      <c r="E5440" s="5">
        <v>57208.931499999999</v>
      </c>
      <c r="G5440" s="5" t="str">
        <f t="shared" si="171"/>
        <v>ШИРОКАЯ РЕЧКА</v>
      </c>
      <c r="J5440" s="5"/>
      <c r="AL5440" s="5">
        <f t="shared" si="172"/>
        <v>0</v>
      </c>
    </row>
    <row r="5441" spans="1:38" ht="25.5" customHeight="1" x14ac:dyDescent="0.25">
      <c r="A5441" s="10" t="s">
        <v>4189</v>
      </c>
      <c r="B5441" s="11" t="s">
        <v>1651</v>
      </c>
      <c r="C5441" s="5">
        <v>68129.029500000004</v>
      </c>
      <c r="D5441" s="5">
        <v>68129.029500000004</v>
      </c>
      <c r="E5441" s="5">
        <v>61692.054799999998</v>
      </c>
      <c r="G5441" s="5" t="str">
        <f t="shared" si="171"/>
        <v>ШАРТАШ</v>
      </c>
      <c r="J5441" s="5"/>
      <c r="AL5441" s="5">
        <f t="shared" si="172"/>
        <v>0</v>
      </c>
    </row>
    <row r="5442" spans="1:38" ht="25.5" customHeight="1" x14ac:dyDescent="0.25">
      <c r="A5442" s="10" t="s">
        <v>4190</v>
      </c>
      <c r="B5442" s="11" t="s">
        <v>1651</v>
      </c>
      <c r="C5442" s="5">
        <v>68129.029500000004</v>
      </c>
      <c r="D5442" s="5">
        <v>68129.029500000004</v>
      </c>
      <c r="E5442" s="5">
        <v>61692.054799999998</v>
      </c>
      <c r="G5442" s="5" t="str">
        <f t="shared" si="171"/>
        <v>ШАРТАШ</v>
      </c>
      <c r="J5442" s="5"/>
      <c r="AL5442" s="5">
        <f t="shared" si="172"/>
        <v>0</v>
      </c>
    </row>
    <row r="5443" spans="1:38" ht="25.5" customHeight="1" x14ac:dyDescent="0.25">
      <c r="A5443" s="10" t="s">
        <v>775</v>
      </c>
      <c r="B5443" s="11" t="s">
        <v>1661</v>
      </c>
      <c r="C5443" s="5">
        <v>51175.5573</v>
      </c>
      <c r="D5443" s="5">
        <v>51175.5573</v>
      </c>
      <c r="E5443" s="5">
        <v>46340.381600000001</v>
      </c>
      <c r="G5443" s="5" t="str">
        <f t="shared" si="171"/>
        <v>СЕВЕРКА</v>
      </c>
      <c r="J5443" s="5"/>
      <c r="AL5443" s="5">
        <f t="shared" si="172"/>
        <v>0</v>
      </c>
    </row>
    <row r="5444" spans="1:38" ht="25.5" customHeight="1" x14ac:dyDescent="0.25">
      <c r="A5444" s="10" t="s">
        <v>4191</v>
      </c>
      <c r="B5444" s="11" t="s">
        <v>1660</v>
      </c>
      <c r="C5444" s="5">
        <v>53262.345800000003</v>
      </c>
      <c r="D5444" s="5">
        <v>53262.345800000003</v>
      </c>
      <c r="E5444" s="5">
        <v>48230.0095</v>
      </c>
      <c r="G5444" s="5" t="str">
        <f t="shared" si="171"/>
        <v>САДОВЫЙ</v>
      </c>
      <c r="J5444" s="5"/>
      <c r="AL5444" s="5">
        <f t="shared" si="172"/>
        <v>0</v>
      </c>
    </row>
    <row r="5445" spans="1:38" ht="25.5" customHeight="1" x14ac:dyDescent="0.25">
      <c r="A5445" s="10" t="s">
        <v>4192</v>
      </c>
      <c r="B5445" s="11" t="s">
        <v>1628</v>
      </c>
      <c r="C5445" s="5">
        <v>70734.0236</v>
      </c>
      <c r="D5445" s="5">
        <v>70734.0236</v>
      </c>
      <c r="E5445" s="5">
        <v>64050.9208</v>
      </c>
      <c r="G5445" s="5" t="str">
        <f t="shared" si="171"/>
        <v>ЭЛЬМАШ</v>
      </c>
      <c r="J5445" s="5"/>
      <c r="AL5445" s="5">
        <f t="shared" si="172"/>
        <v>0</v>
      </c>
    </row>
    <row r="5446" spans="1:38" ht="25.5" customHeight="1" x14ac:dyDescent="0.25">
      <c r="A5446" s="10" t="s">
        <v>4193</v>
      </c>
      <c r="B5446" s="11" t="s">
        <v>1632</v>
      </c>
      <c r="C5446" s="5">
        <v>83744.997499999998</v>
      </c>
      <c r="D5446" s="5">
        <v>83744.997499999998</v>
      </c>
      <c r="E5446" s="5">
        <v>75832.596099999995</v>
      </c>
      <c r="G5446" s="5" t="str">
        <f t="shared" si="171"/>
        <v>АВТОВОКЗАЛ</v>
      </c>
      <c r="J5446" s="5"/>
      <c r="AL5446" s="5">
        <f t="shared" si="172"/>
        <v>0</v>
      </c>
    </row>
    <row r="5447" spans="1:38" ht="25.5" customHeight="1" x14ac:dyDescent="0.25">
      <c r="A5447" s="10" t="s">
        <v>4194</v>
      </c>
      <c r="B5447" s="11" t="s">
        <v>1636</v>
      </c>
      <c r="C5447" s="5">
        <v>52246.960299999999</v>
      </c>
      <c r="D5447" s="5">
        <v>52246.960299999999</v>
      </c>
      <c r="E5447" s="5">
        <v>47310.556700000001</v>
      </c>
      <c r="G5447" s="5" t="str">
        <f t="shared" si="171"/>
        <v>ГОРНЫЙ ЩИТ</v>
      </c>
      <c r="J5447" s="5"/>
      <c r="AL5447" s="5">
        <f t="shared" si="172"/>
        <v>0</v>
      </c>
    </row>
    <row r="5448" spans="1:38" ht="25.5" customHeight="1" x14ac:dyDescent="0.25">
      <c r="A5448" s="10" t="s">
        <v>4195</v>
      </c>
      <c r="B5448" s="11" t="s">
        <v>1647</v>
      </c>
      <c r="C5448" s="5">
        <v>63178.133800000003</v>
      </c>
      <c r="D5448" s="5">
        <v>63178.133800000003</v>
      </c>
      <c r="E5448" s="5">
        <v>57208.931499999999</v>
      </c>
      <c r="G5448" s="5" t="str">
        <f t="shared" si="171"/>
        <v>ШИРОКАЯ РЕЧКА</v>
      </c>
      <c r="J5448" s="5"/>
      <c r="AL5448" s="5">
        <f t="shared" si="172"/>
        <v>0</v>
      </c>
    </row>
    <row r="5449" spans="1:38" ht="25.5" customHeight="1" x14ac:dyDescent="0.25">
      <c r="A5449" s="10" t="s">
        <v>4196</v>
      </c>
      <c r="B5449" s="11" t="s">
        <v>779</v>
      </c>
      <c r="C5449" s="5">
        <v>46784.877899999999</v>
      </c>
      <c r="D5449" s="5">
        <v>46784.877899999999</v>
      </c>
      <c r="E5449" s="5">
        <v>42364.543299999998</v>
      </c>
      <c r="G5449" s="5" t="str">
        <f t="shared" si="171"/>
        <v>Нижнеисетский</v>
      </c>
      <c r="J5449" s="5"/>
      <c r="AL5449" s="5">
        <f t="shared" si="172"/>
        <v>0</v>
      </c>
    </row>
    <row r="5450" spans="1:38" ht="25.5" customHeight="1" x14ac:dyDescent="0.25">
      <c r="A5450" s="10" t="s">
        <v>4197</v>
      </c>
      <c r="B5450" s="11" t="s">
        <v>1645</v>
      </c>
      <c r="C5450" s="5">
        <v>60958.294800000003</v>
      </c>
      <c r="D5450" s="5">
        <v>60958.294800000003</v>
      </c>
      <c r="E5450" s="5">
        <v>55198.825199999999</v>
      </c>
      <c r="G5450" s="5" t="str">
        <f t="shared" si="171"/>
        <v>ЕЛИЗАВЕТ</v>
      </c>
      <c r="J5450" s="5"/>
      <c r="AL5450" s="5">
        <f t="shared" si="172"/>
        <v>0</v>
      </c>
    </row>
    <row r="5451" spans="1:38" ht="25.5" customHeight="1" x14ac:dyDescent="0.25">
      <c r="A5451" s="10" t="s">
        <v>4198</v>
      </c>
      <c r="B5451" s="11" t="s">
        <v>209</v>
      </c>
      <c r="C5451" s="5">
        <v>69382.512499999997</v>
      </c>
      <c r="D5451" s="5">
        <v>69382.512499999997</v>
      </c>
      <c r="E5451" s="5">
        <v>62827.103199999998</v>
      </c>
      <c r="G5451" s="5" t="str">
        <f t="shared" si="171"/>
        <v>ЖБИ</v>
      </c>
      <c r="J5451" s="5"/>
      <c r="AL5451" s="5">
        <f t="shared" si="172"/>
        <v>0</v>
      </c>
    </row>
    <row r="5452" spans="1:38" ht="25.5" customHeight="1" x14ac:dyDescent="0.25">
      <c r="A5452" s="10" t="s">
        <v>83</v>
      </c>
      <c r="B5452" s="11" t="s">
        <v>33</v>
      </c>
      <c r="C5452" s="5">
        <v>84298.205100000006</v>
      </c>
      <c r="D5452" s="5">
        <v>84298.205100000006</v>
      </c>
      <c r="E5452" s="5">
        <v>76333.533100000001</v>
      </c>
      <c r="G5452" s="5" t="str">
        <f t="shared" si="171"/>
        <v>ВИЗ</v>
      </c>
      <c r="J5452" s="5"/>
      <c r="AL5452" s="5">
        <f t="shared" si="172"/>
        <v>0</v>
      </c>
    </row>
    <row r="5453" spans="1:38" ht="25.5" customHeight="1" x14ac:dyDescent="0.25">
      <c r="A5453" s="10" t="s">
        <v>466</v>
      </c>
      <c r="B5453" s="11" t="s">
        <v>1630</v>
      </c>
      <c r="C5453" s="5">
        <v>62652.9401</v>
      </c>
      <c r="D5453" s="5">
        <v>62652.9401</v>
      </c>
      <c r="E5453" s="5">
        <v>56733.3557</v>
      </c>
      <c r="G5453" s="5" t="str">
        <f t="shared" si="171"/>
        <v>ЧЕРМЕТ</v>
      </c>
      <c r="J5453" s="5"/>
      <c r="AL5453" s="5">
        <f t="shared" si="172"/>
        <v>0</v>
      </c>
    </row>
    <row r="5454" spans="1:38" ht="25.5" customHeight="1" x14ac:dyDescent="0.25">
      <c r="A5454" s="10" t="s">
        <v>4199</v>
      </c>
      <c r="B5454" s="11" t="s">
        <v>1631</v>
      </c>
      <c r="C5454" s="5">
        <v>70026.7601</v>
      </c>
      <c r="D5454" s="5">
        <v>70026.7601</v>
      </c>
      <c r="E5454" s="5">
        <v>63410.482000000004</v>
      </c>
      <c r="G5454" s="5" t="str">
        <f t="shared" si="171"/>
        <v>УРАЛМАШ</v>
      </c>
      <c r="J5454" s="5"/>
      <c r="AL5454" s="5">
        <f t="shared" si="172"/>
        <v>0</v>
      </c>
    </row>
    <row r="5455" spans="1:38" ht="25.5" customHeight="1" x14ac:dyDescent="0.25">
      <c r="A5455" s="10" t="s">
        <v>554</v>
      </c>
      <c r="B5455" s="11" t="s">
        <v>1640</v>
      </c>
      <c r="C5455" s="5">
        <v>64914.8</v>
      </c>
      <c r="D5455" s="5">
        <v>64914.8</v>
      </c>
      <c r="E5455" s="5">
        <v>58781.519200000002</v>
      </c>
      <c r="G5455" s="5" t="str">
        <f t="shared" si="171"/>
        <v>Новая сортировка</v>
      </c>
      <c r="J5455" s="5"/>
      <c r="AL5455" s="5">
        <f t="shared" si="172"/>
        <v>0</v>
      </c>
    </row>
    <row r="5456" spans="1:38" ht="25.5" customHeight="1" x14ac:dyDescent="0.25">
      <c r="A5456" s="10" t="s">
        <v>4200</v>
      </c>
      <c r="B5456" s="11" t="s">
        <v>1662</v>
      </c>
      <c r="C5456" s="5">
        <v>46784.877899999999</v>
      </c>
      <c r="D5456" s="5">
        <v>46784.877899999999</v>
      </c>
      <c r="E5456" s="5">
        <v>42364.543299999998</v>
      </c>
      <c r="G5456" s="5" t="str">
        <f t="shared" si="171"/>
        <v>РУДНЫЙ</v>
      </c>
      <c r="J5456" s="5"/>
      <c r="AL5456" s="5">
        <f t="shared" si="172"/>
        <v>0</v>
      </c>
    </row>
    <row r="5457" spans="1:38" ht="25.5" customHeight="1" x14ac:dyDescent="0.25">
      <c r="A5457" s="10" t="s">
        <v>339</v>
      </c>
      <c r="B5457" s="11" t="s">
        <v>1636</v>
      </c>
      <c r="C5457" s="5">
        <v>52246.960299999999</v>
      </c>
      <c r="D5457" s="5">
        <v>52246.960299999999</v>
      </c>
      <c r="E5457" s="5">
        <v>47310.556700000001</v>
      </c>
      <c r="G5457" s="5" t="str">
        <f t="shared" si="171"/>
        <v>ГОРНЫЙ ЩИТ</v>
      </c>
      <c r="J5457" s="5"/>
      <c r="AL5457" s="5">
        <f t="shared" si="172"/>
        <v>0</v>
      </c>
    </row>
    <row r="5458" spans="1:38" ht="25.5" customHeight="1" x14ac:dyDescent="0.25">
      <c r="A5458" s="10" t="s">
        <v>4201</v>
      </c>
      <c r="B5458" s="11" t="s">
        <v>1647</v>
      </c>
      <c r="C5458" s="5">
        <v>63178.133800000003</v>
      </c>
      <c r="D5458" s="5">
        <v>63178.133800000003</v>
      </c>
      <c r="E5458" s="5">
        <v>57208.931499999999</v>
      </c>
      <c r="G5458" s="5" t="str">
        <f t="shared" si="171"/>
        <v>ШИРОКАЯ РЕЧКА</v>
      </c>
      <c r="J5458" s="5"/>
      <c r="AL5458" s="5">
        <f t="shared" si="172"/>
        <v>0</v>
      </c>
    </row>
    <row r="5459" spans="1:38" ht="25.5" customHeight="1" x14ac:dyDescent="0.25">
      <c r="A5459" s="10" t="s">
        <v>4202</v>
      </c>
      <c r="B5459" s="11" t="s">
        <v>1630</v>
      </c>
      <c r="C5459" s="5">
        <v>62652.9401</v>
      </c>
      <c r="D5459" s="5">
        <v>62652.9401</v>
      </c>
      <c r="E5459" s="5">
        <v>56733.3557</v>
      </c>
      <c r="G5459" s="5" t="str">
        <f t="shared" si="171"/>
        <v>ЧЕРМЕТ</v>
      </c>
      <c r="J5459" s="5"/>
      <c r="AL5459" s="5">
        <f t="shared" si="172"/>
        <v>0</v>
      </c>
    </row>
    <row r="5460" spans="1:38" ht="25.5" customHeight="1" x14ac:dyDescent="0.25">
      <c r="A5460" s="10" t="s">
        <v>4203</v>
      </c>
      <c r="B5460" s="11" t="s">
        <v>1636</v>
      </c>
      <c r="C5460" s="5">
        <v>52246.960299999999</v>
      </c>
      <c r="D5460" s="5">
        <v>52246.960299999999</v>
      </c>
      <c r="E5460" s="5">
        <v>47310.556700000001</v>
      </c>
      <c r="G5460" s="5" t="str">
        <f t="shared" si="171"/>
        <v>ГОРНЫЙ ЩИТ</v>
      </c>
      <c r="J5460" s="5"/>
      <c r="AL5460" s="5">
        <f t="shared" si="172"/>
        <v>0</v>
      </c>
    </row>
    <row r="5461" spans="1:38" ht="25.5" customHeight="1" x14ac:dyDescent="0.25">
      <c r="A5461" s="10" t="s">
        <v>4204</v>
      </c>
      <c r="B5461" s="11" t="s">
        <v>1636</v>
      </c>
      <c r="C5461" s="5">
        <v>52246.960299999999</v>
      </c>
      <c r="D5461" s="5">
        <v>52246.960299999999</v>
      </c>
      <c r="E5461" s="5">
        <v>47310.556700000001</v>
      </c>
      <c r="G5461" s="5" t="str">
        <f t="shared" si="171"/>
        <v>ГОРНЫЙ ЩИТ</v>
      </c>
      <c r="J5461" s="5"/>
      <c r="AL5461" s="5">
        <f t="shared" si="172"/>
        <v>0</v>
      </c>
    </row>
    <row r="5462" spans="1:38" ht="25.5" customHeight="1" x14ac:dyDescent="0.25">
      <c r="A5462" s="10" t="s">
        <v>4205</v>
      </c>
      <c r="B5462" s="11" t="s">
        <v>1631</v>
      </c>
      <c r="C5462" s="5">
        <v>70026.7601</v>
      </c>
      <c r="D5462" s="5">
        <v>70026.7601</v>
      </c>
      <c r="E5462" s="5">
        <v>63410.482000000004</v>
      </c>
      <c r="G5462" s="5" t="str">
        <f t="shared" si="171"/>
        <v>УРАЛМАШ</v>
      </c>
      <c r="J5462" s="5"/>
      <c r="AL5462" s="5">
        <f t="shared" si="172"/>
        <v>0</v>
      </c>
    </row>
    <row r="5463" spans="1:38" ht="25.5" customHeight="1" x14ac:dyDescent="0.25">
      <c r="A5463" s="10" t="s">
        <v>4206</v>
      </c>
      <c r="B5463" s="11" t="s">
        <v>1638</v>
      </c>
      <c r="C5463" s="5">
        <v>63640.311600000001</v>
      </c>
      <c r="D5463" s="5">
        <v>63640.311600000001</v>
      </c>
      <c r="E5463" s="5">
        <v>57627.4473</v>
      </c>
      <c r="G5463" s="5" t="str">
        <f t="shared" si="171"/>
        <v>УКТУС</v>
      </c>
      <c r="J5463" s="5"/>
      <c r="AL5463" s="5">
        <f t="shared" si="172"/>
        <v>0</v>
      </c>
    </row>
    <row r="5464" spans="1:38" ht="25.5" customHeight="1" x14ac:dyDescent="0.25">
      <c r="A5464" s="10" t="s">
        <v>4207</v>
      </c>
      <c r="B5464" s="11" t="s">
        <v>1642</v>
      </c>
      <c r="C5464" s="5">
        <v>81392.097599999994</v>
      </c>
      <c r="D5464" s="5">
        <v>81392.097599999994</v>
      </c>
      <c r="E5464" s="5">
        <v>73702.001099999994</v>
      </c>
      <c r="G5464" s="5" t="str">
        <f t="shared" si="171"/>
        <v>ПАРКОВЫЙ</v>
      </c>
      <c r="J5464" s="5"/>
      <c r="AL5464" s="5">
        <f t="shared" si="172"/>
        <v>0</v>
      </c>
    </row>
    <row r="5465" spans="1:38" ht="25.5" customHeight="1" x14ac:dyDescent="0.25">
      <c r="A5465" s="10" t="s">
        <v>4208</v>
      </c>
      <c r="B5465" s="11" t="s">
        <v>1637</v>
      </c>
      <c r="C5465" s="5">
        <v>59368.686099999999</v>
      </c>
      <c r="D5465" s="5">
        <v>59368.686099999999</v>
      </c>
      <c r="E5465" s="5">
        <v>53759.401700000002</v>
      </c>
      <c r="G5465" s="5" t="str">
        <f t="shared" si="171"/>
        <v>Старая сортировка</v>
      </c>
      <c r="J5465" s="5"/>
      <c r="AL5465" s="5">
        <f t="shared" si="172"/>
        <v>0</v>
      </c>
    </row>
    <row r="5466" spans="1:38" ht="25.5" customHeight="1" x14ac:dyDescent="0.25">
      <c r="A5466" s="10" t="s">
        <v>4209</v>
      </c>
      <c r="B5466" s="11" t="s">
        <v>1647</v>
      </c>
      <c r="C5466" s="5">
        <v>63178.133800000003</v>
      </c>
      <c r="D5466" s="5">
        <v>63178.133800000003</v>
      </c>
      <c r="E5466" s="5">
        <v>57208.931499999999</v>
      </c>
      <c r="G5466" s="5" t="str">
        <f t="shared" si="171"/>
        <v>ШИРОКАЯ РЕЧКА</v>
      </c>
      <c r="J5466" s="5"/>
      <c r="AL5466" s="5">
        <f t="shared" si="172"/>
        <v>0</v>
      </c>
    </row>
    <row r="5467" spans="1:38" ht="25.5" customHeight="1" x14ac:dyDescent="0.25">
      <c r="A5467" s="10" t="s">
        <v>4210</v>
      </c>
      <c r="B5467" s="11" t="s">
        <v>1664</v>
      </c>
      <c r="C5467" s="5">
        <v>53668.506099999999</v>
      </c>
      <c r="D5467" s="5">
        <v>53668.506099999999</v>
      </c>
      <c r="E5467" s="5">
        <v>48597.792699999998</v>
      </c>
      <c r="G5467" s="5" t="str">
        <f t="shared" si="171"/>
        <v>ИЗОПЛИТ</v>
      </c>
      <c r="J5467" s="5"/>
      <c r="AL5467" s="5">
        <f t="shared" si="172"/>
        <v>0</v>
      </c>
    </row>
    <row r="5468" spans="1:38" ht="25.5" customHeight="1" x14ac:dyDescent="0.25">
      <c r="A5468" s="10" t="s">
        <v>4211</v>
      </c>
      <c r="B5468" s="11" t="s">
        <v>1628</v>
      </c>
      <c r="C5468" s="5">
        <v>70734.0236</v>
      </c>
      <c r="D5468" s="5">
        <v>70734.0236</v>
      </c>
      <c r="E5468" s="5">
        <v>64050.9208</v>
      </c>
      <c r="G5468" s="5" t="str">
        <f t="shared" si="171"/>
        <v>ЭЛЬМАШ</v>
      </c>
      <c r="J5468" s="5"/>
      <c r="AL5468" s="5">
        <f t="shared" si="172"/>
        <v>0</v>
      </c>
    </row>
    <row r="5469" spans="1:38" ht="25.5" customHeight="1" x14ac:dyDescent="0.25">
      <c r="A5469" s="10" t="s">
        <v>4212</v>
      </c>
      <c r="B5469" s="11" t="s">
        <v>1664</v>
      </c>
      <c r="C5469" s="5">
        <v>53668.506099999999</v>
      </c>
      <c r="D5469" s="5">
        <v>53668.506099999999</v>
      </c>
      <c r="E5469" s="5">
        <v>48597.792699999998</v>
      </c>
      <c r="G5469" s="5" t="str">
        <f t="shared" si="171"/>
        <v>ИЗОПЛИТ</v>
      </c>
      <c r="J5469" s="5"/>
      <c r="AL5469" s="5">
        <f t="shared" si="172"/>
        <v>0</v>
      </c>
    </row>
    <row r="5470" spans="1:38" ht="25.5" customHeight="1" x14ac:dyDescent="0.25">
      <c r="A5470" s="10" t="s">
        <v>4213</v>
      </c>
      <c r="B5470" s="11" t="s">
        <v>1666</v>
      </c>
      <c r="C5470" s="5">
        <v>46784.877899999999</v>
      </c>
      <c r="D5470" s="5">
        <v>46784.877899999999</v>
      </c>
      <c r="E5470" s="5">
        <v>42364.543299999998</v>
      </c>
      <c r="G5470" s="5" t="str">
        <f t="shared" si="171"/>
        <v>Сулим.Торфянник</v>
      </c>
      <c r="J5470" s="5"/>
      <c r="AL5470" s="5">
        <f t="shared" si="172"/>
        <v>0</v>
      </c>
    </row>
    <row r="5471" spans="1:38" ht="25.5" customHeight="1" x14ac:dyDescent="0.25">
      <c r="A5471" s="10" t="s">
        <v>4214</v>
      </c>
      <c r="B5471" s="11" t="s">
        <v>33</v>
      </c>
      <c r="C5471" s="5">
        <v>84298.205100000006</v>
      </c>
      <c r="D5471" s="5">
        <v>84298.205100000006</v>
      </c>
      <c r="E5471" s="5">
        <v>76333.533100000001</v>
      </c>
      <c r="G5471" s="5" t="str">
        <f t="shared" si="171"/>
        <v>ВИЗ</v>
      </c>
      <c r="J5471" s="5"/>
      <c r="AL5471" s="5">
        <f t="shared" si="172"/>
        <v>0</v>
      </c>
    </row>
    <row r="5472" spans="1:38" ht="25.5" customHeight="1" x14ac:dyDescent="0.25">
      <c r="A5472" s="10" t="s">
        <v>4215</v>
      </c>
      <c r="B5472" s="11" t="s">
        <v>1638</v>
      </c>
      <c r="C5472" s="5">
        <v>63640.311600000001</v>
      </c>
      <c r="D5472" s="5">
        <v>63640.311600000001</v>
      </c>
      <c r="E5472" s="5">
        <v>57627.4473</v>
      </c>
      <c r="G5472" s="5" t="str">
        <f t="shared" si="171"/>
        <v>УКТУС</v>
      </c>
      <c r="J5472" s="5"/>
      <c r="AL5472" s="5">
        <f t="shared" si="172"/>
        <v>0</v>
      </c>
    </row>
    <row r="5473" spans="1:38" ht="25.5" customHeight="1" x14ac:dyDescent="0.25">
      <c r="A5473" s="10" t="s">
        <v>978</v>
      </c>
      <c r="B5473" s="11" t="s">
        <v>1632</v>
      </c>
      <c r="C5473" s="5">
        <v>83744.997499999998</v>
      </c>
      <c r="D5473" s="5">
        <v>83744.997499999998</v>
      </c>
      <c r="E5473" s="5">
        <v>75832.596099999995</v>
      </c>
      <c r="G5473" s="5" t="str">
        <f t="shared" si="171"/>
        <v>АВТОВОКЗАЛ</v>
      </c>
      <c r="J5473" s="5"/>
      <c r="AL5473" s="5">
        <f t="shared" si="172"/>
        <v>0</v>
      </c>
    </row>
    <row r="5474" spans="1:38" ht="25.5" customHeight="1" x14ac:dyDescent="0.25">
      <c r="A5474" s="10" t="s">
        <v>4216</v>
      </c>
      <c r="B5474" s="11" t="s">
        <v>1647</v>
      </c>
      <c r="C5474" s="5">
        <v>63178.133800000003</v>
      </c>
      <c r="D5474" s="5">
        <v>63178.133800000003</v>
      </c>
      <c r="E5474" s="5">
        <v>57208.931499999999</v>
      </c>
      <c r="G5474" s="5" t="str">
        <f t="shared" si="171"/>
        <v>ШИРОКАЯ РЕЧКА</v>
      </c>
      <c r="J5474" s="5"/>
      <c r="AL5474" s="5">
        <f t="shared" si="172"/>
        <v>0</v>
      </c>
    </row>
    <row r="5475" spans="1:38" ht="25.5" customHeight="1" x14ac:dyDescent="0.25">
      <c r="A5475" s="10" t="s">
        <v>4217</v>
      </c>
      <c r="B5475" s="11" t="s">
        <v>1637</v>
      </c>
      <c r="C5475" s="5">
        <v>59368.686099999999</v>
      </c>
      <c r="D5475" s="5">
        <v>59368.686099999999</v>
      </c>
      <c r="E5475" s="5">
        <v>53759.401700000002</v>
      </c>
      <c r="G5475" s="5" t="str">
        <f t="shared" si="171"/>
        <v>Старая сортировка</v>
      </c>
      <c r="J5475" s="5"/>
      <c r="AL5475" s="5">
        <f t="shared" si="172"/>
        <v>0</v>
      </c>
    </row>
    <row r="5476" spans="1:38" ht="25.5" customHeight="1" x14ac:dyDescent="0.25">
      <c r="A5476" s="10" t="s">
        <v>4218</v>
      </c>
      <c r="B5476" s="11" t="s">
        <v>1635</v>
      </c>
      <c r="C5476" s="5">
        <v>57793.0844</v>
      </c>
      <c r="D5476" s="5">
        <v>57793.0844</v>
      </c>
      <c r="E5476" s="5">
        <v>52332.6639</v>
      </c>
      <c r="G5476" s="5" t="str">
        <f t="shared" si="171"/>
        <v>ЛЕЧЕБНЫЙ</v>
      </c>
      <c r="J5476" s="5"/>
      <c r="AL5476" s="5">
        <f t="shared" si="172"/>
        <v>0</v>
      </c>
    </row>
    <row r="5477" spans="1:38" ht="25.5" customHeight="1" x14ac:dyDescent="0.25">
      <c r="A5477" s="10" t="s">
        <v>4219</v>
      </c>
      <c r="B5477" s="11" t="s">
        <v>1637</v>
      </c>
      <c r="C5477" s="5">
        <v>59368.686099999999</v>
      </c>
      <c r="D5477" s="5">
        <v>59368.686099999999</v>
      </c>
      <c r="E5477" s="5">
        <v>53759.401700000002</v>
      </c>
      <c r="G5477" s="5" t="str">
        <f t="shared" si="171"/>
        <v>Старая сортировка</v>
      </c>
      <c r="J5477" s="5"/>
      <c r="AL5477" s="5">
        <f t="shared" si="172"/>
        <v>0</v>
      </c>
    </row>
    <row r="5478" spans="1:38" ht="25.5" customHeight="1" x14ac:dyDescent="0.25">
      <c r="A5478" s="10" t="s">
        <v>777</v>
      </c>
      <c r="B5478" s="11" t="s">
        <v>1631</v>
      </c>
      <c r="C5478" s="5">
        <v>70026.7601</v>
      </c>
      <c r="D5478" s="5">
        <v>70026.7601</v>
      </c>
      <c r="E5478" s="5">
        <v>63410.482000000004</v>
      </c>
      <c r="G5478" s="5" t="str">
        <f t="shared" si="171"/>
        <v>УРАЛМАШ</v>
      </c>
      <c r="J5478" s="5"/>
      <c r="AL5478" s="5">
        <f t="shared" si="172"/>
        <v>0</v>
      </c>
    </row>
    <row r="5479" spans="1:38" ht="25.5" customHeight="1" x14ac:dyDescent="0.25">
      <c r="A5479" s="10" t="s">
        <v>4220</v>
      </c>
      <c r="B5479" s="11" t="s">
        <v>1630</v>
      </c>
      <c r="C5479" s="5">
        <v>62652.9401</v>
      </c>
      <c r="D5479" s="5">
        <v>62652.9401</v>
      </c>
      <c r="E5479" s="5">
        <v>56733.3557</v>
      </c>
      <c r="G5479" s="5" t="str">
        <f t="shared" si="171"/>
        <v>ЧЕРМЕТ</v>
      </c>
      <c r="J5479" s="5"/>
      <c r="AL5479" s="5">
        <f t="shared" si="172"/>
        <v>0</v>
      </c>
    </row>
    <row r="5480" spans="1:38" ht="25.5" customHeight="1" x14ac:dyDescent="0.25">
      <c r="A5480" s="10" t="s">
        <v>4221</v>
      </c>
      <c r="B5480" s="11" t="s">
        <v>1636</v>
      </c>
      <c r="C5480" s="5">
        <v>52246.960299999999</v>
      </c>
      <c r="D5480" s="5">
        <v>52246.960299999999</v>
      </c>
      <c r="E5480" s="5">
        <v>47310.556700000001</v>
      </c>
      <c r="G5480" s="5" t="str">
        <f t="shared" si="171"/>
        <v>ГОРНЫЙ ЩИТ</v>
      </c>
      <c r="J5480" s="5"/>
      <c r="AL5480" s="5">
        <f t="shared" si="172"/>
        <v>0</v>
      </c>
    </row>
    <row r="5481" spans="1:38" ht="25.5" customHeight="1" x14ac:dyDescent="0.25">
      <c r="A5481" s="10" t="s">
        <v>866</v>
      </c>
      <c r="B5481" s="11" t="s">
        <v>1643</v>
      </c>
      <c r="C5481" s="5">
        <v>76630.280299999999</v>
      </c>
      <c r="D5481" s="5">
        <v>76630.280299999999</v>
      </c>
      <c r="E5481" s="5">
        <v>69390.088799999998</v>
      </c>
      <c r="G5481" s="5" t="str">
        <f t="shared" si="171"/>
        <v>Ю-З</v>
      </c>
      <c r="J5481" s="5"/>
      <c r="AL5481" s="5">
        <f t="shared" si="172"/>
        <v>0</v>
      </c>
    </row>
    <row r="5482" spans="1:38" ht="25.5" customHeight="1" x14ac:dyDescent="0.25">
      <c r="A5482" s="10" t="s">
        <v>4222</v>
      </c>
      <c r="B5482" s="11" t="s">
        <v>1666</v>
      </c>
      <c r="C5482" s="5">
        <v>46784.877899999999</v>
      </c>
      <c r="D5482" s="5">
        <v>46784.877899999999</v>
      </c>
      <c r="E5482" s="5">
        <v>42364.543299999998</v>
      </c>
      <c r="G5482" s="5" t="str">
        <f t="shared" si="171"/>
        <v>Сулим.Торфянник</v>
      </c>
      <c r="J5482" s="5"/>
      <c r="AL5482" s="5">
        <f t="shared" si="172"/>
        <v>0</v>
      </c>
    </row>
    <row r="5483" spans="1:38" ht="25.5" customHeight="1" x14ac:dyDescent="0.25">
      <c r="A5483" s="10" t="s">
        <v>4223</v>
      </c>
      <c r="B5483" s="11" t="s">
        <v>1632</v>
      </c>
      <c r="C5483" s="5">
        <v>83744.997499999998</v>
      </c>
      <c r="D5483" s="5">
        <v>83744.997499999998</v>
      </c>
      <c r="E5483" s="5">
        <v>75832.596099999995</v>
      </c>
      <c r="G5483" s="5" t="str">
        <f t="shared" si="171"/>
        <v>АВТОВОКЗАЛ</v>
      </c>
      <c r="J5483" s="5"/>
      <c r="AL5483" s="5">
        <f t="shared" si="172"/>
        <v>0</v>
      </c>
    </row>
    <row r="5484" spans="1:38" ht="25.5" customHeight="1" x14ac:dyDescent="0.25">
      <c r="A5484" s="10" t="s">
        <v>4224</v>
      </c>
      <c r="B5484" s="11" t="s">
        <v>1637</v>
      </c>
      <c r="C5484" s="5">
        <v>59368.686099999999</v>
      </c>
      <c r="D5484" s="5">
        <v>59368.686099999999</v>
      </c>
      <c r="E5484" s="5">
        <v>53759.401700000002</v>
      </c>
      <c r="G5484" s="5" t="str">
        <f t="shared" si="171"/>
        <v>Старая сортировка</v>
      </c>
      <c r="J5484" s="5"/>
      <c r="AL5484" s="5">
        <f t="shared" si="172"/>
        <v>0</v>
      </c>
    </row>
    <row r="5485" spans="1:38" ht="25.5" customHeight="1" x14ac:dyDescent="0.25">
      <c r="A5485" s="10" t="s">
        <v>4225</v>
      </c>
      <c r="B5485" s="11" t="s">
        <v>1629</v>
      </c>
      <c r="C5485" s="5">
        <v>77743.704100000003</v>
      </c>
      <c r="D5485" s="5">
        <v>77743.704100000003</v>
      </c>
      <c r="E5485" s="5">
        <v>70398.310800000007</v>
      </c>
      <c r="G5485" s="5" t="str">
        <f t="shared" si="171"/>
        <v>ПИОНЕРСКИЙ</v>
      </c>
      <c r="J5485" s="5"/>
      <c r="AL5485" s="5">
        <f t="shared" si="172"/>
        <v>0</v>
      </c>
    </row>
    <row r="5486" spans="1:38" ht="25.5" customHeight="1" x14ac:dyDescent="0.25">
      <c r="A5486" s="10" t="s">
        <v>1148</v>
      </c>
      <c r="B5486" s="11" t="s">
        <v>1632</v>
      </c>
      <c r="C5486" s="5">
        <v>83744.997499999998</v>
      </c>
      <c r="D5486" s="5">
        <v>83744.997499999998</v>
      </c>
      <c r="E5486" s="5">
        <v>75832.596099999995</v>
      </c>
      <c r="G5486" s="5" t="str">
        <f t="shared" si="171"/>
        <v>АВТОВОКЗАЛ</v>
      </c>
      <c r="J5486" s="5"/>
      <c r="AL5486" s="5">
        <f t="shared" si="172"/>
        <v>0</v>
      </c>
    </row>
    <row r="5487" spans="1:38" ht="25.5" customHeight="1" x14ac:dyDescent="0.25">
      <c r="A5487" s="10" t="s">
        <v>4226</v>
      </c>
      <c r="B5487" s="11" t="s">
        <v>1630</v>
      </c>
      <c r="C5487" s="5">
        <v>62652.9401</v>
      </c>
      <c r="D5487" s="5">
        <v>62652.9401</v>
      </c>
      <c r="E5487" s="5">
        <v>56733.3557</v>
      </c>
      <c r="G5487" s="5" t="str">
        <f t="shared" si="171"/>
        <v>ЧЕРМЕТ</v>
      </c>
      <c r="J5487" s="5"/>
      <c r="AL5487" s="5">
        <f t="shared" si="172"/>
        <v>0</v>
      </c>
    </row>
    <row r="5488" spans="1:38" ht="25.5" customHeight="1" x14ac:dyDescent="0.25">
      <c r="A5488" s="10" t="s">
        <v>4227</v>
      </c>
      <c r="B5488" s="11" t="s">
        <v>1629</v>
      </c>
      <c r="C5488" s="5">
        <v>77743.704100000003</v>
      </c>
      <c r="D5488" s="5">
        <v>77743.704100000003</v>
      </c>
      <c r="E5488" s="5">
        <v>70398.310800000007</v>
      </c>
      <c r="G5488" s="5" t="str">
        <f t="shared" si="171"/>
        <v>ПИОНЕРСКИЙ</v>
      </c>
      <c r="J5488" s="5"/>
      <c r="AL5488" s="5">
        <f t="shared" si="172"/>
        <v>0</v>
      </c>
    </row>
    <row r="5489" spans="1:38" ht="25.5" customHeight="1" x14ac:dyDescent="0.25">
      <c r="A5489" s="10" t="s">
        <v>4228</v>
      </c>
      <c r="B5489" s="11" t="s">
        <v>1636</v>
      </c>
      <c r="C5489" s="5">
        <v>52246.960299999999</v>
      </c>
      <c r="D5489" s="5">
        <v>52246.960299999999</v>
      </c>
      <c r="E5489" s="5">
        <v>47310.556700000001</v>
      </c>
      <c r="G5489" s="5" t="str">
        <f t="shared" si="171"/>
        <v>ГОРНЫЙ ЩИТ</v>
      </c>
      <c r="J5489" s="5"/>
      <c r="AL5489" s="5">
        <f t="shared" si="172"/>
        <v>0</v>
      </c>
    </row>
    <row r="5490" spans="1:38" ht="25.5" customHeight="1" x14ac:dyDescent="0.25">
      <c r="A5490" s="10" t="s">
        <v>782</v>
      </c>
      <c r="B5490" s="11" t="s">
        <v>33</v>
      </c>
      <c r="C5490" s="5">
        <v>84298.205100000006</v>
      </c>
      <c r="D5490" s="5">
        <v>84298.205100000006</v>
      </c>
      <c r="E5490" s="5">
        <v>76333.533100000001</v>
      </c>
      <c r="G5490" s="5" t="str">
        <f t="shared" si="171"/>
        <v>ВИЗ</v>
      </c>
      <c r="J5490" s="5"/>
      <c r="AL5490" s="5">
        <f t="shared" si="172"/>
        <v>0</v>
      </c>
    </row>
    <row r="5491" spans="1:38" ht="25.5" customHeight="1" x14ac:dyDescent="0.25">
      <c r="A5491" s="10" t="s">
        <v>4229</v>
      </c>
      <c r="B5491" s="11" t="s">
        <v>33</v>
      </c>
      <c r="C5491" s="5">
        <v>84298.205100000006</v>
      </c>
      <c r="D5491" s="5">
        <v>84298.205100000006</v>
      </c>
      <c r="E5491" s="5">
        <v>76333.533100000001</v>
      </c>
      <c r="G5491" s="5" t="str">
        <f t="shared" si="171"/>
        <v>ВИЗ</v>
      </c>
      <c r="J5491" s="5"/>
      <c r="AL5491" s="5">
        <f t="shared" si="172"/>
        <v>0</v>
      </c>
    </row>
    <row r="5492" spans="1:38" ht="25.5" customHeight="1" x14ac:dyDescent="0.25">
      <c r="A5492" s="10" t="s">
        <v>4230</v>
      </c>
      <c r="B5492" s="11" t="s">
        <v>1664</v>
      </c>
      <c r="C5492" s="5">
        <v>53668.506099999999</v>
      </c>
      <c r="D5492" s="5">
        <v>53668.506099999999</v>
      </c>
      <c r="E5492" s="5">
        <v>48597.792699999998</v>
      </c>
      <c r="G5492" s="5" t="str">
        <f t="shared" si="171"/>
        <v>ИЗОПЛИТ</v>
      </c>
      <c r="J5492" s="5"/>
      <c r="AL5492" s="5">
        <f t="shared" si="172"/>
        <v>0</v>
      </c>
    </row>
    <row r="5493" spans="1:38" ht="25.5" customHeight="1" x14ac:dyDescent="0.25">
      <c r="A5493" s="10" t="s">
        <v>4231</v>
      </c>
      <c r="B5493" s="11" t="s">
        <v>1638</v>
      </c>
      <c r="C5493" s="5">
        <v>63640.311600000001</v>
      </c>
      <c r="D5493" s="5">
        <v>63640.311600000001</v>
      </c>
      <c r="E5493" s="5">
        <v>57627.4473</v>
      </c>
      <c r="G5493" s="5" t="str">
        <f t="shared" si="171"/>
        <v>УКТУС</v>
      </c>
      <c r="J5493" s="5"/>
      <c r="AL5493" s="5">
        <f t="shared" si="172"/>
        <v>0</v>
      </c>
    </row>
    <row r="5494" spans="1:38" ht="25.5" customHeight="1" x14ac:dyDescent="0.25">
      <c r="A5494" s="10" t="s">
        <v>4232</v>
      </c>
      <c r="B5494" s="11" t="s">
        <v>1647</v>
      </c>
      <c r="C5494" s="5">
        <v>63178.133800000003</v>
      </c>
      <c r="D5494" s="5">
        <v>63178.133800000003</v>
      </c>
      <c r="E5494" s="5">
        <v>57208.931499999999</v>
      </c>
      <c r="G5494" s="5" t="str">
        <f t="shared" si="171"/>
        <v>ШИРОКАЯ РЕЧКА</v>
      </c>
      <c r="J5494" s="5"/>
      <c r="AL5494" s="5">
        <f t="shared" si="172"/>
        <v>0</v>
      </c>
    </row>
    <row r="5495" spans="1:38" ht="25.5" customHeight="1" x14ac:dyDescent="0.25">
      <c r="A5495" s="10" t="s">
        <v>4233</v>
      </c>
      <c r="B5495" s="11" t="s">
        <v>1637</v>
      </c>
      <c r="C5495" s="5">
        <v>59368.686099999999</v>
      </c>
      <c r="D5495" s="5">
        <v>59368.686099999999</v>
      </c>
      <c r="E5495" s="5">
        <v>53759.401700000002</v>
      </c>
      <c r="G5495" s="5" t="str">
        <f t="shared" si="171"/>
        <v>Старая сортировка</v>
      </c>
      <c r="J5495" s="5"/>
      <c r="AL5495" s="5">
        <f t="shared" si="172"/>
        <v>0</v>
      </c>
    </row>
    <row r="5496" spans="1:38" ht="25.5" customHeight="1" x14ac:dyDescent="0.25">
      <c r="A5496" s="10" t="s">
        <v>4234</v>
      </c>
      <c r="B5496" s="11" t="s">
        <v>1635</v>
      </c>
      <c r="C5496" s="5">
        <v>57793.0844</v>
      </c>
      <c r="D5496" s="5">
        <v>57793.0844</v>
      </c>
      <c r="E5496" s="5">
        <v>52332.6639</v>
      </c>
      <c r="G5496" s="5" t="str">
        <f t="shared" si="171"/>
        <v>ЛЕЧЕБНЫЙ</v>
      </c>
      <c r="J5496" s="5"/>
      <c r="AL5496" s="5">
        <f t="shared" si="172"/>
        <v>0</v>
      </c>
    </row>
    <row r="5497" spans="1:38" ht="25.5" customHeight="1" x14ac:dyDescent="0.25">
      <c r="A5497" s="10" t="s">
        <v>84</v>
      </c>
      <c r="B5497" s="11" t="s">
        <v>1631</v>
      </c>
      <c r="C5497" s="5">
        <v>70026.7601</v>
      </c>
      <c r="D5497" s="5">
        <v>70026.7601</v>
      </c>
      <c r="E5497" s="5">
        <v>63410.482000000004</v>
      </c>
      <c r="G5497" s="5" t="str">
        <f t="shared" si="171"/>
        <v>УРАЛМАШ</v>
      </c>
      <c r="J5497" s="5"/>
      <c r="AL5497" s="5">
        <f t="shared" si="172"/>
        <v>0</v>
      </c>
    </row>
    <row r="5498" spans="1:38" ht="25.5" customHeight="1" x14ac:dyDescent="0.25">
      <c r="A5498" s="10" t="s">
        <v>4235</v>
      </c>
      <c r="B5498" s="11" t="s">
        <v>1647</v>
      </c>
      <c r="C5498" s="5">
        <v>63178.133800000003</v>
      </c>
      <c r="D5498" s="5">
        <v>63178.133800000003</v>
      </c>
      <c r="E5498" s="5">
        <v>57208.931499999999</v>
      </c>
      <c r="G5498" s="5" t="str">
        <f t="shared" si="171"/>
        <v>ШИРОКАЯ РЕЧКА</v>
      </c>
      <c r="J5498" s="5"/>
      <c r="AL5498" s="5">
        <f t="shared" si="172"/>
        <v>0</v>
      </c>
    </row>
    <row r="5499" spans="1:38" ht="25.5" customHeight="1" x14ac:dyDescent="0.25">
      <c r="A5499" s="10" t="s">
        <v>4236</v>
      </c>
      <c r="B5499" s="11" t="s">
        <v>1631</v>
      </c>
      <c r="C5499" s="5">
        <v>70026.7601</v>
      </c>
      <c r="D5499" s="5">
        <v>70026.7601</v>
      </c>
      <c r="E5499" s="5">
        <v>63410.482000000004</v>
      </c>
      <c r="G5499" s="5" t="str">
        <f t="shared" si="171"/>
        <v>УРАЛМАШ</v>
      </c>
      <c r="J5499" s="5"/>
      <c r="AL5499" s="5">
        <f t="shared" si="172"/>
        <v>0</v>
      </c>
    </row>
    <row r="5500" spans="1:38" ht="25.5" customHeight="1" x14ac:dyDescent="0.25">
      <c r="A5500" s="10" t="s">
        <v>4237</v>
      </c>
      <c r="B5500" s="11" t="s">
        <v>779</v>
      </c>
      <c r="C5500" s="5">
        <v>46784.877899999999</v>
      </c>
      <c r="D5500" s="5">
        <v>46784.877899999999</v>
      </c>
      <c r="E5500" s="5">
        <v>42364.543299999998</v>
      </c>
      <c r="G5500" s="5" t="str">
        <f t="shared" si="171"/>
        <v>Нижнеисетский</v>
      </c>
      <c r="J5500" s="5"/>
      <c r="AL5500" s="5">
        <f t="shared" si="172"/>
        <v>0</v>
      </c>
    </row>
    <row r="5501" spans="1:38" ht="25.5" customHeight="1" x14ac:dyDescent="0.25">
      <c r="A5501" s="10" t="s">
        <v>4238</v>
      </c>
      <c r="B5501" s="11" t="s">
        <v>33</v>
      </c>
      <c r="C5501" s="5">
        <v>84298.205100000006</v>
      </c>
      <c r="D5501" s="5">
        <v>84298.205100000006</v>
      </c>
      <c r="E5501" s="5">
        <v>76333.533100000001</v>
      </c>
      <c r="G5501" s="5" t="str">
        <f t="shared" si="171"/>
        <v>ВИЗ</v>
      </c>
      <c r="J5501" s="5"/>
      <c r="AL5501" s="5">
        <f t="shared" si="172"/>
        <v>0</v>
      </c>
    </row>
    <row r="5502" spans="1:38" ht="25.5" customHeight="1" x14ac:dyDescent="0.25">
      <c r="A5502" s="10" t="s">
        <v>4239</v>
      </c>
      <c r="B5502" s="11" t="s">
        <v>1630</v>
      </c>
      <c r="C5502" s="5">
        <v>62652.9401</v>
      </c>
      <c r="D5502" s="5">
        <v>62652.9401</v>
      </c>
      <c r="E5502" s="5">
        <v>56733.3557</v>
      </c>
      <c r="G5502" s="5" t="str">
        <f t="shared" si="171"/>
        <v>ЧЕРМЕТ</v>
      </c>
      <c r="J5502" s="5"/>
      <c r="AL5502" s="5">
        <f t="shared" si="172"/>
        <v>0</v>
      </c>
    </row>
    <row r="5503" spans="1:38" ht="25.5" customHeight="1" x14ac:dyDescent="0.25">
      <c r="A5503" s="10" t="s">
        <v>4240</v>
      </c>
      <c r="B5503" s="11" t="s">
        <v>1660</v>
      </c>
      <c r="C5503" s="5">
        <v>53262.345800000003</v>
      </c>
      <c r="D5503" s="5">
        <v>53262.345800000003</v>
      </c>
      <c r="E5503" s="5">
        <v>48230.0095</v>
      </c>
      <c r="G5503" s="5" t="str">
        <f t="shared" ref="G5503:G5566" si="173">B5503</f>
        <v>САДОВЫЙ</v>
      </c>
      <c r="J5503" s="5"/>
      <c r="AL5503" s="5">
        <f t="shared" ref="AL5503:AL5566" si="174">AF5503</f>
        <v>0</v>
      </c>
    </row>
    <row r="5504" spans="1:38" ht="25.5" customHeight="1" x14ac:dyDescent="0.25">
      <c r="A5504" s="10" t="s">
        <v>4241</v>
      </c>
      <c r="B5504" s="11" t="s">
        <v>1636</v>
      </c>
      <c r="C5504" s="5">
        <v>52246.960299999999</v>
      </c>
      <c r="D5504" s="5">
        <v>52246.960299999999</v>
      </c>
      <c r="E5504" s="5">
        <v>47310.556700000001</v>
      </c>
      <c r="G5504" s="5" t="str">
        <f t="shared" si="173"/>
        <v>ГОРНЫЙ ЩИТ</v>
      </c>
      <c r="J5504" s="5"/>
      <c r="AL5504" s="5">
        <f t="shared" si="174"/>
        <v>0</v>
      </c>
    </row>
    <row r="5505" spans="1:38" ht="25.5" customHeight="1" x14ac:dyDescent="0.25">
      <c r="A5505" s="10" t="s">
        <v>4242</v>
      </c>
      <c r="B5505" s="11" t="s">
        <v>1664</v>
      </c>
      <c r="C5505" s="5">
        <v>53668.506099999999</v>
      </c>
      <c r="D5505" s="5">
        <v>53668.506099999999</v>
      </c>
      <c r="E5505" s="5">
        <v>48597.792699999998</v>
      </c>
      <c r="G5505" s="5" t="str">
        <f t="shared" si="173"/>
        <v>ИЗОПЛИТ</v>
      </c>
      <c r="J5505" s="5"/>
      <c r="AL5505" s="5">
        <f t="shared" si="174"/>
        <v>0</v>
      </c>
    </row>
    <row r="5506" spans="1:38" ht="25.5" customHeight="1" x14ac:dyDescent="0.25">
      <c r="A5506" s="10" t="s">
        <v>4243</v>
      </c>
      <c r="B5506" s="11" t="s">
        <v>1644</v>
      </c>
      <c r="C5506" s="5">
        <v>61980.678599999999</v>
      </c>
      <c r="D5506" s="5">
        <v>61980.678599999999</v>
      </c>
      <c r="E5506" s="5">
        <v>56124.615700000002</v>
      </c>
      <c r="G5506" s="5" t="str">
        <f t="shared" si="173"/>
        <v>ХИММАШ</v>
      </c>
      <c r="J5506" s="5"/>
      <c r="AL5506" s="5">
        <f t="shared" si="174"/>
        <v>0</v>
      </c>
    </row>
    <row r="5507" spans="1:38" ht="25.5" customHeight="1" x14ac:dyDescent="0.25">
      <c r="A5507" s="10" t="s">
        <v>4244</v>
      </c>
      <c r="B5507" s="11" t="s">
        <v>389</v>
      </c>
      <c r="C5507" s="5">
        <v>51175.5573</v>
      </c>
      <c r="D5507" s="5">
        <v>51175.5573</v>
      </c>
      <c r="E5507" s="5">
        <v>46340.381600000001</v>
      </c>
      <c r="G5507" s="5" t="str">
        <f t="shared" si="173"/>
        <v>Северка</v>
      </c>
      <c r="J5507" s="5"/>
      <c r="AL5507" s="5">
        <f t="shared" si="174"/>
        <v>0</v>
      </c>
    </row>
    <row r="5508" spans="1:38" ht="25.5" customHeight="1" x14ac:dyDescent="0.25">
      <c r="A5508" s="10" t="s">
        <v>4245</v>
      </c>
      <c r="B5508" s="11" t="s">
        <v>1666</v>
      </c>
      <c r="C5508" s="5">
        <v>46784.877899999999</v>
      </c>
      <c r="D5508" s="5">
        <v>46784.877899999999</v>
      </c>
      <c r="E5508" s="5">
        <v>42364.543299999998</v>
      </c>
      <c r="G5508" s="5" t="str">
        <f t="shared" si="173"/>
        <v>Сулим.Торфянник</v>
      </c>
      <c r="J5508" s="5"/>
      <c r="AL5508" s="5">
        <f t="shared" si="174"/>
        <v>0</v>
      </c>
    </row>
    <row r="5509" spans="1:38" ht="25.5" customHeight="1" x14ac:dyDescent="0.25">
      <c r="A5509" s="10" t="s">
        <v>4246</v>
      </c>
      <c r="B5509" s="11" t="s">
        <v>1628</v>
      </c>
      <c r="C5509" s="5">
        <v>70734.0236</v>
      </c>
      <c r="D5509" s="5">
        <v>70734.0236</v>
      </c>
      <c r="E5509" s="5">
        <v>64050.9208</v>
      </c>
      <c r="G5509" s="5" t="str">
        <f t="shared" si="173"/>
        <v>ЭЛЬМАШ</v>
      </c>
      <c r="J5509" s="5"/>
      <c r="AL5509" s="5">
        <f t="shared" si="174"/>
        <v>0</v>
      </c>
    </row>
    <row r="5510" spans="1:38" ht="25.5" customHeight="1" x14ac:dyDescent="0.25">
      <c r="A5510" s="10" t="s">
        <v>1215</v>
      </c>
      <c r="B5510" s="11" t="s">
        <v>1638</v>
      </c>
      <c r="C5510" s="5">
        <v>63640.311600000001</v>
      </c>
      <c r="D5510" s="5">
        <v>63640.311600000001</v>
      </c>
      <c r="E5510" s="5">
        <v>57627.4473</v>
      </c>
      <c r="G5510" s="5" t="str">
        <f t="shared" si="173"/>
        <v>УКТУС</v>
      </c>
      <c r="J5510" s="5"/>
      <c r="AL5510" s="5">
        <f t="shared" si="174"/>
        <v>0</v>
      </c>
    </row>
    <row r="5511" spans="1:38" ht="25.5" customHeight="1" x14ac:dyDescent="0.25">
      <c r="A5511" s="10" t="s">
        <v>4247</v>
      </c>
      <c r="B5511" s="11" t="s">
        <v>1644</v>
      </c>
      <c r="C5511" s="5">
        <v>61980.678599999999</v>
      </c>
      <c r="D5511" s="5">
        <v>61980.678599999999</v>
      </c>
      <c r="E5511" s="5">
        <v>56124.615700000002</v>
      </c>
      <c r="G5511" s="5" t="str">
        <f t="shared" si="173"/>
        <v>ХИММАШ</v>
      </c>
      <c r="J5511" s="5"/>
      <c r="AL5511" s="5">
        <f t="shared" si="174"/>
        <v>0</v>
      </c>
    </row>
    <row r="5512" spans="1:38" ht="25.5" customHeight="1" x14ac:dyDescent="0.25">
      <c r="A5512" s="10" t="s">
        <v>4248</v>
      </c>
      <c r="B5512" s="11" t="s">
        <v>1630</v>
      </c>
      <c r="C5512" s="5">
        <v>62652.9401</v>
      </c>
      <c r="D5512" s="5">
        <v>62652.9401</v>
      </c>
      <c r="E5512" s="5">
        <v>56733.3557</v>
      </c>
      <c r="G5512" s="5" t="str">
        <f t="shared" si="173"/>
        <v>ЧЕРМЕТ</v>
      </c>
      <c r="J5512" s="5"/>
      <c r="AL5512" s="5">
        <f t="shared" si="174"/>
        <v>0</v>
      </c>
    </row>
    <row r="5513" spans="1:38" ht="25.5" customHeight="1" x14ac:dyDescent="0.25">
      <c r="A5513" s="10" t="s">
        <v>4249</v>
      </c>
      <c r="B5513" s="11" t="s">
        <v>1659</v>
      </c>
      <c r="C5513" s="5">
        <v>59746.832600000002</v>
      </c>
      <c r="D5513" s="5">
        <v>59746.832600000002</v>
      </c>
      <c r="E5513" s="5">
        <v>54101.823700000001</v>
      </c>
      <c r="G5513" s="5" t="str">
        <f t="shared" si="173"/>
        <v>СОВХОЗ</v>
      </c>
      <c r="J5513" s="5"/>
      <c r="AL5513" s="5">
        <f t="shared" si="174"/>
        <v>0</v>
      </c>
    </row>
    <row r="5514" spans="1:38" ht="25.5" customHeight="1" x14ac:dyDescent="0.25">
      <c r="A5514" s="10" t="s">
        <v>4250</v>
      </c>
      <c r="B5514" s="11" t="s">
        <v>1657</v>
      </c>
      <c r="C5514" s="5">
        <v>54886.9666</v>
      </c>
      <c r="D5514" s="5">
        <v>54886.9666</v>
      </c>
      <c r="E5514" s="5">
        <v>49701.1319</v>
      </c>
      <c r="G5514" s="5" t="str">
        <f t="shared" si="173"/>
        <v>КОЛЬЦОВО</v>
      </c>
      <c r="J5514" s="5"/>
      <c r="AL5514" s="5">
        <f t="shared" si="174"/>
        <v>0</v>
      </c>
    </row>
    <row r="5515" spans="1:38" ht="25.5" customHeight="1" x14ac:dyDescent="0.25">
      <c r="A5515" s="10" t="s">
        <v>4251</v>
      </c>
      <c r="B5515" s="11" t="s">
        <v>1636</v>
      </c>
      <c r="C5515" s="5">
        <v>52246.960299999999</v>
      </c>
      <c r="D5515" s="5">
        <v>52246.960299999999</v>
      </c>
      <c r="E5515" s="5">
        <v>47310.556700000001</v>
      </c>
      <c r="G5515" s="5" t="str">
        <f t="shared" si="173"/>
        <v>ГОРНЫЙ ЩИТ</v>
      </c>
      <c r="J5515" s="5"/>
      <c r="AL5515" s="5">
        <f t="shared" si="174"/>
        <v>0</v>
      </c>
    </row>
    <row r="5516" spans="1:38" ht="25.5" customHeight="1" x14ac:dyDescent="0.25">
      <c r="A5516" s="10" t="s">
        <v>4252</v>
      </c>
      <c r="B5516" s="11" t="s">
        <v>209</v>
      </c>
      <c r="C5516" s="5">
        <v>69382.512499999997</v>
      </c>
      <c r="D5516" s="5">
        <v>69382.512499999997</v>
      </c>
      <c r="E5516" s="5">
        <v>62827.103199999998</v>
      </c>
      <c r="G5516" s="5" t="str">
        <f t="shared" si="173"/>
        <v>ЖБИ</v>
      </c>
      <c r="J5516" s="5"/>
      <c r="AL5516" s="5">
        <f t="shared" si="174"/>
        <v>0</v>
      </c>
    </row>
    <row r="5517" spans="1:38" ht="25.5" customHeight="1" x14ac:dyDescent="0.25">
      <c r="A5517" s="10" t="s">
        <v>328</v>
      </c>
      <c r="B5517" s="11" t="s">
        <v>1649</v>
      </c>
      <c r="C5517" s="5">
        <v>78633.047600000005</v>
      </c>
      <c r="D5517" s="5">
        <v>78633.047600000005</v>
      </c>
      <c r="E5517" s="5">
        <v>71203.623000000007</v>
      </c>
      <c r="G5517" s="5" t="str">
        <f t="shared" si="173"/>
        <v>ВОКЗАЛЬНЫЙ</v>
      </c>
      <c r="J5517" s="5"/>
      <c r="AL5517" s="5">
        <f t="shared" si="174"/>
        <v>0</v>
      </c>
    </row>
    <row r="5518" spans="1:38" ht="25.5" customHeight="1" x14ac:dyDescent="0.25">
      <c r="A5518" s="10" t="s">
        <v>4253</v>
      </c>
      <c r="B5518" s="11" t="s">
        <v>1656</v>
      </c>
      <c r="C5518" s="5">
        <v>60173.9879</v>
      </c>
      <c r="D5518" s="5">
        <v>60173.9879</v>
      </c>
      <c r="E5518" s="5">
        <v>54488.630299999997</v>
      </c>
      <c r="G5518" s="5" t="str">
        <f t="shared" si="173"/>
        <v>МАЛЫЙ ИСТОК</v>
      </c>
      <c r="J5518" s="5"/>
      <c r="AL5518" s="5">
        <f t="shared" si="174"/>
        <v>0</v>
      </c>
    </row>
    <row r="5519" spans="1:38" ht="25.5" customHeight="1" x14ac:dyDescent="0.25">
      <c r="A5519" s="10" t="s">
        <v>4254</v>
      </c>
      <c r="B5519" s="11" t="s">
        <v>1631</v>
      </c>
      <c r="C5519" s="5">
        <v>70026.7601</v>
      </c>
      <c r="D5519" s="5">
        <v>70026.7601</v>
      </c>
      <c r="E5519" s="5">
        <v>63410.482000000004</v>
      </c>
      <c r="G5519" s="5" t="str">
        <f t="shared" si="173"/>
        <v>УРАЛМАШ</v>
      </c>
      <c r="J5519" s="5"/>
      <c r="AL5519" s="5">
        <f t="shared" si="174"/>
        <v>0</v>
      </c>
    </row>
    <row r="5520" spans="1:38" ht="25.5" customHeight="1" x14ac:dyDescent="0.25">
      <c r="A5520" s="10" t="s">
        <v>459</v>
      </c>
      <c r="B5520" s="11" t="s">
        <v>1627</v>
      </c>
      <c r="C5520" s="5">
        <v>56392.543899999997</v>
      </c>
      <c r="D5520" s="5">
        <v>56392.543899999997</v>
      </c>
      <c r="E5520" s="5">
        <v>51064.4617</v>
      </c>
      <c r="G5520" s="5" t="str">
        <f t="shared" si="173"/>
        <v>КОМПРЕССОРНЫЙ</v>
      </c>
      <c r="J5520" s="5"/>
      <c r="AL5520" s="5">
        <f t="shared" si="174"/>
        <v>0</v>
      </c>
    </row>
    <row r="5521" spans="1:38" ht="25.5" customHeight="1" x14ac:dyDescent="0.25">
      <c r="A5521" s="10" t="s">
        <v>4255</v>
      </c>
      <c r="B5521" s="11" t="s">
        <v>1644</v>
      </c>
      <c r="C5521" s="5">
        <v>61980.678599999999</v>
      </c>
      <c r="D5521" s="5">
        <v>61980.678599999999</v>
      </c>
      <c r="E5521" s="5">
        <v>56124.615700000002</v>
      </c>
      <c r="G5521" s="5" t="str">
        <f t="shared" si="173"/>
        <v>ХИММАШ</v>
      </c>
      <c r="J5521" s="5"/>
      <c r="AL5521" s="5">
        <f t="shared" si="174"/>
        <v>0</v>
      </c>
    </row>
    <row r="5522" spans="1:38" ht="25.5" customHeight="1" x14ac:dyDescent="0.25">
      <c r="A5522" s="10" t="s">
        <v>4256</v>
      </c>
      <c r="B5522" s="11" t="s">
        <v>1648</v>
      </c>
      <c r="C5522" s="5">
        <v>49782.025399999999</v>
      </c>
      <c r="D5522" s="5">
        <v>49782.025399999999</v>
      </c>
      <c r="E5522" s="5">
        <v>45078.506800000003</v>
      </c>
      <c r="G5522" s="5" t="str">
        <f t="shared" si="173"/>
        <v>ЧУСОВСКОЕ ОЗЕРО</v>
      </c>
      <c r="J5522" s="5"/>
      <c r="AL5522" s="5">
        <f t="shared" si="174"/>
        <v>0</v>
      </c>
    </row>
    <row r="5523" spans="1:38" ht="25.5" customHeight="1" x14ac:dyDescent="0.25">
      <c r="A5523" s="10" t="s">
        <v>4257</v>
      </c>
      <c r="B5523" s="11" t="s">
        <v>1662</v>
      </c>
      <c r="C5523" s="5">
        <v>46784.877899999999</v>
      </c>
      <c r="D5523" s="5">
        <v>46784.877899999999</v>
      </c>
      <c r="E5523" s="5">
        <v>42364.543299999998</v>
      </c>
      <c r="G5523" s="5" t="str">
        <f t="shared" si="173"/>
        <v>РУДНЫЙ</v>
      </c>
      <c r="J5523" s="5"/>
      <c r="AL5523" s="5">
        <f t="shared" si="174"/>
        <v>0</v>
      </c>
    </row>
    <row r="5524" spans="1:38" ht="25.5" customHeight="1" x14ac:dyDescent="0.25">
      <c r="A5524" s="10" t="s">
        <v>1454</v>
      </c>
      <c r="B5524" s="11" t="s">
        <v>33</v>
      </c>
      <c r="C5524" s="5">
        <v>84298.205100000006</v>
      </c>
      <c r="D5524" s="5">
        <v>84298.205100000006</v>
      </c>
      <c r="E5524" s="5">
        <v>76333.533100000001</v>
      </c>
      <c r="G5524" s="5" t="str">
        <f t="shared" si="173"/>
        <v>ВИЗ</v>
      </c>
      <c r="J5524" s="5"/>
      <c r="AL5524" s="5">
        <f t="shared" si="174"/>
        <v>0</v>
      </c>
    </row>
    <row r="5525" spans="1:38" ht="25.5" customHeight="1" x14ac:dyDescent="0.25">
      <c r="A5525" s="10" t="s">
        <v>468</v>
      </c>
      <c r="B5525" s="11" t="s">
        <v>14</v>
      </c>
      <c r="C5525" s="5">
        <v>93989.912800000006</v>
      </c>
      <c r="D5525" s="5">
        <v>93989.912800000006</v>
      </c>
      <c r="E5525" s="5">
        <v>85109.545199999993</v>
      </c>
      <c r="G5525" s="5" t="str">
        <f t="shared" si="173"/>
        <v>Центр</v>
      </c>
      <c r="J5525" s="5"/>
      <c r="AL5525" s="5">
        <f t="shared" si="174"/>
        <v>0</v>
      </c>
    </row>
    <row r="5526" spans="1:38" ht="25.5" customHeight="1" x14ac:dyDescent="0.25">
      <c r="A5526" s="10" t="s">
        <v>256</v>
      </c>
      <c r="B5526" s="11" t="s">
        <v>1629</v>
      </c>
      <c r="C5526" s="5">
        <v>77743.704100000003</v>
      </c>
      <c r="D5526" s="5">
        <v>77743.704100000003</v>
      </c>
      <c r="E5526" s="5">
        <v>70398.310800000007</v>
      </c>
      <c r="G5526" s="5" t="str">
        <f t="shared" si="173"/>
        <v>ПИОНЕРСКИЙ</v>
      </c>
      <c r="J5526" s="5"/>
      <c r="AL5526" s="5">
        <f t="shared" si="174"/>
        <v>0</v>
      </c>
    </row>
    <row r="5527" spans="1:38" ht="25.5" customHeight="1" x14ac:dyDescent="0.25">
      <c r="A5527" s="10" t="s">
        <v>1362</v>
      </c>
      <c r="B5527" s="11" t="s">
        <v>1638</v>
      </c>
      <c r="C5527" s="5">
        <v>63640.311600000001</v>
      </c>
      <c r="D5527" s="5">
        <v>63640.311600000001</v>
      </c>
      <c r="E5527" s="5">
        <v>57627.4473</v>
      </c>
      <c r="G5527" s="5" t="str">
        <f t="shared" si="173"/>
        <v>УКТУС</v>
      </c>
      <c r="J5527" s="5"/>
      <c r="AL5527" s="5">
        <f t="shared" si="174"/>
        <v>0</v>
      </c>
    </row>
    <row r="5528" spans="1:38" ht="25.5" customHeight="1" x14ac:dyDescent="0.25">
      <c r="A5528" s="10" t="s">
        <v>4258</v>
      </c>
      <c r="B5528" s="11" t="s">
        <v>1630</v>
      </c>
      <c r="C5528" s="5">
        <v>62652.9401</v>
      </c>
      <c r="D5528" s="5">
        <v>62652.9401</v>
      </c>
      <c r="E5528" s="5">
        <v>56733.3557</v>
      </c>
      <c r="G5528" s="5" t="str">
        <f t="shared" si="173"/>
        <v>ЧЕРМЕТ</v>
      </c>
      <c r="J5528" s="5"/>
      <c r="AL5528" s="5">
        <f t="shared" si="174"/>
        <v>0</v>
      </c>
    </row>
    <row r="5529" spans="1:38" ht="25.5" customHeight="1" x14ac:dyDescent="0.25">
      <c r="A5529" s="10" t="s">
        <v>4259</v>
      </c>
      <c r="B5529" s="11" t="s">
        <v>1630</v>
      </c>
      <c r="C5529" s="5">
        <v>62652.9401</v>
      </c>
      <c r="D5529" s="5">
        <v>62652.9401</v>
      </c>
      <c r="E5529" s="5">
        <v>56733.3557</v>
      </c>
      <c r="G5529" s="5" t="str">
        <f t="shared" si="173"/>
        <v>ЧЕРМЕТ</v>
      </c>
      <c r="J5529" s="5"/>
      <c r="AL5529" s="5">
        <f t="shared" si="174"/>
        <v>0</v>
      </c>
    </row>
    <row r="5530" spans="1:38" ht="25.5" customHeight="1" x14ac:dyDescent="0.25">
      <c r="A5530" s="10" t="s">
        <v>4260</v>
      </c>
      <c r="B5530" s="11" t="s">
        <v>1637</v>
      </c>
      <c r="C5530" s="5">
        <v>59368.686099999999</v>
      </c>
      <c r="D5530" s="5">
        <v>59368.686099999999</v>
      </c>
      <c r="E5530" s="5">
        <v>53759.401700000002</v>
      </c>
      <c r="G5530" s="5" t="str">
        <f t="shared" si="173"/>
        <v>Старая сортировка</v>
      </c>
      <c r="J5530" s="5"/>
      <c r="AL5530" s="5">
        <f t="shared" si="174"/>
        <v>0</v>
      </c>
    </row>
    <row r="5531" spans="1:38" ht="25.5" customHeight="1" x14ac:dyDescent="0.25">
      <c r="A5531" s="10" t="s">
        <v>4261</v>
      </c>
      <c r="B5531" s="11" t="s">
        <v>1631</v>
      </c>
      <c r="C5531" s="5">
        <v>70026.7601</v>
      </c>
      <c r="D5531" s="5">
        <v>70026.7601</v>
      </c>
      <c r="E5531" s="5">
        <v>63410.482000000004</v>
      </c>
      <c r="G5531" s="5" t="str">
        <f t="shared" si="173"/>
        <v>УРАЛМАШ</v>
      </c>
      <c r="J5531" s="5"/>
      <c r="AL5531" s="5">
        <f t="shared" si="174"/>
        <v>0</v>
      </c>
    </row>
    <row r="5532" spans="1:38" ht="25.5" customHeight="1" x14ac:dyDescent="0.25">
      <c r="A5532" s="10" t="s">
        <v>4262</v>
      </c>
      <c r="B5532" s="11" t="s">
        <v>66</v>
      </c>
      <c r="C5532" s="5">
        <v>64795.756300000001</v>
      </c>
      <c r="D5532" s="5">
        <v>64795.756300000001</v>
      </c>
      <c r="E5532" s="5">
        <v>58673.716200000003</v>
      </c>
      <c r="G5532" s="5" t="str">
        <f t="shared" si="173"/>
        <v>УНЦ</v>
      </c>
      <c r="J5532" s="5"/>
      <c r="AL5532" s="5">
        <f t="shared" si="174"/>
        <v>0</v>
      </c>
    </row>
    <row r="5533" spans="1:38" ht="25.5" customHeight="1" x14ac:dyDescent="0.25">
      <c r="A5533" s="10" t="s">
        <v>4263</v>
      </c>
      <c r="B5533" s="11" t="s">
        <v>33</v>
      </c>
      <c r="C5533" s="5">
        <v>84298.205100000006</v>
      </c>
      <c r="D5533" s="5">
        <v>84298.205100000006</v>
      </c>
      <c r="E5533" s="5">
        <v>76333.533100000001</v>
      </c>
      <c r="G5533" s="5" t="str">
        <f t="shared" si="173"/>
        <v>ВИЗ</v>
      </c>
      <c r="J5533" s="5"/>
      <c r="AL5533" s="5">
        <f t="shared" si="174"/>
        <v>0</v>
      </c>
    </row>
    <row r="5534" spans="1:38" ht="25.5" customHeight="1" x14ac:dyDescent="0.25">
      <c r="A5534" s="10" t="s">
        <v>1077</v>
      </c>
      <c r="B5534" s="11" t="s">
        <v>1630</v>
      </c>
      <c r="C5534" s="5">
        <v>62652.9401</v>
      </c>
      <c r="D5534" s="5">
        <v>62652.9401</v>
      </c>
      <c r="E5534" s="5">
        <v>56733.3557</v>
      </c>
      <c r="G5534" s="5" t="str">
        <f t="shared" si="173"/>
        <v>ЧЕРМЕТ</v>
      </c>
      <c r="J5534" s="5"/>
      <c r="AL5534" s="5">
        <f t="shared" si="174"/>
        <v>0</v>
      </c>
    </row>
    <row r="5535" spans="1:38" ht="25.5" customHeight="1" x14ac:dyDescent="0.25">
      <c r="A5535" s="10" t="s">
        <v>4264</v>
      </c>
      <c r="B5535" s="11" t="s">
        <v>1644</v>
      </c>
      <c r="C5535" s="5">
        <v>61980.678599999999</v>
      </c>
      <c r="D5535" s="5">
        <v>61980.678599999999</v>
      </c>
      <c r="E5535" s="5">
        <v>56124.615700000002</v>
      </c>
      <c r="G5535" s="5" t="str">
        <f t="shared" si="173"/>
        <v>ХИММАШ</v>
      </c>
      <c r="J5535" s="5"/>
      <c r="AL5535" s="5">
        <f t="shared" si="174"/>
        <v>0</v>
      </c>
    </row>
    <row r="5536" spans="1:38" ht="25.5" customHeight="1" x14ac:dyDescent="0.25">
      <c r="A5536" s="10" t="s">
        <v>4265</v>
      </c>
      <c r="B5536" s="11" t="s">
        <v>209</v>
      </c>
      <c r="C5536" s="5">
        <v>69382.512499999997</v>
      </c>
      <c r="D5536" s="5">
        <v>69382.512499999997</v>
      </c>
      <c r="E5536" s="5">
        <v>62827.103199999998</v>
      </c>
      <c r="G5536" s="5" t="str">
        <f t="shared" si="173"/>
        <v>ЖБИ</v>
      </c>
      <c r="J5536" s="5"/>
      <c r="AL5536" s="5">
        <f t="shared" si="174"/>
        <v>0</v>
      </c>
    </row>
    <row r="5537" spans="1:38" ht="25.5" customHeight="1" x14ac:dyDescent="0.25">
      <c r="A5537" s="10" t="s">
        <v>4266</v>
      </c>
      <c r="B5537" s="11" t="s">
        <v>1647</v>
      </c>
      <c r="C5537" s="5">
        <v>63178.133800000003</v>
      </c>
      <c r="D5537" s="5">
        <v>63178.133800000003</v>
      </c>
      <c r="E5537" s="5">
        <v>57208.931499999999</v>
      </c>
      <c r="G5537" s="5" t="str">
        <f t="shared" si="173"/>
        <v>ШИРОКАЯ РЕЧКА</v>
      </c>
      <c r="J5537" s="5"/>
      <c r="AL5537" s="5">
        <f t="shared" si="174"/>
        <v>0</v>
      </c>
    </row>
    <row r="5538" spans="1:38" ht="25.5" customHeight="1" x14ac:dyDescent="0.25">
      <c r="A5538" s="10" t="s">
        <v>4267</v>
      </c>
      <c r="B5538" s="11" t="s">
        <v>1644</v>
      </c>
      <c r="C5538" s="5">
        <v>61980.678599999999</v>
      </c>
      <c r="D5538" s="5">
        <v>61980.678599999999</v>
      </c>
      <c r="E5538" s="5">
        <v>56124.615700000002</v>
      </c>
      <c r="G5538" s="5" t="str">
        <f t="shared" si="173"/>
        <v>ХИММАШ</v>
      </c>
      <c r="J5538" s="5"/>
      <c r="AL5538" s="5">
        <f t="shared" si="174"/>
        <v>0</v>
      </c>
    </row>
    <row r="5539" spans="1:38" ht="25.5" customHeight="1" x14ac:dyDescent="0.25">
      <c r="A5539" s="10" t="s">
        <v>903</v>
      </c>
      <c r="B5539" s="11" t="s">
        <v>1644</v>
      </c>
      <c r="C5539" s="5">
        <v>61980.678599999999</v>
      </c>
      <c r="D5539" s="5">
        <v>61980.678599999999</v>
      </c>
      <c r="E5539" s="5">
        <v>56124.615700000002</v>
      </c>
      <c r="G5539" s="5" t="str">
        <f t="shared" si="173"/>
        <v>ХИММАШ</v>
      </c>
      <c r="J5539" s="5"/>
      <c r="AL5539" s="5">
        <f t="shared" si="174"/>
        <v>0</v>
      </c>
    </row>
    <row r="5540" spans="1:38" ht="25.5" customHeight="1" x14ac:dyDescent="0.25">
      <c r="A5540" s="10" t="s">
        <v>363</v>
      </c>
      <c r="B5540" s="11" t="s">
        <v>1628</v>
      </c>
      <c r="C5540" s="5">
        <v>70734.0236</v>
      </c>
      <c r="D5540" s="5">
        <v>70734.0236</v>
      </c>
      <c r="E5540" s="5">
        <v>64050.9208</v>
      </c>
      <c r="G5540" s="5" t="str">
        <f t="shared" si="173"/>
        <v>ЭЛЬМАШ</v>
      </c>
      <c r="J5540" s="5"/>
      <c r="AL5540" s="5">
        <f t="shared" si="174"/>
        <v>0</v>
      </c>
    </row>
    <row r="5541" spans="1:38" ht="25.5" customHeight="1" x14ac:dyDescent="0.25">
      <c r="A5541" s="10" t="s">
        <v>4268</v>
      </c>
      <c r="B5541" s="11" t="s">
        <v>1664</v>
      </c>
      <c r="C5541" s="5">
        <v>53668.506099999999</v>
      </c>
      <c r="D5541" s="5">
        <v>53668.506099999999</v>
      </c>
      <c r="E5541" s="5">
        <v>48597.792699999998</v>
      </c>
      <c r="G5541" s="5" t="str">
        <f t="shared" si="173"/>
        <v>ИЗОПЛИТ</v>
      </c>
      <c r="J5541" s="5"/>
      <c r="AL5541" s="5">
        <f t="shared" si="174"/>
        <v>0</v>
      </c>
    </row>
    <row r="5542" spans="1:38" ht="25.5" customHeight="1" x14ac:dyDescent="0.25">
      <c r="A5542" s="10" t="s">
        <v>4269</v>
      </c>
      <c r="B5542" s="11" t="s">
        <v>33</v>
      </c>
      <c r="C5542" s="5">
        <v>84298.205100000006</v>
      </c>
      <c r="D5542" s="5">
        <v>84298.205100000006</v>
      </c>
      <c r="E5542" s="5">
        <v>76333.533100000001</v>
      </c>
      <c r="G5542" s="5" t="str">
        <f t="shared" si="173"/>
        <v>ВИЗ</v>
      </c>
      <c r="J5542" s="5"/>
      <c r="AL5542" s="5">
        <f t="shared" si="174"/>
        <v>0</v>
      </c>
    </row>
    <row r="5543" spans="1:38" ht="25.5" customHeight="1" x14ac:dyDescent="0.25">
      <c r="A5543" s="10" t="s">
        <v>4270</v>
      </c>
      <c r="B5543" s="11" t="s">
        <v>1663</v>
      </c>
      <c r="C5543" s="5">
        <v>44242.899599999997</v>
      </c>
      <c r="D5543" s="5">
        <v>44242.899599999997</v>
      </c>
      <c r="E5543" s="5">
        <v>40062.737300000001</v>
      </c>
      <c r="G5543" s="5" t="str">
        <f t="shared" si="173"/>
        <v>ШУВАКИШ</v>
      </c>
      <c r="J5543" s="5"/>
      <c r="AL5543" s="5">
        <f t="shared" si="174"/>
        <v>0</v>
      </c>
    </row>
    <row r="5544" spans="1:38" ht="25.5" customHeight="1" x14ac:dyDescent="0.25">
      <c r="A5544" s="10" t="s">
        <v>4271</v>
      </c>
      <c r="B5544" s="11" t="s">
        <v>1631</v>
      </c>
      <c r="C5544" s="5">
        <v>70026.7601</v>
      </c>
      <c r="D5544" s="5">
        <v>70026.7601</v>
      </c>
      <c r="E5544" s="5">
        <v>63410.482000000004</v>
      </c>
      <c r="G5544" s="5" t="str">
        <f t="shared" si="173"/>
        <v>УРАЛМАШ</v>
      </c>
      <c r="J5544" s="5"/>
      <c r="AL5544" s="5">
        <f t="shared" si="174"/>
        <v>0</v>
      </c>
    </row>
    <row r="5545" spans="1:38" ht="25.5" customHeight="1" x14ac:dyDescent="0.25">
      <c r="A5545" s="10" t="s">
        <v>4272</v>
      </c>
      <c r="B5545" s="11" t="s">
        <v>1665</v>
      </c>
      <c r="C5545" s="5">
        <v>55692.278700000003</v>
      </c>
      <c r="D5545" s="5">
        <v>55692.278700000003</v>
      </c>
      <c r="E5545" s="5">
        <v>50430.350200000001</v>
      </c>
      <c r="G5545" s="5" t="str">
        <f t="shared" si="173"/>
        <v>ПОЛЕВОДСТВО</v>
      </c>
      <c r="J5545" s="5"/>
      <c r="AL5545" s="5">
        <f t="shared" si="174"/>
        <v>0</v>
      </c>
    </row>
    <row r="5546" spans="1:38" ht="25.5" customHeight="1" x14ac:dyDescent="0.25">
      <c r="A5546" s="10" t="s">
        <v>4273</v>
      </c>
      <c r="B5546" s="11" t="s">
        <v>33</v>
      </c>
      <c r="C5546" s="5">
        <v>84298.205100000006</v>
      </c>
      <c r="D5546" s="5">
        <v>84298.205100000006</v>
      </c>
      <c r="E5546" s="5">
        <v>76333.533100000001</v>
      </c>
      <c r="G5546" s="5" t="str">
        <f t="shared" si="173"/>
        <v>ВИЗ</v>
      </c>
      <c r="J5546" s="5"/>
      <c r="AL5546" s="5">
        <f t="shared" si="174"/>
        <v>0</v>
      </c>
    </row>
    <row r="5547" spans="1:38" ht="25.5" customHeight="1" x14ac:dyDescent="0.25">
      <c r="A5547" s="10" t="s">
        <v>4274</v>
      </c>
      <c r="B5547" s="11" t="s">
        <v>1644</v>
      </c>
      <c r="C5547" s="5">
        <v>61980.678599999999</v>
      </c>
      <c r="D5547" s="5">
        <v>61980.678599999999</v>
      </c>
      <c r="E5547" s="5">
        <v>56124.615700000002</v>
      </c>
      <c r="G5547" s="5" t="str">
        <f t="shared" si="173"/>
        <v>ХИММАШ</v>
      </c>
      <c r="J5547" s="5"/>
      <c r="AL5547" s="5">
        <f t="shared" si="174"/>
        <v>0</v>
      </c>
    </row>
    <row r="5548" spans="1:38" ht="25.5" customHeight="1" x14ac:dyDescent="0.25">
      <c r="A5548" s="10" t="s">
        <v>4275</v>
      </c>
      <c r="B5548" s="11" t="s">
        <v>1632</v>
      </c>
      <c r="C5548" s="5">
        <v>83744.997499999998</v>
      </c>
      <c r="D5548" s="5">
        <v>83744.997499999998</v>
      </c>
      <c r="E5548" s="5">
        <v>75832.596099999995</v>
      </c>
      <c r="G5548" s="5" t="str">
        <f t="shared" si="173"/>
        <v>АВТОВОКЗАЛ</v>
      </c>
      <c r="J5548" s="5"/>
      <c r="AL5548" s="5">
        <f t="shared" si="174"/>
        <v>0</v>
      </c>
    </row>
    <row r="5549" spans="1:38" ht="25.5" customHeight="1" x14ac:dyDescent="0.25">
      <c r="A5549" s="10" t="s">
        <v>4276</v>
      </c>
      <c r="B5549" s="11" t="s">
        <v>1667</v>
      </c>
      <c r="C5549" s="5">
        <v>56546.599699999999</v>
      </c>
      <c r="D5549" s="5">
        <v>56546.599699999999</v>
      </c>
      <c r="E5549" s="5">
        <v>51203.963499999998</v>
      </c>
      <c r="G5549" s="5" t="str">
        <f t="shared" si="173"/>
        <v>КАЛИНОВСКИЙ</v>
      </c>
      <c r="J5549" s="5"/>
      <c r="AL5549" s="5">
        <f t="shared" si="174"/>
        <v>0</v>
      </c>
    </row>
    <row r="5550" spans="1:38" ht="25.5" customHeight="1" x14ac:dyDescent="0.25">
      <c r="A5550" s="10" t="s">
        <v>376</v>
      </c>
      <c r="B5550" s="11" t="s">
        <v>1630</v>
      </c>
      <c r="C5550" s="5">
        <v>62652.9401</v>
      </c>
      <c r="D5550" s="5">
        <v>62652.9401</v>
      </c>
      <c r="E5550" s="5">
        <v>56733.3557</v>
      </c>
      <c r="G5550" s="5" t="str">
        <f t="shared" si="173"/>
        <v>ЧЕРМЕТ</v>
      </c>
      <c r="J5550" s="5"/>
      <c r="AL5550" s="5">
        <f t="shared" si="174"/>
        <v>0</v>
      </c>
    </row>
    <row r="5551" spans="1:38" ht="25.5" customHeight="1" x14ac:dyDescent="0.25">
      <c r="A5551" s="10" t="s">
        <v>1055</v>
      </c>
      <c r="B5551" s="11" t="s">
        <v>1636</v>
      </c>
      <c r="C5551" s="5">
        <v>52246.960299999999</v>
      </c>
      <c r="D5551" s="5">
        <v>52246.960299999999</v>
      </c>
      <c r="E5551" s="5">
        <v>47310.556700000001</v>
      </c>
      <c r="G5551" s="5" t="str">
        <f t="shared" si="173"/>
        <v>ГОРНЫЙ ЩИТ</v>
      </c>
      <c r="J5551" s="5"/>
      <c r="AL5551" s="5">
        <f t="shared" si="174"/>
        <v>0</v>
      </c>
    </row>
    <row r="5552" spans="1:38" ht="25.5" customHeight="1" x14ac:dyDescent="0.25">
      <c r="A5552" s="10" t="s">
        <v>4277</v>
      </c>
      <c r="B5552" s="11" t="s">
        <v>1647</v>
      </c>
      <c r="C5552" s="5">
        <v>63178.133800000003</v>
      </c>
      <c r="D5552" s="5">
        <v>63178.133800000003</v>
      </c>
      <c r="E5552" s="5">
        <v>57208.931499999999</v>
      </c>
      <c r="G5552" s="5" t="str">
        <f t="shared" si="173"/>
        <v>ШИРОКАЯ РЕЧКА</v>
      </c>
      <c r="J5552" s="5"/>
      <c r="AL5552" s="5">
        <f t="shared" si="174"/>
        <v>0</v>
      </c>
    </row>
    <row r="5553" spans="1:38" ht="25.5" customHeight="1" x14ac:dyDescent="0.25">
      <c r="A5553" s="10" t="s">
        <v>4278</v>
      </c>
      <c r="B5553" s="11" t="s">
        <v>1657</v>
      </c>
      <c r="C5553" s="5">
        <v>54886.9666</v>
      </c>
      <c r="D5553" s="5">
        <v>54886.9666</v>
      </c>
      <c r="E5553" s="5">
        <v>49701.1319</v>
      </c>
      <c r="G5553" s="5" t="str">
        <f t="shared" si="173"/>
        <v>КОЛЬЦОВО</v>
      </c>
      <c r="J5553" s="5"/>
      <c r="AL5553" s="5">
        <f t="shared" si="174"/>
        <v>0</v>
      </c>
    </row>
    <row r="5554" spans="1:38" ht="25.5" customHeight="1" x14ac:dyDescent="0.25">
      <c r="A5554" s="10" t="s">
        <v>4279</v>
      </c>
      <c r="B5554" s="11" t="s">
        <v>1630</v>
      </c>
      <c r="C5554" s="5">
        <v>62652.9401</v>
      </c>
      <c r="D5554" s="5">
        <v>62652.9401</v>
      </c>
      <c r="E5554" s="5">
        <v>56733.3557</v>
      </c>
      <c r="G5554" s="5" t="str">
        <f t="shared" si="173"/>
        <v>ЧЕРМЕТ</v>
      </c>
      <c r="J5554" s="5"/>
      <c r="AL5554" s="5">
        <f t="shared" si="174"/>
        <v>0</v>
      </c>
    </row>
    <row r="5555" spans="1:38" ht="25.5" customHeight="1" x14ac:dyDescent="0.25">
      <c r="A5555" s="10" t="s">
        <v>4280</v>
      </c>
      <c r="B5555" s="11" t="s">
        <v>1644</v>
      </c>
      <c r="C5555" s="5">
        <v>61980.678599999999</v>
      </c>
      <c r="D5555" s="5">
        <v>61980.678599999999</v>
      </c>
      <c r="E5555" s="5">
        <v>56124.615700000002</v>
      </c>
      <c r="G5555" s="5" t="str">
        <f t="shared" si="173"/>
        <v>ХИММАШ</v>
      </c>
      <c r="J5555" s="5"/>
      <c r="AL5555" s="5">
        <f t="shared" si="174"/>
        <v>0</v>
      </c>
    </row>
    <row r="5556" spans="1:38" ht="25.5" customHeight="1" x14ac:dyDescent="0.25">
      <c r="A5556" s="10" t="s">
        <v>4281</v>
      </c>
      <c r="B5556" s="11" t="s">
        <v>1661</v>
      </c>
      <c r="C5556" s="5">
        <v>51175.5573</v>
      </c>
      <c r="D5556" s="5">
        <v>51175.5573</v>
      </c>
      <c r="E5556" s="5">
        <v>46340.381600000001</v>
      </c>
      <c r="G5556" s="5" t="str">
        <f t="shared" si="173"/>
        <v>СЕВЕРКА</v>
      </c>
      <c r="J5556" s="5"/>
      <c r="AL5556" s="5">
        <f t="shared" si="174"/>
        <v>0</v>
      </c>
    </row>
    <row r="5557" spans="1:38" ht="25.5" customHeight="1" x14ac:dyDescent="0.25">
      <c r="A5557" s="10" t="s">
        <v>4282</v>
      </c>
      <c r="B5557" s="11" t="s">
        <v>1646</v>
      </c>
      <c r="C5557" s="5">
        <v>61763.596599999997</v>
      </c>
      <c r="D5557" s="5">
        <v>61763.596599999997</v>
      </c>
      <c r="E5557" s="5">
        <v>55928.0435</v>
      </c>
      <c r="G5557" s="5" t="str">
        <f t="shared" si="173"/>
        <v>АКАДЕМИЧЕСКИЙ</v>
      </c>
      <c r="J5557" s="5"/>
      <c r="AL5557" s="5">
        <f t="shared" si="174"/>
        <v>0</v>
      </c>
    </row>
    <row r="5558" spans="1:38" ht="25.5" customHeight="1" x14ac:dyDescent="0.25">
      <c r="A5558" s="10" t="s">
        <v>1364</v>
      </c>
      <c r="B5558" s="11" t="s">
        <v>1630</v>
      </c>
      <c r="C5558" s="5">
        <v>62652.9401</v>
      </c>
      <c r="D5558" s="5">
        <v>62652.9401</v>
      </c>
      <c r="E5558" s="5">
        <v>56733.3557</v>
      </c>
      <c r="G5558" s="5" t="str">
        <f t="shared" si="173"/>
        <v>ЧЕРМЕТ</v>
      </c>
      <c r="J5558" s="5"/>
      <c r="AL5558" s="5">
        <f t="shared" si="174"/>
        <v>0</v>
      </c>
    </row>
    <row r="5559" spans="1:38" ht="25.5" customHeight="1" x14ac:dyDescent="0.25">
      <c r="A5559" s="10" t="s">
        <v>4283</v>
      </c>
      <c r="B5559" s="11" t="s">
        <v>1631</v>
      </c>
      <c r="C5559" s="5">
        <v>70026.7601</v>
      </c>
      <c r="D5559" s="5">
        <v>70026.7601</v>
      </c>
      <c r="E5559" s="5">
        <v>63410.482000000004</v>
      </c>
      <c r="G5559" s="5" t="str">
        <f t="shared" si="173"/>
        <v>УРАЛМАШ</v>
      </c>
      <c r="J5559" s="5"/>
      <c r="AL5559" s="5">
        <f t="shared" si="174"/>
        <v>0</v>
      </c>
    </row>
    <row r="5560" spans="1:38" ht="25.5" customHeight="1" x14ac:dyDescent="0.25">
      <c r="A5560" s="10" t="s">
        <v>4284</v>
      </c>
      <c r="B5560" s="11" t="s">
        <v>1631</v>
      </c>
      <c r="C5560" s="5">
        <v>70026.7601</v>
      </c>
      <c r="D5560" s="5">
        <v>70026.7601</v>
      </c>
      <c r="E5560" s="5">
        <v>63410.482000000004</v>
      </c>
      <c r="G5560" s="5" t="str">
        <f t="shared" si="173"/>
        <v>УРАЛМАШ</v>
      </c>
      <c r="J5560" s="5"/>
      <c r="AL5560" s="5">
        <f t="shared" si="174"/>
        <v>0</v>
      </c>
    </row>
    <row r="5561" spans="1:38" ht="25.5" customHeight="1" x14ac:dyDescent="0.25">
      <c r="A5561" s="10" t="s">
        <v>4285</v>
      </c>
      <c r="B5561" s="11" t="s">
        <v>1631</v>
      </c>
      <c r="C5561" s="5">
        <v>70026.7601</v>
      </c>
      <c r="D5561" s="5">
        <v>70026.7601</v>
      </c>
      <c r="E5561" s="5">
        <v>63410.482000000004</v>
      </c>
      <c r="G5561" s="5" t="str">
        <f t="shared" si="173"/>
        <v>УРАЛМАШ</v>
      </c>
      <c r="J5561" s="5"/>
      <c r="AL5561" s="5">
        <f t="shared" si="174"/>
        <v>0</v>
      </c>
    </row>
    <row r="5562" spans="1:38" ht="25.5" customHeight="1" x14ac:dyDescent="0.25">
      <c r="A5562" s="10" t="s">
        <v>4286</v>
      </c>
      <c r="B5562" s="11" t="s">
        <v>209</v>
      </c>
      <c r="C5562" s="5">
        <v>69382.512499999997</v>
      </c>
      <c r="D5562" s="5">
        <v>69382.512499999997</v>
      </c>
      <c r="E5562" s="5">
        <v>62827.103199999998</v>
      </c>
      <c r="G5562" s="5" t="str">
        <f t="shared" si="173"/>
        <v>ЖБИ</v>
      </c>
      <c r="J5562" s="5"/>
      <c r="AL5562" s="5">
        <f t="shared" si="174"/>
        <v>0</v>
      </c>
    </row>
    <row r="5563" spans="1:38" ht="25.5" customHeight="1" x14ac:dyDescent="0.25">
      <c r="A5563" s="10" t="s">
        <v>4287</v>
      </c>
      <c r="B5563" s="11" t="s">
        <v>779</v>
      </c>
      <c r="C5563" s="5">
        <v>46784.877899999999</v>
      </c>
      <c r="D5563" s="5">
        <v>46784.877899999999</v>
      </c>
      <c r="E5563" s="5">
        <v>42364.543299999998</v>
      </c>
      <c r="G5563" s="5" t="str">
        <f t="shared" si="173"/>
        <v>Нижнеисетский</v>
      </c>
      <c r="J5563" s="5"/>
      <c r="AL5563" s="5">
        <f t="shared" si="174"/>
        <v>0</v>
      </c>
    </row>
    <row r="5564" spans="1:38" ht="25.5" customHeight="1" x14ac:dyDescent="0.25">
      <c r="A5564" s="10" t="s">
        <v>4288</v>
      </c>
      <c r="B5564" s="11" t="s">
        <v>1632</v>
      </c>
      <c r="C5564" s="5">
        <v>83744.997499999998</v>
      </c>
      <c r="D5564" s="5">
        <v>83744.997499999998</v>
      </c>
      <c r="E5564" s="5">
        <v>75832.596099999995</v>
      </c>
      <c r="G5564" s="5" t="str">
        <f t="shared" si="173"/>
        <v>АВТОВОКЗАЛ</v>
      </c>
      <c r="J5564" s="5"/>
      <c r="AL5564" s="5">
        <f t="shared" si="174"/>
        <v>0</v>
      </c>
    </row>
    <row r="5565" spans="1:38" ht="25.5" customHeight="1" x14ac:dyDescent="0.25">
      <c r="A5565" s="10" t="s">
        <v>4289</v>
      </c>
      <c r="B5565" s="11" t="s">
        <v>1627</v>
      </c>
      <c r="C5565" s="5">
        <v>56392.543899999997</v>
      </c>
      <c r="D5565" s="5">
        <v>56392.543899999997</v>
      </c>
      <c r="E5565" s="5">
        <v>51064.4617</v>
      </c>
      <c r="G5565" s="5" t="str">
        <f t="shared" si="173"/>
        <v>КОМПРЕССОРНЫЙ</v>
      </c>
      <c r="J5565" s="5"/>
      <c r="AL5565" s="5">
        <f t="shared" si="174"/>
        <v>0</v>
      </c>
    </row>
    <row r="5566" spans="1:38" ht="25.5" customHeight="1" x14ac:dyDescent="0.25">
      <c r="A5566" s="10" t="s">
        <v>4290</v>
      </c>
      <c r="B5566" s="11" t="s">
        <v>1632</v>
      </c>
      <c r="C5566" s="5">
        <v>83744.997499999998</v>
      </c>
      <c r="D5566" s="5">
        <v>83744.997499999998</v>
      </c>
      <c r="E5566" s="5">
        <v>75832.596099999995</v>
      </c>
      <c r="G5566" s="5" t="str">
        <f t="shared" si="173"/>
        <v>АВТОВОКЗАЛ</v>
      </c>
      <c r="J5566" s="5"/>
      <c r="AL5566" s="5">
        <f t="shared" si="174"/>
        <v>0</v>
      </c>
    </row>
    <row r="5567" spans="1:38" ht="25.5" customHeight="1" x14ac:dyDescent="0.25">
      <c r="A5567" s="10" t="s">
        <v>4291</v>
      </c>
      <c r="B5567" s="11" t="s">
        <v>1644</v>
      </c>
      <c r="C5567" s="5">
        <v>61980.678599999999</v>
      </c>
      <c r="D5567" s="5">
        <v>61980.678599999999</v>
      </c>
      <c r="E5567" s="5">
        <v>56124.615700000002</v>
      </c>
      <c r="G5567" s="5" t="str">
        <f t="shared" ref="G5567:G5630" si="175">B5567</f>
        <v>ХИММАШ</v>
      </c>
      <c r="J5567" s="5"/>
      <c r="AL5567" s="5">
        <f t="shared" ref="AL5567:AL5630" si="176">AF5567</f>
        <v>0</v>
      </c>
    </row>
    <row r="5568" spans="1:38" ht="25.5" customHeight="1" x14ac:dyDescent="0.25">
      <c r="A5568" s="10" t="s">
        <v>4292</v>
      </c>
      <c r="B5568" s="11" t="s">
        <v>1650</v>
      </c>
      <c r="C5568" s="5">
        <v>37590.3603</v>
      </c>
      <c r="D5568" s="5">
        <v>37590.3603</v>
      </c>
      <c r="E5568" s="5">
        <v>34038.745900000002</v>
      </c>
      <c r="G5568" s="5" t="str">
        <f t="shared" si="175"/>
        <v>ШАБРОВСКИЙ</v>
      </c>
      <c r="J5568" s="5"/>
      <c r="AL5568" s="5">
        <f t="shared" si="176"/>
        <v>0</v>
      </c>
    </row>
    <row r="5569" spans="1:38" ht="25.5" customHeight="1" x14ac:dyDescent="0.25">
      <c r="A5569" s="10" t="s">
        <v>4293</v>
      </c>
      <c r="B5569" s="11" t="s">
        <v>1643</v>
      </c>
      <c r="C5569" s="5">
        <v>76630.280299999999</v>
      </c>
      <c r="D5569" s="5">
        <v>76630.280299999999</v>
      </c>
      <c r="E5569" s="5">
        <v>69390.088799999998</v>
      </c>
      <c r="G5569" s="5" t="str">
        <f t="shared" si="175"/>
        <v>Ю-З</v>
      </c>
      <c r="J5569" s="5"/>
      <c r="AL5569" s="5">
        <f t="shared" si="176"/>
        <v>0</v>
      </c>
    </row>
    <row r="5570" spans="1:38" ht="25.5" customHeight="1" x14ac:dyDescent="0.25">
      <c r="A5570" s="10" t="s">
        <v>4294</v>
      </c>
      <c r="B5570" s="11" t="s">
        <v>1645</v>
      </c>
      <c r="C5570" s="5">
        <v>60958.294800000003</v>
      </c>
      <c r="D5570" s="5">
        <v>60958.294800000003</v>
      </c>
      <c r="E5570" s="5">
        <v>55198.825199999999</v>
      </c>
      <c r="G5570" s="5" t="str">
        <f t="shared" si="175"/>
        <v>ЕЛИЗАВЕТ</v>
      </c>
      <c r="J5570" s="5"/>
      <c r="AL5570" s="5">
        <f t="shared" si="176"/>
        <v>0</v>
      </c>
    </row>
    <row r="5571" spans="1:38" ht="25.5" customHeight="1" x14ac:dyDescent="0.25">
      <c r="A5571" s="10" t="s">
        <v>4295</v>
      </c>
      <c r="B5571" s="11" t="s">
        <v>14</v>
      </c>
      <c r="C5571" s="5">
        <v>93989.912800000006</v>
      </c>
      <c r="D5571" s="5">
        <v>93989.912800000006</v>
      </c>
      <c r="E5571" s="5">
        <v>85109.545199999993</v>
      </c>
      <c r="G5571" s="5" t="str">
        <f t="shared" si="175"/>
        <v>Центр</v>
      </c>
      <c r="J5571" s="5"/>
      <c r="AL5571" s="5">
        <f t="shared" si="176"/>
        <v>0</v>
      </c>
    </row>
    <row r="5572" spans="1:38" ht="25.5" customHeight="1" x14ac:dyDescent="0.25">
      <c r="A5572" s="10" t="s">
        <v>4296</v>
      </c>
      <c r="B5572" s="11" t="s">
        <v>1650</v>
      </c>
      <c r="C5572" s="5">
        <v>37590.3603</v>
      </c>
      <c r="D5572" s="5">
        <v>37590.3603</v>
      </c>
      <c r="E5572" s="5">
        <v>34038.745900000002</v>
      </c>
      <c r="G5572" s="5" t="str">
        <f t="shared" si="175"/>
        <v>ШАБРОВСКИЙ</v>
      </c>
      <c r="J5572" s="5"/>
      <c r="AL5572" s="5">
        <f t="shared" si="176"/>
        <v>0</v>
      </c>
    </row>
    <row r="5573" spans="1:38" ht="25.5" customHeight="1" x14ac:dyDescent="0.25">
      <c r="A5573" s="10" t="s">
        <v>4297</v>
      </c>
      <c r="B5573" s="11" t="s">
        <v>1631</v>
      </c>
      <c r="C5573" s="5">
        <v>70026.7601</v>
      </c>
      <c r="D5573" s="5">
        <v>70026.7601</v>
      </c>
      <c r="E5573" s="5">
        <v>63410.482000000004</v>
      </c>
      <c r="G5573" s="5" t="str">
        <f t="shared" si="175"/>
        <v>УРАЛМАШ</v>
      </c>
      <c r="J5573" s="5"/>
      <c r="AL5573" s="5">
        <f t="shared" si="176"/>
        <v>0</v>
      </c>
    </row>
    <row r="5574" spans="1:38" ht="25.5" customHeight="1" x14ac:dyDescent="0.25">
      <c r="A5574" s="10" t="s">
        <v>4298</v>
      </c>
      <c r="B5574" s="11" t="s">
        <v>33</v>
      </c>
      <c r="C5574" s="5">
        <v>84298.205100000006</v>
      </c>
      <c r="D5574" s="5">
        <v>84298.205100000006</v>
      </c>
      <c r="E5574" s="5">
        <v>76333.533100000001</v>
      </c>
      <c r="G5574" s="5" t="str">
        <f t="shared" si="175"/>
        <v>ВИЗ</v>
      </c>
      <c r="J5574" s="5"/>
      <c r="AL5574" s="5">
        <f t="shared" si="176"/>
        <v>0</v>
      </c>
    </row>
    <row r="5575" spans="1:38" ht="25.5" customHeight="1" x14ac:dyDescent="0.25">
      <c r="A5575" s="10" t="s">
        <v>408</v>
      </c>
      <c r="B5575" s="11" t="s">
        <v>1657</v>
      </c>
      <c r="C5575" s="5">
        <v>54886.9666</v>
      </c>
      <c r="D5575" s="5">
        <v>54886.9666</v>
      </c>
      <c r="E5575" s="5">
        <v>49701.1319</v>
      </c>
      <c r="G5575" s="5" t="str">
        <f t="shared" si="175"/>
        <v>КОЛЬЦОВО</v>
      </c>
      <c r="J5575" s="5"/>
      <c r="AL5575" s="5">
        <f t="shared" si="176"/>
        <v>0</v>
      </c>
    </row>
    <row r="5576" spans="1:38" ht="25.5" customHeight="1" x14ac:dyDescent="0.25">
      <c r="A5576" s="10" t="s">
        <v>1452</v>
      </c>
      <c r="B5576" s="11" t="s">
        <v>1643</v>
      </c>
      <c r="C5576" s="5">
        <v>76630.280299999999</v>
      </c>
      <c r="D5576" s="5">
        <v>76630.280299999999</v>
      </c>
      <c r="E5576" s="5">
        <v>69390.088799999998</v>
      </c>
      <c r="G5576" s="5" t="str">
        <f t="shared" si="175"/>
        <v>Ю-З</v>
      </c>
      <c r="J5576" s="5"/>
      <c r="AL5576" s="5">
        <f t="shared" si="176"/>
        <v>0</v>
      </c>
    </row>
    <row r="5577" spans="1:38" ht="25.5" customHeight="1" x14ac:dyDescent="0.25">
      <c r="A5577" s="10" t="s">
        <v>4299</v>
      </c>
      <c r="B5577" s="11" t="s">
        <v>1668</v>
      </c>
      <c r="C5577" s="5">
        <v>51343.6201</v>
      </c>
      <c r="D5577" s="5">
        <v>51343.6201</v>
      </c>
      <c r="E5577" s="5">
        <v>46492.558799999999</v>
      </c>
      <c r="G5577" s="5" t="str">
        <f t="shared" si="175"/>
        <v>МЕДНЫЙ</v>
      </c>
      <c r="J5577" s="5"/>
      <c r="AL5577" s="5">
        <f t="shared" si="176"/>
        <v>0</v>
      </c>
    </row>
    <row r="5578" spans="1:38" ht="25.5" customHeight="1" x14ac:dyDescent="0.25">
      <c r="A5578" s="10" t="s">
        <v>4300</v>
      </c>
      <c r="B5578" s="11" t="s">
        <v>1644</v>
      </c>
      <c r="C5578" s="5">
        <v>61980.678599999999</v>
      </c>
      <c r="D5578" s="5">
        <v>61980.678599999999</v>
      </c>
      <c r="E5578" s="5">
        <v>56124.615700000002</v>
      </c>
      <c r="G5578" s="5" t="str">
        <f t="shared" si="175"/>
        <v>ХИММАШ</v>
      </c>
      <c r="J5578" s="5"/>
      <c r="AL5578" s="5">
        <f t="shared" si="176"/>
        <v>0</v>
      </c>
    </row>
    <row r="5579" spans="1:38" ht="25.5" customHeight="1" x14ac:dyDescent="0.25">
      <c r="A5579" s="10" t="s">
        <v>4301</v>
      </c>
      <c r="B5579" s="11" t="s">
        <v>1647</v>
      </c>
      <c r="C5579" s="5">
        <v>63178.133800000003</v>
      </c>
      <c r="D5579" s="5">
        <v>63178.133800000003</v>
      </c>
      <c r="E5579" s="5">
        <v>57208.931499999999</v>
      </c>
      <c r="G5579" s="5" t="str">
        <f t="shared" si="175"/>
        <v>ШИРОКАЯ РЕЧКА</v>
      </c>
      <c r="J5579" s="5"/>
      <c r="AL5579" s="5">
        <f t="shared" si="176"/>
        <v>0</v>
      </c>
    </row>
    <row r="5580" spans="1:38" ht="25.5" customHeight="1" x14ac:dyDescent="0.25">
      <c r="A5580" s="10" t="s">
        <v>4302</v>
      </c>
      <c r="B5580" s="11" t="s">
        <v>1650</v>
      </c>
      <c r="C5580" s="5">
        <v>37590.3603</v>
      </c>
      <c r="D5580" s="5">
        <v>37590.3603</v>
      </c>
      <c r="E5580" s="5">
        <v>34038.745900000002</v>
      </c>
      <c r="G5580" s="5" t="str">
        <f t="shared" si="175"/>
        <v>ШАБРОВСКИЙ</v>
      </c>
      <c r="J5580" s="5"/>
      <c r="AL5580" s="5">
        <f t="shared" si="176"/>
        <v>0</v>
      </c>
    </row>
    <row r="5581" spans="1:38" ht="25.5" customHeight="1" x14ac:dyDescent="0.25">
      <c r="A5581" s="10" t="s">
        <v>4303</v>
      </c>
      <c r="B5581" s="11" t="s">
        <v>1636</v>
      </c>
      <c r="C5581" s="5">
        <v>52246.960299999999</v>
      </c>
      <c r="D5581" s="5">
        <v>52246.960299999999</v>
      </c>
      <c r="E5581" s="5">
        <v>47310.556700000001</v>
      </c>
      <c r="G5581" s="5" t="str">
        <f t="shared" si="175"/>
        <v>ГОРНЫЙ ЩИТ</v>
      </c>
      <c r="J5581" s="5"/>
      <c r="AL5581" s="5">
        <f t="shared" si="176"/>
        <v>0</v>
      </c>
    </row>
    <row r="5582" spans="1:38" ht="25.5" customHeight="1" x14ac:dyDescent="0.25">
      <c r="A5582" s="10" t="s">
        <v>4304</v>
      </c>
      <c r="B5582" s="11" t="s">
        <v>33</v>
      </c>
      <c r="C5582" s="5">
        <v>84298.205100000006</v>
      </c>
      <c r="D5582" s="5">
        <v>84298.205100000006</v>
      </c>
      <c r="E5582" s="5">
        <v>76333.533100000001</v>
      </c>
      <c r="G5582" s="5" t="str">
        <f t="shared" si="175"/>
        <v>ВИЗ</v>
      </c>
      <c r="J5582" s="5"/>
      <c r="AL5582" s="5">
        <f t="shared" si="176"/>
        <v>0</v>
      </c>
    </row>
    <row r="5583" spans="1:38" ht="25.5" customHeight="1" x14ac:dyDescent="0.25">
      <c r="A5583" s="10" t="s">
        <v>4305</v>
      </c>
      <c r="B5583" s="11" t="s">
        <v>1629</v>
      </c>
      <c r="C5583" s="5">
        <v>77743.704100000003</v>
      </c>
      <c r="D5583" s="5">
        <v>77743.704100000003</v>
      </c>
      <c r="E5583" s="5">
        <v>70398.310800000007</v>
      </c>
      <c r="G5583" s="5" t="str">
        <f t="shared" si="175"/>
        <v>ПИОНЕРСКИЙ</v>
      </c>
      <c r="J5583" s="5"/>
      <c r="AL5583" s="5">
        <f t="shared" si="176"/>
        <v>0</v>
      </c>
    </row>
    <row r="5584" spans="1:38" ht="25.5" customHeight="1" x14ac:dyDescent="0.25">
      <c r="A5584" s="10" t="s">
        <v>4306</v>
      </c>
      <c r="B5584" s="11" t="s">
        <v>1636</v>
      </c>
      <c r="C5584" s="5">
        <v>52246.960299999999</v>
      </c>
      <c r="D5584" s="5">
        <v>52246.960299999999</v>
      </c>
      <c r="E5584" s="5">
        <v>47310.556700000001</v>
      </c>
      <c r="G5584" s="5" t="str">
        <f t="shared" si="175"/>
        <v>ГОРНЫЙ ЩИТ</v>
      </c>
      <c r="J5584" s="5"/>
      <c r="AL5584" s="5">
        <f t="shared" si="176"/>
        <v>0</v>
      </c>
    </row>
    <row r="5585" spans="1:38" ht="25.5" customHeight="1" x14ac:dyDescent="0.25">
      <c r="A5585" s="10" t="s">
        <v>4307</v>
      </c>
      <c r="B5585" s="11" t="s">
        <v>1657</v>
      </c>
      <c r="C5585" s="5">
        <v>54886.9666</v>
      </c>
      <c r="D5585" s="5">
        <v>54886.9666</v>
      </c>
      <c r="E5585" s="5">
        <v>49701.1319</v>
      </c>
      <c r="G5585" s="5" t="str">
        <f t="shared" si="175"/>
        <v>КОЛЬЦОВО</v>
      </c>
      <c r="J5585" s="5"/>
      <c r="AL5585" s="5">
        <f t="shared" si="176"/>
        <v>0</v>
      </c>
    </row>
    <row r="5586" spans="1:38" ht="25.5" customHeight="1" x14ac:dyDescent="0.25">
      <c r="A5586" s="10" t="s">
        <v>4308</v>
      </c>
      <c r="B5586" s="11" t="s">
        <v>1631</v>
      </c>
      <c r="C5586" s="5">
        <v>70026.7601</v>
      </c>
      <c r="D5586" s="5">
        <v>70026.7601</v>
      </c>
      <c r="E5586" s="5">
        <v>63410.482000000004</v>
      </c>
      <c r="G5586" s="5" t="str">
        <f t="shared" si="175"/>
        <v>УРАЛМАШ</v>
      </c>
      <c r="J5586" s="5"/>
      <c r="AL5586" s="5">
        <f t="shared" si="176"/>
        <v>0</v>
      </c>
    </row>
    <row r="5587" spans="1:38" ht="25.5" customHeight="1" x14ac:dyDescent="0.25">
      <c r="A5587" s="10" t="s">
        <v>4309</v>
      </c>
      <c r="B5587" s="11" t="s">
        <v>1631</v>
      </c>
      <c r="C5587" s="5">
        <v>70026.7601</v>
      </c>
      <c r="D5587" s="5">
        <v>70026.7601</v>
      </c>
      <c r="E5587" s="5">
        <v>63410.482000000004</v>
      </c>
      <c r="G5587" s="5" t="str">
        <f t="shared" si="175"/>
        <v>УРАЛМАШ</v>
      </c>
      <c r="J5587" s="5"/>
      <c r="AL5587" s="5">
        <f t="shared" si="176"/>
        <v>0</v>
      </c>
    </row>
    <row r="5588" spans="1:38" ht="25.5" customHeight="1" x14ac:dyDescent="0.25">
      <c r="A5588" s="10" t="s">
        <v>1109</v>
      </c>
      <c r="B5588" s="11" t="s">
        <v>1644</v>
      </c>
      <c r="C5588" s="5">
        <v>61980.678599999999</v>
      </c>
      <c r="D5588" s="5">
        <v>61980.678599999999</v>
      </c>
      <c r="E5588" s="5">
        <v>56124.615700000002</v>
      </c>
      <c r="G5588" s="5" t="str">
        <f t="shared" si="175"/>
        <v>ХИММАШ</v>
      </c>
      <c r="J5588" s="5"/>
      <c r="AL5588" s="5">
        <f t="shared" si="176"/>
        <v>0</v>
      </c>
    </row>
    <row r="5589" spans="1:38" ht="25.5" customHeight="1" x14ac:dyDescent="0.25">
      <c r="A5589" s="10" t="s">
        <v>4310</v>
      </c>
      <c r="B5589" s="11" t="s">
        <v>66</v>
      </c>
      <c r="C5589" s="5">
        <v>64795.756300000001</v>
      </c>
      <c r="D5589" s="5">
        <v>64795.756300000001</v>
      </c>
      <c r="E5589" s="5">
        <v>58673.716200000003</v>
      </c>
      <c r="G5589" s="5" t="str">
        <f t="shared" si="175"/>
        <v>УНЦ</v>
      </c>
      <c r="J5589" s="5"/>
      <c r="AL5589" s="5">
        <f t="shared" si="176"/>
        <v>0</v>
      </c>
    </row>
    <row r="5590" spans="1:38" ht="25.5" customHeight="1" x14ac:dyDescent="0.25">
      <c r="A5590" s="10" t="s">
        <v>4311</v>
      </c>
      <c r="B5590" s="11" t="s">
        <v>1636</v>
      </c>
      <c r="C5590" s="5">
        <v>52246.960299999999</v>
      </c>
      <c r="D5590" s="5">
        <v>52246.960299999999</v>
      </c>
      <c r="E5590" s="5">
        <v>47310.556700000001</v>
      </c>
      <c r="G5590" s="5" t="str">
        <f t="shared" si="175"/>
        <v>ГОРНЫЙ ЩИТ</v>
      </c>
      <c r="J5590" s="5"/>
      <c r="AL5590" s="5">
        <f t="shared" si="176"/>
        <v>0</v>
      </c>
    </row>
    <row r="5591" spans="1:38" ht="25.5" customHeight="1" x14ac:dyDescent="0.25">
      <c r="A5591" s="10" t="s">
        <v>4312</v>
      </c>
      <c r="B5591" s="11" t="s">
        <v>1630</v>
      </c>
      <c r="C5591" s="5">
        <v>62652.9401</v>
      </c>
      <c r="D5591" s="5">
        <v>62652.9401</v>
      </c>
      <c r="E5591" s="5">
        <v>56733.3557</v>
      </c>
      <c r="G5591" s="5" t="str">
        <f t="shared" si="175"/>
        <v>ЧЕРМЕТ</v>
      </c>
      <c r="J5591" s="5"/>
      <c r="AL5591" s="5">
        <f t="shared" si="176"/>
        <v>0</v>
      </c>
    </row>
    <row r="5592" spans="1:38" ht="25.5" customHeight="1" x14ac:dyDescent="0.25">
      <c r="A5592" s="10" t="s">
        <v>4313</v>
      </c>
      <c r="B5592" s="11" t="s">
        <v>209</v>
      </c>
      <c r="C5592" s="5">
        <v>69382.512499999997</v>
      </c>
      <c r="D5592" s="5">
        <v>69382.512499999997</v>
      </c>
      <c r="E5592" s="5">
        <v>62827.103199999998</v>
      </c>
      <c r="G5592" s="5" t="str">
        <f t="shared" si="175"/>
        <v>ЖБИ</v>
      </c>
      <c r="J5592" s="5"/>
      <c r="AL5592" s="5">
        <f t="shared" si="176"/>
        <v>0</v>
      </c>
    </row>
    <row r="5593" spans="1:38" ht="25.5" customHeight="1" x14ac:dyDescent="0.25">
      <c r="A5593" s="10" t="s">
        <v>4314</v>
      </c>
      <c r="B5593" s="11" t="s">
        <v>1644</v>
      </c>
      <c r="C5593" s="5">
        <v>61980.678599999999</v>
      </c>
      <c r="D5593" s="5">
        <v>61980.678599999999</v>
      </c>
      <c r="E5593" s="5">
        <v>56124.615700000002</v>
      </c>
      <c r="G5593" s="5" t="str">
        <f t="shared" si="175"/>
        <v>ХИММАШ</v>
      </c>
      <c r="J5593" s="5"/>
      <c r="AL5593" s="5">
        <f t="shared" si="176"/>
        <v>0</v>
      </c>
    </row>
    <row r="5594" spans="1:38" ht="25.5" customHeight="1" x14ac:dyDescent="0.25">
      <c r="A5594" s="10" t="s">
        <v>4315</v>
      </c>
      <c r="B5594" s="11" t="s">
        <v>209</v>
      </c>
      <c r="C5594" s="5">
        <v>69382.512499999997</v>
      </c>
      <c r="D5594" s="5">
        <v>69382.512499999997</v>
      </c>
      <c r="E5594" s="5">
        <v>62827.103199999998</v>
      </c>
      <c r="G5594" s="5" t="str">
        <f t="shared" si="175"/>
        <v>ЖБИ</v>
      </c>
      <c r="J5594" s="5"/>
      <c r="AL5594" s="5">
        <f t="shared" si="176"/>
        <v>0</v>
      </c>
    </row>
    <row r="5595" spans="1:38" ht="25.5" customHeight="1" x14ac:dyDescent="0.25">
      <c r="A5595" s="10" t="s">
        <v>4316</v>
      </c>
      <c r="B5595" s="11" t="s">
        <v>1656</v>
      </c>
      <c r="C5595" s="5">
        <v>60173.9879</v>
      </c>
      <c r="D5595" s="5">
        <v>60173.9879</v>
      </c>
      <c r="E5595" s="5">
        <v>54488.630299999997</v>
      </c>
      <c r="G5595" s="5" t="str">
        <f t="shared" si="175"/>
        <v>МАЛЫЙ ИСТОК</v>
      </c>
      <c r="J5595" s="5"/>
      <c r="AL5595" s="5">
        <f t="shared" si="176"/>
        <v>0</v>
      </c>
    </row>
    <row r="5596" spans="1:38" ht="25.5" customHeight="1" x14ac:dyDescent="0.25">
      <c r="A5596" s="10" t="s">
        <v>210</v>
      </c>
      <c r="B5596" s="11" t="s">
        <v>1644</v>
      </c>
      <c r="C5596" s="5">
        <v>61980.678599999999</v>
      </c>
      <c r="D5596" s="5">
        <v>61980.678599999999</v>
      </c>
      <c r="E5596" s="5">
        <v>56124.615700000002</v>
      </c>
      <c r="G5596" s="5" t="str">
        <f t="shared" si="175"/>
        <v>ХИММАШ</v>
      </c>
      <c r="J5596" s="5"/>
      <c r="AL5596" s="5">
        <f t="shared" si="176"/>
        <v>0</v>
      </c>
    </row>
    <row r="5597" spans="1:38" ht="25.5" customHeight="1" x14ac:dyDescent="0.25">
      <c r="A5597" s="10" t="s">
        <v>4317</v>
      </c>
      <c r="B5597" s="11" t="s">
        <v>779</v>
      </c>
      <c r="C5597" s="5">
        <v>46784.877899999999</v>
      </c>
      <c r="D5597" s="5">
        <v>46784.877899999999</v>
      </c>
      <c r="E5597" s="5">
        <v>42364.543299999998</v>
      </c>
      <c r="G5597" s="5" t="str">
        <f t="shared" si="175"/>
        <v>Нижнеисетский</v>
      </c>
      <c r="J5597" s="5"/>
      <c r="AL5597" s="5">
        <f t="shared" si="176"/>
        <v>0</v>
      </c>
    </row>
    <row r="5598" spans="1:38" ht="25.5" customHeight="1" x14ac:dyDescent="0.25">
      <c r="A5598" s="10" t="s">
        <v>4318</v>
      </c>
      <c r="B5598" s="11" t="s">
        <v>1660</v>
      </c>
      <c r="C5598" s="5">
        <v>53262.345800000003</v>
      </c>
      <c r="D5598" s="5">
        <v>53262.345800000003</v>
      </c>
      <c r="E5598" s="5">
        <v>48230.0095</v>
      </c>
      <c r="G5598" s="5" t="str">
        <f t="shared" si="175"/>
        <v>САДОВЫЙ</v>
      </c>
      <c r="J5598" s="5"/>
      <c r="AL5598" s="5">
        <f t="shared" si="176"/>
        <v>0</v>
      </c>
    </row>
    <row r="5599" spans="1:38" ht="25.5" customHeight="1" x14ac:dyDescent="0.25">
      <c r="A5599" s="10" t="s">
        <v>4319</v>
      </c>
      <c r="B5599" s="11" t="s">
        <v>1653</v>
      </c>
      <c r="C5599" s="5">
        <v>56847.723400000003</v>
      </c>
      <c r="D5599" s="5">
        <v>56847.723400000003</v>
      </c>
      <c r="E5599" s="5">
        <v>51476.629399999998</v>
      </c>
      <c r="G5599" s="5" t="str">
        <f t="shared" si="175"/>
        <v>ПТИЦЕФАБРИКА</v>
      </c>
      <c r="J5599" s="5"/>
      <c r="AL5599" s="5">
        <f t="shared" si="176"/>
        <v>0</v>
      </c>
    </row>
    <row r="5600" spans="1:38" ht="25.5" customHeight="1" x14ac:dyDescent="0.25">
      <c r="A5600" s="10" t="s">
        <v>4320</v>
      </c>
      <c r="B5600" s="11" t="s">
        <v>1647</v>
      </c>
      <c r="C5600" s="5">
        <v>63178.133800000003</v>
      </c>
      <c r="D5600" s="5">
        <v>63178.133800000003</v>
      </c>
      <c r="E5600" s="5">
        <v>57208.931499999999</v>
      </c>
      <c r="G5600" s="5" t="str">
        <f t="shared" si="175"/>
        <v>ШИРОКАЯ РЕЧКА</v>
      </c>
      <c r="J5600" s="5"/>
      <c r="AL5600" s="5">
        <f t="shared" si="176"/>
        <v>0</v>
      </c>
    </row>
    <row r="5601" spans="1:38" ht="25.5" customHeight="1" x14ac:dyDescent="0.25">
      <c r="A5601" s="10" t="s">
        <v>4321</v>
      </c>
      <c r="B5601" s="11" t="s">
        <v>1656</v>
      </c>
      <c r="C5601" s="5">
        <v>60173.9879</v>
      </c>
      <c r="D5601" s="5">
        <v>60173.9879</v>
      </c>
      <c r="E5601" s="5">
        <v>54488.630299999997</v>
      </c>
      <c r="G5601" s="5" t="str">
        <f t="shared" si="175"/>
        <v>МАЛЫЙ ИСТОК</v>
      </c>
      <c r="J5601" s="5"/>
      <c r="AL5601" s="5">
        <f t="shared" si="176"/>
        <v>0</v>
      </c>
    </row>
    <row r="5602" spans="1:38" ht="25.5" customHeight="1" x14ac:dyDescent="0.25">
      <c r="A5602" s="10" t="s">
        <v>4322</v>
      </c>
      <c r="B5602" s="11" t="s">
        <v>1628</v>
      </c>
      <c r="C5602" s="5">
        <v>70734.0236</v>
      </c>
      <c r="D5602" s="5">
        <v>70734.0236</v>
      </c>
      <c r="E5602" s="5">
        <v>64050.9208</v>
      </c>
      <c r="G5602" s="5" t="str">
        <f t="shared" si="175"/>
        <v>ЭЛЬМАШ</v>
      </c>
      <c r="J5602" s="5"/>
      <c r="AL5602" s="5">
        <f t="shared" si="176"/>
        <v>0</v>
      </c>
    </row>
    <row r="5603" spans="1:38" ht="25.5" customHeight="1" x14ac:dyDescent="0.25">
      <c r="A5603" s="10" t="s">
        <v>4323</v>
      </c>
      <c r="B5603" s="11" t="s">
        <v>779</v>
      </c>
      <c r="C5603" s="5">
        <v>46784.877899999999</v>
      </c>
      <c r="D5603" s="5">
        <v>46784.877899999999</v>
      </c>
      <c r="E5603" s="5">
        <v>42364.543299999998</v>
      </c>
      <c r="G5603" s="5" t="str">
        <f t="shared" si="175"/>
        <v>Нижнеисетский</v>
      </c>
      <c r="J5603" s="5"/>
      <c r="AL5603" s="5">
        <f t="shared" si="176"/>
        <v>0</v>
      </c>
    </row>
    <row r="5604" spans="1:38" ht="25.5" customHeight="1" x14ac:dyDescent="0.25">
      <c r="A5604" s="10" t="s">
        <v>4324</v>
      </c>
      <c r="B5604" s="11" t="s">
        <v>1645</v>
      </c>
      <c r="C5604" s="5">
        <v>60958.294800000003</v>
      </c>
      <c r="D5604" s="5">
        <v>60958.294800000003</v>
      </c>
      <c r="E5604" s="5">
        <v>55198.825199999999</v>
      </c>
      <c r="G5604" s="5" t="str">
        <f t="shared" si="175"/>
        <v>ЕЛИЗАВЕТ</v>
      </c>
      <c r="J5604" s="5"/>
      <c r="AL5604" s="5">
        <f t="shared" si="176"/>
        <v>0</v>
      </c>
    </row>
    <row r="5605" spans="1:38" ht="25.5" customHeight="1" x14ac:dyDescent="0.25">
      <c r="A5605" s="10" t="s">
        <v>4325</v>
      </c>
      <c r="B5605" s="11" t="s">
        <v>1637</v>
      </c>
      <c r="C5605" s="5">
        <v>59368.686099999999</v>
      </c>
      <c r="D5605" s="5">
        <v>59368.686099999999</v>
      </c>
      <c r="E5605" s="5">
        <v>53759.401700000002</v>
      </c>
      <c r="G5605" s="5" t="str">
        <f t="shared" si="175"/>
        <v>Старая сортировка</v>
      </c>
      <c r="J5605" s="5"/>
      <c r="AL5605" s="5">
        <f t="shared" si="176"/>
        <v>0</v>
      </c>
    </row>
    <row r="5606" spans="1:38" ht="25.5" customHeight="1" x14ac:dyDescent="0.25">
      <c r="A5606" s="10" t="s">
        <v>4326</v>
      </c>
      <c r="B5606" s="11" t="s">
        <v>1644</v>
      </c>
      <c r="C5606" s="5">
        <v>61980.678599999999</v>
      </c>
      <c r="D5606" s="5">
        <v>61980.678599999999</v>
      </c>
      <c r="E5606" s="5">
        <v>56124.615700000002</v>
      </c>
      <c r="G5606" s="5" t="str">
        <f t="shared" si="175"/>
        <v>ХИММАШ</v>
      </c>
      <c r="J5606" s="5"/>
      <c r="AL5606" s="5">
        <f t="shared" si="176"/>
        <v>0</v>
      </c>
    </row>
    <row r="5607" spans="1:38" ht="25.5" customHeight="1" x14ac:dyDescent="0.25">
      <c r="A5607" s="10" t="s">
        <v>4327</v>
      </c>
      <c r="B5607" s="11" t="s">
        <v>389</v>
      </c>
      <c r="C5607" s="5">
        <v>51175.5573</v>
      </c>
      <c r="D5607" s="5">
        <v>51175.5573</v>
      </c>
      <c r="E5607" s="5">
        <v>46340.381600000001</v>
      </c>
      <c r="G5607" s="5" t="str">
        <f t="shared" si="175"/>
        <v>Северка</v>
      </c>
      <c r="J5607" s="5"/>
      <c r="AL5607" s="5">
        <f t="shared" si="176"/>
        <v>0</v>
      </c>
    </row>
    <row r="5608" spans="1:38" ht="25.5" customHeight="1" x14ac:dyDescent="0.25">
      <c r="A5608" s="10" t="s">
        <v>4328</v>
      </c>
      <c r="B5608" s="11" t="s">
        <v>1665</v>
      </c>
      <c r="C5608" s="5">
        <v>55692.278700000003</v>
      </c>
      <c r="D5608" s="5">
        <v>55692.278700000003</v>
      </c>
      <c r="E5608" s="5">
        <v>50430.350200000001</v>
      </c>
      <c r="G5608" s="5" t="str">
        <f t="shared" si="175"/>
        <v>ПОЛЕВОДСТВО</v>
      </c>
      <c r="J5608" s="5"/>
      <c r="AL5608" s="5">
        <f t="shared" si="176"/>
        <v>0</v>
      </c>
    </row>
    <row r="5609" spans="1:38" ht="25.5" customHeight="1" x14ac:dyDescent="0.25">
      <c r="A5609" s="10" t="s">
        <v>4329</v>
      </c>
      <c r="B5609" s="11" t="s">
        <v>1644</v>
      </c>
      <c r="C5609" s="5">
        <v>61980.678599999999</v>
      </c>
      <c r="D5609" s="5">
        <v>61980.678599999999</v>
      </c>
      <c r="E5609" s="5">
        <v>56124.615700000002</v>
      </c>
      <c r="G5609" s="5" t="str">
        <f t="shared" si="175"/>
        <v>ХИММАШ</v>
      </c>
      <c r="J5609" s="5"/>
      <c r="AL5609" s="5">
        <f t="shared" si="176"/>
        <v>0</v>
      </c>
    </row>
    <row r="5610" spans="1:38" ht="25.5" customHeight="1" x14ac:dyDescent="0.25">
      <c r="A5610" s="10" t="s">
        <v>4330</v>
      </c>
      <c r="B5610" s="11" t="s">
        <v>1650</v>
      </c>
      <c r="C5610" s="5">
        <v>37590.3603</v>
      </c>
      <c r="D5610" s="5">
        <v>37590.3603</v>
      </c>
      <c r="E5610" s="5">
        <v>34038.745900000002</v>
      </c>
      <c r="G5610" s="5" t="str">
        <f t="shared" si="175"/>
        <v>ШАБРОВСКИЙ</v>
      </c>
      <c r="J5610" s="5"/>
      <c r="AL5610" s="5">
        <f t="shared" si="176"/>
        <v>0</v>
      </c>
    </row>
    <row r="5611" spans="1:38" ht="25.5" customHeight="1" x14ac:dyDescent="0.25">
      <c r="A5611" s="10" t="s">
        <v>4331</v>
      </c>
      <c r="B5611" s="11" t="s">
        <v>1639</v>
      </c>
      <c r="C5611" s="5">
        <v>53500.443299999999</v>
      </c>
      <c r="D5611" s="5">
        <v>53500.443299999999</v>
      </c>
      <c r="E5611" s="5">
        <v>48445.605100000001</v>
      </c>
      <c r="G5611" s="5" t="str">
        <f t="shared" si="175"/>
        <v>ИСТОК</v>
      </c>
      <c r="J5611" s="5"/>
      <c r="AL5611" s="5">
        <f t="shared" si="176"/>
        <v>0</v>
      </c>
    </row>
    <row r="5612" spans="1:38" ht="25.5" customHeight="1" x14ac:dyDescent="0.25">
      <c r="A5612" s="10" t="s">
        <v>4332</v>
      </c>
      <c r="B5612" s="11" t="s">
        <v>779</v>
      </c>
      <c r="C5612" s="5">
        <v>46784.877899999999</v>
      </c>
      <c r="D5612" s="5">
        <v>46784.877899999999</v>
      </c>
      <c r="E5612" s="5">
        <v>42364.543299999998</v>
      </c>
      <c r="G5612" s="5" t="str">
        <f t="shared" si="175"/>
        <v>Нижнеисетский</v>
      </c>
      <c r="J5612" s="5"/>
      <c r="AL5612" s="5">
        <f t="shared" si="176"/>
        <v>0</v>
      </c>
    </row>
    <row r="5613" spans="1:38" ht="25.5" customHeight="1" x14ac:dyDescent="0.25">
      <c r="A5613" s="10" t="s">
        <v>4333</v>
      </c>
      <c r="B5613" s="11" t="s">
        <v>1629</v>
      </c>
      <c r="C5613" s="5">
        <v>77743.704100000003</v>
      </c>
      <c r="D5613" s="5">
        <v>77743.704100000003</v>
      </c>
      <c r="E5613" s="5">
        <v>70398.310800000007</v>
      </c>
      <c r="G5613" s="5" t="str">
        <f t="shared" si="175"/>
        <v>ПИОНЕРСКИЙ</v>
      </c>
      <c r="J5613" s="5"/>
      <c r="AL5613" s="5">
        <f t="shared" si="176"/>
        <v>0</v>
      </c>
    </row>
    <row r="5614" spans="1:38" ht="25.5" customHeight="1" x14ac:dyDescent="0.25">
      <c r="A5614" s="10" t="s">
        <v>4334</v>
      </c>
      <c r="B5614" s="11" t="s">
        <v>779</v>
      </c>
      <c r="C5614" s="5">
        <v>46784.877899999999</v>
      </c>
      <c r="D5614" s="5">
        <v>46784.877899999999</v>
      </c>
      <c r="E5614" s="5">
        <v>42364.543299999998</v>
      </c>
      <c r="G5614" s="5" t="str">
        <f t="shared" si="175"/>
        <v>Нижнеисетский</v>
      </c>
      <c r="J5614" s="5"/>
      <c r="AL5614" s="5">
        <f t="shared" si="176"/>
        <v>0</v>
      </c>
    </row>
    <row r="5615" spans="1:38" ht="25.5" customHeight="1" x14ac:dyDescent="0.25">
      <c r="A5615" s="10" t="s">
        <v>4335</v>
      </c>
      <c r="B5615" s="11" t="s">
        <v>1631</v>
      </c>
      <c r="C5615" s="5">
        <v>70026.7601</v>
      </c>
      <c r="D5615" s="5">
        <v>70026.7601</v>
      </c>
      <c r="E5615" s="5">
        <v>63410.482000000004</v>
      </c>
      <c r="G5615" s="5" t="str">
        <f t="shared" si="175"/>
        <v>УРАЛМАШ</v>
      </c>
      <c r="J5615" s="5"/>
      <c r="AL5615" s="5">
        <f t="shared" si="176"/>
        <v>0</v>
      </c>
    </row>
    <row r="5616" spans="1:38" ht="25.5" customHeight="1" x14ac:dyDescent="0.25">
      <c r="A5616" s="10" t="s">
        <v>474</v>
      </c>
      <c r="B5616" s="11" t="s">
        <v>1636</v>
      </c>
      <c r="C5616" s="5">
        <v>52246.960299999999</v>
      </c>
      <c r="D5616" s="5">
        <v>52246.960299999999</v>
      </c>
      <c r="E5616" s="5">
        <v>47310.556700000001</v>
      </c>
      <c r="G5616" s="5" t="str">
        <f t="shared" si="175"/>
        <v>ГОРНЫЙ ЩИТ</v>
      </c>
      <c r="J5616" s="5"/>
      <c r="AL5616" s="5">
        <f t="shared" si="176"/>
        <v>0</v>
      </c>
    </row>
    <row r="5617" spans="1:38" ht="25.5" customHeight="1" x14ac:dyDescent="0.25">
      <c r="A5617" s="10" t="s">
        <v>4336</v>
      </c>
      <c r="B5617" s="11" t="s">
        <v>1651</v>
      </c>
      <c r="C5617" s="5">
        <v>68129.029500000004</v>
      </c>
      <c r="D5617" s="5">
        <v>68129.029500000004</v>
      </c>
      <c r="E5617" s="5">
        <v>61692.054799999998</v>
      </c>
      <c r="G5617" s="5" t="str">
        <f t="shared" si="175"/>
        <v>ШАРТАШ</v>
      </c>
      <c r="J5617" s="5"/>
      <c r="AL5617" s="5">
        <f t="shared" si="176"/>
        <v>0</v>
      </c>
    </row>
    <row r="5618" spans="1:38" ht="25.5" customHeight="1" x14ac:dyDescent="0.25">
      <c r="A5618" s="10" t="s">
        <v>4337</v>
      </c>
      <c r="B5618" s="11" t="s">
        <v>1631</v>
      </c>
      <c r="C5618" s="5">
        <v>70026.7601</v>
      </c>
      <c r="D5618" s="5">
        <v>70026.7601</v>
      </c>
      <c r="E5618" s="5">
        <v>63410.482000000004</v>
      </c>
      <c r="G5618" s="5" t="str">
        <f t="shared" si="175"/>
        <v>УРАЛМАШ</v>
      </c>
      <c r="J5618" s="5"/>
      <c r="AL5618" s="5">
        <f t="shared" si="176"/>
        <v>0</v>
      </c>
    </row>
    <row r="5619" spans="1:38" ht="25.5" customHeight="1" x14ac:dyDescent="0.25">
      <c r="A5619" s="10" t="s">
        <v>4338</v>
      </c>
      <c r="B5619" s="11" t="s">
        <v>1636</v>
      </c>
      <c r="C5619" s="5">
        <v>52246.960299999999</v>
      </c>
      <c r="D5619" s="5">
        <v>52246.960299999999</v>
      </c>
      <c r="E5619" s="5">
        <v>47310.556700000001</v>
      </c>
      <c r="G5619" s="5" t="str">
        <f t="shared" si="175"/>
        <v>ГОРНЫЙ ЩИТ</v>
      </c>
      <c r="J5619" s="5"/>
      <c r="AL5619" s="5">
        <f t="shared" si="176"/>
        <v>0</v>
      </c>
    </row>
    <row r="5620" spans="1:38" ht="25.5" customHeight="1" x14ac:dyDescent="0.25">
      <c r="A5620" s="10" t="s">
        <v>4339</v>
      </c>
      <c r="B5620" s="11" t="s">
        <v>1644</v>
      </c>
      <c r="C5620" s="5">
        <v>61980.678599999999</v>
      </c>
      <c r="D5620" s="5">
        <v>61980.678599999999</v>
      </c>
      <c r="E5620" s="5">
        <v>56124.615700000002</v>
      </c>
      <c r="G5620" s="5" t="str">
        <f t="shared" si="175"/>
        <v>ХИММАШ</v>
      </c>
      <c r="J5620" s="5"/>
      <c r="AL5620" s="5">
        <f t="shared" si="176"/>
        <v>0</v>
      </c>
    </row>
    <row r="5621" spans="1:38" ht="25.5" customHeight="1" x14ac:dyDescent="0.25">
      <c r="A5621" s="10" t="s">
        <v>4340</v>
      </c>
      <c r="B5621" s="11" t="s">
        <v>1661</v>
      </c>
      <c r="C5621" s="5">
        <v>51175.5573</v>
      </c>
      <c r="D5621" s="5">
        <v>51175.5573</v>
      </c>
      <c r="E5621" s="5">
        <v>46340.381600000001</v>
      </c>
      <c r="G5621" s="5" t="str">
        <f t="shared" si="175"/>
        <v>СЕВЕРКА</v>
      </c>
      <c r="J5621" s="5"/>
      <c r="AL5621" s="5">
        <f t="shared" si="176"/>
        <v>0</v>
      </c>
    </row>
    <row r="5622" spans="1:38" ht="25.5" customHeight="1" x14ac:dyDescent="0.25">
      <c r="A5622" s="10" t="s">
        <v>4341</v>
      </c>
      <c r="B5622" s="11" t="s">
        <v>1644</v>
      </c>
      <c r="C5622" s="5">
        <v>61980.678599999999</v>
      </c>
      <c r="D5622" s="5">
        <v>61980.678599999999</v>
      </c>
      <c r="E5622" s="5">
        <v>56124.615700000002</v>
      </c>
      <c r="G5622" s="5" t="str">
        <f t="shared" si="175"/>
        <v>ХИММАШ</v>
      </c>
      <c r="J5622" s="5"/>
      <c r="AL5622" s="5">
        <f t="shared" si="176"/>
        <v>0</v>
      </c>
    </row>
    <row r="5623" spans="1:38" ht="25.5" customHeight="1" x14ac:dyDescent="0.25">
      <c r="A5623" s="10" t="s">
        <v>38</v>
      </c>
      <c r="B5623" s="11" t="s">
        <v>1630</v>
      </c>
      <c r="C5623" s="5">
        <v>62652.9401</v>
      </c>
      <c r="D5623" s="5">
        <v>62652.9401</v>
      </c>
      <c r="E5623" s="5">
        <v>56733.3557</v>
      </c>
      <c r="G5623" s="5" t="str">
        <f t="shared" si="175"/>
        <v>ЧЕРМЕТ</v>
      </c>
      <c r="J5623" s="5"/>
      <c r="AL5623" s="5">
        <f t="shared" si="176"/>
        <v>0</v>
      </c>
    </row>
    <row r="5624" spans="1:38" ht="25.5" customHeight="1" x14ac:dyDescent="0.25">
      <c r="A5624" s="10" t="s">
        <v>4342</v>
      </c>
      <c r="B5624" s="11" t="s">
        <v>1647</v>
      </c>
      <c r="C5624" s="5">
        <v>63178.133800000003</v>
      </c>
      <c r="D5624" s="5">
        <v>63178.133800000003</v>
      </c>
      <c r="E5624" s="5">
        <v>57208.931499999999</v>
      </c>
      <c r="G5624" s="5" t="str">
        <f t="shared" si="175"/>
        <v>ШИРОКАЯ РЕЧКА</v>
      </c>
      <c r="J5624" s="5"/>
      <c r="AL5624" s="5">
        <f t="shared" si="176"/>
        <v>0</v>
      </c>
    </row>
    <row r="5625" spans="1:38" ht="25.5" customHeight="1" x14ac:dyDescent="0.25">
      <c r="A5625" s="10" t="s">
        <v>4343</v>
      </c>
      <c r="B5625" s="11" t="s">
        <v>779</v>
      </c>
      <c r="C5625" s="5">
        <v>46784.877899999999</v>
      </c>
      <c r="D5625" s="5">
        <v>46784.877899999999</v>
      </c>
      <c r="E5625" s="5">
        <v>42364.543299999998</v>
      </c>
      <c r="G5625" s="5" t="str">
        <f t="shared" si="175"/>
        <v>Нижнеисетский</v>
      </c>
      <c r="J5625" s="5"/>
      <c r="AL5625" s="5">
        <f t="shared" si="176"/>
        <v>0</v>
      </c>
    </row>
    <row r="5626" spans="1:38" ht="25.5" customHeight="1" x14ac:dyDescent="0.25">
      <c r="A5626" s="10" t="s">
        <v>4344</v>
      </c>
      <c r="B5626" s="11" t="s">
        <v>1662</v>
      </c>
      <c r="C5626" s="5">
        <v>46784.877899999999</v>
      </c>
      <c r="D5626" s="5">
        <v>46784.877899999999</v>
      </c>
      <c r="E5626" s="5">
        <v>42364.543299999998</v>
      </c>
      <c r="G5626" s="5" t="str">
        <f t="shared" si="175"/>
        <v>РУДНЫЙ</v>
      </c>
      <c r="J5626" s="5"/>
      <c r="AL5626" s="5">
        <f t="shared" si="176"/>
        <v>0</v>
      </c>
    </row>
    <row r="5627" spans="1:38" ht="25.5" customHeight="1" x14ac:dyDescent="0.25">
      <c r="A5627" s="10" t="s">
        <v>4345</v>
      </c>
      <c r="B5627" s="11" t="s">
        <v>1660</v>
      </c>
      <c r="C5627" s="5">
        <v>53262.345800000003</v>
      </c>
      <c r="D5627" s="5">
        <v>53262.345800000003</v>
      </c>
      <c r="E5627" s="5">
        <v>48230.0095</v>
      </c>
      <c r="G5627" s="5" t="str">
        <f t="shared" si="175"/>
        <v>САДОВЫЙ</v>
      </c>
      <c r="J5627" s="5"/>
      <c r="AL5627" s="5">
        <f t="shared" si="176"/>
        <v>0</v>
      </c>
    </row>
    <row r="5628" spans="1:38" ht="25.5" customHeight="1" x14ac:dyDescent="0.25">
      <c r="A5628" s="10" t="s">
        <v>1039</v>
      </c>
      <c r="B5628" s="11" t="s">
        <v>1657</v>
      </c>
      <c r="C5628" s="5">
        <v>54886.9666</v>
      </c>
      <c r="D5628" s="5">
        <v>54886.9666</v>
      </c>
      <c r="E5628" s="5">
        <v>49701.1319</v>
      </c>
      <c r="G5628" s="5" t="str">
        <f t="shared" si="175"/>
        <v>КОЛЬЦОВО</v>
      </c>
      <c r="J5628" s="5"/>
      <c r="AL5628" s="5">
        <f t="shared" si="176"/>
        <v>0</v>
      </c>
    </row>
    <row r="5629" spans="1:38" ht="25.5" customHeight="1" x14ac:dyDescent="0.25">
      <c r="A5629" s="10" t="s">
        <v>4346</v>
      </c>
      <c r="B5629" s="11" t="s">
        <v>1631</v>
      </c>
      <c r="C5629" s="5">
        <v>70026.7601</v>
      </c>
      <c r="D5629" s="5">
        <v>70026.7601</v>
      </c>
      <c r="E5629" s="5">
        <v>63410.482000000004</v>
      </c>
      <c r="G5629" s="5" t="str">
        <f t="shared" si="175"/>
        <v>УРАЛМАШ</v>
      </c>
      <c r="J5629" s="5"/>
      <c r="AL5629" s="5">
        <f t="shared" si="176"/>
        <v>0</v>
      </c>
    </row>
    <row r="5630" spans="1:38" ht="25.5" customHeight="1" x14ac:dyDescent="0.25">
      <c r="A5630" s="10" t="s">
        <v>4347</v>
      </c>
      <c r="B5630" s="11" t="s">
        <v>1644</v>
      </c>
      <c r="C5630" s="5">
        <v>61980.678599999999</v>
      </c>
      <c r="D5630" s="5">
        <v>61980.678599999999</v>
      </c>
      <c r="E5630" s="5">
        <v>56124.615700000002</v>
      </c>
      <c r="G5630" s="5" t="str">
        <f t="shared" si="175"/>
        <v>ХИММАШ</v>
      </c>
      <c r="J5630" s="5"/>
      <c r="AL5630" s="5">
        <f t="shared" si="176"/>
        <v>0</v>
      </c>
    </row>
    <row r="5631" spans="1:38" ht="25.5" customHeight="1" x14ac:dyDescent="0.25">
      <c r="A5631" s="10" t="s">
        <v>4348</v>
      </c>
      <c r="B5631" s="11" t="s">
        <v>1659</v>
      </c>
      <c r="C5631" s="5">
        <v>59746.832600000002</v>
      </c>
      <c r="D5631" s="5">
        <v>59746.832600000002</v>
      </c>
      <c r="E5631" s="5">
        <v>54101.823700000001</v>
      </c>
      <c r="G5631" s="5" t="str">
        <f t="shared" ref="G5631:G5694" si="177">B5631</f>
        <v>СОВХОЗ</v>
      </c>
      <c r="J5631" s="5"/>
      <c r="AL5631" s="5">
        <f t="shared" ref="AL5631:AL5694" si="178">AF5631</f>
        <v>0</v>
      </c>
    </row>
    <row r="5632" spans="1:38" ht="25.5" customHeight="1" x14ac:dyDescent="0.25">
      <c r="A5632" s="10" t="s">
        <v>821</v>
      </c>
      <c r="B5632" s="11" t="s">
        <v>1659</v>
      </c>
      <c r="C5632" s="5">
        <v>59746.832600000002</v>
      </c>
      <c r="D5632" s="5">
        <v>59746.832600000002</v>
      </c>
      <c r="E5632" s="5">
        <v>54101.823700000001</v>
      </c>
      <c r="G5632" s="5" t="str">
        <f t="shared" si="177"/>
        <v>СОВХОЗ</v>
      </c>
      <c r="J5632" s="5"/>
      <c r="AL5632" s="5">
        <f t="shared" si="178"/>
        <v>0</v>
      </c>
    </row>
    <row r="5633" spans="1:38" ht="25.5" customHeight="1" x14ac:dyDescent="0.25">
      <c r="A5633" s="10" t="s">
        <v>4349</v>
      </c>
      <c r="B5633" s="11" t="s">
        <v>1637</v>
      </c>
      <c r="C5633" s="5">
        <v>59368.686099999999</v>
      </c>
      <c r="D5633" s="5">
        <v>59368.686099999999</v>
      </c>
      <c r="E5633" s="5">
        <v>53759.401700000002</v>
      </c>
      <c r="G5633" s="5" t="str">
        <f t="shared" si="177"/>
        <v>Старая сортировка</v>
      </c>
      <c r="J5633" s="5"/>
      <c r="AL5633" s="5">
        <f t="shared" si="178"/>
        <v>0</v>
      </c>
    </row>
    <row r="5634" spans="1:38" ht="25.5" customHeight="1" x14ac:dyDescent="0.25">
      <c r="A5634" s="10" t="s">
        <v>1402</v>
      </c>
      <c r="B5634" s="11" t="s">
        <v>1656</v>
      </c>
      <c r="C5634" s="5">
        <v>60173.9879</v>
      </c>
      <c r="D5634" s="5">
        <v>60173.9879</v>
      </c>
      <c r="E5634" s="5">
        <v>54488.630299999997</v>
      </c>
      <c r="G5634" s="5" t="str">
        <f t="shared" si="177"/>
        <v>МАЛЫЙ ИСТОК</v>
      </c>
      <c r="J5634" s="5"/>
      <c r="AL5634" s="5">
        <f t="shared" si="178"/>
        <v>0</v>
      </c>
    </row>
    <row r="5635" spans="1:38" ht="25.5" customHeight="1" x14ac:dyDescent="0.25">
      <c r="A5635" s="10" t="s">
        <v>4350</v>
      </c>
      <c r="B5635" s="11" t="s">
        <v>1636</v>
      </c>
      <c r="C5635" s="5">
        <v>52246.960299999999</v>
      </c>
      <c r="D5635" s="5">
        <v>52246.960299999999</v>
      </c>
      <c r="E5635" s="5">
        <v>47310.556700000001</v>
      </c>
      <c r="G5635" s="5" t="str">
        <f t="shared" si="177"/>
        <v>ГОРНЫЙ ЩИТ</v>
      </c>
      <c r="J5635" s="5"/>
      <c r="AL5635" s="5">
        <f t="shared" si="178"/>
        <v>0</v>
      </c>
    </row>
    <row r="5636" spans="1:38" ht="25.5" customHeight="1" x14ac:dyDescent="0.25">
      <c r="A5636" s="10" t="s">
        <v>4351</v>
      </c>
      <c r="B5636" s="11" t="s">
        <v>1631</v>
      </c>
      <c r="C5636" s="5">
        <v>70026.7601</v>
      </c>
      <c r="D5636" s="5">
        <v>70026.7601</v>
      </c>
      <c r="E5636" s="5">
        <v>63410.482000000004</v>
      </c>
      <c r="G5636" s="5" t="str">
        <f t="shared" si="177"/>
        <v>УРАЛМАШ</v>
      </c>
      <c r="J5636" s="5"/>
      <c r="AL5636" s="5">
        <f t="shared" si="178"/>
        <v>0</v>
      </c>
    </row>
    <row r="5637" spans="1:38" ht="25.5" customHeight="1" x14ac:dyDescent="0.25">
      <c r="A5637" s="10" t="s">
        <v>4352</v>
      </c>
      <c r="B5637" s="11" t="s">
        <v>1637</v>
      </c>
      <c r="C5637" s="5">
        <v>59368.686099999999</v>
      </c>
      <c r="D5637" s="5">
        <v>59368.686099999999</v>
      </c>
      <c r="E5637" s="5">
        <v>53759.401700000002</v>
      </c>
      <c r="G5637" s="5" t="str">
        <f t="shared" si="177"/>
        <v>Старая сортировка</v>
      </c>
      <c r="J5637" s="5"/>
      <c r="AL5637" s="5">
        <f t="shared" si="178"/>
        <v>0</v>
      </c>
    </row>
    <row r="5638" spans="1:38" ht="25.5" customHeight="1" x14ac:dyDescent="0.25">
      <c r="A5638" s="10" t="s">
        <v>4353</v>
      </c>
      <c r="B5638" s="11" t="s">
        <v>1660</v>
      </c>
      <c r="C5638" s="5">
        <v>53262.345800000003</v>
      </c>
      <c r="D5638" s="5">
        <v>53262.345800000003</v>
      </c>
      <c r="E5638" s="5">
        <v>48230.0095</v>
      </c>
      <c r="G5638" s="5" t="str">
        <f t="shared" si="177"/>
        <v>САДОВЫЙ</v>
      </c>
      <c r="J5638" s="5"/>
      <c r="AL5638" s="5">
        <f t="shared" si="178"/>
        <v>0</v>
      </c>
    </row>
    <row r="5639" spans="1:38" ht="25.5" customHeight="1" x14ac:dyDescent="0.25">
      <c r="A5639" s="10" t="s">
        <v>4354</v>
      </c>
      <c r="B5639" s="11" t="s">
        <v>1650</v>
      </c>
      <c r="C5639" s="5">
        <v>37590.3603</v>
      </c>
      <c r="D5639" s="5">
        <v>37590.3603</v>
      </c>
      <c r="E5639" s="5">
        <v>34038.745900000002</v>
      </c>
      <c r="G5639" s="5" t="str">
        <f t="shared" si="177"/>
        <v>ШАБРОВСКИЙ</v>
      </c>
      <c r="J5639" s="5"/>
      <c r="AL5639" s="5">
        <f t="shared" si="178"/>
        <v>0</v>
      </c>
    </row>
    <row r="5640" spans="1:38" ht="25.5" customHeight="1" x14ac:dyDescent="0.25">
      <c r="A5640" s="10" t="s">
        <v>4355</v>
      </c>
      <c r="B5640" s="11" t="s">
        <v>1636</v>
      </c>
      <c r="C5640" s="5">
        <v>52246.960299999999</v>
      </c>
      <c r="D5640" s="5">
        <v>52246.960299999999</v>
      </c>
      <c r="E5640" s="5">
        <v>47310.556700000001</v>
      </c>
      <c r="G5640" s="5" t="str">
        <f t="shared" si="177"/>
        <v>ГОРНЫЙ ЩИТ</v>
      </c>
      <c r="J5640" s="5"/>
      <c r="AL5640" s="5">
        <f t="shared" si="178"/>
        <v>0</v>
      </c>
    </row>
    <row r="5641" spans="1:38" ht="25.5" customHeight="1" x14ac:dyDescent="0.25">
      <c r="A5641" s="10" t="s">
        <v>4356</v>
      </c>
      <c r="B5641" s="11" t="s">
        <v>1644</v>
      </c>
      <c r="C5641" s="5">
        <v>61980.678599999999</v>
      </c>
      <c r="D5641" s="5">
        <v>61980.678599999999</v>
      </c>
      <c r="E5641" s="5">
        <v>56124.615700000002</v>
      </c>
      <c r="G5641" s="5" t="str">
        <f t="shared" si="177"/>
        <v>ХИММАШ</v>
      </c>
      <c r="J5641" s="5"/>
      <c r="AL5641" s="5">
        <f t="shared" si="178"/>
        <v>0</v>
      </c>
    </row>
    <row r="5642" spans="1:38" ht="25.5" customHeight="1" x14ac:dyDescent="0.25">
      <c r="A5642" s="10" t="s">
        <v>4357</v>
      </c>
      <c r="B5642" s="11" t="s">
        <v>1636</v>
      </c>
      <c r="C5642" s="5">
        <v>52246.960299999999</v>
      </c>
      <c r="D5642" s="5">
        <v>52246.960299999999</v>
      </c>
      <c r="E5642" s="5">
        <v>47310.556700000001</v>
      </c>
      <c r="G5642" s="5" t="str">
        <f t="shared" si="177"/>
        <v>ГОРНЫЙ ЩИТ</v>
      </c>
      <c r="J5642" s="5"/>
      <c r="AL5642" s="5">
        <f t="shared" si="178"/>
        <v>0</v>
      </c>
    </row>
    <row r="5643" spans="1:38" ht="25.5" customHeight="1" x14ac:dyDescent="0.25">
      <c r="A5643" s="10" t="s">
        <v>4358</v>
      </c>
      <c r="B5643" s="11" t="s">
        <v>1628</v>
      </c>
      <c r="C5643" s="5">
        <v>70734.0236</v>
      </c>
      <c r="D5643" s="5">
        <v>70734.0236</v>
      </c>
      <c r="E5643" s="5">
        <v>64050.9208</v>
      </c>
      <c r="G5643" s="5" t="str">
        <f t="shared" si="177"/>
        <v>ЭЛЬМАШ</v>
      </c>
      <c r="J5643" s="5"/>
      <c r="AL5643" s="5">
        <f t="shared" si="178"/>
        <v>0</v>
      </c>
    </row>
    <row r="5644" spans="1:38" ht="25.5" customHeight="1" x14ac:dyDescent="0.25">
      <c r="A5644" s="10" t="s">
        <v>4359</v>
      </c>
      <c r="B5644" s="11" t="s">
        <v>1661</v>
      </c>
      <c r="C5644" s="5">
        <v>51175.5573</v>
      </c>
      <c r="D5644" s="5">
        <v>51175.5573</v>
      </c>
      <c r="E5644" s="5">
        <v>46340.381600000001</v>
      </c>
      <c r="G5644" s="5" t="str">
        <f t="shared" si="177"/>
        <v>СЕВЕРКА</v>
      </c>
      <c r="J5644" s="5"/>
      <c r="AL5644" s="5">
        <f t="shared" si="178"/>
        <v>0</v>
      </c>
    </row>
    <row r="5645" spans="1:38" ht="25.5" customHeight="1" x14ac:dyDescent="0.25">
      <c r="A5645" s="10" t="s">
        <v>4360</v>
      </c>
      <c r="B5645" s="11" t="s">
        <v>1636</v>
      </c>
      <c r="C5645" s="5">
        <v>52246.960299999999</v>
      </c>
      <c r="D5645" s="5">
        <v>52246.960299999999</v>
      </c>
      <c r="E5645" s="5">
        <v>47310.556700000001</v>
      </c>
      <c r="G5645" s="5" t="str">
        <f t="shared" si="177"/>
        <v>ГОРНЫЙ ЩИТ</v>
      </c>
      <c r="J5645" s="5"/>
      <c r="AL5645" s="5">
        <f t="shared" si="178"/>
        <v>0</v>
      </c>
    </row>
    <row r="5646" spans="1:38" ht="25.5" customHeight="1" x14ac:dyDescent="0.25">
      <c r="A5646" s="10" t="s">
        <v>4361</v>
      </c>
      <c r="B5646" s="11" t="s">
        <v>1668</v>
      </c>
      <c r="C5646" s="5">
        <v>51343.6201</v>
      </c>
      <c r="D5646" s="5">
        <v>51343.6201</v>
      </c>
      <c r="E5646" s="5">
        <v>46492.558799999999</v>
      </c>
      <c r="G5646" s="5" t="str">
        <f t="shared" si="177"/>
        <v>МЕДНЫЙ</v>
      </c>
      <c r="J5646" s="5"/>
      <c r="AL5646" s="5">
        <f t="shared" si="178"/>
        <v>0</v>
      </c>
    </row>
    <row r="5647" spans="1:38" ht="25.5" customHeight="1" x14ac:dyDescent="0.25">
      <c r="A5647" s="10" t="s">
        <v>1504</v>
      </c>
      <c r="B5647" s="11" t="s">
        <v>5166</v>
      </c>
      <c r="C5647" s="5">
        <v>49782.025399999999</v>
      </c>
      <c r="D5647" s="5">
        <v>49782.025399999999</v>
      </c>
      <c r="E5647" s="5">
        <v>45078.506800000003</v>
      </c>
      <c r="G5647" s="5" t="str">
        <f t="shared" si="177"/>
        <v>Чусовское озеро</v>
      </c>
      <c r="J5647" s="5"/>
      <c r="AL5647" s="5">
        <f t="shared" si="178"/>
        <v>0</v>
      </c>
    </row>
    <row r="5648" spans="1:38" ht="25.5" customHeight="1" x14ac:dyDescent="0.25">
      <c r="A5648" s="10" t="s">
        <v>4362</v>
      </c>
      <c r="B5648" s="11" t="s">
        <v>33</v>
      </c>
      <c r="C5648" s="5">
        <v>84298.205100000006</v>
      </c>
      <c r="D5648" s="5">
        <v>84298.205100000006</v>
      </c>
      <c r="E5648" s="5">
        <v>76333.533100000001</v>
      </c>
      <c r="G5648" s="5" t="str">
        <f t="shared" si="177"/>
        <v>ВИЗ</v>
      </c>
      <c r="J5648" s="5"/>
      <c r="AL5648" s="5">
        <f t="shared" si="178"/>
        <v>0</v>
      </c>
    </row>
    <row r="5649" spans="1:38" ht="25.5" customHeight="1" x14ac:dyDescent="0.25">
      <c r="A5649" s="10" t="s">
        <v>4363</v>
      </c>
      <c r="B5649" s="11" t="s">
        <v>1631</v>
      </c>
      <c r="C5649" s="5">
        <v>70026.7601</v>
      </c>
      <c r="D5649" s="5">
        <v>70026.7601</v>
      </c>
      <c r="E5649" s="5">
        <v>63410.482000000004</v>
      </c>
      <c r="G5649" s="5" t="str">
        <f t="shared" si="177"/>
        <v>УРАЛМАШ</v>
      </c>
      <c r="J5649" s="5"/>
      <c r="AL5649" s="5">
        <f t="shared" si="178"/>
        <v>0</v>
      </c>
    </row>
    <row r="5650" spans="1:38" ht="25.5" customHeight="1" x14ac:dyDescent="0.25">
      <c r="A5650" s="10" t="s">
        <v>4364</v>
      </c>
      <c r="B5650" s="11" t="s">
        <v>1630</v>
      </c>
      <c r="C5650" s="5">
        <v>62652.9401</v>
      </c>
      <c r="D5650" s="5">
        <v>62652.9401</v>
      </c>
      <c r="E5650" s="5">
        <v>56733.3557</v>
      </c>
      <c r="G5650" s="5" t="str">
        <f t="shared" si="177"/>
        <v>ЧЕРМЕТ</v>
      </c>
      <c r="J5650" s="5"/>
      <c r="AL5650" s="5">
        <f t="shared" si="178"/>
        <v>0</v>
      </c>
    </row>
    <row r="5651" spans="1:38" ht="25.5" customHeight="1" x14ac:dyDescent="0.25">
      <c r="A5651" s="10" t="s">
        <v>1503</v>
      </c>
      <c r="B5651" s="11" t="s">
        <v>1631</v>
      </c>
      <c r="C5651" s="5">
        <v>70026.7601</v>
      </c>
      <c r="D5651" s="5">
        <v>70026.7601</v>
      </c>
      <c r="E5651" s="5">
        <v>63410.482000000004</v>
      </c>
      <c r="G5651" s="5" t="str">
        <f t="shared" si="177"/>
        <v>УРАЛМАШ</v>
      </c>
      <c r="J5651" s="5"/>
      <c r="AL5651" s="5">
        <f t="shared" si="178"/>
        <v>0</v>
      </c>
    </row>
    <row r="5652" spans="1:38" ht="25.5" customHeight="1" x14ac:dyDescent="0.25">
      <c r="A5652" s="10" t="s">
        <v>4365</v>
      </c>
      <c r="B5652" s="11" t="s">
        <v>1644</v>
      </c>
      <c r="C5652" s="5">
        <v>61980.678599999999</v>
      </c>
      <c r="D5652" s="5">
        <v>61980.678599999999</v>
      </c>
      <c r="E5652" s="5">
        <v>56124.615700000002</v>
      </c>
      <c r="G5652" s="5" t="str">
        <f t="shared" si="177"/>
        <v>ХИММАШ</v>
      </c>
      <c r="J5652" s="5"/>
      <c r="AL5652" s="5">
        <f t="shared" si="178"/>
        <v>0</v>
      </c>
    </row>
    <row r="5653" spans="1:38" ht="25.5" customHeight="1" x14ac:dyDescent="0.25">
      <c r="A5653" s="10" t="s">
        <v>4366</v>
      </c>
      <c r="B5653" s="11" t="s">
        <v>1633</v>
      </c>
      <c r="C5653" s="5">
        <v>77071.442599999995</v>
      </c>
      <c r="D5653" s="5">
        <v>77071.442599999995</v>
      </c>
      <c r="E5653" s="5">
        <v>69789.570900000006</v>
      </c>
      <c r="G5653" s="5" t="str">
        <f t="shared" si="177"/>
        <v>ВТУЗГОРОДОК</v>
      </c>
      <c r="J5653" s="5"/>
      <c r="AL5653" s="5">
        <f t="shared" si="178"/>
        <v>0</v>
      </c>
    </row>
    <row r="5654" spans="1:38" ht="25.5" customHeight="1" x14ac:dyDescent="0.25">
      <c r="A5654" s="10" t="s">
        <v>872</v>
      </c>
      <c r="B5654" s="11" t="s">
        <v>1632</v>
      </c>
      <c r="C5654" s="5">
        <v>83744.997499999998</v>
      </c>
      <c r="D5654" s="5">
        <v>83744.997499999998</v>
      </c>
      <c r="E5654" s="5">
        <v>75832.596099999995</v>
      </c>
      <c r="G5654" s="5" t="str">
        <f t="shared" si="177"/>
        <v>АВТОВОКЗАЛ</v>
      </c>
      <c r="J5654" s="5"/>
      <c r="AL5654" s="5">
        <f t="shared" si="178"/>
        <v>0</v>
      </c>
    </row>
    <row r="5655" spans="1:38" ht="25.5" customHeight="1" x14ac:dyDescent="0.25">
      <c r="A5655" s="10" t="s">
        <v>4367</v>
      </c>
      <c r="B5655" s="11" t="s">
        <v>1647</v>
      </c>
      <c r="C5655" s="5">
        <v>63178.133800000003</v>
      </c>
      <c r="D5655" s="5">
        <v>63178.133800000003</v>
      </c>
      <c r="E5655" s="5">
        <v>57208.931499999999</v>
      </c>
      <c r="G5655" s="5" t="str">
        <f t="shared" si="177"/>
        <v>ШИРОКАЯ РЕЧКА</v>
      </c>
      <c r="J5655" s="5"/>
      <c r="AL5655" s="5">
        <f t="shared" si="178"/>
        <v>0</v>
      </c>
    </row>
    <row r="5656" spans="1:38" ht="25.5" customHeight="1" x14ac:dyDescent="0.25">
      <c r="A5656" s="10" t="s">
        <v>1412</v>
      </c>
      <c r="B5656" s="11" t="s">
        <v>1657</v>
      </c>
      <c r="C5656" s="5">
        <v>54886.9666</v>
      </c>
      <c r="D5656" s="5">
        <v>54886.9666</v>
      </c>
      <c r="E5656" s="5">
        <v>49701.1319</v>
      </c>
      <c r="G5656" s="5" t="str">
        <f t="shared" si="177"/>
        <v>КОЛЬЦОВО</v>
      </c>
      <c r="J5656" s="5"/>
      <c r="AL5656" s="5">
        <f t="shared" si="178"/>
        <v>0</v>
      </c>
    </row>
    <row r="5657" spans="1:38" ht="25.5" customHeight="1" x14ac:dyDescent="0.25">
      <c r="A5657" s="10" t="s">
        <v>4368</v>
      </c>
      <c r="B5657" s="11" t="s">
        <v>1662</v>
      </c>
      <c r="C5657" s="5">
        <v>46784.877899999999</v>
      </c>
      <c r="D5657" s="5">
        <v>46784.877899999999</v>
      </c>
      <c r="E5657" s="5">
        <v>42364.543299999998</v>
      </c>
      <c r="G5657" s="5" t="str">
        <f t="shared" si="177"/>
        <v>РУДНЫЙ</v>
      </c>
      <c r="J5657" s="5"/>
      <c r="AL5657" s="5">
        <f t="shared" si="178"/>
        <v>0</v>
      </c>
    </row>
    <row r="5658" spans="1:38" ht="25.5" customHeight="1" x14ac:dyDescent="0.25">
      <c r="A5658" s="10" t="s">
        <v>1480</v>
      </c>
      <c r="B5658" s="11" t="s">
        <v>1664</v>
      </c>
      <c r="C5658" s="5">
        <v>53668.506099999999</v>
      </c>
      <c r="D5658" s="5">
        <v>53668.506099999999</v>
      </c>
      <c r="E5658" s="5">
        <v>48597.792699999998</v>
      </c>
      <c r="G5658" s="5" t="str">
        <f t="shared" si="177"/>
        <v>ИЗОПЛИТ</v>
      </c>
      <c r="J5658" s="5"/>
      <c r="AL5658" s="5">
        <f t="shared" si="178"/>
        <v>0</v>
      </c>
    </row>
    <row r="5659" spans="1:38" ht="25.5" customHeight="1" x14ac:dyDescent="0.25">
      <c r="A5659" s="10" t="s">
        <v>4369</v>
      </c>
      <c r="B5659" s="11" t="s">
        <v>1668</v>
      </c>
      <c r="C5659" s="5">
        <v>51343.6201</v>
      </c>
      <c r="D5659" s="5">
        <v>51343.6201</v>
      </c>
      <c r="E5659" s="5">
        <v>46492.558799999999</v>
      </c>
      <c r="G5659" s="5" t="str">
        <f t="shared" si="177"/>
        <v>МЕДНЫЙ</v>
      </c>
      <c r="J5659" s="5"/>
      <c r="AL5659" s="5">
        <f t="shared" si="178"/>
        <v>0</v>
      </c>
    </row>
    <row r="5660" spans="1:38" ht="25.5" customHeight="1" x14ac:dyDescent="0.25">
      <c r="A5660" s="10" t="s">
        <v>4370</v>
      </c>
      <c r="B5660" s="11" t="s">
        <v>1651</v>
      </c>
      <c r="C5660" s="5">
        <v>68129.029500000004</v>
      </c>
      <c r="D5660" s="5">
        <v>68129.029500000004</v>
      </c>
      <c r="E5660" s="5">
        <v>61692.054799999998</v>
      </c>
      <c r="G5660" s="5" t="str">
        <f t="shared" si="177"/>
        <v>ШАРТАШ</v>
      </c>
      <c r="J5660" s="5"/>
      <c r="AL5660" s="5">
        <f t="shared" si="178"/>
        <v>0</v>
      </c>
    </row>
    <row r="5661" spans="1:38" ht="25.5" customHeight="1" x14ac:dyDescent="0.25">
      <c r="A5661" s="10" t="s">
        <v>4371</v>
      </c>
      <c r="B5661" s="11" t="s">
        <v>1628</v>
      </c>
      <c r="C5661" s="5">
        <v>70734.0236</v>
      </c>
      <c r="D5661" s="5">
        <v>70734.0236</v>
      </c>
      <c r="E5661" s="5">
        <v>64050.9208</v>
      </c>
      <c r="G5661" s="5" t="str">
        <f t="shared" si="177"/>
        <v>ЭЛЬМАШ</v>
      </c>
      <c r="J5661" s="5"/>
      <c r="AL5661" s="5">
        <f t="shared" si="178"/>
        <v>0</v>
      </c>
    </row>
    <row r="5662" spans="1:38" ht="25.5" customHeight="1" x14ac:dyDescent="0.25">
      <c r="A5662" s="10" t="s">
        <v>506</v>
      </c>
      <c r="B5662" s="11" t="s">
        <v>14</v>
      </c>
      <c r="C5662" s="5">
        <v>93989.912800000006</v>
      </c>
      <c r="D5662" s="5">
        <v>93989.912800000006</v>
      </c>
      <c r="E5662" s="5">
        <v>85109.545199999993</v>
      </c>
      <c r="G5662" s="5" t="str">
        <f t="shared" si="177"/>
        <v>Центр</v>
      </c>
      <c r="J5662" s="5"/>
      <c r="AL5662" s="5">
        <f t="shared" si="178"/>
        <v>0</v>
      </c>
    </row>
    <row r="5663" spans="1:38" ht="25.5" customHeight="1" x14ac:dyDescent="0.25">
      <c r="A5663" s="10" t="s">
        <v>4372</v>
      </c>
      <c r="B5663" s="11" t="s">
        <v>1628</v>
      </c>
      <c r="C5663" s="5">
        <v>70734.0236</v>
      </c>
      <c r="D5663" s="5">
        <v>70734.0236</v>
      </c>
      <c r="E5663" s="5">
        <v>64050.9208</v>
      </c>
      <c r="G5663" s="5" t="str">
        <f t="shared" si="177"/>
        <v>ЭЛЬМАШ</v>
      </c>
      <c r="J5663" s="5"/>
      <c r="AL5663" s="5">
        <f t="shared" si="178"/>
        <v>0</v>
      </c>
    </row>
    <row r="5664" spans="1:38" ht="25.5" customHeight="1" x14ac:dyDescent="0.25">
      <c r="A5664" s="10" t="s">
        <v>4373</v>
      </c>
      <c r="B5664" s="11" t="s">
        <v>1631</v>
      </c>
      <c r="C5664" s="5">
        <v>70026.7601</v>
      </c>
      <c r="D5664" s="5">
        <v>70026.7601</v>
      </c>
      <c r="E5664" s="5">
        <v>63410.482000000004</v>
      </c>
      <c r="G5664" s="5" t="str">
        <f t="shared" si="177"/>
        <v>УРАЛМАШ</v>
      </c>
      <c r="J5664" s="5"/>
      <c r="AL5664" s="5">
        <f t="shared" si="178"/>
        <v>0</v>
      </c>
    </row>
    <row r="5665" spans="1:38" ht="25.5" customHeight="1" x14ac:dyDescent="0.25">
      <c r="A5665" s="10" t="s">
        <v>4374</v>
      </c>
      <c r="B5665" s="11" t="s">
        <v>1632</v>
      </c>
      <c r="C5665" s="5">
        <v>83744.997499999998</v>
      </c>
      <c r="D5665" s="5">
        <v>83744.997499999998</v>
      </c>
      <c r="E5665" s="5">
        <v>75832.596099999995</v>
      </c>
      <c r="G5665" s="5" t="str">
        <f t="shared" si="177"/>
        <v>АВТОВОКЗАЛ</v>
      </c>
      <c r="J5665" s="5"/>
      <c r="AL5665" s="5">
        <f t="shared" si="178"/>
        <v>0</v>
      </c>
    </row>
    <row r="5666" spans="1:38" ht="25.5" customHeight="1" x14ac:dyDescent="0.25">
      <c r="A5666" s="10" t="s">
        <v>4375</v>
      </c>
      <c r="B5666" s="11" t="s">
        <v>1647</v>
      </c>
      <c r="C5666" s="5">
        <v>63178.133800000003</v>
      </c>
      <c r="D5666" s="5">
        <v>63178.133800000003</v>
      </c>
      <c r="E5666" s="5">
        <v>57208.931499999999</v>
      </c>
      <c r="G5666" s="5" t="str">
        <f t="shared" si="177"/>
        <v>ШИРОКАЯ РЕЧКА</v>
      </c>
      <c r="J5666" s="5"/>
      <c r="AL5666" s="5">
        <f t="shared" si="178"/>
        <v>0</v>
      </c>
    </row>
    <row r="5667" spans="1:38" ht="25.5" customHeight="1" x14ac:dyDescent="0.25">
      <c r="A5667" s="10" t="s">
        <v>4376</v>
      </c>
      <c r="B5667" s="11" t="s">
        <v>1661</v>
      </c>
      <c r="C5667" s="5">
        <v>51175.5573</v>
      </c>
      <c r="D5667" s="5">
        <v>51175.5573</v>
      </c>
      <c r="E5667" s="5">
        <v>46340.381600000001</v>
      </c>
      <c r="G5667" s="5" t="str">
        <f t="shared" si="177"/>
        <v>СЕВЕРКА</v>
      </c>
      <c r="J5667" s="5"/>
      <c r="AL5667" s="5">
        <f t="shared" si="178"/>
        <v>0</v>
      </c>
    </row>
    <row r="5668" spans="1:38" ht="25.5" customHeight="1" x14ac:dyDescent="0.25">
      <c r="A5668" s="10" t="s">
        <v>4377</v>
      </c>
      <c r="B5668" s="11" t="s">
        <v>1653</v>
      </c>
      <c r="C5668" s="5">
        <v>56847.723400000003</v>
      </c>
      <c r="D5668" s="5">
        <v>56847.723400000003</v>
      </c>
      <c r="E5668" s="5">
        <v>51476.629399999998</v>
      </c>
      <c r="G5668" s="5" t="str">
        <f t="shared" si="177"/>
        <v>ПТИЦЕФАБРИКА</v>
      </c>
      <c r="J5668" s="5"/>
      <c r="AL5668" s="5">
        <f t="shared" si="178"/>
        <v>0</v>
      </c>
    </row>
    <row r="5669" spans="1:38" ht="25.5" customHeight="1" x14ac:dyDescent="0.25">
      <c r="A5669" s="10" t="s">
        <v>4378</v>
      </c>
      <c r="B5669" s="11" t="s">
        <v>1631</v>
      </c>
      <c r="C5669" s="5">
        <v>70026.7601</v>
      </c>
      <c r="D5669" s="5">
        <v>70026.7601</v>
      </c>
      <c r="E5669" s="5">
        <v>63410.482000000004</v>
      </c>
      <c r="G5669" s="5" t="str">
        <f t="shared" si="177"/>
        <v>УРАЛМАШ</v>
      </c>
      <c r="J5669" s="5"/>
      <c r="AL5669" s="5">
        <f t="shared" si="178"/>
        <v>0</v>
      </c>
    </row>
    <row r="5670" spans="1:38" ht="25.5" customHeight="1" x14ac:dyDescent="0.25">
      <c r="A5670" s="10" t="s">
        <v>4379</v>
      </c>
      <c r="B5670" s="11" t="s">
        <v>1638</v>
      </c>
      <c r="C5670" s="5">
        <v>63640.311600000001</v>
      </c>
      <c r="D5670" s="5">
        <v>63640.311600000001</v>
      </c>
      <c r="E5670" s="5">
        <v>57627.4473</v>
      </c>
      <c r="G5670" s="5" t="str">
        <f t="shared" si="177"/>
        <v>УКТУС</v>
      </c>
      <c r="J5670" s="5"/>
      <c r="AL5670" s="5">
        <f t="shared" si="178"/>
        <v>0</v>
      </c>
    </row>
    <row r="5671" spans="1:38" ht="25.5" customHeight="1" x14ac:dyDescent="0.25">
      <c r="A5671" s="10" t="s">
        <v>4380</v>
      </c>
      <c r="B5671" s="11" t="s">
        <v>1665</v>
      </c>
      <c r="C5671" s="5">
        <v>55692.278700000003</v>
      </c>
      <c r="D5671" s="5">
        <v>55692.278700000003</v>
      </c>
      <c r="E5671" s="5">
        <v>50430.350200000001</v>
      </c>
      <c r="G5671" s="5" t="str">
        <f t="shared" si="177"/>
        <v>ПОЛЕВОДСТВО</v>
      </c>
      <c r="J5671" s="5"/>
      <c r="AL5671" s="5">
        <f t="shared" si="178"/>
        <v>0</v>
      </c>
    </row>
    <row r="5672" spans="1:38" ht="25.5" customHeight="1" x14ac:dyDescent="0.25">
      <c r="A5672" s="10" t="s">
        <v>4381</v>
      </c>
      <c r="B5672" s="11" t="s">
        <v>33</v>
      </c>
      <c r="C5672" s="5">
        <v>84298.205100000006</v>
      </c>
      <c r="D5672" s="5">
        <v>84298.205100000006</v>
      </c>
      <c r="E5672" s="5">
        <v>76333.533100000001</v>
      </c>
      <c r="G5672" s="5" t="str">
        <f t="shared" si="177"/>
        <v>ВИЗ</v>
      </c>
      <c r="J5672" s="5"/>
      <c r="AL5672" s="5">
        <f t="shared" si="178"/>
        <v>0</v>
      </c>
    </row>
    <row r="5673" spans="1:38" ht="25.5" customHeight="1" x14ac:dyDescent="0.25">
      <c r="A5673" s="10" t="s">
        <v>4382</v>
      </c>
      <c r="B5673" s="11" t="s">
        <v>1644</v>
      </c>
      <c r="C5673" s="5">
        <v>61980.678599999999</v>
      </c>
      <c r="D5673" s="5">
        <v>61980.678599999999</v>
      </c>
      <c r="E5673" s="5">
        <v>56124.615700000002</v>
      </c>
      <c r="G5673" s="5" t="str">
        <f t="shared" si="177"/>
        <v>ХИММАШ</v>
      </c>
      <c r="J5673" s="5"/>
      <c r="AL5673" s="5">
        <f t="shared" si="178"/>
        <v>0</v>
      </c>
    </row>
    <row r="5674" spans="1:38" ht="25.5" customHeight="1" x14ac:dyDescent="0.25">
      <c r="A5674" s="10" t="s">
        <v>4383</v>
      </c>
      <c r="B5674" s="11" t="s">
        <v>1668</v>
      </c>
      <c r="C5674" s="5">
        <v>51343.6201</v>
      </c>
      <c r="D5674" s="5">
        <v>51343.6201</v>
      </c>
      <c r="E5674" s="5">
        <v>46492.558799999999</v>
      </c>
      <c r="G5674" s="5" t="str">
        <f t="shared" si="177"/>
        <v>МЕДНЫЙ</v>
      </c>
      <c r="J5674" s="5"/>
      <c r="AL5674" s="5">
        <f t="shared" si="178"/>
        <v>0</v>
      </c>
    </row>
    <row r="5675" spans="1:38" ht="25.5" customHeight="1" x14ac:dyDescent="0.25">
      <c r="A5675" s="10" t="s">
        <v>4384</v>
      </c>
      <c r="B5675" s="11" t="s">
        <v>1661</v>
      </c>
      <c r="C5675" s="5">
        <v>51175.5573</v>
      </c>
      <c r="D5675" s="5">
        <v>51175.5573</v>
      </c>
      <c r="E5675" s="5">
        <v>46340.381600000001</v>
      </c>
      <c r="G5675" s="5" t="str">
        <f t="shared" si="177"/>
        <v>СЕВЕРКА</v>
      </c>
      <c r="J5675" s="5"/>
      <c r="AL5675" s="5">
        <f t="shared" si="178"/>
        <v>0</v>
      </c>
    </row>
    <row r="5676" spans="1:38" ht="25.5" customHeight="1" x14ac:dyDescent="0.25">
      <c r="A5676" s="10" t="s">
        <v>4385</v>
      </c>
      <c r="B5676" s="11" t="s">
        <v>33</v>
      </c>
      <c r="C5676" s="5">
        <v>84298.205100000006</v>
      </c>
      <c r="D5676" s="5">
        <v>84298.205100000006</v>
      </c>
      <c r="E5676" s="5">
        <v>76333.533100000001</v>
      </c>
      <c r="G5676" s="5" t="str">
        <f t="shared" si="177"/>
        <v>ВИЗ</v>
      </c>
      <c r="J5676" s="5"/>
      <c r="AL5676" s="5">
        <f t="shared" si="178"/>
        <v>0</v>
      </c>
    </row>
    <row r="5677" spans="1:38" ht="25.5" customHeight="1" x14ac:dyDescent="0.25">
      <c r="A5677" s="10" t="s">
        <v>4386</v>
      </c>
      <c r="B5677" s="11" t="s">
        <v>1632</v>
      </c>
      <c r="C5677" s="5">
        <v>83744.997499999998</v>
      </c>
      <c r="D5677" s="5">
        <v>83744.997499999998</v>
      </c>
      <c r="E5677" s="5">
        <v>75832.596099999995</v>
      </c>
      <c r="G5677" s="5" t="str">
        <f t="shared" si="177"/>
        <v>АВТОВОКЗАЛ</v>
      </c>
      <c r="J5677" s="5"/>
      <c r="AL5677" s="5">
        <f t="shared" si="178"/>
        <v>0</v>
      </c>
    </row>
    <row r="5678" spans="1:38" ht="25.5" customHeight="1" x14ac:dyDescent="0.25">
      <c r="A5678" s="10" t="s">
        <v>4387</v>
      </c>
      <c r="B5678" s="11" t="s">
        <v>1636</v>
      </c>
      <c r="C5678" s="5">
        <v>52246.960299999999</v>
      </c>
      <c r="D5678" s="5">
        <v>52246.960299999999</v>
      </c>
      <c r="E5678" s="5">
        <v>47310.556700000001</v>
      </c>
      <c r="G5678" s="5" t="str">
        <f t="shared" si="177"/>
        <v>ГОРНЫЙ ЩИТ</v>
      </c>
      <c r="J5678" s="5"/>
      <c r="AL5678" s="5">
        <f t="shared" si="178"/>
        <v>0</v>
      </c>
    </row>
    <row r="5679" spans="1:38" ht="25.5" customHeight="1" x14ac:dyDescent="0.25">
      <c r="A5679" s="10" t="s">
        <v>4388</v>
      </c>
      <c r="B5679" s="11" t="s">
        <v>1628</v>
      </c>
      <c r="C5679" s="5">
        <v>70734.0236</v>
      </c>
      <c r="D5679" s="5">
        <v>70734.0236</v>
      </c>
      <c r="E5679" s="5">
        <v>64050.9208</v>
      </c>
      <c r="G5679" s="5" t="str">
        <f t="shared" si="177"/>
        <v>ЭЛЬМАШ</v>
      </c>
      <c r="J5679" s="5"/>
      <c r="AL5679" s="5">
        <f t="shared" si="178"/>
        <v>0</v>
      </c>
    </row>
    <row r="5680" spans="1:38" ht="25.5" customHeight="1" x14ac:dyDescent="0.25">
      <c r="A5680" s="10" t="s">
        <v>4389</v>
      </c>
      <c r="B5680" s="11" t="s">
        <v>1651</v>
      </c>
      <c r="C5680" s="5">
        <v>68129.029500000004</v>
      </c>
      <c r="D5680" s="5">
        <v>68129.029500000004</v>
      </c>
      <c r="E5680" s="5">
        <v>61692.054799999998</v>
      </c>
      <c r="G5680" s="5" t="str">
        <f t="shared" si="177"/>
        <v>ШАРТАШ</v>
      </c>
      <c r="J5680" s="5"/>
      <c r="AL5680" s="5">
        <f t="shared" si="178"/>
        <v>0</v>
      </c>
    </row>
    <row r="5681" spans="1:38" ht="25.5" customHeight="1" x14ac:dyDescent="0.25">
      <c r="A5681" s="10" t="s">
        <v>1267</v>
      </c>
      <c r="B5681" s="11" t="s">
        <v>1632</v>
      </c>
      <c r="C5681" s="5">
        <v>83744.997499999998</v>
      </c>
      <c r="D5681" s="5">
        <v>83744.997499999998</v>
      </c>
      <c r="E5681" s="5">
        <v>75832.596099999995</v>
      </c>
      <c r="G5681" s="5" t="str">
        <f t="shared" si="177"/>
        <v>АВТОВОКЗАЛ</v>
      </c>
      <c r="J5681" s="5"/>
      <c r="AL5681" s="5">
        <f t="shared" si="178"/>
        <v>0</v>
      </c>
    </row>
    <row r="5682" spans="1:38" ht="25.5" customHeight="1" x14ac:dyDescent="0.25">
      <c r="A5682" s="10" t="s">
        <v>4390</v>
      </c>
      <c r="B5682" s="11" t="s">
        <v>33</v>
      </c>
      <c r="C5682" s="5">
        <v>84298.205100000006</v>
      </c>
      <c r="D5682" s="5">
        <v>84298.205100000006</v>
      </c>
      <c r="E5682" s="5">
        <v>76333.533100000001</v>
      </c>
      <c r="G5682" s="5" t="str">
        <f t="shared" si="177"/>
        <v>ВИЗ</v>
      </c>
      <c r="J5682" s="5"/>
      <c r="AL5682" s="5">
        <f t="shared" si="178"/>
        <v>0</v>
      </c>
    </row>
    <row r="5683" spans="1:38" ht="25.5" customHeight="1" x14ac:dyDescent="0.25">
      <c r="A5683" s="10" t="s">
        <v>1312</v>
      </c>
      <c r="B5683" s="11" t="s">
        <v>1639</v>
      </c>
      <c r="C5683" s="5">
        <v>53500.443299999999</v>
      </c>
      <c r="D5683" s="5">
        <v>53500.443299999999</v>
      </c>
      <c r="E5683" s="5">
        <v>48445.605100000001</v>
      </c>
      <c r="G5683" s="5" t="str">
        <f t="shared" si="177"/>
        <v>ИСТОК</v>
      </c>
      <c r="J5683" s="5"/>
      <c r="AL5683" s="5">
        <f t="shared" si="178"/>
        <v>0</v>
      </c>
    </row>
    <row r="5684" spans="1:38" ht="25.5" customHeight="1" x14ac:dyDescent="0.25">
      <c r="A5684" s="10" t="s">
        <v>4391</v>
      </c>
      <c r="B5684" s="11" t="s">
        <v>1635</v>
      </c>
      <c r="C5684" s="5">
        <v>57793.0844</v>
      </c>
      <c r="D5684" s="5">
        <v>57793.0844</v>
      </c>
      <c r="E5684" s="5">
        <v>52332.6639</v>
      </c>
      <c r="G5684" s="5" t="str">
        <f t="shared" si="177"/>
        <v>ЛЕЧЕБНЫЙ</v>
      </c>
      <c r="J5684" s="5"/>
      <c r="AL5684" s="5">
        <f t="shared" si="178"/>
        <v>0</v>
      </c>
    </row>
    <row r="5685" spans="1:38" ht="25.5" customHeight="1" x14ac:dyDescent="0.25">
      <c r="A5685" s="10" t="s">
        <v>4392</v>
      </c>
      <c r="B5685" s="11" t="s">
        <v>1628</v>
      </c>
      <c r="C5685" s="5">
        <v>70734.0236</v>
      </c>
      <c r="D5685" s="5">
        <v>70734.0236</v>
      </c>
      <c r="E5685" s="5">
        <v>64050.9208</v>
      </c>
      <c r="G5685" s="5" t="str">
        <f t="shared" si="177"/>
        <v>ЭЛЬМАШ</v>
      </c>
      <c r="J5685" s="5"/>
      <c r="AL5685" s="5">
        <f t="shared" si="178"/>
        <v>0</v>
      </c>
    </row>
    <row r="5686" spans="1:38" ht="25.5" customHeight="1" x14ac:dyDescent="0.25">
      <c r="A5686" s="10" t="s">
        <v>4393</v>
      </c>
      <c r="B5686" s="11" t="s">
        <v>118</v>
      </c>
      <c r="C5686" s="5">
        <v>53500.443299999999</v>
      </c>
      <c r="D5686" s="5">
        <v>53500.443299999999</v>
      </c>
      <c r="E5686" s="5">
        <v>48445.605100000001</v>
      </c>
      <c r="G5686" s="5" t="str">
        <f t="shared" si="177"/>
        <v>Исток</v>
      </c>
      <c r="J5686" s="5"/>
      <c r="AL5686" s="5">
        <f t="shared" si="178"/>
        <v>0</v>
      </c>
    </row>
    <row r="5687" spans="1:38" ht="25.5" customHeight="1" x14ac:dyDescent="0.25">
      <c r="A5687" s="10" t="s">
        <v>4394</v>
      </c>
      <c r="B5687" s="11" t="s">
        <v>1629</v>
      </c>
      <c r="C5687" s="5">
        <v>77743.704100000003</v>
      </c>
      <c r="D5687" s="5">
        <v>77743.704100000003</v>
      </c>
      <c r="E5687" s="5">
        <v>70398.310800000007</v>
      </c>
      <c r="G5687" s="5" t="str">
        <f t="shared" si="177"/>
        <v>ПИОНЕРСКИЙ</v>
      </c>
      <c r="J5687" s="5"/>
      <c r="AL5687" s="5">
        <f t="shared" si="178"/>
        <v>0</v>
      </c>
    </row>
    <row r="5688" spans="1:38" ht="25.5" customHeight="1" x14ac:dyDescent="0.25">
      <c r="A5688" s="10" t="s">
        <v>734</v>
      </c>
      <c r="B5688" s="11" t="s">
        <v>1644</v>
      </c>
      <c r="C5688" s="5">
        <v>61980.678599999999</v>
      </c>
      <c r="D5688" s="5">
        <v>61980.678599999999</v>
      </c>
      <c r="E5688" s="5">
        <v>56124.615700000002</v>
      </c>
      <c r="G5688" s="5" t="str">
        <f t="shared" si="177"/>
        <v>ХИММАШ</v>
      </c>
      <c r="J5688" s="5"/>
      <c r="AL5688" s="5">
        <f t="shared" si="178"/>
        <v>0</v>
      </c>
    </row>
    <row r="5689" spans="1:38" ht="25.5" customHeight="1" x14ac:dyDescent="0.25">
      <c r="A5689" s="10" t="s">
        <v>672</v>
      </c>
      <c r="B5689" s="11" t="s">
        <v>1639</v>
      </c>
      <c r="C5689" s="5">
        <v>53500.443299999999</v>
      </c>
      <c r="D5689" s="5">
        <v>53500.443299999999</v>
      </c>
      <c r="E5689" s="5">
        <v>48445.605100000001</v>
      </c>
      <c r="G5689" s="5" t="str">
        <f t="shared" si="177"/>
        <v>ИСТОК</v>
      </c>
      <c r="J5689" s="5"/>
      <c r="AL5689" s="5">
        <f t="shared" si="178"/>
        <v>0</v>
      </c>
    </row>
    <row r="5690" spans="1:38" ht="25.5" customHeight="1" x14ac:dyDescent="0.25">
      <c r="A5690" s="10" t="s">
        <v>4395</v>
      </c>
      <c r="B5690" s="11" t="s">
        <v>1628</v>
      </c>
      <c r="C5690" s="5">
        <v>70734.0236</v>
      </c>
      <c r="D5690" s="5">
        <v>70734.0236</v>
      </c>
      <c r="E5690" s="5">
        <v>64050.9208</v>
      </c>
      <c r="G5690" s="5" t="str">
        <f t="shared" si="177"/>
        <v>ЭЛЬМАШ</v>
      </c>
      <c r="J5690" s="5"/>
      <c r="AL5690" s="5">
        <f t="shared" si="178"/>
        <v>0</v>
      </c>
    </row>
    <row r="5691" spans="1:38" ht="25.5" customHeight="1" x14ac:dyDescent="0.25">
      <c r="A5691" s="10" t="s">
        <v>4396</v>
      </c>
      <c r="B5691" s="11" t="s">
        <v>779</v>
      </c>
      <c r="C5691" s="5">
        <v>46784.877899999999</v>
      </c>
      <c r="D5691" s="5">
        <v>46784.877899999999</v>
      </c>
      <c r="E5691" s="5">
        <v>42364.543299999998</v>
      </c>
      <c r="G5691" s="5" t="str">
        <f t="shared" si="177"/>
        <v>Нижнеисетский</v>
      </c>
      <c r="J5691" s="5"/>
      <c r="AL5691" s="5">
        <f t="shared" si="178"/>
        <v>0</v>
      </c>
    </row>
    <row r="5692" spans="1:38" ht="25.5" customHeight="1" x14ac:dyDescent="0.25">
      <c r="A5692" s="10" t="s">
        <v>4397</v>
      </c>
      <c r="B5692" s="11" t="s">
        <v>1630</v>
      </c>
      <c r="C5692" s="5">
        <v>62652.9401</v>
      </c>
      <c r="D5692" s="5">
        <v>62652.9401</v>
      </c>
      <c r="E5692" s="5">
        <v>56733.3557</v>
      </c>
      <c r="G5692" s="5" t="str">
        <f t="shared" si="177"/>
        <v>ЧЕРМЕТ</v>
      </c>
      <c r="J5692" s="5"/>
      <c r="AL5692" s="5">
        <f t="shared" si="178"/>
        <v>0</v>
      </c>
    </row>
    <row r="5693" spans="1:38" ht="25.5" customHeight="1" x14ac:dyDescent="0.25">
      <c r="A5693" s="10" t="s">
        <v>4398</v>
      </c>
      <c r="B5693" s="11" t="s">
        <v>33</v>
      </c>
      <c r="C5693" s="5">
        <v>84298.205100000006</v>
      </c>
      <c r="D5693" s="5">
        <v>84298.205100000006</v>
      </c>
      <c r="E5693" s="5">
        <v>76333.533100000001</v>
      </c>
      <c r="G5693" s="5" t="str">
        <f t="shared" si="177"/>
        <v>ВИЗ</v>
      </c>
      <c r="J5693" s="5"/>
      <c r="AL5693" s="5">
        <f t="shared" si="178"/>
        <v>0</v>
      </c>
    </row>
    <row r="5694" spans="1:38" ht="25.5" customHeight="1" x14ac:dyDescent="0.25">
      <c r="A5694" s="10" t="s">
        <v>4399</v>
      </c>
      <c r="B5694" s="11" t="s">
        <v>1645</v>
      </c>
      <c r="C5694" s="5">
        <v>60958.294800000003</v>
      </c>
      <c r="D5694" s="5">
        <v>60958.294800000003</v>
      </c>
      <c r="E5694" s="5">
        <v>55198.825199999999</v>
      </c>
      <c r="G5694" s="5" t="str">
        <f t="shared" si="177"/>
        <v>ЕЛИЗАВЕТ</v>
      </c>
      <c r="J5694" s="5"/>
      <c r="AL5694" s="5">
        <f t="shared" si="178"/>
        <v>0</v>
      </c>
    </row>
    <row r="5695" spans="1:38" ht="25.5" customHeight="1" x14ac:dyDescent="0.25">
      <c r="A5695" s="10" t="s">
        <v>4400</v>
      </c>
      <c r="B5695" s="11" t="s">
        <v>1639</v>
      </c>
      <c r="C5695" s="5">
        <v>53500.443299999999</v>
      </c>
      <c r="D5695" s="5">
        <v>53500.443299999999</v>
      </c>
      <c r="E5695" s="5">
        <v>48445.605100000001</v>
      </c>
      <c r="G5695" s="5" t="str">
        <f t="shared" ref="G5695:G5758" si="179">B5695</f>
        <v>ИСТОК</v>
      </c>
      <c r="J5695" s="5"/>
      <c r="AL5695" s="5">
        <f t="shared" ref="AL5695:AL5758" si="180">AF5695</f>
        <v>0</v>
      </c>
    </row>
    <row r="5696" spans="1:38" ht="25.5" customHeight="1" x14ac:dyDescent="0.25">
      <c r="A5696" s="10" t="s">
        <v>4401</v>
      </c>
      <c r="B5696" s="11" t="s">
        <v>1651</v>
      </c>
      <c r="C5696" s="5">
        <v>68129.029500000004</v>
      </c>
      <c r="D5696" s="5">
        <v>68129.029500000004</v>
      </c>
      <c r="E5696" s="5">
        <v>61692.054799999998</v>
      </c>
      <c r="G5696" s="5" t="str">
        <f t="shared" si="179"/>
        <v>ШАРТАШ</v>
      </c>
      <c r="J5696" s="5"/>
      <c r="AL5696" s="5">
        <f t="shared" si="180"/>
        <v>0</v>
      </c>
    </row>
    <row r="5697" spans="1:38" ht="25.5" customHeight="1" x14ac:dyDescent="0.25">
      <c r="A5697" s="10" t="s">
        <v>4402</v>
      </c>
      <c r="B5697" s="11" t="s">
        <v>1661</v>
      </c>
      <c r="C5697" s="5">
        <v>51175.5573</v>
      </c>
      <c r="D5697" s="5">
        <v>51175.5573</v>
      </c>
      <c r="E5697" s="5">
        <v>46340.381600000001</v>
      </c>
      <c r="G5697" s="5" t="str">
        <f t="shared" si="179"/>
        <v>СЕВЕРКА</v>
      </c>
      <c r="J5697" s="5"/>
      <c r="AL5697" s="5">
        <f t="shared" si="180"/>
        <v>0</v>
      </c>
    </row>
    <row r="5698" spans="1:38" ht="25.5" customHeight="1" x14ac:dyDescent="0.25">
      <c r="A5698" s="10" t="s">
        <v>4403</v>
      </c>
      <c r="B5698" s="11" t="s">
        <v>1650</v>
      </c>
      <c r="C5698" s="5">
        <v>37590.3603</v>
      </c>
      <c r="D5698" s="5">
        <v>37590.3603</v>
      </c>
      <c r="E5698" s="5">
        <v>34038.745900000002</v>
      </c>
      <c r="G5698" s="5" t="str">
        <f t="shared" si="179"/>
        <v>ШАБРОВСКИЙ</v>
      </c>
      <c r="J5698" s="5"/>
      <c r="AL5698" s="5">
        <f t="shared" si="180"/>
        <v>0</v>
      </c>
    </row>
    <row r="5699" spans="1:38" ht="25.5" customHeight="1" x14ac:dyDescent="0.25">
      <c r="A5699" s="10" t="s">
        <v>4404</v>
      </c>
      <c r="B5699" s="11" t="s">
        <v>1632</v>
      </c>
      <c r="C5699" s="5">
        <v>83744.997499999998</v>
      </c>
      <c r="D5699" s="5">
        <v>83744.997499999998</v>
      </c>
      <c r="E5699" s="5">
        <v>75832.596099999995</v>
      </c>
      <c r="G5699" s="5" t="str">
        <f t="shared" si="179"/>
        <v>АВТОВОКЗАЛ</v>
      </c>
      <c r="J5699" s="5"/>
      <c r="AL5699" s="5">
        <f t="shared" si="180"/>
        <v>0</v>
      </c>
    </row>
    <row r="5700" spans="1:38" ht="25.5" customHeight="1" x14ac:dyDescent="0.25">
      <c r="A5700" s="10" t="s">
        <v>4405</v>
      </c>
      <c r="B5700" s="11" t="s">
        <v>1644</v>
      </c>
      <c r="C5700" s="5">
        <v>61980.678599999999</v>
      </c>
      <c r="D5700" s="5">
        <v>61980.678599999999</v>
      </c>
      <c r="E5700" s="5">
        <v>56124.615700000002</v>
      </c>
      <c r="G5700" s="5" t="str">
        <f t="shared" si="179"/>
        <v>ХИММАШ</v>
      </c>
      <c r="J5700" s="5"/>
      <c r="AL5700" s="5">
        <f t="shared" si="180"/>
        <v>0</v>
      </c>
    </row>
    <row r="5701" spans="1:38" ht="25.5" customHeight="1" x14ac:dyDescent="0.25">
      <c r="A5701" s="10" t="s">
        <v>1258</v>
      </c>
      <c r="B5701" s="11" t="s">
        <v>1657</v>
      </c>
      <c r="C5701" s="5">
        <v>54886.9666</v>
      </c>
      <c r="D5701" s="5">
        <v>54886.9666</v>
      </c>
      <c r="E5701" s="5">
        <v>49701.1319</v>
      </c>
      <c r="G5701" s="5" t="str">
        <f t="shared" si="179"/>
        <v>КОЛЬЦОВО</v>
      </c>
      <c r="J5701" s="5"/>
      <c r="AL5701" s="5">
        <f t="shared" si="180"/>
        <v>0</v>
      </c>
    </row>
    <row r="5702" spans="1:38" ht="25.5" customHeight="1" x14ac:dyDescent="0.25">
      <c r="A5702" s="10" t="s">
        <v>4406</v>
      </c>
      <c r="B5702" s="11" t="s">
        <v>1667</v>
      </c>
      <c r="C5702" s="5">
        <v>56546.599699999999</v>
      </c>
      <c r="D5702" s="5">
        <v>56546.599699999999</v>
      </c>
      <c r="E5702" s="5">
        <v>51203.963499999998</v>
      </c>
      <c r="G5702" s="5" t="str">
        <f t="shared" si="179"/>
        <v>КАЛИНОВСКИЙ</v>
      </c>
      <c r="J5702" s="5"/>
      <c r="AL5702" s="5">
        <f t="shared" si="180"/>
        <v>0</v>
      </c>
    </row>
    <row r="5703" spans="1:38" ht="25.5" customHeight="1" x14ac:dyDescent="0.25">
      <c r="A5703" s="10" t="s">
        <v>4407</v>
      </c>
      <c r="B5703" s="11" t="s">
        <v>1636</v>
      </c>
      <c r="C5703" s="5">
        <v>52246.960299999999</v>
      </c>
      <c r="D5703" s="5">
        <v>52246.960299999999</v>
      </c>
      <c r="E5703" s="5">
        <v>47310.556700000001</v>
      </c>
      <c r="G5703" s="5" t="str">
        <f t="shared" si="179"/>
        <v>ГОРНЫЙ ЩИТ</v>
      </c>
      <c r="J5703" s="5"/>
      <c r="AL5703" s="5">
        <f t="shared" si="180"/>
        <v>0</v>
      </c>
    </row>
    <row r="5704" spans="1:38" ht="25.5" customHeight="1" x14ac:dyDescent="0.25">
      <c r="A5704" s="10" t="s">
        <v>4408</v>
      </c>
      <c r="B5704" s="11" t="s">
        <v>1635</v>
      </c>
      <c r="C5704" s="5">
        <v>57793.0844</v>
      </c>
      <c r="D5704" s="5">
        <v>57793.0844</v>
      </c>
      <c r="E5704" s="5">
        <v>52332.6639</v>
      </c>
      <c r="G5704" s="5" t="str">
        <f t="shared" si="179"/>
        <v>ЛЕЧЕБНЫЙ</v>
      </c>
      <c r="J5704" s="5"/>
      <c r="AL5704" s="5">
        <f t="shared" si="180"/>
        <v>0</v>
      </c>
    </row>
    <row r="5705" spans="1:38" ht="25.5" customHeight="1" x14ac:dyDescent="0.25">
      <c r="A5705" s="10" t="s">
        <v>4409</v>
      </c>
      <c r="B5705" s="11" t="s">
        <v>33</v>
      </c>
      <c r="C5705" s="5">
        <v>84298.205100000006</v>
      </c>
      <c r="D5705" s="5">
        <v>84298.205100000006</v>
      </c>
      <c r="E5705" s="5">
        <v>76333.533100000001</v>
      </c>
      <c r="G5705" s="5" t="str">
        <f t="shared" si="179"/>
        <v>ВИЗ</v>
      </c>
      <c r="J5705" s="5"/>
      <c r="AL5705" s="5">
        <f t="shared" si="180"/>
        <v>0</v>
      </c>
    </row>
    <row r="5706" spans="1:38" ht="25.5" customHeight="1" x14ac:dyDescent="0.25">
      <c r="A5706" s="10" t="s">
        <v>4410</v>
      </c>
      <c r="B5706" s="11" t="s">
        <v>1657</v>
      </c>
      <c r="C5706" s="5">
        <v>54886.9666</v>
      </c>
      <c r="D5706" s="5">
        <v>54886.9666</v>
      </c>
      <c r="E5706" s="5">
        <v>49701.1319</v>
      </c>
      <c r="G5706" s="5" t="str">
        <f t="shared" si="179"/>
        <v>КОЛЬЦОВО</v>
      </c>
      <c r="J5706" s="5"/>
      <c r="AL5706" s="5">
        <f t="shared" si="180"/>
        <v>0</v>
      </c>
    </row>
    <row r="5707" spans="1:38" ht="25.5" customHeight="1" x14ac:dyDescent="0.25">
      <c r="A5707" s="10" t="s">
        <v>4411</v>
      </c>
      <c r="B5707" s="11" t="s">
        <v>1660</v>
      </c>
      <c r="C5707" s="5">
        <v>53262.345800000003</v>
      </c>
      <c r="D5707" s="5">
        <v>53262.345800000003</v>
      </c>
      <c r="E5707" s="5">
        <v>48230.0095</v>
      </c>
      <c r="G5707" s="5" t="str">
        <f t="shared" si="179"/>
        <v>САДОВЫЙ</v>
      </c>
      <c r="J5707" s="5"/>
      <c r="AL5707" s="5">
        <f t="shared" si="180"/>
        <v>0</v>
      </c>
    </row>
    <row r="5708" spans="1:38" ht="25.5" customHeight="1" x14ac:dyDescent="0.25">
      <c r="A5708" s="10" t="s">
        <v>4412</v>
      </c>
      <c r="B5708" s="11" t="s">
        <v>1629</v>
      </c>
      <c r="C5708" s="5">
        <v>77743.704100000003</v>
      </c>
      <c r="D5708" s="5">
        <v>77743.704100000003</v>
      </c>
      <c r="E5708" s="5">
        <v>70398.310800000007</v>
      </c>
      <c r="G5708" s="5" t="str">
        <f t="shared" si="179"/>
        <v>ПИОНЕРСКИЙ</v>
      </c>
      <c r="J5708" s="5"/>
      <c r="AL5708" s="5">
        <f t="shared" si="180"/>
        <v>0</v>
      </c>
    </row>
    <row r="5709" spans="1:38" ht="25.5" customHeight="1" x14ac:dyDescent="0.25">
      <c r="A5709" s="10" t="s">
        <v>4413</v>
      </c>
      <c r="B5709" s="11" t="s">
        <v>1647</v>
      </c>
      <c r="C5709" s="5">
        <v>63178.133800000003</v>
      </c>
      <c r="D5709" s="5">
        <v>63178.133800000003</v>
      </c>
      <c r="E5709" s="5">
        <v>57208.931499999999</v>
      </c>
      <c r="G5709" s="5" t="str">
        <f t="shared" si="179"/>
        <v>ШИРОКАЯ РЕЧКА</v>
      </c>
      <c r="J5709" s="5"/>
      <c r="AL5709" s="5">
        <f t="shared" si="180"/>
        <v>0</v>
      </c>
    </row>
    <row r="5710" spans="1:38" ht="25.5" customHeight="1" x14ac:dyDescent="0.25">
      <c r="A5710" s="10" t="s">
        <v>4414</v>
      </c>
      <c r="B5710" s="11" t="s">
        <v>1636</v>
      </c>
      <c r="C5710" s="5">
        <v>52246.960299999999</v>
      </c>
      <c r="D5710" s="5">
        <v>52246.960299999999</v>
      </c>
      <c r="E5710" s="5">
        <v>47310.556700000001</v>
      </c>
      <c r="G5710" s="5" t="str">
        <f t="shared" si="179"/>
        <v>ГОРНЫЙ ЩИТ</v>
      </c>
      <c r="J5710" s="5"/>
      <c r="AL5710" s="5">
        <f t="shared" si="180"/>
        <v>0</v>
      </c>
    </row>
    <row r="5711" spans="1:38" ht="25.5" customHeight="1" x14ac:dyDescent="0.25">
      <c r="A5711" s="10" t="s">
        <v>4415</v>
      </c>
      <c r="B5711" s="11" t="s">
        <v>33</v>
      </c>
      <c r="C5711" s="5">
        <v>84298.205100000006</v>
      </c>
      <c r="D5711" s="5">
        <v>84298.205100000006</v>
      </c>
      <c r="E5711" s="5">
        <v>76333.533100000001</v>
      </c>
      <c r="G5711" s="5" t="str">
        <f t="shared" si="179"/>
        <v>ВИЗ</v>
      </c>
      <c r="J5711" s="5"/>
      <c r="AL5711" s="5">
        <f t="shared" si="180"/>
        <v>0</v>
      </c>
    </row>
    <row r="5712" spans="1:38" ht="25.5" customHeight="1" x14ac:dyDescent="0.25">
      <c r="A5712" s="10" t="s">
        <v>4416</v>
      </c>
      <c r="B5712" s="11" t="s">
        <v>1636</v>
      </c>
      <c r="C5712" s="5">
        <v>52246.960299999999</v>
      </c>
      <c r="D5712" s="5">
        <v>52246.960299999999</v>
      </c>
      <c r="E5712" s="5">
        <v>47310.556700000001</v>
      </c>
      <c r="G5712" s="5" t="str">
        <f t="shared" si="179"/>
        <v>ГОРНЫЙ ЩИТ</v>
      </c>
      <c r="J5712" s="5"/>
      <c r="AL5712" s="5">
        <f t="shared" si="180"/>
        <v>0</v>
      </c>
    </row>
    <row r="5713" spans="1:38" ht="25.5" customHeight="1" x14ac:dyDescent="0.25">
      <c r="A5713" s="10" t="s">
        <v>4417</v>
      </c>
      <c r="B5713" s="11" t="s">
        <v>1629</v>
      </c>
      <c r="C5713" s="5">
        <v>77743.704100000003</v>
      </c>
      <c r="D5713" s="5">
        <v>77743.704100000003</v>
      </c>
      <c r="E5713" s="5">
        <v>70398.310800000007</v>
      </c>
      <c r="G5713" s="5" t="str">
        <f t="shared" si="179"/>
        <v>ПИОНЕРСКИЙ</v>
      </c>
      <c r="J5713" s="5"/>
      <c r="AL5713" s="5">
        <f t="shared" si="180"/>
        <v>0</v>
      </c>
    </row>
    <row r="5714" spans="1:38" ht="25.5" customHeight="1" x14ac:dyDescent="0.25">
      <c r="A5714" s="10" t="s">
        <v>4418</v>
      </c>
      <c r="B5714" s="11" t="s">
        <v>1637</v>
      </c>
      <c r="C5714" s="5">
        <v>59368.686099999999</v>
      </c>
      <c r="D5714" s="5">
        <v>59368.686099999999</v>
      </c>
      <c r="E5714" s="5">
        <v>53759.401700000002</v>
      </c>
      <c r="G5714" s="5" t="str">
        <f t="shared" si="179"/>
        <v>Старая сортировка</v>
      </c>
      <c r="J5714" s="5"/>
      <c r="AL5714" s="5">
        <f t="shared" si="180"/>
        <v>0</v>
      </c>
    </row>
    <row r="5715" spans="1:38" ht="25.5" customHeight="1" x14ac:dyDescent="0.25">
      <c r="A5715" s="10" t="s">
        <v>4419</v>
      </c>
      <c r="B5715" s="11" t="s">
        <v>1632</v>
      </c>
      <c r="C5715" s="5">
        <v>83744.997499999998</v>
      </c>
      <c r="D5715" s="5">
        <v>83744.997499999998</v>
      </c>
      <c r="E5715" s="5">
        <v>75832.596099999995</v>
      </c>
      <c r="G5715" s="5" t="str">
        <f t="shared" si="179"/>
        <v>АВТОВОКЗАЛ</v>
      </c>
      <c r="J5715" s="5"/>
      <c r="AL5715" s="5">
        <f t="shared" si="180"/>
        <v>0</v>
      </c>
    </row>
    <row r="5716" spans="1:38" ht="25.5" customHeight="1" x14ac:dyDescent="0.25">
      <c r="A5716" s="10" t="s">
        <v>4420</v>
      </c>
      <c r="B5716" s="11" t="s">
        <v>1668</v>
      </c>
      <c r="C5716" s="5">
        <v>51343.6201</v>
      </c>
      <c r="D5716" s="5">
        <v>51343.6201</v>
      </c>
      <c r="E5716" s="5">
        <v>46492.558799999999</v>
      </c>
      <c r="G5716" s="5" t="str">
        <f t="shared" si="179"/>
        <v>МЕДНЫЙ</v>
      </c>
      <c r="J5716" s="5"/>
      <c r="AL5716" s="5">
        <f t="shared" si="180"/>
        <v>0</v>
      </c>
    </row>
    <row r="5717" spans="1:38" ht="25.5" customHeight="1" x14ac:dyDescent="0.25">
      <c r="A5717" s="10" t="s">
        <v>4421</v>
      </c>
      <c r="B5717" s="11" t="s">
        <v>1630</v>
      </c>
      <c r="C5717" s="5">
        <v>62652.9401</v>
      </c>
      <c r="D5717" s="5">
        <v>62652.9401</v>
      </c>
      <c r="E5717" s="5">
        <v>56733.3557</v>
      </c>
      <c r="G5717" s="5" t="str">
        <f t="shared" si="179"/>
        <v>ЧЕРМЕТ</v>
      </c>
      <c r="J5717" s="5"/>
      <c r="AL5717" s="5">
        <f t="shared" si="180"/>
        <v>0</v>
      </c>
    </row>
    <row r="5718" spans="1:38" ht="25.5" customHeight="1" x14ac:dyDescent="0.25">
      <c r="A5718" s="10" t="s">
        <v>4422</v>
      </c>
      <c r="B5718" s="11" t="s">
        <v>1636</v>
      </c>
      <c r="C5718" s="5">
        <v>52246.960299999999</v>
      </c>
      <c r="D5718" s="5">
        <v>52246.960299999999</v>
      </c>
      <c r="E5718" s="5">
        <v>47310.556700000001</v>
      </c>
      <c r="G5718" s="5" t="str">
        <f t="shared" si="179"/>
        <v>ГОРНЫЙ ЩИТ</v>
      </c>
      <c r="J5718" s="5"/>
      <c r="AL5718" s="5">
        <f t="shared" si="180"/>
        <v>0</v>
      </c>
    </row>
    <row r="5719" spans="1:38" ht="25.5" customHeight="1" x14ac:dyDescent="0.25">
      <c r="A5719" s="10" t="s">
        <v>465</v>
      </c>
      <c r="B5719" s="11" t="s">
        <v>1650</v>
      </c>
      <c r="C5719" s="5">
        <v>37590.3603</v>
      </c>
      <c r="D5719" s="5">
        <v>37590.3603</v>
      </c>
      <c r="E5719" s="5">
        <v>34038.745900000002</v>
      </c>
      <c r="G5719" s="5" t="str">
        <f t="shared" si="179"/>
        <v>ШАБРОВСКИЙ</v>
      </c>
      <c r="J5719" s="5"/>
      <c r="AL5719" s="5">
        <f t="shared" si="180"/>
        <v>0</v>
      </c>
    </row>
    <row r="5720" spans="1:38" ht="25.5" customHeight="1" x14ac:dyDescent="0.25">
      <c r="A5720" s="10" t="s">
        <v>4423</v>
      </c>
      <c r="B5720" s="11" t="s">
        <v>118</v>
      </c>
      <c r="C5720" s="5">
        <v>53500.443299999999</v>
      </c>
      <c r="D5720" s="5">
        <v>53500.443299999999</v>
      </c>
      <c r="E5720" s="5">
        <v>48445.605100000001</v>
      </c>
      <c r="G5720" s="5" t="str">
        <f t="shared" si="179"/>
        <v>Исток</v>
      </c>
      <c r="J5720" s="5"/>
      <c r="AL5720" s="5">
        <f t="shared" si="180"/>
        <v>0</v>
      </c>
    </row>
    <row r="5721" spans="1:38" ht="25.5" customHeight="1" x14ac:dyDescent="0.25">
      <c r="A5721" s="10" t="s">
        <v>4424</v>
      </c>
      <c r="B5721" s="11" t="s">
        <v>1638</v>
      </c>
      <c r="C5721" s="5">
        <v>63640.311600000001</v>
      </c>
      <c r="D5721" s="5">
        <v>63640.311600000001</v>
      </c>
      <c r="E5721" s="5">
        <v>57627.4473</v>
      </c>
      <c r="G5721" s="5" t="str">
        <f t="shared" si="179"/>
        <v>УКТУС</v>
      </c>
      <c r="J5721" s="5"/>
      <c r="AL5721" s="5">
        <f t="shared" si="180"/>
        <v>0</v>
      </c>
    </row>
    <row r="5722" spans="1:38" ht="25.5" customHeight="1" x14ac:dyDescent="0.25">
      <c r="A5722" s="10" t="s">
        <v>4425</v>
      </c>
      <c r="B5722" s="11" t="s">
        <v>1647</v>
      </c>
      <c r="C5722" s="5">
        <v>63178.133800000003</v>
      </c>
      <c r="D5722" s="5">
        <v>63178.133800000003</v>
      </c>
      <c r="E5722" s="5">
        <v>57208.931499999999</v>
      </c>
      <c r="G5722" s="5" t="str">
        <f t="shared" si="179"/>
        <v>ШИРОКАЯ РЕЧКА</v>
      </c>
      <c r="J5722" s="5"/>
      <c r="AL5722" s="5">
        <f t="shared" si="180"/>
        <v>0</v>
      </c>
    </row>
    <row r="5723" spans="1:38" ht="25.5" customHeight="1" x14ac:dyDescent="0.25">
      <c r="A5723" s="10" t="s">
        <v>4426</v>
      </c>
      <c r="B5723" s="11" t="s">
        <v>1630</v>
      </c>
      <c r="C5723" s="5">
        <v>62652.9401</v>
      </c>
      <c r="D5723" s="5">
        <v>62652.9401</v>
      </c>
      <c r="E5723" s="5">
        <v>56733.3557</v>
      </c>
      <c r="G5723" s="5" t="str">
        <f t="shared" si="179"/>
        <v>ЧЕРМЕТ</v>
      </c>
      <c r="J5723" s="5"/>
      <c r="AL5723" s="5">
        <f t="shared" si="180"/>
        <v>0</v>
      </c>
    </row>
    <row r="5724" spans="1:38" ht="25.5" customHeight="1" x14ac:dyDescent="0.25">
      <c r="A5724" s="10" t="s">
        <v>4427</v>
      </c>
      <c r="B5724" s="11" t="s">
        <v>1647</v>
      </c>
      <c r="C5724" s="5">
        <v>63178.133800000003</v>
      </c>
      <c r="D5724" s="5">
        <v>63178.133800000003</v>
      </c>
      <c r="E5724" s="5">
        <v>57208.931499999999</v>
      </c>
      <c r="G5724" s="5" t="str">
        <f t="shared" si="179"/>
        <v>ШИРОКАЯ РЕЧКА</v>
      </c>
      <c r="J5724" s="5"/>
      <c r="AL5724" s="5">
        <f t="shared" si="180"/>
        <v>0</v>
      </c>
    </row>
    <row r="5725" spans="1:38" ht="25.5" customHeight="1" x14ac:dyDescent="0.25">
      <c r="A5725" s="10" t="s">
        <v>4428</v>
      </c>
      <c r="B5725" s="11" t="s">
        <v>1651</v>
      </c>
      <c r="C5725" s="5">
        <v>68129.029500000004</v>
      </c>
      <c r="D5725" s="5">
        <v>68129.029500000004</v>
      </c>
      <c r="E5725" s="5">
        <v>61692.054799999998</v>
      </c>
      <c r="G5725" s="5" t="str">
        <f t="shared" si="179"/>
        <v>ШАРТАШ</v>
      </c>
      <c r="J5725" s="5"/>
      <c r="AL5725" s="5">
        <f t="shared" si="180"/>
        <v>0</v>
      </c>
    </row>
    <row r="5726" spans="1:38" ht="25.5" customHeight="1" x14ac:dyDescent="0.25">
      <c r="A5726" s="10" t="s">
        <v>1164</v>
      </c>
      <c r="B5726" s="11" t="s">
        <v>1657</v>
      </c>
      <c r="C5726" s="5">
        <v>54886.9666</v>
      </c>
      <c r="D5726" s="5">
        <v>54886.9666</v>
      </c>
      <c r="E5726" s="5">
        <v>49701.1319</v>
      </c>
      <c r="G5726" s="5" t="str">
        <f t="shared" si="179"/>
        <v>КОЛЬЦОВО</v>
      </c>
      <c r="J5726" s="5"/>
      <c r="AL5726" s="5">
        <f t="shared" si="180"/>
        <v>0</v>
      </c>
    </row>
    <row r="5727" spans="1:38" ht="25.5" customHeight="1" x14ac:dyDescent="0.25">
      <c r="A5727" s="10" t="s">
        <v>4429</v>
      </c>
      <c r="B5727" s="11" t="s">
        <v>1636</v>
      </c>
      <c r="C5727" s="5">
        <v>52246.960299999999</v>
      </c>
      <c r="D5727" s="5">
        <v>52246.960299999999</v>
      </c>
      <c r="E5727" s="5">
        <v>47310.556700000001</v>
      </c>
      <c r="G5727" s="5" t="str">
        <f t="shared" si="179"/>
        <v>ГОРНЫЙ ЩИТ</v>
      </c>
      <c r="J5727" s="5"/>
      <c r="AL5727" s="5">
        <f t="shared" si="180"/>
        <v>0</v>
      </c>
    </row>
    <row r="5728" spans="1:38" ht="25.5" customHeight="1" x14ac:dyDescent="0.25">
      <c r="A5728" s="10" t="s">
        <v>4430</v>
      </c>
      <c r="B5728" s="11" t="s">
        <v>1637</v>
      </c>
      <c r="C5728" s="5">
        <v>59368.686099999999</v>
      </c>
      <c r="D5728" s="5">
        <v>59368.686099999999</v>
      </c>
      <c r="E5728" s="5">
        <v>53759.401700000002</v>
      </c>
      <c r="G5728" s="5" t="str">
        <f t="shared" si="179"/>
        <v>Старая сортировка</v>
      </c>
      <c r="J5728" s="5"/>
      <c r="AL5728" s="5">
        <f t="shared" si="180"/>
        <v>0</v>
      </c>
    </row>
    <row r="5729" spans="1:38" ht="25.5" customHeight="1" x14ac:dyDescent="0.25">
      <c r="A5729" s="10" t="s">
        <v>4431</v>
      </c>
      <c r="B5729" s="11" t="s">
        <v>1659</v>
      </c>
      <c r="C5729" s="5">
        <v>59746.832600000002</v>
      </c>
      <c r="D5729" s="5">
        <v>59746.832600000002</v>
      </c>
      <c r="E5729" s="5">
        <v>54101.823700000001</v>
      </c>
      <c r="G5729" s="5" t="str">
        <f t="shared" si="179"/>
        <v>СОВХОЗ</v>
      </c>
      <c r="J5729" s="5"/>
      <c r="AL5729" s="5">
        <f t="shared" si="180"/>
        <v>0</v>
      </c>
    </row>
    <row r="5730" spans="1:38" ht="25.5" customHeight="1" x14ac:dyDescent="0.25">
      <c r="A5730" s="10" t="s">
        <v>4432</v>
      </c>
      <c r="B5730" s="11" t="s">
        <v>1662</v>
      </c>
      <c r="C5730" s="5">
        <v>46784.877899999999</v>
      </c>
      <c r="D5730" s="5">
        <v>46784.877899999999</v>
      </c>
      <c r="E5730" s="5">
        <v>42364.543299999998</v>
      </c>
      <c r="G5730" s="5" t="str">
        <f t="shared" si="179"/>
        <v>РУДНЫЙ</v>
      </c>
      <c r="J5730" s="5"/>
      <c r="AL5730" s="5">
        <f t="shared" si="180"/>
        <v>0</v>
      </c>
    </row>
    <row r="5731" spans="1:38" ht="25.5" customHeight="1" x14ac:dyDescent="0.25">
      <c r="A5731" s="10" t="s">
        <v>4433</v>
      </c>
      <c r="B5731" s="11" t="s">
        <v>1631</v>
      </c>
      <c r="C5731" s="5">
        <v>70026.7601</v>
      </c>
      <c r="D5731" s="5">
        <v>70026.7601</v>
      </c>
      <c r="E5731" s="5">
        <v>63410.482000000004</v>
      </c>
      <c r="G5731" s="5" t="str">
        <f t="shared" si="179"/>
        <v>УРАЛМАШ</v>
      </c>
      <c r="J5731" s="5"/>
      <c r="AL5731" s="5">
        <f t="shared" si="180"/>
        <v>0</v>
      </c>
    </row>
    <row r="5732" spans="1:38" ht="25.5" customHeight="1" x14ac:dyDescent="0.25">
      <c r="A5732" s="10" t="s">
        <v>1589</v>
      </c>
      <c r="B5732" s="11" t="s">
        <v>1665</v>
      </c>
      <c r="C5732" s="5">
        <v>55692.278700000003</v>
      </c>
      <c r="D5732" s="5">
        <v>55692.278700000003</v>
      </c>
      <c r="E5732" s="5">
        <v>50430.350200000001</v>
      </c>
      <c r="G5732" s="5" t="str">
        <f t="shared" si="179"/>
        <v>ПОЛЕВОДСТВО</v>
      </c>
      <c r="J5732" s="5"/>
      <c r="AL5732" s="5">
        <f t="shared" si="180"/>
        <v>0</v>
      </c>
    </row>
    <row r="5733" spans="1:38" ht="25.5" customHeight="1" x14ac:dyDescent="0.25">
      <c r="A5733" s="10" t="s">
        <v>4434</v>
      </c>
      <c r="B5733" s="11" t="s">
        <v>389</v>
      </c>
      <c r="C5733" s="5">
        <v>51175.5573</v>
      </c>
      <c r="D5733" s="5">
        <v>51175.5573</v>
      </c>
      <c r="E5733" s="5">
        <v>46340.381600000001</v>
      </c>
      <c r="G5733" s="5" t="str">
        <f t="shared" si="179"/>
        <v>Северка</v>
      </c>
      <c r="J5733" s="5"/>
      <c r="AL5733" s="5">
        <f t="shared" si="180"/>
        <v>0</v>
      </c>
    </row>
    <row r="5734" spans="1:38" ht="25.5" customHeight="1" x14ac:dyDescent="0.25">
      <c r="A5734" s="10" t="s">
        <v>4435</v>
      </c>
      <c r="B5734" s="11" t="s">
        <v>1645</v>
      </c>
      <c r="C5734" s="5">
        <v>60958.294800000003</v>
      </c>
      <c r="D5734" s="5">
        <v>60958.294800000003</v>
      </c>
      <c r="E5734" s="5">
        <v>55198.825199999999</v>
      </c>
      <c r="G5734" s="5" t="str">
        <f t="shared" si="179"/>
        <v>ЕЛИЗАВЕТ</v>
      </c>
      <c r="J5734" s="5"/>
      <c r="AL5734" s="5">
        <f t="shared" si="180"/>
        <v>0</v>
      </c>
    </row>
    <row r="5735" spans="1:38" ht="25.5" customHeight="1" x14ac:dyDescent="0.25">
      <c r="A5735" s="10" t="s">
        <v>4436</v>
      </c>
      <c r="B5735" s="11" t="s">
        <v>1666</v>
      </c>
      <c r="C5735" s="5">
        <v>46784.877899999999</v>
      </c>
      <c r="D5735" s="5">
        <v>46784.877899999999</v>
      </c>
      <c r="E5735" s="5">
        <v>42364.543299999998</v>
      </c>
      <c r="G5735" s="5" t="str">
        <f t="shared" si="179"/>
        <v>Сулим.Торфянник</v>
      </c>
      <c r="J5735" s="5"/>
      <c r="AL5735" s="5">
        <f t="shared" si="180"/>
        <v>0</v>
      </c>
    </row>
    <row r="5736" spans="1:38" ht="25.5" customHeight="1" x14ac:dyDescent="0.25">
      <c r="A5736" s="10" t="s">
        <v>4437</v>
      </c>
      <c r="B5736" s="11" t="s">
        <v>1648</v>
      </c>
      <c r="C5736" s="5">
        <v>49782.025399999999</v>
      </c>
      <c r="D5736" s="5">
        <v>49782.025399999999</v>
      </c>
      <c r="E5736" s="5">
        <v>45078.506800000003</v>
      </c>
      <c r="G5736" s="5" t="str">
        <f t="shared" si="179"/>
        <v>ЧУСОВСКОЕ ОЗЕРО</v>
      </c>
      <c r="J5736" s="5"/>
      <c r="AL5736" s="5">
        <f t="shared" si="180"/>
        <v>0</v>
      </c>
    </row>
    <row r="5737" spans="1:38" ht="25.5" customHeight="1" x14ac:dyDescent="0.25">
      <c r="A5737" s="10" t="s">
        <v>4438</v>
      </c>
      <c r="B5737" s="11" t="s">
        <v>1656</v>
      </c>
      <c r="C5737" s="5">
        <v>60173.9879</v>
      </c>
      <c r="D5737" s="5">
        <v>60173.9879</v>
      </c>
      <c r="E5737" s="5">
        <v>54488.630299999997</v>
      </c>
      <c r="G5737" s="5" t="str">
        <f t="shared" si="179"/>
        <v>МАЛЫЙ ИСТОК</v>
      </c>
      <c r="J5737" s="5"/>
      <c r="AL5737" s="5">
        <f t="shared" si="180"/>
        <v>0</v>
      </c>
    </row>
    <row r="5738" spans="1:38" ht="25.5" customHeight="1" x14ac:dyDescent="0.25">
      <c r="A5738" s="10" t="s">
        <v>4439</v>
      </c>
      <c r="B5738" s="11" t="s">
        <v>5166</v>
      </c>
      <c r="C5738" s="5">
        <v>49782.025399999999</v>
      </c>
      <c r="D5738" s="5">
        <v>49782.025399999999</v>
      </c>
      <c r="E5738" s="5">
        <v>45078.506800000003</v>
      </c>
      <c r="G5738" s="5" t="str">
        <f t="shared" si="179"/>
        <v>Чусовское озеро</v>
      </c>
      <c r="J5738" s="5"/>
      <c r="AL5738" s="5">
        <f t="shared" si="180"/>
        <v>0</v>
      </c>
    </row>
    <row r="5739" spans="1:38" ht="25.5" customHeight="1" x14ac:dyDescent="0.25">
      <c r="A5739" s="10" t="s">
        <v>4440</v>
      </c>
      <c r="B5739" s="11" t="s">
        <v>1653</v>
      </c>
      <c r="C5739" s="5">
        <v>56847.723400000003</v>
      </c>
      <c r="D5739" s="5">
        <v>56847.723400000003</v>
      </c>
      <c r="E5739" s="5">
        <v>51476.629399999998</v>
      </c>
      <c r="G5739" s="5" t="str">
        <f t="shared" si="179"/>
        <v>ПТИЦЕФАБРИКА</v>
      </c>
      <c r="J5739" s="5"/>
      <c r="AL5739" s="5">
        <f t="shared" si="180"/>
        <v>0</v>
      </c>
    </row>
    <row r="5740" spans="1:38" ht="25.5" customHeight="1" x14ac:dyDescent="0.25">
      <c r="A5740" s="10" t="s">
        <v>937</v>
      </c>
      <c r="B5740" s="11" t="s">
        <v>1636</v>
      </c>
      <c r="C5740" s="5">
        <v>52246.960299999999</v>
      </c>
      <c r="D5740" s="5">
        <v>52246.960299999999</v>
      </c>
      <c r="E5740" s="5">
        <v>47310.556700000001</v>
      </c>
      <c r="G5740" s="5" t="str">
        <f t="shared" si="179"/>
        <v>ГОРНЫЙ ЩИТ</v>
      </c>
      <c r="J5740" s="5"/>
      <c r="AL5740" s="5">
        <f t="shared" si="180"/>
        <v>0</v>
      </c>
    </row>
    <row r="5741" spans="1:38" ht="25.5" customHeight="1" x14ac:dyDescent="0.25">
      <c r="A5741" s="10" t="s">
        <v>4441</v>
      </c>
      <c r="B5741" s="11" t="s">
        <v>1668</v>
      </c>
      <c r="C5741" s="5">
        <v>51343.6201</v>
      </c>
      <c r="D5741" s="5">
        <v>51343.6201</v>
      </c>
      <c r="E5741" s="5">
        <v>46492.558799999999</v>
      </c>
      <c r="G5741" s="5" t="str">
        <f t="shared" si="179"/>
        <v>МЕДНЫЙ</v>
      </c>
      <c r="J5741" s="5"/>
      <c r="AL5741" s="5">
        <f t="shared" si="180"/>
        <v>0</v>
      </c>
    </row>
    <row r="5742" spans="1:38" ht="25.5" customHeight="1" x14ac:dyDescent="0.25">
      <c r="A5742" s="10" t="s">
        <v>4442</v>
      </c>
      <c r="B5742" s="11" t="s">
        <v>779</v>
      </c>
      <c r="C5742" s="5">
        <v>46784.877899999999</v>
      </c>
      <c r="D5742" s="5">
        <v>46784.877899999999</v>
      </c>
      <c r="E5742" s="5">
        <v>42364.543299999998</v>
      </c>
      <c r="G5742" s="5" t="str">
        <f t="shared" si="179"/>
        <v>Нижнеисетский</v>
      </c>
      <c r="J5742" s="5"/>
      <c r="AL5742" s="5">
        <f t="shared" si="180"/>
        <v>0</v>
      </c>
    </row>
    <row r="5743" spans="1:38" ht="25.5" customHeight="1" x14ac:dyDescent="0.25">
      <c r="A5743" s="10" t="s">
        <v>4443</v>
      </c>
      <c r="B5743" s="11" t="s">
        <v>1647</v>
      </c>
      <c r="C5743" s="5">
        <v>63178.133800000003</v>
      </c>
      <c r="D5743" s="5">
        <v>63178.133800000003</v>
      </c>
      <c r="E5743" s="5">
        <v>57208.931499999999</v>
      </c>
      <c r="G5743" s="5" t="str">
        <f t="shared" si="179"/>
        <v>ШИРОКАЯ РЕЧКА</v>
      </c>
      <c r="J5743" s="5"/>
      <c r="AL5743" s="5">
        <f t="shared" si="180"/>
        <v>0</v>
      </c>
    </row>
    <row r="5744" spans="1:38" ht="25.5" customHeight="1" x14ac:dyDescent="0.25">
      <c r="A5744" s="10" t="s">
        <v>4444</v>
      </c>
      <c r="B5744" s="11" t="s">
        <v>1661</v>
      </c>
      <c r="C5744" s="5">
        <v>51175.5573</v>
      </c>
      <c r="D5744" s="5">
        <v>51175.5573</v>
      </c>
      <c r="E5744" s="5">
        <v>46340.381600000001</v>
      </c>
      <c r="G5744" s="5" t="str">
        <f t="shared" si="179"/>
        <v>СЕВЕРКА</v>
      </c>
      <c r="J5744" s="5"/>
      <c r="AL5744" s="5">
        <f t="shared" si="180"/>
        <v>0</v>
      </c>
    </row>
    <row r="5745" spans="1:38" ht="25.5" customHeight="1" x14ac:dyDescent="0.25">
      <c r="A5745" s="10" t="s">
        <v>4445</v>
      </c>
      <c r="B5745" s="11" t="s">
        <v>1651</v>
      </c>
      <c r="C5745" s="5">
        <v>68129.029500000004</v>
      </c>
      <c r="D5745" s="5">
        <v>68129.029500000004</v>
      </c>
      <c r="E5745" s="5">
        <v>61692.054799999998</v>
      </c>
      <c r="G5745" s="5" t="str">
        <f t="shared" si="179"/>
        <v>ШАРТАШ</v>
      </c>
      <c r="J5745" s="5"/>
      <c r="AL5745" s="5">
        <f t="shared" si="180"/>
        <v>0</v>
      </c>
    </row>
    <row r="5746" spans="1:38" ht="25.5" customHeight="1" x14ac:dyDescent="0.25">
      <c r="A5746" s="10" t="s">
        <v>4446</v>
      </c>
      <c r="B5746" s="11" t="s">
        <v>1665</v>
      </c>
      <c r="C5746" s="5">
        <v>55692.278700000003</v>
      </c>
      <c r="D5746" s="5">
        <v>55692.278700000003</v>
      </c>
      <c r="E5746" s="5">
        <v>50430.350200000001</v>
      </c>
      <c r="G5746" s="5" t="str">
        <f t="shared" si="179"/>
        <v>ПОЛЕВОДСТВО</v>
      </c>
      <c r="J5746" s="5"/>
      <c r="AL5746" s="5">
        <f t="shared" si="180"/>
        <v>0</v>
      </c>
    </row>
    <row r="5747" spans="1:38" ht="25.5" customHeight="1" x14ac:dyDescent="0.25">
      <c r="A5747" s="10" t="s">
        <v>4447</v>
      </c>
      <c r="B5747" s="11" t="s">
        <v>33</v>
      </c>
      <c r="C5747" s="5">
        <v>84298.205100000006</v>
      </c>
      <c r="D5747" s="5">
        <v>84298.205100000006</v>
      </c>
      <c r="E5747" s="5">
        <v>76333.533100000001</v>
      </c>
      <c r="G5747" s="5" t="str">
        <f t="shared" si="179"/>
        <v>ВИЗ</v>
      </c>
      <c r="J5747" s="5"/>
      <c r="AL5747" s="5">
        <f t="shared" si="180"/>
        <v>0</v>
      </c>
    </row>
    <row r="5748" spans="1:38" ht="25.5" customHeight="1" x14ac:dyDescent="0.25">
      <c r="A5748" s="10" t="s">
        <v>4448</v>
      </c>
      <c r="B5748" s="11" t="s">
        <v>1656</v>
      </c>
      <c r="C5748" s="5">
        <v>60173.9879</v>
      </c>
      <c r="D5748" s="5">
        <v>60173.9879</v>
      </c>
      <c r="E5748" s="5">
        <v>54488.630299999997</v>
      </c>
      <c r="G5748" s="5" t="str">
        <f t="shared" si="179"/>
        <v>МАЛЫЙ ИСТОК</v>
      </c>
      <c r="J5748" s="5"/>
      <c r="AL5748" s="5">
        <f t="shared" si="180"/>
        <v>0</v>
      </c>
    </row>
    <row r="5749" spans="1:38" ht="25.5" customHeight="1" x14ac:dyDescent="0.25">
      <c r="A5749" s="10" t="s">
        <v>1207</v>
      </c>
      <c r="B5749" s="11" t="s">
        <v>1644</v>
      </c>
      <c r="C5749" s="5">
        <v>61980.678599999999</v>
      </c>
      <c r="D5749" s="5">
        <v>61980.678599999999</v>
      </c>
      <c r="E5749" s="5">
        <v>56124.615700000002</v>
      </c>
      <c r="G5749" s="5" t="str">
        <f t="shared" si="179"/>
        <v>ХИММАШ</v>
      </c>
      <c r="J5749" s="5"/>
      <c r="AL5749" s="5">
        <f t="shared" si="180"/>
        <v>0</v>
      </c>
    </row>
    <row r="5750" spans="1:38" ht="25.5" customHeight="1" x14ac:dyDescent="0.25">
      <c r="A5750" s="10" t="s">
        <v>4449</v>
      </c>
      <c r="B5750" s="11" t="s">
        <v>1650</v>
      </c>
      <c r="C5750" s="5">
        <v>37590.3603</v>
      </c>
      <c r="D5750" s="5">
        <v>37590.3603</v>
      </c>
      <c r="E5750" s="5">
        <v>34038.745900000002</v>
      </c>
      <c r="G5750" s="5" t="str">
        <f t="shared" si="179"/>
        <v>ШАБРОВСКИЙ</v>
      </c>
      <c r="J5750" s="5"/>
      <c r="AL5750" s="5">
        <f t="shared" si="180"/>
        <v>0</v>
      </c>
    </row>
    <row r="5751" spans="1:38" ht="25.5" customHeight="1" x14ac:dyDescent="0.25">
      <c r="A5751" s="10" t="s">
        <v>4450</v>
      </c>
      <c r="B5751" s="11" t="s">
        <v>779</v>
      </c>
      <c r="C5751" s="5">
        <v>46784.877899999999</v>
      </c>
      <c r="D5751" s="5">
        <v>46784.877899999999</v>
      </c>
      <c r="E5751" s="5">
        <v>42364.543299999998</v>
      </c>
      <c r="G5751" s="5" t="str">
        <f t="shared" si="179"/>
        <v>Нижнеисетский</v>
      </c>
      <c r="J5751" s="5"/>
      <c r="AL5751" s="5">
        <f t="shared" si="180"/>
        <v>0</v>
      </c>
    </row>
    <row r="5752" spans="1:38" ht="25.5" customHeight="1" x14ac:dyDescent="0.25">
      <c r="A5752" s="10" t="s">
        <v>4451</v>
      </c>
      <c r="B5752" s="11" t="s">
        <v>779</v>
      </c>
      <c r="C5752" s="5">
        <v>46784.877899999999</v>
      </c>
      <c r="D5752" s="5">
        <v>46784.877899999999</v>
      </c>
      <c r="E5752" s="5">
        <v>42364.543299999998</v>
      </c>
      <c r="G5752" s="5" t="str">
        <f t="shared" si="179"/>
        <v>Нижнеисетский</v>
      </c>
      <c r="J5752" s="5"/>
      <c r="AL5752" s="5">
        <f t="shared" si="180"/>
        <v>0</v>
      </c>
    </row>
    <row r="5753" spans="1:38" ht="25.5" customHeight="1" x14ac:dyDescent="0.25">
      <c r="A5753" s="10" t="s">
        <v>4452</v>
      </c>
      <c r="B5753" s="11" t="s">
        <v>1638</v>
      </c>
      <c r="C5753" s="5">
        <v>63640.311600000001</v>
      </c>
      <c r="D5753" s="5">
        <v>63640.311600000001</v>
      </c>
      <c r="E5753" s="5">
        <v>57627.4473</v>
      </c>
      <c r="G5753" s="5" t="str">
        <f t="shared" si="179"/>
        <v>УКТУС</v>
      </c>
      <c r="J5753" s="5"/>
      <c r="AL5753" s="5">
        <f t="shared" si="180"/>
        <v>0</v>
      </c>
    </row>
    <row r="5754" spans="1:38" ht="25.5" customHeight="1" x14ac:dyDescent="0.25">
      <c r="A5754" s="10" t="s">
        <v>1360</v>
      </c>
      <c r="B5754" s="11" t="s">
        <v>1636</v>
      </c>
      <c r="C5754" s="5">
        <v>52246.960299999999</v>
      </c>
      <c r="D5754" s="5">
        <v>52246.960299999999</v>
      </c>
      <c r="E5754" s="5">
        <v>47310.556700000001</v>
      </c>
      <c r="G5754" s="5" t="str">
        <f t="shared" si="179"/>
        <v>ГОРНЫЙ ЩИТ</v>
      </c>
      <c r="J5754" s="5"/>
      <c r="AL5754" s="5">
        <f t="shared" si="180"/>
        <v>0</v>
      </c>
    </row>
    <row r="5755" spans="1:38" ht="25.5" customHeight="1" x14ac:dyDescent="0.25">
      <c r="A5755" s="10" t="s">
        <v>4453</v>
      </c>
      <c r="B5755" s="11" t="s">
        <v>1648</v>
      </c>
      <c r="C5755" s="5">
        <v>49782.025399999999</v>
      </c>
      <c r="D5755" s="5">
        <v>49782.025399999999</v>
      </c>
      <c r="E5755" s="5">
        <v>45078.506800000003</v>
      </c>
      <c r="G5755" s="5" t="str">
        <f t="shared" si="179"/>
        <v>ЧУСОВСКОЕ ОЗЕРО</v>
      </c>
      <c r="J5755" s="5"/>
      <c r="AL5755" s="5">
        <f t="shared" si="180"/>
        <v>0</v>
      </c>
    </row>
    <row r="5756" spans="1:38" ht="25.5" customHeight="1" x14ac:dyDescent="0.25">
      <c r="A5756" s="10" t="s">
        <v>4454</v>
      </c>
      <c r="B5756" s="11" t="s">
        <v>33</v>
      </c>
      <c r="C5756" s="5">
        <v>84298.205100000006</v>
      </c>
      <c r="D5756" s="5">
        <v>84298.205100000006</v>
      </c>
      <c r="E5756" s="5">
        <v>76333.533100000001</v>
      </c>
      <c r="G5756" s="5" t="str">
        <f t="shared" si="179"/>
        <v>ВИЗ</v>
      </c>
      <c r="J5756" s="5"/>
      <c r="AL5756" s="5">
        <f t="shared" si="180"/>
        <v>0</v>
      </c>
    </row>
    <row r="5757" spans="1:38" ht="25.5" customHeight="1" x14ac:dyDescent="0.25">
      <c r="A5757" s="10" t="s">
        <v>4455</v>
      </c>
      <c r="B5757" s="11" t="s">
        <v>1665</v>
      </c>
      <c r="C5757" s="5">
        <v>55692.278700000003</v>
      </c>
      <c r="D5757" s="5">
        <v>55692.278700000003</v>
      </c>
      <c r="E5757" s="5">
        <v>50430.350200000001</v>
      </c>
      <c r="G5757" s="5" t="str">
        <f t="shared" si="179"/>
        <v>ПОЛЕВОДСТВО</v>
      </c>
      <c r="J5757" s="5"/>
      <c r="AL5757" s="5">
        <f t="shared" si="180"/>
        <v>0</v>
      </c>
    </row>
    <row r="5758" spans="1:38" ht="25.5" customHeight="1" x14ac:dyDescent="0.25">
      <c r="A5758" s="10" t="s">
        <v>4456</v>
      </c>
      <c r="B5758" s="11" t="s">
        <v>1668</v>
      </c>
      <c r="C5758" s="5">
        <v>51343.6201</v>
      </c>
      <c r="D5758" s="5">
        <v>51343.6201</v>
      </c>
      <c r="E5758" s="5">
        <v>46492.558799999999</v>
      </c>
      <c r="G5758" s="5" t="str">
        <f t="shared" si="179"/>
        <v>МЕДНЫЙ</v>
      </c>
      <c r="J5758" s="5"/>
      <c r="AL5758" s="5">
        <f t="shared" si="180"/>
        <v>0</v>
      </c>
    </row>
    <row r="5759" spans="1:38" ht="25.5" customHeight="1" x14ac:dyDescent="0.25">
      <c r="A5759" s="10" t="s">
        <v>4457</v>
      </c>
      <c r="B5759" s="11" t="s">
        <v>1644</v>
      </c>
      <c r="C5759" s="5">
        <v>61980.678599999999</v>
      </c>
      <c r="D5759" s="5">
        <v>61980.678599999999</v>
      </c>
      <c r="E5759" s="5">
        <v>56124.615700000002</v>
      </c>
      <c r="G5759" s="5" t="str">
        <f t="shared" ref="G5759:G5822" si="181">B5759</f>
        <v>ХИММАШ</v>
      </c>
      <c r="J5759" s="5"/>
      <c r="AL5759" s="5">
        <f t="shared" ref="AL5759:AL5822" si="182">AF5759</f>
        <v>0</v>
      </c>
    </row>
    <row r="5760" spans="1:38" ht="25.5" customHeight="1" x14ac:dyDescent="0.25">
      <c r="A5760" s="10" t="s">
        <v>4458</v>
      </c>
      <c r="B5760" s="11" t="s">
        <v>1628</v>
      </c>
      <c r="C5760" s="5">
        <v>70734.0236</v>
      </c>
      <c r="D5760" s="5">
        <v>70734.0236</v>
      </c>
      <c r="E5760" s="5">
        <v>64050.9208</v>
      </c>
      <c r="G5760" s="5" t="str">
        <f t="shared" si="181"/>
        <v>ЭЛЬМАШ</v>
      </c>
      <c r="J5760" s="5"/>
      <c r="AL5760" s="5">
        <f t="shared" si="182"/>
        <v>0</v>
      </c>
    </row>
    <row r="5761" spans="1:38" ht="25.5" customHeight="1" x14ac:dyDescent="0.25">
      <c r="A5761" s="10" t="s">
        <v>498</v>
      </c>
      <c r="B5761" s="11" t="s">
        <v>1644</v>
      </c>
      <c r="C5761" s="5">
        <v>61980.678599999999</v>
      </c>
      <c r="D5761" s="5">
        <v>61980.678599999999</v>
      </c>
      <c r="E5761" s="5">
        <v>56124.615700000002</v>
      </c>
      <c r="G5761" s="5" t="str">
        <f t="shared" si="181"/>
        <v>ХИММАШ</v>
      </c>
      <c r="J5761" s="5"/>
      <c r="AL5761" s="5">
        <f t="shared" si="182"/>
        <v>0</v>
      </c>
    </row>
    <row r="5762" spans="1:38" ht="25.5" customHeight="1" x14ac:dyDescent="0.25">
      <c r="A5762" s="10" t="s">
        <v>4459</v>
      </c>
      <c r="B5762" s="11" t="s">
        <v>1650</v>
      </c>
      <c r="C5762" s="5">
        <v>37590.3603</v>
      </c>
      <c r="D5762" s="5">
        <v>37590.3603</v>
      </c>
      <c r="E5762" s="5">
        <v>34038.745900000002</v>
      </c>
      <c r="G5762" s="5" t="str">
        <f t="shared" si="181"/>
        <v>ШАБРОВСКИЙ</v>
      </c>
      <c r="J5762" s="5"/>
      <c r="AL5762" s="5">
        <f t="shared" si="182"/>
        <v>0</v>
      </c>
    </row>
    <row r="5763" spans="1:38" ht="25.5" customHeight="1" x14ac:dyDescent="0.25">
      <c r="A5763" s="10" t="s">
        <v>4460</v>
      </c>
      <c r="B5763" s="11" t="s">
        <v>1647</v>
      </c>
      <c r="C5763" s="5">
        <v>63178.133800000003</v>
      </c>
      <c r="D5763" s="5">
        <v>63178.133800000003</v>
      </c>
      <c r="E5763" s="5">
        <v>57208.931499999999</v>
      </c>
      <c r="G5763" s="5" t="str">
        <f t="shared" si="181"/>
        <v>ШИРОКАЯ РЕЧКА</v>
      </c>
      <c r="J5763" s="5"/>
      <c r="AL5763" s="5">
        <f t="shared" si="182"/>
        <v>0</v>
      </c>
    </row>
    <row r="5764" spans="1:38" ht="25.5" customHeight="1" x14ac:dyDescent="0.25">
      <c r="A5764" s="10" t="s">
        <v>4461</v>
      </c>
      <c r="B5764" s="11" t="s">
        <v>1645</v>
      </c>
      <c r="C5764" s="5">
        <v>60958.294800000003</v>
      </c>
      <c r="D5764" s="5">
        <v>60958.294800000003</v>
      </c>
      <c r="E5764" s="5">
        <v>55198.825199999999</v>
      </c>
      <c r="G5764" s="5" t="str">
        <f t="shared" si="181"/>
        <v>ЕЛИЗАВЕТ</v>
      </c>
      <c r="J5764" s="5"/>
      <c r="AL5764" s="5">
        <f t="shared" si="182"/>
        <v>0</v>
      </c>
    </row>
    <row r="5765" spans="1:38" ht="25.5" customHeight="1" x14ac:dyDescent="0.25">
      <c r="A5765" s="10" t="s">
        <v>4462</v>
      </c>
      <c r="B5765" s="11" t="s">
        <v>1647</v>
      </c>
      <c r="C5765" s="5">
        <v>63178.133800000003</v>
      </c>
      <c r="D5765" s="5">
        <v>63178.133800000003</v>
      </c>
      <c r="E5765" s="5">
        <v>57208.931499999999</v>
      </c>
      <c r="G5765" s="5" t="str">
        <f t="shared" si="181"/>
        <v>ШИРОКАЯ РЕЧКА</v>
      </c>
      <c r="J5765" s="5"/>
      <c r="AL5765" s="5">
        <f t="shared" si="182"/>
        <v>0</v>
      </c>
    </row>
    <row r="5766" spans="1:38" ht="25.5" customHeight="1" x14ac:dyDescent="0.25">
      <c r="A5766" s="10" t="s">
        <v>4463</v>
      </c>
      <c r="B5766" s="11" t="s">
        <v>1644</v>
      </c>
      <c r="C5766" s="5">
        <v>61980.678599999999</v>
      </c>
      <c r="D5766" s="5">
        <v>61980.678599999999</v>
      </c>
      <c r="E5766" s="5">
        <v>56124.615700000002</v>
      </c>
      <c r="G5766" s="5" t="str">
        <f t="shared" si="181"/>
        <v>ХИММАШ</v>
      </c>
      <c r="J5766" s="5"/>
      <c r="AL5766" s="5">
        <f t="shared" si="182"/>
        <v>0</v>
      </c>
    </row>
    <row r="5767" spans="1:38" ht="25.5" customHeight="1" x14ac:dyDescent="0.25">
      <c r="A5767" s="10" t="s">
        <v>4464</v>
      </c>
      <c r="B5767" s="11" t="s">
        <v>1665</v>
      </c>
      <c r="C5767" s="5">
        <v>55692.278700000003</v>
      </c>
      <c r="D5767" s="5">
        <v>55692.278700000003</v>
      </c>
      <c r="E5767" s="5">
        <v>50430.350200000001</v>
      </c>
      <c r="G5767" s="5" t="str">
        <f t="shared" si="181"/>
        <v>ПОЛЕВОДСТВО</v>
      </c>
      <c r="J5767" s="5"/>
      <c r="AL5767" s="5">
        <f t="shared" si="182"/>
        <v>0</v>
      </c>
    </row>
    <row r="5768" spans="1:38" ht="25.5" customHeight="1" x14ac:dyDescent="0.25">
      <c r="A5768" s="10" t="s">
        <v>1073</v>
      </c>
      <c r="B5768" s="11" t="s">
        <v>1636</v>
      </c>
      <c r="C5768" s="5">
        <v>52246.960299999999</v>
      </c>
      <c r="D5768" s="5">
        <v>52246.960299999999</v>
      </c>
      <c r="E5768" s="5">
        <v>47310.556700000001</v>
      </c>
      <c r="G5768" s="5" t="str">
        <f t="shared" si="181"/>
        <v>ГОРНЫЙ ЩИТ</v>
      </c>
      <c r="J5768" s="5"/>
      <c r="AL5768" s="5">
        <f t="shared" si="182"/>
        <v>0</v>
      </c>
    </row>
    <row r="5769" spans="1:38" ht="25.5" customHeight="1" x14ac:dyDescent="0.25">
      <c r="A5769" s="10" t="s">
        <v>4465</v>
      </c>
      <c r="B5769" s="11" t="s">
        <v>1638</v>
      </c>
      <c r="C5769" s="5">
        <v>63640.311600000001</v>
      </c>
      <c r="D5769" s="5">
        <v>63640.311600000001</v>
      </c>
      <c r="E5769" s="5">
        <v>57627.4473</v>
      </c>
      <c r="G5769" s="5" t="str">
        <f t="shared" si="181"/>
        <v>УКТУС</v>
      </c>
      <c r="J5769" s="5"/>
      <c r="AL5769" s="5">
        <f t="shared" si="182"/>
        <v>0</v>
      </c>
    </row>
    <row r="5770" spans="1:38" ht="25.5" customHeight="1" x14ac:dyDescent="0.25">
      <c r="A5770" s="10" t="s">
        <v>4466</v>
      </c>
      <c r="B5770" s="11" t="s">
        <v>1647</v>
      </c>
      <c r="C5770" s="5">
        <v>63178.133800000003</v>
      </c>
      <c r="D5770" s="5">
        <v>63178.133800000003</v>
      </c>
      <c r="E5770" s="5">
        <v>57208.931499999999</v>
      </c>
      <c r="G5770" s="5" t="str">
        <f t="shared" si="181"/>
        <v>ШИРОКАЯ РЕЧКА</v>
      </c>
      <c r="J5770" s="5"/>
      <c r="AL5770" s="5">
        <f t="shared" si="182"/>
        <v>0</v>
      </c>
    </row>
    <row r="5771" spans="1:38" ht="25.5" customHeight="1" x14ac:dyDescent="0.25">
      <c r="A5771" s="10" t="s">
        <v>4467</v>
      </c>
      <c r="B5771" s="11" t="s">
        <v>1647</v>
      </c>
      <c r="C5771" s="5">
        <v>63178.133800000003</v>
      </c>
      <c r="D5771" s="5">
        <v>63178.133800000003</v>
      </c>
      <c r="E5771" s="5">
        <v>57208.931499999999</v>
      </c>
      <c r="G5771" s="5" t="str">
        <f t="shared" si="181"/>
        <v>ШИРОКАЯ РЕЧКА</v>
      </c>
      <c r="J5771" s="5"/>
      <c r="AL5771" s="5">
        <f t="shared" si="182"/>
        <v>0</v>
      </c>
    </row>
    <row r="5772" spans="1:38" ht="25.5" customHeight="1" x14ac:dyDescent="0.25">
      <c r="A5772" s="10" t="s">
        <v>4468</v>
      </c>
      <c r="B5772" s="11" t="s">
        <v>1647</v>
      </c>
      <c r="C5772" s="5">
        <v>63178.133800000003</v>
      </c>
      <c r="D5772" s="5">
        <v>63178.133800000003</v>
      </c>
      <c r="E5772" s="5">
        <v>57208.931499999999</v>
      </c>
      <c r="G5772" s="5" t="str">
        <f t="shared" si="181"/>
        <v>ШИРОКАЯ РЕЧКА</v>
      </c>
      <c r="J5772" s="5"/>
      <c r="AL5772" s="5">
        <f t="shared" si="182"/>
        <v>0</v>
      </c>
    </row>
    <row r="5773" spans="1:38" ht="25.5" customHeight="1" x14ac:dyDescent="0.25">
      <c r="A5773" s="10" t="s">
        <v>1511</v>
      </c>
      <c r="B5773" s="11" t="s">
        <v>779</v>
      </c>
      <c r="C5773" s="5">
        <v>46784.877899999999</v>
      </c>
      <c r="D5773" s="5">
        <v>46784.877899999999</v>
      </c>
      <c r="E5773" s="5">
        <v>42364.543299999998</v>
      </c>
      <c r="G5773" s="5" t="str">
        <f t="shared" si="181"/>
        <v>Нижнеисетский</v>
      </c>
      <c r="J5773" s="5"/>
      <c r="AL5773" s="5">
        <f t="shared" si="182"/>
        <v>0</v>
      </c>
    </row>
    <row r="5774" spans="1:38" ht="25.5" customHeight="1" x14ac:dyDescent="0.25">
      <c r="A5774" s="10" t="s">
        <v>4469</v>
      </c>
      <c r="B5774" s="11" t="s">
        <v>1666</v>
      </c>
      <c r="C5774" s="5">
        <v>46784.877899999999</v>
      </c>
      <c r="D5774" s="5">
        <v>46784.877899999999</v>
      </c>
      <c r="E5774" s="5">
        <v>42364.543299999998</v>
      </c>
      <c r="G5774" s="5" t="str">
        <f t="shared" si="181"/>
        <v>Сулим.Торфянник</v>
      </c>
      <c r="J5774" s="5"/>
      <c r="AL5774" s="5">
        <f t="shared" si="182"/>
        <v>0</v>
      </c>
    </row>
    <row r="5775" spans="1:38" ht="25.5" customHeight="1" x14ac:dyDescent="0.25">
      <c r="A5775" s="10" t="s">
        <v>4470</v>
      </c>
      <c r="B5775" s="11" t="s">
        <v>1628</v>
      </c>
      <c r="C5775" s="5">
        <v>70734.0236</v>
      </c>
      <c r="D5775" s="5">
        <v>70734.0236</v>
      </c>
      <c r="E5775" s="5">
        <v>64050.9208</v>
      </c>
      <c r="G5775" s="5" t="str">
        <f t="shared" si="181"/>
        <v>ЭЛЬМАШ</v>
      </c>
      <c r="J5775" s="5"/>
      <c r="AL5775" s="5">
        <f t="shared" si="182"/>
        <v>0</v>
      </c>
    </row>
    <row r="5776" spans="1:38" ht="25.5" customHeight="1" x14ac:dyDescent="0.25">
      <c r="A5776" s="10" t="s">
        <v>4471</v>
      </c>
      <c r="B5776" s="11" t="s">
        <v>33</v>
      </c>
      <c r="C5776" s="5">
        <v>84298.205100000006</v>
      </c>
      <c r="D5776" s="5">
        <v>84298.205100000006</v>
      </c>
      <c r="E5776" s="5">
        <v>76333.533100000001</v>
      </c>
      <c r="G5776" s="5" t="str">
        <f t="shared" si="181"/>
        <v>ВИЗ</v>
      </c>
      <c r="J5776" s="5"/>
      <c r="AL5776" s="5">
        <f t="shared" si="182"/>
        <v>0</v>
      </c>
    </row>
    <row r="5777" spans="1:38" ht="25.5" customHeight="1" x14ac:dyDescent="0.25">
      <c r="A5777" s="10" t="s">
        <v>4472</v>
      </c>
      <c r="B5777" s="11" t="s">
        <v>1668</v>
      </c>
      <c r="C5777" s="5">
        <v>51343.6201</v>
      </c>
      <c r="D5777" s="5">
        <v>51343.6201</v>
      </c>
      <c r="E5777" s="5">
        <v>46492.558799999999</v>
      </c>
      <c r="G5777" s="5" t="str">
        <f t="shared" si="181"/>
        <v>МЕДНЫЙ</v>
      </c>
      <c r="J5777" s="5"/>
      <c r="AL5777" s="5">
        <f t="shared" si="182"/>
        <v>0</v>
      </c>
    </row>
    <row r="5778" spans="1:38" ht="25.5" customHeight="1" x14ac:dyDescent="0.25">
      <c r="A5778" s="10" t="s">
        <v>4473</v>
      </c>
      <c r="B5778" s="11" t="s">
        <v>1667</v>
      </c>
      <c r="C5778" s="5">
        <v>56546.599699999999</v>
      </c>
      <c r="D5778" s="5">
        <v>56546.599699999999</v>
      </c>
      <c r="E5778" s="5">
        <v>51203.963499999998</v>
      </c>
      <c r="G5778" s="5" t="str">
        <f t="shared" si="181"/>
        <v>КАЛИНОВСКИЙ</v>
      </c>
      <c r="J5778" s="5"/>
      <c r="AL5778" s="5">
        <f t="shared" si="182"/>
        <v>0</v>
      </c>
    </row>
    <row r="5779" spans="1:38" ht="25.5" customHeight="1" x14ac:dyDescent="0.25">
      <c r="A5779" s="10" t="s">
        <v>4474</v>
      </c>
      <c r="B5779" s="11" t="s">
        <v>1657</v>
      </c>
      <c r="C5779" s="5">
        <v>54886.9666</v>
      </c>
      <c r="D5779" s="5">
        <v>54886.9666</v>
      </c>
      <c r="E5779" s="5">
        <v>49701.1319</v>
      </c>
      <c r="G5779" s="5" t="str">
        <f t="shared" si="181"/>
        <v>КОЛЬЦОВО</v>
      </c>
      <c r="J5779" s="5"/>
      <c r="AL5779" s="5">
        <f t="shared" si="182"/>
        <v>0</v>
      </c>
    </row>
    <row r="5780" spans="1:38" ht="25.5" customHeight="1" x14ac:dyDescent="0.25">
      <c r="A5780" s="10" t="s">
        <v>4475</v>
      </c>
      <c r="B5780" s="11" t="s">
        <v>1635</v>
      </c>
      <c r="C5780" s="5">
        <v>57793.0844</v>
      </c>
      <c r="D5780" s="5">
        <v>57793.0844</v>
      </c>
      <c r="E5780" s="5">
        <v>52332.6639</v>
      </c>
      <c r="G5780" s="5" t="str">
        <f t="shared" si="181"/>
        <v>ЛЕЧЕБНЫЙ</v>
      </c>
      <c r="J5780" s="5"/>
      <c r="AL5780" s="5">
        <f t="shared" si="182"/>
        <v>0</v>
      </c>
    </row>
    <row r="5781" spans="1:38" ht="25.5" customHeight="1" x14ac:dyDescent="0.25">
      <c r="A5781" s="10" t="s">
        <v>4476</v>
      </c>
      <c r="B5781" s="11" t="s">
        <v>1636</v>
      </c>
      <c r="C5781" s="5">
        <v>52246.960299999999</v>
      </c>
      <c r="D5781" s="5">
        <v>52246.960299999999</v>
      </c>
      <c r="E5781" s="5">
        <v>47310.556700000001</v>
      </c>
      <c r="G5781" s="5" t="str">
        <f t="shared" si="181"/>
        <v>ГОРНЫЙ ЩИТ</v>
      </c>
      <c r="J5781" s="5"/>
      <c r="AL5781" s="5">
        <f t="shared" si="182"/>
        <v>0</v>
      </c>
    </row>
    <row r="5782" spans="1:38" ht="25.5" customHeight="1" x14ac:dyDescent="0.25">
      <c r="A5782" s="10" t="s">
        <v>4477</v>
      </c>
      <c r="B5782" s="11" t="s">
        <v>1644</v>
      </c>
      <c r="C5782" s="5">
        <v>61980.678599999999</v>
      </c>
      <c r="D5782" s="5">
        <v>61980.678599999999</v>
      </c>
      <c r="E5782" s="5">
        <v>56124.615700000002</v>
      </c>
      <c r="G5782" s="5" t="str">
        <f t="shared" si="181"/>
        <v>ХИММАШ</v>
      </c>
      <c r="J5782" s="5"/>
      <c r="AL5782" s="5">
        <f t="shared" si="182"/>
        <v>0</v>
      </c>
    </row>
    <row r="5783" spans="1:38" ht="25.5" customHeight="1" x14ac:dyDescent="0.25">
      <c r="A5783" s="10" t="s">
        <v>584</v>
      </c>
      <c r="B5783" s="11" t="s">
        <v>1650</v>
      </c>
      <c r="C5783" s="5">
        <v>37590.3603</v>
      </c>
      <c r="D5783" s="5">
        <v>37590.3603</v>
      </c>
      <c r="E5783" s="5">
        <v>34038.745900000002</v>
      </c>
      <c r="G5783" s="5" t="str">
        <f t="shared" si="181"/>
        <v>ШАБРОВСКИЙ</v>
      </c>
      <c r="J5783" s="5"/>
      <c r="AL5783" s="5">
        <f t="shared" si="182"/>
        <v>0</v>
      </c>
    </row>
    <row r="5784" spans="1:38" ht="25.5" customHeight="1" x14ac:dyDescent="0.25">
      <c r="A5784" s="10" t="s">
        <v>4478</v>
      </c>
      <c r="B5784" s="11" t="s">
        <v>779</v>
      </c>
      <c r="C5784" s="5">
        <v>46784.877899999999</v>
      </c>
      <c r="D5784" s="5">
        <v>46784.877899999999</v>
      </c>
      <c r="E5784" s="5">
        <v>42364.543299999998</v>
      </c>
      <c r="G5784" s="5" t="str">
        <f t="shared" si="181"/>
        <v>Нижнеисетский</v>
      </c>
      <c r="J5784" s="5"/>
      <c r="AL5784" s="5">
        <f t="shared" si="182"/>
        <v>0</v>
      </c>
    </row>
    <row r="5785" spans="1:38" ht="25.5" customHeight="1" x14ac:dyDescent="0.25">
      <c r="A5785" s="10" t="s">
        <v>4479</v>
      </c>
      <c r="B5785" s="11" t="s">
        <v>1668</v>
      </c>
      <c r="C5785" s="5">
        <v>51343.6201</v>
      </c>
      <c r="D5785" s="5">
        <v>51343.6201</v>
      </c>
      <c r="E5785" s="5">
        <v>46492.558799999999</v>
      </c>
      <c r="G5785" s="5" t="str">
        <f t="shared" si="181"/>
        <v>МЕДНЫЙ</v>
      </c>
      <c r="J5785" s="5"/>
      <c r="AL5785" s="5">
        <f t="shared" si="182"/>
        <v>0</v>
      </c>
    </row>
    <row r="5786" spans="1:38" ht="25.5" customHeight="1" x14ac:dyDescent="0.25">
      <c r="A5786" s="10" t="s">
        <v>1436</v>
      </c>
      <c r="B5786" s="11" t="s">
        <v>1630</v>
      </c>
      <c r="C5786" s="5">
        <v>62652.9401</v>
      </c>
      <c r="D5786" s="5">
        <v>62652.9401</v>
      </c>
      <c r="E5786" s="5">
        <v>56733.3557</v>
      </c>
      <c r="G5786" s="5" t="str">
        <f t="shared" si="181"/>
        <v>ЧЕРМЕТ</v>
      </c>
      <c r="J5786" s="5"/>
      <c r="AL5786" s="5">
        <f t="shared" si="182"/>
        <v>0</v>
      </c>
    </row>
    <row r="5787" spans="1:38" ht="25.5" customHeight="1" x14ac:dyDescent="0.25">
      <c r="A5787" s="10" t="s">
        <v>4480</v>
      </c>
      <c r="B5787" s="11" t="s">
        <v>1628</v>
      </c>
      <c r="C5787" s="5">
        <v>70734.0236</v>
      </c>
      <c r="D5787" s="5">
        <v>70734.0236</v>
      </c>
      <c r="E5787" s="5">
        <v>64050.9208</v>
      </c>
      <c r="G5787" s="5" t="str">
        <f t="shared" si="181"/>
        <v>ЭЛЬМАШ</v>
      </c>
      <c r="J5787" s="5"/>
      <c r="AL5787" s="5">
        <f t="shared" si="182"/>
        <v>0</v>
      </c>
    </row>
    <row r="5788" spans="1:38" ht="25.5" customHeight="1" x14ac:dyDescent="0.25">
      <c r="A5788" s="10" t="s">
        <v>692</v>
      </c>
      <c r="B5788" s="11" t="s">
        <v>1650</v>
      </c>
      <c r="C5788" s="5">
        <v>37590.3603</v>
      </c>
      <c r="D5788" s="5">
        <v>37590.3603</v>
      </c>
      <c r="E5788" s="5">
        <v>34038.745900000002</v>
      </c>
      <c r="G5788" s="5" t="str">
        <f t="shared" si="181"/>
        <v>ШАБРОВСКИЙ</v>
      </c>
      <c r="J5788" s="5"/>
      <c r="AL5788" s="5">
        <f t="shared" si="182"/>
        <v>0</v>
      </c>
    </row>
    <row r="5789" spans="1:38" ht="25.5" customHeight="1" x14ac:dyDescent="0.25">
      <c r="A5789" s="10" t="s">
        <v>4481</v>
      </c>
      <c r="B5789" s="11" t="s">
        <v>779</v>
      </c>
      <c r="C5789" s="5">
        <v>46784.877899999999</v>
      </c>
      <c r="D5789" s="5">
        <v>46784.877899999999</v>
      </c>
      <c r="E5789" s="5">
        <v>42364.543299999998</v>
      </c>
      <c r="G5789" s="5" t="str">
        <f t="shared" si="181"/>
        <v>Нижнеисетский</v>
      </c>
      <c r="J5789" s="5"/>
      <c r="AL5789" s="5">
        <f t="shared" si="182"/>
        <v>0</v>
      </c>
    </row>
    <row r="5790" spans="1:38" ht="25.5" customHeight="1" x14ac:dyDescent="0.25">
      <c r="A5790" s="10" t="s">
        <v>1080</v>
      </c>
      <c r="B5790" s="11" t="s">
        <v>1636</v>
      </c>
      <c r="C5790" s="5">
        <v>52246.960299999999</v>
      </c>
      <c r="D5790" s="5">
        <v>52246.960299999999</v>
      </c>
      <c r="E5790" s="5">
        <v>47310.556700000001</v>
      </c>
      <c r="G5790" s="5" t="str">
        <f t="shared" si="181"/>
        <v>ГОРНЫЙ ЩИТ</v>
      </c>
      <c r="J5790" s="5"/>
      <c r="AL5790" s="5">
        <f t="shared" si="182"/>
        <v>0</v>
      </c>
    </row>
    <row r="5791" spans="1:38" ht="25.5" customHeight="1" x14ac:dyDescent="0.25">
      <c r="A5791" s="10" t="s">
        <v>4482</v>
      </c>
      <c r="B5791" s="11" t="s">
        <v>1631</v>
      </c>
      <c r="C5791" s="5">
        <v>70026.7601</v>
      </c>
      <c r="D5791" s="5">
        <v>70026.7601</v>
      </c>
      <c r="E5791" s="5">
        <v>63410.482000000004</v>
      </c>
      <c r="G5791" s="5" t="str">
        <f t="shared" si="181"/>
        <v>УРАЛМАШ</v>
      </c>
      <c r="J5791" s="5"/>
      <c r="AL5791" s="5">
        <f t="shared" si="182"/>
        <v>0</v>
      </c>
    </row>
    <row r="5792" spans="1:38" ht="25.5" customHeight="1" x14ac:dyDescent="0.25">
      <c r="A5792" s="10" t="s">
        <v>4483</v>
      </c>
      <c r="B5792" s="11" t="s">
        <v>1645</v>
      </c>
      <c r="C5792" s="5">
        <v>60958.294800000003</v>
      </c>
      <c r="D5792" s="5">
        <v>60958.294800000003</v>
      </c>
      <c r="E5792" s="5">
        <v>55198.825199999999</v>
      </c>
      <c r="G5792" s="5" t="str">
        <f t="shared" si="181"/>
        <v>ЕЛИЗАВЕТ</v>
      </c>
      <c r="J5792" s="5"/>
      <c r="AL5792" s="5">
        <f t="shared" si="182"/>
        <v>0</v>
      </c>
    </row>
    <row r="5793" spans="1:38" ht="25.5" customHeight="1" x14ac:dyDescent="0.25">
      <c r="A5793" s="10" t="s">
        <v>4484</v>
      </c>
      <c r="B5793" s="11" t="s">
        <v>389</v>
      </c>
      <c r="C5793" s="5">
        <v>51175.5573</v>
      </c>
      <c r="D5793" s="5">
        <v>51175.5573</v>
      </c>
      <c r="E5793" s="5">
        <v>46340.381600000001</v>
      </c>
      <c r="G5793" s="5" t="str">
        <f t="shared" si="181"/>
        <v>Северка</v>
      </c>
      <c r="J5793" s="5"/>
      <c r="AL5793" s="5">
        <f t="shared" si="182"/>
        <v>0</v>
      </c>
    </row>
    <row r="5794" spans="1:38" ht="25.5" customHeight="1" x14ac:dyDescent="0.25">
      <c r="A5794" s="10" t="s">
        <v>4485</v>
      </c>
      <c r="B5794" s="11" t="s">
        <v>5166</v>
      </c>
      <c r="C5794" s="5">
        <v>49782.025399999999</v>
      </c>
      <c r="D5794" s="5">
        <v>49782.025399999999</v>
      </c>
      <c r="E5794" s="5">
        <v>45078.506800000003</v>
      </c>
      <c r="G5794" s="5" t="str">
        <f t="shared" si="181"/>
        <v>Чусовское озеро</v>
      </c>
      <c r="J5794" s="5"/>
      <c r="AL5794" s="5">
        <f t="shared" si="182"/>
        <v>0</v>
      </c>
    </row>
    <row r="5795" spans="1:38" ht="25.5" customHeight="1" x14ac:dyDescent="0.25">
      <c r="A5795" s="10" t="s">
        <v>4486</v>
      </c>
      <c r="B5795" s="11" t="s">
        <v>1630</v>
      </c>
      <c r="C5795" s="5">
        <v>62652.9401</v>
      </c>
      <c r="D5795" s="5">
        <v>62652.9401</v>
      </c>
      <c r="E5795" s="5">
        <v>56733.3557</v>
      </c>
      <c r="G5795" s="5" t="str">
        <f t="shared" si="181"/>
        <v>ЧЕРМЕТ</v>
      </c>
      <c r="J5795" s="5"/>
      <c r="AL5795" s="5">
        <f t="shared" si="182"/>
        <v>0</v>
      </c>
    </row>
    <row r="5796" spans="1:38" ht="25.5" customHeight="1" x14ac:dyDescent="0.25">
      <c r="A5796" s="10" t="s">
        <v>4487</v>
      </c>
      <c r="B5796" s="11" t="s">
        <v>1644</v>
      </c>
      <c r="C5796" s="5">
        <v>61980.678599999999</v>
      </c>
      <c r="D5796" s="5">
        <v>61980.678599999999</v>
      </c>
      <c r="E5796" s="5">
        <v>56124.615700000002</v>
      </c>
      <c r="G5796" s="5" t="str">
        <f t="shared" si="181"/>
        <v>ХИММАШ</v>
      </c>
      <c r="J5796" s="5"/>
      <c r="AL5796" s="5">
        <f t="shared" si="182"/>
        <v>0</v>
      </c>
    </row>
    <row r="5797" spans="1:38" ht="25.5" customHeight="1" x14ac:dyDescent="0.25">
      <c r="A5797" s="10" t="s">
        <v>4488</v>
      </c>
      <c r="B5797" s="11" t="s">
        <v>1647</v>
      </c>
      <c r="C5797" s="5">
        <v>63178.133800000003</v>
      </c>
      <c r="D5797" s="5">
        <v>63178.133800000003</v>
      </c>
      <c r="E5797" s="5">
        <v>57208.931499999999</v>
      </c>
      <c r="G5797" s="5" t="str">
        <f t="shared" si="181"/>
        <v>ШИРОКАЯ РЕЧКА</v>
      </c>
      <c r="J5797" s="5"/>
      <c r="AL5797" s="5">
        <f t="shared" si="182"/>
        <v>0</v>
      </c>
    </row>
    <row r="5798" spans="1:38" ht="25.5" customHeight="1" x14ac:dyDescent="0.25">
      <c r="A5798" s="10" t="s">
        <v>4489</v>
      </c>
      <c r="B5798" s="11" t="s">
        <v>1636</v>
      </c>
      <c r="C5798" s="5">
        <v>52246.960299999999</v>
      </c>
      <c r="D5798" s="5">
        <v>52246.960299999999</v>
      </c>
      <c r="E5798" s="5">
        <v>47310.556700000001</v>
      </c>
      <c r="G5798" s="5" t="str">
        <f t="shared" si="181"/>
        <v>ГОРНЫЙ ЩИТ</v>
      </c>
      <c r="J5798" s="5"/>
      <c r="AL5798" s="5">
        <f t="shared" si="182"/>
        <v>0</v>
      </c>
    </row>
    <row r="5799" spans="1:38" ht="25.5" customHeight="1" x14ac:dyDescent="0.25">
      <c r="A5799" s="10" t="s">
        <v>4490</v>
      </c>
      <c r="B5799" s="11" t="s">
        <v>1664</v>
      </c>
      <c r="C5799" s="5">
        <v>53668.506099999999</v>
      </c>
      <c r="D5799" s="5">
        <v>53668.506099999999</v>
      </c>
      <c r="E5799" s="5">
        <v>48597.792699999998</v>
      </c>
      <c r="G5799" s="5" t="str">
        <f t="shared" si="181"/>
        <v>ИЗОПЛИТ</v>
      </c>
      <c r="J5799" s="5"/>
      <c r="AL5799" s="5">
        <f t="shared" si="182"/>
        <v>0</v>
      </c>
    </row>
    <row r="5800" spans="1:38" ht="25.5" customHeight="1" x14ac:dyDescent="0.25">
      <c r="A5800" s="10" t="s">
        <v>4491</v>
      </c>
      <c r="B5800" s="11" t="s">
        <v>1645</v>
      </c>
      <c r="C5800" s="5">
        <v>60958.294800000003</v>
      </c>
      <c r="D5800" s="5">
        <v>60958.294800000003</v>
      </c>
      <c r="E5800" s="5">
        <v>55198.825199999999</v>
      </c>
      <c r="G5800" s="5" t="str">
        <f t="shared" si="181"/>
        <v>ЕЛИЗАВЕТ</v>
      </c>
      <c r="J5800" s="5"/>
      <c r="AL5800" s="5">
        <f t="shared" si="182"/>
        <v>0</v>
      </c>
    </row>
    <row r="5801" spans="1:38" ht="25.5" customHeight="1" x14ac:dyDescent="0.25">
      <c r="A5801" s="10" t="s">
        <v>1348</v>
      </c>
      <c r="B5801" s="11" t="s">
        <v>1645</v>
      </c>
      <c r="C5801" s="5">
        <v>60958.294800000003</v>
      </c>
      <c r="D5801" s="5">
        <v>60958.294800000003</v>
      </c>
      <c r="E5801" s="5">
        <v>55198.825199999999</v>
      </c>
      <c r="G5801" s="5" t="str">
        <f t="shared" si="181"/>
        <v>ЕЛИЗАВЕТ</v>
      </c>
      <c r="J5801" s="5"/>
      <c r="AL5801" s="5">
        <f t="shared" si="182"/>
        <v>0</v>
      </c>
    </row>
    <row r="5802" spans="1:38" ht="25.5" customHeight="1" x14ac:dyDescent="0.25">
      <c r="A5802" s="10" t="s">
        <v>4492</v>
      </c>
      <c r="B5802" s="11" t="s">
        <v>1647</v>
      </c>
      <c r="C5802" s="5">
        <v>63178.133800000003</v>
      </c>
      <c r="D5802" s="5">
        <v>63178.133800000003</v>
      </c>
      <c r="E5802" s="5">
        <v>57208.931499999999</v>
      </c>
      <c r="G5802" s="5" t="str">
        <f t="shared" si="181"/>
        <v>ШИРОКАЯ РЕЧКА</v>
      </c>
      <c r="J5802" s="5"/>
      <c r="AL5802" s="5">
        <f t="shared" si="182"/>
        <v>0</v>
      </c>
    </row>
    <row r="5803" spans="1:38" ht="25.5" customHeight="1" x14ac:dyDescent="0.25">
      <c r="A5803" s="10" t="s">
        <v>1539</v>
      </c>
      <c r="B5803" s="11" t="s">
        <v>1631</v>
      </c>
      <c r="C5803" s="5">
        <v>70026.7601</v>
      </c>
      <c r="D5803" s="5">
        <v>70026.7601</v>
      </c>
      <c r="E5803" s="5">
        <v>63410.482000000004</v>
      </c>
      <c r="G5803" s="5" t="str">
        <f t="shared" si="181"/>
        <v>УРАЛМАШ</v>
      </c>
      <c r="J5803" s="5"/>
      <c r="AL5803" s="5">
        <f t="shared" si="182"/>
        <v>0</v>
      </c>
    </row>
    <row r="5804" spans="1:38" ht="25.5" customHeight="1" x14ac:dyDescent="0.25">
      <c r="A5804" s="10" t="s">
        <v>1388</v>
      </c>
      <c r="B5804" s="11" t="s">
        <v>1630</v>
      </c>
      <c r="C5804" s="5">
        <v>62652.9401</v>
      </c>
      <c r="D5804" s="5">
        <v>62652.9401</v>
      </c>
      <c r="E5804" s="5">
        <v>56733.3557</v>
      </c>
      <c r="G5804" s="5" t="str">
        <f t="shared" si="181"/>
        <v>ЧЕРМЕТ</v>
      </c>
      <c r="J5804" s="5"/>
      <c r="AL5804" s="5">
        <f t="shared" si="182"/>
        <v>0</v>
      </c>
    </row>
    <row r="5805" spans="1:38" ht="25.5" customHeight="1" x14ac:dyDescent="0.25">
      <c r="A5805" s="10" t="s">
        <v>4493</v>
      </c>
      <c r="B5805" s="11" t="s">
        <v>1644</v>
      </c>
      <c r="C5805" s="5">
        <v>61980.678599999999</v>
      </c>
      <c r="D5805" s="5">
        <v>61980.678599999999</v>
      </c>
      <c r="E5805" s="5">
        <v>56124.615700000002</v>
      </c>
      <c r="G5805" s="5" t="str">
        <f t="shared" si="181"/>
        <v>ХИММАШ</v>
      </c>
      <c r="J5805" s="5"/>
      <c r="AL5805" s="5">
        <f t="shared" si="182"/>
        <v>0</v>
      </c>
    </row>
    <row r="5806" spans="1:38" ht="25.5" customHeight="1" x14ac:dyDescent="0.25">
      <c r="A5806" s="10" t="s">
        <v>4494</v>
      </c>
      <c r="B5806" s="11" t="s">
        <v>1629</v>
      </c>
      <c r="C5806" s="5">
        <v>77743.704100000003</v>
      </c>
      <c r="D5806" s="5">
        <v>77743.704100000003</v>
      </c>
      <c r="E5806" s="5">
        <v>70398.310800000007</v>
      </c>
      <c r="G5806" s="5" t="str">
        <f t="shared" si="181"/>
        <v>ПИОНЕРСКИЙ</v>
      </c>
      <c r="J5806" s="5"/>
      <c r="AL5806" s="5">
        <f t="shared" si="182"/>
        <v>0</v>
      </c>
    </row>
    <row r="5807" spans="1:38" ht="25.5" customHeight="1" x14ac:dyDescent="0.25">
      <c r="A5807" s="10" t="s">
        <v>4495</v>
      </c>
      <c r="B5807" s="11" t="s">
        <v>1635</v>
      </c>
      <c r="C5807" s="5">
        <v>57793.0844</v>
      </c>
      <c r="D5807" s="5">
        <v>57793.0844</v>
      </c>
      <c r="E5807" s="5">
        <v>52332.6639</v>
      </c>
      <c r="G5807" s="5" t="str">
        <f t="shared" si="181"/>
        <v>ЛЕЧЕБНЫЙ</v>
      </c>
      <c r="J5807" s="5"/>
      <c r="AL5807" s="5">
        <f t="shared" si="182"/>
        <v>0</v>
      </c>
    </row>
    <row r="5808" spans="1:38" ht="25.5" customHeight="1" x14ac:dyDescent="0.25">
      <c r="A5808" s="10" t="s">
        <v>4496</v>
      </c>
      <c r="B5808" s="11" t="s">
        <v>1636</v>
      </c>
      <c r="C5808" s="5">
        <v>52246.960299999999</v>
      </c>
      <c r="D5808" s="5">
        <v>52246.960299999999</v>
      </c>
      <c r="E5808" s="5">
        <v>47310.556700000001</v>
      </c>
      <c r="G5808" s="5" t="str">
        <f t="shared" si="181"/>
        <v>ГОРНЫЙ ЩИТ</v>
      </c>
      <c r="J5808" s="5"/>
      <c r="AL5808" s="5">
        <f t="shared" si="182"/>
        <v>0</v>
      </c>
    </row>
    <row r="5809" spans="1:38" ht="25.5" customHeight="1" x14ac:dyDescent="0.25">
      <c r="A5809" s="10" t="s">
        <v>4497</v>
      </c>
      <c r="B5809" s="11" t="s">
        <v>1640</v>
      </c>
      <c r="C5809" s="5">
        <v>64914.8</v>
      </c>
      <c r="D5809" s="5">
        <v>64914.8</v>
      </c>
      <c r="E5809" s="5">
        <v>58781.519200000002</v>
      </c>
      <c r="G5809" s="5" t="str">
        <f t="shared" si="181"/>
        <v>Новая сортировка</v>
      </c>
      <c r="J5809" s="5"/>
      <c r="AL5809" s="5">
        <f t="shared" si="182"/>
        <v>0</v>
      </c>
    </row>
    <row r="5810" spans="1:38" ht="25.5" customHeight="1" x14ac:dyDescent="0.25">
      <c r="A5810" s="10" t="s">
        <v>1200</v>
      </c>
      <c r="B5810" s="11" t="s">
        <v>1636</v>
      </c>
      <c r="C5810" s="5">
        <v>52246.960299999999</v>
      </c>
      <c r="D5810" s="5">
        <v>52246.960299999999</v>
      </c>
      <c r="E5810" s="5">
        <v>47310.556700000001</v>
      </c>
      <c r="G5810" s="5" t="str">
        <f t="shared" si="181"/>
        <v>ГОРНЫЙ ЩИТ</v>
      </c>
      <c r="J5810" s="5"/>
      <c r="AL5810" s="5">
        <f t="shared" si="182"/>
        <v>0</v>
      </c>
    </row>
    <row r="5811" spans="1:38" ht="25.5" customHeight="1" x14ac:dyDescent="0.25">
      <c r="A5811" s="10" t="s">
        <v>4498</v>
      </c>
      <c r="B5811" s="11" t="s">
        <v>1647</v>
      </c>
      <c r="C5811" s="5">
        <v>63178.133800000003</v>
      </c>
      <c r="D5811" s="5">
        <v>63178.133800000003</v>
      </c>
      <c r="E5811" s="5">
        <v>57208.931499999999</v>
      </c>
      <c r="G5811" s="5" t="str">
        <f t="shared" si="181"/>
        <v>ШИРОКАЯ РЕЧКА</v>
      </c>
      <c r="J5811" s="5"/>
      <c r="AL5811" s="5">
        <f t="shared" si="182"/>
        <v>0</v>
      </c>
    </row>
    <row r="5812" spans="1:38" ht="25.5" customHeight="1" x14ac:dyDescent="0.25">
      <c r="A5812" s="10" t="s">
        <v>1506</v>
      </c>
      <c r="B5812" s="11" t="s">
        <v>1632</v>
      </c>
      <c r="C5812" s="5">
        <v>83744.997499999998</v>
      </c>
      <c r="D5812" s="5">
        <v>83744.997499999998</v>
      </c>
      <c r="E5812" s="5">
        <v>75832.596099999995</v>
      </c>
      <c r="G5812" s="5" t="str">
        <f t="shared" si="181"/>
        <v>АВТОВОКЗАЛ</v>
      </c>
      <c r="J5812" s="5"/>
      <c r="AL5812" s="5">
        <f t="shared" si="182"/>
        <v>0</v>
      </c>
    </row>
    <row r="5813" spans="1:38" ht="25.5" customHeight="1" x14ac:dyDescent="0.25">
      <c r="A5813" s="10" t="s">
        <v>4499</v>
      </c>
      <c r="B5813" s="11" t="s">
        <v>1656</v>
      </c>
      <c r="C5813" s="5">
        <v>60173.9879</v>
      </c>
      <c r="D5813" s="5">
        <v>60173.9879</v>
      </c>
      <c r="E5813" s="5">
        <v>54488.630299999997</v>
      </c>
      <c r="G5813" s="5" t="str">
        <f t="shared" si="181"/>
        <v>МАЛЫЙ ИСТОК</v>
      </c>
      <c r="J5813" s="5"/>
      <c r="AL5813" s="5">
        <f t="shared" si="182"/>
        <v>0</v>
      </c>
    </row>
    <row r="5814" spans="1:38" ht="25.5" customHeight="1" x14ac:dyDescent="0.25">
      <c r="A5814" s="10" t="s">
        <v>4500</v>
      </c>
      <c r="B5814" s="11" t="s">
        <v>1631</v>
      </c>
      <c r="C5814" s="5">
        <v>70026.7601</v>
      </c>
      <c r="D5814" s="5">
        <v>70026.7601</v>
      </c>
      <c r="E5814" s="5">
        <v>63410.482000000004</v>
      </c>
      <c r="G5814" s="5" t="str">
        <f t="shared" si="181"/>
        <v>УРАЛМАШ</v>
      </c>
      <c r="J5814" s="5"/>
      <c r="AL5814" s="5">
        <f t="shared" si="182"/>
        <v>0</v>
      </c>
    </row>
    <row r="5815" spans="1:38" ht="25.5" customHeight="1" x14ac:dyDescent="0.25">
      <c r="A5815" s="10" t="s">
        <v>4501</v>
      </c>
      <c r="B5815" s="11" t="s">
        <v>1643</v>
      </c>
      <c r="C5815" s="5">
        <v>76630.280299999999</v>
      </c>
      <c r="D5815" s="5">
        <v>76630.280299999999</v>
      </c>
      <c r="E5815" s="5">
        <v>69390.088799999998</v>
      </c>
      <c r="G5815" s="5" t="str">
        <f t="shared" si="181"/>
        <v>Ю-З</v>
      </c>
      <c r="J5815" s="5"/>
      <c r="AL5815" s="5">
        <f t="shared" si="182"/>
        <v>0</v>
      </c>
    </row>
    <row r="5816" spans="1:38" ht="25.5" customHeight="1" x14ac:dyDescent="0.25">
      <c r="A5816" s="10" t="s">
        <v>4502</v>
      </c>
      <c r="B5816" s="11" t="s">
        <v>1636</v>
      </c>
      <c r="C5816" s="5">
        <v>52246.960299999999</v>
      </c>
      <c r="D5816" s="5">
        <v>52246.960299999999</v>
      </c>
      <c r="E5816" s="5">
        <v>47310.556700000001</v>
      </c>
      <c r="G5816" s="5" t="str">
        <f t="shared" si="181"/>
        <v>ГОРНЫЙ ЩИТ</v>
      </c>
      <c r="J5816" s="5"/>
      <c r="AL5816" s="5">
        <f t="shared" si="182"/>
        <v>0</v>
      </c>
    </row>
    <row r="5817" spans="1:38" ht="25.5" customHeight="1" x14ac:dyDescent="0.25">
      <c r="A5817" s="10" t="s">
        <v>996</v>
      </c>
      <c r="B5817" s="11" t="s">
        <v>1650</v>
      </c>
      <c r="C5817" s="5">
        <v>37590.3603</v>
      </c>
      <c r="D5817" s="5">
        <v>37590.3603</v>
      </c>
      <c r="E5817" s="5">
        <v>34038.745900000002</v>
      </c>
      <c r="G5817" s="5" t="str">
        <f t="shared" si="181"/>
        <v>ШАБРОВСКИЙ</v>
      </c>
      <c r="J5817" s="5"/>
      <c r="AL5817" s="5">
        <f t="shared" si="182"/>
        <v>0</v>
      </c>
    </row>
    <row r="5818" spans="1:38" ht="25.5" customHeight="1" x14ac:dyDescent="0.25">
      <c r="A5818" s="10" t="s">
        <v>4503</v>
      </c>
      <c r="B5818" s="11" t="s">
        <v>1636</v>
      </c>
      <c r="C5818" s="5">
        <v>52246.960299999999</v>
      </c>
      <c r="D5818" s="5">
        <v>52246.960299999999</v>
      </c>
      <c r="E5818" s="5">
        <v>47310.556700000001</v>
      </c>
      <c r="G5818" s="5" t="str">
        <f t="shared" si="181"/>
        <v>ГОРНЫЙ ЩИТ</v>
      </c>
      <c r="J5818" s="5"/>
      <c r="AL5818" s="5">
        <f t="shared" si="182"/>
        <v>0</v>
      </c>
    </row>
    <row r="5819" spans="1:38" ht="25.5" customHeight="1" x14ac:dyDescent="0.25">
      <c r="A5819" s="10" t="s">
        <v>4504</v>
      </c>
      <c r="B5819" s="11" t="s">
        <v>1635</v>
      </c>
      <c r="C5819" s="5">
        <v>57793.0844</v>
      </c>
      <c r="D5819" s="5">
        <v>57793.0844</v>
      </c>
      <c r="E5819" s="5">
        <v>52332.6639</v>
      </c>
      <c r="G5819" s="5" t="str">
        <f t="shared" si="181"/>
        <v>ЛЕЧЕБНЫЙ</v>
      </c>
      <c r="J5819" s="5"/>
      <c r="AL5819" s="5">
        <f t="shared" si="182"/>
        <v>0</v>
      </c>
    </row>
    <row r="5820" spans="1:38" ht="25.5" customHeight="1" x14ac:dyDescent="0.25">
      <c r="A5820" s="10" t="s">
        <v>4505</v>
      </c>
      <c r="B5820" s="11" t="s">
        <v>1632</v>
      </c>
      <c r="C5820" s="5">
        <v>83744.997499999998</v>
      </c>
      <c r="D5820" s="5">
        <v>83744.997499999998</v>
      </c>
      <c r="E5820" s="5">
        <v>75832.596099999995</v>
      </c>
      <c r="G5820" s="5" t="str">
        <f t="shared" si="181"/>
        <v>АВТОВОКЗАЛ</v>
      </c>
      <c r="J5820" s="5"/>
      <c r="AL5820" s="5">
        <f t="shared" si="182"/>
        <v>0</v>
      </c>
    </row>
    <row r="5821" spans="1:38" ht="25.5" customHeight="1" x14ac:dyDescent="0.25">
      <c r="A5821" s="10" t="s">
        <v>4506</v>
      </c>
      <c r="B5821" s="11" t="s">
        <v>1650</v>
      </c>
      <c r="C5821" s="5">
        <v>37590.3603</v>
      </c>
      <c r="D5821" s="5">
        <v>37590.3603</v>
      </c>
      <c r="E5821" s="5">
        <v>34038.745900000002</v>
      </c>
      <c r="G5821" s="5" t="str">
        <f t="shared" si="181"/>
        <v>ШАБРОВСКИЙ</v>
      </c>
      <c r="J5821" s="5"/>
      <c r="AL5821" s="5">
        <f t="shared" si="182"/>
        <v>0</v>
      </c>
    </row>
    <row r="5822" spans="1:38" ht="25.5" customHeight="1" x14ac:dyDescent="0.25">
      <c r="A5822" s="10" t="s">
        <v>4507</v>
      </c>
      <c r="B5822" s="11" t="s">
        <v>1660</v>
      </c>
      <c r="C5822" s="5">
        <v>53262.345800000003</v>
      </c>
      <c r="D5822" s="5">
        <v>53262.345800000003</v>
      </c>
      <c r="E5822" s="5">
        <v>48230.0095</v>
      </c>
      <c r="G5822" s="5" t="str">
        <f t="shared" si="181"/>
        <v>САДОВЫЙ</v>
      </c>
      <c r="J5822" s="5"/>
      <c r="AL5822" s="5">
        <f t="shared" si="182"/>
        <v>0</v>
      </c>
    </row>
    <row r="5823" spans="1:38" ht="25.5" customHeight="1" x14ac:dyDescent="0.25">
      <c r="A5823" s="10" t="s">
        <v>4508</v>
      </c>
      <c r="B5823" s="11" t="s">
        <v>1645</v>
      </c>
      <c r="C5823" s="5">
        <v>60958.294800000003</v>
      </c>
      <c r="D5823" s="5">
        <v>60958.294800000003</v>
      </c>
      <c r="E5823" s="5">
        <v>55198.825199999999</v>
      </c>
      <c r="G5823" s="5" t="str">
        <f t="shared" ref="G5823:G5886" si="183">B5823</f>
        <v>ЕЛИЗАВЕТ</v>
      </c>
      <c r="J5823" s="5"/>
      <c r="AL5823" s="5">
        <f t="shared" ref="AL5823:AL5886" si="184">AF5823</f>
        <v>0</v>
      </c>
    </row>
    <row r="5824" spans="1:38" ht="25.5" customHeight="1" x14ac:dyDescent="0.25">
      <c r="A5824" s="10" t="s">
        <v>4509</v>
      </c>
      <c r="B5824" s="11" t="s">
        <v>1631</v>
      </c>
      <c r="C5824" s="5">
        <v>70026.7601</v>
      </c>
      <c r="D5824" s="5">
        <v>70026.7601</v>
      </c>
      <c r="E5824" s="5">
        <v>63410.482000000004</v>
      </c>
      <c r="G5824" s="5" t="str">
        <f t="shared" si="183"/>
        <v>УРАЛМАШ</v>
      </c>
      <c r="J5824" s="5"/>
      <c r="AL5824" s="5">
        <f t="shared" si="184"/>
        <v>0</v>
      </c>
    </row>
    <row r="5825" spans="1:38" ht="25.5" customHeight="1" x14ac:dyDescent="0.25">
      <c r="A5825" s="10" t="s">
        <v>1372</v>
      </c>
      <c r="B5825" s="11" t="s">
        <v>1650</v>
      </c>
      <c r="C5825" s="5">
        <v>37590.3603</v>
      </c>
      <c r="D5825" s="5">
        <v>37590.3603</v>
      </c>
      <c r="E5825" s="5">
        <v>34038.745900000002</v>
      </c>
      <c r="G5825" s="5" t="str">
        <f t="shared" si="183"/>
        <v>ШАБРОВСКИЙ</v>
      </c>
      <c r="J5825" s="5"/>
      <c r="AL5825" s="5">
        <f t="shared" si="184"/>
        <v>0</v>
      </c>
    </row>
    <row r="5826" spans="1:38" ht="25.5" customHeight="1" x14ac:dyDescent="0.25">
      <c r="A5826" s="10" t="s">
        <v>4510</v>
      </c>
      <c r="B5826" s="11" t="s">
        <v>1651</v>
      </c>
      <c r="C5826" s="5">
        <v>68129.029500000004</v>
      </c>
      <c r="D5826" s="5">
        <v>68129.029500000004</v>
      </c>
      <c r="E5826" s="5">
        <v>61692.054799999998</v>
      </c>
      <c r="G5826" s="5" t="str">
        <f t="shared" si="183"/>
        <v>ШАРТАШ</v>
      </c>
      <c r="J5826" s="5"/>
      <c r="AL5826" s="5">
        <f t="shared" si="184"/>
        <v>0</v>
      </c>
    </row>
    <row r="5827" spans="1:38" ht="25.5" customHeight="1" x14ac:dyDescent="0.25">
      <c r="A5827" s="10" t="s">
        <v>4511</v>
      </c>
      <c r="B5827" s="11" t="s">
        <v>1630</v>
      </c>
      <c r="C5827" s="5">
        <v>62652.9401</v>
      </c>
      <c r="D5827" s="5">
        <v>62652.9401</v>
      </c>
      <c r="E5827" s="5">
        <v>56733.3557</v>
      </c>
      <c r="G5827" s="5" t="str">
        <f t="shared" si="183"/>
        <v>ЧЕРМЕТ</v>
      </c>
      <c r="J5827" s="5"/>
      <c r="AL5827" s="5">
        <f t="shared" si="184"/>
        <v>0</v>
      </c>
    </row>
    <row r="5828" spans="1:38" ht="25.5" customHeight="1" x14ac:dyDescent="0.25">
      <c r="A5828" s="10" t="s">
        <v>4512</v>
      </c>
      <c r="B5828" s="11" t="s">
        <v>1631</v>
      </c>
      <c r="C5828" s="5">
        <v>70026.7601</v>
      </c>
      <c r="D5828" s="5">
        <v>70026.7601</v>
      </c>
      <c r="E5828" s="5">
        <v>63410.482000000004</v>
      </c>
      <c r="G5828" s="5" t="str">
        <f t="shared" si="183"/>
        <v>УРАЛМАШ</v>
      </c>
      <c r="J5828" s="5"/>
      <c r="AL5828" s="5">
        <f t="shared" si="184"/>
        <v>0</v>
      </c>
    </row>
    <row r="5829" spans="1:38" ht="25.5" customHeight="1" x14ac:dyDescent="0.25">
      <c r="A5829" s="10" t="s">
        <v>4513</v>
      </c>
      <c r="B5829" s="11" t="s">
        <v>1631</v>
      </c>
      <c r="C5829" s="5">
        <v>70026.7601</v>
      </c>
      <c r="D5829" s="5">
        <v>70026.7601</v>
      </c>
      <c r="E5829" s="5">
        <v>63410.482000000004</v>
      </c>
      <c r="G5829" s="5" t="str">
        <f t="shared" si="183"/>
        <v>УРАЛМАШ</v>
      </c>
      <c r="J5829" s="5"/>
      <c r="AL5829" s="5">
        <f t="shared" si="184"/>
        <v>0</v>
      </c>
    </row>
    <row r="5830" spans="1:38" ht="25.5" customHeight="1" x14ac:dyDescent="0.25">
      <c r="A5830" s="10" t="s">
        <v>4514</v>
      </c>
      <c r="B5830" s="11" t="s">
        <v>33</v>
      </c>
      <c r="C5830" s="5">
        <v>84298.205100000006</v>
      </c>
      <c r="D5830" s="5">
        <v>84298.205100000006</v>
      </c>
      <c r="E5830" s="5">
        <v>76333.533100000001</v>
      </c>
      <c r="G5830" s="5" t="str">
        <f t="shared" si="183"/>
        <v>ВИЗ</v>
      </c>
      <c r="J5830" s="5"/>
      <c r="AL5830" s="5">
        <f t="shared" si="184"/>
        <v>0</v>
      </c>
    </row>
    <row r="5831" spans="1:38" ht="25.5" customHeight="1" x14ac:dyDescent="0.25">
      <c r="A5831" s="10" t="s">
        <v>4515</v>
      </c>
      <c r="B5831" s="11" t="s">
        <v>1668</v>
      </c>
      <c r="C5831" s="5">
        <v>51343.6201</v>
      </c>
      <c r="D5831" s="5">
        <v>51343.6201</v>
      </c>
      <c r="E5831" s="5">
        <v>46492.558799999999</v>
      </c>
      <c r="G5831" s="5" t="str">
        <f t="shared" si="183"/>
        <v>МЕДНЫЙ</v>
      </c>
      <c r="J5831" s="5"/>
      <c r="AL5831" s="5">
        <f t="shared" si="184"/>
        <v>0</v>
      </c>
    </row>
    <row r="5832" spans="1:38" ht="25.5" customHeight="1" x14ac:dyDescent="0.25">
      <c r="A5832" s="10" t="s">
        <v>4516</v>
      </c>
      <c r="B5832" s="11" t="s">
        <v>1647</v>
      </c>
      <c r="C5832" s="5">
        <v>63178.133800000003</v>
      </c>
      <c r="D5832" s="5">
        <v>63178.133800000003</v>
      </c>
      <c r="E5832" s="5">
        <v>57208.931499999999</v>
      </c>
      <c r="G5832" s="5" t="str">
        <f t="shared" si="183"/>
        <v>ШИРОКАЯ РЕЧКА</v>
      </c>
      <c r="J5832" s="5"/>
      <c r="AL5832" s="5">
        <f t="shared" si="184"/>
        <v>0</v>
      </c>
    </row>
    <row r="5833" spans="1:38" ht="25.5" customHeight="1" x14ac:dyDescent="0.25">
      <c r="A5833" s="10" t="s">
        <v>4517</v>
      </c>
      <c r="B5833" s="11" t="s">
        <v>1638</v>
      </c>
      <c r="C5833" s="5">
        <v>63640.311600000001</v>
      </c>
      <c r="D5833" s="5">
        <v>63640.311600000001</v>
      </c>
      <c r="E5833" s="5">
        <v>57627.4473</v>
      </c>
      <c r="G5833" s="5" t="str">
        <f t="shared" si="183"/>
        <v>УКТУС</v>
      </c>
      <c r="J5833" s="5"/>
      <c r="AL5833" s="5">
        <f t="shared" si="184"/>
        <v>0</v>
      </c>
    </row>
    <row r="5834" spans="1:38" ht="25.5" customHeight="1" x14ac:dyDescent="0.25">
      <c r="A5834" s="10" t="s">
        <v>4518</v>
      </c>
      <c r="B5834" s="11" t="s">
        <v>1638</v>
      </c>
      <c r="C5834" s="5">
        <v>63640.311600000001</v>
      </c>
      <c r="D5834" s="5">
        <v>63640.311600000001</v>
      </c>
      <c r="E5834" s="5">
        <v>57627.4473</v>
      </c>
      <c r="G5834" s="5" t="str">
        <f t="shared" si="183"/>
        <v>УКТУС</v>
      </c>
      <c r="J5834" s="5"/>
      <c r="AL5834" s="5">
        <f t="shared" si="184"/>
        <v>0</v>
      </c>
    </row>
    <row r="5835" spans="1:38" ht="25.5" customHeight="1" x14ac:dyDescent="0.25">
      <c r="A5835" s="10" t="s">
        <v>4519</v>
      </c>
      <c r="B5835" s="11" t="s">
        <v>1659</v>
      </c>
      <c r="C5835" s="5">
        <v>59746.832600000002</v>
      </c>
      <c r="D5835" s="5">
        <v>59746.832600000002</v>
      </c>
      <c r="E5835" s="5">
        <v>54101.823700000001</v>
      </c>
      <c r="G5835" s="5" t="str">
        <f t="shared" si="183"/>
        <v>СОВХОЗ</v>
      </c>
      <c r="J5835" s="5"/>
      <c r="AL5835" s="5">
        <f t="shared" si="184"/>
        <v>0</v>
      </c>
    </row>
    <row r="5836" spans="1:38" ht="25.5" customHeight="1" x14ac:dyDescent="0.25">
      <c r="A5836" s="10" t="s">
        <v>919</v>
      </c>
      <c r="B5836" s="11" t="s">
        <v>1661</v>
      </c>
      <c r="C5836" s="5">
        <v>51175.5573</v>
      </c>
      <c r="D5836" s="5">
        <v>51175.5573</v>
      </c>
      <c r="E5836" s="5">
        <v>46340.381600000001</v>
      </c>
      <c r="G5836" s="5" t="str">
        <f t="shared" si="183"/>
        <v>СЕВЕРКА</v>
      </c>
      <c r="J5836" s="5"/>
      <c r="AL5836" s="5">
        <f t="shared" si="184"/>
        <v>0</v>
      </c>
    </row>
    <row r="5837" spans="1:38" ht="25.5" customHeight="1" x14ac:dyDescent="0.25">
      <c r="A5837" s="10" t="s">
        <v>682</v>
      </c>
      <c r="B5837" s="11" t="s">
        <v>1650</v>
      </c>
      <c r="C5837" s="5">
        <v>37590.3603</v>
      </c>
      <c r="D5837" s="5">
        <v>37590.3603</v>
      </c>
      <c r="E5837" s="5">
        <v>34038.745900000002</v>
      </c>
      <c r="G5837" s="5" t="str">
        <f t="shared" si="183"/>
        <v>ШАБРОВСКИЙ</v>
      </c>
      <c r="J5837" s="5"/>
      <c r="AL5837" s="5">
        <f t="shared" si="184"/>
        <v>0</v>
      </c>
    </row>
    <row r="5838" spans="1:38" ht="25.5" customHeight="1" x14ac:dyDescent="0.25">
      <c r="A5838" s="10" t="s">
        <v>4520</v>
      </c>
      <c r="B5838" s="11" t="s">
        <v>1635</v>
      </c>
      <c r="C5838" s="5">
        <v>57793.0844</v>
      </c>
      <c r="D5838" s="5">
        <v>57793.0844</v>
      </c>
      <c r="E5838" s="5">
        <v>52332.6639</v>
      </c>
      <c r="G5838" s="5" t="str">
        <f t="shared" si="183"/>
        <v>ЛЕЧЕБНЫЙ</v>
      </c>
      <c r="J5838" s="5"/>
      <c r="AL5838" s="5">
        <f t="shared" si="184"/>
        <v>0</v>
      </c>
    </row>
    <row r="5839" spans="1:38" ht="25.5" customHeight="1" x14ac:dyDescent="0.25">
      <c r="A5839" s="10" t="s">
        <v>4521</v>
      </c>
      <c r="B5839" s="11" t="s">
        <v>1628</v>
      </c>
      <c r="C5839" s="5">
        <v>70734.0236</v>
      </c>
      <c r="D5839" s="5">
        <v>70734.0236</v>
      </c>
      <c r="E5839" s="5">
        <v>64050.9208</v>
      </c>
      <c r="G5839" s="5" t="str">
        <f t="shared" si="183"/>
        <v>ЭЛЬМАШ</v>
      </c>
      <c r="J5839" s="5"/>
      <c r="AL5839" s="5">
        <f t="shared" si="184"/>
        <v>0</v>
      </c>
    </row>
    <row r="5840" spans="1:38" ht="25.5" customHeight="1" x14ac:dyDescent="0.25">
      <c r="A5840" s="10" t="s">
        <v>4522</v>
      </c>
      <c r="B5840" s="11" t="s">
        <v>1647</v>
      </c>
      <c r="C5840" s="5">
        <v>63178.133800000003</v>
      </c>
      <c r="D5840" s="5">
        <v>63178.133800000003</v>
      </c>
      <c r="E5840" s="5">
        <v>57208.931499999999</v>
      </c>
      <c r="G5840" s="5" t="str">
        <f t="shared" si="183"/>
        <v>ШИРОКАЯ РЕЧКА</v>
      </c>
      <c r="J5840" s="5"/>
      <c r="AL5840" s="5">
        <f t="shared" si="184"/>
        <v>0</v>
      </c>
    </row>
    <row r="5841" spans="1:38" ht="25.5" customHeight="1" x14ac:dyDescent="0.25">
      <c r="A5841" s="10" t="s">
        <v>4523</v>
      </c>
      <c r="B5841" s="11" t="s">
        <v>118</v>
      </c>
      <c r="C5841" s="5">
        <v>53500.443299999999</v>
      </c>
      <c r="D5841" s="5">
        <v>53500.443299999999</v>
      </c>
      <c r="E5841" s="5">
        <v>48445.605100000001</v>
      </c>
      <c r="G5841" s="5" t="str">
        <f t="shared" si="183"/>
        <v>Исток</v>
      </c>
      <c r="J5841" s="5"/>
      <c r="AL5841" s="5">
        <f t="shared" si="184"/>
        <v>0</v>
      </c>
    </row>
    <row r="5842" spans="1:38" ht="25.5" customHeight="1" x14ac:dyDescent="0.25">
      <c r="A5842" s="10" t="s">
        <v>4524</v>
      </c>
      <c r="B5842" s="11" t="s">
        <v>1635</v>
      </c>
      <c r="C5842" s="5">
        <v>57793.0844</v>
      </c>
      <c r="D5842" s="5">
        <v>57793.0844</v>
      </c>
      <c r="E5842" s="5">
        <v>52332.6639</v>
      </c>
      <c r="G5842" s="5" t="str">
        <f t="shared" si="183"/>
        <v>ЛЕЧЕБНЫЙ</v>
      </c>
      <c r="J5842" s="5"/>
      <c r="AL5842" s="5">
        <f t="shared" si="184"/>
        <v>0</v>
      </c>
    </row>
    <row r="5843" spans="1:38" ht="25.5" customHeight="1" x14ac:dyDescent="0.25">
      <c r="A5843" s="10" t="s">
        <v>4525</v>
      </c>
      <c r="B5843" s="11" t="s">
        <v>33</v>
      </c>
      <c r="C5843" s="5">
        <v>84298.205100000006</v>
      </c>
      <c r="D5843" s="5">
        <v>84298.205100000006</v>
      </c>
      <c r="E5843" s="5">
        <v>76333.533100000001</v>
      </c>
      <c r="G5843" s="5" t="str">
        <f t="shared" si="183"/>
        <v>ВИЗ</v>
      </c>
      <c r="J5843" s="5"/>
      <c r="AL5843" s="5">
        <f t="shared" si="184"/>
        <v>0</v>
      </c>
    </row>
    <row r="5844" spans="1:38" ht="25.5" customHeight="1" x14ac:dyDescent="0.25">
      <c r="A5844" s="10" t="s">
        <v>4526</v>
      </c>
      <c r="B5844" s="11" t="s">
        <v>1656</v>
      </c>
      <c r="C5844" s="5">
        <v>60173.9879</v>
      </c>
      <c r="D5844" s="5">
        <v>60173.9879</v>
      </c>
      <c r="E5844" s="5">
        <v>54488.630299999997</v>
      </c>
      <c r="G5844" s="5" t="str">
        <f t="shared" si="183"/>
        <v>МАЛЫЙ ИСТОК</v>
      </c>
      <c r="J5844" s="5"/>
      <c r="AL5844" s="5">
        <f t="shared" si="184"/>
        <v>0</v>
      </c>
    </row>
    <row r="5845" spans="1:38" ht="25.5" customHeight="1" x14ac:dyDescent="0.25">
      <c r="A5845" s="10" t="s">
        <v>4527</v>
      </c>
      <c r="B5845" s="11" t="s">
        <v>1631</v>
      </c>
      <c r="C5845" s="5">
        <v>70026.7601</v>
      </c>
      <c r="D5845" s="5">
        <v>70026.7601</v>
      </c>
      <c r="E5845" s="5">
        <v>63410.482000000004</v>
      </c>
      <c r="G5845" s="5" t="str">
        <f t="shared" si="183"/>
        <v>УРАЛМАШ</v>
      </c>
      <c r="J5845" s="5"/>
      <c r="AL5845" s="5">
        <f t="shared" si="184"/>
        <v>0</v>
      </c>
    </row>
    <row r="5846" spans="1:38" ht="25.5" customHeight="1" x14ac:dyDescent="0.25">
      <c r="A5846" s="10" t="s">
        <v>4528</v>
      </c>
      <c r="B5846" s="11" t="s">
        <v>1666</v>
      </c>
      <c r="C5846" s="5">
        <v>46784.877899999999</v>
      </c>
      <c r="D5846" s="5">
        <v>46784.877899999999</v>
      </c>
      <c r="E5846" s="5">
        <v>42364.543299999998</v>
      </c>
      <c r="G5846" s="5" t="str">
        <f t="shared" si="183"/>
        <v>Сулим.Торфянник</v>
      </c>
      <c r="J5846" s="5"/>
      <c r="AL5846" s="5">
        <f t="shared" si="184"/>
        <v>0</v>
      </c>
    </row>
    <row r="5847" spans="1:38" ht="25.5" customHeight="1" x14ac:dyDescent="0.25">
      <c r="A5847" s="10" t="s">
        <v>4529</v>
      </c>
      <c r="B5847" s="11" t="s">
        <v>1668</v>
      </c>
      <c r="C5847" s="5">
        <v>51343.6201</v>
      </c>
      <c r="D5847" s="5">
        <v>51343.6201</v>
      </c>
      <c r="E5847" s="5">
        <v>46492.558799999999</v>
      </c>
      <c r="G5847" s="5" t="str">
        <f t="shared" si="183"/>
        <v>МЕДНЫЙ</v>
      </c>
      <c r="J5847" s="5"/>
      <c r="AL5847" s="5">
        <f t="shared" si="184"/>
        <v>0</v>
      </c>
    </row>
    <row r="5848" spans="1:38" ht="25.5" customHeight="1" x14ac:dyDescent="0.25">
      <c r="A5848" s="10" t="s">
        <v>4530</v>
      </c>
      <c r="B5848" s="11" t="s">
        <v>1628</v>
      </c>
      <c r="C5848" s="5">
        <v>70734.0236</v>
      </c>
      <c r="D5848" s="5">
        <v>70734.0236</v>
      </c>
      <c r="E5848" s="5">
        <v>64050.9208</v>
      </c>
      <c r="G5848" s="5" t="str">
        <f t="shared" si="183"/>
        <v>ЭЛЬМАШ</v>
      </c>
      <c r="J5848" s="5"/>
      <c r="AL5848" s="5">
        <f t="shared" si="184"/>
        <v>0</v>
      </c>
    </row>
    <row r="5849" spans="1:38" ht="25.5" customHeight="1" x14ac:dyDescent="0.25">
      <c r="A5849" s="10" t="s">
        <v>4531</v>
      </c>
      <c r="B5849" s="11" t="s">
        <v>1628</v>
      </c>
      <c r="C5849" s="5">
        <v>70734.0236</v>
      </c>
      <c r="D5849" s="5">
        <v>70734.0236</v>
      </c>
      <c r="E5849" s="5">
        <v>64050.9208</v>
      </c>
      <c r="G5849" s="5" t="str">
        <f t="shared" si="183"/>
        <v>ЭЛЬМАШ</v>
      </c>
      <c r="J5849" s="5"/>
      <c r="AL5849" s="5">
        <f t="shared" si="184"/>
        <v>0</v>
      </c>
    </row>
    <row r="5850" spans="1:38" ht="25.5" customHeight="1" x14ac:dyDescent="0.25">
      <c r="A5850" s="10" t="s">
        <v>4532</v>
      </c>
      <c r="B5850" s="11" t="s">
        <v>1645</v>
      </c>
      <c r="C5850" s="5">
        <v>60958.294800000003</v>
      </c>
      <c r="D5850" s="5">
        <v>60958.294800000003</v>
      </c>
      <c r="E5850" s="5">
        <v>55198.825199999999</v>
      </c>
      <c r="G5850" s="5" t="str">
        <f t="shared" si="183"/>
        <v>ЕЛИЗАВЕТ</v>
      </c>
      <c r="J5850" s="5"/>
      <c r="AL5850" s="5">
        <f t="shared" si="184"/>
        <v>0</v>
      </c>
    </row>
    <row r="5851" spans="1:38" ht="25.5" customHeight="1" x14ac:dyDescent="0.25">
      <c r="A5851" s="10" t="s">
        <v>4533</v>
      </c>
      <c r="B5851" s="11" t="s">
        <v>779</v>
      </c>
      <c r="C5851" s="5">
        <v>46784.877899999999</v>
      </c>
      <c r="D5851" s="5">
        <v>46784.877899999999</v>
      </c>
      <c r="E5851" s="5">
        <v>42364.543299999998</v>
      </c>
      <c r="G5851" s="5" t="str">
        <f t="shared" si="183"/>
        <v>Нижнеисетский</v>
      </c>
      <c r="J5851" s="5"/>
      <c r="AL5851" s="5">
        <f t="shared" si="184"/>
        <v>0</v>
      </c>
    </row>
    <row r="5852" spans="1:38" ht="25.5" customHeight="1" x14ac:dyDescent="0.25">
      <c r="A5852" s="10" t="s">
        <v>4534</v>
      </c>
      <c r="B5852" s="11" t="s">
        <v>33</v>
      </c>
      <c r="C5852" s="5">
        <v>84298.205100000006</v>
      </c>
      <c r="D5852" s="5">
        <v>84298.205100000006</v>
      </c>
      <c r="E5852" s="5">
        <v>76333.533100000001</v>
      </c>
      <c r="G5852" s="5" t="str">
        <f t="shared" si="183"/>
        <v>ВИЗ</v>
      </c>
      <c r="J5852" s="5"/>
      <c r="AL5852" s="5">
        <f t="shared" si="184"/>
        <v>0</v>
      </c>
    </row>
    <row r="5853" spans="1:38" ht="25.5" customHeight="1" x14ac:dyDescent="0.25">
      <c r="A5853" s="10" t="s">
        <v>4535</v>
      </c>
      <c r="B5853" s="11" t="s">
        <v>1645</v>
      </c>
      <c r="C5853" s="5">
        <v>60958.294800000003</v>
      </c>
      <c r="D5853" s="5">
        <v>60958.294800000003</v>
      </c>
      <c r="E5853" s="5">
        <v>55198.825199999999</v>
      </c>
      <c r="G5853" s="5" t="str">
        <f t="shared" si="183"/>
        <v>ЕЛИЗАВЕТ</v>
      </c>
      <c r="J5853" s="5"/>
      <c r="AL5853" s="5">
        <f t="shared" si="184"/>
        <v>0</v>
      </c>
    </row>
    <row r="5854" spans="1:38" ht="25.5" customHeight="1" x14ac:dyDescent="0.25">
      <c r="A5854" s="10" t="s">
        <v>4536</v>
      </c>
      <c r="B5854" s="11" t="s">
        <v>1637</v>
      </c>
      <c r="C5854" s="5">
        <v>59368.686099999999</v>
      </c>
      <c r="D5854" s="5">
        <v>59368.686099999999</v>
      </c>
      <c r="E5854" s="5">
        <v>53759.401700000002</v>
      </c>
      <c r="G5854" s="5" t="str">
        <f t="shared" si="183"/>
        <v>Старая сортировка</v>
      </c>
      <c r="J5854" s="5"/>
      <c r="AL5854" s="5">
        <f t="shared" si="184"/>
        <v>0</v>
      </c>
    </row>
    <row r="5855" spans="1:38" ht="25.5" customHeight="1" x14ac:dyDescent="0.25">
      <c r="A5855" s="10" t="s">
        <v>4537</v>
      </c>
      <c r="B5855" s="11" t="s">
        <v>1647</v>
      </c>
      <c r="C5855" s="5">
        <v>63178.133800000003</v>
      </c>
      <c r="D5855" s="5">
        <v>63178.133800000003</v>
      </c>
      <c r="E5855" s="5">
        <v>57208.931499999999</v>
      </c>
      <c r="G5855" s="5" t="str">
        <f t="shared" si="183"/>
        <v>ШИРОКАЯ РЕЧКА</v>
      </c>
      <c r="J5855" s="5"/>
      <c r="AL5855" s="5">
        <f t="shared" si="184"/>
        <v>0</v>
      </c>
    </row>
    <row r="5856" spans="1:38" ht="25.5" customHeight="1" x14ac:dyDescent="0.25">
      <c r="A5856" s="10" t="s">
        <v>4538</v>
      </c>
      <c r="B5856" s="11" t="s">
        <v>1647</v>
      </c>
      <c r="C5856" s="5">
        <v>63178.133800000003</v>
      </c>
      <c r="D5856" s="5">
        <v>63178.133800000003</v>
      </c>
      <c r="E5856" s="5">
        <v>57208.931499999999</v>
      </c>
      <c r="G5856" s="5" t="str">
        <f t="shared" si="183"/>
        <v>ШИРОКАЯ РЕЧКА</v>
      </c>
      <c r="J5856" s="5"/>
      <c r="AL5856" s="5">
        <f t="shared" si="184"/>
        <v>0</v>
      </c>
    </row>
    <row r="5857" spans="1:38" ht="25.5" customHeight="1" x14ac:dyDescent="0.25">
      <c r="A5857" s="10" t="s">
        <v>4539</v>
      </c>
      <c r="B5857" s="11" t="s">
        <v>33</v>
      </c>
      <c r="C5857" s="5">
        <v>84298.205100000006</v>
      </c>
      <c r="D5857" s="5">
        <v>84298.205100000006</v>
      </c>
      <c r="E5857" s="5">
        <v>76333.533100000001</v>
      </c>
      <c r="G5857" s="5" t="str">
        <f t="shared" si="183"/>
        <v>ВИЗ</v>
      </c>
      <c r="J5857" s="5"/>
      <c r="AL5857" s="5">
        <f t="shared" si="184"/>
        <v>0</v>
      </c>
    </row>
    <row r="5858" spans="1:38" ht="25.5" customHeight="1" x14ac:dyDescent="0.25">
      <c r="A5858" s="10" t="s">
        <v>4540</v>
      </c>
      <c r="B5858" s="11" t="s">
        <v>1636</v>
      </c>
      <c r="C5858" s="5">
        <v>52246.960299999999</v>
      </c>
      <c r="D5858" s="5">
        <v>52246.960299999999</v>
      </c>
      <c r="E5858" s="5">
        <v>47310.556700000001</v>
      </c>
      <c r="G5858" s="5" t="str">
        <f t="shared" si="183"/>
        <v>ГОРНЫЙ ЩИТ</v>
      </c>
      <c r="J5858" s="5"/>
      <c r="AL5858" s="5">
        <f t="shared" si="184"/>
        <v>0</v>
      </c>
    </row>
    <row r="5859" spans="1:38" ht="25.5" customHeight="1" x14ac:dyDescent="0.25">
      <c r="A5859" s="10" t="s">
        <v>4541</v>
      </c>
      <c r="B5859" s="11" t="s">
        <v>1631</v>
      </c>
      <c r="C5859" s="5">
        <v>70026.7601</v>
      </c>
      <c r="D5859" s="5">
        <v>70026.7601</v>
      </c>
      <c r="E5859" s="5">
        <v>63410.482000000004</v>
      </c>
      <c r="G5859" s="5" t="str">
        <f t="shared" si="183"/>
        <v>УРАЛМАШ</v>
      </c>
      <c r="J5859" s="5"/>
      <c r="AL5859" s="5">
        <f t="shared" si="184"/>
        <v>0</v>
      </c>
    </row>
    <row r="5860" spans="1:38" ht="25.5" customHeight="1" x14ac:dyDescent="0.25">
      <c r="A5860" s="10" t="s">
        <v>4542</v>
      </c>
      <c r="B5860" s="11" t="s">
        <v>33</v>
      </c>
      <c r="C5860" s="5">
        <v>84298.205100000006</v>
      </c>
      <c r="D5860" s="5">
        <v>84298.205100000006</v>
      </c>
      <c r="E5860" s="5">
        <v>76333.533100000001</v>
      </c>
      <c r="G5860" s="5" t="str">
        <f t="shared" si="183"/>
        <v>ВИЗ</v>
      </c>
      <c r="J5860" s="5"/>
      <c r="AL5860" s="5">
        <f t="shared" si="184"/>
        <v>0</v>
      </c>
    </row>
    <row r="5861" spans="1:38" ht="25.5" customHeight="1" x14ac:dyDescent="0.25">
      <c r="A5861" s="10" t="s">
        <v>4543</v>
      </c>
      <c r="B5861" s="11" t="s">
        <v>1659</v>
      </c>
      <c r="C5861" s="5">
        <v>59746.832600000002</v>
      </c>
      <c r="D5861" s="5">
        <v>59746.832600000002</v>
      </c>
      <c r="E5861" s="5">
        <v>54101.823700000001</v>
      </c>
      <c r="G5861" s="5" t="str">
        <f t="shared" si="183"/>
        <v>СОВХОЗ</v>
      </c>
      <c r="J5861" s="5"/>
      <c r="AL5861" s="5">
        <f t="shared" si="184"/>
        <v>0</v>
      </c>
    </row>
    <row r="5862" spans="1:38" ht="25.5" customHeight="1" x14ac:dyDescent="0.25">
      <c r="A5862" s="10" t="s">
        <v>4544</v>
      </c>
      <c r="B5862" s="11" t="s">
        <v>1668</v>
      </c>
      <c r="C5862" s="5">
        <v>51343.6201</v>
      </c>
      <c r="D5862" s="5">
        <v>51343.6201</v>
      </c>
      <c r="E5862" s="5">
        <v>46492.558799999999</v>
      </c>
      <c r="G5862" s="5" t="str">
        <f t="shared" si="183"/>
        <v>МЕДНЫЙ</v>
      </c>
      <c r="J5862" s="5"/>
      <c r="AL5862" s="5">
        <f t="shared" si="184"/>
        <v>0</v>
      </c>
    </row>
    <row r="5863" spans="1:38" ht="25.5" customHeight="1" x14ac:dyDescent="0.25">
      <c r="A5863" s="10" t="s">
        <v>1442</v>
      </c>
      <c r="B5863" s="11" t="s">
        <v>1636</v>
      </c>
      <c r="C5863" s="5">
        <v>52246.960299999999</v>
      </c>
      <c r="D5863" s="5">
        <v>52246.960299999999</v>
      </c>
      <c r="E5863" s="5">
        <v>47310.556700000001</v>
      </c>
      <c r="G5863" s="5" t="str">
        <f t="shared" si="183"/>
        <v>ГОРНЫЙ ЩИТ</v>
      </c>
      <c r="J5863" s="5"/>
      <c r="AL5863" s="5">
        <f t="shared" si="184"/>
        <v>0</v>
      </c>
    </row>
    <row r="5864" spans="1:38" ht="25.5" customHeight="1" x14ac:dyDescent="0.25">
      <c r="A5864" s="10" t="s">
        <v>4545</v>
      </c>
      <c r="B5864" s="11" t="s">
        <v>1635</v>
      </c>
      <c r="C5864" s="5">
        <v>57793.0844</v>
      </c>
      <c r="D5864" s="5">
        <v>57793.0844</v>
      </c>
      <c r="E5864" s="5">
        <v>52332.6639</v>
      </c>
      <c r="G5864" s="5" t="str">
        <f t="shared" si="183"/>
        <v>ЛЕЧЕБНЫЙ</v>
      </c>
      <c r="J5864" s="5"/>
      <c r="AL5864" s="5">
        <f t="shared" si="184"/>
        <v>0</v>
      </c>
    </row>
    <row r="5865" spans="1:38" ht="25.5" customHeight="1" x14ac:dyDescent="0.25">
      <c r="A5865" s="10" t="s">
        <v>4546</v>
      </c>
      <c r="B5865" s="11" t="s">
        <v>1668</v>
      </c>
      <c r="C5865" s="5">
        <v>51343.6201</v>
      </c>
      <c r="D5865" s="5">
        <v>51343.6201</v>
      </c>
      <c r="E5865" s="5">
        <v>46492.558799999999</v>
      </c>
      <c r="G5865" s="5" t="str">
        <f t="shared" si="183"/>
        <v>МЕДНЫЙ</v>
      </c>
      <c r="J5865" s="5"/>
      <c r="AL5865" s="5">
        <f t="shared" si="184"/>
        <v>0</v>
      </c>
    </row>
    <row r="5866" spans="1:38" ht="25.5" customHeight="1" x14ac:dyDescent="0.25">
      <c r="A5866" s="10" t="s">
        <v>4547</v>
      </c>
      <c r="B5866" s="11" t="s">
        <v>1639</v>
      </c>
      <c r="C5866" s="5">
        <v>53500.443299999999</v>
      </c>
      <c r="D5866" s="5">
        <v>53500.443299999999</v>
      </c>
      <c r="E5866" s="5">
        <v>48445.605100000001</v>
      </c>
      <c r="G5866" s="5" t="str">
        <f t="shared" si="183"/>
        <v>ИСТОК</v>
      </c>
      <c r="J5866" s="5"/>
      <c r="AL5866" s="5">
        <f t="shared" si="184"/>
        <v>0</v>
      </c>
    </row>
    <row r="5867" spans="1:38" ht="25.5" customHeight="1" x14ac:dyDescent="0.25">
      <c r="A5867" s="10" t="s">
        <v>4548</v>
      </c>
      <c r="B5867" s="11" t="s">
        <v>1631</v>
      </c>
      <c r="C5867" s="5">
        <v>70026.7601</v>
      </c>
      <c r="D5867" s="5">
        <v>70026.7601</v>
      </c>
      <c r="E5867" s="5">
        <v>63410.482000000004</v>
      </c>
      <c r="G5867" s="5" t="str">
        <f t="shared" si="183"/>
        <v>УРАЛМАШ</v>
      </c>
      <c r="J5867" s="5"/>
      <c r="AL5867" s="5">
        <f t="shared" si="184"/>
        <v>0</v>
      </c>
    </row>
    <row r="5868" spans="1:38" ht="25.5" customHeight="1" x14ac:dyDescent="0.25">
      <c r="A5868" s="10" t="s">
        <v>4549</v>
      </c>
      <c r="B5868" s="11" t="s">
        <v>1639</v>
      </c>
      <c r="C5868" s="5">
        <v>53500.443299999999</v>
      </c>
      <c r="D5868" s="5">
        <v>53500.443299999999</v>
      </c>
      <c r="E5868" s="5">
        <v>48445.605100000001</v>
      </c>
      <c r="G5868" s="5" t="str">
        <f t="shared" si="183"/>
        <v>ИСТОК</v>
      </c>
      <c r="J5868" s="5"/>
      <c r="AL5868" s="5">
        <f t="shared" si="184"/>
        <v>0</v>
      </c>
    </row>
    <row r="5869" spans="1:38" ht="25.5" customHeight="1" x14ac:dyDescent="0.25">
      <c r="A5869" s="10" t="s">
        <v>4550</v>
      </c>
      <c r="B5869" s="11" t="s">
        <v>118</v>
      </c>
      <c r="C5869" s="5">
        <v>53500.443299999999</v>
      </c>
      <c r="D5869" s="5">
        <v>53500.443299999999</v>
      </c>
      <c r="E5869" s="5">
        <v>48445.605100000001</v>
      </c>
      <c r="G5869" s="5" t="str">
        <f t="shared" si="183"/>
        <v>Исток</v>
      </c>
      <c r="J5869" s="5"/>
      <c r="AL5869" s="5">
        <f t="shared" si="184"/>
        <v>0</v>
      </c>
    </row>
    <row r="5870" spans="1:38" ht="25.5" customHeight="1" x14ac:dyDescent="0.25">
      <c r="A5870" s="10" t="s">
        <v>4551</v>
      </c>
      <c r="B5870" s="11" t="s">
        <v>1668</v>
      </c>
      <c r="C5870" s="5">
        <v>51343.6201</v>
      </c>
      <c r="D5870" s="5">
        <v>51343.6201</v>
      </c>
      <c r="E5870" s="5">
        <v>46492.558799999999</v>
      </c>
      <c r="G5870" s="5" t="str">
        <f t="shared" si="183"/>
        <v>МЕДНЫЙ</v>
      </c>
      <c r="J5870" s="5"/>
      <c r="AL5870" s="5">
        <f t="shared" si="184"/>
        <v>0</v>
      </c>
    </row>
    <row r="5871" spans="1:38" ht="25.5" customHeight="1" x14ac:dyDescent="0.25">
      <c r="A5871" s="10" t="s">
        <v>4552</v>
      </c>
      <c r="B5871" s="11" t="s">
        <v>1660</v>
      </c>
      <c r="C5871" s="5">
        <v>53262.345800000003</v>
      </c>
      <c r="D5871" s="5">
        <v>53262.345800000003</v>
      </c>
      <c r="E5871" s="5">
        <v>48230.0095</v>
      </c>
      <c r="G5871" s="5" t="str">
        <f t="shared" si="183"/>
        <v>САДОВЫЙ</v>
      </c>
      <c r="J5871" s="5"/>
      <c r="AL5871" s="5">
        <f t="shared" si="184"/>
        <v>0</v>
      </c>
    </row>
    <row r="5872" spans="1:38" ht="25.5" customHeight="1" x14ac:dyDescent="0.25">
      <c r="A5872" s="10" t="s">
        <v>4553</v>
      </c>
      <c r="B5872" s="11" t="s">
        <v>1637</v>
      </c>
      <c r="C5872" s="5">
        <v>59368.686099999999</v>
      </c>
      <c r="D5872" s="5">
        <v>59368.686099999999</v>
      </c>
      <c r="E5872" s="5">
        <v>53759.401700000002</v>
      </c>
      <c r="G5872" s="5" t="str">
        <f t="shared" si="183"/>
        <v>Старая сортировка</v>
      </c>
      <c r="J5872" s="5"/>
      <c r="AL5872" s="5">
        <f t="shared" si="184"/>
        <v>0</v>
      </c>
    </row>
    <row r="5873" spans="1:38" ht="25.5" customHeight="1" x14ac:dyDescent="0.25">
      <c r="A5873" s="10" t="s">
        <v>4554</v>
      </c>
      <c r="B5873" s="11" t="s">
        <v>1659</v>
      </c>
      <c r="C5873" s="5">
        <v>59746.832600000002</v>
      </c>
      <c r="D5873" s="5">
        <v>59746.832600000002</v>
      </c>
      <c r="E5873" s="5">
        <v>54101.823700000001</v>
      </c>
      <c r="G5873" s="5" t="str">
        <f t="shared" si="183"/>
        <v>СОВХОЗ</v>
      </c>
      <c r="J5873" s="5"/>
      <c r="AL5873" s="5">
        <f t="shared" si="184"/>
        <v>0</v>
      </c>
    </row>
    <row r="5874" spans="1:38" ht="25.5" customHeight="1" x14ac:dyDescent="0.25">
      <c r="A5874" s="10" t="s">
        <v>570</v>
      </c>
      <c r="B5874" s="11" t="s">
        <v>1657</v>
      </c>
      <c r="C5874" s="5">
        <v>54886.9666</v>
      </c>
      <c r="D5874" s="5">
        <v>54886.9666</v>
      </c>
      <c r="E5874" s="5">
        <v>49701.1319</v>
      </c>
      <c r="G5874" s="5" t="str">
        <f t="shared" si="183"/>
        <v>КОЛЬЦОВО</v>
      </c>
      <c r="J5874" s="5"/>
      <c r="AL5874" s="5">
        <f t="shared" si="184"/>
        <v>0</v>
      </c>
    </row>
    <row r="5875" spans="1:38" ht="25.5" customHeight="1" x14ac:dyDescent="0.25">
      <c r="A5875" s="10" t="s">
        <v>4555</v>
      </c>
      <c r="B5875" s="11" t="s">
        <v>1661</v>
      </c>
      <c r="C5875" s="5">
        <v>51175.5573</v>
      </c>
      <c r="D5875" s="5">
        <v>51175.5573</v>
      </c>
      <c r="E5875" s="5">
        <v>46340.381600000001</v>
      </c>
      <c r="G5875" s="5" t="str">
        <f t="shared" si="183"/>
        <v>СЕВЕРКА</v>
      </c>
      <c r="J5875" s="5"/>
      <c r="AL5875" s="5">
        <f t="shared" si="184"/>
        <v>0</v>
      </c>
    </row>
    <row r="5876" spans="1:38" ht="25.5" customHeight="1" x14ac:dyDescent="0.25">
      <c r="A5876" s="10" t="s">
        <v>4556</v>
      </c>
      <c r="B5876" s="11" t="s">
        <v>779</v>
      </c>
      <c r="C5876" s="5">
        <v>46784.877899999999</v>
      </c>
      <c r="D5876" s="5">
        <v>46784.877899999999</v>
      </c>
      <c r="E5876" s="5">
        <v>42364.543299999998</v>
      </c>
      <c r="G5876" s="5" t="str">
        <f t="shared" si="183"/>
        <v>Нижнеисетский</v>
      </c>
      <c r="J5876" s="5"/>
      <c r="AL5876" s="5">
        <f t="shared" si="184"/>
        <v>0</v>
      </c>
    </row>
    <row r="5877" spans="1:38" ht="25.5" customHeight="1" x14ac:dyDescent="0.25">
      <c r="A5877" s="10" t="s">
        <v>4557</v>
      </c>
      <c r="B5877" s="11" t="s">
        <v>1628</v>
      </c>
      <c r="C5877" s="5">
        <v>70734.0236</v>
      </c>
      <c r="D5877" s="5">
        <v>70734.0236</v>
      </c>
      <c r="E5877" s="5">
        <v>64050.9208</v>
      </c>
      <c r="G5877" s="5" t="str">
        <f t="shared" si="183"/>
        <v>ЭЛЬМАШ</v>
      </c>
      <c r="J5877" s="5"/>
      <c r="AL5877" s="5">
        <f t="shared" si="184"/>
        <v>0</v>
      </c>
    </row>
    <row r="5878" spans="1:38" ht="25.5" customHeight="1" x14ac:dyDescent="0.25">
      <c r="A5878" s="10" t="s">
        <v>4558</v>
      </c>
      <c r="B5878" s="11" t="s">
        <v>1628</v>
      </c>
      <c r="C5878" s="5">
        <v>70734.0236</v>
      </c>
      <c r="D5878" s="5">
        <v>70734.0236</v>
      </c>
      <c r="E5878" s="5">
        <v>64050.9208</v>
      </c>
      <c r="G5878" s="5" t="str">
        <f t="shared" si="183"/>
        <v>ЭЛЬМАШ</v>
      </c>
      <c r="J5878" s="5"/>
      <c r="AL5878" s="5">
        <f t="shared" si="184"/>
        <v>0</v>
      </c>
    </row>
    <row r="5879" spans="1:38" ht="25.5" customHeight="1" x14ac:dyDescent="0.25">
      <c r="A5879" s="10" t="s">
        <v>4559</v>
      </c>
      <c r="B5879" s="11" t="s">
        <v>1647</v>
      </c>
      <c r="C5879" s="5">
        <v>63178.133800000003</v>
      </c>
      <c r="D5879" s="5">
        <v>63178.133800000003</v>
      </c>
      <c r="E5879" s="5">
        <v>57208.931499999999</v>
      </c>
      <c r="G5879" s="5" t="str">
        <f t="shared" si="183"/>
        <v>ШИРОКАЯ РЕЧКА</v>
      </c>
      <c r="J5879" s="5"/>
      <c r="AL5879" s="5">
        <f t="shared" si="184"/>
        <v>0</v>
      </c>
    </row>
    <row r="5880" spans="1:38" ht="25.5" customHeight="1" x14ac:dyDescent="0.25">
      <c r="A5880" s="10" t="s">
        <v>4560</v>
      </c>
      <c r="B5880" s="11" t="s">
        <v>1635</v>
      </c>
      <c r="C5880" s="5">
        <v>57793.0844</v>
      </c>
      <c r="D5880" s="5">
        <v>57793.0844</v>
      </c>
      <c r="E5880" s="5">
        <v>52332.6639</v>
      </c>
      <c r="G5880" s="5" t="str">
        <f t="shared" si="183"/>
        <v>ЛЕЧЕБНЫЙ</v>
      </c>
      <c r="J5880" s="5"/>
      <c r="AL5880" s="5">
        <f t="shared" si="184"/>
        <v>0</v>
      </c>
    </row>
    <row r="5881" spans="1:38" ht="25.5" customHeight="1" x14ac:dyDescent="0.25">
      <c r="A5881" s="10" t="s">
        <v>4561</v>
      </c>
      <c r="B5881" s="11" t="s">
        <v>1639</v>
      </c>
      <c r="C5881" s="5">
        <v>53500.443299999999</v>
      </c>
      <c r="D5881" s="5">
        <v>53500.443299999999</v>
      </c>
      <c r="E5881" s="5">
        <v>48445.605100000001</v>
      </c>
      <c r="G5881" s="5" t="str">
        <f t="shared" si="183"/>
        <v>ИСТОК</v>
      </c>
      <c r="J5881" s="5"/>
      <c r="AL5881" s="5">
        <f t="shared" si="184"/>
        <v>0</v>
      </c>
    </row>
    <row r="5882" spans="1:38" ht="25.5" customHeight="1" x14ac:dyDescent="0.25">
      <c r="A5882" s="10" t="s">
        <v>4562</v>
      </c>
      <c r="B5882" s="11" t="s">
        <v>33</v>
      </c>
      <c r="C5882" s="5">
        <v>84298.205100000006</v>
      </c>
      <c r="D5882" s="5">
        <v>84298.205100000006</v>
      </c>
      <c r="E5882" s="5">
        <v>76333.533100000001</v>
      </c>
      <c r="G5882" s="5" t="str">
        <f t="shared" si="183"/>
        <v>ВИЗ</v>
      </c>
      <c r="J5882" s="5"/>
      <c r="AL5882" s="5">
        <f t="shared" si="184"/>
        <v>0</v>
      </c>
    </row>
    <row r="5883" spans="1:38" ht="25.5" customHeight="1" x14ac:dyDescent="0.25">
      <c r="A5883" s="10" t="s">
        <v>4563</v>
      </c>
      <c r="B5883" s="11" t="s">
        <v>1635</v>
      </c>
      <c r="C5883" s="5">
        <v>57793.0844</v>
      </c>
      <c r="D5883" s="5">
        <v>57793.0844</v>
      </c>
      <c r="E5883" s="5">
        <v>52332.6639</v>
      </c>
      <c r="G5883" s="5" t="str">
        <f t="shared" si="183"/>
        <v>ЛЕЧЕБНЫЙ</v>
      </c>
      <c r="J5883" s="5"/>
      <c r="AL5883" s="5">
        <f t="shared" si="184"/>
        <v>0</v>
      </c>
    </row>
    <row r="5884" spans="1:38" ht="25.5" customHeight="1" x14ac:dyDescent="0.25">
      <c r="A5884" s="10" t="s">
        <v>4564</v>
      </c>
      <c r="B5884" s="11" t="s">
        <v>1650</v>
      </c>
      <c r="C5884" s="5">
        <v>37590.3603</v>
      </c>
      <c r="D5884" s="5">
        <v>37590.3603</v>
      </c>
      <c r="E5884" s="5">
        <v>34038.745900000002</v>
      </c>
      <c r="G5884" s="5" t="str">
        <f t="shared" si="183"/>
        <v>ШАБРОВСКИЙ</v>
      </c>
      <c r="J5884" s="5"/>
      <c r="AL5884" s="5">
        <f t="shared" si="184"/>
        <v>0</v>
      </c>
    </row>
    <row r="5885" spans="1:38" ht="25.5" customHeight="1" x14ac:dyDescent="0.25">
      <c r="A5885" s="10" t="s">
        <v>4565</v>
      </c>
      <c r="B5885" s="11" t="s">
        <v>1650</v>
      </c>
      <c r="C5885" s="5">
        <v>37590.3603</v>
      </c>
      <c r="D5885" s="5">
        <v>37590.3603</v>
      </c>
      <c r="E5885" s="5">
        <v>34038.745900000002</v>
      </c>
      <c r="G5885" s="5" t="str">
        <f t="shared" si="183"/>
        <v>ШАБРОВСКИЙ</v>
      </c>
      <c r="J5885" s="5"/>
      <c r="AL5885" s="5">
        <f t="shared" si="184"/>
        <v>0</v>
      </c>
    </row>
    <row r="5886" spans="1:38" ht="25.5" customHeight="1" x14ac:dyDescent="0.25">
      <c r="A5886" s="10" t="s">
        <v>4566</v>
      </c>
      <c r="B5886" s="11" t="s">
        <v>33</v>
      </c>
      <c r="C5886" s="5">
        <v>84298.205100000006</v>
      </c>
      <c r="D5886" s="5">
        <v>84298.205100000006</v>
      </c>
      <c r="E5886" s="5">
        <v>76333.533100000001</v>
      </c>
      <c r="G5886" s="5" t="str">
        <f t="shared" si="183"/>
        <v>ВИЗ</v>
      </c>
      <c r="J5886" s="5"/>
      <c r="AL5886" s="5">
        <f t="shared" si="184"/>
        <v>0</v>
      </c>
    </row>
    <row r="5887" spans="1:38" ht="25.5" customHeight="1" x14ac:dyDescent="0.25">
      <c r="A5887" s="10" t="s">
        <v>4567</v>
      </c>
      <c r="B5887" s="11" t="s">
        <v>1656</v>
      </c>
      <c r="C5887" s="5">
        <v>60173.9879</v>
      </c>
      <c r="D5887" s="5">
        <v>60173.9879</v>
      </c>
      <c r="E5887" s="5">
        <v>54488.630299999997</v>
      </c>
      <c r="G5887" s="5" t="str">
        <f t="shared" ref="G5887:G5950" si="185">B5887</f>
        <v>МАЛЫЙ ИСТОК</v>
      </c>
      <c r="J5887" s="5"/>
      <c r="AL5887" s="5">
        <f t="shared" ref="AL5887:AL5950" si="186">AF5887</f>
        <v>0</v>
      </c>
    </row>
    <row r="5888" spans="1:38" ht="25.5" customHeight="1" x14ac:dyDescent="0.25">
      <c r="A5888" s="10" t="s">
        <v>4568</v>
      </c>
      <c r="B5888" s="11" t="s">
        <v>1647</v>
      </c>
      <c r="C5888" s="5">
        <v>63178.133800000003</v>
      </c>
      <c r="D5888" s="5">
        <v>63178.133800000003</v>
      </c>
      <c r="E5888" s="5">
        <v>57208.931499999999</v>
      </c>
      <c r="G5888" s="5" t="str">
        <f t="shared" si="185"/>
        <v>ШИРОКАЯ РЕЧКА</v>
      </c>
      <c r="J5888" s="5"/>
      <c r="AL5888" s="5">
        <f t="shared" si="186"/>
        <v>0</v>
      </c>
    </row>
    <row r="5889" spans="1:38" ht="25.5" customHeight="1" x14ac:dyDescent="0.25">
      <c r="A5889" s="10" t="s">
        <v>4569</v>
      </c>
      <c r="B5889" s="11" t="s">
        <v>1653</v>
      </c>
      <c r="C5889" s="5">
        <v>56847.723400000003</v>
      </c>
      <c r="D5889" s="5">
        <v>56847.723400000003</v>
      </c>
      <c r="E5889" s="5">
        <v>51476.629399999998</v>
      </c>
      <c r="G5889" s="5" t="str">
        <f t="shared" si="185"/>
        <v>ПТИЦЕФАБРИКА</v>
      </c>
      <c r="J5889" s="5"/>
      <c r="AL5889" s="5">
        <f t="shared" si="186"/>
        <v>0</v>
      </c>
    </row>
    <row r="5890" spans="1:38" ht="25.5" customHeight="1" x14ac:dyDescent="0.25">
      <c r="A5890" s="10" t="s">
        <v>1006</v>
      </c>
      <c r="B5890" s="11" t="s">
        <v>1667</v>
      </c>
      <c r="C5890" s="5">
        <v>56546.599699999999</v>
      </c>
      <c r="D5890" s="5">
        <v>56546.599699999999</v>
      </c>
      <c r="E5890" s="5">
        <v>51203.963499999998</v>
      </c>
      <c r="G5890" s="5" t="str">
        <f t="shared" si="185"/>
        <v>КАЛИНОВСКИЙ</v>
      </c>
      <c r="J5890" s="5"/>
      <c r="AL5890" s="5">
        <f t="shared" si="186"/>
        <v>0</v>
      </c>
    </row>
    <row r="5891" spans="1:38" ht="25.5" customHeight="1" x14ac:dyDescent="0.25">
      <c r="A5891" s="10" t="s">
        <v>4570</v>
      </c>
      <c r="B5891" s="11" t="s">
        <v>1656</v>
      </c>
      <c r="C5891" s="5">
        <v>60173.9879</v>
      </c>
      <c r="D5891" s="5">
        <v>60173.9879</v>
      </c>
      <c r="E5891" s="5">
        <v>54488.630299999997</v>
      </c>
      <c r="G5891" s="5" t="str">
        <f t="shared" si="185"/>
        <v>МАЛЫЙ ИСТОК</v>
      </c>
      <c r="J5891" s="5"/>
      <c r="AL5891" s="5">
        <f t="shared" si="186"/>
        <v>0</v>
      </c>
    </row>
    <row r="5892" spans="1:38" ht="25.5" customHeight="1" x14ac:dyDescent="0.25">
      <c r="A5892" s="10" t="s">
        <v>1373</v>
      </c>
      <c r="B5892" s="11" t="s">
        <v>1650</v>
      </c>
      <c r="C5892" s="5">
        <v>37590.3603</v>
      </c>
      <c r="D5892" s="5">
        <v>37590.3603</v>
      </c>
      <c r="E5892" s="5">
        <v>34038.745900000002</v>
      </c>
      <c r="G5892" s="5" t="str">
        <f t="shared" si="185"/>
        <v>ШАБРОВСКИЙ</v>
      </c>
      <c r="J5892" s="5"/>
      <c r="AL5892" s="5">
        <f t="shared" si="186"/>
        <v>0</v>
      </c>
    </row>
    <row r="5893" spans="1:38" ht="25.5" customHeight="1" x14ac:dyDescent="0.25">
      <c r="A5893" s="10" t="s">
        <v>4571</v>
      </c>
      <c r="B5893" s="11" t="s">
        <v>1666</v>
      </c>
      <c r="C5893" s="5">
        <v>46784.877899999999</v>
      </c>
      <c r="D5893" s="5">
        <v>46784.877899999999</v>
      </c>
      <c r="E5893" s="5">
        <v>42364.543299999998</v>
      </c>
      <c r="G5893" s="5" t="str">
        <f t="shared" si="185"/>
        <v>Сулим.Торфянник</v>
      </c>
      <c r="J5893" s="5"/>
      <c r="AL5893" s="5">
        <f t="shared" si="186"/>
        <v>0</v>
      </c>
    </row>
    <row r="5894" spans="1:38" ht="25.5" customHeight="1" x14ac:dyDescent="0.25">
      <c r="A5894" s="10" t="s">
        <v>4572</v>
      </c>
      <c r="B5894" s="11" t="s">
        <v>1630</v>
      </c>
      <c r="C5894" s="5">
        <v>62652.9401</v>
      </c>
      <c r="D5894" s="5">
        <v>62652.9401</v>
      </c>
      <c r="E5894" s="5">
        <v>56733.3557</v>
      </c>
      <c r="G5894" s="5" t="str">
        <f t="shared" si="185"/>
        <v>ЧЕРМЕТ</v>
      </c>
      <c r="J5894" s="5"/>
      <c r="AL5894" s="5">
        <f t="shared" si="186"/>
        <v>0</v>
      </c>
    </row>
    <row r="5895" spans="1:38" ht="25.5" customHeight="1" x14ac:dyDescent="0.25">
      <c r="A5895" s="10" t="s">
        <v>4573</v>
      </c>
      <c r="B5895" s="11" t="s">
        <v>779</v>
      </c>
      <c r="C5895" s="5">
        <v>46784.877899999999</v>
      </c>
      <c r="D5895" s="5">
        <v>46784.877899999999</v>
      </c>
      <c r="E5895" s="5">
        <v>42364.543299999998</v>
      </c>
      <c r="G5895" s="5" t="str">
        <f t="shared" si="185"/>
        <v>Нижнеисетский</v>
      </c>
      <c r="J5895" s="5"/>
      <c r="AL5895" s="5">
        <f t="shared" si="186"/>
        <v>0</v>
      </c>
    </row>
    <row r="5896" spans="1:38" ht="25.5" customHeight="1" x14ac:dyDescent="0.25">
      <c r="A5896" s="10" t="s">
        <v>4574</v>
      </c>
      <c r="B5896" s="11" t="s">
        <v>1664</v>
      </c>
      <c r="C5896" s="5">
        <v>53668.506099999999</v>
      </c>
      <c r="D5896" s="5">
        <v>53668.506099999999</v>
      </c>
      <c r="E5896" s="5">
        <v>48597.792699999998</v>
      </c>
      <c r="G5896" s="5" t="str">
        <f t="shared" si="185"/>
        <v>ИЗОПЛИТ</v>
      </c>
      <c r="J5896" s="5"/>
      <c r="AL5896" s="5">
        <f t="shared" si="186"/>
        <v>0</v>
      </c>
    </row>
    <row r="5897" spans="1:38" ht="25.5" customHeight="1" x14ac:dyDescent="0.25">
      <c r="A5897" s="10" t="s">
        <v>4575</v>
      </c>
      <c r="B5897" s="11" t="s">
        <v>1651</v>
      </c>
      <c r="C5897" s="5">
        <v>68129.029500000004</v>
      </c>
      <c r="D5897" s="5">
        <v>68129.029500000004</v>
      </c>
      <c r="E5897" s="5">
        <v>61692.054799999998</v>
      </c>
      <c r="G5897" s="5" t="str">
        <f t="shared" si="185"/>
        <v>ШАРТАШ</v>
      </c>
      <c r="J5897" s="5"/>
      <c r="AL5897" s="5">
        <f t="shared" si="186"/>
        <v>0</v>
      </c>
    </row>
    <row r="5898" spans="1:38" ht="25.5" customHeight="1" x14ac:dyDescent="0.25">
      <c r="A5898" s="10" t="s">
        <v>4576</v>
      </c>
      <c r="B5898" s="11" t="s">
        <v>1656</v>
      </c>
      <c r="C5898" s="5">
        <v>60173.9879</v>
      </c>
      <c r="D5898" s="5">
        <v>60173.9879</v>
      </c>
      <c r="E5898" s="5">
        <v>54488.630299999997</v>
      </c>
      <c r="G5898" s="5" t="str">
        <f t="shared" si="185"/>
        <v>МАЛЫЙ ИСТОК</v>
      </c>
      <c r="J5898" s="5"/>
      <c r="AL5898" s="5">
        <f t="shared" si="186"/>
        <v>0</v>
      </c>
    </row>
    <row r="5899" spans="1:38" ht="25.5" customHeight="1" x14ac:dyDescent="0.25">
      <c r="A5899" s="10" t="s">
        <v>4577</v>
      </c>
      <c r="B5899" s="11" t="s">
        <v>1628</v>
      </c>
      <c r="C5899" s="5">
        <v>70734.0236</v>
      </c>
      <c r="D5899" s="5">
        <v>70734.0236</v>
      </c>
      <c r="E5899" s="5">
        <v>64050.9208</v>
      </c>
      <c r="G5899" s="5" t="str">
        <f t="shared" si="185"/>
        <v>ЭЛЬМАШ</v>
      </c>
      <c r="J5899" s="5"/>
      <c r="AL5899" s="5">
        <f t="shared" si="186"/>
        <v>0</v>
      </c>
    </row>
    <row r="5900" spans="1:38" ht="25.5" customHeight="1" x14ac:dyDescent="0.25">
      <c r="A5900" s="10" t="s">
        <v>4578</v>
      </c>
      <c r="B5900" s="11" t="s">
        <v>1644</v>
      </c>
      <c r="C5900" s="5">
        <v>61980.678599999999</v>
      </c>
      <c r="D5900" s="5">
        <v>61980.678599999999</v>
      </c>
      <c r="E5900" s="5">
        <v>56124.615700000002</v>
      </c>
      <c r="G5900" s="5" t="str">
        <f t="shared" si="185"/>
        <v>ХИММАШ</v>
      </c>
      <c r="J5900" s="5"/>
      <c r="AL5900" s="5">
        <f t="shared" si="186"/>
        <v>0</v>
      </c>
    </row>
    <row r="5901" spans="1:38" ht="25.5" customHeight="1" x14ac:dyDescent="0.25">
      <c r="A5901" s="10" t="s">
        <v>4579</v>
      </c>
      <c r="B5901" s="11" t="s">
        <v>1647</v>
      </c>
      <c r="C5901" s="5">
        <v>63178.133800000003</v>
      </c>
      <c r="D5901" s="5">
        <v>63178.133800000003</v>
      </c>
      <c r="E5901" s="5">
        <v>57208.931499999999</v>
      </c>
      <c r="G5901" s="5" t="str">
        <f t="shared" si="185"/>
        <v>ШИРОКАЯ РЕЧКА</v>
      </c>
      <c r="J5901" s="5"/>
      <c r="AL5901" s="5">
        <f t="shared" si="186"/>
        <v>0</v>
      </c>
    </row>
    <row r="5902" spans="1:38" ht="25.5" customHeight="1" x14ac:dyDescent="0.25">
      <c r="A5902" s="10" t="s">
        <v>4580</v>
      </c>
      <c r="B5902" s="11" t="s">
        <v>1635</v>
      </c>
      <c r="C5902" s="5">
        <v>57793.0844</v>
      </c>
      <c r="D5902" s="5">
        <v>57793.0844</v>
      </c>
      <c r="E5902" s="5">
        <v>52332.6639</v>
      </c>
      <c r="G5902" s="5" t="str">
        <f t="shared" si="185"/>
        <v>ЛЕЧЕБНЫЙ</v>
      </c>
      <c r="J5902" s="5"/>
      <c r="AL5902" s="5">
        <f t="shared" si="186"/>
        <v>0</v>
      </c>
    </row>
    <row r="5903" spans="1:38" ht="25.5" customHeight="1" x14ac:dyDescent="0.25">
      <c r="A5903" s="10" t="s">
        <v>4581</v>
      </c>
      <c r="B5903" s="11" t="s">
        <v>1630</v>
      </c>
      <c r="C5903" s="5">
        <v>62652.9401</v>
      </c>
      <c r="D5903" s="5">
        <v>62652.9401</v>
      </c>
      <c r="E5903" s="5">
        <v>56733.3557</v>
      </c>
      <c r="G5903" s="5" t="str">
        <f t="shared" si="185"/>
        <v>ЧЕРМЕТ</v>
      </c>
      <c r="J5903" s="5"/>
      <c r="AL5903" s="5">
        <f t="shared" si="186"/>
        <v>0</v>
      </c>
    </row>
    <row r="5904" spans="1:38" ht="25.5" customHeight="1" x14ac:dyDescent="0.25">
      <c r="A5904" s="10" t="s">
        <v>4582</v>
      </c>
      <c r="B5904" s="11" t="s">
        <v>118</v>
      </c>
      <c r="C5904" s="5">
        <v>53500.443299999999</v>
      </c>
      <c r="D5904" s="5">
        <v>53500.443299999999</v>
      </c>
      <c r="E5904" s="5">
        <v>48445.605100000001</v>
      </c>
      <c r="G5904" s="5" t="str">
        <f t="shared" si="185"/>
        <v>Исток</v>
      </c>
      <c r="J5904" s="5"/>
      <c r="AL5904" s="5">
        <f t="shared" si="186"/>
        <v>0</v>
      </c>
    </row>
    <row r="5905" spans="1:38" ht="25.5" customHeight="1" x14ac:dyDescent="0.25">
      <c r="A5905" s="10" t="s">
        <v>4583</v>
      </c>
      <c r="B5905" s="11" t="s">
        <v>1651</v>
      </c>
      <c r="C5905" s="5">
        <v>68129.029500000004</v>
      </c>
      <c r="D5905" s="5">
        <v>68129.029500000004</v>
      </c>
      <c r="E5905" s="5">
        <v>61692.054799999998</v>
      </c>
      <c r="G5905" s="5" t="str">
        <f t="shared" si="185"/>
        <v>ШАРТАШ</v>
      </c>
      <c r="J5905" s="5"/>
      <c r="AL5905" s="5">
        <f t="shared" si="186"/>
        <v>0</v>
      </c>
    </row>
    <row r="5906" spans="1:38" ht="25.5" customHeight="1" x14ac:dyDescent="0.25">
      <c r="A5906" s="10" t="s">
        <v>4584</v>
      </c>
      <c r="B5906" s="11" t="s">
        <v>1647</v>
      </c>
      <c r="C5906" s="5">
        <v>63178.133800000003</v>
      </c>
      <c r="D5906" s="5">
        <v>63178.133800000003</v>
      </c>
      <c r="E5906" s="5">
        <v>57208.931499999999</v>
      </c>
      <c r="G5906" s="5" t="str">
        <f t="shared" si="185"/>
        <v>ШИРОКАЯ РЕЧКА</v>
      </c>
      <c r="J5906" s="5"/>
      <c r="AL5906" s="5">
        <f t="shared" si="186"/>
        <v>0</v>
      </c>
    </row>
    <row r="5907" spans="1:38" ht="25.5" customHeight="1" x14ac:dyDescent="0.25">
      <c r="A5907" s="10" t="s">
        <v>1322</v>
      </c>
      <c r="B5907" s="11" t="s">
        <v>1632</v>
      </c>
      <c r="C5907" s="5">
        <v>83744.997499999998</v>
      </c>
      <c r="D5907" s="5">
        <v>83744.997499999998</v>
      </c>
      <c r="E5907" s="5">
        <v>75832.596099999995</v>
      </c>
      <c r="G5907" s="5" t="str">
        <f t="shared" si="185"/>
        <v>АВТОВОКЗАЛ</v>
      </c>
      <c r="J5907" s="5"/>
      <c r="AL5907" s="5">
        <f t="shared" si="186"/>
        <v>0</v>
      </c>
    </row>
    <row r="5908" spans="1:38" ht="25.5" customHeight="1" x14ac:dyDescent="0.25">
      <c r="A5908" s="10" t="s">
        <v>4585</v>
      </c>
      <c r="B5908" s="11" t="s">
        <v>1638</v>
      </c>
      <c r="C5908" s="5">
        <v>63640.311600000001</v>
      </c>
      <c r="D5908" s="5">
        <v>63640.311600000001</v>
      </c>
      <c r="E5908" s="5">
        <v>57627.4473</v>
      </c>
      <c r="G5908" s="5" t="str">
        <f t="shared" si="185"/>
        <v>УКТУС</v>
      </c>
      <c r="J5908" s="5"/>
      <c r="AL5908" s="5">
        <f t="shared" si="186"/>
        <v>0</v>
      </c>
    </row>
    <row r="5909" spans="1:38" ht="25.5" customHeight="1" x14ac:dyDescent="0.25">
      <c r="A5909" s="10" t="s">
        <v>705</v>
      </c>
      <c r="B5909" s="11" t="s">
        <v>1636</v>
      </c>
      <c r="C5909" s="5">
        <v>52246.960299999999</v>
      </c>
      <c r="D5909" s="5">
        <v>52246.960299999999</v>
      </c>
      <c r="E5909" s="5">
        <v>47310.556700000001</v>
      </c>
      <c r="G5909" s="5" t="str">
        <f t="shared" si="185"/>
        <v>ГОРНЫЙ ЩИТ</v>
      </c>
      <c r="J5909" s="5"/>
      <c r="AL5909" s="5">
        <f t="shared" si="186"/>
        <v>0</v>
      </c>
    </row>
    <row r="5910" spans="1:38" ht="25.5" customHeight="1" x14ac:dyDescent="0.25">
      <c r="A5910" s="10" t="s">
        <v>713</v>
      </c>
      <c r="B5910" s="11" t="s">
        <v>1644</v>
      </c>
      <c r="C5910" s="5">
        <v>61980.678599999999</v>
      </c>
      <c r="D5910" s="5">
        <v>61980.678599999999</v>
      </c>
      <c r="E5910" s="5">
        <v>56124.615700000002</v>
      </c>
      <c r="G5910" s="5" t="str">
        <f t="shared" si="185"/>
        <v>ХИММАШ</v>
      </c>
      <c r="J5910" s="5"/>
      <c r="AL5910" s="5">
        <f t="shared" si="186"/>
        <v>0</v>
      </c>
    </row>
    <row r="5911" spans="1:38" ht="25.5" customHeight="1" x14ac:dyDescent="0.25">
      <c r="A5911" s="10" t="s">
        <v>4586</v>
      </c>
      <c r="B5911" s="11" t="s">
        <v>1636</v>
      </c>
      <c r="C5911" s="5">
        <v>52246.960299999999</v>
      </c>
      <c r="D5911" s="5">
        <v>52246.960299999999</v>
      </c>
      <c r="E5911" s="5">
        <v>47310.556700000001</v>
      </c>
      <c r="G5911" s="5" t="str">
        <f t="shared" si="185"/>
        <v>ГОРНЫЙ ЩИТ</v>
      </c>
      <c r="J5911" s="5"/>
      <c r="AL5911" s="5">
        <f t="shared" si="186"/>
        <v>0</v>
      </c>
    </row>
    <row r="5912" spans="1:38" ht="25.5" customHeight="1" x14ac:dyDescent="0.25">
      <c r="A5912" s="10" t="s">
        <v>858</v>
      </c>
      <c r="B5912" s="11" t="s">
        <v>1636</v>
      </c>
      <c r="C5912" s="5">
        <v>52246.960299999999</v>
      </c>
      <c r="D5912" s="5">
        <v>52246.960299999999</v>
      </c>
      <c r="E5912" s="5">
        <v>47310.556700000001</v>
      </c>
      <c r="G5912" s="5" t="str">
        <f t="shared" si="185"/>
        <v>ГОРНЫЙ ЩИТ</v>
      </c>
      <c r="J5912" s="5"/>
      <c r="AL5912" s="5">
        <f t="shared" si="186"/>
        <v>0</v>
      </c>
    </row>
    <row r="5913" spans="1:38" ht="25.5" customHeight="1" x14ac:dyDescent="0.25">
      <c r="A5913" s="10" t="s">
        <v>1500</v>
      </c>
      <c r="B5913" s="11" t="s">
        <v>1636</v>
      </c>
      <c r="C5913" s="5">
        <v>52246.960299999999</v>
      </c>
      <c r="D5913" s="5">
        <v>52246.960299999999</v>
      </c>
      <c r="E5913" s="5">
        <v>47310.556700000001</v>
      </c>
      <c r="G5913" s="5" t="str">
        <f t="shared" si="185"/>
        <v>ГОРНЫЙ ЩИТ</v>
      </c>
      <c r="J5913" s="5"/>
      <c r="AL5913" s="5">
        <f t="shared" si="186"/>
        <v>0</v>
      </c>
    </row>
    <row r="5914" spans="1:38" ht="25.5" customHeight="1" x14ac:dyDescent="0.25">
      <c r="A5914" s="10" t="s">
        <v>4587</v>
      </c>
      <c r="B5914" s="11" t="s">
        <v>1650</v>
      </c>
      <c r="C5914" s="5">
        <v>37590.3603</v>
      </c>
      <c r="D5914" s="5">
        <v>37590.3603</v>
      </c>
      <c r="E5914" s="5">
        <v>34038.745900000002</v>
      </c>
      <c r="G5914" s="5" t="str">
        <f t="shared" si="185"/>
        <v>ШАБРОВСКИЙ</v>
      </c>
      <c r="J5914" s="5"/>
      <c r="AL5914" s="5">
        <f t="shared" si="186"/>
        <v>0</v>
      </c>
    </row>
    <row r="5915" spans="1:38" ht="25.5" customHeight="1" x14ac:dyDescent="0.25">
      <c r="A5915" s="10" t="s">
        <v>4588</v>
      </c>
      <c r="B5915" s="11" t="s">
        <v>1647</v>
      </c>
      <c r="C5915" s="5">
        <v>63178.133800000003</v>
      </c>
      <c r="D5915" s="5">
        <v>63178.133800000003</v>
      </c>
      <c r="E5915" s="5">
        <v>57208.931499999999</v>
      </c>
      <c r="G5915" s="5" t="str">
        <f t="shared" si="185"/>
        <v>ШИРОКАЯ РЕЧКА</v>
      </c>
      <c r="J5915" s="5"/>
      <c r="AL5915" s="5">
        <f t="shared" si="186"/>
        <v>0</v>
      </c>
    </row>
    <row r="5916" spans="1:38" ht="25.5" customHeight="1" x14ac:dyDescent="0.25">
      <c r="A5916" s="10" t="s">
        <v>4589</v>
      </c>
      <c r="B5916" s="11" t="s">
        <v>1644</v>
      </c>
      <c r="C5916" s="5">
        <v>61980.678599999999</v>
      </c>
      <c r="D5916" s="5">
        <v>61980.678599999999</v>
      </c>
      <c r="E5916" s="5">
        <v>56124.615700000002</v>
      </c>
      <c r="G5916" s="5" t="str">
        <f t="shared" si="185"/>
        <v>ХИММАШ</v>
      </c>
      <c r="J5916" s="5"/>
      <c r="AL5916" s="5">
        <f t="shared" si="186"/>
        <v>0</v>
      </c>
    </row>
    <row r="5917" spans="1:38" ht="25.5" customHeight="1" x14ac:dyDescent="0.25">
      <c r="A5917" s="10" t="s">
        <v>1116</v>
      </c>
      <c r="B5917" s="11" t="s">
        <v>1664</v>
      </c>
      <c r="C5917" s="5">
        <v>53668.506099999999</v>
      </c>
      <c r="D5917" s="5">
        <v>53668.506099999999</v>
      </c>
      <c r="E5917" s="5">
        <v>48597.792699999998</v>
      </c>
      <c r="G5917" s="5" t="str">
        <f t="shared" si="185"/>
        <v>ИЗОПЛИТ</v>
      </c>
      <c r="J5917" s="5"/>
      <c r="AL5917" s="5">
        <f t="shared" si="186"/>
        <v>0</v>
      </c>
    </row>
    <row r="5918" spans="1:38" ht="25.5" customHeight="1" x14ac:dyDescent="0.25">
      <c r="A5918" s="10" t="s">
        <v>4590</v>
      </c>
      <c r="B5918" s="11" t="s">
        <v>1644</v>
      </c>
      <c r="C5918" s="5">
        <v>61980.678599999999</v>
      </c>
      <c r="D5918" s="5">
        <v>61980.678599999999</v>
      </c>
      <c r="E5918" s="5">
        <v>56124.615700000002</v>
      </c>
      <c r="G5918" s="5" t="str">
        <f t="shared" si="185"/>
        <v>ХИММАШ</v>
      </c>
      <c r="J5918" s="5"/>
      <c r="AL5918" s="5">
        <f t="shared" si="186"/>
        <v>0</v>
      </c>
    </row>
    <row r="5919" spans="1:38" ht="25.5" customHeight="1" x14ac:dyDescent="0.25">
      <c r="A5919" s="10" t="s">
        <v>4591</v>
      </c>
      <c r="B5919" s="11" t="s">
        <v>1639</v>
      </c>
      <c r="C5919" s="5">
        <v>53500.443299999999</v>
      </c>
      <c r="D5919" s="5">
        <v>53500.443299999999</v>
      </c>
      <c r="E5919" s="5">
        <v>48445.605100000001</v>
      </c>
      <c r="G5919" s="5" t="str">
        <f t="shared" si="185"/>
        <v>ИСТОК</v>
      </c>
      <c r="J5919" s="5"/>
      <c r="AL5919" s="5">
        <f t="shared" si="186"/>
        <v>0</v>
      </c>
    </row>
    <row r="5920" spans="1:38" ht="25.5" customHeight="1" x14ac:dyDescent="0.25">
      <c r="A5920" s="10" t="s">
        <v>4592</v>
      </c>
      <c r="B5920" s="11" t="s">
        <v>1636</v>
      </c>
      <c r="C5920" s="5">
        <v>52246.960299999999</v>
      </c>
      <c r="D5920" s="5">
        <v>52246.960299999999</v>
      </c>
      <c r="E5920" s="5">
        <v>47310.556700000001</v>
      </c>
      <c r="G5920" s="5" t="str">
        <f t="shared" si="185"/>
        <v>ГОРНЫЙ ЩИТ</v>
      </c>
      <c r="J5920" s="5"/>
      <c r="AL5920" s="5">
        <f t="shared" si="186"/>
        <v>0</v>
      </c>
    </row>
    <row r="5921" spans="1:38" ht="25.5" customHeight="1" x14ac:dyDescent="0.25">
      <c r="A5921" s="10" t="s">
        <v>4593</v>
      </c>
      <c r="B5921" s="11" t="s">
        <v>118</v>
      </c>
      <c r="C5921" s="5">
        <v>53500.443299999999</v>
      </c>
      <c r="D5921" s="5">
        <v>53500.443299999999</v>
      </c>
      <c r="E5921" s="5">
        <v>48445.605100000001</v>
      </c>
      <c r="G5921" s="5" t="str">
        <f t="shared" si="185"/>
        <v>Исток</v>
      </c>
      <c r="J5921" s="5"/>
      <c r="AL5921" s="5">
        <f t="shared" si="186"/>
        <v>0</v>
      </c>
    </row>
    <row r="5922" spans="1:38" ht="25.5" customHeight="1" x14ac:dyDescent="0.25">
      <c r="A5922" s="10" t="s">
        <v>4594</v>
      </c>
      <c r="B5922" s="11" t="s">
        <v>1636</v>
      </c>
      <c r="C5922" s="5">
        <v>52246.960299999999</v>
      </c>
      <c r="D5922" s="5">
        <v>52246.960299999999</v>
      </c>
      <c r="E5922" s="5">
        <v>47310.556700000001</v>
      </c>
      <c r="G5922" s="5" t="str">
        <f t="shared" si="185"/>
        <v>ГОРНЫЙ ЩИТ</v>
      </c>
      <c r="J5922" s="5"/>
      <c r="AL5922" s="5">
        <f t="shared" si="186"/>
        <v>0</v>
      </c>
    </row>
    <row r="5923" spans="1:38" ht="25.5" customHeight="1" x14ac:dyDescent="0.25">
      <c r="A5923" s="10" t="s">
        <v>4595</v>
      </c>
      <c r="B5923" s="11" t="s">
        <v>1644</v>
      </c>
      <c r="C5923" s="5">
        <v>61980.678599999999</v>
      </c>
      <c r="D5923" s="5">
        <v>61980.678599999999</v>
      </c>
      <c r="E5923" s="5">
        <v>56124.615700000002</v>
      </c>
      <c r="G5923" s="5" t="str">
        <f t="shared" si="185"/>
        <v>ХИММАШ</v>
      </c>
      <c r="J5923" s="5"/>
      <c r="AL5923" s="5">
        <f t="shared" si="186"/>
        <v>0</v>
      </c>
    </row>
    <row r="5924" spans="1:38" ht="25.5" customHeight="1" x14ac:dyDescent="0.25">
      <c r="A5924" s="10" t="s">
        <v>4596</v>
      </c>
      <c r="B5924" s="11" t="s">
        <v>1653</v>
      </c>
      <c r="C5924" s="5">
        <v>56847.723400000003</v>
      </c>
      <c r="D5924" s="5">
        <v>56847.723400000003</v>
      </c>
      <c r="E5924" s="5">
        <v>51476.629399999998</v>
      </c>
      <c r="G5924" s="5" t="str">
        <f t="shared" si="185"/>
        <v>ПТИЦЕФАБРИКА</v>
      </c>
      <c r="J5924" s="5"/>
      <c r="AL5924" s="5">
        <f t="shared" si="186"/>
        <v>0</v>
      </c>
    </row>
    <row r="5925" spans="1:38" ht="25.5" customHeight="1" x14ac:dyDescent="0.25">
      <c r="A5925" s="10" t="s">
        <v>4597</v>
      </c>
      <c r="B5925" s="11" t="s">
        <v>1650</v>
      </c>
      <c r="C5925" s="5">
        <v>37590.3603</v>
      </c>
      <c r="D5925" s="5">
        <v>37590.3603</v>
      </c>
      <c r="E5925" s="5">
        <v>34038.745900000002</v>
      </c>
      <c r="G5925" s="5" t="str">
        <f t="shared" si="185"/>
        <v>ШАБРОВСКИЙ</v>
      </c>
      <c r="J5925" s="5"/>
      <c r="AL5925" s="5">
        <f t="shared" si="186"/>
        <v>0</v>
      </c>
    </row>
    <row r="5926" spans="1:38" ht="25.5" customHeight="1" x14ac:dyDescent="0.25">
      <c r="A5926" s="10" t="s">
        <v>4598</v>
      </c>
      <c r="B5926" s="11" t="s">
        <v>1647</v>
      </c>
      <c r="C5926" s="5">
        <v>63178.133800000003</v>
      </c>
      <c r="D5926" s="5">
        <v>63178.133800000003</v>
      </c>
      <c r="E5926" s="5">
        <v>57208.931499999999</v>
      </c>
      <c r="G5926" s="5" t="str">
        <f t="shared" si="185"/>
        <v>ШИРОКАЯ РЕЧКА</v>
      </c>
      <c r="J5926" s="5"/>
      <c r="AL5926" s="5">
        <f t="shared" si="186"/>
        <v>0</v>
      </c>
    </row>
    <row r="5927" spans="1:38" ht="25.5" customHeight="1" x14ac:dyDescent="0.25">
      <c r="A5927" s="10" t="s">
        <v>1426</v>
      </c>
      <c r="B5927" s="11" t="s">
        <v>1639</v>
      </c>
      <c r="C5927" s="5">
        <v>53500.443299999999</v>
      </c>
      <c r="D5927" s="5">
        <v>53500.443299999999</v>
      </c>
      <c r="E5927" s="5">
        <v>48445.605100000001</v>
      </c>
      <c r="G5927" s="5" t="str">
        <f t="shared" si="185"/>
        <v>ИСТОК</v>
      </c>
      <c r="J5927" s="5"/>
      <c r="AL5927" s="5">
        <f t="shared" si="186"/>
        <v>0</v>
      </c>
    </row>
    <row r="5928" spans="1:38" ht="25.5" customHeight="1" x14ac:dyDescent="0.25">
      <c r="A5928" s="10" t="s">
        <v>4599</v>
      </c>
      <c r="B5928" s="11" t="s">
        <v>1628</v>
      </c>
      <c r="C5928" s="5">
        <v>70734.0236</v>
      </c>
      <c r="D5928" s="5">
        <v>70734.0236</v>
      </c>
      <c r="E5928" s="5">
        <v>64050.9208</v>
      </c>
      <c r="G5928" s="5" t="str">
        <f t="shared" si="185"/>
        <v>ЭЛЬМАШ</v>
      </c>
      <c r="J5928" s="5"/>
      <c r="AL5928" s="5">
        <f t="shared" si="186"/>
        <v>0</v>
      </c>
    </row>
    <row r="5929" spans="1:38" ht="25.5" customHeight="1" x14ac:dyDescent="0.25">
      <c r="A5929" s="10" t="s">
        <v>4600</v>
      </c>
      <c r="B5929" s="11" t="s">
        <v>1647</v>
      </c>
      <c r="C5929" s="5">
        <v>63178.133800000003</v>
      </c>
      <c r="D5929" s="5">
        <v>63178.133800000003</v>
      </c>
      <c r="E5929" s="5">
        <v>57208.931499999999</v>
      </c>
      <c r="G5929" s="5" t="str">
        <f t="shared" si="185"/>
        <v>ШИРОКАЯ РЕЧКА</v>
      </c>
      <c r="J5929" s="5"/>
      <c r="AL5929" s="5">
        <f t="shared" si="186"/>
        <v>0</v>
      </c>
    </row>
    <row r="5930" spans="1:38" ht="25.5" customHeight="1" x14ac:dyDescent="0.25">
      <c r="A5930" s="10" t="s">
        <v>4601</v>
      </c>
      <c r="B5930" s="11" t="s">
        <v>1647</v>
      </c>
      <c r="C5930" s="5">
        <v>63178.133800000003</v>
      </c>
      <c r="D5930" s="5">
        <v>63178.133800000003</v>
      </c>
      <c r="E5930" s="5">
        <v>57208.931499999999</v>
      </c>
      <c r="G5930" s="5" t="str">
        <f t="shared" si="185"/>
        <v>ШИРОКАЯ РЕЧКА</v>
      </c>
      <c r="J5930" s="5"/>
      <c r="AL5930" s="5">
        <f t="shared" si="186"/>
        <v>0</v>
      </c>
    </row>
    <row r="5931" spans="1:38" ht="25.5" customHeight="1" x14ac:dyDescent="0.25">
      <c r="A5931" s="10" t="s">
        <v>4602</v>
      </c>
      <c r="B5931" s="11" t="s">
        <v>1668</v>
      </c>
      <c r="C5931" s="5">
        <v>51343.6201</v>
      </c>
      <c r="D5931" s="5">
        <v>51343.6201</v>
      </c>
      <c r="E5931" s="5">
        <v>46492.558799999999</v>
      </c>
      <c r="G5931" s="5" t="str">
        <f t="shared" si="185"/>
        <v>МЕДНЫЙ</v>
      </c>
      <c r="J5931" s="5"/>
      <c r="AL5931" s="5">
        <f t="shared" si="186"/>
        <v>0</v>
      </c>
    </row>
    <row r="5932" spans="1:38" ht="25.5" customHeight="1" x14ac:dyDescent="0.25">
      <c r="A5932" s="10" t="s">
        <v>1382</v>
      </c>
      <c r="B5932" s="11" t="s">
        <v>1636</v>
      </c>
      <c r="C5932" s="5">
        <v>52246.960299999999</v>
      </c>
      <c r="D5932" s="5">
        <v>52246.960299999999</v>
      </c>
      <c r="E5932" s="5">
        <v>47310.556700000001</v>
      </c>
      <c r="G5932" s="5" t="str">
        <f t="shared" si="185"/>
        <v>ГОРНЫЙ ЩИТ</v>
      </c>
      <c r="J5932" s="5"/>
      <c r="AL5932" s="5">
        <f t="shared" si="186"/>
        <v>0</v>
      </c>
    </row>
    <row r="5933" spans="1:38" ht="25.5" customHeight="1" x14ac:dyDescent="0.25">
      <c r="A5933" s="10" t="s">
        <v>4603</v>
      </c>
      <c r="B5933" s="11" t="s">
        <v>1648</v>
      </c>
      <c r="C5933" s="5">
        <v>49782.025399999999</v>
      </c>
      <c r="D5933" s="5">
        <v>49782.025399999999</v>
      </c>
      <c r="E5933" s="5">
        <v>45078.506800000003</v>
      </c>
      <c r="G5933" s="5" t="str">
        <f t="shared" si="185"/>
        <v>ЧУСОВСКОЕ ОЗЕРО</v>
      </c>
      <c r="J5933" s="5"/>
      <c r="AL5933" s="5">
        <f t="shared" si="186"/>
        <v>0</v>
      </c>
    </row>
    <row r="5934" spans="1:38" ht="25.5" customHeight="1" x14ac:dyDescent="0.25">
      <c r="A5934" s="10" t="s">
        <v>4604</v>
      </c>
      <c r="B5934" s="11" t="s">
        <v>1668</v>
      </c>
      <c r="C5934" s="5">
        <v>51343.6201</v>
      </c>
      <c r="D5934" s="5">
        <v>51343.6201</v>
      </c>
      <c r="E5934" s="5">
        <v>46492.558799999999</v>
      </c>
      <c r="G5934" s="5" t="str">
        <f t="shared" si="185"/>
        <v>МЕДНЫЙ</v>
      </c>
      <c r="J5934" s="5"/>
      <c r="AL5934" s="5">
        <f t="shared" si="186"/>
        <v>0</v>
      </c>
    </row>
    <row r="5935" spans="1:38" ht="25.5" customHeight="1" x14ac:dyDescent="0.25">
      <c r="A5935" s="10" t="s">
        <v>233</v>
      </c>
      <c r="B5935" s="11" t="s">
        <v>1636</v>
      </c>
      <c r="C5935" s="5">
        <v>52246.960299999999</v>
      </c>
      <c r="D5935" s="5">
        <v>52246.960299999999</v>
      </c>
      <c r="E5935" s="5">
        <v>47310.556700000001</v>
      </c>
      <c r="G5935" s="5" t="str">
        <f t="shared" si="185"/>
        <v>ГОРНЫЙ ЩИТ</v>
      </c>
      <c r="J5935" s="5"/>
      <c r="AL5935" s="5">
        <f t="shared" si="186"/>
        <v>0</v>
      </c>
    </row>
    <row r="5936" spans="1:38" ht="25.5" customHeight="1" x14ac:dyDescent="0.25">
      <c r="A5936" s="10" t="s">
        <v>4605</v>
      </c>
      <c r="B5936" s="11" t="s">
        <v>1638</v>
      </c>
      <c r="C5936" s="5">
        <v>63640.311600000001</v>
      </c>
      <c r="D5936" s="5">
        <v>63640.311600000001</v>
      </c>
      <c r="E5936" s="5">
        <v>57627.4473</v>
      </c>
      <c r="G5936" s="5" t="str">
        <f t="shared" si="185"/>
        <v>УКТУС</v>
      </c>
      <c r="J5936" s="5"/>
      <c r="AL5936" s="5">
        <f t="shared" si="186"/>
        <v>0</v>
      </c>
    </row>
    <row r="5937" spans="1:38" ht="25.5" customHeight="1" x14ac:dyDescent="0.25">
      <c r="A5937" s="10" t="s">
        <v>4606</v>
      </c>
      <c r="B5937" s="11" t="s">
        <v>1640</v>
      </c>
      <c r="C5937" s="5">
        <v>64914.8</v>
      </c>
      <c r="D5937" s="5">
        <v>64914.8</v>
      </c>
      <c r="E5937" s="5">
        <v>58781.519200000002</v>
      </c>
      <c r="G5937" s="5" t="str">
        <f t="shared" si="185"/>
        <v>Новая сортировка</v>
      </c>
      <c r="J5937" s="5"/>
      <c r="AL5937" s="5">
        <f t="shared" si="186"/>
        <v>0</v>
      </c>
    </row>
    <row r="5938" spans="1:38" ht="25.5" customHeight="1" x14ac:dyDescent="0.25">
      <c r="A5938" s="10" t="s">
        <v>4607</v>
      </c>
      <c r="B5938" s="11" t="s">
        <v>33</v>
      </c>
      <c r="C5938" s="5">
        <v>84298.205100000006</v>
      </c>
      <c r="D5938" s="5">
        <v>84298.205100000006</v>
      </c>
      <c r="E5938" s="5">
        <v>76333.533100000001</v>
      </c>
      <c r="G5938" s="5" t="str">
        <f t="shared" si="185"/>
        <v>ВИЗ</v>
      </c>
      <c r="J5938" s="5"/>
      <c r="AL5938" s="5">
        <f t="shared" si="186"/>
        <v>0</v>
      </c>
    </row>
    <row r="5939" spans="1:38" ht="25.5" customHeight="1" x14ac:dyDescent="0.25">
      <c r="A5939" s="10" t="s">
        <v>4608</v>
      </c>
      <c r="B5939" s="11" t="s">
        <v>1647</v>
      </c>
      <c r="C5939" s="5">
        <v>63178.133800000003</v>
      </c>
      <c r="D5939" s="5">
        <v>63178.133800000003</v>
      </c>
      <c r="E5939" s="5">
        <v>57208.931499999999</v>
      </c>
      <c r="G5939" s="5" t="str">
        <f t="shared" si="185"/>
        <v>ШИРОКАЯ РЕЧКА</v>
      </c>
      <c r="J5939" s="5"/>
      <c r="AL5939" s="5">
        <f t="shared" si="186"/>
        <v>0</v>
      </c>
    </row>
    <row r="5940" spans="1:38" ht="25.5" customHeight="1" x14ac:dyDescent="0.25">
      <c r="A5940" s="10" t="s">
        <v>4609</v>
      </c>
      <c r="B5940" s="11" t="s">
        <v>1636</v>
      </c>
      <c r="C5940" s="5">
        <v>52246.960299999999</v>
      </c>
      <c r="D5940" s="5">
        <v>52246.960299999999</v>
      </c>
      <c r="E5940" s="5">
        <v>47310.556700000001</v>
      </c>
      <c r="G5940" s="5" t="str">
        <f t="shared" si="185"/>
        <v>ГОРНЫЙ ЩИТ</v>
      </c>
      <c r="J5940" s="5"/>
      <c r="AL5940" s="5">
        <f t="shared" si="186"/>
        <v>0</v>
      </c>
    </row>
    <row r="5941" spans="1:38" ht="25.5" customHeight="1" x14ac:dyDescent="0.25">
      <c r="A5941" s="10" t="s">
        <v>4610</v>
      </c>
      <c r="B5941" s="11" t="s">
        <v>33</v>
      </c>
      <c r="C5941" s="5">
        <v>84298.205100000006</v>
      </c>
      <c r="D5941" s="5">
        <v>84298.205100000006</v>
      </c>
      <c r="E5941" s="5">
        <v>76333.533100000001</v>
      </c>
      <c r="G5941" s="5" t="str">
        <f t="shared" si="185"/>
        <v>ВИЗ</v>
      </c>
      <c r="J5941" s="5"/>
      <c r="AL5941" s="5">
        <f t="shared" si="186"/>
        <v>0</v>
      </c>
    </row>
    <row r="5942" spans="1:38" ht="25.5" customHeight="1" x14ac:dyDescent="0.25">
      <c r="A5942" s="10" t="s">
        <v>4611</v>
      </c>
      <c r="B5942" s="11" t="s">
        <v>1652</v>
      </c>
      <c r="C5942" s="5">
        <v>71105.171700000006</v>
      </c>
      <c r="D5942" s="5">
        <v>71105.171700000006</v>
      </c>
      <c r="E5942" s="5">
        <v>64387.005100000002</v>
      </c>
      <c r="G5942" s="5" t="str">
        <f t="shared" si="185"/>
        <v>ЗАРЕЧНЫЙ</v>
      </c>
      <c r="J5942" s="5"/>
      <c r="AL5942" s="5">
        <f t="shared" si="186"/>
        <v>0</v>
      </c>
    </row>
    <row r="5943" spans="1:38" ht="25.5" customHeight="1" x14ac:dyDescent="0.25">
      <c r="A5943" s="10" t="s">
        <v>4612</v>
      </c>
      <c r="B5943" s="11" t="s">
        <v>1650</v>
      </c>
      <c r="C5943" s="5">
        <v>37590.3603</v>
      </c>
      <c r="D5943" s="5">
        <v>37590.3603</v>
      </c>
      <c r="E5943" s="5">
        <v>34038.745900000002</v>
      </c>
      <c r="G5943" s="5" t="str">
        <f t="shared" si="185"/>
        <v>ШАБРОВСКИЙ</v>
      </c>
      <c r="J5943" s="5"/>
      <c r="AL5943" s="5">
        <f t="shared" si="186"/>
        <v>0</v>
      </c>
    </row>
    <row r="5944" spans="1:38" ht="25.5" customHeight="1" x14ac:dyDescent="0.25">
      <c r="A5944" s="10" t="s">
        <v>4613</v>
      </c>
      <c r="B5944" s="11" t="s">
        <v>1630</v>
      </c>
      <c r="C5944" s="5">
        <v>62652.9401</v>
      </c>
      <c r="D5944" s="5">
        <v>62652.9401</v>
      </c>
      <c r="E5944" s="5">
        <v>56733.3557</v>
      </c>
      <c r="G5944" s="5" t="str">
        <f t="shared" si="185"/>
        <v>ЧЕРМЕТ</v>
      </c>
      <c r="J5944" s="5"/>
      <c r="AL5944" s="5">
        <f t="shared" si="186"/>
        <v>0</v>
      </c>
    </row>
    <row r="5945" spans="1:38" ht="25.5" customHeight="1" x14ac:dyDescent="0.25">
      <c r="A5945" s="10" t="s">
        <v>1530</v>
      </c>
      <c r="B5945" s="11" t="s">
        <v>1650</v>
      </c>
      <c r="C5945" s="5">
        <v>37590.3603</v>
      </c>
      <c r="D5945" s="5">
        <v>37590.3603</v>
      </c>
      <c r="E5945" s="5">
        <v>34038.745900000002</v>
      </c>
      <c r="G5945" s="5" t="str">
        <f t="shared" si="185"/>
        <v>ШАБРОВСКИЙ</v>
      </c>
      <c r="J5945" s="5"/>
      <c r="AL5945" s="5">
        <f t="shared" si="186"/>
        <v>0</v>
      </c>
    </row>
    <row r="5946" spans="1:38" ht="25.5" customHeight="1" x14ac:dyDescent="0.25">
      <c r="A5946" s="10" t="s">
        <v>1141</v>
      </c>
      <c r="B5946" s="11" t="s">
        <v>1662</v>
      </c>
      <c r="C5946" s="5">
        <v>46784.877899999999</v>
      </c>
      <c r="D5946" s="5">
        <v>46784.877899999999</v>
      </c>
      <c r="E5946" s="5">
        <v>42364.543299999998</v>
      </c>
      <c r="G5946" s="5" t="str">
        <f t="shared" si="185"/>
        <v>РУДНЫЙ</v>
      </c>
      <c r="J5946" s="5"/>
      <c r="AL5946" s="5">
        <f t="shared" si="186"/>
        <v>0</v>
      </c>
    </row>
    <row r="5947" spans="1:38" ht="25.5" customHeight="1" x14ac:dyDescent="0.25">
      <c r="A5947" s="10" t="s">
        <v>4614</v>
      </c>
      <c r="B5947" s="11" t="s">
        <v>118</v>
      </c>
      <c r="C5947" s="5">
        <v>53500.443299999999</v>
      </c>
      <c r="D5947" s="5">
        <v>53500.443299999999</v>
      </c>
      <c r="E5947" s="5">
        <v>48445.605100000001</v>
      </c>
      <c r="G5947" s="5" t="str">
        <f t="shared" si="185"/>
        <v>Исток</v>
      </c>
      <c r="J5947" s="5"/>
      <c r="AL5947" s="5">
        <f t="shared" si="186"/>
        <v>0</v>
      </c>
    </row>
    <row r="5948" spans="1:38" ht="25.5" customHeight="1" x14ac:dyDescent="0.25">
      <c r="A5948" s="10" t="s">
        <v>4615</v>
      </c>
      <c r="B5948" s="11" t="s">
        <v>1657</v>
      </c>
      <c r="C5948" s="5">
        <v>54886.9666</v>
      </c>
      <c r="D5948" s="5">
        <v>54886.9666</v>
      </c>
      <c r="E5948" s="5">
        <v>49701.1319</v>
      </c>
      <c r="G5948" s="5" t="str">
        <f t="shared" si="185"/>
        <v>КОЛЬЦОВО</v>
      </c>
      <c r="J5948" s="5"/>
      <c r="AL5948" s="5">
        <f t="shared" si="186"/>
        <v>0</v>
      </c>
    </row>
    <row r="5949" spans="1:38" ht="25.5" customHeight="1" x14ac:dyDescent="0.25">
      <c r="A5949" s="10" t="s">
        <v>4616</v>
      </c>
      <c r="B5949" s="11" t="s">
        <v>1635</v>
      </c>
      <c r="C5949" s="5">
        <v>57793.0844</v>
      </c>
      <c r="D5949" s="5">
        <v>57793.0844</v>
      </c>
      <c r="E5949" s="5">
        <v>52332.6639</v>
      </c>
      <c r="G5949" s="5" t="str">
        <f t="shared" si="185"/>
        <v>ЛЕЧЕБНЫЙ</v>
      </c>
      <c r="J5949" s="5"/>
      <c r="AL5949" s="5">
        <f t="shared" si="186"/>
        <v>0</v>
      </c>
    </row>
    <row r="5950" spans="1:38" ht="25.5" customHeight="1" x14ac:dyDescent="0.25">
      <c r="A5950" s="10" t="s">
        <v>4617</v>
      </c>
      <c r="B5950" s="11" t="s">
        <v>1647</v>
      </c>
      <c r="C5950" s="5">
        <v>63178.133800000003</v>
      </c>
      <c r="D5950" s="5">
        <v>63178.133800000003</v>
      </c>
      <c r="E5950" s="5">
        <v>57208.931499999999</v>
      </c>
      <c r="G5950" s="5" t="str">
        <f t="shared" si="185"/>
        <v>ШИРОКАЯ РЕЧКА</v>
      </c>
      <c r="J5950" s="5"/>
      <c r="AL5950" s="5">
        <f t="shared" si="186"/>
        <v>0</v>
      </c>
    </row>
    <row r="5951" spans="1:38" ht="25.5" customHeight="1" x14ac:dyDescent="0.25">
      <c r="A5951" s="10" t="s">
        <v>4618</v>
      </c>
      <c r="B5951" s="11" t="s">
        <v>1650</v>
      </c>
      <c r="C5951" s="5">
        <v>37590.3603</v>
      </c>
      <c r="D5951" s="5">
        <v>37590.3603</v>
      </c>
      <c r="E5951" s="5">
        <v>34038.745900000002</v>
      </c>
      <c r="G5951" s="5" t="str">
        <f t="shared" ref="G5951:G6014" si="187">B5951</f>
        <v>ШАБРОВСКИЙ</v>
      </c>
      <c r="J5951" s="5"/>
      <c r="AL5951" s="5">
        <f t="shared" ref="AL5951:AL6014" si="188">AF5951</f>
        <v>0</v>
      </c>
    </row>
    <row r="5952" spans="1:38" ht="25.5" customHeight="1" x14ac:dyDescent="0.25">
      <c r="A5952" s="10" t="s">
        <v>4619</v>
      </c>
      <c r="B5952" s="11" t="s">
        <v>389</v>
      </c>
      <c r="C5952" s="5">
        <v>51175.5573</v>
      </c>
      <c r="D5952" s="5">
        <v>51175.5573</v>
      </c>
      <c r="E5952" s="5">
        <v>46340.381600000001</v>
      </c>
      <c r="G5952" s="5" t="str">
        <f t="shared" si="187"/>
        <v>Северка</v>
      </c>
      <c r="J5952" s="5"/>
      <c r="AL5952" s="5">
        <f t="shared" si="188"/>
        <v>0</v>
      </c>
    </row>
    <row r="5953" spans="1:38" ht="25.5" customHeight="1" x14ac:dyDescent="0.25">
      <c r="A5953" s="10" t="s">
        <v>4620</v>
      </c>
      <c r="B5953" s="11" t="s">
        <v>1668</v>
      </c>
      <c r="C5953" s="5">
        <v>51343.6201</v>
      </c>
      <c r="D5953" s="5">
        <v>51343.6201</v>
      </c>
      <c r="E5953" s="5">
        <v>46492.558799999999</v>
      </c>
      <c r="G5953" s="5" t="str">
        <f t="shared" si="187"/>
        <v>МЕДНЫЙ</v>
      </c>
      <c r="J5953" s="5"/>
      <c r="AL5953" s="5">
        <f t="shared" si="188"/>
        <v>0</v>
      </c>
    </row>
    <row r="5954" spans="1:38" ht="25.5" customHeight="1" x14ac:dyDescent="0.25">
      <c r="A5954" s="10" t="s">
        <v>4621</v>
      </c>
      <c r="B5954" s="11" t="s">
        <v>1628</v>
      </c>
      <c r="C5954" s="5">
        <v>70734.0236</v>
      </c>
      <c r="D5954" s="5">
        <v>70734.0236</v>
      </c>
      <c r="E5954" s="5">
        <v>64050.9208</v>
      </c>
      <c r="G5954" s="5" t="str">
        <f t="shared" si="187"/>
        <v>ЭЛЬМАШ</v>
      </c>
      <c r="J5954" s="5"/>
      <c r="AL5954" s="5">
        <f t="shared" si="188"/>
        <v>0</v>
      </c>
    </row>
    <row r="5955" spans="1:38" ht="25.5" customHeight="1" x14ac:dyDescent="0.25">
      <c r="A5955" s="10" t="s">
        <v>4622</v>
      </c>
      <c r="B5955" s="11" t="s">
        <v>1647</v>
      </c>
      <c r="C5955" s="5">
        <v>63178.133800000003</v>
      </c>
      <c r="D5955" s="5">
        <v>63178.133800000003</v>
      </c>
      <c r="E5955" s="5">
        <v>57208.931499999999</v>
      </c>
      <c r="G5955" s="5" t="str">
        <f t="shared" si="187"/>
        <v>ШИРОКАЯ РЕЧКА</v>
      </c>
      <c r="J5955" s="5"/>
      <c r="AL5955" s="5">
        <f t="shared" si="188"/>
        <v>0</v>
      </c>
    </row>
    <row r="5956" spans="1:38" ht="25.5" customHeight="1" x14ac:dyDescent="0.25">
      <c r="A5956" s="10" t="s">
        <v>788</v>
      </c>
      <c r="B5956" s="11" t="s">
        <v>1636</v>
      </c>
      <c r="C5956" s="5">
        <v>52246.960299999999</v>
      </c>
      <c r="D5956" s="5">
        <v>52246.960299999999</v>
      </c>
      <c r="E5956" s="5">
        <v>47310.556700000001</v>
      </c>
      <c r="G5956" s="5" t="str">
        <f t="shared" si="187"/>
        <v>ГОРНЫЙ ЩИТ</v>
      </c>
      <c r="J5956" s="5"/>
      <c r="AL5956" s="5">
        <f t="shared" si="188"/>
        <v>0</v>
      </c>
    </row>
    <row r="5957" spans="1:38" ht="25.5" customHeight="1" x14ac:dyDescent="0.25">
      <c r="A5957" s="10" t="s">
        <v>4623</v>
      </c>
      <c r="B5957" s="11" t="s">
        <v>1647</v>
      </c>
      <c r="C5957" s="5">
        <v>63178.133800000003</v>
      </c>
      <c r="D5957" s="5">
        <v>63178.133800000003</v>
      </c>
      <c r="E5957" s="5">
        <v>57208.931499999999</v>
      </c>
      <c r="G5957" s="5" t="str">
        <f t="shared" si="187"/>
        <v>ШИРОКАЯ РЕЧКА</v>
      </c>
      <c r="J5957" s="5"/>
      <c r="AL5957" s="5">
        <f t="shared" si="188"/>
        <v>0</v>
      </c>
    </row>
    <row r="5958" spans="1:38" ht="25.5" customHeight="1" x14ac:dyDescent="0.25">
      <c r="A5958" s="10" t="s">
        <v>4624</v>
      </c>
      <c r="B5958" s="11" t="s">
        <v>1664</v>
      </c>
      <c r="C5958" s="5">
        <v>53668.506099999999</v>
      </c>
      <c r="D5958" s="5">
        <v>53668.506099999999</v>
      </c>
      <c r="E5958" s="5">
        <v>48597.792699999998</v>
      </c>
      <c r="G5958" s="5" t="str">
        <f t="shared" si="187"/>
        <v>ИЗОПЛИТ</v>
      </c>
      <c r="J5958" s="5"/>
      <c r="AL5958" s="5">
        <f t="shared" si="188"/>
        <v>0</v>
      </c>
    </row>
    <row r="5959" spans="1:38" ht="25.5" customHeight="1" x14ac:dyDescent="0.25">
      <c r="A5959" s="10" t="s">
        <v>4625</v>
      </c>
      <c r="B5959" s="11" t="s">
        <v>389</v>
      </c>
      <c r="C5959" s="5">
        <v>51175.5573</v>
      </c>
      <c r="D5959" s="5">
        <v>51175.5573</v>
      </c>
      <c r="E5959" s="5">
        <v>46340.381600000001</v>
      </c>
      <c r="G5959" s="5" t="str">
        <f t="shared" si="187"/>
        <v>Северка</v>
      </c>
      <c r="J5959" s="5"/>
      <c r="AL5959" s="5">
        <f t="shared" si="188"/>
        <v>0</v>
      </c>
    </row>
    <row r="5960" spans="1:38" ht="25.5" customHeight="1" x14ac:dyDescent="0.25">
      <c r="A5960" s="10" t="s">
        <v>4626</v>
      </c>
      <c r="B5960" s="11" t="s">
        <v>1663</v>
      </c>
      <c r="C5960" s="5">
        <v>44242.899599999997</v>
      </c>
      <c r="D5960" s="5">
        <v>44242.899599999997</v>
      </c>
      <c r="E5960" s="5">
        <v>40062.737300000001</v>
      </c>
      <c r="G5960" s="5" t="str">
        <f t="shared" si="187"/>
        <v>ШУВАКИШ</v>
      </c>
      <c r="J5960" s="5"/>
      <c r="AL5960" s="5">
        <f t="shared" si="188"/>
        <v>0</v>
      </c>
    </row>
    <row r="5961" spans="1:38" ht="25.5" customHeight="1" x14ac:dyDescent="0.25">
      <c r="A5961" s="10" t="s">
        <v>4627</v>
      </c>
      <c r="B5961" s="11" t="s">
        <v>1644</v>
      </c>
      <c r="C5961" s="5">
        <v>61980.678599999999</v>
      </c>
      <c r="D5961" s="5">
        <v>61980.678599999999</v>
      </c>
      <c r="E5961" s="5">
        <v>56124.615700000002</v>
      </c>
      <c r="G5961" s="5" t="str">
        <f t="shared" si="187"/>
        <v>ХИММАШ</v>
      </c>
      <c r="J5961" s="5"/>
      <c r="AL5961" s="5">
        <f t="shared" si="188"/>
        <v>0</v>
      </c>
    </row>
    <row r="5962" spans="1:38" ht="25.5" customHeight="1" x14ac:dyDescent="0.25">
      <c r="A5962" s="10" t="s">
        <v>4628</v>
      </c>
      <c r="B5962" s="11" t="s">
        <v>118</v>
      </c>
      <c r="C5962" s="5">
        <v>53500.443299999999</v>
      </c>
      <c r="D5962" s="5">
        <v>53500.443299999999</v>
      </c>
      <c r="E5962" s="5">
        <v>48445.605100000001</v>
      </c>
      <c r="G5962" s="5" t="str">
        <f t="shared" si="187"/>
        <v>Исток</v>
      </c>
      <c r="J5962" s="5"/>
      <c r="AL5962" s="5">
        <f t="shared" si="188"/>
        <v>0</v>
      </c>
    </row>
    <row r="5963" spans="1:38" ht="25.5" customHeight="1" x14ac:dyDescent="0.25">
      <c r="A5963" s="10" t="s">
        <v>1381</v>
      </c>
      <c r="B5963" s="11" t="s">
        <v>1650</v>
      </c>
      <c r="C5963" s="5">
        <v>37590.3603</v>
      </c>
      <c r="D5963" s="5">
        <v>37590.3603</v>
      </c>
      <c r="E5963" s="5">
        <v>34038.745900000002</v>
      </c>
      <c r="G5963" s="5" t="str">
        <f t="shared" si="187"/>
        <v>ШАБРОВСКИЙ</v>
      </c>
      <c r="J5963" s="5"/>
      <c r="AL5963" s="5">
        <f t="shared" si="188"/>
        <v>0</v>
      </c>
    </row>
    <row r="5964" spans="1:38" ht="25.5" customHeight="1" x14ac:dyDescent="0.25">
      <c r="A5964" s="10" t="s">
        <v>4629</v>
      </c>
      <c r="B5964" s="11" t="s">
        <v>1666</v>
      </c>
      <c r="C5964" s="5">
        <v>46784.877899999999</v>
      </c>
      <c r="D5964" s="5">
        <v>46784.877899999999</v>
      </c>
      <c r="E5964" s="5">
        <v>42364.543299999998</v>
      </c>
      <c r="G5964" s="5" t="str">
        <f t="shared" si="187"/>
        <v>Сулим.Торфянник</v>
      </c>
      <c r="J5964" s="5"/>
      <c r="AL5964" s="5">
        <f t="shared" si="188"/>
        <v>0</v>
      </c>
    </row>
    <row r="5965" spans="1:38" ht="25.5" customHeight="1" x14ac:dyDescent="0.25">
      <c r="A5965" s="10" t="s">
        <v>4630</v>
      </c>
      <c r="B5965" s="11" t="s">
        <v>1647</v>
      </c>
      <c r="C5965" s="5">
        <v>63178.133800000003</v>
      </c>
      <c r="D5965" s="5">
        <v>63178.133800000003</v>
      </c>
      <c r="E5965" s="5">
        <v>57208.931499999999</v>
      </c>
      <c r="G5965" s="5" t="str">
        <f t="shared" si="187"/>
        <v>ШИРОКАЯ РЕЧКА</v>
      </c>
      <c r="J5965" s="5"/>
      <c r="AL5965" s="5">
        <f t="shared" si="188"/>
        <v>0</v>
      </c>
    </row>
    <row r="5966" spans="1:38" ht="25.5" customHeight="1" x14ac:dyDescent="0.25">
      <c r="A5966" s="10" t="s">
        <v>4631</v>
      </c>
      <c r="B5966" s="11" t="s">
        <v>1651</v>
      </c>
      <c r="C5966" s="5">
        <v>68129.029500000004</v>
      </c>
      <c r="D5966" s="5">
        <v>68129.029500000004</v>
      </c>
      <c r="E5966" s="5">
        <v>61692.054799999998</v>
      </c>
      <c r="G5966" s="5" t="str">
        <f t="shared" si="187"/>
        <v>ШАРТАШ</v>
      </c>
      <c r="J5966" s="5"/>
      <c r="AL5966" s="5">
        <f t="shared" si="188"/>
        <v>0</v>
      </c>
    </row>
    <row r="5967" spans="1:38" ht="25.5" customHeight="1" x14ac:dyDescent="0.25">
      <c r="A5967" s="10" t="s">
        <v>4632</v>
      </c>
      <c r="B5967" s="11" t="s">
        <v>1636</v>
      </c>
      <c r="C5967" s="5">
        <v>52246.960299999999</v>
      </c>
      <c r="D5967" s="5">
        <v>52246.960299999999</v>
      </c>
      <c r="E5967" s="5">
        <v>47310.556700000001</v>
      </c>
      <c r="G5967" s="5" t="str">
        <f t="shared" si="187"/>
        <v>ГОРНЫЙ ЩИТ</v>
      </c>
      <c r="J5967" s="5"/>
      <c r="AL5967" s="5">
        <f t="shared" si="188"/>
        <v>0</v>
      </c>
    </row>
    <row r="5968" spans="1:38" ht="25.5" customHeight="1" x14ac:dyDescent="0.25">
      <c r="A5968" s="10" t="s">
        <v>4633</v>
      </c>
      <c r="B5968" s="11" t="s">
        <v>1647</v>
      </c>
      <c r="C5968" s="5">
        <v>63178.133800000003</v>
      </c>
      <c r="D5968" s="5">
        <v>63178.133800000003</v>
      </c>
      <c r="E5968" s="5">
        <v>57208.931499999999</v>
      </c>
      <c r="G5968" s="5" t="str">
        <f t="shared" si="187"/>
        <v>ШИРОКАЯ РЕЧКА</v>
      </c>
      <c r="J5968" s="5"/>
      <c r="AL5968" s="5">
        <f t="shared" si="188"/>
        <v>0</v>
      </c>
    </row>
    <row r="5969" spans="1:38" ht="25.5" customHeight="1" x14ac:dyDescent="0.25">
      <c r="A5969" s="10" t="s">
        <v>4634</v>
      </c>
      <c r="B5969" s="11" t="s">
        <v>1628</v>
      </c>
      <c r="C5969" s="5">
        <v>70734.0236</v>
      </c>
      <c r="D5969" s="5">
        <v>70734.0236</v>
      </c>
      <c r="E5969" s="5">
        <v>64050.9208</v>
      </c>
      <c r="G5969" s="5" t="str">
        <f t="shared" si="187"/>
        <v>ЭЛЬМАШ</v>
      </c>
      <c r="J5969" s="5"/>
      <c r="AL5969" s="5">
        <f t="shared" si="188"/>
        <v>0</v>
      </c>
    </row>
    <row r="5970" spans="1:38" ht="25.5" customHeight="1" x14ac:dyDescent="0.25">
      <c r="A5970" s="10" t="s">
        <v>4635</v>
      </c>
      <c r="B5970" s="11" t="s">
        <v>1644</v>
      </c>
      <c r="C5970" s="5">
        <v>61980.678599999999</v>
      </c>
      <c r="D5970" s="5">
        <v>61980.678599999999</v>
      </c>
      <c r="E5970" s="5">
        <v>56124.615700000002</v>
      </c>
      <c r="G5970" s="5" t="str">
        <f t="shared" si="187"/>
        <v>ХИММАШ</v>
      </c>
      <c r="J5970" s="5"/>
      <c r="AL5970" s="5">
        <f t="shared" si="188"/>
        <v>0</v>
      </c>
    </row>
    <row r="5971" spans="1:38" ht="25.5" customHeight="1" x14ac:dyDescent="0.25">
      <c r="A5971" s="10" t="s">
        <v>4636</v>
      </c>
      <c r="B5971" s="11" t="s">
        <v>1631</v>
      </c>
      <c r="C5971" s="5">
        <v>70026.7601</v>
      </c>
      <c r="D5971" s="5">
        <v>70026.7601</v>
      </c>
      <c r="E5971" s="5">
        <v>63410.482000000004</v>
      </c>
      <c r="G5971" s="5" t="str">
        <f t="shared" si="187"/>
        <v>УРАЛМАШ</v>
      </c>
      <c r="J5971" s="5"/>
      <c r="AL5971" s="5">
        <f t="shared" si="188"/>
        <v>0</v>
      </c>
    </row>
    <row r="5972" spans="1:38" ht="25.5" customHeight="1" x14ac:dyDescent="0.25">
      <c r="A5972" s="10" t="s">
        <v>4637</v>
      </c>
      <c r="B5972" s="11" t="s">
        <v>1668</v>
      </c>
      <c r="C5972" s="5">
        <v>51343.6201</v>
      </c>
      <c r="D5972" s="5">
        <v>51343.6201</v>
      </c>
      <c r="E5972" s="5">
        <v>46492.558799999999</v>
      </c>
      <c r="G5972" s="5" t="str">
        <f t="shared" si="187"/>
        <v>МЕДНЫЙ</v>
      </c>
      <c r="J5972" s="5"/>
      <c r="AL5972" s="5">
        <f t="shared" si="188"/>
        <v>0</v>
      </c>
    </row>
    <row r="5973" spans="1:38" ht="25.5" customHeight="1" x14ac:dyDescent="0.25">
      <c r="A5973" s="10" t="s">
        <v>4638</v>
      </c>
      <c r="B5973" s="11" t="s">
        <v>1636</v>
      </c>
      <c r="C5973" s="5">
        <v>52246.960299999999</v>
      </c>
      <c r="D5973" s="5">
        <v>52246.960299999999</v>
      </c>
      <c r="E5973" s="5">
        <v>47310.556700000001</v>
      </c>
      <c r="G5973" s="5" t="str">
        <f t="shared" si="187"/>
        <v>ГОРНЫЙ ЩИТ</v>
      </c>
      <c r="J5973" s="5"/>
      <c r="AL5973" s="5">
        <f t="shared" si="188"/>
        <v>0</v>
      </c>
    </row>
    <row r="5974" spans="1:38" ht="25.5" customHeight="1" x14ac:dyDescent="0.25">
      <c r="A5974" s="10" t="s">
        <v>4639</v>
      </c>
      <c r="B5974" s="11" t="s">
        <v>1647</v>
      </c>
      <c r="C5974" s="5">
        <v>63178.133800000003</v>
      </c>
      <c r="D5974" s="5">
        <v>63178.133800000003</v>
      </c>
      <c r="E5974" s="5">
        <v>57208.931499999999</v>
      </c>
      <c r="G5974" s="5" t="str">
        <f t="shared" si="187"/>
        <v>ШИРОКАЯ РЕЧКА</v>
      </c>
      <c r="J5974" s="5"/>
      <c r="AL5974" s="5">
        <f t="shared" si="188"/>
        <v>0</v>
      </c>
    </row>
    <row r="5975" spans="1:38" ht="25.5" customHeight="1" x14ac:dyDescent="0.25">
      <c r="A5975" s="10" t="s">
        <v>4640</v>
      </c>
      <c r="B5975" s="11" t="s">
        <v>1653</v>
      </c>
      <c r="C5975" s="5">
        <v>56847.723400000003</v>
      </c>
      <c r="D5975" s="5">
        <v>56847.723400000003</v>
      </c>
      <c r="E5975" s="5">
        <v>51476.629399999998</v>
      </c>
      <c r="G5975" s="5" t="str">
        <f t="shared" si="187"/>
        <v>ПТИЦЕФАБРИКА</v>
      </c>
      <c r="J5975" s="5"/>
      <c r="AL5975" s="5">
        <f t="shared" si="188"/>
        <v>0</v>
      </c>
    </row>
    <row r="5976" spans="1:38" ht="25.5" customHeight="1" x14ac:dyDescent="0.25">
      <c r="A5976" s="10" t="s">
        <v>4641</v>
      </c>
      <c r="B5976" s="11" t="s">
        <v>1668</v>
      </c>
      <c r="C5976" s="5">
        <v>51343.6201</v>
      </c>
      <c r="D5976" s="5">
        <v>51343.6201</v>
      </c>
      <c r="E5976" s="5">
        <v>46492.558799999999</v>
      </c>
      <c r="G5976" s="5" t="str">
        <f t="shared" si="187"/>
        <v>МЕДНЫЙ</v>
      </c>
      <c r="J5976" s="5"/>
      <c r="AL5976" s="5">
        <f t="shared" si="188"/>
        <v>0</v>
      </c>
    </row>
    <row r="5977" spans="1:38" ht="25.5" customHeight="1" x14ac:dyDescent="0.25">
      <c r="A5977" s="10" t="s">
        <v>4642</v>
      </c>
      <c r="B5977" s="11" t="s">
        <v>1661</v>
      </c>
      <c r="C5977" s="5">
        <v>51175.5573</v>
      </c>
      <c r="D5977" s="5">
        <v>51175.5573</v>
      </c>
      <c r="E5977" s="5">
        <v>46340.381600000001</v>
      </c>
      <c r="G5977" s="5" t="str">
        <f t="shared" si="187"/>
        <v>СЕВЕРКА</v>
      </c>
      <c r="J5977" s="5"/>
      <c r="AL5977" s="5">
        <f t="shared" si="188"/>
        <v>0</v>
      </c>
    </row>
    <row r="5978" spans="1:38" ht="25.5" customHeight="1" x14ac:dyDescent="0.25">
      <c r="A5978" s="10" t="s">
        <v>4643</v>
      </c>
      <c r="B5978" s="11" t="s">
        <v>1637</v>
      </c>
      <c r="C5978" s="5">
        <v>59368.686099999999</v>
      </c>
      <c r="D5978" s="5">
        <v>59368.686099999999</v>
      </c>
      <c r="E5978" s="5">
        <v>53759.401700000002</v>
      </c>
      <c r="G5978" s="5" t="str">
        <f t="shared" si="187"/>
        <v>Старая сортировка</v>
      </c>
      <c r="J5978" s="5"/>
      <c r="AL5978" s="5">
        <f t="shared" si="188"/>
        <v>0</v>
      </c>
    </row>
    <row r="5979" spans="1:38" ht="25.5" customHeight="1" x14ac:dyDescent="0.25">
      <c r="A5979" s="10" t="s">
        <v>1069</v>
      </c>
      <c r="B5979" s="11" t="s">
        <v>1650</v>
      </c>
      <c r="C5979" s="5">
        <v>37590.3603</v>
      </c>
      <c r="D5979" s="5">
        <v>37590.3603</v>
      </c>
      <c r="E5979" s="5">
        <v>34038.745900000002</v>
      </c>
      <c r="G5979" s="5" t="str">
        <f t="shared" si="187"/>
        <v>ШАБРОВСКИЙ</v>
      </c>
      <c r="J5979" s="5"/>
      <c r="AL5979" s="5">
        <f t="shared" si="188"/>
        <v>0</v>
      </c>
    </row>
    <row r="5980" spans="1:38" ht="25.5" customHeight="1" x14ac:dyDescent="0.25">
      <c r="A5980" s="10" t="s">
        <v>4644</v>
      </c>
      <c r="B5980" s="11" t="s">
        <v>1661</v>
      </c>
      <c r="C5980" s="5">
        <v>51175.5573</v>
      </c>
      <c r="D5980" s="5">
        <v>51175.5573</v>
      </c>
      <c r="E5980" s="5">
        <v>46340.381600000001</v>
      </c>
      <c r="G5980" s="5" t="str">
        <f t="shared" si="187"/>
        <v>СЕВЕРКА</v>
      </c>
      <c r="J5980" s="5"/>
      <c r="AL5980" s="5">
        <f t="shared" si="188"/>
        <v>0</v>
      </c>
    </row>
    <row r="5981" spans="1:38" ht="25.5" customHeight="1" x14ac:dyDescent="0.25">
      <c r="A5981" s="10" t="s">
        <v>4645</v>
      </c>
      <c r="B5981" s="11" t="s">
        <v>1657</v>
      </c>
      <c r="C5981" s="5">
        <v>54886.9666</v>
      </c>
      <c r="D5981" s="5">
        <v>54886.9666</v>
      </c>
      <c r="E5981" s="5">
        <v>49701.1319</v>
      </c>
      <c r="G5981" s="5" t="str">
        <f t="shared" si="187"/>
        <v>КОЛЬЦОВО</v>
      </c>
      <c r="J5981" s="5"/>
      <c r="AL5981" s="5">
        <f t="shared" si="188"/>
        <v>0</v>
      </c>
    </row>
    <row r="5982" spans="1:38" ht="25.5" customHeight="1" x14ac:dyDescent="0.25">
      <c r="A5982" s="10" t="s">
        <v>4646</v>
      </c>
      <c r="B5982" s="11" t="s">
        <v>1644</v>
      </c>
      <c r="C5982" s="5">
        <v>61980.678599999999</v>
      </c>
      <c r="D5982" s="5">
        <v>61980.678599999999</v>
      </c>
      <c r="E5982" s="5">
        <v>56124.615700000002</v>
      </c>
      <c r="G5982" s="5" t="str">
        <f t="shared" si="187"/>
        <v>ХИММАШ</v>
      </c>
      <c r="J5982" s="5"/>
      <c r="AL5982" s="5">
        <f t="shared" si="188"/>
        <v>0</v>
      </c>
    </row>
    <row r="5983" spans="1:38" ht="25.5" customHeight="1" x14ac:dyDescent="0.25">
      <c r="A5983" s="10" t="s">
        <v>4647</v>
      </c>
      <c r="B5983" s="11" t="s">
        <v>1647</v>
      </c>
      <c r="C5983" s="5">
        <v>63178.133800000003</v>
      </c>
      <c r="D5983" s="5">
        <v>63178.133800000003</v>
      </c>
      <c r="E5983" s="5">
        <v>57208.931499999999</v>
      </c>
      <c r="G5983" s="5" t="str">
        <f t="shared" si="187"/>
        <v>ШИРОКАЯ РЕЧКА</v>
      </c>
      <c r="J5983" s="5"/>
      <c r="AL5983" s="5">
        <f t="shared" si="188"/>
        <v>0</v>
      </c>
    </row>
    <row r="5984" spans="1:38" ht="25.5" customHeight="1" x14ac:dyDescent="0.25">
      <c r="A5984" s="10" t="s">
        <v>4648</v>
      </c>
      <c r="B5984" s="11" t="s">
        <v>1656</v>
      </c>
      <c r="C5984" s="5">
        <v>60173.9879</v>
      </c>
      <c r="D5984" s="5">
        <v>60173.9879</v>
      </c>
      <c r="E5984" s="5">
        <v>54488.630299999997</v>
      </c>
      <c r="G5984" s="5" t="str">
        <f t="shared" si="187"/>
        <v>МАЛЫЙ ИСТОК</v>
      </c>
      <c r="J5984" s="5"/>
      <c r="AL5984" s="5">
        <f t="shared" si="188"/>
        <v>0</v>
      </c>
    </row>
    <row r="5985" spans="1:38" ht="25.5" customHeight="1" x14ac:dyDescent="0.25">
      <c r="A5985" s="10" t="s">
        <v>4649</v>
      </c>
      <c r="B5985" s="11" t="s">
        <v>1661</v>
      </c>
      <c r="C5985" s="5">
        <v>51175.5573</v>
      </c>
      <c r="D5985" s="5">
        <v>51175.5573</v>
      </c>
      <c r="E5985" s="5">
        <v>46340.381600000001</v>
      </c>
      <c r="G5985" s="5" t="str">
        <f t="shared" si="187"/>
        <v>СЕВЕРКА</v>
      </c>
      <c r="J5985" s="5"/>
      <c r="AL5985" s="5">
        <f t="shared" si="188"/>
        <v>0</v>
      </c>
    </row>
    <row r="5986" spans="1:38" ht="25.5" customHeight="1" x14ac:dyDescent="0.25">
      <c r="A5986" s="10" t="s">
        <v>4650</v>
      </c>
      <c r="B5986" s="11" t="s">
        <v>1661</v>
      </c>
      <c r="C5986" s="5">
        <v>51175.5573</v>
      </c>
      <c r="D5986" s="5">
        <v>51175.5573</v>
      </c>
      <c r="E5986" s="5">
        <v>46340.381600000001</v>
      </c>
      <c r="G5986" s="5" t="str">
        <f t="shared" si="187"/>
        <v>СЕВЕРКА</v>
      </c>
      <c r="J5986" s="5"/>
      <c r="AL5986" s="5">
        <f t="shared" si="188"/>
        <v>0</v>
      </c>
    </row>
    <row r="5987" spans="1:38" ht="25.5" customHeight="1" x14ac:dyDescent="0.25">
      <c r="A5987" s="10" t="s">
        <v>4651</v>
      </c>
      <c r="B5987" s="11" t="s">
        <v>1636</v>
      </c>
      <c r="C5987" s="5">
        <v>52246.960299999999</v>
      </c>
      <c r="D5987" s="5">
        <v>52246.960299999999</v>
      </c>
      <c r="E5987" s="5">
        <v>47310.556700000001</v>
      </c>
      <c r="G5987" s="5" t="str">
        <f t="shared" si="187"/>
        <v>ГОРНЫЙ ЩИТ</v>
      </c>
      <c r="J5987" s="5"/>
      <c r="AL5987" s="5">
        <f t="shared" si="188"/>
        <v>0</v>
      </c>
    </row>
    <row r="5988" spans="1:38" ht="25.5" customHeight="1" x14ac:dyDescent="0.25">
      <c r="A5988" s="10" t="s">
        <v>4652</v>
      </c>
      <c r="B5988" s="11" t="s">
        <v>1662</v>
      </c>
      <c r="C5988" s="5">
        <v>46784.877899999999</v>
      </c>
      <c r="D5988" s="5">
        <v>46784.877899999999</v>
      </c>
      <c r="E5988" s="5">
        <v>42364.543299999998</v>
      </c>
      <c r="G5988" s="5" t="str">
        <f t="shared" si="187"/>
        <v>РУДНЫЙ</v>
      </c>
      <c r="J5988" s="5"/>
      <c r="AL5988" s="5">
        <f t="shared" si="188"/>
        <v>0</v>
      </c>
    </row>
    <row r="5989" spans="1:38" ht="25.5" customHeight="1" x14ac:dyDescent="0.25">
      <c r="A5989" s="10" t="s">
        <v>4653</v>
      </c>
      <c r="B5989" s="11" t="s">
        <v>1647</v>
      </c>
      <c r="C5989" s="5">
        <v>63178.133800000003</v>
      </c>
      <c r="D5989" s="5">
        <v>63178.133800000003</v>
      </c>
      <c r="E5989" s="5">
        <v>57208.931499999999</v>
      </c>
      <c r="G5989" s="5" t="str">
        <f t="shared" si="187"/>
        <v>ШИРОКАЯ РЕЧКА</v>
      </c>
      <c r="J5989" s="5"/>
      <c r="AL5989" s="5">
        <f t="shared" si="188"/>
        <v>0</v>
      </c>
    </row>
    <row r="5990" spans="1:38" ht="25.5" customHeight="1" x14ac:dyDescent="0.25">
      <c r="A5990" s="10" t="s">
        <v>4654</v>
      </c>
      <c r="B5990" s="11" t="s">
        <v>1636</v>
      </c>
      <c r="C5990" s="5">
        <v>52246.960299999999</v>
      </c>
      <c r="D5990" s="5">
        <v>52246.960299999999</v>
      </c>
      <c r="E5990" s="5">
        <v>47310.556700000001</v>
      </c>
      <c r="G5990" s="5" t="str">
        <f t="shared" si="187"/>
        <v>ГОРНЫЙ ЩИТ</v>
      </c>
      <c r="J5990" s="5"/>
      <c r="AL5990" s="5">
        <f t="shared" si="188"/>
        <v>0</v>
      </c>
    </row>
    <row r="5991" spans="1:38" ht="25.5" customHeight="1" x14ac:dyDescent="0.25">
      <c r="A5991" s="10" t="s">
        <v>1255</v>
      </c>
      <c r="B5991" s="11" t="s">
        <v>1644</v>
      </c>
      <c r="C5991" s="5">
        <v>61980.678599999999</v>
      </c>
      <c r="D5991" s="5">
        <v>61980.678599999999</v>
      </c>
      <c r="E5991" s="5">
        <v>56124.615700000002</v>
      </c>
      <c r="G5991" s="5" t="str">
        <f t="shared" si="187"/>
        <v>ХИММАШ</v>
      </c>
      <c r="J5991" s="5"/>
      <c r="AL5991" s="5">
        <f t="shared" si="188"/>
        <v>0</v>
      </c>
    </row>
    <row r="5992" spans="1:38" ht="25.5" customHeight="1" x14ac:dyDescent="0.25">
      <c r="A5992" s="10" t="s">
        <v>1592</v>
      </c>
      <c r="B5992" s="11" t="s">
        <v>1647</v>
      </c>
      <c r="C5992" s="5">
        <v>63178.133800000003</v>
      </c>
      <c r="D5992" s="5">
        <v>63178.133800000003</v>
      </c>
      <c r="E5992" s="5">
        <v>57208.931499999999</v>
      </c>
      <c r="G5992" s="5" t="str">
        <f t="shared" si="187"/>
        <v>ШИРОКАЯ РЕЧКА</v>
      </c>
      <c r="J5992" s="5"/>
      <c r="AL5992" s="5">
        <f t="shared" si="188"/>
        <v>0</v>
      </c>
    </row>
    <row r="5993" spans="1:38" ht="25.5" customHeight="1" x14ac:dyDescent="0.25">
      <c r="A5993" s="10" t="s">
        <v>4655</v>
      </c>
      <c r="B5993" s="11" t="s">
        <v>1647</v>
      </c>
      <c r="C5993" s="5">
        <v>63178.133800000003</v>
      </c>
      <c r="D5993" s="5">
        <v>63178.133800000003</v>
      </c>
      <c r="E5993" s="5">
        <v>57208.931499999999</v>
      </c>
      <c r="G5993" s="5" t="str">
        <f t="shared" si="187"/>
        <v>ШИРОКАЯ РЕЧКА</v>
      </c>
      <c r="J5993" s="5"/>
      <c r="AL5993" s="5">
        <f t="shared" si="188"/>
        <v>0</v>
      </c>
    </row>
    <row r="5994" spans="1:38" ht="25.5" customHeight="1" x14ac:dyDescent="0.25">
      <c r="A5994" s="10" t="s">
        <v>4656</v>
      </c>
      <c r="B5994" s="11" t="s">
        <v>1668</v>
      </c>
      <c r="C5994" s="5">
        <v>51343.6201</v>
      </c>
      <c r="D5994" s="5">
        <v>51343.6201</v>
      </c>
      <c r="E5994" s="5">
        <v>46492.558799999999</v>
      </c>
      <c r="G5994" s="5" t="str">
        <f t="shared" si="187"/>
        <v>МЕДНЫЙ</v>
      </c>
      <c r="J5994" s="5"/>
      <c r="AL5994" s="5">
        <f t="shared" si="188"/>
        <v>0</v>
      </c>
    </row>
    <row r="5995" spans="1:38" ht="25.5" customHeight="1" x14ac:dyDescent="0.25">
      <c r="A5995" s="10" t="s">
        <v>4657</v>
      </c>
      <c r="B5995" s="11" t="s">
        <v>1661</v>
      </c>
      <c r="C5995" s="5">
        <v>51175.5573</v>
      </c>
      <c r="D5995" s="5">
        <v>51175.5573</v>
      </c>
      <c r="E5995" s="5">
        <v>46340.381600000001</v>
      </c>
      <c r="G5995" s="5" t="str">
        <f t="shared" si="187"/>
        <v>СЕВЕРКА</v>
      </c>
      <c r="J5995" s="5"/>
      <c r="AL5995" s="5">
        <f t="shared" si="188"/>
        <v>0</v>
      </c>
    </row>
    <row r="5996" spans="1:38" ht="25.5" customHeight="1" x14ac:dyDescent="0.25">
      <c r="A5996" s="10" t="s">
        <v>4658</v>
      </c>
      <c r="B5996" s="11" t="s">
        <v>1668</v>
      </c>
      <c r="C5996" s="5">
        <v>51343.6201</v>
      </c>
      <c r="D5996" s="5">
        <v>51343.6201</v>
      </c>
      <c r="E5996" s="5">
        <v>46492.558799999999</v>
      </c>
      <c r="G5996" s="5" t="str">
        <f t="shared" si="187"/>
        <v>МЕДНЫЙ</v>
      </c>
      <c r="J5996" s="5"/>
      <c r="AL5996" s="5">
        <f t="shared" si="188"/>
        <v>0</v>
      </c>
    </row>
    <row r="5997" spans="1:38" ht="25.5" customHeight="1" x14ac:dyDescent="0.25">
      <c r="A5997" s="10" t="s">
        <v>4659</v>
      </c>
      <c r="B5997" s="11" t="s">
        <v>33</v>
      </c>
      <c r="C5997" s="5">
        <v>84298.205100000006</v>
      </c>
      <c r="D5997" s="5">
        <v>84298.205100000006</v>
      </c>
      <c r="E5997" s="5">
        <v>76333.533100000001</v>
      </c>
      <c r="G5997" s="5" t="str">
        <f t="shared" si="187"/>
        <v>ВИЗ</v>
      </c>
      <c r="J5997" s="5"/>
      <c r="AL5997" s="5">
        <f t="shared" si="188"/>
        <v>0</v>
      </c>
    </row>
    <row r="5998" spans="1:38" ht="25.5" customHeight="1" x14ac:dyDescent="0.25">
      <c r="A5998" s="10" t="s">
        <v>4660</v>
      </c>
      <c r="B5998" s="11" t="s">
        <v>1647</v>
      </c>
      <c r="C5998" s="5">
        <v>63178.133800000003</v>
      </c>
      <c r="D5998" s="5">
        <v>63178.133800000003</v>
      </c>
      <c r="E5998" s="5">
        <v>57208.931499999999</v>
      </c>
      <c r="G5998" s="5" t="str">
        <f t="shared" si="187"/>
        <v>ШИРОКАЯ РЕЧКА</v>
      </c>
      <c r="J5998" s="5"/>
      <c r="AL5998" s="5">
        <f t="shared" si="188"/>
        <v>0</v>
      </c>
    </row>
    <row r="5999" spans="1:38" ht="25.5" customHeight="1" x14ac:dyDescent="0.25">
      <c r="A5999" s="10" t="s">
        <v>4661</v>
      </c>
      <c r="B5999" s="11" t="s">
        <v>1647</v>
      </c>
      <c r="C5999" s="5">
        <v>63178.133800000003</v>
      </c>
      <c r="D5999" s="5">
        <v>63178.133800000003</v>
      </c>
      <c r="E5999" s="5">
        <v>57208.931499999999</v>
      </c>
      <c r="G5999" s="5" t="str">
        <f t="shared" si="187"/>
        <v>ШИРОКАЯ РЕЧКА</v>
      </c>
      <c r="J5999" s="5"/>
      <c r="AL5999" s="5">
        <f t="shared" si="188"/>
        <v>0</v>
      </c>
    </row>
    <row r="6000" spans="1:38" ht="25.5" customHeight="1" x14ac:dyDescent="0.25">
      <c r="A6000" s="10" t="s">
        <v>4662</v>
      </c>
      <c r="B6000" s="11" t="s">
        <v>1668</v>
      </c>
      <c r="C6000" s="5">
        <v>51343.6201</v>
      </c>
      <c r="D6000" s="5">
        <v>51343.6201</v>
      </c>
      <c r="E6000" s="5">
        <v>46492.558799999999</v>
      </c>
      <c r="G6000" s="5" t="str">
        <f t="shared" si="187"/>
        <v>МЕДНЫЙ</v>
      </c>
      <c r="J6000" s="5"/>
      <c r="AL6000" s="5">
        <f t="shared" si="188"/>
        <v>0</v>
      </c>
    </row>
    <row r="6001" spans="1:38" ht="25.5" customHeight="1" x14ac:dyDescent="0.25">
      <c r="A6001" s="10" t="s">
        <v>4663</v>
      </c>
      <c r="B6001" s="11" t="s">
        <v>1638</v>
      </c>
      <c r="C6001" s="5">
        <v>63640.311600000001</v>
      </c>
      <c r="D6001" s="5">
        <v>63640.311600000001</v>
      </c>
      <c r="E6001" s="5">
        <v>57627.4473</v>
      </c>
      <c r="G6001" s="5" t="str">
        <f t="shared" si="187"/>
        <v>УКТУС</v>
      </c>
      <c r="J6001" s="5"/>
      <c r="AL6001" s="5">
        <f t="shared" si="188"/>
        <v>0</v>
      </c>
    </row>
    <row r="6002" spans="1:38" ht="25.5" customHeight="1" x14ac:dyDescent="0.25">
      <c r="A6002" s="10" t="s">
        <v>4664</v>
      </c>
      <c r="B6002" s="11" t="s">
        <v>1636</v>
      </c>
      <c r="C6002" s="5">
        <v>52246.960299999999</v>
      </c>
      <c r="D6002" s="5">
        <v>52246.960299999999</v>
      </c>
      <c r="E6002" s="5">
        <v>47310.556700000001</v>
      </c>
      <c r="G6002" s="5" t="str">
        <f t="shared" si="187"/>
        <v>ГОРНЫЙ ЩИТ</v>
      </c>
      <c r="J6002" s="5"/>
      <c r="AL6002" s="5">
        <f t="shared" si="188"/>
        <v>0</v>
      </c>
    </row>
    <row r="6003" spans="1:38" ht="25.5" customHeight="1" x14ac:dyDescent="0.25">
      <c r="A6003" s="10" t="s">
        <v>4665</v>
      </c>
      <c r="B6003" s="11" t="s">
        <v>1650</v>
      </c>
      <c r="C6003" s="5">
        <v>37590.3603</v>
      </c>
      <c r="D6003" s="5">
        <v>37590.3603</v>
      </c>
      <c r="E6003" s="5">
        <v>34038.745900000002</v>
      </c>
      <c r="G6003" s="5" t="str">
        <f t="shared" si="187"/>
        <v>ШАБРОВСКИЙ</v>
      </c>
      <c r="J6003" s="5"/>
      <c r="AL6003" s="5">
        <f t="shared" si="188"/>
        <v>0</v>
      </c>
    </row>
    <row r="6004" spans="1:38" ht="25.5" customHeight="1" x14ac:dyDescent="0.25">
      <c r="A6004" s="10" t="s">
        <v>4666</v>
      </c>
      <c r="B6004" s="11" t="s">
        <v>1635</v>
      </c>
      <c r="C6004" s="5">
        <v>57793.0844</v>
      </c>
      <c r="D6004" s="5">
        <v>57793.0844</v>
      </c>
      <c r="E6004" s="5">
        <v>52332.6639</v>
      </c>
      <c r="G6004" s="5" t="str">
        <f t="shared" si="187"/>
        <v>ЛЕЧЕБНЫЙ</v>
      </c>
      <c r="J6004" s="5"/>
      <c r="AL6004" s="5">
        <f t="shared" si="188"/>
        <v>0</v>
      </c>
    </row>
    <row r="6005" spans="1:38" ht="25.5" customHeight="1" x14ac:dyDescent="0.25">
      <c r="A6005" s="10" t="s">
        <v>4667</v>
      </c>
      <c r="B6005" s="11" t="s">
        <v>1668</v>
      </c>
      <c r="C6005" s="5">
        <v>51343.6201</v>
      </c>
      <c r="D6005" s="5">
        <v>51343.6201</v>
      </c>
      <c r="E6005" s="5">
        <v>46492.558799999999</v>
      </c>
      <c r="G6005" s="5" t="str">
        <f t="shared" si="187"/>
        <v>МЕДНЫЙ</v>
      </c>
      <c r="J6005" s="5"/>
      <c r="AL6005" s="5">
        <f t="shared" si="188"/>
        <v>0</v>
      </c>
    </row>
    <row r="6006" spans="1:38" ht="25.5" customHeight="1" x14ac:dyDescent="0.25">
      <c r="A6006" s="10" t="s">
        <v>4668</v>
      </c>
      <c r="B6006" s="11" t="s">
        <v>1647</v>
      </c>
      <c r="C6006" s="5">
        <v>63178.133800000003</v>
      </c>
      <c r="D6006" s="5">
        <v>63178.133800000003</v>
      </c>
      <c r="E6006" s="5">
        <v>57208.931499999999</v>
      </c>
      <c r="G6006" s="5" t="str">
        <f t="shared" si="187"/>
        <v>ШИРОКАЯ РЕЧКА</v>
      </c>
      <c r="J6006" s="5"/>
      <c r="AL6006" s="5">
        <f t="shared" si="188"/>
        <v>0</v>
      </c>
    </row>
    <row r="6007" spans="1:38" ht="25.5" customHeight="1" x14ac:dyDescent="0.25">
      <c r="A6007" s="10" t="s">
        <v>4669</v>
      </c>
      <c r="B6007" s="11" t="s">
        <v>1648</v>
      </c>
      <c r="C6007" s="5">
        <v>49782.025399999999</v>
      </c>
      <c r="D6007" s="5">
        <v>49782.025399999999</v>
      </c>
      <c r="E6007" s="5">
        <v>45078.506800000003</v>
      </c>
      <c r="G6007" s="5" t="str">
        <f t="shared" si="187"/>
        <v>ЧУСОВСКОЕ ОЗЕРО</v>
      </c>
      <c r="J6007" s="5"/>
      <c r="AL6007" s="5">
        <f t="shared" si="188"/>
        <v>0</v>
      </c>
    </row>
    <row r="6008" spans="1:38" ht="25.5" customHeight="1" x14ac:dyDescent="0.25">
      <c r="A6008" s="10" t="s">
        <v>658</v>
      </c>
      <c r="B6008" s="11" t="s">
        <v>1650</v>
      </c>
      <c r="C6008" s="5">
        <v>37590.3603</v>
      </c>
      <c r="D6008" s="5">
        <v>37590.3603</v>
      </c>
      <c r="E6008" s="5">
        <v>34038.745900000002</v>
      </c>
      <c r="G6008" s="5" t="str">
        <f t="shared" si="187"/>
        <v>ШАБРОВСКИЙ</v>
      </c>
      <c r="J6008" s="5"/>
      <c r="AL6008" s="5">
        <f t="shared" si="188"/>
        <v>0</v>
      </c>
    </row>
    <row r="6009" spans="1:38" ht="25.5" customHeight="1" x14ac:dyDescent="0.25">
      <c r="A6009" s="10" t="s">
        <v>1583</v>
      </c>
      <c r="B6009" s="11" t="s">
        <v>1661</v>
      </c>
      <c r="C6009" s="5">
        <v>51175.5573</v>
      </c>
      <c r="D6009" s="5">
        <v>51175.5573</v>
      </c>
      <c r="E6009" s="5">
        <v>46340.381600000001</v>
      </c>
      <c r="G6009" s="5" t="str">
        <f t="shared" si="187"/>
        <v>СЕВЕРКА</v>
      </c>
      <c r="J6009" s="5"/>
      <c r="AL6009" s="5">
        <f t="shared" si="188"/>
        <v>0</v>
      </c>
    </row>
    <row r="6010" spans="1:38" ht="25.5" customHeight="1" x14ac:dyDescent="0.25">
      <c r="A6010" s="10" t="s">
        <v>4670</v>
      </c>
      <c r="B6010" s="11" t="s">
        <v>1656</v>
      </c>
      <c r="C6010" s="5">
        <v>60173.9879</v>
      </c>
      <c r="D6010" s="5">
        <v>60173.9879</v>
      </c>
      <c r="E6010" s="5">
        <v>54488.630299999997</v>
      </c>
      <c r="G6010" s="5" t="str">
        <f t="shared" si="187"/>
        <v>МАЛЫЙ ИСТОК</v>
      </c>
      <c r="J6010" s="5"/>
      <c r="AL6010" s="5">
        <f t="shared" si="188"/>
        <v>0</v>
      </c>
    </row>
    <row r="6011" spans="1:38" ht="25.5" customHeight="1" x14ac:dyDescent="0.25">
      <c r="A6011" s="10" t="s">
        <v>4671</v>
      </c>
      <c r="B6011" s="11" t="s">
        <v>1636</v>
      </c>
      <c r="C6011" s="5">
        <v>52246.960299999999</v>
      </c>
      <c r="D6011" s="5">
        <v>52246.960299999999</v>
      </c>
      <c r="E6011" s="5">
        <v>47310.556700000001</v>
      </c>
      <c r="G6011" s="5" t="str">
        <f t="shared" si="187"/>
        <v>ГОРНЫЙ ЩИТ</v>
      </c>
      <c r="J6011" s="5"/>
      <c r="AL6011" s="5">
        <f t="shared" si="188"/>
        <v>0</v>
      </c>
    </row>
    <row r="6012" spans="1:38" ht="25.5" customHeight="1" x14ac:dyDescent="0.25">
      <c r="A6012" s="10" t="s">
        <v>902</v>
      </c>
      <c r="B6012" s="11" t="s">
        <v>1639</v>
      </c>
      <c r="C6012" s="5">
        <v>53500.443299999999</v>
      </c>
      <c r="D6012" s="5">
        <v>53500.443299999999</v>
      </c>
      <c r="E6012" s="5">
        <v>48445.605100000001</v>
      </c>
      <c r="G6012" s="5" t="str">
        <f t="shared" si="187"/>
        <v>ИСТОК</v>
      </c>
      <c r="J6012" s="5"/>
      <c r="AL6012" s="5">
        <f t="shared" si="188"/>
        <v>0</v>
      </c>
    </row>
    <row r="6013" spans="1:38" ht="25.5" customHeight="1" x14ac:dyDescent="0.25">
      <c r="A6013" s="10" t="s">
        <v>4672</v>
      </c>
      <c r="B6013" s="11" t="s">
        <v>1647</v>
      </c>
      <c r="C6013" s="5">
        <v>63178.133800000003</v>
      </c>
      <c r="D6013" s="5">
        <v>63178.133800000003</v>
      </c>
      <c r="E6013" s="5">
        <v>57208.931499999999</v>
      </c>
      <c r="G6013" s="5" t="str">
        <f t="shared" si="187"/>
        <v>ШИРОКАЯ РЕЧКА</v>
      </c>
      <c r="J6013" s="5"/>
      <c r="AL6013" s="5">
        <f t="shared" si="188"/>
        <v>0</v>
      </c>
    </row>
    <row r="6014" spans="1:38" ht="25.5" customHeight="1" x14ac:dyDescent="0.25">
      <c r="A6014" s="10" t="s">
        <v>4673</v>
      </c>
      <c r="B6014" s="11" t="s">
        <v>1636</v>
      </c>
      <c r="C6014" s="5">
        <v>52246.960299999999</v>
      </c>
      <c r="D6014" s="5">
        <v>52246.960299999999</v>
      </c>
      <c r="E6014" s="5">
        <v>47310.556700000001</v>
      </c>
      <c r="G6014" s="5" t="str">
        <f t="shared" si="187"/>
        <v>ГОРНЫЙ ЩИТ</v>
      </c>
      <c r="J6014" s="5"/>
      <c r="AL6014" s="5">
        <f t="shared" si="188"/>
        <v>0</v>
      </c>
    </row>
    <row r="6015" spans="1:38" ht="25.5" customHeight="1" x14ac:dyDescent="0.25">
      <c r="A6015" s="10" t="s">
        <v>4674</v>
      </c>
      <c r="B6015" s="11" t="s">
        <v>33</v>
      </c>
      <c r="C6015" s="5">
        <v>84298.205100000006</v>
      </c>
      <c r="D6015" s="5">
        <v>84298.205100000006</v>
      </c>
      <c r="E6015" s="5">
        <v>76333.533100000001</v>
      </c>
      <c r="G6015" s="5" t="str">
        <f t="shared" ref="G6015:G6078" si="189">B6015</f>
        <v>ВИЗ</v>
      </c>
      <c r="J6015" s="5"/>
      <c r="AL6015" s="5">
        <f t="shared" ref="AL6015:AL6078" si="190">AF6015</f>
        <v>0</v>
      </c>
    </row>
    <row r="6016" spans="1:38" ht="25.5" customHeight="1" x14ac:dyDescent="0.25">
      <c r="A6016" s="10" t="s">
        <v>4675</v>
      </c>
      <c r="B6016" s="11" t="s">
        <v>1644</v>
      </c>
      <c r="C6016" s="5">
        <v>61980.678599999999</v>
      </c>
      <c r="D6016" s="5">
        <v>61980.678599999999</v>
      </c>
      <c r="E6016" s="5">
        <v>56124.615700000002</v>
      </c>
      <c r="G6016" s="5" t="str">
        <f t="shared" si="189"/>
        <v>ХИММАШ</v>
      </c>
      <c r="J6016" s="5"/>
      <c r="AL6016" s="5">
        <f t="shared" si="190"/>
        <v>0</v>
      </c>
    </row>
    <row r="6017" spans="1:38" ht="25.5" customHeight="1" x14ac:dyDescent="0.25">
      <c r="A6017" s="10" t="s">
        <v>990</v>
      </c>
      <c r="B6017" s="11" t="s">
        <v>1628</v>
      </c>
      <c r="C6017" s="5">
        <v>70734.0236</v>
      </c>
      <c r="D6017" s="5">
        <v>70734.0236</v>
      </c>
      <c r="E6017" s="5">
        <v>64050.9208</v>
      </c>
      <c r="G6017" s="5" t="str">
        <f t="shared" si="189"/>
        <v>ЭЛЬМАШ</v>
      </c>
      <c r="J6017" s="5"/>
      <c r="AL6017" s="5">
        <f t="shared" si="190"/>
        <v>0</v>
      </c>
    </row>
    <row r="6018" spans="1:38" ht="25.5" customHeight="1" x14ac:dyDescent="0.25">
      <c r="A6018" s="10" t="s">
        <v>4676</v>
      </c>
      <c r="B6018" s="11" t="s">
        <v>1644</v>
      </c>
      <c r="C6018" s="5">
        <v>61980.678599999999</v>
      </c>
      <c r="D6018" s="5">
        <v>61980.678599999999</v>
      </c>
      <c r="E6018" s="5">
        <v>56124.615700000002</v>
      </c>
      <c r="G6018" s="5" t="str">
        <f t="shared" si="189"/>
        <v>ХИММАШ</v>
      </c>
      <c r="J6018" s="5"/>
      <c r="AL6018" s="5">
        <f t="shared" si="190"/>
        <v>0</v>
      </c>
    </row>
    <row r="6019" spans="1:38" ht="25.5" customHeight="1" x14ac:dyDescent="0.25">
      <c r="A6019" s="10" t="s">
        <v>4677</v>
      </c>
      <c r="B6019" s="11" t="s">
        <v>1663</v>
      </c>
      <c r="C6019" s="5">
        <v>44242.899599999997</v>
      </c>
      <c r="D6019" s="5">
        <v>44242.899599999997</v>
      </c>
      <c r="E6019" s="5">
        <v>40062.737300000001</v>
      </c>
      <c r="G6019" s="5" t="str">
        <f t="shared" si="189"/>
        <v>ШУВАКИШ</v>
      </c>
      <c r="J6019" s="5"/>
      <c r="AL6019" s="5">
        <f t="shared" si="190"/>
        <v>0</v>
      </c>
    </row>
    <row r="6020" spans="1:38" ht="25.5" customHeight="1" x14ac:dyDescent="0.25">
      <c r="A6020" s="10" t="s">
        <v>4678</v>
      </c>
      <c r="B6020" s="11" t="s">
        <v>1664</v>
      </c>
      <c r="C6020" s="5">
        <v>53668.506099999999</v>
      </c>
      <c r="D6020" s="5">
        <v>53668.506099999999</v>
      </c>
      <c r="E6020" s="5">
        <v>48597.792699999998</v>
      </c>
      <c r="G6020" s="5" t="str">
        <f t="shared" si="189"/>
        <v>ИЗОПЛИТ</v>
      </c>
      <c r="J6020" s="5"/>
      <c r="AL6020" s="5">
        <f t="shared" si="190"/>
        <v>0</v>
      </c>
    </row>
    <row r="6021" spans="1:38" ht="25.5" customHeight="1" x14ac:dyDescent="0.25">
      <c r="A6021" s="10" t="s">
        <v>4679</v>
      </c>
      <c r="B6021" s="11" t="s">
        <v>1668</v>
      </c>
      <c r="C6021" s="5">
        <v>51343.6201</v>
      </c>
      <c r="D6021" s="5">
        <v>51343.6201</v>
      </c>
      <c r="E6021" s="5">
        <v>46492.558799999999</v>
      </c>
      <c r="G6021" s="5" t="str">
        <f t="shared" si="189"/>
        <v>МЕДНЫЙ</v>
      </c>
      <c r="J6021" s="5"/>
      <c r="AL6021" s="5">
        <f t="shared" si="190"/>
        <v>0</v>
      </c>
    </row>
    <row r="6022" spans="1:38" ht="25.5" customHeight="1" x14ac:dyDescent="0.25">
      <c r="A6022" s="10" t="s">
        <v>4680</v>
      </c>
      <c r="B6022" s="11" t="s">
        <v>1635</v>
      </c>
      <c r="C6022" s="5">
        <v>57793.0844</v>
      </c>
      <c r="D6022" s="5">
        <v>57793.0844</v>
      </c>
      <c r="E6022" s="5">
        <v>52332.6639</v>
      </c>
      <c r="G6022" s="5" t="str">
        <f t="shared" si="189"/>
        <v>ЛЕЧЕБНЫЙ</v>
      </c>
      <c r="J6022" s="5"/>
      <c r="AL6022" s="5">
        <f t="shared" si="190"/>
        <v>0</v>
      </c>
    </row>
    <row r="6023" spans="1:38" ht="25.5" customHeight="1" x14ac:dyDescent="0.25">
      <c r="A6023" s="10" t="s">
        <v>4681</v>
      </c>
      <c r="B6023" s="11" t="s">
        <v>779</v>
      </c>
      <c r="C6023" s="5">
        <v>46784.877899999999</v>
      </c>
      <c r="D6023" s="5">
        <v>46784.877899999999</v>
      </c>
      <c r="E6023" s="5">
        <v>42364.543299999998</v>
      </c>
      <c r="G6023" s="5" t="str">
        <f t="shared" si="189"/>
        <v>Нижнеисетский</v>
      </c>
      <c r="J6023" s="5"/>
      <c r="AL6023" s="5">
        <f t="shared" si="190"/>
        <v>0</v>
      </c>
    </row>
    <row r="6024" spans="1:38" ht="25.5" customHeight="1" x14ac:dyDescent="0.25">
      <c r="A6024" s="10" t="s">
        <v>4682</v>
      </c>
      <c r="B6024" s="11" t="s">
        <v>1647</v>
      </c>
      <c r="C6024" s="5">
        <v>63178.133800000003</v>
      </c>
      <c r="D6024" s="5">
        <v>63178.133800000003</v>
      </c>
      <c r="E6024" s="5">
        <v>57208.931499999999</v>
      </c>
      <c r="G6024" s="5" t="str">
        <f t="shared" si="189"/>
        <v>ШИРОКАЯ РЕЧКА</v>
      </c>
      <c r="J6024" s="5"/>
      <c r="AL6024" s="5">
        <f t="shared" si="190"/>
        <v>0</v>
      </c>
    </row>
    <row r="6025" spans="1:38" ht="25.5" customHeight="1" x14ac:dyDescent="0.25">
      <c r="A6025" s="10" t="s">
        <v>4683</v>
      </c>
      <c r="B6025" s="11" t="s">
        <v>1663</v>
      </c>
      <c r="C6025" s="5">
        <v>44242.899599999997</v>
      </c>
      <c r="D6025" s="5">
        <v>44242.899599999997</v>
      </c>
      <c r="E6025" s="5">
        <v>40062.737300000001</v>
      </c>
      <c r="G6025" s="5" t="str">
        <f t="shared" si="189"/>
        <v>ШУВАКИШ</v>
      </c>
      <c r="J6025" s="5"/>
      <c r="AL6025" s="5">
        <f t="shared" si="190"/>
        <v>0</v>
      </c>
    </row>
    <row r="6026" spans="1:38" ht="25.5" customHeight="1" x14ac:dyDescent="0.25">
      <c r="A6026" s="10" t="s">
        <v>4684</v>
      </c>
      <c r="B6026" s="11" t="s">
        <v>1668</v>
      </c>
      <c r="C6026" s="5">
        <v>51343.6201</v>
      </c>
      <c r="D6026" s="5">
        <v>51343.6201</v>
      </c>
      <c r="E6026" s="5">
        <v>46492.558799999999</v>
      </c>
      <c r="G6026" s="5" t="str">
        <f t="shared" si="189"/>
        <v>МЕДНЫЙ</v>
      </c>
      <c r="J6026" s="5"/>
      <c r="AL6026" s="5">
        <f t="shared" si="190"/>
        <v>0</v>
      </c>
    </row>
    <row r="6027" spans="1:38" ht="25.5" customHeight="1" x14ac:dyDescent="0.25">
      <c r="A6027" s="10" t="s">
        <v>1221</v>
      </c>
      <c r="B6027" s="11" t="s">
        <v>1665</v>
      </c>
      <c r="C6027" s="5">
        <v>55692.278700000003</v>
      </c>
      <c r="D6027" s="5">
        <v>55692.278700000003</v>
      </c>
      <c r="E6027" s="5">
        <v>50430.350200000001</v>
      </c>
      <c r="G6027" s="5" t="str">
        <f t="shared" si="189"/>
        <v>ПОЛЕВОДСТВО</v>
      </c>
      <c r="J6027" s="5"/>
      <c r="AL6027" s="5">
        <f t="shared" si="190"/>
        <v>0</v>
      </c>
    </row>
    <row r="6028" spans="1:38" ht="25.5" customHeight="1" x14ac:dyDescent="0.25">
      <c r="A6028" s="10" t="s">
        <v>4685</v>
      </c>
      <c r="B6028" s="11" t="s">
        <v>1663</v>
      </c>
      <c r="C6028" s="5">
        <v>44242.899599999997</v>
      </c>
      <c r="D6028" s="5">
        <v>44242.899599999997</v>
      </c>
      <c r="E6028" s="5">
        <v>40062.737300000001</v>
      </c>
      <c r="G6028" s="5" t="str">
        <f t="shared" si="189"/>
        <v>ШУВАКИШ</v>
      </c>
      <c r="J6028" s="5"/>
      <c r="AL6028" s="5">
        <f t="shared" si="190"/>
        <v>0</v>
      </c>
    </row>
    <row r="6029" spans="1:38" ht="25.5" customHeight="1" x14ac:dyDescent="0.25">
      <c r="A6029" s="10" t="s">
        <v>4686</v>
      </c>
      <c r="B6029" s="11" t="s">
        <v>389</v>
      </c>
      <c r="C6029" s="5">
        <v>51175.5573</v>
      </c>
      <c r="D6029" s="5">
        <v>51175.5573</v>
      </c>
      <c r="E6029" s="5">
        <v>46340.381600000001</v>
      </c>
      <c r="G6029" s="5" t="str">
        <f t="shared" si="189"/>
        <v>Северка</v>
      </c>
      <c r="J6029" s="5"/>
      <c r="AL6029" s="5">
        <f t="shared" si="190"/>
        <v>0</v>
      </c>
    </row>
    <row r="6030" spans="1:38" ht="25.5" customHeight="1" x14ac:dyDescent="0.25">
      <c r="A6030" s="10" t="s">
        <v>4687</v>
      </c>
      <c r="B6030" s="11" t="s">
        <v>1645</v>
      </c>
      <c r="C6030" s="5">
        <v>60958.294800000003</v>
      </c>
      <c r="D6030" s="5">
        <v>60958.294800000003</v>
      </c>
      <c r="E6030" s="5">
        <v>55198.825199999999</v>
      </c>
      <c r="G6030" s="5" t="str">
        <f t="shared" si="189"/>
        <v>ЕЛИЗАВЕТ</v>
      </c>
      <c r="J6030" s="5"/>
      <c r="AL6030" s="5">
        <f t="shared" si="190"/>
        <v>0</v>
      </c>
    </row>
    <row r="6031" spans="1:38" ht="25.5" customHeight="1" x14ac:dyDescent="0.25">
      <c r="A6031" s="10" t="s">
        <v>4688</v>
      </c>
      <c r="B6031" s="11" t="s">
        <v>1663</v>
      </c>
      <c r="C6031" s="5">
        <v>44242.899599999997</v>
      </c>
      <c r="D6031" s="5">
        <v>44242.899599999997</v>
      </c>
      <c r="E6031" s="5">
        <v>40062.737300000001</v>
      </c>
      <c r="G6031" s="5" t="str">
        <f t="shared" si="189"/>
        <v>ШУВАКИШ</v>
      </c>
      <c r="J6031" s="5"/>
      <c r="AL6031" s="5">
        <f t="shared" si="190"/>
        <v>0</v>
      </c>
    </row>
    <row r="6032" spans="1:38" ht="25.5" customHeight="1" x14ac:dyDescent="0.25">
      <c r="A6032" s="10" t="s">
        <v>4689</v>
      </c>
      <c r="B6032" s="11" t="s">
        <v>1668</v>
      </c>
      <c r="C6032" s="5">
        <v>51343.6201</v>
      </c>
      <c r="D6032" s="5">
        <v>51343.6201</v>
      </c>
      <c r="E6032" s="5">
        <v>46492.558799999999</v>
      </c>
      <c r="G6032" s="5" t="str">
        <f t="shared" si="189"/>
        <v>МЕДНЫЙ</v>
      </c>
      <c r="J6032" s="5"/>
      <c r="AL6032" s="5">
        <f t="shared" si="190"/>
        <v>0</v>
      </c>
    </row>
    <row r="6033" spans="1:38" ht="25.5" customHeight="1" x14ac:dyDescent="0.25">
      <c r="A6033" s="10" t="s">
        <v>4690</v>
      </c>
      <c r="B6033" s="11" t="s">
        <v>1647</v>
      </c>
      <c r="C6033" s="5">
        <v>63178.133800000003</v>
      </c>
      <c r="D6033" s="5">
        <v>63178.133800000003</v>
      </c>
      <c r="E6033" s="5">
        <v>57208.931499999999</v>
      </c>
      <c r="G6033" s="5" t="str">
        <f t="shared" si="189"/>
        <v>ШИРОКАЯ РЕЧКА</v>
      </c>
      <c r="J6033" s="5"/>
      <c r="AL6033" s="5">
        <f t="shared" si="190"/>
        <v>0</v>
      </c>
    </row>
    <row r="6034" spans="1:38" ht="25.5" customHeight="1" x14ac:dyDescent="0.25">
      <c r="A6034" s="10" t="s">
        <v>4691</v>
      </c>
      <c r="B6034" s="11" t="s">
        <v>1647</v>
      </c>
      <c r="C6034" s="5">
        <v>63178.133800000003</v>
      </c>
      <c r="D6034" s="5">
        <v>63178.133800000003</v>
      </c>
      <c r="E6034" s="5">
        <v>57208.931499999999</v>
      </c>
      <c r="G6034" s="5" t="str">
        <f t="shared" si="189"/>
        <v>ШИРОКАЯ РЕЧКА</v>
      </c>
      <c r="J6034" s="5"/>
      <c r="AL6034" s="5">
        <f t="shared" si="190"/>
        <v>0</v>
      </c>
    </row>
    <row r="6035" spans="1:38" ht="25.5" customHeight="1" x14ac:dyDescent="0.25">
      <c r="A6035" s="10" t="s">
        <v>4692</v>
      </c>
      <c r="B6035" s="11" t="s">
        <v>1656</v>
      </c>
      <c r="C6035" s="5">
        <v>60173.9879</v>
      </c>
      <c r="D6035" s="5">
        <v>60173.9879</v>
      </c>
      <c r="E6035" s="5">
        <v>54488.630299999997</v>
      </c>
      <c r="G6035" s="5" t="str">
        <f t="shared" si="189"/>
        <v>МАЛЫЙ ИСТОК</v>
      </c>
      <c r="J6035" s="5"/>
      <c r="AL6035" s="5">
        <f t="shared" si="190"/>
        <v>0</v>
      </c>
    </row>
    <row r="6036" spans="1:38" ht="25.5" customHeight="1" x14ac:dyDescent="0.25">
      <c r="A6036" s="10" t="s">
        <v>4693</v>
      </c>
      <c r="B6036" s="11" t="s">
        <v>1651</v>
      </c>
      <c r="C6036" s="5">
        <v>68129.029500000004</v>
      </c>
      <c r="D6036" s="5">
        <v>68129.029500000004</v>
      </c>
      <c r="E6036" s="5">
        <v>61692.054799999998</v>
      </c>
      <c r="G6036" s="5" t="str">
        <f t="shared" si="189"/>
        <v>ШАРТАШ</v>
      </c>
      <c r="J6036" s="5"/>
      <c r="AL6036" s="5">
        <f t="shared" si="190"/>
        <v>0</v>
      </c>
    </row>
    <row r="6037" spans="1:38" ht="25.5" customHeight="1" x14ac:dyDescent="0.25">
      <c r="A6037" s="10" t="s">
        <v>4694</v>
      </c>
      <c r="B6037" s="11" t="s">
        <v>1656</v>
      </c>
      <c r="C6037" s="5">
        <v>60173.9879</v>
      </c>
      <c r="D6037" s="5">
        <v>60173.9879</v>
      </c>
      <c r="E6037" s="5">
        <v>54488.630299999997</v>
      </c>
      <c r="G6037" s="5" t="str">
        <f t="shared" si="189"/>
        <v>МАЛЫЙ ИСТОК</v>
      </c>
      <c r="J6037" s="5"/>
      <c r="AL6037" s="5">
        <f t="shared" si="190"/>
        <v>0</v>
      </c>
    </row>
    <row r="6038" spans="1:38" ht="25.5" customHeight="1" x14ac:dyDescent="0.25">
      <c r="A6038" s="10" t="s">
        <v>4695</v>
      </c>
      <c r="B6038" s="11" t="s">
        <v>1647</v>
      </c>
      <c r="C6038" s="5">
        <v>63178.133800000003</v>
      </c>
      <c r="D6038" s="5">
        <v>63178.133800000003</v>
      </c>
      <c r="E6038" s="5">
        <v>57208.931499999999</v>
      </c>
      <c r="G6038" s="5" t="str">
        <f t="shared" si="189"/>
        <v>ШИРОКАЯ РЕЧКА</v>
      </c>
      <c r="J6038" s="5"/>
      <c r="AL6038" s="5">
        <f t="shared" si="190"/>
        <v>0</v>
      </c>
    </row>
    <row r="6039" spans="1:38" ht="25.5" customHeight="1" x14ac:dyDescent="0.25">
      <c r="A6039" s="10" t="s">
        <v>4696</v>
      </c>
      <c r="B6039" s="11" t="s">
        <v>1668</v>
      </c>
      <c r="C6039" s="5">
        <v>51343.6201</v>
      </c>
      <c r="D6039" s="5">
        <v>51343.6201</v>
      </c>
      <c r="E6039" s="5">
        <v>46492.558799999999</v>
      </c>
      <c r="G6039" s="5" t="str">
        <f t="shared" si="189"/>
        <v>МЕДНЫЙ</v>
      </c>
      <c r="J6039" s="5"/>
      <c r="AL6039" s="5">
        <f t="shared" si="190"/>
        <v>0</v>
      </c>
    </row>
    <row r="6040" spans="1:38" ht="25.5" customHeight="1" x14ac:dyDescent="0.25">
      <c r="A6040" s="10" t="s">
        <v>4697</v>
      </c>
      <c r="B6040" s="11" t="s">
        <v>1645</v>
      </c>
      <c r="C6040" s="5">
        <v>60958.294800000003</v>
      </c>
      <c r="D6040" s="5">
        <v>60958.294800000003</v>
      </c>
      <c r="E6040" s="5">
        <v>55198.825199999999</v>
      </c>
      <c r="G6040" s="5" t="str">
        <f t="shared" si="189"/>
        <v>ЕЛИЗАВЕТ</v>
      </c>
      <c r="J6040" s="5"/>
      <c r="AL6040" s="5">
        <f t="shared" si="190"/>
        <v>0</v>
      </c>
    </row>
    <row r="6041" spans="1:38" ht="25.5" customHeight="1" x14ac:dyDescent="0.25">
      <c r="A6041" s="10" t="s">
        <v>4698</v>
      </c>
      <c r="B6041" s="11" t="s">
        <v>389</v>
      </c>
      <c r="C6041" s="5">
        <v>51175.5573</v>
      </c>
      <c r="D6041" s="5">
        <v>51175.5573</v>
      </c>
      <c r="E6041" s="5">
        <v>46340.381600000001</v>
      </c>
      <c r="G6041" s="5" t="str">
        <f t="shared" si="189"/>
        <v>Северка</v>
      </c>
      <c r="J6041" s="5"/>
      <c r="AL6041" s="5">
        <f t="shared" si="190"/>
        <v>0</v>
      </c>
    </row>
    <row r="6042" spans="1:38" ht="25.5" customHeight="1" x14ac:dyDescent="0.25">
      <c r="A6042" s="10" t="s">
        <v>4699</v>
      </c>
      <c r="B6042" s="11" t="s">
        <v>1668</v>
      </c>
      <c r="C6042" s="5">
        <v>51343.6201</v>
      </c>
      <c r="D6042" s="5">
        <v>51343.6201</v>
      </c>
      <c r="E6042" s="5">
        <v>46492.558799999999</v>
      </c>
      <c r="G6042" s="5" t="str">
        <f t="shared" si="189"/>
        <v>МЕДНЫЙ</v>
      </c>
      <c r="J6042" s="5"/>
      <c r="AL6042" s="5">
        <f t="shared" si="190"/>
        <v>0</v>
      </c>
    </row>
    <row r="6043" spans="1:38" ht="25.5" customHeight="1" x14ac:dyDescent="0.25">
      <c r="A6043" s="10" t="s">
        <v>4700</v>
      </c>
      <c r="B6043" s="11" t="s">
        <v>1668</v>
      </c>
      <c r="C6043" s="5">
        <v>51343.6201</v>
      </c>
      <c r="D6043" s="5">
        <v>51343.6201</v>
      </c>
      <c r="E6043" s="5">
        <v>46492.558799999999</v>
      </c>
      <c r="G6043" s="5" t="str">
        <f t="shared" si="189"/>
        <v>МЕДНЫЙ</v>
      </c>
      <c r="J6043" s="5"/>
      <c r="AL6043" s="5">
        <f t="shared" si="190"/>
        <v>0</v>
      </c>
    </row>
    <row r="6044" spans="1:38" ht="25.5" customHeight="1" x14ac:dyDescent="0.25">
      <c r="A6044" s="10" t="s">
        <v>4701</v>
      </c>
      <c r="B6044" s="11" t="s">
        <v>1639</v>
      </c>
      <c r="C6044" s="5">
        <v>53500.443299999999</v>
      </c>
      <c r="D6044" s="5">
        <v>53500.443299999999</v>
      </c>
      <c r="E6044" s="5">
        <v>48445.605100000001</v>
      </c>
      <c r="G6044" s="5" t="str">
        <f t="shared" si="189"/>
        <v>ИСТОК</v>
      </c>
      <c r="J6044" s="5"/>
      <c r="AL6044" s="5">
        <f t="shared" si="190"/>
        <v>0</v>
      </c>
    </row>
    <row r="6045" spans="1:38" ht="25.5" customHeight="1" x14ac:dyDescent="0.25">
      <c r="A6045" s="10" t="s">
        <v>654</v>
      </c>
      <c r="B6045" s="11" t="s">
        <v>1650</v>
      </c>
      <c r="C6045" s="5">
        <v>37590.3603</v>
      </c>
      <c r="D6045" s="5">
        <v>37590.3603</v>
      </c>
      <c r="E6045" s="5">
        <v>34038.745900000002</v>
      </c>
      <c r="G6045" s="5" t="str">
        <f t="shared" si="189"/>
        <v>ШАБРОВСКИЙ</v>
      </c>
      <c r="J6045" s="5"/>
      <c r="AL6045" s="5">
        <f t="shared" si="190"/>
        <v>0</v>
      </c>
    </row>
    <row r="6046" spans="1:38" ht="25.5" customHeight="1" x14ac:dyDescent="0.25">
      <c r="A6046" s="10" t="s">
        <v>4702</v>
      </c>
      <c r="B6046" s="11" t="s">
        <v>1638</v>
      </c>
      <c r="C6046" s="5">
        <v>63640.311600000001</v>
      </c>
      <c r="D6046" s="5">
        <v>63640.311600000001</v>
      </c>
      <c r="E6046" s="5">
        <v>57627.4473</v>
      </c>
      <c r="G6046" s="5" t="str">
        <f t="shared" si="189"/>
        <v>УКТУС</v>
      </c>
      <c r="J6046" s="5"/>
      <c r="AL6046" s="5">
        <f t="shared" si="190"/>
        <v>0</v>
      </c>
    </row>
    <row r="6047" spans="1:38" ht="25.5" customHeight="1" x14ac:dyDescent="0.25">
      <c r="A6047" s="10" t="s">
        <v>4703</v>
      </c>
      <c r="B6047" s="11" t="s">
        <v>1660</v>
      </c>
      <c r="C6047" s="5">
        <v>53262.345800000003</v>
      </c>
      <c r="D6047" s="5">
        <v>53262.345800000003</v>
      </c>
      <c r="E6047" s="5">
        <v>48230.0095</v>
      </c>
      <c r="G6047" s="5" t="str">
        <f t="shared" si="189"/>
        <v>САДОВЫЙ</v>
      </c>
      <c r="J6047" s="5"/>
      <c r="AL6047" s="5">
        <f t="shared" si="190"/>
        <v>0</v>
      </c>
    </row>
    <row r="6048" spans="1:38" ht="25.5" customHeight="1" x14ac:dyDescent="0.25">
      <c r="A6048" s="10" t="s">
        <v>4704</v>
      </c>
      <c r="B6048" s="11" t="s">
        <v>1650</v>
      </c>
      <c r="C6048" s="5">
        <v>37590.3603</v>
      </c>
      <c r="D6048" s="5">
        <v>37590.3603</v>
      </c>
      <c r="E6048" s="5">
        <v>34038.745900000002</v>
      </c>
      <c r="G6048" s="5" t="str">
        <f t="shared" si="189"/>
        <v>ШАБРОВСКИЙ</v>
      </c>
      <c r="J6048" s="5"/>
      <c r="AL6048" s="5">
        <f t="shared" si="190"/>
        <v>0</v>
      </c>
    </row>
    <row r="6049" spans="1:38" ht="25.5" customHeight="1" x14ac:dyDescent="0.25">
      <c r="A6049" s="10" t="s">
        <v>4705</v>
      </c>
      <c r="B6049" s="11" t="s">
        <v>1661</v>
      </c>
      <c r="C6049" s="5">
        <v>51175.5573</v>
      </c>
      <c r="D6049" s="5">
        <v>51175.5573</v>
      </c>
      <c r="E6049" s="5">
        <v>46340.381600000001</v>
      </c>
      <c r="G6049" s="5" t="str">
        <f t="shared" si="189"/>
        <v>СЕВЕРКА</v>
      </c>
      <c r="J6049" s="5"/>
      <c r="AL6049" s="5">
        <f t="shared" si="190"/>
        <v>0</v>
      </c>
    </row>
    <row r="6050" spans="1:38" ht="25.5" customHeight="1" x14ac:dyDescent="0.25">
      <c r="A6050" s="10" t="s">
        <v>4706</v>
      </c>
      <c r="B6050" s="11" t="s">
        <v>5166</v>
      </c>
      <c r="C6050" s="5">
        <v>49782.025399999999</v>
      </c>
      <c r="D6050" s="5">
        <v>49782.025399999999</v>
      </c>
      <c r="E6050" s="5">
        <v>45078.506800000003</v>
      </c>
      <c r="G6050" s="5" t="str">
        <f t="shared" si="189"/>
        <v>Чусовское озеро</v>
      </c>
      <c r="J6050" s="5"/>
      <c r="AL6050" s="5">
        <f t="shared" si="190"/>
        <v>0</v>
      </c>
    </row>
    <row r="6051" spans="1:38" ht="25.5" customHeight="1" x14ac:dyDescent="0.25">
      <c r="A6051" s="10" t="s">
        <v>4707</v>
      </c>
      <c r="B6051" s="11" t="s">
        <v>118</v>
      </c>
      <c r="C6051" s="5">
        <v>53500.443299999999</v>
      </c>
      <c r="D6051" s="5">
        <v>53500.443299999999</v>
      </c>
      <c r="E6051" s="5">
        <v>48445.605100000001</v>
      </c>
      <c r="G6051" s="5" t="str">
        <f t="shared" si="189"/>
        <v>Исток</v>
      </c>
      <c r="J6051" s="5"/>
      <c r="AL6051" s="5">
        <f t="shared" si="190"/>
        <v>0</v>
      </c>
    </row>
    <row r="6052" spans="1:38" ht="25.5" customHeight="1" x14ac:dyDescent="0.25">
      <c r="A6052" s="10" t="s">
        <v>4708</v>
      </c>
      <c r="B6052" s="11" t="s">
        <v>1635</v>
      </c>
      <c r="C6052" s="5">
        <v>57793.0844</v>
      </c>
      <c r="D6052" s="5">
        <v>57793.0844</v>
      </c>
      <c r="E6052" s="5">
        <v>52332.6639</v>
      </c>
      <c r="G6052" s="5" t="str">
        <f t="shared" si="189"/>
        <v>ЛЕЧЕБНЫЙ</v>
      </c>
      <c r="J6052" s="5"/>
      <c r="AL6052" s="5">
        <f t="shared" si="190"/>
        <v>0</v>
      </c>
    </row>
    <row r="6053" spans="1:38" ht="25.5" customHeight="1" x14ac:dyDescent="0.25">
      <c r="A6053" s="10" t="s">
        <v>4709</v>
      </c>
      <c r="B6053" s="11" t="s">
        <v>1650</v>
      </c>
      <c r="C6053" s="5">
        <v>37590.3603</v>
      </c>
      <c r="D6053" s="5">
        <v>37590.3603</v>
      </c>
      <c r="E6053" s="5">
        <v>34038.745900000002</v>
      </c>
      <c r="G6053" s="5" t="str">
        <f t="shared" si="189"/>
        <v>ШАБРОВСКИЙ</v>
      </c>
      <c r="J6053" s="5"/>
      <c r="AL6053" s="5">
        <f t="shared" si="190"/>
        <v>0</v>
      </c>
    </row>
    <row r="6054" spans="1:38" ht="25.5" customHeight="1" x14ac:dyDescent="0.25">
      <c r="A6054" s="10" t="s">
        <v>4710</v>
      </c>
      <c r="B6054" s="11" t="s">
        <v>1661</v>
      </c>
      <c r="C6054" s="5">
        <v>51175.5573</v>
      </c>
      <c r="D6054" s="5">
        <v>51175.5573</v>
      </c>
      <c r="E6054" s="5">
        <v>46340.381600000001</v>
      </c>
      <c r="G6054" s="5" t="str">
        <f t="shared" si="189"/>
        <v>СЕВЕРКА</v>
      </c>
      <c r="J6054" s="5"/>
      <c r="AL6054" s="5">
        <f t="shared" si="190"/>
        <v>0</v>
      </c>
    </row>
    <row r="6055" spans="1:38" ht="25.5" customHeight="1" x14ac:dyDescent="0.25">
      <c r="A6055" s="10" t="s">
        <v>4711</v>
      </c>
      <c r="B6055" s="11" t="s">
        <v>1663</v>
      </c>
      <c r="C6055" s="5">
        <v>44242.899599999997</v>
      </c>
      <c r="D6055" s="5">
        <v>44242.899599999997</v>
      </c>
      <c r="E6055" s="5">
        <v>40062.737300000001</v>
      </c>
      <c r="G6055" s="5" t="str">
        <f t="shared" si="189"/>
        <v>ШУВАКИШ</v>
      </c>
      <c r="J6055" s="5"/>
      <c r="AL6055" s="5">
        <f t="shared" si="190"/>
        <v>0</v>
      </c>
    </row>
    <row r="6056" spans="1:38" ht="25.5" customHeight="1" x14ac:dyDescent="0.25">
      <c r="A6056" s="10" t="s">
        <v>4712</v>
      </c>
      <c r="B6056" s="11" t="s">
        <v>1639</v>
      </c>
      <c r="C6056" s="5">
        <v>53500.443299999999</v>
      </c>
      <c r="D6056" s="5">
        <v>53500.443299999999</v>
      </c>
      <c r="E6056" s="5">
        <v>48445.605100000001</v>
      </c>
      <c r="G6056" s="5" t="str">
        <f t="shared" si="189"/>
        <v>ИСТОК</v>
      </c>
      <c r="J6056" s="5"/>
      <c r="AL6056" s="5">
        <f t="shared" si="190"/>
        <v>0</v>
      </c>
    </row>
    <row r="6057" spans="1:38" ht="25.5" customHeight="1" x14ac:dyDescent="0.25">
      <c r="A6057" s="10" t="s">
        <v>4713</v>
      </c>
      <c r="B6057" s="11" t="s">
        <v>5166</v>
      </c>
      <c r="C6057" s="5">
        <v>49782.025399999999</v>
      </c>
      <c r="D6057" s="5">
        <v>49782.025399999999</v>
      </c>
      <c r="E6057" s="5">
        <v>45078.506800000003</v>
      </c>
      <c r="G6057" s="5" t="str">
        <f t="shared" si="189"/>
        <v>Чусовское озеро</v>
      </c>
      <c r="J6057" s="5"/>
      <c r="AL6057" s="5">
        <f t="shared" si="190"/>
        <v>0</v>
      </c>
    </row>
    <row r="6058" spans="1:38" ht="25.5" customHeight="1" x14ac:dyDescent="0.25">
      <c r="A6058" s="10" t="s">
        <v>4714</v>
      </c>
      <c r="B6058" s="11" t="s">
        <v>1665</v>
      </c>
      <c r="C6058" s="5">
        <v>55692.278700000003</v>
      </c>
      <c r="D6058" s="5">
        <v>55692.278700000003</v>
      </c>
      <c r="E6058" s="5">
        <v>50430.350200000001</v>
      </c>
      <c r="G6058" s="5" t="str">
        <f t="shared" si="189"/>
        <v>ПОЛЕВОДСТВО</v>
      </c>
      <c r="J6058" s="5"/>
      <c r="AL6058" s="5">
        <f t="shared" si="190"/>
        <v>0</v>
      </c>
    </row>
    <row r="6059" spans="1:38" ht="25.5" customHeight="1" x14ac:dyDescent="0.25">
      <c r="A6059" s="10" t="s">
        <v>4715</v>
      </c>
      <c r="B6059" s="11" t="s">
        <v>1631</v>
      </c>
      <c r="C6059" s="5">
        <v>70026.7601</v>
      </c>
      <c r="D6059" s="5">
        <v>70026.7601</v>
      </c>
      <c r="E6059" s="5">
        <v>63410.482000000004</v>
      </c>
      <c r="G6059" s="5" t="str">
        <f t="shared" si="189"/>
        <v>УРАЛМАШ</v>
      </c>
      <c r="J6059" s="5"/>
      <c r="AL6059" s="5">
        <f t="shared" si="190"/>
        <v>0</v>
      </c>
    </row>
    <row r="6060" spans="1:38" ht="25.5" customHeight="1" x14ac:dyDescent="0.25">
      <c r="A6060" s="10" t="s">
        <v>4716</v>
      </c>
      <c r="B6060" s="11" t="s">
        <v>5166</v>
      </c>
      <c r="C6060" s="5">
        <v>49782.025399999999</v>
      </c>
      <c r="D6060" s="5">
        <v>49782.025399999999</v>
      </c>
      <c r="E6060" s="5">
        <v>45078.506800000003</v>
      </c>
      <c r="G6060" s="5" t="str">
        <f t="shared" si="189"/>
        <v>Чусовское озеро</v>
      </c>
      <c r="J6060" s="5"/>
      <c r="AL6060" s="5">
        <f t="shared" si="190"/>
        <v>0</v>
      </c>
    </row>
    <row r="6061" spans="1:38" ht="25.5" customHeight="1" x14ac:dyDescent="0.25">
      <c r="A6061" s="10" t="s">
        <v>4717</v>
      </c>
      <c r="B6061" s="11" t="s">
        <v>1647</v>
      </c>
      <c r="C6061" s="5">
        <v>63178.133800000003</v>
      </c>
      <c r="D6061" s="5">
        <v>63178.133800000003</v>
      </c>
      <c r="E6061" s="5">
        <v>57208.931499999999</v>
      </c>
      <c r="G6061" s="5" t="str">
        <f t="shared" si="189"/>
        <v>ШИРОКАЯ РЕЧКА</v>
      </c>
      <c r="J6061" s="5"/>
      <c r="AL6061" s="5">
        <f t="shared" si="190"/>
        <v>0</v>
      </c>
    </row>
    <row r="6062" spans="1:38" ht="25.5" customHeight="1" x14ac:dyDescent="0.25">
      <c r="A6062" s="10" t="s">
        <v>4718</v>
      </c>
      <c r="B6062" s="11" t="s">
        <v>1644</v>
      </c>
      <c r="C6062" s="5">
        <v>61980.678599999999</v>
      </c>
      <c r="D6062" s="5">
        <v>61980.678599999999</v>
      </c>
      <c r="E6062" s="5">
        <v>56124.615700000002</v>
      </c>
      <c r="G6062" s="5" t="str">
        <f t="shared" si="189"/>
        <v>ХИММАШ</v>
      </c>
      <c r="J6062" s="5"/>
      <c r="AL6062" s="5">
        <f t="shared" si="190"/>
        <v>0</v>
      </c>
    </row>
    <row r="6063" spans="1:38" ht="25.5" customHeight="1" x14ac:dyDescent="0.25">
      <c r="A6063" s="10" t="s">
        <v>4719</v>
      </c>
      <c r="B6063" s="11" t="s">
        <v>779</v>
      </c>
      <c r="C6063" s="5">
        <v>46784.877899999999</v>
      </c>
      <c r="D6063" s="5">
        <v>46784.877899999999</v>
      </c>
      <c r="E6063" s="5">
        <v>42364.543299999998</v>
      </c>
      <c r="G6063" s="5" t="str">
        <f t="shared" si="189"/>
        <v>Нижнеисетский</v>
      </c>
      <c r="J6063" s="5"/>
      <c r="AL6063" s="5">
        <f t="shared" si="190"/>
        <v>0</v>
      </c>
    </row>
    <row r="6064" spans="1:38" ht="25.5" customHeight="1" x14ac:dyDescent="0.25">
      <c r="A6064" s="10" t="s">
        <v>4720</v>
      </c>
      <c r="B6064" s="11" t="s">
        <v>1644</v>
      </c>
      <c r="C6064" s="5">
        <v>61980.678599999999</v>
      </c>
      <c r="D6064" s="5">
        <v>61980.678599999999</v>
      </c>
      <c r="E6064" s="5">
        <v>56124.615700000002</v>
      </c>
      <c r="G6064" s="5" t="str">
        <f t="shared" si="189"/>
        <v>ХИММАШ</v>
      </c>
      <c r="J6064" s="5"/>
      <c r="AL6064" s="5">
        <f t="shared" si="190"/>
        <v>0</v>
      </c>
    </row>
    <row r="6065" spans="1:38" ht="25.5" customHeight="1" x14ac:dyDescent="0.25">
      <c r="A6065" s="10" t="s">
        <v>4721</v>
      </c>
      <c r="B6065" s="11" t="s">
        <v>1647</v>
      </c>
      <c r="C6065" s="5">
        <v>63178.133800000003</v>
      </c>
      <c r="D6065" s="5">
        <v>63178.133800000003</v>
      </c>
      <c r="E6065" s="5">
        <v>57208.931499999999</v>
      </c>
      <c r="G6065" s="5" t="str">
        <f t="shared" si="189"/>
        <v>ШИРОКАЯ РЕЧКА</v>
      </c>
      <c r="J6065" s="5"/>
      <c r="AL6065" s="5">
        <f t="shared" si="190"/>
        <v>0</v>
      </c>
    </row>
    <row r="6066" spans="1:38" ht="25.5" customHeight="1" x14ac:dyDescent="0.25">
      <c r="A6066" s="10" t="s">
        <v>4722</v>
      </c>
      <c r="B6066" s="11" t="s">
        <v>1631</v>
      </c>
      <c r="C6066" s="5">
        <v>70026.7601</v>
      </c>
      <c r="D6066" s="5">
        <v>70026.7601</v>
      </c>
      <c r="E6066" s="5">
        <v>63410.482000000004</v>
      </c>
      <c r="G6066" s="5" t="str">
        <f t="shared" si="189"/>
        <v>УРАЛМАШ</v>
      </c>
      <c r="J6066" s="5"/>
      <c r="AL6066" s="5">
        <f t="shared" si="190"/>
        <v>0</v>
      </c>
    </row>
    <row r="6067" spans="1:38" ht="25.5" customHeight="1" x14ac:dyDescent="0.25">
      <c r="A6067" s="10" t="s">
        <v>4723</v>
      </c>
      <c r="B6067" s="11" t="s">
        <v>1647</v>
      </c>
      <c r="C6067" s="5">
        <v>63178.133800000003</v>
      </c>
      <c r="D6067" s="5">
        <v>63178.133800000003</v>
      </c>
      <c r="E6067" s="5">
        <v>57208.931499999999</v>
      </c>
      <c r="G6067" s="5" t="str">
        <f t="shared" si="189"/>
        <v>ШИРОКАЯ РЕЧКА</v>
      </c>
      <c r="J6067" s="5"/>
      <c r="AL6067" s="5">
        <f t="shared" si="190"/>
        <v>0</v>
      </c>
    </row>
    <row r="6068" spans="1:38" ht="25.5" customHeight="1" x14ac:dyDescent="0.25">
      <c r="A6068" s="10" t="s">
        <v>4724</v>
      </c>
      <c r="B6068" s="11" t="s">
        <v>1636</v>
      </c>
      <c r="C6068" s="5">
        <v>52246.960299999999</v>
      </c>
      <c r="D6068" s="5">
        <v>52246.960299999999</v>
      </c>
      <c r="E6068" s="5">
        <v>47310.556700000001</v>
      </c>
      <c r="G6068" s="5" t="str">
        <f t="shared" si="189"/>
        <v>ГОРНЫЙ ЩИТ</v>
      </c>
      <c r="J6068" s="5"/>
      <c r="AL6068" s="5">
        <f t="shared" si="190"/>
        <v>0</v>
      </c>
    </row>
    <row r="6069" spans="1:38" ht="25.5" customHeight="1" x14ac:dyDescent="0.25">
      <c r="A6069" s="10" t="s">
        <v>4725</v>
      </c>
      <c r="B6069" s="11" t="s">
        <v>1636</v>
      </c>
      <c r="C6069" s="5">
        <v>52246.960299999999</v>
      </c>
      <c r="D6069" s="5">
        <v>52246.960299999999</v>
      </c>
      <c r="E6069" s="5">
        <v>47310.556700000001</v>
      </c>
      <c r="G6069" s="5" t="str">
        <f t="shared" si="189"/>
        <v>ГОРНЫЙ ЩИТ</v>
      </c>
      <c r="J6069" s="5"/>
      <c r="AL6069" s="5">
        <f t="shared" si="190"/>
        <v>0</v>
      </c>
    </row>
    <row r="6070" spans="1:38" ht="25.5" customHeight="1" x14ac:dyDescent="0.25">
      <c r="A6070" s="10" t="s">
        <v>4726</v>
      </c>
      <c r="B6070" s="11" t="s">
        <v>1637</v>
      </c>
      <c r="C6070" s="5">
        <v>59368.686099999999</v>
      </c>
      <c r="D6070" s="5">
        <v>59368.686099999999</v>
      </c>
      <c r="E6070" s="5">
        <v>53759.401700000002</v>
      </c>
      <c r="G6070" s="5" t="str">
        <f t="shared" si="189"/>
        <v>Старая сортировка</v>
      </c>
      <c r="J6070" s="5"/>
      <c r="AL6070" s="5">
        <f t="shared" si="190"/>
        <v>0</v>
      </c>
    </row>
    <row r="6071" spans="1:38" ht="25.5" customHeight="1" x14ac:dyDescent="0.25">
      <c r="A6071" s="10" t="s">
        <v>4727</v>
      </c>
      <c r="B6071" s="11" t="s">
        <v>1650</v>
      </c>
      <c r="C6071" s="5">
        <v>37590.3603</v>
      </c>
      <c r="D6071" s="5">
        <v>37590.3603</v>
      </c>
      <c r="E6071" s="5">
        <v>34038.745900000002</v>
      </c>
      <c r="G6071" s="5" t="str">
        <f t="shared" si="189"/>
        <v>ШАБРОВСКИЙ</v>
      </c>
      <c r="J6071" s="5"/>
      <c r="AL6071" s="5">
        <f t="shared" si="190"/>
        <v>0</v>
      </c>
    </row>
    <row r="6072" spans="1:38" ht="25.5" customHeight="1" x14ac:dyDescent="0.25">
      <c r="A6072" s="10" t="s">
        <v>4728</v>
      </c>
      <c r="B6072" s="11" t="s">
        <v>1661</v>
      </c>
      <c r="C6072" s="5">
        <v>51175.5573</v>
      </c>
      <c r="D6072" s="5">
        <v>51175.5573</v>
      </c>
      <c r="E6072" s="5">
        <v>46340.381600000001</v>
      </c>
      <c r="G6072" s="5" t="str">
        <f t="shared" si="189"/>
        <v>СЕВЕРКА</v>
      </c>
      <c r="J6072" s="5"/>
      <c r="AL6072" s="5">
        <f t="shared" si="190"/>
        <v>0</v>
      </c>
    </row>
    <row r="6073" spans="1:38" ht="25.5" customHeight="1" x14ac:dyDescent="0.25">
      <c r="A6073" s="10" t="s">
        <v>4729</v>
      </c>
      <c r="B6073" s="11" t="s">
        <v>1636</v>
      </c>
      <c r="C6073" s="5">
        <v>52246.960299999999</v>
      </c>
      <c r="D6073" s="5">
        <v>52246.960299999999</v>
      </c>
      <c r="E6073" s="5">
        <v>47310.556700000001</v>
      </c>
      <c r="G6073" s="5" t="str">
        <f t="shared" si="189"/>
        <v>ГОРНЫЙ ЩИТ</v>
      </c>
      <c r="J6073" s="5"/>
      <c r="AL6073" s="5">
        <f t="shared" si="190"/>
        <v>0</v>
      </c>
    </row>
    <row r="6074" spans="1:38" ht="25.5" customHeight="1" x14ac:dyDescent="0.25">
      <c r="A6074" s="10" t="s">
        <v>4730</v>
      </c>
      <c r="B6074" s="11" t="s">
        <v>1665</v>
      </c>
      <c r="C6074" s="5">
        <v>55692.278700000003</v>
      </c>
      <c r="D6074" s="5">
        <v>55692.278700000003</v>
      </c>
      <c r="E6074" s="5">
        <v>50430.350200000001</v>
      </c>
      <c r="G6074" s="5" t="str">
        <f t="shared" si="189"/>
        <v>ПОЛЕВОДСТВО</v>
      </c>
      <c r="J6074" s="5"/>
      <c r="AL6074" s="5">
        <f t="shared" si="190"/>
        <v>0</v>
      </c>
    </row>
    <row r="6075" spans="1:38" ht="25.5" customHeight="1" x14ac:dyDescent="0.25">
      <c r="A6075" s="10" t="s">
        <v>4731</v>
      </c>
      <c r="B6075" s="11" t="s">
        <v>389</v>
      </c>
      <c r="C6075" s="5">
        <v>51175.5573</v>
      </c>
      <c r="D6075" s="5">
        <v>51175.5573</v>
      </c>
      <c r="E6075" s="5">
        <v>46340.381600000001</v>
      </c>
      <c r="G6075" s="5" t="str">
        <f t="shared" si="189"/>
        <v>Северка</v>
      </c>
      <c r="J6075" s="5"/>
      <c r="AL6075" s="5">
        <f t="shared" si="190"/>
        <v>0</v>
      </c>
    </row>
    <row r="6076" spans="1:38" ht="25.5" customHeight="1" x14ac:dyDescent="0.25">
      <c r="A6076" s="10" t="s">
        <v>4732</v>
      </c>
      <c r="B6076" s="11" t="s">
        <v>5166</v>
      </c>
      <c r="C6076" s="5">
        <v>49782.025399999999</v>
      </c>
      <c r="D6076" s="5">
        <v>49782.025399999999</v>
      </c>
      <c r="E6076" s="5">
        <v>45078.506800000003</v>
      </c>
      <c r="G6076" s="5" t="str">
        <f t="shared" si="189"/>
        <v>Чусовское озеро</v>
      </c>
      <c r="J6076" s="5"/>
      <c r="AL6076" s="5">
        <f t="shared" si="190"/>
        <v>0</v>
      </c>
    </row>
    <row r="6077" spans="1:38" ht="25.5" customHeight="1" x14ac:dyDescent="0.25">
      <c r="A6077" s="10" t="s">
        <v>4733</v>
      </c>
      <c r="B6077" s="11" t="s">
        <v>1647</v>
      </c>
      <c r="C6077" s="5">
        <v>63178.133800000003</v>
      </c>
      <c r="D6077" s="5">
        <v>63178.133800000003</v>
      </c>
      <c r="E6077" s="5">
        <v>57208.931499999999</v>
      </c>
      <c r="G6077" s="5" t="str">
        <f t="shared" si="189"/>
        <v>ШИРОКАЯ РЕЧКА</v>
      </c>
      <c r="J6077" s="5"/>
      <c r="AL6077" s="5">
        <f t="shared" si="190"/>
        <v>0</v>
      </c>
    </row>
    <row r="6078" spans="1:38" ht="25.5" customHeight="1" x14ac:dyDescent="0.25">
      <c r="A6078" s="10" t="s">
        <v>4734</v>
      </c>
      <c r="B6078" s="11" t="s">
        <v>1630</v>
      </c>
      <c r="C6078" s="5">
        <v>62652.9401</v>
      </c>
      <c r="D6078" s="5">
        <v>62652.9401</v>
      </c>
      <c r="E6078" s="5">
        <v>56733.3557</v>
      </c>
      <c r="G6078" s="5" t="str">
        <f t="shared" si="189"/>
        <v>ЧЕРМЕТ</v>
      </c>
      <c r="J6078" s="5"/>
      <c r="AL6078" s="5">
        <f t="shared" si="190"/>
        <v>0</v>
      </c>
    </row>
    <row r="6079" spans="1:38" ht="25.5" customHeight="1" x14ac:dyDescent="0.25">
      <c r="A6079" s="10" t="s">
        <v>4735</v>
      </c>
      <c r="B6079" s="11" t="s">
        <v>1628</v>
      </c>
      <c r="C6079" s="5">
        <v>70734.0236</v>
      </c>
      <c r="D6079" s="5">
        <v>70734.0236</v>
      </c>
      <c r="E6079" s="5">
        <v>64050.9208</v>
      </c>
      <c r="G6079" s="5" t="str">
        <f t="shared" ref="G6079:G6142" si="191">B6079</f>
        <v>ЭЛЬМАШ</v>
      </c>
      <c r="J6079" s="5"/>
      <c r="AL6079" s="5">
        <f t="shared" ref="AL6079:AL6142" si="192">AF6079</f>
        <v>0</v>
      </c>
    </row>
    <row r="6080" spans="1:38" ht="25.5" customHeight="1" x14ac:dyDescent="0.25">
      <c r="A6080" s="10" t="s">
        <v>4736</v>
      </c>
      <c r="B6080" s="11" t="s">
        <v>1635</v>
      </c>
      <c r="C6080" s="5">
        <v>57793.0844</v>
      </c>
      <c r="D6080" s="5">
        <v>57793.0844</v>
      </c>
      <c r="E6080" s="5">
        <v>52332.6639</v>
      </c>
      <c r="G6080" s="5" t="str">
        <f t="shared" si="191"/>
        <v>ЛЕЧЕБНЫЙ</v>
      </c>
      <c r="J6080" s="5"/>
      <c r="AL6080" s="5">
        <f t="shared" si="192"/>
        <v>0</v>
      </c>
    </row>
    <row r="6081" spans="1:38" ht="25.5" customHeight="1" x14ac:dyDescent="0.25">
      <c r="A6081" s="10" t="s">
        <v>4737</v>
      </c>
      <c r="B6081" s="11" t="s">
        <v>1656</v>
      </c>
      <c r="C6081" s="5">
        <v>60173.9879</v>
      </c>
      <c r="D6081" s="5">
        <v>60173.9879</v>
      </c>
      <c r="E6081" s="5">
        <v>54488.630299999997</v>
      </c>
      <c r="G6081" s="5" t="str">
        <f t="shared" si="191"/>
        <v>МАЛЫЙ ИСТОК</v>
      </c>
      <c r="J6081" s="5"/>
      <c r="AL6081" s="5">
        <f t="shared" si="192"/>
        <v>0</v>
      </c>
    </row>
    <row r="6082" spans="1:38" ht="25.5" customHeight="1" x14ac:dyDescent="0.25">
      <c r="A6082" s="10" t="s">
        <v>4738</v>
      </c>
      <c r="B6082" s="11" t="s">
        <v>1647</v>
      </c>
      <c r="C6082" s="5">
        <v>63178.133800000003</v>
      </c>
      <c r="D6082" s="5">
        <v>63178.133800000003</v>
      </c>
      <c r="E6082" s="5">
        <v>57208.931499999999</v>
      </c>
      <c r="G6082" s="5" t="str">
        <f t="shared" si="191"/>
        <v>ШИРОКАЯ РЕЧКА</v>
      </c>
      <c r="J6082" s="5"/>
      <c r="AL6082" s="5">
        <f t="shared" si="192"/>
        <v>0</v>
      </c>
    </row>
    <row r="6083" spans="1:38" ht="25.5" customHeight="1" x14ac:dyDescent="0.25">
      <c r="A6083" s="10" t="s">
        <v>4739</v>
      </c>
      <c r="B6083" s="11" t="s">
        <v>1631</v>
      </c>
      <c r="C6083" s="5">
        <v>70026.7601</v>
      </c>
      <c r="D6083" s="5">
        <v>70026.7601</v>
      </c>
      <c r="E6083" s="5">
        <v>63410.482000000004</v>
      </c>
      <c r="G6083" s="5" t="str">
        <f t="shared" si="191"/>
        <v>УРАЛМАШ</v>
      </c>
      <c r="J6083" s="5"/>
      <c r="AL6083" s="5">
        <f t="shared" si="192"/>
        <v>0</v>
      </c>
    </row>
    <row r="6084" spans="1:38" ht="25.5" customHeight="1" x14ac:dyDescent="0.25">
      <c r="A6084" s="10" t="s">
        <v>4740</v>
      </c>
      <c r="B6084" s="11" t="s">
        <v>1661</v>
      </c>
      <c r="C6084" s="5">
        <v>51175.5573</v>
      </c>
      <c r="D6084" s="5">
        <v>51175.5573</v>
      </c>
      <c r="E6084" s="5">
        <v>46340.381600000001</v>
      </c>
      <c r="G6084" s="5" t="str">
        <f t="shared" si="191"/>
        <v>СЕВЕРКА</v>
      </c>
      <c r="J6084" s="5"/>
      <c r="AL6084" s="5">
        <f t="shared" si="192"/>
        <v>0</v>
      </c>
    </row>
    <row r="6085" spans="1:38" ht="25.5" customHeight="1" x14ac:dyDescent="0.25">
      <c r="A6085" s="10" t="s">
        <v>4741</v>
      </c>
      <c r="B6085" s="11" t="s">
        <v>1638</v>
      </c>
      <c r="C6085" s="5">
        <v>63640.311600000001</v>
      </c>
      <c r="D6085" s="5">
        <v>63640.311600000001</v>
      </c>
      <c r="E6085" s="5">
        <v>57627.4473</v>
      </c>
      <c r="G6085" s="5" t="str">
        <f t="shared" si="191"/>
        <v>УКТУС</v>
      </c>
      <c r="J6085" s="5"/>
      <c r="AL6085" s="5">
        <f t="shared" si="192"/>
        <v>0</v>
      </c>
    </row>
    <row r="6086" spans="1:38" ht="25.5" customHeight="1" x14ac:dyDescent="0.25">
      <c r="A6086" s="10" t="s">
        <v>4742</v>
      </c>
      <c r="B6086" s="11" t="s">
        <v>389</v>
      </c>
      <c r="C6086" s="5">
        <v>51175.5573</v>
      </c>
      <c r="D6086" s="5">
        <v>51175.5573</v>
      </c>
      <c r="E6086" s="5">
        <v>46340.381600000001</v>
      </c>
      <c r="G6086" s="5" t="str">
        <f t="shared" si="191"/>
        <v>Северка</v>
      </c>
      <c r="J6086" s="5"/>
      <c r="AL6086" s="5">
        <f t="shared" si="192"/>
        <v>0</v>
      </c>
    </row>
    <row r="6087" spans="1:38" ht="25.5" customHeight="1" x14ac:dyDescent="0.25">
      <c r="A6087" s="10" t="s">
        <v>4743</v>
      </c>
      <c r="B6087" s="11" t="s">
        <v>1635</v>
      </c>
      <c r="C6087" s="5">
        <v>57793.0844</v>
      </c>
      <c r="D6087" s="5">
        <v>57793.0844</v>
      </c>
      <c r="E6087" s="5">
        <v>52332.6639</v>
      </c>
      <c r="G6087" s="5" t="str">
        <f t="shared" si="191"/>
        <v>ЛЕЧЕБНЫЙ</v>
      </c>
      <c r="J6087" s="5"/>
      <c r="AL6087" s="5">
        <f t="shared" si="192"/>
        <v>0</v>
      </c>
    </row>
    <row r="6088" spans="1:38" ht="25.5" customHeight="1" x14ac:dyDescent="0.25">
      <c r="A6088" s="10" t="s">
        <v>4744</v>
      </c>
      <c r="B6088" s="11" t="s">
        <v>1661</v>
      </c>
      <c r="C6088" s="5">
        <v>51175.5573</v>
      </c>
      <c r="D6088" s="5">
        <v>51175.5573</v>
      </c>
      <c r="E6088" s="5">
        <v>46340.381600000001</v>
      </c>
      <c r="G6088" s="5" t="str">
        <f t="shared" si="191"/>
        <v>СЕВЕРКА</v>
      </c>
      <c r="J6088" s="5"/>
      <c r="AL6088" s="5">
        <f t="shared" si="192"/>
        <v>0</v>
      </c>
    </row>
    <row r="6089" spans="1:38" ht="25.5" customHeight="1" x14ac:dyDescent="0.25">
      <c r="A6089" s="10" t="s">
        <v>4745</v>
      </c>
      <c r="B6089" s="11" t="s">
        <v>389</v>
      </c>
      <c r="C6089" s="5">
        <v>51175.5573</v>
      </c>
      <c r="D6089" s="5">
        <v>51175.5573</v>
      </c>
      <c r="E6089" s="5">
        <v>46340.381600000001</v>
      </c>
      <c r="G6089" s="5" t="str">
        <f t="shared" si="191"/>
        <v>Северка</v>
      </c>
      <c r="J6089" s="5"/>
      <c r="AL6089" s="5">
        <f t="shared" si="192"/>
        <v>0</v>
      </c>
    </row>
    <row r="6090" spans="1:38" ht="25.5" customHeight="1" x14ac:dyDescent="0.25">
      <c r="A6090" s="10" t="s">
        <v>4746</v>
      </c>
      <c r="B6090" s="11" t="s">
        <v>1653</v>
      </c>
      <c r="C6090" s="5">
        <v>56847.723400000003</v>
      </c>
      <c r="D6090" s="5">
        <v>56847.723400000003</v>
      </c>
      <c r="E6090" s="5">
        <v>51476.629399999998</v>
      </c>
      <c r="G6090" s="5" t="str">
        <f t="shared" si="191"/>
        <v>ПТИЦЕФАБРИКА</v>
      </c>
      <c r="J6090" s="5"/>
      <c r="AL6090" s="5">
        <f t="shared" si="192"/>
        <v>0</v>
      </c>
    </row>
    <row r="6091" spans="1:38" ht="25.5" customHeight="1" x14ac:dyDescent="0.25">
      <c r="A6091" s="10" t="s">
        <v>4747</v>
      </c>
      <c r="B6091" s="11" t="s">
        <v>1657</v>
      </c>
      <c r="C6091" s="5">
        <v>54886.9666</v>
      </c>
      <c r="D6091" s="5">
        <v>54886.9666</v>
      </c>
      <c r="E6091" s="5">
        <v>49701.1319</v>
      </c>
      <c r="G6091" s="5" t="str">
        <f t="shared" si="191"/>
        <v>КОЛЬЦОВО</v>
      </c>
      <c r="J6091" s="5"/>
      <c r="AL6091" s="5">
        <f t="shared" si="192"/>
        <v>0</v>
      </c>
    </row>
    <row r="6092" spans="1:38" ht="25.5" customHeight="1" x14ac:dyDescent="0.25">
      <c r="A6092" s="10" t="s">
        <v>4748</v>
      </c>
      <c r="B6092" s="11" t="s">
        <v>1645</v>
      </c>
      <c r="C6092" s="5">
        <v>60958.294800000003</v>
      </c>
      <c r="D6092" s="5">
        <v>60958.294800000003</v>
      </c>
      <c r="E6092" s="5">
        <v>55198.825199999999</v>
      </c>
      <c r="G6092" s="5" t="str">
        <f t="shared" si="191"/>
        <v>ЕЛИЗАВЕТ</v>
      </c>
      <c r="J6092" s="5"/>
      <c r="AL6092" s="5">
        <f t="shared" si="192"/>
        <v>0</v>
      </c>
    </row>
    <row r="6093" spans="1:38" ht="25.5" customHeight="1" x14ac:dyDescent="0.25">
      <c r="A6093" s="10" t="s">
        <v>4749</v>
      </c>
      <c r="B6093" s="11" t="s">
        <v>1661</v>
      </c>
      <c r="C6093" s="5">
        <v>51175.5573</v>
      </c>
      <c r="D6093" s="5">
        <v>51175.5573</v>
      </c>
      <c r="E6093" s="5">
        <v>46340.381600000001</v>
      </c>
      <c r="G6093" s="5" t="str">
        <f t="shared" si="191"/>
        <v>СЕВЕРКА</v>
      </c>
      <c r="J6093" s="5"/>
      <c r="AL6093" s="5">
        <f t="shared" si="192"/>
        <v>0</v>
      </c>
    </row>
    <row r="6094" spans="1:38" ht="25.5" customHeight="1" x14ac:dyDescent="0.25">
      <c r="A6094" s="10" t="s">
        <v>4750</v>
      </c>
      <c r="B6094" s="11" t="s">
        <v>1631</v>
      </c>
      <c r="C6094" s="5">
        <v>70026.7601</v>
      </c>
      <c r="D6094" s="5">
        <v>70026.7601</v>
      </c>
      <c r="E6094" s="5">
        <v>63410.482000000004</v>
      </c>
      <c r="G6094" s="5" t="str">
        <f t="shared" si="191"/>
        <v>УРАЛМАШ</v>
      </c>
      <c r="J6094" s="5"/>
      <c r="AL6094" s="5">
        <f t="shared" si="192"/>
        <v>0</v>
      </c>
    </row>
    <row r="6095" spans="1:38" ht="25.5" customHeight="1" x14ac:dyDescent="0.25">
      <c r="A6095" s="10" t="s">
        <v>4751</v>
      </c>
      <c r="B6095" s="11" t="s">
        <v>1639</v>
      </c>
      <c r="C6095" s="5">
        <v>53500.443299999999</v>
      </c>
      <c r="D6095" s="5">
        <v>53500.443299999999</v>
      </c>
      <c r="E6095" s="5">
        <v>48445.605100000001</v>
      </c>
      <c r="G6095" s="5" t="str">
        <f t="shared" si="191"/>
        <v>ИСТОК</v>
      </c>
      <c r="J6095" s="5"/>
      <c r="AL6095" s="5">
        <f t="shared" si="192"/>
        <v>0</v>
      </c>
    </row>
    <row r="6096" spans="1:38" ht="25.5" customHeight="1" x14ac:dyDescent="0.25">
      <c r="A6096" s="10" t="s">
        <v>4752</v>
      </c>
      <c r="B6096" s="11" t="s">
        <v>1663</v>
      </c>
      <c r="C6096" s="5">
        <v>44242.899599999997</v>
      </c>
      <c r="D6096" s="5">
        <v>44242.899599999997</v>
      </c>
      <c r="E6096" s="5">
        <v>40062.737300000001</v>
      </c>
      <c r="G6096" s="5" t="str">
        <f t="shared" si="191"/>
        <v>ШУВАКИШ</v>
      </c>
      <c r="J6096" s="5"/>
      <c r="AL6096" s="5">
        <f t="shared" si="192"/>
        <v>0</v>
      </c>
    </row>
    <row r="6097" spans="1:38" ht="25.5" customHeight="1" x14ac:dyDescent="0.25">
      <c r="A6097" s="10" t="s">
        <v>4753</v>
      </c>
      <c r="B6097" s="11" t="s">
        <v>1647</v>
      </c>
      <c r="C6097" s="5">
        <v>63178.133800000003</v>
      </c>
      <c r="D6097" s="5">
        <v>63178.133800000003</v>
      </c>
      <c r="E6097" s="5">
        <v>57208.931499999999</v>
      </c>
      <c r="G6097" s="5" t="str">
        <f t="shared" si="191"/>
        <v>ШИРОКАЯ РЕЧКА</v>
      </c>
      <c r="J6097" s="5"/>
      <c r="AL6097" s="5">
        <f t="shared" si="192"/>
        <v>0</v>
      </c>
    </row>
    <row r="6098" spans="1:38" ht="25.5" customHeight="1" x14ac:dyDescent="0.25">
      <c r="A6098" s="10" t="s">
        <v>4754</v>
      </c>
      <c r="B6098" s="11" t="s">
        <v>1668</v>
      </c>
      <c r="C6098" s="5">
        <v>51343.6201</v>
      </c>
      <c r="D6098" s="5">
        <v>51343.6201</v>
      </c>
      <c r="E6098" s="5">
        <v>46492.558799999999</v>
      </c>
      <c r="G6098" s="5" t="str">
        <f t="shared" si="191"/>
        <v>МЕДНЫЙ</v>
      </c>
      <c r="J6098" s="5"/>
      <c r="AL6098" s="5">
        <f t="shared" si="192"/>
        <v>0</v>
      </c>
    </row>
    <row r="6099" spans="1:38" ht="25.5" customHeight="1" x14ac:dyDescent="0.25">
      <c r="A6099" s="10" t="s">
        <v>4755</v>
      </c>
      <c r="B6099" s="11" t="s">
        <v>1660</v>
      </c>
      <c r="C6099" s="5">
        <v>53262.345800000003</v>
      </c>
      <c r="D6099" s="5">
        <v>53262.345800000003</v>
      </c>
      <c r="E6099" s="5">
        <v>48230.0095</v>
      </c>
      <c r="G6099" s="5" t="str">
        <f t="shared" si="191"/>
        <v>САДОВЫЙ</v>
      </c>
      <c r="J6099" s="5"/>
      <c r="AL6099" s="5">
        <f t="shared" si="192"/>
        <v>0</v>
      </c>
    </row>
    <row r="6100" spans="1:38" ht="25.5" customHeight="1" x14ac:dyDescent="0.25">
      <c r="A6100" s="10" t="s">
        <v>4756</v>
      </c>
      <c r="B6100" s="11" t="s">
        <v>1650</v>
      </c>
      <c r="C6100" s="5">
        <v>37590.3603</v>
      </c>
      <c r="D6100" s="5">
        <v>37590.3603</v>
      </c>
      <c r="E6100" s="5">
        <v>34038.745900000002</v>
      </c>
      <c r="G6100" s="5" t="str">
        <f t="shared" si="191"/>
        <v>ШАБРОВСКИЙ</v>
      </c>
      <c r="J6100" s="5"/>
      <c r="AL6100" s="5">
        <f t="shared" si="192"/>
        <v>0</v>
      </c>
    </row>
    <row r="6101" spans="1:38" ht="25.5" customHeight="1" x14ac:dyDescent="0.25">
      <c r="A6101" s="10" t="s">
        <v>1303</v>
      </c>
      <c r="B6101" s="11" t="s">
        <v>1636</v>
      </c>
      <c r="C6101" s="5">
        <v>52246.960299999999</v>
      </c>
      <c r="D6101" s="5">
        <v>52246.960299999999</v>
      </c>
      <c r="E6101" s="5">
        <v>47310.556700000001</v>
      </c>
      <c r="G6101" s="5" t="str">
        <f t="shared" si="191"/>
        <v>ГОРНЫЙ ЩИТ</v>
      </c>
      <c r="J6101" s="5"/>
      <c r="AL6101" s="5">
        <f t="shared" si="192"/>
        <v>0</v>
      </c>
    </row>
    <row r="6102" spans="1:38" ht="25.5" customHeight="1" x14ac:dyDescent="0.25">
      <c r="A6102" s="10" t="s">
        <v>4757</v>
      </c>
      <c r="B6102" s="11" t="s">
        <v>1645</v>
      </c>
      <c r="C6102" s="5">
        <v>60958.294800000003</v>
      </c>
      <c r="D6102" s="5">
        <v>60958.294800000003</v>
      </c>
      <c r="E6102" s="5">
        <v>55198.825199999999</v>
      </c>
      <c r="G6102" s="5" t="str">
        <f t="shared" si="191"/>
        <v>ЕЛИЗАВЕТ</v>
      </c>
      <c r="J6102" s="5"/>
      <c r="AL6102" s="5">
        <f t="shared" si="192"/>
        <v>0</v>
      </c>
    </row>
    <row r="6103" spans="1:38" ht="25.5" customHeight="1" x14ac:dyDescent="0.25">
      <c r="A6103" s="10" t="s">
        <v>4758</v>
      </c>
      <c r="B6103" s="11" t="s">
        <v>1645</v>
      </c>
      <c r="C6103" s="5">
        <v>60958.294800000003</v>
      </c>
      <c r="D6103" s="5">
        <v>60958.294800000003</v>
      </c>
      <c r="E6103" s="5">
        <v>55198.825199999999</v>
      </c>
      <c r="G6103" s="5" t="str">
        <f t="shared" si="191"/>
        <v>ЕЛИЗАВЕТ</v>
      </c>
      <c r="J6103" s="5"/>
      <c r="AL6103" s="5">
        <f t="shared" si="192"/>
        <v>0</v>
      </c>
    </row>
    <row r="6104" spans="1:38" ht="25.5" customHeight="1" x14ac:dyDescent="0.25">
      <c r="A6104" s="10" t="s">
        <v>4759</v>
      </c>
      <c r="B6104" s="11" t="s">
        <v>1660</v>
      </c>
      <c r="C6104" s="5">
        <v>53262.345800000003</v>
      </c>
      <c r="D6104" s="5">
        <v>53262.345800000003</v>
      </c>
      <c r="E6104" s="5">
        <v>48230.0095</v>
      </c>
      <c r="G6104" s="5" t="str">
        <f t="shared" si="191"/>
        <v>САДОВЫЙ</v>
      </c>
      <c r="J6104" s="5"/>
      <c r="AL6104" s="5">
        <f t="shared" si="192"/>
        <v>0</v>
      </c>
    </row>
    <row r="6105" spans="1:38" ht="25.5" customHeight="1" x14ac:dyDescent="0.25">
      <c r="A6105" s="10" t="s">
        <v>4760</v>
      </c>
      <c r="B6105" s="11" t="s">
        <v>1636</v>
      </c>
      <c r="C6105" s="5">
        <v>52246.960299999999</v>
      </c>
      <c r="D6105" s="5">
        <v>52246.960299999999</v>
      </c>
      <c r="E6105" s="5">
        <v>47310.556700000001</v>
      </c>
      <c r="G6105" s="5" t="str">
        <f t="shared" si="191"/>
        <v>ГОРНЫЙ ЩИТ</v>
      </c>
      <c r="J6105" s="5"/>
      <c r="AL6105" s="5">
        <f t="shared" si="192"/>
        <v>0</v>
      </c>
    </row>
    <row r="6106" spans="1:38" ht="25.5" customHeight="1" x14ac:dyDescent="0.25">
      <c r="A6106" s="10" t="s">
        <v>4761</v>
      </c>
      <c r="B6106" s="11" t="s">
        <v>1650</v>
      </c>
      <c r="C6106" s="5">
        <v>37590.3603</v>
      </c>
      <c r="D6106" s="5">
        <v>37590.3603</v>
      </c>
      <c r="E6106" s="5">
        <v>34038.745900000002</v>
      </c>
      <c r="G6106" s="5" t="str">
        <f t="shared" si="191"/>
        <v>ШАБРОВСКИЙ</v>
      </c>
      <c r="J6106" s="5"/>
      <c r="AL6106" s="5">
        <f t="shared" si="192"/>
        <v>0</v>
      </c>
    </row>
    <row r="6107" spans="1:38" ht="25.5" customHeight="1" x14ac:dyDescent="0.25">
      <c r="A6107" s="10" t="s">
        <v>1152</v>
      </c>
      <c r="B6107" s="11" t="s">
        <v>1650</v>
      </c>
      <c r="C6107" s="5">
        <v>37590.3603</v>
      </c>
      <c r="D6107" s="5">
        <v>37590.3603</v>
      </c>
      <c r="E6107" s="5">
        <v>34038.745900000002</v>
      </c>
      <c r="G6107" s="5" t="str">
        <f t="shared" si="191"/>
        <v>ШАБРОВСКИЙ</v>
      </c>
      <c r="J6107" s="5"/>
      <c r="AL6107" s="5">
        <f t="shared" si="192"/>
        <v>0</v>
      </c>
    </row>
    <row r="6108" spans="1:38" ht="25.5" customHeight="1" x14ac:dyDescent="0.25">
      <c r="A6108" s="10" t="s">
        <v>4762</v>
      </c>
      <c r="B6108" s="11" t="s">
        <v>1647</v>
      </c>
      <c r="C6108" s="5">
        <v>63178.133800000003</v>
      </c>
      <c r="D6108" s="5">
        <v>63178.133800000003</v>
      </c>
      <c r="E6108" s="5">
        <v>57208.931499999999</v>
      </c>
      <c r="G6108" s="5" t="str">
        <f t="shared" si="191"/>
        <v>ШИРОКАЯ РЕЧКА</v>
      </c>
      <c r="J6108" s="5"/>
      <c r="AL6108" s="5">
        <f t="shared" si="192"/>
        <v>0</v>
      </c>
    </row>
    <row r="6109" spans="1:38" ht="25.5" customHeight="1" x14ac:dyDescent="0.25">
      <c r="A6109" s="10" t="s">
        <v>4763</v>
      </c>
      <c r="B6109" s="11" t="s">
        <v>1650</v>
      </c>
      <c r="C6109" s="5">
        <v>37590.3603</v>
      </c>
      <c r="D6109" s="5">
        <v>37590.3603</v>
      </c>
      <c r="E6109" s="5">
        <v>34038.745900000002</v>
      </c>
      <c r="G6109" s="5" t="str">
        <f t="shared" si="191"/>
        <v>ШАБРОВСКИЙ</v>
      </c>
      <c r="J6109" s="5"/>
      <c r="AL6109" s="5">
        <f t="shared" si="192"/>
        <v>0</v>
      </c>
    </row>
    <row r="6110" spans="1:38" ht="25.5" customHeight="1" x14ac:dyDescent="0.25">
      <c r="A6110" s="10" t="s">
        <v>4764</v>
      </c>
      <c r="B6110" s="11" t="s">
        <v>1631</v>
      </c>
      <c r="C6110" s="5">
        <v>70026.7601</v>
      </c>
      <c r="D6110" s="5">
        <v>70026.7601</v>
      </c>
      <c r="E6110" s="5">
        <v>63410.482000000004</v>
      </c>
      <c r="G6110" s="5" t="str">
        <f t="shared" si="191"/>
        <v>УРАЛМАШ</v>
      </c>
      <c r="J6110" s="5"/>
      <c r="AL6110" s="5">
        <f t="shared" si="192"/>
        <v>0</v>
      </c>
    </row>
    <row r="6111" spans="1:38" ht="25.5" customHeight="1" x14ac:dyDescent="0.25">
      <c r="A6111" s="10" t="s">
        <v>4765</v>
      </c>
      <c r="B6111" s="11" t="s">
        <v>1636</v>
      </c>
      <c r="C6111" s="5">
        <v>52246.960299999999</v>
      </c>
      <c r="D6111" s="5">
        <v>52246.960299999999</v>
      </c>
      <c r="E6111" s="5">
        <v>47310.556700000001</v>
      </c>
      <c r="G6111" s="5" t="str">
        <f t="shared" si="191"/>
        <v>ГОРНЫЙ ЩИТ</v>
      </c>
      <c r="J6111" s="5"/>
      <c r="AL6111" s="5">
        <f t="shared" si="192"/>
        <v>0</v>
      </c>
    </row>
    <row r="6112" spans="1:38" ht="25.5" customHeight="1" x14ac:dyDescent="0.25">
      <c r="A6112" s="10" t="s">
        <v>4766</v>
      </c>
      <c r="B6112" s="11" t="s">
        <v>1660</v>
      </c>
      <c r="C6112" s="5">
        <v>53262.345800000003</v>
      </c>
      <c r="D6112" s="5">
        <v>53262.345800000003</v>
      </c>
      <c r="E6112" s="5">
        <v>48230.0095</v>
      </c>
      <c r="G6112" s="5" t="str">
        <f t="shared" si="191"/>
        <v>САДОВЫЙ</v>
      </c>
      <c r="J6112" s="5"/>
      <c r="AL6112" s="5">
        <f t="shared" si="192"/>
        <v>0</v>
      </c>
    </row>
    <row r="6113" spans="1:38" ht="25.5" customHeight="1" x14ac:dyDescent="0.25">
      <c r="A6113" s="10" t="s">
        <v>4767</v>
      </c>
      <c r="B6113" s="11" t="s">
        <v>1639</v>
      </c>
      <c r="C6113" s="5">
        <v>53500.443299999999</v>
      </c>
      <c r="D6113" s="5">
        <v>53500.443299999999</v>
      </c>
      <c r="E6113" s="5">
        <v>48445.605100000001</v>
      </c>
      <c r="G6113" s="5" t="str">
        <f t="shared" si="191"/>
        <v>ИСТОК</v>
      </c>
      <c r="J6113" s="5"/>
      <c r="AL6113" s="5">
        <f t="shared" si="192"/>
        <v>0</v>
      </c>
    </row>
    <row r="6114" spans="1:38" ht="25.5" customHeight="1" x14ac:dyDescent="0.25">
      <c r="A6114" s="10" t="s">
        <v>4768</v>
      </c>
      <c r="B6114" s="11" t="s">
        <v>1645</v>
      </c>
      <c r="C6114" s="5">
        <v>60958.294800000003</v>
      </c>
      <c r="D6114" s="5">
        <v>60958.294800000003</v>
      </c>
      <c r="E6114" s="5">
        <v>55198.825199999999</v>
      </c>
      <c r="G6114" s="5" t="str">
        <f t="shared" si="191"/>
        <v>ЕЛИЗАВЕТ</v>
      </c>
      <c r="J6114" s="5"/>
      <c r="AL6114" s="5">
        <f t="shared" si="192"/>
        <v>0</v>
      </c>
    </row>
    <row r="6115" spans="1:38" ht="25.5" customHeight="1" x14ac:dyDescent="0.25">
      <c r="A6115" s="10" t="s">
        <v>4769</v>
      </c>
      <c r="B6115" s="11" t="s">
        <v>1668</v>
      </c>
      <c r="C6115" s="5">
        <v>51343.6201</v>
      </c>
      <c r="D6115" s="5">
        <v>51343.6201</v>
      </c>
      <c r="E6115" s="5">
        <v>46492.558799999999</v>
      </c>
      <c r="G6115" s="5" t="str">
        <f t="shared" si="191"/>
        <v>МЕДНЫЙ</v>
      </c>
      <c r="J6115" s="5"/>
      <c r="AL6115" s="5">
        <f t="shared" si="192"/>
        <v>0</v>
      </c>
    </row>
    <row r="6116" spans="1:38" ht="25.5" customHeight="1" x14ac:dyDescent="0.25">
      <c r="A6116" s="10" t="s">
        <v>1375</v>
      </c>
      <c r="B6116" s="11" t="s">
        <v>1650</v>
      </c>
      <c r="C6116" s="5">
        <v>37590.3603</v>
      </c>
      <c r="D6116" s="5">
        <v>37590.3603</v>
      </c>
      <c r="E6116" s="5">
        <v>34038.745900000002</v>
      </c>
      <c r="G6116" s="5" t="str">
        <f t="shared" si="191"/>
        <v>ШАБРОВСКИЙ</v>
      </c>
      <c r="J6116" s="5"/>
      <c r="AL6116" s="5">
        <f t="shared" si="192"/>
        <v>0</v>
      </c>
    </row>
    <row r="6117" spans="1:38" ht="25.5" customHeight="1" x14ac:dyDescent="0.25">
      <c r="A6117" s="10" t="s">
        <v>4770</v>
      </c>
      <c r="B6117" s="11" t="s">
        <v>1668</v>
      </c>
      <c r="C6117" s="5">
        <v>51343.6201</v>
      </c>
      <c r="D6117" s="5">
        <v>51343.6201</v>
      </c>
      <c r="E6117" s="5">
        <v>46492.558799999999</v>
      </c>
      <c r="G6117" s="5" t="str">
        <f t="shared" si="191"/>
        <v>МЕДНЫЙ</v>
      </c>
      <c r="J6117" s="5"/>
      <c r="AL6117" s="5">
        <f t="shared" si="192"/>
        <v>0</v>
      </c>
    </row>
    <row r="6118" spans="1:38" ht="25.5" customHeight="1" x14ac:dyDescent="0.25">
      <c r="A6118" s="10" t="s">
        <v>4771</v>
      </c>
      <c r="B6118" s="11" t="s">
        <v>1635</v>
      </c>
      <c r="C6118" s="5">
        <v>57793.0844</v>
      </c>
      <c r="D6118" s="5">
        <v>57793.0844</v>
      </c>
      <c r="E6118" s="5">
        <v>52332.6639</v>
      </c>
      <c r="G6118" s="5" t="str">
        <f t="shared" si="191"/>
        <v>ЛЕЧЕБНЫЙ</v>
      </c>
      <c r="J6118" s="5"/>
      <c r="AL6118" s="5">
        <f t="shared" si="192"/>
        <v>0</v>
      </c>
    </row>
    <row r="6119" spans="1:38" ht="25.5" customHeight="1" x14ac:dyDescent="0.25">
      <c r="A6119" s="10" t="s">
        <v>4772</v>
      </c>
      <c r="B6119" s="11" t="s">
        <v>1636</v>
      </c>
      <c r="C6119" s="5">
        <v>52246.960299999999</v>
      </c>
      <c r="D6119" s="5">
        <v>52246.960299999999</v>
      </c>
      <c r="E6119" s="5">
        <v>47310.556700000001</v>
      </c>
      <c r="G6119" s="5" t="str">
        <f t="shared" si="191"/>
        <v>ГОРНЫЙ ЩИТ</v>
      </c>
      <c r="J6119" s="5"/>
      <c r="AL6119" s="5">
        <f t="shared" si="192"/>
        <v>0</v>
      </c>
    </row>
    <row r="6120" spans="1:38" ht="25.5" customHeight="1" x14ac:dyDescent="0.25">
      <c r="A6120" s="10" t="s">
        <v>4773</v>
      </c>
      <c r="B6120" s="11" t="s">
        <v>1647</v>
      </c>
      <c r="C6120" s="5">
        <v>63178.133800000003</v>
      </c>
      <c r="D6120" s="5">
        <v>63178.133800000003</v>
      </c>
      <c r="E6120" s="5">
        <v>57208.931499999999</v>
      </c>
      <c r="G6120" s="5" t="str">
        <f t="shared" si="191"/>
        <v>ШИРОКАЯ РЕЧКА</v>
      </c>
      <c r="J6120" s="5"/>
      <c r="AL6120" s="5">
        <f t="shared" si="192"/>
        <v>0</v>
      </c>
    </row>
    <row r="6121" spans="1:38" ht="25.5" customHeight="1" x14ac:dyDescent="0.25">
      <c r="A6121" s="10" t="s">
        <v>4774</v>
      </c>
      <c r="B6121" s="11" t="s">
        <v>1653</v>
      </c>
      <c r="C6121" s="5">
        <v>56847.723400000003</v>
      </c>
      <c r="D6121" s="5">
        <v>56847.723400000003</v>
      </c>
      <c r="E6121" s="5">
        <v>51476.629399999998</v>
      </c>
      <c r="G6121" s="5" t="str">
        <f t="shared" si="191"/>
        <v>ПТИЦЕФАБРИКА</v>
      </c>
      <c r="J6121" s="5"/>
      <c r="AL6121" s="5">
        <f t="shared" si="192"/>
        <v>0</v>
      </c>
    </row>
    <row r="6122" spans="1:38" ht="25.5" customHeight="1" x14ac:dyDescent="0.25">
      <c r="A6122" s="10" t="s">
        <v>4775</v>
      </c>
      <c r="B6122" s="11" t="s">
        <v>1668</v>
      </c>
      <c r="C6122" s="5">
        <v>51343.6201</v>
      </c>
      <c r="D6122" s="5">
        <v>51343.6201</v>
      </c>
      <c r="E6122" s="5">
        <v>46492.558799999999</v>
      </c>
      <c r="G6122" s="5" t="str">
        <f t="shared" si="191"/>
        <v>МЕДНЫЙ</v>
      </c>
      <c r="J6122" s="5"/>
      <c r="AL6122" s="5">
        <f t="shared" si="192"/>
        <v>0</v>
      </c>
    </row>
    <row r="6123" spans="1:38" ht="25.5" customHeight="1" x14ac:dyDescent="0.25">
      <c r="A6123" s="10" t="s">
        <v>4776</v>
      </c>
      <c r="B6123" s="11" t="s">
        <v>1636</v>
      </c>
      <c r="C6123" s="5">
        <v>52246.960299999999</v>
      </c>
      <c r="D6123" s="5">
        <v>52246.960299999999</v>
      </c>
      <c r="E6123" s="5">
        <v>47310.556700000001</v>
      </c>
      <c r="G6123" s="5" t="str">
        <f t="shared" si="191"/>
        <v>ГОРНЫЙ ЩИТ</v>
      </c>
      <c r="J6123" s="5"/>
      <c r="AL6123" s="5">
        <f t="shared" si="192"/>
        <v>0</v>
      </c>
    </row>
    <row r="6124" spans="1:38" ht="25.5" customHeight="1" x14ac:dyDescent="0.25">
      <c r="A6124" s="10" t="s">
        <v>1490</v>
      </c>
      <c r="B6124" s="11" t="s">
        <v>1656</v>
      </c>
      <c r="C6124" s="5">
        <v>60173.9879</v>
      </c>
      <c r="D6124" s="5">
        <v>60173.9879</v>
      </c>
      <c r="E6124" s="5">
        <v>54488.630299999997</v>
      </c>
      <c r="G6124" s="5" t="str">
        <f t="shared" si="191"/>
        <v>МАЛЫЙ ИСТОК</v>
      </c>
      <c r="J6124" s="5"/>
      <c r="AL6124" s="5">
        <f t="shared" si="192"/>
        <v>0</v>
      </c>
    </row>
    <row r="6125" spans="1:38" ht="25.5" customHeight="1" x14ac:dyDescent="0.25">
      <c r="A6125" s="10" t="s">
        <v>4777</v>
      </c>
      <c r="B6125" s="11" t="s">
        <v>779</v>
      </c>
      <c r="C6125" s="5">
        <v>46784.877899999999</v>
      </c>
      <c r="D6125" s="5">
        <v>46784.877899999999</v>
      </c>
      <c r="E6125" s="5">
        <v>42364.543299999998</v>
      </c>
      <c r="G6125" s="5" t="str">
        <f t="shared" si="191"/>
        <v>Нижнеисетский</v>
      </c>
      <c r="J6125" s="5"/>
      <c r="AL6125" s="5">
        <f t="shared" si="192"/>
        <v>0</v>
      </c>
    </row>
    <row r="6126" spans="1:38" ht="25.5" customHeight="1" x14ac:dyDescent="0.25">
      <c r="A6126" s="10" t="s">
        <v>4778</v>
      </c>
      <c r="B6126" s="11" t="s">
        <v>1667</v>
      </c>
      <c r="C6126" s="5">
        <v>56546.599699999999</v>
      </c>
      <c r="D6126" s="5">
        <v>56546.599699999999</v>
      </c>
      <c r="E6126" s="5">
        <v>51203.963499999998</v>
      </c>
      <c r="G6126" s="5" t="str">
        <f t="shared" si="191"/>
        <v>КАЛИНОВСКИЙ</v>
      </c>
      <c r="J6126" s="5"/>
      <c r="AL6126" s="5">
        <f t="shared" si="192"/>
        <v>0</v>
      </c>
    </row>
    <row r="6127" spans="1:38" ht="25.5" customHeight="1" x14ac:dyDescent="0.25">
      <c r="A6127" s="10" t="s">
        <v>4779</v>
      </c>
      <c r="B6127" s="11" t="s">
        <v>1660</v>
      </c>
      <c r="C6127" s="5">
        <v>53262.345800000003</v>
      </c>
      <c r="D6127" s="5">
        <v>53262.345800000003</v>
      </c>
      <c r="E6127" s="5">
        <v>48230.0095</v>
      </c>
      <c r="G6127" s="5" t="str">
        <f t="shared" si="191"/>
        <v>САДОВЫЙ</v>
      </c>
      <c r="J6127" s="5"/>
      <c r="AL6127" s="5">
        <f t="shared" si="192"/>
        <v>0</v>
      </c>
    </row>
    <row r="6128" spans="1:38" ht="25.5" customHeight="1" x14ac:dyDescent="0.25">
      <c r="A6128" s="10" t="s">
        <v>4780</v>
      </c>
      <c r="B6128" s="11" t="s">
        <v>1656</v>
      </c>
      <c r="C6128" s="5">
        <v>60173.9879</v>
      </c>
      <c r="D6128" s="5">
        <v>60173.9879</v>
      </c>
      <c r="E6128" s="5">
        <v>54488.630299999997</v>
      </c>
      <c r="G6128" s="5" t="str">
        <f t="shared" si="191"/>
        <v>МАЛЫЙ ИСТОК</v>
      </c>
      <c r="J6128" s="5"/>
      <c r="AL6128" s="5">
        <f t="shared" si="192"/>
        <v>0</v>
      </c>
    </row>
    <row r="6129" spans="1:38" ht="25.5" customHeight="1" x14ac:dyDescent="0.25">
      <c r="A6129" s="10" t="s">
        <v>4781</v>
      </c>
      <c r="B6129" s="11" t="s">
        <v>1644</v>
      </c>
      <c r="C6129" s="5">
        <v>61980.678599999999</v>
      </c>
      <c r="D6129" s="5">
        <v>61980.678599999999</v>
      </c>
      <c r="E6129" s="5">
        <v>56124.615700000002</v>
      </c>
      <c r="G6129" s="5" t="str">
        <f t="shared" si="191"/>
        <v>ХИММАШ</v>
      </c>
      <c r="J6129" s="5"/>
      <c r="AL6129" s="5">
        <f t="shared" si="192"/>
        <v>0</v>
      </c>
    </row>
    <row r="6130" spans="1:38" ht="25.5" customHeight="1" x14ac:dyDescent="0.25">
      <c r="A6130" s="10" t="s">
        <v>4782</v>
      </c>
      <c r="B6130" s="11" t="s">
        <v>1668</v>
      </c>
      <c r="C6130" s="5">
        <v>51343.6201</v>
      </c>
      <c r="D6130" s="5">
        <v>51343.6201</v>
      </c>
      <c r="E6130" s="5">
        <v>46492.558799999999</v>
      </c>
      <c r="G6130" s="5" t="str">
        <f t="shared" si="191"/>
        <v>МЕДНЫЙ</v>
      </c>
      <c r="J6130" s="5"/>
      <c r="AL6130" s="5">
        <f t="shared" si="192"/>
        <v>0</v>
      </c>
    </row>
    <row r="6131" spans="1:38" ht="25.5" customHeight="1" x14ac:dyDescent="0.25">
      <c r="A6131" s="10" t="s">
        <v>4783</v>
      </c>
      <c r="B6131" s="11" t="s">
        <v>1660</v>
      </c>
      <c r="C6131" s="5">
        <v>53262.345800000003</v>
      </c>
      <c r="D6131" s="5">
        <v>53262.345800000003</v>
      </c>
      <c r="E6131" s="5">
        <v>48230.0095</v>
      </c>
      <c r="G6131" s="5" t="str">
        <f t="shared" si="191"/>
        <v>САДОВЫЙ</v>
      </c>
      <c r="J6131" s="5"/>
      <c r="AL6131" s="5">
        <f t="shared" si="192"/>
        <v>0</v>
      </c>
    </row>
    <row r="6132" spans="1:38" ht="25.5" customHeight="1" x14ac:dyDescent="0.25">
      <c r="A6132" s="10" t="s">
        <v>4784</v>
      </c>
      <c r="B6132" s="11" t="s">
        <v>1653</v>
      </c>
      <c r="C6132" s="5">
        <v>56847.723400000003</v>
      </c>
      <c r="D6132" s="5">
        <v>56847.723400000003</v>
      </c>
      <c r="E6132" s="5">
        <v>51476.629399999998</v>
      </c>
      <c r="G6132" s="5" t="str">
        <f t="shared" si="191"/>
        <v>ПТИЦЕФАБРИКА</v>
      </c>
      <c r="J6132" s="5"/>
      <c r="AL6132" s="5">
        <f t="shared" si="192"/>
        <v>0</v>
      </c>
    </row>
    <row r="6133" spans="1:38" ht="25.5" customHeight="1" x14ac:dyDescent="0.25">
      <c r="A6133" s="10" t="s">
        <v>4785</v>
      </c>
      <c r="B6133" s="11" t="s">
        <v>389</v>
      </c>
      <c r="C6133" s="5">
        <v>51175.5573</v>
      </c>
      <c r="D6133" s="5">
        <v>51175.5573</v>
      </c>
      <c r="E6133" s="5">
        <v>46340.381600000001</v>
      </c>
      <c r="G6133" s="5" t="str">
        <f t="shared" si="191"/>
        <v>Северка</v>
      </c>
      <c r="J6133" s="5"/>
      <c r="AL6133" s="5">
        <f t="shared" si="192"/>
        <v>0</v>
      </c>
    </row>
    <row r="6134" spans="1:38" ht="25.5" customHeight="1" x14ac:dyDescent="0.25">
      <c r="A6134" s="10" t="s">
        <v>4786</v>
      </c>
      <c r="B6134" s="11" t="s">
        <v>1650</v>
      </c>
      <c r="C6134" s="5">
        <v>37590.3603</v>
      </c>
      <c r="D6134" s="5">
        <v>37590.3603</v>
      </c>
      <c r="E6134" s="5">
        <v>34038.745900000002</v>
      </c>
      <c r="G6134" s="5" t="str">
        <f t="shared" si="191"/>
        <v>ШАБРОВСКИЙ</v>
      </c>
      <c r="J6134" s="5"/>
      <c r="AL6134" s="5">
        <f t="shared" si="192"/>
        <v>0</v>
      </c>
    </row>
    <row r="6135" spans="1:38" ht="25.5" customHeight="1" x14ac:dyDescent="0.25">
      <c r="A6135" s="10" t="s">
        <v>4787</v>
      </c>
      <c r="B6135" s="11" t="s">
        <v>1631</v>
      </c>
      <c r="C6135" s="5">
        <v>70026.7601</v>
      </c>
      <c r="D6135" s="5">
        <v>70026.7601</v>
      </c>
      <c r="E6135" s="5">
        <v>63410.482000000004</v>
      </c>
      <c r="G6135" s="5" t="str">
        <f t="shared" si="191"/>
        <v>УРАЛМАШ</v>
      </c>
      <c r="J6135" s="5"/>
      <c r="AL6135" s="5">
        <f t="shared" si="192"/>
        <v>0</v>
      </c>
    </row>
    <row r="6136" spans="1:38" ht="25.5" customHeight="1" x14ac:dyDescent="0.25">
      <c r="A6136" s="10" t="s">
        <v>995</v>
      </c>
      <c r="B6136" s="11" t="s">
        <v>1647</v>
      </c>
      <c r="C6136" s="5">
        <v>63178.133800000003</v>
      </c>
      <c r="D6136" s="5">
        <v>63178.133800000003</v>
      </c>
      <c r="E6136" s="5">
        <v>57208.931499999999</v>
      </c>
      <c r="G6136" s="5" t="str">
        <f t="shared" si="191"/>
        <v>ШИРОКАЯ РЕЧКА</v>
      </c>
      <c r="J6136" s="5"/>
      <c r="AL6136" s="5">
        <f t="shared" si="192"/>
        <v>0</v>
      </c>
    </row>
    <row r="6137" spans="1:38" ht="25.5" customHeight="1" x14ac:dyDescent="0.25">
      <c r="A6137" s="10" t="s">
        <v>4788</v>
      </c>
      <c r="B6137" s="11" t="s">
        <v>1645</v>
      </c>
      <c r="C6137" s="5">
        <v>60958.294800000003</v>
      </c>
      <c r="D6137" s="5">
        <v>60958.294800000003</v>
      </c>
      <c r="E6137" s="5">
        <v>55198.825199999999</v>
      </c>
      <c r="G6137" s="5" t="str">
        <f t="shared" si="191"/>
        <v>ЕЛИЗАВЕТ</v>
      </c>
      <c r="J6137" s="5"/>
      <c r="AL6137" s="5">
        <f t="shared" si="192"/>
        <v>0</v>
      </c>
    </row>
    <row r="6138" spans="1:38" ht="25.5" customHeight="1" x14ac:dyDescent="0.25">
      <c r="A6138" s="10" t="s">
        <v>4789</v>
      </c>
      <c r="B6138" s="11" t="s">
        <v>1668</v>
      </c>
      <c r="C6138" s="5">
        <v>51343.6201</v>
      </c>
      <c r="D6138" s="5">
        <v>51343.6201</v>
      </c>
      <c r="E6138" s="5">
        <v>46492.558799999999</v>
      </c>
      <c r="G6138" s="5" t="str">
        <f t="shared" si="191"/>
        <v>МЕДНЫЙ</v>
      </c>
      <c r="J6138" s="5"/>
      <c r="AL6138" s="5">
        <f t="shared" si="192"/>
        <v>0</v>
      </c>
    </row>
    <row r="6139" spans="1:38" ht="25.5" customHeight="1" x14ac:dyDescent="0.25">
      <c r="A6139" s="10" t="s">
        <v>4790</v>
      </c>
      <c r="B6139" s="11" t="s">
        <v>1631</v>
      </c>
      <c r="C6139" s="5">
        <v>70026.7601</v>
      </c>
      <c r="D6139" s="5">
        <v>70026.7601</v>
      </c>
      <c r="E6139" s="5">
        <v>63410.482000000004</v>
      </c>
      <c r="G6139" s="5" t="str">
        <f t="shared" si="191"/>
        <v>УРАЛМАШ</v>
      </c>
      <c r="J6139" s="5"/>
      <c r="AL6139" s="5">
        <f t="shared" si="192"/>
        <v>0</v>
      </c>
    </row>
    <row r="6140" spans="1:38" ht="25.5" customHeight="1" x14ac:dyDescent="0.25">
      <c r="A6140" s="10" t="s">
        <v>4791</v>
      </c>
      <c r="B6140" s="11" t="s">
        <v>1648</v>
      </c>
      <c r="C6140" s="5">
        <v>49782.025399999999</v>
      </c>
      <c r="D6140" s="5">
        <v>49782.025399999999</v>
      </c>
      <c r="E6140" s="5">
        <v>45078.506800000003</v>
      </c>
      <c r="G6140" s="5" t="str">
        <f t="shared" si="191"/>
        <v>ЧУСОВСКОЕ ОЗЕРО</v>
      </c>
      <c r="J6140" s="5"/>
      <c r="AL6140" s="5">
        <f t="shared" si="192"/>
        <v>0</v>
      </c>
    </row>
    <row r="6141" spans="1:38" ht="25.5" customHeight="1" x14ac:dyDescent="0.25">
      <c r="A6141" s="10" t="s">
        <v>4792</v>
      </c>
      <c r="B6141" s="11" t="s">
        <v>1660</v>
      </c>
      <c r="C6141" s="5">
        <v>53262.345800000003</v>
      </c>
      <c r="D6141" s="5">
        <v>53262.345800000003</v>
      </c>
      <c r="E6141" s="5">
        <v>48230.0095</v>
      </c>
      <c r="G6141" s="5" t="str">
        <f t="shared" si="191"/>
        <v>САДОВЫЙ</v>
      </c>
      <c r="J6141" s="5"/>
      <c r="AL6141" s="5">
        <f t="shared" si="192"/>
        <v>0</v>
      </c>
    </row>
    <row r="6142" spans="1:38" ht="25.5" customHeight="1" x14ac:dyDescent="0.25">
      <c r="A6142" s="10" t="s">
        <v>4793</v>
      </c>
      <c r="B6142" s="11" t="s">
        <v>1665</v>
      </c>
      <c r="C6142" s="5">
        <v>55692.278700000003</v>
      </c>
      <c r="D6142" s="5">
        <v>55692.278700000003</v>
      </c>
      <c r="E6142" s="5">
        <v>50430.350200000001</v>
      </c>
      <c r="G6142" s="5" t="str">
        <f t="shared" si="191"/>
        <v>ПОЛЕВОДСТВО</v>
      </c>
      <c r="J6142" s="5"/>
      <c r="AL6142" s="5">
        <f t="shared" si="192"/>
        <v>0</v>
      </c>
    </row>
    <row r="6143" spans="1:38" ht="25.5" customHeight="1" x14ac:dyDescent="0.25">
      <c r="A6143" s="10" t="s">
        <v>901</v>
      </c>
      <c r="B6143" s="11" t="s">
        <v>1650</v>
      </c>
      <c r="C6143" s="5">
        <v>37590.3603</v>
      </c>
      <c r="D6143" s="5">
        <v>37590.3603</v>
      </c>
      <c r="E6143" s="5">
        <v>34038.745900000002</v>
      </c>
      <c r="G6143" s="5" t="str">
        <f t="shared" ref="G6143:G6206" si="193">B6143</f>
        <v>ШАБРОВСКИЙ</v>
      </c>
      <c r="J6143" s="5"/>
      <c r="AL6143" s="5">
        <f t="shared" ref="AL6143:AL6206" si="194">AF6143</f>
        <v>0</v>
      </c>
    </row>
    <row r="6144" spans="1:38" ht="25.5" customHeight="1" x14ac:dyDescent="0.25">
      <c r="A6144" s="10" t="s">
        <v>4794</v>
      </c>
      <c r="B6144" s="11" t="s">
        <v>1663</v>
      </c>
      <c r="C6144" s="5">
        <v>44242.899599999997</v>
      </c>
      <c r="D6144" s="5">
        <v>44242.899599999997</v>
      </c>
      <c r="E6144" s="5">
        <v>40062.737300000001</v>
      </c>
      <c r="G6144" s="5" t="str">
        <f t="shared" si="193"/>
        <v>ШУВАКИШ</v>
      </c>
      <c r="J6144" s="5"/>
      <c r="AL6144" s="5">
        <f t="shared" si="194"/>
        <v>0</v>
      </c>
    </row>
    <row r="6145" spans="1:38" ht="25.5" customHeight="1" x14ac:dyDescent="0.25">
      <c r="A6145" s="10" t="s">
        <v>4795</v>
      </c>
      <c r="B6145" s="11" t="s">
        <v>389</v>
      </c>
      <c r="C6145" s="5">
        <v>51175.5573</v>
      </c>
      <c r="D6145" s="5">
        <v>51175.5573</v>
      </c>
      <c r="E6145" s="5">
        <v>46340.381600000001</v>
      </c>
      <c r="G6145" s="5" t="str">
        <f t="shared" si="193"/>
        <v>Северка</v>
      </c>
      <c r="J6145" s="5"/>
      <c r="AL6145" s="5">
        <f t="shared" si="194"/>
        <v>0</v>
      </c>
    </row>
    <row r="6146" spans="1:38" ht="25.5" customHeight="1" x14ac:dyDescent="0.25">
      <c r="A6146" s="10" t="s">
        <v>4796</v>
      </c>
      <c r="B6146" s="11" t="s">
        <v>1656</v>
      </c>
      <c r="C6146" s="5">
        <v>60173.9879</v>
      </c>
      <c r="D6146" s="5">
        <v>60173.9879</v>
      </c>
      <c r="E6146" s="5">
        <v>54488.630299999997</v>
      </c>
      <c r="G6146" s="5" t="str">
        <f t="shared" si="193"/>
        <v>МАЛЫЙ ИСТОК</v>
      </c>
      <c r="J6146" s="5"/>
      <c r="AL6146" s="5">
        <f t="shared" si="194"/>
        <v>0</v>
      </c>
    </row>
    <row r="6147" spans="1:38" ht="25.5" customHeight="1" x14ac:dyDescent="0.25">
      <c r="A6147" s="10" t="s">
        <v>4797</v>
      </c>
      <c r="B6147" s="11" t="s">
        <v>1638</v>
      </c>
      <c r="C6147" s="5">
        <v>63640.311600000001</v>
      </c>
      <c r="D6147" s="5">
        <v>63640.311600000001</v>
      </c>
      <c r="E6147" s="5">
        <v>57627.4473</v>
      </c>
      <c r="G6147" s="5" t="str">
        <f t="shared" si="193"/>
        <v>УКТУС</v>
      </c>
      <c r="J6147" s="5"/>
      <c r="AL6147" s="5">
        <f t="shared" si="194"/>
        <v>0</v>
      </c>
    </row>
    <row r="6148" spans="1:38" ht="25.5" customHeight="1" x14ac:dyDescent="0.25">
      <c r="A6148" s="10" t="s">
        <v>4798</v>
      </c>
      <c r="B6148" s="11" t="s">
        <v>1660</v>
      </c>
      <c r="C6148" s="5">
        <v>53262.345800000003</v>
      </c>
      <c r="D6148" s="5">
        <v>53262.345800000003</v>
      </c>
      <c r="E6148" s="5">
        <v>48230.0095</v>
      </c>
      <c r="G6148" s="5" t="str">
        <f t="shared" si="193"/>
        <v>САДОВЫЙ</v>
      </c>
      <c r="J6148" s="5"/>
      <c r="AL6148" s="5">
        <f t="shared" si="194"/>
        <v>0</v>
      </c>
    </row>
    <row r="6149" spans="1:38" ht="25.5" customHeight="1" x14ac:dyDescent="0.25">
      <c r="A6149" s="10" t="s">
        <v>4799</v>
      </c>
      <c r="B6149" s="11" t="s">
        <v>1661</v>
      </c>
      <c r="C6149" s="5">
        <v>51175.5573</v>
      </c>
      <c r="D6149" s="5">
        <v>51175.5573</v>
      </c>
      <c r="E6149" s="5">
        <v>46340.381600000001</v>
      </c>
      <c r="G6149" s="5" t="str">
        <f t="shared" si="193"/>
        <v>СЕВЕРКА</v>
      </c>
      <c r="J6149" s="5"/>
      <c r="AL6149" s="5">
        <f t="shared" si="194"/>
        <v>0</v>
      </c>
    </row>
    <row r="6150" spans="1:38" ht="25.5" customHeight="1" x14ac:dyDescent="0.25">
      <c r="A6150" s="10" t="s">
        <v>4800</v>
      </c>
      <c r="B6150" s="11" t="s">
        <v>1636</v>
      </c>
      <c r="C6150" s="5">
        <v>52246.960299999999</v>
      </c>
      <c r="D6150" s="5">
        <v>52246.960299999999</v>
      </c>
      <c r="E6150" s="5">
        <v>47310.556700000001</v>
      </c>
      <c r="G6150" s="5" t="str">
        <f t="shared" si="193"/>
        <v>ГОРНЫЙ ЩИТ</v>
      </c>
      <c r="J6150" s="5"/>
      <c r="AL6150" s="5">
        <f t="shared" si="194"/>
        <v>0</v>
      </c>
    </row>
    <row r="6151" spans="1:38" ht="25.5" customHeight="1" x14ac:dyDescent="0.25">
      <c r="A6151" s="10" t="s">
        <v>4801</v>
      </c>
      <c r="B6151" s="11" t="s">
        <v>1661</v>
      </c>
      <c r="C6151" s="5">
        <v>51175.5573</v>
      </c>
      <c r="D6151" s="5">
        <v>51175.5573</v>
      </c>
      <c r="E6151" s="5">
        <v>46340.381600000001</v>
      </c>
      <c r="G6151" s="5" t="str">
        <f t="shared" si="193"/>
        <v>СЕВЕРКА</v>
      </c>
      <c r="J6151" s="5"/>
      <c r="AL6151" s="5">
        <f t="shared" si="194"/>
        <v>0</v>
      </c>
    </row>
    <row r="6152" spans="1:38" ht="25.5" customHeight="1" x14ac:dyDescent="0.25">
      <c r="A6152" s="10" t="s">
        <v>4802</v>
      </c>
      <c r="B6152" s="11" t="s">
        <v>1647</v>
      </c>
      <c r="C6152" s="5">
        <v>63178.133800000003</v>
      </c>
      <c r="D6152" s="5">
        <v>63178.133800000003</v>
      </c>
      <c r="E6152" s="5">
        <v>57208.931499999999</v>
      </c>
      <c r="G6152" s="5" t="str">
        <f t="shared" si="193"/>
        <v>ШИРОКАЯ РЕЧКА</v>
      </c>
      <c r="J6152" s="5"/>
      <c r="AL6152" s="5">
        <f t="shared" si="194"/>
        <v>0</v>
      </c>
    </row>
    <row r="6153" spans="1:38" ht="25.5" customHeight="1" x14ac:dyDescent="0.25">
      <c r="A6153" s="10" t="s">
        <v>4803</v>
      </c>
      <c r="B6153" s="11" t="s">
        <v>1665</v>
      </c>
      <c r="C6153" s="5">
        <v>55692.278700000003</v>
      </c>
      <c r="D6153" s="5">
        <v>55692.278700000003</v>
      </c>
      <c r="E6153" s="5">
        <v>50430.350200000001</v>
      </c>
      <c r="G6153" s="5" t="str">
        <f t="shared" si="193"/>
        <v>ПОЛЕВОДСТВО</v>
      </c>
      <c r="J6153" s="5"/>
      <c r="AL6153" s="5">
        <f t="shared" si="194"/>
        <v>0</v>
      </c>
    </row>
    <row r="6154" spans="1:38" ht="25.5" customHeight="1" x14ac:dyDescent="0.25">
      <c r="A6154" s="10" t="s">
        <v>4804</v>
      </c>
      <c r="B6154" s="11" t="s">
        <v>1661</v>
      </c>
      <c r="C6154" s="5">
        <v>51175.5573</v>
      </c>
      <c r="D6154" s="5">
        <v>51175.5573</v>
      </c>
      <c r="E6154" s="5">
        <v>46340.381600000001</v>
      </c>
      <c r="G6154" s="5" t="str">
        <f t="shared" si="193"/>
        <v>СЕВЕРКА</v>
      </c>
      <c r="J6154" s="5"/>
      <c r="AL6154" s="5">
        <f t="shared" si="194"/>
        <v>0</v>
      </c>
    </row>
    <row r="6155" spans="1:38" ht="25.5" customHeight="1" x14ac:dyDescent="0.25">
      <c r="A6155" s="10" t="s">
        <v>4805</v>
      </c>
      <c r="B6155" s="11" t="s">
        <v>1628</v>
      </c>
      <c r="C6155" s="5">
        <v>70734.0236</v>
      </c>
      <c r="D6155" s="5">
        <v>70734.0236</v>
      </c>
      <c r="E6155" s="5">
        <v>64050.9208</v>
      </c>
      <c r="G6155" s="5" t="str">
        <f t="shared" si="193"/>
        <v>ЭЛЬМАШ</v>
      </c>
      <c r="J6155" s="5"/>
      <c r="AL6155" s="5">
        <f t="shared" si="194"/>
        <v>0</v>
      </c>
    </row>
    <row r="6156" spans="1:38" ht="25.5" customHeight="1" x14ac:dyDescent="0.25">
      <c r="A6156" s="10" t="s">
        <v>1528</v>
      </c>
      <c r="B6156" s="11" t="s">
        <v>1639</v>
      </c>
      <c r="C6156" s="5">
        <v>53500.443299999999</v>
      </c>
      <c r="D6156" s="5">
        <v>53500.443299999999</v>
      </c>
      <c r="E6156" s="5">
        <v>48445.605100000001</v>
      </c>
      <c r="G6156" s="5" t="str">
        <f t="shared" si="193"/>
        <v>ИСТОК</v>
      </c>
      <c r="J6156" s="5"/>
      <c r="AL6156" s="5">
        <f t="shared" si="194"/>
        <v>0</v>
      </c>
    </row>
    <row r="6157" spans="1:38" ht="25.5" customHeight="1" x14ac:dyDescent="0.25">
      <c r="A6157" s="10" t="s">
        <v>4806</v>
      </c>
      <c r="B6157" s="11" t="s">
        <v>1647</v>
      </c>
      <c r="C6157" s="5">
        <v>63178.133800000003</v>
      </c>
      <c r="D6157" s="5">
        <v>63178.133800000003</v>
      </c>
      <c r="E6157" s="5">
        <v>57208.931499999999</v>
      </c>
      <c r="G6157" s="5" t="str">
        <f t="shared" si="193"/>
        <v>ШИРОКАЯ РЕЧКА</v>
      </c>
      <c r="J6157" s="5"/>
      <c r="AL6157" s="5">
        <f t="shared" si="194"/>
        <v>0</v>
      </c>
    </row>
    <row r="6158" spans="1:38" ht="25.5" customHeight="1" x14ac:dyDescent="0.25">
      <c r="A6158" s="10" t="s">
        <v>4807</v>
      </c>
      <c r="B6158" s="11" t="s">
        <v>1645</v>
      </c>
      <c r="C6158" s="5">
        <v>60958.294800000003</v>
      </c>
      <c r="D6158" s="5">
        <v>60958.294800000003</v>
      </c>
      <c r="E6158" s="5">
        <v>55198.825199999999</v>
      </c>
      <c r="G6158" s="5" t="str">
        <f t="shared" si="193"/>
        <v>ЕЛИЗАВЕТ</v>
      </c>
      <c r="J6158" s="5"/>
      <c r="AL6158" s="5">
        <f t="shared" si="194"/>
        <v>0</v>
      </c>
    </row>
    <row r="6159" spans="1:38" ht="25.5" customHeight="1" x14ac:dyDescent="0.25">
      <c r="A6159" s="10" t="s">
        <v>4808</v>
      </c>
      <c r="B6159" s="11" t="s">
        <v>1661</v>
      </c>
      <c r="C6159" s="5">
        <v>51175.5573</v>
      </c>
      <c r="D6159" s="5">
        <v>51175.5573</v>
      </c>
      <c r="E6159" s="5">
        <v>46340.381600000001</v>
      </c>
      <c r="G6159" s="5" t="str">
        <f t="shared" si="193"/>
        <v>СЕВЕРКА</v>
      </c>
      <c r="J6159" s="5"/>
      <c r="AL6159" s="5">
        <f t="shared" si="194"/>
        <v>0</v>
      </c>
    </row>
    <row r="6160" spans="1:38" ht="25.5" customHeight="1" x14ac:dyDescent="0.25">
      <c r="A6160" s="10" t="s">
        <v>4809</v>
      </c>
      <c r="B6160" s="11" t="s">
        <v>1663</v>
      </c>
      <c r="C6160" s="5">
        <v>44242.899599999997</v>
      </c>
      <c r="D6160" s="5">
        <v>44242.899599999997</v>
      </c>
      <c r="E6160" s="5">
        <v>40062.737300000001</v>
      </c>
      <c r="G6160" s="5" t="str">
        <f t="shared" si="193"/>
        <v>ШУВАКИШ</v>
      </c>
      <c r="J6160" s="5"/>
      <c r="AL6160" s="5">
        <f t="shared" si="194"/>
        <v>0</v>
      </c>
    </row>
    <row r="6161" spans="1:38" ht="25.5" customHeight="1" x14ac:dyDescent="0.25">
      <c r="A6161" s="10" t="s">
        <v>787</v>
      </c>
      <c r="B6161" s="11" t="s">
        <v>1636</v>
      </c>
      <c r="C6161" s="5">
        <v>52246.960299999999</v>
      </c>
      <c r="D6161" s="5">
        <v>52246.960299999999</v>
      </c>
      <c r="E6161" s="5">
        <v>47310.556700000001</v>
      </c>
      <c r="G6161" s="5" t="str">
        <f t="shared" si="193"/>
        <v>ГОРНЫЙ ЩИТ</v>
      </c>
      <c r="J6161" s="5"/>
      <c r="AL6161" s="5">
        <f t="shared" si="194"/>
        <v>0</v>
      </c>
    </row>
    <row r="6162" spans="1:38" ht="25.5" customHeight="1" x14ac:dyDescent="0.25">
      <c r="A6162" s="10" t="s">
        <v>4810</v>
      </c>
      <c r="B6162" s="11" t="s">
        <v>389</v>
      </c>
      <c r="C6162" s="5">
        <v>51175.5573</v>
      </c>
      <c r="D6162" s="5">
        <v>51175.5573</v>
      </c>
      <c r="E6162" s="5">
        <v>46340.381600000001</v>
      </c>
      <c r="G6162" s="5" t="str">
        <f t="shared" si="193"/>
        <v>Северка</v>
      </c>
      <c r="J6162" s="5"/>
      <c r="AL6162" s="5">
        <f t="shared" si="194"/>
        <v>0</v>
      </c>
    </row>
    <row r="6163" spans="1:38" ht="25.5" customHeight="1" x14ac:dyDescent="0.25">
      <c r="A6163" s="10" t="s">
        <v>4811</v>
      </c>
      <c r="B6163" s="11" t="s">
        <v>1668</v>
      </c>
      <c r="C6163" s="5">
        <v>51343.6201</v>
      </c>
      <c r="D6163" s="5">
        <v>51343.6201</v>
      </c>
      <c r="E6163" s="5">
        <v>46492.558799999999</v>
      </c>
      <c r="G6163" s="5" t="str">
        <f t="shared" si="193"/>
        <v>МЕДНЫЙ</v>
      </c>
      <c r="J6163" s="5"/>
      <c r="AL6163" s="5">
        <f t="shared" si="194"/>
        <v>0</v>
      </c>
    </row>
    <row r="6164" spans="1:38" ht="25.5" customHeight="1" x14ac:dyDescent="0.25">
      <c r="A6164" s="10" t="s">
        <v>4812</v>
      </c>
      <c r="B6164" s="11" t="s">
        <v>1628</v>
      </c>
      <c r="C6164" s="5">
        <v>70734.0236</v>
      </c>
      <c r="D6164" s="5">
        <v>70734.0236</v>
      </c>
      <c r="E6164" s="5">
        <v>64050.9208</v>
      </c>
      <c r="G6164" s="5" t="str">
        <f t="shared" si="193"/>
        <v>ЭЛЬМАШ</v>
      </c>
      <c r="J6164" s="5"/>
      <c r="AL6164" s="5">
        <f t="shared" si="194"/>
        <v>0</v>
      </c>
    </row>
    <row r="6165" spans="1:38" ht="25.5" customHeight="1" x14ac:dyDescent="0.25">
      <c r="A6165" s="10" t="s">
        <v>4813</v>
      </c>
      <c r="B6165" s="11" t="s">
        <v>1650</v>
      </c>
      <c r="C6165" s="5">
        <v>37590.3603</v>
      </c>
      <c r="D6165" s="5">
        <v>37590.3603</v>
      </c>
      <c r="E6165" s="5">
        <v>34038.745900000002</v>
      </c>
      <c r="G6165" s="5" t="str">
        <f t="shared" si="193"/>
        <v>ШАБРОВСКИЙ</v>
      </c>
      <c r="J6165" s="5"/>
      <c r="AL6165" s="5">
        <f t="shared" si="194"/>
        <v>0</v>
      </c>
    </row>
    <row r="6166" spans="1:38" ht="25.5" customHeight="1" x14ac:dyDescent="0.25">
      <c r="A6166" s="10" t="s">
        <v>4814</v>
      </c>
      <c r="B6166" s="11" t="s">
        <v>1647</v>
      </c>
      <c r="C6166" s="5">
        <v>63178.133800000003</v>
      </c>
      <c r="D6166" s="5">
        <v>63178.133800000003</v>
      </c>
      <c r="E6166" s="5">
        <v>57208.931499999999</v>
      </c>
      <c r="G6166" s="5" t="str">
        <f t="shared" si="193"/>
        <v>ШИРОКАЯ РЕЧКА</v>
      </c>
      <c r="J6166" s="5"/>
      <c r="AL6166" s="5">
        <f t="shared" si="194"/>
        <v>0</v>
      </c>
    </row>
    <row r="6167" spans="1:38" ht="25.5" customHeight="1" x14ac:dyDescent="0.25">
      <c r="A6167" s="10" t="s">
        <v>4815</v>
      </c>
      <c r="B6167" s="11" t="s">
        <v>1631</v>
      </c>
      <c r="C6167" s="5">
        <v>70026.7601</v>
      </c>
      <c r="D6167" s="5">
        <v>70026.7601</v>
      </c>
      <c r="E6167" s="5">
        <v>63410.482000000004</v>
      </c>
      <c r="G6167" s="5" t="str">
        <f t="shared" si="193"/>
        <v>УРАЛМАШ</v>
      </c>
      <c r="J6167" s="5"/>
      <c r="AL6167" s="5">
        <f t="shared" si="194"/>
        <v>0</v>
      </c>
    </row>
    <row r="6168" spans="1:38" ht="25.5" customHeight="1" x14ac:dyDescent="0.25">
      <c r="A6168" s="10" t="s">
        <v>4816</v>
      </c>
      <c r="B6168" s="11" t="s">
        <v>1665</v>
      </c>
      <c r="C6168" s="5">
        <v>55692.278700000003</v>
      </c>
      <c r="D6168" s="5">
        <v>55692.278700000003</v>
      </c>
      <c r="E6168" s="5">
        <v>50430.350200000001</v>
      </c>
      <c r="G6168" s="5" t="str">
        <f t="shared" si="193"/>
        <v>ПОЛЕВОДСТВО</v>
      </c>
      <c r="J6168" s="5"/>
      <c r="AL6168" s="5">
        <f t="shared" si="194"/>
        <v>0</v>
      </c>
    </row>
    <row r="6169" spans="1:38" ht="25.5" customHeight="1" x14ac:dyDescent="0.25">
      <c r="A6169" s="10" t="s">
        <v>4817</v>
      </c>
      <c r="B6169" s="11" t="s">
        <v>1645</v>
      </c>
      <c r="C6169" s="5">
        <v>60958.294800000003</v>
      </c>
      <c r="D6169" s="5">
        <v>60958.294800000003</v>
      </c>
      <c r="E6169" s="5">
        <v>55198.825199999999</v>
      </c>
      <c r="G6169" s="5" t="str">
        <f t="shared" si="193"/>
        <v>ЕЛИЗАВЕТ</v>
      </c>
      <c r="J6169" s="5"/>
      <c r="AL6169" s="5">
        <f t="shared" si="194"/>
        <v>0</v>
      </c>
    </row>
    <row r="6170" spans="1:38" ht="25.5" customHeight="1" x14ac:dyDescent="0.25">
      <c r="A6170" s="10" t="s">
        <v>4818</v>
      </c>
      <c r="B6170" s="11" t="s">
        <v>1645</v>
      </c>
      <c r="C6170" s="5">
        <v>60958.294800000003</v>
      </c>
      <c r="D6170" s="5">
        <v>60958.294800000003</v>
      </c>
      <c r="E6170" s="5">
        <v>55198.825199999999</v>
      </c>
      <c r="G6170" s="5" t="str">
        <f t="shared" si="193"/>
        <v>ЕЛИЗАВЕТ</v>
      </c>
      <c r="J6170" s="5"/>
      <c r="AL6170" s="5">
        <f t="shared" si="194"/>
        <v>0</v>
      </c>
    </row>
    <row r="6171" spans="1:38" ht="25.5" customHeight="1" x14ac:dyDescent="0.25">
      <c r="A6171" s="10" t="s">
        <v>4819</v>
      </c>
      <c r="B6171" s="11" t="s">
        <v>1663</v>
      </c>
      <c r="C6171" s="5">
        <v>44242.899599999997</v>
      </c>
      <c r="D6171" s="5">
        <v>44242.899599999997</v>
      </c>
      <c r="E6171" s="5">
        <v>40062.737300000001</v>
      </c>
      <c r="G6171" s="5" t="str">
        <f t="shared" si="193"/>
        <v>ШУВАКИШ</v>
      </c>
      <c r="J6171" s="5"/>
      <c r="AL6171" s="5">
        <f t="shared" si="194"/>
        <v>0</v>
      </c>
    </row>
    <row r="6172" spans="1:38" ht="25.5" customHeight="1" x14ac:dyDescent="0.25">
      <c r="A6172" s="10" t="s">
        <v>4820</v>
      </c>
      <c r="B6172" s="11" t="s">
        <v>1650</v>
      </c>
      <c r="C6172" s="5">
        <v>37590.3603</v>
      </c>
      <c r="D6172" s="5">
        <v>37590.3603</v>
      </c>
      <c r="E6172" s="5">
        <v>34038.745900000002</v>
      </c>
      <c r="G6172" s="5" t="str">
        <f t="shared" si="193"/>
        <v>ШАБРОВСКИЙ</v>
      </c>
      <c r="J6172" s="5"/>
      <c r="AL6172" s="5">
        <f t="shared" si="194"/>
        <v>0</v>
      </c>
    </row>
    <row r="6173" spans="1:38" ht="25.5" customHeight="1" x14ac:dyDescent="0.25">
      <c r="A6173" s="10" t="s">
        <v>4821</v>
      </c>
      <c r="B6173" s="11" t="s">
        <v>1644</v>
      </c>
      <c r="C6173" s="5">
        <v>61980.678599999999</v>
      </c>
      <c r="D6173" s="5">
        <v>61980.678599999999</v>
      </c>
      <c r="E6173" s="5">
        <v>56124.615700000002</v>
      </c>
      <c r="G6173" s="5" t="str">
        <f t="shared" si="193"/>
        <v>ХИММАШ</v>
      </c>
      <c r="J6173" s="5"/>
      <c r="AL6173" s="5">
        <f t="shared" si="194"/>
        <v>0</v>
      </c>
    </row>
    <row r="6174" spans="1:38" ht="25.5" customHeight="1" x14ac:dyDescent="0.25">
      <c r="A6174" s="10" t="s">
        <v>4822</v>
      </c>
      <c r="B6174" s="11" t="s">
        <v>1650</v>
      </c>
      <c r="C6174" s="5">
        <v>37590.3603</v>
      </c>
      <c r="D6174" s="5">
        <v>37590.3603</v>
      </c>
      <c r="E6174" s="5">
        <v>34038.745900000002</v>
      </c>
      <c r="G6174" s="5" t="str">
        <f t="shared" si="193"/>
        <v>ШАБРОВСКИЙ</v>
      </c>
      <c r="J6174" s="5"/>
      <c r="AL6174" s="5">
        <f t="shared" si="194"/>
        <v>0</v>
      </c>
    </row>
    <row r="6175" spans="1:38" ht="25.5" customHeight="1" x14ac:dyDescent="0.25">
      <c r="A6175" s="10" t="s">
        <v>4823</v>
      </c>
      <c r="B6175" s="11" t="s">
        <v>1645</v>
      </c>
      <c r="C6175" s="5">
        <v>60958.294800000003</v>
      </c>
      <c r="D6175" s="5">
        <v>60958.294800000003</v>
      </c>
      <c r="E6175" s="5">
        <v>55198.825199999999</v>
      </c>
      <c r="G6175" s="5" t="str">
        <f t="shared" si="193"/>
        <v>ЕЛИЗАВЕТ</v>
      </c>
      <c r="J6175" s="5"/>
      <c r="AL6175" s="5">
        <f t="shared" si="194"/>
        <v>0</v>
      </c>
    </row>
    <row r="6176" spans="1:38" ht="25.5" customHeight="1" x14ac:dyDescent="0.25">
      <c r="A6176" s="10" t="s">
        <v>4824</v>
      </c>
      <c r="B6176" s="11" t="s">
        <v>1631</v>
      </c>
      <c r="C6176" s="5">
        <v>70026.7601</v>
      </c>
      <c r="D6176" s="5">
        <v>70026.7601</v>
      </c>
      <c r="E6176" s="5">
        <v>63410.482000000004</v>
      </c>
      <c r="G6176" s="5" t="str">
        <f t="shared" si="193"/>
        <v>УРАЛМАШ</v>
      </c>
      <c r="J6176" s="5"/>
      <c r="AL6176" s="5">
        <f t="shared" si="194"/>
        <v>0</v>
      </c>
    </row>
    <row r="6177" spans="1:38" ht="25.5" customHeight="1" x14ac:dyDescent="0.25">
      <c r="A6177" s="10" t="s">
        <v>4825</v>
      </c>
      <c r="B6177" s="11" t="s">
        <v>1647</v>
      </c>
      <c r="C6177" s="5">
        <v>63178.133800000003</v>
      </c>
      <c r="D6177" s="5">
        <v>63178.133800000003</v>
      </c>
      <c r="E6177" s="5">
        <v>57208.931499999999</v>
      </c>
      <c r="G6177" s="5" t="str">
        <f t="shared" si="193"/>
        <v>ШИРОКАЯ РЕЧКА</v>
      </c>
      <c r="J6177" s="5"/>
      <c r="AL6177" s="5">
        <f t="shared" si="194"/>
        <v>0</v>
      </c>
    </row>
    <row r="6178" spans="1:38" ht="25.5" customHeight="1" x14ac:dyDescent="0.25">
      <c r="A6178" s="10" t="s">
        <v>4826</v>
      </c>
      <c r="B6178" s="11" t="s">
        <v>1639</v>
      </c>
      <c r="C6178" s="5">
        <v>53500.443299999999</v>
      </c>
      <c r="D6178" s="5">
        <v>53500.443299999999</v>
      </c>
      <c r="E6178" s="5">
        <v>48445.605100000001</v>
      </c>
      <c r="G6178" s="5" t="str">
        <f t="shared" si="193"/>
        <v>ИСТОК</v>
      </c>
      <c r="J6178" s="5"/>
      <c r="AL6178" s="5">
        <f t="shared" si="194"/>
        <v>0</v>
      </c>
    </row>
    <row r="6179" spans="1:38" ht="25.5" customHeight="1" x14ac:dyDescent="0.25">
      <c r="A6179" s="10" t="s">
        <v>4827</v>
      </c>
      <c r="B6179" s="11" t="s">
        <v>1661</v>
      </c>
      <c r="C6179" s="5">
        <v>51175.5573</v>
      </c>
      <c r="D6179" s="5">
        <v>51175.5573</v>
      </c>
      <c r="E6179" s="5">
        <v>46340.381600000001</v>
      </c>
      <c r="G6179" s="5" t="str">
        <f t="shared" si="193"/>
        <v>СЕВЕРКА</v>
      </c>
      <c r="J6179" s="5"/>
      <c r="AL6179" s="5">
        <f t="shared" si="194"/>
        <v>0</v>
      </c>
    </row>
    <row r="6180" spans="1:38" ht="25.5" customHeight="1" x14ac:dyDescent="0.25">
      <c r="A6180" s="10" t="s">
        <v>4828</v>
      </c>
      <c r="B6180" s="11" t="s">
        <v>1645</v>
      </c>
      <c r="C6180" s="5">
        <v>60958.294800000003</v>
      </c>
      <c r="D6180" s="5">
        <v>60958.294800000003</v>
      </c>
      <c r="E6180" s="5">
        <v>55198.825199999999</v>
      </c>
      <c r="G6180" s="5" t="str">
        <f t="shared" si="193"/>
        <v>ЕЛИЗАВЕТ</v>
      </c>
      <c r="J6180" s="5"/>
      <c r="AL6180" s="5">
        <f t="shared" si="194"/>
        <v>0</v>
      </c>
    </row>
    <row r="6181" spans="1:38" ht="25.5" customHeight="1" x14ac:dyDescent="0.25">
      <c r="A6181" s="10" t="s">
        <v>4829</v>
      </c>
      <c r="B6181" s="11" t="s">
        <v>1661</v>
      </c>
      <c r="C6181" s="5">
        <v>51175.5573</v>
      </c>
      <c r="D6181" s="5">
        <v>51175.5573</v>
      </c>
      <c r="E6181" s="5">
        <v>46340.381600000001</v>
      </c>
      <c r="G6181" s="5" t="str">
        <f t="shared" si="193"/>
        <v>СЕВЕРКА</v>
      </c>
      <c r="J6181" s="5"/>
      <c r="AL6181" s="5">
        <f t="shared" si="194"/>
        <v>0</v>
      </c>
    </row>
    <row r="6182" spans="1:38" ht="25.5" customHeight="1" x14ac:dyDescent="0.25">
      <c r="A6182" s="10" t="s">
        <v>4830</v>
      </c>
      <c r="B6182" s="11" t="s">
        <v>1647</v>
      </c>
      <c r="C6182" s="5">
        <v>63178.133800000003</v>
      </c>
      <c r="D6182" s="5">
        <v>63178.133800000003</v>
      </c>
      <c r="E6182" s="5">
        <v>57208.931499999999</v>
      </c>
      <c r="G6182" s="5" t="str">
        <f t="shared" si="193"/>
        <v>ШИРОКАЯ РЕЧКА</v>
      </c>
      <c r="J6182" s="5"/>
      <c r="AL6182" s="5">
        <f t="shared" si="194"/>
        <v>0</v>
      </c>
    </row>
    <row r="6183" spans="1:38" ht="25.5" customHeight="1" x14ac:dyDescent="0.25">
      <c r="A6183" s="10" t="s">
        <v>4831</v>
      </c>
      <c r="B6183" s="11" t="s">
        <v>33</v>
      </c>
      <c r="C6183" s="5">
        <v>84298.205100000006</v>
      </c>
      <c r="D6183" s="5">
        <v>84298.205100000006</v>
      </c>
      <c r="E6183" s="5">
        <v>76333.533100000001</v>
      </c>
      <c r="G6183" s="5" t="str">
        <f t="shared" si="193"/>
        <v>ВИЗ</v>
      </c>
      <c r="J6183" s="5"/>
      <c r="AL6183" s="5">
        <f t="shared" si="194"/>
        <v>0</v>
      </c>
    </row>
    <row r="6184" spans="1:38" ht="25.5" customHeight="1" x14ac:dyDescent="0.25">
      <c r="A6184" s="10" t="s">
        <v>4832</v>
      </c>
      <c r="B6184" s="11" t="s">
        <v>1665</v>
      </c>
      <c r="C6184" s="5">
        <v>55692.278700000003</v>
      </c>
      <c r="D6184" s="5">
        <v>55692.278700000003</v>
      </c>
      <c r="E6184" s="5">
        <v>50430.350200000001</v>
      </c>
      <c r="G6184" s="5" t="str">
        <f t="shared" si="193"/>
        <v>ПОЛЕВОДСТВО</v>
      </c>
      <c r="J6184" s="5"/>
      <c r="AL6184" s="5">
        <f t="shared" si="194"/>
        <v>0</v>
      </c>
    </row>
    <row r="6185" spans="1:38" ht="25.5" customHeight="1" x14ac:dyDescent="0.25">
      <c r="A6185" s="10" t="s">
        <v>4833</v>
      </c>
      <c r="B6185" s="11" t="s">
        <v>1664</v>
      </c>
      <c r="C6185" s="5">
        <v>53668.506099999999</v>
      </c>
      <c r="D6185" s="5">
        <v>53668.506099999999</v>
      </c>
      <c r="E6185" s="5">
        <v>48597.792699999998</v>
      </c>
      <c r="G6185" s="5" t="str">
        <f t="shared" si="193"/>
        <v>ИЗОПЛИТ</v>
      </c>
      <c r="J6185" s="5"/>
      <c r="AL6185" s="5">
        <f t="shared" si="194"/>
        <v>0</v>
      </c>
    </row>
    <row r="6186" spans="1:38" ht="25.5" customHeight="1" x14ac:dyDescent="0.25">
      <c r="A6186" s="10" t="s">
        <v>4834</v>
      </c>
      <c r="B6186" s="11" t="s">
        <v>1647</v>
      </c>
      <c r="C6186" s="5">
        <v>63178.133800000003</v>
      </c>
      <c r="D6186" s="5">
        <v>63178.133800000003</v>
      </c>
      <c r="E6186" s="5">
        <v>57208.931499999999</v>
      </c>
      <c r="G6186" s="5" t="str">
        <f t="shared" si="193"/>
        <v>ШИРОКАЯ РЕЧКА</v>
      </c>
      <c r="J6186" s="5"/>
      <c r="AL6186" s="5">
        <f t="shared" si="194"/>
        <v>0</v>
      </c>
    </row>
    <row r="6187" spans="1:38" ht="25.5" customHeight="1" x14ac:dyDescent="0.25">
      <c r="A6187" s="10" t="s">
        <v>4835</v>
      </c>
      <c r="B6187" s="11" t="s">
        <v>389</v>
      </c>
      <c r="C6187" s="5">
        <v>51175.5573</v>
      </c>
      <c r="D6187" s="5">
        <v>51175.5573</v>
      </c>
      <c r="E6187" s="5">
        <v>46340.381600000001</v>
      </c>
      <c r="G6187" s="5" t="str">
        <f t="shared" si="193"/>
        <v>Северка</v>
      </c>
      <c r="J6187" s="5"/>
      <c r="AL6187" s="5">
        <f t="shared" si="194"/>
        <v>0</v>
      </c>
    </row>
    <row r="6188" spans="1:38" ht="25.5" customHeight="1" x14ac:dyDescent="0.25">
      <c r="A6188" s="10" t="s">
        <v>4836</v>
      </c>
      <c r="B6188" s="11" t="s">
        <v>1645</v>
      </c>
      <c r="C6188" s="5">
        <v>60958.294800000003</v>
      </c>
      <c r="D6188" s="5">
        <v>60958.294800000003</v>
      </c>
      <c r="E6188" s="5">
        <v>55198.825199999999</v>
      </c>
      <c r="G6188" s="5" t="str">
        <f t="shared" si="193"/>
        <v>ЕЛИЗАВЕТ</v>
      </c>
      <c r="J6188" s="5"/>
      <c r="AL6188" s="5">
        <f t="shared" si="194"/>
        <v>0</v>
      </c>
    </row>
    <row r="6189" spans="1:38" ht="25.5" customHeight="1" x14ac:dyDescent="0.25">
      <c r="A6189" s="10" t="s">
        <v>4837</v>
      </c>
      <c r="B6189" s="11" t="s">
        <v>389</v>
      </c>
      <c r="C6189" s="5">
        <v>51175.5573</v>
      </c>
      <c r="D6189" s="5">
        <v>51175.5573</v>
      </c>
      <c r="E6189" s="5">
        <v>46340.381600000001</v>
      </c>
      <c r="G6189" s="5" t="str">
        <f t="shared" si="193"/>
        <v>Северка</v>
      </c>
      <c r="J6189" s="5"/>
      <c r="AL6189" s="5">
        <f t="shared" si="194"/>
        <v>0</v>
      </c>
    </row>
    <row r="6190" spans="1:38" ht="25.5" customHeight="1" x14ac:dyDescent="0.25">
      <c r="A6190" s="10" t="s">
        <v>4838</v>
      </c>
      <c r="B6190" s="11" t="s">
        <v>389</v>
      </c>
      <c r="C6190" s="5">
        <v>51175.5573</v>
      </c>
      <c r="D6190" s="5">
        <v>51175.5573</v>
      </c>
      <c r="E6190" s="5">
        <v>46340.381600000001</v>
      </c>
      <c r="G6190" s="5" t="str">
        <f t="shared" si="193"/>
        <v>Северка</v>
      </c>
      <c r="J6190" s="5"/>
      <c r="AL6190" s="5">
        <f t="shared" si="194"/>
        <v>0</v>
      </c>
    </row>
    <row r="6191" spans="1:38" ht="25.5" customHeight="1" x14ac:dyDescent="0.25">
      <c r="A6191" s="10" t="s">
        <v>4839</v>
      </c>
      <c r="B6191" s="11" t="s">
        <v>1628</v>
      </c>
      <c r="C6191" s="5">
        <v>70734.0236</v>
      </c>
      <c r="D6191" s="5">
        <v>70734.0236</v>
      </c>
      <c r="E6191" s="5">
        <v>64050.9208</v>
      </c>
      <c r="G6191" s="5" t="str">
        <f t="shared" si="193"/>
        <v>ЭЛЬМАШ</v>
      </c>
      <c r="J6191" s="5"/>
      <c r="AL6191" s="5">
        <f t="shared" si="194"/>
        <v>0</v>
      </c>
    </row>
    <row r="6192" spans="1:38" ht="25.5" customHeight="1" x14ac:dyDescent="0.25">
      <c r="A6192" s="10" t="s">
        <v>4840</v>
      </c>
      <c r="B6192" s="11" t="s">
        <v>1668</v>
      </c>
      <c r="C6192" s="5">
        <v>51343.6201</v>
      </c>
      <c r="D6192" s="5">
        <v>51343.6201</v>
      </c>
      <c r="E6192" s="5">
        <v>46492.558799999999</v>
      </c>
      <c r="G6192" s="5" t="str">
        <f t="shared" si="193"/>
        <v>МЕДНЫЙ</v>
      </c>
      <c r="J6192" s="5"/>
      <c r="AL6192" s="5">
        <f t="shared" si="194"/>
        <v>0</v>
      </c>
    </row>
    <row r="6193" spans="1:38" ht="25.5" customHeight="1" x14ac:dyDescent="0.25">
      <c r="A6193" s="10" t="s">
        <v>4841</v>
      </c>
      <c r="B6193" s="11" t="s">
        <v>1651</v>
      </c>
      <c r="C6193" s="5">
        <v>68129.029500000004</v>
      </c>
      <c r="D6193" s="5">
        <v>68129.029500000004</v>
      </c>
      <c r="E6193" s="5">
        <v>61692.054799999998</v>
      </c>
      <c r="G6193" s="5" t="str">
        <f t="shared" si="193"/>
        <v>ШАРТАШ</v>
      </c>
      <c r="J6193" s="5"/>
      <c r="AL6193" s="5">
        <f t="shared" si="194"/>
        <v>0</v>
      </c>
    </row>
    <row r="6194" spans="1:38" ht="25.5" customHeight="1" x14ac:dyDescent="0.25">
      <c r="A6194" s="10" t="s">
        <v>4842</v>
      </c>
      <c r="B6194" s="11" t="s">
        <v>389</v>
      </c>
      <c r="C6194" s="5">
        <v>51175.5573</v>
      </c>
      <c r="D6194" s="5">
        <v>51175.5573</v>
      </c>
      <c r="E6194" s="5">
        <v>46340.381600000001</v>
      </c>
      <c r="G6194" s="5" t="str">
        <f t="shared" si="193"/>
        <v>Северка</v>
      </c>
      <c r="J6194" s="5"/>
      <c r="AL6194" s="5">
        <f t="shared" si="194"/>
        <v>0</v>
      </c>
    </row>
    <row r="6195" spans="1:38" ht="25.5" customHeight="1" x14ac:dyDescent="0.25">
      <c r="A6195" s="10" t="s">
        <v>4843</v>
      </c>
      <c r="B6195" s="11" t="s">
        <v>1644</v>
      </c>
      <c r="C6195" s="5">
        <v>61980.678599999999</v>
      </c>
      <c r="D6195" s="5">
        <v>61980.678599999999</v>
      </c>
      <c r="E6195" s="5">
        <v>56124.615700000002</v>
      </c>
      <c r="G6195" s="5" t="str">
        <f t="shared" si="193"/>
        <v>ХИММАШ</v>
      </c>
      <c r="J6195" s="5"/>
      <c r="AL6195" s="5">
        <f t="shared" si="194"/>
        <v>0</v>
      </c>
    </row>
    <row r="6196" spans="1:38" ht="25.5" customHeight="1" x14ac:dyDescent="0.25">
      <c r="A6196" s="10" t="s">
        <v>4844</v>
      </c>
      <c r="B6196" s="11" t="s">
        <v>1636</v>
      </c>
      <c r="C6196" s="5">
        <v>52246.960299999999</v>
      </c>
      <c r="D6196" s="5">
        <v>52246.960299999999</v>
      </c>
      <c r="E6196" s="5">
        <v>47310.556700000001</v>
      </c>
      <c r="G6196" s="5" t="str">
        <f t="shared" si="193"/>
        <v>ГОРНЫЙ ЩИТ</v>
      </c>
      <c r="J6196" s="5"/>
      <c r="AL6196" s="5">
        <f t="shared" si="194"/>
        <v>0</v>
      </c>
    </row>
    <row r="6197" spans="1:38" ht="25.5" customHeight="1" x14ac:dyDescent="0.25">
      <c r="A6197" s="10" t="s">
        <v>4845</v>
      </c>
      <c r="B6197" s="11" t="s">
        <v>1668</v>
      </c>
      <c r="C6197" s="5">
        <v>51343.6201</v>
      </c>
      <c r="D6197" s="5">
        <v>51343.6201</v>
      </c>
      <c r="E6197" s="5">
        <v>46492.558799999999</v>
      </c>
      <c r="G6197" s="5" t="str">
        <f t="shared" si="193"/>
        <v>МЕДНЫЙ</v>
      </c>
      <c r="J6197" s="5"/>
      <c r="AL6197" s="5">
        <f t="shared" si="194"/>
        <v>0</v>
      </c>
    </row>
    <row r="6198" spans="1:38" ht="25.5" customHeight="1" x14ac:dyDescent="0.25">
      <c r="A6198" s="10" t="s">
        <v>4846</v>
      </c>
      <c r="B6198" s="11" t="s">
        <v>1647</v>
      </c>
      <c r="C6198" s="5">
        <v>63178.133800000003</v>
      </c>
      <c r="D6198" s="5">
        <v>63178.133800000003</v>
      </c>
      <c r="E6198" s="5">
        <v>57208.931499999999</v>
      </c>
      <c r="G6198" s="5" t="str">
        <f t="shared" si="193"/>
        <v>ШИРОКАЯ РЕЧКА</v>
      </c>
      <c r="J6198" s="5"/>
      <c r="AL6198" s="5">
        <f t="shared" si="194"/>
        <v>0</v>
      </c>
    </row>
    <row r="6199" spans="1:38" ht="25.5" customHeight="1" x14ac:dyDescent="0.25">
      <c r="A6199" s="10" t="s">
        <v>4847</v>
      </c>
      <c r="B6199" s="11" t="s">
        <v>1647</v>
      </c>
      <c r="C6199" s="5">
        <v>63178.133800000003</v>
      </c>
      <c r="D6199" s="5">
        <v>63178.133800000003</v>
      </c>
      <c r="E6199" s="5">
        <v>57208.931499999999</v>
      </c>
      <c r="G6199" s="5" t="str">
        <f t="shared" si="193"/>
        <v>ШИРОКАЯ РЕЧКА</v>
      </c>
      <c r="J6199" s="5"/>
      <c r="AL6199" s="5">
        <f t="shared" si="194"/>
        <v>0</v>
      </c>
    </row>
    <row r="6200" spans="1:38" ht="25.5" customHeight="1" x14ac:dyDescent="0.25">
      <c r="A6200" s="10" t="s">
        <v>4848</v>
      </c>
      <c r="B6200" s="11" t="s">
        <v>1645</v>
      </c>
      <c r="C6200" s="5">
        <v>60958.294800000003</v>
      </c>
      <c r="D6200" s="5">
        <v>60958.294800000003</v>
      </c>
      <c r="E6200" s="5">
        <v>55198.825199999999</v>
      </c>
      <c r="G6200" s="5" t="str">
        <f t="shared" si="193"/>
        <v>ЕЛИЗАВЕТ</v>
      </c>
      <c r="J6200" s="5"/>
      <c r="AL6200" s="5">
        <f t="shared" si="194"/>
        <v>0</v>
      </c>
    </row>
    <row r="6201" spans="1:38" ht="25.5" customHeight="1" x14ac:dyDescent="0.25">
      <c r="A6201" s="10" t="s">
        <v>4849</v>
      </c>
      <c r="B6201" s="11" t="s">
        <v>1635</v>
      </c>
      <c r="C6201" s="5">
        <v>57793.0844</v>
      </c>
      <c r="D6201" s="5">
        <v>57793.0844</v>
      </c>
      <c r="E6201" s="5">
        <v>52332.6639</v>
      </c>
      <c r="G6201" s="5" t="str">
        <f t="shared" si="193"/>
        <v>ЛЕЧЕБНЫЙ</v>
      </c>
      <c r="J6201" s="5"/>
      <c r="AL6201" s="5">
        <f t="shared" si="194"/>
        <v>0</v>
      </c>
    </row>
    <row r="6202" spans="1:38" ht="25.5" customHeight="1" x14ac:dyDescent="0.25">
      <c r="A6202" s="10" t="s">
        <v>4850</v>
      </c>
      <c r="B6202" s="11" t="s">
        <v>1647</v>
      </c>
      <c r="C6202" s="5">
        <v>63178.133800000003</v>
      </c>
      <c r="D6202" s="5">
        <v>63178.133800000003</v>
      </c>
      <c r="E6202" s="5">
        <v>57208.931499999999</v>
      </c>
      <c r="G6202" s="5" t="str">
        <f t="shared" si="193"/>
        <v>ШИРОКАЯ РЕЧКА</v>
      </c>
      <c r="J6202" s="5"/>
      <c r="AL6202" s="5">
        <f t="shared" si="194"/>
        <v>0</v>
      </c>
    </row>
    <row r="6203" spans="1:38" ht="25.5" customHeight="1" x14ac:dyDescent="0.25">
      <c r="A6203" s="10" t="s">
        <v>4851</v>
      </c>
      <c r="B6203" s="11" t="s">
        <v>1637</v>
      </c>
      <c r="C6203" s="5">
        <v>59368.686099999999</v>
      </c>
      <c r="D6203" s="5">
        <v>59368.686099999999</v>
      </c>
      <c r="E6203" s="5">
        <v>53759.401700000002</v>
      </c>
      <c r="G6203" s="5" t="str">
        <f t="shared" si="193"/>
        <v>Старая сортировка</v>
      </c>
      <c r="J6203" s="5"/>
      <c r="AL6203" s="5">
        <f t="shared" si="194"/>
        <v>0</v>
      </c>
    </row>
    <row r="6204" spans="1:38" ht="25.5" customHeight="1" x14ac:dyDescent="0.25">
      <c r="A6204" s="10" t="s">
        <v>4852</v>
      </c>
      <c r="B6204" s="11" t="s">
        <v>1661</v>
      </c>
      <c r="C6204" s="5">
        <v>51175.5573</v>
      </c>
      <c r="D6204" s="5">
        <v>51175.5573</v>
      </c>
      <c r="E6204" s="5">
        <v>46340.381600000001</v>
      </c>
      <c r="G6204" s="5" t="str">
        <f t="shared" si="193"/>
        <v>СЕВЕРКА</v>
      </c>
      <c r="J6204" s="5"/>
      <c r="AL6204" s="5">
        <f t="shared" si="194"/>
        <v>0</v>
      </c>
    </row>
    <row r="6205" spans="1:38" ht="25.5" customHeight="1" x14ac:dyDescent="0.25">
      <c r="A6205" s="10" t="s">
        <v>4853</v>
      </c>
      <c r="B6205" s="11" t="s">
        <v>1668</v>
      </c>
      <c r="C6205" s="5">
        <v>51343.6201</v>
      </c>
      <c r="D6205" s="5">
        <v>51343.6201</v>
      </c>
      <c r="E6205" s="5">
        <v>46492.558799999999</v>
      </c>
      <c r="G6205" s="5" t="str">
        <f t="shared" si="193"/>
        <v>МЕДНЫЙ</v>
      </c>
      <c r="J6205" s="5"/>
      <c r="AL6205" s="5">
        <f t="shared" si="194"/>
        <v>0</v>
      </c>
    </row>
    <row r="6206" spans="1:38" ht="25.5" customHeight="1" x14ac:dyDescent="0.25">
      <c r="A6206" s="10" t="s">
        <v>4854</v>
      </c>
      <c r="B6206" s="11" t="s">
        <v>1635</v>
      </c>
      <c r="C6206" s="5">
        <v>57793.0844</v>
      </c>
      <c r="D6206" s="5">
        <v>57793.0844</v>
      </c>
      <c r="E6206" s="5">
        <v>52332.6639</v>
      </c>
      <c r="G6206" s="5" t="str">
        <f t="shared" si="193"/>
        <v>ЛЕЧЕБНЫЙ</v>
      </c>
      <c r="J6206" s="5"/>
      <c r="AL6206" s="5">
        <f t="shared" si="194"/>
        <v>0</v>
      </c>
    </row>
    <row r="6207" spans="1:38" ht="25.5" customHeight="1" x14ac:dyDescent="0.25">
      <c r="A6207" s="10" t="s">
        <v>4855</v>
      </c>
      <c r="B6207" s="11" t="s">
        <v>1647</v>
      </c>
      <c r="C6207" s="5">
        <v>63178.133800000003</v>
      </c>
      <c r="D6207" s="5">
        <v>63178.133800000003</v>
      </c>
      <c r="E6207" s="5">
        <v>57208.931499999999</v>
      </c>
      <c r="G6207" s="5" t="str">
        <f t="shared" ref="G6207:G6270" si="195">B6207</f>
        <v>ШИРОКАЯ РЕЧКА</v>
      </c>
      <c r="J6207" s="5"/>
      <c r="AL6207" s="5">
        <f t="shared" ref="AL6207:AL6270" si="196">AF6207</f>
        <v>0</v>
      </c>
    </row>
    <row r="6208" spans="1:38" ht="25.5" customHeight="1" x14ac:dyDescent="0.25">
      <c r="A6208" s="10" t="s">
        <v>4856</v>
      </c>
      <c r="B6208" s="11" t="s">
        <v>1661</v>
      </c>
      <c r="C6208" s="5">
        <v>51175.5573</v>
      </c>
      <c r="D6208" s="5">
        <v>51175.5573</v>
      </c>
      <c r="E6208" s="5">
        <v>46340.381600000001</v>
      </c>
      <c r="G6208" s="5" t="str">
        <f t="shared" si="195"/>
        <v>СЕВЕРКА</v>
      </c>
      <c r="J6208" s="5"/>
      <c r="AL6208" s="5">
        <f t="shared" si="196"/>
        <v>0</v>
      </c>
    </row>
    <row r="6209" spans="1:38" ht="25.5" customHeight="1" x14ac:dyDescent="0.25">
      <c r="A6209" s="10" t="s">
        <v>4857</v>
      </c>
      <c r="B6209" s="11" t="s">
        <v>1647</v>
      </c>
      <c r="C6209" s="5">
        <v>63178.133800000003</v>
      </c>
      <c r="D6209" s="5">
        <v>63178.133800000003</v>
      </c>
      <c r="E6209" s="5">
        <v>57208.931499999999</v>
      </c>
      <c r="G6209" s="5" t="str">
        <f t="shared" si="195"/>
        <v>ШИРОКАЯ РЕЧКА</v>
      </c>
      <c r="J6209" s="5"/>
      <c r="AL6209" s="5">
        <f t="shared" si="196"/>
        <v>0</v>
      </c>
    </row>
    <row r="6210" spans="1:38" ht="25.5" customHeight="1" x14ac:dyDescent="0.25">
      <c r="A6210" s="10" t="s">
        <v>4858</v>
      </c>
      <c r="B6210" s="11" t="s">
        <v>1645</v>
      </c>
      <c r="C6210" s="5">
        <v>60958.294800000003</v>
      </c>
      <c r="D6210" s="5">
        <v>60958.294800000003</v>
      </c>
      <c r="E6210" s="5">
        <v>55198.825199999999</v>
      </c>
      <c r="G6210" s="5" t="str">
        <f t="shared" si="195"/>
        <v>ЕЛИЗАВЕТ</v>
      </c>
      <c r="J6210" s="5"/>
      <c r="AL6210" s="5">
        <f t="shared" si="196"/>
        <v>0</v>
      </c>
    </row>
    <row r="6211" spans="1:38" ht="25.5" customHeight="1" x14ac:dyDescent="0.25">
      <c r="A6211" s="10" t="s">
        <v>4859</v>
      </c>
      <c r="B6211" s="11" t="s">
        <v>1647</v>
      </c>
      <c r="C6211" s="5">
        <v>63178.133800000003</v>
      </c>
      <c r="D6211" s="5">
        <v>63178.133800000003</v>
      </c>
      <c r="E6211" s="5">
        <v>57208.931499999999</v>
      </c>
      <c r="G6211" s="5" t="str">
        <f t="shared" si="195"/>
        <v>ШИРОКАЯ РЕЧКА</v>
      </c>
      <c r="J6211" s="5"/>
      <c r="AL6211" s="5">
        <f t="shared" si="196"/>
        <v>0</v>
      </c>
    </row>
    <row r="6212" spans="1:38" ht="25.5" customHeight="1" x14ac:dyDescent="0.25">
      <c r="A6212" s="10" t="s">
        <v>4860</v>
      </c>
      <c r="B6212" s="11" t="s">
        <v>1631</v>
      </c>
      <c r="C6212" s="5">
        <v>70026.7601</v>
      </c>
      <c r="D6212" s="5">
        <v>70026.7601</v>
      </c>
      <c r="E6212" s="5">
        <v>63410.482000000004</v>
      </c>
      <c r="G6212" s="5" t="str">
        <f t="shared" si="195"/>
        <v>УРАЛМАШ</v>
      </c>
      <c r="J6212" s="5"/>
      <c r="AL6212" s="5">
        <f t="shared" si="196"/>
        <v>0</v>
      </c>
    </row>
    <row r="6213" spans="1:38" ht="25.5" customHeight="1" x14ac:dyDescent="0.25">
      <c r="A6213" s="10" t="s">
        <v>4861</v>
      </c>
      <c r="B6213" s="11" t="s">
        <v>1636</v>
      </c>
      <c r="C6213" s="5">
        <v>52246.960299999999</v>
      </c>
      <c r="D6213" s="5">
        <v>52246.960299999999</v>
      </c>
      <c r="E6213" s="5">
        <v>47310.556700000001</v>
      </c>
      <c r="G6213" s="5" t="str">
        <f t="shared" si="195"/>
        <v>ГОРНЫЙ ЩИТ</v>
      </c>
      <c r="J6213" s="5"/>
      <c r="AL6213" s="5">
        <f t="shared" si="196"/>
        <v>0</v>
      </c>
    </row>
    <row r="6214" spans="1:38" ht="25.5" customHeight="1" x14ac:dyDescent="0.25">
      <c r="A6214" s="10" t="s">
        <v>4862</v>
      </c>
      <c r="B6214" s="11" t="s">
        <v>1668</v>
      </c>
      <c r="C6214" s="5">
        <v>51343.6201</v>
      </c>
      <c r="D6214" s="5">
        <v>51343.6201</v>
      </c>
      <c r="E6214" s="5">
        <v>46492.558799999999</v>
      </c>
      <c r="G6214" s="5" t="str">
        <f t="shared" si="195"/>
        <v>МЕДНЫЙ</v>
      </c>
      <c r="J6214" s="5"/>
      <c r="AL6214" s="5">
        <f t="shared" si="196"/>
        <v>0</v>
      </c>
    </row>
    <row r="6215" spans="1:38" ht="25.5" customHeight="1" x14ac:dyDescent="0.25">
      <c r="A6215" s="10" t="s">
        <v>4863</v>
      </c>
      <c r="B6215" s="11" t="s">
        <v>1636</v>
      </c>
      <c r="C6215" s="5">
        <v>52246.960299999999</v>
      </c>
      <c r="D6215" s="5">
        <v>52246.960299999999</v>
      </c>
      <c r="E6215" s="5">
        <v>47310.556700000001</v>
      </c>
      <c r="G6215" s="5" t="str">
        <f t="shared" si="195"/>
        <v>ГОРНЫЙ ЩИТ</v>
      </c>
      <c r="J6215" s="5"/>
      <c r="AL6215" s="5">
        <f t="shared" si="196"/>
        <v>0</v>
      </c>
    </row>
    <row r="6216" spans="1:38" ht="25.5" customHeight="1" x14ac:dyDescent="0.25">
      <c r="A6216" s="10" t="s">
        <v>4864</v>
      </c>
      <c r="B6216" s="11" t="s">
        <v>1631</v>
      </c>
      <c r="C6216" s="5">
        <v>70026.7601</v>
      </c>
      <c r="D6216" s="5">
        <v>70026.7601</v>
      </c>
      <c r="E6216" s="5">
        <v>63410.482000000004</v>
      </c>
      <c r="G6216" s="5" t="str">
        <f t="shared" si="195"/>
        <v>УРАЛМАШ</v>
      </c>
      <c r="J6216" s="5"/>
      <c r="AL6216" s="5">
        <f t="shared" si="196"/>
        <v>0</v>
      </c>
    </row>
    <row r="6217" spans="1:38" ht="25.5" customHeight="1" x14ac:dyDescent="0.25">
      <c r="A6217" s="10" t="s">
        <v>4865</v>
      </c>
      <c r="B6217" s="11" t="s">
        <v>1644</v>
      </c>
      <c r="C6217" s="5">
        <v>61980.678599999999</v>
      </c>
      <c r="D6217" s="5">
        <v>61980.678599999999</v>
      </c>
      <c r="E6217" s="5">
        <v>56124.615700000002</v>
      </c>
      <c r="G6217" s="5" t="str">
        <f t="shared" si="195"/>
        <v>ХИММАШ</v>
      </c>
      <c r="J6217" s="5"/>
      <c r="AL6217" s="5">
        <f t="shared" si="196"/>
        <v>0</v>
      </c>
    </row>
    <row r="6218" spans="1:38" ht="25.5" customHeight="1" x14ac:dyDescent="0.25">
      <c r="A6218" s="10" t="s">
        <v>4866</v>
      </c>
      <c r="B6218" s="11" t="s">
        <v>1636</v>
      </c>
      <c r="C6218" s="5">
        <v>52246.960299999999</v>
      </c>
      <c r="D6218" s="5">
        <v>52246.960299999999</v>
      </c>
      <c r="E6218" s="5">
        <v>47310.556700000001</v>
      </c>
      <c r="G6218" s="5" t="str">
        <f t="shared" si="195"/>
        <v>ГОРНЫЙ ЩИТ</v>
      </c>
      <c r="J6218" s="5"/>
      <c r="AL6218" s="5">
        <f t="shared" si="196"/>
        <v>0</v>
      </c>
    </row>
    <row r="6219" spans="1:38" ht="25.5" customHeight="1" x14ac:dyDescent="0.25">
      <c r="A6219" s="10" t="s">
        <v>4867</v>
      </c>
      <c r="B6219" s="11" t="s">
        <v>1645</v>
      </c>
      <c r="C6219" s="5">
        <v>60958.294800000003</v>
      </c>
      <c r="D6219" s="5">
        <v>60958.294800000003</v>
      </c>
      <c r="E6219" s="5">
        <v>55198.825199999999</v>
      </c>
      <c r="G6219" s="5" t="str">
        <f t="shared" si="195"/>
        <v>ЕЛИЗАВЕТ</v>
      </c>
      <c r="J6219" s="5"/>
      <c r="AL6219" s="5">
        <f t="shared" si="196"/>
        <v>0</v>
      </c>
    </row>
    <row r="6220" spans="1:38" ht="25.5" customHeight="1" x14ac:dyDescent="0.25">
      <c r="A6220" s="10" t="s">
        <v>4868</v>
      </c>
      <c r="B6220" s="11" t="s">
        <v>1645</v>
      </c>
      <c r="C6220" s="5">
        <v>60958.294800000003</v>
      </c>
      <c r="D6220" s="5">
        <v>60958.294800000003</v>
      </c>
      <c r="E6220" s="5">
        <v>55198.825199999999</v>
      </c>
      <c r="G6220" s="5" t="str">
        <f t="shared" si="195"/>
        <v>ЕЛИЗАВЕТ</v>
      </c>
      <c r="J6220" s="5"/>
      <c r="AL6220" s="5">
        <f t="shared" si="196"/>
        <v>0</v>
      </c>
    </row>
    <row r="6221" spans="1:38" ht="25.5" customHeight="1" x14ac:dyDescent="0.25">
      <c r="A6221" s="10" t="s">
        <v>4869</v>
      </c>
      <c r="B6221" s="11" t="s">
        <v>389</v>
      </c>
      <c r="C6221" s="5">
        <v>51175.5573</v>
      </c>
      <c r="D6221" s="5">
        <v>51175.5573</v>
      </c>
      <c r="E6221" s="5">
        <v>46340.381600000001</v>
      </c>
      <c r="G6221" s="5" t="str">
        <f t="shared" si="195"/>
        <v>Северка</v>
      </c>
      <c r="J6221" s="5"/>
      <c r="AL6221" s="5">
        <f t="shared" si="196"/>
        <v>0</v>
      </c>
    </row>
    <row r="6222" spans="1:38" ht="25.5" customHeight="1" x14ac:dyDescent="0.25">
      <c r="A6222" s="10" t="s">
        <v>4870</v>
      </c>
      <c r="B6222" s="11" t="s">
        <v>1645</v>
      </c>
      <c r="C6222" s="5">
        <v>60958.294800000003</v>
      </c>
      <c r="D6222" s="5">
        <v>60958.294800000003</v>
      </c>
      <c r="E6222" s="5">
        <v>55198.825199999999</v>
      </c>
      <c r="G6222" s="5" t="str">
        <f t="shared" si="195"/>
        <v>ЕЛИЗАВЕТ</v>
      </c>
      <c r="J6222" s="5"/>
      <c r="AL6222" s="5">
        <f t="shared" si="196"/>
        <v>0</v>
      </c>
    </row>
    <row r="6223" spans="1:38" ht="25.5" customHeight="1" x14ac:dyDescent="0.25">
      <c r="A6223" s="10" t="s">
        <v>1423</v>
      </c>
      <c r="B6223" s="11" t="s">
        <v>1657</v>
      </c>
      <c r="C6223" s="5">
        <v>54886.9666</v>
      </c>
      <c r="D6223" s="5">
        <v>54886.9666</v>
      </c>
      <c r="E6223" s="5">
        <v>49701.1319</v>
      </c>
      <c r="G6223" s="5" t="str">
        <f t="shared" si="195"/>
        <v>КОЛЬЦОВО</v>
      </c>
      <c r="J6223" s="5"/>
      <c r="AL6223" s="5">
        <f t="shared" si="196"/>
        <v>0</v>
      </c>
    </row>
    <row r="6224" spans="1:38" ht="25.5" customHeight="1" x14ac:dyDescent="0.25">
      <c r="A6224" s="10" t="s">
        <v>4871</v>
      </c>
      <c r="B6224" s="11" t="s">
        <v>1664</v>
      </c>
      <c r="C6224" s="5">
        <v>53668.506099999999</v>
      </c>
      <c r="D6224" s="5">
        <v>53668.506099999999</v>
      </c>
      <c r="E6224" s="5">
        <v>48597.792699999998</v>
      </c>
      <c r="G6224" s="5" t="str">
        <f t="shared" si="195"/>
        <v>ИЗОПЛИТ</v>
      </c>
      <c r="J6224" s="5"/>
      <c r="AL6224" s="5">
        <f t="shared" si="196"/>
        <v>0</v>
      </c>
    </row>
    <row r="6225" spans="1:38" ht="25.5" customHeight="1" x14ac:dyDescent="0.25">
      <c r="A6225" s="10" t="s">
        <v>4872</v>
      </c>
      <c r="B6225" s="11" t="s">
        <v>389</v>
      </c>
      <c r="C6225" s="5">
        <v>51175.5573</v>
      </c>
      <c r="D6225" s="5">
        <v>51175.5573</v>
      </c>
      <c r="E6225" s="5">
        <v>46340.381600000001</v>
      </c>
      <c r="G6225" s="5" t="str">
        <f t="shared" si="195"/>
        <v>Северка</v>
      </c>
      <c r="J6225" s="5"/>
      <c r="AL6225" s="5">
        <f t="shared" si="196"/>
        <v>0</v>
      </c>
    </row>
    <row r="6226" spans="1:38" ht="25.5" customHeight="1" x14ac:dyDescent="0.25">
      <c r="A6226" s="10" t="s">
        <v>4873</v>
      </c>
      <c r="B6226" s="11" t="s">
        <v>1663</v>
      </c>
      <c r="C6226" s="5">
        <v>44242.899599999997</v>
      </c>
      <c r="D6226" s="5">
        <v>44242.899599999997</v>
      </c>
      <c r="E6226" s="5">
        <v>40062.737300000001</v>
      </c>
      <c r="G6226" s="5" t="str">
        <f t="shared" si="195"/>
        <v>ШУВАКИШ</v>
      </c>
      <c r="J6226" s="5"/>
      <c r="AL6226" s="5">
        <f t="shared" si="196"/>
        <v>0</v>
      </c>
    </row>
    <row r="6227" spans="1:38" ht="25.5" customHeight="1" x14ac:dyDescent="0.25">
      <c r="A6227" s="10" t="s">
        <v>4874</v>
      </c>
      <c r="B6227" s="11" t="s">
        <v>1661</v>
      </c>
      <c r="C6227" s="5">
        <v>51175.5573</v>
      </c>
      <c r="D6227" s="5">
        <v>51175.5573</v>
      </c>
      <c r="E6227" s="5">
        <v>46340.381600000001</v>
      </c>
      <c r="G6227" s="5" t="str">
        <f t="shared" si="195"/>
        <v>СЕВЕРКА</v>
      </c>
      <c r="J6227" s="5"/>
      <c r="AL6227" s="5">
        <f t="shared" si="196"/>
        <v>0</v>
      </c>
    </row>
    <row r="6228" spans="1:38" ht="25.5" customHeight="1" x14ac:dyDescent="0.25">
      <c r="A6228" s="10" t="s">
        <v>4875</v>
      </c>
      <c r="B6228" s="11" t="s">
        <v>389</v>
      </c>
      <c r="C6228" s="5">
        <v>51175.5573</v>
      </c>
      <c r="D6228" s="5">
        <v>51175.5573</v>
      </c>
      <c r="E6228" s="5">
        <v>46340.381600000001</v>
      </c>
      <c r="G6228" s="5" t="str">
        <f t="shared" si="195"/>
        <v>Северка</v>
      </c>
      <c r="J6228" s="5"/>
      <c r="AL6228" s="5">
        <f t="shared" si="196"/>
        <v>0</v>
      </c>
    </row>
    <row r="6229" spans="1:38" ht="25.5" customHeight="1" x14ac:dyDescent="0.25">
      <c r="A6229" s="10" t="s">
        <v>4876</v>
      </c>
      <c r="B6229" s="11" t="s">
        <v>1661</v>
      </c>
      <c r="C6229" s="5">
        <v>51175.5573</v>
      </c>
      <c r="D6229" s="5">
        <v>51175.5573</v>
      </c>
      <c r="E6229" s="5">
        <v>46340.381600000001</v>
      </c>
      <c r="G6229" s="5" t="str">
        <f t="shared" si="195"/>
        <v>СЕВЕРКА</v>
      </c>
      <c r="J6229" s="5"/>
      <c r="AL6229" s="5">
        <f t="shared" si="196"/>
        <v>0</v>
      </c>
    </row>
    <row r="6230" spans="1:38" ht="25.5" customHeight="1" x14ac:dyDescent="0.25">
      <c r="A6230" s="10" t="s">
        <v>4877</v>
      </c>
      <c r="B6230" s="11" t="s">
        <v>1636</v>
      </c>
      <c r="C6230" s="5">
        <v>52246.960299999999</v>
      </c>
      <c r="D6230" s="5">
        <v>52246.960299999999</v>
      </c>
      <c r="E6230" s="5">
        <v>47310.556700000001</v>
      </c>
      <c r="G6230" s="5" t="str">
        <f t="shared" si="195"/>
        <v>ГОРНЫЙ ЩИТ</v>
      </c>
      <c r="J6230" s="5"/>
      <c r="AL6230" s="5">
        <f t="shared" si="196"/>
        <v>0</v>
      </c>
    </row>
    <row r="6231" spans="1:38" ht="25.5" customHeight="1" x14ac:dyDescent="0.25">
      <c r="A6231" s="10" t="s">
        <v>4878</v>
      </c>
      <c r="B6231" s="11" t="s">
        <v>1631</v>
      </c>
      <c r="C6231" s="5">
        <v>70026.7601</v>
      </c>
      <c r="D6231" s="5">
        <v>70026.7601</v>
      </c>
      <c r="E6231" s="5">
        <v>63410.482000000004</v>
      </c>
      <c r="G6231" s="5" t="str">
        <f t="shared" si="195"/>
        <v>УРАЛМАШ</v>
      </c>
      <c r="J6231" s="5"/>
      <c r="AL6231" s="5">
        <f t="shared" si="196"/>
        <v>0</v>
      </c>
    </row>
    <row r="6232" spans="1:38" ht="25.5" customHeight="1" x14ac:dyDescent="0.25">
      <c r="A6232" s="10" t="s">
        <v>4879</v>
      </c>
      <c r="B6232" s="11" t="s">
        <v>1663</v>
      </c>
      <c r="C6232" s="5">
        <v>44242.899599999997</v>
      </c>
      <c r="D6232" s="5">
        <v>44242.899599999997</v>
      </c>
      <c r="E6232" s="5">
        <v>40062.737300000001</v>
      </c>
      <c r="G6232" s="5" t="str">
        <f t="shared" si="195"/>
        <v>ШУВАКИШ</v>
      </c>
      <c r="J6232" s="5"/>
      <c r="AL6232" s="5">
        <f t="shared" si="196"/>
        <v>0</v>
      </c>
    </row>
    <row r="6233" spans="1:38" ht="25.5" customHeight="1" x14ac:dyDescent="0.25">
      <c r="A6233" s="10" t="s">
        <v>4880</v>
      </c>
      <c r="B6233" s="11" t="s">
        <v>1647</v>
      </c>
      <c r="C6233" s="5">
        <v>63178.133800000003</v>
      </c>
      <c r="D6233" s="5">
        <v>63178.133800000003</v>
      </c>
      <c r="E6233" s="5">
        <v>57208.931499999999</v>
      </c>
      <c r="G6233" s="5" t="str">
        <f t="shared" si="195"/>
        <v>ШИРОКАЯ РЕЧКА</v>
      </c>
      <c r="J6233" s="5"/>
      <c r="AL6233" s="5">
        <f t="shared" si="196"/>
        <v>0</v>
      </c>
    </row>
    <row r="6234" spans="1:38" ht="25.5" customHeight="1" x14ac:dyDescent="0.25">
      <c r="A6234" s="10" t="s">
        <v>4881</v>
      </c>
      <c r="B6234" s="11" t="s">
        <v>1668</v>
      </c>
      <c r="C6234" s="5">
        <v>51343.6201</v>
      </c>
      <c r="D6234" s="5">
        <v>51343.6201</v>
      </c>
      <c r="E6234" s="5">
        <v>46492.558799999999</v>
      </c>
      <c r="G6234" s="5" t="str">
        <f t="shared" si="195"/>
        <v>МЕДНЫЙ</v>
      </c>
      <c r="J6234" s="5"/>
      <c r="AL6234" s="5">
        <f t="shared" si="196"/>
        <v>0</v>
      </c>
    </row>
    <row r="6235" spans="1:38" ht="25.5" customHeight="1" x14ac:dyDescent="0.25">
      <c r="A6235" s="10" t="s">
        <v>4882</v>
      </c>
      <c r="B6235" s="11" t="s">
        <v>1636</v>
      </c>
      <c r="C6235" s="5">
        <v>52246.960299999999</v>
      </c>
      <c r="D6235" s="5">
        <v>52246.960299999999</v>
      </c>
      <c r="E6235" s="5">
        <v>47310.556700000001</v>
      </c>
      <c r="G6235" s="5" t="str">
        <f t="shared" si="195"/>
        <v>ГОРНЫЙ ЩИТ</v>
      </c>
      <c r="J6235" s="5"/>
      <c r="AL6235" s="5">
        <f t="shared" si="196"/>
        <v>0</v>
      </c>
    </row>
    <row r="6236" spans="1:38" ht="25.5" customHeight="1" x14ac:dyDescent="0.25">
      <c r="A6236" s="10" t="s">
        <v>4883</v>
      </c>
      <c r="B6236" s="11" t="s">
        <v>1647</v>
      </c>
      <c r="C6236" s="5">
        <v>63178.133800000003</v>
      </c>
      <c r="D6236" s="5">
        <v>63178.133800000003</v>
      </c>
      <c r="E6236" s="5">
        <v>57208.931499999999</v>
      </c>
      <c r="G6236" s="5" t="str">
        <f t="shared" si="195"/>
        <v>ШИРОКАЯ РЕЧКА</v>
      </c>
      <c r="J6236" s="5"/>
      <c r="AL6236" s="5">
        <f t="shared" si="196"/>
        <v>0</v>
      </c>
    </row>
    <row r="6237" spans="1:38" ht="25.5" customHeight="1" x14ac:dyDescent="0.25">
      <c r="A6237" s="10" t="s">
        <v>4884</v>
      </c>
      <c r="B6237" s="11" t="s">
        <v>1636</v>
      </c>
      <c r="C6237" s="5">
        <v>52246.960299999999</v>
      </c>
      <c r="D6237" s="5">
        <v>52246.960299999999</v>
      </c>
      <c r="E6237" s="5">
        <v>47310.556700000001</v>
      </c>
      <c r="G6237" s="5" t="str">
        <f t="shared" si="195"/>
        <v>ГОРНЫЙ ЩИТ</v>
      </c>
      <c r="J6237" s="5"/>
      <c r="AL6237" s="5">
        <f t="shared" si="196"/>
        <v>0</v>
      </c>
    </row>
    <row r="6238" spans="1:38" ht="25.5" customHeight="1" x14ac:dyDescent="0.25">
      <c r="A6238" s="10" t="s">
        <v>4885</v>
      </c>
      <c r="B6238" s="11" t="s">
        <v>1647</v>
      </c>
      <c r="C6238" s="5">
        <v>63178.133800000003</v>
      </c>
      <c r="D6238" s="5">
        <v>63178.133800000003</v>
      </c>
      <c r="E6238" s="5">
        <v>57208.931499999999</v>
      </c>
      <c r="G6238" s="5" t="str">
        <f t="shared" si="195"/>
        <v>ШИРОКАЯ РЕЧКА</v>
      </c>
      <c r="J6238" s="5"/>
      <c r="AL6238" s="5">
        <f t="shared" si="196"/>
        <v>0</v>
      </c>
    </row>
    <row r="6239" spans="1:38" ht="25.5" customHeight="1" x14ac:dyDescent="0.25">
      <c r="A6239" s="10" t="s">
        <v>4886</v>
      </c>
      <c r="B6239" s="11" t="s">
        <v>1636</v>
      </c>
      <c r="C6239" s="5">
        <v>52246.960299999999</v>
      </c>
      <c r="D6239" s="5">
        <v>52246.960299999999</v>
      </c>
      <c r="E6239" s="5">
        <v>47310.556700000001</v>
      </c>
      <c r="G6239" s="5" t="str">
        <f t="shared" si="195"/>
        <v>ГОРНЫЙ ЩИТ</v>
      </c>
      <c r="J6239" s="5"/>
      <c r="AL6239" s="5">
        <f t="shared" si="196"/>
        <v>0</v>
      </c>
    </row>
    <row r="6240" spans="1:38" ht="25.5" customHeight="1" x14ac:dyDescent="0.25">
      <c r="A6240" s="10" t="s">
        <v>4887</v>
      </c>
      <c r="B6240" s="11" t="s">
        <v>1636</v>
      </c>
      <c r="C6240" s="5">
        <v>52246.960299999999</v>
      </c>
      <c r="D6240" s="5">
        <v>52246.960299999999</v>
      </c>
      <c r="E6240" s="5">
        <v>47310.556700000001</v>
      </c>
      <c r="G6240" s="5" t="str">
        <f t="shared" si="195"/>
        <v>ГОРНЫЙ ЩИТ</v>
      </c>
      <c r="J6240" s="5"/>
      <c r="AL6240" s="5">
        <f t="shared" si="196"/>
        <v>0</v>
      </c>
    </row>
    <row r="6241" spans="1:38" ht="25.5" customHeight="1" x14ac:dyDescent="0.25">
      <c r="A6241" s="10" t="s">
        <v>4888</v>
      </c>
      <c r="B6241" s="11" t="s">
        <v>1668</v>
      </c>
      <c r="C6241" s="5">
        <v>51343.6201</v>
      </c>
      <c r="D6241" s="5">
        <v>51343.6201</v>
      </c>
      <c r="E6241" s="5">
        <v>46492.558799999999</v>
      </c>
      <c r="G6241" s="5" t="str">
        <f t="shared" si="195"/>
        <v>МЕДНЫЙ</v>
      </c>
      <c r="J6241" s="5"/>
      <c r="AL6241" s="5">
        <f t="shared" si="196"/>
        <v>0</v>
      </c>
    </row>
    <row r="6242" spans="1:38" ht="25.5" customHeight="1" x14ac:dyDescent="0.25">
      <c r="A6242" s="10" t="s">
        <v>4889</v>
      </c>
      <c r="B6242" s="11" t="s">
        <v>389</v>
      </c>
      <c r="C6242" s="5">
        <v>51175.5573</v>
      </c>
      <c r="D6242" s="5">
        <v>51175.5573</v>
      </c>
      <c r="E6242" s="5">
        <v>46340.381600000001</v>
      </c>
      <c r="G6242" s="5" t="str">
        <f t="shared" si="195"/>
        <v>Северка</v>
      </c>
      <c r="J6242" s="5"/>
      <c r="AL6242" s="5">
        <f t="shared" si="196"/>
        <v>0</v>
      </c>
    </row>
    <row r="6243" spans="1:38" ht="25.5" customHeight="1" x14ac:dyDescent="0.25">
      <c r="A6243" s="10" t="s">
        <v>4890</v>
      </c>
      <c r="B6243" s="11" t="s">
        <v>389</v>
      </c>
      <c r="C6243" s="5">
        <v>51175.5573</v>
      </c>
      <c r="D6243" s="5">
        <v>51175.5573</v>
      </c>
      <c r="E6243" s="5">
        <v>46340.381600000001</v>
      </c>
      <c r="G6243" s="5" t="str">
        <f t="shared" si="195"/>
        <v>Северка</v>
      </c>
      <c r="J6243" s="5"/>
      <c r="AL6243" s="5">
        <f t="shared" si="196"/>
        <v>0</v>
      </c>
    </row>
    <row r="6244" spans="1:38" ht="25.5" customHeight="1" x14ac:dyDescent="0.25">
      <c r="A6244" s="10" t="s">
        <v>4891</v>
      </c>
      <c r="B6244" s="11" t="s">
        <v>1663</v>
      </c>
      <c r="C6244" s="5">
        <v>44242.899599999997</v>
      </c>
      <c r="D6244" s="5">
        <v>44242.899599999997</v>
      </c>
      <c r="E6244" s="5">
        <v>40062.737300000001</v>
      </c>
      <c r="G6244" s="5" t="str">
        <f t="shared" si="195"/>
        <v>ШУВАКИШ</v>
      </c>
      <c r="J6244" s="5"/>
      <c r="AL6244" s="5">
        <f t="shared" si="196"/>
        <v>0</v>
      </c>
    </row>
    <row r="6245" spans="1:38" ht="25.5" customHeight="1" x14ac:dyDescent="0.25">
      <c r="A6245" s="10" t="s">
        <v>4892</v>
      </c>
      <c r="B6245" s="11" t="s">
        <v>1647</v>
      </c>
      <c r="C6245" s="5">
        <v>63178.133800000003</v>
      </c>
      <c r="D6245" s="5">
        <v>63178.133800000003</v>
      </c>
      <c r="E6245" s="5">
        <v>57208.931499999999</v>
      </c>
      <c r="G6245" s="5" t="str">
        <f t="shared" si="195"/>
        <v>ШИРОКАЯ РЕЧКА</v>
      </c>
      <c r="J6245" s="5"/>
      <c r="AL6245" s="5">
        <f t="shared" si="196"/>
        <v>0</v>
      </c>
    </row>
    <row r="6246" spans="1:38" ht="25.5" customHeight="1" x14ac:dyDescent="0.25">
      <c r="A6246" s="10" t="s">
        <v>4893</v>
      </c>
      <c r="B6246" s="11" t="s">
        <v>1648</v>
      </c>
      <c r="C6246" s="5">
        <v>49782.025399999999</v>
      </c>
      <c r="D6246" s="5">
        <v>49782.025399999999</v>
      </c>
      <c r="E6246" s="5">
        <v>45078.506800000003</v>
      </c>
      <c r="G6246" s="5" t="str">
        <f t="shared" si="195"/>
        <v>ЧУСОВСКОЕ ОЗЕРО</v>
      </c>
      <c r="J6246" s="5"/>
      <c r="AL6246" s="5">
        <f t="shared" si="196"/>
        <v>0</v>
      </c>
    </row>
    <row r="6247" spans="1:38" ht="25.5" customHeight="1" x14ac:dyDescent="0.25">
      <c r="A6247" s="10" t="s">
        <v>4894</v>
      </c>
      <c r="B6247" s="11" t="s">
        <v>1645</v>
      </c>
      <c r="C6247" s="5">
        <v>60958.294800000003</v>
      </c>
      <c r="D6247" s="5">
        <v>60958.294800000003</v>
      </c>
      <c r="E6247" s="5">
        <v>55198.825199999999</v>
      </c>
      <c r="G6247" s="5" t="str">
        <f t="shared" si="195"/>
        <v>ЕЛИЗАВЕТ</v>
      </c>
      <c r="J6247" s="5"/>
      <c r="AL6247" s="5">
        <f t="shared" si="196"/>
        <v>0</v>
      </c>
    </row>
    <row r="6248" spans="1:38" ht="25.5" customHeight="1" x14ac:dyDescent="0.25">
      <c r="A6248" s="10" t="s">
        <v>4895</v>
      </c>
      <c r="B6248" s="11" t="s">
        <v>1647</v>
      </c>
      <c r="C6248" s="5">
        <v>63178.133800000003</v>
      </c>
      <c r="D6248" s="5">
        <v>63178.133800000003</v>
      </c>
      <c r="E6248" s="5">
        <v>57208.931499999999</v>
      </c>
      <c r="G6248" s="5" t="str">
        <f t="shared" si="195"/>
        <v>ШИРОКАЯ РЕЧКА</v>
      </c>
      <c r="J6248" s="5"/>
      <c r="AL6248" s="5">
        <f t="shared" si="196"/>
        <v>0</v>
      </c>
    </row>
    <row r="6249" spans="1:38" ht="25.5" customHeight="1" x14ac:dyDescent="0.25">
      <c r="A6249" s="10" t="s">
        <v>4896</v>
      </c>
      <c r="B6249" s="11" t="s">
        <v>389</v>
      </c>
      <c r="C6249" s="5">
        <v>51175.5573</v>
      </c>
      <c r="D6249" s="5">
        <v>51175.5573</v>
      </c>
      <c r="E6249" s="5">
        <v>46340.381600000001</v>
      </c>
      <c r="G6249" s="5" t="str">
        <f t="shared" si="195"/>
        <v>Северка</v>
      </c>
      <c r="J6249" s="5"/>
      <c r="AL6249" s="5">
        <f t="shared" si="196"/>
        <v>0</v>
      </c>
    </row>
    <row r="6250" spans="1:38" ht="25.5" customHeight="1" x14ac:dyDescent="0.25">
      <c r="A6250" s="10" t="s">
        <v>4897</v>
      </c>
      <c r="B6250" s="11" t="s">
        <v>1663</v>
      </c>
      <c r="C6250" s="5">
        <v>44242.899599999997</v>
      </c>
      <c r="D6250" s="5">
        <v>44242.899599999997</v>
      </c>
      <c r="E6250" s="5">
        <v>40062.737300000001</v>
      </c>
      <c r="G6250" s="5" t="str">
        <f t="shared" si="195"/>
        <v>ШУВАКИШ</v>
      </c>
      <c r="J6250" s="5"/>
      <c r="AL6250" s="5">
        <f t="shared" si="196"/>
        <v>0</v>
      </c>
    </row>
    <row r="6251" spans="1:38" ht="25.5" customHeight="1" x14ac:dyDescent="0.25">
      <c r="A6251" s="10" t="s">
        <v>4898</v>
      </c>
      <c r="B6251" s="11" t="s">
        <v>1663</v>
      </c>
      <c r="C6251" s="5">
        <v>44242.899599999997</v>
      </c>
      <c r="D6251" s="5">
        <v>44242.899599999997</v>
      </c>
      <c r="E6251" s="5">
        <v>40062.737300000001</v>
      </c>
      <c r="G6251" s="5" t="str">
        <f t="shared" si="195"/>
        <v>ШУВАКИШ</v>
      </c>
      <c r="J6251" s="5"/>
      <c r="AL6251" s="5">
        <f t="shared" si="196"/>
        <v>0</v>
      </c>
    </row>
    <row r="6252" spans="1:38" ht="25.5" customHeight="1" x14ac:dyDescent="0.25">
      <c r="A6252" s="10" t="s">
        <v>4899</v>
      </c>
      <c r="B6252" s="11" t="s">
        <v>1657</v>
      </c>
      <c r="C6252" s="5">
        <v>54886.9666</v>
      </c>
      <c r="D6252" s="5">
        <v>54886.9666</v>
      </c>
      <c r="E6252" s="5">
        <v>49701.1319</v>
      </c>
      <c r="G6252" s="5" t="str">
        <f t="shared" si="195"/>
        <v>КОЛЬЦОВО</v>
      </c>
      <c r="J6252" s="5"/>
      <c r="AL6252" s="5">
        <f t="shared" si="196"/>
        <v>0</v>
      </c>
    </row>
    <row r="6253" spans="1:38" ht="25.5" customHeight="1" x14ac:dyDescent="0.25">
      <c r="A6253" s="10" t="s">
        <v>4900</v>
      </c>
      <c r="B6253" s="11" t="s">
        <v>1636</v>
      </c>
      <c r="C6253" s="5">
        <v>52246.960299999999</v>
      </c>
      <c r="D6253" s="5">
        <v>52246.960299999999</v>
      </c>
      <c r="E6253" s="5">
        <v>47310.556700000001</v>
      </c>
      <c r="G6253" s="5" t="str">
        <f t="shared" si="195"/>
        <v>ГОРНЫЙ ЩИТ</v>
      </c>
      <c r="J6253" s="5"/>
      <c r="AL6253" s="5">
        <f t="shared" si="196"/>
        <v>0</v>
      </c>
    </row>
    <row r="6254" spans="1:38" ht="25.5" customHeight="1" x14ac:dyDescent="0.25">
      <c r="A6254" s="10" t="s">
        <v>4901</v>
      </c>
      <c r="B6254" s="11" t="s">
        <v>1668</v>
      </c>
      <c r="C6254" s="5">
        <v>51343.6201</v>
      </c>
      <c r="D6254" s="5">
        <v>51343.6201</v>
      </c>
      <c r="E6254" s="5">
        <v>46492.558799999999</v>
      </c>
      <c r="G6254" s="5" t="str">
        <f t="shared" si="195"/>
        <v>МЕДНЫЙ</v>
      </c>
      <c r="J6254" s="5"/>
      <c r="AL6254" s="5">
        <f t="shared" si="196"/>
        <v>0</v>
      </c>
    </row>
    <row r="6255" spans="1:38" ht="25.5" customHeight="1" x14ac:dyDescent="0.25">
      <c r="A6255" s="10" t="s">
        <v>4902</v>
      </c>
      <c r="B6255" s="11" t="s">
        <v>1645</v>
      </c>
      <c r="C6255" s="5">
        <v>60958.294800000003</v>
      </c>
      <c r="D6255" s="5">
        <v>60958.294800000003</v>
      </c>
      <c r="E6255" s="5">
        <v>55198.825199999999</v>
      </c>
      <c r="G6255" s="5" t="str">
        <f t="shared" si="195"/>
        <v>ЕЛИЗАВЕТ</v>
      </c>
      <c r="J6255" s="5"/>
      <c r="AL6255" s="5">
        <f t="shared" si="196"/>
        <v>0</v>
      </c>
    </row>
    <row r="6256" spans="1:38" ht="25.5" customHeight="1" x14ac:dyDescent="0.25">
      <c r="A6256" s="10" t="s">
        <v>4903</v>
      </c>
      <c r="B6256" s="11" t="s">
        <v>1662</v>
      </c>
      <c r="C6256" s="5">
        <v>46784.877899999999</v>
      </c>
      <c r="D6256" s="5">
        <v>46784.877899999999</v>
      </c>
      <c r="E6256" s="5">
        <v>42364.543299999998</v>
      </c>
      <c r="G6256" s="5" t="str">
        <f t="shared" si="195"/>
        <v>РУДНЫЙ</v>
      </c>
      <c r="J6256" s="5"/>
      <c r="AL6256" s="5">
        <f t="shared" si="196"/>
        <v>0</v>
      </c>
    </row>
    <row r="6257" spans="1:38" ht="25.5" customHeight="1" x14ac:dyDescent="0.25">
      <c r="A6257" s="10" t="s">
        <v>4904</v>
      </c>
      <c r="B6257" s="11" t="s">
        <v>1631</v>
      </c>
      <c r="C6257" s="5">
        <v>70026.7601</v>
      </c>
      <c r="D6257" s="5">
        <v>70026.7601</v>
      </c>
      <c r="E6257" s="5">
        <v>63410.482000000004</v>
      </c>
      <c r="G6257" s="5" t="str">
        <f t="shared" si="195"/>
        <v>УРАЛМАШ</v>
      </c>
      <c r="J6257" s="5"/>
      <c r="AL6257" s="5">
        <f t="shared" si="196"/>
        <v>0</v>
      </c>
    </row>
    <row r="6258" spans="1:38" ht="25.5" customHeight="1" x14ac:dyDescent="0.25">
      <c r="A6258" s="10" t="s">
        <v>4905</v>
      </c>
      <c r="B6258" s="11" t="s">
        <v>1647</v>
      </c>
      <c r="C6258" s="5">
        <v>63178.133800000003</v>
      </c>
      <c r="D6258" s="5">
        <v>63178.133800000003</v>
      </c>
      <c r="E6258" s="5">
        <v>57208.931499999999</v>
      </c>
      <c r="G6258" s="5" t="str">
        <f t="shared" si="195"/>
        <v>ШИРОКАЯ РЕЧКА</v>
      </c>
      <c r="J6258" s="5"/>
      <c r="AL6258" s="5">
        <f t="shared" si="196"/>
        <v>0</v>
      </c>
    </row>
    <row r="6259" spans="1:38" ht="25.5" customHeight="1" x14ac:dyDescent="0.25">
      <c r="A6259" s="10" t="s">
        <v>4906</v>
      </c>
      <c r="B6259" s="11" t="s">
        <v>1628</v>
      </c>
      <c r="C6259" s="5">
        <v>70734.0236</v>
      </c>
      <c r="D6259" s="5">
        <v>70734.0236</v>
      </c>
      <c r="E6259" s="5">
        <v>64050.9208</v>
      </c>
      <c r="G6259" s="5" t="str">
        <f t="shared" si="195"/>
        <v>ЭЛЬМАШ</v>
      </c>
      <c r="J6259" s="5"/>
      <c r="AL6259" s="5">
        <f t="shared" si="196"/>
        <v>0</v>
      </c>
    </row>
    <row r="6260" spans="1:38" ht="25.5" customHeight="1" x14ac:dyDescent="0.25">
      <c r="A6260" s="10" t="s">
        <v>4907</v>
      </c>
      <c r="B6260" s="11" t="s">
        <v>1661</v>
      </c>
      <c r="C6260" s="5">
        <v>51175.5573</v>
      </c>
      <c r="D6260" s="5">
        <v>51175.5573</v>
      </c>
      <c r="E6260" s="5">
        <v>46340.381600000001</v>
      </c>
      <c r="G6260" s="5" t="str">
        <f t="shared" si="195"/>
        <v>СЕВЕРКА</v>
      </c>
      <c r="J6260" s="5"/>
      <c r="AL6260" s="5">
        <f t="shared" si="196"/>
        <v>0</v>
      </c>
    </row>
    <row r="6261" spans="1:38" ht="25.5" customHeight="1" x14ac:dyDescent="0.25">
      <c r="A6261" s="10" t="s">
        <v>4908</v>
      </c>
      <c r="B6261" s="11" t="s">
        <v>389</v>
      </c>
      <c r="C6261" s="5">
        <v>51175.5573</v>
      </c>
      <c r="D6261" s="5">
        <v>51175.5573</v>
      </c>
      <c r="E6261" s="5">
        <v>46340.381600000001</v>
      </c>
      <c r="G6261" s="5" t="str">
        <f t="shared" si="195"/>
        <v>Северка</v>
      </c>
      <c r="J6261" s="5"/>
      <c r="AL6261" s="5">
        <f t="shared" si="196"/>
        <v>0</v>
      </c>
    </row>
    <row r="6262" spans="1:38" ht="25.5" customHeight="1" x14ac:dyDescent="0.25">
      <c r="A6262" s="10" t="s">
        <v>4909</v>
      </c>
      <c r="B6262" s="11" t="s">
        <v>1661</v>
      </c>
      <c r="C6262" s="5">
        <v>51175.5573</v>
      </c>
      <c r="D6262" s="5">
        <v>51175.5573</v>
      </c>
      <c r="E6262" s="5">
        <v>46340.381600000001</v>
      </c>
      <c r="G6262" s="5" t="str">
        <f t="shared" si="195"/>
        <v>СЕВЕРКА</v>
      </c>
      <c r="J6262" s="5"/>
      <c r="AL6262" s="5">
        <f t="shared" si="196"/>
        <v>0</v>
      </c>
    </row>
    <row r="6263" spans="1:38" ht="25.5" customHeight="1" x14ac:dyDescent="0.25">
      <c r="A6263" s="10" t="s">
        <v>4910</v>
      </c>
      <c r="B6263" s="11" t="s">
        <v>1661</v>
      </c>
      <c r="C6263" s="5">
        <v>51175.5573</v>
      </c>
      <c r="D6263" s="5">
        <v>51175.5573</v>
      </c>
      <c r="E6263" s="5">
        <v>46340.381600000001</v>
      </c>
      <c r="G6263" s="5" t="str">
        <f t="shared" si="195"/>
        <v>СЕВЕРКА</v>
      </c>
      <c r="J6263" s="5"/>
      <c r="AL6263" s="5">
        <f t="shared" si="196"/>
        <v>0</v>
      </c>
    </row>
    <row r="6264" spans="1:38" ht="25.5" customHeight="1" x14ac:dyDescent="0.25">
      <c r="A6264" s="10" t="s">
        <v>4911</v>
      </c>
      <c r="B6264" s="11" t="s">
        <v>33</v>
      </c>
      <c r="C6264" s="5">
        <v>84298.205100000006</v>
      </c>
      <c r="D6264" s="5">
        <v>84298.205100000006</v>
      </c>
      <c r="E6264" s="5">
        <v>76333.533100000001</v>
      </c>
      <c r="G6264" s="5" t="str">
        <f t="shared" si="195"/>
        <v>ВИЗ</v>
      </c>
      <c r="J6264" s="5"/>
      <c r="AL6264" s="5">
        <f t="shared" si="196"/>
        <v>0</v>
      </c>
    </row>
    <row r="6265" spans="1:38" ht="25.5" customHeight="1" x14ac:dyDescent="0.25">
      <c r="A6265" s="10" t="s">
        <v>4912</v>
      </c>
      <c r="B6265" s="11" t="s">
        <v>118</v>
      </c>
      <c r="C6265" s="5">
        <v>53500.443299999999</v>
      </c>
      <c r="D6265" s="5">
        <v>53500.443299999999</v>
      </c>
      <c r="E6265" s="5">
        <v>48445.605100000001</v>
      </c>
      <c r="G6265" s="5" t="str">
        <f t="shared" si="195"/>
        <v>Исток</v>
      </c>
      <c r="J6265" s="5"/>
      <c r="AL6265" s="5">
        <f t="shared" si="196"/>
        <v>0</v>
      </c>
    </row>
    <row r="6266" spans="1:38" ht="25.5" customHeight="1" x14ac:dyDescent="0.25">
      <c r="A6266" s="10" t="s">
        <v>4913</v>
      </c>
      <c r="B6266" s="11" t="s">
        <v>1645</v>
      </c>
      <c r="C6266" s="5">
        <v>60958.294800000003</v>
      </c>
      <c r="D6266" s="5">
        <v>60958.294800000003</v>
      </c>
      <c r="E6266" s="5">
        <v>55198.825199999999</v>
      </c>
      <c r="G6266" s="5" t="str">
        <f t="shared" si="195"/>
        <v>ЕЛИЗАВЕТ</v>
      </c>
      <c r="J6266" s="5"/>
      <c r="AL6266" s="5">
        <f t="shared" si="196"/>
        <v>0</v>
      </c>
    </row>
    <row r="6267" spans="1:38" ht="25.5" customHeight="1" x14ac:dyDescent="0.25">
      <c r="A6267" s="10" t="s">
        <v>4914</v>
      </c>
      <c r="B6267" s="11" t="s">
        <v>1636</v>
      </c>
      <c r="C6267" s="5">
        <v>52246.960299999999</v>
      </c>
      <c r="D6267" s="5">
        <v>52246.960299999999</v>
      </c>
      <c r="E6267" s="5">
        <v>47310.556700000001</v>
      </c>
      <c r="G6267" s="5" t="str">
        <f t="shared" si="195"/>
        <v>ГОРНЫЙ ЩИТ</v>
      </c>
      <c r="J6267" s="5"/>
      <c r="AL6267" s="5">
        <f t="shared" si="196"/>
        <v>0</v>
      </c>
    </row>
    <row r="6268" spans="1:38" ht="25.5" customHeight="1" x14ac:dyDescent="0.25">
      <c r="A6268" s="10" t="s">
        <v>4915</v>
      </c>
      <c r="B6268" s="11" t="s">
        <v>1647</v>
      </c>
      <c r="C6268" s="5">
        <v>63178.133800000003</v>
      </c>
      <c r="D6268" s="5">
        <v>63178.133800000003</v>
      </c>
      <c r="E6268" s="5">
        <v>57208.931499999999</v>
      </c>
      <c r="G6268" s="5" t="str">
        <f t="shared" si="195"/>
        <v>ШИРОКАЯ РЕЧКА</v>
      </c>
      <c r="J6268" s="5"/>
      <c r="AL6268" s="5">
        <f t="shared" si="196"/>
        <v>0</v>
      </c>
    </row>
    <row r="6269" spans="1:38" ht="25.5" customHeight="1" x14ac:dyDescent="0.25">
      <c r="A6269" s="10" t="s">
        <v>4916</v>
      </c>
      <c r="B6269" s="11" t="s">
        <v>1650</v>
      </c>
      <c r="C6269" s="5">
        <v>37590.3603</v>
      </c>
      <c r="D6269" s="5">
        <v>37590.3603</v>
      </c>
      <c r="E6269" s="5">
        <v>34038.745900000002</v>
      </c>
      <c r="G6269" s="5" t="str">
        <f t="shared" si="195"/>
        <v>ШАБРОВСКИЙ</v>
      </c>
      <c r="J6269" s="5"/>
      <c r="AL6269" s="5">
        <f t="shared" si="196"/>
        <v>0</v>
      </c>
    </row>
    <row r="6270" spans="1:38" ht="25.5" customHeight="1" x14ac:dyDescent="0.25">
      <c r="A6270" s="10" t="s">
        <v>4917</v>
      </c>
      <c r="B6270" s="11" t="s">
        <v>1645</v>
      </c>
      <c r="C6270" s="5">
        <v>60958.294800000003</v>
      </c>
      <c r="D6270" s="5">
        <v>60958.294800000003</v>
      </c>
      <c r="E6270" s="5">
        <v>55198.825199999999</v>
      </c>
      <c r="G6270" s="5" t="str">
        <f t="shared" si="195"/>
        <v>ЕЛИЗАВЕТ</v>
      </c>
      <c r="J6270" s="5"/>
      <c r="AL6270" s="5">
        <f t="shared" si="196"/>
        <v>0</v>
      </c>
    </row>
    <row r="6271" spans="1:38" ht="25.5" customHeight="1" x14ac:dyDescent="0.25">
      <c r="A6271" s="10" t="s">
        <v>4918</v>
      </c>
      <c r="B6271" s="11" t="s">
        <v>1648</v>
      </c>
      <c r="C6271" s="5">
        <v>49782.025399999999</v>
      </c>
      <c r="D6271" s="5">
        <v>49782.025399999999</v>
      </c>
      <c r="E6271" s="5">
        <v>45078.506800000003</v>
      </c>
      <c r="G6271" s="5" t="str">
        <f t="shared" ref="G6271:G6334" si="197">B6271</f>
        <v>ЧУСОВСКОЕ ОЗЕРО</v>
      </c>
      <c r="J6271" s="5"/>
      <c r="AL6271" s="5">
        <f t="shared" ref="AL6271:AL6334" si="198">AF6271</f>
        <v>0</v>
      </c>
    </row>
    <row r="6272" spans="1:38" ht="25.5" customHeight="1" x14ac:dyDescent="0.25">
      <c r="A6272" s="10" t="s">
        <v>4919</v>
      </c>
      <c r="B6272" s="11" t="s">
        <v>389</v>
      </c>
      <c r="C6272" s="5">
        <v>51175.5573</v>
      </c>
      <c r="D6272" s="5">
        <v>51175.5573</v>
      </c>
      <c r="E6272" s="5">
        <v>46340.381600000001</v>
      </c>
      <c r="G6272" s="5" t="str">
        <f t="shared" si="197"/>
        <v>Северка</v>
      </c>
      <c r="J6272" s="5"/>
      <c r="AL6272" s="5">
        <f t="shared" si="198"/>
        <v>0</v>
      </c>
    </row>
    <row r="6273" spans="1:38" ht="25.5" customHeight="1" x14ac:dyDescent="0.25">
      <c r="A6273" s="10" t="s">
        <v>4920</v>
      </c>
      <c r="B6273" s="11" t="s">
        <v>389</v>
      </c>
      <c r="C6273" s="5">
        <v>51175.5573</v>
      </c>
      <c r="D6273" s="5">
        <v>51175.5573</v>
      </c>
      <c r="E6273" s="5">
        <v>46340.381600000001</v>
      </c>
      <c r="G6273" s="5" t="str">
        <f t="shared" si="197"/>
        <v>Северка</v>
      </c>
      <c r="J6273" s="5"/>
      <c r="AL6273" s="5">
        <f t="shared" si="198"/>
        <v>0</v>
      </c>
    </row>
    <row r="6274" spans="1:38" ht="25.5" customHeight="1" x14ac:dyDescent="0.25">
      <c r="A6274" s="10" t="s">
        <v>4921</v>
      </c>
      <c r="B6274" s="11" t="s">
        <v>1631</v>
      </c>
      <c r="C6274" s="5">
        <v>70026.7601</v>
      </c>
      <c r="D6274" s="5">
        <v>70026.7601</v>
      </c>
      <c r="E6274" s="5">
        <v>63410.482000000004</v>
      </c>
      <c r="G6274" s="5" t="str">
        <f t="shared" si="197"/>
        <v>УРАЛМАШ</v>
      </c>
      <c r="J6274" s="5"/>
      <c r="AL6274" s="5">
        <f t="shared" si="198"/>
        <v>0</v>
      </c>
    </row>
    <row r="6275" spans="1:38" ht="25.5" customHeight="1" x14ac:dyDescent="0.25">
      <c r="A6275" s="10" t="s">
        <v>4922</v>
      </c>
      <c r="B6275" s="11" t="s">
        <v>1631</v>
      </c>
      <c r="C6275" s="5">
        <v>70026.7601</v>
      </c>
      <c r="D6275" s="5">
        <v>70026.7601</v>
      </c>
      <c r="E6275" s="5">
        <v>63410.482000000004</v>
      </c>
      <c r="G6275" s="5" t="str">
        <f t="shared" si="197"/>
        <v>УРАЛМАШ</v>
      </c>
      <c r="J6275" s="5"/>
      <c r="AL6275" s="5">
        <f t="shared" si="198"/>
        <v>0</v>
      </c>
    </row>
    <row r="6276" spans="1:38" ht="25.5" customHeight="1" x14ac:dyDescent="0.25">
      <c r="A6276" s="10" t="s">
        <v>4923</v>
      </c>
      <c r="B6276" s="11" t="s">
        <v>1663</v>
      </c>
      <c r="C6276" s="5">
        <v>44242.899599999997</v>
      </c>
      <c r="D6276" s="5">
        <v>44242.899599999997</v>
      </c>
      <c r="E6276" s="5">
        <v>40062.737300000001</v>
      </c>
      <c r="G6276" s="5" t="str">
        <f t="shared" si="197"/>
        <v>ШУВАКИШ</v>
      </c>
      <c r="J6276" s="5"/>
      <c r="AL6276" s="5">
        <f t="shared" si="198"/>
        <v>0</v>
      </c>
    </row>
    <row r="6277" spans="1:38" ht="25.5" customHeight="1" x14ac:dyDescent="0.25">
      <c r="A6277" s="10" t="s">
        <v>4924</v>
      </c>
      <c r="B6277" s="11" t="s">
        <v>1647</v>
      </c>
      <c r="C6277" s="5">
        <v>63178.133800000003</v>
      </c>
      <c r="D6277" s="5">
        <v>63178.133800000003</v>
      </c>
      <c r="E6277" s="5">
        <v>57208.931499999999</v>
      </c>
      <c r="G6277" s="5" t="str">
        <f t="shared" si="197"/>
        <v>ШИРОКАЯ РЕЧКА</v>
      </c>
      <c r="J6277" s="5"/>
      <c r="AL6277" s="5">
        <f t="shared" si="198"/>
        <v>0</v>
      </c>
    </row>
    <row r="6278" spans="1:38" ht="25.5" customHeight="1" x14ac:dyDescent="0.25">
      <c r="A6278" s="10" t="s">
        <v>4925</v>
      </c>
      <c r="B6278" s="11" t="s">
        <v>1660</v>
      </c>
      <c r="C6278" s="5">
        <v>53262.345800000003</v>
      </c>
      <c r="D6278" s="5">
        <v>53262.345800000003</v>
      </c>
      <c r="E6278" s="5">
        <v>48230.0095</v>
      </c>
      <c r="G6278" s="5" t="str">
        <f t="shared" si="197"/>
        <v>САДОВЫЙ</v>
      </c>
      <c r="J6278" s="5"/>
      <c r="AL6278" s="5">
        <f t="shared" si="198"/>
        <v>0</v>
      </c>
    </row>
    <row r="6279" spans="1:38" ht="25.5" customHeight="1" x14ac:dyDescent="0.25">
      <c r="A6279" s="10" t="s">
        <v>4926</v>
      </c>
      <c r="B6279" s="11" t="s">
        <v>1661</v>
      </c>
      <c r="C6279" s="5">
        <v>51175.5573</v>
      </c>
      <c r="D6279" s="5">
        <v>51175.5573</v>
      </c>
      <c r="E6279" s="5">
        <v>46340.381600000001</v>
      </c>
      <c r="G6279" s="5" t="str">
        <f t="shared" si="197"/>
        <v>СЕВЕРКА</v>
      </c>
      <c r="J6279" s="5"/>
      <c r="AL6279" s="5">
        <f t="shared" si="198"/>
        <v>0</v>
      </c>
    </row>
    <row r="6280" spans="1:38" ht="25.5" customHeight="1" x14ac:dyDescent="0.25">
      <c r="A6280" s="10" t="s">
        <v>4927</v>
      </c>
      <c r="B6280" s="11" t="s">
        <v>1663</v>
      </c>
      <c r="C6280" s="5">
        <v>44242.899599999997</v>
      </c>
      <c r="D6280" s="5">
        <v>44242.899599999997</v>
      </c>
      <c r="E6280" s="5">
        <v>40062.737300000001</v>
      </c>
      <c r="G6280" s="5" t="str">
        <f t="shared" si="197"/>
        <v>ШУВАКИШ</v>
      </c>
      <c r="J6280" s="5"/>
      <c r="AL6280" s="5">
        <f t="shared" si="198"/>
        <v>0</v>
      </c>
    </row>
    <row r="6281" spans="1:38" ht="25.5" customHeight="1" x14ac:dyDescent="0.25">
      <c r="A6281" s="10" t="s">
        <v>4928</v>
      </c>
      <c r="B6281" s="11" t="s">
        <v>1637</v>
      </c>
      <c r="C6281" s="5">
        <v>59368.686099999999</v>
      </c>
      <c r="D6281" s="5">
        <v>59368.686099999999</v>
      </c>
      <c r="E6281" s="5">
        <v>53759.401700000002</v>
      </c>
      <c r="G6281" s="5" t="str">
        <f t="shared" si="197"/>
        <v>Старая сортировка</v>
      </c>
      <c r="J6281" s="5"/>
      <c r="AL6281" s="5">
        <f t="shared" si="198"/>
        <v>0</v>
      </c>
    </row>
    <row r="6282" spans="1:38" ht="25.5" customHeight="1" x14ac:dyDescent="0.25">
      <c r="A6282" s="10" t="s">
        <v>4929</v>
      </c>
      <c r="B6282" s="11" t="s">
        <v>1645</v>
      </c>
      <c r="C6282" s="5">
        <v>60958.294800000003</v>
      </c>
      <c r="D6282" s="5">
        <v>60958.294800000003</v>
      </c>
      <c r="E6282" s="5">
        <v>55198.825199999999</v>
      </c>
      <c r="G6282" s="5" t="str">
        <f t="shared" si="197"/>
        <v>ЕЛИЗАВЕТ</v>
      </c>
      <c r="J6282" s="5"/>
      <c r="AL6282" s="5">
        <f t="shared" si="198"/>
        <v>0</v>
      </c>
    </row>
    <row r="6283" spans="1:38" ht="25.5" customHeight="1" x14ac:dyDescent="0.25">
      <c r="A6283" s="10" t="s">
        <v>4930</v>
      </c>
      <c r="B6283" s="11" t="s">
        <v>1663</v>
      </c>
      <c r="C6283" s="5">
        <v>44242.899599999997</v>
      </c>
      <c r="D6283" s="5">
        <v>44242.899599999997</v>
      </c>
      <c r="E6283" s="5">
        <v>40062.737300000001</v>
      </c>
      <c r="G6283" s="5" t="str">
        <f t="shared" si="197"/>
        <v>ШУВАКИШ</v>
      </c>
      <c r="J6283" s="5"/>
      <c r="AL6283" s="5">
        <f t="shared" si="198"/>
        <v>0</v>
      </c>
    </row>
    <row r="6284" spans="1:38" ht="25.5" customHeight="1" x14ac:dyDescent="0.25">
      <c r="A6284" s="10" t="s">
        <v>4931</v>
      </c>
      <c r="B6284" s="11" t="s">
        <v>1662</v>
      </c>
      <c r="C6284" s="5">
        <v>46784.877899999999</v>
      </c>
      <c r="D6284" s="5">
        <v>46784.877899999999</v>
      </c>
      <c r="E6284" s="5">
        <v>42364.543299999998</v>
      </c>
      <c r="G6284" s="5" t="str">
        <f t="shared" si="197"/>
        <v>РУДНЫЙ</v>
      </c>
      <c r="J6284" s="5"/>
      <c r="AL6284" s="5">
        <f t="shared" si="198"/>
        <v>0</v>
      </c>
    </row>
    <row r="6285" spans="1:38" ht="25.5" customHeight="1" x14ac:dyDescent="0.25">
      <c r="A6285" s="10" t="s">
        <v>4932</v>
      </c>
      <c r="B6285" s="11" t="s">
        <v>1645</v>
      </c>
      <c r="C6285" s="5">
        <v>60958.294800000003</v>
      </c>
      <c r="D6285" s="5">
        <v>60958.294800000003</v>
      </c>
      <c r="E6285" s="5">
        <v>55198.825199999999</v>
      </c>
      <c r="G6285" s="5" t="str">
        <f t="shared" si="197"/>
        <v>ЕЛИЗАВЕТ</v>
      </c>
      <c r="J6285" s="5"/>
      <c r="AL6285" s="5">
        <f t="shared" si="198"/>
        <v>0</v>
      </c>
    </row>
    <row r="6286" spans="1:38" ht="25.5" customHeight="1" x14ac:dyDescent="0.25">
      <c r="A6286" s="10" t="s">
        <v>4933</v>
      </c>
      <c r="B6286" s="11" t="s">
        <v>1631</v>
      </c>
      <c r="C6286" s="5">
        <v>70026.7601</v>
      </c>
      <c r="D6286" s="5">
        <v>70026.7601</v>
      </c>
      <c r="E6286" s="5">
        <v>63410.482000000004</v>
      </c>
      <c r="G6286" s="5" t="str">
        <f t="shared" si="197"/>
        <v>УРАЛМАШ</v>
      </c>
      <c r="J6286" s="5"/>
      <c r="AL6286" s="5">
        <f t="shared" si="198"/>
        <v>0</v>
      </c>
    </row>
    <row r="6287" spans="1:38" ht="25.5" customHeight="1" x14ac:dyDescent="0.25">
      <c r="A6287" s="10" t="s">
        <v>4934</v>
      </c>
      <c r="B6287" s="11" t="s">
        <v>1635</v>
      </c>
      <c r="C6287" s="5">
        <v>57793.0844</v>
      </c>
      <c r="D6287" s="5">
        <v>57793.0844</v>
      </c>
      <c r="E6287" s="5">
        <v>52332.6639</v>
      </c>
      <c r="G6287" s="5" t="str">
        <f t="shared" si="197"/>
        <v>ЛЕЧЕБНЫЙ</v>
      </c>
      <c r="J6287" s="5"/>
      <c r="AL6287" s="5">
        <f t="shared" si="198"/>
        <v>0</v>
      </c>
    </row>
    <row r="6288" spans="1:38" ht="25.5" customHeight="1" x14ac:dyDescent="0.25">
      <c r="A6288" s="10" t="s">
        <v>4935</v>
      </c>
      <c r="B6288" s="11" t="s">
        <v>1631</v>
      </c>
      <c r="C6288" s="5">
        <v>70026.7601</v>
      </c>
      <c r="D6288" s="5">
        <v>70026.7601</v>
      </c>
      <c r="E6288" s="5">
        <v>63410.482000000004</v>
      </c>
      <c r="G6288" s="5" t="str">
        <f t="shared" si="197"/>
        <v>УРАЛМАШ</v>
      </c>
      <c r="J6288" s="5"/>
      <c r="AL6288" s="5">
        <f t="shared" si="198"/>
        <v>0</v>
      </c>
    </row>
    <row r="6289" spans="1:38" ht="25.5" customHeight="1" x14ac:dyDescent="0.25">
      <c r="A6289" s="10" t="s">
        <v>4936</v>
      </c>
      <c r="B6289" s="11" t="s">
        <v>1636</v>
      </c>
      <c r="C6289" s="5">
        <v>52246.960299999999</v>
      </c>
      <c r="D6289" s="5">
        <v>52246.960299999999</v>
      </c>
      <c r="E6289" s="5">
        <v>47310.556700000001</v>
      </c>
      <c r="G6289" s="5" t="str">
        <f t="shared" si="197"/>
        <v>ГОРНЫЙ ЩИТ</v>
      </c>
      <c r="J6289" s="5"/>
      <c r="AL6289" s="5">
        <f t="shared" si="198"/>
        <v>0</v>
      </c>
    </row>
    <row r="6290" spans="1:38" ht="25.5" customHeight="1" x14ac:dyDescent="0.25">
      <c r="A6290" s="10" t="s">
        <v>4937</v>
      </c>
      <c r="B6290" s="11" t="s">
        <v>389</v>
      </c>
      <c r="C6290" s="5">
        <v>51175.5573</v>
      </c>
      <c r="D6290" s="5">
        <v>51175.5573</v>
      </c>
      <c r="E6290" s="5">
        <v>46340.381600000001</v>
      </c>
      <c r="G6290" s="5" t="str">
        <f t="shared" si="197"/>
        <v>Северка</v>
      </c>
      <c r="J6290" s="5"/>
      <c r="AL6290" s="5">
        <f t="shared" si="198"/>
        <v>0</v>
      </c>
    </row>
    <row r="6291" spans="1:38" ht="25.5" customHeight="1" x14ac:dyDescent="0.25">
      <c r="A6291" s="10" t="s">
        <v>4938</v>
      </c>
      <c r="B6291" s="11" t="s">
        <v>1645</v>
      </c>
      <c r="C6291" s="5">
        <v>60958.294800000003</v>
      </c>
      <c r="D6291" s="5">
        <v>60958.294800000003</v>
      </c>
      <c r="E6291" s="5">
        <v>55198.825199999999</v>
      </c>
      <c r="G6291" s="5" t="str">
        <f t="shared" si="197"/>
        <v>ЕЛИЗАВЕТ</v>
      </c>
      <c r="J6291" s="5"/>
      <c r="AL6291" s="5">
        <f t="shared" si="198"/>
        <v>0</v>
      </c>
    </row>
    <row r="6292" spans="1:38" ht="25.5" customHeight="1" x14ac:dyDescent="0.25">
      <c r="A6292" s="10" t="s">
        <v>4939</v>
      </c>
      <c r="B6292" s="11" t="s">
        <v>118</v>
      </c>
      <c r="C6292" s="5">
        <v>53500.443299999999</v>
      </c>
      <c r="D6292" s="5">
        <v>53500.443299999999</v>
      </c>
      <c r="E6292" s="5">
        <v>48445.605100000001</v>
      </c>
      <c r="G6292" s="5" t="str">
        <f t="shared" si="197"/>
        <v>Исток</v>
      </c>
      <c r="J6292" s="5"/>
      <c r="AL6292" s="5">
        <f t="shared" si="198"/>
        <v>0</v>
      </c>
    </row>
    <row r="6293" spans="1:38" ht="25.5" customHeight="1" x14ac:dyDescent="0.25">
      <c r="A6293" s="10" t="s">
        <v>4940</v>
      </c>
      <c r="B6293" s="11" t="s">
        <v>1647</v>
      </c>
      <c r="C6293" s="5">
        <v>63178.133800000003</v>
      </c>
      <c r="D6293" s="5">
        <v>63178.133800000003</v>
      </c>
      <c r="E6293" s="5">
        <v>57208.931499999999</v>
      </c>
      <c r="G6293" s="5" t="str">
        <f t="shared" si="197"/>
        <v>ШИРОКАЯ РЕЧКА</v>
      </c>
      <c r="J6293" s="5"/>
      <c r="AL6293" s="5">
        <f t="shared" si="198"/>
        <v>0</v>
      </c>
    </row>
    <row r="6294" spans="1:38" ht="25.5" customHeight="1" x14ac:dyDescent="0.25">
      <c r="A6294" s="10" t="s">
        <v>4941</v>
      </c>
      <c r="B6294" s="11" t="s">
        <v>1636</v>
      </c>
      <c r="C6294" s="5">
        <v>52246.960299999999</v>
      </c>
      <c r="D6294" s="5">
        <v>52246.960299999999</v>
      </c>
      <c r="E6294" s="5">
        <v>47310.556700000001</v>
      </c>
      <c r="G6294" s="5" t="str">
        <f t="shared" si="197"/>
        <v>ГОРНЫЙ ЩИТ</v>
      </c>
      <c r="J6294" s="5"/>
      <c r="AL6294" s="5">
        <f t="shared" si="198"/>
        <v>0</v>
      </c>
    </row>
    <row r="6295" spans="1:38" ht="25.5" customHeight="1" x14ac:dyDescent="0.25">
      <c r="A6295" s="10" t="s">
        <v>4942</v>
      </c>
      <c r="B6295" s="11" t="s">
        <v>1647</v>
      </c>
      <c r="C6295" s="5">
        <v>63178.133800000003</v>
      </c>
      <c r="D6295" s="5">
        <v>63178.133800000003</v>
      </c>
      <c r="E6295" s="5">
        <v>57208.931499999999</v>
      </c>
      <c r="G6295" s="5" t="str">
        <f t="shared" si="197"/>
        <v>ШИРОКАЯ РЕЧКА</v>
      </c>
      <c r="J6295" s="5"/>
      <c r="AL6295" s="5">
        <f t="shared" si="198"/>
        <v>0</v>
      </c>
    </row>
    <row r="6296" spans="1:38" ht="25.5" customHeight="1" x14ac:dyDescent="0.25">
      <c r="A6296" s="10" t="s">
        <v>4943</v>
      </c>
      <c r="B6296" s="11" t="s">
        <v>1668</v>
      </c>
      <c r="C6296" s="5">
        <v>51343.6201</v>
      </c>
      <c r="D6296" s="5">
        <v>51343.6201</v>
      </c>
      <c r="E6296" s="5">
        <v>46492.558799999999</v>
      </c>
      <c r="G6296" s="5" t="str">
        <f t="shared" si="197"/>
        <v>МЕДНЫЙ</v>
      </c>
      <c r="J6296" s="5"/>
      <c r="AL6296" s="5">
        <f t="shared" si="198"/>
        <v>0</v>
      </c>
    </row>
    <row r="6297" spans="1:38" ht="25.5" customHeight="1" x14ac:dyDescent="0.25">
      <c r="A6297" s="10" t="s">
        <v>4944</v>
      </c>
      <c r="B6297" s="11" t="s">
        <v>1661</v>
      </c>
      <c r="C6297" s="5">
        <v>51175.5573</v>
      </c>
      <c r="D6297" s="5">
        <v>51175.5573</v>
      </c>
      <c r="E6297" s="5">
        <v>46340.381600000001</v>
      </c>
      <c r="G6297" s="5" t="str">
        <f t="shared" si="197"/>
        <v>СЕВЕРКА</v>
      </c>
      <c r="J6297" s="5"/>
      <c r="AL6297" s="5">
        <f t="shared" si="198"/>
        <v>0</v>
      </c>
    </row>
    <row r="6298" spans="1:38" ht="25.5" customHeight="1" x14ac:dyDescent="0.25">
      <c r="A6298" s="10" t="s">
        <v>4945</v>
      </c>
      <c r="B6298" s="11" t="s">
        <v>1668</v>
      </c>
      <c r="C6298" s="5">
        <v>51343.6201</v>
      </c>
      <c r="D6298" s="5">
        <v>51343.6201</v>
      </c>
      <c r="E6298" s="5">
        <v>46492.558799999999</v>
      </c>
      <c r="G6298" s="5" t="str">
        <f t="shared" si="197"/>
        <v>МЕДНЫЙ</v>
      </c>
      <c r="J6298" s="5"/>
      <c r="AL6298" s="5">
        <f t="shared" si="198"/>
        <v>0</v>
      </c>
    </row>
    <row r="6299" spans="1:38" ht="25.5" customHeight="1" x14ac:dyDescent="0.25">
      <c r="A6299" s="10" t="s">
        <v>4946</v>
      </c>
      <c r="B6299" s="11" t="s">
        <v>1647</v>
      </c>
      <c r="C6299" s="5">
        <v>63178.133800000003</v>
      </c>
      <c r="D6299" s="5">
        <v>63178.133800000003</v>
      </c>
      <c r="E6299" s="5">
        <v>57208.931499999999</v>
      </c>
      <c r="G6299" s="5" t="str">
        <f t="shared" si="197"/>
        <v>ШИРОКАЯ РЕЧКА</v>
      </c>
      <c r="J6299" s="5"/>
      <c r="AL6299" s="5">
        <f t="shared" si="198"/>
        <v>0</v>
      </c>
    </row>
    <row r="6300" spans="1:38" ht="25.5" customHeight="1" x14ac:dyDescent="0.25">
      <c r="A6300" s="10" t="s">
        <v>4947</v>
      </c>
      <c r="B6300" s="11" t="s">
        <v>1651</v>
      </c>
      <c r="C6300" s="5">
        <v>68129.029500000004</v>
      </c>
      <c r="D6300" s="5">
        <v>68129.029500000004</v>
      </c>
      <c r="E6300" s="5">
        <v>61692.054799999998</v>
      </c>
      <c r="G6300" s="5" t="str">
        <f t="shared" si="197"/>
        <v>ШАРТАШ</v>
      </c>
      <c r="J6300" s="5"/>
      <c r="AL6300" s="5">
        <f t="shared" si="198"/>
        <v>0</v>
      </c>
    </row>
    <row r="6301" spans="1:38" ht="25.5" customHeight="1" x14ac:dyDescent="0.25">
      <c r="A6301" s="10" t="s">
        <v>4948</v>
      </c>
      <c r="B6301" s="11" t="s">
        <v>389</v>
      </c>
      <c r="C6301" s="5">
        <v>51175.5573</v>
      </c>
      <c r="D6301" s="5">
        <v>51175.5573</v>
      </c>
      <c r="E6301" s="5">
        <v>46340.381600000001</v>
      </c>
      <c r="G6301" s="5" t="str">
        <f t="shared" si="197"/>
        <v>Северка</v>
      </c>
      <c r="J6301" s="5"/>
      <c r="AL6301" s="5">
        <f t="shared" si="198"/>
        <v>0</v>
      </c>
    </row>
    <row r="6302" spans="1:38" ht="25.5" customHeight="1" x14ac:dyDescent="0.25">
      <c r="A6302" s="10" t="s">
        <v>4949</v>
      </c>
      <c r="B6302" s="11" t="s">
        <v>1663</v>
      </c>
      <c r="C6302" s="5">
        <v>44242.899599999997</v>
      </c>
      <c r="D6302" s="5">
        <v>44242.899599999997</v>
      </c>
      <c r="E6302" s="5">
        <v>40062.737300000001</v>
      </c>
      <c r="G6302" s="5" t="str">
        <f t="shared" si="197"/>
        <v>ШУВАКИШ</v>
      </c>
      <c r="J6302" s="5"/>
      <c r="AL6302" s="5">
        <f t="shared" si="198"/>
        <v>0</v>
      </c>
    </row>
    <row r="6303" spans="1:38" ht="25.5" customHeight="1" x14ac:dyDescent="0.25">
      <c r="A6303" s="10" t="s">
        <v>626</v>
      </c>
      <c r="B6303" s="11" t="s">
        <v>1663</v>
      </c>
      <c r="C6303" s="5">
        <v>44242.899599999997</v>
      </c>
      <c r="D6303" s="5">
        <v>44242.899599999997</v>
      </c>
      <c r="E6303" s="5">
        <v>40062.737300000001</v>
      </c>
      <c r="G6303" s="5" t="str">
        <f t="shared" si="197"/>
        <v>ШУВАКИШ</v>
      </c>
      <c r="J6303" s="5"/>
      <c r="AL6303" s="5">
        <f t="shared" si="198"/>
        <v>0</v>
      </c>
    </row>
    <row r="6304" spans="1:38" ht="25.5" customHeight="1" x14ac:dyDescent="0.25">
      <c r="A6304" s="10" t="s">
        <v>4950</v>
      </c>
      <c r="B6304" s="11" t="s">
        <v>118</v>
      </c>
      <c r="C6304" s="5">
        <v>53500.443299999999</v>
      </c>
      <c r="D6304" s="5">
        <v>53500.443299999999</v>
      </c>
      <c r="E6304" s="5">
        <v>48445.605100000001</v>
      </c>
      <c r="G6304" s="5" t="str">
        <f t="shared" si="197"/>
        <v>Исток</v>
      </c>
      <c r="J6304" s="5"/>
      <c r="AL6304" s="5">
        <f t="shared" si="198"/>
        <v>0</v>
      </c>
    </row>
    <row r="6305" spans="1:38" ht="25.5" customHeight="1" x14ac:dyDescent="0.25">
      <c r="A6305" s="10" t="s">
        <v>4951</v>
      </c>
      <c r="B6305" s="11" t="s">
        <v>1647</v>
      </c>
      <c r="C6305" s="5">
        <v>63178.133800000003</v>
      </c>
      <c r="D6305" s="5">
        <v>63178.133800000003</v>
      </c>
      <c r="E6305" s="5">
        <v>57208.931499999999</v>
      </c>
      <c r="G6305" s="5" t="str">
        <f t="shared" si="197"/>
        <v>ШИРОКАЯ РЕЧКА</v>
      </c>
      <c r="J6305" s="5"/>
      <c r="AL6305" s="5">
        <f t="shared" si="198"/>
        <v>0</v>
      </c>
    </row>
    <row r="6306" spans="1:38" ht="25.5" customHeight="1" x14ac:dyDescent="0.25">
      <c r="A6306" s="10" t="s">
        <v>4952</v>
      </c>
      <c r="B6306" s="11" t="s">
        <v>1668</v>
      </c>
      <c r="C6306" s="5">
        <v>51343.6201</v>
      </c>
      <c r="D6306" s="5">
        <v>51343.6201</v>
      </c>
      <c r="E6306" s="5">
        <v>46492.558799999999</v>
      </c>
      <c r="G6306" s="5" t="str">
        <f t="shared" si="197"/>
        <v>МЕДНЫЙ</v>
      </c>
      <c r="J6306" s="5"/>
      <c r="AL6306" s="5">
        <f t="shared" si="198"/>
        <v>0</v>
      </c>
    </row>
    <row r="6307" spans="1:38" ht="25.5" customHeight="1" x14ac:dyDescent="0.25">
      <c r="A6307" s="10" t="s">
        <v>4953</v>
      </c>
      <c r="B6307" s="11" t="s">
        <v>1660</v>
      </c>
      <c r="C6307" s="5">
        <v>53262.345800000003</v>
      </c>
      <c r="D6307" s="5">
        <v>53262.345800000003</v>
      </c>
      <c r="E6307" s="5">
        <v>48230.0095</v>
      </c>
      <c r="G6307" s="5" t="str">
        <f t="shared" si="197"/>
        <v>САДОВЫЙ</v>
      </c>
      <c r="J6307" s="5"/>
      <c r="AL6307" s="5">
        <f t="shared" si="198"/>
        <v>0</v>
      </c>
    </row>
    <row r="6308" spans="1:38" ht="25.5" customHeight="1" x14ac:dyDescent="0.25">
      <c r="A6308" s="10" t="s">
        <v>4954</v>
      </c>
      <c r="B6308" s="11" t="s">
        <v>1645</v>
      </c>
      <c r="C6308" s="5">
        <v>60958.294800000003</v>
      </c>
      <c r="D6308" s="5">
        <v>60958.294800000003</v>
      </c>
      <c r="E6308" s="5">
        <v>55198.825199999999</v>
      </c>
      <c r="G6308" s="5" t="str">
        <f t="shared" si="197"/>
        <v>ЕЛИЗАВЕТ</v>
      </c>
      <c r="J6308" s="5"/>
      <c r="AL6308" s="5">
        <f t="shared" si="198"/>
        <v>0</v>
      </c>
    </row>
    <row r="6309" spans="1:38" ht="25.5" customHeight="1" x14ac:dyDescent="0.25">
      <c r="A6309" s="10" t="s">
        <v>4955</v>
      </c>
      <c r="B6309" s="11" t="s">
        <v>1636</v>
      </c>
      <c r="C6309" s="5">
        <v>52246.960299999999</v>
      </c>
      <c r="D6309" s="5">
        <v>52246.960299999999</v>
      </c>
      <c r="E6309" s="5">
        <v>47310.556700000001</v>
      </c>
      <c r="G6309" s="5" t="str">
        <f t="shared" si="197"/>
        <v>ГОРНЫЙ ЩИТ</v>
      </c>
      <c r="J6309" s="5"/>
      <c r="AL6309" s="5">
        <f t="shared" si="198"/>
        <v>0</v>
      </c>
    </row>
    <row r="6310" spans="1:38" ht="25.5" customHeight="1" x14ac:dyDescent="0.25">
      <c r="A6310" s="10" t="s">
        <v>4956</v>
      </c>
      <c r="B6310" s="11" t="s">
        <v>1631</v>
      </c>
      <c r="C6310" s="5">
        <v>70026.7601</v>
      </c>
      <c r="D6310" s="5">
        <v>70026.7601</v>
      </c>
      <c r="E6310" s="5">
        <v>63410.482000000004</v>
      </c>
      <c r="G6310" s="5" t="str">
        <f t="shared" si="197"/>
        <v>УРАЛМАШ</v>
      </c>
      <c r="J6310" s="5"/>
      <c r="AL6310" s="5">
        <f t="shared" si="198"/>
        <v>0</v>
      </c>
    </row>
    <row r="6311" spans="1:38" ht="25.5" customHeight="1" x14ac:dyDescent="0.25">
      <c r="A6311" s="10" t="s">
        <v>1524</v>
      </c>
      <c r="B6311" s="11" t="s">
        <v>1639</v>
      </c>
      <c r="C6311" s="5">
        <v>53500.443299999999</v>
      </c>
      <c r="D6311" s="5">
        <v>53500.443299999999</v>
      </c>
      <c r="E6311" s="5">
        <v>48445.605100000001</v>
      </c>
      <c r="G6311" s="5" t="str">
        <f t="shared" si="197"/>
        <v>ИСТОК</v>
      </c>
      <c r="J6311" s="5"/>
      <c r="AL6311" s="5">
        <f t="shared" si="198"/>
        <v>0</v>
      </c>
    </row>
    <row r="6312" spans="1:38" ht="25.5" customHeight="1" x14ac:dyDescent="0.25">
      <c r="A6312" s="10" t="s">
        <v>4957</v>
      </c>
      <c r="B6312" s="11" t="s">
        <v>1631</v>
      </c>
      <c r="C6312" s="5">
        <v>70026.7601</v>
      </c>
      <c r="D6312" s="5">
        <v>70026.7601</v>
      </c>
      <c r="E6312" s="5">
        <v>63410.482000000004</v>
      </c>
      <c r="G6312" s="5" t="str">
        <f t="shared" si="197"/>
        <v>УРАЛМАШ</v>
      </c>
      <c r="J6312" s="5"/>
      <c r="AL6312" s="5">
        <f t="shared" si="198"/>
        <v>0</v>
      </c>
    </row>
    <row r="6313" spans="1:38" ht="25.5" customHeight="1" x14ac:dyDescent="0.25">
      <c r="A6313" s="10" t="s">
        <v>4958</v>
      </c>
      <c r="B6313" s="11" t="s">
        <v>1663</v>
      </c>
      <c r="C6313" s="5">
        <v>44242.899599999997</v>
      </c>
      <c r="D6313" s="5">
        <v>44242.899599999997</v>
      </c>
      <c r="E6313" s="5">
        <v>40062.737300000001</v>
      </c>
      <c r="G6313" s="5" t="str">
        <f t="shared" si="197"/>
        <v>ШУВАКИШ</v>
      </c>
      <c r="J6313" s="5"/>
      <c r="AL6313" s="5">
        <f t="shared" si="198"/>
        <v>0</v>
      </c>
    </row>
    <row r="6314" spans="1:38" ht="25.5" customHeight="1" x14ac:dyDescent="0.25">
      <c r="A6314" s="10" t="s">
        <v>4959</v>
      </c>
      <c r="B6314" s="11" t="s">
        <v>1636</v>
      </c>
      <c r="C6314" s="5">
        <v>52246.960299999999</v>
      </c>
      <c r="D6314" s="5">
        <v>52246.960299999999</v>
      </c>
      <c r="E6314" s="5">
        <v>47310.556700000001</v>
      </c>
      <c r="G6314" s="5" t="str">
        <f t="shared" si="197"/>
        <v>ГОРНЫЙ ЩИТ</v>
      </c>
      <c r="J6314" s="5"/>
      <c r="AL6314" s="5">
        <f t="shared" si="198"/>
        <v>0</v>
      </c>
    </row>
    <row r="6315" spans="1:38" ht="25.5" customHeight="1" x14ac:dyDescent="0.25">
      <c r="A6315" s="10" t="s">
        <v>4960</v>
      </c>
      <c r="B6315" s="11" t="s">
        <v>389</v>
      </c>
      <c r="C6315" s="5">
        <v>51175.5573</v>
      </c>
      <c r="D6315" s="5">
        <v>51175.5573</v>
      </c>
      <c r="E6315" s="5">
        <v>46340.381600000001</v>
      </c>
      <c r="G6315" s="5" t="str">
        <f t="shared" si="197"/>
        <v>Северка</v>
      </c>
      <c r="J6315" s="5"/>
      <c r="AL6315" s="5">
        <f t="shared" si="198"/>
        <v>0</v>
      </c>
    </row>
    <row r="6316" spans="1:38" ht="25.5" customHeight="1" x14ac:dyDescent="0.25">
      <c r="A6316" s="10" t="s">
        <v>4961</v>
      </c>
      <c r="B6316" s="11" t="s">
        <v>1637</v>
      </c>
      <c r="C6316" s="5">
        <v>59368.686099999999</v>
      </c>
      <c r="D6316" s="5">
        <v>59368.686099999999</v>
      </c>
      <c r="E6316" s="5">
        <v>53759.401700000002</v>
      </c>
      <c r="G6316" s="5" t="str">
        <f t="shared" si="197"/>
        <v>Старая сортировка</v>
      </c>
      <c r="J6316" s="5"/>
      <c r="AL6316" s="5">
        <f t="shared" si="198"/>
        <v>0</v>
      </c>
    </row>
    <row r="6317" spans="1:38" ht="25.5" customHeight="1" x14ac:dyDescent="0.25">
      <c r="A6317" s="10" t="s">
        <v>4962</v>
      </c>
      <c r="B6317" s="11" t="s">
        <v>1636</v>
      </c>
      <c r="C6317" s="5">
        <v>52246.960299999999</v>
      </c>
      <c r="D6317" s="5">
        <v>52246.960299999999</v>
      </c>
      <c r="E6317" s="5">
        <v>47310.556700000001</v>
      </c>
      <c r="G6317" s="5" t="str">
        <f t="shared" si="197"/>
        <v>ГОРНЫЙ ЩИТ</v>
      </c>
      <c r="J6317" s="5"/>
      <c r="AL6317" s="5">
        <f t="shared" si="198"/>
        <v>0</v>
      </c>
    </row>
    <row r="6318" spans="1:38" ht="25.5" customHeight="1" x14ac:dyDescent="0.25">
      <c r="A6318" s="10" t="s">
        <v>4963</v>
      </c>
      <c r="B6318" s="11" t="s">
        <v>1660</v>
      </c>
      <c r="C6318" s="5">
        <v>53262.345800000003</v>
      </c>
      <c r="D6318" s="5">
        <v>53262.345800000003</v>
      </c>
      <c r="E6318" s="5">
        <v>48230.0095</v>
      </c>
      <c r="G6318" s="5" t="str">
        <f t="shared" si="197"/>
        <v>САДОВЫЙ</v>
      </c>
      <c r="J6318" s="5"/>
      <c r="AL6318" s="5">
        <f t="shared" si="198"/>
        <v>0</v>
      </c>
    </row>
    <row r="6319" spans="1:38" ht="25.5" customHeight="1" x14ac:dyDescent="0.25">
      <c r="A6319" s="10" t="s">
        <v>4964</v>
      </c>
      <c r="B6319" s="11" t="s">
        <v>1668</v>
      </c>
      <c r="C6319" s="5">
        <v>51343.6201</v>
      </c>
      <c r="D6319" s="5">
        <v>51343.6201</v>
      </c>
      <c r="E6319" s="5">
        <v>46492.558799999999</v>
      </c>
      <c r="G6319" s="5" t="str">
        <f t="shared" si="197"/>
        <v>МЕДНЫЙ</v>
      </c>
      <c r="J6319" s="5"/>
      <c r="AL6319" s="5">
        <f t="shared" si="198"/>
        <v>0</v>
      </c>
    </row>
    <row r="6320" spans="1:38" ht="25.5" customHeight="1" x14ac:dyDescent="0.25">
      <c r="A6320" s="10" t="s">
        <v>4965</v>
      </c>
      <c r="B6320" s="11" t="s">
        <v>1665</v>
      </c>
      <c r="C6320" s="5">
        <v>55692.278700000003</v>
      </c>
      <c r="D6320" s="5">
        <v>55692.278700000003</v>
      </c>
      <c r="E6320" s="5">
        <v>50430.350200000001</v>
      </c>
      <c r="G6320" s="5" t="str">
        <f t="shared" si="197"/>
        <v>ПОЛЕВОДСТВО</v>
      </c>
      <c r="J6320" s="5"/>
      <c r="AL6320" s="5">
        <f t="shared" si="198"/>
        <v>0</v>
      </c>
    </row>
    <row r="6321" spans="1:38" ht="25.5" customHeight="1" x14ac:dyDescent="0.25">
      <c r="A6321" s="10" t="s">
        <v>4966</v>
      </c>
      <c r="B6321" s="11" t="s">
        <v>1661</v>
      </c>
      <c r="C6321" s="5">
        <v>51175.5573</v>
      </c>
      <c r="D6321" s="5">
        <v>51175.5573</v>
      </c>
      <c r="E6321" s="5">
        <v>46340.381600000001</v>
      </c>
      <c r="G6321" s="5" t="str">
        <f t="shared" si="197"/>
        <v>СЕВЕРКА</v>
      </c>
      <c r="J6321" s="5"/>
      <c r="AL6321" s="5">
        <f t="shared" si="198"/>
        <v>0</v>
      </c>
    </row>
    <row r="6322" spans="1:38" ht="25.5" customHeight="1" x14ac:dyDescent="0.25">
      <c r="A6322" s="10" t="s">
        <v>4967</v>
      </c>
      <c r="B6322" s="11" t="s">
        <v>1631</v>
      </c>
      <c r="C6322" s="5">
        <v>70026.7601</v>
      </c>
      <c r="D6322" s="5">
        <v>70026.7601</v>
      </c>
      <c r="E6322" s="5">
        <v>63410.482000000004</v>
      </c>
      <c r="G6322" s="5" t="str">
        <f t="shared" si="197"/>
        <v>УРАЛМАШ</v>
      </c>
      <c r="J6322" s="5"/>
      <c r="AL6322" s="5">
        <f t="shared" si="198"/>
        <v>0</v>
      </c>
    </row>
    <row r="6323" spans="1:38" ht="25.5" customHeight="1" x14ac:dyDescent="0.25">
      <c r="A6323" s="10" t="s">
        <v>4968</v>
      </c>
      <c r="B6323" s="11" t="s">
        <v>1663</v>
      </c>
      <c r="C6323" s="5">
        <v>44242.899599999997</v>
      </c>
      <c r="D6323" s="5">
        <v>44242.899599999997</v>
      </c>
      <c r="E6323" s="5">
        <v>40062.737300000001</v>
      </c>
      <c r="G6323" s="5" t="str">
        <f t="shared" si="197"/>
        <v>ШУВАКИШ</v>
      </c>
      <c r="J6323" s="5"/>
      <c r="AL6323" s="5">
        <f t="shared" si="198"/>
        <v>0</v>
      </c>
    </row>
    <row r="6324" spans="1:38" ht="25.5" customHeight="1" x14ac:dyDescent="0.25">
      <c r="A6324" s="10" t="s">
        <v>4969</v>
      </c>
      <c r="B6324" s="11" t="s">
        <v>1663</v>
      </c>
      <c r="C6324" s="5">
        <v>44242.899599999997</v>
      </c>
      <c r="D6324" s="5">
        <v>44242.899599999997</v>
      </c>
      <c r="E6324" s="5">
        <v>40062.737300000001</v>
      </c>
      <c r="G6324" s="5" t="str">
        <f t="shared" si="197"/>
        <v>ШУВАКИШ</v>
      </c>
      <c r="J6324" s="5"/>
      <c r="AL6324" s="5">
        <f t="shared" si="198"/>
        <v>0</v>
      </c>
    </row>
    <row r="6325" spans="1:38" ht="25.5" customHeight="1" x14ac:dyDescent="0.25">
      <c r="A6325" s="10" t="s">
        <v>4970</v>
      </c>
      <c r="B6325" s="11" t="s">
        <v>1631</v>
      </c>
      <c r="C6325" s="5">
        <v>70026.7601</v>
      </c>
      <c r="D6325" s="5">
        <v>70026.7601</v>
      </c>
      <c r="E6325" s="5">
        <v>63410.482000000004</v>
      </c>
      <c r="G6325" s="5" t="str">
        <f t="shared" si="197"/>
        <v>УРАЛМАШ</v>
      </c>
      <c r="J6325" s="5"/>
      <c r="AL6325" s="5">
        <f t="shared" si="198"/>
        <v>0</v>
      </c>
    </row>
    <row r="6326" spans="1:38" ht="25.5" customHeight="1" x14ac:dyDescent="0.25">
      <c r="A6326" s="10" t="s">
        <v>4971</v>
      </c>
      <c r="B6326" s="11" t="s">
        <v>1661</v>
      </c>
      <c r="C6326" s="5">
        <v>51175.5573</v>
      </c>
      <c r="D6326" s="5">
        <v>51175.5573</v>
      </c>
      <c r="E6326" s="5">
        <v>46340.381600000001</v>
      </c>
      <c r="G6326" s="5" t="str">
        <f t="shared" si="197"/>
        <v>СЕВЕРКА</v>
      </c>
      <c r="J6326" s="5"/>
      <c r="AL6326" s="5">
        <f t="shared" si="198"/>
        <v>0</v>
      </c>
    </row>
    <row r="6327" spans="1:38" ht="25.5" customHeight="1" x14ac:dyDescent="0.25">
      <c r="A6327" s="10" t="s">
        <v>4972</v>
      </c>
      <c r="B6327" s="11" t="s">
        <v>1656</v>
      </c>
      <c r="C6327" s="5">
        <v>60173.9879</v>
      </c>
      <c r="D6327" s="5">
        <v>60173.9879</v>
      </c>
      <c r="E6327" s="5">
        <v>54488.630299999997</v>
      </c>
      <c r="G6327" s="5" t="str">
        <f t="shared" si="197"/>
        <v>МАЛЫЙ ИСТОК</v>
      </c>
      <c r="J6327" s="5"/>
      <c r="AL6327" s="5">
        <f t="shared" si="198"/>
        <v>0</v>
      </c>
    </row>
    <row r="6328" spans="1:38" ht="25.5" customHeight="1" x14ac:dyDescent="0.25">
      <c r="A6328" s="10" t="s">
        <v>4973</v>
      </c>
      <c r="B6328" s="11" t="s">
        <v>1637</v>
      </c>
      <c r="C6328" s="5">
        <v>59368.686099999999</v>
      </c>
      <c r="D6328" s="5">
        <v>59368.686099999999</v>
      </c>
      <c r="E6328" s="5">
        <v>53759.401700000002</v>
      </c>
      <c r="G6328" s="5" t="str">
        <f t="shared" si="197"/>
        <v>Старая сортировка</v>
      </c>
      <c r="J6328" s="5"/>
      <c r="AL6328" s="5">
        <f t="shared" si="198"/>
        <v>0</v>
      </c>
    </row>
    <row r="6329" spans="1:38" ht="25.5" customHeight="1" x14ac:dyDescent="0.25">
      <c r="A6329" s="10" t="s">
        <v>4974</v>
      </c>
      <c r="B6329" s="11" t="s">
        <v>1661</v>
      </c>
      <c r="C6329" s="5">
        <v>51175.5573</v>
      </c>
      <c r="D6329" s="5">
        <v>51175.5573</v>
      </c>
      <c r="E6329" s="5">
        <v>46340.381600000001</v>
      </c>
      <c r="G6329" s="5" t="str">
        <f t="shared" si="197"/>
        <v>СЕВЕРКА</v>
      </c>
      <c r="J6329" s="5"/>
      <c r="AL6329" s="5">
        <f t="shared" si="198"/>
        <v>0</v>
      </c>
    </row>
    <row r="6330" spans="1:38" ht="25.5" customHeight="1" x14ac:dyDescent="0.25">
      <c r="A6330" s="10" t="s">
        <v>4975</v>
      </c>
      <c r="B6330" s="11" t="s">
        <v>1636</v>
      </c>
      <c r="C6330" s="5">
        <v>52246.960299999999</v>
      </c>
      <c r="D6330" s="5">
        <v>52246.960299999999</v>
      </c>
      <c r="E6330" s="5">
        <v>47310.556700000001</v>
      </c>
      <c r="G6330" s="5" t="str">
        <f t="shared" si="197"/>
        <v>ГОРНЫЙ ЩИТ</v>
      </c>
      <c r="J6330" s="5"/>
      <c r="AL6330" s="5">
        <f t="shared" si="198"/>
        <v>0</v>
      </c>
    </row>
    <row r="6331" spans="1:38" ht="25.5" customHeight="1" x14ac:dyDescent="0.25">
      <c r="A6331" s="10" t="s">
        <v>4976</v>
      </c>
      <c r="B6331" s="11" t="s">
        <v>1663</v>
      </c>
      <c r="C6331" s="5">
        <v>44242.899599999997</v>
      </c>
      <c r="D6331" s="5">
        <v>44242.899599999997</v>
      </c>
      <c r="E6331" s="5">
        <v>40062.737300000001</v>
      </c>
      <c r="G6331" s="5" t="str">
        <f t="shared" si="197"/>
        <v>ШУВАКИШ</v>
      </c>
      <c r="J6331" s="5"/>
      <c r="AL6331" s="5">
        <f t="shared" si="198"/>
        <v>0</v>
      </c>
    </row>
    <row r="6332" spans="1:38" ht="25.5" customHeight="1" x14ac:dyDescent="0.25">
      <c r="A6332" s="10" t="s">
        <v>4977</v>
      </c>
      <c r="B6332" s="11" t="s">
        <v>1660</v>
      </c>
      <c r="C6332" s="5">
        <v>53262.345800000003</v>
      </c>
      <c r="D6332" s="5">
        <v>53262.345800000003</v>
      </c>
      <c r="E6332" s="5">
        <v>48230.0095</v>
      </c>
      <c r="G6332" s="5" t="str">
        <f t="shared" si="197"/>
        <v>САДОВЫЙ</v>
      </c>
      <c r="J6332" s="5"/>
      <c r="AL6332" s="5">
        <f t="shared" si="198"/>
        <v>0</v>
      </c>
    </row>
    <row r="6333" spans="1:38" ht="25.5" customHeight="1" x14ac:dyDescent="0.25">
      <c r="A6333" s="10" t="s">
        <v>4978</v>
      </c>
      <c r="B6333" s="11" t="s">
        <v>779</v>
      </c>
      <c r="C6333" s="5">
        <v>46784.877899999999</v>
      </c>
      <c r="D6333" s="5">
        <v>46784.877899999999</v>
      </c>
      <c r="E6333" s="5">
        <v>42364.543299999998</v>
      </c>
      <c r="G6333" s="5" t="str">
        <f t="shared" si="197"/>
        <v>Нижнеисетский</v>
      </c>
      <c r="J6333" s="5"/>
      <c r="AL6333" s="5">
        <f t="shared" si="198"/>
        <v>0</v>
      </c>
    </row>
    <row r="6334" spans="1:38" ht="25.5" customHeight="1" x14ac:dyDescent="0.25">
      <c r="A6334" s="10" t="s">
        <v>4979</v>
      </c>
      <c r="B6334" s="11" t="s">
        <v>1656</v>
      </c>
      <c r="C6334" s="5">
        <v>60173.9879</v>
      </c>
      <c r="D6334" s="5">
        <v>60173.9879</v>
      </c>
      <c r="E6334" s="5">
        <v>54488.630299999997</v>
      </c>
      <c r="G6334" s="5" t="str">
        <f t="shared" si="197"/>
        <v>МАЛЫЙ ИСТОК</v>
      </c>
      <c r="J6334" s="5"/>
      <c r="AL6334" s="5">
        <f t="shared" si="198"/>
        <v>0</v>
      </c>
    </row>
    <row r="6335" spans="1:38" ht="25.5" customHeight="1" x14ac:dyDescent="0.25">
      <c r="A6335" s="10" t="s">
        <v>4980</v>
      </c>
      <c r="B6335" s="11" t="s">
        <v>1661</v>
      </c>
      <c r="C6335" s="5">
        <v>51175.5573</v>
      </c>
      <c r="D6335" s="5">
        <v>51175.5573</v>
      </c>
      <c r="E6335" s="5">
        <v>46340.381600000001</v>
      </c>
      <c r="G6335" s="5" t="str">
        <f t="shared" ref="G6335:G6398" si="199">B6335</f>
        <v>СЕВЕРКА</v>
      </c>
      <c r="J6335" s="5"/>
      <c r="AL6335" s="5">
        <f t="shared" ref="AL6335:AL6398" si="200">AF6335</f>
        <v>0</v>
      </c>
    </row>
    <row r="6336" spans="1:38" ht="25.5" customHeight="1" x14ac:dyDescent="0.25">
      <c r="A6336" s="10" t="s">
        <v>4981</v>
      </c>
      <c r="B6336" s="11" t="s">
        <v>389</v>
      </c>
      <c r="C6336" s="5">
        <v>51175.5573</v>
      </c>
      <c r="D6336" s="5">
        <v>51175.5573</v>
      </c>
      <c r="E6336" s="5">
        <v>46340.381600000001</v>
      </c>
      <c r="G6336" s="5" t="str">
        <f t="shared" si="199"/>
        <v>Северка</v>
      </c>
      <c r="J6336" s="5"/>
      <c r="AL6336" s="5">
        <f t="shared" si="200"/>
        <v>0</v>
      </c>
    </row>
    <row r="6337" spans="1:38" ht="25.5" customHeight="1" x14ac:dyDescent="0.25">
      <c r="A6337" s="10" t="s">
        <v>4982</v>
      </c>
      <c r="B6337" s="11" t="s">
        <v>1661</v>
      </c>
      <c r="C6337" s="5">
        <v>51175.5573</v>
      </c>
      <c r="D6337" s="5">
        <v>51175.5573</v>
      </c>
      <c r="E6337" s="5">
        <v>46340.381600000001</v>
      </c>
      <c r="G6337" s="5" t="str">
        <f t="shared" si="199"/>
        <v>СЕВЕРКА</v>
      </c>
      <c r="J6337" s="5"/>
      <c r="AL6337" s="5">
        <f t="shared" si="200"/>
        <v>0</v>
      </c>
    </row>
    <row r="6338" spans="1:38" ht="25.5" customHeight="1" x14ac:dyDescent="0.25">
      <c r="A6338" s="10" t="s">
        <v>4983</v>
      </c>
      <c r="B6338" s="11" t="s">
        <v>389</v>
      </c>
      <c r="C6338" s="5">
        <v>51175.5573</v>
      </c>
      <c r="D6338" s="5">
        <v>51175.5573</v>
      </c>
      <c r="E6338" s="5">
        <v>46340.381600000001</v>
      </c>
      <c r="G6338" s="5" t="str">
        <f t="shared" si="199"/>
        <v>Северка</v>
      </c>
      <c r="J6338" s="5"/>
      <c r="AL6338" s="5">
        <f t="shared" si="200"/>
        <v>0</v>
      </c>
    </row>
    <row r="6339" spans="1:38" ht="25.5" customHeight="1" x14ac:dyDescent="0.25">
      <c r="A6339" s="10" t="s">
        <v>4984</v>
      </c>
      <c r="B6339" s="11" t="s">
        <v>1661</v>
      </c>
      <c r="C6339" s="5">
        <v>51175.5573</v>
      </c>
      <c r="D6339" s="5">
        <v>51175.5573</v>
      </c>
      <c r="E6339" s="5">
        <v>46340.381600000001</v>
      </c>
      <c r="G6339" s="5" t="str">
        <f t="shared" si="199"/>
        <v>СЕВЕРКА</v>
      </c>
      <c r="J6339" s="5"/>
      <c r="AL6339" s="5">
        <f t="shared" si="200"/>
        <v>0</v>
      </c>
    </row>
    <row r="6340" spans="1:38" ht="25.5" customHeight="1" x14ac:dyDescent="0.25">
      <c r="A6340" s="10" t="s">
        <v>4985</v>
      </c>
      <c r="B6340" s="11" t="s">
        <v>1636</v>
      </c>
      <c r="C6340" s="5">
        <v>52246.960299999999</v>
      </c>
      <c r="D6340" s="5">
        <v>52246.960299999999</v>
      </c>
      <c r="E6340" s="5">
        <v>47310.556700000001</v>
      </c>
      <c r="G6340" s="5" t="str">
        <f t="shared" si="199"/>
        <v>ГОРНЫЙ ЩИТ</v>
      </c>
      <c r="J6340" s="5"/>
      <c r="AL6340" s="5">
        <f t="shared" si="200"/>
        <v>0</v>
      </c>
    </row>
    <row r="6341" spans="1:38" ht="25.5" customHeight="1" x14ac:dyDescent="0.25">
      <c r="A6341" s="10" t="s">
        <v>4986</v>
      </c>
      <c r="B6341" s="11" t="s">
        <v>389</v>
      </c>
      <c r="C6341" s="5">
        <v>51175.5573</v>
      </c>
      <c r="D6341" s="5">
        <v>51175.5573</v>
      </c>
      <c r="E6341" s="5">
        <v>46340.381600000001</v>
      </c>
      <c r="G6341" s="5" t="str">
        <f t="shared" si="199"/>
        <v>Северка</v>
      </c>
      <c r="J6341" s="5"/>
      <c r="AL6341" s="5">
        <f t="shared" si="200"/>
        <v>0</v>
      </c>
    </row>
    <row r="6342" spans="1:38" ht="25.5" customHeight="1" x14ac:dyDescent="0.25">
      <c r="A6342" s="10" t="s">
        <v>4987</v>
      </c>
      <c r="B6342" s="11" t="s">
        <v>1661</v>
      </c>
      <c r="C6342" s="5">
        <v>51175.5573</v>
      </c>
      <c r="D6342" s="5">
        <v>51175.5573</v>
      </c>
      <c r="E6342" s="5">
        <v>46340.381600000001</v>
      </c>
      <c r="G6342" s="5" t="str">
        <f t="shared" si="199"/>
        <v>СЕВЕРКА</v>
      </c>
      <c r="J6342" s="5"/>
      <c r="AL6342" s="5">
        <f t="shared" si="200"/>
        <v>0</v>
      </c>
    </row>
    <row r="6343" spans="1:38" ht="25.5" customHeight="1" x14ac:dyDescent="0.25">
      <c r="A6343" s="10" t="s">
        <v>4988</v>
      </c>
      <c r="B6343" s="11" t="s">
        <v>389</v>
      </c>
      <c r="C6343" s="5">
        <v>51175.5573</v>
      </c>
      <c r="D6343" s="5">
        <v>51175.5573</v>
      </c>
      <c r="E6343" s="5">
        <v>46340.381600000001</v>
      </c>
      <c r="G6343" s="5" t="str">
        <f t="shared" si="199"/>
        <v>Северка</v>
      </c>
      <c r="J6343" s="5"/>
      <c r="AL6343" s="5">
        <f t="shared" si="200"/>
        <v>0</v>
      </c>
    </row>
    <row r="6344" spans="1:38" ht="25.5" customHeight="1" x14ac:dyDescent="0.25">
      <c r="A6344" s="10" t="s">
        <v>4989</v>
      </c>
      <c r="B6344" s="11" t="s">
        <v>1636</v>
      </c>
      <c r="C6344" s="5">
        <v>52246.960299999999</v>
      </c>
      <c r="D6344" s="5">
        <v>52246.960299999999</v>
      </c>
      <c r="E6344" s="5">
        <v>47310.556700000001</v>
      </c>
      <c r="G6344" s="5" t="str">
        <f t="shared" si="199"/>
        <v>ГОРНЫЙ ЩИТ</v>
      </c>
      <c r="J6344" s="5"/>
      <c r="AL6344" s="5">
        <f t="shared" si="200"/>
        <v>0</v>
      </c>
    </row>
    <row r="6345" spans="1:38" ht="25.5" customHeight="1" x14ac:dyDescent="0.25">
      <c r="A6345" s="10" t="s">
        <v>4990</v>
      </c>
      <c r="B6345" s="11" t="s">
        <v>1660</v>
      </c>
      <c r="C6345" s="5">
        <v>53262.345800000003</v>
      </c>
      <c r="D6345" s="5">
        <v>53262.345800000003</v>
      </c>
      <c r="E6345" s="5">
        <v>48230.0095</v>
      </c>
      <c r="G6345" s="5" t="str">
        <f t="shared" si="199"/>
        <v>САДОВЫЙ</v>
      </c>
      <c r="J6345" s="5"/>
      <c r="AL6345" s="5">
        <f t="shared" si="200"/>
        <v>0</v>
      </c>
    </row>
    <row r="6346" spans="1:38" ht="25.5" customHeight="1" x14ac:dyDescent="0.25">
      <c r="A6346" s="10" t="s">
        <v>4991</v>
      </c>
      <c r="B6346" s="11" t="s">
        <v>1631</v>
      </c>
      <c r="C6346" s="5">
        <v>70026.7601</v>
      </c>
      <c r="D6346" s="5">
        <v>70026.7601</v>
      </c>
      <c r="E6346" s="5">
        <v>63410.482000000004</v>
      </c>
      <c r="G6346" s="5" t="str">
        <f t="shared" si="199"/>
        <v>УРАЛМАШ</v>
      </c>
      <c r="J6346" s="5"/>
      <c r="AL6346" s="5">
        <f t="shared" si="200"/>
        <v>0</v>
      </c>
    </row>
    <row r="6347" spans="1:38" ht="25.5" customHeight="1" x14ac:dyDescent="0.25">
      <c r="A6347" s="10" t="s">
        <v>4992</v>
      </c>
      <c r="B6347" s="11" t="s">
        <v>483</v>
      </c>
      <c r="C6347" s="5">
        <v>44242.899599999997</v>
      </c>
      <c r="D6347" s="5">
        <v>44242.899599999997</v>
      </c>
      <c r="E6347" s="5">
        <v>40062.737300000001</v>
      </c>
      <c r="G6347" s="5" t="str">
        <f t="shared" si="199"/>
        <v>Шувакиш</v>
      </c>
      <c r="J6347" s="5"/>
      <c r="AL6347" s="5">
        <f t="shared" si="200"/>
        <v>0</v>
      </c>
    </row>
    <row r="6348" spans="1:38" ht="25.5" customHeight="1" x14ac:dyDescent="0.25">
      <c r="A6348" s="10" t="s">
        <v>4993</v>
      </c>
      <c r="B6348" s="11" t="s">
        <v>33</v>
      </c>
      <c r="C6348" s="5">
        <v>84298.205100000006</v>
      </c>
      <c r="D6348" s="5">
        <v>84298.205100000006</v>
      </c>
      <c r="E6348" s="5">
        <v>76333.533100000001</v>
      </c>
      <c r="G6348" s="5" t="str">
        <f t="shared" si="199"/>
        <v>ВИЗ</v>
      </c>
      <c r="J6348" s="5"/>
      <c r="AL6348" s="5">
        <f t="shared" si="200"/>
        <v>0</v>
      </c>
    </row>
    <row r="6349" spans="1:38" ht="25.5" customHeight="1" x14ac:dyDescent="0.25">
      <c r="A6349" s="10" t="s">
        <v>4994</v>
      </c>
      <c r="B6349" s="11" t="s">
        <v>389</v>
      </c>
      <c r="C6349" s="5">
        <v>51175.5573</v>
      </c>
      <c r="D6349" s="5">
        <v>51175.5573</v>
      </c>
      <c r="E6349" s="5">
        <v>46340.381600000001</v>
      </c>
      <c r="G6349" s="5" t="str">
        <f t="shared" si="199"/>
        <v>Северка</v>
      </c>
      <c r="J6349" s="5"/>
      <c r="AL6349" s="5">
        <f t="shared" si="200"/>
        <v>0</v>
      </c>
    </row>
    <row r="6350" spans="1:38" ht="25.5" customHeight="1" x14ac:dyDescent="0.25">
      <c r="A6350" s="10" t="s">
        <v>4995</v>
      </c>
      <c r="B6350" s="11" t="s">
        <v>1661</v>
      </c>
      <c r="C6350" s="5">
        <v>51175.5573</v>
      </c>
      <c r="D6350" s="5">
        <v>51175.5573</v>
      </c>
      <c r="E6350" s="5">
        <v>46340.381600000001</v>
      </c>
      <c r="G6350" s="5" t="str">
        <f t="shared" si="199"/>
        <v>СЕВЕРКА</v>
      </c>
      <c r="J6350" s="5"/>
      <c r="AL6350" s="5">
        <f t="shared" si="200"/>
        <v>0</v>
      </c>
    </row>
    <row r="6351" spans="1:38" ht="25.5" customHeight="1" x14ac:dyDescent="0.25">
      <c r="A6351" s="10" t="s">
        <v>4996</v>
      </c>
      <c r="B6351" s="11" t="s">
        <v>389</v>
      </c>
      <c r="C6351" s="5">
        <v>51175.5573</v>
      </c>
      <c r="D6351" s="5">
        <v>51175.5573</v>
      </c>
      <c r="E6351" s="5">
        <v>46340.381600000001</v>
      </c>
      <c r="G6351" s="5" t="str">
        <f t="shared" si="199"/>
        <v>Северка</v>
      </c>
      <c r="J6351" s="5"/>
      <c r="AL6351" s="5">
        <f t="shared" si="200"/>
        <v>0</v>
      </c>
    </row>
    <row r="6352" spans="1:38" ht="25.5" customHeight="1" x14ac:dyDescent="0.25">
      <c r="A6352" s="10" t="s">
        <v>4997</v>
      </c>
      <c r="B6352" s="11" t="s">
        <v>1656</v>
      </c>
      <c r="C6352" s="5">
        <v>60173.9879</v>
      </c>
      <c r="D6352" s="5">
        <v>60173.9879</v>
      </c>
      <c r="E6352" s="5">
        <v>54488.630299999997</v>
      </c>
      <c r="G6352" s="5" t="str">
        <f t="shared" si="199"/>
        <v>МАЛЫЙ ИСТОК</v>
      </c>
      <c r="J6352" s="5"/>
      <c r="AL6352" s="5">
        <f t="shared" si="200"/>
        <v>0</v>
      </c>
    </row>
    <row r="6353" spans="1:38" ht="25.5" customHeight="1" x14ac:dyDescent="0.25">
      <c r="A6353" s="10" t="s">
        <v>4998</v>
      </c>
      <c r="B6353" s="11" t="s">
        <v>1661</v>
      </c>
      <c r="C6353" s="5">
        <v>51175.5573</v>
      </c>
      <c r="D6353" s="5">
        <v>51175.5573</v>
      </c>
      <c r="E6353" s="5">
        <v>46340.381600000001</v>
      </c>
      <c r="G6353" s="5" t="str">
        <f t="shared" si="199"/>
        <v>СЕВЕРКА</v>
      </c>
      <c r="J6353" s="5"/>
      <c r="AL6353" s="5">
        <f t="shared" si="200"/>
        <v>0</v>
      </c>
    </row>
    <row r="6354" spans="1:38" ht="25.5" customHeight="1" x14ac:dyDescent="0.25">
      <c r="A6354" s="10" t="s">
        <v>4999</v>
      </c>
      <c r="B6354" s="11" t="s">
        <v>483</v>
      </c>
      <c r="C6354" s="5">
        <v>44242.899599999997</v>
      </c>
      <c r="D6354" s="5">
        <v>44242.899599999997</v>
      </c>
      <c r="E6354" s="5">
        <v>40062.737300000001</v>
      </c>
      <c r="G6354" s="5" t="str">
        <f t="shared" si="199"/>
        <v>Шувакиш</v>
      </c>
      <c r="J6354" s="5"/>
      <c r="AL6354" s="5">
        <f t="shared" si="200"/>
        <v>0</v>
      </c>
    </row>
    <row r="6355" spans="1:38" ht="25.5" customHeight="1" x14ac:dyDescent="0.25">
      <c r="A6355" s="10" t="s">
        <v>5000</v>
      </c>
      <c r="B6355" s="11" t="s">
        <v>33</v>
      </c>
      <c r="C6355" s="5">
        <v>84298.205100000006</v>
      </c>
      <c r="D6355" s="5">
        <v>84298.205100000006</v>
      </c>
      <c r="E6355" s="5">
        <v>76333.533100000001</v>
      </c>
      <c r="G6355" s="5" t="str">
        <f t="shared" si="199"/>
        <v>ВИЗ</v>
      </c>
      <c r="J6355" s="5"/>
      <c r="AL6355" s="5">
        <f t="shared" si="200"/>
        <v>0</v>
      </c>
    </row>
    <row r="6356" spans="1:38" ht="25.5" customHeight="1" x14ac:dyDescent="0.25">
      <c r="A6356" s="10" t="s">
        <v>5001</v>
      </c>
      <c r="B6356" s="11" t="s">
        <v>1646</v>
      </c>
      <c r="C6356" s="5">
        <v>61763.596599999997</v>
      </c>
      <c r="D6356" s="5">
        <v>61763.596599999997</v>
      </c>
      <c r="E6356" s="5">
        <v>55928.0435</v>
      </c>
      <c r="G6356" s="5" t="str">
        <f t="shared" si="199"/>
        <v>АКАДЕМИЧЕСКИЙ</v>
      </c>
      <c r="J6356" s="5"/>
      <c r="AL6356" s="5">
        <f t="shared" si="200"/>
        <v>0</v>
      </c>
    </row>
    <row r="6357" spans="1:38" ht="25.5" customHeight="1" x14ac:dyDescent="0.25">
      <c r="A6357" s="10" t="s">
        <v>5002</v>
      </c>
      <c r="B6357" s="11" t="s">
        <v>483</v>
      </c>
      <c r="C6357" s="5">
        <v>44242.899599999997</v>
      </c>
      <c r="D6357" s="5">
        <v>44242.899599999997</v>
      </c>
      <c r="E6357" s="5">
        <v>40062.737300000001</v>
      </c>
      <c r="G6357" s="5" t="str">
        <f t="shared" si="199"/>
        <v>Шувакиш</v>
      </c>
      <c r="J6357" s="5"/>
      <c r="AL6357" s="5">
        <f t="shared" si="200"/>
        <v>0</v>
      </c>
    </row>
    <row r="6358" spans="1:38" ht="25.5" customHeight="1" x14ac:dyDescent="0.25">
      <c r="A6358" s="10" t="s">
        <v>5003</v>
      </c>
      <c r="B6358" s="11" t="s">
        <v>1645</v>
      </c>
      <c r="C6358" s="5">
        <v>60958.294800000003</v>
      </c>
      <c r="D6358" s="5">
        <v>60958.294800000003</v>
      </c>
      <c r="E6358" s="5">
        <v>55198.825199999999</v>
      </c>
      <c r="G6358" s="5" t="str">
        <f t="shared" si="199"/>
        <v>ЕЛИЗАВЕТ</v>
      </c>
      <c r="J6358" s="5"/>
      <c r="AL6358" s="5">
        <f t="shared" si="200"/>
        <v>0</v>
      </c>
    </row>
    <row r="6359" spans="1:38" ht="25.5" customHeight="1" x14ac:dyDescent="0.25">
      <c r="A6359" s="10" t="s">
        <v>5004</v>
      </c>
      <c r="B6359" s="11" t="s">
        <v>5166</v>
      </c>
      <c r="C6359" s="5">
        <v>49782.025399999999</v>
      </c>
      <c r="D6359" s="5">
        <v>49782.025399999999</v>
      </c>
      <c r="E6359" s="5">
        <v>45078.506800000003</v>
      </c>
      <c r="G6359" s="5" t="str">
        <f t="shared" si="199"/>
        <v>Чусовское озеро</v>
      </c>
      <c r="J6359" s="5"/>
      <c r="AL6359" s="5">
        <f t="shared" si="200"/>
        <v>0</v>
      </c>
    </row>
    <row r="6360" spans="1:38" ht="25.5" customHeight="1" x14ac:dyDescent="0.25">
      <c r="A6360" s="10" t="s">
        <v>5005</v>
      </c>
      <c r="B6360" s="11" t="s">
        <v>1663</v>
      </c>
      <c r="C6360" s="5">
        <v>44242.899599999997</v>
      </c>
      <c r="D6360" s="5">
        <v>44242.899599999997</v>
      </c>
      <c r="E6360" s="5">
        <v>40062.737300000001</v>
      </c>
      <c r="G6360" s="5" t="str">
        <f t="shared" si="199"/>
        <v>ШУВАКИШ</v>
      </c>
      <c r="J6360" s="5"/>
      <c r="AL6360" s="5">
        <f t="shared" si="200"/>
        <v>0</v>
      </c>
    </row>
    <row r="6361" spans="1:38" ht="25.5" customHeight="1" x14ac:dyDescent="0.25">
      <c r="A6361" s="10" t="s">
        <v>5006</v>
      </c>
      <c r="B6361" s="11" t="s">
        <v>1636</v>
      </c>
      <c r="C6361" s="5">
        <v>52246.960299999999</v>
      </c>
      <c r="D6361" s="5">
        <v>52246.960299999999</v>
      </c>
      <c r="E6361" s="5">
        <v>47310.556700000001</v>
      </c>
      <c r="G6361" s="5" t="str">
        <f t="shared" si="199"/>
        <v>ГОРНЫЙ ЩИТ</v>
      </c>
      <c r="J6361" s="5"/>
      <c r="AL6361" s="5">
        <f t="shared" si="200"/>
        <v>0</v>
      </c>
    </row>
    <row r="6362" spans="1:38" ht="25.5" customHeight="1" x14ac:dyDescent="0.25">
      <c r="A6362" s="10" t="s">
        <v>5007</v>
      </c>
      <c r="B6362" s="11" t="s">
        <v>1663</v>
      </c>
      <c r="C6362" s="5">
        <v>44242.899599999997</v>
      </c>
      <c r="D6362" s="5">
        <v>44242.899599999997</v>
      </c>
      <c r="E6362" s="5">
        <v>40062.737300000001</v>
      </c>
      <c r="G6362" s="5" t="str">
        <f t="shared" si="199"/>
        <v>ШУВАКИШ</v>
      </c>
      <c r="J6362" s="5"/>
      <c r="AL6362" s="5">
        <f t="shared" si="200"/>
        <v>0</v>
      </c>
    </row>
    <row r="6363" spans="1:38" ht="25.5" customHeight="1" x14ac:dyDescent="0.25">
      <c r="A6363" s="10" t="s">
        <v>5008</v>
      </c>
      <c r="B6363" s="11" t="s">
        <v>483</v>
      </c>
      <c r="C6363" s="5">
        <v>44242.899599999997</v>
      </c>
      <c r="D6363" s="5">
        <v>44242.899599999997</v>
      </c>
      <c r="E6363" s="5">
        <v>40062.737300000001</v>
      </c>
      <c r="G6363" s="5" t="str">
        <f t="shared" si="199"/>
        <v>Шувакиш</v>
      </c>
      <c r="J6363" s="5"/>
      <c r="AL6363" s="5">
        <f t="shared" si="200"/>
        <v>0</v>
      </c>
    </row>
    <row r="6364" spans="1:38" ht="25.5" customHeight="1" x14ac:dyDescent="0.25">
      <c r="A6364" s="10" t="s">
        <v>5009</v>
      </c>
      <c r="B6364" s="11" t="s">
        <v>1669</v>
      </c>
      <c r="C6364" s="5">
        <v>60615.160499999998</v>
      </c>
      <c r="D6364" s="5">
        <v>60615.160499999998</v>
      </c>
      <c r="E6364" s="5">
        <v>54888.112399999998</v>
      </c>
      <c r="G6364" s="5" t="str">
        <f t="shared" si="199"/>
        <v>СОЛНЕЧНЫЙ</v>
      </c>
      <c r="J6364" s="5"/>
      <c r="AL6364" s="5">
        <f t="shared" si="200"/>
        <v>0</v>
      </c>
    </row>
    <row r="6365" spans="1:38" ht="25.5" customHeight="1" x14ac:dyDescent="0.25">
      <c r="A6365" s="10" t="s">
        <v>5010</v>
      </c>
      <c r="B6365" s="11" t="s">
        <v>1661</v>
      </c>
      <c r="C6365" s="5">
        <v>51175.5573</v>
      </c>
      <c r="D6365" s="5">
        <v>51175.5573</v>
      </c>
      <c r="E6365" s="5">
        <v>46340.381600000001</v>
      </c>
      <c r="G6365" s="5" t="str">
        <f t="shared" si="199"/>
        <v>СЕВЕРКА</v>
      </c>
      <c r="J6365" s="5"/>
      <c r="AL6365" s="5">
        <f t="shared" si="200"/>
        <v>0</v>
      </c>
    </row>
    <row r="6366" spans="1:38" ht="25.5" customHeight="1" x14ac:dyDescent="0.25">
      <c r="A6366" s="10" t="s">
        <v>5011</v>
      </c>
      <c r="B6366" s="11" t="s">
        <v>389</v>
      </c>
      <c r="C6366" s="5">
        <v>51175.5573</v>
      </c>
      <c r="D6366" s="5">
        <v>51175.5573</v>
      </c>
      <c r="E6366" s="5">
        <v>46340.381600000001</v>
      </c>
      <c r="G6366" s="5" t="str">
        <f t="shared" si="199"/>
        <v>Северка</v>
      </c>
      <c r="J6366" s="5"/>
      <c r="AL6366" s="5">
        <f t="shared" si="200"/>
        <v>0</v>
      </c>
    </row>
    <row r="6367" spans="1:38" ht="25.5" customHeight="1" x14ac:dyDescent="0.25">
      <c r="A6367" s="10" t="s">
        <v>5012</v>
      </c>
      <c r="B6367" s="11" t="s">
        <v>1661</v>
      </c>
      <c r="C6367" s="5">
        <v>51175.5573</v>
      </c>
      <c r="D6367" s="5">
        <v>51175.5573</v>
      </c>
      <c r="E6367" s="5">
        <v>46340.381600000001</v>
      </c>
      <c r="G6367" s="5" t="str">
        <f t="shared" si="199"/>
        <v>СЕВЕРКА</v>
      </c>
      <c r="J6367" s="5"/>
      <c r="AL6367" s="5">
        <f t="shared" si="200"/>
        <v>0</v>
      </c>
    </row>
    <row r="6368" spans="1:38" ht="25.5" customHeight="1" x14ac:dyDescent="0.25">
      <c r="A6368" s="10" t="s">
        <v>5013</v>
      </c>
      <c r="B6368" s="11" t="s">
        <v>1639</v>
      </c>
      <c r="C6368" s="5">
        <v>53500.443299999999</v>
      </c>
      <c r="D6368" s="5">
        <v>53500.443299999999</v>
      </c>
      <c r="E6368" s="5">
        <v>48445.605100000001</v>
      </c>
      <c r="G6368" s="5" t="str">
        <f t="shared" si="199"/>
        <v>ИСТОК</v>
      </c>
      <c r="J6368" s="5"/>
      <c r="AL6368" s="5">
        <f t="shared" si="200"/>
        <v>0</v>
      </c>
    </row>
    <row r="6369" spans="1:38" ht="25.5" customHeight="1" x14ac:dyDescent="0.25">
      <c r="A6369" s="10" t="s">
        <v>5014</v>
      </c>
      <c r="B6369" s="11" t="s">
        <v>389</v>
      </c>
      <c r="C6369" s="5">
        <v>51175.5573</v>
      </c>
      <c r="D6369" s="5">
        <v>51175.5573</v>
      </c>
      <c r="E6369" s="5">
        <v>46340.381600000001</v>
      </c>
      <c r="G6369" s="5" t="str">
        <f t="shared" si="199"/>
        <v>Северка</v>
      </c>
      <c r="J6369" s="5"/>
      <c r="AL6369" s="5">
        <f t="shared" si="200"/>
        <v>0</v>
      </c>
    </row>
    <row r="6370" spans="1:38" ht="25.5" customHeight="1" x14ac:dyDescent="0.25">
      <c r="A6370" s="10" t="s">
        <v>5015</v>
      </c>
      <c r="B6370" s="11" t="s">
        <v>483</v>
      </c>
      <c r="C6370" s="5">
        <v>44242.899599999997</v>
      </c>
      <c r="D6370" s="5">
        <v>44242.899599999997</v>
      </c>
      <c r="E6370" s="5">
        <v>40062.737300000001</v>
      </c>
      <c r="G6370" s="5" t="str">
        <f t="shared" si="199"/>
        <v>Шувакиш</v>
      </c>
      <c r="J6370" s="5"/>
      <c r="AL6370" s="5">
        <f t="shared" si="200"/>
        <v>0</v>
      </c>
    </row>
    <row r="6371" spans="1:38" ht="25.5" customHeight="1" x14ac:dyDescent="0.25">
      <c r="A6371" s="10" t="s">
        <v>5016</v>
      </c>
      <c r="B6371" s="11" t="s">
        <v>1636</v>
      </c>
      <c r="C6371" s="5">
        <v>52246.960299999999</v>
      </c>
      <c r="D6371" s="5">
        <v>52246.960299999999</v>
      </c>
      <c r="E6371" s="5">
        <v>47310.556700000001</v>
      </c>
      <c r="G6371" s="5" t="str">
        <f t="shared" si="199"/>
        <v>ГОРНЫЙ ЩИТ</v>
      </c>
      <c r="J6371" s="5"/>
      <c r="AL6371" s="5">
        <f t="shared" si="200"/>
        <v>0</v>
      </c>
    </row>
    <row r="6372" spans="1:38" ht="25.5" customHeight="1" x14ac:dyDescent="0.25">
      <c r="A6372" s="10" t="s">
        <v>5017</v>
      </c>
      <c r="B6372" s="11" t="s">
        <v>1647</v>
      </c>
      <c r="C6372" s="5">
        <v>63178.133800000003</v>
      </c>
      <c r="D6372" s="5">
        <v>63178.133800000003</v>
      </c>
      <c r="E6372" s="5">
        <v>57208.931499999999</v>
      </c>
      <c r="G6372" s="5" t="str">
        <f t="shared" si="199"/>
        <v>ШИРОКАЯ РЕЧКА</v>
      </c>
      <c r="J6372" s="5"/>
      <c r="AL6372" s="5">
        <f t="shared" si="200"/>
        <v>0</v>
      </c>
    </row>
    <row r="6373" spans="1:38" ht="25.5" customHeight="1" x14ac:dyDescent="0.25">
      <c r="A6373" s="10" t="s">
        <v>1384</v>
      </c>
      <c r="B6373" s="11" t="s">
        <v>1663</v>
      </c>
      <c r="C6373" s="5">
        <v>44242.899599999997</v>
      </c>
      <c r="D6373" s="5">
        <v>44242.899599999997</v>
      </c>
      <c r="E6373" s="5">
        <v>40062.737300000001</v>
      </c>
      <c r="G6373" s="5" t="str">
        <f t="shared" si="199"/>
        <v>ШУВАКИШ</v>
      </c>
      <c r="J6373" s="5"/>
      <c r="AL6373" s="5">
        <f t="shared" si="200"/>
        <v>0</v>
      </c>
    </row>
    <row r="6374" spans="1:38" ht="25.5" customHeight="1" x14ac:dyDescent="0.25">
      <c r="A6374" s="10" t="s">
        <v>5018</v>
      </c>
      <c r="B6374" s="11" t="s">
        <v>1659</v>
      </c>
      <c r="C6374" s="5">
        <v>59746.832600000002</v>
      </c>
      <c r="D6374" s="5">
        <v>59746.832600000002</v>
      </c>
      <c r="E6374" s="5">
        <v>54101.823700000001</v>
      </c>
      <c r="G6374" s="5" t="str">
        <f t="shared" si="199"/>
        <v>СОВХОЗ</v>
      </c>
      <c r="J6374" s="5"/>
      <c r="AL6374" s="5">
        <f t="shared" si="200"/>
        <v>0</v>
      </c>
    </row>
    <row r="6375" spans="1:38" ht="25.5" customHeight="1" x14ac:dyDescent="0.25">
      <c r="A6375" s="10" t="s">
        <v>5019</v>
      </c>
      <c r="B6375" s="11" t="s">
        <v>1661</v>
      </c>
      <c r="C6375" s="5">
        <v>51175.5573</v>
      </c>
      <c r="D6375" s="5">
        <v>51175.5573</v>
      </c>
      <c r="E6375" s="5">
        <v>46340.381600000001</v>
      </c>
      <c r="G6375" s="5" t="str">
        <f t="shared" si="199"/>
        <v>СЕВЕРКА</v>
      </c>
      <c r="J6375" s="5"/>
      <c r="AL6375" s="5">
        <f t="shared" si="200"/>
        <v>0</v>
      </c>
    </row>
    <row r="6376" spans="1:38" ht="25.5" customHeight="1" x14ac:dyDescent="0.25">
      <c r="A6376" s="10" t="s">
        <v>5020</v>
      </c>
      <c r="B6376" s="11" t="s">
        <v>1631</v>
      </c>
      <c r="C6376" s="5">
        <v>70026.7601</v>
      </c>
      <c r="D6376" s="5">
        <v>70026.7601</v>
      </c>
      <c r="E6376" s="5">
        <v>63410.482000000004</v>
      </c>
      <c r="G6376" s="5" t="str">
        <f t="shared" si="199"/>
        <v>УРАЛМАШ</v>
      </c>
      <c r="J6376" s="5"/>
      <c r="AL6376" s="5">
        <f t="shared" si="200"/>
        <v>0</v>
      </c>
    </row>
    <row r="6377" spans="1:38" ht="25.5" customHeight="1" x14ac:dyDescent="0.25">
      <c r="A6377" s="10" t="s">
        <v>5021</v>
      </c>
      <c r="B6377" s="11" t="s">
        <v>1637</v>
      </c>
      <c r="C6377" s="5">
        <v>59368.686099999999</v>
      </c>
      <c r="D6377" s="5">
        <v>59368.686099999999</v>
      </c>
      <c r="E6377" s="5">
        <v>53759.401700000002</v>
      </c>
      <c r="G6377" s="5" t="str">
        <f t="shared" si="199"/>
        <v>Старая сортировка</v>
      </c>
      <c r="J6377" s="5"/>
      <c r="AL6377" s="5">
        <f t="shared" si="200"/>
        <v>0</v>
      </c>
    </row>
    <row r="6378" spans="1:38" ht="25.5" customHeight="1" x14ac:dyDescent="0.25">
      <c r="A6378" s="10" t="s">
        <v>5022</v>
      </c>
      <c r="B6378" s="11" t="s">
        <v>118</v>
      </c>
      <c r="C6378" s="5">
        <v>53500.443299999999</v>
      </c>
      <c r="D6378" s="5">
        <v>53500.443299999999</v>
      </c>
      <c r="E6378" s="5">
        <v>48445.605100000001</v>
      </c>
      <c r="G6378" s="5" t="str">
        <f t="shared" si="199"/>
        <v>Исток</v>
      </c>
      <c r="J6378" s="5"/>
      <c r="AL6378" s="5">
        <f t="shared" si="200"/>
        <v>0</v>
      </c>
    </row>
    <row r="6379" spans="1:38" ht="25.5" customHeight="1" x14ac:dyDescent="0.25">
      <c r="A6379" s="10" t="s">
        <v>5023</v>
      </c>
      <c r="B6379" s="11" t="s">
        <v>1656</v>
      </c>
      <c r="C6379" s="5">
        <v>60173.9879</v>
      </c>
      <c r="D6379" s="5">
        <v>60173.9879</v>
      </c>
      <c r="E6379" s="5">
        <v>54488.630299999997</v>
      </c>
      <c r="G6379" s="5" t="str">
        <f t="shared" si="199"/>
        <v>МАЛЫЙ ИСТОК</v>
      </c>
      <c r="J6379" s="5"/>
      <c r="AL6379" s="5">
        <f t="shared" si="200"/>
        <v>0</v>
      </c>
    </row>
    <row r="6380" spans="1:38" ht="25.5" customHeight="1" x14ac:dyDescent="0.25">
      <c r="A6380" s="10" t="s">
        <v>5024</v>
      </c>
      <c r="B6380" s="11" t="s">
        <v>1663</v>
      </c>
      <c r="C6380" s="5">
        <v>44242.899599999997</v>
      </c>
      <c r="D6380" s="5">
        <v>44242.899599999997</v>
      </c>
      <c r="E6380" s="5">
        <v>40062.737300000001</v>
      </c>
      <c r="G6380" s="5" t="str">
        <f t="shared" si="199"/>
        <v>ШУВАКИШ</v>
      </c>
      <c r="J6380" s="5"/>
      <c r="AL6380" s="5">
        <f t="shared" si="200"/>
        <v>0</v>
      </c>
    </row>
    <row r="6381" spans="1:38" ht="25.5" customHeight="1" x14ac:dyDescent="0.25">
      <c r="A6381" s="10" t="s">
        <v>5025</v>
      </c>
      <c r="B6381" s="11" t="s">
        <v>389</v>
      </c>
      <c r="C6381" s="5">
        <v>51175.5573</v>
      </c>
      <c r="D6381" s="5">
        <v>51175.5573</v>
      </c>
      <c r="E6381" s="5">
        <v>46340.381600000001</v>
      </c>
      <c r="G6381" s="5" t="str">
        <f t="shared" si="199"/>
        <v>Северка</v>
      </c>
      <c r="J6381" s="5"/>
      <c r="AL6381" s="5">
        <f t="shared" si="200"/>
        <v>0</v>
      </c>
    </row>
    <row r="6382" spans="1:38" ht="25.5" customHeight="1" x14ac:dyDescent="0.25">
      <c r="A6382" s="10" t="s">
        <v>5026</v>
      </c>
      <c r="B6382" s="11" t="s">
        <v>1663</v>
      </c>
      <c r="C6382" s="5">
        <v>44242.899599999997</v>
      </c>
      <c r="D6382" s="5">
        <v>44242.899599999997</v>
      </c>
      <c r="E6382" s="5">
        <v>40062.737300000001</v>
      </c>
      <c r="G6382" s="5" t="str">
        <f t="shared" si="199"/>
        <v>ШУВАКИШ</v>
      </c>
      <c r="J6382" s="5"/>
      <c r="AL6382" s="5">
        <f t="shared" si="200"/>
        <v>0</v>
      </c>
    </row>
    <row r="6383" spans="1:38" ht="25.5" customHeight="1" x14ac:dyDescent="0.25">
      <c r="A6383" s="10" t="s">
        <v>5027</v>
      </c>
      <c r="B6383" s="11" t="s">
        <v>1650</v>
      </c>
      <c r="C6383" s="5">
        <v>37590.3603</v>
      </c>
      <c r="D6383" s="5">
        <v>37590.3603</v>
      </c>
      <c r="E6383" s="5">
        <v>34038.745900000002</v>
      </c>
      <c r="G6383" s="5" t="str">
        <f t="shared" si="199"/>
        <v>ШАБРОВСКИЙ</v>
      </c>
      <c r="J6383" s="5"/>
      <c r="AL6383" s="5">
        <f t="shared" si="200"/>
        <v>0</v>
      </c>
    </row>
    <row r="6384" spans="1:38" ht="25.5" customHeight="1" x14ac:dyDescent="0.25">
      <c r="A6384" s="10" t="s">
        <v>5028</v>
      </c>
      <c r="B6384" s="11" t="s">
        <v>483</v>
      </c>
      <c r="C6384" s="5">
        <v>44242.899599999997</v>
      </c>
      <c r="D6384" s="5">
        <v>44242.899599999997</v>
      </c>
      <c r="E6384" s="5">
        <v>40062.737300000001</v>
      </c>
      <c r="G6384" s="5" t="str">
        <f t="shared" si="199"/>
        <v>Шувакиш</v>
      </c>
      <c r="J6384" s="5"/>
      <c r="AL6384" s="5">
        <f t="shared" si="200"/>
        <v>0</v>
      </c>
    </row>
    <row r="6385" spans="1:38" ht="25.5" customHeight="1" x14ac:dyDescent="0.25">
      <c r="A6385" s="10" t="s">
        <v>5029</v>
      </c>
      <c r="B6385" s="11" t="s">
        <v>33</v>
      </c>
      <c r="C6385" s="5">
        <v>84298.205100000006</v>
      </c>
      <c r="D6385" s="5">
        <v>84298.205100000006</v>
      </c>
      <c r="E6385" s="5">
        <v>76333.533100000001</v>
      </c>
      <c r="G6385" s="5" t="str">
        <f t="shared" si="199"/>
        <v>ВИЗ</v>
      </c>
      <c r="J6385" s="5"/>
      <c r="AL6385" s="5">
        <f t="shared" si="200"/>
        <v>0</v>
      </c>
    </row>
    <row r="6386" spans="1:38" ht="25.5" customHeight="1" x14ac:dyDescent="0.25">
      <c r="A6386" s="10" t="s">
        <v>5030</v>
      </c>
      <c r="B6386" s="11" t="s">
        <v>1631</v>
      </c>
      <c r="C6386" s="5">
        <v>70026.7601</v>
      </c>
      <c r="D6386" s="5">
        <v>70026.7601</v>
      </c>
      <c r="E6386" s="5">
        <v>63410.482000000004</v>
      </c>
      <c r="G6386" s="5" t="str">
        <f t="shared" si="199"/>
        <v>УРАЛМАШ</v>
      </c>
      <c r="J6386" s="5"/>
      <c r="AL6386" s="5">
        <f t="shared" si="200"/>
        <v>0</v>
      </c>
    </row>
    <row r="6387" spans="1:38" ht="25.5" customHeight="1" x14ac:dyDescent="0.25">
      <c r="A6387" s="10" t="s">
        <v>5031</v>
      </c>
      <c r="B6387" s="11" t="s">
        <v>1646</v>
      </c>
      <c r="C6387" s="5">
        <v>61763.596599999997</v>
      </c>
      <c r="D6387" s="5">
        <v>61763.596599999997</v>
      </c>
      <c r="E6387" s="5">
        <v>55928.0435</v>
      </c>
      <c r="G6387" s="5" t="str">
        <f t="shared" si="199"/>
        <v>АКАДЕМИЧЕСКИЙ</v>
      </c>
      <c r="J6387" s="5"/>
      <c r="AL6387" s="5">
        <f t="shared" si="200"/>
        <v>0</v>
      </c>
    </row>
    <row r="6388" spans="1:38" ht="25.5" customHeight="1" x14ac:dyDescent="0.25">
      <c r="A6388" s="10" t="s">
        <v>5032</v>
      </c>
      <c r="B6388" s="11" t="s">
        <v>1645</v>
      </c>
      <c r="C6388" s="5">
        <v>60958.294800000003</v>
      </c>
      <c r="D6388" s="5">
        <v>60958.294800000003</v>
      </c>
      <c r="E6388" s="5">
        <v>55198.825199999999</v>
      </c>
      <c r="G6388" s="5" t="str">
        <f t="shared" si="199"/>
        <v>ЕЛИЗАВЕТ</v>
      </c>
      <c r="J6388" s="5"/>
      <c r="AL6388" s="5">
        <f t="shared" si="200"/>
        <v>0</v>
      </c>
    </row>
    <row r="6389" spans="1:38" ht="25.5" customHeight="1" x14ac:dyDescent="0.25">
      <c r="A6389" s="10" t="s">
        <v>5033</v>
      </c>
      <c r="B6389" s="11" t="s">
        <v>1636</v>
      </c>
      <c r="C6389" s="5">
        <v>52246.960299999999</v>
      </c>
      <c r="D6389" s="5">
        <v>52246.960299999999</v>
      </c>
      <c r="E6389" s="5">
        <v>47310.556700000001</v>
      </c>
      <c r="G6389" s="5" t="str">
        <f t="shared" si="199"/>
        <v>ГОРНЫЙ ЩИТ</v>
      </c>
      <c r="J6389" s="5"/>
      <c r="AL6389" s="5">
        <f t="shared" si="200"/>
        <v>0</v>
      </c>
    </row>
    <row r="6390" spans="1:38" ht="25.5" customHeight="1" x14ac:dyDescent="0.25">
      <c r="A6390" s="10" t="s">
        <v>5034</v>
      </c>
      <c r="B6390" s="11" t="s">
        <v>1636</v>
      </c>
      <c r="C6390" s="5">
        <v>52246.960299999999</v>
      </c>
      <c r="D6390" s="5">
        <v>52246.960299999999</v>
      </c>
      <c r="E6390" s="5">
        <v>47310.556700000001</v>
      </c>
      <c r="G6390" s="5" t="str">
        <f t="shared" si="199"/>
        <v>ГОРНЫЙ ЩИТ</v>
      </c>
      <c r="J6390" s="5"/>
      <c r="AL6390" s="5">
        <f t="shared" si="200"/>
        <v>0</v>
      </c>
    </row>
    <row r="6391" spans="1:38" ht="25.5" customHeight="1" x14ac:dyDescent="0.25">
      <c r="A6391" s="10" t="s">
        <v>5035</v>
      </c>
      <c r="B6391" s="11" t="s">
        <v>1631</v>
      </c>
      <c r="C6391" s="5">
        <v>70026.7601</v>
      </c>
      <c r="D6391" s="5">
        <v>70026.7601</v>
      </c>
      <c r="E6391" s="5">
        <v>63410.482000000004</v>
      </c>
      <c r="G6391" s="5" t="str">
        <f t="shared" si="199"/>
        <v>УРАЛМАШ</v>
      </c>
      <c r="J6391" s="5"/>
      <c r="AL6391" s="5">
        <f t="shared" si="200"/>
        <v>0</v>
      </c>
    </row>
    <row r="6392" spans="1:38" ht="25.5" customHeight="1" x14ac:dyDescent="0.25">
      <c r="A6392" s="10" t="s">
        <v>5036</v>
      </c>
      <c r="B6392" s="11" t="s">
        <v>1639</v>
      </c>
      <c r="C6392" s="5">
        <v>53500.443299999999</v>
      </c>
      <c r="D6392" s="5">
        <v>53500.443299999999</v>
      </c>
      <c r="E6392" s="5">
        <v>48445.605100000001</v>
      </c>
      <c r="G6392" s="5" t="str">
        <f t="shared" si="199"/>
        <v>ИСТОК</v>
      </c>
      <c r="J6392" s="5"/>
      <c r="AL6392" s="5">
        <f t="shared" si="200"/>
        <v>0</v>
      </c>
    </row>
    <row r="6393" spans="1:38" ht="25.5" customHeight="1" x14ac:dyDescent="0.25">
      <c r="A6393" s="10" t="s">
        <v>5037</v>
      </c>
      <c r="B6393" s="11" t="s">
        <v>1631</v>
      </c>
      <c r="C6393" s="5">
        <v>70026.7601</v>
      </c>
      <c r="D6393" s="5">
        <v>70026.7601</v>
      </c>
      <c r="E6393" s="5">
        <v>63410.482000000004</v>
      </c>
      <c r="G6393" s="5" t="str">
        <f t="shared" si="199"/>
        <v>УРАЛМАШ</v>
      </c>
      <c r="J6393" s="5"/>
      <c r="AL6393" s="5">
        <f t="shared" si="200"/>
        <v>0</v>
      </c>
    </row>
    <row r="6394" spans="1:38" ht="25.5" customHeight="1" x14ac:dyDescent="0.25">
      <c r="A6394" s="10" t="s">
        <v>5038</v>
      </c>
      <c r="B6394" s="11" t="s">
        <v>1636</v>
      </c>
      <c r="C6394" s="5">
        <v>52246.960299999999</v>
      </c>
      <c r="D6394" s="5">
        <v>52246.960299999999</v>
      </c>
      <c r="E6394" s="5">
        <v>47310.556700000001</v>
      </c>
      <c r="G6394" s="5" t="str">
        <f t="shared" si="199"/>
        <v>ГОРНЫЙ ЩИТ</v>
      </c>
      <c r="J6394" s="5"/>
      <c r="AL6394" s="5">
        <f t="shared" si="200"/>
        <v>0</v>
      </c>
    </row>
    <row r="6395" spans="1:38" ht="25.5" customHeight="1" x14ac:dyDescent="0.25">
      <c r="A6395" s="10" t="s">
        <v>5039</v>
      </c>
      <c r="B6395" s="11" t="s">
        <v>1636</v>
      </c>
      <c r="C6395" s="5">
        <v>52246.960299999999</v>
      </c>
      <c r="D6395" s="5">
        <v>52246.960299999999</v>
      </c>
      <c r="E6395" s="5">
        <v>47310.556700000001</v>
      </c>
      <c r="G6395" s="5" t="str">
        <f t="shared" si="199"/>
        <v>ГОРНЫЙ ЩИТ</v>
      </c>
      <c r="J6395" s="5"/>
      <c r="AL6395" s="5">
        <f t="shared" si="200"/>
        <v>0</v>
      </c>
    </row>
    <row r="6396" spans="1:38" ht="25.5" customHeight="1" x14ac:dyDescent="0.25">
      <c r="A6396" s="10" t="s">
        <v>5040</v>
      </c>
      <c r="B6396" s="11" t="s">
        <v>1663</v>
      </c>
      <c r="C6396" s="5">
        <v>44242.899599999997</v>
      </c>
      <c r="D6396" s="5">
        <v>44242.899599999997</v>
      </c>
      <c r="E6396" s="5">
        <v>40062.737300000001</v>
      </c>
      <c r="G6396" s="5" t="str">
        <f t="shared" si="199"/>
        <v>ШУВАКИШ</v>
      </c>
      <c r="J6396" s="5"/>
      <c r="AL6396" s="5">
        <f t="shared" si="200"/>
        <v>0</v>
      </c>
    </row>
    <row r="6397" spans="1:38" ht="25.5" customHeight="1" x14ac:dyDescent="0.25">
      <c r="A6397" s="10" t="s">
        <v>5041</v>
      </c>
      <c r="B6397" s="11" t="s">
        <v>1639</v>
      </c>
      <c r="C6397" s="5">
        <v>53500.443299999999</v>
      </c>
      <c r="D6397" s="5">
        <v>53500.443299999999</v>
      </c>
      <c r="E6397" s="5">
        <v>48445.605100000001</v>
      </c>
      <c r="G6397" s="5" t="str">
        <f t="shared" si="199"/>
        <v>ИСТОК</v>
      </c>
      <c r="J6397" s="5"/>
      <c r="AL6397" s="5">
        <f t="shared" si="200"/>
        <v>0</v>
      </c>
    </row>
    <row r="6398" spans="1:38" ht="25.5" customHeight="1" x14ac:dyDescent="0.25">
      <c r="A6398" s="10" t="s">
        <v>5042</v>
      </c>
      <c r="B6398" s="11" t="s">
        <v>33</v>
      </c>
      <c r="C6398" s="5">
        <v>84298.205100000006</v>
      </c>
      <c r="D6398" s="5">
        <v>84298.205100000006</v>
      </c>
      <c r="E6398" s="5">
        <v>76333.533100000001</v>
      </c>
      <c r="G6398" s="5" t="str">
        <f t="shared" si="199"/>
        <v>ВИЗ</v>
      </c>
      <c r="J6398" s="5"/>
      <c r="AL6398" s="5">
        <f t="shared" si="200"/>
        <v>0</v>
      </c>
    </row>
    <row r="6399" spans="1:38" ht="25.5" customHeight="1" x14ac:dyDescent="0.25">
      <c r="A6399" s="10" t="s">
        <v>5043</v>
      </c>
      <c r="B6399" s="11" t="s">
        <v>1636</v>
      </c>
      <c r="C6399" s="5">
        <v>52246.960299999999</v>
      </c>
      <c r="D6399" s="5">
        <v>52246.960299999999</v>
      </c>
      <c r="E6399" s="5">
        <v>47310.556700000001</v>
      </c>
      <c r="G6399" s="5" t="str">
        <f t="shared" ref="G6399:G6462" si="201">B6399</f>
        <v>ГОРНЫЙ ЩИТ</v>
      </c>
      <c r="J6399" s="5"/>
      <c r="AL6399" s="5">
        <f t="shared" ref="AL6399:AL6462" si="202">AF6399</f>
        <v>0</v>
      </c>
    </row>
    <row r="6400" spans="1:38" ht="25.5" customHeight="1" x14ac:dyDescent="0.25">
      <c r="A6400" s="10" t="s">
        <v>5044</v>
      </c>
      <c r="B6400" s="11" t="s">
        <v>389</v>
      </c>
      <c r="C6400" s="5">
        <v>51175.5573</v>
      </c>
      <c r="D6400" s="5">
        <v>51175.5573</v>
      </c>
      <c r="E6400" s="5">
        <v>46340.381600000001</v>
      </c>
      <c r="G6400" s="5" t="str">
        <f t="shared" si="201"/>
        <v>Северка</v>
      </c>
      <c r="J6400" s="5"/>
      <c r="AL6400" s="5">
        <f t="shared" si="202"/>
        <v>0</v>
      </c>
    </row>
    <row r="6401" spans="1:38" ht="25.5" customHeight="1" x14ac:dyDescent="0.25">
      <c r="A6401" s="10" t="s">
        <v>5045</v>
      </c>
      <c r="B6401" s="11" t="s">
        <v>1645</v>
      </c>
      <c r="C6401" s="5">
        <v>60958.294800000003</v>
      </c>
      <c r="D6401" s="5">
        <v>60958.294800000003</v>
      </c>
      <c r="E6401" s="5">
        <v>55198.825199999999</v>
      </c>
      <c r="G6401" s="5" t="str">
        <f t="shared" si="201"/>
        <v>ЕЛИЗАВЕТ</v>
      </c>
      <c r="J6401" s="5"/>
      <c r="AL6401" s="5">
        <f t="shared" si="202"/>
        <v>0</v>
      </c>
    </row>
    <row r="6402" spans="1:38" ht="25.5" customHeight="1" x14ac:dyDescent="0.25">
      <c r="A6402" s="10" t="s">
        <v>5046</v>
      </c>
      <c r="B6402" s="11" t="s">
        <v>33</v>
      </c>
      <c r="C6402" s="5">
        <v>84298.205100000006</v>
      </c>
      <c r="D6402" s="5">
        <v>84298.205100000006</v>
      </c>
      <c r="E6402" s="5">
        <v>76333.533100000001</v>
      </c>
      <c r="G6402" s="5" t="str">
        <f t="shared" si="201"/>
        <v>ВИЗ</v>
      </c>
      <c r="J6402" s="5"/>
      <c r="AL6402" s="5">
        <f t="shared" si="202"/>
        <v>0</v>
      </c>
    </row>
    <row r="6403" spans="1:38" ht="25.5" customHeight="1" x14ac:dyDescent="0.25">
      <c r="A6403" s="10" t="s">
        <v>5047</v>
      </c>
      <c r="B6403" s="11" t="s">
        <v>389</v>
      </c>
      <c r="C6403" s="5">
        <v>51175.5573</v>
      </c>
      <c r="D6403" s="5">
        <v>51175.5573</v>
      </c>
      <c r="E6403" s="5">
        <v>46340.381600000001</v>
      </c>
      <c r="G6403" s="5" t="str">
        <f t="shared" si="201"/>
        <v>Северка</v>
      </c>
      <c r="J6403" s="5"/>
      <c r="AL6403" s="5">
        <f t="shared" si="202"/>
        <v>0</v>
      </c>
    </row>
    <row r="6404" spans="1:38" ht="25.5" customHeight="1" x14ac:dyDescent="0.25">
      <c r="A6404" s="10" t="s">
        <v>5048</v>
      </c>
      <c r="B6404" s="11" t="s">
        <v>483</v>
      </c>
      <c r="C6404" s="5">
        <v>44242.899599999997</v>
      </c>
      <c r="D6404" s="5">
        <v>44242.899599999997</v>
      </c>
      <c r="E6404" s="5">
        <v>40062.737300000001</v>
      </c>
      <c r="G6404" s="5" t="str">
        <f t="shared" si="201"/>
        <v>Шувакиш</v>
      </c>
      <c r="J6404" s="5"/>
      <c r="AL6404" s="5">
        <f t="shared" si="202"/>
        <v>0</v>
      </c>
    </row>
    <row r="6405" spans="1:38" ht="25.5" customHeight="1" x14ac:dyDescent="0.25">
      <c r="A6405" s="10" t="s">
        <v>5049</v>
      </c>
      <c r="B6405" s="11" t="s">
        <v>118</v>
      </c>
      <c r="C6405" s="5">
        <v>53500.443299999999</v>
      </c>
      <c r="D6405" s="5">
        <v>53500.443299999999</v>
      </c>
      <c r="E6405" s="5">
        <v>48445.605100000001</v>
      </c>
      <c r="G6405" s="5" t="str">
        <f t="shared" si="201"/>
        <v>Исток</v>
      </c>
      <c r="J6405" s="5"/>
      <c r="AL6405" s="5">
        <f t="shared" si="202"/>
        <v>0</v>
      </c>
    </row>
    <row r="6406" spans="1:38" ht="25.5" customHeight="1" x14ac:dyDescent="0.25">
      <c r="A6406" s="10" t="s">
        <v>5050</v>
      </c>
      <c r="B6406" s="11" t="s">
        <v>1661</v>
      </c>
      <c r="C6406" s="5">
        <v>51175.5573</v>
      </c>
      <c r="D6406" s="5">
        <v>51175.5573</v>
      </c>
      <c r="E6406" s="5">
        <v>46340.381600000001</v>
      </c>
      <c r="G6406" s="5" t="str">
        <f t="shared" si="201"/>
        <v>СЕВЕРКА</v>
      </c>
      <c r="J6406" s="5"/>
      <c r="AL6406" s="5">
        <f t="shared" si="202"/>
        <v>0</v>
      </c>
    </row>
    <row r="6407" spans="1:38" ht="25.5" customHeight="1" x14ac:dyDescent="0.25">
      <c r="A6407" s="10" t="s">
        <v>5051</v>
      </c>
      <c r="B6407" s="11" t="s">
        <v>1636</v>
      </c>
      <c r="C6407" s="5">
        <v>52246.960299999999</v>
      </c>
      <c r="D6407" s="5">
        <v>52246.960299999999</v>
      </c>
      <c r="E6407" s="5">
        <v>47310.556700000001</v>
      </c>
      <c r="G6407" s="5" t="str">
        <f t="shared" si="201"/>
        <v>ГОРНЫЙ ЩИТ</v>
      </c>
      <c r="J6407" s="5"/>
      <c r="AL6407" s="5">
        <f t="shared" si="202"/>
        <v>0</v>
      </c>
    </row>
    <row r="6408" spans="1:38" ht="25.5" customHeight="1" x14ac:dyDescent="0.25">
      <c r="A6408" s="10" t="s">
        <v>5052</v>
      </c>
      <c r="B6408" s="11" t="s">
        <v>389</v>
      </c>
      <c r="C6408" s="5">
        <v>51175.5573</v>
      </c>
      <c r="D6408" s="5">
        <v>51175.5573</v>
      </c>
      <c r="E6408" s="5">
        <v>46340.381600000001</v>
      </c>
      <c r="G6408" s="5" t="str">
        <f t="shared" si="201"/>
        <v>Северка</v>
      </c>
      <c r="J6408" s="5"/>
      <c r="AL6408" s="5">
        <f t="shared" si="202"/>
        <v>0</v>
      </c>
    </row>
    <row r="6409" spans="1:38" ht="25.5" customHeight="1" x14ac:dyDescent="0.25">
      <c r="A6409" s="10" t="s">
        <v>5053</v>
      </c>
      <c r="B6409" s="11" t="s">
        <v>1639</v>
      </c>
      <c r="C6409" s="5">
        <v>53500.443299999999</v>
      </c>
      <c r="D6409" s="5">
        <v>53500.443299999999</v>
      </c>
      <c r="E6409" s="5">
        <v>48445.605100000001</v>
      </c>
      <c r="G6409" s="5" t="str">
        <f t="shared" si="201"/>
        <v>ИСТОК</v>
      </c>
      <c r="J6409" s="5"/>
      <c r="AL6409" s="5">
        <f t="shared" si="202"/>
        <v>0</v>
      </c>
    </row>
    <row r="6410" spans="1:38" ht="25.5" customHeight="1" x14ac:dyDescent="0.25">
      <c r="A6410" s="10" t="s">
        <v>5054</v>
      </c>
      <c r="B6410" s="11" t="s">
        <v>1664</v>
      </c>
      <c r="C6410" s="5">
        <v>53668.506099999999</v>
      </c>
      <c r="D6410" s="5">
        <v>53668.506099999999</v>
      </c>
      <c r="E6410" s="5">
        <v>48597.792699999998</v>
      </c>
      <c r="G6410" s="5" t="str">
        <f t="shared" si="201"/>
        <v>ИЗОПЛИТ</v>
      </c>
      <c r="J6410" s="5"/>
      <c r="AL6410" s="5">
        <f t="shared" si="202"/>
        <v>0</v>
      </c>
    </row>
    <row r="6411" spans="1:38" ht="25.5" customHeight="1" x14ac:dyDescent="0.25">
      <c r="A6411" s="10" t="s">
        <v>5055</v>
      </c>
      <c r="B6411" s="11" t="s">
        <v>1661</v>
      </c>
      <c r="C6411" s="5">
        <v>51175.5573</v>
      </c>
      <c r="D6411" s="5">
        <v>51175.5573</v>
      </c>
      <c r="E6411" s="5">
        <v>46340.381600000001</v>
      </c>
      <c r="G6411" s="5" t="str">
        <f t="shared" si="201"/>
        <v>СЕВЕРКА</v>
      </c>
      <c r="J6411" s="5"/>
      <c r="AL6411" s="5">
        <f t="shared" si="202"/>
        <v>0</v>
      </c>
    </row>
    <row r="6412" spans="1:38" ht="25.5" customHeight="1" x14ac:dyDescent="0.25">
      <c r="A6412" s="10" t="s">
        <v>5056</v>
      </c>
      <c r="B6412" s="11" t="s">
        <v>483</v>
      </c>
      <c r="C6412" s="5">
        <v>44242.899599999997</v>
      </c>
      <c r="D6412" s="5">
        <v>44242.899599999997</v>
      </c>
      <c r="E6412" s="5">
        <v>40062.737300000001</v>
      </c>
      <c r="G6412" s="5" t="str">
        <f t="shared" si="201"/>
        <v>Шувакиш</v>
      </c>
      <c r="J6412" s="5"/>
      <c r="AL6412" s="5">
        <f t="shared" si="202"/>
        <v>0</v>
      </c>
    </row>
    <row r="6413" spans="1:38" ht="25.5" customHeight="1" x14ac:dyDescent="0.25">
      <c r="A6413" s="10" t="s">
        <v>5057</v>
      </c>
      <c r="B6413" s="11" t="s">
        <v>483</v>
      </c>
      <c r="C6413" s="5">
        <v>44242.899599999997</v>
      </c>
      <c r="D6413" s="5">
        <v>44242.899599999997</v>
      </c>
      <c r="E6413" s="5">
        <v>40062.737300000001</v>
      </c>
      <c r="G6413" s="5" t="str">
        <f t="shared" si="201"/>
        <v>Шувакиш</v>
      </c>
      <c r="J6413" s="5"/>
      <c r="AL6413" s="5">
        <f t="shared" si="202"/>
        <v>0</v>
      </c>
    </row>
    <row r="6414" spans="1:38" ht="25.5" customHeight="1" x14ac:dyDescent="0.25">
      <c r="A6414" s="10" t="s">
        <v>5058</v>
      </c>
      <c r="B6414" s="11" t="s">
        <v>1662</v>
      </c>
      <c r="C6414" s="5">
        <v>46784.877899999999</v>
      </c>
      <c r="D6414" s="5">
        <v>46784.877899999999</v>
      </c>
      <c r="E6414" s="5">
        <v>42364.543299999998</v>
      </c>
      <c r="G6414" s="5" t="str">
        <f t="shared" si="201"/>
        <v>РУДНЫЙ</v>
      </c>
      <c r="J6414" s="5"/>
      <c r="AL6414" s="5">
        <f t="shared" si="202"/>
        <v>0</v>
      </c>
    </row>
    <row r="6415" spans="1:38" ht="25.5" customHeight="1" x14ac:dyDescent="0.25">
      <c r="A6415" s="10" t="s">
        <v>5059</v>
      </c>
      <c r="B6415" s="11" t="s">
        <v>1636</v>
      </c>
      <c r="C6415" s="5">
        <v>52246.960299999999</v>
      </c>
      <c r="D6415" s="5">
        <v>52246.960299999999</v>
      </c>
      <c r="E6415" s="5">
        <v>47310.556700000001</v>
      </c>
      <c r="G6415" s="5" t="str">
        <f t="shared" si="201"/>
        <v>ГОРНЫЙ ЩИТ</v>
      </c>
      <c r="J6415" s="5"/>
      <c r="AL6415" s="5">
        <f t="shared" si="202"/>
        <v>0</v>
      </c>
    </row>
    <row r="6416" spans="1:38" ht="25.5" customHeight="1" x14ac:dyDescent="0.25">
      <c r="A6416" s="10" t="s">
        <v>5060</v>
      </c>
      <c r="B6416" s="11" t="s">
        <v>1636</v>
      </c>
      <c r="C6416" s="5">
        <v>52246.960299999999</v>
      </c>
      <c r="D6416" s="5">
        <v>52246.960299999999</v>
      </c>
      <c r="E6416" s="5">
        <v>47310.556700000001</v>
      </c>
      <c r="G6416" s="5" t="str">
        <f t="shared" si="201"/>
        <v>ГОРНЫЙ ЩИТ</v>
      </c>
      <c r="J6416" s="5"/>
      <c r="AL6416" s="5">
        <f t="shared" si="202"/>
        <v>0</v>
      </c>
    </row>
    <row r="6417" spans="1:38" ht="25.5" customHeight="1" x14ac:dyDescent="0.25">
      <c r="A6417" s="10" t="s">
        <v>5061</v>
      </c>
      <c r="B6417" s="11" t="s">
        <v>118</v>
      </c>
      <c r="C6417" s="5">
        <v>53500.443299999999</v>
      </c>
      <c r="D6417" s="5">
        <v>53500.443299999999</v>
      </c>
      <c r="E6417" s="5">
        <v>48445.605100000001</v>
      </c>
      <c r="G6417" s="5" t="str">
        <f t="shared" si="201"/>
        <v>Исток</v>
      </c>
      <c r="J6417" s="5"/>
      <c r="AL6417" s="5">
        <f t="shared" si="202"/>
        <v>0</v>
      </c>
    </row>
    <row r="6418" spans="1:38" ht="25.5" customHeight="1" x14ac:dyDescent="0.25">
      <c r="A6418" s="10" t="s">
        <v>5062</v>
      </c>
      <c r="B6418" s="11" t="s">
        <v>1639</v>
      </c>
      <c r="C6418" s="5">
        <v>53500.443299999999</v>
      </c>
      <c r="D6418" s="5">
        <v>53500.443299999999</v>
      </c>
      <c r="E6418" s="5">
        <v>48445.605100000001</v>
      </c>
      <c r="G6418" s="5" t="str">
        <f t="shared" si="201"/>
        <v>ИСТОК</v>
      </c>
      <c r="J6418" s="5"/>
      <c r="AL6418" s="5">
        <f t="shared" si="202"/>
        <v>0</v>
      </c>
    </row>
    <row r="6419" spans="1:38" ht="25.5" customHeight="1" x14ac:dyDescent="0.25">
      <c r="A6419" s="10" t="s">
        <v>5063</v>
      </c>
      <c r="B6419" s="11" t="s">
        <v>483</v>
      </c>
      <c r="C6419" s="5">
        <v>44242.899599999997</v>
      </c>
      <c r="D6419" s="5">
        <v>44242.899599999997</v>
      </c>
      <c r="E6419" s="5">
        <v>40062.737300000001</v>
      </c>
      <c r="G6419" s="5" t="str">
        <f t="shared" si="201"/>
        <v>Шувакиш</v>
      </c>
      <c r="J6419" s="5"/>
      <c r="AL6419" s="5">
        <f t="shared" si="202"/>
        <v>0</v>
      </c>
    </row>
    <row r="6420" spans="1:38" ht="25.5" customHeight="1" x14ac:dyDescent="0.25">
      <c r="A6420" s="10" t="s">
        <v>5064</v>
      </c>
      <c r="B6420" s="11" t="s">
        <v>1667</v>
      </c>
      <c r="C6420" s="5">
        <v>56546.599699999999</v>
      </c>
      <c r="D6420" s="5">
        <v>56546.599699999999</v>
      </c>
      <c r="E6420" s="5">
        <v>51203.963499999998</v>
      </c>
      <c r="G6420" s="5" t="str">
        <f t="shared" si="201"/>
        <v>КАЛИНОВСКИЙ</v>
      </c>
      <c r="J6420" s="5"/>
      <c r="AL6420" s="5">
        <f t="shared" si="202"/>
        <v>0</v>
      </c>
    </row>
    <row r="6421" spans="1:38" ht="25.5" customHeight="1" x14ac:dyDescent="0.25">
      <c r="A6421" s="10" t="s">
        <v>5065</v>
      </c>
      <c r="B6421" s="11" t="s">
        <v>1636</v>
      </c>
      <c r="C6421" s="5">
        <v>52246.960299999999</v>
      </c>
      <c r="D6421" s="5">
        <v>52246.960299999999</v>
      </c>
      <c r="E6421" s="5">
        <v>47310.556700000001</v>
      </c>
      <c r="G6421" s="5" t="str">
        <f t="shared" si="201"/>
        <v>ГОРНЫЙ ЩИТ</v>
      </c>
      <c r="J6421" s="5"/>
      <c r="AL6421" s="5">
        <f t="shared" si="202"/>
        <v>0</v>
      </c>
    </row>
    <row r="6422" spans="1:38" ht="25.5" customHeight="1" x14ac:dyDescent="0.25">
      <c r="A6422" s="10" t="s">
        <v>5066</v>
      </c>
      <c r="B6422" s="11" t="s">
        <v>1661</v>
      </c>
      <c r="C6422" s="5">
        <v>51175.5573</v>
      </c>
      <c r="D6422" s="5">
        <v>51175.5573</v>
      </c>
      <c r="E6422" s="5">
        <v>46340.381600000001</v>
      </c>
      <c r="G6422" s="5" t="str">
        <f t="shared" si="201"/>
        <v>СЕВЕРКА</v>
      </c>
      <c r="J6422" s="5"/>
      <c r="AL6422" s="5">
        <f t="shared" si="202"/>
        <v>0</v>
      </c>
    </row>
    <row r="6423" spans="1:38" ht="25.5" customHeight="1" x14ac:dyDescent="0.25">
      <c r="A6423" s="10" t="s">
        <v>5067</v>
      </c>
      <c r="B6423" s="11" t="s">
        <v>389</v>
      </c>
      <c r="C6423" s="5">
        <v>51175.5573</v>
      </c>
      <c r="D6423" s="5">
        <v>51175.5573</v>
      </c>
      <c r="E6423" s="5">
        <v>46340.381600000001</v>
      </c>
      <c r="G6423" s="5" t="str">
        <f t="shared" si="201"/>
        <v>Северка</v>
      </c>
      <c r="J6423" s="5"/>
      <c r="AL6423" s="5">
        <f t="shared" si="202"/>
        <v>0</v>
      </c>
    </row>
    <row r="6424" spans="1:38" ht="25.5" customHeight="1" x14ac:dyDescent="0.25">
      <c r="A6424" s="10" t="s">
        <v>5068</v>
      </c>
      <c r="B6424" s="11" t="s">
        <v>1650</v>
      </c>
      <c r="C6424" s="5">
        <v>37590.3603</v>
      </c>
      <c r="D6424" s="5">
        <v>37590.3603</v>
      </c>
      <c r="E6424" s="5">
        <v>34038.745900000002</v>
      </c>
      <c r="G6424" s="5" t="str">
        <f t="shared" si="201"/>
        <v>ШАБРОВСКИЙ</v>
      </c>
      <c r="J6424" s="5"/>
      <c r="AL6424" s="5">
        <f t="shared" si="202"/>
        <v>0</v>
      </c>
    </row>
    <row r="6425" spans="1:38" ht="25.5" customHeight="1" x14ac:dyDescent="0.25">
      <c r="A6425" s="10" t="s">
        <v>5069</v>
      </c>
      <c r="B6425" s="11" t="s">
        <v>483</v>
      </c>
      <c r="C6425" s="5">
        <v>44242.899599999997</v>
      </c>
      <c r="D6425" s="5">
        <v>44242.899599999997</v>
      </c>
      <c r="E6425" s="5">
        <v>40062.737300000001</v>
      </c>
      <c r="G6425" s="5" t="str">
        <f t="shared" si="201"/>
        <v>Шувакиш</v>
      </c>
      <c r="J6425" s="5"/>
      <c r="AL6425" s="5">
        <f t="shared" si="202"/>
        <v>0</v>
      </c>
    </row>
    <row r="6426" spans="1:38" ht="25.5" customHeight="1" x14ac:dyDescent="0.25">
      <c r="A6426" s="10" t="s">
        <v>5070</v>
      </c>
      <c r="B6426" s="11" t="s">
        <v>118</v>
      </c>
      <c r="C6426" s="5">
        <v>53500.443299999999</v>
      </c>
      <c r="D6426" s="5">
        <v>53500.443299999999</v>
      </c>
      <c r="E6426" s="5">
        <v>48445.605100000001</v>
      </c>
      <c r="G6426" s="5" t="str">
        <f t="shared" si="201"/>
        <v>Исток</v>
      </c>
      <c r="J6426" s="5"/>
      <c r="AL6426" s="5">
        <f t="shared" si="202"/>
        <v>0</v>
      </c>
    </row>
    <row r="6427" spans="1:38" ht="25.5" customHeight="1" x14ac:dyDescent="0.25">
      <c r="A6427" s="10" t="s">
        <v>5071</v>
      </c>
      <c r="B6427" s="11" t="s">
        <v>1650</v>
      </c>
      <c r="C6427" s="5">
        <v>37590.3603</v>
      </c>
      <c r="D6427" s="5">
        <v>37590.3603</v>
      </c>
      <c r="E6427" s="5">
        <v>34038.745900000002</v>
      </c>
      <c r="G6427" s="5" t="str">
        <f t="shared" si="201"/>
        <v>ШАБРОВСКИЙ</v>
      </c>
      <c r="J6427" s="5"/>
      <c r="AL6427" s="5">
        <f t="shared" si="202"/>
        <v>0</v>
      </c>
    </row>
    <row r="6428" spans="1:38" ht="25.5" customHeight="1" x14ac:dyDescent="0.25">
      <c r="A6428" s="10" t="s">
        <v>5072</v>
      </c>
      <c r="B6428" s="11" t="s">
        <v>1661</v>
      </c>
      <c r="C6428" s="5">
        <v>51175.5573</v>
      </c>
      <c r="D6428" s="5">
        <v>51175.5573</v>
      </c>
      <c r="E6428" s="5">
        <v>46340.381600000001</v>
      </c>
      <c r="G6428" s="5" t="str">
        <f t="shared" si="201"/>
        <v>СЕВЕРКА</v>
      </c>
      <c r="J6428" s="5"/>
      <c r="AL6428" s="5">
        <f t="shared" si="202"/>
        <v>0</v>
      </c>
    </row>
    <row r="6429" spans="1:38" ht="25.5" customHeight="1" x14ac:dyDescent="0.25">
      <c r="A6429" s="10" t="s">
        <v>5073</v>
      </c>
      <c r="B6429" s="11" t="s">
        <v>1650</v>
      </c>
      <c r="C6429" s="5">
        <v>37590.3603</v>
      </c>
      <c r="D6429" s="5">
        <v>37590.3603</v>
      </c>
      <c r="E6429" s="5">
        <v>34038.745900000002</v>
      </c>
      <c r="G6429" s="5" t="str">
        <f t="shared" si="201"/>
        <v>ШАБРОВСКИЙ</v>
      </c>
      <c r="J6429" s="5"/>
      <c r="AL6429" s="5">
        <f t="shared" si="202"/>
        <v>0</v>
      </c>
    </row>
    <row r="6430" spans="1:38" ht="25.5" customHeight="1" x14ac:dyDescent="0.25">
      <c r="A6430" s="10" t="s">
        <v>5074</v>
      </c>
      <c r="B6430" s="11" t="s">
        <v>1650</v>
      </c>
      <c r="C6430" s="5">
        <v>37590.3603</v>
      </c>
      <c r="D6430" s="5">
        <v>37590.3603</v>
      </c>
      <c r="E6430" s="5">
        <v>34038.745900000002</v>
      </c>
      <c r="G6430" s="5" t="str">
        <f t="shared" si="201"/>
        <v>ШАБРОВСКИЙ</v>
      </c>
      <c r="J6430" s="5"/>
      <c r="AL6430" s="5">
        <f t="shared" si="202"/>
        <v>0</v>
      </c>
    </row>
    <row r="6431" spans="1:38" ht="25.5" customHeight="1" x14ac:dyDescent="0.25">
      <c r="A6431" s="10" t="s">
        <v>5075</v>
      </c>
      <c r="B6431" s="11" t="s">
        <v>118</v>
      </c>
      <c r="C6431" s="5">
        <v>53500.443299999999</v>
      </c>
      <c r="D6431" s="5">
        <v>53500.443299999999</v>
      </c>
      <c r="E6431" s="5">
        <v>48445.605100000001</v>
      </c>
      <c r="G6431" s="5" t="str">
        <f t="shared" si="201"/>
        <v>Исток</v>
      </c>
      <c r="J6431" s="5"/>
      <c r="AL6431" s="5">
        <f t="shared" si="202"/>
        <v>0</v>
      </c>
    </row>
    <row r="6432" spans="1:38" ht="25.5" customHeight="1" x14ac:dyDescent="0.25">
      <c r="A6432" s="10" t="s">
        <v>5076</v>
      </c>
      <c r="B6432" s="11" t="s">
        <v>1636</v>
      </c>
      <c r="C6432" s="5">
        <v>52246.960299999999</v>
      </c>
      <c r="D6432" s="5">
        <v>52246.960299999999</v>
      </c>
      <c r="E6432" s="5">
        <v>47310.556700000001</v>
      </c>
      <c r="G6432" s="5" t="str">
        <f t="shared" si="201"/>
        <v>ГОРНЫЙ ЩИТ</v>
      </c>
      <c r="J6432" s="5"/>
      <c r="AL6432" s="5">
        <f t="shared" si="202"/>
        <v>0</v>
      </c>
    </row>
    <row r="6433" spans="1:38" ht="25.5" customHeight="1" x14ac:dyDescent="0.25">
      <c r="A6433" s="10" t="s">
        <v>5077</v>
      </c>
      <c r="B6433" s="11" t="s">
        <v>1661</v>
      </c>
      <c r="C6433" s="5">
        <v>51175.5573</v>
      </c>
      <c r="D6433" s="5">
        <v>51175.5573</v>
      </c>
      <c r="E6433" s="5">
        <v>46340.381600000001</v>
      </c>
      <c r="G6433" s="5" t="str">
        <f t="shared" si="201"/>
        <v>СЕВЕРКА</v>
      </c>
      <c r="J6433" s="5"/>
      <c r="AL6433" s="5">
        <f t="shared" si="202"/>
        <v>0</v>
      </c>
    </row>
    <row r="6434" spans="1:38" ht="25.5" customHeight="1" x14ac:dyDescent="0.25">
      <c r="A6434" s="10" t="s">
        <v>5078</v>
      </c>
      <c r="B6434" s="11" t="s">
        <v>118</v>
      </c>
      <c r="C6434" s="5">
        <v>53500.443299999999</v>
      </c>
      <c r="D6434" s="5">
        <v>53500.443299999999</v>
      </c>
      <c r="E6434" s="5">
        <v>48445.605100000001</v>
      </c>
      <c r="G6434" s="5" t="str">
        <f t="shared" si="201"/>
        <v>Исток</v>
      </c>
      <c r="J6434" s="5"/>
      <c r="AL6434" s="5">
        <f t="shared" si="202"/>
        <v>0</v>
      </c>
    </row>
    <row r="6435" spans="1:38" ht="25.5" customHeight="1" x14ac:dyDescent="0.25">
      <c r="A6435" s="10" t="s">
        <v>5079</v>
      </c>
      <c r="B6435" s="11" t="s">
        <v>5166</v>
      </c>
      <c r="C6435" s="5">
        <v>49782.025399999999</v>
      </c>
      <c r="D6435" s="5">
        <v>49782.025399999999</v>
      </c>
      <c r="E6435" s="5">
        <v>45078.506800000003</v>
      </c>
      <c r="G6435" s="5" t="str">
        <f t="shared" si="201"/>
        <v>Чусовское озеро</v>
      </c>
      <c r="J6435" s="5"/>
      <c r="AL6435" s="5">
        <f t="shared" si="202"/>
        <v>0</v>
      </c>
    </row>
    <row r="6436" spans="1:38" ht="25.5" customHeight="1" x14ac:dyDescent="0.25">
      <c r="A6436" s="10" t="s">
        <v>5080</v>
      </c>
      <c r="B6436" s="11" t="s">
        <v>33</v>
      </c>
      <c r="C6436" s="5">
        <v>84298.205100000006</v>
      </c>
      <c r="D6436" s="5">
        <v>84298.205100000006</v>
      </c>
      <c r="E6436" s="5">
        <v>76333.533100000001</v>
      </c>
      <c r="G6436" s="5" t="str">
        <f t="shared" si="201"/>
        <v>ВИЗ</v>
      </c>
      <c r="J6436" s="5"/>
      <c r="AL6436" s="5">
        <f t="shared" si="202"/>
        <v>0</v>
      </c>
    </row>
    <row r="6437" spans="1:38" ht="25.5" customHeight="1" x14ac:dyDescent="0.25">
      <c r="A6437" s="10" t="s">
        <v>5081</v>
      </c>
      <c r="B6437" s="11" t="s">
        <v>1650</v>
      </c>
      <c r="C6437" s="5">
        <v>37590.3603</v>
      </c>
      <c r="D6437" s="5">
        <v>37590.3603</v>
      </c>
      <c r="E6437" s="5">
        <v>34038.745900000002</v>
      </c>
      <c r="G6437" s="5" t="str">
        <f t="shared" si="201"/>
        <v>ШАБРОВСКИЙ</v>
      </c>
      <c r="J6437" s="5"/>
      <c r="AL6437" s="5">
        <f t="shared" si="202"/>
        <v>0</v>
      </c>
    </row>
    <row r="6438" spans="1:38" ht="25.5" customHeight="1" x14ac:dyDescent="0.25">
      <c r="A6438" s="10" t="s">
        <v>5082</v>
      </c>
      <c r="B6438" s="11" t="s">
        <v>1636</v>
      </c>
      <c r="C6438" s="5">
        <v>52246.960299999999</v>
      </c>
      <c r="D6438" s="5">
        <v>52246.960299999999</v>
      </c>
      <c r="E6438" s="5">
        <v>47310.556700000001</v>
      </c>
      <c r="G6438" s="5" t="str">
        <f t="shared" si="201"/>
        <v>ГОРНЫЙ ЩИТ</v>
      </c>
      <c r="J6438" s="5"/>
      <c r="AL6438" s="5">
        <f t="shared" si="202"/>
        <v>0</v>
      </c>
    </row>
    <row r="6439" spans="1:38" ht="25.5" customHeight="1" x14ac:dyDescent="0.25">
      <c r="A6439" s="10" t="s">
        <v>5083</v>
      </c>
      <c r="B6439" s="11" t="s">
        <v>1636</v>
      </c>
      <c r="C6439" s="5">
        <v>52246.960299999999</v>
      </c>
      <c r="D6439" s="5">
        <v>52246.960299999999</v>
      </c>
      <c r="E6439" s="5">
        <v>47310.556700000001</v>
      </c>
      <c r="G6439" s="5" t="str">
        <f t="shared" si="201"/>
        <v>ГОРНЫЙ ЩИТ</v>
      </c>
      <c r="J6439" s="5"/>
      <c r="AL6439" s="5">
        <f t="shared" si="202"/>
        <v>0</v>
      </c>
    </row>
    <row r="6440" spans="1:38" ht="25.5" customHeight="1" x14ac:dyDescent="0.25">
      <c r="A6440" s="10" t="s">
        <v>5084</v>
      </c>
      <c r="B6440" s="11" t="s">
        <v>1639</v>
      </c>
      <c r="C6440" s="5">
        <v>53500.443299999999</v>
      </c>
      <c r="D6440" s="5">
        <v>53500.443299999999</v>
      </c>
      <c r="E6440" s="5">
        <v>48445.605100000001</v>
      </c>
      <c r="G6440" s="5" t="str">
        <f t="shared" si="201"/>
        <v>ИСТОК</v>
      </c>
      <c r="J6440" s="5"/>
      <c r="AL6440" s="5">
        <f t="shared" si="202"/>
        <v>0</v>
      </c>
    </row>
    <row r="6441" spans="1:38" ht="25.5" customHeight="1" x14ac:dyDescent="0.25">
      <c r="A6441" s="10" t="s">
        <v>5085</v>
      </c>
      <c r="B6441" s="11" t="s">
        <v>483</v>
      </c>
      <c r="C6441" s="5">
        <v>44242.899599999997</v>
      </c>
      <c r="D6441" s="5">
        <v>44242.899599999997</v>
      </c>
      <c r="E6441" s="5">
        <v>40062.737300000001</v>
      </c>
      <c r="G6441" s="5" t="str">
        <f t="shared" si="201"/>
        <v>Шувакиш</v>
      </c>
      <c r="J6441" s="5"/>
      <c r="AL6441" s="5">
        <f t="shared" si="202"/>
        <v>0</v>
      </c>
    </row>
    <row r="6442" spans="1:38" ht="25.5" customHeight="1" x14ac:dyDescent="0.25">
      <c r="A6442" s="10" t="s">
        <v>5086</v>
      </c>
      <c r="B6442" s="11" t="s">
        <v>1650</v>
      </c>
      <c r="C6442" s="5">
        <v>37590.3603</v>
      </c>
      <c r="D6442" s="5">
        <v>37590.3603</v>
      </c>
      <c r="E6442" s="5">
        <v>34038.745900000002</v>
      </c>
      <c r="G6442" s="5" t="str">
        <f t="shared" si="201"/>
        <v>ШАБРОВСКИЙ</v>
      </c>
      <c r="J6442" s="5"/>
      <c r="AL6442" s="5">
        <f t="shared" si="202"/>
        <v>0</v>
      </c>
    </row>
    <row r="6443" spans="1:38" ht="25.5" customHeight="1" x14ac:dyDescent="0.25">
      <c r="A6443" s="10" t="s">
        <v>5087</v>
      </c>
      <c r="B6443" s="11" t="s">
        <v>389</v>
      </c>
      <c r="C6443" s="5">
        <v>51175.5573</v>
      </c>
      <c r="D6443" s="5">
        <v>51175.5573</v>
      </c>
      <c r="E6443" s="5">
        <v>46340.381600000001</v>
      </c>
      <c r="G6443" s="5" t="str">
        <f t="shared" si="201"/>
        <v>Северка</v>
      </c>
      <c r="J6443" s="5"/>
      <c r="AL6443" s="5">
        <f t="shared" si="202"/>
        <v>0</v>
      </c>
    </row>
    <row r="6444" spans="1:38" ht="25.5" customHeight="1" x14ac:dyDescent="0.25">
      <c r="A6444" s="10" t="s">
        <v>5088</v>
      </c>
      <c r="B6444" s="11" t="s">
        <v>1661</v>
      </c>
      <c r="C6444" s="5">
        <v>51175.5573</v>
      </c>
      <c r="D6444" s="5">
        <v>51175.5573</v>
      </c>
      <c r="E6444" s="5">
        <v>46340.381600000001</v>
      </c>
      <c r="G6444" s="5" t="str">
        <f t="shared" si="201"/>
        <v>СЕВЕРКА</v>
      </c>
      <c r="J6444" s="5"/>
      <c r="AL6444" s="5">
        <f t="shared" si="202"/>
        <v>0</v>
      </c>
    </row>
    <row r="6445" spans="1:38" ht="25.5" customHeight="1" x14ac:dyDescent="0.25">
      <c r="A6445" s="10" t="s">
        <v>5089</v>
      </c>
      <c r="B6445" s="11" t="s">
        <v>1661</v>
      </c>
      <c r="C6445" s="5">
        <v>51175.5573</v>
      </c>
      <c r="D6445" s="5">
        <v>51175.5573</v>
      </c>
      <c r="E6445" s="5">
        <v>46340.381600000001</v>
      </c>
      <c r="G6445" s="5" t="str">
        <f t="shared" si="201"/>
        <v>СЕВЕРКА</v>
      </c>
      <c r="J6445" s="5"/>
      <c r="AL6445" s="5">
        <f t="shared" si="202"/>
        <v>0</v>
      </c>
    </row>
    <row r="6446" spans="1:38" ht="25.5" customHeight="1" x14ac:dyDescent="0.25">
      <c r="A6446" s="10" t="s">
        <v>5090</v>
      </c>
      <c r="B6446" s="11" t="s">
        <v>1650</v>
      </c>
      <c r="C6446" s="5">
        <v>37590.3603</v>
      </c>
      <c r="D6446" s="5">
        <v>37590.3603</v>
      </c>
      <c r="E6446" s="5">
        <v>34038.745900000002</v>
      </c>
      <c r="G6446" s="5" t="str">
        <f t="shared" si="201"/>
        <v>ШАБРОВСКИЙ</v>
      </c>
      <c r="J6446" s="5"/>
      <c r="AL6446" s="5">
        <f t="shared" si="202"/>
        <v>0</v>
      </c>
    </row>
    <row r="6447" spans="1:38" ht="25.5" customHeight="1" x14ac:dyDescent="0.25">
      <c r="A6447" s="10" t="s">
        <v>5091</v>
      </c>
      <c r="B6447" s="11" t="s">
        <v>483</v>
      </c>
      <c r="C6447" s="5">
        <v>44242.899599999997</v>
      </c>
      <c r="D6447" s="5">
        <v>44242.899599999997</v>
      </c>
      <c r="E6447" s="5">
        <v>40062.737300000001</v>
      </c>
      <c r="G6447" s="5" t="str">
        <f t="shared" si="201"/>
        <v>Шувакиш</v>
      </c>
      <c r="J6447" s="5"/>
      <c r="AL6447" s="5">
        <f t="shared" si="202"/>
        <v>0</v>
      </c>
    </row>
    <row r="6448" spans="1:38" ht="25.5" customHeight="1" x14ac:dyDescent="0.25">
      <c r="A6448" s="10" t="s">
        <v>5092</v>
      </c>
      <c r="B6448" s="11" t="s">
        <v>1650</v>
      </c>
      <c r="C6448" s="5">
        <v>37590.3603</v>
      </c>
      <c r="D6448" s="5">
        <v>37590.3603</v>
      </c>
      <c r="E6448" s="5">
        <v>34038.745900000002</v>
      </c>
      <c r="G6448" s="5" t="str">
        <f t="shared" si="201"/>
        <v>ШАБРОВСКИЙ</v>
      </c>
      <c r="J6448" s="5"/>
      <c r="AL6448" s="5">
        <f t="shared" si="202"/>
        <v>0</v>
      </c>
    </row>
    <row r="6449" spans="1:38" ht="25.5" customHeight="1" x14ac:dyDescent="0.25">
      <c r="A6449" s="10" t="s">
        <v>5093</v>
      </c>
      <c r="B6449" s="11" t="s">
        <v>483</v>
      </c>
      <c r="C6449" s="5">
        <v>44242.899599999997</v>
      </c>
      <c r="D6449" s="5">
        <v>44242.899599999997</v>
      </c>
      <c r="E6449" s="5">
        <v>40062.737300000001</v>
      </c>
      <c r="G6449" s="5" t="str">
        <f t="shared" si="201"/>
        <v>Шувакиш</v>
      </c>
      <c r="J6449" s="5"/>
      <c r="AL6449" s="5">
        <f t="shared" si="202"/>
        <v>0</v>
      </c>
    </row>
    <row r="6450" spans="1:38" ht="25.5" customHeight="1" x14ac:dyDescent="0.25">
      <c r="A6450" s="10" t="s">
        <v>436</v>
      </c>
      <c r="B6450" s="11" t="s">
        <v>483</v>
      </c>
      <c r="C6450" s="5">
        <v>44242.899599999997</v>
      </c>
      <c r="D6450" s="5">
        <v>44242.899599999997</v>
      </c>
      <c r="E6450" s="5">
        <v>40062.737300000001</v>
      </c>
      <c r="G6450" s="5" t="str">
        <f t="shared" si="201"/>
        <v>Шувакиш</v>
      </c>
      <c r="J6450" s="5"/>
      <c r="AL6450" s="5">
        <f t="shared" si="202"/>
        <v>0</v>
      </c>
    </row>
    <row r="6451" spans="1:38" ht="25.5" customHeight="1" x14ac:dyDescent="0.25">
      <c r="A6451" s="10" t="s">
        <v>5094</v>
      </c>
      <c r="B6451" s="11" t="s">
        <v>1636</v>
      </c>
      <c r="C6451" s="5">
        <v>52246.960299999999</v>
      </c>
      <c r="D6451" s="5">
        <v>52246.960299999999</v>
      </c>
      <c r="E6451" s="5">
        <v>47310.556700000001</v>
      </c>
      <c r="G6451" s="5" t="str">
        <f t="shared" si="201"/>
        <v>ГОРНЫЙ ЩИТ</v>
      </c>
      <c r="J6451" s="5"/>
      <c r="AL6451" s="5">
        <f t="shared" si="202"/>
        <v>0</v>
      </c>
    </row>
    <row r="6452" spans="1:38" ht="25.5" customHeight="1" x14ac:dyDescent="0.25">
      <c r="A6452" s="10" t="s">
        <v>5095</v>
      </c>
      <c r="B6452" s="11" t="s">
        <v>118</v>
      </c>
      <c r="C6452" s="5">
        <v>53500.443299999999</v>
      </c>
      <c r="D6452" s="5">
        <v>53500.443299999999</v>
      </c>
      <c r="E6452" s="5">
        <v>48445.605100000001</v>
      </c>
      <c r="G6452" s="5" t="str">
        <f t="shared" si="201"/>
        <v>Исток</v>
      </c>
      <c r="J6452" s="5"/>
      <c r="AL6452" s="5">
        <f t="shared" si="202"/>
        <v>0</v>
      </c>
    </row>
    <row r="6453" spans="1:38" ht="25.5" customHeight="1" x14ac:dyDescent="0.25">
      <c r="A6453" s="10" t="s">
        <v>5096</v>
      </c>
      <c r="B6453" s="11" t="s">
        <v>1650</v>
      </c>
      <c r="C6453" s="5">
        <v>37590.3603</v>
      </c>
      <c r="D6453" s="5">
        <v>37590.3603</v>
      </c>
      <c r="E6453" s="5">
        <v>34038.745900000002</v>
      </c>
      <c r="G6453" s="5" t="str">
        <f t="shared" si="201"/>
        <v>ШАБРОВСКИЙ</v>
      </c>
      <c r="J6453" s="5"/>
      <c r="AL6453" s="5">
        <f t="shared" si="202"/>
        <v>0</v>
      </c>
    </row>
    <row r="6454" spans="1:38" ht="25.5" customHeight="1" x14ac:dyDescent="0.25">
      <c r="A6454" s="10" t="s">
        <v>5097</v>
      </c>
      <c r="B6454" s="11" t="s">
        <v>1650</v>
      </c>
      <c r="C6454" s="5">
        <v>37590.3603</v>
      </c>
      <c r="D6454" s="5">
        <v>37590.3603</v>
      </c>
      <c r="E6454" s="5">
        <v>34038.745900000002</v>
      </c>
      <c r="G6454" s="5" t="str">
        <f t="shared" si="201"/>
        <v>ШАБРОВСКИЙ</v>
      </c>
      <c r="J6454" s="5"/>
      <c r="AL6454" s="5">
        <f t="shared" si="202"/>
        <v>0</v>
      </c>
    </row>
    <row r="6455" spans="1:38" ht="25.5" customHeight="1" x14ac:dyDescent="0.25">
      <c r="A6455" s="10" t="s">
        <v>5098</v>
      </c>
      <c r="B6455" s="11" t="s">
        <v>1650</v>
      </c>
      <c r="C6455" s="5">
        <v>37590.3603</v>
      </c>
      <c r="D6455" s="5">
        <v>37590.3603</v>
      </c>
      <c r="E6455" s="5">
        <v>34038.745900000002</v>
      </c>
      <c r="G6455" s="5" t="str">
        <f t="shared" si="201"/>
        <v>ШАБРОВСКИЙ</v>
      </c>
      <c r="J6455" s="5"/>
      <c r="AL6455" s="5">
        <f t="shared" si="202"/>
        <v>0</v>
      </c>
    </row>
    <row r="6456" spans="1:38" ht="25.5" customHeight="1" x14ac:dyDescent="0.25">
      <c r="A6456" s="10" t="s">
        <v>5099</v>
      </c>
      <c r="B6456" s="11" t="s">
        <v>1650</v>
      </c>
      <c r="C6456" s="5">
        <v>37590.3603</v>
      </c>
      <c r="D6456" s="5">
        <v>37590.3603</v>
      </c>
      <c r="E6456" s="5">
        <v>34038.745900000002</v>
      </c>
      <c r="G6456" s="5" t="str">
        <f t="shared" si="201"/>
        <v>ШАБРОВСКИЙ</v>
      </c>
      <c r="J6456" s="5"/>
      <c r="AL6456" s="5">
        <f t="shared" si="202"/>
        <v>0</v>
      </c>
    </row>
    <row r="6457" spans="1:38" ht="25.5" customHeight="1" x14ac:dyDescent="0.25">
      <c r="A6457" s="10" t="s">
        <v>5100</v>
      </c>
      <c r="B6457" s="11" t="s">
        <v>483</v>
      </c>
      <c r="C6457" s="5">
        <v>44242.899599999997</v>
      </c>
      <c r="D6457" s="5">
        <v>44242.899599999997</v>
      </c>
      <c r="E6457" s="5">
        <v>40062.737300000001</v>
      </c>
      <c r="G6457" s="5" t="str">
        <f t="shared" si="201"/>
        <v>Шувакиш</v>
      </c>
      <c r="J6457" s="5"/>
      <c r="AL6457" s="5">
        <f t="shared" si="202"/>
        <v>0</v>
      </c>
    </row>
    <row r="6458" spans="1:38" ht="25.5" customHeight="1" x14ac:dyDescent="0.25">
      <c r="A6458" s="10" t="s">
        <v>5101</v>
      </c>
      <c r="B6458" s="11" t="s">
        <v>483</v>
      </c>
      <c r="C6458" s="5">
        <v>44242.899599999997</v>
      </c>
      <c r="D6458" s="5">
        <v>44242.899599999997</v>
      </c>
      <c r="E6458" s="5">
        <v>40062.737300000001</v>
      </c>
      <c r="G6458" s="5" t="str">
        <f t="shared" si="201"/>
        <v>Шувакиш</v>
      </c>
      <c r="J6458" s="5"/>
      <c r="AL6458" s="5">
        <f t="shared" si="202"/>
        <v>0</v>
      </c>
    </row>
    <row r="6459" spans="1:38" ht="25.5" customHeight="1" x14ac:dyDescent="0.25">
      <c r="A6459" s="10" t="s">
        <v>5102</v>
      </c>
      <c r="B6459" s="11" t="s">
        <v>1650</v>
      </c>
      <c r="C6459" s="5">
        <v>37590.3603</v>
      </c>
      <c r="D6459" s="5">
        <v>37590.3603</v>
      </c>
      <c r="E6459" s="5">
        <v>34038.745900000002</v>
      </c>
      <c r="G6459" s="5" t="str">
        <f t="shared" si="201"/>
        <v>ШАБРОВСКИЙ</v>
      </c>
      <c r="J6459" s="5"/>
      <c r="AL6459" s="5">
        <f t="shared" si="202"/>
        <v>0</v>
      </c>
    </row>
    <row r="6460" spans="1:38" ht="25.5" customHeight="1" x14ac:dyDescent="0.25">
      <c r="A6460" s="10" t="s">
        <v>5103</v>
      </c>
      <c r="B6460" s="11" t="s">
        <v>1639</v>
      </c>
      <c r="C6460" s="5">
        <v>53500.443299999999</v>
      </c>
      <c r="D6460" s="5">
        <v>53500.443299999999</v>
      </c>
      <c r="E6460" s="5">
        <v>48445.605100000001</v>
      </c>
      <c r="G6460" s="5" t="str">
        <f t="shared" si="201"/>
        <v>ИСТОК</v>
      </c>
      <c r="J6460" s="5"/>
      <c r="AL6460" s="5">
        <f t="shared" si="202"/>
        <v>0</v>
      </c>
    </row>
    <row r="6461" spans="1:38" ht="25.5" customHeight="1" x14ac:dyDescent="0.25">
      <c r="A6461" s="10" t="s">
        <v>5104</v>
      </c>
      <c r="B6461" s="11" t="s">
        <v>1639</v>
      </c>
      <c r="C6461" s="5">
        <v>53500.443299999999</v>
      </c>
      <c r="D6461" s="5">
        <v>53500.443299999999</v>
      </c>
      <c r="E6461" s="5">
        <v>48445.605100000001</v>
      </c>
      <c r="G6461" s="5" t="str">
        <f t="shared" si="201"/>
        <v>ИСТОК</v>
      </c>
      <c r="J6461" s="5"/>
      <c r="AL6461" s="5">
        <f t="shared" si="202"/>
        <v>0</v>
      </c>
    </row>
    <row r="6462" spans="1:38" ht="25.5" customHeight="1" x14ac:dyDescent="0.25">
      <c r="A6462" s="10" t="s">
        <v>5105</v>
      </c>
      <c r="B6462" s="11" t="s">
        <v>1650</v>
      </c>
      <c r="C6462" s="5">
        <v>37590.3603</v>
      </c>
      <c r="D6462" s="5">
        <v>37590.3603</v>
      </c>
      <c r="E6462" s="5">
        <v>34038.745900000002</v>
      </c>
      <c r="G6462" s="5" t="str">
        <f t="shared" si="201"/>
        <v>ШАБРОВСКИЙ</v>
      </c>
      <c r="J6462" s="5"/>
      <c r="AL6462" s="5">
        <f t="shared" si="202"/>
        <v>0</v>
      </c>
    </row>
    <row r="6463" spans="1:38" ht="25.5" customHeight="1" x14ac:dyDescent="0.25">
      <c r="A6463" s="10" t="s">
        <v>5106</v>
      </c>
      <c r="B6463" s="11" t="s">
        <v>483</v>
      </c>
      <c r="C6463" s="5">
        <v>44242.899599999997</v>
      </c>
      <c r="D6463" s="5">
        <v>44242.899599999997</v>
      </c>
      <c r="E6463" s="5">
        <v>40062.737300000001</v>
      </c>
      <c r="G6463" s="5" t="str">
        <f t="shared" ref="G6463:G6521" si="203">B6463</f>
        <v>Шувакиш</v>
      </c>
      <c r="J6463" s="5"/>
      <c r="AL6463" s="5">
        <f t="shared" ref="AL6463:AL6521" si="204">AF6463</f>
        <v>0</v>
      </c>
    </row>
    <row r="6464" spans="1:38" ht="25.5" customHeight="1" x14ac:dyDescent="0.25">
      <c r="A6464" s="10" t="s">
        <v>5107</v>
      </c>
      <c r="B6464" s="11" t="s">
        <v>1650</v>
      </c>
      <c r="C6464" s="5">
        <v>37590.3603</v>
      </c>
      <c r="D6464" s="5">
        <v>37590.3603</v>
      </c>
      <c r="E6464" s="5">
        <v>34038.745900000002</v>
      </c>
      <c r="G6464" s="5" t="str">
        <f t="shared" si="203"/>
        <v>ШАБРОВСКИЙ</v>
      </c>
      <c r="J6464" s="5"/>
      <c r="AL6464" s="5">
        <f t="shared" si="204"/>
        <v>0</v>
      </c>
    </row>
    <row r="6465" spans="1:38" ht="25.5" customHeight="1" x14ac:dyDescent="0.25">
      <c r="A6465" s="10" t="s">
        <v>5108</v>
      </c>
      <c r="B6465" s="11" t="s">
        <v>483</v>
      </c>
      <c r="C6465" s="5">
        <v>44242.899599999997</v>
      </c>
      <c r="D6465" s="5">
        <v>44242.899599999997</v>
      </c>
      <c r="E6465" s="5">
        <v>40062.737300000001</v>
      </c>
      <c r="G6465" s="5" t="str">
        <f t="shared" si="203"/>
        <v>Шувакиш</v>
      </c>
      <c r="J6465" s="5"/>
      <c r="AL6465" s="5">
        <f t="shared" si="204"/>
        <v>0</v>
      </c>
    </row>
    <row r="6466" spans="1:38" ht="25.5" customHeight="1" x14ac:dyDescent="0.25">
      <c r="A6466" s="10" t="s">
        <v>5109</v>
      </c>
      <c r="B6466" s="11" t="s">
        <v>483</v>
      </c>
      <c r="C6466" s="5">
        <v>44242.899599999997</v>
      </c>
      <c r="D6466" s="5">
        <v>44242.899599999997</v>
      </c>
      <c r="E6466" s="5">
        <v>40062.737300000001</v>
      </c>
      <c r="G6466" s="5" t="str">
        <f t="shared" si="203"/>
        <v>Шувакиш</v>
      </c>
      <c r="J6466" s="5"/>
      <c r="AL6466" s="5">
        <f t="shared" si="204"/>
        <v>0</v>
      </c>
    </row>
    <row r="6467" spans="1:38" ht="25.5" customHeight="1" x14ac:dyDescent="0.25">
      <c r="A6467" s="10" t="s">
        <v>5110</v>
      </c>
      <c r="B6467" s="11" t="s">
        <v>1661</v>
      </c>
      <c r="C6467" s="5">
        <v>51175.5573</v>
      </c>
      <c r="D6467" s="5">
        <v>51175.5573</v>
      </c>
      <c r="E6467" s="5">
        <v>46340.381600000001</v>
      </c>
      <c r="G6467" s="5" t="str">
        <f t="shared" si="203"/>
        <v>СЕВЕРКА</v>
      </c>
      <c r="J6467" s="5"/>
      <c r="AL6467" s="5">
        <f t="shared" si="204"/>
        <v>0</v>
      </c>
    </row>
    <row r="6468" spans="1:38" ht="25.5" customHeight="1" x14ac:dyDescent="0.25">
      <c r="A6468" s="10" t="s">
        <v>5111</v>
      </c>
      <c r="B6468" s="11" t="s">
        <v>1650</v>
      </c>
      <c r="C6468" s="5">
        <v>37590.3603</v>
      </c>
      <c r="D6468" s="5">
        <v>37590.3603</v>
      </c>
      <c r="E6468" s="5">
        <v>34038.745900000002</v>
      </c>
      <c r="G6468" s="5" t="str">
        <f t="shared" si="203"/>
        <v>ШАБРОВСКИЙ</v>
      </c>
      <c r="J6468" s="5"/>
      <c r="AL6468" s="5">
        <f t="shared" si="204"/>
        <v>0</v>
      </c>
    </row>
    <row r="6469" spans="1:38" ht="25.5" customHeight="1" x14ac:dyDescent="0.25">
      <c r="A6469" s="10" t="s">
        <v>5112</v>
      </c>
      <c r="B6469" s="11" t="s">
        <v>118</v>
      </c>
      <c r="C6469" s="5">
        <v>53500.443299999999</v>
      </c>
      <c r="D6469" s="5">
        <v>53500.443299999999</v>
      </c>
      <c r="E6469" s="5">
        <v>48445.605100000001</v>
      </c>
      <c r="G6469" s="5" t="str">
        <f t="shared" si="203"/>
        <v>Исток</v>
      </c>
      <c r="J6469" s="5"/>
      <c r="AL6469" s="5">
        <f t="shared" si="204"/>
        <v>0</v>
      </c>
    </row>
    <row r="6470" spans="1:38" ht="25.5" customHeight="1" x14ac:dyDescent="0.25">
      <c r="A6470" s="10" t="s">
        <v>5113</v>
      </c>
      <c r="B6470" s="11" t="s">
        <v>1661</v>
      </c>
      <c r="C6470" s="5">
        <v>51175.5573</v>
      </c>
      <c r="D6470" s="5">
        <v>51175.5573</v>
      </c>
      <c r="E6470" s="5">
        <v>46340.381600000001</v>
      </c>
      <c r="G6470" s="5" t="str">
        <f t="shared" si="203"/>
        <v>СЕВЕРКА</v>
      </c>
      <c r="J6470" s="5"/>
      <c r="AL6470" s="5">
        <f t="shared" si="204"/>
        <v>0</v>
      </c>
    </row>
    <row r="6471" spans="1:38" ht="25.5" customHeight="1" x14ac:dyDescent="0.25">
      <c r="A6471" s="10" t="s">
        <v>5114</v>
      </c>
      <c r="B6471" s="11" t="s">
        <v>483</v>
      </c>
      <c r="C6471" s="5">
        <v>44242.899599999997</v>
      </c>
      <c r="D6471" s="5">
        <v>44242.899599999997</v>
      </c>
      <c r="E6471" s="5">
        <v>40062.737300000001</v>
      </c>
      <c r="G6471" s="5" t="str">
        <f t="shared" si="203"/>
        <v>Шувакиш</v>
      </c>
      <c r="J6471" s="5"/>
      <c r="AL6471" s="5">
        <f t="shared" si="204"/>
        <v>0</v>
      </c>
    </row>
    <row r="6472" spans="1:38" ht="25.5" customHeight="1" x14ac:dyDescent="0.25">
      <c r="A6472" s="10" t="s">
        <v>5115</v>
      </c>
      <c r="B6472" s="11" t="s">
        <v>1650</v>
      </c>
      <c r="C6472" s="5">
        <v>37590.3603</v>
      </c>
      <c r="D6472" s="5">
        <v>37590.3603</v>
      </c>
      <c r="E6472" s="5">
        <v>34038.745900000002</v>
      </c>
      <c r="G6472" s="5" t="str">
        <f t="shared" si="203"/>
        <v>ШАБРОВСКИЙ</v>
      </c>
      <c r="J6472" s="5"/>
      <c r="AL6472" s="5">
        <f t="shared" si="204"/>
        <v>0</v>
      </c>
    </row>
    <row r="6473" spans="1:38" ht="25.5" customHeight="1" x14ac:dyDescent="0.25">
      <c r="A6473" s="10" t="s">
        <v>5116</v>
      </c>
      <c r="B6473" s="11" t="s">
        <v>118</v>
      </c>
      <c r="C6473" s="5">
        <v>53500.443299999999</v>
      </c>
      <c r="D6473" s="5">
        <v>53500.443299999999</v>
      </c>
      <c r="E6473" s="5">
        <v>48445.605100000001</v>
      </c>
      <c r="G6473" s="5" t="str">
        <f t="shared" si="203"/>
        <v>Исток</v>
      </c>
      <c r="J6473" s="5"/>
      <c r="AL6473" s="5">
        <f t="shared" si="204"/>
        <v>0</v>
      </c>
    </row>
    <row r="6474" spans="1:38" ht="25.5" customHeight="1" x14ac:dyDescent="0.25">
      <c r="A6474" s="10" t="s">
        <v>5117</v>
      </c>
      <c r="B6474" s="11" t="s">
        <v>118</v>
      </c>
      <c r="C6474" s="5">
        <v>53500.443299999999</v>
      </c>
      <c r="D6474" s="5">
        <v>53500.443299999999</v>
      </c>
      <c r="E6474" s="5">
        <v>48445.605100000001</v>
      </c>
      <c r="G6474" s="5" t="str">
        <f t="shared" si="203"/>
        <v>Исток</v>
      </c>
      <c r="J6474" s="5"/>
      <c r="AL6474" s="5">
        <f t="shared" si="204"/>
        <v>0</v>
      </c>
    </row>
    <row r="6475" spans="1:38" ht="25.5" customHeight="1" x14ac:dyDescent="0.25">
      <c r="A6475" s="10" t="s">
        <v>5118</v>
      </c>
      <c r="B6475" s="11" t="s">
        <v>483</v>
      </c>
      <c r="C6475" s="5">
        <v>44242.899599999997</v>
      </c>
      <c r="D6475" s="5">
        <v>44242.899599999997</v>
      </c>
      <c r="E6475" s="5">
        <v>40062.737300000001</v>
      </c>
      <c r="G6475" s="5" t="str">
        <f t="shared" si="203"/>
        <v>Шувакиш</v>
      </c>
      <c r="J6475" s="5"/>
      <c r="AL6475" s="5">
        <f t="shared" si="204"/>
        <v>0</v>
      </c>
    </row>
    <row r="6476" spans="1:38" ht="25.5" customHeight="1" x14ac:dyDescent="0.25">
      <c r="A6476" s="10" t="s">
        <v>5119</v>
      </c>
      <c r="B6476" s="11" t="s">
        <v>483</v>
      </c>
      <c r="C6476" s="5">
        <v>44242.899599999997</v>
      </c>
      <c r="D6476" s="5">
        <v>44242.899599999997</v>
      </c>
      <c r="E6476" s="5">
        <v>40062.737300000001</v>
      </c>
      <c r="G6476" s="5" t="str">
        <f t="shared" si="203"/>
        <v>Шувакиш</v>
      </c>
      <c r="J6476" s="5"/>
      <c r="AL6476" s="5">
        <f t="shared" si="204"/>
        <v>0</v>
      </c>
    </row>
    <row r="6477" spans="1:38" ht="25.5" customHeight="1" x14ac:dyDescent="0.25">
      <c r="A6477" s="10" t="s">
        <v>5120</v>
      </c>
      <c r="B6477" s="11" t="s">
        <v>1650</v>
      </c>
      <c r="C6477" s="5">
        <v>37590.3603</v>
      </c>
      <c r="D6477" s="5">
        <v>37590.3603</v>
      </c>
      <c r="E6477" s="5">
        <v>34038.745900000002</v>
      </c>
      <c r="G6477" s="5" t="str">
        <f t="shared" si="203"/>
        <v>ШАБРОВСКИЙ</v>
      </c>
      <c r="J6477" s="5"/>
      <c r="AL6477" s="5">
        <f t="shared" si="204"/>
        <v>0</v>
      </c>
    </row>
    <row r="6478" spans="1:38" ht="25.5" customHeight="1" x14ac:dyDescent="0.25">
      <c r="A6478" s="10" t="s">
        <v>5121</v>
      </c>
      <c r="B6478" s="11" t="s">
        <v>483</v>
      </c>
      <c r="C6478" s="5">
        <v>44242.899599999997</v>
      </c>
      <c r="D6478" s="5">
        <v>44242.899599999997</v>
      </c>
      <c r="E6478" s="5">
        <v>40062.737300000001</v>
      </c>
      <c r="G6478" s="5" t="str">
        <f t="shared" si="203"/>
        <v>Шувакиш</v>
      </c>
      <c r="J6478" s="5"/>
      <c r="AL6478" s="5">
        <f t="shared" si="204"/>
        <v>0</v>
      </c>
    </row>
    <row r="6479" spans="1:38" ht="25.5" customHeight="1" x14ac:dyDescent="0.25">
      <c r="A6479" s="10" t="s">
        <v>5122</v>
      </c>
      <c r="B6479" s="11" t="s">
        <v>483</v>
      </c>
      <c r="C6479" s="5">
        <v>44242.899599999997</v>
      </c>
      <c r="D6479" s="5">
        <v>44242.899599999997</v>
      </c>
      <c r="E6479" s="5">
        <v>40062.737300000001</v>
      </c>
      <c r="G6479" s="5" t="str">
        <f t="shared" si="203"/>
        <v>Шувакиш</v>
      </c>
      <c r="J6479" s="5"/>
      <c r="AL6479" s="5">
        <f t="shared" si="204"/>
        <v>0</v>
      </c>
    </row>
    <row r="6480" spans="1:38" ht="25.5" customHeight="1" x14ac:dyDescent="0.25">
      <c r="A6480" s="10" t="s">
        <v>5123</v>
      </c>
      <c r="B6480" s="11" t="s">
        <v>483</v>
      </c>
      <c r="C6480" s="5">
        <v>44242.899599999997</v>
      </c>
      <c r="D6480" s="5">
        <v>44242.899599999997</v>
      </c>
      <c r="E6480" s="5">
        <v>40062.737300000001</v>
      </c>
      <c r="G6480" s="5" t="str">
        <f t="shared" si="203"/>
        <v>Шувакиш</v>
      </c>
      <c r="J6480" s="5"/>
      <c r="AL6480" s="5">
        <f t="shared" si="204"/>
        <v>0</v>
      </c>
    </row>
    <row r="6481" spans="1:38" ht="25.5" customHeight="1" x14ac:dyDescent="0.25">
      <c r="A6481" s="10" t="s">
        <v>5124</v>
      </c>
      <c r="B6481" s="11" t="s">
        <v>118</v>
      </c>
      <c r="C6481" s="5">
        <v>53500.443299999999</v>
      </c>
      <c r="D6481" s="5">
        <v>53500.443299999999</v>
      </c>
      <c r="E6481" s="5">
        <v>48445.605100000001</v>
      </c>
      <c r="G6481" s="5" t="str">
        <f t="shared" si="203"/>
        <v>Исток</v>
      </c>
      <c r="J6481" s="5"/>
      <c r="AL6481" s="5">
        <f t="shared" si="204"/>
        <v>0</v>
      </c>
    </row>
    <row r="6482" spans="1:38" ht="25.5" customHeight="1" x14ac:dyDescent="0.25">
      <c r="A6482" s="10" t="s">
        <v>5125</v>
      </c>
      <c r="B6482" s="11" t="s">
        <v>1650</v>
      </c>
      <c r="C6482" s="5">
        <v>37590.3603</v>
      </c>
      <c r="D6482" s="5">
        <v>37590.3603</v>
      </c>
      <c r="E6482" s="5">
        <v>34038.745900000002</v>
      </c>
      <c r="G6482" s="5" t="str">
        <f t="shared" si="203"/>
        <v>ШАБРОВСКИЙ</v>
      </c>
      <c r="J6482" s="5"/>
      <c r="AL6482" s="5">
        <f t="shared" si="204"/>
        <v>0</v>
      </c>
    </row>
    <row r="6483" spans="1:38" ht="25.5" customHeight="1" x14ac:dyDescent="0.25">
      <c r="A6483" s="10" t="s">
        <v>5126</v>
      </c>
      <c r="B6483" s="11" t="s">
        <v>1650</v>
      </c>
      <c r="C6483" s="5">
        <v>37590.3603</v>
      </c>
      <c r="D6483" s="5">
        <v>37590.3603</v>
      </c>
      <c r="E6483" s="5">
        <v>34038.745900000002</v>
      </c>
      <c r="G6483" s="5" t="str">
        <f t="shared" si="203"/>
        <v>ШАБРОВСКИЙ</v>
      </c>
      <c r="J6483" s="5"/>
      <c r="AL6483" s="5">
        <f t="shared" si="204"/>
        <v>0</v>
      </c>
    </row>
    <row r="6484" spans="1:38" ht="25.5" customHeight="1" x14ac:dyDescent="0.25">
      <c r="A6484" s="10" t="s">
        <v>5127</v>
      </c>
      <c r="B6484" s="11" t="s">
        <v>483</v>
      </c>
      <c r="C6484" s="5">
        <v>44242.899599999997</v>
      </c>
      <c r="D6484" s="5">
        <v>44242.899599999997</v>
      </c>
      <c r="E6484" s="5">
        <v>40062.737300000001</v>
      </c>
      <c r="G6484" s="5" t="str">
        <f t="shared" si="203"/>
        <v>Шувакиш</v>
      </c>
      <c r="J6484" s="5"/>
      <c r="AL6484" s="5">
        <f t="shared" si="204"/>
        <v>0</v>
      </c>
    </row>
    <row r="6485" spans="1:38" ht="25.5" customHeight="1" x14ac:dyDescent="0.25">
      <c r="A6485" s="10" t="s">
        <v>5128</v>
      </c>
      <c r="B6485" s="11" t="s">
        <v>483</v>
      </c>
      <c r="C6485" s="5">
        <v>44242.899599999997</v>
      </c>
      <c r="D6485" s="5">
        <v>44242.899599999997</v>
      </c>
      <c r="E6485" s="5">
        <v>40062.737300000001</v>
      </c>
      <c r="G6485" s="5" t="str">
        <f t="shared" si="203"/>
        <v>Шувакиш</v>
      </c>
      <c r="J6485" s="5"/>
      <c r="AL6485" s="5">
        <f t="shared" si="204"/>
        <v>0</v>
      </c>
    </row>
    <row r="6486" spans="1:38" ht="25.5" customHeight="1" x14ac:dyDescent="0.25">
      <c r="A6486" s="10" t="s">
        <v>5129</v>
      </c>
      <c r="B6486" s="11" t="s">
        <v>1650</v>
      </c>
      <c r="C6486" s="5">
        <v>37590.3603</v>
      </c>
      <c r="D6486" s="5">
        <v>37590.3603</v>
      </c>
      <c r="E6486" s="5">
        <v>34038.745900000002</v>
      </c>
      <c r="G6486" s="5" t="str">
        <f t="shared" si="203"/>
        <v>ШАБРОВСКИЙ</v>
      </c>
      <c r="J6486" s="5"/>
      <c r="AL6486" s="5">
        <f t="shared" si="204"/>
        <v>0</v>
      </c>
    </row>
    <row r="6487" spans="1:38" ht="25.5" customHeight="1" x14ac:dyDescent="0.25">
      <c r="A6487" s="10" t="s">
        <v>5130</v>
      </c>
      <c r="B6487" s="11" t="s">
        <v>483</v>
      </c>
      <c r="C6487" s="5">
        <v>44242.899599999997</v>
      </c>
      <c r="D6487" s="5">
        <v>44242.899599999997</v>
      </c>
      <c r="E6487" s="5">
        <v>40062.737300000001</v>
      </c>
      <c r="G6487" s="5" t="str">
        <f t="shared" si="203"/>
        <v>Шувакиш</v>
      </c>
      <c r="J6487" s="5"/>
      <c r="AL6487" s="5">
        <f t="shared" si="204"/>
        <v>0</v>
      </c>
    </row>
    <row r="6488" spans="1:38" ht="25.5" customHeight="1" x14ac:dyDescent="0.25">
      <c r="A6488" s="10" t="s">
        <v>5131</v>
      </c>
      <c r="B6488" s="11" t="s">
        <v>1650</v>
      </c>
      <c r="C6488" s="5">
        <v>37590.3603</v>
      </c>
      <c r="D6488" s="5">
        <v>37590.3603</v>
      </c>
      <c r="E6488" s="5">
        <v>34038.745900000002</v>
      </c>
      <c r="G6488" s="5" t="str">
        <f t="shared" si="203"/>
        <v>ШАБРОВСКИЙ</v>
      </c>
      <c r="J6488" s="5"/>
      <c r="AL6488" s="5">
        <f t="shared" si="204"/>
        <v>0</v>
      </c>
    </row>
    <row r="6489" spans="1:38" ht="25.5" customHeight="1" x14ac:dyDescent="0.25">
      <c r="A6489" s="10" t="s">
        <v>5132</v>
      </c>
      <c r="B6489" s="11" t="s">
        <v>483</v>
      </c>
      <c r="C6489" s="5">
        <v>44242.899599999997</v>
      </c>
      <c r="D6489" s="5">
        <v>44242.899599999997</v>
      </c>
      <c r="E6489" s="5">
        <v>40062.737300000001</v>
      </c>
      <c r="G6489" s="5" t="str">
        <f t="shared" si="203"/>
        <v>Шувакиш</v>
      </c>
      <c r="J6489" s="5"/>
      <c r="AL6489" s="5">
        <f t="shared" si="204"/>
        <v>0</v>
      </c>
    </row>
    <row r="6490" spans="1:38" ht="25.5" customHeight="1" x14ac:dyDescent="0.25">
      <c r="A6490" s="10" t="s">
        <v>5133</v>
      </c>
      <c r="B6490" s="11" t="s">
        <v>1661</v>
      </c>
      <c r="C6490" s="5">
        <v>51175.5573</v>
      </c>
      <c r="D6490" s="5">
        <v>51175.5573</v>
      </c>
      <c r="E6490" s="5">
        <v>46340.381600000001</v>
      </c>
      <c r="G6490" s="5" t="str">
        <f t="shared" si="203"/>
        <v>СЕВЕРКА</v>
      </c>
      <c r="J6490" s="5"/>
      <c r="AL6490" s="5">
        <f t="shared" si="204"/>
        <v>0</v>
      </c>
    </row>
    <row r="6491" spans="1:38" ht="25.5" customHeight="1" x14ac:dyDescent="0.25">
      <c r="A6491" s="10" t="s">
        <v>5134</v>
      </c>
      <c r="B6491" s="11" t="s">
        <v>1639</v>
      </c>
      <c r="C6491" s="5">
        <v>53500.443299999999</v>
      </c>
      <c r="D6491" s="5">
        <v>53500.443299999999</v>
      </c>
      <c r="E6491" s="5">
        <v>48445.605100000001</v>
      </c>
      <c r="G6491" s="5" t="str">
        <f t="shared" si="203"/>
        <v>ИСТОК</v>
      </c>
      <c r="J6491" s="5"/>
      <c r="AL6491" s="5">
        <f t="shared" si="204"/>
        <v>0</v>
      </c>
    </row>
    <row r="6492" spans="1:38" ht="25.5" customHeight="1" x14ac:dyDescent="0.25">
      <c r="A6492" s="10" t="s">
        <v>5135</v>
      </c>
      <c r="B6492" s="11" t="s">
        <v>1650</v>
      </c>
      <c r="C6492" s="5">
        <v>37590.3603</v>
      </c>
      <c r="D6492" s="5">
        <v>37590.3603</v>
      </c>
      <c r="E6492" s="5">
        <v>34038.745900000002</v>
      </c>
      <c r="G6492" s="5" t="str">
        <f t="shared" si="203"/>
        <v>ШАБРОВСКИЙ</v>
      </c>
      <c r="J6492" s="5"/>
      <c r="AL6492" s="5">
        <f t="shared" si="204"/>
        <v>0</v>
      </c>
    </row>
    <row r="6493" spans="1:38" ht="25.5" customHeight="1" x14ac:dyDescent="0.25">
      <c r="A6493" s="10" t="s">
        <v>5136</v>
      </c>
      <c r="B6493" s="11" t="s">
        <v>118</v>
      </c>
      <c r="C6493" s="5">
        <v>53500.443299999999</v>
      </c>
      <c r="D6493" s="5">
        <v>53500.443299999999</v>
      </c>
      <c r="E6493" s="5">
        <v>48445.605100000001</v>
      </c>
      <c r="G6493" s="5" t="str">
        <f t="shared" si="203"/>
        <v>Исток</v>
      </c>
      <c r="J6493" s="5"/>
      <c r="AL6493" s="5">
        <f t="shared" si="204"/>
        <v>0</v>
      </c>
    </row>
    <row r="6494" spans="1:38" ht="25.5" customHeight="1" x14ac:dyDescent="0.25">
      <c r="A6494" s="10" t="s">
        <v>5137</v>
      </c>
      <c r="B6494" s="11" t="s">
        <v>483</v>
      </c>
      <c r="C6494" s="5">
        <v>44242.899599999997</v>
      </c>
      <c r="D6494" s="5">
        <v>44242.899599999997</v>
      </c>
      <c r="E6494" s="5">
        <v>40062.737300000001</v>
      </c>
      <c r="G6494" s="5" t="str">
        <f t="shared" si="203"/>
        <v>Шувакиш</v>
      </c>
      <c r="J6494" s="5"/>
      <c r="AL6494" s="5">
        <f t="shared" si="204"/>
        <v>0</v>
      </c>
    </row>
    <row r="6495" spans="1:38" ht="25.5" customHeight="1" x14ac:dyDescent="0.25">
      <c r="A6495" s="10" t="s">
        <v>5138</v>
      </c>
      <c r="B6495" s="11" t="s">
        <v>1650</v>
      </c>
      <c r="C6495" s="5">
        <v>37590.3603</v>
      </c>
      <c r="D6495" s="5">
        <v>37590.3603</v>
      </c>
      <c r="E6495" s="5">
        <v>34038.745900000002</v>
      </c>
      <c r="G6495" s="5" t="str">
        <f t="shared" si="203"/>
        <v>ШАБРОВСКИЙ</v>
      </c>
      <c r="J6495" s="5"/>
      <c r="AL6495" s="5">
        <f t="shared" si="204"/>
        <v>0</v>
      </c>
    </row>
    <row r="6496" spans="1:38" ht="25.5" customHeight="1" x14ac:dyDescent="0.25">
      <c r="A6496" s="10" t="s">
        <v>5139</v>
      </c>
      <c r="B6496" s="11" t="s">
        <v>1636</v>
      </c>
      <c r="C6496" s="5">
        <v>52246.960299999999</v>
      </c>
      <c r="D6496" s="5">
        <v>52246.960299999999</v>
      </c>
      <c r="E6496" s="5">
        <v>47310.556700000001</v>
      </c>
      <c r="G6496" s="5" t="str">
        <f t="shared" si="203"/>
        <v>ГОРНЫЙ ЩИТ</v>
      </c>
      <c r="J6496" s="5"/>
      <c r="AL6496" s="5">
        <f t="shared" si="204"/>
        <v>0</v>
      </c>
    </row>
    <row r="6497" spans="1:38" ht="25.5" customHeight="1" x14ac:dyDescent="0.25">
      <c r="A6497" s="10" t="s">
        <v>5140</v>
      </c>
      <c r="B6497" s="11" t="s">
        <v>1636</v>
      </c>
      <c r="C6497" s="5">
        <v>52246.960299999999</v>
      </c>
      <c r="D6497" s="5">
        <v>52246.960299999999</v>
      </c>
      <c r="E6497" s="5">
        <v>47310.556700000001</v>
      </c>
      <c r="G6497" s="5" t="str">
        <f t="shared" si="203"/>
        <v>ГОРНЫЙ ЩИТ</v>
      </c>
      <c r="J6497" s="5"/>
      <c r="AL6497" s="5">
        <f t="shared" si="204"/>
        <v>0</v>
      </c>
    </row>
    <row r="6498" spans="1:38" ht="25.5" customHeight="1" x14ac:dyDescent="0.25">
      <c r="A6498" s="10" t="s">
        <v>5141</v>
      </c>
      <c r="B6498" s="11" t="s">
        <v>1661</v>
      </c>
      <c r="C6498" s="5">
        <v>51175.5573</v>
      </c>
      <c r="D6498" s="5">
        <v>51175.5573</v>
      </c>
      <c r="E6498" s="5">
        <v>46340.381600000001</v>
      </c>
      <c r="G6498" s="5" t="str">
        <f t="shared" si="203"/>
        <v>СЕВЕРКА</v>
      </c>
      <c r="J6498" s="5"/>
      <c r="AL6498" s="5">
        <f t="shared" si="204"/>
        <v>0</v>
      </c>
    </row>
    <row r="6499" spans="1:38" ht="25.5" customHeight="1" x14ac:dyDescent="0.25">
      <c r="A6499" s="10" t="s">
        <v>5142</v>
      </c>
      <c r="B6499" s="11" t="s">
        <v>1650</v>
      </c>
      <c r="C6499" s="5">
        <v>37590.3603</v>
      </c>
      <c r="D6499" s="5">
        <v>37590.3603</v>
      </c>
      <c r="E6499" s="5">
        <v>34038.745900000002</v>
      </c>
      <c r="G6499" s="5" t="str">
        <f t="shared" si="203"/>
        <v>ШАБРОВСКИЙ</v>
      </c>
      <c r="J6499" s="5"/>
      <c r="AL6499" s="5">
        <f t="shared" si="204"/>
        <v>0</v>
      </c>
    </row>
    <row r="6500" spans="1:38" ht="25.5" customHeight="1" x14ac:dyDescent="0.25">
      <c r="A6500" s="10" t="s">
        <v>5143</v>
      </c>
      <c r="B6500" s="11" t="s">
        <v>1650</v>
      </c>
      <c r="C6500" s="5">
        <v>37590.3603</v>
      </c>
      <c r="D6500" s="5">
        <v>37590.3603</v>
      </c>
      <c r="E6500" s="5">
        <v>34038.745900000002</v>
      </c>
      <c r="G6500" s="5" t="str">
        <f t="shared" si="203"/>
        <v>ШАБРОВСКИЙ</v>
      </c>
      <c r="J6500" s="5"/>
      <c r="AL6500" s="5">
        <f t="shared" si="204"/>
        <v>0</v>
      </c>
    </row>
    <row r="6501" spans="1:38" ht="25.5" customHeight="1" x14ac:dyDescent="0.25">
      <c r="A6501" s="10" t="s">
        <v>5144</v>
      </c>
      <c r="B6501" s="11" t="s">
        <v>1660</v>
      </c>
      <c r="C6501" s="5">
        <v>53262.345800000003</v>
      </c>
      <c r="D6501" s="5">
        <v>53262.345800000003</v>
      </c>
      <c r="E6501" s="5">
        <v>48230.0095</v>
      </c>
      <c r="G6501" s="5" t="str">
        <f t="shared" si="203"/>
        <v>САДОВЫЙ</v>
      </c>
      <c r="J6501" s="5"/>
      <c r="AL6501" s="5">
        <f t="shared" si="204"/>
        <v>0</v>
      </c>
    </row>
    <row r="6502" spans="1:38" ht="25.5" customHeight="1" x14ac:dyDescent="0.25">
      <c r="A6502" s="10" t="s">
        <v>5145</v>
      </c>
      <c r="B6502" s="11" t="s">
        <v>1657</v>
      </c>
      <c r="C6502" s="5">
        <v>54886.9666</v>
      </c>
      <c r="D6502" s="5">
        <v>54886.9666</v>
      </c>
      <c r="E6502" s="5">
        <v>49701.1319</v>
      </c>
      <c r="G6502" s="5" t="str">
        <f t="shared" si="203"/>
        <v>КОЛЬЦОВО</v>
      </c>
      <c r="J6502" s="5"/>
      <c r="AL6502" s="5">
        <f t="shared" si="204"/>
        <v>0</v>
      </c>
    </row>
    <row r="6503" spans="1:38" ht="25.5" customHeight="1" x14ac:dyDescent="0.25">
      <c r="A6503" s="10" t="s">
        <v>5146</v>
      </c>
      <c r="B6503" s="11" t="s">
        <v>1661</v>
      </c>
      <c r="C6503" s="5">
        <v>51175.5573</v>
      </c>
      <c r="D6503" s="5">
        <v>51175.5573</v>
      </c>
      <c r="E6503" s="5">
        <v>46340.381600000001</v>
      </c>
      <c r="G6503" s="5" t="str">
        <f t="shared" si="203"/>
        <v>СЕВЕРКА</v>
      </c>
      <c r="J6503" s="5"/>
      <c r="AL6503" s="5">
        <f t="shared" si="204"/>
        <v>0</v>
      </c>
    </row>
    <row r="6504" spans="1:38" ht="25.5" customHeight="1" x14ac:dyDescent="0.25">
      <c r="A6504" s="10" t="s">
        <v>5147</v>
      </c>
      <c r="B6504" s="11" t="s">
        <v>1636</v>
      </c>
      <c r="C6504" s="5">
        <v>52246.960299999999</v>
      </c>
      <c r="D6504" s="5">
        <v>52246.960299999999</v>
      </c>
      <c r="E6504" s="5">
        <v>47310.556700000001</v>
      </c>
      <c r="G6504" s="5" t="str">
        <f t="shared" si="203"/>
        <v>ГОРНЫЙ ЩИТ</v>
      </c>
      <c r="J6504" s="5"/>
      <c r="AL6504" s="5">
        <f t="shared" si="204"/>
        <v>0</v>
      </c>
    </row>
    <row r="6505" spans="1:38" ht="25.5" customHeight="1" x14ac:dyDescent="0.25">
      <c r="A6505" s="10" t="s">
        <v>5148</v>
      </c>
      <c r="B6505" s="11" t="s">
        <v>1636</v>
      </c>
      <c r="C6505" s="5">
        <v>52246.960299999999</v>
      </c>
      <c r="D6505" s="5">
        <v>52246.960299999999</v>
      </c>
      <c r="E6505" s="5">
        <v>47310.556700000001</v>
      </c>
      <c r="G6505" s="5" t="str">
        <f t="shared" si="203"/>
        <v>ГОРНЫЙ ЩИТ</v>
      </c>
      <c r="J6505" s="5"/>
      <c r="AL6505" s="5">
        <f t="shared" si="204"/>
        <v>0</v>
      </c>
    </row>
    <row r="6506" spans="1:38" ht="25.5" customHeight="1" x14ac:dyDescent="0.25">
      <c r="A6506" s="10" t="s">
        <v>5149</v>
      </c>
      <c r="B6506" s="11" t="s">
        <v>1650</v>
      </c>
      <c r="C6506" s="5">
        <v>37590.3603</v>
      </c>
      <c r="D6506" s="5">
        <v>37590.3603</v>
      </c>
      <c r="E6506" s="5">
        <v>34038.745900000002</v>
      </c>
      <c r="G6506" s="5" t="str">
        <f t="shared" si="203"/>
        <v>ШАБРОВСКИЙ</v>
      </c>
      <c r="J6506" s="5"/>
      <c r="AL6506" s="5">
        <f t="shared" si="204"/>
        <v>0</v>
      </c>
    </row>
    <row r="6507" spans="1:38" ht="25.5" customHeight="1" x14ac:dyDescent="0.25">
      <c r="A6507" s="10" t="s">
        <v>5150</v>
      </c>
      <c r="B6507" s="11" t="s">
        <v>1650</v>
      </c>
      <c r="C6507" s="5">
        <v>37590.3603</v>
      </c>
      <c r="D6507" s="5">
        <v>37590.3603</v>
      </c>
      <c r="E6507" s="5">
        <v>34038.745900000002</v>
      </c>
      <c r="G6507" s="5" t="str">
        <f t="shared" si="203"/>
        <v>ШАБРОВСКИЙ</v>
      </c>
      <c r="J6507" s="5"/>
      <c r="AL6507" s="5">
        <f t="shared" si="204"/>
        <v>0</v>
      </c>
    </row>
    <row r="6508" spans="1:38" ht="25.5" customHeight="1" x14ac:dyDescent="0.25">
      <c r="A6508" s="10" t="s">
        <v>5151</v>
      </c>
      <c r="B6508" s="11" t="s">
        <v>1650</v>
      </c>
      <c r="C6508" s="5">
        <v>37590.3603</v>
      </c>
      <c r="D6508" s="5">
        <v>37590.3603</v>
      </c>
      <c r="E6508" s="5">
        <v>34038.745900000002</v>
      </c>
      <c r="G6508" s="5" t="str">
        <f t="shared" si="203"/>
        <v>ШАБРОВСКИЙ</v>
      </c>
      <c r="J6508" s="5"/>
      <c r="AL6508" s="5">
        <f t="shared" si="204"/>
        <v>0</v>
      </c>
    </row>
    <row r="6509" spans="1:38" ht="25.5" customHeight="1" x14ac:dyDescent="0.25">
      <c r="A6509" s="10" t="s">
        <v>5152</v>
      </c>
      <c r="B6509" s="11" t="s">
        <v>5166</v>
      </c>
      <c r="C6509" s="5">
        <v>49782.025399999999</v>
      </c>
      <c r="D6509" s="5">
        <v>49782.025399999999</v>
      </c>
      <c r="E6509" s="5">
        <v>45078.506800000003</v>
      </c>
      <c r="G6509" s="5" t="str">
        <f t="shared" si="203"/>
        <v>Чусовское озеро</v>
      </c>
      <c r="J6509" s="5"/>
      <c r="AL6509" s="5">
        <f t="shared" si="204"/>
        <v>0</v>
      </c>
    </row>
    <row r="6510" spans="1:38" ht="25.5" customHeight="1" x14ac:dyDescent="0.25">
      <c r="A6510" s="10" t="s">
        <v>5153</v>
      </c>
      <c r="B6510" s="11" t="s">
        <v>5166</v>
      </c>
      <c r="C6510" s="5">
        <v>49782.025399999999</v>
      </c>
      <c r="D6510" s="5">
        <v>49782.025399999999</v>
      </c>
      <c r="E6510" s="5">
        <v>45078.506800000003</v>
      </c>
      <c r="G6510" s="5" t="str">
        <f t="shared" si="203"/>
        <v>Чусовское озеро</v>
      </c>
      <c r="J6510" s="5"/>
      <c r="AL6510" s="5">
        <f t="shared" si="204"/>
        <v>0</v>
      </c>
    </row>
    <row r="6511" spans="1:38" ht="25.5" customHeight="1" x14ac:dyDescent="0.25">
      <c r="A6511" s="10" t="s">
        <v>5154</v>
      </c>
      <c r="B6511" s="11" t="s">
        <v>1636</v>
      </c>
      <c r="C6511" s="5">
        <v>52246.960299999999</v>
      </c>
      <c r="D6511" s="5">
        <v>52246.960299999999</v>
      </c>
      <c r="E6511" s="5">
        <v>47310.556700000001</v>
      </c>
      <c r="G6511" s="5" t="str">
        <f t="shared" si="203"/>
        <v>ГОРНЫЙ ЩИТ</v>
      </c>
      <c r="J6511" s="5"/>
      <c r="AL6511" s="5">
        <f t="shared" si="204"/>
        <v>0</v>
      </c>
    </row>
    <row r="6512" spans="1:38" ht="25.5" customHeight="1" x14ac:dyDescent="0.25">
      <c r="A6512" s="10" t="s">
        <v>5155</v>
      </c>
      <c r="B6512" s="11" t="s">
        <v>118</v>
      </c>
      <c r="C6512" s="5">
        <v>53500.443299999999</v>
      </c>
      <c r="D6512" s="5">
        <v>53500.443299999999</v>
      </c>
      <c r="E6512" s="5">
        <v>48445.605100000001</v>
      </c>
      <c r="G6512" s="5" t="str">
        <f t="shared" si="203"/>
        <v>Исток</v>
      </c>
      <c r="J6512" s="5"/>
      <c r="AL6512" s="5">
        <f t="shared" si="204"/>
        <v>0</v>
      </c>
    </row>
    <row r="6513" spans="1:38" ht="25.5" customHeight="1" x14ac:dyDescent="0.25">
      <c r="A6513" s="10" t="s">
        <v>5156</v>
      </c>
      <c r="B6513" s="11" t="s">
        <v>483</v>
      </c>
      <c r="C6513" s="5">
        <v>44242.899599999997</v>
      </c>
      <c r="D6513" s="5">
        <v>44242.899599999997</v>
      </c>
      <c r="E6513" s="5">
        <v>40062.737300000001</v>
      </c>
      <c r="G6513" s="5" t="str">
        <f t="shared" si="203"/>
        <v>Шувакиш</v>
      </c>
      <c r="J6513" s="5"/>
      <c r="AL6513" s="5">
        <f t="shared" si="204"/>
        <v>0</v>
      </c>
    </row>
    <row r="6514" spans="1:38" ht="25.5" customHeight="1" x14ac:dyDescent="0.25">
      <c r="A6514" s="10" t="s">
        <v>5157</v>
      </c>
      <c r="B6514" s="11" t="s">
        <v>5166</v>
      </c>
      <c r="C6514" s="5">
        <v>49782.025399999999</v>
      </c>
      <c r="D6514" s="5">
        <v>49782.025399999999</v>
      </c>
      <c r="E6514" s="5">
        <v>45078.506800000003</v>
      </c>
      <c r="G6514" s="5" t="str">
        <f t="shared" si="203"/>
        <v>Чусовское озеро</v>
      </c>
      <c r="J6514" s="5"/>
      <c r="AL6514" s="5">
        <f t="shared" si="204"/>
        <v>0</v>
      </c>
    </row>
    <row r="6515" spans="1:38" ht="25.5" customHeight="1" x14ac:dyDescent="0.25">
      <c r="A6515" s="10" t="s">
        <v>5158</v>
      </c>
      <c r="B6515" s="11" t="s">
        <v>5166</v>
      </c>
      <c r="C6515" s="5">
        <v>49782.025399999999</v>
      </c>
      <c r="D6515" s="5">
        <v>49782.025399999999</v>
      </c>
      <c r="E6515" s="5">
        <v>45078.506800000003</v>
      </c>
      <c r="G6515" s="5" t="str">
        <f t="shared" si="203"/>
        <v>Чусовское озеро</v>
      </c>
      <c r="J6515" s="5"/>
      <c r="AL6515" s="5">
        <f t="shared" si="204"/>
        <v>0</v>
      </c>
    </row>
    <row r="6516" spans="1:38" ht="25.5" customHeight="1" x14ac:dyDescent="0.25">
      <c r="A6516" s="10" t="s">
        <v>5159</v>
      </c>
      <c r="B6516" s="11" t="s">
        <v>1660</v>
      </c>
      <c r="C6516" s="5">
        <v>53262.345800000003</v>
      </c>
      <c r="D6516" s="5">
        <v>53262.345800000003</v>
      </c>
      <c r="E6516" s="5">
        <v>48230.0095</v>
      </c>
      <c r="G6516" s="5" t="str">
        <f t="shared" si="203"/>
        <v>САДОВЫЙ</v>
      </c>
      <c r="J6516" s="5"/>
      <c r="AL6516" s="5">
        <f t="shared" si="204"/>
        <v>0</v>
      </c>
    </row>
    <row r="6517" spans="1:38" ht="25.5" customHeight="1" x14ac:dyDescent="0.25">
      <c r="A6517" s="10" t="s">
        <v>5160</v>
      </c>
      <c r="B6517" s="11" t="s">
        <v>1660</v>
      </c>
      <c r="C6517" s="5">
        <v>53262.345800000003</v>
      </c>
      <c r="D6517" s="5">
        <v>53262.345800000003</v>
      </c>
      <c r="E6517" s="5">
        <v>48230.0095</v>
      </c>
      <c r="G6517" s="5" t="str">
        <f t="shared" si="203"/>
        <v>САДОВЫЙ</v>
      </c>
      <c r="J6517" s="5"/>
      <c r="AL6517" s="5">
        <f t="shared" si="204"/>
        <v>0</v>
      </c>
    </row>
    <row r="6518" spans="1:38" ht="25.5" customHeight="1" x14ac:dyDescent="0.25">
      <c r="A6518" s="10" t="s">
        <v>5161</v>
      </c>
      <c r="B6518" s="11" t="s">
        <v>1636</v>
      </c>
      <c r="C6518" s="5">
        <v>52246.960299999999</v>
      </c>
      <c r="D6518" s="5">
        <v>52246.960299999999</v>
      </c>
      <c r="E6518" s="5">
        <v>47310.556700000001</v>
      </c>
      <c r="G6518" s="5" t="str">
        <f t="shared" si="203"/>
        <v>ГОРНЫЙ ЩИТ</v>
      </c>
      <c r="J6518" s="5"/>
      <c r="AL6518" s="5">
        <f t="shared" si="204"/>
        <v>0</v>
      </c>
    </row>
    <row r="6519" spans="1:38" ht="25.5" customHeight="1" x14ac:dyDescent="0.25">
      <c r="A6519" s="10" t="s">
        <v>5162</v>
      </c>
      <c r="B6519" s="11" t="s">
        <v>1636</v>
      </c>
      <c r="C6519" s="5">
        <v>52246.960299999999</v>
      </c>
      <c r="D6519" s="5">
        <v>52246.960299999999</v>
      </c>
      <c r="E6519" s="5">
        <v>47310.556700000001</v>
      </c>
      <c r="G6519" s="5" t="str">
        <f t="shared" si="203"/>
        <v>ГОРНЫЙ ЩИТ</v>
      </c>
      <c r="J6519" s="5"/>
      <c r="AL6519" s="5">
        <f t="shared" si="204"/>
        <v>0</v>
      </c>
    </row>
    <row r="6520" spans="1:38" ht="25.5" customHeight="1" x14ac:dyDescent="0.25">
      <c r="A6520" s="10" t="s">
        <v>5163</v>
      </c>
      <c r="B6520" s="11" t="s">
        <v>1636</v>
      </c>
      <c r="C6520" s="5">
        <v>52246.960299999999</v>
      </c>
      <c r="D6520" s="5">
        <v>52246.960299999999</v>
      </c>
      <c r="E6520" s="5">
        <v>47310.556700000001</v>
      </c>
      <c r="G6520" s="5" t="str">
        <f t="shared" si="203"/>
        <v>ГОРНЫЙ ЩИТ</v>
      </c>
      <c r="J6520" s="5"/>
      <c r="AL6520" s="5">
        <f t="shared" si="204"/>
        <v>0</v>
      </c>
    </row>
    <row r="6521" spans="1:38" ht="25.5" customHeight="1" x14ac:dyDescent="0.25">
      <c r="A6521" s="10" t="s">
        <v>5164</v>
      </c>
      <c r="B6521" s="11" t="s">
        <v>5166</v>
      </c>
      <c r="C6521" s="5">
        <v>49782.025399999999</v>
      </c>
      <c r="D6521" s="5">
        <v>49782.025399999999</v>
      </c>
      <c r="E6521" s="5">
        <v>45078.506800000003</v>
      </c>
      <c r="G6521" s="5" t="str">
        <f t="shared" si="203"/>
        <v>Чусовское озеро</v>
      </c>
      <c r="J6521" s="5"/>
      <c r="AL6521" s="5">
        <f t="shared" si="204"/>
        <v>0</v>
      </c>
    </row>
  </sheetData>
  <mergeCells count="6">
    <mergeCell ref="AC1:AD1"/>
    <mergeCell ref="F1:J1"/>
    <mergeCell ref="X1:Y1"/>
    <mergeCell ref="C1:E1"/>
    <mergeCell ref="M1:N1"/>
    <mergeCell ref="R1:T1"/>
  </mergeCells>
  <conditionalFormatting sqref="A1354:A15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расчеты</vt:lpstr>
      <vt:lpstr>ГОТОВ</vt:lpstr>
      <vt:lpstr>ПЕРЕСЧЕТ НЕ ТРЕБУЕТСЯ</vt:lpstr>
      <vt:lpstr>СТОПЛИСТ</vt:lpstr>
      <vt:lpstr>справочник ВРИ</vt:lpstr>
      <vt:lpstr>коэф.модели</vt:lpstr>
      <vt:lpstr>Лист4</vt:lpstr>
      <vt:lpstr>КК и удельник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Бунаков Максим Дмитриевич</dc:creator>
  <cp:lastModifiedBy>Шмелев Константин Валерьевич</cp:lastModifiedBy>
  <dcterms:created xsi:type="dcterms:W3CDTF">2020-09-24T04:24:17Z</dcterms:created>
  <dcterms:modified xsi:type="dcterms:W3CDTF">2021-05-25T10:56:47Z</dcterms:modified>
</cp:coreProperties>
</file>