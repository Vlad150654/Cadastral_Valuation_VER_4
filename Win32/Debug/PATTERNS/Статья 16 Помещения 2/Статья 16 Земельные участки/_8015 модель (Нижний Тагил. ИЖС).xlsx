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PATTERNS\Статья 16 Земельные участки\"/>
    </mc:Choice>
  </mc:AlternateContent>
  <bookViews>
    <workbookView xWindow="0" yWindow="0" windowWidth="28800" windowHeight="12135"/>
  </bookViews>
  <sheets>
    <sheet name="Земельные участки" sheetId="1" r:id="rId1"/>
    <sheet name="справочник ври" sheetId="6" r:id="rId2"/>
    <sheet name="СТОПЛИСТ" sheetId="4" r:id="rId3"/>
    <sheet name="ПЕРЕСЧЕТ НЕ ТРЕБУЕТСЯ" sheetId="5" r:id="rId4"/>
    <sheet name="ГОТОВ" sheetId="3" r:id="rId5"/>
    <sheet name="Поправки" sheetId="2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V6" i="1" l="1"/>
  <c r="BU6" i="1"/>
  <c r="BT6" i="1"/>
  <c r="BQ6" i="1"/>
  <c r="BN6" i="1"/>
  <c r="BO6" i="1" s="1"/>
  <c r="BM6" i="1"/>
  <c r="BK6" i="1"/>
  <c r="BL6" i="1" s="1"/>
  <c r="BI6" i="1"/>
  <c r="BJ6" i="1" s="1"/>
  <c r="BG6" i="1"/>
  <c r="BH6" i="1" s="1"/>
  <c r="BE6" i="1"/>
  <c r="BF6" i="1" s="1"/>
  <c r="BC6" i="1"/>
  <c r="BD6" i="1" s="1"/>
  <c r="BB6" i="1"/>
  <c r="BA6" i="1"/>
  <c r="AY6" i="1"/>
  <c r="AZ6" i="1" s="1"/>
  <c r="AX6" i="1"/>
  <c r="BV5" i="1"/>
  <c r="BU5" i="1"/>
  <c r="BT5" i="1"/>
  <c r="BQ5" i="1"/>
  <c r="BN5" i="1"/>
  <c r="BO5" i="1" s="1"/>
  <c r="BM5" i="1"/>
  <c r="BK5" i="1"/>
  <c r="BL5" i="1" s="1"/>
  <c r="BJ5" i="1"/>
  <c r="BI5" i="1"/>
  <c r="BG5" i="1"/>
  <c r="BH5" i="1" s="1"/>
  <c r="BE5" i="1"/>
  <c r="BF5" i="1" s="1"/>
  <c r="BC5" i="1"/>
  <c r="BD5" i="1" s="1"/>
  <c r="BA5" i="1"/>
  <c r="BB5" i="1" s="1"/>
  <c r="AY5" i="1"/>
  <c r="AZ5" i="1" s="1"/>
  <c r="AX5" i="1"/>
  <c r="BV4" i="1"/>
  <c r="BU4" i="1"/>
  <c r="BT4" i="1"/>
  <c r="BQ4" i="1"/>
  <c r="BN4" i="1"/>
  <c r="BO4" i="1" s="1"/>
  <c r="BM4" i="1"/>
  <c r="BK4" i="1"/>
  <c r="BL4" i="1" s="1"/>
  <c r="BJ4" i="1"/>
  <c r="BI4" i="1"/>
  <c r="BG4" i="1"/>
  <c r="BH4" i="1" s="1"/>
  <c r="BF4" i="1"/>
  <c r="BE4" i="1"/>
  <c r="BC4" i="1"/>
  <c r="BD4" i="1" s="1"/>
  <c r="BA4" i="1"/>
  <c r="BB4" i="1" s="1"/>
  <c r="AY4" i="1"/>
  <c r="AZ4" i="1" s="1"/>
  <c r="AX4" i="1"/>
  <c r="DO6" i="1"/>
  <c r="DN6" i="1"/>
  <c r="DM6" i="1"/>
  <c r="DL6" i="1"/>
  <c r="DK6" i="1"/>
  <c r="DJ6" i="1"/>
  <c r="DI6" i="1"/>
  <c r="DH6" i="1"/>
  <c r="DG6" i="1"/>
  <c r="DF6" i="1"/>
  <c r="DE6" i="1"/>
  <c r="DC6" i="1"/>
  <c r="DB6" i="1"/>
  <c r="DA6" i="1"/>
  <c r="CZ6" i="1"/>
  <c r="CX6" i="1"/>
  <c r="CV6" i="1"/>
  <c r="CR6" i="1"/>
  <c r="CO6" i="1"/>
  <c r="CP6" i="1" s="1"/>
  <c r="CM6" i="1"/>
  <c r="CN6" i="1" s="1"/>
  <c r="CK6" i="1"/>
  <c r="CL6" i="1" s="1"/>
  <c r="CJ6" i="1"/>
  <c r="CI6" i="1"/>
  <c r="CG6" i="1"/>
  <c r="CH6" i="1" s="1"/>
  <c r="CF6" i="1"/>
  <c r="CD6" i="1"/>
  <c r="CA6" i="1"/>
  <c r="CB6" i="1" s="1"/>
  <c r="BY6" i="1"/>
  <c r="BZ6" i="1" s="1"/>
  <c r="BX6" i="1"/>
  <c r="BW6" i="1"/>
  <c r="DO5" i="1"/>
  <c r="DN5" i="1"/>
  <c r="DM5" i="1"/>
  <c r="DL5" i="1"/>
  <c r="DK5" i="1"/>
  <c r="DJ5" i="1"/>
  <c r="DI5" i="1"/>
  <c r="DH5" i="1"/>
  <c r="DG5" i="1"/>
  <c r="DF5" i="1"/>
  <c r="DE5" i="1"/>
  <c r="DC5" i="1"/>
  <c r="DB5" i="1"/>
  <c r="DA5" i="1"/>
  <c r="CZ5" i="1"/>
  <c r="CX5" i="1"/>
  <c r="CV5" i="1"/>
  <c r="CR5" i="1"/>
  <c r="CO5" i="1"/>
  <c r="CP5" i="1" s="1"/>
  <c r="CM5" i="1"/>
  <c r="CN5" i="1" s="1"/>
  <c r="CK5" i="1"/>
  <c r="CL5" i="1" s="1"/>
  <c r="CJ5" i="1"/>
  <c r="CI5" i="1"/>
  <c r="CG5" i="1"/>
  <c r="CH5" i="1" s="1"/>
  <c r="CF5" i="1"/>
  <c r="CD5" i="1"/>
  <c r="CA5" i="1"/>
  <c r="CB5" i="1" s="1"/>
  <c r="BY5" i="1"/>
  <c r="BZ5" i="1" s="1"/>
  <c r="BX5" i="1"/>
  <c r="BW5" i="1"/>
  <c r="BR4" i="1" l="1"/>
  <c r="BS4" i="1" s="1"/>
  <c r="BR5" i="1"/>
  <c r="BS5" i="1" s="1"/>
  <c r="BR6" i="1"/>
  <c r="BS6" i="1" s="1"/>
  <c r="CS5" i="1"/>
  <c r="CS6" i="1"/>
  <c r="CO4" i="1"/>
  <c r="DD6" i="1" l="1"/>
  <c r="CT6" i="1"/>
  <c r="CW6" i="1" s="1"/>
  <c r="CT5" i="1"/>
  <c r="CW5" i="1" s="1"/>
  <c r="DD5" i="1"/>
  <c r="BY4" i="1"/>
  <c r="CZ4" i="1" l="1"/>
  <c r="DB4" i="1" l="1"/>
  <c r="CX4" i="1" l="1"/>
  <c r="DA4" i="1" s="1"/>
  <c r="DL4" i="1" l="1"/>
  <c r="DE4" i="1"/>
  <c r="CG4" i="1"/>
  <c r="DI4" i="1" s="1"/>
  <c r="DN4" i="1"/>
  <c r="DM4" i="1"/>
  <c r="DH4" i="1"/>
  <c r="BW4" i="1"/>
  <c r="DO4" i="1"/>
  <c r="CM4" i="1"/>
  <c r="CN4" i="1" s="1"/>
  <c r="CI4" i="1"/>
  <c r="DJ4" i="1" s="1"/>
  <c r="CA4" i="1"/>
  <c r="DG4" i="1" s="1"/>
  <c r="DF4" i="1"/>
  <c r="CV4" i="1" l="1"/>
  <c r="CK4" i="1"/>
  <c r="DK4" i="1" s="1"/>
  <c r="CR4" i="1" l="1"/>
  <c r="CP4" i="1"/>
  <c r="CL4" i="1"/>
  <c r="CH4" i="1"/>
  <c r="CF4" i="1"/>
  <c r="CD4" i="1"/>
  <c r="BZ4" i="1"/>
  <c r="BX4" i="1"/>
  <c r="CJ4" i="1" l="1"/>
  <c r="CB4" i="1"/>
  <c r="CS4" i="1" l="1"/>
  <c r="CT4" i="1" l="1"/>
  <c r="DC4" i="1" s="1"/>
  <c r="DD4" i="1" s="1"/>
  <c r="CW4" i="1" l="1"/>
</calcChain>
</file>

<file path=xl/sharedStrings.xml><?xml version="1.0" encoding="utf-8"?>
<sst xmlns="http://schemas.openxmlformats.org/spreadsheetml/2006/main" count="945" uniqueCount="754">
  <si>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</si>
  <si>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</si>
  <si>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</si>
  <si>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</si>
  <si>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Категория земель</t>
  </si>
  <si>
    <t>Группа для XML</t>
  </si>
  <si>
    <t>Код расчета вида использования</t>
  </si>
  <si>
    <t>Расстояние до центра МО</t>
  </si>
  <si>
    <t>Наличие газоснабжения</t>
  </si>
  <si>
    <t>Наличие электроснабжения</t>
  </si>
  <si>
    <t>Наличие водоотведения</t>
  </si>
  <si>
    <t>Наличие водоснабжения</t>
  </si>
  <si>
    <t>Зона вляния для ИЖС</t>
  </si>
  <si>
    <t>Земли населенных пунктов</t>
  </si>
  <si>
    <t>наличие</t>
  </si>
  <si>
    <t>13</t>
  </si>
  <si>
    <t>02:021</t>
  </si>
  <si>
    <t>Влияние Нижнего Тагила</t>
  </si>
  <si>
    <t>Земли сельскохозяйственного назначения</t>
  </si>
  <si>
    <t>пересечение</t>
  </si>
  <si>
    <t>Код МО (19 и 56). В других моделях это ценовой фактор</t>
  </si>
  <si>
    <t>Специально заводить в БД такое полев БД не нужно (Будем определять как два первых знака от кода НП)</t>
  </si>
  <si>
    <t>Фактор</t>
  </si>
  <si>
    <t>Обозначение фактора</t>
  </si>
  <si>
    <t>Номер модели</t>
  </si>
  <si>
    <t>Наименование поля БД</t>
  </si>
  <si>
    <t>Значение поля БД</t>
  </si>
  <si>
    <t>Градация (не хранится в БД как отдельное поле)</t>
  </si>
  <si>
    <t xml:space="preserve">Значение поправки </t>
  </si>
  <si>
    <t>Константа</t>
  </si>
  <si>
    <t>С0</t>
  </si>
  <si>
    <t>НЕТ</t>
  </si>
  <si>
    <t>Учитываем при расчетах в Экселе</t>
  </si>
  <si>
    <t>Электроснабжение</t>
  </si>
  <si>
    <t>V1</t>
  </si>
  <si>
    <t>отсутствие</t>
  </si>
  <si>
    <t>Отсутствие электроснабжения</t>
  </si>
  <si>
    <t>Газоснабжение</t>
  </si>
  <si>
    <t>V2</t>
  </si>
  <si>
    <t>Отсутствие газоснабжения</t>
  </si>
  <si>
    <t>пусто</t>
  </si>
  <si>
    <t>Водоснабжение</t>
  </si>
  <si>
    <t>V3</t>
  </si>
  <si>
    <t>Это особенность ИЖС, по воде и канализации всем ставим отсутствие</t>
  </si>
  <si>
    <t>Отсутствие водоснабжения</t>
  </si>
  <si>
    <t>Водоотведение</t>
  </si>
  <si>
    <t>V4</t>
  </si>
  <si>
    <t>Отсутствие водоотведения</t>
  </si>
  <si>
    <t xml:space="preserve">Расстояние до Нижнего Тагила </t>
  </si>
  <si>
    <t>V5</t>
  </si>
  <si>
    <t>Количественный</t>
  </si>
  <si>
    <t>V6</t>
  </si>
  <si>
    <t>Категория</t>
  </si>
  <si>
    <t>ЗНП</t>
  </si>
  <si>
    <t>Прочие</t>
  </si>
  <si>
    <t>Иные категории, пусто</t>
  </si>
  <si>
    <t>Вид разрешённого использования</t>
  </si>
  <si>
    <t>V7</t>
  </si>
  <si>
    <t xml:space="preserve">Код расчетный </t>
  </si>
  <si>
    <t>02:010</t>
  </si>
  <si>
    <t>ИЖС</t>
  </si>
  <si>
    <t>Если "0" то значит другой код ВРИ и другая модель</t>
  </si>
  <si>
    <t>02:011</t>
  </si>
  <si>
    <t>02:019</t>
  </si>
  <si>
    <t>02:020</t>
  </si>
  <si>
    <t>02:023</t>
  </si>
  <si>
    <t>02:030</t>
  </si>
  <si>
    <t>02:031</t>
  </si>
  <si>
    <t>13:031</t>
  </si>
  <si>
    <t xml:space="preserve">Площадь </t>
  </si>
  <si>
    <t>V8</t>
  </si>
  <si>
    <t>Площадь</t>
  </si>
  <si>
    <t>Зона влияния Нижнего Тагила</t>
  </si>
  <si>
    <t>V9</t>
  </si>
  <si>
    <t>Зона влияния для ИЖС</t>
  </si>
  <si>
    <t>Наличие влияния Нижнего Тагила</t>
  </si>
  <si>
    <t>Иные значения, пусто</t>
  </si>
  <si>
    <t>Отсутствие влияния Нижнего Тагила</t>
  </si>
  <si>
    <t>Уторгование</t>
  </si>
  <si>
    <t>V10</t>
  </si>
  <si>
    <t>Наличие уторгования</t>
  </si>
  <si>
    <t>Поправка на электроснабжение</t>
  </si>
  <si>
    <t>Поправка на газоснабжение</t>
  </si>
  <si>
    <t>Поправка на вобоснабжение</t>
  </si>
  <si>
    <t>Поправка на вдоотведение</t>
  </si>
  <si>
    <t>Поправка на расстояние до Нижнего Тагила</t>
  </si>
  <si>
    <t>Расстояние до Нижнего Тагила</t>
  </si>
  <si>
    <t>Поправка на категорию земель</t>
  </si>
  <si>
    <t>ВРИ</t>
  </si>
  <si>
    <t>Поправка на ВРИ</t>
  </si>
  <si>
    <t>Поправка на площадь</t>
  </si>
  <si>
    <t>Поправка на зону влияния Нижнего Тагила</t>
  </si>
  <si>
    <t>Поправка на уторгование</t>
  </si>
  <si>
    <t>УПС</t>
  </si>
  <si>
    <t xml:space="preserve">Итоговое </t>
  </si>
  <si>
    <t>CadastralCostDesc</t>
  </si>
  <si>
    <t>id_group</t>
  </si>
  <si>
    <t>Модель №15. Садоводческое, огородническое и дачное использование, малоэтажная жилая застройка. Нижний Тагил_ИЖС</t>
  </si>
  <si>
    <t>Дачный участок</t>
  </si>
  <si>
    <t>y=с*V1*V2*V3*V4*V5*V6*V7*V8*V9*V10
Где:
y – удельный показатель;
V1 – Поправочный коэффициент фактора "Наличие электричества";
V2 – Поправочный коэффициент фактора "Наличие газа";
V3 – Поправочный коэффициент фактора "Наличие водоснабжения";
V4 – Поправочный коэффициент фактора "Наличие канализации";
V5 – Поправочный коэффициент фактора «Расстояние до центра г. Нижний Тагил».
V6  –  Поправочный коэффициент фактора «Категория земель»;
V7 – Поправочный коэффициент фактора «Вид разрешённого использования»
V8 – Поправочный коэффициент фактора «Общая площадь»;
V9 – Поправочный коэффициент фактора "Зона влияния г. Нижний Тагил";
V10 – Поправочный коэффициент фактора «Уторгование».</t>
  </si>
  <si>
    <t>loc_factor_804</t>
  </si>
  <si>
    <t>loc_factor_822</t>
  </si>
  <si>
    <t>loc_factor_828</t>
  </si>
  <si>
    <t>loc_factor_803</t>
  </si>
  <si>
    <t>loc_factor_812</t>
  </si>
  <si>
    <t>loc_factor_8121</t>
  </si>
  <si>
    <t>loc_factor_817</t>
  </si>
  <si>
    <t>loc_factor_825</t>
  </si>
  <si>
    <t>loc_factor_807</t>
  </si>
  <si>
    <t>loc_factor_8071</t>
  </si>
  <si>
    <t>loc_factor_826</t>
  </si>
  <si>
    <t>loc_factor_827</t>
  </si>
  <si>
    <t>Specific_CadastralCost</t>
  </si>
  <si>
    <t>CadastralCost</t>
  </si>
  <si>
    <t>для МО13 при пустом расстоянии берется 11км,для МО 14 при пустом расстоянии берется 19км</t>
  </si>
  <si>
    <t>Отсутствие уторгования</t>
  </si>
  <si>
    <t>Площадь (ЦФ)</t>
  </si>
  <si>
    <t>Категория земель (ЦФ)</t>
  </si>
  <si>
    <t>Расстояние до административного центра МО (ЦФ)</t>
  </si>
  <si>
    <t>Вид разрешённого использования (ЦФ)</t>
  </si>
  <si>
    <t>Газоснабжение (ЦФ)</t>
  </si>
  <si>
    <t>Электроснабжение (ЦФ)</t>
  </si>
  <si>
    <t>Водоотведение (ЦФ)</t>
  </si>
  <si>
    <t>Водоснабжение (ЦФ)</t>
  </si>
  <si>
    <t>Код МО (ЦФ)</t>
  </si>
  <si>
    <t>Зона влияния для ИЖС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</si>
  <si>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</si>
  <si>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</si>
  <si>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</si>
  <si>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ЛЭП над участком (ЦФ)</t>
  </si>
  <si>
    <t>Номер заявления</t>
  </si>
  <si>
    <t>Тип заявления</t>
  </si>
  <si>
    <t>Статус заявления</t>
  </si>
  <si>
    <t>Код Муниципального образования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</si>
  <si>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</si>
  <si>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</si>
  <si>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</si>
  <si>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</si>
  <si>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</si>
  <si>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</si>
  <si>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</si>
  <si>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</si>
  <si>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</si>
  <si>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</si>
  <si>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14</t>
  </si>
  <si>
    <t>Обязательная проверка</t>
  </si>
  <si>
    <t>мо</t>
  </si>
  <si>
    <t>км</t>
  </si>
  <si>
    <t>средние</t>
  </si>
  <si>
    <t>Status_kc</t>
  </si>
  <si>
    <t>loc_VICode</t>
  </si>
  <si>
    <t>Segment</t>
  </si>
  <si>
    <t>Сегмент</t>
  </si>
  <si>
    <t>Код МО</t>
  </si>
  <si>
    <t xml:space="preserve">Категория земель </t>
  </si>
  <si>
    <t>номер группы</t>
  </si>
  <si>
    <t>13. СЕГМЕНТ "Садоводство и огородничество, малоэтажная жилая застройка"</t>
  </si>
  <si>
    <t>Общая стоимость</t>
  </si>
  <si>
    <t>Идентификатор стоимости</t>
  </si>
  <si>
    <t>Особый контроль</t>
  </si>
  <si>
    <t>CadastralNumber</t>
  </si>
  <si>
    <t>ControlSP</t>
  </si>
  <si>
    <t>Код сегмента</t>
  </si>
  <si>
    <t>loc_SgCode</t>
  </si>
  <si>
    <t>Код сегменгта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</si>
  <si>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</si>
  <si>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</si>
  <si>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</si>
  <si>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</si>
  <si>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</si>
  <si>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</si>
  <si>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</si>
  <si>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</si>
  <si>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</si>
  <si>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</si>
  <si>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</si>
  <si>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</si>
  <si>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</si>
  <si>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</si>
  <si>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</si>
  <si>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</si>
  <si>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</si>
  <si>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</si>
  <si>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</si>
  <si>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</si>
  <si>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</si>
  <si>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</si>
  <si>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</si>
  <si>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</si>
  <si>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</si>
  <si>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</si>
  <si>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</si>
  <si>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</si>
  <si>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</si>
  <si>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</si>
  <si>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</si>
  <si>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</si>
  <si>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</si>
  <si>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</si>
  <si>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</si>
  <si>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</si>
  <si>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</si>
  <si>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</si>
  <si>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</si>
  <si>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</si>
  <si>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</si>
  <si>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</si>
  <si>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</si>
  <si>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</si>
  <si>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</si>
  <si>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</si>
  <si>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</si>
  <si>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</si>
  <si>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</si>
  <si>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</si>
  <si>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</si>
  <si>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</si>
  <si>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</si>
  <si>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</si>
  <si>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</si>
  <si>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</si>
  <si>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</si>
  <si>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</si>
  <si>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</si>
  <si>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</si>
  <si>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</si>
  <si>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</si>
  <si>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</si>
  <si>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</si>
  <si>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</si>
  <si>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</si>
  <si>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</si>
  <si>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</si>
  <si>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</si>
  <si>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</si>
  <si>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</si>
  <si>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</si>
  <si>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</si>
  <si>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</si>
  <si>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</si>
  <si>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</si>
  <si>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</si>
  <si>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</si>
  <si>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</si>
  <si>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</si>
  <si>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</si>
  <si>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</si>
  <si>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</si>
  <si>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</si>
  <si>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</si>
  <si>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</si>
  <si>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</si>
  <si>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</si>
  <si>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</si>
  <si>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</si>
  <si>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</si>
  <si>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</si>
  <si>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</si>
  <si>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</si>
  <si>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</si>
  <si>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</si>
  <si>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</si>
  <si>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</si>
  <si>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</si>
  <si>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</si>
  <si>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</si>
  <si>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</si>
  <si>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</si>
  <si>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</si>
  <si>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</si>
  <si>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</si>
  <si>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</si>
  <si>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</si>
  <si>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</si>
  <si>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</si>
  <si>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</si>
  <si>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</si>
  <si>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</si>
  <si>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</si>
  <si>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</si>
  <si>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</si>
  <si>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</si>
  <si>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</si>
  <si>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</si>
  <si>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</si>
  <si>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</si>
  <si>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</si>
  <si>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</si>
  <si>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</si>
  <si>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</si>
  <si>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</si>
  <si>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</si>
  <si>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</si>
  <si>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</si>
  <si>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</si>
  <si>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</si>
  <si>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</si>
  <si>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</si>
  <si>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</si>
  <si>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</si>
  <si>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</si>
  <si>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</si>
  <si>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</si>
  <si>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</si>
  <si>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</si>
  <si>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</si>
  <si>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</si>
  <si>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</si>
  <si>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</si>
  <si>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</si>
  <si>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</si>
  <si>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</si>
  <si>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</si>
  <si>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</si>
  <si>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</si>
  <si>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</si>
  <si>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</si>
  <si>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</si>
  <si>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</si>
  <si>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</si>
  <si>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</si>
  <si>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</si>
  <si>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</si>
  <si>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</si>
  <si>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</si>
  <si>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</si>
  <si>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</si>
  <si>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</si>
  <si>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</si>
  <si>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</si>
  <si>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</si>
  <si>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</si>
  <si>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</si>
  <si>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</si>
  <si>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</si>
  <si>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</si>
  <si>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</si>
  <si>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</si>
  <si>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</si>
  <si>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</si>
  <si>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</si>
  <si>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</si>
  <si>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</si>
  <si>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</si>
  <si>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</si>
  <si>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</si>
  <si>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</si>
  <si>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</si>
  <si>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</si>
  <si>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</si>
  <si>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</si>
  <si>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</si>
  <si>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</si>
  <si>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</si>
  <si>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</si>
  <si>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</si>
  <si>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</si>
  <si>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</si>
  <si>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</si>
  <si>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</si>
  <si>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</si>
  <si>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</si>
  <si>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</si>
  <si>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</si>
  <si>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</si>
  <si>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</si>
  <si>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</si>
  <si>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</si>
  <si>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</si>
  <si>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</si>
  <si>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</si>
  <si>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</si>
  <si>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</si>
  <si>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</si>
  <si>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</si>
  <si>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</si>
  <si>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</si>
  <si>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</si>
  <si>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</si>
  <si>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</si>
  <si>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</si>
  <si>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</si>
  <si>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</si>
  <si>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</si>
  <si>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</si>
  <si>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</si>
  <si>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</si>
  <si>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</si>
  <si>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</si>
  <si>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</si>
  <si>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</si>
  <si>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</si>
  <si>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</si>
  <si>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</si>
  <si>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</si>
  <si>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</si>
  <si>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</si>
  <si>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</si>
  <si>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</si>
  <si>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</si>
  <si>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</si>
  <si>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</si>
  <si>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</si>
  <si>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</si>
  <si>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</si>
  <si>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</si>
  <si>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</si>
  <si>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</si>
  <si>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</si>
  <si>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</si>
  <si>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</si>
  <si>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</si>
  <si>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</si>
  <si>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</si>
  <si>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</si>
  <si>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</si>
  <si>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</si>
  <si>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</si>
  <si>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</si>
  <si>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</si>
  <si>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</si>
  <si>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</si>
  <si>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</si>
  <si>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</si>
  <si>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</si>
  <si>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</si>
  <si>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</si>
  <si>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</si>
  <si>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</si>
  <si>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</si>
  <si>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</si>
  <si>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</si>
  <si>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</si>
  <si>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</si>
  <si>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</si>
  <si>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</si>
  <si>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</si>
  <si>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</si>
  <si>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</si>
  <si>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</si>
  <si>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</si>
  <si>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</si>
  <si>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</si>
  <si>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</si>
  <si>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</si>
  <si>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</si>
  <si>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</si>
  <si>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</si>
  <si>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</si>
  <si>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</si>
  <si>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</si>
  <si>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</si>
  <si>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</si>
  <si>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</si>
  <si>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</si>
  <si>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</si>
  <si>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</si>
  <si>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</si>
  <si>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</si>
  <si>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</si>
  <si>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</si>
  <si>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</si>
  <si>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</si>
  <si>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</si>
  <si>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</si>
  <si>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</si>
  <si>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</si>
  <si>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</si>
  <si>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</si>
  <si>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</si>
  <si>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</si>
  <si>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</si>
  <si>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</si>
  <si>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</si>
  <si>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</si>
  <si>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</si>
  <si>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</si>
  <si>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</si>
  <si>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</si>
  <si>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</si>
  <si>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</si>
  <si>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</si>
  <si>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</si>
  <si>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</si>
  <si>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</si>
  <si>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</si>
  <si>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</si>
  <si>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</si>
  <si>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</si>
  <si>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</si>
  <si>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</si>
  <si>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</si>
  <si>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</si>
  <si>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</si>
  <si>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</si>
  <si>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</si>
  <si>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</si>
  <si>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</si>
  <si>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</si>
  <si>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</si>
  <si>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</si>
  <si>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</si>
  <si>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</si>
  <si>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</si>
  <si>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</si>
  <si>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</si>
  <si>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</si>
  <si>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</si>
  <si>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</si>
  <si>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</si>
  <si>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</si>
  <si>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</si>
  <si>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</si>
  <si>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</si>
  <si>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</si>
  <si>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</si>
  <si>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</si>
  <si>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</si>
  <si>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</si>
  <si>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</si>
  <si>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</si>
  <si>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</si>
  <si>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</si>
  <si>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</si>
  <si>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</si>
  <si>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</si>
  <si>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</si>
  <si>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</si>
  <si>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</si>
  <si>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</si>
  <si>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</si>
  <si>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</si>
  <si>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</si>
  <si>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</si>
  <si>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</si>
  <si>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</si>
  <si>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</si>
  <si>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</si>
  <si>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</si>
  <si>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</si>
  <si>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</si>
  <si>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</si>
  <si>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</si>
  <si>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</si>
  <si>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</si>
  <si>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</si>
  <si>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</si>
  <si>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</si>
  <si>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</si>
  <si>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</si>
  <si>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</si>
  <si>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</si>
  <si>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</si>
  <si>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</si>
  <si>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</si>
  <si>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</si>
  <si>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</si>
  <si>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</si>
  <si>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</si>
  <si>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</si>
  <si>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</si>
  <si>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</si>
  <si>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</si>
  <si>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</si>
  <si>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</si>
  <si>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</si>
  <si>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</si>
  <si>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</si>
  <si>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</si>
  <si>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</si>
  <si>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</si>
  <si>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</si>
  <si>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</si>
  <si>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</si>
  <si>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</si>
  <si>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</si>
  <si>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</si>
  <si>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</si>
  <si>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</si>
  <si>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</si>
  <si>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</si>
  <si>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</si>
  <si>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</si>
  <si>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</si>
  <si>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</si>
  <si>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</si>
  <si>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</si>
  <si>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</si>
  <si>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</si>
  <si>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</si>
  <si>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</si>
  <si>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</si>
  <si>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</si>
  <si>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</si>
  <si>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</si>
  <si>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</si>
  <si>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</si>
  <si>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</si>
  <si>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</si>
  <si>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</si>
  <si>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</si>
  <si>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</si>
  <si>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</si>
  <si>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</si>
  <si>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</si>
  <si>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</si>
  <si>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</si>
  <si>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</si>
  <si>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</si>
  <si>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</si>
  <si>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</si>
  <si>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</si>
  <si>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</si>
  <si>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</si>
  <si>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</si>
  <si>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</si>
  <si>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</si>
  <si>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</si>
  <si>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</si>
  <si>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</si>
  <si>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</si>
  <si>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</si>
  <si>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</si>
  <si>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</si>
  <si>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</si>
  <si>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</si>
  <si>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</si>
  <si>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</si>
  <si>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</si>
  <si>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</si>
  <si>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</si>
  <si>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</si>
  <si>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</si>
  <si>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</si>
  <si>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</si>
  <si>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</si>
  <si>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</si>
  <si>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</si>
  <si>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</si>
  <si>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</si>
  <si>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</si>
  <si>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</si>
  <si>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</si>
  <si>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</si>
  <si>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</si>
  <si>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</si>
  <si>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</si>
  <si>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</si>
  <si>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</si>
  <si>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</si>
  <si>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</si>
  <si>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</si>
  <si>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</si>
  <si>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</si>
  <si>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</si>
  <si>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</si>
  <si>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</si>
  <si>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</si>
  <si>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</si>
  <si>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</si>
  <si>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</si>
  <si>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</si>
  <si>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</si>
  <si>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</si>
  <si>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</si>
  <si>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</si>
  <si>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</si>
  <si>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</si>
  <si>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</si>
  <si>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</si>
  <si>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</si>
  <si>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</si>
  <si>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</si>
  <si>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Индивидуальное жилищное строительство в целом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</si>
  <si>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</si>
  <si>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</si>
  <si>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</si>
  <si>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</si>
  <si>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</si>
  <si>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 с правом застройки в целом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</si>
  <si>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</si>
  <si>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 в целом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</si>
  <si>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</si>
  <si>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</si>
  <si>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</si>
  <si>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</si>
  <si>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</si>
  <si>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</si>
  <si>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</si>
  <si>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</si>
  <si>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</si>
  <si>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</si>
  <si>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</si>
  <si>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</si>
  <si>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</si>
  <si>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</si>
  <si>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</si>
  <si>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</si>
  <si>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ВРИ по документу старое(обновление поля)</t>
  </si>
  <si>
    <t>Правило для ВРИ</t>
  </si>
  <si>
    <t>Новая модель</t>
  </si>
  <si>
    <t>ID</t>
  </si>
  <si>
    <t>CadastralBlock</t>
  </si>
  <si>
    <t>loc_factor_830</t>
  </si>
  <si>
    <t>loc_factor_829</t>
  </si>
  <si>
    <t>InfluenceZone_IGS</t>
  </si>
  <si>
    <t>Area</t>
  </si>
  <si>
    <t>ParcelCategory</t>
  </si>
  <si>
    <t>DistanceToCMO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</si>
  <si>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</si>
  <si>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</si>
  <si>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</si>
  <si>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</si>
  <si>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</si>
  <si>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</si>
  <si>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</si>
  <si>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</si>
  <si>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</si>
  <si>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</si>
  <si>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</si>
  <si>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</si>
  <si>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Flag_VRI</t>
  </si>
  <si>
    <t>FlagParam</t>
  </si>
  <si>
    <t>Flag_VRIoldspr</t>
  </si>
  <si>
    <t>Flag_VRInewspr</t>
  </si>
  <si>
    <t>Flag_Category</t>
  </si>
  <si>
    <t>ID_Group</t>
  </si>
  <si>
    <t>UtilizationByDoc</t>
  </si>
  <si>
    <t>VRICode_NEW</t>
  </si>
  <si>
    <t>PraviloVRI</t>
  </si>
  <si>
    <t>New_id_group</t>
  </si>
  <si>
    <t>Parcels</t>
  </si>
  <si>
    <t>Суд</t>
  </si>
  <si>
    <t>Дата заседания</t>
  </si>
  <si>
    <t>Court</t>
  </si>
  <si>
    <t>Date_Court</t>
  </si>
  <si>
    <t>СТ16_Ф1_М15_18052021_Бунаков</t>
  </si>
  <si>
    <t>Сравнение расчета с предыдущим расчетом</t>
  </si>
  <si>
    <t>Проверка отклонения УПКС от текущего диапазона и  контроль значительного изменения КС</t>
  </si>
  <si>
    <t>Текущий диапазон УПКС от 8 руб. до 1069 руб.</t>
  </si>
  <si>
    <t>Зона влияния Нижнего Тагила (ИЖС)</t>
  </si>
  <si>
    <t>Вверно, если расходждение составляет 0,00 руб. Если расхождение составляет более 0,01 -ценовые факторы подобраны неверно. Требуется анализ</t>
  </si>
  <si>
    <t>Участие объекта на комиссии, в заявлениях, в судах и прочее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</si>
  <si>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старое</t>
    </r>
  </si>
  <si>
    <t>ВРИ по документу старое (формирование или обновление поля)</t>
  </si>
  <si>
    <r>
      <t>Код расчета вида использования текущий (</t>
    </r>
    <r>
      <rPr>
        <b/>
        <i/>
        <sz val="10"/>
        <color theme="1"/>
        <rFont val="Calibri"/>
        <family val="2"/>
        <charset val="204"/>
        <scheme val="minor"/>
      </rPr>
      <t>старый</t>
    </r>
    <r>
      <rPr>
        <i/>
        <sz val="10"/>
        <color theme="1"/>
        <rFont val="Calibri"/>
        <family val="2"/>
        <charset val="204"/>
        <scheme val="minor"/>
      </rPr>
      <t>)</t>
    </r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</si>
  <si>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новое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</si>
  <si>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</si>
  <si>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Повтор предыдущего расчета</t>
  </si>
  <si>
    <t>Изменение Кода  расчета</t>
  </si>
  <si>
    <t>Ценовой фактор ВРИ в модели</t>
  </si>
  <si>
    <t>Возможно изменение кода расчета, но при этом ЦФ может не меняться, например: 02:010 стал 02:011 - все ИЖС</t>
  </si>
  <si>
    <t>Расстояние до административного центра МО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</si>
  <si>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 = 'НЕ ГОТОВ' AND New_id_group=8015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</si>
</sst>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#,##0.0000"/>
  </numFmts>
  <fonts count="19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i/>
      <sz val="11"/>
      <name val="Calibri"/>
      <family val="2"/>
      <charset val="204"/>
      <scheme val="minor"/>
    </font>
    <font>
      <sz val="10"/>
      <color rgb="FF002060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i/>
      <sz val="9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1" fillId="0" borderId="0"/>
    <xf numFmtId="0" fontId="6" fillId="0" borderId="0"/>
    <xf numFmtId="43" fontId="6" fillId="0" borderId="0" applyFont="0" applyFill="0" applyBorder="0" applyAlignment="0" applyProtection="0"/>
  </cellStyleXfs>
  <cellXfs count="14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0" borderId="2" xfId="0" applyBorder="1"/>
    <xf numFmtId="0" fontId="0" fillId="3" borderId="0" xfId="0" applyFill="1"/>
    <xf numFmtId="0" fontId="0" fillId="5" borderId="5" xfId="0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0" borderId="6" xfId="0" applyBorder="1"/>
    <xf numFmtId="0" fontId="0" fillId="5" borderId="9" xfId="0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/>
    </xf>
    <xf numFmtId="0" fontId="0" fillId="0" borderId="10" xfId="0" applyBorder="1"/>
    <xf numFmtId="0" fontId="0" fillId="5" borderId="1" xfId="0" applyFill="1" applyBorder="1" applyAlignment="1">
      <alignment horizontal="center"/>
    </xf>
    <xf numFmtId="0" fontId="0" fillId="0" borderId="13" xfId="0" applyBorder="1"/>
    <xf numFmtId="0" fontId="0" fillId="5" borderId="14" xfId="0" applyFill="1" applyBorder="1" applyAlignment="1">
      <alignment horizontal="center"/>
    </xf>
    <xf numFmtId="0" fontId="0" fillId="0" borderId="15" xfId="0" applyBorder="1"/>
    <xf numFmtId="0" fontId="0" fillId="4" borderId="1" xfId="0" applyFill="1" applyBorder="1" applyAlignment="1">
      <alignment horizontal="center"/>
    </xf>
    <xf numFmtId="0" fontId="5" fillId="4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64" fontId="0" fillId="3" borderId="18" xfId="0" applyNumberFormat="1" applyFill="1" applyBorder="1"/>
    <xf numFmtId="0" fontId="0" fillId="5" borderId="5" xfId="0" applyFill="1" applyBorder="1" applyAlignment="1">
      <alignment horizontal="center" wrapText="1"/>
    </xf>
    <xf numFmtId="0" fontId="0" fillId="0" borderId="19" xfId="0" applyBorder="1"/>
    <xf numFmtId="0" fontId="0" fillId="5" borderId="1" xfId="0" applyFill="1" applyBorder="1" applyAlignment="1">
      <alignment horizontal="center" wrapText="1"/>
    </xf>
    <xf numFmtId="0" fontId="0" fillId="2" borderId="0" xfId="0" applyFill="1"/>
    <xf numFmtId="0" fontId="0" fillId="5" borderId="9" xfId="0" applyFill="1" applyBorder="1" applyAlignment="1">
      <alignment horizontal="center" wrapText="1"/>
    </xf>
    <xf numFmtId="0" fontId="5" fillId="0" borderId="14" xfId="0" applyFont="1" applyFill="1" applyBorder="1" applyAlignment="1">
      <alignment horizontal="center" vertical="center" wrapText="1"/>
    </xf>
    <xf numFmtId="0" fontId="0" fillId="3" borderId="18" xfId="0" applyFill="1" applyBorder="1"/>
    <xf numFmtId="0" fontId="0" fillId="5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43" fontId="1" fillId="0" borderId="0" xfId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4" fontId="9" fillId="0" borderId="0" xfId="0" applyNumberFormat="1" applyFont="1" applyAlignment="1">
      <alignment wrapText="1"/>
    </xf>
    <xf numFmtId="0" fontId="0" fillId="4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7" fillId="0" borderId="0" xfId="0" applyFont="1" applyFill="1" applyAlignment="1">
      <alignment vertical="top" wrapText="1"/>
    </xf>
    <xf numFmtId="0" fontId="10" fillId="6" borderId="0" xfId="0" applyFont="1" applyFill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vertical="top" wrapText="1"/>
    </xf>
    <xf numFmtId="0" fontId="12" fillId="8" borderId="0" xfId="2" applyFont="1" applyFill="1" applyAlignment="1">
      <alignment horizontal="center" vertical="center" wrapText="1"/>
    </xf>
    <xf numFmtId="0" fontId="9" fillId="0" borderId="0" xfId="0" applyFont="1" applyAlignment="1">
      <alignment wrapText="1"/>
    </xf>
    <xf numFmtId="0" fontId="1" fillId="9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43" fontId="1" fillId="0" borderId="0" xfId="1" applyFont="1" applyFill="1" applyAlignment="1">
      <alignment vertical="top" wrapText="1"/>
    </xf>
    <xf numFmtId="0" fontId="0" fillId="9" borderId="0" xfId="0" applyFill="1"/>
    <xf numFmtId="43" fontId="1" fillId="9" borderId="0" xfId="1" applyFont="1" applyFill="1" applyAlignment="1">
      <alignment vertical="top" wrapText="1"/>
    </xf>
    <xf numFmtId="0" fontId="2" fillId="9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quotePrefix="1" applyFont="1" applyAlignment="1">
      <alignment vertical="top" wrapText="1"/>
    </xf>
    <xf numFmtId="4" fontId="13" fillId="0" borderId="0" xfId="0" applyNumberFormat="1" applyFont="1" applyFill="1" applyAlignment="1">
      <alignment wrapText="1"/>
    </xf>
    <xf numFmtId="0" fontId="2" fillId="0" borderId="0" xfId="3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vertical="top" wrapText="1"/>
    </xf>
    <xf numFmtId="0" fontId="2" fillId="10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7" fillId="11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5" fillId="8" borderId="0" xfId="0" applyFont="1" applyFill="1" applyAlignment="1">
      <alignment vertical="top" wrapText="1"/>
    </xf>
    <xf numFmtId="0" fontId="16" fillId="8" borderId="0" xfId="2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" fillId="4" borderId="0" xfId="0" applyFont="1" applyFill="1" applyAlignment="1">
      <alignment vertical="top" wrapText="1"/>
    </xf>
    <xf numFmtId="0" fontId="1" fillId="4" borderId="0" xfId="0" quotePrefix="1" applyFont="1" applyFill="1" applyAlignment="1">
      <alignment vertical="top" wrapText="1"/>
    </xf>
    <xf numFmtId="0" fontId="17" fillId="5" borderId="0" xfId="0" applyFont="1" applyFill="1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1" fillId="12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0" fillId="0" borderId="21" xfId="0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4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</cellXfs>
  <cellStyles count="5">
    <cellStyle name="Обычный" xfId="0" builtinId="0"/>
    <cellStyle name="Обычный 14" xfId="3"/>
    <cellStyle name="Обычный 2" xfId="2"/>
    <cellStyle name="Финансовый" xfId="1" builtinId="3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O6"/>
  <sheetViews>
    <sheetView tabSelected="1" topLeftCell="AO1" zoomScaleNormal="100" workbookViewId="0">
      <selection activeCell="AP4" sqref="AP4"/>
    </sheetView>
  </sheetViews>
  <sheetFormatPr defaultColWidth="9.140625" defaultRowHeight="12.75" x14ac:dyDescent="0.25"/>
  <cols>
    <col min="1" max="5" width="9.140625" style="60"/>
    <col min="6" max="6" width="15.140625" style="60" bestFit="1" customWidth="1"/>
    <col min="7" max="7" width="14.7109375" style="60" customWidth="1"/>
    <col min="8" max="40" width="9.140625" style="60"/>
    <col min="41" max="41" width="13.42578125" style="60" customWidth="1"/>
    <col min="42" max="42" width="13.5703125" style="60" customWidth="1"/>
    <col min="43" max="43" width="17.42578125" style="60" customWidth="1"/>
    <col min="44" max="44" width="11" style="60" customWidth="1"/>
    <col min="45" max="46" width="9.140625" style="60"/>
    <col min="47" max="47" width="11" style="60" customWidth="1"/>
    <col min="48" max="49" width="11" style="98" customWidth="1"/>
    <col min="50" max="50" width="9.140625" style="1"/>
    <col min="51" max="51" width="11" style="1" customWidth="1"/>
    <col min="52" max="64" width="9.140625" style="1"/>
    <col min="65" max="65" width="11.42578125" style="1" bestFit="1" customWidth="1"/>
    <col min="66" max="69" width="9.140625" style="1"/>
    <col min="70" max="70" width="11.42578125" style="1" bestFit="1" customWidth="1"/>
    <col min="71" max="71" width="20.85546875" style="59" customWidth="1"/>
    <col min="72" max="72" width="9.140625" style="1"/>
    <col min="73" max="73" width="23.7109375" style="1" customWidth="1"/>
    <col min="74" max="74" width="25.42578125" style="1" customWidth="1"/>
    <col min="75" max="75" width="16.85546875" style="80" customWidth="1"/>
    <col min="76" max="89" width="9.140625" style="1"/>
    <col min="90" max="90" width="9.28515625" style="1" customWidth="1"/>
    <col min="91" max="91" width="9.140625" style="62"/>
    <col min="92" max="92" width="9.140625" style="1"/>
    <col min="93" max="93" width="30.140625" style="1" customWidth="1"/>
    <col min="94" max="97" width="9.140625" style="1"/>
    <col min="98" max="98" width="16.85546875" style="1" customWidth="1"/>
    <col min="99" max="99" width="17.85546875" style="1" customWidth="1"/>
    <col min="100" max="100" width="9.140625" style="1"/>
    <col min="101" max="101" width="12" style="1" customWidth="1"/>
    <col min="102" max="103" width="9.140625" style="1"/>
    <col min="104" max="104" width="9.140625" style="87"/>
    <col min="105" max="105" width="9.140625" style="93"/>
    <col min="106" max="106" width="12.5703125" style="93" customWidth="1"/>
    <col min="107" max="107" width="15.7109375" style="1" customWidth="1"/>
    <col min="108" max="108" width="15.7109375" style="98" customWidth="1"/>
    <col min="109" max="112" width="9.140625" style="1"/>
    <col min="113" max="113" width="11.140625" style="1" customWidth="1"/>
    <col min="114" max="114" width="9.140625" style="1"/>
    <col min="115" max="115" width="12.7109375" style="1" customWidth="1"/>
    <col min="116" max="116" width="12.28515625" style="1" customWidth="1"/>
    <col min="117" max="118" width="9.140625" style="1"/>
    <col min="119" max="119" width="14.140625" style="1" customWidth="1"/>
    <col min="120" max="16384" width="9.140625" style="1"/>
  </cols>
  <sheetData>
    <row r="1" spans="1:119" ht="88.5" customHeight="1" x14ac:dyDescent="0.25">
      <c r="A1" s="99" t="s">
        <v>0</v>
      </c>
      <c r="B1" s="99" t="s">
        <v>1</v>
      </c>
      <c r="C1" s="99" t="s">
        <v>2</v>
      </c>
      <c r="D1" s="99" t="s">
        <v>116</v>
      </c>
      <c r="E1" s="99" t="s">
        <v>117</v>
      </c>
      <c r="F1" s="99" t="s">
        <v>118</v>
      </c>
      <c r="G1" s="99" t="s">
        <v>119</v>
      </c>
      <c r="H1" s="99" t="s">
        <v>120</v>
      </c>
      <c r="I1" s="99" t="s">
        <v>121</v>
      </c>
      <c r="J1" s="99" t="s">
        <v>122</v>
      </c>
      <c r="K1" s="99" t="s">
        <v>123</v>
      </c>
      <c r="L1" s="99" t="s">
        <v>124</v>
      </c>
      <c r="M1" s="99" t="s">
        <v>125</v>
      </c>
      <c r="N1" s="99" t="s">
        <v>129</v>
      </c>
      <c r="O1" s="99" t="s">
        <v>12</v>
      </c>
      <c r="P1" s="99" t="s">
        <v>126</v>
      </c>
      <c r="Q1" s="99" t="s">
        <v>127</v>
      </c>
      <c r="R1" s="99" t="s">
        <v>128</v>
      </c>
      <c r="S1" s="99" t="s">
        <v>3</v>
      </c>
      <c r="T1" s="99" t="s">
        <v>4</v>
      </c>
      <c r="U1" s="99" t="s">
        <v>7</v>
      </c>
      <c r="V1" s="99" t="s">
        <v>8</v>
      </c>
      <c r="W1" s="99" t="s">
        <v>9</v>
      </c>
      <c r="X1" s="99" t="s">
        <v>10</v>
      </c>
      <c r="Y1" s="99" t="s">
        <v>11</v>
      </c>
      <c r="Z1" s="99" t="s">
        <v>130</v>
      </c>
      <c r="AA1" s="99" t="s">
        <v>131</v>
      </c>
      <c r="AB1" s="99" t="s">
        <v>132</v>
      </c>
      <c r="AC1" s="99" t="s">
        <v>133</v>
      </c>
      <c r="AD1" s="99" t="s">
        <v>134</v>
      </c>
      <c r="AE1" s="99" t="s">
        <v>135</v>
      </c>
      <c r="AF1" s="99" t="s">
        <v>136</v>
      </c>
      <c r="AG1" s="99" t="s">
        <v>137</v>
      </c>
      <c r="AH1" s="99" t="s">
        <v>138</v>
      </c>
      <c r="AI1" s="99" t="s">
        <v>139</v>
      </c>
      <c r="AJ1" s="99" t="s">
        <v>140</v>
      </c>
      <c r="AK1" s="99" t="s">
        <v>141</v>
      </c>
      <c r="AL1" s="99" t="s">
        <v>142</v>
      </c>
      <c r="AM1" s="99" t="s">
        <v>143</v>
      </c>
      <c r="AN1" s="99" t="s">
        <v>5</v>
      </c>
      <c r="AO1" s="101" t="s">
        <v>743</v>
      </c>
      <c r="AP1" s="101" t="s">
        <v>745</v>
      </c>
      <c r="AQ1" s="102" t="s">
        <v>746</v>
      </c>
      <c r="AR1" s="102" t="s">
        <v>747</v>
      </c>
      <c r="AS1" s="99" t="s">
        <v>699</v>
      </c>
      <c r="AT1" s="99" t="s">
        <v>700</v>
      </c>
      <c r="AU1" s="99" t="s">
        <v>159</v>
      </c>
      <c r="AV1" s="99" t="s">
        <v>732</v>
      </c>
      <c r="AW1" s="99" t="s">
        <v>733</v>
      </c>
      <c r="AX1" s="115" t="s">
        <v>748</v>
      </c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3"/>
      <c r="BV1" s="113"/>
      <c r="BW1" s="85"/>
      <c r="BX1" s="79"/>
      <c r="BY1" s="79" t="s">
        <v>100</v>
      </c>
      <c r="BZ1" s="79"/>
      <c r="CA1" s="79" t="s">
        <v>101</v>
      </c>
      <c r="CB1" s="79"/>
      <c r="CC1" s="79" t="s">
        <v>102</v>
      </c>
      <c r="CD1" s="79"/>
      <c r="CE1" s="79" t="s">
        <v>103</v>
      </c>
      <c r="CF1" s="79"/>
      <c r="CG1" s="79" t="s">
        <v>104</v>
      </c>
      <c r="CH1" s="79" t="s">
        <v>105</v>
      </c>
      <c r="CI1" s="79" t="s">
        <v>106</v>
      </c>
      <c r="CJ1" s="79"/>
      <c r="CK1" s="79" t="s">
        <v>107</v>
      </c>
      <c r="CL1" s="79"/>
      <c r="CM1" s="79" t="s">
        <v>108</v>
      </c>
      <c r="CN1" s="79" t="s">
        <v>109</v>
      </c>
      <c r="CO1" s="79" t="s">
        <v>110</v>
      </c>
      <c r="CP1" s="79"/>
      <c r="CQ1" s="79" t="s">
        <v>111</v>
      </c>
      <c r="CR1" s="79"/>
      <c r="CS1" s="82" t="s">
        <v>112</v>
      </c>
      <c r="CT1" s="82" t="s">
        <v>113</v>
      </c>
      <c r="CU1" s="82" t="s">
        <v>95</v>
      </c>
      <c r="CV1" s="79" t="s">
        <v>96</v>
      </c>
      <c r="CW1" s="71" t="s">
        <v>149</v>
      </c>
      <c r="CX1" s="71" t="s">
        <v>150</v>
      </c>
      <c r="CY1" s="71" t="s">
        <v>151</v>
      </c>
      <c r="CZ1" s="91" t="s">
        <v>163</v>
      </c>
      <c r="DA1" s="96" t="s">
        <v>165</v>
      </c>
      <c r="DB1" s="96" t="s">
        <v>697</v>
      </c>
      <c r="DC1" s="72"/>
      <c r="DD1" s="100" t="s">
        <v>739</v>
      </c>
      <c r="DE1" s="72"/>
      <c r="DF1" s="72"/>
      <c r="DG1" s="72"/>
      <c r="DH1" s="72"/>
      <c r="DI1" s="72"/>
      <c r="DJ1" s="72"/>
      <c r="DK1" s="114" t="s">
        <v>751</v>
      </c>
      <c r="DL1" s="114"/>
      <c r="DM1" s="72"/>
      <c r="DN1" s="72"/>
    </row>
    <row r="2" spans="1:119" ht="92.25" customHeight="1" x14ac:dyDescent="0.25">
      <c r="A2" s="99" t="s">
        <v>701</v>
      </c>
      <c r="B2" s="99" t="s">
        <v>160</v>
      </c>
      <c r="C2" s="99" t="s">
        <v>702</v>
      </c>
      <c r="D2" s="99" t="s">
        <v>108</v>
      </c>
      <c r="E2" s="99" t="s">
        <v>106</v>
      </c>
      <c r="F2" s="99" t="s">
        <v>104</v>
      </c>
      <c r="G2" s="99" t="s">
        <v>107</v>
      </c>
      <c r="H2" s="99" t="s">
        <v>101</v>
      </c>
      <c r="I2" s="99" t="s">
        <v>100</v>
      </c>
      <c r="J2" s="99" t="s">
        <v>103</v>
      </c>
      <c r="K2" s="99" t="s">
        <v>102</v>
      </c>
      <c r="L2" s="99" t="s">
        <v>703</v>
      </c>
      <c r="M2" s="99" t="s">
        <v>110</v>
      </c>
      <c r="N2" s="99" t="s">
        <v>704</v>
      </c>
      <c r="O2" s="99" t="s">
        <v>705</v>
      </c>
      <c r="P2" s="99" t="s">
        <v>112</v>
      </c>
      <c r="Q2" s="99" t="s">
        <v>113</v>
      </c>
      <c r="R2" s="99" t="s">
        <v>95</v>
      </c>
      <c r="S2" s="99" t="s">
        <v>706</v>
      </c>
      <c r="T2" s="99" t="s">
        <v>707</v>
      </c>
      <c r="U2" s="99" t="s">
        <v>708</v>
      </c>
      <c r="V2" s="99" t="s">
        <v>709</v>
      </c>
      <c r="W2" s="99" t="s">
        <v>710</v>
      </c>
      <c r="X2" s="99" t="s">
        <v>711</v>
      </c>
      <c r="Y2" s="99" t="s">
        <v>712</v>
      </c>
      <c r="Z2" s="99" t="s">
        <v>713</v>
      </c>
      <c r="AA2" s="99" t="s">
        <v>714</v>
      </c>
      <c r="AB2" s="99" t="s">
        <v>715</v>
      </c>
      <c r="AC2" s="99" t="s">
        <v>716</v>
      </c>
      <c r="AD2" s="99" t="s">
        <v>717</v>
      </c>
      <c r="AE2" s="99" t="s">
        <v>718</v>
      </c>
      <c r="AF2" s="99" t="s">
        <v>149</v>
      </c>
      <c r="AG2" s="99" t="s">
        <v>719</v>
      </c>
      <c r="AH2" s="99" t="s">
        <v>720</v>
      </c>
      <c r="AI2" s="99" t="s">
        <v>721</v>
      </c>
      <c r="AJ2" s="99" t="s">
        <v>722</v>
      </c>
      <c r="AK2" s="99" t="s">
        <v>723</v>
      </c>
      <c r="AL2" s="99" t="s">
        <v>724</v>
      </c>
      <c r="AM2" s="99" t="s">
        <v>725</v>
      </c>
      <c r="AN2" s="99" t="s">
        <v>726</v>
      </c>
      <c r="AO2" s="99" t="s">
        <v>697</v>
      </c>
      <c r="AP2" s="99" t="s">
        <v>150</v>
      </c>
      <c r="AQ2" s="99" t="s">
        <v>727</v>
      </c>
      <c r="AR2" s="99" t="s">
        <v>728</v>
      </c>
      <c r="AS2" s="99" t="s">
        <v>729</v>
      </c>
      <c r="AT2" s="99" t="s">
        <v>730</v>
      </c>
      <c r="AU2" s="99" t="s">
        <v>161</v>
      </c>
      <c r="AV2" s="99" t="s">
        <v>734</v>
      </c>
      <c r="AW2" s="99" t="s">
        <v>735</v>
      </c>
      <c r="AX2" s="1" t="s">
        <v>29</v>
      </c>
      <c r="AY2" s="1" t="s">
        <v>33</v>
      </c>
      <c r="AZ2" s="1" t="s">
        <v>81</v>
      </c>
      <c r="BA2" s="1" t="s">
        <v>37</v>
      </c>
      <c r="BB2" s="1" t="s">
        <v>82</v>
      </c>
      <c r="BC2" s="1" t="s">
        <v>41</v>
      </c>
      <c r="BD2" s="1" t="s">
        <v>83</v>
      </c>
      <c r="BE2" s="1" t="s">
        <v>45</v>
      </c>
      <c r="BF2" s="1" t="s">
        <v>84</v>
      </c>
      <c r="BG2" s="80" t="s">
        <v>86</v>
      </c>
      <c r="BH2" s="1" t="s">
        <v>85</v>
      </c>
      <c r="BI2" s="1" t="s">
        <v>4</v>
      </c>
      <c r="BJ2" s="1" t="s">
        <v>87</v>
      </c>
      <c r="BK2" s="1" t="s">
        <v>88</v>
      </c>
      <c r="BL2" s="1" t="s">
        <v>89</v>
      </c>
      <c r="BM2" s="1" t="s">
        <v>90</v>
      </c>
      <c r="BN2" s="1" t="s">
        <v>72</v>
      </c>
      <c r="BO2" s="1" t="s">
        <v>91</v>
      </c>
      <c r="BP2" s="1" t="s">
        <v>78</v>
      </c>
      <c r="BQ2" s="1" t="s">
        <v>92</v>
      </c>
      <c r="BR2" s="1" t="s">
        <v>93</v>
      </c>
      <c r="BS2" s="59" t="s">
        <v>94</v>
      </c>
      <c r="BT2" s="80" t="s">
        <v>96</v>
      </c>
      <c r="BU2" s="116" t="s">
        <v>145</v>
      </c>
      <c r="BV2" s="116"/>
      <c r="BW2" s="72" t="s">
        <v>1</v>
      </c>
      <c r="BX2" s="79" t="s">
        <v>29</v>
      </c>
      <c r="BY2" s="79" t="s">
        <v>33</v>
      </c>
      <c r="BZ2" s="79" t="s">
        <v>81</v>
      </c>
      <c r="CA2" s="79" t="s">
        <v>37</v>
      </c>
      <c r="CB2" s="79" t="s">
        <v>82</v>
      </c>
      <c r="CC2" s="79" t="s">
        <v>41</v>
      </c>
      <c r="CD2" s="79" t="s">
        <v>83</v>
      </c>
      <c r="CE2" s="79" t="s">
        <v>45</v>
      </c>
      <c r="CF2" s="79" t="s">
        <v>84</v>
      </c>
      <c r="CG2" s="79" t="s">
        <v>86</v>
      </c>
      <c r="CH2" s="79" t="s">
        <v>85</v>
      </c>
      <c r="CI2" s="79" t="s">
        <v>4</v>
      </c>
      <c r="CJ2" s="79" t="s">
        <v>87</v>
      </c>
      <c r="CK2" s="79" t="s">
        <v>88</v>
      </c>
      <c r="CL2" s="79" t="s">
        <v>89</v>
      </c>
      <c r="CM2" s="84" t="s">
        <v>3</v>
      </c>
      <c r="CN2" s="79" t="s">
        <v>90</v>
      </c>
      <c r="CO2" s="79" t="s">
        <v>72</v>
      </c>
      <c r="CP2" s="79" t="s">
        <v>91</v>
      </c>
      <c r="CQ2" s="79" t="s">
        <v>78</v>
      </c>
      <c r="CR2" s="79" t="s">
        <v>92</v>
      </c>
      <c r="CS2" s="79" t="s">
        <v>93</v>
      </c>
      <c r="CT2" s="83" t="s">
        <v>157</v>
      </c>
      <c r="CU2" s="79" t="s">
        <v>158</v>
      </c>
      <c r="CV2" s="79" t="s">
        <v>155</v>
      </c>
      <c r="CW2" s="106" t="s">
        <v>136</v>
      </c>
      <c r="CX2" s="107" t="s">
        <v>88</v>
      </c>
      <c r="CY2" s="108" t="s">
        <v>152</v>
      </c>
      <c r="CZ2" s="108" t="s">
        <v>164</v>
      </c>
      <c r="DA2" s="94" t="s">
        <v>166</v>
      </c>
      <c r="DB2" s="109" t="s">
        <v>744</v>
      </c>
      <c r="DC2" s="104" t="s">
        <v>737</v>
      </c>
      <c r="DD2" s="104" t="s">
        <v>738</v>
      </c>
      <c r="DE2" s="105" t="s">
        <v>153</v>
      </c>
      <c r="DF2" s="105" t="s">
        <v>33</v>
      </c>
      <c r="DG2" s="105" t="s">
        <v>37</v>
      </c>
      <c r="DH2" s="105" t="s">
        <v>71</v>
      </c>
      <c r="DI2" s="105" t="s">
        <v>752</v>
      </c>
      <c r="DJ2" s="105" t="s">
        <v>154</v>
      </c>
      <c r="DK2" s="105" t="s">
        <v>750</v>
      </c>
      <c r="DL2" s="105" t="s">
        <v>749</v>
      </c>
      <c r="DM2" s="105" t="s">
        <v>41</v>
      </c>
      <c r="DN2" s="105" t="s">
        <v>45</v>
      </c>
      <c r="DO2" s="105" t="s">
        <v>740</v>
      </c>
    </row>
    <row r="3" spans="1:119" s="98" customFormat="1" ht="33.75" customHeight="1" x14ac:dyDescent="0.25">
      <c r="A3" s="99" t="s">
        <v>731</v>
      </c>
      <c r="B3" s="99" t="s">
        <v>731</v>
      </c>
      <c r="C3" s="99" t="s">
        <v>731</v>
      </c>
      <c r="D3" s="99" t="s">
        <v>731</v>
      </c>
      <c r="E3" s="99" t="s">
        <v>731</v>
      </c>
      <c r="F3" s="99" t="s">
        <v>731</v>
      </c>
      <c r="G3" s="99" t="s">
        <v>731</v>
      </c>
      <c r="H3" s="99" t="s">
        <v>731</v>
      </c>
      <c r="I3" s="99" t="s">
        <v>731</v>
      </c>
      <c r="J3" s="99" t="s">
        <v>731</v>
      </c>
      <c r="K3" s="99" t="s">
        <v>731</v>
      </c>
      <c r="L3" s="99" t="s">
        <v>731</v>
      </c>
      <c r="M3" s="99" t="s">
        <v>731</v>
      </c>
      <c r="N3" s="99" t="s">
        <v>731</v>
      </c>
      <c r="O3" s="99" t="s">
        <v>731</v>
      </c>
      <c r="P3" s="99" t="s">
        <v>731</v>
      </c>
      <c r="Q3" s="99" t="s">
        <v>731</v>
      </c>
      <c r="R3" s="99" t="s">
        <v>731</v>
      </c>
      <c r="S3" s="99" t="s">
        <v>731</v>
      </c>
      <c r="T3" s="99" t="s">
        <v>731</v>
      </c>
      <c r="U3" s="99" t="s">
        <v>731</v>
      </c>
      <c r="V3" s="99" t="s">
        <v>731</v>
      </c>
      <c r="W3" s="99" t="s">
        <v>731</v>
      </c>
      <c r="X3" s="99" t="s">
        <v>731</v>
      </c>
      <c r="Y3" s="99" t="s">
        <v>731</v>
      </c>
      <c r="Z3" s="99" t="s">
        <v>731</v>
      </c>
      <c r="AA3" s="99" t="s">
        <v>731</v>
      </c>
      <c r="AB3" s="99" t="s">
        <v>731</v>
      </c>
      <c r="AC3" s="99" t="s">
        <v>731</v>
      </c>
      <c r="AD3" s="99" t="s">
        <v>731</v>
      </c>
      <c r="AE3" s="99" t="s">
        <v>731</v>
      </c>
      <c r="AF3" s="99" t="s">
        <v>731</v>
      </c>
      <c r="AG3" s="99" t="s">
        <v>731</v>
      </c>
      <c r="AH3" s="99" t="s">
        <v>731</v>
      </c>
      <c r="AI3" s="99" t="s">
        <v>731</v>
      </c>
      <c r="AJ3" s="99" t="s">
        <v>731</v>
      </c>
      <c r="AK3" s="99" t="s">
        <v>731</v>
      </c>
      <c r="AL3" s="99" t="s">
        <v>731</v>
      </c>
      <c r="AM3" s="99" t="s">
        <v>731</v>
      </c>
      <c r="AN3" s="99" t="s">
        <v>731</v>
      </c>
      <c r="AO3" s="99" t="s">
        <v>731</v>
      </c>
      <c r="AP3" s="99" t="s">
        <v>731</v>
      </c>
      <c r="AQ3" s="99" t="s">
        <v>731</v>
      </c>
      <c r="AR3" s="99" t="s">
        <v>731</v>
      </c>
      <c r="AS3" s="99" t="s">
        <v>731</v>
      </c>
      <c r="AT3" s="99" t="s">
        <v>731</v>
      </c>
      <c r="AU3" s="99" t="s">
        <v>731</v>
      </c>
      <c r="AV3" s="99" t="s">
        <v>731</v>
      </c>
      <c r="AW3" s="99" t="s">
        <v>731</v>
      </c>
      <c r="BG3" s="80"/>
      <c r="BS3" s="59"/>
      <c r="BT3" s="80"/>
      <c r="BU3" s="112" t="s">
        <v>741</v>
      </c>
      <c r="BV3" s="112" t="s">
        <v>742</v>
      </c>
      <c r="BW3" s="72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84"/>
      <c r="CN3" s="79"/>
      <c r="CO3" s="79"/>
      <c r="CP3" s="79"/>
      <c r="CQ3" s="79"/>
      <c r="CR3" s="79"/>
      <c r="CS3" s="79"/>
      <c r="CT3" s="83"/>
      <c r="CU3" s="79"/>
      <c r="CV3" s="79"/>
      <c r="CW3" s="73"/>
      <c r="CX3" s="74"/>
      <c r="CY3" s="75"/>
      <c r="CZ3" s="75"/>
      <c r="DA3" s="94"/>
      <c r="DB3" s="99"/>
      <c r="DC3" s="76"/>
      <c r="DD3" s="76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</row>
    <row r="4" spans="1:119" ht="50.1" customHeight="1" x14ac:dyDescent="0.25">
      <c r="A4" s="110"/>
      <c r="B4" s="111"/>
      <c r="C4" s="111"/>
      <c r="D4" s="110"/>
      <c r="E4" s="110"/>
      <c r="F4" s="110"/>
      <c r="G4" s="110"/>
      <c r="H4" s="110"/>
      <c r="I4" s="110"/>
      <c r="J4" s="110"/>
      <c r="K4" s="110"/>
      <c r="L4" s="111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1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0"/>
      <c r="AR4" s="111"/>
      <c r="AS4" s="110"/>
      <c r="AT4" s="110"/>
      <c r="AU4" s="110"/>
      <c r="AV4" s="110"/>
      <c r="AW4" s="110"/>
      <c r="AX4" s="80">
        <f>Поправки!$G$4</f>
        <v>509.39190000000002</v>
      </c>
      <c r="AY4" s="80">
        <f t="shared" ref="AY4:AY6" si="0">I4</f>
        <v>0</v>
      </c>
      <c r="AZ4" s="80" t="e">
        <f>VLOOKUP(AY4,Поправки!$F$5:$G$6,2,0)</f>
        <v>#N/A</v>
      </c>
      <c r="BA4" s="80">
        <f t="shared" ref="BA4:BA6" si="1">H4</f>
        <v>0</v>
      </c>
      <c r="BB4" s="80" t="e">
        <f>VLOOKUP(BA4,Поправки!$F$7:$G$10,2,0)</f>
        <v>#N/A</v>
      </c>
      <c r="BC4" s="80">
        <f t="shared" ref="BC4:BC6" si="2">K4</f>
        <v>0</v>
      </c>
      <c r="BD4" s="80" t="e">
        <f>VLOOKUP(BC4,Поправки!$F$11:$G$13,2,0)</f>
        <v>#N/A</v>
      </c>
      <c r="BE4" s="80">
        <f t="shared" ref="BE4:BE6" si="3">J4</f>
        <v>0</v>
      </c>
      <c r="BF4" s="80" t="e">
        <f>VLOOKUP(BE4,Поправки!$F$14:$G$16,2,0)</f>
        <v>#N/A</v>
      </c>
      <c r="BG4" s="80">
        <f t="shared" ref="BG4:BG6" si="4">F4</f>
        <v>0</v>
      </c>
      <c r="BH4" s="6">
        <f t="shared" ref="BH4:BH6" si="5">ROUND(EXP(0.713742903251*(9.03038414-2.63139367*LN(IF(BG4&lt;4,4,BG4))+0.82725877*LN(IF(BG4&lt;4,4,BG4))^2-0.11025986*LN(IF(BG4&lt;4,4,BG4))^3))/EXP(0.713742903251*(9.03038414-2.63139367*LN(5)+0.82725877*LN(5)^2-0.11025986*LN(5)^3)),4)</f>
        <v>1.1535</v>
      </c>
      <c r="BI4" s="80">
        <f t="shared" ref="BI4:BI6" si="6">E4</f>
        <v>0</v>
      </c>
      <c r="BJ4" s="80" t="e">
        <f>VLOOKUP(BI4,Поправки!$F$18:$G$20,2,0)</f>
        <v>#N/A</v>
      </c>
      <c r="BK4" s="80">
        <f t="shared" ref="BK4:BK6" si="7">G4</f>
        <v>0</v>
      </c>
      <c r="BL4" s="80" t="e">
        <f>VLOOKUP(BK4,Поправки!$F$21:$G$29,2,0)</f>
        <v>#N/A</v>
      </c>
      <c r="BM4" s="80">
        <f t="shared" ref="BM4:BM6" si="8">ROUND(EXP(0.266642520892*(15.0191281-1.312096*LN(IF(D4&lt;600,600,D4))))/EXP(0.266642520892*(15.0191281-1.312096*LN(1000))),4)</f>
        <v>1.1957</v>
      </c>
      <c r="BN4" s="80">
        <f t="shared" ref="BN4:BN6" si="9">M4</f>
        <v>0</v>
      </c>
      <c r="BO4" s="80" t="e">
        <f>VLOOKUP(BN4,Поправки!$F$31:$G$32,2,0)</f>
        <v>#N/A</v>
      </c>
      <c r="BP4" s="80" t="s">
        <v>80</v>
      </c>
      <c r="BQ4" s="80">
        <f>VLOOKUP(BP4,Поправки!$F$33:$G$34,2,0)</f>
        <v>0.91</v>
      </c>
      <c r="BR4" s="80" t="e">
        <f t="shared" ref="BR4:BR6" si="10">ROUND(AX4*AZ4*BB4*BD4*BF4*BH4*BJ4*BL4*BM4*BO4*BQ4,2)</f>
        <v>#N/A</v>
      </c>
      <c r="BS4" s="81" t="e">
        <f t="shared" ref="BS4:BS6" si="11">ROUND(BR4*D4,2)</f>
        <v>#N/A</v>
      </c>
      <c r="BT4" s="80">
        <f>8015</f>
        <v>8015</v>
      </c>
      <c r="BU4" s="63" t="str">
        <f t="shared" ref="BU4:BU6" si="12">IF(P4="","Новый объект",IF(AT4=AN4,BS4-Q4,"Объект пришел из другой модели"))</f>
        <v>Новый объект</v>
      </c>
      <c r="BV4" s="63" t="str">
        <f t="shared" ref="BV4:BV6" si="13">IF(AU4="",IF(AG4&lt;&gt;"","ОСПАРИВАНИЕ",IF(AV4&lt;&gt;"","СУД",IF(Z4="","",Z4))),AU4)</f>
        <v/>
      </c>
      <c r="BW4" s="90">
        <f>B4</f>
        <v>0</v>
      </c>
      <c r="BX4" s="80">
        <f>Поправки!$G$4</f>
        <v>509.39190000000002</v>
      </c>
      <c r="BY4" s="80" t="str">
        <f>IF(P4="","Наличие электроснабжения",IF(I4="",IF(W4="отсутствие","Отсутствие электроснабжения","Наличие электроснабжения"),I4))</f>
        <v>Наличие электроснабжения</v>
      </c>
      <c r="BZ4" s="80">
        <f>VLOOKUP(BY4,Поправки!$F$5:$G$6,2,0)</f>
        <v>1</v>
      </c>
      <c r="CA4" s="80" t="str">
        <f>IF(P4="","Отсутствие газоснабжения",IF(H4="",IF(V4="наличие","Наличие газоснабжения","Отсутствие газоснабжения"),H4))</f>
        <v>Отсутствие газоснабжения</v>
      </c>
      <c r="CB4" s="80">
        <f>VLOOKUP(CA4,Поправки!$F$7:$G$10,2,0)</f>
        <v>1</v>
      </c>
      <c r="CC4" s="80" t="s">
        <v>44</v>
      </c>
      <c r="CD4" s="80">
        <f>VLOOKUP(CC4,Поправки!$F$11:$G$13,2,0)</f>
        <v>1</v>
      </c>
      <c r="CE4" s="80" t="s">
        <v>47</v>
      </c>
      <c r="CF4" s="80">
        <f>VLOOKUP(CE4,Поправки!$F$14:$G$16,2,0)</f>
        <v>1</v>
      </c>
      <c r="CG4" s="80" t="e">
        <f>IF(F4="",IF(U4="",VLOOKUP(AC4,Поправки!$G$37:$H$38,2,0),U4),F4)</f>
        <v>#N/A</v>
      </c>
      <c r="CH4" s="6" t="e">
        <f t="shared" ref="CH4" si="14">ROUND(EXP(0.713742903251*(9.03038414-2.63139367*LN(IF(CG4&lt;4,4,CG4))+0.82725877*LN(IF(CG4&lt;4,4,CG4))^2-0.11025986*LN(IF(CG4&lt;4,4,CG4))^3))/EXP(0.713742903251*(9.03038414-2.63139367*LN(5)+0.82725877*LN(5)^2-0.11025986*LN(5)^3)),4)</f>
        <v>#N/A</v>
      </c>
      <c r="CI4" s="80" t="str">
        <f>IF(T4="Земли населенных пунктов",Поправки!$F$18,Поправки!$F$19)</f>
        <v>Прочие</v>
      </c>
      <c r="CJ4" s="80">
        <f>VLOOKUP(CI4,Поправки!$F$18:$G$20,2,0)</f>
        <v>0.84189999999999998</v>
      </c>
      <c r="CK4" s="80" t="str">
        <f>IF(AR4="13:031",Поправки!$F$29,Поправки!$F$21)</f>
        <v>ИЖС</v>
      </c>
      <c r="CL4" s="80">
        <f>VLOOKUP(CK4,Поправки!$F$21:$G$29,2,0)</f>
        <v>1</v>
      </c>
      <c r="CM4" s="80">
        <f>S4</f>
        <v>0</v>
      </c>
      <c r="CN4" s="80">
        <f>ROUND(EXP(0.266642520892*(15.0191281-1.312096*LN(IF(CM4&lt;600,600,CM4))))/EXP(0.266642520892*(15.0191281-1.312096*LN(1000))),4)</f>
        <v>1.1957</v>
      </c>
      <c r="CO4" s="80" t="str">
        <f>IF(M4="",IF(O4="Влияние Нижнего Тагила","Наличие влияния Нижнего Тагила","Отсутствие влияния Нижнего Тагила"),IF(M4="Наличие влияния Нижнего Тагила","Наличие влияния Нижнего Тагила","Отсутствие влияния Нижнего Тагила"))</f>
        <v>Отсутствие влияния Нижнего Тагила</v>
      </c>
      <c r="CP4" s="80">
        <f>VLOOKUP(CO4,Поправки!$F$31:$G$32,2,0)</f>
        <v>1</v>
      </c>
      <c r="CQ4" s="80" t="s">
        <v>80</v>
      </c>
      <c r="CR4" s="80">
        <f>VLOOKUP(CQ4,Поправки!$F$33:$G$34,2,0)</f>
        <v>0.91</v>
      </c>
      <c r="CS4" s="80" t="e">
        <f t="shared" ref="CS4" si="15">ROUND(BX4*BZ4*CB4*CD4*CF4*CH4*CJ4*CL4*CN4*CP4*CR4,2)</f>
        <v>#N/A</v>
      </c>
      <c r="CT4" s="81" t="e">
        <f>ROUND(CS4*S4,2)</f>
        <v>#N/A</v>
      </c>
      <c r="CU4" s="80" t="s">
        <v>736</v>
      </c>
      <c r="CV4" s="80">
        <f>8015</f>
        <v>8015</v>
      </c>
      <c r="CW4" s="97" t="e">
        <f>IF(OR(CT4&lt;0,CT4=0),"ОТРИЦАТЕЛЬНАЯ СТОИМОСТЬ",IF(DC4=0,"Пересчет не требуется","Готов"))</f>
        <v>#N/A</v>
      </c>
      <c r="CX4" s="61">
        <f>AR4</f>
        <v>0</v>
      </c>
      <c r="CY4" s="61" t="s">
        <v>156</v>
      </c>
      <c r="CZ4" s="86">
        <f>13</f>
        <v>13</v>
      </c>
      <c r="DA4" s="92" t="e">
        <f>VLOOKUP(CX4,'справочник ври'!$A$3:$B$271,2,0)</f>
        <v>#N/A</v>
      </c>
      <c r="DB4" s="95">
        <f>AQ4</f>
        <v>0</v>
      </c>
      <c r="DC4" s="63" t="str">
        <f>IF(ISBLANK(P4),"Новый объект",IF(CV4=AN4,ABS(CT4-Q4),"Объект из другой модели"))</f>
        <v>Новый объект</v>
      </c>
      <c r="DD4" s="63" t="e">
        <f>IF(OR(DC4="Объект из другой модели",DC4="Новый объект"),IF(OR(CS4&lt;8,CS4&gt;1070),"Отклонение УПКС","УПКС находится в допустимом интервале"),IF(DC4&gt;1000000,"Внимение!Изменение более 1 млн","Изменение менее 1 млн"))</f>
        <v>#N/A</v>
      </c>
      <c r="DE4" s="78" t="str">
        <f>IF(L4="","Новое значение",IF(L4=AC4,"Осталось предыдущее значение ЦФ","ИЗМЕНЕНИЕ"))</f>
        <v>Новое значение</v>
      </c>
      <c r="DF4" s="78" t="str">
        <f>IF(I4="","Новое значение",IF(BY4=I4,"Осталось предыдущее значение ЦФ","ИЗМЕНЕНИЕ"))</f>
        <v>Новое значение</v>
      </c>
      <c r="DG4" s="78" t="str">
        <f>IF(H4="","Новое значение",IF(CA4=H4,"Осталось предыдущее значение ЦФ","ИЗМЕНЕНИЕ"))</f>
        <v>Новое значение</v>
      </c>
      <c r="DH4" s="78" t="str">
        <f>IF(P4="","Объект новый",IF(AJ4="не готов","ИЗМЕНЕНИЕ","Осталось предыдущее значение ЦФ"))</f>
        <v>Объект новый</v>
      </c>
      <c r="DI4" s="78" t="str">
        <f>IF(F4="","Новое значение",IF(CG4=F4,"Осталось предыдущее значение ЦФ","ИЗМЕНЕНИЕ"))</f>
        <v>Новое значение</v>
      </c>
      <c r="DJ4" s="78" t="str">
        <f>IF(E4="","Новое значение",IF(CI4=E4,"Осталось предыдущее значение ЦФ","ИЗМЕНЕНИЕ"))</f>
        <v>Новое значение</v>
      </c>
      <c r="DK4" s="78" t="str">
        <f>IF(G4="","Новое значение",IF(CK4=G4,"Осталось предыдущее значение ЦФ","ИЗМЕНЕНИЕ"))</f>
        <v>Новое значение</v>
      </c>
      <c r="DL4" s="78" t="str">
        <f>IF(AP4="","Новое значение",IF(AP4=AR4,"Осталось предыдущее значение ЦФ","ИЗМЕНЕНИЕ"))</f>
        <v>Новое значение</v>
      </c>
      <c r="DM4" s="78" t="str">
        <f>IF(K4="","Новое значение",IF(CC4=K4,"Осталось предыдущее значение ЦФ","ИЗМЕНЕНИЕ"))</f>
        <v>Новое значение</v>
      </c>
      <c r="DN4" s="78" t="str">
        <f>IF(J4="","Новое значение",IF(CE4=J4,"Осталось предыдущее значение ЦФ","ИЗМЕНЕНИЕ"))</f>
        <v>Новое значение</v>
      </c>
      <c r="DO4" s="78" t="str">
        <f>IF(M4="","Новое значение",IF(CO4=M4,"Осталось предыдущее значение ЦФ","ИЗМЕНЕНИЕ"))</f>
        <v>Новое значение</v>
      </c>
    </row>
    <row r="5" spans="1:119" ht="51" x14ac:dyDescent="0.25">
      <c r="AX5" s="80">
        <f>Поправки!$G$4</f>
        <v>509.39190000000002</v>
      </c>
      <c r="AY5" s="80">
        <f t="shared" si="0"/>
        <v>0</v>
      </c>
      <c r="AZ5" s="80" t="e">
        <f>VLOOKUP(AY5,Поправки!$F$5:$G$6,2,0)</f>
        <v>#N/A</v>
      </c>
      <c r="BA5" s="80">
        <f t="shared" si="1"/>
        <v>0</v>
      </c>
      <c r="BB5" s="80" t="e">
        <f>VLOOKUP(BA5,Поправки!$F$7:$G$10,2,0)</f>
        <v>#N/A</v>
      </c>
      <c r="BC5" s="80">
        <f t="shared" si="2"/>
        <v>0</v>
      </c>
      <c r="BD5" s="80" t="e">
        <f>VLOOKUP(BC5,Поправки!$F$11:$G$13,2,0)</f>
        <v>#N/A</v>
      </c>
      <c r="BE5" s="80">
        <f t="shared" si="3"/>
        <v>0</v>
      </c>
      <c r="BF5" s="80" t="e">
        <f>VLOOKUP(BE5,Поправки!$F$14:$G$16,2,0)</f>
        <v>#N/A</v>
      </c>
      <c r="BG5" s="80">
        <f t="shared" si="4"/>
        <v>0</v>
      </c>
      <c r="BH5" s="6">
        <f t="shared" si="5"/>
        <v>1.1535</v>
      </c>
      <c r="BI5" s="80">
        <f t="shared" si="6"/>
        <v>0</v>
      </c>
      <c r="BJ5" s="80" t="e">
        <f>VLOOKUP(BI5,Поправки!$F$18:$G$20,2,0)</f>
        <v>#N/A</v>
      </c>
      <c r="BK5" s="80">
        <f t="shared" si="7"/>
        <v>0</v>
      </c>
      <c r="BL5" s="80" t="e">
        <f>VLOOKUP(BK5,Поправки!$F$21:$G$29,2,0)</f>
        <v>#N/A</v>
      </c>
      <c r="BM5" s="80">
        <f t="shared" si="8"/>
        <v>1.1957</v>
      </c>
      <c r="BN5" s="80">
        <f t="shared" si="9"/>
        <v>0</v>
      </c>
      <c r="BO5" s="80" t="e">
        <f>VLOOKUP(BN5,Поправки!$F$31:$G$32,2,0)</f>
        <v>#N/A</v>
      </c>
      <c r="BP5" s="80" t="s">
        <v>80</v>
      </c>
      <c r="BQ5" s="80">
        <f>VLOOKUP(BP5,Поправки!$F$33:$G$34,2,0)</f>
        <v>0.91</v>
      </c>
      <c r="BR5" s="80" t="e">
        <f t="shared" si="10"/>
        <v>#N/A</v>
      </c>
      <c r="BS5" s="81" t="e">
        <f t="shared" si="11"/>
        <v>#N/A</v>
      </c>
      <c r="BT5" s="80">
        <f>8015</f>
        <v>8015</v>
      </c>
      <c r="BU5" s="63" t="str">
        <f t="shared" si="12"/>
        <v>Новый объект</v>
      </c>
      <c r="BV5" s="63" t="str">
        <f t="shared" si="13"/>
        <v/>
      </c>
      <c r="BW5" s="90">
        <f t="shared" ref="BW5:BW6" si="16">B5</f>
        <v>0</v>
      </c>
      <c r="BX5" s="80">
        <f>Поправки!$G$4</f>
        <v>509.39190000000002</v>
      </c>
      <c r="BY5" s="80" t="str">
        <f t="shared" ref="BY5:BY6" si="17">IF(P5="","Наличие электроснабжения",IF(I5="",IF(W5="отсутствие","Отсутствие электроснабжения","Наличие электроснабжения"),I5))</f>
        <v>Наличие электроснабжения</v>
      </c>
      <c r="BZ5" s="80">
        <f>VLOOKUP(BY5,Поправки!$F$5:$G$6,2,0)</f>
        <v>1</v>
      </c>
      <c r="CA5" s="80" t="str">
        <f t="shared" ref="CA5:CA6" si="18">IF(P5="","Отсутствие газоснабжения",IF(H5="",IF(V5="наличие","Наличие газоснабжения","Отсутствие газоснабжения"),H5))</f>
        <v>Отсутствие газоснабжения</v>
      </c>
      <c r="CB5" s="80">
        <f>VLOOKUP(CA5,Поправки!$F$7:$G$10,2,0)</f>
        <v>1</v>
      </c>
      <c r="CC5" s="80" t="s">
        <v>44</v>
      </c>
      <c r="CD5" s="80">
        <f>VLOOKUP(CC5,Поправки!$F$11:$G$13,2,0)</f>
        <v>1</v>
      </c>
      <c r="CE5" s="80" t="s">
        <v>47</v>
      </c>
      <c r="CF5" s="80">
        <f>VLOOKUP(CE5,Поправки!$F$14:$G$16,2,0)</f>
        <v>1</v>
      </c>
      <c r="CG5" s="80" t="e">
        <f>IF(F5="",IF(U5="",VLOOKUP(AC5,Поправки!$G$37:$H$38,2,0),U5),F5)</f>
        <v>#N/A</v>
      </c>
      <c r="CH5" s="6" t="e">
        <f t="shared" ref="CH5:CH6" si="19">ROUND(EXP(0.713742903251*(9.03038414-2.63139367*LN(IF(CG5&lt;4,4,CG5))+0.82725877*LN(IF(CG5&lt;4,4,CG5))^2-0.11025986*LN(IF(CG5&lt;4,4,CG5))^3))/EXP(0.713742903251*(9.03038414-2.63139367*LN(5)+0.82725877*LN(5)^2-0.11025986*LN(5)^3)),4)</f>
        <v>#N/A</v>
      </c>
      <c r="CI5" s="80" t="str">
        <f>IF(T5="Земли населенных пунктов",Поправки!$F$18,Поправки!$F$19)</f>
        <v>Прочие</v>
      </c>
      <c r="CJ5" s="80">
        <f>VLOOKUP(CI5,Поправки!$F$18:$G$20,2,0)</f>
        <v>0.84189999999999998</v>
      </c>
      <c r="CK5" s="80" t="str">
        <f>IF(AR5="13:031",Поправки!$F$29,Поправки!$F$21)</f>
        <v>ИЖС</v>
      </c>
      <c r="CL5" s="80">
        <f>VLOOKUP(CK5,Поправки!$F$21:$G$29,2,0)</f>
        <v>1</v>
      </c>
      <c r="CM5" s="80">
        <f t="shared" ref="CM5:CM6" si="20">S5</f>
        <v>0</v>
      </c>
      <c r="CN5" s="80">
        <f t="shared" ref="CN5:CN6" si="21">ROUND(EXP(0.266642520892*(15.0191281-1.312096*LN(IF(CM5&lt;600,600,CM5))))/EXP(0.266642520892*(15.0191281-1.312096*LN(1000))),4)</f>
        <v>1.1957</v>
      </c>
      <c r="CO5" s="80" t="str">
        <f t="shared" ref="CO5:CO6" si="22">IF(M5="",IF(O5="Влияние Нижнего Тагила","Наличие влияния Нижнего Тагила","Отсутствие влияния Нижнего Тагила"),IF(M5="Наличие влияния Нижнего Тагила","Наличие влияния Нижнего Тагила","Отсутствие влияния Нижнего Тагила"))</f>
        <v>Отсутствие влияния Нижнего Тагила</v>
      </c>
      <c r="CP5" s="80">
        <f>VLOOKUP(CO5,Поправки!$F$31:$G$32,2,0)</f>
        <v>1</v>
      </c>
      <c r="CQ5" s="80" t="s">
        <v>80</v>
      </c>
      <c r="CR5" s="80">
        <f>VLOOKUP(CQ5,Поправки!$F$33:$G$34,2,0)</f>
        <v>0.91</v>
      </c>
      <c r="CS5" s="80" t="e">
        <f t="shared" ref="CS5:CS6" si="23">ROUND(BX5*BZ5*CB5*CD5*CF5*CH5*CJ5*CL5*CN5*CP5*CR5,2)</f>
        <v>#N/A</v>
      </c>
      <c r="CT5" s="81" t="e">
        <f t="shared" ref="CT5:CT6" si="24">ROUND(CS5*S5,2)</f>
        <v>#N/A</v>
      </c>
      <c r="CU5" s="80" t="s">
        <v>736</v>
      </c>
      <c r="CV5" s="80">
        <f>8015</f>
        <v>8015</v>
      </c>
      <c r="CW5" s="97" t="e">
        <f t="shared" ref="CW5:CW6" si="25">IF(OR(CT5&lt;0,CT5=0),"ОТРИЦАТЕЛЬНАЯ СТОИМОСТЬ",IF(DC5=0,"Пересчет не требуется","Готов"))</f>
        <v>#N/A</v>
      </c>
      <c r="CX5" s="97">
        <f t="shared" ref="CX5:CX6" si="26">AR5</f>
        <v>0</v>
      </c>
      <c r="CY5" s="97" t="s">
        <v>156</v>
      </c>
      <c r="CZ5" s="97">
        <f>13</f>
        <v>13</v>
      </c>
      <c r="DA5" s="97" t="e">
        <f>VLOOKUP(CX5,'справочник ври'!$A$3:$B$271,2,0)</f>
        <v>#N/A</v>
      </c>
      <c r="DB5" s="97">
        <f t="shared" ref="DB5:DB6" si="27">AQ5</f>
        <v>0</v>
      </c>
      <c r="DC5" s="63" t="str">
        <f t="shared" ref="DC5:DC6" si="28">IF(ISBLANK(P5),"Новый объект",IF(CV5=AN5,ABS(CT5-Q5),"Объект из другой модели"))</f>
        <v>Новый объект</v>
      </c>
      <c r="DD5" s="63" t="e">
        <f t="shared" ref="DD5:DD6" si="29">IF(OR(DC5="Объект из другой модели",DC5="Новый объект"),IF(OR(CS5&lt;8,CS5&gt;1070),"Отклонение УПКС","УПКС находится в допустимом интервале"),IF(DC5&gt;1000000,"Внимение!Изменение более 1 млн","Изменение менее 1 млн"))</f>
        <v>#N/A</v>
      </c>
      <c r="DE5" s="78" t="str">
        <f t="shared" ref="DE5:DE6" si="30">IF(L5="","Новое значение",IF(L5=AC5,"Осталось предыдущее значение ЦФ","ИЗМЕНЕНИЕ"))</f>
        <v>Новое значение</v>
      </c>
      <c r="DF5" s="78" t="str">
        <f t="shared" ref="DF5:DF6" si="31">IF(I5="","Новое значение",IF(BY5=I5,"Осталось предыдущее значение ЦФ","ИЗМЕНЕНИЕ"))</f>
        <v>Новое значение</v>
      </c>
      <c r="DG5" s="78" t="str">
        <f t="shared" ref="DG5:DG6" si="32">IF(H5="","Новое значение",IF(CA5=H5,"Осталось предыдущее значение ЦФ","ИЗМЕНЕНИЕ"))</f>
        <v>Новое значение</v>
      </c>
      <c r="DH5" s="78" t="str">
        <f t="shared" ref="DH5:DH6" si="33">IF(P5="","Объект новый",IF(AJ5="не готов","ИЗМЕНЕНИЕ","Осталось предыдущее значение ЦФ"))</f>
        <v>Объект новый</v>
      </c>
      <c r="DI5" s="78" t="str">
        <f t="shared" ref="DI5:DI6" si="34">IF(F5="","Новое значение",IF(CG5=F5,"Осталось предыдущее значение ЦФ","ИЗМЕНЕНИЕ"))</f>
        <v>Новое значение</v>
      </c>
      <c r="DJ5" s="78" t="str">
        <f t="shared" ref="DJ5:DJ6" si="35">IF(E5="","Новое значение",IF(CI5=E5,"Осталось предыдущее значение ЦФ","ИЗМЕНЕНИЕ"))</f>
        <v>Новое значение</v>
      </c>
      <c r="DK5" s="78" t="str">
        <f t="shared" ref="DK5:DK6" si="36">IF(G5="","Новое значение",IF(CK5=G5,"Осталось предыдущее значение ЦФ","ИЗМЕНЕНИЕ"))</f>
        <v>Новое значение</v>
      </c>
      <c r="DL5" s="78" t="str">
        <f t="shared" ref="DL5:DL6" si="37">IF(AP5="","Новое значение",IF(AP5=AR5,"Осталось предыдущее значение ЦФ","ИЗМЕНЕНИЕ"))</f>
        <v>Новое значение</v>
      </c>
      <c r="DM5" s="78" t="str">
        <f t="shared" ref="DM5:DM6" si="38">IF(K5="","Новое значение",IF(CC5=K5,"Осталось предыдущее значение ЦФ","ИЗМЕНЕНИЕ"))</f>
        <v>Новое значение</v>
      </c>
      <c r="DN5" s="78" t="str">
        <f t="shared" ref="DN5:DN6" si="39">IF(J5="","Новое значение",IF(CE5=J5,"Осталось предыдущее значение ЦФ","ИЗМЕНЕНИЕ"))</f>
        <v>Новое значение</v>
      </c>
      <c r="DO5" s="78" t="str">
        <f t="shared" ref="DO5:DO6" si="40">IF(M5="","Новое значение",IF(CO5=M5,"Осталось предыдущее значение ЦФ","ИЗМЕНЕНИЕ"))</f>
        <v>Новое значение</v>
      </c>
    </row>
    <row r="6" spans="1:119" ht="409.5" x14ac:dyDescent="0.25">
      <c r="A6" s="103" t="s">
        <v>753</v>
      </c>
      <c r="AX6" s="80">
        <f>Поправки!$G$4</f>
        <v>509.39190000000002</v>
      </c>
      <c r="AY6" s="80">
        <f t="shared" si="0"/>
        <v>0</v>
      </c>
      <c r="AZ6" s="80" t="e">
        <f>VLOOKUP(AY6,Поправки!$F$5:$G$6,2,0)</f>
        <v>#N/A</v>
      </c>
      <c r="BA6" s="80">
        <f t="shared" si="1"/>
        <v>0</v>
      </c>
      <c r="BB6" s="80" t="e">
        <f>VLOOKUP(BA6,Поправки!$F$7:$G$10,2,0)</f>
        <v>#N/A</v>
      </c>
      <c r="BC6" s="80">
        <f t="shared" si="2"/>
        <v>0</v>
      </c>
      <c r="BD6" s="80" t="e">
        <f>VLOOKUP(BC6,Поправки!$F$11:$G$13,2,0)</f>
        <v>#N/A</v>
      </c>
      <c r="BE6" s="80">
        <f t="shared" si="3"/>
        <v>0</v>
      </c>
      <c r="BF6" s="80" t="e">
        <f>VLOOKUP(BE6,Поправки!$F$14:$G$16,2,0)</f>
        <v>#N/A</v>
      </c>
      <c r="BG6" s="80">
        <f t="shared" si="4"/>
        <v>0</v>
      </c>
      <c r="BH6" s="6">
        <f t="shared" si="5"/>
        <v>1.1535</v>
      </c>
      <c r="BI6" s="80">
        <f t="shared" si="6"/>
        <v>0</v>
      </c>
      <c r="BJ6" s="80" t="e">
        <f>VLOOKUP(BI6,Поправки!$F$18:$G$20,2,0)</f>
        <v>#N/A</v>
      </c>
      <c r="BK6" s="80">
        <f t="shared" si="7"/>
        <v>0</v>
      </c>
      <c r="BL6" s="80" t="e">
        <f>VLOOKUP(BK6,Поправки!$F$21:$G$29,2,0)</f>
        <v>#N/A</v>
      </c>
      <c r="BM6" s="80">
        <f t="shared" si="8"/>
        <v>1.1957</v>
      </c>
      <c r="BN6" s="80">
        <f t="shared" si="9"/>
        <v>0</v>
      </c>
      <c r="BO6" s="80" t="e">
        <f>VLOOKUP(BN6,Поправки!$F$31:$G$32,2,0)</f>
        <v>#N/A</v>
      </c>
      <c r="BP6" s="80" t="s">
        <v>80</v>
      </c>
      <c r="BQ6" s="80">
        <f>VLOOKUP(BP6,Поправки!$F$33:$G$34,2,0)</f>
        <v>0.91</v>
      </c>
      <c r="BR6" s="80" t="e">
        <f t="shared" si="10"/>
        <v>#N/A</v>
      </c>
      <c r="BS6" s="81" t="e">
        <f t="shared" si="11"/>
        <v>#N/A</v>
      </c>
      <c r="BT6" s="80">
        <f>8015</f>
        <v>8015</v>
      </c>
      <c r="BU6" s="63" t="str">
        <f t="shared" si="12"/>
        <v>Новый объект</v>
      </c>
      <c r="BV6" s="63" t="str">
        <f t="shared" si="13"/>
        <v/>
      </c>
      <c r="BW6" s="90">
        <f t="shared" si="16"/>
        <v>0</v>
      </c>
      <c r="BX6" s="80">
        <f>Поправки!$G$4</f>
        <v>509.39190000000002</v>
      </c>
      <c r="BY6" s="80" t="str">
        <f t="shared" si="17"/>
        <v>Наличие электроснабжения</v>
      </c>
      <c r="BZ6" s="80">
        <f>VLOOKUP(BY6,Поправки!$F$5:$G$6,2,0)</f>
        <v>1</v>
      </c>
      <c r="CA6" s="80" t="str">
        <f t="shared" si="18"/>
        <v>Отсутствие газоснабжения</v>
      </c>
      <c r="CB6" s="80">
        <f>VLOOKUP(CA6,Поправки!$F$7:$G$10,2,0)</f>
        <v>1</v>
      </c>
      <c r="CC6" s="80" t="s">
        <v>44</v>
      </c>
      <c r="CD6" s="80">
        <f>VLOOKUP(CC6,Поправки!$F$11:$G$13,2,0)</f>
        <v>1</v>
      </c>
      <c r="CE6" s="80" t="s">
        <v>47</v>
      </c>
      <c r="CF6" s="80">
        <f>VLOOKUP(CE6,Поправки!$F$14:$G$16,2,0)</f>
        <v>1</v>
      </c>
      <c r="CG6" s="80" t="e">
        <f>IF(F6="",IF(U6="",VLOOKUP(AC6,Поправки!$G$37:$H$38,2,0),U6),F6)</f>
        <v>#N/A</v>
      </c>
      <c r="CH6" s="6" t="e">
        <f t="shared" si="19"/>
        <v>#N/A</v>
      </c>
      <c r="CI6" s="80" t="str">
        <f>IF(T6="Земли населенных пунктов",Поправки!$F$18,Поправки!$F$19)</f>
        <v>Прочие</v>
      </c>
      <c r="CJ6" s="80">
        <f>VLOOKUP(CI6,Поправки!$F$18:$G$20,2,0)</f>
        <v>0.84189999999999998</v>
      </c>
      <c r="CK6" s="80" t="str">
        <f>IF(AR6="13:031",Поправки!$F$29,Поправки!$F$21)</f>
        <v>ИЖС</v>
      </c>
      <c r="CL6" s="80">
        <f>VLOOKUP(CK6,Поправки!$F$21:$G$29,2,0)</f>
        <v>1</v>
      </c>
      <c r="CM6" s="80">
        <f t="shared" si="20"/>
        <v>0</v>
      </c>
      <c r="CN6" s="80">
        <f t="shared" si="21"/>
        <v>1.1957</v>
      </c>
      <c r="CO6" s="80" t="str">
        <f t="shared" si="22"/>
        <v>Отсутствие влияния Нижнего Тагила</v>
      </c>
      <c r="CP6" s="80">
        <f>VLOOKUP(CO6,Поправки!$F$31:$G$32,2,0)</f>
        <v>1</v>
      </c>
      <c r="CQ6" s="80" t="s">
        <v>80</v>
      </c>
      <c r="CR6" s="80">
        <f>VLOOKUP(CQ6,Поправки!$F$33:$G$34,2,0)</f>
        <v>0.91</v>
      </c>
      <c r="CS6" s="80" t="e">
        <f t="shared" si="23"/>
        <v>#N/A</v>
      </c>
      <c r="CT6" s="81" t="e">
        <f t="shared" si="24"/>
        <v>#N/A</v>
      </c>
      <c r="CU6" s="80" t="s">
        <v>736</v>
      </c>
      <c r="CV6" s="80">
        <f>8015</f>
        <v>8015</v>
      </c>
      <c r="CW6" s="97" t="e">
        <f t="shared" si="25"/>
        <v>#N/A</v>
      </c>
      <c r="CX6" s="97">
        <f t="shared" si="26"/>
        <v>0</v>
      </c>
      <c r="CY6" s="97" t="s">
        <v>156</v>
      </c>
      <c r="CZ6" s="97">
        <f>13</f>
        <v>13</v>
      </c>
      <c r="DA6" s="97" t="e">
        <f>VLOOKUP(CX6,'справочник ври'!$A$3:$B$271,2,0)</f>
        <v>#N/A</v>
      </c>
      <c r="DB6" s="97">
        <f t="shared" si="27"/>
        <v>0</v>
      </c>
      <c r="DC6" s="63" t="str">
        <f t="shared" si="28"/>
        <v>Новый объект</v>
      </c>
      <c r="DD6" s="63" t="e">
        <f t="shared" si="29"/>
        <v>#N/A</v>
      </c>
      <c r="DE6" s="78" t="str">
        <f t="shared" si="30"/>
        <v>Новое значение</v>
      </c>
      <c r="DF6" s="78" t="str">
        <f t="shared" si="31"/>
        <v>Новое значение</v>
      </c>
      <c r="DG6" s="78" t="str">
        <f t="shared" si="32"/>
        <v>Новое значение</v>
      </c>
      <c r="DH6" s="78" t="str">
        <f t="shared" si="33"/>
        <v>Объект новый</v>
      </c>
      <c r="DI6" s="78" t="str">
        <f t="shared" si="34"/>
        <v>Новое значение</v>
      </c>
      <c r="DJ6" s="78" t="str">
        <f t="shared" si="35"/>
        <v>Новое значение</v>
      </c>
      <c r="DK6" s="78" t="str">
        <f t="shared" si="36"/>
        <v>Новое значение</v>
      </c>
      <c r="DL6" s="78" t="str">
        <f t="shared" si="37"/>
        <v>Новое значение</v>
      </c>
      <c r="DM6" s="78" t="str">
        <f t="shared" si="38"/>
        <v>Новое значение</v>
      </c>
      <c r="DN6" s="78" t="str">
        <f t="shared" si="39"/>
        <v>Новое значение</v>
      </c>
      <c r="DO6" s="78" t="str">
        <f t="shared" si="40"/>
        <v>Новое значение</v>
      </c>
    </row>
  </sheetData>
  <mergeCells count="4">
    <mergeCell ref="BU1:BV1"/>
    <mergeCell ref="DK1:DL1"/>
    <mergeCell ref="AX1:BT1"/>
    <mergeCell ref="BU2:BV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271"/>
  <sheetViews>
    <sheetView topLeftCell="A238" workbookViewId="0">
      <selection sqref="A1:B1048576"/>
    </sheetView>
  </sheetViews>
  <sheetFormatPr defaultRowHeight="15" x14ac:dyDescent="0.25"/>
  <sheetData>
    <row r="1" spans="1:2" x14ac:dyDescent="0.25">
      <c r="A1" t="s">
        <v>150</v>
      </c>
      <c r="B1" t="s">
        <v>165</v>
      </c>
    </row>
    <row r="2" spans="1:2" x14ac:dyDescent="0.25">
      <c r="A2" t="s">
        <v>6</v>
      </c>
      <c r="B2" t="s">
        <v>167</v>
      </c>
    </row>
    <row r="3" spans="1:2" x14ac:dyDescent="0.25">
      <c r="A3" t="s">
        <v>168</v>
      </c>
      <c r="B3" t="s">
        <v>169</v>
      </c>
    </row>
    <row r="4" spans="1:2" x14ac:dyDescent="0.25">
      <c r="A4" t="s">
        <v>170</v>
      </c>
      <c r="B4" t="s">
        <v>171</v>
      </c>
    </row>
    <row r="5" spans="1:2" x14ac:dyDescent="0.25">
      <c r="A5" t="s">
        <v>172</v>
      </c>
      <c r="B5" t="s">
        <v>173</v>
      </c>
    </row>
    <row r="6" spans="1:2" x14ac:dyDescent="0.25">
      <c r="A6" t="s">
        <v>174</v>
      </c>
      <c r="B6" t="s">
        <v>175</v>
      </c>
    </row>
    <row r="7" spans="1:2" x14ac:dyDescent="0.25">
      <c r="A7" t="s">
        <v>176</v>
      </c>
      <c r="B7" t="s">
        <v>177</v>
      </c>
    </row>
    <row r="8" spans="1:2" x14ac:dyDescent="0.25">
      <c r="A8" t="s">
        <v>178</v>
      </c>
      <c r="B8" t="s">
        <v>179</v>
      </c>
    </row>
    <row r="9" spans="1:2" x14ac:dyDescent="0.25">
      <c r="A9" t="s">
        <v>180</v>
      </c>
      <c r="B9" t="s">
        <v>181</v>
      </c>
    </row>
    <row r="10" spans="1:2" x14ac:dyDescent="0.25">
      <c r="A10" t="s">
        <v>182</v>
      </c>
      <c r="B10" t="s">
        <v>183</v>
      </c>
    </row>
    <row r="11" spans="1:2" x14ac:dyDescent="0.25">
      <c r="A11" t="s">
        <v>184</v>
      </c>
      <c r="B11" t="s">
        <v>185</v>
      </c>
    </row>
    <row r="12" spans="1:2" x14ac:dyDescent="0.25">
      <c r="A12" t="s">
        <v>186</v>
      </c>
      <c r="B12" t="s">
        <v>187</v>
      </c>
    </row>
    <row r="13" spans="1:2" x14ac:dyDescent="0.25">
      <c r="A13" t="s">
        <v>188</v>
      </c>
      <c r="B13" t="s">
        <v>189</v>
      </c>
    </row>
    <row r="14" spans="1:2" x14ac:dyDescent="0.25">
      <c r="A14" t="s">
        <v>190</v>
      </c>
      <c r="B14" t="s">
        <v>191</v>
      </c>
    </row>
    <row r="15" spans="1:2" x14ac:dyDescent="0.25">
      <c r="A15" t="s">
        <v>192</v>
      </c>
      <c r="B15" t="s">
        <v>193</v>
      </c>
    </row>
    <row r="16" spans="1:2" x14ac:dyDescent="0.25">
      <c r="A16" t="s">
        <v>194</v>
      </c>
      <c r="B16" t="s">
        <v>195</v>
      </c>
    </row>
    <row r="17" spans="1:2" x14ac:dyDescent="0.25">
      <c r="A17" t="s">
        <v>196</v>
      </c>
      <c r="B17" t="s">
        <v>197</v>
      </c>
    </row>
    <row r="18" spans="1:2" x14ac:dyDescent="0.25">
      <c r="A18" t="s">
        <v>198</v>
      </c>
      <c r="B18" t="s">
        <v>199</v>
      </c>
    </row>
    <row r="19" spans="1:2" x14ac:dyDescent="0.25">
      <c r="A19" t="s">
        <v>200</v>
      </c>
      <c r="B19" t="s">
        <v>201</v>
      </c>
    </row>
    <row r="20" spans="1:2" x14ac:dyDescent="0.25">
      <c r="A20" t="s">
        <v>202</v>
      </c>
      <c r="B20" t="s">
        <v>203</v>
      </c>
    </row>
    <row r="21" spans="1:2" x14ac:dyDescent="0.25">
      <c r="A21" t="s">
        <v>204</v>
      </c>
      <c r="B21" t="s">
        <v>205</v>
      </c>
    </row>
    <row r="22" spans="1:2" x14ac:dyDescent="0.25">
      <c r="A22" t="s">
        <v>206</v>
      </c>
      <c r="B22" t="s">
        <v>207</v>
      </c>
    </row>
    <row r="23" spans="1:2" x14ac:dyDescent="0.25">
      <c r="A23" t="s">
        <v>208</v>
      </c>
      <c r="B23" t="s">
        <v>209</v>
      </c>
    </row>
    <row r="24" spans="1:2" x14ac:dyDescent="0.25">
      <c r="A24" t="s">
        <v>210</v>
      </c>
      <c r="B24" t="s">
        <v>211</v>
      </c>
    </row>
    <row r="25" spans="1:2" x14ac:dyDescent="0.25">
      <c r="A25" t="s">
        <v>212</v>
      </c>
      <c r="B25" t="s">
        <v>213</v>
      </c>
    </row>
    <row r="26" spans="1:2" x14ac:dyDescent="0.25">
      <c r="A26" t="s">
        <v>214</v>
      </c>
      <c r="B26" t="s">
        <v>215</v>
      </c>
    </row>
    <row r="27" spans="1:2" x14ac:dyDescent="0.25">
      <c r="A27" t="s">
        <v>216</v>
      </c>
      <c r="B27" t="s">
        <v>217</v>
      </c>
    </row>
    <row r="28" spans="1:2" x14ac:dyDescent="0.25">
      <c r="A28" t="s">
        <v>218</v>
      </c>
      <c r="B28" t="s">
        <v>219</v>
      </c>
    </row>
    <row r="29" spans="1:2" x14ac:dyDescent="0.25">
      <c r="A29" t="s">
        <v>220</v>
      </c>
      <c r="B29" t="s">
        <v>221</v>
      </c>
    </row>
    <row r="30" spans="1:2" x14ac:dyDescent="0.25">
      <c r="A30" t="s">
        <v>222</v>
      </c>
      <c r="B30" t="s">
        <v>223</v>
      </c>
    </row>
    <row r="31" spans="1:2" x14ac:dyDescent="0.25">
      <c r="A31" t="s">
        <v>224</v>
      </c>
      <c r="B31" t="s">
        <v>225</v>
      </c>
    </row>
    <row r="32" spans="1:2" x14ac:dyDescent="0.25">
      <c r="A32" t="s">
        <v>226</v>
      </c>
      <c r="B32" t="s">
        <v>227</v>
      </c>
    </row>
    <row r="33" spans="1:2" x14ac:dyDescent="0.25">
      <c r="A33" t="s">
        <v>228</v>
      </c>
      <c r="B33" t="s">
        <v>229</v>
      </c>
    </row>
    <row r="34" spans="1:2" x14ac:dyDescent="0.25">
      <c r="A34" t="s">
        <v>230</v>
      </c>
      <c r="B34" t="s">
        <v>231</v>
      </c>
    </row>
    <row r="35" spans="1:2" x14ac:dyDescent="0.25">
      <c r="A35" t="s">
        <v>232</v>
      </c>
      <c r="B35" t="s">
        <v>233</v>
      </c>
    </row>
    <row r="36" spans="1:2" x14ac:dyDescent="0.25">
      <c r="A36" t="s">
        <v>234</v>
      </c>
      <c r="B36" t="s">
        <v>235</v>
      </c>
    </row>
    <row r="37" spans="1:2" x14ac:dyDescent="0.25">
      <c r="A37" t="s">
        <v>236</v>
      </c>
      <c r="B37" t="s">
        <v>237</v>
      </c>
    </row>
    <row r="38" spans="1:2" x14ac:dyDescent="0.25">
      <c r="A38" t="s">
        <v>238</v>
      </c>
      <c r="B38" t="s">
        <v>239</v>
      </c>
    </row>
    <row r="39" spans="1:2" x14ac:dyDescent="0.25">
      <c r="A39" t="s">
        <v>240</v>
      </c>
      <c r="B39" t="s">
        <v>241</v>
      </c>
    </row>
    <row r="40" spans="1:2" x14ac:dyDescent="0.25">
      <c r="A40" t="s">
        <v>242</v>
      </c>
      <c r="B40" t="s">
        <v>243</v>
      </c>
    </row>
    <row r="41" spans="1:2" x14ac:dyDescent="0.25">
      <c r="A41" t="s">
        <v>244</v>
      </c>
      <c r="B41" t="s">
        <v>245</v>
      </c>
    </row>
    <row r="42" spans="1:2" x14ac:dyDescent="0.25">
      <c r="A42" t="s">
        <v>246</v>
      </c>
      <c r="B42" t="s">
        <v>247</v>
      </c>
    </row>
    <row r="43" spans="1:2" x14ac:dyDescent="0.25">
      <c r="A43" t="s">
        <v>248</v>
      </c>
      <c r="B43" t="s">
        <v>249</v>
      </c>
    </row>
    <row r="44" spans="1:2" x14ac:dyDescent="0.25">
      <c r="A44" t="s">
        <v>250</v>
      </c>
      <c r="B44" t="s">
        <v>251</v>
      </c>
    </row>
    <row r="45" spans="1:2" x14ac:dyDescent="0.25">
      <c r="A45" t="s">
        <v>252</v>
      </c>
      <c r="B45" t="s">
        <v>253</v>
      </c>
    </row>
    <row r="46" spans="1:2" x14ac:dyDescent="0.25">
      <c r="A46" t="s">
        <v>254</v>
      </c>
      <c r="B46" t="s">
        <v>255</v>
      </c>
    </row>
    <row r="47" spans="1:2" x14ac:dyDescent="0.25">
      <c r="A47" t="s">
        <v>256</v>
      </c>
      <c r="B47" t="s">
        <v>257</v>
      </c>
    </row>
    <row r="48" spans="1:2" x14ac:dyDescent="0.25">
      <c r="A48" t="s">
        <v>258</v>
      </c>
      <c r="B48" t="s">
        <v>259</v>
      </c>
    </row>
    <row r="49" spans="1:2" x14ac:dyDescent="0.25">
      <c r="A49" t="s">
        <v>260</v>
      </c>
      <c r="B49" t="s">
        <v>261</v>
      </c>
    </row>
    <row r="50" spans="1:2" x14ac:dyDescent="0.25">
      <c r="A50" t="s">
        <v>262</v>
      </c>
      <c r="B50" t="s">
        <v>263</v>
      </c>
    </row>
    <row r="51" spans="1:2" x14ac:dyDescent="0.25">
      <c r="A51" t="s">
        <v>264</v>
      </c>
      <c r="B51" t="s">
        <v>265</v>
      </c>
    </row>
    <row r="52" spans="1:2" x14ac:dyDescent="0.25">
      <c r="A52" t="s">
        <v>266</v>
      </c>
      <c r="B52" t="s">
        <v>267</v>
      </c>
    </row>
    <row r="53" spans="1:2" x14ac:dyDescent="0.25">
      <c r="A53" t="s">
        <v>268</v>
      </c>
      <c r="B53" t="s">
        <v>269</v>
      </c>
    </row>
    <row r="54" spans="1:2" x14ac:dyDescent="0.25">
      <c r="A54" t="s">
        <v>270</v>
      </c>
      <c r="B54" t="s">
        <v>271</v>
      </c>
    </row>
    <row r="55" spans="1:2" x14ac:dyDescent="0.25">
      <c r="A55" t="s">
        <v>272</v>
      </c>
      <c r="B55" t="s">
        <v>273</v>
      </c>
    </row>
    <row r="56" spans="1:2" x14ac:dyDescent="0.25">
      <c r="A56" t="s">
        <v>274</v>
      </c>
      <c r="B56" t="s">
        <v>275</v>
      </c>
    </row>
    <row r="57" spans="1:2" x14ac:dyDescent="0.25">
      <c r="A57" t="s">
        <v>276</v>
      </c>
      <c r="B57" t="s">
        <v>277</v>
      </c>
    </row>
    <row r="58" spans="1:2" x14ac:dyDescent="0.25">
      <c r="A58" t="s">
        <v>278</v>
      </c>
      <c r="B58" t="s">
        <v>279</v>
      </c>
    </row>
    <row r="59" spans="1:2" x14ac:dyDescent="0.25">
      <c r="A59" t="s">
        <v>280</v>
      </c>
      <c r="B59" t="s">
        <v>281</v>
      </c>
    </row>
    <row r="60" spans="1:2" x14ac:dyDescent="0.25">
      <c r="A60" t="s">
        <v>282</v>
      </c>
      <c r="B60" t="s">
        <v>283</v>
      </c>
    </row>
    <row r="61" spans="1:2" x14ac:dyDescent="0.25">
      <c r="A61" t="s">
        <v>284</v>
      </c>
      <c r="B61" t="s">
        <v>285</v>
      </c>
    </row>
    <row r="62" spans="1:2" x14ac:dyDescent="0.25">
      <c r="A62" t="s">
        <v>286</v>
      </c>
      <c r="B62" t="s">
        <v>287</v>
      </c>
    </row>
    <row r="63" spans="1:2" x14ac:dyDescent="0.25">
      <c r="A63" t="s">
        <v>288</v>
      </c>
      <c r="B63" t="s">
        <v>289</v>
      </c>
    </row>
    <row r="64" spans="1:2" x14ac:dyDescent="0.25">
      <c r="A64" t="s">
        <v>290</v>
      </c>
      <c r="B64" t="s">
        <v>291</v>
      </c>
    </row>
    <row r="65" spans="1:2" x14ac:dyDescent="0.25">
      <c r="A65" t="s">
        <v>292</v>
      </c>
      <c r="B65" t="s">
        <v>293</v>
      </c>
    </row>
    <row r="66" spans="1:2" x14ac:dyDescent="0.25">
      <c r="A66" t="s">
        <v>294</v>
      </c>
      <c r="B66" t="s">
        <v>295</v>
      </c>
    </row>
    <row r="67" spans="1:2" x14ac:dyDescent="0.25">
      <c r="A67" t="s">
        <v>296</v>
      </c>
      <c r="B67" t="s">
        <v>297</v>
      </c>
    </row>
    <row r="68" spans="1:2" x14ac:dyDescent="0.25">
      <c r="A68" t="s">
        <v>298</v>
      </c>
      <c r="B68" t="s">
        <v>299</v>
      </c>
    </row>
    <row r="69" spans="1:2" x14ac:dyDescent="0.25">
      <c r="A69" t="s">
        <v>300</v>
      </c>
      <c r="B69" t="s">
        <v>301</v>
      </c>
    </row>
    <row r="70" spans="1:2" x14ac:dyDescent="0.25">
      <c r="A70" t="s">
        <v>302</v>
      </c>
      <c r="B70" t="s">
        <v>303</v>
      </c>
    </row>
    <row r="71" spans="1:2" x14ac:dyDescent="0.25">
      <c r="A71" t="s">
        <v>304</v>
      </c>
      <c r="B71" t="s">
        <v>305</v>
      </c>
    </row>
    <row r="72" spans="1:2" x14ac:dyDescent="0.25">
      <c r="A72" t="s">
        <v>306</v>
      </c>
      <c r="B72" t="s">
        <v>307</v>
      </c>
    </row>
    <row r="73" spans="1:2" x14ac:dyDescent="0.25">
      <c r="A73" t="s">
        <v>308</v>
      </c>
      <c r="B73" t="s">
        <v>309</v>
      </c>
    </row>
    <row r="74" spans="1:2" x14ac:dyDescent="0.25">
      <c r="A74" t="s">
        <v>310</v>
      </c>
      <c r="B74" t="s">
        <v>311</v>
      </c>
    </row>
    <row r="75" spans="1:2" x14ac:dyDescent="0.25">
      <c r="A75" t="s">
        <v>312</v>
      </c>
      <c r="B75" t="s">
        <v>313</v>
      </c>
    </row>
    <row r="76" spans="1:2" x14ac:dyDescent="0.25">
      <c r="A76" t="s">
        <v>314</v>
      </c>
      <c r="B76" t="s">
        <v>315</v>
      </c>
    </row>
    <row r="77" spans="1:2" x14ac:dyDescent="0.25">
      <c r="A77" t="s">
        <v>316</v>
      </c>
      <c r="B77" t="s">
        <v>317</v>
      </c>
    </row>
    <row r="78" spans="1:2" x14ac:dyDescent="0.25">
      <c r="A78" t="s">
        <v>318</v>
      </c>
      <c r="B78" t="s">
        <v>319</v>
      </c>
    </row>
    <row r="79" spans="1:2" x14ac:dyDescent="0.25">
      <c r="A79" t="s">
        <v>320</v>
      </c>
      <c r="B79" t="s">
        <v>321</v>
      </c>
    </row>
    <row r="80" spans="1:2" x14ac:dyDescent="0.25">
      <c r="A80" t="s">
        <v>322</v>
      </c>
      <c r="B80" t="s">
        <v>323</v>
      </c>
    </row>
    <row r="81" spans="1:2" x14ac:dyDescent="0.25">
      <c r="A81" t="s">
        <v>324</v>
      </c>
      <c r="B81" t="s">
        <v>325</v>
      </c>
    </row>
    <row r="82" spans="1:2" x14ac:dyDescent="0.25">
      <c r="A82" t="s">
        <v>326</v>
      </c>
      <c r="B82" t="s">
        <v>327</v>
      </c>
    </row>
    <row r="83" spans="1:2" x14ac:dyDescent="0.25">
      <c r="A83" t="s">
        <v>328</v>
      </c>
      <c r="B83" t="s">
        <v>329</v>
      </c>
    </row>
    <row r="84" spans="1:2" x14ac:dyDescent="0.25">
      <c r="A84" t="s">
        <v>330</v>
      </c>
      <c r="B84" t="s">
        <v>331</v>
      </c>
    </row>
    <row r="85" spans="1:2" x14ac:dyDescent="0.25">
      <c r="A85" t="s">
        <v>332</v>
      </c>
      <c r="B85" t="s">
        <v>333</v>
      </c>
    </row>
    <row r="86" spans="1:2" x14ac:dyDescent="0.25">
      <c r="A86" t="s">
        <v>334</v>
      </c>
      <c r="B86" t="s">
        <v>335</v>
      </c>
    </row>
    <row r="87" spans="1:2" x14ac:dyDescent="0.25">
      <c r="A87" t="s">
        <v>336</v>
      </c>
      <c r="B87" t="s">
        <v>337</v>
      </c>
    </row>
    <row r="88" spans="1:2" x14ac:dyDescent="0.25">
      <c r="A88" t="s">
        <v>338</v>
      </c>
      <c r="B88" t="s">
        <v>339</v>
      </c>
    </row>
    <row r="89" spans="1:2" x14ac:dyDescent="0.25">
      <c r="A89" t="s">
        <v>340</v>
      </c>
      <c r="B89" t="s">
        <v>341</v>
      </c>
    </row>
    <row r="90" spans="1:2" x14ac:dyDescent="0.25">
      <c r="A90" t="s">
        <v>342</v>
      </c>
      <c r="B90" t="s">
        <v>343</v>
      </c>
    </row>
    <row r="91" spans="1:2" x14ac:dyDescent="0.25">
      <c r="A91" t="s">
        <v>344</v>
      </c>
      <c r="B91" t="s">
        <v>345</v>
      </c>
    </row>
    <row r="92" spans="1:2" x14ac:dyDescent="0.25">
      <c r="A92" t="s">
        <v>346</v>
      </c>
      <c r="B92" t="s">
        <v>347</v>
      </c>
    </row>
    <row r="93" spans="1:2" x14ac:dyDescent="0.25">
      <c r="A93" t="s">
        <v>348</v>
      </c>
      <c r="B93" t="s">
        <v>349</v>
      </c>
    </row>
    <row r="94" spans="1:2" x14ac:dyDescent="0.25">
      <c r="A94" t="s">
        <v>350</v>
      </c>
      <c r="B94" t="s">
        <v>351</v>
      </c>
    </row>
    <row r="95" spans="1:2" x14ac:dyDescent="0.25">
      <c r="A95" t="s">
        <v>352</v>
      </c>
      <c r="B95" t="s">
        <v>353</v>
      </c>
    </row>
    <row r="96" spans="1:2" x14ac:dyDescent="0.25">
      <c r="A96" t="s">
        <v>354</v>
      </c>
      <c r="B96" t="s">
        <v>355</v>
      </c>
    </row>
    <row r="97" spans="1:2" x14ac:dyDescent="0.25">
      <c r="A97" t="s">
        <v>356</v>
      </c>
      <c r="B97" t="s">
        <v>357</v>
      </c>
    </row>
    <row r="98" spans="1:2" x14ac:dyDescent="0.25">
      <c r="A98" t="s">
        <v>358</v>
      </c>
      <c r="B98" t="s">
        <v>359</v>
      </c>
    </row>
    <row r="99" spans="1:2" x14ac:dyDescent="0.25">
      <c r="A99" t="s">
        <v>360</v>
      </c>
      <c r="B99" t="s">
        <v>361</v>
      </c>
    </row>
    <row r="100" spans="1:2" x14ac:dyDescent="0.25">
      <c r="A100" t="s">
        <v>362</v>
      </c>
      <c r="B100" t="s">
        <v>363</v>
      </c>
    </row>
    <row r="101" spans="1:2" x14ac:dyDescent="0.25">
      <c r="A101" t="s">
        <v>364</v>
      </c>
      <c r="B101" t="s">
        <v>365</v>
      </c>
    </row>
    <row r="102" spans="1:2" x14ac:dyDescent="0.25">
      <c r="A102" t="s">
        <v>366</v>
      </c>
      <c r="B102" t="s">
        <v>367</v>
      </c>
    </row>
    <row r="103" spans="1:2" x14ac:dyDescent="0.25">
      <c r="A103" t="s">
        <v>368</v>
      </c>
      <c r="B103" t="s">
        <v>369</v>
      </c>
    </row>
    <row r="104" spans="1:2" x14ac:dyDescent="0.25">
      <c r="A104" t="s">
        <v>370</v>
      </c>
      <c r="B104" t="s">
        <v>371</v>
      </c>
    </row>
    <row r="105" spans="1:2" x14ac:dyDescent="0.25">
      <c r="A105" t="s">
        <v>372</v>
      </c>
      <c r="B105" t="s">
        <v>373</v>
      </c>
    </row>
    <row r="106" spans="1:2" x14ac:dyDescent="0.25">
      <c r="A106" t="s">
        <v>374</v>
      </c>
      <c r="B106" t="s">
        <v>375</v>
      </c>
    </row>
    <row r="107" spans="1:2" x14ac:dyDescent="0.25">
      <c r="A107" t="s">
        <v>376</v>
      </c>
      <c r="B107" t="s">
        <v>377</v>
      </c>
    </row>
    <row r="108" spans="1:2" x14ac:dyDescent="0.25">
      <c r="A108" t="s">
        <v>378</v>
      </c>
      <c r="B108" t="s">
        <v>379</v>
      </c>
    </row>
    <row r="109" spans="1:2" x14ac:dyDescent="0.25">
      <c r="A109" t="s">
        <v>380</v>
      </c>
      <c r="B109" t="s">
        <v>381</v>
      </c>
    </row>
    <row r="110" spans="1:2" x14ac:dyDescent="0.25">
      <c r="A110" t="s">
        <v>382</v>
      </c>
      <c r="B110" t="s">
        <v>383</v>
      </c>
    </row>
    <row r="111" spans="1:2" x14ac:dyDescent="0.25">
      <c r="A111" t="s">
        <v>384</v>
      </c>
      <c r="B111" t="s">
        <v>385</v>
      </c>
    </row>
    <row r="112" spans="1:2" x14ac:dyDescent="0.25">
      <c r="A112" t="s">
        <v>386</v>
      </c>
      <c r="B112" t="s">
        <v>387</v>
      </c>
    </row>
    <row r="113" spans="1:2" x14ac:dyDescent="0.25">
      <c r="A113" t="s">
        <v>388</v>
      </c>
      <c r="B113" t="s">
        <v>389</v>
      </c>
    </row>
    <row r="114" spans="1:2" x14ac:dyDescent="0.25">
      <c r="A114" t="s">
        <v>390</v>
      </c>
      <c r="B114" t="s">
        <v>391</v>
      </c>
    </row>
    <row r="115" spans="1:2" x14ac:dyDescent="0.25">
      <c r="A115" t="s">
        <v>392</v>
      </c>
      <c r="B115" t="s">
        <v>393</v>
      </c>
    </row>
    <row r="116" spans="1:2" x14ac:dyDescent="0.25">
      <c r="A116" t="s">
        <v>394</v>
      </c>
      <c r="B116" t="s">
        <v>395</v>
      </c>
    </row>
    <row r="117" spans="1:2" x14ac:dyDescent="0.25">
      <c r="A117" t="s">
        <v>396</v>
      </c>
      <c r="B117" t="s">
        <v>397</v>
      </c>
    </row>
    <row r="118" spans="1:2" x14ac:dyDescent="0.25">
      <c r="A118" t="s">
        <v>398</v>
      </c>
      <c r="B118" t="s">
        <v>399</v>
      </c>
    </row>
    <row r="119" spans="1:2" x14ac:dyDescent="0.25">
      <c r="A119" t="s">
        <v>400</v>
      </c>
      <c r="B119" t="s">
        <v>401</v>
      </c>
    </row>
    <row r="120" spans="1:2" x14ac:dyDescent="0.25">
      <c r="A120" t="s">
        <v>402</v>
      </c>
      <c r="B120" t="s">
        <v>403</v>
      </c>
    </row>
    <row r="121" spans="1:2" x14ac:dyDescent="0.25">
      <c r="A121" t="s">
        <v>404</v>
      </c>
      <c r="B121" t="s">
        <v>405</v>
      </c>
    </row>
    <row r="122" spans="1:2" x14ac:dyDescent="0.25">
      <c r="A122" t="s">
        <v>406</v>
      </c>
      <c r="B122" t="s">
        <v>407</v>
      </c>
    </row>
    <row r="123" spans="1:2" x14ac:dyDescent="0.25">
      <c r="A123" t="s">
        <v>408</v>
      </c>
      <c r="B123" t="s">
        <v>409</v>
      </c>
    </row>
    <row r="124" spans="1:2" x14ac:dyDescent="0.25">
      <c r="A124" t="s">
        <v>410</v>
      </c>
      <c r="B124" t="s">
        <v>411</v>
      </c>
    </row>
    <row r="125" spans="1:2" x14ac:dyDescent="0.25">
      <c r="A125" t="s">
        <v>412</v>
      </c>
      <c r="B125" t="s">
        <v>413</v>
      </c>
    </row>
    <row r="126" spans="1:2" x14ac:dyDescent="0.25">
      <c r="A126" t="s">
        <v>414</v>
      </c>
      <c r="B126" t="s">
        <v>415</v>
      </c>
    </row>
    <row r="127" spans="1:2" x14ac:dyDescent="0.25">
      <c r="A127" t="s">
        <v>416</v>
      </c>
      <c r="B127" t="s">
        <v>417</v>
      </c>
    </row>
    <row r="128" spans="1:2" x14ac:dyDescent="0.25">
      <c r="A128" t="s">
        <v>418</v>
      </c>
      <c r="B128" t="s">
        <v>419</v>
      </c>
    </row>
    <row r="129" spans="1:2" x14ac:dyDescent="0.25">
      <c r="A129" t="s">
        <v>420</v>
      </c>
      <c r="B129" t="s">
        <v>421</v>
      </c>
    </row>
    <row r="130" spans="1:2" x14ac:dyDescent="0.25">
      <c r="A130" t="s">
        <v>422</v>
      </c>
      <c r="B130" t="s">
        <v>423</v>
      </c>
    </row>
    <row r="131" spans="1:2" x14ac:dyDescent="0.25">
      <c r="A131" t="s">
        <v>424</v>
      </c>
      <c r="B131" t="s">
        <v>425</v>
      </c>
    </row>
    <row r="132" spans="1:2" x14ac:dyDescent="0.25">
      <c r="A132" t="s">
        <v>426</v>
      </c>
      <c r="B132" t="s">
        <v>427</v>
      </c>
    </row>
    <row r="133" spans="1:2" x14ac:dyDescent="0.25">
      <c r="A133" t="s">
        <v>428</v>
      </c>
      <c r="B133" t="s">
        <v>429</v>
      </c>
    </row>
    <row r="134" spans="1:2" x14ac:dyDescent="0.25">
      <c r="A134" t="s">
        <v>430</v>
      </c>
      <c r="B134" t="s">
        <v>431</v>
      </c>
    </row>
    <row r="135" spans="1:2" x14ac:dyDescent="0.25">
      <c r="A135" t="s">
        <v>432</v>
      </c>
      <c r="B135" t="s">
        <v>433</v>
      </c>
    </row>
    <row r="136" spans="1:2" x14ac:dyDescent="0.25">
      <c r="A136" t="s">
        <v>434</v>
      </c>
      <c r="B136" t="s">
        <v>435</v>
      </c>
    </row>
    <row r="137" spans="1:2" x14ac:dyDescent="0.25">
      <c r="A137" t="s">
        <v>436</v>
      </c>
      <c r="B137" t="s">
        <v>437</v>
      </c>
    </row>
    <row r="138" spans="1:2" x14ac:dyDescent="0.25">
      <c r="A138" t="s">
        <v>438</v>
      </c>
      <c r="B138" t="s">
        <v>439</v>
      </c>
    </row>
    <row r="139" spans="1:2" x14ac:dyDescent="0.25">
      <c r="A139" t="s">
        <v>440</v>
      </c>
      <c r="B139" t="s">
        <v>441</v>
      </c>
    </row>
    <row r="140" spans="1:2" x14ac:dyDescent="0.25">
      <c r="A140" t="s">
        <v>442</v>
      </c>
      <c r="B140" t="s">
        <v>443</v>
      </c>
    </row>
    <row r="141" spans="1:2" x14ac:dyDescent="0.25">
      <c r="A141" t="s">
        <v>444</v>
      </c>
      <c r="B141" t="s">
        <v>445</v>
      </c>
    </row>
    <row r="142" spans="1:2" x14ac:dyDescent="0.25">
      <c r="A142" t="s">
        <v>446</v>
      </c>
      <c r="B142" t="s">
        <v>447</v>
      </c>
    </row>
    <row r="143" spans="1:2" x14ac:dyDescent="0.25">
      <c r="A143" t="s">
        <v>448</v>
      </c>
      <c r="B143" t="s">
        <v>449</v>
      </c>
    </row>
    <row r="144" spans="1:2" x14ac:dyDescent="0.25">
      <c r="A144" t="s">
        <v>450</v>
      </c>
      <c r="B144" t="s">
        <v>451</v>
      </c>
    </row>
    <row r="145" spans="1:2" x14ac:dyDescent="0.25">
      <c r="A145" t="s">
        <v>452</v>
      </c>
      <c r="B145" t="s">
        <v>453</v>
      </c>
    </row>
    <row r="146" spans="1:2" x14ac:dyDescent="0.25">
      <c r="A146" t="s">
        <v>454</v>
      </c>
      <c r="B146" t="s">
        <v>455</v>
      </c>
    </row>
    <row r="147" spans="1:2" x14ac:dyDescent="0.25">
      <c r="A147" t="s">
        <v>456</v>
      </c>
      <c r="B147" t="s">
        <v>457</v>
      </c>
    </row>
    <row r="148" spans="1:2" x14ac:dyDescent="0.25">
      <c r="A148" t="s">
        <v>458</v>
      </c>
      <c r="B148" t="s">
        <v>459</v>
      </c>
    </row>
    <row r="149" spans="1:2" x14ac:dyDescent="0.25">
      <c r="A149" t="s">
        <v>460</v>
      </c>
      <c r="B149" t="s">
        <v>461</v>
      </c>
    </row>
    <row r="150" spans="1:2" x14ac:dyDescent="0.25">
      <c r="A150" t="s">
        <v>462</v>
      </c>
      <c r="B150" t="s">
        <v>463</v>
      </c>
    </row>
    <row r="151" spans="1:2" x14ac:dyDescent="0.25">
      <c r="A151" t="s">
        <v>464</v>
      </c>
      <c r="B151" t="s">
        <v>465</v>
      </c>
    </row>
    <row r="152" spans="1:2" x14ac:dyDescent="0.25">
      <c r="A152" t="s">
        <v>466</v>
      </c>
      <c r="B152" t="s">
        <v>467</v>
      </c>
    </row>
    <row r="153" spans="1:2" x14ac:dyDescent="0.25">
      <c r="A153" t="s">
        <v>468</v>
      </c>
      <c r="B153" t="s">
        <v>469</v>
      </c>
    </row>
    <row r="154" spans="1:2" x14ac:dyDescent="0.25">
      <c r="A154" t="s">
        <v>470</v>
      </c>
      <c r="B154" t="s">
        <v>471</v>
      </c>
    </row>
    <row r="155" spans="1:2" x14ac:dyDescent="0.25">
      <c r="A155" t="s">
        <v>472</v>
      </c>
      <c r="B155" t="s">
        <v>473</v>
      </c>
    </row>
    <row r="156" spans="1:2" x14ac:dyDescent="0.25">
      <c r="A156" t="s">
        <v>474</v>
      </c>
      <c r="B156" t="s">
        <v>475</v>
      </c>
    </row>
    <row r="157" spans="1:2" x14ac:dyDescent="0.25">
      <c r="A157" t="s">
        <v>476</v>
      </c>
      <c r="B157" t="s">
        <v>477</v>
      </c>
    </row>
    <row r="158" spans="1:2" x14ac:dyDescent="0.25">
      <c r="A158" t="s">
        <v>478</v>
      </c>
      <c r="B158" t="s">
        <v>479</v>
      </c>
    </row>
    <row r="159" spans="1:2" x14ac:dyDescent="0.25">
      <c r="A159" t="s">
        <v>480</v>
      </c>
      <c r="B159" t="s">
        <v>481</v>
      </c>
    </row>
    <row r="160" spans="1:2" x14ac:dyDescent="0.25">
      <c r="A160" t="s">
        <v>482</v>
      </c>
      <c r="B160" t="s">
        <v>483</v>
      </c>
    </row>
    <row r="161" spans="1:2" x14ac:dyDescent="0.25">
      <c r="A161" t="s">
        <v>484</v>
      </c>
      <c r="B161" t="s">
        <v>485</v>
      </c>
    </row>
    <row r="162" spans="1:2" x14ac:dyDescent="0.25">
      <c r="A162" t="s">
        <v>486</v>
      </c>
      <c r="B162" t="s">
        <v>487</v>
      </c>
    </row>
    <row r="163" spans="1:2" x14ac:dyDescent="0.25">
      <c r="A163" t="s">
        <v>488</v>
      </c>
      <c r="B163" t="s">
        <v>489</v>
      </c>
    </row>
    <row r="164" spans="1:2" x14ac:dyDescent="0.25">
      <c r="A164" t="s">
        <v>490</v>
      </c>
      <c r="B164" t="s">
        <v>491</v>
      </c>
    </row>
    <row r="165" spans="1:2" x14ac:dyDescent="0.25">
      <c r="A165" t="s">
        <v>492</v>
      </c>
      <c r="B165" t="s">
        <v>493</v>
      </c>
    </row>
    <row r="166" spans="1:2" x14ac:dyDescent="0.25">
      <c r="A166" t="s">
        <v>494</v>
      </c>
      <c r="B166" t="s">
        <v>495</v>
      </c>
    </row>
    <row r="167" spans="1:2" x14ac:dyDescent="0.25">
      <c r="A167" t="s">
        <v>496</v>
      </c>
      <c r="B167" t="s">
        <v>497</v>
      </c>
    </row>
    <row r="168" spans="1:2" x14ac:dyDescent="0.25">
      <c r="A168" t="s">
        <v>498</v>
      </c>
      <c r="B168" t="s">
        <v>499</v>
      </c>
    </row>
    <row r="169" spans="1:2" x14ac:dyDescent="0.25">
      <c r="A169" t="s">
        <v>500</v>
      </c>
      <c r="B169" t="s">
        <v>501</v>
      </c>
    </row>
    <row r="170" spans="1:2" x14ac:dyDescent="0.25">
      <c r="A170" t="s">
        <v>502</v>
      </c>
      <c r="B170" t="s">
        <v>503</v>
      </c>
    </row>
    <row r="171" spans="1:2" x14ac:dyDescent="0.25">
      <c r="A171" t="s">
        <v>504</v>
      </c>
      <c r="B171" t="s">
        <v>505</v>
      </c>
    </row>
    <row r="172" spans="1:2" x14ac:dyDescent="0.25">
      <c r="A172" t="s">
        <v>506</v>
      </c>
      <c r="B172" t="s">
        <v>507</v>
      </c>
    </row>
    <row r="173" spans="1:2" x14ac:dyDescent="0.25">
      <c r="A173" t="s">
        <v>508</v>
      </c>
      <c r="B173" t="s">
        <v>509</v>
      </c>
    </row>
    <row r="174" spans="1:2" x14ac:dyDescent="0.25">
      <c r="A174" t="s">
        <v>510</v>
      </c>
      <c r="B174" t="s">
        <v>511</v>
      </c>
    </row>
    <row r="175" spans="1:2" x14ac:dyDescent="0.25">
      <c r="A175" t="s">
        <v>512</v>
      </c>
      <c r="B175" t="s">
        <v>513</v>
      </c>
    </row>
    <row r="176" spans="1:2" x14ac:dyDescent="0.25">
      <c r="A176" t="s">
        <v>514</v>
      </c>
      <c r="B176" t="s">
        <v>515</v>
      </c>
    </row>
    <row r="177" spans="1:2" x14ac:dyDescent="0.25">
      <c r="A177" t="s">
        <v>516</v>
      </c>
      <c r="B177" t="s">
        <v>517</v>
      </c>
    </row>
    <row r="178" spans="1:2" x14ac:dyDescent="0.25">
      <c r="A178" t="s">
        <v>518</v>
      </c>
      <c r="B178" t="s">
        <v>519</v>
      </c>
    </row>
    <row r="179" spans="1:2" x14ac:dyDescent="0.25">
      <c r="A179" t="s">
        <v>520</v>
      </c>
      <c r="B179" t="s">
        <v>521</v>
      </c>
    </row>
    <row r="180" spans="1:2" x14ac:dyDescent="0.25">
      <c r="A180" t="s">
        <v>522</v>
      </c>
      <c r="B180" t="s">
        <v>696</v>
      </c>
    </row>
    <row r="181" spans="1:2" x14ac:dyDescent="0.25">
      <c r="A181" t="s">
        <v>523</v>
      </c>
      <c r="B181" t="s">
        <v>524</v>
      </c>
    </row>
    <row r="182" spans="1:2" x14ac:dyDescent="0.25">
      <c r="A182" t="s">
        <v>525</v>
      </c>
      <c r="B182" t="s">
        <v>526</v>
      </c>
    </row>
    <row r="183" spans="1:2" x14ac:dyDescent="0.25">
      <c r="A183" t="s">
        <v>527</v>
      </c>
      <c r="B183" t="s">
        <v>528</v>
      </c>
    </row>
    <row r="184" spans="1:2" x14ac:dyDescent="0.25">
      <c r="A184" t="s">
        <v>529</v>
      </c>
      <c r="B184" t="s">
        <v>530</v>
      </c>
    </row>
    <row r="185" spans="1:2" x14ac:dyDescent="0.25">
      <c r="A185" t="s">
        <v>531</v>
      </c>
      <c r="B185" t="s">
        <v>532</v>
      </c>
    </row>
    <row r="186" spans="1:2" x14ac:dyDescent="0.25">
      <c r="A186" t="s">
        <v>533</v>
      </c>
      <c r="B186" t="s">
        <v>534</v>
      </c>
    </row>
    <row r="187" spans="1:2" x14ac:dyDescent="0.25">
      <c r="A187" t="s">
        <v>535</v>
      </c>
      <c r="B187" t="s">
        <v>536</v>
      </c>
    </row>
    <row r="188" spans="1:2" x14ac:dyDescent="0.25">
      <c r="A188" t="s">
        <v>537</v>
      </c>
      <c r="B188" t="s">
        <v>538</v>
      </c>
    </row>
    <row r="189" spans="1:2" x14ac:dyDescent="0.25">
      <c r="A189" t="s">
        <v>539</v>
      </c>
      <c r="B189" t="s">
        <v>540</v>
      </c>
    </row>
    <row r="190" spans="1:2" x14ac:dyDescent="0.25">
      <c r="A190" t="s">
        <v>541</v>
      </c>
      <c r="B190" t="s">
        <v>542</v>
      </c>
    </row>
    <row r="191" spans="1:2" x14ac:dyDescent="0.25">
      <c r="A191" t="s">
        <v>543</v>
      </c>
      <c r="B191" t="s">
        <v>544</v>
      </c>
    </row>
    <row r="192" spans="1:2" x14ac:dyDescent="0.25">
      <c r="A192" t="s">
        <v>545</v>
      </c>
      <c r="B192" t="s">
        <v>546</v>
      </c>
    </row>
    <row r="193" spans="1:2" x14ac:dyDescent="0.25">
      <c r="A193" t="s">
        <v>547</v>
      </c>
      <c r="B193" t="s">
        <v>548</v>
      </c>
    </row>
    <row r="194" spans="1:2" x14ac:dyDescent="0.25">
      <c r="A194" t="s">
        <v>549</v>
      </c>
      <c r="B194" t="s">
        <v>550</v>
      </c>
    </row>
    <row r="195" spans="1:2" x14ac:dyDescent="0.25">
      <c r="A195" t="s">
        <v>551</v>
      </c>
      <c r="B195" t="s">
        <v>552</v>
      </c>
    </row>
    <row r="196" spans="1:2" x14ac:dyDescent="0.25">
      <c r="A196" t="s">
        <v>553</v>
      </c>
      <c r="B196" t="s">
        <v>554</v>
      </c>
    </row>
    <row r="197" spans="1:2" x14ac:dyDescent="0.25">
      <c r="A197" t="s">
        <v>555</v>
      </c>
      <c r="B197" t="s">
        <v>556</v>
      </c>
    </row>
    <row r="198" spans="1:2" x14ac:dyDescent="0.25">
      <c r="A198" t="s">
        <v>557</v>
      </c>
      <c r="B198" t="s">
        <v>558</v>
      </c>
    </row>
    <row r="199" spans="1:2" x14ac:dyDescent="0.25">
      <c r="A199" t="s">
        <v>559</v>
      </c>
      <c r="B199" t="s">
        <v>560</v>
      </c>
    </row>
    <row r="200" spans="1:2" x14ac:dyDescent="0.25">
      <c r="A200" t="s">
        <v>561</v>
      </c>
      <c r="B200" t="s">
        <v>562</v>
      </c>
    </row>
    <row r="201" spans="1:2" x14ac:dyDescent="0.25">
      <c r="A201" t="s">
        <v>563</v>
      </c>
      <c r="B201" t="s">
        <v>564</v>
      </c>
    </row>
    <row r="202" spans="1:2" x14ac:dyDescent="0.25">
      <c r="A202" t="s">
        <v>565</v>
      </c>
      <c r="B202" t="s">
        <v>566</v>
      </c>
    </row>
    <row r="203" spans="1:2" x14ac:dyDescent="0.25">
      <c r="A203" t="s">
        <v>567</v>
      </c>
      <c r="B203" t="s">
        <v>568</v>
      </c>
    </row>
    <row r="204" spans="1:2" x14ac:dyDescent="0.25">
      <c r="A204" t="s">
        <v>569</v>
      </c>
      <c r="B204" t="s">
        <v>570</v>
      </c>
    </row>
    <row r="205" spans="1:2" x14ac:dyDescent="0.25">
      <c r="A205" t="s">
        <v>571</v>
      </c>
      <c r="B205" t="s">
        <v>572</v>
      </c>
    </row>
    <row r="206" spans="1:2" x14ac:dyDescent="0.25">
      <c r="A206" t="s">
        <v>573</v>
      </c>
      <c r="B206" t="s">
        <v>574</v>
      </c>
    </row>
    <row r="207" spans="1:2" x14ac:dyDescent="0.25">
      <c r="A207" t="s">
        <v>575</v>
      </c>
      <c r="B207" t="s">
        <v>576</v>
      </c>
    </row>
    <row r="208" spans="1:2" x14ac:dyDescent="0.25">
      <c r="A208" t="s">
        <v>577</v>
      </c>
      <c r="B208" t="s">
        <v>578</v>
      </c>
    </row>
    <row r="209" spans="1:2" x14ac:dyDescent="0.25">
      <c r="A209" t="s">
        <v>579</v>
      </c>
      <c r="B209" t="s">
        <v>580</v>
      </c>
    </row>
    <row r="210" spans="1:2" x14ac:dyDescent="0.25">
      <c r="A210" t="s">
        <v>581</v>
      </c>
      <c r="B210" t="s">
        <v>582</v>
      </c>
    </row>
    <row r="211" spans="1:2" x14ac:dyDescent="0.25">
      <c r="A211" t="s">
        <v>583</v>
      </c>
      <c r="B211" t="s">
        <v>584</v>
      </c>
    </row>
    <row r="212" spans="1:2" x14ac:dyDescent="0.25">
      <c r="A212" t="s">
        <v>585</v>
      </c>
      <c r="B212" t="s">
        <v>586</v>
      </c>
    </row>
    <row r="213" spans="1:2" x14ac:dyDescent="0.25">
      <c r="A213" t="s">
        <v>587</v>
      </c>
      <c r="B213" t="s">
        <v>588</v>
      </c>
    </row>
    <row r="214" spans="1:2" x14ac:dyDescent="0.25">
      <c r="A214" t="s">
        <v>589</v>
      </c>
      <c r="B214" t="s">
        <v>590</v>
      </c>
    </row>
    <row r="215" spans="1:2" x14ac:dyDescent="0.25">
      <c r="A215" t="s">
        <v>591</v>
      </c>
      <c r="B215" t="s">
        <v>592</v>
      </c>
    </row>
    <row r="216" spans="1:2" x14ac:dyDescent="0.25">
      <c r="A216" t="s">
        <v>593</v>
      </c>
      <c r="B216" t="s">
        <v>594</v>
      </c>
    </row>
    <row r="217" spans="1:2" x14ac:dyDescent="0.25">
      <c r="A217" t="s">
        <v>595</v>
      </c>
      <c r="B217" t="s">
        <v>596</v>
      </c>
    </row>
    <row r="218" spans="1:2" x14ac:dyDescent="0.25">
      <c r="A218" t="s">
        <v>597</v>
      </c>
      <c r="B218" t="s">
        <v>598</v>
      </c>
    </row>
    <row r="219" spans="1:2" x14ac:dyDescent="0.25">
      <c r="A219" t="s">
        <v>599</v>
      </c>
      <c r="B219" t="s">
        <v>600</v>
      </c>
    </row>
    <row r="220" spans="1:2" x14ac:dyDescent="0.25">
      <c r="A220" t="s">
        <v>601</v>
      </c>
      <c r="B220" t="s">
        <v>602</v>
      </c>
    </row>
    <row r="221" spans="1:2" x14ac:dyDescent="0.25">
      <c r="A221" t="s">
        <v>603</v>
      </c>
      <c r="B221" t="s">
        <v>604</v>
      </c>
    </row>
    <row r="222" spans="1:2" x14ac:dyDescent="0.25">
      <c r="A222" t="s">
        <v>605</v>
      </c>
      <c r="B222" t="s">
        <v>606</v>
      </c>
    </row>
    <row r="223" spans="1:2" x14ac:dyDescent="0.25">
      <c r="A223" t="s">
        <v>607</v>
      </c>
      <c r="B223" t="s">
        <v>608</v>
      </c>
    </row>
    <row r="224" spans="1:2" x14ac:dyDescent="0.25">
      <c r="A224" t="s">
        <v>609</v>
      </c>
      <c r="B224" t="s">
        <v>610</v>
      </c>
    </row>
    <row r="225" spans="1:2" x14ac:dyDescent="0.25">
      <c r="A225" t="s">
        <v>611</v>
      </c>
      <c r="B225" t="s">
        <v>612</v>
      </c>
    </row>
    <row r="226" spans="1:2" x14ac:dyDescent="0.25">
      <c r="A226" t="s">
        <v>613</v>
      </c>
      <c r="B226" t="s">
        <v>614</v>
      </c>
    </row>
    <row r="227" spans="1:2" x14ac:dyDescent="0.25">
      <c r="A227" t="s">
        <v>615</v>
      </c>
      <c r="B227" t="s">
        <v>616</v>
      </c>
    </row>
    <row r="228" spans="1:2" x14ac:dyDescent="0.25">
      <c r="A228" t="s">
        <v>617</v>
      </c>
      <c r="B228" t="s">
        <v>618</v>
      </c>
    </row>
    <row r="229" spans="1:2" x14ac:dyDescent="0.25">
      <c r="A229" t="s">
        <v>619</v>
      </c>
      <c r="B229" t="s">
        <v>620</v>
      </c>
    </row>
    <row r="230" spans="1:2" x14ac:dyDescent="0.25">
      <c r="A230" t="s">
        <v>621</v>
      </c>
      <c r="B230" t="s">
        <v>622</v>
      </c>
    </row>
    <row r="231" spans="1:2" x14ac:dyDescent="0.25">
      <c r="A231" t="s">
        <v>623</v>
      </c>
      <c r="B231" t="s">
        <v>624</v>
      </c>
    </row>
    <row r="232" spans="1:2" x14ac:dyDescent="0.25">
      <c r="A232" t="s">
        <v>625</v>
      </c>
      <c r="B232" t="s">
        <v>626</v>
      </c>
    </row>
    <row r="233" spans="1:2" x14ac:dyDescent="0.25">
      <c r="A233" t="s">
        <v>627</v>
      </c>
      <c r="B233" t="s">
        <v>628</v>
      </c>
    </row>
    <row r="234" spans="1:2" x14ac:dyDescent="0.25">
      <c r="A234" t="s">
        <v>629</v>
      </c>
      <c r="B234" t="s">
        <v>630</v>
      </c>
    </row>
    <row r="235" spans="1:2" x14ac:dyDescent="0.25">
      <c r="A235" t="s">
        <v>631</v>
      </c>
      <c r="B235" t="s">
        <v>632</v>
      </c>
    </row>
    <row r="236" spans="1:2" x14ac:dyDescent="0.25">
      <c r="A236" t="s">
        <v>633</v>
      </c>
      <c r="B236" t="s">
        <v>634</v>
      </c>
    </row>
    <row r="237" spans="1:2" x14ac:dyDescent="0.25">
      <c r="A237" t="s">
        <v>635</v>
      </c>
      <c r="B237" t="s">
        <v>636</v>
      </c>
    </row>
    <row r="238" spans="1:2" x14ac:dyDescent="0.25">
      <c r="A238" t="s">
        <v>637</v>
      </c>
      <c r="B238" t="s">
        <v>638</v>
      </c>
    </row>
    <row r="239" spans="1:2" x14ac:dyDescent="0.25">
      <c r="A239" t="s">
        <v>639</v>
      </c>
      <c r="B239" t="s">
        <v>640</v>
      </c>
    </row>
    <row r="240" spans="1:2" x14ac:dyDescent="0.25">
      <c r="A240" t="s">
        <v>641</v>
      </c>
      <c r="B240" t="s">
        <v>642</v>
      </c>
    </row>
    <row r="241" spans="1:2" x14ac:dyDescent="0.25">
      <c r="A241" t="s">
        <v>643</v>
      </c>
      <c r="B241" t="s">
        <v>644</v>
      </c>
    </row>
    <row r="242" spans="1:2" x14ac:dyDescent="0.25">
      <c r="A242" t="s">
        <v>645</v>
      </c>
      <c r="B242" t="s">
        <v>646</v>
      </c>
    </row>
    <row r="243" spans="1:2" x14ac:dyDescent="0.25">
      <c r="A243" t="s">
        <v>647</v>
      </c>
      <c r="B243" t="s">
        <v>648</v>
      </c>
    </row>
    <row r="244" spans="1:2" x14ac:dyDescent="0.25">
      <c r="A244" t="s">
        <v>649</v>
      </c>
      <c r="B244" t="s">
        <v>650</v>
      </c>
    </row>
    <row r="245" spans="1:2" x14ac:dyDescent="0.25">
      <c r="A245" t="s">
        <v>651</v>
      </c>
      <c r="B245" t="s">
        <v>652</v>
      </c>
    </row>
    <row r="246" spans="1:2" x14ac:dyDescent="0.25">
      <c r="A246" t="s">
        <v>653</v>
      </c>
      <c r="B246" t="s">
        <v>654</v>
      </c>
    </row>
    <row r="247" spans="1:2" x14ac:dyDescent="0.25">
      <c r="A247" t="s">
        <v>655</v>
      </c>
      <c r="B247" t="s">
        <v>656</v>
      </c>
    </row>
    <row r="248" spans="1:2" x14ac:dyDescent="0.25">
      <c r="A248" t="s">
        <v>657</v>
      </c>
      <c r="B248" t="s">
        <v>658</v>
      </c>
    </row>
    <row r="249" spans="1:2" x14ac:dyDescent="0.25">
      <c r="A249" t="s">
        <v>659</v>
      </c>
      <c r="B249" t="s">
        <v>660</v>
      </c>
    </row>
    <row r="250" spans="1:2" x14ac:dyDescent="0.25">
      <c r="A250" t="s">
        <v>661</v>
      </c>
      <c r="B250" t="s">
        <v>662</v>
      </c>
    </row>
    <row r="251" spans="1:2" x14ac:dyDescent="0.25">
      <c r="A251" t="s">
        <v>663</v>
      </c>
      <c r="B251" t="s">
        <v>664</v>
      </c>
    </row>
    <row r="252" spans="1:2" x14ac:dyDescent="0.25">
      <c r="A252" t="s">
        <v>665</v>
      </c>
      <c r="B252" t="s">
        <v>666</v>
      </c>
    </row>
    <row r="253" spans="1:2" x14ac:dyDescent="0.25">
      <c r="A253" t="s">
        <v>667</v>
      </c>
      <c r="B253" t="s">
        <v>668</v>
      </c>
    </row>
    <row r="254" spans="1:2" x14ac:dyDescent="0.25">
      <c r="A254" t="s">
        <v>669</v>
      </c>
      <c r="B254" t="s">
        <v>670</v>
      </c>
    </row>
    <row r="255" spans="1:2" x14ac:dyDescent="0.25">
      <c r="A255" t="s">
        <v>671</v>
      </c>
      <c r="B255" t="s">
        <v>672</v>
      </c>
    </row>
    <row r="256" spans="1:2" x14ac:dyDescent="0.25">
      <c r="A256" t="s">
        <v>59</v>
      </c>
      <c r="B256" t="s">
        <v>673</v>
      </c>
    </row>
    <row r="257" spans="1:2" x14ac:dyDescent="0.25">
      <c r="A257" t="s">
        <v>62</v>
      </c>
      <c r="B257" t="s">
        <v>674</v>
      </c>
    </row>
    <row r="258" spans="1:2" x14ac:dyDescent="0.25">
      <c r="A258" t="s">
        <v>675</v>
      </c>
      <c r="B258" t="s">
        <v>676</v>
      </c>
    </row>
    <row r="259" spans="1:2" x14ac:dyDescent="0.25">
      <c r="A259" t="s">
        <v>677</v>
      </c>
      <c r="B259" t="s">
        <v>678</v>
      </c>
    </row>
    <row r="260" spans="1:2" x14ac:dyDescent="0.25">
      <c r="A260" t="s">
        <v>64</v>
      </c>
      <c r="B260" t="s">
        <v>679</v>
      </c>
    </row>
    <row r="261" spans="1:2" x14ac:dyDescent="0.25">
      <c r="A261" t="s">
        <v>16</v>
      </c>
      <c r="B261" t="s">
        <v>680</v>
      </c>
    </row>
    <row r="262" spans="1:2" x14ac:dyDescent="0.25">
      <c r="A262" t="s">
        <v>66</v>
      </c>
      <c r="B262" t="s">
        <v>681</v>
      </c>
    </row>
    <row r="263" spans="1:2" x14ac:dyDescent="0.25">
      <c r="A263" t="s">
        <v>67</v>
      </c>
      <c r="B263" t="s">
        <v>682</v>
      </c>
    </row>
    <row r="264" spans="1:2" x14ac:dyDescent="0.25">
      <c r="A264" t="s">
        <v>683</v>
      </c>
      <c r="B264" t="s">
        <v>684</v>
      </c>
    </row>
    <row r="265" spans="1:2" x14ac:dyDescent="0.25">
      <c r="A265" t="s">
        <v>685</v>
      </c>
      <c r="B265" t="s">
        <v>686</v>
      </c>
    </row>
    <row r="266" spans="1:2" x14ac:dyDescent="0.25">
      <c r="A266" t="s">
        <v>687</v>
      </c>
      <c r="B266" t="s">
        <v>688</v>
      </c>
    </row>
    <row r="267" spans="1:2" x14ac:dyDescent="0.25">
      <c r="A267" t="s">
        <v>68</v>
      </c>
      <c r="B267" t="s">
        <v>689</v>
      </c>
    </row>
    <row r="268" spans="1:2" x14ac:dyDescent="0.25">
      <c r="A268" t="s">
        <v>65</v>
      </c>
      <c r="B268" t="s">
        <v>690</v>
      </c>
    </row>
    <row r="269" spans="1:2" x14ac:dyDescent="0.25">
      <c r="A269" t="s">
        <v>63</v>
      </c>
      <c r="B269" t="s">
        <v>691</v>
      </c>
    </row>
    <row r="270" spans="1:2" x14ac:dyDescent="0.25">
      <c r="A270" t="s">
        <v>692</v>
      </c>
      <c r="B270" t="s">
        <v>693</v>
      </c>
    </row>
    <row r="271" spans="1:2" x14ac:dyDescent="0.25">
      <c r="A271" t="s">
        <v>694</v>
      </c>
      <c r="B271" t="s">
        <v>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1"/>
  <sheetViews>
    <sheetView workbookViewId="0">
      <selection sqref="A1:B1"/>
    </sheetView>
  </sheetViews>
  <sheetFormatPr defaultRowHeight="15" x14ac:dyDescent="0.25"/>
  <sheetData>
    <row r="1" spans="1:2" ht="25.5" x14ac:dyDescent="0.25">
      <c r="A1" s="88" t="s">
        <v>160</v>
      </c>
      <c r="B1" s="88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2"/>
  <sheetViews>
    <sheetView workbookViewId="0">
      <selection activeCell="A3" sqref="A3:XFD4"/>
    </sheetView>
  </sheetViews>
  <sheetFormatPr defaultRowHeight="15" x14ac:dyDescent="0.25"/>
  <cols>
    <col min="1" max="1" width="19.28515625" customWidth="1"/>
    <col min="2" max="2" width="19.28515625" style="95" customWidth="1"/>
  </cols>
  <sheetData>
    <row r="1" spans="1:7" ht="26.25" x14ac:dyDescent="0.25">
      <c r="A1" s="88" t="s">
        <v>160</v>
      </c>
      <c r="B1" s="71" t="s">
        <v>149</v>
      </c>
      <c r="C1" s="86" t="s">
        <v>150</v>
      </c>
      <c r="D1" s="86" t="s">
        <v>151</v>
      </c>
      <c r="E1" s="91" t="s">
        <v>163</v>
      </c>
      <c r="F1" s="96" t="s">
        <v>165</v>
      </c>
      <c r="G1" s="96" t="s">
        <v>697</v>
      </c>
    </row>
    <row r="2" spans="1:7" ht="76.5" x14ac:dyDescent="0.25">
      <c r="A2" s="86" t="s">
        <v>1</v>
      </c>
      <c r="B2" s="73" t="s">
        <v>136</v>
      </c>
      <c r="C2" s="86" t="s">
        <v>88</v>
      </c>
      <c r="D2" s="86" t="s">
        <v>152</v>
      </c>
      <c r="E2" t="s">
        <v>162</v>
      </c>
      <c r="F2" s="94" t="s">
        <v>166</v>
      </c>
      <c r="G2" s="96" t="s">
        <v>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F27"/>
  <sheetViews>
    <sheetView workbookViewId="0">
      <selection activeCell="A2" sqref="A2:AF20"/>
    </sheetView>
  </sheetViews>
  <sheetFormatPr defaultRowHeight="15" x14ac:dyDescent="0.25"/>
  <cols>
    <col min="21" max="21" width="11.140625" customWidth="1"/>
    <col min="24" max="24" width="12.5703125" customWidth="1"/>
  </cols>
  <sheetData>
    <row r="1" spans="1:32" ht="26.25" x14ac:dyDescent="0.25">
      <c r="A1" s="88" t="s">
        <v>160</v>
      </c>
      <c r="B1" s="79"/>
      <c r="C1" s="79" t="s">
        <v>100</v>
      </c>
      <c r="D1" s="79"/>
      <c r="E1" s="79" t="s">
        <v>101</v>
      </c>
      <c r="F1" s="79"/>
      <c r="G1" s="79" t="s">
        <v>102</v>
      </c>
      <c r="H1" s="79"/>
      <c r="I1" s="79" t="s">
        <v>103</v>
      </c>
      <c r="J1" s="79"/>
      <c r="K1" s="79" t="s">
        <v>104</v>
      </c>
      <c r="L1" s="79" t="s">
        <v>105</v>
      </c>
      <c r="M1" s="79" t="s">
        <v>106</v>
      </c>
      <c r="N1" s="79"/>
      <c r="O1" s="79" t="s">
        <v>107</v>
      </c>
      <c r="P1" s="79"/>
      <c r="Q1" s="79" t="s">
        <v>108</v>
      </c>
      <c r="R1" s="79" t="s">
        <v>109</v>
      </c>
      <c r="S1" s="79" t="s">
        <v>110</v>
      </c>
      <c r="T1" s="79"/>
      <c r="U1" s="79" t="s">
        <v>111</v>
      </c>
      <c r="V1" s="79"/>
      <c r="W1" s="82" t="s">
        <v>112</v>
      </c>
      <c r="X1" s="82" t="s">
        <v>113</v>
      </c>
      <c r="Y1" s="82" t="s">
        <v>95</v>
      </c>
      <c r="Z1" s="79" t="s">
        <v>96</v>
      </c>
      <c r="AA1" s="71" t="s">
        <v>149</v>
      </c>
      <c r="AB1" s="71" t="s">
        <v>150</v>
      </c>
      <c r="AC1" s="71" t="s">
        <v>151</v>
      </c>
      <c r="AD1" s="91" t="s">
        <v>163</v>
      </c>
      <c r="AE1" s="96" t="s">
        <v>165</v>
      </c>
      <c r="AF1" s="96" t="s">
        <v>697</v>
      </c>
    </row>
    <row r="3" spans="1:32" x14ac:dyDescent="0.25">
      <c r="Y3" s="97"/>
      <c r="AF3" s="95"/>
    </row>
    <row r="4" spans="1:32" x14ac:dyDescent="0.25">
      <c r="Y4" s="97"/>
      <c r="AF4" s="95"/>
    </row>
    <row r="5" spans="1:32" x14ac:dyDescent="0.25">
      <c r="Y5" s="97"/>
      <c r="AF5" s="95"/>
    </row>
    <row r="6" spans="1:32" x14ac:dyDescent="0.25">
      <c r="Y6" s="97"/>
      <c r="AF6" s="95"/>
    </row>
    <row r="7" spans="1:32" x14ac:dyDescent="0.25">
      <c r="Y7" s="97"/>
      <c r="AF7" s="95"/>
    </row>
    <row r="8" spans="1:32" x14ac:dyDescent="0.25">
      <c r="Y8" s="97"/>
      <c r="AF8" s="95"/>
    </row>
    <row r="9" spans="1:32" x14ac:dyDescent="0.25">
      <c r="Y9" s="97"/>
      <c r="AF9" s="95"/>
    </row>
    <row r="10" spans="1:32" x14ac:dyDescent="0.25">
      <c r="Y10" s="97"/>
      <c r="AF10" s="95"/>
    </row>
    <row r="11" spans="1:32" x14ac:dyDescent="0.25">
      <c r="Y11" s="97"/>
      <c r="AF11" s="95"/>
    </row>
    <row r="12" spans="1:32" x14ac:dyDescent="0.25">
      <c r="Y12" s="97"/>
      <c r="AF12" s="95"/>
    </row>
    <row r="13" spans="1:32" x14ac:dyDescent="0.25">
      <c r="Y13" s="97"/>
      <c r="AF13" s="95"/>
    </row>
    <row r="14" spans="1:32" x14ac:dyDescent="0.25">
      <c r="Y14" s="97"/>
    </row>
    <row r="15" spans="1:32" x14ac:dyDescent="0.25">
      <c r="Y15" s="97"/>
    </row>
    <row r="16" spans="1:32" x14ac:dyDescent="0.25">
      <c r="Y16" s="97"/>
    </row>
    <row r="17" spans="25:25" x14ac:dyDescent="0.25">
      <c r="Y17" s="97"/>
    </row>
    <row r="18" spans="25:25" x14ac:dyDescent="0.25">
      <c r="Y18" s="97"/>
    </row>
    <row r="19" spans="25:25" x14ac:dyDescent="0.25">
      <c r="Y19" s="97"/>
    </row>
    <row r="20" spans="25:25" x14ac:dyDescent="0.25">
      <c r="Y20" s="97"/>
    </row>
    <row r="21" spans="25:25" x14ac:dyDescent="0.25">
      <c r="Y21" s="97"/>
    </row>
    <row r="22" spans="25:25" x14ac:dyDescent="0.25">
      <c r="Y22" s="97"/>
    </row>
    <row r="23" spans="25:25" x14ac:dyDescent="0.25">
      <c r="Y23" s="97"/>
    </row>
    <row r="24" spans="25:25" x14ac:dyDescent="0.25">
      <c r="Y24" s="97"/>
    </row>
    <row r="25" spans="25:25" x14ac:dyDescent="0.25">
      <c r="Y25" s="97"/>
    </row>
    <row r="26" spans="25:25" x14ac:dyDescent="0.25">
      <c r="Y26" s="97"/>
    </row>
    <row r="27" spans="25:25" x14ac:dyDescent="0.25">
      <c r="Y27" s="9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O38"/>
  <sheetViews>
    <sheetView workbookViewId="0">
      <selection activeCell="G38" sqref="G38"/>
    </sheetView>
  </sheetViews>
  <sheetFormatPr defaultRowHeight="15" x14ac:dyDescent="0.25"/>
  <cols>
    <col min="1" max="1" width="20.5703125" customWidth="1"/>
    <col min="2" max="2" width="13" customWidth="1"/>
    <col min="3" max="3" width="11.7109375" customWidth="1"/>
    <col min="4" max="4" width="21.42578125" customWidth="1"/>
    <col min="5" max="5" width="27.28515625" style="2" customWidth="1"/>
    <col min="6" max="6" width="24.140625" style="2" customWidth="1"/>
    <col min="7" max="9" width="15.7109375" style="2" customWidth="1"/>
    <col min="10" max="10" width="13.5703125" customWidth="1"/>
    <col min="11" max="11" width="35.42578125" customWidth="1"/>
    <col min="13" max="13" width="91" customWidth="1"/>
  </cols>
  <sheetData>
    <row r="1" spans="1:15" ht="195" x14ac:dyDescent="0.25">
      <c r="A1" t="s">
        <v>97</v>
      </c>
      <c r="G1" s="3"/>
      <c r="H1" s="3"/>
      <c r="I1" s="3"/>
      <c r="J1" s="3"/>
      <c r="M1" s="4" t="s">
        <v>99</v>
      </c>
    </row>
    <row r="2" spans="1:15" ht="45" x14ac:dyDescent="0.25">
      <c r="A2" s="5" t="s">
        <v>20</v>
      </c>
      <c r="B2" s="6" t="s">
        <v>21</v>
      </c>
      <c r="C2" s="6"/>
      <c r="D2" s="6"/>
      <c r="E2" s="7"/>
      <c r="G2" s="3"/>
      <c r="H2" s="3"/>
      <c r="I2" s="3"/>
      <c r="J2" s="3"/>
    </row>
    <row r="3" spans="1:15" ht="30" x14ac:dyDescent="0.25">
      <c r="A3" s="8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/>
      <c r="I3" s="9"/>
      <c r="J3" s="9"/>
    </row>
    <row r="4" spans="1:15" ht="15.75" thickBot="1" x14ac:dyDescent="0.3">
      <c r="A4" s="10" t="s">
        <v>29</v>
      </c>
      <c r="B4" s="11" t="s">
        <v>30</v>
      </c>
      <c r="C4" s="11">
        <v>8015</v>
      </c>
      <c r="D4" s="12" t="s">
        <v>31</v>
      </c>
      <c r="E4" s="13" t="s">
        <v>31</v>
      </c>
      <c r="F4" s="11" t="s">
        <v>29</v>
      </c>
      <c r="G4" s="45">
        <v>509.39190000000002</v>
      </c>
      <c r="H4" s="45"/>
      <c r="I4" s="45"/>
      <c r="J4" s="14"/>
      <c r="K4" s="15" t="s">
        <v>32</v>
      </c>
      <c r="L4" s="6"/>
      <c r="M4" s="6"/>
      <c r="N4" s="6"/>
      <c r="O4" s="6"/>
    </row>
    <row r="5" spans="1:15" ht="30" x14ac:dyDescent="0.25">
      <c r="A5" s="118" t="s">
        <v>33</v>
      </c>
      <c r="B5" s="120" t="s">
        <v>34</v>
      </c>
      <c r="C5" s="140">
        <v>8015</v>
      </c>
      <c r="D5" s="122" t="s">
        <v>33</v>
      </c>
      <c r="E5" s="16" t="s">
        <v>14</v>
      </c>
      <c r="F5" s="17" t="s">
        <v>9</v>
      </c>
      <c r="G5" s="18">
        <v>1</v>
      </c>
      <c r="H5" s="50"/>
      <c r="I5" s="50"/>
      <c r="J5" s="19"/>
    </row>
    <row r="6" spans="1:15" ht="30.75" thickBot="1" x14ac:dyDescent="0.3">
      <c r="A6" s="119"/>
      <c r="B6" s="121"/>
      <c r="C6" s="142"/>
      <c r="D6" s="123"/>
      <c r="E6" s="20" t="s">
        <v>35</v>
      </c>
      <c r="F6" s="21" t="s">
        <v>36</v>
      </c>
      <c r="G6" s="22">
        <v>0.68159999999999998</v>
      </c>
      <c r="H6" s="51"/>
      <c r="I6" s="51"/>
      <c r="J6" s="23"/>
    </row>
    <row r="7" spans="1:15" x14ac:dyDescent="0.25">
      <c r="A7" s="118" t="s">
        <v>37</v>
      </c>
      <c r="B7" s="120" t="s">
        <v>38</v>
      </c>
      <c r="C7" s="140">
        <v>8015</v>
      </c>
      <c r="D7" s="122" t="s">
        <v>37</v>
      </c>
      <c r="E7" s="16" t="s">
        <v>14</v>
      </c>
      <c r="F7" s="17" t="s">
        <v>8</v>
      </c>
      <c r="G7" s="18">
        <v>1.6714</v>
      </c>
      <c r="H7" s="50"/>
      <c r="I7" s="50"/>
      <c r="J7" s="19"/>
    </row>
    <row r="8" spans="1:15" ht="30" customHeight="1" x14ac:dyDescent="0.25">
      <c r="A8" s="132"/>
      <c r="B8" s="133"/>
      <c r="C8" s="141"/>
      <c r="D8" s="134"/>
      <c r="E8" s="24" t="s">
        <v>35</v>
      </c>
      <c r="F8" s="139" t="s">
        <v>39</v>
      </c>
      <c r="G8" s="45">
        <v>1</v>
      </c>
      <c r="H8" s="52"/>
      <c r="I8" s="52"/>
      <c r="J8" s="25"/>
    </row>
    <row r="9" spans="1:15" x14ac:dyDescent="0.25">
      <c r="A9" s="132"/>
      <c r="B9" s="133"/>
      <c r="C9" s="141"/>
      <c r="D9" s="134"/>
      <c r="E9" s="24" t="s">
        <v>19</v>
      </c>
      <c r="F9" s="133"/>
      <c r="G9" s="48">
        <v>1</v>
      </c>
      <c r="H9" s="53"/>
      <c r="I9" s="53"/>
      <c r="J9" s="25"/>
    </row>
    <row r="10" spans="1:15" ht="15.75" thickBot="1" x14ac:dyDescent="0.3">
      <c r="A10" s="119"/>
      <c r="B10" s="121"/>
      <c r="C10" s="142"/>
      <c r="D10" s="123"/>
      <c r="E10" s="20" t="s">
        <v>40</v>
      </c>
      <c r="F10" s="121"/>
      <c r="G10" s="46">
        <v>1</v>
      </c>
      <c r="H10" s="54"/>
      <c r="I10" s="54"/>
      <c r="J10" s="23"/>
    </row>
    <row r="11" spans="1:15" x14ac:dyDescent="0.25">
      <c r="A11" s="118" t="s">
        <v>41</v>
      </c>
      <c r="B11" s="120" t="s">
        <v>42</v>
      </c>
      <c r="C11" s="140">
        <v>8015</v>
      </c>
      <c r="D11" s="122" t="s">
        <v>41</v>
      </c>
      <c r="E11" s="26" t="s">
        <v>14</v>
      </c>
      <c r="F11" s="40" t="s">
        <v>11</v>
      </c>
      <c r="G11" s="49">
        <v>1.371</v>
      </c>
      <c r="H11" s="55"/>
      <c r="I11" s="55"/>
      <c r="J11" s="27"/>
      <c r="K11" s="15" t="s">
        <v>43</v>
      </c>
    </row>
    <row r="12" spans="1:15" ht="17.25" customHeight="1" x14ac:dyDescent="0.25">
      <c r="A12" s="132"/>
      <c r="B12" s="133"/>
      <c r="C12" s="141"/>
      <c r="D12" s="134"/>
      <c r="E12" s="24" t="s">
        <v>35</v>
      </c>
      <c r="F12" s="139" t="s">
        <v>44</v>
      </c>
      <c r="G12" s="28">
        <v>1</v>
      </c>
      <c r="H12" s="56"/>
      <c r="I12" s="56"/>
      <c r="J12" s="25"/>
    </row>
    <row r="13" spans="1:15" ht="15.75" thickBot="1" x14ac:dyDescent="0.3">
      <c r="A13" s="119"/>
      <c r="B13" s="121"/>
      <c r="C13" s="142"/>
      <c r="D13" s="123"/>
      <c r="E13" s="20" t="s">
        <v>40</v>
      </c>
      <c r="F13" s="121"/>
      <c r="G13" s="22">
        <v>1</v>
      </c>
      <c r="H13" s="51"/>
      <c r="I13" s="51"/>
      <c r="J13" s="23"/>
    </row>
    <row r="14" spans="1:15" x14ac:dyDescent="0.25">
      <c r="A14" s="118" t="s">
        <v>45</v>
      </c>
      <c r="B14" s="120" t="s">
        <v>46</v>
      </c>
      <c r="C14" s="120">
        <v>8015</v>
      </c>
      <c r="D14" s="122" t="s">
        <v>45</v>
      </c>
      <c r="E14" s="16" t="s">
        <v>14</v>
      </c>
      <c r="F14" s="17" t="s">
        <v>10</v>
      </c>
      <c r="G14" s="18">
        <v>1.371</v>
      </c>
      <c r="H14" s="50"/>
      <c r="I14" s="50"/>
      <c r="J14" s="19"/>
      <c r="K14" s="15" t="s">
        <v>43</v>
      </c>
    </row>
    <row r="15" spans="1:15" ht="15" customHeight="1" x14ac:dyDescent="0.25">
      <c r="A15" s="132"/>
      <c r="B15" s="133"/>
      <c r="C15" s="133"/>
      <c r="D15" s="134"/>
      <c r="E15" s="24" t="s">
        <v>35</v>
      </c>
      <c r="F15" s="139" t="s">
        <v>47</v>
      </c>
      <c r="G15" s="28">
        <v>1</v>
      </c>
      <c r="H15" s="56"/>
      <c r="I15" s="56"/>
      <c r="J15" s="25"/>
    </row>
    <row r="16" spans="1:15" ht="15.75" thickBot="1" x14ac:dyDescent="0.3">
      <c r="A16" s="119"/>
      <c r="B16" s="121"/>
      <c r="C16" s="121"/>
      <c r="D16" s="123"/>
      <c r="E16" s="20" t="s">
        <v>40</v>
      </c>
      <c r="F16" s="121"/>
      <c r="G16" s="22">
        <v>1</v>
      </c>
      <c r="H16" s="51"/>
      <c r="I16" s="51"/>
      <c r="J16" s="23"/>
    </row>
    <row r="17" spans="1:14" ht="30.75" thickBot="1" x14ac:dyDescent="0.3">
      <c r="A17" s="29" t="s">
        <v>48</v>
      </c>
      <c r="B17" s="30" t="s">
        <v>49</v>
      </c>
      <c r="C17" s="30">
        <v>8015</v>
      </c>
      <c r="D17" s="31" t="s">
        <v>7</v>
      </c>
      <c r="E17" s="32">
        <v>5</v>
      </c>
      <c r="F17" s="30" t="s">
        <v>50</v>
      </c>
      <c r="G17" s="33"/>
      <c r="H17" s="57"/>
      <c r="I17" s="57"/>
      <c r="J17" s="34"/>
      <c r="K17" s="15" t="s">
        <v>114</v>
      </c>
      <c r="L17" s="15"/>
      <c r="M17" s="15"/>
    </row>
    <row r="18" spans="1:14" x14ac:dyDescent="0.25">
      <c r="A18" s="118" t="s">
        <v>4</v>
      </c>
      <c r="B18" s="120" t="s">
        <v>51</v>
      </c>
      <c r="C18" s="120">
        <v>8015</v>
      </c>
      <c r="D18" s="122" t="s">
        <v>52</v>
      </c>
      <c r="E18" s="35" t="s">
        <v>13</v>
      </c>
      <c r="F18" s="17" t="s">
        <v>53</v>
      </c>
      <c r="G18" s="18">
        <v>1</v>
      </c>
      <c r="H18" s="58"/>
      <c r="I18" s="58"/>
      <c r="J18" s="36"/>
    </row>
    <row r="19" spans="1:14" ht="45" x14ac:dyDescent="0.25">
      <c r="A19" s="132"/>
      <c r="B19" s="133"/>
      <c r="C19" s="133"/>
      <c r="D19" s="134"/>
      <c r="E19" s="37" t="s">
        <v>18</v>
      </c>
      <c r="F19" s="139" t="s">
        <v>54</v>
      </c>
      <c r="G19" s="130">
        <v>0.84189999999999998</v>
      </c>
      <c r="H19" s="52"/>
      <c r="I19" s="52"/>
      <c r="J19" s="25"/>
      <c r="K19" s="38"/>
    </row>
    <row r="20" spans="1:14" ht="15.75" thickBot="1" x14ac:dyDescent="0.3">
      <c r="A20" s="119"/>
      <c r="B20" s="121"/>
      <c r="C20" s="121"/>
      <c r="D20" s="123"/>
      <c r="E20" s="39" t="s">
        <v>55</v>
      </c>
      <c r="F20" s="121"/>
      <c r="G20" s="131"/>
      <c r="H20" s="54"/>
      <c r="I20" s="54"/>
      <c r="J20" s="23"/>
      <c r="K20" s="38"/>
    </row>
    <row r="21" spans="1:14" ht="15.75" customHeight="1" thickBot="1" x14ac:dyDescent="0.3">
      <c r="A21" s="118" t="s">
        <v>56</v>
      </c>
      <c r="B21" s="120" t="s">
        <v>57</v>
      </c>
      <c r="C21" s="120">
        <v>8015</v>
      </c>
      <c r="D21" s="122" t="s">
        <v>58</v>
      </c>
      <c r="E21" s="16" t="s">
        <v>59</v>
      </c>
      <c r="F21" s="120" t="s">
        <v>60</v>
      </c>
      <c r="G21" s="136">
        <v>1</v>
      </c>
      <c r="H21" s="58"/>
      <c r="I21" s="58"/>
      <c r="J21" s="19"/>
      <c r="K21" s="15" t="s">
        <v>61</v>
      </c>
    </row>
    <row r="22" spans="1:14" ht="15.75" thickBot="1" x14ac:dyDescent="0.3">
      <c r="A22" s="132"/>
      <c r="B22" s="133"/>
      <c r="C22" s="133"/>
      <c r="D22" s="134"/>
      <c r="E22" s="24" t="s">
        <v>62</v>
      </c>
      <c r="F22" s="133"/>
      <c r="G22" s="137"/>
      <c r="H22" s="53"/>
      <c r="I22" s="53"/>
      <c r="J22" s="19"/>
      <c r="K22" s="38"/>
    </row>
    <row r="23" spans="1:14" ht="15.75" thickBot="1" x14ac:dyDescent="0.3">
      <c r="A23" s="132"/>
      <c r="B23" s="133"/>
      <c r="C23" s="133"/>
      <c r="D23" s="134"/>
      <c r="E23" s="24" t="s">
        <v>63</v>
      </c>
      <c r="F23" s="133"/>
      <c r="G23" s="137"/>
      <c r="H23" s="53"/>
      <c r="I23" s="53"/>
      <c r="J23" s="19"/>
    </row>
    <row r="24" spans="1:14" ht="15.75" thickBot="1" x14ac:dyDescent="0.3">
      <c r="A24" s="132"/>
      <c r="B24" s="133"/>
      <c r="C24" s="133"/>
      <c r="D24" s="134"/>
      <c r="E24" s="24" t="s">
        <v>64</v>
      </c>
      <c r="F24" s="133"/>
      <c r="G24" s="137"/>
      <c r="H24" s="53"/>
      <c r="I24" s="53"/>
      <c r="J24" s="19"/>
    </row>
    <row r="25" spans="1:14" ht="15.75" thickBot="1" x14ac:dyDescent="0.3">
      <c r="A25" s="132"/>
      <c r="B25" s="133"/>
      <c r="C25" s="133"/>
      <c r="D25" s="134"/>
      <c r="E25" s="24" t="s">
        <v>16</v>
      </c>
      <c r="F25" s="133"/>
      <c r="G25" s="137"/>
      <c r="H25" s="53"/>
      <c r="I25" s="53"/>
      <c r="J25" s="19"/>
    </row>
    <row r="26" spans="1:14" ht="15.75" thickBot="1" x14ac:dyDescent="0.3">
      <c r="A26" s="132"/>
      <c r="B26" s="133"/>
      <c r="C26" s="133"/>
      <c r="D26" s="134"/>
      <c r="E26" s="24" t="s">
        <v>65</v>
      </c>
      <c r="F26" s="133"/>
      <c r="G26" s="137"/>
      <c r="H26" s="53"/>
      <c r="I26" s="53"/>
      <c r="J26" s="19"/>
    </row>
    <row r="27" spans="1:14" ht="15.75" thickBot="1" x14ac:dyDescent="0.3">
      <c r="A27" s="132"/>
      <c r="B27" s="133"/>
      <c r="C27" s="133"/>
      <c r="D27" s="134"/>
      <c r="E27" s="24" t="s">
        <v>66</v>
      </c>
      <c r="F27" s="133"/>
      <c r="G27" s="137"/>
      <c r="H27" s="53"/>
      <c r="I27" s="53"/>
      <c r="J27" s="19"/>
    </row>
    <row r="28" spans="1:14" ht="15.75" thickBot="1" x14ac:dyDescent="0.3">
      <c r="A28" s="132"/>
      <c r="B28" s="133"/>
      <c r="C28" s="133"/>
      <c r="D28" s="134"/>
      <c r="E28" s="24" t="s">
        <v>67</v>
      </c>
      <c r="F28" s="135"/>
      <c r="G28" s="138"/>
      <c r="H28" s="55"/>
      <c r="I28" s="55"/>
      <c r="J28" s="19"/>
    </row>
    <row r="29" spans="1:14" ht="15.75" thickBot="1" x14ac:dyDescent="0.3">
      <c r="A29" s="119"/>
      <c r="B29" s="121"/>
      <c r="C29" s="121"/>
      <c r="D29" s="123"/>
      <c r="E29" s="20" t="s">
        <v>68</v>
      </c>
      <c r="F29" s="21" t="s">
        <v>98</v>
      </c>
      <c r="G29" s="22">
        <v>0.97689999999999999</v>
      </c>
      <c r="H29" s="53"/>
      <c r="I29" s="53"/>
      <c r="J29" s="19"/>
    </row>
    <row r="30" spans="1:14" ht="15.75" thickBot="1" x14ac:dyDescent="0.3">
      <c r="A30" s="29" t="s">
        <v>69</v>
      </c>
      <c r="B30" s="30" t="s">
        <v>70</v>
      </c>
      <c r="C30" s="30">
        <v>8015</v>
      </c>
      <c r="D30" s="31" t="s">
        <v>71</v>
      </c>
      <c r="E30" s="32">
        <v>1000</v>
      </c>
      <c r="F30" s="30" t="s">
        <v>50</v>
      </c>
      <c r="G30" s="33">
        <v>1</v>
      </c>
      <c r="H30" s="57"/>
      <c r="I30" s="57"/>
      <c r="J30" s="41"/>
      <c r="K30" s="15"/>
      <c r="L30" s="15"/>
      <c r="M30" s="15"/>
      <c r="N30" s="15"/>
    </row>
    <row r="31" spans="1:14" ht="30" x14ac:dyDescent="0.25">
      <c r="A31" s="118" t="s">
        <v>72</v>
      </c>
      <c r="B31" s="120" t="s">
        <v>73</v>
      </c>
      <c r="C31" s="120">
        <v>8015</v>
      </c>
      <c r="D31" s="122" t="s">
        <v>74</v>
      </c>
      <c r="E31" s="16" t="s">
        <v>17</v>
      </c>
      <c r="F31" s="17" t="s">
        <v>75</v>
      </c>
      <c r="G31" s="18">
        <v>1.4006000000000001</v>
      </c>
      <c r="H31" s="50"/>
      <c r="I31" s="50"/>
      <c r="J31" s="19"/>
    </row>
    <row r="32" spans="1:14" ht="30.75" thickBot="1" x14ac:dyDescent="0.3">
      <c r="A32" s="119"/>
      <c r="B32" s="121"/>
      <c r="C32" s="121"/>
      <c r="D32" s="123"/>
      <c r="E32" s="20" t="s">
        <v>76</v>
      </c>
      <c r="F32" s="21" t="s">
        <v>77</v>
      </c>
      <c r="G32" s="22">
        <v>1</v>
      </c>
      <c r="H32" s="51"/>
      <c r="I32" s="51"/>
      <c r="J32" s="23"/>
    </row>
    <row r="33" spans="1:13" x14ac:dyDescent="0.25">
      <c r="A33" s="124" t="s">
        <v>78</v>
      </c>
      <c r="B33" s="126" t="s">
        <v>79</v>
      </c>
      <c r="C33" s="126">
        <v>8015</v>
      </c>
      <c r="D33" s="128" t="s">
        <v>31</v>
      </c>
      <c r="E33" s="42" t="s">
        <v>31</v>
      </c>
      <c r="F33" s="43" t="s">
        <v>80</v>
      </c>
      <c r="G33" s="47">
        <v>0.91</v>
      </c>
      <c r="H33" s="58"/>
      <c r="I33" s="58"/>
      <c r="J33" s="36"/>
      <c r="K33" s="15"/>
      <c r="L33" s="15"/>
      <c r="M33" s="15"/>
    </row>
    <row r="34" spans="1:13" ht="15.75" thickBot="1" x14ac:dyDescent="0.3">
      <c r="A34" s="125"/>
      <c r="B34" s="127"/>
      <c r="C34" s="127"/>
      <c r="D34" s="129"/>
      <c r="E34" s="20" t="s">
        <v>31</v>
      </c>
      <c r="F34" s="44" t="s">
        <v>115</v>
      </c>
      <c r="G34" s="22">
        <v>1</v>
      </c>
      <c r="H34" s="51"/>
      <c r="I34" s="51"/>
      <c r="J34" s="23"/>
    </row>
    <row r="35" spans="1:13" s="61" customFormat="1" x14ac:dyDescent="0.25">
      <c r="A35" s="64"/>
      <c r="B35" s="65"/>
      <c r="C35" s="65"/>
      <c r="D35" s="66"/>
      <c r="E35" s="67"/>
      <c r="F35" s="68"/>
      <c r="G35" s="117" t="s">
        <v>148</v>
      </c>
      <c r="H35" s="117"/>
      <c r="I35" s="69"/>
      <c r="J35" s="70"/>
    </row>
    <row r="36" spans="1:13" x14ac:dyDescent="0.25">
      <c r="G36" s="2" t="s">
        <v>146</v>
      </c>
      <c r="H36" s="2" t="s">
        <v>147</v>
      </c>
    </row>
    <row r="37" spans="1:13" x14ac:dyDescent="0.25">
      <c r="G37" s="89" t="s">
        <v>15</v>
      </c>
      <c r="H37" s="2">
        <v>11</v>
      </c>
    </row>
    <row r="38" spans="1:13" x14ac:dyDescent="0.25">
      <c r="G38" s="89" t="s">
        <v>144</v>
      </c>
      <c r="H38" s="2">
        <v>19</v>
      </c>
    </row>
  </sheetData>
  <mergeCells count="40">
    <mergeCell ref="A5:A6"/>
    <mergeCell ref="B5:B6"/>
    <mergeCell ref="C5:C6"/>
    <mergeCell ref="D5:D6"/>
    <mergeCell ref="A7:A10"/>
    <mergeCell ref="B7:B10"/>
    <mergeCell ref="C7:C10"/>
    <mergeCell ref="D7:D10"/>
    <mergeCell ref="F8:F10"/>
    <mergeCell ref="A11:A13"/>
    <mergeCell ref="B11:B13"/>
    <mergeCell ref="C11:C13"/>
    <mergeCell ref="D11:D13"/>
    <mergeCell ref="F12:F13"/>
    <mergeCell ref="A14:A16"/>
    <mergeCell ref="B14:B16"/>
    <mergeCell ref="C14:C16"/>
    <mergeCell ref="D14:D16"/>
    <mergeCell ref="F15:F16"/>
    <mergeCell ref="G19:G20"/>
    <mergeCell ref="A21:A29"/>
    <mergeCell ref="B21:B29"/>
    <mergeCell ref="C21:C29"/>
    <mergeCell ref="D21:D29"/>
    <mergeCell ref="F21:F28"/>
    <mergeCell ref="G21:G28"/>
    <mergeCell ref="A18:A20"/>
    <mergeCell ref="B18:B20"/>
    <mergeCell ref="C18:C20"/>
    <mergeCell ref="D18:D20"/>
    <mergeCell ref="F19:F20"/>
    <mergeCell ref="G35:H35"/>
    <mergeCell ref="A31:A32"/>
    <mergeCell ref="B31:B32"/>
    <mergeCell ref="C31:C32"/>
    <mergeCell ref="D31:D32"/>
    <mergeCell ref="A33:A34"/>
    <mergeCell ref="B33:B34"/>
    <mergeCell ref="C33:C34"/>
    <mergeCell ref="D33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Земельные участки</vt:lpstr>
      <vt:lpstr>справочник ври</vt:lpstr>
      <vt:lpstr>СТОПЛИСТ</vt:lpstr>
      <vt:lpstr>ПЕРЕСЧЕТ НЕ ТРЕБУЕТСЯ</vt:lpstr>
      <vt:lpstr>ГОТОВ</vt:lpstr>
      <vt:lpstr>Поправки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Бунаков Максим Дмитриевич</dc:creator>
  <cp:lastModifiedBy>Шмелев Константин Валерьевич</cp:lastModifiedBy>
  <dcterms:created xsi:type="dcterms:W3CDTF">2020-05-02T06:40:47Z</dcterms:created>
  <dcterms:modified xsi:type="dcterms:W3CDTF">2021-05-25T12:34:25Z</dcterms:modified>
</cp:coreProperties>
</file>