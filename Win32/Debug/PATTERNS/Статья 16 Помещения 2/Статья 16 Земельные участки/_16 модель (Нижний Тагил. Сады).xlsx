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W:\ЦГКО\IT\___Программы\Определение кодов НП_PLUS\PATTERNS\Статья 16 Земельные участки\"/>
    </mc:Choice>
  </mc:AlternateContent>
  <bookViews>
    <workbookView xWindow="0" yWindow="0" windowWidth="28800" windowHeight="12135"/>
  </bookViews>
  <sheets>
    <sheet name="Земельные участки" sheetId="1" r:id="rId1"/>
    <sheet name="справочник ври" sheetId="7" r:id="rId2"/>
    <sheet name="ГОТОВ" sheetId="4" r:id="rId3"/>
    <sheet name="ПЕРЕСЧЕТ НЕ ТРЕБУЕТСЯ" sheetId="6" r:id="rId4"/>
    <sheet name="СТОПЛИСТ" sheetId="3" r:id="rId5"/>
    <sheet name="Лист1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M6" i="1" l="1"/>
  <c r="CL6" i="1"/>
  <c r="CK6" i="1"/>
  <c r="CJ6" i="1"/>
  <c r="CI6" i="1"/>
  <c r="CH6" i="1"/>
  <c r="CG6" i="1"/>
  <c r="CE6" i="1"/>
  <c r="CD6" i="1"/>
  <c r="CB6" i="1"/>
  <c r="BZ6" i="1"/>
  <c r="CC6" i="1" s="1"/>
  <c r="BX6" i="1"/>
  <c r="BS6" i="1"/>
  <c r="BT6" i="1" s="1"/>
  <c r="BR6" i="1"/>
  <c r="BO6" i="1"/>
  <c r="BP6" i="1" s="1"/>
  <c r="BM6" i="1"/>
  <c r="BN6" i="1" s="1"/>
  <c r="BL6" i="1"/>
  <c r="BK6" i="1"/>
  <c r="BI6" i="1"/>
  <c r="BJ6" i="1" s="1"/>
  <c r="BH6" i="1"/>
  <c r="BG6" i="1"/>
  <c r="BF6" i="1"/>
  <c r="BE6" i="1"/>
  <c r="BD6" i="1"/>
  <c r="BA6" i="1"/>
  <c r="AZ6" i="1"/>
  <c r="AY6" i="1"/>
  <c r="AW6" i="1"/>
  <c r="AV6" i="1"/>
  <c r="AU6" i="1"/>
  <c r="AS6" i="1"/>
  <c r="AT6" i="1" s="1"/>
  <c r="AR6" i="1"/>
  <c r="AQ6" i="1"/>
  <c r="AP6" i="1"/>
  <c r="CM5" i="1"/>
  <c r="CL5" i="1"/>
  <c r="CK5" i="1"/>
  <c r="CJ5" i="1"/>
  <c r="CI5" i="1"/>
  <c r="CH5" i="1"/>
  <c r="CG5" i="1"/>
  <c r="CE5" i="1"/>
  <c r="CD5" i="1"/>
  <c r="CC5" i="1"/>
  <c r="CB5" i="1"/>
  <c r="BZ5" i="1"/>
  <c r="BX5" i="1"/>
  <c r="BS5" i="1"/>
  <c r="BT5" i="1" s="1"/>
  <c r="BR5" i="1"/>
  <c r="BO5" i="1"/>
  <c r="BP5" i="1" s="1"/>
  <c r="BN5" i="1"/>
  <c r="BM5" i="1"/>
  <c r="BK5" i="1"/>
  <c r="BL5" i="1" s="1"/>
  <c r="BI5" i="1"/>
  <c r="BJ5" i="1" s="1"/>
  <c r="BH5" i="1"/>
  <c r="BG5" i="1"/>
  <c r="BF5" i="1"/>
  <c r="BE5" i="1"/>
  <c r="BD5" i="1"/>
  <c r="AZ5" i="1"/>
  <c r="BA5" i="1" s="1"/>
  <c r="AY5" i="1"/>
  <c r="AW5" i="1"/>
  <c r="AU5" i="1"/>
  <c r="AV5" i="1" s="1"/>
  <c r="AS5" i="1"/>
  <c r="AT5" i="1" s="1"/>
  <c r="AR5" i="1"/>
  <c r="AQ5" i="1"/>
  <c r="AP5" i="1"/>
  <c r="BB6" i="1" l="1"/>
  <c r="BC6" i="1" s="1"/>
  <c r="BB5" i="1"/>
  <c r="BC5" i="1" s="1"/>
  <c r="BU6" i="1"/>
  <c r="BU5" i="1"/>
  <c r="CF6" i="1"/>
  <c r="BV6" i="1"/>
  <c r="BY6" i="1" s="1"/>
  <c r="CF5" i="1" l="1"/>
  <c r="BV5" i="1"/>
  <c r="BY5" i="1" s="1"/>
  <c r="BF4" i="1" l="1"/>
  <c r="CK4" i="1" l="1"/>
  <c r="BI4" i="1" l="1"/>
  <c r="CB4" i="1" l="1"/>
  <c r="CD4" i="1" l="1"/>
  <c r="BZ4" i="1" l="1"/>
  <c r="CC4" i="1" s="1"/>
  <c r="BG4" i="1" l="1"/>
  <c r="BO4" i="1"/>
  <c r="BP4" i="1" s="1"/>
  <c r="CI4" i="1"/>
  <c r="CG4" i="1"/>
  <c r="BS4" i="1"/>
  <c r="CL4" i="1" s="1"/>
  <c r="BM4" i="1"/>
  <c r="CJ4" i="1" s="1"/>
  <c r="BK4" i="1"/>
  <c r="CH4" i="1"/>
  <c r="AZ4" i="1"/>
  <c r="AW4" i="1"/>
  <c r="AU4" i="1"/>
  <c r="AS4" i="1"/>
  <c r="AQ4" i="1"/>
  <c r="BD4" i="1" l="1"/>
  <c r="BA4" i="1" l="1"/>
  <c r="BX4" i="1"/>
  <c r="CM4" i="1" l="1"/>
  <c r="BT4" i="1" l="1"/>
  <c r="BL4" i="1" l="1"/>
  <c r="BR4" i="1"/>
  <c r="BH4" i="1"/>
  <c r="AV4" i="1" l="1"/>
  <c r="BN4" i="1" s="1"/>
  <c r="AY4" i="1" l="1"/>
  <c r="BJ4" i="1" s="1"/>
  <c r="I11" i="2"/>
  <c r="I10" i="2"/>
  <c r="AT4" i="1"/>
  <c r="AR4" i="1"/>
  <c r="AP4" i="1"/>
  <c r="BB4" i="1" l="1"/>
  <c r="BC4" i="1" s="1"/>
  <c r="BE4" i="1" s="1"/>
  <c r="BU4" i="1" l="1"/>
  <c r="BV4" i="1" l="1"/>
  <c r="CE4" i="1" s="1"/>
  <c r="CF4" i="1" s="1"/>
  <c r="BY4" i="1" l="1"/>
</calcChain>
</file>

<file path=xl/sharedStrings.xml><?xml version="1.0" encoding="utf-8"?>
<sst xmlns="http://schemas.openxmlformats.org/spreadsheetml/2006/main" count="842" uniqueCount="705">
  <si>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</si>
  <si>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</si>
  <si>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</si>
  <si>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</si>
  <si>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Категория земель</t>
  </si>
  <si>
    <t>Группа для XML</t>
  </si>
  <si>
    <t>Код расчета вида использования</t>
  </si>
  <si>
    <t>Сегмент</t>
  </si>
  <si>
    <t>Расстояние до центра МО</t>
  </si>
  <si>
    <t>Наличие электроснабжения</t>
  </si>
  <si>
    <t>ЛЭП над участком (ЦФ)</t>
  </si>
  <si>
    <t>Код МО (ЦФ)</t>
  </si>
  <si>
    <t>Земли сельскохозяйственного назначения</t>
  </si>
  <si>
    <t>13:021</t>
  </si>
  <si>
    <t>13. СЕГМЕНТ "Садоводство и огородничество, малоэтажная жилая застройка"</t>
  </si>
  <si>
    <t>наличие</t>
  </si>
  <si>
    <t>Отсутствие ЛЭП</t>
  </si>
  <si>
    <t>13</t>
  </si>
  <si>
    <t>отсутствие</t>
  </si>
  <si>
    <t>Земли населенных пунктов</t>
  </si>
  <si>
    <t>Модель №16. Садоводческое, огородническое и дачное использование, малоэтажная жилая застройка. НТ_Сады</t>
  </si>
  <si>
    <t>Код МО (13и14). В других моделях это ценовой фактор</t>
  </si>
  <si>
    <t>Специально заводить в БД такое полев БД не нужно (Будем определять как два первых знака от кода НП)</t>
  </si>
  <si>
    <t>Фактор</t>
  </si>
  <si>
    <t>Обозначение фактора</t>
  </si>
  <si>
    <t>Номер модели</t>
  </si>
  <si>
    <t>Наименование поля БД</t>
  </si>
  <si>
    <t>Значение поля БД</t>
  </si>
  <si>
    <t>Градация (не хранится в БД как отдельное поле)</t>
  </si>
  <si>
    <t xml:space="preserve">Значение поправки </t>
  </si>
  <si>
    <t>y=574,28*V1*V2*V3*V4*V5
Где:
y – удельный показатель;
V1 – Поправочный коэффициент фактора "Наличие электричества";
V2 – Поправочный коэффициент фактора "Категория земель"
V3 – Поправочный коэффициент фактора «Расстояние до центра г. Нижний Тагил».
V4– Поправочный коэффициент фактора «Общая площадь»;
V5 – Поправочный коэффициент фактора «Уторгование».
V6 – Поправочный коэффициент фактора "ЛЭП над участком";</t>
  </si>
  <si>
    <t>Константа</t>
  </si>
  <si>
    <t>С0</t>
  </si>
  <si>
    <t>НЕТ</t>
  </si>
  <si>
    <t>Электроснабжение</t>
  </si>
  <si>
    <t>V1</t>
  </si>
  <si>
    <t>Отсутствие электроснабжения</t>
  </si>
  <si>
    <t>V2</t>
  </si>
  <si>
    <t>Категория</t>
  </si>
  <si>
    <t>ЗНП</t>
  </si>
  <si>
    <t>Прочие</t>
  </si>
  <si>
    <t>Иные категории, пусто</t>
  </si>
  <si>
    <t>Расстояние до Нижнего Тагила</t>
  </si>
  <si>
    <t>V3</t>
  </si>
  <si>
    <t>Количественный</t>
  </si>
  <si>
    <t xml:space="preserve">Площадь </t>
  </si>
  <si>
    <t>V4</t>
  </si>
  <si>
    <t>Площадь</t>
  </si>
  <si>
    <t>Уторгование</t>
  </si>
  <si>
    <t>V5</t>
  </si>
  <si>
    <t>Наличие уторгования</t>
  </si>
  <si>
    <t>Отсутствие уторгования</t>
  </si>
  <si>
    <t>ЛЭП над участком</t>
  </si>
  <si>
    <t>V6</t>
  </si>
  <si>
    <t>Наличие ЛЭП</t>
  </si>
  <si>
    <t>Поправка на электроснабжение</t>
  </si>
  <si>
    <t>Поправка на категорию земель</t>
  </si>
  <si>
    <t>Поправка на расстояние до Нижнего Тагила</t>
  </si>
  <si>
    <t>Поправка на площадь</t>
  </si>
  <si>
    <t>Поправка на уторгование</t>
  </si>
  <si>
    <t>УПС</t>
  </si>
  <si>
    <t>Итоговая стоимость</t>
  </si>
  <si>
    <t>Сравнение со старым расчетом</t>
  </si>
  <si>
    <t>Поправка на ЛЭП над участком</t>
  </si>
  <si>
    <t>Если в графЕ РАССТОЯНИЕ ПУСТО,ТО ДЛЯ 13 мо-11КМ,ДЛЯ 14мо-19</t>
  </si>
  <si>
    <t>loc_factor_804</t>
  </si>
  <si>
    <t>loc_factor_817</t>
  </si>
  <si>
    <t>loc_factor_812</t>
  </si>
  <si>
    <t>loc_factor_8121</t>
  </si>
  <si>
    <t>loc_factor_807</t>
  </si>
  <si>
    <t>loc_factor_8071</t>
  </si>
  <si>
    <t>loc_factor_827</t>
  </si>
  <si>
    <t>loc_factor_829</t>
  </si>
  <si>
    <t>Specific_CadastralCost</t>
  </si>
  <si>
    <t>CadastralCost</t>
  </si>
  <si>
    <t>CadastralCostDesc</t>
  </si>
  <si>
    <t>id_group</t>
  </si>
  <si>
    <t>Площадь (ЦФ)</t>
  </si>
  <si>
    <t>Категория земель (ЦФ)</t>
  </si>
  <si>
    <t>Расстояние до административного центра МО (ЦФ)</t>
  </si>
  <si>
    <t>Вид разрешённого использования (ЦФ)</t>
  </si>
  <si>
    <t>Электроснабжение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</si>
  <si>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</si>
  <si>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</si>
  <si>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</si>
  <si>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</si>
  <si>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</si>
  <si>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</si>
  <si>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</si>
  <si>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</si>
  <si>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</si>
  <si>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</si>
  <si>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</si>
  <si>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</si>
  <si>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</si>
  <si>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</si>
  <si>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</si>
  <si>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</si>
  <si>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</si>
  <si>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14</t>
  </si>
  <si>
    <t>Обязательная проверка</t>
  </si>
  <si>
    <t>мо</t>
  </si>
  <si>
    <t>Код МО</t>
  </si>
  <si>
    <t>Идентификатор стоимости</t>
  </si>
  <si>
    <t>Status_kc</t>
  </si>
  <si>
    <t>loc_VICode</t>
  </si>
  <si>
    <t>Segment</t>
  </si>
  <si>
    <t>ВРИ</t>
  </si>
  <si>
    <t>Номер группы</t>
  </si>
  <si>
    <t>Особый контроль</t>
  </si>
  <si>
    <t>ControlSP</t>
  </si>
  <si>
    <t>CadastralNumber</t>
  </si>
  <si>
    <t>loc_SgCode</t>
  </si>
  <si>
    <t>Код сегмента</t>
  </si>
  <si>
    <t>13:011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</si>
  <si>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</si>
  <si>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</si>
  <si>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</si>
  <si>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</si>
  <si>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</si>
  <si>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</si>
  <si>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</si>
  <si>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</si>
  <si>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</si>
  <si>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</si>
  <si>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</si>
  <si>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</si>
  <si>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</si>
  <si>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</si>
  <si>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</si>
  <si>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</si>
  <si>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</si>
  <si>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</si>
  <si>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</si>
  <si>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</si>
  <si>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</si>
  <si>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</si>
  <si>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</si>
  <si>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</si>
  <si>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</si>
  <si>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</si>
  <si>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</si>
  <si>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</si>
  <si>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</si>
  <si>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</si>
  <si>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</si>
  <si>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</si>
  <si>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</si>
  <si>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</si>
  <si>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</si>
  <si>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</si>
  <si>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</si>
  <si>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</si>
  <si>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</si>
  <si>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</si>
  <si>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</si>
  <si>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</si>
  <si>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</si>
  <si>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</si>
  <si>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</si>
  <si>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</si>
  <si>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</si>
  <si>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</si>
  <si>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</si>
  <si>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</si>
  <si>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</si>
  <si>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</si>
  <si>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</si>
  <si>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</si>
  <si>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</si>
  <si>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</si>
  <si>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</si>
  <si>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</si>
  <si>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</si>
  <si>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</si>
  <si>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</si>
  <si>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</si>
  <si>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</si>
  <si>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</si>
  <si>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</si>
  <si>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</si>
  <si>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</si>
  <si>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</si>
  <si>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</si>
  <si>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</si>
  <si>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</si>
  <si>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</si>
  <si>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</si>
  <si>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</si>
  <si>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</si>
  <si>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</si>
  <si>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</si>
  <si>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</si>
  <si>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</si>
  <si>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</si>
  <si>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</si>
  <si>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</si>
  <si>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</si>
  <si>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</si>
  <si>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</si>
  <si>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</si>
  <si>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</si>
  <si>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</si>
  <si>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</si>
  <si>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</si>
  <si>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</si>
  <si>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</si>
  <si>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</si>
  <si>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</si>
  <si>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</si>
  <si>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</si>
  <si>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</si>
  <si>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</si>
  <si>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</si>
  <si>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</si>
  <si>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</si>
  <si>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</si>
  <si>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</si>
  <si>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</si>
  <si>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</si>
  <si>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</si>
  <si>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</si>
  <si>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</si>
  <si>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</si>
  <si>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</si>
  <si>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</si>
  <si>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</si>
  <si>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</si>
  <si>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</si>
  <si>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</si>
  <si>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</si>
  <si>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</si>
  <si>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</si>
  <si>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</si>
  <si>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</si>
  <si>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</si>
  <si>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</si>
  <si>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</si>
  <si>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</si>
  <si>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</si>
  <si>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</si>
  <si>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</si>
  <si>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</si>
  <si>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</si>
  <si>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</si>
  <si>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</si>
  <si>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</si>
  <si>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</si>
  <si>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</si>
  <si>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</si>
  <si>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</si>
  <si>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</si>
  <si>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</si>
  <si>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</si>
  <si>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</si>
  <si>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</si>
  <si>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</si>
  <si>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</si>
  <si>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</si>
  <si>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</si>
  <si>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</si>
  <si>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</si>
  <si>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</si>
  <si>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</si>
  <si>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</si>
  <si>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</si>
  <si>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</si>
  <si>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</si>
  <si>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</si>
  <si>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</si>
  <si>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</si>
  <si>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</si>
  <si>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</si>
  <si>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</si>
  <si>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</si>
  <si>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</si>
  <si>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</si>
  <si>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</si>
  <si>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</si>
  <si>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</si>
  <si>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</si>
  <si>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</si>
  <si>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</si>
  <si>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</si>
  <si>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</si>
  <si>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</si>
  <si>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</si>
  <si>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</si>
  <si>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</si>
  <si>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</si>
  <si>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</si>
  <si>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</si>
  <si>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</si>
  <si>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</si>
  <si>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</si>
  <si>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</si>
  <si>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</si>
  <si>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</si>
  <si>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</si>
  <si>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</si>
  <si>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</si>
  <si>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</si>
  <si>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</si>
  <si>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</si>
  <si>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</si>
  <si>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</si>
  <si>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</si>
  <si>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</si>
  <si>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</si>
  <si>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</si>
  <si>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</si>
  <si>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</si>
  <si>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</si>
  <si>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</si>
  <si>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</si>
  <si>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</si>
  <si>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</si>
  <si>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</si>
  <si>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</si>
  <si>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</si>
  <si>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</si>
  <si>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</si>
  <si>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</si>
  <si>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</si>
  <si>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</si>
  <si>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</si>
  <si>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</si>
  <si>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</si>
  <si>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</si>
  <si>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</si>
  <si>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</si>
  <si>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</si>
  <si>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</si>
  <si>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</si>
  <si>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</si>
  <si>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</si>
  <si>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</si>
  <si>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</si>
  <si>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</si>
  <si>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</si>
  <si>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</si>
  <si>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</si>
  <si>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</si>
  <si>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</si>
  <si>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</si>
  <si>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</si>
  <si>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</si>
  <si>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</si>
  <si>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</si>
  <si>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</si>
  <si>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</si>
  <si>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</si>
  <si>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</si>
  <si>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</si>
  <si>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</si>
  <si>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</si>
  <si>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</si>
  <si>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</si>
  <si>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</si>
  <si>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</si>
  <si>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</si>
  <si>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</si>
  <si>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</si>
  <si>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</si>
  <si>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</si>
  <si>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</si>
  <si>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</si>
  <si>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</si>
  <si>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</si>
  <si>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</si>
  <si>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</si>
  <si>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</si>
  <si>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</si>
  <si>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</si>
  <si>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</si>
  <si>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</si>
  <si>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</si>
  <si>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</si>
  <si>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</si>
  <si>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</si>
  <si>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</si>
  <si>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</si>
  <si>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</si>
  <si>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</si>
  <si>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</si>
  <si>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</si>
  <si>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</si>
  <si>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</si>
  <si>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</si>
  <si>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</si>
  <si>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</si>
  <si>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</si>
  <si>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</si>
  <si>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</si>
  <si>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</si>
  <si>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</si>
  <si>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</si>
  <si>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</si>
  <si>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</si>
  <si>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</si>
  <si>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</si>
  <si>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</si>
  <si>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</si>
  <si>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</si>
  <si>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</si>
  <si>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</si>
  <si>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</si>
  <si>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</si>
  <si>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</si>
  <si>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</si>
  <si>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</si>
  <si>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</si>
  <si>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</si>
  <si>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</si>
  <si>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</si>
  <si>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</si>
  <si>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</si>
  <si>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</si>
  <si>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</si>
  <si>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</si>
  <si>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</si>
  <si>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</si>
  <si>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</si>
  <si>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</si>
  <si>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</si>
  <si>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</si>
  <si>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</si>
  <si>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</si>
  <si>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</si>
  <si>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</si>
  <si>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</si>
  <si>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</si>
  <si>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</si>
  <si>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</si>
  <si>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</si>
  <si>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</si>
  <si>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</si>
  <si>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</si>
  <si>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</si>
  <si>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</si>
  <si>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</si>
  <si>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</si>
  <si>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</si>
  <si>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</si>
  <si>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</si>
  <si>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</si>
  <si>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</si>
  <si>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</si>
  <si>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</si>
  <si>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</si>
  <si>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</si>
  <si>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</si>
  <si>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</si>
  <si>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</si>
  <si>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</si>
  <si>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</si>
  <si>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</si>
  <si>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</si>
  <si>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</si>
  <si>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</si>
  <si>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</si>
  <si>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</si>
  <si>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</si>
  <si>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</si>
  <si>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</si>
  <si>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</si>
  <si>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</si>
  <si>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</si>
  <si>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</si>
  <si>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</si>
  <si>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</si>
  <si>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</si>
  <si>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</si>
  <si>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</si>
  <si>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</si>
  <si>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</si>
  <si>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</si>
  <si>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</si>
  <si>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</si>
  <si>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</si>
  <si>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</si>
  <si>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</si>
  <si>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</si>
  <si>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</si>
  <si>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</si>
  <si>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</si>
  <si>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</si>
  <si>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</si>
  <si>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</si>
  <si>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</si>
  <si>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</si>
  <si>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</si>
  <si>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</si>
  <si>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</si>
  <si>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</si>
  <si>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</si>
  <si>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</si>
  <si>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</si>
  <si>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</si>
  <si>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</si>
  <si>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</si>
  <si>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</si>
  <si>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</si>
  <si>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</si>
  <si>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</si>
  <si>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</si>
  <si>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</si>
  <si>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</si>
  <si>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</si>
  <si>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</si>
  <si>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</si>
  <si>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</si>
  <si>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</si>
  <si>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</si>
  <si>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</si>
  <si>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</si>
  <si>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</si>
  <si>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</si>
  <si>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</si>
  <si>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</si>
  <si>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</si>
  <si>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</si>
  <si>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</si>
  <si>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</si>
  <si>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</si>
  <si>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</si>
  <si>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</si>
  <si>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</si>
  <si>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</si>
  <si>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</si>
  <si>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</si>
  <si>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</si>
  <si>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</si>
  <si>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</si>
  <si>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</si>
  <si>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</si>
  <si>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</si>
  <si>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</si>
  <si>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</si>
  <si>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</si>
  <si>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</si>
  <si>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</si>
  <si>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</si>
  <si>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</si>
  <si>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</si>
  <si>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</si>
  <si>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</si>
  <si>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</si>
  <si>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</si>
  <si>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</si>
  <si>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</si>
  <si>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</si>
  <si>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</si>
  <si>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</si>
  <si>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</si>
  <si>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</si>
  <si>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</si>
  <si>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</si>
  <si>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</si>
  <si>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</si>
  <si>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</si>
  <si>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</si>
  <si>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</si>
  <si>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</si>
  <si>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</si>
  <si>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</si>
  <si>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</si>
  <si>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</si>
  <si>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</si>
  <si>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</si>
  <si>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</si>
  <si>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</si>
  <si>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</si>
  <si>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</si>
  <si>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</si>
  <si>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</si>
  <si>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</si>
  <si>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</si>
  <si>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</si>
  <si>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</si>
  <si>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</si>
  <si>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</si>
  <si>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</si>
  <si>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</si>
  <si>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</si>
  <si>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</si>
  <si>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</si>
  <si>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</si>
  <si>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</si>
  <si>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</si>
  <si>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</si>
  <si>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</si>
  <si>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</si>
  <si>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</si>
  <si>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</si>
  <si>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</si>
  <si>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</si>
  <si>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</si>
  <si>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</si>
  <si>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</si>
  <si>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</si>
  <si>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</si>
  <si>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</si>
  <si>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</si>
  <si>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</si>
  <si>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</si>
  <si>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</si>
  <si>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</si>
  <si>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</si>
  <si>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</si>
  <si>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</si>
  <si>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</si>
  <si>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</si>
  <si>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</si>
  <si>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</si>
  <si>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</si>
  <si>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</si>
  <si>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</si>
  <si>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</si>
  <si>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</si>
  <si>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</si>
  <si>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</si>
  <si>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</si>
  <si>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02:010</t>
  </si>
  <si>
    <t>Индивидуальное жилищное строительство в целом</t>
  </si>
  <si>
    <t>02:011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</si>
  <si>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</si>
  <si>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</si>
  <si>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</si>
  <si>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</si>
  <si>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</si>
  <si>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02:020</t>
  </si>
  <si>
    <t>Ведение личного подсобного хозяйства с правом застройки в целом</t>
  </si>
  <si>
    <t>02:021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</si>
  <si>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</si>
  <si>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02:030</t>
  </si>
  <si>
    <t>Блокированная жилая застройка в целом</t>
  </si>
  <si>
    <t>02:031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</si>
  <si>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</si>
  <si>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</si>
  <si>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</si>
  <si>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</si>
  <si>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</si>
  <si>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13:031</t>
  </si>
  <si>
    <t>Дачные, садовые и огородные участки в организованных коттеджных поселках.</t>
  </si>
  <si>
    <t>02:023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</si>
  <si>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</si>
  <si>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02:019</t>
  </si>
  <si>
    <t>Размещение индивидуального жилого дома в организованных коттеджных поселках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</si>
  <si>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</si>
  <si>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</si>
  <si>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</si>
  <si>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</si>
  <si>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</si>
  <si>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</si>
  <si>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ВРИ по документу старое(обновление поля)</t>
  </si>
  <si>
    <t>Правило для ВРИ</t>
  </si>
  <si>
    <t>Новая модель</t>
  </si>
  <si>
    <t>ID</t>
  </si>
  <si>
    <t>CadastralBlock</t>
  </si>
  <si>
    <t>loc_factor_825</t>
  </si>
  <si>
    <t>loc_factor_830</t>
  </si>
  <si>
    <t>Area</t>
  </si>
  <si>
    <t>ParcelCategory</t>
  </si>
  <si>
    <t>DistanceToCMO</t>
  </si>
  <si>
    <t>PresencePower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</si>
  <si>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</si>
  <si>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</si>
  <si>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</si>
  <si>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</si>
  <si>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</si>
  <si>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</si>
  <si>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</si>
  <si>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</si>
  <si>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Flag_VRI</t>
  </si>
  <si>
    <t>FlagParam</t>
  </si>
  <si>
    <t>Flag_VRIoldspr</t>
  </si>
  <si>
    <t>Flag_VRInewspr</t>
  </si>
  <si>
    <t>Flag_Category</t>
  </si>
  <si>
    <t>PraviloVRI</t>
  </si>
  <si>
    <t>ID_Group</t>
  </si>
  <si>
    <t>UtilizationByDoc</t>
  </si>
  <si>
    <t>VRICode_NEW</t>
  </si>
  <si>
    <t>New_id_group</t>
  </si>
  <si>
    <t>Parcels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</si>
  <si>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</si>
  <si>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t>Суд</t>
  </si>
  <si>
    <t>Дата заседания</t>
  </si>
  <si>
    <t>Court</t>
  </si>
  <si>
    <t>Date_Court</t>
  </si>
  <si>
    <t>Сравнение расчета с предыдущим расчетом</t>
  </si>
  <si>
    <t>Проверка отклонения УПКС от текущего диапазона и  контроль значительного изменения КС</t>
  </si>
  <si>
    <t>Текущий диапазон УПКС от 4 руб. до 788 руб.</t>
  </si>
  <si>
    <t>Вверно, если расходждение составляет 0,00 руб. Если расхождение составляет более 0,01 -ценовые факторы подобраны неверно. Требуется анализ</t>
  </si>
  <si>
    <t>Участие объекта на комиссии, в заявлениях, в судах и прочее</t>
  </si>
  <si>
    <t>ВРИ по документу старое (формирование или обновление поля)</t>
  </si>
  <si>
    <t xml:space="preserve">Повтор предыдущего расчета </t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</si>
  <si>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</si>
  <si>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</si>
  <si>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</si>
  <si>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Изменение Кода расчета</t>
  </si>
  <si>
    <t>Расстояние до административного центра МО</t>
  </si>
  <si>
    <t>СТ16_Ф1_М16_18052021_Бунаков</t>
  </si>
  <si>
    <t>spr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</si>
  <si>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AND New_id_group=8016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</si>
</sst>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000"/>
    <numFmt numFmtId="165" formatCode="#,##0.0000"/>
  </numFmts>
  <fonts count="1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</cellStyleXfs>
  <cellXfs count="12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4" fontId="0" fillId="4" borderId="4" xfId="0" applyNumberFormat="1" applyFill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6" fillId="0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6" fillId="0" borderId="12" xfId="0" applyFont="1" applyFill="1" applyBorder="1" applyAlignment="1">
      <alignment horizontal="center" vertical="center" wrapText="1"/>
    </xf>
    <xf numFmtId="164" fontId="0" fillId="4" borderId="12" xfId="0" applyNumberForma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5" borderId="8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" fontId="0" fillId="4" borderId="18" xfId="0" applyNumberForma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164" fontId="0" fillId="4" borderId="20" xfId="0" applyNumberFormat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11" fillId="6" borderId="0" xfId="2" applyFont="1" applyFill="1" applyAlignment="1">
      <alignment horizontal="center" vertical="center" wrapText="1"/>
    </xf>
    <xf numFmtId="0" fontId="1" fillId="8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8" borderId="0" xfId="0" applyFill="1"/>
    <xf numFmtId="165" fontId="1" fillId="0" borderId="0" xfId="0" applyNumberFormat="1" applyFont="1" applyFill="1" applyAlignment="1">
      <alignment vertical="top" wrapText="1"/>
    </xf>
    <xf numFmtId="43" fontId="1" fillId="0" borderId="0" xfId="1" applyFont="1" applyFill="1" applyAlignment="1">
      <alignment vertical="top" wrapText="1"/>
    </xf>
    <xf numFmtId="0" fontId="9" fillId="0" borderId="0" xfId="0" applyFont="1" applyFill="1" applyAlignment="1">
      <alignment wrapText="1"/>
    </xf>
    <xf numFmtId="0" fontId="0" fillId="0" borderId="0" xfId="0" applyFill="1" applyBorder="1"/>
    <xf numFmtId="0" fontId="13" fillId="9" borderId="0" xfId="0" applyFont="1" applyFill="1" applyAlignment="1">
      <alignment horizontal="center" vertical="center" wrapText="1"/>
    </xf>
    <xf numFmtId="0" fontId="13" fillId="10" borderId="0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0" fillId="0" borderId="0" xfId="0" quotePrefix="1"/>
    <xf numFmtId="4" fontId="9" fillId="0" borderId="0" xfId="0" applyNumberFormat="1" applyFont="1" applyFill="1" applyAlignment="1">
      <alignment wrapText="1"/>
    </xf>
    <xf numFmtId="0" fontId="1" fillId="0" borderId="0" xfId="0" applyFont="1" applyAlignment="1">
      <alignment vertical="top" wrapText="1"/>
    </xf>
    <xf numFmtId="0" fontId="8" fillId="0" borderId="0" xfId="0" applyFont="1" applyFill="1" applyAlignment="1">
      <alignment horizontal="center" vertical="top" wrapText="1"/>
    </xf>
    <xf numFmtId="0" fontId="8" fillId="0" borderId="0" xfId="0" applyFont="1" applyFill="1" applyAlignment="1">
      <alignment vertical="top" wrapText="1"/>
    </xf>
    <xf numFmtId="4" fontId="8" fillId="0" borderId="0" xfId="0" applyNumberFormat="1" applyFont="1" applyFill="1" applyAlignment="1">
      <alignment wrapText="1"/>
    </xf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3" applyFont="1" applyAlignment="1">
      <alignment horizontal="center" wrapText="1"/>
    </xf>
    <xf numFmtId="0" fontId="3" fillId="7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11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4" fontId="9" fillId="0" borderId="0" xfId="0" applyNumberFormat="1" applyFont="1" applyAlignment="1">
      <alignment wrapText="1"/>
    </xf>
    <xf numFmtId="0" fontId="2" fillId="6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/>
    <xf numFmtId="0" fontId="15" fillId="6" borderId="0" xfId="0" applyFont="1" applyFill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8" fillId="12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1" fillId="4" borderId="0" xfId="0" quotePrefix="1" applyFont="1" applyFill="1" applyAlignment="1">
      <alignment vertical="top" wrapText="1"/>
    </xf>
    <xf numFmtId="0" fontId="0" fillId="4" borderId="0" xfId="0" applyFill="1"/>
    <xf numFmtId="0" fontId="2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1" fillId="13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wrapText="1"/>
    </xf>
    <xf numFmtId="0" fontId="6" fillId="0" borderId="11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1" xfId="0" applyFill="1" applyBorder="1" applyAlignment="1">
      <alignment horizontal="center"/>
    </xf>
  </cellXfs>
  <cellStyles count="4">
    <cellStyle name="Обычный" xfId="0" builtinId="0"/>
    <cellStyle name="Обычный 14" xfId="3"/>
    <cellStyle name="Обычный 2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M6"/>
  <sheetViews>
    <sheetView tabSelected="1" topLeftCell="AF1" zoomScale="91" zoomScaleNormal="91" workbookViewId="0">
      <selection activeCell="AF6" sqref="AF6"/>
    </sheetView>
  </sheetViews>
  <sheetFormatPr defaultColWidth="9.140625" defaultRowHeight="12.75" x14ac:dyDescent="0.25"/>
  <cols>
    <col min="1" max="1" width="9.5703125" style="50" bestFit="1" customWidth="1"/>
    <col min="2" max="2" width="15.42578125" style="50" bestFit="1" customWidth="1"/>
    <col min="3" max="3" width="19.28515625" style="50" bestFit="1" customWidth="1"/>
    <col min="4" max="5" width="13.140625" style="50" bestFit="1" customWidth="1"/>
    <col min="6" max="6" width="19.85546875" style="50" customWidth="1"/>
    <col min="7" max="7" width="18" style="50" bestFit="1" customWidth="1"/>
    <col min="8" max="8" width="17" style="50" bestFit="1" customWidth="1"/>
    <col min="9" max="9" width="13.140625" style="50" bestFit="1" customWidth="1"/>
    <col min="10" max="10" width="14.140625" style="50" bestFit="1" customWidth="1"/>
    <col min="11" max="11" width="30.28515625" style="50" bestFit="1" customWidth="1"/>
    <col min="12" max="12" width="16" style="50" bestFit="1" customWidth="1"/>
    <col min="13" max="13" width="23" style="50" bestFit="1" customWidth="1"/>
    <col min="14" max="14" width="19" style="50" bestFit="1" customWidth="1"/>
    <col min="15" max="15" width="26.7109375" style="50" bestFit="1" customWidth="1"/>
    <col min="16" max="16" width="14" style="50" bestFit="1" customWidth="1"/>
    <col min="17" max="17" width="17.7109375" style="50" bestFit="1" customWidth="1"/>
    <col min="18" max="18" width="10" style="50" bestFit="1" customWidth="1"/>
    <col min="19" max="19" width="14.28515625" style="50" bestFit="1" customWidth="1"/>
    <col min="20" max="20" width="15.5703125" style="50" bestFit="1" customWidth="1"/>
    <col min="21" max="21" width="19.28515625" style="50" bestFit="1" customWidth="1"/>
    <col min="22" max="22" width="8.140625" style="50" bestFit="1" customWidth="1"/>
    <col min="23" max="23" width="15.140625" style="50" bestFit="1" customWidth="1"/>
    <col min="24" max="24" width="9.140625" style="50"/>
    <col min="25" max="25" width="11.140625" style="50" bestFit="1" customWidth="1"/>
    <col min="26" max="26" width="9.7109375" style="50" bestFit="1" customWidth="1"/>
    <col min="27" max="27" width="11.7109375" style="50" bestFit="1" customWidth="1"/>
    <col min="28" max="28" width="10" style="50" bestFit="1" customWidth="1"/>
    <col min="29" max="29" width="13.28515625" style="50" bestFit="1" customWidth="1"/>
    <col min="30" max="30" width="14.28515625" style="50" bestFit="1" customWidth="1"/>
    <col min="31" max="31" width="13.140625" style="50" bestFit="1" customWidth="1"/>
    <col min="32" max="32" width="9.5703125" style="50" bestFit="1" customWidth="1"/>
    <col min="33" max="33" width="10.28515625" style="50" bestFit="1" customWidth="1"/>
    <col min="34" max="34" width="17.140625" style="50" bestFit="1" customWidth="1"/>
    <col min="35" max="35" width="16.5703125" style="50" bestFit="1" customWidth="1"/>
    <col min="36" max="36" width="20.85546875" style="50" bestFit="1" customWidth="1"/>
    <col min="37" max="38" width="13" style="50" bestFit="1" customWidth="1"/>
    <col min="39" max="39" width="9.85546875" style="50" bestFit="1" customWidth="1"/>
    <col min="40" max="41" width="9.85546875" style="80" customWidth="1"/>
    <col min="42" max="42" width="9.7109375" style="1" bestFit="1" customWidth="1"/>
    <col min="43" max="43" width="17.42578125" style="1" bestFit="1" customWidth="1"/>
    <col min="44" max="44" width="15.140625" style="1" customWidth="1"/>
    <col min="45" max="45" width="16.5703125" style="1" bestFit="1" customWidth="1"/>
    <col min="46" max="46" width="14.140625" style="1" customWidth="1"/>
    <col min="47" max="47" width="12.7109375" style="1" customWidth="1"/>
    <col min="48" max="48" width="14.28515625" style="1" customWidth="1"/>
    <col min="49" max="49" width="10" style="1" customWidth="1"/>
    <col min="50" max="50" width="11.7109375" style="1" bestFit="1" customWidth="1"/>
    <col min="51" max="51" width="15.28515625" style="1" customWidth="1"/>
    <col min="52" max="52" width="16.28515625" style="1" bestFit="1" customWidth="1"/>
    <col min="53" max="53" width="15.28515625" style="1" customWidth="1"/>
    <col min="54" max="54" width="8.140625" style="1" customWidth="1"/>
    <col min="55" max="55" width="16.42578125" style="1" customWidth="1"/>
    <col min="56" max="56" width="8.5703125" style="1" bestFit="1" customWidth="1"/>
    <col min="57" max="57" width="26.42578125" style="1" customWidth="1"/>
    <col min="58" max="58" width="17" style="1" customWidth="1"/>
    <col min="59" max="59" width="18.5703125" style="66" bestFit="1" customWidth="1"/>
    <col min="60" max="60" width="9.7109375" style="1" bestFit="1" customWidth="1"/>
    <col min="61" max="61" width="12.7109375" style="1" customWidth="1"/>
    <col min="62" max="62" width="12" style="1" customWidth="1"/>
    <col min="63" max="63" width="16.5703125" style="1" bestFit="1" customWidth="1"/>
    <col min="64" max="64" width="10.42578125" style="1" customWidth="1"/>
    <col min="65" max="65" width="10.28515625" style="1" customWidth="1"/>
    <col min="66" max="66" width="17.5703125" style="1" customWidth="1"/>
    <col min="67" max="67" width="13" style="51" customWidth="1"/>
    <col min="68" max="68" width="12" style="1" customWidth="1"/>
    <col min="69" max="69" width="11.7109375" style="1" bestFit="1" customWidth="1"/>
    <col min="70" max="70" width="14.85546875" style="1" customWidth="1"/>
    <col min="71" max="71" width="16.28515625" style="1" bestFit="1" customWidth="1"/>
    <col min="72" max="72" width="12.42578125" style="1" customWidth="1"/>
    <col min="73" max="73" width="9.85546875" style="1" customWidth="1"/>
    <col min="74" max="74" width="11.7109375" style="1" customWidth="1"/>
    <col min="75" max="75" width="26.7109375" style="1" customWidth="1"/>
    <col min="76" max="76" width="13" style="1" bestFit="1" customWidth="1"/>
    <col min="77" max="77" width="14.42578125" style="51" customWidth="1"/>
    <col min="78" max="78" width="11" style="51" bestFit="1" customWidth="1"/>
    <col min="79" max="79" width="12.5703125" style="51" customWidth="1"/>
    <col min="80" max="80" width="9.5703125" style="71" customWidth="1"/>
    <col min="81" max="81" width="19.7109375" style="75" customWidth="1"/>
    <col min="82" max="82" width="33.5703125" style="75" customWidth="1"/>
    <col min="83" max="83" width="27" style="1" customWidth="1"/>
    <col min="84" max="84" width="29.5703125" style="80" customWidth="1"/>
    <col min="85" max="85" width="19.85546875" style="1" bestFit="1" customWidth="1"/>
    <col min="86" max="86" width="20.42578125" style="1" bestFit="1" customWidth="1"/>
    <col min="87" max="87" width="19.85546875" style="1" bestFit="1" customWidth="1"/>
    <col min="88" max="88" width="20.28515625" style="1" customWidth="1"/>
    <col min="89" max="89" width="23.140625" style="1" customWidth="1"/>
    <col min="90" max="91" width="19.85546875" style="1" bestFit="1" customWidth="1"/>
    <col min="92" max="16384" width="9.140625" style="1"/>
  </cols>
  <sheetData>
    <row r="1" spans="1:91" ht="56.25" customHeight="1" x14ac:dyDescent="0.25">
      <c r="A1" s="81" t="s">
        <v>0</v>
      </c>
      <c r="B1" s="81" t="s">
        <v>1</v>
      </c>
      <c r="C1" s="81" t="s">
        <v>2</v>
      </c>
      <c r="D1" s="81" t="s">
        <v>77</v>
      </c>
      <c r="E1" s="81" t="s">
        <v>78</v>
      </c>
      <c r="F1" s="81" t="s">
        <v>79</v>
      </c>
      <c r="G1" s="81" t="s">
        <v>80</v>
      </c>
      <c r="H1" s="81" t="s">
        <v>81</v>
      </c>
      <c r="I1" s="81" t="s">
        <v>11</v>
      </c>
      <c r="J1" s="81" t="s">
        <v>10</v>
      </c>
      <c r="K1" s="81" t="s">
        <v>82</v>
      </c>
      <c r="L1" s="81" t="s">
        <v>83</v>
      </c>
      <c r="M1" s="81" t="s">
        <v>84</v>
      </c>
      <c r="N1" s="81" t="s">
        <v>3</v>
      </c>
      <c r="O1" s="81" t="s">
        <v>4</v>
      </c>
      <c r="P1" s="81" t="s">
        <v>8</v>
      </c>
      <c r="Q1" s="81" t="s">
        <v>9</v>
      </c>
      <c r="R1" s="81" t="s">
        <v>85</v>
      </c>
      <c r="S1" s="81" t="s">
        <v>86</v>
      </c>
      <c r="T1" s="81" t="s">
        <v>87</v>
      </c>
      <c r="U1" s="81" t="s">
        <v>88</v>
      </c>
      <c r="V1" s="81" t="s">
        <v>89</v>
      </c>
      <c r="W1" s="81" t="s">
        <v>90</v>
      </c>
      <c r="X1" s="81" t="s">
        <v>91</v>
      </c>
      <c r="Y1" s="81" t="s">
        <v>92</v>
      </c>
      <c r="Z1" s="81" t="s">
        <v>93</v>
      </c>
      <c r="AA1" s="81" t="s">
        <v>94</v>
      </c>
      <c r="AB1" s="81" t="s">
        <v>95</v>
      </c>
      <c r="AC1" s="81" t="s">
        <v>96</v>
      </c>
      <c r="AD1" s="81" t="s">
        <v>97</v>
      </c>
      <c r="AE1" s="81" t="s">
        <v>98</v>
      </c>
      <c r="AF1" s="81" t="s">
        <v>656</v>
      </c>
      <c r="AG1" s="81" t="s">
        <v>5</v>
      </c>
      <c r="AH1" s="92" t="s">
        <v>685</v>
      </c>
      <c r="AI1" s="92" t="s">
        <v>697</v>
      </c>
      <c r="AJ1" s="83" t="s">
        <v>698</v>
      </c>
      <c r="AK1" s="83" t="s">
        <v>699</v>
      </c>
      <c r="AL1" s="81" t="s">
        <v>657</v>
      </c>
      <c r="AM1" s="81" t="s">
        <v>109</v>
      </c>
      <c r="AN1" s="81" t="s">
        <v>686</v>
      </c>
      <c r="AO1" s="81" t="s">
        <v>687</v>
      </c>
      <c r="AP1" s="95" t="s">
        <v>696</v>
      </c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4"/>
      <c r="BF1" s="94"/>
      <c r="BG1" s="67"/>
      <c r="BH1" s="54"/>
      <c r="BI1" s="54" t="s">
        <v>65</v>
      </c>
      <c r="BJ1" s="54"/>
      <c r="BK1" s="54" t="s">
        <v>66</v>
      </c>
      <c r="BL1" s="54"/>
      <c r="BM1" s="54" t="s">
        <v>67</v>
      </c>
      <c r="BN1" s="54" t="s">
        <v>68</v>
      </c>
      <c r="BO1" s="54" t="s">
        <v>69</v>
      </c>
      <c r="BP1" s="54" t="s">
        <v>70</v>
      </c>
      <c r="BQ1" s="54" t="s">
        <v>71</v>
      </c>
      <c r="BR1" s="54"/>
      <c r="BS1" s="54" t="s">
        <v>72</v>
      </c>
      <c r="BT1" s="54"/>
      <c r="BU1" s="56" t="s">
        <v>73</v>
      </c>
      <c r="BV1" s="56" t="s">
        <v>74</v>
      </c>
      <c r="BW1" s="56" t="s">
        <v>75</v>
      </c>
      <c r="BX1" s="54" t="s">
        <v>76</v>
      </c>
      <c r="BY1" s="60" t="s">
        <v>104</v>
      </c>
      <c r="BZ1" s="60" t="s">
        <v>105</v>
      </c>
      <c r="CA1" s="60" t="s">
        <v>106</v>
      </c>
      <c r="CB1" s="73" t="s">
        <v>112</v>
      </c>
      <c r="CC1" s="78" t="s">
        <v>115</v>
      </c>
      <c r="CD1" s="78" t="s">
        <v>654</v>
      </c>
      <c r="CE1" s="87"/>
      <c r="CF1" s="88" t="s">
        <v>692</v>
      </c>
      <c r="CG1" s="87"/>
      <c r="CH1" s="87"/>
      <c r="CI1" s="87"/>
      <c r="CJ1" s="87"/>
      <c r="CK1" s="87"/>
      <c r="CL1" s="87"/>
      <c r="CM1" s="87"/>
    </row>
    <row r="2" spans="1:91" ht="77.45" customHeight="1" x14ac:dyDescent="0.25">
      <c r="A2" s="81" t="s">
        <v>658</v>
      </c>
      <c r="B2" s="81" t="s">
        <v>111</v>
      </c>
      <c r="C2" s="81" t="s">
        <v>659</v>
      </c>
      <c r="D2" s="81" t="s">
        <v>69</v>
      </c>
      <c r="E2" s="81" t="s">
        <v>66</v>
      </c>
      <c r="F2" s="81" t="s">
        <v>67</v>
      </c>
      <c r="G2" s="81" t="s">
        <v>660</v>
      </c>
      <c r="H2" s="81" t="s">
        <v>65</v>
      </c>
      <c r="I2" s="81" t="s">
        <v>661</v>
      </c>
      <c r="J2" s="81" t="s">
        <v>72</v>
      </c>
      <c r="K2" s="81" t="s">
        <v>73</v>
      </c>
      <c r="L2" s="81" t="s">
        <v>74</v>
      </c>
      <c r="M2" s="81" t="s">
        <v>75</v>
      </c>
      <c r="N2" s="81" t="s">
        <v>662</v>
      </c>
      <c r="O2" s="81" t="s">
        <v>663</v>
      </c>
      <c r="P2" s="81" t="s">
        <v>664</v>
      </c>
      <c r="Q2" s="81" t="s">
        <v>665</v>
      </c>
      <c r="R2" s="81" t="s">
        <v>666</v>
      </c>
      <c r="S2" s="81" t="s">
        <v>667</v>
      </c>
      <c r="T2" s="81" t="s">
        <v>668</v>
      </c>
      <c r="U2" s="81" t="s">
        <v>669</v>
      </c>
      <c r="V2" s="81" t="s">
        <v>670</v>
      </c>
      <c r="W2" s="81" t="s">
        <v>671</v>
      </c>
      <c r="X2" s="81" t="s">
        <v>104</v>
      </c>
      <c r="Y2" s="81" t="s">
        <v>672</v>
      </c>
      <c r="Z2" s="81" t="s">
        <v>673</v>
      </c>
      <c r="AA2" s="81" t="s">
        <v>674</v>
      </c>
      <c r="AB2" s="81" t="s">
        <v>675</v>
      </c>
      <c r="AC2" s="81" t="s">
        <v>676</v>
      </c>
      <c r="AD2" s="81" t="s">
        <v>677</v>
      </c>
      <c r="AE2" s="81" t="s">
        <v>678</v>
      </c>
      <c r="AF2" s="81" t="s">
        <v>679</v>
      </c>
      <c r="AG2" s="81" t="s">
        <v>680</v>
      </c>
      <c r="AH2" s="81" t="s">
        <v>654</v>
      </c>
      <c r="AI2" s="81" t="s">
        <v>105</v>
      </c>
      <c r="AJ2" s="81" t="s">
        <v>681</v>
      </c>
      <c r="AK2" s="81" t="s">
        <v>682</v>
      </c>
      <c r="AL2" s="81" t="s">
        <v>683</v>
      </c>
      <c r="AM2" s="81" t="s">
        <v>110</v>
      </c>
      <c r="AN2" s="81" t="s">
        <v>688</v>
      </c>
      <c r="AO2" s="81" t="s">
        <v>689</v>
      </c>
      <c r="AP2" s="1" t="s">
        <v>31</v>
      </c>
      <c r="AQ2" s="1" t="s">
        <v>34</v>
      </c>
      <c r="AR2" s="1" t="s">
        <v>55</v>
      </c>
      <c r="AS2" s="1" t="s">
        <v>4</v>
      </c>
      <c r="AT2" s="1" t="s">
        <v>56</v>
      </c>
      <c r="AU2" s="1" t="s">
        <v>8</v>
      </c>
      <c r="AV2" s="1" t="s">
        <v>57</v>
      </c>
      <c r="AW2" s="1" t="s">
        <v>58</v>
      </c>
      <c r="AX2" s="1" t="s">
        <v>48</v>
      </c>
      <c r="AY2" s="1" t="s">
        <v>59</v>
      </c>
      <c r="AZ2" s="1" t="s">
        <v>52</v>
      </c>
      <c r="BA2" s="1" t="s">
        <v>63</v>
      </c>
      <c r="BB2" s="1" t="s">
        <v>60</v>
      </c>
      <c r="BC2" s="1" t="s">
        <v>61</v>
      </c>
      <c r="BD2" s="55" t="s">
        <v>76</v>
      </c>
      <c r="BE2" s="96" t="s">
        <v>100</v>
      </c>
      <c r="BF2" s="96"/>
      <c r="BG2" s="68" t="s">
        <v>1</v>
      </c>
      <c r="BH2" s="51" t="s">
        <v>31</v>
      </c>
      <c r="BI2" s="51" t="s">
        <v>34</v>
      </c>
      <c r="BJ2" s="51" t="s">
        <v>55</v>
      </c>
      <c r="BK2" s="51" t="s">
        <v>4</v>
      </c>
      <c r="BL2" s="51" t="s">
        <v>56</v>
      </c>
      <c r="BM2" s="51" t="s">
        <v>8</v>
      </c>
      <c r="BN2" s="51" t="s">
        <v>57</v>
      </c>
      <c r="BO2" s="52" t="s">
        <v>3</v>
      </c>
      <c r="BP2" s="51" t="s">
        <v>58</v>
      </c>
      <c r="BQ2" s="51" t="s">
        <v>48</v>
      </c>
      <c r="BR2" s="51" t="s">
        <v>59</v>
      </c>
      <c r="BS2" s="51" t="s">
        <v>52</v>
      </c>
      <c r="BT2" s="51" t="s">
        <v>63</v>
      </c>
      <c r="BU2" s="51" t="s">
        <v>60</v>
      </c>
      <c r="BV2" s="51" t="s">
        <v>61</v>
      </c>
      <c r="BW2" s="5" t="s">
        <v>103</v>
      </c>
      <c r="BX2" s="55" t="s">
        <v>108</v>
      </c>
      <c r="BY2" s="61" t="s">
        <v>91</v>
      </c>
      <c r="BZ2" s="62" t="s">
        <v>107</v>
      </c>
      <c r="CA2" s="63" t="s">
        <v>7</v>
      </c>
      <c r="CB2" s="76" t="s">
        <v>113</v>
      </c>
      <c r="CC2" s="79" t="s">
        <v>116</v>
      </c>
      <c r="CD2" s="78" t="s">
        <v>695</v>
      </c>
      <c r="CE2" s="86" t="s">
        <v>690</v>
      </c>
      <c r="CF2" s="86" t="s">
        <v>691</v>
      </c>
      <c r="CG2" s="53" t="s">
        <v>102</v>
      </c>
      <c r="CH2" s="53" t="s">
        <v>34</v>
      </c>
      <c r="CI2" s="53" t="s">
        <v>47</v>
      </c>
      <c r="CJ2" s="53" t="s">
        <v>701</v>
      </c>
      <c r="CK2" s="53" t="s">
        <v>700</v>
      </c>
      <c r="CL2" s="53" t="s">
        <v>52</v>
      </c>
      <c r="CM2" s="53" t="s">
        <v>4</v>
      </c>
    </row>
    <row r="3" spans="1:91" s="80" customFormat="1" ht="65.25" customHeight="1" x14ac:dyDescent="0.25">
      <c r="A3" s="81" t="s">
        <v>684</v>
      </c>
      <c r="B3" s="81" t="s">
        <v>684</v>
      </c>
      <c r="C3" s="81" t="s">
        <v>684</v>
      </c>
      <c r="D3" s="81" t="s">
        <v>684</v>
      </c>
      <c r="E3" s="81" t="s">
        <v>684</v>
      </c>
      <c r="F3" s="81" t="s">
        <v>684</v>
      </c>
      <c r="G3" s="81" t="s">
        <v>684</v>
      </c>
      <c r="H3" s="81" t="s">
        <v>684</v>
      </c>
      <c r="I3" s="81" t="s">
        <v>684</v>
      </c>
      <c r="J3" s="81" t="s">
        <v>684</v>
      </c>
      <c r="K3" s="81" t="s">
        <v>684</v>
      </c>
      <c r="L3" s="81" t="s">
        <v>684</v>
      </c>
      <c r="M3" s="81" t="s">
        <v>684</v>
      </c>
      <c r="N3" s="81" t="s">
        <v>684</v>
      </c>
      <c r="O3" s="81" t="s">
        <v>684</v>
      </c>
      <c r="P3" s="81" t="s">
        <v>684</v>
      </c>
      <c r="Q3" s="81" t="s">
        <v>684</v>
      </c>
      <c r="R3" s="81" t="s">
        <v>684</v>
      </c>
      <c r="S3" s="81" t="s">
        <v>684</v>
      </c>
      <c r="T3" s="81" t="s">
        <v>684</v>
      </c>
      <c r="U3" s="81" t="s">
        <v>684</v>
      </c>
      <c r="V3" s="81" t="s">
        <v>684</v>
      </c>
      <c r="W3" s="81" t="s">
        <v>684</v>
      </c>
      <c r="X3" s="81" t="s">
        <v>684</v>
      </c>
      <c r="Y3" s="81" t="s">
        <v>684</v>
      </c>
      <c r="Z3" s="81" t="s">
        <v>684</v>
      </c>
      <c r="AA3" s="81" t="s">
        <v>684</v>
      </c>
      <c r="AB3" s="81" t="s">
        <v>684</v>
      </c>
      <c r="AC3" s="81" t="s">
        <v>684</v>
      </c>
      <c r="AD3" s="81" t="s">
        <v>684</v>
      </c>
      <c r="AE3" s="81" t="s">
        <v>684</v>
      </c>
      <c r="AF3" s="81" t="s">
        <v>684</v>
      </c>
      <c r="AG3" s="81" t="s">
        <v>684</v>
      </c>
      <c r="AH3" s="81" t="s">
        <v>684</v>
      </c>
      <c r="AI3" s="81" t="s">
        <v>684</v>
      </c>
      <c r="AJ3" s="81" t="s">
        <v>684</v>
      </c>
      <c r="AK3" s="81" t="s">
        <v>684</v>
      </c>
      <c r="AL3" s="81" t="s">
        <v>684</v>
      </c>
      <c r="AM3" s="81" t="s">
        <v>684</v>
      </c>
      <c r="AN3" s="81" t="s">
        <v>684</v>
      </c>
      <c r="AO3" s="81" t="s">
        <v>684</v>
      </c>
      <c r="BD3" s="55"/>
      <c r="BE3" s="93" t="s">
        <v>693</v>
      </c>
      <c r="BF3" s="93" t="s">
        <v>694</v>
      </c>
      <c r="BG3" s="68"/>
      <c r="BO3" s="81"/>
      <c r="BW3" s="5"/>
      <c r="BX3" s="55"/>
      <c r="BY3" s="61"/>
      <c r="BZ3" s="62"/>
      <c r="CA3" s="63"/>
      <c r="CB3" s="76"/>
      <c r="CC3" s="79"/>
      <c r="CD3" s="81"/>
      <c r="CE3" s="86"/>
      <c r="CF3" s="86"/>
      <c r="CG3" s="53"/>
      <c r="CH3" s="53"/>
      <c r="CI3" s="53"/>
      <c r="CJ3" s="53"/>
      <c r="CK3" s="53"/>
      <c r="CL3" s="53"/>
      <c r="CM3" s="53"/>
    </row>
    <row r="4" spans="1:91" s="55" customFormat="1" ht="25.5" customHeight="1" x14ac:dyDescent="0.25">
      <c r="A4" s="89"/>
      <c r="B4" s="90"/>
      <c r="C4" s="90"/>
      <c r="D4" s="89"/>
      <c r="E4" s="89"/>
      <c r="F4" s="89"/>
      <c r="G4" s="91"/>
      <c r="H4" s="89"/>
      <c r="I4" s="90"/>
      <c r="J4" s="89"/>
      <c r="K4" s="89"/>
      <c r="L4" s="89"/>
      <c r="M4" s="89"/>
      <c r="N4" s="89"/>
      <c r="O4" s="89" t="s">
        <v>703</v>
      </c>
      <c r="P4" s="89"/>
      <c r="Q4" s="89"/>
      <c r="R4" s="91"/>
      <c r="S4" s="91"/>
      <c r="T4" s="91"/>
      <c r="U4" s="90"/>
      <c r="V4" s="91"/>
      <c r="W4" s="89"/>
      <c r="X4" s="89"/>
      <c r="Y4" s="91"/>
      <c r="Z4" s="91"/>
      <c r="AA4" s="89"/>
      <c r="AB4" s="89"/>
      <c r="AC4" s="89"/>
      <c r="AD4" s="89"/>
      <c r="AE4" s="89"/>
      <c r="AF4" s="89"/>
      <c r="AG4" s="89"/>
      <c r="AH4" s="89"/>
      <c r="AI4" s="90"/>
      <c r="AJ4" s="89"/>
      <c r="AK4" s="90"/>
      <c r="AL4" s="89"/>
      <c r="AM4" s="91"/>
      <c r="AN4" s="91"/>
      <c r="AO4" s="91"/>
      <c r="AP4" s="57">
        <f>Лист1!$G$4</f>
        <v>603.11689999999999</v>
      </c>
      <c r="AQ4" s="55">
        <f>H4</f>
        <v>0</v>
      </c>
      <c r="AR4" s="55" t="e">
        <f>VLOOKUP(AQ4,Лист1!$F$5:$G$6,2,0)</f>
        <v>#N/A</v>
      </c>
      <c r="AS4" s="55">
        <f>E4</f>
        <v>0</v>
      </c>
      <c r="AT4" s="55" t="e">
        <f>VLOOKUP(AS4,Лист1!$F$7:$G$9,2,0)</f>
        <v>#N/A</v>
      </c>
      <c r="AU4" s="55">
        <f>F4</f>
        <v>0</v>
      </c>
      <c r="AV4" s="55">
        <f>ROUND(EXP(0.77891374549679*(31.09574438-26.68403684*LN(IF(AU4&lt;5.5,5.5,AU4))+9.02656927*LN(IF(AU4&lt;5.5,5.5,AU4))^2-1.02030817*LN(IF(AU4&lt;5.5,5.5,AU4))^3))/EXP(0.77891374549679*(31.09574438-26.68403684*LN(5.5)+9.02656927*LN(5.5)^2-1.02030817*LN(5.5)^3)),4)</f>
        <v>1</v>
      </c>
      <c r="AW4" s="55">
        <f>ROUND(EXP(0.64000686795267*(9.03187218-0.61524404*LN(IF(D4&lt;400,400,D4))))/EXP(0.64000686795267*(9.03187218-0.61524404*LN(1000))),4)</f>
        <v>1.4345000000000001</v>
      </c>
      <c r="AX4" s="55" t="s">
        <v>50</v>
      </c>
      <c r="AY4" s="55">
        <f>VLOOKUP(AX4,Лист1!$F$12:$G$13,2,0)</f>
        <v>0.91</v>
      </c>
      <c r="AZ4" s="55">
        <f>J4</f>
        <v>0</v>
      </c>
      <c r="BA4" s="55" t="e">
        <f>VLOOKUP(AZ4,Лист1!$F$14:$G$15,2,0)</f>
        <v>#N/A</v>
      </c>
      <c r="BB4" s="55" t="e">
        <f>ROUND(AP4*AR4*AT4*AV4*AW4*AY4*BA4,2)</f>
        <v>#N/A</v>
      </c>
      <c r="BC4" s="58" t="e">
        <f>ROUND(BB4*D4,2)</f>
        <v>#N/A</v>
      </c>
      <c r="BD4" s="55">
        <f>8016</f>
        <v>8016</v>
      </c>
      <c r="BE4" s="65" t="str">
        <f>IF(K4="","Новый объект",IF(AG4=AL4,BC4-L4,"Объект пришел из другой модели"))</f>
        <v>Новый объект</v>
      </c>
      <c r="BF4" s="65" t="str">
        <f>IF(AM4="",IF(Y4&lt;&gt;"","ОСПАРИВАНИЕ",IF(AN4&lt;&gt;"","СУД",IF(R4="","",R4))),AM4)</f>
        <v/>
      </c>
      <c r="BG4" s="69">
        <f>B4</f>
        <v>0</v>
      </c>
      <c r="BH4" s="57">
        <f>Лист1!$G$4</f>
        <v>603.11689999999999</v>
      </c>
      <c r="BI4" s="55" t="str">
        <f>IF(K4="","Наличие электроснабжения",IF(H4="",IF(Q4="отсутствие","Отсутствие электроснабжения","Наличие электроснабжения"),H4))</f>
        <v>Наличие электроснабжения</v>
      </c>
      <c r="BJ4" s="55">
        <f>VLOOKUP(BI4,Лист1!$F$5:$G$6,2,0)</f>
        <v>1</v>
      </c>
      <c r="BK4" s="55" t="str">
        <f>IF(O4="Земли населенных пунктов",Лист1!$F$7,Лист1!$F$8)</f>
        <v>Прочие</v>
      </c>
      <c r="BL4" s="55">
        <f>VLOOKUP(BK4,Лист1!$F$7:$G$9,2,0)</f>
        <v>0.97160000000000002</v>
      </c>
      <c r="BM4" s="55" t="e">
        <f>IF(F4="",IF(P4="",VLOOKUP(U4,Лист1!$G$17:$H$18,2,0),P4),F4)</f>
        <v>#N/A</v>
      </c>
      <c r="BN4" s="55" t="e">
        <f>ROUND(EXP(0.77891374549679*(31.09574438-26.68403684*LN(IF(BM4&lt;5.5,5.5,BM4))+9.02656927*LN(IF(BM4&lt;5.5,5.5,BM4))^2-1.02030817*LN(IF(BM4&lt;5.5,5.5,BM4))^3))/EXP(0.77891374549679*(31.09574438-26.68403684*LN(5.5)+9.02656927*LN(5.5)^2-1.02030817*LN(5.5)^3)),4)</f>
        <v>#N/A</v>
      </c>
      <c r="BO4" s="55">
        <f>N4</f>
        <v>0</v>
      </c>
      <c r="BP4" s="55">
        <f>ROUND(EXP(0.64000686795267*(9.03187218-0.61524404*LN(IF(BO4&lt;400,400,BO4))))/EXP(0.64000686795267*(9.03187218-0.61524404*LN(1000))),4)</f>
        <v>1.4345000000000001</v>
      </c>
      <c r="BQ4" s="55" t="s">
        <v>50</v>
      </c>
      <c r="BR4" s="55">
        <f>VLOOKUP(BQ4,Лист1!$F$12:$G$13,2,0)</f>
        <v>0.91</v>
      </c>
      <c r="BS4" s="55" t="str">
        <f>IF(J4="","Отсутствие ЛЭП",IF(J4="Наличие ЛЭП","Наличие ЛЭП","Отсутствие ЛЭП"))</f>
        <v>Отсутствие ЛЭП</v>
      </c>
      <c r="BT4" s="55">
        <f>VLOOKUP(BS4,Лист1!$F$14:$G$15,2,0)</f>
        <v>1</v>
      </c>
      <c r="BU4" s="55" t="e">
        <f>ROUND(BH4*BJ4*BL4*BN4*BP4*BR4*BT4,2)</f>
        <v>#N/A</v>
      </c>
      <c r="BV4" s="58" t="e">
        <f>ROUND(BU4*BO4,2)</f>
        <v>#N/A</v>
      </c>
      <c r="BW4" s="59" t="s">
        <v>702</v>
      </c>
      <c r="BX4" s="55">
        <f>8016</f>
        <v>8016</v>
      </c>
      <c r="BY4" s="5" t="e">
        <f>IF(OR(BV4=0,BV4&lt;0),"ОТРИЦАТЕЛЬНАЯ СТОИМОСТЬ",IF(CE4=0,"Пересчет не требуется","Готов"))</f>
        <v>#N/A</v>
      </c>
      <c r="BZ4" s="5">
        <f>AK4</f>
        <v>0</v>
      </c>
      <c r="CA4" s="5" t="s">
        <v>14</v>
      </c>
      <c r="CB4" s="5">
        <f>13</f>
        <v>13</v>
      </c>
      <c r="CC4" s="5" t="e">
        <f>VLOOKUP(BZ4,'справочник ври'!$A$3:$B$271,2,0)</f>
        <v>#N/A</v>
      </c>
      <c r="CD4" s="5">
        <f>AJ4</f>
        <v>0</v>
      </c>
      <c r="CE4" s="82" t="str">
        <f>IF(ISBLANK(K4),"Новый объект",IF(BX4=AG4,ABS(BV4-L4),"Объект из другой модели"))</f>
        <v>Новый объект</v>
      </c>
      <c r="CF4" s="82" t="e">
        <f>IF(OR(CE4="Объект из другой модели",CE4="Новый объект"),IF(OR(BU4&lt;4,BU4&gt;788),"Отклонение УПКС","УПКС находится в допустимом интервале"),IF(CE4&gt;1000000,"Внимение!Изменение более 1 млн","Изменение менее 1 млн"))</f>
        <v>#N/A</v>
      </c>
      <c r="CG4" s="59" t="str">
        <f>IF(I4="","Новое значение",IF(I4=U4,"Осталось предыдущее значение ЦФ","ИЗМЕНЕНИЕ"))</f>
        <v>Новое значение</v>
      </c>
      <c r="CH4" s="59" t="str">
        <f>IF(H4="","Новое значение",IF(H4=BI4,"Осталось предыдущее значение ЦФ","ИЗМЕНЕНИЕ"))</f>
        <v>Новое значение</v>
      </c>
      <c r="CI4" s="59" t="str">
        <f>IF(K4="","Объект новый",IF(AB4="не готов","ИЗМЕНЕНИЕ","Осталось предыдущее значение ЦФ"))</f>
        <v>Объект новый</v>
      </c>
      <c r="CJ4" s="59" t="str">
        <f>IF(F4="","Новое значение",IF(F4=BM4,"Осталось предыдущее значение ЦФ","ИЗМЕНЕНИЕ"))</f>
        <v>Новое значение</v>
      </c>
      <c r="CK4" s="59" t="str">
        <f>IF(K4="","Объект новый",IF(AI4=AK4,"Осталось предыдущее значение ЦФ","ИЗМЕНЕНИЕ"))</f>
        <v>Объект новый</v>
      </c>
      <c r="CL4" s="59" t="str">
        <f>IF(J4="","Новое значение",IF(J4=BS4,"Осталось предыдущее значение ЦФ","ИЗМЕНЕНИЕ"))</f>
        <v>Новое значение</v>
      </c>
      <c r="CM4" s="59" t="str">
        <f>IF(E4="","Новое значение",IF(E4=BK4,"Осталось предыдущее значение ЦФ","ИЗМЕНЕНИЕ"))</f>
        <v>Новое значение</v>
      </c>
    </row>
    <row r="5" spans="1:91" ht="38.25" x14ac:dyDescent="0.25">
      <c r="AP5" s="57">
        <f>Лист1!$G$4</f>
        <v>603.11689999999999</v>
      </c>
      <c r="AQ5" s="55">
        <f t="shared" ref="AQ5:AQ6" si="0">H5</f>
        <v>0</v>
      </c>
      <c r="AR5" s="55" t="e">
        <f>VLOOKUP(AQ5,Лист1!$F$5:$G$6,2,0)</f>
        <v>#N/A</v>
      </c>
      <c r="AS5" s="55">
        <f t="shared" ref="AS5:AS6" si="1">E5</f>
        <v>0</v>
      </c>
      <c r="AT5" s="55" t="e">
        <f>VLOOKUP(AS5,Лист1!$F$7:$G$9,2,0)</f>
        <v>#N/A</v>
      </c>
      <c r="AU5" s="55">
        <f t="shared" ref="AU5:AU6" si="2">F5</f>
        <v>0</v>
      </c>
      <c r="AV5" s="55">
        <f t="shared" ref="AV5:AV6" si="3">ROUND(EXP(0.77891374549679*(31.09574438-26.68403684*LN(IF(AU5&lt;5.5,5.5,AU5))+9.02656927*LN(IF(AU5&lt;5.5,5.5,AU5))^2-1.02030817*LN(IF(AU5&lt;5.5,5.5,AU5))^3))/EXP(0.77891374549679*(31.09574438-26.68403684*LN(5.5)+9.02656927*LN(5.5)^2-1.02030817*LN(5.5)^3)),4)</f>
        <v>1</v>
      </c>
      <c r="AW5" s="55">
        <f t="shared" ref="AW5:AW6" si="4">ROUND(EXP(0.64000686795267*(9.03187218-0.61524404*LN(IF(D5&lt;400,400,D5))))/EXP(0.64000686795267*(9.03187218-0.61524404*LN(1000))),4)</f>
        <v>1.4345000000000001</v>
      </c>
      <c r="AX5" s="55" t="s">
        <v>50</v>
      </c>
      <c r="AY5" s="55">
        <f>VLOOKUP(AX5,Лист1!$F$12:$G$13,2,0)</f>
        <v>0.91</v>
      </c>
      <c r="AZ5" s="55">
        <f t="shared" ref="AZ5:AZ6" si="5">J5</f>
        <v>0</v>
      </c>
      <c r="BA5" s="55" t="e">
        <f>VLOOKUP(AZ5,Лист1!$F$14:$G$15,2,0)</f>
        <v>#N/A</v>
      </c>
      <c r="BB5" s="55" t="e">
        <f t="shared" ref="BB5:BB6" si="6">ROUND(AP5*AR5*AT5*AV5*AW5*AY5*BA5,2)</f>
        <v>#N/A</v>
      </c>
      <c r="BC5" s="58" t="e">
        <f t="shared" ref="BC5:BC6" si="7">ROUND(BB5*D5,2)</f>
        <v>#N/A</v>
      </c>
      <c r="BD5" s="55">
        <f>8016</f>
        <v>8016</v>
      </c>
      <c r="BE5" s="65" t="str">
        <f t="shared" ref="BE5:BE6" si="8">IF(K5="","Новый объект",IF(AG5=AL5,BC5-L5,"Объект пришел из другой модели"))</f>
        <v>Новый объект</v>
      </c>
      <c r="BF5" s="65" t="str">
        <f t="shared" ref="BF5:BF6" si="9">IF(AM5="",IF(Y5&lt;&gt;"","ОСПАРИВАНИЕ",IF(AN5&lt;&gt;"","СУД",IF(R5="","",R5))),AM5)</f>
        <v/>
      </c>
      <c r="BG5" s="69">
        <f t="shared" ref="BG5:BG6" si="10">B5</f>
        <v>0</v>
      </c>
      <c r="BH5" s="57">
        <f>Лист1!$G$4</f>
        <v>603.11689999999999</v>
      </c>
      <c r="BI5" s="55" t="str">
        <f t="shared" ref="BI5:BI6" si="11">IF(K5="","Наличие электроснабжения",IF(H5="",IF(Q5="отсутствие","Отсутствие электроснабжения","Наличие электроснабжения"),H5))</f>
        <v>Наличие электроснабжения</v>
      </c>
      <c r="BJ5" s="55">
        <f>VLOOKUP(BI5,Лист1!$F$5:$G$6,2,0)</f>
        <v>1</v>
      </c>
      <c r="BK5" s="55" t="str">
        <f>IF(O5="Земли населенных пунктов",Лист1!$F$7,Лист1!$F$8)</f>
        <v>Прочие</v>
      </c>
      <c r="BL5" s="55">
        <f>VLOOKUP(BK5,Лист1!$F$7:$G$9,2,0)</f>
        <v>0.97160000000000002</v>
      </c>
      <c r="BM5" s="55" t="e">
        <f>IF(F5="",IF(P5="",VLOOKUP(U5,Лист1!$G$17:$H$18,2,0),P5),F5)</f>
        <v>#N/A</v>
      </c>
      <c r="BN5" s="55" t="e">
        <f t="shared" ref="BN5:BN6" si="12">ROUND(EXP(0.77891374549679*(31.09574438-26.68403684*LN(IF(BM5&lt;5.5,5.5,BM5))+9.02656927*LN(IF(BM5&lt;5.5,5.5,BM5))^2-1.02030817*LN(IF(BM5&lt;5.5,5.5,BM5))^3))/EXP(0.77891374549679*(31.09574438-26.68403684*LN(5.5)+9.02656927*LN(5.5)^2-1.02030817*LN(5.5)^3)),4)</f>
        <v>#N/A</v>
      </c>
      <c r="BO5" s="55">
        <f t="shared" ref="BO5:BO6" si="13">N5</f>
        <v>0</v>
      </c>
      <c r="BP5" s="55">
        <f t="shared" ref="BP5:BP6" si="14">ROUND(EXP(0.64000686795267*(9.03187218-0.61524404*LN(IF(BO5&lt;400,400,BO5))))/EXP(0.64000686795267*(9.03187218-0.61524404*LN(1000))),4)</f>
        <v>1.4345000000000001</v>
      </c>
      <c r="BQ5" s="55" t="s">
        <v>50</v>
      </c>
      <c r="BR5" s="55">
        <f>VLOOKUP(BQ5,Лист1!$F$12:$G$13,2,0)</f>
        <v>0.91</v>
      </c>
      <c r="BS5" s="55" t="str">
        <f t="shared" ref="BS5:BS6" si="15">IF(J5="","Отсутствие ЛЭП",IF(J5="Наличие ЛЭП","Наличие ЛЭП","Отсутствие ЛЭП"))</f>
        <v>Отсутствие ЛЭП</v>
      </c>
      <c r="BT5" s="55">
        <f>VLOOKUP(BS5,Лист1!$F$14:$G$15,2,0)</f>
        <v>1</v>
      </c>
      <c r="BU5" s="55" t="e">
        <f t="shared" ref="BU5:BU6" si="16">ROUND(BH5*BJ5*BL5*BN5*BP5*BR5*BT5,2)</f>
        <v>#N/A</v>
      </c>
      <c r="BV5" s="58" t="e">
        <f t="shared" ref="BV5:BV6" si="17">ROUND(BU5*BO5,2)</f>
        <v>#N/A</v>
      </c>
      <c r="BW5" s="59" t="s">
        <v>702</v>
      </c>
      <c r="BX5" s="55">
        <f>8016</f>
        <v>8016</v>
      </c>
      <c r="BY5" s="5" t="e">
        <f t="shared" ref="BY5:BY6" si="18">IF(OR(BV5=0,BV5&lt;0),"ОТРИЦАТЕЛЬНАЯ СТОИМОСТЬ",IF(CE5=0,"Пересчет не требуется","Готов"))</f>
        <v>#N/A</v>
      </c>
      <c r="BZ5" s="5">
        <f t="shared" ref="BZ5:BZ6" si="19">AK5</f>
        <v>0</v>
      </c>
      <c r="CA5" s="5" t="s">
        <v>14</v>
      </c>
      <c r="CB5" s="5">
        <f>13</f>
        <v>13</v>
      </c>
      <c r="CC5" s="5" t="e">
        <f>VLOOKUP(BZ5,'справочник ври'!$A$3:$B$271,2,0)</f>
        <v>#N/A</v>
      </c>
      <c r="CD5" s="5">
        <f t="shared" ref="CD5:CD6" si="20">AJ5</f>
        <v>0</v>
      </c>
      <c r="CE5" s="82" t="str">
        <f t="shared" ref="CE5:CE6" si="21">IF(ISBLANK(K5),"Новый объект",IF(BX5=AG5,ABS(BV5-L5),"Объект из другой модели"))</f>
        <v>Новый объект</v>
      </c>
      <c r="CF5" s="82" t="e">
        <f t="shared" ref="CF5:CF6" si="22">IF(OR(CE5="Объект из другой модели",CE5="Новый объект"),IF(OR(BU5&lt;4,BU5&gt;788),"Отклонение УПКС","УПКС находится в допустимом интервале"),IF(CE5&gt;1000000,"Внимение!Изменение более 1 млн","Изменение менее 1 млн"))</f>
        <v>#N/A</v>
      </c>
      <c r="CG5" s="59" t="str">
        <f t="shared" ref="CG5:CG6" si="23">IF(I5="","Новое значение",IF(I5=U5,"Осталось предыдущее значение ЦФ","ИЗМЕНЕНИЕ"))</f>
        <v>Новое значение</v>
      </c>
      <c r="CH5" s="59" t="str">
        <f t="shared" ref="CH5:CH6" si="24">IF(H5="","Новое значение",IF(H5=BI5,"Осталось предыдущее значение ЦФ","ИЗМЕНЕНИЕ"))</f>
        <v>Новое значение</v>
      </c>
      <c r="CI5" s="59" t="str">
        <f t="shared" ref="CI5:CI6" si="25">IF(K5="","Объект новый",IF(AB5="не готов","ИЗМЕНЕНИЕ","Осталось предыдущее значение ЦФ"))</f>
        <v>Объект новый</v>
      </c>
      <c r="CJ5" s="59" t="str">
        <f t="shared" ref="CJ5:CJ6" si="26">IF(F5="","Новое значение",IF(F5=BM5,"Осталось предыдущее значение ЦФ","ИЗМЕНЕНИЕ"))</f>
        <v>Новое значение</v>
      </c>
      <c r="CK5" s="59" t="str">
        <f t="shared" ref="CK5:CK6" si="27">IF(K5="","Объект новый",IF(AI5=AK5,"Осталось предыдущее значение ЦФ","ИЗМЕНЕНИЕ"))</f>
        <v>Объект новый</v>
      </c>
      <c r="CL5" s="59" t="str">
        <f t="shared" ref="CL5:CL6" si="28">IF(J5="","Новое значение",IF(J5=BS5,"Осталось предыдущее значение ЦФ","ИЗМЕНЕНИЕ"))</f>
        <v>Новое значение</v>
      </c>
      <c r="CM5" s="59" t="str">
        <f t="shared" ref="CM5:CM6" si="29">IF(E5="","Новое значение",IF(E5=BK5,"Осталось предыдущее значение ЦФ","ИЗМЕНЕНИЕ"))</f>
        <v>Новое значение</v>
      </c>
    </row>
    <row r="6" spans="1:91" ht="38.25" x14ac:dyDescent="0.25">
      <c r="A6" s="85" t="s">
        <v>704</v>
      </c>
      <c r="AP6" s="57">
        <f>Лист1!$G$4</f>
        <v>603.11689999999999</v>
      </c>
      <c r="AQ6" s="55">
        <f t="shared" si="0"/>
        <v>0</v>
      </c>
      <c r="AR6" s="55" t="e">
        <f>VLOOKUP(AQ6,Лист1!$F$5:$G$6,2,0)</f>
        <v>#N/A</v>
      </c>
      <c r="AS6" s="55">
        <f t="shared" si="1"/>
        <v>0</v>
      </c>
      <c r="AT6" s="55" t="e">
        <f>VLOOKUP(AS6,Лист1!$F$7:$G$9,2,0)</f>
        <v>#N/A</v>
      </c>
      <c r="AU6" s="55">
        <f t="shared" si="2"/>
        <v>0</v>
      </c>
      <c r="AV6" s="55">
        <f t="shared" si="3"/>
        <v>1</v>
      </c>
      <c r="AW6" s="55">
        <f t="shared" si="4"/>
        <v>1.4345000000000001</v>
      </c>
      <c r="AX6" s="55" t="s">
        <v>50</v>
      </c>
      <c r="AY6" s="55">
        <f>VLOOKUP(AX6,Лист1!$F$12:$G$13,2,0)</f>
        <v>0.91</v>
      </c>
      <c r="AZ6" s="55">
        <f t="shared" si="5"/>
        <v>0</v>
      </c>
      <c r="BA6" s="55" t="e">
        <f>VLOOKUP(AZ6,Лист1!$F$14:$G$15,2,0)</f>
        <v>#N/A</v>
      </c>
      <c r="BB6" s="55" t="e">
        <f t="shared" si="6"/>
        <v>#N/A</v>
      </c>
      <c r="BC6" s="58" t="e">
        <f t="shared" si="7"/>
        <v>#N/A</v>
      </c>
      <c r="BD6" s="55">
        <f>8016</f>
        <v>8016</v>
      </c>
      <c r="BE6" s="65" t="str">
        <f t="shared" si="8"/>
        <v>Новый объект</v>
      </c>
      <c r="BF6" s="65" t="str">
        <f t="shared" si="9"/>
        <v/>
      </c>
      <c r="BG6" s="69">
        <f t="shared" si="10"/>
        <v>0</v>
      </c>
      <c r="BH6" s="57">
        <f>Лист1!$G$4</f>
        <v>603.11689999999999</v>
      </c>
      <c r="BI6" s="55" t="str">
        <f t="shared" si="11"/>
        <v>Наличие электроснабжения</v>
      </c>
      <c r="BJ6" s="55">
        <f>VLOOKUP(BI6,Лист1!$F$5:$G$6,2,0)</f>
        <v>1</v>
      </c>
      <c r="BK6" s="55" t="str">
        <f>IF(O6="Земли населенных пунктов",Лист1!$F$7,Лист1!$F$8)</f>
        <v>Прочие</v>
      </c>
      <c r="BL6" s="55">
        <f>VLOOKUP(BK6,Лист1!$F$7:$G$9,2,0)</f>
        <v>0.97160000000000002</v>
      </c>
      <c r="BM6" s="55" t="e">
        <f>IF(F6="",IF(P6="",VLOOKUP(U6,Лист1!$G$17:$H$18,2,0),P6),F6)</f>
        <v>#N/A</v>
      </c>
      <c r="BN6" s="55" t="e">
        <f t="shared" si="12"/>
        <v>#N/A</v>
      </c>
      <c r="BO6" s="55">
        <f t="shared" si="13"/>
        <v>0</v>
      </c>
      <c r="BP6" s="55">
        <f t="shared" si="14"/>
        <v>1.4345000000000001</v>
      </c>
      <c r="BQ6" s="55" t="s">
        <v>50</v>
      </c>
      <c r="BR6" s="55">
        <f>VLOOKUP(BQ6,Лист1!$F$12:$G$13,2,0)</f>
        <v>0.91</v>
      </c>
      <c r="BS6" s="55" t="str">
        <f t="shared" si="15"/>
        <v>Отсутствие ЛЭП</v>
      </c>
      <c r="BT6" s="55">
        <f>VLOOKUP(BS6,Лист1!$F$14:$G$15,2,0)</f>
        <v>1</v>
      </c>
      <c r="BU6" s="55" t="e">
        <f t="shared" si="16"/>
        <v>#N/A</v>
      </c>
      <c r="BV6" s="58" t="e">
        <f t="shared" si="17"/>
        <v>#N/A</v>
      </c>
      <c r="BW6" s="59" t="s">
        <v>702</v>
      </c>
      <c r="BX6" s="55">
        <f>8016</f>
        <v>8016</v>
      </c>
      <c r="BY6" s="5" t="e">
        <f t="shared" si="18"/>
        <v>#N/A</v>
      </c>
      <c r="BZ6" s="5">
        <f t="shared" si="19"/>
        <v>0</v>
      </c>
      <c r="CA6" s="5" t="s">
        <v>14</v>
      </c>
      <c r="CB6" s="5">
        <f>13</f>
        <v>13</v>
      </c>
      <c r="CC6" s="5" t="e">
        <f>VLOOKUP(BZ6,'справочник ври'!$A$3:$B$271,2,0)</f>
        <v>#N/A</v>
      </c>
      <c r="CD6" s="5">
        <f t="shared" si="20"/>
        <v>0</v>
      </c>
      <c r="CE6" s="82" t="str">
        <f t="shared" si="21"/>
        <v>Новый объект</v>
      </c>
      <c r="CF6" s="82" t="e">
        <f t="shared" si="22"/>
        <v>#N/A</v>
      </c>
      <c r="CG6" s="59" t="str">
        <f t="shared" si="23"/>
        <v>Новое значение</v>
      </c>
      <c r="CH6" s="59" t="str">
        <f t="shared" si="24"/>
        <v>Новое значение</v>
      </c>
      <c r="CI6" s="59" t="str">
        <f t="shared" si="25"/>
        <v>Объект новый</v>
      </c>
      <c r="CJ6" s="59" t="str">
        <f t="shared" si="26"/>
        <v>Новое значение</v>
      </c>
      <c r="CK6" s="59" t="str">
        <f t="shared" si="27"/>
        <v>Объект новый</v>
      </c>
      <c r="CL6" s="59" t="str">
        <f t="shared" si="28"/>
        <v>Новое значение</v>
      </c>
      <c r="CM6" s="59" t="str">
        <f t="shared" si="29"/>
        <v>Новое значение</v>
      </c>
    </row>
  </sheetData>
  <mergeCells count="3">
    <mergeCell ref="BE1:BF1"/>
    <mergeCell ref="AP1:BD1"/>
    <mergeCell ref="BE2:BF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105</v>
      </c>
      <c r="B1" t="s">
        <v>115</v>
      </c>
    </row>
    <row r="2" spans="1:2" x14ac:dyDescent="0.25">
      <c r="A2" t="s">
        <v>6</v>
      </c>
      <c r="B2" t="s">
        <v>117</v>
      </c>
    </row>
    <row r="3" spans="1:2" x14ac:dyDescent="0.25">
      <c r="A3" t="s">
        <v>118</v>
      </c>
      <c r="B3" t="s">
        <v>119</v>
      </c>
    </row>
    <row r="4" spans="1:2" x14ac:dyDescent="0.25">
      <c r="A4" t="s">
        <v>120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126</v>
      </c>
      <c r="B7" t="s">
        <v>127</v>
      </c>
    </row>
    <row r="8" spans="1:2" x14ac:dyDescent="0.25">
      <c r="A8" t="s">
        <v>128</v>
      </c>
      <c r="B8" t="s">
        <v>129</v>
      </c>
    </row>
    <row r="9" spans="1:2" x14ac:dyDescent="0.25">
      <c r="A9" t="s">
        <v>130</v>
      </c>
      <c r="B9" t="s">
        <v>131</v>
      </c>
    </row>
    <row r="10" spans="1:2" x14ac:dyDescent="0.25">
      <c r="A10" t="s">
        <v>132</v>
      </c>
      <c r="B10" t="s">
        <v>133</v>
      </c>
    </row>
    <row r="11" spans="1:2" x14ac:dyDescent="0.25">
      <c r="A11" t="s">
        <v>134</v>
      </c>
      <c r="B11" t="s">
        <v>135</v>
      </c>
    </row>
    <row r="12" spans="1:2" x14ac:dyDescent="0.25">
      <c r="A12" t="s">
        <v>136</v>
      </c>
      <c r="B12" t="s">
        <v>137</v>
      </c>
    </row>
    <row r="13" spans="1:2" x14ac:dyDescent="0.25">
      <c r="A13" t="s">
        <v>138</v>
      </c>
      <c r="B13" t="s">
        <v>139</v>
      </c>
    </row>
    <row r="14" spans="1:2" x14ac:dyDescent="0.25">
      <c r="A14" t="s">
        <v>140</v>
      </c>
      <c r="B14" t="s">
        <v>141</v>
      </c>
    </row>
    <row r="15" spans="1:2" x14ac:dyDescent="0.25">
      <c r="A15" t="s">
        <v>142</v>
      </c>
      <c r="B15" t="s">
        <v>143</v>
      </c>
    </row>
    <row r="16" spans="1:2" x14ac:dyDescent="0.25">
      <c r="A16" t="s">
        <v>144</v>
      </c>
      <c r="B16" t="s">
        <v>145</v>
      </c>
    </row>
    <row r="17" spans="1:2" x14ac:dyDescent="0.25">
      <c r="A17" t="s">
        <v>146</v>
      </c>
      <c r="B17" t="s">
        <v>147</v>
      </c>
    </row>
    <row r="18" spans="1:2" x14ac:dyDescent="0.25">
      <c r="A18" t="s">
        <v>148</v>
      </c>
      <c r="B18" t="s">
        <v>149</v>
      </c>
    </row>
    <row r="19" spans="1:2" x14ac:dyDescent="0.25">
      <c r="A19" t="s">
        <v>150</v>
      </c>
      <c r="B19" t="s">
        <v>151</v>
      </c>
    </row>
    <row r="20" spans="1:2" x14ac:dyDescent="0.25">
      <c r="A20" t="s">
        <v>152</v>
      </c>
      <c r="B20" t="s">
        <v>153</v>
      </c>
    </row>
    <row r="21" spans="1:2" x14ac:dyDescent="0.25">
      <c r="A21" t="s">
        <v>154</v>
      </c>
      <c r="B21" t="s">
        <v>155</v>
      </c>
    </row>
    <row r="22" spans="1:2" x14ac:dyDescent="0.25">
      <c r="A22" t="s">
        <v>156</v>
      </c>
      <c r="B22" t="s">
        <v>157</v>
      </c>
    </row>
    <row r="23" spans="1:2" x14ac:dyDescent="0.25">
      <c r="A23" t="s">
        <v>158</v>
      </c>
      <c r="B23" t="s">
        <v>159</v>
      </c>
    </row>
    <row r="24" spans="1:2" x14ac:dyDescent="0.25">
      <c r="A24" t="s">
        <v>160</v>
      </c>
      <c r="B24" t="s">
        <v>161</v>
      </c>
    </row>
    <row r="25" spans="1:2" x14ac:dyDescent="0.25">
      <c r="A25" t="s">
        <v>162</v>
      </c>
      <c r="B25" t="s">
        <v>163</v>
      </c>
    </row>
    <row r="26" spans="1:2" x14ac:dyDescent="0.25">
      <c r="A26" t="s">
        <v>164</v>
      </c>
      <c r="B26" t="s">
        <v>165</v>
      </c>
    </row>
    <row r="27" spans="1:2" x14ac:dyDescent="0.25">
      <c r="A27" t="s">
        <v>166</v>
      </c>
      <c r="B27" t="s">
        <v>167</v>
      </c>
    </row>
    <row r="28" spans="1:2" x14ac:dyDescent="0.25">
      <c r="A28" t="s">
        <v>168</v>
      </c>
      <c r="B28" t="s">
        <v>169</v>
      </c>
    </row>
    <row r="29" spans="1:2" x14ac:dyDescent="0.25">
      <c r="A29" t="s">
        <v>170</v>
      </c>
      <c r="B29" t="s">
        <v>171</v>
      </c>
    </row>
    <row r="30" spans="1:2" x14ac:dyDescent="0.25">
      <c r="A30" t="s">
        <v>172</v>
      </c>
      <c r="B30" t="s">
        <v>173</v>
      </c>
    </row>
    <row r="31" spans="1:2" x14ac:dyDescent="0.25">
      <c r="A31" t="s">
        <v>174</v>
      </c>
      <c r="B31" t="s">
        <v>175</v>
      </c>
    </row>
    <row r="32" spans="1:2" x14ac:dyDescent="0.25">
      <c r="A32" t="s">
        <v>176</v>
      </c>
      <c r="B32" t="s">
        <v>177</v>
      </c>
    </row>
    <row r="33" spans="1:2" x14ac:dyDescent="0.25">
      <c r="A33" t="s">
        <v>178</v>
      </c>
      <c r="B33" t="s">
        <v>179</v>
      </c>
    </row>
    <row r="34" spans="1:2" x14ac:dyDescent="0.25">
      <c r="A34" t="s">
        <v>180</v>
      </c>
      <c r="B34" t="s">
        <v>181</v>
      </c>
    </row>
    <row r="35" spans="1:2" x14ac:dyDescent="0.25">
      <c r="A35" t="s">
        <v>182</v>
      </c>
      <c r="B35" t="s">
        <v>183</v>
      </c>
    </row>
    <row r="36" spans="1:2" x14ac:dyDescent="0.25">
      <c r="A36" t="s">
        <v>184</v>
      </c>
      <c r="B36" t="s">
        <v>185</v>
      </c>
    </row>
    <row r="37" spans="1:2" x14ac:dyDescent="0.25">
      <c r="A37" t="s">
        <v>186</v>
      </c>
      <c r="B37" t="s">
        <v>187</v>
      </c>
    </row>
    <row r="38" spans="1:2" x14ac:dyDescent="0.25">
      <c r="A38" t="s">
        <v>188</v>
      </c>
      <c r="B38" t="s">
        <v>189</v>
      </c>
    </row>
    <row r="39" spans="1:2" x14ac:dyDescent="0.25">
      <c r="A39" t="s">
        <v>190</v>
      </c>
      <c r="B39" t="s">
        <v>191</v>
      </c>
    </row>
    <row r="40" spans="1:2" x14ac:dyDescent="0.25">
      <c r="A40" t="s">
        <v>192</v>
      </c>
      <c r="B40" t="s">
        <v>193</v>
      </c>
    </row>
    <row r="41" spans="1:2" x14ac:dyDescent="0.25">
      <c r="A41" t="s">
        <v>194</v>
      </c>
      <c r="B41" t="s">
        <v>195</v>
      </c>
    </row>
    <row r="42" spans="1:2" x14ac:dyDescent="0.25">
      <c r="A42" t="s">
        <v>196</v>
      </c>
      <c r="B42" t="s">
        <v>197</v>
      </c>
    </row>
    <row r="43" spans="1:2" x14ac:dyDescent="0.25">
      <c r="A43" t="s">
        <v>198</v>
      </c>
      <c r="B43" t="s">
        <v>199</v>
      </c>
    </row>
    <row r="44" spans="1:2" x14ac:dyDescent="0.25">
      <c r="A44" t="s">
        <v>200</v>
      </c>
      <c r="B44" t="s">
        <v>201</v>
      </c>
    </row>
    <row r="45" spans="1:2" x14ac:dyDescent="0.25">
      <c r="A45" t="s">
        <v>202</v>
      </c>
      <c r="B45" t="s">
        <v>203</v>
      </c>
    </row>
    <row r="46" spans="1:2" x14ac:dyDescent="0.25">
      <c r="A46" t="s">
        <v>204</v>
      </c>
      <c r="B46" t="s">
        <v>205</v>
      </c>
    </row>
    <row r="47" spans="1:2" x14ac:dyDescent="0.25">
      <c r="A47" t="s">
        <v>206</v>
      </c>
      <c r="B47" t="s">
        <v>207</v>
      </c>
    </row>
    <row r="48" spans="1:2" x14ac:dyDescent="0.25">
      <c r="A48" t="s">
        <v>208</v>
      </c>
      <c r="B48" t="s">
        <v>209</v>
      </c>
    </row>
    <row r="49" spans="1:2" x14ac:dyDescent="0.25">
      <c r="A49" t="s">
        <v>210</v>
      </c>
      <c r="B49" t="s">
        <v>211</v>
      </c>
    </row>
    <row r="50" spans="1:2" x14ac:dyDescent="0.25">
      <c r="A50" t="s">
        <v>212</v>
      </c>
      <c r="B50" t="s">
        <v>213</v>
      </c>
    </row>
    <row r="51" spans="1:2" x14ac:dyDescent="0.25">
      <c r="A51" t="s">
        <v>214</v>
      </c>
      <c r="B51" t="s">
        <v>215</v>
      </c>
    </row>
    <row r="52" spans="1:2" x14ac:dyDescent="0.25">
      <c r="A52" t="s">
        <v>216</v>
      </c>
      <c r="B52" t="s">
        <v>217</v>
      </c>
    </row>
    <row r="53" spans="1:2" x14ac:dyDescent="0.25">
      <c r="A53" t="s">
        <v>218</v>
      </c>
      <c r="B53" t="s">
        <v>219</v>
      </c>
    </row>
    <row r="54" spans="1:2" x14ac:dyDescent="0.25">
      <c r="A54" t="s">
        <v>220</v>
      </c>
      <c r="B54" t="s">
        <v>221</v>
      </c>
    </row>
    <row r="55" spans="1:2" x14ac:dyDescent="0.25">
      <c r="A55" t="s">
        <v>222</v>
      </c>
      <c r="B55" t="s">
        <v>223</v>
      </c>
    </row>
    <row r="56" spans="1:2" x14ac:dyDescent="0.25">
      <c r="A56" t="s">
        <v>224</v>
      </c>
      <c r="B56" t="s">
        <v>225</v>
      </c>
    </row>
    <row r="57" spans="1:2" x14ac:dyDescent="0.25">
      <c r="A57" t="s">
        <v>226</v>
      </c>
      <c r="B57" t="s">
        <v>227</v>
      </c>
    </row>
    <row r="58" spans="1:2" x14ac:dyDescent="0.25">
      <c r="A58" t="s">
        <v>228</v>
      </c>
      <c r="B58" t="s">
        <v>229</v>
      </c>
    </row>
    <row r="59" spans="1:2" x14ac:dyDescent="0.25">
      <c r="A59" t="s">
        <v>230</v>
      </c>
      <c r="B59" t="s">
        <v>231</v>
      </c>
    </row>
    <row r="60" spans="1:2" x14ac:dyDescent="0.25">
      <c r="A60" t="s">
        <v>232</v>
      </c>
      <c r="B60" t="s">
        <v>233</v>
      </c>
    </row>
    <row r="61" spans="1:2" x14ac:dyDescent="0.25">
      <c r="A61" t="s">
        <v>234</v>
      </c>
      <c r="B61" t="s">
        <v>235</v>
      </c>
    </row>
    <row r="62" spans="1:2" x14ac:dyDescent="0.25">
      <c r="A62" t="s">
        <v>236</v>
      </c>
      <c r="B62" t="s">
        <v>237</v>
      </c>
    </row>
    <row r="63" spans="1:2" x14ac:dyDescent="0.25">
      <c r="A63" t="s">
        <v>238</v>
      </c>
      <c r="B63" t="s">
        <v>239</v>
      </c>
    </row>
    <row r="64" spans="1:2" x14ac:dyDescent="0.25">
      <c r="A64" t="s">
        <v>240</v>
      </c>
      <c r="B64" t="s">
        <v>241</v>
      </c>
    </row>
    <row r="65" spans="1:2" x14ac:dyDescent="0.25">
      <c r="A65" t="s">
        <v>242</v>
      </c>
      <c r="B65" t="s">
        <v>243</v>
      </c>
    </row>
    <row r="66" spans="1:2" x14ac:dyDescent="0.25">
      <c r="A66" t="s">
        <v>244</v>
      </c>
      <c r="B66" t="s">
        <v>245</v>
      </c>
    </row>
    <row r="67" spans="1:2" x14ac:dyDescent="0.25">
      <c r="A67" t="s">
        <v>246</v>
      </c>
      <c r="B67" t="s">
        <v>247</v>
      </c>
    </row>
    <row r="68" spans="1:2" x14ac:dyDescent="0.25">
      <c r="A68" t="s">
        <v>248</v>
      </c>
      <c r="B68" t="s">
        <v>249</v>
      </c>
    </row>
    <row r="69" spans="1:2" x14ac:dyDescent="0.25">
      <c r="A69" t="s">
        <v>250</v>
      </c>
      <c r="B69" t="s">
        <v>251</v>
      </c>
    </row>
    <row r="70" spans="1:2" x14ac:dyDescent="0.25">
      <c r="A70" t="s">
        <v>252</v>
      </c>
      <c r="B70" t="s">
        <v>253</v>
      </c>
    </row>
    <row r="71" spans="1:2" x14ac:dyDescent="0.25">
      <c r="A71" t="s">
        <v>254</v>
      </c>
      <c r="B71" t="s">
        <v>255</v>
      </c>
    </row>
    <row r="72" spans="1:2" x14ac:dyDescent="0.25">
      <c r="A72" t="s">
        <v>256</v>
      </c>
      <c r="B72" t="s">
        <v>257</v>
      </c>
    </row>
    <row r="73" spans="1:2" x14ac:dyDescent="0.25">
      <c r="A73" t="s">
        <v>258</v>
      </c>
      <c r="B73" t="s">
        <v>259</v>
      </c>
    </row>
    <row r="74" spans="1:2" x14ac:dyDescent="0.25">
      <c r="A74" t="s">
        <v>260</v>
      </c>
      <c r="B74" t="s">
        <v>261</v>
      </c>
    </row>
    <row r="75" spans="1:2" x14ac:dyDescent="0.25">
      <c r="A75" t="s">
        <v>262</v>
      </c>
      <c r="B75" t="s">
        <v>263</v>
      </c>
    </row>
    <row r="76" spans="1:2" x14ac:dyDescent="0.25">
      <c r="A76" t="s">
        <v>264</v>
      </c>
      <c r="B76" t="s">
        <v>265</v>
      </c>
    </row>
    <row r="77" spans="1:2" x14ac:dyDescent="0.25">
      <c r="A77" t="s">
        <v>266</v>
      </c>
      <c r="B77" t="s">
        <v>267</v>
      </c>
    </row>
    <row r="78" spans="1:2" x14ac:dyDescent="0.25">
      <c r="A78" t="s">
        <v>268</v>
      </c>
      <c r="B78" t="s">
        <v>269</v>
      </c>
    </row>
    <row r="79" spans="1:2" x14ac:dyDescent="0.25">
      <c r="A79" t="s">
        <v>270</v>
      </c>
      <c r="B79" t="s">
        <v>271</v>
      </c>
    </row>
    <row r="80" spans="1:2" x14ac:dyDescent="0.25">
      <c r="A80" t="s">
        <v>272</v>
      </c>
      <c r="B80" t="s">
        <v>273</v>
      </c>
    </row>
    <row r="81" spans="1:2" x14ac:dyDescent="0.25">
      <c r="A81" t="s">
        <v>274</v>
      </c>
      <c r="B81" t="s">
        <v>275</v>
      </c>
    </row>
    <row r="82" spans="1:2" x14ac:dyDescent="0.25">
      <c r="A82" t="s">
        <v>276</v>
      </c>
      <c r="B82" t="s">
        <v>277</v>
      </c>
    </row>
    <row r="83" spans="1:2" x14ac:dyDescent="0.25">
      <c r="A83" t="s">
        <v>278</v>
      </c>
      <c r="B83" t="s">
        <v>279</v>
      </c>
    </row>
    <row r="84" spans="1:2" x14ac:dyDescent="0.25">
      <c r="A84" t="s">
        <v>280</v>
      </c>
      <c r="B84" t="s">
        <v>281</v>
      </c>
    </row>
    <row r="85" spans="1:2" x14ac:dyDescent="0.25">
      <c r="A85" t="s">
        <v>282</v>
      </c>
      <c r="B85" t="s">
        <v>283</v>
      </c>
    </row>
    <row r="86" spans="1:2" x14ac:dyDescent="0.25">
      <c r="A86" t="s">
        <v>284</v>
      </c>
      <c r="B86" t="s">
        <v>285</v>
      </c>
    </row>
    <row r="87" spans="1:2" x14ac:dyDescent="0.25">
      <c r="A87" t="s">
        <v>286</v>
      </c>
      <c r="B87" t="s">
        <v>287</v>
      </c>
    </row>
    <row r="88" spans="1:2" x14ac:dyDescent="0.25">
      <c r="A88" t="s">
        <v>288</v>
      </c>
      <c r="B88" t="s">
        <v>289</v>
      </c>
    </row>
    <row r="89" spans="1:2" x14ac:dyDescent="0.25">
      <c r="A89" t="s">
        <v>290</v>
      </c>
      <c r="B89" t="s">
        <v>291</v>
      </c>
    </row>
    <row r="90" spans="1:2" x14ac:dyDescent="0.25">
      <c r="A90" t="s">
        <v>292</v>
      </c>
      <c r="B90" t="s">
        <v>293</v>
      </c>
    </row>
    <row r="91" spans="1:2" x14ac:dyDescent="0.25">
      <c r="A91" t="s">
        <v>294</v>
      </c>
      <c r="B91" t="s">
        <v>295</v>
      </c>
    </row>
    <row r="92" spans="1:2" x14ac:dyDescent="0.25">
      <c r="A92" t="s">
        <v>296</v>
      </c>
      <c r="B92" t="s">
        <v>297</v>
      </c>
    </row>
    <row r="93" spans="1:2" x14ac:dyDescent="0.25">
      <c r="A93" t="s">
        <v>298</v>
      </c>
      <c r="B93" t="s">
        <v>299</v>
      </c>
    </row>
    <row r="94" spans="1:2" x14ac:dyDescent="0.25">
      <c r="A94" t="s">
        <v>300</v>
      </c>
      <c r="B94" t="s">
        <v>301</v>
      </c>
    </row>
    <row r="95" spans="1:2" x14ac:dyDescent="0.25">
      <c r="A95" t="s">
        <v>302</v>
      </c>
      <c r="B95" t="s">
        <v>303</v>
      </c>
    </row>
    <row r="96" spans="1:2" x14ac:dyDescent="0.25">
      <c r="A96" t="s">
        <v>304</v>
      </c>
      <c r="B96" t="s">
        <v>305</v>
      </c>
    </row>
    <row r="97" spans="1:2" x14ac:dyDescent="0.25">
      <c r="A97" t="s">
        <v>306</v>
      </c>
      <c r="B97" t="s">
        <v>307</v>
      </c>
    </row>
    <row r="98" spans="1:2" x14ac:dyDescent="0.25">
      <c r="A98" t="s">
        <v>308</v>
      </c>
      <c r="B98" t="s">
        <v>309</v>
      </c>
    </row>
    <row r="99" spans="1:2" x14ac:dyDescent="0.25">
      <c r="A99" t="s">
        <v>310</v>
      </c>
      <c r="B99" t="s">
        <v>311</v>
      </c>
    </row>
    <row r="100" spans="1:2" x14ac:dyDescent="0.25">
      <c r="A100" t="s">
        <v>312</v>
      </c>
      <c r="B100" t="s">
        <v>313</v>
      </c>
    </row>
    <row r="101" spans="1:2" x14ac:dyDescent="0.25">
      <c r="A101" t="s">
        <v>314</v>
      </c>
      <c r="B101" t="s">
        <v>315</v>
      </c>
    </row>
    <row r="102" spans="1:2" x14ac:dyDescent="0.25">
      <c r="A102" t="s">
        <v>316</v>
      </c>
      <c r="B102" t="s">
        <v>317</v>
      </c>
    </row>
    <row r="103" spans="1:2" x14ac:dyDescent="0.25">
      <c r="A103" t="s">
        <v>318</v>
      </c>
      <c r="B103" t="s">
        <v>319</v>
      </c>
    </row>
    <row r="104" spans="1:2" x14ac:dyDescent="0.25">
      <c r="A104" t="s">
        <v>320</v>
      </c>
      <c r="B104" t="s">
        <v>321</v>
      </c>
    </row>
    <row r="105" spans="1:2" x14ac:dyDescent="0.25">
      <c r="A105" t="s">
        <v>322</v>
      </c>
      <c r="B105" t="s">
        <v>323</v>
      </c>
    </row>
    <row r="106" spans="1:2" x14ac:dyDescent="0.25">
      <c r="A106" t="s">
        <v>324</v>
      </c>
      <c r="B106" t="s">
        <v>325</v>
      </c>
    </row>
    <row r="107" spans="1:2" x14ac:dyDescent="0.25">
      <c r="A107" t="s">
        <v>326</v>
      </c>
      <c r="B107" t="s">
        <v>327</v>
      </c>
    </row>
    <row r="108" spans="1:2" x14ac:dyDescent="0.25">
      <c r="A108" t="s">
        <v>328</v>
      </c>
      <c r="B108" t="s">
        <v>329</v>
      </c>
    </row>
    <row r="109" spans="1:2" x14ac:dyDescent="0.25">
      <c r="A109" t="s">
        <v>330</v>
      </c>
      <c r="B109" t="s">
        <v>331</v>
      </c>
    </row>
    <row r="110" spans="1:2" x14ac:dyDescent="0.25">
      <c r="A110" t="s">
        <v>332</v>
      </c>
      <c r="B110" t="s">
        <v>333</v>
      </c>
    </row>
    <row r="111" spans="1:2" x14ac:dyDescent="0.25">
      <c r="A111" t="s">
        <v>334</v>
      </c>
      <c r="B111" t="s">
        <v>335</v>
      </c>
    </row>
    <row r="112" spans="1:2" x14ac:dyDescent="0.25">
      <c r="A112" t="s">
        <v>336</v>
      </c>
      <c r="B112" t="s">
        <v>337</v>
      </c>
    </row>
    <row r="113" spans="1:2" x14ac:dyDescent="0.25">
      <c r="A113" t="s">
        <v>338</v>
      </c>
      <c r="B113" t="s">
        <v>339</v>
      </c>
    </row>
    <row r="114" spans="1:2" x14ac:dyDescent="0.25">
      <c r="A114" t="s">
        <v>340</v>
      </c>
      <c r="B114" t="s">
        <v>341</v>
      </c>
    </row>
    <row r="115" spans="1:2" x14ac:dyDescent="0.25">
      <c r="A115" t="s">
        <v>342</v>
      </c>
      <c r="B115" t="s">
        <v>343</v>
      </c>
    </row>
    <row r="116" spans="1:2" x14ac:dyDescent="0.25">
      <c r="A116" t="s">
        <v>344</v>
      </c>
      <c r="B116" t="s">
        <v>345</v>
      </c>
    </row>
    <row r="117" spans="1:2" x14ac:dyDescent="0.25">
      <c r="A117" t="s">
        <v>346</v>
      </c>
      <c r="B117" t="s">
        <v>347</v>
      </c>
    </row>
    <row r="118" spans="1:2" x14ac:dyDescent="0.25">
      <c r="A118" t="s">
        <v>348</v>
      </c>
      <c r="B118" t="s">
        <v>349</v>
      </c>
    </row>
    <row r="119" spans="1:2" x14ac:dyDescent="0.25">
      <c r="A119" t="s">
        <v>350</v>
      </c>
      <c r="B119" t="s">
        <v>351</v>
      </c>
    </row>
    <row r="120" spans="1:2" x14ac:dyDescent="0.25">
      <c r="A120" t="s">
        <v>352</v>
      </c>
      <c r="B120" t="s">
        <v>353</v>
      </c>
    </row>
    <row r="121" spans="1:2" x14ac:dyDescent="0.25">
      <c r="A121" t="s">
        <v>354</v>
      </c>
      <c r="B121" t="s">
        <v>355</v>
      </c>
    </row>
    <row r="122" spans="1:2" x14ac:dyDescent="0.25">
      <c r="A122" t="s">
        <v>356</v>
      </c>
      <c r="B122" t="s">
        <v>357</v>
      </c>
    </row>
    <row r="123" spans="1:2" x14ac:dyDescent="0.25">
      <c r="A123" t="s">
        <v>358</v>
      </c>
      <c r="B123" t="s">
        <v>359</v>
      </c>
    </row>
    <row r="124" spans="1:2" x14ac:dyDescent="0.25">
      <c r="A124" t="s">
        <v>360</v>
      </c>
      <c r="B124" t="s">
        <v>361</v>
      </c>
    </row>
    <row r="125" spans="1:2" x14ac:dyDescent="0.25">
      <c r="A125" t="s">
        <v>362</v>
      </c>
      <c r="B125" t="s">
        <v>363</v>
      </c>
    </row>
    <row r="126" spans="1:2" x14ac:dyDescent="0.25">
      <c r="A126" t="s">
        <v>364</v>
      </c>
      <c r="B126" t="s">
        <v>365</v>
      </c>
    </row>
    <row r="127" spans="1:2" x14ac:dyDescent="0.25">
      <c r="A127" t="s">
        <v>366</v>
      </c>
      <c r="B127" t="s">
        <v>367</v>
      </c>
    </row>
    <row r="128" spans="1:2" x14ac:dyDescent="0.25">
      <c r="A128" t="s">
        <v>368</v>
      </c>
      <c r="B128" t="s">
        <v>369</v>
      </c>
    </row>
    <row r="129" spans="1:2" x14ac:dyDescent="0.25">
      <c r="A129" t="s">
        <v>370</v>
      </c>
      <c r="B129" t="s">
        <v>371</v>
      </c>
    </row>
    <row r="130" spans="1:2" x14ac:dyDescent="0.25">
      <c r="A130" t="s">
        <v>372</v>
      </c>
      <c r="B130" t="s">
        <v>373</v>
      </c>
    </row>
    <row r="131" spans="1:2" x14ac:dyDescent="0.25">
      <c r="A131" t="s">
        <v>374</v>
      </c>
      <c r="B131" t="s">
        <v>375</v>
      </c>
    </row>
    <row r="132" spans="1:2" x14ac:dyDescent="0.25">
      <c r="A132" t="s">
        <v>376</v>
      </c>
      <c r="B132" t="s">
        <v>377</v>
      </c>
    </row>
    <row r="133" spans="1:2" x14ac:dyDescent="0.25">
      <c r="A133" t="s">
        <v>378</v>
      </c>
      <c r="B133" t="s">
        <v>379</v>
      </c>
    </row>
    <row r="134" spans="1:2" x14ac:dyDescent="0.25">
      <c r="A134" t="s">
        <v>380</v>
      </c>
      <c r="B134" t="s">
        <v>381</v>
      </c>
    </row>
    <row r="135" spans="1:2" x14ac:dyDescent="0.25">
      <c r="A135" t="s">
        <v>382</v>
      </c>
      <c r="B135" t="s">
        <v>383</v>
      </c>
    </row>
    <row r="136" spans="1:2" x14ac:dyDescent="0.25">
      <c r="A136" t="s">
        <v>384</v>
      </c>
      <c r="B136" t="s">
        <v>385</v>
      </c>
    </row>
    <row r="137" spans="1:2" x14ac:dyDescent="0.25">
      <c r="A137" t="s">
        <v>386</v>
      </c>
      <c r="B137" t="s">
        <v>387</v>
      </c>
    </row>
    <row r="138" spans="1:2" x14ac:dyDescent="0.25">
      <c r="A138" t="s">
        <v>388</v>
      </c>
      <c r="B138" t="s">
        <v>389</v>
      </c>
    </row>
    <row r="139" spans="1:2" x14ac:dyDescent="0.25">
      <c r="A139" t="s">
        <v>390</v>
      </c>
      <c r="B139" t="s">
        <v>391</v>
      </c>
    </row>
    <row r="140" spans="1:2" x14ac:dyDescent="0.25">
      <c r="A140" t="s">
        <v>392</v>
      </c>
      <c r="B140" t="s">
        <v>393</v>
      </c>
    </row>
    <row r="141" spans="1:2" x14ac:dyDescent="0.25">
      <c r="A141" t="s">
        <v>394</v>
      </c>
      <c r="B141" t="s">
        <v>395</v>
      </c>
    </row>
    <row r="142" spans="1:2" x14ac:dyDescent="0.25">
      <c r="A142" t="s">
        <v>396</v>
      </c>
      <c r="B142" t="s">
        <v>397</v>
      </c>
    </row>
    <row r="143" spans="1:2" x14ac:dyDescent="0.25">
      <c r="A143" t="s">
        <v>398</v>
      </c>
      <c r="B143" t="s">
        <v>399</v>
      </c>
    </row>
    <row r="144" spans="1:2" x14ac:dyDescent="0.25">
      <c r="A144" t="s">
        <v>400</v>
      </c>
      <c r="B144" t="s">
        <v>401</v>
      </c>
    </row>
    <row r="145" spans="1:2" x14ac:dyDescent="0.25">
      <c r="A145" t="s">
        <v>402</v>
      </c>
      <c r="B145" t="s">
        <v>403</v>
      </c>
    </row>
    <row r="146" spans="1:2" x14ac:dyDescent="0.25">
      <c r="A146" t="s">
        <v>404</v>
      </c>
      <c r="B146" t="s">
        <v>405</v>
      </c>
    </row>
    <row r="147" spans="1:2" x14ac:dyDescent="0.25">
      <c r="A147" t="s">
        <v>406</v>
      </c>
      <c r="B147" t="s">
        <v>407</v>
      </c>
    </row>
    <row r="148" spans="1:2" x14ac:dyDescent="0.25">
      <c r="A148" t="s">
        <v>408</v>
      </c>
      <c r="B148" t="s">
        <v>409</v>
      </c>
    </row>
    <row r="149" spans="1:2" x14ac:dyDescent="0.25">
      <c r="A149" t="s">
        <v>410</v>
      </c>
      <c r="B149" t="s">
        <v>411</v>
      </c>
    </row>
    <row r="150" spans="1:2" x14ac:dyDescent="0.25">
      <c r="A150" t="s">
        <v>412</v>
      </c>
      <c r="B150" t="s">
        <v>413</v>
      </c>
    </row>
    <row r="151" spans="1:2" x14ac:dyDescent="0.25">
      <c r="A151" t="s">
        <v>414</v>
      </c>
      <c r="B151" t="s">
        <v>415</v>
      </c>
    </row>
    <row r="152" spans="1:2" x14ac:dyDescent="0.25">
      <c r="A152" t="s">
        <v>416</v>
      </c>
      <c r="B152" t="s">
        <v>417</v>
      </c>
    </row>
    <row r="153" spans="1:2" x14ac:dyDescent="0.25">
      <c r="A153" t="s">
        <v>418</v>
      </c>
      <c r="B153" t="s">
        <v>419</v>
      </c>
    </row>
    <row r="154" spans="1:2" x14ac:dyDescent="0.25">
      <c r="A154" t="s">
        <v>420</v>
      </c>
      <c r="B154" t="s">
        <v>421</v>
      </c>
    </row>
    <row r="155" spans="1:2" x14ac:dyDescent="0.25">
      <c r="A155" t="s">
        <v>422</v>
      </c>
      <c r="B155" t="s">
        <v>423</v>
      </c>
    </row>
    <row r="156" spans="1:2" x14ac:dyDescent="0.25">
      <c r="A156" t="s">
        <v>424</v>
      </c>
      <c r="B156" t="s">
        <v>425</v>
      </c>
    </row>
    <row r="157" spans="1:2" x14ac:dyDescent="0.25">
      <c r="A157" t="s">
        <v>426</v>
      </c>
      <c r="B157" t="s">
        <v>427</v>
      </c>
    </row>
    <row r="158" spans="1:2" x14ac:dyDescent="0.25">
      <c r="A158" t="s">
        <v>428</v>
      </c>
      <c r="B158" t="s">
        <v>429</v>
      </c>
    </row>
    <row r="159" spans="1:2" x14ac:dyDescent="0.25">
      <c r="A159" t="s">
        <v>430</v>
      </c>
      <c r="B159" t="s">
        <v>431</v>
      </c>
    </row>
    <row r="160" spans="1:2" x14ac:dyDescent="0.25">
      <c r="A160" t="s">
        <v>432</v>
      </c>
      <c r="B160" t="s">
        <v>433</v>
      </c>
    </row>
    <row r="161" spans="1:2" x14ac:dyDescent="0.25">
      <c r="A161" t="s">
        <v>434</v>
      </c>
      <c r="B161" t="s">
        <v>435</v>
      </c>
    </row>
    <row r="162" spans="1:2" x14ac:dyDescent="0.25">
      <c r="A162" t="s">
        <v>436</v>
      </c>
      <c r="B162" t="s">
        <v>437</v>
      </c>
    </row>
    <row r="163" spans="1:2" x14ac:dyDescent="0.25">
      <c r="A163" t="s">
        <v>438</v>
      </c>
      <c r="B163" t="s">
        <v>439</v>
      </c>
    </row>
    <row r="164" spans="1:2" x14ac:dyDescent="0.25">
      <c r="A164" t="s">
        <v>440</v>
      </c>
      <c r="B164" t="s">
        <v>441</v>
      </c>
    </row>
    <row r="165" spans="1:2" x14ac:dyDescent="0.25">
      <c r="A165" t="s">
        <v>442</v>
      </c>
      <c r="B165" t="s">
        <v>443</v>
      </c>
    </row>
    <row r="166" spans="1:2" x14ac:dyDescent="0.25">
      <c r="A166" t="s">
        <v>444</v>
      </c>
      <c r="B166" t="s">
        <v>445</v>
      </c>
    </row>
    <row r="167" spans="1:2" x14ac:dyDescent="0.25">
      <c r="A167" t="s">
        <v>446</v>
      </c>
      <c r="B167" t="s">
        <v>447</v>
      </c>
    </row>
    <row r="168" spans="1:2" x14ac:dyDescent="0.25">
      <c r="A168" t="s">
        <v>448</v>
      </c>
      <c r="B168" t="s">
        <v>449</v>
      </c>
    </row>
    <row r="169" spans="1:2" x14ac:dyDescent="0.25">
      <c r="A169" t="s">
        <v>450</v>
      </c>
      <c r="B169" t="s">
        <v>451</v>
      </c>
    </row>
    <row r="170" spans="1:2" x14ac:dyDescent="0.25">
      <c r="A170" t="s">
        <v>452</v>
      </c>
      <c r="B170" t="s">
        <v>453</v>
      </c>
    </row>
    <row r="171" spans="1:2" x14ac:dyDescent="0.25">
      <c r="A171" t="s">
        <v>454</v>
      </c>
      <c r="B171" t="s">
        <v>455</v>
      </c>
    </row>
    <row r="172" spans="1:2" x14ac:dyDescent="0.25">
      <c r="A172" t="s">
        <v>456</v>
      </c>
      <c r="B172" t="s">
        <v>457</v>
      </c>
    </row>
    <row r="173" spans="1:2" x14ac:dyDescent="0.25">
      <c r="A173" t="s">
        <v>458</v>
      </c>
      <c r="B173" t="s">
        <v>459</v>
      </c>
    </row>
    <row r="174" spans="1:2" x14ac:dyDescent="0.25">
      <c r="A174" t="s">
        <v>460</v>
      </c>
      <c r="B174" t="s">
        <v>461</v>
      </c>
    </row>
    <row r="175" spans="1:2" x14ac:dyDescent="0.25">
      <c r="A175" t="s">
        <v>462</v>
      </c>
      <c r="B175" t="s">
        <v>463</v>
      </c>
    </row>
    <row r="176" spans="1:2" x14ac:dyDescent="0.25">
      <c r="A176" t="s">
        <v>464</v>
      </c>
      <c r="B176" t="s">
        <v>465</v>
      </c>
    </row>
    <row r="177" spans="1:2" x14ac:dyDescent="0.25">
      <c r="A177" t="s">
        <v>466</v>
      </c>
      <c r="B177" t="s">
        <v>467</v>
      </c>
    </row>
    <row r="178" spans="1:2" x14ac:dyDescent="0.25">
      <c r="A178" t="s">
        <v>468</v>
      </c>
      <c r="B178" t="s">
        <v>469</v>
      </c>
    </row>
    <row r="179" spans="1:2" x14ac:dyDescent="0.25">
      <c r="A179" t="s">
        <v>470</v>
      </c>
      <c r="B179" t="s">
        <v>471</v>
      </c>
    </row>
    <row r="180" spans="1:2" x14ac:dyDescent="0.25">
      <c r="A180" t="s">
        <v>472</v>
      </c>
      <c r="B180" t="s">
        <v>653</v>
      </c>
    </row>
    <row r="181" spans="1:2" x14ac:dyDescent="0.25">
      <c r="A181" t="s">
        <v>473</v>
      </c>
      <c r="B181" t="s">
        <v>474</v>
      </c>
    </row>
    <row r="182" spans="1:2" x14ac:dyDescent="0.25">
      <c r="A182" t="s">
        <v>475</v>
      </c>
      <c r="B182" t="s">
        <v>476</v>
      </c>
    </row>
    <row r="183" spans="1:2" x14ac:dyDescent="0.25">
      <c r="A183" t="s">
        <v>477</v>
      </c>
      <c r="B183" t="s">
        <v>478</v>
      </c>
    </row>
    <row r="184" spans="1:2" x14ac:dyDescent="0.25">
      <c r="A184" t="s">
        <v>479</v>
      </c>
      <c r="B184" t="s">
        <v>480</v>
      </c>
    </row>
    <row r="185" spans="1:2" x14ac:dyDescent="0.25">
      <c r="A185" t="s">
        <v>481</v>
      </c>
      <c r="B185" t="s">
        <v>482</v>
      </c>
    </row>
    <row r="186" spans="1:2" x14ac:dyDescent="0.25">
      <c r="A186" t="s">
        <v>483</v>
      </c>
      <c r="B186" t="s">
        <v>484</v>
      </c>
    </row>
    <row r="187" spans="1:2" x14ac:dyDescent="0.25">
      <c r="A187" t="s">
        <v>485</v>
      </c>
      <c r="B187" t="s">
        <v>486</v>
      </c>
    </row>
    <row r="188" spans="1:2" x14ac:dyDescent="0.25">
      <c r="A188" t="s">
        <v>487</v>
      </c>
      <c r="B188" t="s">
        <v>488</v>
      </c>
    </row>
    <row r="189" spans="1:2" x14ac:dyDescent="0.25">
      <c r="A189" t="s">
        <v>489</v>
      </c>
      <c r="B189" t="s">
        <v>490</v>
      </c>
    </row>
    <row r="190" spans="1:2" x14ac:dyDescent="0.25">
      <c r="A190" t="s">
        <v>491</v>
      </c>
      <c r="B190" t="s">
        <v>492</v>
      </c>
    </row>
    <row r="191" spans="1:2" x14ac:dyDescent="0.25">
      <c r="A191" t="s">
        <v>493</v>
      </c>
      <c r="B191" t="s">
        <v>494</v>
      </c>
    </row>
    <row r="192" spans="1:2" x14ac:dyDescent="0.25">
      <c r="A192" t="s">
        <v>495</v>
      </c>
      <c r="B192" t="s">
        <v>496</v>
      </c>
    </row>
    <row r="193" spans="1:2" x14ac:dyDescent="0.25">
      <c r="A193" t="s">
        <v>497</v>
      </c>
      <c r="B193" t="s">
        <v>498</v>
      </c>
    </row>
    <row r="194" spans="1:2" x14ac:dyDescent="0.25">
      <c r="A194" t="s">
        <v>499</v>
      </c>
      <c r="B194" t="s">
        <v>500</v>
      </c>
    </row>
    <row r="195" spans="1:2" x14ac:dyDescent="0.25">
      <c r="A195" t="s">
        <v>501</v>
      </c>
      <c r="B195" t="s">
        <v>502</v>
      </c>
    </row>
    <row r="196" spans="1:2" x14ac:dyDescent="0.25">
      <c r="A196" t="s">
        <v>503</v>
      </c>
      <c r="B196" t="s">
        <v>504</v>
      </c>
    </row>
    <row r="197" spans="1:2" x14ac:dyDescent="0.25">
      <c r="A197" t="s">
        <v>505</v>
      </c>
      <c r="B197" t="s">
        <v>506</v>
      </c>
    </row>
    <row r="198" spans="1:2" x14ac:dyDescent="0.25">
      <c r="A198" t="s">
        <v>507</v>
      </c>
      <c r="B198" t="s">
        <v>508</v>
      </c>
    </row>
    <row r="199" spans="1:2" x14ac:dyDescent="0.25">
      <c r="A199" t="s">
        <v>509</v>
      </c>
      <c r="B199" t="s">
        <v>510</v>
      </c>
    </row>
    <row r="200" spans="1:2" x14ac:dyDescent="0.25">
      <c r="A200" t="s">
        <v>511</v>
      </c>
      <c r="B200" t="s">
        <v>512</v>
      </c>
    </row>
    <row r="201" spans="1:2" x14ac:dyDescent="0.25">
      <c r="A201" t="s">
        <v>513</v>
      </c>
      <c r="B201" t="s">
        <v>514</v>
      </c>
    </row>
    <row r="202" spans="1:2" x14ac:dyDescent="0.25">
      <c r="A202" t="s">
        <v>515</v>
      </c>
      <c r="B202" t="s">
        <v>516</v>
      </c>
    </row>
    <row r="203" spans="1:2" x14ac:dyDescent="0.25">
      <c r="A203" t="s">
        <v>517</v>
      </c>
      <c r="B203" t="s">
        <v>518</v>
      </c>
    </row>
    <row r="204" spans="1:2" x14ac:dyDescent="0.25">
      <c r="A204" t="s">
        <v>519</v>
      </c>
      <c r="B204" t="s">
        <v>520</v>
      </c>
    </row>
    <row r="205" spans="1:2" x14ac:dyDescent="0.25">
      <c r="A205" t="s">
        <v>521</v>
      </c>
      <c r="B205" t="s">
        <v>522</v>
      </c>
    </row>
    <row r="206" spans="1:2" x14ac:dyDescent="0.25">
      <c r="A206" t="s">
        <v>523</v>
      </c>
      <c r="B206" t="s">
        <v>524</v>
      </c>
    </row>
    <row r="207" spans="1:2" x14ac:dyDescent="0.25">
      <c r="A207" t="s">
        <v>525</v>
      </c>
      <c r="B207" t="s">
        <v>526</v>
      </c>
    </row>
    <row r="208" spans="1:2" x14ac:dyDescent="0.25">
      <c r="A208" t="s">
        <v>527</v>
      </c>
      <c r="B208" t="s">
        <v>528</v>
      </c>
    </row>
    <row r="209" spans="1:2" x14ac:dyDescent="0.25">
      <c r="A209" t="s">
        <v>529</v>
      </c>
      <c r="B209" t="s">
        <v>530</v>
      </c>
    </row>
    <row r="210" spans="1:2" x14ac:dyDescent="0.25">
      <c r="A210" t="s">
        <v>531</v>
      </c>
      <c r="B210" t="s">
        <v>532</v>
      </c>
    </row>
    <row r="211" spans="1:2" x14ac:dyDescent="0.25">
      <c r="A211" t="s">
        <v>533</v>
      </c>
      <c r="B211" t="s">
        <v>534</v>
      </c>
    </row>
    <row r="212" spans="1:2" x14ac:dyDescent="0.25">
      <c r="A212" t="s">
        <v>535</v>
      </c>
      <c r="B212" t="s">
        <v>536</v>
      </c>
    </row>
    <row r="213" spans="1:2" x14ac:dyDescent="0.25">
      <c r="A213" t="s">
        <v>537</v>
      </c>
      <c r="B213" t="s">
        <v>538</v>
      </c>
    </row>
    <row r="214" spans="1:2" x14ac:dyDescent="0.25">
      <c r="A214" t="s">
        <v>539</v>
      </c>
      <c r="B214" t="s">
        <v>540</v>
      </c>
    </row>
    <row r="215" spans="1:2" x14ac:dyDescent="0.25">
      <c r="A215" t="s">
        <v>541</v>
      </c>
      <c r="B215" t="s">
        <v>542</v>
      </c>
    </row>
    <row r="216" spans="1:2" x14ac:dyDescent="0.25">
      <c r="A216" t="s">
        <v>543</v>
      </c>
      <c r="B216" t="s">
        <v>544</v>
      </c>
    </row>
    <row r="217" spans="1:2" x14ac:dyDescent="0.25">
      <c r="A217" t="s">
        <v>545</v>
      </c>
      <c r="B217" t="s">
        <v>546</v>
      </c>
    </row>
    <row r="218" spans="1:2" x14ac:dyDescent="0.25">
      <c r="A218" t="s">
        <v>547</v>
      </c>
      <c r="B218" t="s">
        <v>548</v>
      </c>
    </row>
    <row r="219" spans="1:2" x14ac:dyDescent="0.25">
      <c r="A219" t="s">
        <v>549</v>
      </c>
      <c r="B219" t="s">
        <v>550</v>
      </c>
    </row>
    <row r="220" spans="1:2" x14ac:dyDescent="0.25">
      <c r="A220" t="s">
        <v>551</v>
      </c>
      <c r="B220" t="s">
        <v>552</v>
      </c>
    </row>
    <row r="221" spans="1:2" x14ac:dyDescent="0.25">
      <c r="A221" t="s">
        <v>553</v>
      </c>
      <c r="B221" t="s">
        <v>554</v>
      </c>
    </row>
    <row r="222" spans="1:2" x14ac:dyDescent="0.25">
      <c r="A222" t="s">
        <v>555</v>
      </c>
      <c r="B222" t="s">
        <v>556</v>
      </c>
    </row>
    <row r="223" spans="1:2" x14ac:dyDescent="0.25">
      <c r="A223" t="s">
        <v>557</v>
      </c>
      <c r="B223" t="s">
        <v>558</v>
      </c>
    </row>
    <row r="224" spans="1:2" x14ac:dyDescent="0.25">
      <c r="A224" t="s">
        <v>559</v>
      </c>
      <c r="B224" t="s">
        <v>560</v>
      </c>
    </row>
    <row r="225" spans="1:2" x14ac:dyDescent="0.25">
      <c r="A225" t="s">
        <v>561</v>
      </c>
      <c r="B225" t="s">
        <v>562</v>
      </c>
    </row>
    <row r="226" spans="1:2" x14ac:dyDescent="0.25">
      <c r="A226" t="s">
        <v>563</v>
      </c>
      <c r="B226" t="s">
        <v>564</v>
      </c>
    </row>
    <row r="227" spans="1:2" x14ac:dyDescent="0.25">
      <c r="A227" t="s">
        <v>565</v>
      </c>
      <c r="B227" t="s">
        <v>566</v>
      </c>
    </row>
    <row r="228" spans="1:2" x14ac:dyDescent="0.25">
      <c r="A228" t="s">
        <v>567</v>
      </c>
      <c r="B228" t="s">
        <v>568</v>
      </c>
    </row>
    <row r="229" spans="1:2" x14ac:dyDescent="0.25">
      <c r="A229" t="s">
        <v>569</v>
      </c>
      <c r="B229" t="s">
        <v>570</v>
      </c>
    </row>
    <row r="230" spans="1:2" x14ac:dyDescent="0.25">
      <c r="A230" t="s">
        <v>571</v>
      </c>
      <c r="B230" t="s">
        <v>572</v>
      </c>
    </row>
    <row r="231" spans="1:2" x14ac:dyDescent="0.25">
      <c r="A231" t="s">
        <v>573</v>
      </c>
      <c r="B231" t="s">
        <v>574</v>
      </c>
    </row>
    <row r="232" spans="1:2" x14ac:dyDescent="0.25">
      <c r="A232" t="s">
        <v>575</v>
      </c>
      <c r="B232" t="s">
        <v>576</v>
      </c>
    </row>
    <row r="233" spans="1:2" x14ac:dyDescent="0.25">
      <c r="A233" t="s">
        <v>577</v>
      </c>
      <c r="B233" t="s">
        <v>578</v>
      </c>
    </row>
    <row r="234" spans="1:2" x14ac:dyDescent="0.25">
      <c r="A234" t="s">
        <v>579</v>
      </c>
      <c r="B234" t="s">
        <v>580</v>
      </c>
    </row>
    <row r="235" spans="1:2" x14ac:dyDescent="0.25">
      <c r="A235" t="s">
        <v>581</v>
      </c>
      <c r="B235" t="s">
        <v>582</v>
      </c>
    </row>
    <row r="236" spans="1:2" x14ac:dyDescent="0.25">
      <c r="A236" t="s">
        <v>583</v>
      </c>
      <c r="B236" t="s">
        <v>584</v>
      </c>
    </row>
    <row r="237" spans="1:2" x14ac:dyDescent="0.25">
      <c r="A237" t="s">
        <v>585</v>
      </c>
      <c r="B237" t="s">
        <v>586</v>
      </c>
    </row>
    <row r="238" spans="1:2" x14ac:dyDescent="0.25">
      <c r="A238" t="s">
        <v>587</v>
      </c>
      <c r="B238" t="s">
        <v>588</v>
      </c>
    </row>
    <row r="239" spans="1:2" x14ac:dyDescent="0.25">
      <c r="A239" t="s">
        <v>589</v>
      </c>
      <c r="B239" t="s">
        <v>590</v>
      </c>
    </row>
    <row r="240" spans="1:2" x14ac:dyDescent="0.25">
      <c r="A240" t="s">
        <v>591</v>
      </c>
      <c r="B240" t="s">
        <v>592</v>
      </c>
    </row>
    <row r="241" spans="1:2" x14ac:dyDescent="0.25">
      <c r="A241" t="s">
        <v>593</v>
      </c>
      <c r="B241" t="s">
        <v>594</v>
      </c>
    </row>
    <row r="242" spans="1:2" x14ac:dyDescent="0.25">
      <c r="A242" t="s">
        <v>595</v>
      </c>
      <c r="B242" t="s">
        <v>596</v>
      </c>
    </row>
    <row r="243" spans="1:2" x14ac:dyDescent="0.25">
      <c r="A243" t="s">
        <v>597</v>
      </c>
      <c r="B243" t="s">
        <v>598</v>
      </c>
    </row>
    <row r="244" spans="1:2" x14ac:dyDescent="0.25">
      <c r="A244" t="s">
        <v>599</v>
      </c>
      <c r="B244" t="s">
        <v>600</v>
      </c>
    </row>
    <row r="245" spans="1:2" x14ac:dyDescent="0.25">
      <c r="A245" t="s">
        <v>601</v>
      </c>
      <c r="B245" t="s">
        <v>602</v>
      </c>
    </row>
    <row r="246" spans="1:2" x14ac:dyDescent="0.25">
      <c r="A246" t="s">
        <v>603</v>
      </c>
      <c r="B246" t="s">
        <v>604</v>
      </c>
    </row>
    <row r="247" spans="1:2" x14ac:dyDescent="0.25">
      <c r="A247" t="s">
        <v>605</v>
      </c>
      <c r="B247" t="s">
        <v>606</v>
      </c>
    </row>
    <row r="248" spans="1:2" x14ac:dyDescent="0.25">
      <c r="A248" t="s">
        <v>607</v>
      </c>
      <c r="B248" t="s">
        <v>608</v>
      </c>
    </row>
    <row r="249" spans="1:2" x14ac:dyDescent="0.25">
      <c r="A249" t="s">
        <v>609</v>
      </c>
      <c r="B249" t="s">
        <v>610</v>
      </c>
    </row>
    <row r="250" spans="1:2" x14ac:dyDescent="0.25">
      <c r="A250" t="s">
        <v>611</v>
      </c>
      <c r="B250" t="s">
        <v>612</v>
      </c>
    </row>
    <row r="251" spans="1:2" x14ac:dyDescent="0.25">
      <c r="A251" t="s">
        <v>613</v>
      </c>
      <c r="B251" t="s">
        <v>614</v>
      </c>
    </row>
    <row r="252" spans="1:2" x14ac:dyDescent="0.25">
      <c r="A252" t="s">
        <v>615</v>
      </c>
      <c r="B252" t="s">
        <v>616</v>
      </c>
    </row>
    <row r="253" spans="1:2" x14ac:dyDescent="0.25">
      <c r="A253" t="s">
        <v>617</v>
      </c>
      <c r="B253" t="s">
        <v>618</v>
      </c>
    </row>
    <row r="254" spans="1:2" x14ac:dyDescent="0.25">
      <c r="A254" t="s">
        <v>619</v>
      </c>
      <c r="B254" t="s">
        <v>620</v>
      </c>
    </row>
    <row r="255" spans="1:2" x14ac:dyDescent="0.25">
      <c r="A255" t="s">
        <v>621</v>
      </c>
      <c r="B255" t="s">
        <v>622</v>
      </c>
    </row>
    <row r="256" spans="1:2" x14ac:dyDescent="0.25">
      <c r="A256" t="s">
        <v>623</v>
      </c>
      <c r="B256" t="s">
        <v>624</v>
      </c>
    </row>
    <row r="257" spans="1:2" x14ac:dyDescent="0.25">
      <c r="A257" t="s">
        <v>625</v>
      </c>
      <c r="B257" t="s">
        <v>626</v>
      </c>
    </row>
    <row r="258" spans="1:2" x14ac:dyDescent="0.25">
      <c r="A258" t="s">
        <v>627</v>
      </c>
      <c r="B258" t="s">
        <v>628</v>
      </c>
    </row>
    <row r="259" spans="1:2" x14ac:dyDescent="0.25">
      <c r="A259" t="s">
        <v>629</v>
      </c>
      <c r="B259" t="s">
        <v>630</v>
      </c>
    </row>
    <row r="260" spans="1:2" x14ac:dyDescent="0.25">
      <c r="A260" t="s">
        <v>631</v>
      </c>
      <c r="B260" t="s">
        <v>632</v>
      </c>
    </row>
    <row r="261" spans="1:2" x14ac:dyDescent="0.25">
      <c r="A261" t="s">
        <v>633</v>
      </c>
      <c r="B261" t="s">
        <v>634</v>
      </c>
    </row>
    <row r="262" spans="1:2" x14ac:dyDescent="0.25">
      <c r="A262" t="s">
        <v>635</v>
      </c>
      <c r="B262" t="s">
        <v>636</v>
      </c>
    </row>
    <row r="263" spans="1:2" x14ac:dyDescent="0.25">
      <c r="A263" t="s">
        <v>637</v>
      </c>
      <c r="B263" t="s">
        <v>638</v>
      </c>
    </row>
    <row r="264" spans="1:2" x14ac:dyDescent="0.25">
      <c r="A264" t="s">
        <v>114</v>
      </c>
      <c r="B264" t="s">
        <v>639</v>
      </c>
    </row>
    <row r="265" spans="1:2" x14ac:dyDescent="0.25">
      <c r="A265" t="s">
        <v>13</v>
      </c>
      <c r="B265" t="s">
        <v>640</v>
      </c>
    </row>
    <row r="266" spans="1:2" x14ac:dyDescent="0.25">
      <c r="A266" t="s">
        <v>641</v>
      </c>
      <c r="B266" t="s">
        <v>642</v>
      </c>
    </row>
    <row r="267" spans="1:2" x14ac:dyDescent="0.25">
      <c r="A267" t="s">
        <v>643</v>
      </c>
      <c r="B267" t="s">
        <v>644</v>
      </c>
    </row>
    <row r="268" spans="1:2" x14ac:dyDescent="0.25">
      <c r="A268" t="s">
        <v>645</v>
      </c>
      <c r="B268" t="s">
        <v>646</v>
      </c>
    </row>
    <row r="269" spans="1:2" x14ac:dyDescent="0.25">
      <c r="A269" t="s">
        <v>647</v>
      </c>
      <c r="B269" t="s">
        <v>648</v>
      </c>
    </row>
    <row r="270" spans="1:2" x14ac:dyDescent="0.25">
      <c r="A270" t="s">
        <v>649</v>
      </c>
      <c r="B270" t="s">
        <v>650</v>
      </c>
    </row>
    <row r="271" spans="1:2" x14ac:dyDescent="0.25">
      <c r="A271" t="s">
        <v>651</v>
      </c>
      <c r="B271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X19"/>
  <sheetViews>
    <sheetView workbookViewId="0">
      <selection activeCell="A2" sqref="A2:X17"/>
    </sheetView>
  </sheetViews>
  <sheetFormatPr defaultRowHeight="15" x14ac:dyDescent="0.25"/>
  <sheetData>
    <row r="1" spans="1:24" ht="26.25" x14ac:dyDescent="0.25">
      <c r="A1" s="72" t="s">
        <v>111</v>
      </c>
      <c r="B1" s="54"/>
      <c r="C1" s="54" t="s">
        <v>65</v>
      </c>
      <c r="D1" s="54"/>
      <c r="E1" s="54" t="s">
        <v>66</v>
      </c>
      <c r="F1" s="54"/>
      <c r="G1" s="54" t="s">
        <v>67</v>
      </c>
      <c r="H1" s="54" t="s">
        <v>68</v>
      </c>
      <c r="I1" s="54" t="s">
        <v>69</v>
      </c>
      <c r="J1" s="54" t="s">
        <v>70</v>
      </c>
      <c r="K1" s="54" t="s">
        <v>71</v>
      </c>
      <c r="L1" s="54"/>
      <c r="M1" s="54" t="s">
        <v>72</v>
      </c>
      <c r="N1" s="54"/>
      <c r="O1" s="56" t="s">
        <v>73</v>
      </c>
      <c r="P1" s="56" t="s">
        <v>74</v>
      </c>
      <c r="Q1" s="56" t="s">
        <v>75</v>
      </c>
      <c r="R1" s="54" t="s">
        <v>76</v>
      </c>
      <c r="S1" s="60" t="s">
        <v>104</v>
      </c>
      <c r="T1" s="60" t="s">
        <v>105</v>
      </c>
      <c r="U1" s="60" t="s">
        <v>106</v>
      </c>
      <c r="V1" s="73" t="s">
        <v>112</v>
      </c>
      <c r="W1" s="78" t="s">
        <v>115</v>
      </c>
      <c r="X1" s="78" t="s">
        <v>654</v>
      </c>
    </row>
    <row r="3" spans="1:24" x14ac:dyDescent="0.25">
      <c r="Q3" s="84"/>
      <c r="X3" s="77"/>
    </row>
    <row r="4" spans="1:24" x14ac:dyDescent="0.25">
      <c r="Q4" s="84"/>
      <c r="X4" s="77"/>
    </row>
    <row r="5" spans="1:24" x14ac:dyDescent="0.25">
      <c r="Q5" s="84"/>
      <c r="X5" s="77"/>
    </row>
    <row r="6" spans="1:24" x14ac:dyDescent="0.25">
      <c r="Q6" s="84"/>
      <c r="X6" s="77"/>
    </row>
    <row r="7" spans="1:24" x14ac:dyDescent="0.25">
      <c r="Q7" s="84"/>
      <c r="X7" s="77"/>
    </row>
    <row r="8" spans="1:24" x14ac:dyDescent="0.25">
      <c r="Q8" s="84"/>
      <c r="X8" s="77"/>
    </row>
    <row r="9" spans="1:24" x14ac:dyDescent="0.25">
      <c r="Q9" s="84"/>
      <c r="X9" s="77"/>
    </row>
    <row r="10" spans="1:24" x14ac:dyDescent="0.25">
      <c r="Q10" s="84"/>
      <c r="X10" s="77"/>
    </row>
    <row r="11" spans="1:24" x14ac:dyDescent="0.25">
      <c r="Q11" s="84"/>
      <c r="X11" s="77"/>
    </row>
    <row r="12" spans="1:24" x14ac:dyDescent="0.25">
      <c r="Q12" s="84"/>
      <c r="X12" s="77"/>
    </row>
    <row r="13" spans="1:24" x14ac:dyDescent="0.25">
      <c r="Q13" s="84"/>
      <c r="X13" s="77"/>
    </row>
    <row r="14" spans="1:24" x14ac:dyDescent="0.25">
      <c r="Q14" s="84"/>
      <c r="X14" s="77"/>
    </row>
    <row r="15" spans="1:24" x14ac:dyDescent="0.25">
      <c r="Q15" s="84"/>
      <c r="X15" s="77"/>
    </row>
    <row r="16" spans="1:24" x14ac:dyDescent="0.25">
      <c r="Q16" s="84"/>
      <c r="X16" s="77"/>
    </row>
    <row r="17" spans="17:24" x14ac:dyDescent="0.25">
      <c r="Q17" s="84"/>
      <c r="X17" s="77"/>
    </row>
    <row r="18" spans="17:24" x14ac:dyDescent="0.25">
      <c r="Q18" s="84"/>
      <c r="X18" s="77"/>
    </row>
    <row r="19" spans="17:24" x14ac:dyDescent="0.25">
      <c r="Q19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5"/>
  <sheetViews>
    <sheetView workbookViewId="0">
      <selection activeCell="N10" sqref="N10"/>
    </sheetView>
  </sheetViews>
  <sheetFormatPr defaultRowHeight="15" x14ac:dyDescent="0.25"/>
  <cols>
    <col min="1" max="1" width="17.5703125" customWidth="1"/>
    <col min="2" max="2" width="17.5703125" style="77" customWidth="1"/>
  </cols>
  <sheetData>
    <row r="1" spans="1:7" ht="26.25" x14ac:dyDescent="0.25">
      <c r="A1" s="72" t="s">
        <v>111</v>
      </c>
      <c r="B1" s="60" t="s">
        <v>104</v>
      </c>
      <c r="C1" s="70" t="s">
        <v>105</v>
      </c>
      <c r="D1" s="70" t="s">
        <v>106</v>
      </c>
      <c r="E1" s="73" t="s">
        <v>112</v>
      </c>
      <c r="F1" s="78" t="s">
        <v>115</v>
      </c>
      <c r="G1" s="78" t="s">
        <v>654</v>
      </c>
    </row>
    <row r="2" spans="1:7" ht="76.5" x14ac:dyDescent="0.25">
      <c r="A2" s="70" t="s">
        <v>1</v>
      </c>
      <c r="B2" s="61" t="s">
        <v>91</v>
      </c>
      <c r="C2" s="70" t="s">
        <v>107</v>
      </c>
      <c r="D2" s="70" t="s">
        <v>7</v>
      </c>
      <c r="E2" s="74" t="s">
        <v>113</v>
      </c>
      <c r="F2" s="79" t="s">
        <v>116</v>
      </c>
      <c r="G2" s="78" t="s">
        <v>655</v>
      </c>
    </row>
    <row r="3" spans="1:7" x14ac:dyDescent="0.25">
      <c r="A3" s="69"/>
      <c r="B3" s="5"/>
      <c r="C3" s="5"/>
      <c r="D3" s="5"/>
      <c r="E3" s="5"/>
      <c r="F3" s="5"/>
    </row>
    <row r="4" spans="1:7" x14ac:dyDescent="0.25">
      <c r="A4" s="69"/>
      <c r="B4" s="5"/>
      <c r="C4" s="5"/>
      <c r="D4" s="5"/>
      <c r="E4" s="5"/>
      <c r="F4" s="5"/>
      <c r="G4" s="77"/>
    </row>
    <row r="5" spans="1:7" x14ac:dyDescent="0.25">
      <c r="A5" s="69"/>
      <c r="B5" s="5"/>
      <c r="C5" s="5"/>
      <c r="D5" s="5"/>
      <c r="E5" s="5"/>
      <c r="F5" s="5"/>
      <c r="G5" s="7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1"/>
  <sheetViews>
    <sheetView workbookViewId="0">
      <selection activeCell="P12" sqref="P12"/>
    </sheetView>
  </sheetViews>
  <sheetFormatPr defaultRowHeight="15" x14ac:dyDescent="0.25"/>
  <sheetData>
    <row r="1" spans="1:2" ht="25.5" x14ac:dyDescent="0.25">
      <c r="A1" s="72" t="s">
        <v>111</v>
      </c>
      <c r="B1" s="72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X18"/>
  <sheetViews>
    <sheetView workbookViewId="0">
      <selection activeCell="F6" sqref="F6"/>
    </sheetView>
  </sheetViews>
  <sheetFormatPr defaultRowHeight="15" x14ac:dyDescent="0.25"/>
  <cols>
    <col min="1" max="1" width="12.5703125" customWidth="1"/>
    <col min="7" max="8" width="13.85546875" customWidth="1"/>
    <col min="9" max="9" width="15.28515625" customWidth="1"/>
    <col min="24" max="24" width="66.28515625" customWidth="1"/>
  </cols>
  <sheetData>
    <row r="1" spans="1:24" x14ac:dyDescent="0.25">
      <c r="A1" t="s">
        <v>20</v>
      </c>
      <c r="E1" s="2"/>
      <c r="F1" s="2"/>
      <c r="G1" s="3"/>
      <c r="H1" s="3"/>
      <c r="I1" s="3"/>
    </row>
    <row r="2" spans="1:24" ht="90" x14ac:dyDescent="0.25">
      <c r="A2" s="4" t="s">
        <v>21</v>
      </c>
      <c r="B2" s="5" t="s">
        <v>22</v>
      </c>
      <c r="C2" s="5"/>
      <c r="D2" s="5"/>
      <c r="E2" s="6"/>
      <c r="F2" s="2"/>
      <c r="G2" s="3"/>
      <c r="H2" s="3"/>
      <c r="I2" s="3"/>
    </row>
    <row r="3" spans="1:24" ht="174" thickBot="1" x14ac:dyDescent="0.3">
      <c r="A3" s="7" t="s">
        <v>23</v>
      </c>
      <c r="B3" s="8" t="s">
        <v>24</v>
      </c>
      <c r="C3" s="8" t="s">
        <v>25</v>
      </c>
      <c r="D3" s="8" t="s">
        <v>26</v>
      </c>
      <c r="E3" s="8" t="s">
        <v>27</v>
      </c>
      <c r="F3" s="8" t="s">
        <v>28</v>
      </c>
      <c r="G3" s="8" t="s">
        <v>29</v>
      </c>
      <c r="H3" s="8"/>
      <c r="I3" s="8" t="s">
        <v>62</v>
      </c>
      <c r="X3" s="9" t="s">
        <v>30</v>
      </c>
    </row>
    <row r="4" spans="1:24" ht="30.75" thickBot="1" x14ac:dyDescent="0.3">
      <c r="A4" s="10" t="s">
        <v>31</v>
      </c>
      <c r="B4" s="11" t="s">
        <v>32</v>
      </c>
      <c r="C4" s="11">
        <v>8016</v>
      </c>
      <c r="D4" s="12" t="s">
        <v>33</v>
      </c>
      <c r="E4" s="13" t="s">
        <v>33</v>
      </c>
      <c r="F4" s="11" t="s">
        <v>31</v>
      </c>
      <c r="G4" s="14">
        <v>603.11689999999999</v>
      </c>
      <c r="H4" s="42"/>
      <c r="I4" s="15">
        <v>574.28</v>
      </c>
    </row>
    <row r="5" spans="1:24" ht="60" x14ac:dyDescent="0.25">
      <c r="A5" s="97" t="s">
        <v>34</v>
      </c>
      <c r="B5" s="99" t="s">
        <v>35</v>
      </c>
      <c r="C5" s="101">
        <v>8016</v>
      </c>
      <c r="D5" s="103" t="s">
        <v>34</v>
      </c>
      <c r="E5" s="16" t="s">
        <v>15</v>
      </c>
      <c r="F5" s="17" t="s">
        <v>9</v>
      </c>
      <c r="G5" s="18">
        <v>1</v>
      </c>
      <c r="H5" s="43"/>
      <c r="I5" s="19">
        <v>1</v>
      </c>
    </row>
    <row r="6" spans="1:24" ht="75.75" thickBot="1" x14ac:dyDescent="0.3">
      <c r="A6" s="98"/>
      <c r="B6" s="100"/>
      <c r="C6" s="102"/>
      <c r="D6" s="104"/>
      <c r="E6" s="20" t="s">
        <v>18</v>
      </c>
      <c r="F6" s="21" t="s">
        <v>36</v>
      </c>
      <c r="G6" s="22">
        <v>0.70640000000000003</v>
      </c>
      <c r="H6" s="44"/>
      <c r="I6" s="23">
        <v>0.70240000000000002</v>
      </c>
    </row>
    <row r="7" spans="1:24" ht="60" x14ac:dyDescent="0.25">
      <c r="A7" s="97" t="s">
        <v>4</v>
      </c>
      <c r="B7" s="99" t="s">
        <v>37</v>
      </c>
      <c r="C7" s="99">
        <v>8016</v>
      </c>
      <c r="D7" s="103" t="s">
        <v>38</v>
      </c>
      <c r="E7" s="24" t="s">
        <v>19</v>
      </c>
      <c r="F7" s="17" t="s">
        <v>39</v>
      </c>
      <c r="G7" s="18">
        <v>1</v>
      </c>
      <c r="H7" s="43"/>
      <c r="I7" s="19">
        <v>1</v>
      </c>
    </row>
    <row r="8" spans="1:24" ht="90" x14ac:dyDescent="0.25">
      <c r="A8" s="105"/>
      <c r="B8" s="106"/>
      <c r="C8" s="106"/>
      <c r="D8" s="107"/>
      <c r="E8" s="25" t="s">
        <v>12</v>
      </c>
      <c r="F8" s="108" t="s">
        <v>40</v>
      </c>
      <c r="G8" s="109">
        <v>0.97160000000000002</v>
      </c>
      <c r="H8" s="45"/>
      <c r="I8" s="111">
        <v>0.95789999999999997</v>
      </c>
    </row>
    <row r="9" spans="1:24" ht="45.75" thickBot="1" x14ac:dyDescent="0.3">
      <c r="A9" s="98"/>
      <c r="B9" s="100"/>
      <c r="C9" s="100"/>
      <c r="D9" s="104"/>
      <c r="E9" s="26" t="s">
        <v>41</v>
      </c>
      <c r="F9" s="100"/>
      <c r="G9" s="110"/>
      <c r="H9" s="46"/>
      <c r="I9" s="112"/>
    </row>
    <row r="10" spans="1:24" ht="60.75" thickBot="1" x14ac:dyDescent="0.3">
      <c r="A10" s="27" t="s">
        <v>42</v>
      </c>
      <c r="B10" s="28" t="s">
        <v>43</v>
      </c>
      <c r="C10" s="28">
        <v>8016</v>
      </c>
      <c r="D10" s="29" t="s">
        <v>8</v>
      </c>
      <c r="E10" s="13">
        <v>5.5</v>
      </c>
      <c r="F10" s="28" t="s">
        <v>44</v>
      </c>
      <c r="G10" s="30">
        <v>5.5</v>
      </c>
      <c r="H10" s="32"/>
      <c r="I10" s="31">
        <f>ROUND(EXP(0.75488519435606*(31.10548841-26.76360101*LN(IF(G10&lt;5.5,5.5,G10))+9.08405661*LN(IF(G10&lt;5.5,5.5,G10))^2-1.03071008*LN(IF(G10&lt;5.5,5.5,G10))^3))/EXP(0.75488519435606*(31.10548841-26.76360101*LN(5.5)+9.08405661*LN(5.5)^2-1.03071008*LN(5.5)^3)),4)</f>
        <v>1</v>
      </c>
      <c r="J10" t="s">
        <v>64</v>
      </c>
    </row>
    <row r="11" spans="1:24" ht="30.75" thickBot="1" x14ac:dyDescent="0.3">
      <c r="A11" s="27" t="s">
        <v>45</v>
      </c>
      <c r="B11" s="28" t="s">
        <v>46</v>
      </c>
      <c r="C11" s="28">
        <v>8016</v>
      </c>
      <c r="D11" s="29" t="s">
        <v>47</v>
      </c>
      <c r="E11" s="13">
        <v>1000</v>
      </c>
      <c r="F11" s="28" t="s">
        <v>44</v>
      </c>
      <c r="G11" s="32">
        <v>1000</v>
      </c>
      <c r="H11" s="32"/>
      <c r="I11" s="31">
        <f>ROUND(EXP(0.64404038005242*(13.2398016-4.3779567*LN(LN(IF(G11&lt;400,400,G11)))))/EXP(0.64404038005242*(13.2398016-4.3779567*LN(LN(1000)))),4)</f>
        <v>1</v>
      </c>
    </row>
    <row r="12" spans="1:24" x14ac:dyDescent="0.25">
      <c r="A12" s="113" t="s">
        <v>48</v>
      </c>
      <c r="B12" s="115" t="s">
        <v>49</v>
      </c>
      <c r="C12" s="115">
        <v>8016</v>
      </c>
      <c r="D12" s="117" t="s">
        <v>33</v>
      </c>
      <c r="E12" s="16" t="s">
        <v>33</v>
      </c>
      <c r="F12" s="33" t="s">
        <v>50</v>
      </c>
      <c r="G12" s="18">
        <v>0.91</v>
      </c>
      <c r="H12" s="43"/>
      <c r="I12" s="19">
        <v>0.91</v>
      </c>
    </row>
    <row r="13" spans="1:24" ht="15.75" thickBot="1" x14ac:dyDescent="0.3">
      <c r="A13" s="114"/>
      <c r="B13" s="116"/>
      <c r="C13" s="116"/>
      <c r="D13" s="118"/>
      <c r="E13" s="20" t="s">
        <v>33</v>
      </c>
      <c r="F13" s="34" t="s">
        <v>51</v>
      </c>
      <c r="G13" s="35">
        <v>1</v>
      </c>
      <c r="H13" s="47"/>
      <c r="I13" s="36">
        <v>1</v>
      </c>
    </row>
    <row r="14" spans="1:24" ht="15" customHeight="1" x14ac:dyDescent="0.25">
      <c r="A14" s="119" t="s">
        <v>52</v>
      </c>
      <c r="B14" s="121" t="s">
        <v>53</v>
      </c>
      <c r="C14" s="121">
        <v>8016</v>
      </c>
      <c r="D14" s="123" t="s">
        <v>33</v>
      </c>
      <c r="E14" s="123" t="s">
        <v>33</v>
      </c>
      <c r="F14" s="37" t="s">
        <v>54</v>
      </c>
      <c r="G14" s="38">
        <v>0.70240000000000002</v>
      </c>
      <c r="H14" s="48"/>
      <c r="I14" s="39">
        <v>0.70240000000000002</v>
      </c>
    </row>
    <row r="15" spans="1:24" ht="15.75" thickBot="1" x14ac:dyDescent="0.3">
      <c r="A15" s="120"/>
      <c r="B15" s="122"/>
      <c r="C15" s="122"/>
      <c r="D15" s="124"/>
      <c r="E15" s="124"/>
      <c r="F15" s="40" t="s">
        <v>16</v>
      </c>
      <c r="G15" s="40">
        <v>1</v>
      </c>
      <c r="H15" s="49"/>
      <c r="I15" s="41">
        <v>1</v>
      </c>
    </row>
    <row r="16" spans="1:24" x14ac:dyDescent="0.25">
      <c r="G16" t="s">
        <v>101</v>
      </c>
    </row>
    <row r="17" spans="7:8" x14ac:dyDescent="0.25">
      <c r="G17" s="64" t="s">
        <v>17</v>
      </c>
      <c r="H17">
        <v>11</v>
      </c>
    </row>
    <row r="18" spans="7:8" x14ac:dyDescent="0.25">
      <c r="G18" s="64" t="s">
        <v>99</v>
      </c>
      <c r="H18">
        <v>19</v>
      </c>
    </row>
  </sheetData>
  <mergeCells count="20">
    <mergeCell ref="A14:A15"/>
    <mergeCell ref="B14:B15"/>
    <mergeCell ref="C14:C15"/>
    <mergeCell ref="D14:D15"/>
    <mergeCell ref="E14:E15"/>
    <mergeCell ref="F8:F9"/>
    <mergeCell ref="G8:G9"/>
    <mergeCell ref="I8:I9"/>
    <mergeCell ref="A12:A13"/>
    <mergeCell ref="B12:B13"/>
    <mergeCell ref="C12:C13"/>
    <mergeCell ref="D12:D13"/>
    <mergeCell ref="A5:A6"/>
    <mergeCell ref="B5:B6"/>
    <mergeCell ref="C5:C6"/>
    <mergeCell ref="D5:D6"/>
    <mergeCell ref="A7:A9"/>
    <mergeCell ref="B7:B9"/>
    <mergeCell ref="C7:C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Земельные участки</vt:lpstr>
      <vt:lpstr>справочник ври</vt:lpstr>
      <vt:lpstr>ГОТОВ</vt:lpstr>
      <vt:lpstr>ПЕРЕСЧЕТ НЕ ТРЕБУЕТСЯ</vt:lpstr>
      <vt:lpstr>СТОПЛИСТ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Бунаков Максим Дмитриевич</dc:creator>
  <cp:lastModifiedBy>Шмелев Константин Валерьевич</cp:lastModifiedBy>
  <dcterms:created xsi:type="dcterms:W3CDTF">2020-05-04T04:32:29Z</dcterms:created>
  <dcterms:modified xsi:type="dcterms:W3CDTF">2021-05-25T12:35:08Z</dcterms:modified>
</cp:coreProperties>
</file>