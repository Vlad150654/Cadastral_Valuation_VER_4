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2260" windowHeight="11385" tabRatio="736" activeTab="2"/>
  </bookViews>
  <sheets>
    <sheet name="Объекты оценки" sheetId="1" r:id="rId1"/>
    <sheet name="ПЕРЕСЧЕТ НЕ ТРЕБУЕТСЯ" sheetId="8" r:id="rId2"/>
    <sheet name="ГОТОВ" sheetId="7" r:id="rId3"/>
    <sheet name="СТОПЛИСТ" sheetId="9" r:id="rId4"/>
    <sheet name="Инструкция" sheetId="5" r:id="rId5"/>
    <sheet name="Поправки" sheetId="2" r:id="rId6"/>
    <sheet name="Коды без коммуникаций" sheetId="3" r:id="rId7"/>
    <sheet name="Объекты МУГИСО" sheetId="4" r:id="rId8"/>
    <sheet name="Сегмент ВРИ" sheetId="6" r:id="rId9"/>
  </sheets>
  <definedNames>
    <definedName name="_FilterDatabase" localSheetId="2" hidden="1">ГОТОВ!$A$1:$Z$1</definedName>
    <definedName name="_FilterDatabase" localSheetId="0" hidden="1">'Объекты оценки'!$A$3:$EX$4</definedName>
    <definedName name="_FilterDatabase" localSheetId="8" hidden="1">'Сегмент ВРИ'!$A$2:$H$2</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X5" i="1" l="1"/>
  <c r="ET5" i="1"/>
  <c r="ER5" i="1"/>
  <c r="ES5" i="1" s="1"/>
  <c r="EM5" i="1"/>
  <c r="EA5" i="1"/>
  <c r="DZ5" i="1"/>
  <c r="DV5" i="1"/>
  <c r="DS5" i="1"/>
  <c r="DR5" i="1"/>
  <c r="DQ5" i="1"/>
  <c r="DP5" i="1"/>
  <c r="DO5" i="1"/>
  <c r="DN5" i="1"/>
  <c r="DM5" i="1"/>
  <c r="DJ5" i="1"/>
  <c r="DI5" i="1"/>
  <c r="DH5" i="1"/>
  <c r="DG5" i="1"/>
  <c r="DF5" i="1"/>
  <c r="DE5" i="1"/>
  <c r="DD5" i="1"/>
  <c r="DA5" i="1"/>
  <c r="CZ5" i="1"/>
  <c r="CY5" i="1"/>
  <c r="CX5" i="1"/>
  <c r="CU5" i="1"/>
  <c r="EN5" i="1" s="1"/>
  <c r="CT5" i="1"/>
  <c r="CS5" i="1"/>
  <c r="CR5" i="1"/>
  <c r="EL5" i="1" s="1"/>
  <c r="CN5" i="1"/>
  <c r="CK5" i="1"/>
  <c r="EI5" i="1" s="1"/>
  <c r="CJ5" i="1"/>
  <c r="EH5" i="1" s="1"/>
  <c r="CH5" i="1"/>
  <c r="EF5" i="1" s="1"/>
  <c r="CG5" i="1"/>
  <c r="EE5" i="1" s="1"/>
  <c r="CF5" i="1"/>
  <c r="ED5" i="1" s="1"/>
  <c r="CC5" i="1"/>
  <c r="CB5" i="1"/>
  <c r="BZ5" i="1"/>
  <c r="BY5" i="1"/>
  <c r="EC5" i="1" s="1"/>
  <c r="BX5" i="1"/>
  <c r="CI5" i="1" s="1"/>
  <c r="EG5" i="1" s="1"/>
  <c r="BW5" i="1"/>
  <c r="BV5" i="1"/>
  <c r="BU5" i="1"/>
  <c r="DY5" i="1" s="1"/>
  <c r="BT5" i="1"/>
  <c r="CE5" i="1" s="1"/>
  <c r="BR5" i="1"/>
  <c r="BQ5" i="1"/>
  <c r="DU5" i="1" s="1"/>
  <c r="BP5" i="1"/>
  <c r="CA5" i="1" s="1"/>
  <c r="BO5" i="1"/>
  <c r="BS5" i="1" s="1"/>
  <c r="BN5" i="1"/>
  <c r="DW5" i="1" l="1"/>
  <c r="CD5" i="1"/>
  <c r="CL5" i="1" s="1"/>
  <c r="CM5" i="1" s="1"/>
  <c r="DB5" i="1"/>
  <c r="DT5" i="1"/>
  <c r="DX5" i="1"/>
  <c r="EP5" i="1" s="1"/>
  <c r="EQ5" i="1" s="1"/>
  <c r="EB5" i="1"/>
  <c r="DC5" i="1"/>
  <c r="BO4" i="1"/>
  <c r="CO5" i="1" l="1"/>
  <c r="CP5" i="1"/>
  <c r="DH4" i="1"/>
  <c r="CQ5" i="1" l="1"/>
  <c r="DK5" i="1"/>
  <c r="EJ5" i="1"/>
  <c r="E1" i="9"/>
  <c r="I1" i="8"/>
  <c r="EK5" i="1" l="1"/>
  <c r="EU5" i="1"/>
  <c r="EV5" i="1"/>
  <c r="DL5" i="1"/>
  <c r="BW4" i="1"/>
  <c r="ET4" i="1" s="1"/>
  <c r="EW5" i="1" l="1"/>
  <c r="EO5" i="1"/>
  <c r="DR4" i="1"/>
  <c r="BS4" i="1"/>
  <c r="BQ4" i="1" l="1"/>
  <c r="BP4" i="1"/>
  <c r="BY4" i="1" l="1"/>
  <c r="BV4" i="1"/>
  <c r="DJ4" i="1"/>
  <c r="DI4" i="1" l="1"/>
  <c r="EX4" i="1" l="1"/>
  <c r="ER4" i="1" l="1"/>
  <c r="ES4" i="1" s="1"/>
  <c r="DS4" i="1"/>
  <c r="DQ4" i="1"/>
  <c r="DP4" i="1"/>
  <c r="DO4" i="1"/>
  <c r="DN4" i="1"/>
  <c r="DM4" i="1"/>
  <c r="CU4" i="1"/>
  <c r="EN4" i="1" s="1"/>
  <c r="CT4" i="1"/>
  <c r="EM4" i="1" s="1"/>
  <c r="CS4" i="1"/>
  <c r="CN4" i="1"/>
  <c r="CK4" i="1"/>
  <c r="BZ4" i="1"/>
  <c r="DG4" i="1"/>
  <c r="DE4" i="1"/>
  <c r="DD4" i="1"/>
  <c r="BU4" i="1"/>
  <c r="DC4" i="1" s="1"/>
  <c r="BT4" i="1"/>
  <c r="DB4" i="1" s="1"/>
  <c r="CY4" i="1"/>
  <c r="CX4" i="1"/>
  <c r="BR4" i="1"/>
  <c r="BN4" i="1"/>
  <c r="BX4" i="1" s="1"/>
  <c r="CR4" i="1" l="1"/>
  <c r="EL4" i="1" s="1"/>
  <c r="DZ4" i="1"/>
  <c r="EA4" i="1"/>
  <c r="CH4" i="1"/>
  <c r="EF4" i="1" s="1"/>
  <c r="CG4" i="1"/>
  <c r="EE4" i="1" s="1"/>
  <c r="DW4" i="1"/>
  <c r="CD4" i="1"/>
  <c r="DA4" i="1"/>
  <c r="EC4" i="1"/>
  <c r="CJ4" i="1"/>
  <c r="EH4" i="1" s="1"/>
  <c r="DY4" i="1"/>
  <c r="CF4" i="1"/>
  <c r="ED4" i="1" s="1"/>
  <c r="EI4" i="1"/>
  <c r="DU4" i="1"/>
  <c r="CB4" i="1"/>
  <c r="DF4" i="1"/>
  <c r="EB4" i="1"/>
  <c r="CI4" i="1"/>
  <c r="EG4" i="1" s="1"/>
  <c r="CA4" i="1"/>
  <c r="CE4" i="1"/>
  <c r="DT4" i="1"/>
  <c r="DX4" i="1"/>
  <c r="EP4" i="1" s="1"/>
  <c r="EQ4" i="1" s="1"/>
  <c r="DO1" i="1"/>
  <c r="CZ4" i="1" l="1"/>
  <c r="CC4" i="1"/>
  <c r="CL4" i="1" s="1"/>
  <c r="CM4" i="1" s="1"/>
  <c r="DV4" i="1"/>
  <c r="CO4" i="1" l="1"/>
  <c r="CP4" i="1" s="1"/>
  <c r="CQ4" i="1" s="1"/>
  <c r="EV4" i="1" s="1"/>
  <c r="EJ4" i="1" l="1"/>
  <c r="DK4" i="1"/>
  <c r="EU4" i="1"/>
  <c r="EK4" i="1"/>
  <c r="DL4" i="1"/>
  <c r="EW4" i="1" l="1"/>
  <c r="EO4" i="1"/>
  <c r="D52" i="2" l="1"/>
  <c r="D51" i="2"/>
  <c r="D50" i="2"/>
  <c r="D49" i="2"/>
  <c r="D48" i="2"/>
  <c r="D47" i="2"/>
  <c r="D46" i="2"/>
  <c r="D45" i="2"/>
  <c r="D44" i="2"/>
  <c r="D43" i="2"/>
  <c r="D42" i="2"/>
  <c r="M20" i="2" s="1"/>
  <c r="D41" i="2"/>
  <c r="D40" i="2"/>
  <c r="P22" i="2"/>
  <c r="O22" i="2"/>
  <c r="N22" i="2"/>
  <c r="M22" i="2"/>
  <c r="L22" i="2"/>
  <c r="K22" i="2"/>
  <c r="P21" i="2"/>
  <c r="O21" i="2"/>
  <c r="M21" i="2"/>
  <c r="L21" i="2"/>
  <c r="P20" i="2"/>
  <c r="O20" i="2"/>
  <c r="N20" i="2"/>
  <c r="L20" i="2"/>
  <c r="K20" i="2"/>
  <c r="AC13" i="2"/>
  <c r="AD13" i="2" s="1"/>
  <c r="Y13" i="2"/>
  <c r="T22" i="2" s="1"/>
  <c r="X13" i="2"/>
  <c r="S13" i="2"/>
  <c r="T13" i="2" s="1"/>
  <c r="N13" i="2"/>
  <c r="O13" i="2" s="1"/>
  <c r="I13" i="2"/>
  <c r="J13" i="2" s="1"/>
  <c r="AD12" i="2"/>
  <c r="AE12" i="2" s="1"/>
  <c r="Y12" i="2"/>
  <c r="Z12" i="2" s="1"/>
  <c r="T12" i="2"/>
  <c r="U12" i="2" s="1"/>
  <c r="O12" i="2"/>
  <c r="P12" i="2" s="1"/>
  <c r="J12" i="2"/>
  <c r="K12" i="2" s="1"/>
  <c r="AD11" i="2"/>
  <c r="AE11" i="2" s="1"/>
  <c r="Y11" i="2"/>
  <c r="Z11" i="2" s="1"/>
  <c r="T11" i="2"/>
  <c r="U11" i="2" s="1"/>
  <c r="O11" i="2"/>
  <c r="P11" i="2" s="1"/>
  <c r="J11" i="2"/>
  <c r="K11" i="2" s="1"/>
  <c r="AD10" i="2"/>
  <c r="AE10" i="2" s="1"/>
  <c r="AF10" i="2" s="1"/>
  <c r="Y10" i="2"/>
  <c r="Z10" i="2" s="1"/>
  <c r="T10" i="2"/>
  <c r="U10" i="2" s="1"/>
  <c r="O10" i="2"/>
  <c r="P10" i="2" s="1"/>
  <c r="J10" i="2"/>
  <c r="K10" i="2" s="1"/>
  <c r="AD9" i="2"/>
  <c r="AE9" i="2" s="1"/>
  <c r="Y9" i="2"/>
  <c r="Z9" i="2" s="1"/>
  <c r="T9" i="2"/>
  <c r="U9" i="2" s="1"/>
  <c r="O9" i="2"/>
  <c r="P9" i="2" s="1"/>
  <c r="J9" i="2"/>
  <c r="K9" i="2" s="1"/>
  <c r="AD8" i="2"/>
  <c r="AE8" i="2" s="1"/>
  <c r="Y8" i="2"/>
  <c r="Z8" i="2" s="1"/>
  <c r="T8" i="2"/>
  <c r="U8" i="2" s="1"/>
  <c r="O8" i="2"/>
  <c r="P8" i="2" s="1"/>
  <c r="J8" i="2"/>
  <c r="K8" i="2" s="1"/>
  <c r="AD7" i="2"/>
  <c r="AE7" i="2" s="1"/>
  <c r="Y7" i="2"/>
  <c r="Z7" i="2" s="1"/>
  <c r="U7" i="2"/>
  <c r="T7" i="2"/>
  <c r="O7" i="2"/>
  <c r="P7" i="2" s="1"/>
  <c r="J7" i="2"/>
  <c r="K7" i="2" s="1"/>
  <c r="AL6" i="2"/>
  <c r="AK6" i="2"/>
  <c r="AD6" i="2"/>
  <c r="AE6" i="2" s="1"/>
  <c r="Y6" i="2"/>
  <c r="Z6" i="2" s="1"/>
  <c r="T6" i="2"/>
  <c r="U6" i="2" s="1"/>
  <c r="O6" i="2"/>
  <c r="P6" i="2" s="1"/>
  <c r="J6" i="2"/>
  <c r="K6" i="2" s="1"/>
  <c r="AL5" i="2"/>
  <c r="AK5" i="2"/>
  <c r="AD5" i="2"/>
  <c r="AE5" i="2" s="1"/>
  <c r="Y5" i="2"/>
  <c r="Z5" i="2" s="1"/>
  <c r="T5" i="2"/>
  <c r="U5" i="2" s="1"/>
  <c r="O5" i="2"/>
  <c r="P5" i="2" s="1"/>
  <c r="J5" i="2"/>
  <c r="K5" i="2" s="1"/>
  <c r="AL4" i="2"/>
  <c r="AK4" i="2"/>
  <c r="AD4" i="2"/>
  <c r="AE4" i="2" s="1"/>
  <c r="Y4" i="2"/>
  <c r="Z4" i="2" s="1"/>
  <c r="AA4" i="2" s="1"/>
  <c r="T4" i="2"/>
  <c r="U4" i="2" s="1"/>
  <c r="V4" i="2" s="1"/>
  <c r="O4" i="2"/>
  <c r="P4" i="2" s="1"/>
  <c r="J4" i="2"/>
  <c r="K4" i="2" s="1"/>
  <c r="AL3" i="2"/>
  <c r="AK3" i="2"/>
  <c r="AD3" i="2"/>
  <c r="AE3" i="2" s="1"/>
  <c r="Y3" i="2"/>
  <c r="Z3" i="2" s="1"/>
  <c r="T3" i="2"/>
  <c r="U3" i="2" s="1"/>
  <c r="O3" i="2"/>
  <c r="P3" i="2" s="1"/>
  <c r="Q3" i="2" s="1"/>
  <c r="J3" i="2"/>
  <c r="K3" i="2" s="1"/>
  <c r="AP2" i="2"/>
  <c r="AO2" i="2"/>
  <c r="AL2" i="2"/>
  <c r="AK2" i="2"/>
  <c r="AD2" i="2"/>
  <c r="AE2" i="2" s="1"/>
  <c r="Y2" i="2"/>
  <c r="Z2" i="2" s="1"/>
  <c r="U2" i="2"/>
  <c r="T2" i="2"/>
  <c r="O2" i="2"/>
  <c r="P2" i="2" s="1"/>
  <c r="J2" i="2"/>
  <c r="K2" i="2" s="1"/>
  <c r="AF5" i="2" l="1"/>
  <c r="AF9" i="2"/>
  <c r="AA11" i="2"/>
  <c r="Q22" i="2"/>
  <c r="K13" i="2"/>
  <c r="U22" i="2"/>
  <c r="AE13" i="2"/>
  <c r="U21" i="2" s="1"/>
  <c r="AF6" i="2"/>
  <c r="AF3" i="2"/>
  <c r="AA2" i="2"/>
  <c r="AF2" i="2"/>
  <c r="AF7" i="2"/>
  <c r="AF8" i="2"/>
  <c r="AA7" i="2"/>
  <c r="AA9" i="2"/>
  <c r="AA5" i="2"/>
  <c r="AF11" i="2"/>
  <c r="AF4" i="2"/>
  <c r="AF12" i="2"/>
  <c r="N21" i="2"/>
  <c r="V3" i="2"/>
  <c r="S22" i="2"/>
  <c r="U13" i="2"/>
  <c r="S20" i="2" s="1"/>
  <c r="L10" i="2"/>
  <c r="L9" i="2"/>
  <c r="R22" i="2"/>
  <c r="P13" i="2"/>
  <c r="R20" i="2" s="1"/>
  <c r="L8" i="2"/>
  <c r="V11" i="2"/>
  <c r="V7" i="2"/>
  <c r="L5" i="2"/>
  <c r="L6" i="2"/>
  <c r="L12" i="2"/>
  <c r="L3" i="2"/>
  <c r="Q21" i="2"/>
  <c r="AA10" i="2"/>
  <c r="L11" i="2"/>
  <c r="Z13" i="2"/>
  <c r="T21" i="2" s="1"/>
  <c r="L2" i="2"/>
  <c r="V5" i="2"/>
  <c r="AA3" i="2"/>
  <c r="L4" i="2"/>
  <c r="AA6" i="2"/>
  <c r="V2" i="2"/>
  <c r="Q4" i="2"/>
  <c r="Q5" i="2"/>
  <c r="L7" i="2"/>
  <c r="AA8" i="2"/>
  <c r="V9" i="2"/>
  <c r="Q11" i="2"/>
  <c r="AA12" i="2"/>
  <c r="Q10" i="2"/>
  <c r="Q12" i="2"/>
  <c r="Q8" i="2"/>
  <c r="Q6" i="2"/>
  <c r="Q9" i="2"/>
  <c r="K21" i="2"/>
  <c r="V22" i="2"/>
  <c r="Y22" i="2" s="1"/>
  <c r="Q2" i="2"/>
  <c r="Q7" i="2"/>
  <c r="Q20" i="2"/>
  <c r="V20" i="2" s="1"/>
  <c r="U20" i="2"/>
  <c r="S21" i="2"/>
  <c r="V6" i="2"/>
  <c r="V8" i="2"/>
  <c r="V12" i="2"/>
  <c r="T20" i="2"/>
  <c r="R21" i="2"/>
  <c r="V10" i="2"/>
  <c r="L13" i="2"/>
  <c r="Q13" i="2"/>
  <c r="V13" i="2"/>
  <c r="AA13" i="2"/>
  <c r="AF13" i="2"/>
  <c r="X20" i="2" l="1"/>
  <c r="Y20" i="2"/>
  <c r="V21" i="2"/>
  <c r="Y21" i="2" s="1"/>
  <c r="FF3" i="1" l="1"/>
  <c r="FF2" i="1" s="1"/>
  <c r="FE3" i="1"/>
  <c r="FE2" i="1" s="1"/>
  <c r="FG3" i="1"/>
  <c r="FG2" i="1" s="1"/>
</calcChain>
</file>

<file path=xl/sharedStrings.xml><?xml version="1.0" encoding="utf-8"?>
<sst xmlns="http://schemas.openxmlformats.org/spreadsheetml/2006/main" count="1831" uniqueCount="1183">
  <si>
    <t>Идентификатор</t>
  </si>
  <si>
    <t>Кадастровый номер</t>
  </si>
  <si>
    <t>Вид объекта недвижимости</t>
  </si>
  <si>
    <t>Площадь в квадратных метрах</t>
  </si>
  <si>
    <t>Адрес (местоположение) Иное</t>
  </si>
  <si>
    <t>Адрес (местоположение) Неформализованное описание</t>
  </si>
  <si>
    <t>Категория земель</t>
  </si>
  <si>
    <t>Вид использования участка по документу</t>
  </si>
  <si>
    <t>Разрешенное использование участка</t>
  </si>
  <si>
    <t>Разрешенное использование (текстовое описание)</t>
  </si>
  <si>
    <t>Кадастровая стоимость</t>
  </si>
  <si>
    <t>Дата определения кадастровой стоимости</t>
  </si>
  <si>
    <t>Удельный показатель кадастровой стоимости(руб/м2)</t>
  </si>
  <si>
    <t>Кадастровая стоимость (руб)</t>
  </si>
  <si>
    <t>Кадастровая стоимость описание вых</t>
  </si>
  <si>
    <t>Группа для XML</t>
  </si>
  <si>
    <t>Код населённого пункта</t>
  </si>
  <si>
    <t>Код расчета вида использования</t>
  </si>
  <si>
    <t>Расшифровка расчетной подгруппы</t>
  </si>
  <si>
    <t>Сегмент</t>
  </si>
  <si>
    <t>Расстояние до дороги</t>
  </si>
  <si>
    <t>Расстояние до центра МО</t>
  </si>
  <si>
    <t>Наличие отопления</t>
  </si>
  <si>
    <t>Наличие электроснабжения</t>
  </si>
  <si>
    <t>Наличие водоотведения</t>
  </si>
  <si>
    <t>Расстояние до метро</t>
  </si>
  <si>
    <t>Расстояние до остановки общественного транспорта</t>
  </si>
  <si>
    <t>Ценовой пояс ЕКБ</t>
  </si>
  <si>
    <t>Признак актуальности</t>
  </si>
  <si>
    <t>Дата пакета</t>
  </si>
  <si>
    <t>Ценовой пояс (ЦФ)</t>
  </si>
  <si>
    <t>Теплоснабжение (ЦФ)</t>
  </si>
  <si>
    <t>Водоотведение (ЦФ)</t>
  </si>
  <si>
    <t>Электроснабжение (ЦФ)</t>
  </si>
  <si>
    <t>Отношение ВРИ к сегменту (ЦФ)</t>
  </si>
  <si>
    <t>Площадь (ЦФ)</t>
  </si>
  <si>
    <t>Поправка на площадь (ЦФ)</t>
  </si>
  <si>
    <t>Расстояние до метро (ЦФ)</t>
  </si>
  <si>
    <t>Расстояние до остановок (ЦФ)</t>
  </si>
  <si>
    <t>Расстояние до дороги (ЦФ)</t>
  </si>
  <si>
    <t>Расстояние до административного центра МО (ЦФ)</t>
  </si>
  <si>
    <t>Номер заявления</t>
  </si>
  <si>
    <t>Тип заявления</t>
  </si>
  <si>
    <t>Статус заявления</t>
  </si>
  <si>
    <t>Площадь обременений (ЦФ)</t>
  </si>
  <si>
    <t>Особый контроль</t>
  </si>
  <si>
    <t>04:010</t>
  </si>
  <si>
    <t>4. СЕГМЕНТ "Предпринимательство"</t>
  </si>
  <si>
    <t>Пояс 1</t>
  </si>
  <si>
    <t>Наличие теплоснабжения</t>
  </si>
  <si>
    <t>08:022</t>
  </si>
  <si>
    <t>3. СЕГМЕНТ "Общественное использование"</t>
  </si>
  <si>
    <t>Пояс 3</t>
  </si>
  <si>
    <t>Отсутствие теплоснабжения</t>
  </si>
  <si>
    <t>Отсутствие водоотведения</t>
  </si>
  <si>
    <t>03:999</t>
  </si>
  <si>
    <t>Центр</t>
  </si>
  <si>
    <t>03:081</t>
  </si>
  <si>
    <t>03:050</t>
  </si>
  <si>
    <t>Пояс 2</t>
  </si>
  <si>
    <t>04:096</t>
  </si>
  <si>
    <t>03:040</t>
  </si>
  <si>
    <t>03:051</t>
  </si>
  <si>
    <t>Пояс 4</t>
  </si>
  <si>
    <t>03:080</t>
  </si>
  <si>
    <t>04:060</t>
  </si>
  <si>
    <t>03:041</t>
  </si>
  <si>
    <t>66:41:0701014:18</t>
  </si>
  <si>
    <t>03:060</t>
  </si>
  <si>
    <t>04:040</t>
  </si>
  <si>
    <t>66:41:0501070:81</t>
  </si>
  <si>
    <t>04:020</t>
  </si>
  <si>
    <t>Ценовой пояс</t>
  </si>
  <si>
    <t>Теплоснабжение</t>
  </si>
  <si>
    <t>Водоотведение</t>
  </si>
  <si>
    <t>Электроснабжение</t>
  </si>
  <si>
    <t>Расстояние до остановок, км</t>
  </si>
  <si>
    <t>ОПРЕДЕЛЕНИЕ ЦФ В РАМКАХ СТАТЬИ 16</t>
  </si>
  <si>
    <t>Константа</t>
  </si>
  <si>
    <t>Отношение ВРИ к сегменту</t>
  </si>
  <si>
    <t>Общая площадь, м2</t>
  </si>
  <si>
    <t>Расстояние до метро, км</t>
  </si>
  <si>
    <t>Расстояние до дорог, км</t>
  </si>
  <si>
    <t>Расстояние до центра, км</t>
  </si>
  <si>
    <t>loc_factor_801</t>
  </si>
  <si>
    <t>loc_factor_804</t>
  </si>
  <si>
    <t>loc_factor_802</t>
  </si>
  <si>
    <t>loc_factor_803</t>
  </si>
  <si>
    <t>loc_factor_806</t>
  </si>
  <si>
    <t>loc_factor_807</t>
  </si>
  <si>
    <t>loc_factor_809</t>
  </si>
  <si>
    <t>loc_factor_810</t>
  </si>
  <si>
    <t>loc_factor_811</t>
  </si>
  <si>
    <t>loc_factor_812</t>
  </si>
  <si>
    <t>loc_factor_8071</t>
  </si>
  <si>
    <t>loc_factor_8091</t>
  </si>
  <si>
    <t>loc_factor_8101</t>
  </si>
  <si>
    <t>loc_factor_8111</t>
  </si>
  <si>
    <t>loc_factor_8121</t>
  </si>
  <si>
    <t>loc_factor_839</t>
  </si>
  <si>
    <t>Specific_CadastralCost</t>
  </si>
  <si>
    <t>CadastralCost</t>
  </si>
  <si>
    <t>CadastralCostDesc</t>
  </si>
  <si>
    <t>CadastralNumber</t>
  </si>
  <si>
    <t>id_group</t>
  </si>
  <si>
    <t>loc_factor_827</t>
  </si>
  <si>
    <t>х1</t>
  </si>
  <si>
    <t>х2</t>
  </si>
  <si>
    <t>х3</t>
  </si>
  <si>
    <t>х4</t>
  </si>
  <si>
    <t>х5</t>
  </si>
  <si>
    <t>х6</t>
  </si>
  <si>
    <t>х7</t>
  </si>
  <si>
    <t>х8</t>
  </si>
  <si>
    <t>х9</t>
  </si>
  <si>
    <t>х10</t>
  </si>
  <si>
    <t>Ценовой пояс, поправочный коэффициент</t>
  </si>
  <si>
    <t>Электроснабжение, поправочный коэффициент</t>
  </si>
  <si>
    <t>Теплоснабжение, поправочный коэффициент</t>
  </si>
  <si>
    <t>Водоотведение, поправочный коэффициент</t>
  </si>
  <si>
    <t>Отношение к сегменту, поправочный коэффициент</t>
  </si>
  <si>
    <t>Общая площадь, поправочный коэффициент</t>
  </si>
  <si>
    <t>Расстояние до метро, поправочный коэффициент</t>
  </si>
  <si>
    <t>Расстояние до остановок, поправочный коэффициент</t>
  </si>
  <si>
    <t>Расстояние до дорог, поправочный коэффициент</t>
  </si>
  <si>
    <t>Расстояние до центра, поправочный коэффициент</t>
  </si>
  <si>
    <t>Площадь обременений</t>
  </si>
  <si>
    <t>УПКС с учетом поправки на уторгование, руб/м2 на 2020</t>
  </si>
  <si>
    <t>УПКС по межеванию</t>
  </si>
  <si>
    <t>УПКС с учетом поправки на уторгование И ОБРЕМЕНЕНИЕ, руб/м2 на 2020</t>
  </si>
  <si>
    <t>УПКС с учетом поправки на уторгование И ОБРЕМЕНЕНИЕ И МЕЖЕВАНИЕ, руб/м2 на 2020</t>
  </si>
  <si>
    <t>КС, руб. на 2020</t>
  </si>
  <si>
    <t>Описание КС</t>
  </si>
  <si>
    <t>x11</t>
  </si>
  <si>
    <t>ТОРГ</t>
  </si>
  <si>
    <t>УПКС, руб/м2</t>
  </si>
  <si>
    <t>МЕЖЕВАНИЕ</t>
  </si>
  <si>
    <t>КН</t>
  </si>
  <si>
    <t>Группа хмл</t>
  </si>
  <si>
    <t>ИТОГ</t>
  </si>
  <si>
    <t>Таблица №12</t>
  </si>
  <si>
    <t>площадь</t>
  </si>
  <si>
    <t>Степеннаяln = 11,27070473*#Перем_14^-0,08418488</t>
  </si>
  <si>
    <t>Площадь</t>
  </si>
  <si>
    <t>Расстояние до остановок</t>
  </si>
  <si>
    <t>Расстояние до дорог</t>
  </si>
  <si>
    <t>Расстояние до центра</t>
  </si>
  <si>
    <t>Названия строк</t>
  </si>
  <si>
    <t>Среднее по полю Расстояние до метро</t>
  </si>
  <si>
    <t>Среднее по полю Расстояние до центра МО</t>
  </si>
  <si>
    <t>Среднее по полю Расстояние до остановки общественного транспорта</t>
  </si>
  <si>
    <t>Среднее по полю Расстояние до дороги</t>
  </si>
  <si>
    <t>Линейная регрессия</t>
  </si>
  <si>
    <t>метро</t>
  </si>
  <si>
    <t>Компаундln_ = 9,57779229*0,98667563^#Перем_16</t>
  </si>
  <si>
    <t>Параметры модели:</t>
  </si>
  <si>
    <t>остановки</t>
  </si>
  <si>
    <t>Перем_27 = 9,30579950*0,99085691^#Перем_17</t>
  </si>
  <si>
    <t>-2,6768265015+0,6877377564*#Степеннаяln+0,0464674726*#Компаундln_+0,0480178513*#Перем_27+0,1704232904*#Перем_28+0,3182232965*#Прямая_линия+1,0000000000*#Перем_35+1,0000000000*#Перем_36+1,0000000000*#Перем_37+1,0000000000*#Перем_38+1,0000000000*#Перем_39</t>
  </si>
  <si>
    <t>дороги</t>
  </si>
  <si>
    <t>Перем_28 = 9,23088404*0,99320482^#Перем_18</t>
  </si>
  <si>
    <t>Параметр:</t>
  </si>
  <si>
    <t>Значение:</t>
  </si>
  <si>
    <t>центр екб</t>
  </si>
  <si>
    <t>Прямая_линия = 9,93943263-0,30296633*#Перем_19</t>
  </si>
  <si>
    <t>Кол-во случаев:</t>
  </si>
  <si>
    <t>Коэффициент множественной корреляции R:</t>
  </si>
  <si>
    <t>Коэффициент детерминации R-квадрат:</t>
  </si>
  <si>
    <t>Уточненный R-квадрат:</t>
  </si>
  <si>
    <t>СреднееY(ln оспорен уд.показ.):</t>
  </si>
  <si>
    <t>базовое значение</t>
  </si>
  <si>
    <t>Стандартная ошибка:</t>
  </si>
  <si>
    <t>минимум</t>
  </si>
  <si>
    <t>Средняя ошибка аппроксимации(%):</t>
  </si>
  <si>
    <t>максимум</t>
  </si>
  <si>
    <t>Средняя ошибка аппроксимации (ln)(%):</t>
  </si>
  <si>
    <t>расчетное значение</t>
  </si>
  <si>
    <t>Дисперсионный анализ:</t>
  </si>
  <si>
    <t>Регрессия:</t>
  </si>
  <si>
    <t>Остаток:</t>
  </si>
  <si>
    <t>Общая:</t>
  </si>
  <si>
    <t>Сумма квадратов:</t>
  </si>
  <si>
    <t>Число степеней свободы:</t>
  </si>
  <si>
    <t>на 1 степень:</t>
  </si>
  <si>
    <t>Отсутствие электроснабжения</t>
  </si>
  <si>
    <t>F критерий Фишера:</t>
  </si>
  <si>
    <t>Электричество</t>
  </si>
  <si>
    <t>Канализация</t>
  </si>
  <si>
    <t>Уторгование</t>
  </si>
  <si>
    <t>УПКС с учетом уторгования, руб/м2</t>
  </si>
  <si>
    <t>КС, руб.</t>
  </si>
  <si>
    <t>Вероятность ошибки (значимость):</t>
  </si>
  <si>
    <t>Таблица коэффициентов:</t>
  </si>
  <si>
    <t>Переменная:</t>
  </si>
  <si>
    <t>Коэффициент b:</t>
  </si>
  <si>
    <t>Ошибка b:</t>
  </si>
  <si>
    <t>Beta:</t>
  </si>
  <si>
    <t>t-Стьюдента:</t>
  </si>
  <si>
    <t>Значимость:</t>
  </si>
  <si>
    <t>Степенная(ln_площадь)</t>
  </si>
  <si>
    <t>Компаунд(ln_метро)</t>
  </si>
  <si>
    <t>Компаунд(ln_до остановок)</t>
  </si>
  <si>
    <t>Компаунд(ln_до дорог)</t>
  </si>
  <si>
    <t>Прямая линия(ln_до центра)</t>
  </si>
  <si>
    <t>Сегмент(Альтернативная)</t>
  </si>
  <si>
    <t>Электроснабжение(Альтернативная)</t>
  </si>
  <si>
    <t>Водоотведение(Альтернативная)</t>
  </si>
  <si>
    <t>Теплоснабжение(Альтернативная)</t>
  </si>
  <si>
    <t>Ценовой пояс(Альтернативная)</t>
  </si>
  <si>
    <t>Исходные переменные</t>
  </si>
  <si>
    <t>Наименование вида использования</t>
  </si>
  <si>
    <t>Код вида разрешенного использования (в соответствии с классификатором видов разрешенного использования земельных участков)</t>
  </si>
  <si>
    <t>Код сегмента</t>
  </si>
  <si>
    <t>Спорт. Устройство площадок для занятия спортом и физкультурой (беговые дорожки, спортивные сооружения, теннисные корты, поля для спортивной игры, автодромы, мотодромы, трамплины, трассы и спортивные стрельбища), сооружения для хранения соответствующего инвентаря</t>
  </si>
  <si>
    <t>5.1</t>
  </si>
  <si>
    <t>05:012</t>
  </si>
  <si>
    <t>Природно-познавательный туризм. Размещение баз и палаточных лагерей для проведения походов и экскурсий по ознакомлению с природой, пеших и конных прогулок</t>
  </si>
  <si>
    <t>5.2</t>
  </si>
  <si>
    <t>05:020</t>
  </si>
  <si>
    <t>Природно-познавательный туризм. Устройство троп и дорожек, размещение щитов с познавательными сведениями об окружающей природной среде, осуществление необходимых природоохранных и природовосстановительных мероприятий</t>
  </si>
  <si>
    <t>05:021</t>
  </si>
  <si>
    <t>Поля для гольфа или конных прогулок. Размещение конноспортивных манежей, не предусматривающих устройство трибун</t>
  </si>
  <si>
    <t>5.5</t>
  </si>
  <si>
    <t>05:051</t>
  </si>
  <si>
    <t>Развлечения. Размещение ОКС, предназначенных для размещения ипподромов</t>
  </si>
  <si>
    <t>4.8</t>
  </si>
  <si>
    <t>04:083</t>
  </si>
  <si>
    <t>Ярмарки, торговые выставки на открытых площадках</t>
  </si>
  <si>
    <t>4.96</t>
  </si>
  <si>
    <t>04:996</t>
  </si>
  <si>
    <t>Рекламные щиты/рекламные растяжки/рекламные конструкции</t>
  </si>
  <si>
    <t>4.97</t>
  </si>
  <si>
    <t>04:997</t>
  </si>
  <si>
    <t>Киоски/Ларьки/Торговые павильоны/Прицепы и Трейлеры торговые/торгово-остановочные комплексы</t>
  </si>
  <si>
    <t>4.98</t>
  </si>
  <si>
    <t>04:998</t>
  </si>
  <si>
    <t>Причалы для маломерных судов. Размещение сооружений, предназначенных для причаливания, хранения и обслуживания яхт, катеров, лодок и других маломерных судов</t>
  </si>
  <si>
    <t>5.4</t>
  </si>
  <si>
    <t>05:040</t>
  </si>
  <si>
    <t>6. СЕГМЕНТ "Производственная деятельность"</t>
  </si>
  <si>
    <t>Недропользование. Осуществление геологических изысканий, добыча недр открытым (карьеры, отвалы) способом</t>
  </si>
  <si>
    <t>6.1</t>
  </si>
  <si>
    <t>06:010</t>
  </si>
  <si>
    <t>Недропользование. Осуществление геологических изысканий, добыча недр закрытым (шахты, скважины) способом</t>
  </si>
  <si>
    <t>06:011</t>
  </si>
  <si>
    <r>
      <t xml:space="preserve">Связь. Размещение объектов связи, радиовещания, телевидения, включая воздушные радиорелейные, надземные и подземные кабельные линии связи, линии радиофикации, антенные поля, усилительные пункты на кабельных линиях связи, инфраструктуры спутниковой связи и телерадиовещания, за исключением объектов связи, размещение которых предусмотрено кодом расчета вида использования 03:011, </t>
    </r>
    <r>
      <rPr>
        <b/>
        <sz val="11"/>
        <color theme="1"/>
        <rFont val="Times New Roman"/>
        <family val="1"/>
        <charset val="204"/>
      </rPr>
      <t>диспетчерские</t>
    </r>
  </si>
  <si>
    <t>6.8</t>
  </si>
  <si>
    <t>06:080</t>
  </si>
  <si>
    <t>Железнодорожный транспорт. Размещение железнодорожных путей</t>
  </si>
  <si>
    <t>7.1</t>
  </si>
  <si>
    <t>07:010</t>
  </si>
  <si>
    <t>Железнодорожный транспорт. Размещение наземных сооружений для трамвайного сообщения и иных специальных дорог (канатных, монорельсовых, фуникулеров)</t>
  </si>
  <si>
    <t>07:015</t>
  </si>
  <si>
    <t>Автомобильный транспорт. Размещение автомобильных дорог и технически связанных с ними сооружений</t>
  </si>
  <si>
    <t>7.2</t>
  </si>
  <si>
    <t>07:020</t>
  </si>
  <si>
    <t>Размещение объектов улично-дорожной сети, автомобильных дорог и пешеходных тротуаров в границах населенных пунктов, пешеходных переходов, площадей, проездов</t>
  </si>
  <si>
    <t>12.0</t>
  </si>
  <si>
    <t>12:001</t>
  </si>
  <si>
    <t>Обслуживание автотранспорта. Размещение открытых площадок, предназначенных для хранения автотранспорта</t>
  </si>
  <si>
    <t>4.9</t>
  </si>
  <si>
    <t>04:091</t>
  </si>
  <si>
    <t>7. СЕГМЕНТ "Транспорт"</t>
  </si>
  <si>
    <t>Автомобильный транспорт. Под оборудование для открытых стоянок автомобильного транспорта</t>
  </si>
  <si>
    <t>07:023</t>
  </si>
  <si>
    <t>Коммунальное обслуживание. Размещение ОКС в целях обеспечения физических и юридических лиц коммунальными услугами, в частности: поставка воды, тепла, электричества, газа, предоставление услуг связи (отвод канализационных стоков, водопроводы, линии электропередач, газопроводы, линии связи и прочие линейные объекты)</t>
  </si>
  <si>
    <t>3.1</t>
  </si>
  <si>
    <t>03:011</t>
  </si>
  <si>
    <t>66:41:0000000:316</t>
  </si>
  <si>
    <t>66:41:0301001:14</t>
  </si>
  <si>
    <t>66:41:0704045:17</t>
  </si>
  <si>
    <t>66:41:0206018:7</t>
  </si>
  <si>
    <t>66:41:0106155:3</t>
  </si>
  <si>
    <t>66:41:0503014:73</t>
  </si>
  <si>
    <t>66:41:0000000:347</t>
  </si>
  <si>
    <t>66:41:0603016:9</t>
  </si>
  <si>
    <t>66:41:0109051:5</t>
  </si>
  <si>
    <t>66:41:0504096:20</t>
  </si>
  <si>
    <t>66:41:0000000:662</t>
  </si>
  <si>
    <t>66:41:0301016:4</t>
  </si>
  <si>
    <t>66:41:0000000:697</t>
  </si>
  <si>
    <t>66:41:0303161:1178</t>
  </si>
  <si>
    <t>66:41:0306004:9</t>
  </si>
  <si>
    <t>66:41:0511003:16</t>
  </si>
  <si>
    <t>66:41:0303161:1177</t>
  </si>
  <si>
    <t>66:41:0302027:7</t>
  </si>
  <si>
    <t>66:41:0204026:8</t>
  </si>
  <si>
    <t>66:41:0110143:34</t>
  </si>
  <si>
    <t>66:41:0205015:23</t>
  </si>
  <si>
    <t>66:41:0602008:25</t>
  </si>
  <si>
    <t>66:41:0204026:5</t>
  </si>
  <si>
    <t>66:41:0205007:24</t>
  </si>
  <si>
    <t>66:41:0703002:19</t>
  </si>
  <si>
    <t>66:41:0603012:10</t>
  </si>
  <si>
    <t>66:41:0703002:4</t>
  </si>
  <si>
    <t>66:41:0704006:92</t>
  </si>
  <si>
    <t>66:41:0304008:51</t>
  </si>
  <si>
    <t>66:41:0704015:20</t>
  </si>
  <si>
    <t>66:41:0501072:39</t>
  </si>
  <si>
    <t>66:41:0501072:1464</t>
  </si>
  <si>
    <t>66:41:0603012:12</t>
  </si>
  <si>
    <t>66:41:0402018:22</t>
  </si>
  <si>
    <t>66:41:0304030:44</t>
  </si>
  <si>
    <t>66:41:0704005:6</t>
  </si>
  <si>
    <t>66:41:0304011:920</t>
  </si>
  <si>
    <t>66:41:0704024:6</t>
  </si>
  <si>
    <t>66:41:0703002:22</t>
  </si>
  <si>
    <t>66:41:0206006:12</t>
  </si>
  <si>
    <t>66:41:0401047:30</t>
  </si>
  <si>
    <t>66:41:0601039:41</t>
  </si>
  <si>
    <t>66:41:0601021:11</t>
  </si>
  <si>
    <t>66:41:0601024:2</t>
  </si>
  <si>
    <t>66:41:0206014:46</t>
  </si>
  <si>
    <t>66:41:0401042:11</t>
  </si>
  <si>
    <t>66:41:0401039:6</t>
  </si>
  <si>
    <t>66:41:0601014:88</t>
  </si>
  <si>
    <t>66:41:0401035:20</t>
  </si>
  <si>
    <t>66:41:0401008:11</t>
  </si>
  <si>
    <t>66:41:0701028:7</t>
  </si>
  <si>
    <t>66:41:0401015:62</t>
  </si>
  <si>
    <t>66:41:0401019:12</t>
  </si>
  <si>
    <t>66:41:0401017:14</t>
  </si>
  <si>
    <t>66:41:0401019:37</t>
  </si>
  <si>
    <t>66:41:0401015:13</t>
  </si>
  <si>
    <t>66:41:0401029:12</t>
  </si>
  <si>
    <t>66:41:0301014:7</t>
  </si>
  <si>
    <t>66:41:0401020:73</t>
  </si>
  <si>
    <t>66:41:0401020:50</t>
  </si>
  <si>
    <t>66:41:0704006:3</t>
  </si>
  <si>
    <t>66:41:0401021:54</t>
  </si>
  <si>
    <t>66:41:0601015:10</t>
  </si>
  <si>
    <t>66:41:0301013:15</t>
  </si>
  <si>
    <t>66:41:0601034:2</t>
  </si>
  <si>
    <t>66:41:0401011:17</t>
  </si>
  <si>
    <t>66:41:0601015:8</t>
  </si>
  <si>
    <t>66:41:0501064:417</t>
  </si>
  <si>
    <t>66:41:0704021:11</t>
  </si>
  <si>
    <t>66:41:0110019:248</t>
  </si>
  <si>
    <t>66:41:0601023:12</t>
  </si>
  <si>
    <t>66:41:0601007:1</t>
  </si>
  <si>
    <t>66:41:0302034:48</t>
  </si>
  <si>
    <t>66:41:0402010:20</t>
  </si>
  <si>
    <t>66:41:0704037:2837</t>
  </si>
  <si>
    <t>66:41:0401018:18</t>
  </si>
  <si>
    <t>66:41:0401034:2091</t>
  </si>
  <si>
    <t>66:41:0701018:1</t>
  </si>
  <si>
    <t>66:41:0401055:66</t>
  </si>
  <si>
    <t>66:41:0704028:50</t>
  </si>
  <si>
    <t>66:41:0401017:17</t>
  </si>
  <si>
    <t>66:41:0401017:12</t>
  </si>
  <si>
    <t>66:41:0601056:85</t>
  </si>
  <si>
    <t>66:41:0403002:101</t>
  </si>
  <si>
    <t>66:41:0601037:3</t>
  </si>
  <si>
    <t>66:41:0601001:48</t>
  </si>
  <si>
    <t>66:41:0601001:16</t>
  </si>
  <si>
    <t>66:41:0703002:12</t>
  </si>
  <si>
    <t>66:41:0401018:13</t>
  </si>
  <si>
    <t>66:41:0701013:21</t>
  </si>
  <si>
    <t>66:41:0601001:49</t>
  </si>
  <si>
    <t>66:41:0401030:4</t>
  </si>
  <si>
    <t>66:41:0401053:14</t>
  </si>
  <si>
    <t>66:41:0401053:154</t>
  </si>
  <si>
    <t>66:41:0000000:508</t>
  </si>
  <si>
    <t>66:41:0401029:23</t>
  </si>
  <si>
    <t>66:41:0601005:54</t>
  </si>
  <si>
    <t>66:41:0401021:9</t>
  </si>
  <si>
    <t>66:41:0401021:64</t>
  </si>
  <si>
    <t>66:41:0303095:19</t>
  </si>
  <si>
    <t>66:41:0601021:17</t>
  </si>
  <si>
    <t>66:41:0110025:490</t>
  </si>
  <si>
    <t>66:41:0110025:489</t>
  </si>
  <si>
    <t>66:41:0401003:21</t>
  </si>
  <si>
    <t>66:41:0604003:7</t>
  </si>
  <si>
    <t>66:41:0604003:70</t>
  </si>
  <si>
    <t>66:41:0401016:5</t>
  </si>
  <si>
    <t>66:41:0301014:8</t>
  </si>
  <si>
    <t>66:41:0000000:824</t>
  </si>
  <si>
    <t>66:41:0304032:14</t>
  </si>
  <si>
    <t>66:41:0304012:4</t>
  </si>
  <si>
    <t>66:41:0304012:3531</t>
  </si>
  <si>
    <t>66:41:0701009:14</t>
  </si>
  <si>
    <t>66:41:0204018:22</t>
  </si>
  <si>
    <t>66:41:0303072:64</t>
  </si>
  <si>
    <t>66:41:0303043:59</t>
  </si>
  <si>
    <t>66:41:0603012:35</t>
  </si>
  <si>
    <t>66:41:0000000:554</t>
  </si>
  <si>
    <t>66:41:0601026:26</t>
  </si>
  <si>
    <t>66:41:0601032:7</t>
  </si>
  <si>
    <t>66:41:0402008:8</t>
  </si>
  <si>
    <t>66:41:0401017:25</t>
  </si>
  <si>
    <t>66:41:0401011:5</t>
  </si>
  <si>
    <t>66:41:0108001:38</t>
  </si>
  <si>
    <t>66:41:0000000:320</t>
  </si>
  <si>
    <t>66:41:0106091:17</t>
  </si>
  <si>
    <t>66:41:0313010:415</t>
  </si>
  <si>
    <t>66:41:0108014:1214</t>
  </si>
  <si>
    <t>66:41:0106133:30</t>
  </si>
  <si>
    <t>66:41:0205011:396</t>
  </si>
  <si>
    <t>66:41:0606001:33</t>
  </si>
  <si>
    <t>66:41:0604030:40</t>
  </si>
  <si>
    <t>66:41:0303161:1471</t>
  </si>
  <si>
    <t>66:41:0302024:30</t>
  </si>
  <si>
    <t>66:41:0702072:80</t>
  </si>
  <si>
    <t>66:41:0000000:648</t>
  </si>
  <si>
    <t>66:41:0601048:12</t>
  </si>
  <si>
    <t>66:41:0106115:50</t>
  </si>
  <si>
    <t>66:41:0108001:25</t>
  </si>
  <si>
    <t>66:41:0601030:34</t>
  </si>
  <si>
    <t>66:41:0108126:56</t>
  </si>
  <si>
    <t>66:41:0000000:338</t>
  </si>
  <si>
    <t>66:41:0606001:4</t>
  </si>
  <si>
    <t>66:41:0000000:146</t>
  </si>
  <si>
    <t>66:41:0108001:40</t>
  </si>
  <si>
    <t>66:41:0601027:6</t>
  </si>
  <si>
    <t>66:41:0601027:3</t>
  </si>
  <si>
    <t>66:41:0601017:5</t>
  </si>
  <si>
    <t>66:41:0106105:22</t>
  </si>
  <si>
    <t>66:41:0603019:17</t>
  </si>
  <si>
    <t>66:41:0701022:484</t>
  </si>
  <si>
    <t>66:41:0701022:477</t>
  </si>
  <si>
    <t>66:41:0401020:67</t>
  </si>
  <si>
    <t>66:41:0301004:169</t>
  </si>
  <si>
    <t>66:41:0304032:24</t>
  </si>
  <si>
    <t>66:41:0304032:23</t>
  </si>
  <si>
    <t>66:41:0301004:3</t>
  </si>
  <si>
    <t>66:41:0401020:10</t>
  </si>
  <si>
    <t>66:41:0707011:12</t>
  </si>
  <si>
    <t>66:41:0701005:7</t>
  </si>
  <si>
    <t>66:41:0701013:2</t>
  </si>
  <si>
    <t>66:41:0401016:20</t>
  </si>
  <si>
    <t>66:41:0706001:128</t>
  </si>
  <si>
    <t>66:41:0303043:1485</t>
  </si>
  <si>
    <t>66:41:0303043:86</t>
  </si>
  <si>
    <t>66:41:0403077:8</t>
  </si>
  <si>
    <t>66:41:0000000:643</t>
  </si>
  <si>
    <t>66:41:0204005:76</t>
  </si>
  <si>
    <t>66:41:0204005:70</t>
  </si>
  <si>
    <t>66:41:0401039:19</t>
  </si>
  <si>
    <t>66:41:0205008:150</t>
  </si>
  <si>
    <t>66:41:0205008:151</t>
  </si>
  <si>
    <t>66:41:0401020:55</t>
  </si>
  <si>
    <t>66:41:0401040:13</t>
  </si>
  <si>
    <t>66:41:0401039:28</t>
  </si>
  <si>
    <t>66:41:0704002:44</t>
  </si>
  <si>
    <t>66:41:0704002:45</t>
  </si>
  <si>
    <t>66:41:0206016:34</t>
  </si>
  <si>
    <t>66:41:0601021:15</t>
  </si>
  <si>
    <t>66:41:0401038:13</t>
  </si>
  <si>
    <t>66:41:0706001:127</t>
  </si>
  <si>
    <t>66:41:0106091:3</t>
  </si>
  <si>
    <t>66:41:0703008:14</t>
  </si>
  <si>
    <t>66:41:0703008:78</t>
  </si>
  <si>
    <t>66:41:0401021:4</t>
  </si>
  <si>
    <t>66:41:0702034:14</t>
  </si>
  <si>
    <t>66:41:0601005:86</t>
  </si>
  <si>
    <t>66:41:0503019:8</t>
  </si>
  <si>
    <t>66:41:0610004:22</t>
  </si>
  <si>
    <t>66:41:0304027:8</t>
  </si>
  <si>
    <t>66:41:0401033:16</t>
  </si>
  <si>
    <t>66:41:0401033:21</t>
  </si>
  <si>
    <t>66:41:0401033:18</t>
  </si>
  <si>
    <t>66:41:0304026:104</t>
  </si>
  <si>
    <t>66:41:0502060:2</t>
  </si>
  <si>
    <t>66:41:0304003:10</t>
  </si>
  <si>
    <t>66:41:0304003:5</t>
  </si>
  <si>
    <t>66:41:0401035:45</t>
  </si>
  <si>
    <t>66:41:0401035:9</t>
  </si>
  <si>
    <t>66:41:0401035:812</t>
  </si>
  <si>
    <t>66:41:0401035:813</t>
  </si>
  <si>
    <t>66:41:0000000:124</t>
  </si>
  <si>
    <t>66:41:0001001:403</t>
  </si>
  <si>
    <t>66:41:0501005:16</t>
  </si>
  <si>
    <t>66:41:0702017:8</t>
  </si>
  <si>
    <t>66:41:0304032:29</t>
  </si>
  <si>
    <t>66:41:0304032:40</t>
  </si>
  <si>
    <t>66:41:0304032:32</t>
  </si>
  <si>
    <t>66:41:0304032:33</t>
  </si>
  <si>
    <t>66:41:0000000:402</t>
  </si>
  <si>
    <t>66:41:0401031:294</t>
  </si>
  <si>
    <t>66:41:0706001:126</t>
  </si>
  <si>
    <t>66:41:0603001:27</t>
  </si>
  <si>
    <t>66:41:0511021:3280</t>
  </si>
  <si>
    <t>66:41:0304028:8</t>
  </si>
  <si>
    <t>66:41:0401901:11</t>
  </si>
  <si>
    <t>66:41:0106045:50</t>
  </si>
  <si>
    <t>66:41:0000000:226</t>
  </si>
  <si>
    <t>66:41:0302015:26</t>
  </si>
  <si>
    <t>66:41:0702078:8</t>
  </si>
  <si>
    <t>66:41:0402030:21</t>
  </si>
  <si>
    <t>66:41:0108009:37</t>
  </si>
  <si>
    <t>66:41:0000000:591</t>
  </si>
  <si>
    <t>66:41:0401020:1388</t>
  </si>
  <si>
    <t>66:41:0401043:9</t>
  </si>
  <si>
    <t>66:41:0401043:38</t>
  </si>
  <si>
    <t>66:41:0603001:2</t>
  </si>
  <si>
    <t>66:41:0603001:33</t>
  </si>
  <si>
    <t>66:41:0706001:84</t>
  </si>
  <si>
    <t>66:41:0401017:9</t>
  </si>
  <si>
    <t>66:41:0501010:9</t>
  </si>
  <si>
    <t>66:41:0301015:9</t>
  </si>
  <si>
    <t>66:41:0106034:23</t>
  </si>
  <si>
    <t>66:41:0705001:2140</t>
  </si>
  <si>
    <t>66:41:0404008:1</t>
  </si>
  <si>
    <t>66:41:0108079:11</t>
  </si>
  <si>
    <t>66:41:0404012:4</t>
  </si>
  <si>
    <t>66:41:0501008:2</t>
  </si>
  <si>
    <t>66:41:0000000:1213</t>
  </si>
  <si>
    <t>66:41:0402019:20</t>
  </si>
  <si>
    <t>66:41:0304006:2749</t>
  </si>
  <si>
    <t>66:41:0000000:535</t>
  </si>
  <si>
    <t>66:41:0702034:124</t>
  </si>
  <si>
    <t>66:41:0000000:1003</t>
  </si>
  <si>
    <t>66:41:0401027:61</t>
  </si>
  <si>
    <t>66:41:0401027:68</t>
  </si>
  <si>
    <t>66:41:0401027:56</t>
  </si>
  <si>
    <t>66:41:0206004:48</t>
  </si>
  <si>
    <t>66:41:0306055:28</t>
  </si>
  <si>
    <t>66:41:0204021:2</t>
  </si>
  <si>
    <t>66:41:0106105:24</t>
  </si>
  <si>
    <t>66:41:0709013:19</t>
  </si>
  <si>
    <t>66:41:0204034:3</t>
  </si>
  <si>
    <t>66:41:0304027:129</t>
  </si>
  <si>
    <t>66:41:0401004:23</t>
  </si>
  <si>
    <t>66:41:0204033:62</t>
  </si>
  <si>
    <t>66:41:0401010:1</t>
  </si>
  <si>
    <t>66:41:0206001:18</t>
  </si>
  <si>
    <t>66:41:0206004:24</t>
  </si>
  <si>
    <t>66:41:0403901:52</t>
  </si>
  <si>
    <t>Наличие/отсутствие коммуникаций по допущению</t>
  </si>
  <si>
    <t>Разрешенное использование участка Вид разрешенного использования по классификатору</t>
  </si>
  <si>
    <t>05:010</t>
  </si>
  <si>
    <t>03:030</t>
  </si>
  <si>
    <t>03:021</t>
  </si>
  <si>
    <t>04:999</t>
  </si>
  <si>
    <t>03:070</t>
  </si>
  <si>
    <t>09:030</t>
  </si>
  <si>
    <t>03:062</t>
  </si>
  <si>
    <t>03:061</t>
  </si>
  <si>
    <t>04:050</t>
  </si>
  <si>
    <t>08:030</t>
  </si>
  <si>
    <t>03:052</t>
  </si>
  <si>
    <t>03:071</t>
  </si>
  <si>
    <t>03:091</t>
  </si>
  <si>
    <t>04:030</t>
  </si>
  <si>
    <t>03:090</t>
  </si>
  <si>
    <t>03:092</t>
  </si>
  <si>
    <t>04:080</t>
  </si>
  <si>
    <t>03:042</t>
  </si>
  <si>
    <t>03:010</t>
  </si>
  <si>
    <t>04:100</t>
  </si>
  <si>
    <t>03:032</t>
  </si>
  <si>
    <t>03:031</t>
  </si>
  <si>
    <t>03:023</t>
  </si>
  <si>
    <t>03:073</t>
  </si>
  <si>
    <t>05:011</t>
  </si>
  <si>
    <t>03:101</t>
  </si>
  <si>
    <t>07:021</t>
  </si>
  <si>
    <t>03:033</t>
  </si>
  <si>
    <t>04:082</t>
  </si>
  <si>
    <t>03:100</t>
  </si>
  <si>
    <t>08:041</t>
  </si>
  <si>
    <t>03:013</t>
  </si>
  <si>
    <t>03:020</t>
  </si>
  <si>
    <t>02:017</t>
  </si>
  <si>
    <t>03:034</t>
  </si>
  <si>
    <t>03:035</t>
  </si>
  <si>
    <t>03:022</t>
  </si>
  <si>
    <t>ОБЯЗАТЕЛЬНАЯ ПРОВЕРКА</t>
  </si>
  <si>
    <t>Объекты МУГИСО</t>
  </si>
  <si>
    <t>Файл</t>
  </si>
  <si>
    <t>Модель</t>
  </si>
  <si>
    <t>Дата</t>
  </si>
  <si>
    <t>Ответственный</t>
  </si>
  <si>
    <t>ОПИСАНИЕ КС</t>
  </si>
  <si>
    <t>ДАННЫЕ ДЛЯ ЗАГРУЗКИ В БАЗУ</t>
  </si>
  <si>
    <t>Дата комиссии</t>
  </si>
  <si>
    <t>Решение комиссии</t>
  </si>
  <si>
    <t>Группа xml</t>
  </si>
  <si>
    <t>loc_VICode</t>
  </si>
  <si>
    <t>Segment</t>
  </si>
  <si>
    <t>DistanceToRoad</t>
  </si>
  <si>
    <t>DistanceToCMO</t>
  </si>
  <si>
    <t>PresenceHeating</t>
  </si>
  <si>
    <t>PresencePower</t>
  </si>
  <si>
    <t>PresenceWaterDisposal</t>
  </si>
  <si>
    <t>DistanceToMetro</t>
  </si>
  <si>
    <t>DistanceToStationEKB</t>
  </si>
  <si>
    <t>CostZone</t>
  </si>
  <si>
    <t>Статус расчета</t>
  </si>
  <si>
    <t>НЕ Используется</t>
  </si>
  <si>
    <t>Флаг ВРИ по документу</t>
  </si>
  <si>
    <t>Флаг Местоположения (координат)</t>
  </si>
  <si>
    <t>Флаг площади</t>
  </si>
  <si>
    <t>Флаг ВРИ старый спр</t>
  </si>
  <si>
    <t>Флаг ВРИ новый спр</t>
  </si>
  <si>
    <t>Флаг Категории ЗУ</t>
  </si>
  <si>
    <t>Старый код НП</t>
  </si>
  <si>
    <t>Флаг переопределения ФРИ</t>
  </si>
  <si>
    <t>ВРИ по правилам</t>
  </si>
  <si>
    <t>Правило</t>
  </si>
  <si>
    <t>Новоя модель</t>
  </si>
  <si>
    <t>Status_kc</t>
  </si>
  <si>
    <t>Flag_LocalityCode</t>
  </si>
  <si>
    <t>Flag_VRI</t>
  </si>
  <si>
    <t>Flag_Location</t>
  </si>
  <si>
    <t>FlagParam</t>
  </si>
  <si>
    <t>Flag_VRIoldspr</t>
  </si>
  <si>
    <t>Flag_VRInewspr</t>
  </si>
  <si>
    <t>Flag_Category</t>
  </si>
  <si>
    <t>OldLocalityCode</t>
  </si>
  <si>
    <t>Flag_VRI_All</t>
  </si>
  <si>
    <t>VRICode_NEW</t>
  </si>
  <si>
    <t>PraviloVRI</t>
  </si>
  <si>
    <t>New_id_group</t>
  </si>
  <si>
    <t>Новый сегмент</t>
  </si>
  <si>
    <t>01:010</t>
  </si>
  <si>
    <t>1. СЕГМЕНТ "Сельскохозяйственное использование"</t>
  </si>
  <si>
    <t>01:020</t>
  </si>
  <si>
    <t>01:030</t>
  </si>
  <si>
    <t>01:031</t>
  </si>
  <si>
    <t>01:032</t>
  </si>
  <si>
    <t>01:040</t>
  </si>
  <si>
    <t>01:041</t>
  </si>
  <si>
    <t>01:042</t>
  </si>
  <si>
    <t>01:050</t>
  </si>
  <si>
    <t>01:051</t>
  </si>
  <si>
    <t>01:052</t>
  </si>
  <si>
    <t>01:053</t>
  </si>
  <si>
    <t>01:054</t>
  </si>
  <si>
    <t>01:060</t>
  </si>
  <si>
    <t>01:070</t>
  </si>
  <si>
    <t>01:080</t>
  </si>
  <si>
    <t>01:081</t>
  </si>
  <si>
    <t>01:082</t>
  </si>
  <si>
    <t>01:083</t>
  </si>
  <si>
    <t>01:084</t>
  </si>
  <si>
    <t>01:085</t>
  </si>
  <si>
    <t>01:086</t>
  </si>
  <si>
    <t>01:120</t>
  </si>
  <si>
    <t>01:121</t>
  </si>
  <si>
    <t>01:130</t>
  </si>
  <si>
    <t>01:131</t>
  </si>
  <si>
    <t>01:140</t>
  </si>
  <si>
    <t>01:141</t>
  </si>
  <si>
    <t>01:142</t>
  </si>
  <si>
    <t>01:160</t>
  </si>
  <si>
    <t>01:161</t>
  </si>
  <si>
    <t>01:170</t>
  </si>
  <si>
    <t>01:171</t>
  </si>
  <si>
    <t>02:012</t>
  </si>
  <si>
    <t>02:015</t>
  </si>
  <si>
    <t>02:022</t>
  </si>
  <si>
    <t>02:033</t>
  </si>
  <si>
    <t>13:010</t>
  </si>
  <si>
    <t>01:997</t>
  </si>
  <si>
    <t>01:998</t>
  </si>
  <si>
    <t>01:999</t>
  </si>
  <si>
    <t>02:000</t>
  </si>
  <si>
    <t>2. СЕГМЕНТ "Жилая застройка (среднеэтажная и многоэтажная)"</t>
  </si>
  <si>
    <t>02:050</t>
  </si>
  <si>
    <t>02:051</t>
  </si>
  <si>
    <t>02:060</t>
  </si>
  <si>
    <t>02:061</t>
  </si>
  <si>
    <t>02:999</t>
  </si>
  <si>
    <t>01:143</t>
  </si>
  <si>
    <t>03:065</t>
  </si>
  <si>
    <t>03:072</t>
  </si>
  <si>
    <t>03:082</t>
  </si>
  <si>
    <t>03:083</t>
  </si>
  <si>
    <t>03:102</t>
  </si>
  <si>
    <t>03:103</t>
  </si>
  <si>
    <t>03:104</t>
  </si>
  <si>
    <t>07:022</t>
  </si>
  <si>
    <t>01:183</t>
  </si>
  <si>
    <t>02:053</t>
  </si>
  <si>
    <t>02:063</t>
  </si>
  <si>
    <t>03:063</t>
  </si>
  <si>
    <t>03:064</t>
  </si>
  <si>
    <t>04:081</t>
  </si>
  <si>
    <t>04:084</t>
  </si>
  <si>
    <t>05:013</t>
  </si>
  <si>
    <t>05:050</t>
  </si>
  <si>
    <t>08:021</t>
  </si>
  <si>
    <t>02:040</t>
  </si>
  <si>
    <t>5. СЕГМЕНТ "Отдых (рекреация)"</t>
  </si>
  <si>
    <t>04:070</t>
  </si>
  <si>
    <t>04:097</t>
  </si>
  <si>
    <t>05:014</t>
  </si>
  <si>
    <t>05:022</t>
  </si>
  <si>
    <t>05:030</t>
  </si>
  <si>
    <t>08:040</t>
  </si>
  <si>
    <t>09:021</t>
  </si>
  <si>
    <t>09:023</t>
  </si>
  <si>
    <t>05:999</t>
  </si>
  <si>
    <t>01:087</t>
  </si>
  <si>
    <t>01:088</t>
  </si>
  <si>
    <t>01:090</t>
  </si>
  <si>
    <t>01:091</t>
  </si>
  <si>
    <t>01:092</t>
  </si>
  <si>
    <t>01:100</t>
  </si>
  <si>
    <t>01:101</t>
  </si>
  <si>
    <t>01:102</t>
  </si>
  <si>
    <t>01:110</t>
  </si>
  <si>
    <t>01:111</t>
  </si>
  <si>
    <t>01:112</t>
  </si>
  <si>
    <t>01:122</t>
  </si>
  <si>
    <t>01:132</t>
  </si>
  <si>
    <t>01:150</t>
  </si>
  <si>
    <t>01:172</t>
  </si>
  <si>
    <t>01:180</t>
  </si>
  <si>
    <t>01:181</t>
  </si>
  <si>
    <t>01:182</t>
  </si>
  <si>
    <t>03:012</t>
  </si>
  <si>
    <t>03:093</t>
  </si>
  <si>
    <t>04:095</t>
  </si>
  <si>
    <t>04:098</t>
  </si>
  <si>
    <t>04:099</t>
  </si>
  <si>
    <t>06:012</t>
  </si>
  <si>
    <t>06:013</t>
  </si>
  <si>
    <t>06:014</t>
  </si>
  <si>
    <t>06:020</t>
  </si>
  <si>
    <t>06:021</t>
  </si>
  <si>
    <t>06:030</t>
  </si>
  <si>
    <t>06:031</t>
  </si>
  <si>
    <t>06:040</t>
  </si>
  <si>
    <t>06:050</t>
  </si>
  <si>
    <t>06:060</t>
  </si>
  <si>
    <t>06:070</t>
  </si>
  <si>
    <t>06:071</t>
  </si>
  <si>
    <t>06:072</t>
  </si>
  <si>
    <t>06:073</t>
  </si>
  <si>
    <t>06:074</t>
  </si>
  <si>
    <t>06:090</t>
  </si>
  <si>
    <t>06:091</t>
  </si>
  <si>
    <t>06:092</t>
  </si>
  <si>
    <t>06:093</t>
  </si>
  <si>
    <t>06:100</t>
  </si>
  <si>
    <t>06:101</t>
  </si>
  <si>
    <t>06:110</t>
  </si>
  <si>
    <t>06:111</t>
  </si>
  <si>
    <t>07:011</t>
  </si>
  <si>
    <t>07:012</t>
  </si>
  <si>
    <t>07:013</t>
  </si>
  <si>
    <t>07:014</t>
  </si>
  <si>
    <t>07:030</t>
  </si>
  <si>
    <t>07:031</t>
  </si>
  <si>
    <t>07:032</t>
  </si>
  <si>
    <t>07:040</t>
  </si>
  <si>
    <t>07:041</t>
  </si>
  <si>
    <t>07:042</t>
  </si>
  <si>
    <t>07:050</t>
  </si>
  <si>
    <t>07:051</t>
  </si>
  <si>
    <t>08:010</t>
  </si>
  <si>
    <t>08:012</t>
  </si>
  <si>
    <t>08:013</t>
  </si>
  <si>
    <t>08:031</t>
  </si>
  <si>
    <t>10:011</t>
  </si>
  <si>
    <t>10:012</t>
  </si>
  <si>
    <t>11:030</t>
  </si>
  <si>
    <t>06:998</t>
  </si>
  <si>
    <t>06:999</t>
  </si>
  <si>
    <t>02:071</t>
  </si>
  <si>
    <t>04:021</t>
  </si>
  <si>
    <t>04:031</t>
  </si>
  <si>
    <t>04:090</t>
  </si>
  <si>
    <t>04:092</t>
  </si>
  <si>
    <t>04:093</t>
  </si>
  <si>
    <t>04:094</t>
  </si>
  <si>
    <t>07:024</t>
  </si>
  <si>
    <t>07:999</t>
  </si>
  <si>
    <t>08:020</t>
  </si>
  <si>
    <t>8. СЕГМЕНТ "Обеспечение обороны и безопасности"</t>
  </si>
  <si>
    <t>08:999</t>
  </si>
  <si>
    <t>02:016</t>
  </si>
  <si>
    <t>9. СЕГМЕНТ "Охраняемые природные территории и благоустройство"</t>
  </si>
  <si>
    <t>02:032</t>
  </si>
  <si>
    <t>02:052</t>
  </si>
  <si>
    <t>02:062</t>
  </si>
  <si>
    <t>05:031</t>
  </si>
  <si>
    <t>09:010</t>
  </si>
  <si>
    <t>09:020</t>
  </si>
  <si>
    <t>09:022</t>
  </si>
  <si>
    <t>12:002</t>
  </si>
  <si>
    <t>12:003</t>
  </si>
  <si>
    <t>09:999</t>
  </si>
  <si>
    <t>09:998</t>
  </si>
  <si>
    <t>09:997</t>
  </si>
  <si>
    <t>09:996</t>
  </si>
  <si>
    <t>09:995</t>
  </si>
  <si>
    <t>10:010</t>
  </si>
  <si>
    <t>10. СЕГМЕНТ "Использование лесов"</t>
  </si>
  <si>
    <t>10:020</t>
  </si>
  <si>
    <t>10:030</t>
  </si>
  <si>
    <t>10:040</t>
  </si>
  <si>
    <t>10:999</t>
  </si>
  <si>
    <t>11:010</t>
  </si>
  <si>
    <t>11. СЕГМЕНТ "Водные объекты"</t>
  </si>
  <si>
    <t>11:020</t>
  </si>
  <si>
    <t>11:999</t>
  </si>
  <si>
    <t>08:011</t>
  </si>
  <si>
    <t>12. СЕГМЕНТ "Специальное, ритуальное использование, запас"</t>
  </si>
  <si>
    <t>12:010</t>
  </si>
  <si>
    <t>12:020</t>
  </si>
  <si>
    <t>12:021</t>
  </si>
  <si>
    <t>12:030</t>
  </si>
  <si>
    <t>12:999</t>
  </si>
  <si>
    <t>02:010</t>
  </si>
  <si>
    <t>13. СЕГМЕНТ "Садоводство и огородничество, малоэтажная жилая застройка"</t>
  </si>
  <si>
    <t>02:011</t>
  </si>
  <si>
    <t>02:013</t>
  </si>
  <si>
    <t>02:014</t>
  </si>
  <si>
    <t>02:020</t>
  </si>
  <si>
    <t>02:021</t>
  </si>
  <si>
    <t>02:030</t>
  </si>
  <si>
    <t>02:031</t>
  </si>
  <si>
    <t>13:011</t>
  </si>
  <si>
    <t>13:021</t>
  </si>
  <si>
    <t>13:999</t>
  </si>
  <si>
    <t>13:031</t>
  </si>
  <si>
    <t>02:023</t>
  </si>
  <si>
    <t>02:019</t>
  </si>
  <si>
    <t>13:000</t>
  </si>
  <si>
    <t>14:000</t>
  </si>
  <si>
    <t>14. СЕГМЕНТ "Иное использование"</t>
  </si>
  <si>
    <t>СРАВНЕНИЕ РЕЗУЛЬТАТОВ 16СТ С ДАННЫМИ НА 01012020 В СЛУЧАЕ НАЛИЧИЯ ПРЕДЫДУЩИХ РАСЧЕТОВ НА 01012020</t>
  </si>
  <si>
    <t>ВРИ</t>
  </si>
  <si>
    <t>Графика</t>
  </si>
  <si>
    <t>Ссылки на папки</t>
  </si>
  <si>
    <t>W:\ЦГКО\Отдел массовой оценки\19. 16 Статья\8. Земельные участки</t>
  </si>
  <si>
    <t>Выгружаем рабочую область через "Экспорт…", английские заголовки не нужны</t>
  </si>
  <si>
    <t>Меняем формат вставленных данных в стилях ячеек на обычный</t>
  </si>
  <si>
    <t>В случае наличия замечаний по объекту заходим в папку замечаний и проверяем корректно ли учтены данные при расчете по статье 16</t>
  </si>
  <si>
    <t>W:\ЦГКО\Отдел по работе с обращениями\Замечания к ПОД-2020\ЗАМЕЧАНИЯ</t>
  </si>
  <si>
    <t>Проверяем колонку "Статус расчета" и изменение КС. Если в колонке "Изменение, руб." значение меньше 1 руб. необходимо проверить расчеты</t>
  </si>
  <si>
    <t>Важно: формулы растянуты на 10000 строк, если объектов оценки больше необходимо рассчитать их двумя файлами или растянуть ячейки</t>
  </si>
  <si>
    <t>Ячейки в строках 1-3 выделены цветом для удобства:</t>
  </si>
  <si>
    <t>Ячейки для заполнения</t>
  </si>
  <si>
    <t>Ячейки для анализа</t>
  </si>
  <si>
    <t>Ячейки не требующие редактирования</t>
  </si>
  <si>
    <t>Пошаговая инструкция расчета объектов в рамках статьи 16 для модели №3</t>
  </si>
  <si>
    <t>В рабочей области стоят фильтры - новая модель 8003, статус расчета - не готов. Фильтры не трогаем</t>
  </si>
  <si>
    <t>ИЗМЕНЕНИЕ КС</t>
  </si>
  <si>
    <t>ИЗМЕНЕНИЕ, руб.</t>
  </si>
  <si>
    <t>Открываем рабочую область модели №3</t>
  </si>
  <si>
    <t>Старый/Новый объект</t>
  </si>
  <si>
    <t>Проверяем колонку "ОБЯЗАТЕЛЬНАЯ ПРОВЕРКА" и "ОСОБЫЙ КОНТРОЛЬ" (AU), в ней отражены наличия замечаний по объекту, обращений по статье 21, оспаривание</t>
  </si>
  <si>
    <t>ВРИ по документу</t>
  </si>
  <si>
    <t>Копируем объекты построчно без шапки, вставляем в данный файл на лист "объекты оценки". Должны быть заполнены ячейки от A3 до BM3 и ниже</t>
  </si>
  <si>
    <t>Все расчетные формулы работают автоматически, ячейки защищены и не редактируются (колонки BN - CW)</t>
  </si>
  <si>
    <t>Анализируем колонки CХ- DM, в случае, если значение не изменилось ячейка останется не закрашеной. Изменений в рамках расчета по 16 статье у объектов без графики быть не должно, за исключением смены модели, кода ВРИ, значения площади</t>
  </si>
  <si>
    <t>В случае наличия обращений по статье 21 или оспаривания ЗУ автоматически ставится в СТОПЛИСТ (статус расчета)</t>
  </si>
  <si>
    <t>Заполняем ячейки DN - DR ТОЛЬКО В ПЕРВОЙ СТРОКЕ. Пишем номер файла который указан в названии файла, номер модели - М3, дата - без точек, например 22012021 (формат ячейки с точками некорректно сцепляется), фамилия исполнителя, наличие графики заполняется автоматически</t>
  </si>
  <si>
    <t>СТОПЛИСТ</t>
  </si>
  <si>
    <t>ПЕРЕСЧЕТ НЕ ТРЕБУЕТСЯ</t>
  </si>
  <si>
    <t>ИЗМЕНЕНИЕ, %</t>
  </si>
  <si>
    <t>ГОТОВО</t>
  </si>
  <si>
    <t>КОНТРОЛЬНАЯ ПРОВЕРКА</t>
  </si>
  <si>
    <t>ГОТОВО,  проверяем колонку "контрольная проверка"  (FA) отправляем на загрузку в базу если все значения ИСТИНА</t>
  </si>
  <si>
    <t>loc_SgCode</t>
  </si>
  <si>
    <t>1.1</t>
  </si>
  <si>
    <t>1.2</t>
  </si>
  <si>
    <t>Мухамедьярова</t>
  </si>
  <si>
    <t>Коммунальное обслуживание. Размещение ОКС в целях обеспечения физических и юридических лиц коммунальными услугами, в частности: котельные, водозаборы, очистные сооружения, насосные станции, трансформаторные подстанции, телефонные станции, стоянки, гаражи и мастерские для обслуживания уборочной и аварийной техники</t>
  </si>
  <si>
    <t>Культурное развитие в целом</t>
  </si>
  <si>
    <t>Сельскохозяйственное производство</t>
  </si>
  <si>
    <t>Иной вид использования в сегменте "Сельскохозяйственное использование"</t>
  </si>
  <si>
    <t>02032021</t>
  </si>
  <si>
    <t>Ф5</t>
  </si>
  <si>
    <t>loc_GroupName</t>
  </si>
  <si>
    <t>Растениеводство в целом. Включает коды расчета вида использования 01.020-01.060</t>
  </si>
  <si>
    <t>Выращивание зерновых, бобовых, кормовых, технических, масличных, эфиромасличных и иных сельскохозяйственных культур</t>
  </si>
  <si>
    <t>Овощеводство в целом, связанное с производством картофеля, листовых, плодовых, луковичных и бахчевых сельскохозяйственных культур, в том числе с использованием теплиц</t>
  </si>
  <si>
    <t>Овощеводство в открытом грунте</t>
  </si>
  <si>
    <t>Овощеводство тепличное</t>
  </si>
  <si>
    <t>Выращивание тонизирующих, лекарственных, цветочных культур в целом</t>
  </si>
  <si>
    <t>Выращивание тонизирующих, лекарственных, цветочных культур. Травы</t>
  </si>
  <si>
    <t>Выращивание тонизирующих, лекарственных, цветочных культур. Кустарники</t>
  </si>
  <si>
    <t>Садоводство в целом - выращивание многолетних плодовых и ягодных культур, винограда и иных многолетних культур</t>
  </si>
  <si>
    <t>Садоводство плодовое</t>
  </si>
  <si>
    <t>Садоводство ягодно-кустарниковое</t>
  </si>
  <si>
    <t>Садоводство виноградники</t>
  </si>
  <si>
    <t>Садоводство ягодники</t>
  </si>
  <si>
    <t>Выращивание льна и конопли</t>
  </si>
  <si>
    <t>Животноводство в целом. Связано с производством продукции животноводства, в том числе сенокошение, выпас сельскохозяйственных животных, разведение племенных животных, производство и использование племенной продукции (материала), размещение зданий, сооружений, используемых для содержания и разведения сельскохозяйственных животных, производства, хранения и первичной переработки сельскохозяйственной продукции. Включает коды расчета вида использования 01.080-01.086</t>
  </si>
  <si>
    <t>Скотоводство. Хозяйственная деятельность, связанная с разведением сельскохозяйственных животных (крупного рогатого скота, овец, коз, лошадей, верблюдов, оленей)</t>
  </si>
  <si>
    <t>Скотоводство. Сенокошение, выпас, производство кормов, за исключением кодов расчета вида использования 01.082-01.084</t>
  </si>
  <si>
    <t>Скотоводство. Оленеводство</t>
  </si>
  <si>
    <t>Скотоводство. Овцеводство</t>
  </si>
  <si>
    <t>Скотоводство. Коневодство</t>
  </si>
  <si>
    <t>Скотоводство молочное. Выращивание скота для получения молочной продукции</t>
  </si>
  <si>
    <t>Скотоводство мясное, за исключением кодов расчета вида использования 01:082-01:084. Выращивание скота для получения мясной продукции</t>
  </si>
  <si>
    <t>Пчеловодство в целом. Разведение, содержание и использование пчел и иных полезных насекомых</t>
  </si>
  <si>
    <t>Пчеловодство. Размещение ульев, иных объектов и оборудования, необходимого для пчеловодства и разведения иных полезных насекомых, за исключением кода расчета вида использования 01:122</t>
  </si>
  <si>
    <t>Рыбоводство в целом. Разведение и (или) содержание, выращивание объектов рыбоводства (аквакультуры), за исключением кода расчета вида использования 01:132</t>
  </si>
  <si>
    <t>Рыбоводство. Водные объекты, предназначенные для рыбоводства</t>
  </si>
  <si>
    <t>Научное обеспечение сельского хозяйства в целом</t>
  </si>
  <si>
    <t>Научное обеспечение сельского хозяйства. Растениеводство. Выращивание опытных образцов</t>
  </si>
  <si>
    <t>Научное обеспечение сельского хозяйства. Животноводство. Сенокошение, выпас, производство кормов</t>
  </si>
  <si>
    <t>Ведение личного подсобного хозяйства на полевых земельных участках. Производство сельскохозяйственной продукции без права возведения ОКС (площадью от 5000 кв м на ЗСН и площадьб более 25000 кв. м на ЗНП)</t>
  </si>
  <si>
    <t>Крестьянское фермерское хозяйство (площадью от 5000 кв м)</t>
  </si>
  <si>
    <t>Питомники в целом</t>
  </si>
  <si>
    <t>Питомники. Выращивание и реализация подроста деревьев и кустарников, используемых в сельском хозяйстве, а также иных сельскохозяйственных культур для получения рассады и семян</t>
  </si>
  <si>
    <t>Выращивание плодовых, ягодных, овощных, бахчевых или иных декоративных или сельскохозяйственных культур</t>
  </si>
  <si>
    <t>Разведение декоративных и плодовых, ягодных, овощных культур</t>
  </si>
  <si>
    <t>Ведение личного подсобного хозяйства. Производство (выращивание) сельскохозяйственной продукции, кормов, выпаса скота</t>
  </si>
  <si>
    <t>Блокированная жилая застройка. Разведение декоративных и плодовых, ягодных, овощных культур</t>
  </si>
  <si>
    <t>Ведение огородничества. Осуществление деятельности, связанной с выращиванием ягодных, овощных, бахчевых или иных сельскохозяйственных культур и картофеля пПлощадью от 5000 кв м)</t>
  </si>
  <si>
    <t>Для размещения ферм, МТФ, свинарников, коровников, конных дворов, тепличных хозяйств</t>
  </si>
  <si>
    <t>Жилая застройка (среднеэтажная и многоэтажная без уточнения этажности)</t>
  </si>
  <si>
    <t>Среднеэтажная жилая застройка в целом</t>
  </si>
  <si>
    <t>Среднеэтажная жилая застройка. Размещение жилых домов, предназначенных для разделения на квартиры, каждая из которых пригодна для постоянного проживания (жилые дома высотой не выше восьми надземных этажей, разделенных на две и более квартиры), размещение встроенных в жилой дом подземных гаражей и автостоянок</t>
  </si>
  <si>
    <t>Многоэтажная жилая застройка (высотная застройка) в целом</t>
  </si>
  <si>
    <t>Многоэтажная жилая застройка. Размещение жилых домов, предназначенных для разделения на квартиры, каждая из которых пригодна для постоянного проживания (жилые дома высотой не выше восьми надземных этажей, разделенных на две и более квартиры), размещение встроенных в жилой дом подземных гаражей и автостоянок</t>
  </si>
  <si>
    <t>Иной вид использования в сегменте "Жилая застройка (среднеэтажная и многоэтажная)"</t>
  </si>
  <si>
    <t>Научное обеспечение сельского хозяйства. Размещение зданий, сооружений, оборудования, необходимых для осуществления научного обеспечения сельского хозяйства, включая размещение коллекций генетических ресурсов растений</t>
  </si>
  <si>
    <t>Коммунальное обслуживание в целом</t>
  </si>
  <si>
    <t>Коммунальное обслуживание. Размещение ОКС в целях обеспечения физических и юридических лиц коммунальными услугами, в частности: зданий или помещений, предназначенных для приема физических и юридических лиц в связи с предоставлением им коммунальных услуг</t>
  </si>
  <si>
    <t>Социальное обслуживание в целом</t>
  </si>
  <si>
    <t>Социальное обслуживание. Размещение ОКС, предназначенных для оказания гражданам социальной помощи (службы занятости населения, дома престарелых, дома ребенка, детские дома, пункты питания малоимущих граждан, пункты ночлега для бездомных граждан, службы психологической и бесплатной юридической помощи, социальные, пенсионные и иные службы, в которых осуществляется прием граждан по вопросам оказания социальной помощи и назначения социальных или пенсионных выплат)</t>
  </si>
  <si>
    <t>Социальное обслуживание. Размещение ОКС для размещения отделений почты и телеграфа</t>
  </si>
  <si>
    <t>Социальное обслуживание. Размещение ОКС для размещения общественных некоммерческих организаций: благотворительных организаций, клубов по интересам</t>
  </si>
  <si>
    <t>Бытовое обслуживание в целом</t>
  </si>
  <si>
    <t>Бытовое обслуживание. Размещение ОКС, предназначенных для оказания населению или организациям бытовых услуг. Мастерские мелкого ремонта, ателье</t>
  </si>
  <si>
    <t>Бытовое обслуживание. Размещение ОКС, предназначенных для оказания населению или организациям бытовых услуг. Бани</t>
  </si>
  <si>
    <t>Бытовое обслуживание. Размещение ОКС, предназначенных для оказания населению или организациям бытовых услуг. Прачечные, химчистки</t>
  </si>
  <si>
    <t>Бытовое обслуживание. Размещение ОКС, предназначенных для оказания населению или организациям бытовых услуг. Парикмахерские</t>
  </si>
  <si>
    <t>Бытовое обслуживание. Размещение ОКС, предназначенных для оказания населению или организациям бытовых услуг. Похоронные бюро</t>
  </si>
  <si>
    <t>Здравоохранение в целом. Размещение ОКС, предназначенных для оказания гражданам медицинской помощи. Включает коды расчета вида использования 03:041-03:042</t>
  </si>
  <si>
    <t>Амбулаторно-поликлиническое обслуживание. Размещение ОКС, предназначенных для оказания гражданам амбулаторно-поликлинической медицинской помощи (поликлиники, фельдшерские пункты, пункты здравоохранения, центры матери и ребенка, диагностические центры, молочные кухни, станции донорства крови, клинические лаборатории)</t>
  </si>
  <si>
    <t>Стационарное медицинское обслуживание. Размещение ОКС, предназначенных для оказания гражданам медицинской помощи в стационарах (больницы, родильные дома, научно-медицинские учреждения и прочие объекты, обеспечивающие оказание услуги по лечению в стационаре), размещение станций скорой помощи</t>
  </si>
  <si>
    <t>Образование и просвещение в целом. Размещение ОКС, предназначенных для воспитания, образования и просвещения (детские ясли, детские сады, школы, лицеи, гимназии, профессиональные технические училища, колледжи, художественные, музыкальные школы и училища, образовательные кружки, общества знаний, институты, университеты, организации по переподготовке и повышению квалификации специалистов и иные организации, осуществляющие деятельность по воспитанию, образованию и просвещению). Включает коды расчета вида использования 03.051-03.052</t>
  </si>
  <si>
    <t>Дошкольное, начальное и среднее общее образование. Размещение ОКС, предназначенных для просвещения, дошкольного, начального и среднего общего образования (детские ясли, детские сады, школы, лицеи, гимназии, художественные, музыкальные школы, образовательные кружки и иные организации, осуществляющие деятельность по воспитанию, образованию и просвещению)</t>
  </si>
  <si>
    <t>Среднее и высшее профессиональное образование. Размещение ОКС, предназначенных для профессионального образования и просвещения (профессиональные технические училища, колледжи, художественные, музыкальные училища, общества знаний, институты, университеты, организации по переподготовке и повышению квалификации специалистов и иные организации, осуществляющие деятельность по образованию и просвещению), размещение зданий военных училищ, военных институтов, военных университетов, военных академий</t>
  </si>
  <si>
    <t>Культурное развитие. Размещение ОКС, предназначенных для размещения в них музеев, выставочных залов, художественных галерей, библиотек, планетариев</t>
  </si>
  <si>
    <t>Культурное развитие. Размещение ОКС, предназначенных для размещения в них домов культуры, театров, филармоний, цирков</t>
  </si>
  <si>
    <t>Культурное развитие. Размещение зданий и сооружений для размещения зверинцев, зоопарков, океанариумов</t>
  </si>
  <si>
    <t>Религиозное использование в целом</t>
  </si>
  <si>
    <t>Религиозное использование. Размещение ОКС, предназначенных для отправления религиозных обрядов (церкви, соборы, храмы, часовни, монастыри, скиты, мечети, синагоги, молельные дома)</t>
  </si>
  <si>
    <t>Религиозное использование. Размещение ОКС, предназначенных для постоянного местонахождения духовных лиц, паломников и послушников в связи с осуществлением ими религиозной службы</t>
  </si>
  <si>
    <t>Религиозное использование. Размещение ОКС, предназначенных для осуществления благотворительной и религиозной образовательной деятельности (воскресные школы, семинарии, духовные училища)</t>
  </si>
  <si>
    <t>Общественное управление в целом</t>
  </si>
  <si>
    <t>Общественное управление. Размещение ОКС, предназначенных для размещения органов государственной власти, органов местного самоуправления, судов, а также организаций, непосредственно обеспечивающих их деятельность</t>
  </si>
  <si>
    <t>Общественное управление. Размещение ОКС, предназначенных для размещения органов управления политических партий, профессиональных и отраслевых союзов, творческих союзов и иных общественных объединений граждан по отраслевому или политическому признаку</t>
  </si>
  <si>
    <t>Общественное управление. Размещение ОКС для дипломатических представительств иностранных государств и консульских учреждений в Российской Федерации</t>
  </si>
  <si>
    <t>Обеспечение научной деятельности в целом</t>
  </si>
  <si>
    <t>Обеспечение научной деятельности. Размещение ОКС для проведения научных исследований и изысканий, испытаний опытных промышленных образцов, проведения научной и селекционной работы, ведения сельского и лесного хозяйства для получения ценных с научной точки зрения образцов растительного и животного мира - производственных, лабораторных и иных подобных зданий, необходимых для обеспечения научной деятельности</t>
  </si>
  <si>
    <t>Обеспечение научной деятельности. Размещение ОКС для размещения организаций, осуществляющих научные изыскания, исследования и разработки (научно-исследовательские институты, проектные институты, научные центры, опытно-конструкторские центры, государственные академии наук, в том числе отраслевые) - административных зданий научно-исследовательских организаций</t>
  </si>
  <si>
    <t>Ветеринарное обслуживание в целом. Размещение ОКС, предназначенных для оказания ветеринарных услуг, содержания или разведения животных, не являющихся сельскохозяйственными, под надзором человека. Включает коды расчет вида использования 03:101-03:104</t>
  </si>
  <si>
    <t>Амбулаторное ветеринарное обслуживание. Размещение ОКС, предназначенных для оказания ветеринарных услуг без содержания животных</t>
  </si>
  <si>
    <t>Приюты для животных. Размещение ОКС, предназначенных для оказания ветеринарных услуг в стационаре</t>
  </si>
  <si>
    <t>Приюты для животных. Размещение ОКС, предназначенных для содержания, разведения животных, не являющихся сельскохозяйственными, под надзором человека, оказания услуг по содержанию и лечению бездомных животных</t>
  </si>
  <si>
    <t>Приюты для животных. Размещение ОКС, предназначенных для организации гостиниц для животных</t>
  </si>
  <si>
    <t>Спорт в целом. Размещение ОКС в качестве спортивных клубов, спортивных залов, бассейнов, устройство площадок для занятия спортом и физкультурой (беговые дорожки, спортивные сооружения, теннисные корты, поля для спортивной игры, автодромы, мотодромы, трамплины, трассы и спортивные стрельбища), в том числе водным спортом (причалы и сооружения, необходимые для водных видов спорта и хранения соответствующего инвентаря)</t>
  </si>
  <si>
    <t>Спорт. Размещение ОКС в качестве спортивных клубов, спортивных залов, бассейнов</t>
  </si>
  <si>
    <t>Автомобильный транспорт. Размещение зданий и сооружений, предназначенных для обслуживания пассажиров</t>
  </si>
  <si>
    <t>Автомобильный транспорт. Размещение зданий и сооружений, обеспечивающих работу транспортных средств, размещение объектов, предназначенных для размещения постов органов внутренних дел, ответственных за безопасность дорожного движения</t>
  </si>
  <si>
    <t>Обеспечение вооруженных сил, охрана Государственной границы Российской Федерации. Размещение зданий для размещения воинских, в том числе пограничных воинских, частей и органов управления ими</t>
  </si>
  <si>
    <t>Обеспечение внутреннего правопорядка. Размещение ОКС, необходимых для подготовки и поддержания в готовности органов внутренних дел и спасательных служб, в которых существует военизированная служба</t>
  </si>
  <si>
    <t>Обеспечение деятельности по исполнению наказаний. Размещение ОКС для создания мест лишения свободы (поселения)</t>
  </si>
  <si>
    <t>Историко-культурная деятельность. Сохранение и изучение объектов культурного наследия народов Российской Федерации (памятников истории и культуры), в том числе: объектов археологического наследия, достопримечательных мест, мест бытования исторических промыслов, производств и ремесел, недействующих военных и гражданских захоронений, объектов культурного наследия, хозяйственная деятельность, являющаяся историческим промыслом или ремеслом</t>
  </si>
  <si>
    <t>Иной вид использования в сегменте "Общественное использование"</t>
  </si>
  <si>
    <t>Обеспечение сельскохозяйственного производства. Размещение административных, бытовых и хозяйственно-бытовых зданий и сооружений, объектов общественного питания</t>
  </si>
  <si>
    <t>Размещение объектов обслуживания жилой застройки во встроенных, пристроенных и встроенно-пристроенных помещениях малоэтажного многоквартирного дома на территории малоэтажной многоквартирной жилой застройки</t>
  </si>
  <si>
    <t>Среднеэтажная жилая застройка. Размещение объектов обслуживания жилой застройки во встроенных, пристроенных и встроенно-пристроенных помещениях многоквартирного дома</t>
  </si>
  <si>
    <t>Многоэтажная жилая застройка. Размещение объектов обслуживания жилой застройки во встроенных, пристроенных и встроенно-пристроенных помещениях многоквартирного дома</t>
  </si>
  <si>
    <t>Культурное развитие. Размещение ОКС, предназначенных для размещения в них кинотеатров и кинозалов</t>
  </si>
  <si>
    <t>Культурное развитие. Устройство площадок для празднеств и гуляний</t>
  </si>
  <si>
    <t>Деловое управление. Размещение ОКС с целью размещения объектов управленческой деятельности, не связанной с государственным или муниципальным управлением и оказанием услуг, а также с целью обеспечения совершения сделок, не требующих передачи товара в момент их совершения между организациями, в том числе биржевая деятельность (за исключением банковской и страховой деятельности)</t>
  </si>
  <si>
    <t>Объекты торговли (торговые центры, торгово-развлекательные центры (комплексы). Размещение ОКС, общей площадью свыше 5000 кв.м с целью размещения одной или нескольких организаций, осуществляющих продажу товаров и (или) оказание услуг. Включает коды расчета вида использования 04.050-04.096</t>
  </si>
  <si>
    <t>Рынки. Размещение ОКС, сооружений, предназначенных для организации постоянной или временной торговли (ярмарка, рынок, базар), с учетом того, что каждое из торговых мест не располагает торговой площадью более 200 кв.м</t>
  </si>
  <si>
    <t>Магазины. Размещение ОКС, предназначенных для продажи товаров, торговая площадь которых составляет до 5 000 кв.м</t>
  </si>
  <si>
    <t>Банковская и страховая деятельность. Размещение ОКС, предназначенных для размещения организаций, оказывающих банковские и страховые услуги</t>
  </si>
  <si>
    <t>Общественное питание. Размещение ОКС в целях устройства мест общественного питания (рестораны, кафе, столовые, закусочные, бары)</t>
  </si>
  <si>
    <t>Развлечения. Размещение ОКС, предназначенных для размещения дискотек и танцевальных площадок, ночных клубов</t>
  </si>
  <si>
    <t>Развлечения. Размещение ОКС, предназначенных для размещения аквапарков</t>
  </si>
  <si>
    <t>Развлечения. Размещение ОКС, предназначенных для размещения боулинга, аттракционов, игровых автоматов (кроме игрового оборудования, используемого для проведения азартных игр) и игровых площадок, за исключением площадок игорных зон</t>
  </si>
  <si>
    <t>Развлечения. Размещение ОКС, предназначенных для размещения в игорных зонах игорных заведений, залов игровых автоматов, используемых для проведения азартных игр, и игровых столов, включая размещение гостиниц и заведений общественного питания для посетителей игорных зон, в случае расположения этих объектов на одном земельном участке</t>
  </si>
  <si>
    <t>Объекты придорожного сервиса. Размещение магазинов сопутствующей торговли, зданий для организации общественного питания в качестве объектов придорожного сервиса</t>
  </si>
  <si>
    <t>Выставочно-ярмарочная деятельность. Размещение ОКС, сооружений, предназначенных для осуществления выставочно-ярмарочной и конгрессной деятельности, включая деятельность, необходимую для обслуживания указанных мероприятий (застройка экспозиционной площади, организация питания участников мероприятий)</t>
  </si>
  <si>
    <t>Спорт. Размещение ОКС водных видов спорта (причалы и сооружения, необходимые для водных видов спорта и хранения соответствующего инвентаря)</t>
  </si>
  <si>
    <t>Поля для гольфа или конных прогулок. Обустройство мест для игры в гольф или осуществления конных прогулок, в том числе осуществление необходимых земляных работ и создание вспомогательных сооружений</t>
  </si>
  <si>
    <t>Охрана Государственной границы Российской Федерации. Размещение зданий для размещения пунктов пропуска через Государственную границу Российской Федерации, размещение объектов, обеспечивающих осуществление таможенной деятельности</t>
  </si>
  <si>
    <t xml:space="preserve">Рекламные щиты/рекламные растяжки/рекламные конструкции </t>
  </si>
  <si>
    <t>Киоски/Ларьки/Торговые павильоны/Прицепы и Трейлеры торговые</t>
  </si>
  <si>
    <t>Иной вид использования в сегменте "Предпринимательство"</t>
  </si>
  <si>
    <t>Передвижное жилье. Размещение сооружений, пригодных к использованию в качестве жилья (палаточные городки, кемпинги, жилые вагончики, жилые прицепы) с возможностью подключения названных сооружений к инженерным сетям, находящимся на земельном участке или на земельных участках, имеющих инженерные сооружения, предназначенные для общего пользования</t>
  </si>
  <si>
    <t>Гостиничное обслуживание. Размещение гостиниц, а также иных зданий, используемых с целью извлечения предпринимательской выгоды из предоставления жилого помещения для временного проживания в них, за исключением кодов расчета видов использования 04:097, 05:020, 05:022, 05:030</t>
  </si>
  <si>
    <t>Объекты придорожного сервиса. Предоставление гостиничных услуг в качестве придорожного сервиса</t>
  </si>
  <si>
    <t>Спорт. Размещение спортивных баз и лагерей - ОКС для временного проживания, питания спортсменов, для бытовых нужд</t>
  </si>
  <si>
    <t>Туристическое обслуживание. Размещение пансионатов, туристических гостиниц, кемпингов, домов отдыха, не оказывающих услуги по лечению, а также иных зданий, используемых с целью извлечения предпринимательской выгоды из предоставления жилого помещения для временного проживания в них, размещение детских лагерей</t>
  </si>
  <si>
    <t>Охота и рыбалка. Размещение дома охотника или рыболова</t>
  </si>
  <si>
    <t>Обеспечение деятельности по исполнению наказаний. Размещение ОКС для создания мест лишения свободы (следственные изоляторы, тюрьмы)</t>
  </si>
  <si>
    <t>Санаторная деятельность. Размещение санаториев и профилакториев, обеспечивающих оказание услуги по лечению и оздоровлению населения</t>
  </si>
  <si>
    <t>Санаторная деятельность. Размещение лечебно-оздоровительных лагерей</t>
  </si>
  <si>
    <t>Иной вид использования в сегменте "Отдых (рекреация)"</t>
  </si>
  <si>
    <t>Скотоводство. Размещение зданий, сооружений, используемых для содержания и разведения скота, хранения кормов</t>
  </si>
  <si>
    <t>Скотоводство. Размещение зданий, сооружений, используемых для переработки продукции</t>
  </si>
  <si>
    <t>Звероводство в целом. Разведение в неволе ценных пушных зверей.</t>
  </si>
  <si>
    <t>Звероводство. Размещение зданий, сооружений, используемых для содержания и разведения животных, хранения кормов</t>
  </si>
  <si>
    <t>Звероводство. Размещение зданий, сооружений, используемых для производства, хранения и первичной переработки продукции</t>
  </si>
  <si>
    <t>Птицеводство в целом. Разведение домашних пород птиц, в том числе водоплавающих</t>
  </si>
  <si>
    <t>Птицеводство. Размещение зданий, сооружений, используемых для содержания и разведения животных, хранения кормов</t>
  </si>
  <si>
    <t>Птицеводство. Размещение зданий, сооружений, используемых для производства, хранения и первичной переработки продукции</t>
  </si>
  <si>
    <t>Свиноводство в целом</t>
  </si>
  <si>
    <t>Свиноводство. Размещение зданий, сооружений, используемых для содержания и разведения животных, хранения кормов</t>
  </si>
  <si>
    <t>Свиноводство. Размещение зданий, сооружений, используемых для производства, хранения и первичной переработки продукции</t>
  </si>
  <si>
    <t>Пчеловодство. Размещение сооружений, используемых для хранения и первичной переработки продукции пчеловодства</t>
  </si>
  <si>
    <t>Рыбоводство. Размещение зданий, сооружений, оборудования, необходимых для осуществления рыбоводства (аквакультуры), зданий и сооружений, используемых для хранения и первичной переработки продукции рыбоводства</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</si>
  <si>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</si>
  <si>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Питомники. Размещение сооружений, необходимых для выращивания и реализации продукции, указанной в коде расчета вида использования 01:171</t>
  </si>
  <si>
    <t>Обеспечение сельскохозяйственного производства в целом. Включает коды расчета вида использования 01:181, 01:182</t>
  </si>
  <si>
    <t>Обеспечение сельскохозяйственного производства. Размещение машинно-транспортных и ремонтных станций, ангаров и гаражей для сельскохозяйственной техники</t>
  </si>
  <si>
    <t>Обеспечение сельскохозяйственного производства. Размещение водонапорных башен, трансформаторных станций и иного технического оборудования, используемого для ведения сельского хозяйства</t>
  </si>
  <si>
    <t>Обеспечение деятельности в области гидрометеорологии и смежных с ней областях. Размещение ОКС, предназначенных для наблюдений за физическими и химическими процессами, происходящими в окружающей среде, определения ее гидрометеорологических, агрометеорологических и гелиогеофизических характеристик, уровня загрязнения атмосферного воздуха, почв, водных объектов, в том числе по гидробиологическим показателям, и околоземного - космического пространства, зданий и сооружений, используемых в области гидрометеорологии и смежных с ней областях (доплеровские метеорологические радиолокаторы, гидрологические посты и другие)</t>
  </si>
  <si>
    <t>Объекты придорожного сервиса. Размещение автозаправочных станций (бензиновых, газовых)</t>
  </si>
  <si>
    <t>Объекты придорожного сервиса. Размещение автомобильных моек и прачечных для автомобильных принадлежностей</t>
  </si>
  <si>
    <t>Объекты придорожного сервиса. Размещение мастерских, предназначенных для ремонта и обслуживания автомобилей и прочих объектов придорожного сервиса</t>
  </si>
  <si>
    <t>Недропользование. Размещение ОКС, в том числе подземных, в целях добычи недр</t>
  </si>
  <si>
    <t>Недропользование. Размещение ОКС, необходимых для подготовки сырья к транспортировке и (или) промышленной переработке</t>
  </si>
  <si>
    <t>Недропользование. Размещение ОКС, предназначенных для проживания в них сотрудников, осуществляющих обслуживание зданий и сооружений, необходимых для целей недропользования, если добыча недр происходит на межселенной территории</t>
  </si>
  <si>
    <t>Тяжелая промышленность. Размещение ОКС горно-обогатительной и горно-перерабатывающей, металлургической, машиностроительной промышленности, а также изготовления и ремонта продукции судостроения, авиастроения, вагоностроения, машиностроения, станкостроения, а также других подобных промышленных предприятий, для эксплуатации которых предусматривается установление охранных или санитарно-защитных зон, за исключением случаев, когда объект промышленности отнесен к иному виду использования</t>
  </si>
  <si>
    <t>Автомобилестроительная промышленность. Размещение ОКС, предназначенных для производства транспортных средств и оборудования, производства автомобилей, производства автомобильных кузовов, производства прицепов, полуприцепов и контейнеров, предназначенных для перевозки одним или несколькими видами транспорта, производства частей и принадлежностей автомобилей и их двигателей</t>
  </si>
  <si>
    <t>Легкая промышленность. Размещение ОКС, предназначенных для текстильной, фарфорово-фаянсовой, электронной промышленности</t>
  </si>
  <si>
    <t>Фармацевтическая промышленность. Размещение ОКС, предназначенных для фармацевтического производства, в том числе объектов, в отношении которых предусматривается установление охранных или санитарно-защитных зон</t>
  </si>
  <si>
    <t>Пищевая промышленность. Размещение объектов пищевой промышленности, по переработке сельскохозяйственной продукции способом, приводящим к их переработке в иную продукцию (консервирование, копчение, хлебопечение), в том числе для производства напитков, алкогольных напитков и табачных изделий</t>
  </si>
  <si>
    <t>Нефтехимическая промышленность. Размещение ОКС, предназначенных для переработки углеводородного сырья, изготовления удобрений, полимеров, химической продукции бытового назначения и подобной продукции, а также другие подобные промышленные предприятия</t>
  </si>
  <si>
    <t>Строительная промышленность. Размещение ОКС, предназначенных для производства: строительных материалов (кирпичей, пиломатериалов, цемента, крепежных материалов), бытового и строительного газового и сантехнического оборудования, лифтов и подъемников, столярной продукции, сборных домов или их частей и тому подобной продукции</t>
  </si>
  <si>
    <t>Энергетика. Размещение объектов гидроэнергетики, размещение обслуживающих и вспомогательных для электростанций сооружений (гидротехнических сооружений)</t>
  </si>
  <si>
    <t>Энергетика. Размещение объектов тепловых станций и других электростанций, за исключением кода расчета вида использования 06:073, размещение обслуживающих и вспомогательных для электростанций сооружений (золоотвалов)</t>
  </si>
  <si>
    <t>Энергетика. Размещение объектов электросетевого хозяйства, за исключением объектов энергетики, размещение которых предусмотрено кодом расчета вида использования 03:012</t>
  </si>
  <si>
    <t>Атомная энергетика. Размещение объектов использования атомной энергии, в том числе атомных станций, ядерных установок (за исключением создаваемых в научных целях), пунктов хранения ядерных материалов и радиоактивных веществ, размещение обслуживающих и вспомогательных для электростанций сооружений</t>
  </si>
  <si>
    <t>Атомная энергетика. Размещение объектов электросетевого хозяйства, обслуживающих атомные электростанции</t>
  </si>
  <si>
    <t>Связь. Размещение объектов связи, радиовещания, телевидения, включая воздушные радиорелейные, надземные и подземные кабельные линии связи, линии радиофикации, антенные поля, усилительные пункты на кабельных линиях связи, инфраструктуры спутниковой связи и телерадиовещания, за исключением объектов связи, размещение которых предусмотрено кодом расчета вида использования 03:011, диспетчерские</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</si>
  <si>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промышленные базы, склады, погрузочные терминалы и доки, за исключением железнодорожных перевалочных складов</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</si>
  <si>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нефтехранилища и нефтеналивные станции, газовые хранилища и обслуживающие их газоконденсатные и газоперекачивающие станции</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</si>
  <si>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элеваторы и продовольственные склады, за исключением железнодорожных перевалочных складов</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</si>
  <si>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промышленные базы, склады, погрузочные терминалы и доки, нефтехранилища и нефтеналивные станции, газовые хранилища и обслуживающие их газоконденсатные и газоперекачивающие станции, элеваторы и продовольственные склады, за исключением железнодорожных перевалочных складов</t>
  </si>
  <si>
    <t>Обеспечение космической деятельности. Размещение космодромов, стартовых комплексов и пусковых установок, полигонов приземления космических объектов, объектов экспериментальной базы для отработки космической техники</t>
  </si>
  <si>
    <t>Обеспечение космической деятельности. Размещение командно-измерительных комплексов, центров и пунктов управления полетами космических объектов, пунктов приема, хранения и переработки информации, баз хранения космической техники, центров и оборудования для подготовки космонавтов, других сооружений, используемых при осуществлении космической деятельности</t>
  </si>
  <si>
    <t>Целлюлозно-бумажная промышленность. Размещение ОКС, предназначенных для целлюлозно-бумажного производства, производства целлюлозы, древесной массы, бумаги, картона и изделий из них</t>
  </si>
  <si>
    <t>Целлюлозно-бумажная промышленность. Размещение ОКС, предназначенных для издательской и полиграфической деятельности, тиражирования записанных носителей информации</t>
  </si>
  <si>
    <t>Железнодорожный транспорт. Размещение зданий и сооружений, в том числе железнодорожных вокзалов и станций</t>
  </si>
  <si>
    <t>Железнодорожный транспорт. Размещение зданий и сооружений, в том числе устройств и объектов, необходимых для эксплуатации, содержания, строительства, реконструкции, ремонта наземных и подземных зданий, сооружений, устройств и других объектов железнодорожного транспорта</t>
  </si>
  <si>
    <t>Железнодорожный транспорт. Размещение погрузочно-разгрузочных площадок, прирельсовых складов (за исключением складов горюче-смазочных материалов и автозаправочных станций любых типов, а также складов, предназначенных для хранения опасных веществ и материалов, не предназначенных непосредственно для обеспечения железнодорожных перевозок) и иных объектов при условии соблюдения требований безопасности движения, установленных федеральными законами</t>
  </si>
  <si>
    <t>Железнодорожный транспорт. Размещение наземных сооружений метрополитена, в том числе посадочных станций, вентиляционных шахт</t>
  </si>
  <si>
    <t>Водный транспорт. Размещение искусственно созданных для судоходства внутренних водных путей, размещение ОКС внутренних водных путей, навигационного оборудования и других объектов, необходимых для обеспечения судоходства и водных перевозок</t>
  </si>
  <si>
    <t>Водный транспорт. Размещение ОКС морских портов и речных портов, причалов, пристаней, гидротехнических сооружений</t>
  </si>
  <si>
    <t>Водный транспорт. Размещение ОКС гидротехнических сооружений, за исключением кодов расчета вида использования 07:030, 07:031</t>
  </si>
  <si>
    <t>Воздушный транспорт. Размещение аэродромов, вертолетных площадок (вертодромов), обустройство мест для приводнения и причаливания гидросамолетов, размещение аэропортов (аэровокзалов) и иных объектов, необходимых для посадки и высадки пассажиров и их сопутствующего обслуживания и обеспечения их безопасности, а также размещение объектов, необходимых для погрузки, разгрузки и хранения грузов, перемещаемых воздушным путем</t>
  </si>
  <si>
    <t>Воздушный транспорт. Размещение радиотехнического обеспечения полетов и прочих объектов, необходимых для взлета и приземления (приводнения) воздушных судов, размещение аэропортов (аэровокзалов)</t>
  </si>
  <si>
    <t>Воздушный транспорт. Размещение объектов, предназначенных для технического обслуживания и ремонта воздушных судов</t>
  </si>
  <si>
    <t>Трубопроводный транспорт. Размещение магистральных нефтепроводов, водопроводов, газопроводов и иных трубопроводов</t>
  </si>
  <si>
    <t>Трубопроводный транспорт. Размещение зданий и сооружений, необходимых для эксплуатации трубопроводов, предусмотренных кодом расчета вида использования 07:050</t>
  </si>
  <si>
    <t>Обеспечение вооруженных сил. Размещение ОКС, предназначенных для разработки, испытания, производства ремонта или уничтожения вооружения, техники военного назначения и боеприпасов</t>
  </si>
  <si>
    <t>Обеспечение вооруженных сил. Размещение ОКС, необходимых для создания и хранения запасов материальных ценностей в государственном и мобилизационном резервах (хранилища, склады и другие объекты)</t>
  </si>
  <si>
    <t>Обеспечение вооруженных сил. Размещение объектов, для обеспечения безопасности которых были созданы закрытые административно-территориальные образования</t>
  </si>
  <si>
    <t>Обеспечение внутреннего правопорядка. Размещение объектов гражданской обороны, за исключением объектов гражданской обороны, являющихся частями производственных зданий</t>
  </si>
  <si>
    <t>Заготовка древесины. Частичная переработка и хранение древесины, размещение сооружений, необходимых для обработки и хранения древесины (лесных складов, лесопилен)</t>
  </si>
  <si>
    <t>Заготовка древесины. Создание лесных дорог</t>
  </si>
  <si>
    <t>Гидротехнические сооружения. Размещение гидротехнических сооружений, необходимых для эксплуатации водохранилищ (плотин, водосбросов, водозаборных, водовыпускных и других гидротехнических сооружений, судопропускных сооружений, рыбозащитных и рыбопропускных сооружений, берегозащитных сооружений), за исключением кодов расчета вида использования 06:070, 07:030-07:032</t>
  </si>
  <si>
    <t>здания/нежилые здания/сооружения по документу с производственным использованием по классификатору</t>
  </si>
  <si>
    <t>Иной вид использования в сегменте "Производственная деятельность"</t>
  </si>
  <si>
    <t>Объекты гаражного назначения. Размещение отдельно стоящих и пристроенных одноэтажных гаражей надземных, предназначенных для хранения личного автотранспорта граждан (в том числе в квартальной жилой застройке)</t>
  </si>
  <si>
    <t>Объекты торговли (торговые центры, торгово-развлекательные центры (комплексы). Размещение гаражей и (или) стоянок для автомобилей сотрудников и посетителей торгового центра</t>
  </si>
  <si>
    <t>Рынки. Размещение гаражей и (или) стоянок для автомобилей сотрудников и посетителей рынка</t>
  </si>
  <si>
    <t>Обслуживание автотранспорта в целом. Размещение постоянных или временных гаражей с несколькими стояночными местами, стоянок (парковок), гаражей, в том числе многоярусных, не указанных в кодах расчета вида использования 02:071, 03:012, 04:021, 04:031</t>
  </si>
  <si>
    <t>Обслуживание автотранспорта. Размещение отдельно стоящих и сблокированных одноэтажных гаражей, предназначенных для хранения личного автотранспорта граждан, имеющих общую внутриплощадочную транспортную и инженерную инфраструктуру (дороги, электрификацию и пр.), с возможностью размещения автомобильных моек</t>
  </si>
  <si>
    <t>Обслуживание автотранспорта. Размещение отдельно стоящих и пристроенных гаражей подземных, независимо от этажности и количества парковочных мест, в том числе не разделенных на гаражные боксы, предназначенных для хранения автотранспорта, с возможностью размещения автомобильных моек</t>
  </si>
  <si>
    <t>Обслуживание автотранспорта. Размещение отдельно стоящих и пристроенных гаражей многоярусных, независимо от этажности и количества парковочных мест, в том числе не разделенных на гаражные боксы, предназначенных для хранения автотранспорта, с возможностью размещения автомобильных моек</t>
  </si>
  <si>
    <t>Автомобильный транспорт. Размещение депо (устройства мест стоянок) автомобильного транспорта, осуществляющего перевозки людей по установленному маршруту</t>
  </si>
  <si>
    <t>Иной вид использования в сегменте "Транспорт"</t>
  </si>
  <si>
    <t>Охрана Государственной границы Российской Федерации. Размещение инженерных сооружений и заграждений, пограничных знаков, коммуникаций и других объектов, необходимых для обеспечения защиты и охраны Государственной границы Российской Федерации, устройство пограничных просек и контрольных полос</t>
  </si>
  <si>
    <t>Иной вид использования в сегменте "Обеспечение обороны и безопасности"</t>
  </si>
  <si>
    <t>Обустройство спортивных и детских площадок, площадок отдыха на территории малоэтажной многоквартирной жилой застройки</t>
  </si>
  <si>
    <t>Блокированная жилая застройка. Обустройство спортивных и детских площадок, площадок отдыха на территории блокированной жилой застройки</t>
  </si>
  <si>
    <t>Среднеэтажная жилая застройка. Обустройство спортивных и детских площадок, площадок отдыха на территории квартальной застройки</t>
  </si>
  <si>
    <t>Многоэтажная жилая застройка. Обустройство спортивных и детских площадок, площадок отдыха на территории квартальной застройки</t>
  </si>
  <si>
    <t>Охота и рыбалка. Обустройство мест охоты и рыбалки, в том числе сооружений, необходимых для восстановления и поддержания поголовья зверей или количества рыбы</t>
  </si>
  <si>
    <t>Охрана природных территорий. Сохранение и изучение растительного и животного мира путем создания особо охраняемых природных территорий, в границах которых хозяйственная деятельность, кроме деятельности, связанной с охраной и изучением природы, не допускается (государственные природные заповедники, национальные и природные парки, памятники природы, дендрологические парки, ботанические сады), сохранение отдельных естественных качеств окружающей природной среды путем ограничения хозяйственной деятельности, в частности: создание и уход за запретными полосами, создание и уход за защитными лесами, в том числе городскими лесами, лесами в лесопарках, и иная хозяйственная деятельность, разрешенная в защитных лесах, соблюдение режима использования природных ресурсов в заказниках, сохранение свойств земель, являющихся особо ценными</t>
  </si>
  <si>
    <t>Курортная деятельность. Использование для лечения и оздоровления человека природных лечебных ресурсов (месторождения минеральных вод, лечебные грязи, рапой лиманов и озер, особый климат и иные природные факторы и условия, которые используются или могут использоваться для профилактики и лечения заболеваний человека), а также охрана лечебных ресурсов от истощения и уничтожения в границах зоны горно-санитарной или санитарной охраны лечебно-оздоровительных местностей и курорта</t>
  </si>
  <si>
    <t>Санаторная деятельность. Обустройство лечебно-оздоровительных местностей (пляжи, бюветы, места добычи целебной грязи)</t>
  </si>
  <si>
    <t>Размещение в границах населенных пунктов набережных, береговых полос водных объектов общего пользования</t>
  </si>
  <si>
    <t>Размещение в границах населенных пунктов скверов, бульваров, малых архитектурных форм благоустройства</t>
  </si>
  <si>
    <t>Иной вид использования в сегменте "Деятельность по особой охране и изучению природы"</t>
  </si>
  <si>
    <t>Территории общего пользования - остановки и остановочные комплексы</t>
  </si>
  <si>
    <t>Территории общего пользования - без указания уточняющей функции</t>
  </si>
  <si>
    <t>Территории общего пользования - размещение автомобильных дорог и технически связанных с ними сооружений</t>
  </si>
  <si>
    <t>Территории общего пользования - размещение объектов улично-дорожной сети, автомобильных дорог и пешеходных тротуаров в границах населенных пунктов, пешеходных переходов, площадей, проездов</t>
  </si>
  <si>
    <t>Заготовка древесины. Рубка лесных насаждений, выросших в природных условиях, а также выращенных трудом человека, в том числе гражданами для собственных нужд, охрана и восстановление лесов</t>
  </si>
  <si>
    <t>Лесные плантации. Выращивание и рубка лесных насаждений</t>
  </si>
  <si>
    <t>Заготовка лесных ресурсов. Заготовка живицы, сбор недревесных лесных ресурсов, в том числе гражданами для собственных нужд, заготовка пищевых лесных ресурсов и дикорастущих растений, хранение, неглубокая переработка и вывоз добытых лесных ресурсов, размещение временных сооружений, необходимых для хранения и неглубокой переработки лесных ресурсов (сушилки, грибоварни, склады), охрана лесов</t>
  </si>
  <si>
    <t>Резервные леса. Деятельность, связанная с охраной лесов</t>
  </si>
  <si>
    <t>Иной вид использования в сегменте "Использование лесов"</t>
  </si>
  <si>
    <t>Общее пользование водными объектами. Использование земельных участков, примыкающих к водным объектам способами, необходимыми для осуществления общего водопользования (водопользования, осуществляемого гражданами для личных нужд, а также забор (изъятие) водных ресурсов для целей питьевого и хозяйственно-бытового водоснабжения, купание, использование маломерных судов, водных мотоциклов и других технических средств, предназначенных для отдыха на водных объектах, водопой, если соответствующие запреты не установлены)</t>
  </si>
  <si>
    <t>Специальное пользование водными объектами. Использование земельных участков, примыкающих к водным объектам способами, необходимыми для специального водопользования (забор водных ресурсов из поверхностных водных объектов, сброс сточных вод и (или) дренажных вод, проведение дноуглубительных, взрывных, буровых и других работ, связанных с изменением дна и берегов водных объектов)</t>
  </si>
  <si>
    <t>Иной вид использования в сегменте "Водные объекты"</t>
  </si>
  <si>
    <t>Обеспечение вооруженных сил. Обустройство земельных участков в качестве испытательных полигонов, мест уничтожения вооружения и захоронения отходов, возникающих в связи с использованием, производством, ремонтом или уничтожением вооружений или боеприпасов</t>
  </si>
  <si>
    <t>Ритуальная деятельность. Размещение кладбищ, крематориев и мест захоронения, культовых сооружений</t>
  </si>
  <si>
    <t>Специальная деятельность. Размещение, хранение, захоронение, утилизация, накопление, обработка, обезвреживание отходов производства и потребления, медицинских отходов, биологических отходов, радиоактивных отходов, веществ, разрушающих озоновый слой, полигонов по захоронению бытового мусора и отходов</t>
  </si>
  <si>
    <t>Специальная деятельность. Размещение объектов размещения отходов, захоронения, хранения, обезвреживания отходов (скотомогильников, мусоросжигательных и мусороперерабатывающих заводов), объектов по сортировке бытового мусора и отходов, мест сбора вещей для их вторичной переработки</t>
  </si>
  <si>
    <t>Запас. Отсутствие хозяйственной деятельности</t>
  </si>
  <si>
    <t>Иной вид использования в сегменте "Специальное, ритуальное использование, запас"</t>
  </si>
  <si>
    <t>Индивидуальное жилищное строительство в целом</t>
  </si>
  <si>
    <t>Размещение индивидуального жилого дома (дом, пригодный для постоянного проживания, высотой не выше трех надземных этажей), размещение индивидуальных гаражей и подсобных сооружений, исходя из минимальных норм отвода земельных участков для индивидуального жилищного строительства (ИЖС)</t>
  </si>
  <si>
    <t>Малоэтажная многоквартирная жилая застройка в целом</t>
  </si>
  <si>
    <t>Размещение малоэтажного многоквартирного жилого дома (дом, пригодный для постоянного проживания, высотой до 4 этажей, включая мансардный),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t>
  </si>
  <si>
    <t>Ведение личного подсобного хозяйства с правом застройки в целом</t>
  </si>
  <si>
    <t>Ведение личного подсобного хозяйства. Размещение жилого дома, не предназначенного для раздела на квартиры (дома, пригодные для постоянного проживания и высотой не выше трех надземных этажей), размещение гаража и иных вспомогательных сооружений, в том числе зданий и сооружений для содержания сельскохозяйственных животных</t>
  </si>
  <si>
    <t>Блокированная жилая застройка в целом</t>
  </si>
  <si>
    <t>Блокированная жилая застройка. Размещение жилого дома, не предназначенного для раздела на квартиры, имеющего одну или несколько общих стен с соседними жилыми домами (количеством этажей не более чем три, при общем количестве совмещенных домов не более десяти, и каждый из которых предназначен для проживания одной семьи, имеет общую стену (общие стены) без проемов с соседним блоком или соседними блоками, расположен на отдельном земельном участке и имеет выход на территорию общего пользования (жилые дома блокированной застройки), размещение индивидуальных гаражей и иных вспомогательных сооружений</t>
  </si>
  <si>
    <t>Ведение огородничества и Палисадники. Осуществление отдыха и (или) деятельности, связанной с выращиванием гражданами для собственных нужд сельскохозяйственных культур; размещение хозяйственных построек, не являющихся объектами недвижимости, предназначенных для хранения инвентаря и урожая сельскохозяйственных культур</t>
  </si>
  <si>
    <t>Ведение садоводства. Размещение садового дома, предназначенного для отдыха и не подлежащего разделу на квартиры</t>
  </si>
  <si>
    <t>Иной вид использования в сегменте "Садоводство и огородничество, малоэтажная жилая застройка"</t>
  </si>
  <si>
    <t>Дачные, садовые и огородные участки в организованных коттеджных поселках.</t>
  </si>
  <si>
    <t>Ведение крестьянско-фермерского хозяйства. Размещение жилого дома, не предназначенного для раздела на квартиры (дома, пригодные для постоянного проживания и высотой не выше трех надземных этажей), размещение гаража и иных вспомогательных сооружений, в том числе зданий и сооружений для содержания сельскохозяйственных животных</t>
  </si>
  <si>
    <t>Размещение индивидуального жилого дома в организованных коттеджных поселках</t>
  </si>
  <si>
    <t>Малоэтажная жилая застройка без  уточнения этажности и характера использования земельного участка</t>
  </si>
  <si>
    <t>Иное использование</t>
  </si>
  <si>
    <t>Old_Utlbydoc</t>
  </si>
  <si>
    <t>Вид использования учтенный при ТЕКУЩЕМ расчете в рамках 16 статьи для загрузки в базу (в базе название колонки "ВРИ по документу старое")</t>
  </si>
  <si>
    <t>По колонке "статус расчета" EO разносим файлы по листам. Если "пересчет не требуется" то - кадастровый номер, ври, сегмент, статус расчета, если "стоплист" то только кадастровый номер и статус расчета, если "готов" то все данные на загрузку в базу. В шапке только английские заголовки!</t>
  </si>
  <si>
    <t>Дата оценки</t>
  </si>
  <si>
    <t>ВРИ по документу старое</t>
  </si>
  <si>
    <t>ID</t>
  </si>
  <si>
    <t>ObjectType</t>
  </si>
  <si>
    <t>Area</t>
  </si>
  <si>
    <t>AddressOther</t>
  </si>
  <si>
    <t>AddressNote</t>
  </si>
  <si>
    <t>ParcelCategory</t>
  </si>
  <si>
    <t>Utilization</t>
  </si>
  <si>
    <t>UtilizationByDoc</t>
  </si>
  <si>
    <t>UtilizationLandUse</t>
  </si>
  <si>
    <t>UtilizationТхт</t>
  </si>
  <si>
    <t>CostValue</t>
  </si>
  <si>
    <t>CostDateValuation</t>
  </si>
  <si>
    <t>ID_Group</t>
  </si>
  <si>
    <t>LocalityCode</t>
  </si>
  <si>
    <t>act_sign</t>
  </si>
  <si>
    <t>inputpacket_date</t>
  </si>
  <si>
    <t>Statement</t>
  </si>
  <si>
    <t>Type_Statement</t>
  </si>
  <si>
    <t>Status_Statement</t>
  </si>
  <si>
    <t>ControlSP</t>
  </si>
  <si>
    <t>Date_comm</t>
  </si>
  <si>
    <t>Sol_comm</t>
  </si>
  <si>
    <t>New_Segment</t>
  </si>
  <si>
    <t>Date_KC</t>
  </si>
  <si>
    <t>PARCELS</t>
  </si>
  <si>
    <t>66:41:0000000:187027</t>
  </si>
  <si>
    <t>Земельный участок</t>
  </si>
  <si>
    <t>Российская Федерация, Свердловская область, город Екатеринбург</t>
  </si>
  <si>
    <t>Земли населенных пунктов</t>
  </si>
  <si>
    <t>Для иных видов использования, характерных для населенных пунктов</t>
  </si>
  <si>
    <t>Общественное управление (код 3.8), деловое управление (код 4.1), магазины (код 4.4), банковская и страховая деятельность (код 4.5), культурное развитие (код 3.6), обеспечение научной деятельности (код 3.9), общественное питание (код 4.6), среднеэтажная жилая застройка (код 2.5), многоэтажная жилая застройка (высотная застройка) (код 2.6), бытовое обслуживание (код 3.3), социальное обслуживание (код 3.2), историко-культурная деятельность (код 9.3), здравоохранение (код 3.4), образование и просвещение (код 9.3), объекты торговли (торговые центры, торгово-развлекательные центры (комплексы)) (код 4.2), гостиничное обслуживание (код 4.7), развлечения (код 4.8), хранение автотранспорта (код 2.7.1), служебные гаражи (код 4.9), выставочно-ярмарочная деятельность (код  4.10), спорт (код 5.1), коммунальное обслуживание (код 3.1), внеуличный транспорт (код 7.6)</t>
  </si>
  <si>
    <t>Общественное управление</t>
  </si>
  <si>
    <t>2021-07-29 00:00:00.0000000</t>
  </si>
  <si>
    <t>СТ16_Ф29_М6_02082021_Мухамедьярова_Графика по ПКК_Новый</t>
  </si>
  <si>
    <t>47:004:1:1:1</t>
  </si>
  <si>
    <t>пояс 1</t>
  </si>
  <si>
    <t>2021-11-16</t>
  </si>
  <si>
    <t>отсутствие водоотведения</t>
  </si>
  <si>
    <t>наличие электроснабжения</t>
  </si>
  <si>
    <t>НЕ ГОТОВ</t>
  </si>
  <si>
    <t>ГОТОВ</t>
  </si>
  <si>
    <t>не готов</t>
  </si>
  <si>
    <t>540СПР</t>
  </si>
  <si>
    <t>2021-07-29</t>
  </si>
  <si>
    <t>Хранение автотранспорта</t>
  </si>
  <si>
    <t>66:41:0614073:123</t>
  </si>
  <si>
    <t>Российская Федерация, Свердловская область, город Екатеринбург, улица Механизаторов, 100</t>
  </si>
  <si>
    <t>Магазины (4.4)</t>
  </si>
  <si>
    <t>2020-08-26 00:00:00.0000000</t>
  </si>
  <si>
    <t>СТ16_Ф1_М8_08022021_Ахмадеева_Графика по ПКК_Новый</t>
  </si>
  <si>
    <t>пояс 4</t>
  </si>
  <si>
    <t>2021-11-15</t>
  </si>
  <si>
    <t>ручной разбор</t>
  </si>
  <si>
    <t>2021-01-01</t>
  </si>
  <si>
    <t>специального назначения</t>
  </si>
  <si>
    <t>фактор1</t>
  </si>
  <si>
    <t>фактор 2</t>
  </si>
  <si>
    <t>фактор 8071</t>
  </si>
  <si>
    <t>фактор 8091</t>
  </si>
  <si>
    <t>лишний</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</si>
</sst>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 _₽_-;\-* #,##0.00\ _₽_-;_-* &quot;-&quot;??\ _₽_-;_-@_-"/>
    <numFmt numFmtId="164" formatCode="0.0000"/>
    <numFmt numFmtId="165" formatCode="0.000"/>
    <numFmt numFmtId="166" formatCode="_-* #,##0.0000\ _₽_-;\-* #,##0.0000\ _₽_-;_-* &quot;-&quot;??\ _₽_-;_-@_-"/>
  </numFmts>
  <fonts count="25"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i/>
      <sz val="11"/>
      <color theme="1"/>
      <name val="Calibri"/>
      <family val="2"/>
      <charset val="204"/>
      <scheme val="minor"/>
    </font>
    <font>
      <i/>
      <sz val="11"/>
      <color theme="1"/>
      <name val="Calibri"/>
      <family val="2"/>
      <scheme val="minor"/>
    </font>
    <font>
      <i/>
      <sz val="9"/>
      <color rgb="FF000000"/>
      <name val="Arial"/>
      <family val="2"/>
      <charset val="204"/>
    </font>
    <font>
      <b/>
      <i/>
      <sz val="11"/>
      <color theme="1"/>
      <name val="Calibri"/>
      <family val="2"/>
      <charset val="204"/>
      <scheme val="minor"/>
    </font>
    <font>
      <sz val="11"/>
      <color theme="1"/>
      <name val="Calibri"/>
      <family val="2"/>
      <scheme val="minor"/>
    </font>
    <font>
      <b/>
      <sz val="9"/>
      <color rgb="FF000000"/>
      <name val="Arial"/>
      <family val="2"/>
      <charset val="204"/>
    </font>
    <font>
      <sz val="9"/>
      <color rgb="FF000000"/>
      <name val="Arial"/>
      <family val="2"/>
      <charset val="204"/>
    </font>
    <font>
      <sz val="10"/>
      <color rgb="FF000000"/>
      <name val="Arial"/>
      <family val="2"/>
      <charset val="204"/>
    </font>
    <font>
      <b/>
      <sz val="10"/>
      <color rgb="FF000000"/>
      <name val="Arial"/>
      <family val="2"/>
      <charset val="204"/>
    </font>
    <font>
      <sz val="11"/>
      <color theme="1"/>
      <name val="Times New Roman"/>
      <family val="1"/>
      <charset val="204"/>
    </font>
    <font>
      <b/>
      <sz val="11"/>
      <color theme="1"/>
      <name val="Times New Roman"/>
      <family val="1"/>
      <charset val="204"/>
    </font>
    <font>
      <i/>
      <sz val="10"/>
      <color theme="1"/>
      <name val="Calibri"/>
      <family val="2"/>
      <charset val="204"/>
      <scheme val="minor"/>
    </font>
    <font>
      <b/>
      <sz val="11"/>
      <color theme="1"/>
      <name val="Calibri"/>
      <family val="2"/>
      <charset val="204"/>
      <scheme val="minor"/>
    </font>
    <font>
      <sz val="10"/>
      <color theme="1"/>
      <name val="Calibri"/>
      <family val="2"/>
      <charset val="204"/>
      <scheme val="minor"/>
    </font>
  </fonts>
  <fills count="12">
    <fill>
      <patternFill patternType="none"/>
    </fill>
    <fill>
      <patternFill patternType="gray125"/>
    </fill>
    <fill>
      <patternFill patternType="solid">
        <fgColor theme="7"/>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6"/>
        <bgColor indexed="64"/>
      </patternFill>
    </fill>
    <fill>
      <patternFill patternType="solid">
        <fgColor theme="5"/>
        <bgColor indexed="64"/>
      </patternFill>
    </fill>
    <fill>
      <patternFill patternType="solid">
        <fgColor theme="7" tint="0.59999389629810485"/>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style="medium">
        <color indexed="64"/>
      </left>
      <right/>
      <top/>
      <bottom/>
      <diagonal/>
    </border>
  </borders>
  <cellStyleXfs count="14">
    <xf numFmtId="0" fontId="0" fillId="0" borderId="0"/>
    <xf numFmtId="0" fontId="10" fillId="0" borderId="0"/>
    <xf numFmtId="0" fontId="10" fillId="0" borderId="0"/>
    <xf numFmtId="43" fontId="15" fillId="0" borderId="0" applyFont="0" applyFill="0" applyBorder="0" applyAlignment="0" applyProtection="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9" fontId="15" fillId="0" borderId="0" applyFont="0" applyFill="0" applyBorder="0" applyAlignment="0" applyProtection="0"/>
    <xf numFmtId="0" fontId="1" fillId="0" borderId="0"/>
  </cellStyleXfs>
  <cellXfs count="128">
    <xf numFmtId="0" fontId="0" fillId="0" borderId="0" xfId="0"/>
    <xf numFmtId="0" fontId="0" fillId="0" borderId="0" xfId="0" quotePrefix="1"/>
    <xf numFmtId="0" fontId="0" fillId="0" borderId="0" xfId="0" applyFill="1"/>
    <xf numFmtId="0" fontId="12" fillId="0" borderId="0" xfId="0" applyFont="1" applyFill="1" applyAlignment="1">
      <alignment horizontal="center" vertical="center"/>
    </xf>
    <xf numFmtId="0" fontId="13" fillId="0" borderId="0" xfId="2" applyFont="1" applyFill="1" applyBorder="1" applyAlignment="1">
      <alignment horizontal="center" vertical="center" wrapText="1"/>
    </xf>
    <xf numFmtId="0" fontId="0" fillId="0" borderId="0" xfId="0" applyFill="1" applyAlignment="1">
      <alignment horizontal="center"/>
    </xf>
    <xf numFmtId="0" fontId="0" fillId="0" borderId="0" xfId="0" applyFill="1" applyAlignment="1"/>
    <xf numFmtId="0" fontId="11" fillId="0" borderId="0" xfId="0" applyFont="1" applyFill="1" applyAlignment="1">
      <alignment horizontal="center" vertical="center" wrapText="1"/>
    </xf>
    <xf numFmtId="164" fontId="0" fillId="0" borderId="0" xfId="0" applyNumberFormat="1"/>
    <xf numFmtId="43" fontId="0" fillId="0" borderId="0" xfId="3" applyFont="1"/>
    <xf numFmtId="0" fontId="17" fillId="0" borderId="2" xfId="4" applyFont="1" applyFill="1" applyBorder="1" applyAlignment="1">
      <alignment horizontal="left" vertical="center"/>
    </xf>
    <xf numFmtId="2" fontId="17" fillId="0" borderId="2" xfId="4" applyNumberFormat="1" applyFont="1" applyFill="1" applyBorder="1" applyAlignment="1">
      <alignment horizontal="right" vertical="center"/>
    </xf>
    <xf numFmtId="164" fontId="17" fillId="0" borderId="2" xfId="4" applyNumberFormat="1" applyFont="1" applyFill="1" applyBorder="1" applyAlignment="1">
      <alignment horizontal="right" vertical="center"/>
    </xf>
    <xf numFmtId="0" fontId="9" fillId="0" borderId="0" xfId="4" applyFill="1" applyAlignment="1"/>
    <xf numFmtId="164" fontId="17" fillId="0" borderId="2" xfId="4" applyNumberFormat="1" applyFont="1" applyFill="1" applyBorder="1" applyAlignment="1">
      <alignment horizontal="left" vertical="center"/>
    </xf>
    <xf numFmtId="0" fontId="17" fillId="0" borderId="1" xfId="4" applyFont="1" applyFill="1" applyBorder="1" applyAlignment="1">
      <alignment horizontal="left" vertical="center"/>
    </xf>
    <xf numFmtId="164" fontId="17" fillId="0" borderId="4" xfId="4" applyNumberFormat="1" applyFont="1" applyFill="1" applyBorder="1" applyAlignment="1">
      <alignment horizontal="left" vertical="center"/>
    </xf>
    <xf numFmtId="0" fontId="17" fillId="0" borderId="4" xfId="4" applyFont="1" applyFill="1" applyBorder="1" applyAlignment="1">
      <alignment horizontal="left" vertical="center"/>
    </xf>
    <xf numFmtId="164" fontId="17" fillId="0" borderId="5" xfId="4" applyNumberFormat="1" applyFont="1" applyFill="1" applyBorder="1" applyAlignment="1">
      <alignment horizontal="left" vertical="center"/>
    </xf>
    <xf numFmtId="164" fontId="17" fillId="0" borderId="1" xfId="4" applyNumberFormat="1" applyFont="1" applyFill="1" applyBorder="1" applyAlignment="1">
      <alignment horizontal="left" vertical="center"/>
    </xf>
    <xf numFmtId="0" fontId="17" fillId="0" borderId="6" xfId="4" applyFont="1" applyFill="1" applyBorder="1" applyAlignment="1">
      <alignment horizontal="left" vertical="center"/>
    </xf>
    <xf numFmtId="164" fontId="17" fillId="0" borderId="6" xfId="4" applyNumberFormat="1" applyFont="1" applyFill="1" applyBorder="1" applyAlignment="1">
      <alignment horizontal="left" vertical="center"/>
    </xf>
    <xf numFmtId="0" fontId="17" fillId="0" borderId="5" xfId="4" applyFont="1" applyFill="1" applyBorder="1" applyAlignment="1">
      <alignment horizontal="left" vertical="center"/>
    </xf>
    <xf numFmtId="0" fontId="16" fillId="0" borderId="0" xfId="0" applyFont="1" applyFill="1" applyAlignment="1">
      <alignment horizontal="left" vertical="center"/>
    </xf>
    <xf numFmtId="0" fontId="17" fillId="0" borderId="1" xfId="0" applyFont="1" applyFill="1" applyBorder="1" applyAlignment="1">
      <alignment horizontal="left" vertical="center"/>
    </xf>
    <xf numFmtId="0" fontId="18" fillId="0" borderId="0" xfId="0" applyFont="1" applyFill="1" applyAlignment="1">
      <alignment horizontal="left" vertical="center"/>
    </xf>
    <xf numFmtId="0" fontId="17" fillId="0" borderId="1" xfId="0" applyFont="1" applyFill="1" applyBorder="1" applyAlignment="1">
      <alignment horizontal="right" vertical="center"/>
    </xf>
    <xf numFmtId="0" fontId="19" fillId="0" borderId="0" xfId="4" applyFont="1" applyFill="1" applyBorder="1" applyAlignment="1">
      <alignment horizontal="center" vertical="center"/>
    </xf>
    <xf numFmtId="0" fontId="9" fillId="0" borderId="0" xfId="4" applyFill="1" applyBorder="1" applyAlignment="1"/>
    <xf numFmtId="0" fontId="17" fillId="0" borderId="1" xfId="0" applyFont="1" applyFill="1" applyBorder="1" applyAlignment="1">
      <alignment horizontal="center" vertical="center"/>
    </xf>
    <xf numFmtId="0" fontId="19" fillId="0" borderId="0" xfId="0" applyFont="1" applyFill="1" applyAlignment="1">
      <alignment horizontal="left" vertical="center"/>
    </xf>
    <xf numFmtId="165" fontId="17" fillId="0" borderId="3" xfId="0" applyNumberFormat="1" applyFont="1" applyFill="1" applyBorder="1" applyAlignment="1">
      <alignment horizontal="right" vertical="center"/>
    </xf>
    <xf numFmtId="164" fontId="17" fillId="0" borderId="1" xfId="0" applyNumberFormat="1" applyFont="1" applyFill="1" applyBorder="1" applyAlignment="1">
      <alignment horizontal="right" vertical="center"/>
    </xf>
    <xf numFmtId="2" fontId="17" fillId="0" borderId="1" xfId="0" applyNumberFormat="1" applyFont="1" applyFill="1" applyBorder="1" applyAlignment="1">
      <alignment horizontal="right" vertical="center"/>
    </xf>
    <xf numFmtId="0" fontId="19" fillId="0" borderId="0" xfId="0" applyFont="1" applyFill="1" applyAlignment="1">
      <alignment horizontal="center" vertical="center"/>
    </xf>
    <xf numFmtId="0" fontId="18" fillId="0" borderId="0" xfId="0" applyFont="1" applyFill="1" applyAlignment="1">
      <alignment horizontal="center" vertical="center"/>
    </xf>
    <xf numFmtId="0" fontId="13" fillId="0" borderId="0" xfId="4" applyFont="1" applyFill="1" applyBorder="1" applyAlignment="1">
      <alignment horizontal="center" vertical="center"/>
    </xf>
    <xf numFmtId="0" fontId="13" fillId="0" borderId="1" xfId="0" applyFont="1" applyFill="1" applyBorder="1" applyAlignment="1">
      <alignment horizontal="center" vertical="center"/>
    </xf>
    <xf numFmtId="0" fontId="17" fillId="0" borderId="7" xfId="0" applyFont="1" applyFill="1" applyBorder="1" applyAlignment="1">
      <alignment horizontal="center" vertical="center"/>
    </xf>
    <xf numFmtId="0" fontId="17" fillId="0" borderId="8" xfId="0" applyFont="1" applyFill="1" applyBorder="1" applyAlignment="1">
      <alignment horizontal="center" vertical="center"/>
    </xf>
    <xf numFmtId="0" fontId="17" fillId="0" borderId="9" xfId="0" applyFont="1" applyFill="1" applyBorder="1" applyAlignment="1">
      <alignment horizontal="center" vertical="center"/>
    </xf>
    <xf numFmtId="2" fontId="16" fillId="0" borderId="7" xfId="0" applyNumberFormat="1" applyFont="1" applyFill="1" applyBorder="1" applyAlignment="1">
      <alignment horizontal="right" vertical="center"/>
    </xf>
    <xf numFmtId="0" fontId="0" fillId="0" borderId="2" xfId="0" applyFill="1" applyBorder="1" applyAlignment="1"/>
    <xf numFmtId="2" fontId="16" fillId="0" borderId="3" xfId="0" applyNumberFormat="1" applyFont="1" applyFill="1" applyBorder="1" applyAlignment="1">
      <alignment horizontal="right" vertical="center"/>
    </xf>
    <xf numFmtId="2" fontId="16" fillId="0" borderId="1" xfId="0" applyNumberFormat="1" applyFont="1" applyFill="1" applyBorder="1" applyAlignment="1">
      <alignment horizontal="right" vertical="center"/>
    </xf>
    <xf numFmtId="164" fontId="16" fillId="0" borderId="1" xfId="0" applyNumberFormat="1" applyFont="1" applyFill="1" applyBorder="1" applyAlignment="1">
      <alignment horizontal="right" vertical="center"/>
    </xf>
    <xf numFmtId="0" fontId="9" fillId="0" borderId="0" xfId="4"/>
    <xf numFmtId="0" fontId="20" fillId="0" borderId="2" xfId="4" applyFont="1" applyFill="1" applyBorder="1" applyAlignment="1"/>
    <xf numFmtId="0" fontId="9" fillId="0" borderId="0" xfId="4" applyFill="1"/>
    <xf numFmtId="49" fontId="20" fillId="0" borderId="2" xfId="4" applyNumberFormat="1" applyFont="1" applyFill="1" applyBorder="1" applyAlignment="1"/>
    <xf numFmtId="0" fontId="20" fillId="0" borderId="2" xfId="4" quotePrefix="1" applyFont="1" applyFill="1" applyBorder="1" applyAlignment="1"/>
    <xf numFmtId="0" fontId="20" fillId="0" borderId="2" xfId="4" applyFont="1" applyFill="1" applyBorder="1" applyAlignment="1">
      <alignment horizontal="center" vertical="center" wrapText="1"/>
    </xf>
    <xf numFmtId="0" fontId="9" fillId="0" borderId="0" xfId="4" applyFill="1" applyAlignment="1">
      <alignment wrapText="1"/>
    </xf>
    <xf numFmtId="0" fontId="9" fillId="0" borderId="0" xfId="4" applyAlignment="1">
      <alignment wrapText="1"/>
    </xf>
    <xf numFmtId="164" fontId="0" fillId="0" borderId="0" xfId="0" applyNumberFormat="1" applyFill="1"/>
    <xf numFmtId="2" fontId="0" fillId="0" borderId="0" xfId="0" applyNumberFormat="1" applyFill="1"/>
    <xf numFmtId="0" fontId="0" fillId="0" borderId="0" xfId="0" applyFill="1" applyAlignment="1">
      <alignment wrapText="1"/>
    </xf>
    <xf numFmtId="0" fontId="17" fillId="0" borderId="1" xfId="0" applyFont="1" applyFill="1" applyBorder="1" applyAlignment="1">
      <alignment horizontal="center" vertical="center" wrapText="1"/>
    </xf>
    <xf numFmtId="166" fontId="0" fillId="0" borderId="0" xfId="3" applyNumberFormat="1" applyFont="1" applyFill="1"/>
    <xf numFmtId="43" fontId="0" fillId="0" borderId="0" xfId="0" applyNumberFormat="1" applyFill="1"/>
    <xf numFmtId="43" fontId="0" fillId="0" borderId="0" xfId="3" applyNumberFormat="1" applyFont="1"/>
    <xf numFmtId="0" fontId="0" fillId="2" borderId="0" xfId="0" applyFill="1"/>
    <xf numFmtId="0" fontId="0" fillId="0" borderId="10" xfId="0" applyBorder="1"/>
    <xf numFmtId="0" fontId="0" fillId="0" borderId="0" xfId="0" applyBorder="1"/>
    <xf numFmtId="0" fontId="0" fillId="0" borderId="0" xfId="0" applyFill="1" applyBorder="1"/>
    <xf numFmtId="1" fontId="0" fillId="0" borderId="0" xfId="0" applyNumberFormat="1"/>
    <xf numFmtId="0" fontId="11" fillId="0" borderId="0" xfId="0" applyFont="1" applyAlignment="1">
      <alignment horizontal="center" vertical="center" wrapText="1"/>
    </xf>
    <xf numFmtId="0" fontId="11" fillId="2" borderId="0" xfId="0" applyFont="1" applyFill="1" applyAlignment="1">
      <alignment horizontal="center" vertical="center" wrapText="1"/>
    </xf>
    <xf numFmtId="0" fontId="0" fillId="0" borderId="0" xfId="0" applyAlignment="1"/>
    <xf numFmtId="0" fontId="14" fillId="0" borderId="2" xfId="0" applyFont="1" applyBorder="1" applyAlignment="1">
      <alignment horizontal="center" vertical="center"/>
    </xf>
    <xf numFmtId="49" fontId="0" fillId="0" borderId="2" xfId="0" applyNumberFormat="1" applyBorder="1" applyAlignment="1">
      <alignment horizontal="left" vertical="center"/>
    </xf>
    <xf numFmtId="0" fontId="0" fillId="0" borderId="2" xfId="0" applyBorder="1" applyAlignment="1">
      <alignment horizontal="left" vertical="center"/>
    </xf>
    <xf numFmtId="0" fontId="20" fillId="0" borderId="0" xfId="0" applyFont="1" applyFill="1" applyBorder="1" applyAlignment="1"/>
    <xf numFmtId="2" fontId="0" fillId="0" borderId="0" xfId="0" applyNumberFormat="1"/>
    <xf numFmtId="2" fontId="0" fillId="0" borderId="0" xfId="0" applyNumberFormat="1" applyBorder="1"/>
    <xf numFmtId="0" fontId="0" fillId="0" borderId="2" xfId="0" applyBorder="1" applyAlignment="1">
      <alignment wrapText="1"/>
    </xf>
    <xf numFmtId="0" fontId="0" fillId="0" borderId="2" xfId="0" applyBorder="1" applyAlignment="1">
      <alignment horizontal="right"/>
    </xf>
    <xf numFmtId="0" fontId="0" fillId="0" borderId="0" xfId="0" applyAlignment="1">
      <alignment wrapText="1"/>
    </xf>
    <xf numFmtId="0" fontId="0" fillId="0" borderId="0" xfId="0" applyFill="1" applyBorder="1" applyAlignment="1">
      <alignment wrapText="1"/>
    </xf>
    <xf numFmtId="0" fontId="0" fillId="0" borderId="0" xfId="0" applyFont="1" applyFill="1" applyBorder="1" applyAlignment="1">
      <alignment horizontal="center" vertical="center"/>
    </xf>
    <xf numFmtId="0" fontId="0" fillId="0" borderId="0" xfId="0" applyFill="1" applyBorder="1" applyAlignment="1">
      <alignment horizontal="left" vertical="center"/>
    </xf>
    <xf numFmtId="0" fontId="0" fillId="3" borderId="0" xfId="0" applyFill="1"/>
    <xf numFmtId="0" fontId="0" fillId="6" borderId="0" xfId="0" applyFill="1"/>
    <xf numFmtId="0" fontId="0" fillId="6" borderId="2" xfId="0" applyFill="1" applyBorder="1" applyAlignment="1">
      <alignment wrapText="1"/>
    </xf>
    <xf numFmtId="49" fontId="0" fillId="6" borderId="0" xfId="0" applyNumberFormat="1" applyFill="1"/>
    <xf numFmtId="0" fontId="0" fillId="7" borderId="0" xfId="0" applyFill="1"/>
    <xf numFmtId="0" fontId="0" fillId="7" borderId="2" xfId="0" applyFill="1" applyBorder="1" applyAlignment="1">
      <alignment wrapText="1"/>
    </xf>
    <xf numFmtId="0" fontId="0" fillId="4" borderId="2" xfId="0" applyFill="1" applyBorder="1" applyAlignment="1">
      <alignment wrapText="1"/>
    </xf>
    <xf numFmtId="0" fontId="0" fillId="5" borderId="2" xfId="0" applyFill="1" applyBorder="1" applyAlignment="1">
      <alignment wrapText="1"/>
    </xf>
    <xf numFmtId="0" fontId="0" fillId="4" borderId="2" xfId="0" applyFill="1" applyBorder="1" applyAlignment="1">
      <alignment horizontal="center" vertical="center"/>
    </xf>
    <xf numFmtId="0" fontId="14" fillId="5" borderId="0" xfId="0" applyFont="1" applyFill="1" applyAlignment="1">
      <alignment horizontal="center" vertical="center" wrapText="1"/>
    </xf>
    <xf numFmtId="2" fontId="11" fillId="0" borderId="0" xfId="0" applyNumberFormat="1" applyFont="1" applyFill="1" applyAlignment="1">
      <alignment horizontal="center" vertical="center" wrapText="1"/>
    </xf>
    <xf numFmtId="0" fontId="0" fillId="3" borderId="0" xfId="0" applyFill="1" applyBorder="1" applyAlignment="1">
      <alignment horizontal="center" vertical="center"/>
    </xf>
    <xf numFmtId="0" fontId="0" fillId="0" borderId="0" xfId="0" applyNumberFormat="1"/>
    <xf numFmtId="0" fontId="0" fillId="0" borderId="0" xfId="0" applyAlignment="1">
      <alignment vertical="center"/>
    </xf>
    <xf numFmtId="0" fontId="0" fillId="0" borderId="2" xfId="0" applyBorder="1" applyAlignment="1">
      <alignment vertical="center"/>
    </xf>
    <xf numFmtId="0" fontId="0" fillId="0" borderId="0" xfId="0" applyFill="1" applyBorder="1" applyAlignment="1">
      <alignment vertical="center"/>
    </xf>
    <xf numFmtId="0" fontId="14" fillId="0" borderId="0" xfId="0" applyFont="1" applyFill="1" applyAlignment="1">
      <alignment horizontal="center" vertical="center" wrapText="1"/>
    </xf>
    <xf numFmtId="9" fontId="0" fillId="0" borderId="0" xfId="12" applyFont="1"/>
    <xf numFmtId="0" fontId="0" fillId="9" borderId="0" xfId="0" applyFill="1"/>
    <xf numFmtId="0" fontId="0" fillId="10" borderId="0" xfId="0" applyFill="1"/>
    <xf numFmtId="0" fontId="23" fillId="0" borderId="0" xfId="0" applyFont="1" applyFill="1"/>
    <xf numFmtId="0" fontId="14" fillId="6" borderId="0" xfId="0" applyFont="1" applyFill="1" applyAlignment="1">
      <alignment horizontal="center" vertical="center" wrapText="1"/>
    </xf>
    <xf numFmtId="0" fontId="14" fillId="11" borderId="0" xfId="0" applyFont="1" applyFill="1" applyAlignment="1">
      <alignment horizontal="center" vertical="center" wrapText="1"/>
    </xf>
    <xf numFmtId="0" fontId="14" fillId="4" borderId="0" xfId="0" applyFont="1" applyFill="1" applyAlignment="1">
      <alignment horizontal="center" vertical="center" wrapText="1"/>
    </xf>
    <xf numFmtId="0" fontId="0" fillId="0" borderId="2" xfId="0" applyBorder="1"/>
    <xf numFmtId="0" fontId="11" fillId="0" borderId="0" xfId="0" applyFont="1" applyFill="1" applyAlignment="1">
      <alignment horizontal="center" vertical="center"/>
    </xf>
    <xf numFmtId="0" fontId="11" fillId="0" borderId="0" xfId="0" applyFont="1" applyAlignment="1">
      <alignment horizontal="center" vertical="center"/>
    </xf>
    <xf numFmtId="0" fontId="11" fillId="0" borderId="0" xfId="0" applyFont="1" applyFill="1" applyBorder="1" applyAlignment="1">
      <alignment horizontal="center" vertical="center"/>
    </xf>
    <xf numFmtId="0" fontId="11" fillId="7" borderId="0" xfId="0" applyFont="1" applyFill="1" applyAlignment="1">
      <alignment horizontal="center" vertical="center"/>
    </xf>
    <xf numFmtId="0" fontId="14" fillId="3" borderId="0" xfId="0" applyFont="1" applyFill="1" applyAlignment="1">
      <alignment horizontal="center" vertical="center"/>
    </xf>
    <xf numFmtId="0" fontId="23" fillId="3" borderId="10" xfId="0" applyFont="1" applyFill="1" applyBorder="1" applyAlignment="1">
      <alignment horizontal="center" vertical="center"/>
    </xf>
    <xf numFmtId="0" fontId="23" fillId="10" borderId="0" xfId="0" applyFont="1" applyFill="1" applyAlignment="1">
      <alignment horizontal="center" vertical="center"/>
    </xf>
    <xf numFmtId="0" fontId="23" fillId="9" borderId="0" xfId="0" applyFont="1" applyFill="1" applyAlignment="1">
      <alignment horizontal="center" vertical="center"/>
    </xf>
    <xf numFmtId="0" fontId="23" fillId="2" borderId="0" xfId="0" applyFont="1" applyFill="1" applyAlignment="1">
      <alignment horizontal="center" vertical="center"/>
    </xf>
    <xf numFmtId="0" fontId="14" fillId="8" borderId="0" xfId="0" applyFont="1" applyFill="1" applyAlignment="1">
      <alignment horizontal="center" vertical="center"/>
    </xf>
    <xf numFmtId="0" fontId="22" fillId="0" borderId="0" xfId="13" applyFont="1" applyAlignment="1">
      <alignment horizontal="left" vertical="center" wrapText="1"/>
    </xf>
    <xf numFmtId="2" fontId="22" fillId="0" borderId="0" xfId="13" applyNumberFormat="1" applyFont="1" applyAlignment="1">
      <alignment horizontal="left" vertical="center" wrapText="1"/>
    </xf>
    <xf numFmtId="49" fontId="22" fillId="0" borderId="0" xfId="13" applyNumberFormat="1" applyFont="1" applyAlignment="1">
      <alignment horizontal="left" vertical="center" wrapText="1"/>
    </xf>
    <xf numFmtId="0" fontId="24" fillId="0" borderId="0" xfId="13" applyFont="1" applyAlignment="1">
      <alignment vertical="top" wrapText="1"/>
    </xf>
    <xf numFmtId="2" fontId="24" fillId="0" borderId="0" xfId="13" applyNumberFormat="1" applyFont="1" applyAlignment="1">
      <alignment vertical="top" wrapText="1"/>
    </xf>
    <xf numFmtId="49" fontId="24" fillId="0" borderId="0" xfId="13" applyNumberFormat="1" applyFont="1" applyAlignment="1">
      <alignment vertical="top" wrapText="1"/>
    </xf>
    <xf numFmtId="0" fontId="0" fillId="0" borderId="0" xfId="0" quotePrefix="1" applyNumberFormat="1"/>
    <xf numFmtId="0" fontId="0" fillId="3" borderId="0" xfId="0" applyFill="1" applyAlignment="1">
      <alignment horizontal="center"/>
    </xf>
    <xf numFmtId="0" fontId="23" fillId="0" borderId="0" xfId="0" applyFont="1" applyFill="1" applyAlignment="1">
      <alignment horizontal="center" vertical="center" wrapText="1"/>
    </xf>
    <xf numFmtId="0" fontId="0" fillId="0" borderId="0" xfId="0" applyFill="1" applyAlignment="1">
      <alignment horizontal="center"/>
    </xf>
    <xf numFmtId="0" fontId="0" fillId="8" borderId="0" xfId="0" applyFill="1" applyAlignment="1">
      <alignment horizontal="center"/>
    </xf>
    <xf numFmtId="0" fontId="23" fillId="4" borderId="0" xfId="0" applyFont="1" applyFill="1" applyBorder="1" applyAlignment="1">
      <alignment horizontal="center"/>
    </xf>
  </cellXfs>
  <cellStyles count="14">
    <cellStyle name="Обычный" xfId="0" builtinId="0"/>
    <cellStyle name="Обычный 10" xfId="11"/>
    <cellStyle name="Обычный 12" xfId="13"/>
    <cellStyle name="Обычный 2" xfId="2"/>
    <cellStyle name="Обычный 2 2" xfId="4"/>
    <cellStyle name="Обычный 3" xfId="5"/>
    <cellStyle name="Обычный 4" xfId="6"/>
    <cellStyle name="Обычный 5" xfId="1"/>
    <cellStyle name="Обычный 6" xfId="7"/>
    <cellStyle name="Обычный 7" xfId="8"/>
    <cellStyle name="Обычный 8" xfId="9"/>
    <cellStyle name="Обычный 9" xfId="10"/>
    <cellStyle name="Процентный" xfId="12" builtinId="5"/>
    <cellStyle name="Финансовый" xfId="3" builtinId="3"/>
  </cellStyles>
  <dxfs count="6">
    <dxf>
      <fill>
        <patternFill>
          <bgColor theme="7" tint="0.59996337778862885"/>
        </patternFill>
      </fill>
    </dxf>
    <dxf>
      <fill>
        <patternFill>
          <bgColor theme="7" tint="0.79998168889431442"/>
        </patternFill>
      </fill>
    </dxf>
    <dxf>
      <fill>
        <patternFill>
          <bgColor theme="7" tint="0.39994506668294322"/>
        </patternFill>
      </fill>
    </dxf>
    <dxf>
      <fill>
        <patternFill>
          <bgColor theme="7" tint="0.59996337778862885"/>
        </patternFill>
      </fill>
    </dxf>
    <dxf>
      <fill>
        <patternFill>
          <bgColor theme="7" tint="0.79998168889431442"/>
        </patternFill>
      </fill>
    </dxf>
    <dxf>
      <fill>
        <patternFill>
          <bgColor theme="7"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Цена/Площадь</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1.665980186236226E-2"/>
                  <c:y val="-5.794024801223554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EE6-4127-B55C-34930137D317}"/>
                </c:ex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power"/>
            <c:dispRSqr val="1"/>
            <c:dispEq val="1"/>
            <c:trendlineLbl>
              <c:layout>
                <c:manualLayout>
                  <c:x val="-7.7964718753941089E-3"/>
                  <c:y val="0.17788647648207689"/>
                </c:manualLayout>
              </c:layout>
              <c:numFmt formatCode="#,##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rendlineLbl>
          </c:trendline>
          <c:xVal>
            <c:numRef>
              <c:f>Поправки!$I$2:$I$9</c:f>
              <c:numCache>
                <c:formatCode>General</c:formatCode>
                <c:ptCount val="8"/>
                <c:pt idx="0">
                  <c:v>11703</c:v>
                </c:pt>
                <c:pt idx="1">
                  <c:v>25000</c:v>
                </c:pt>
                <c:pt idx="2">
                  <c:v>49700</c:v>
                </c:pt>
                <c:pt idx="3">
                  <c:v>74400</c:v>
                </c:pt>
                <c:pt idx="4">
                  <c:v>99100</c:v>
                </c:pt>
                <c:pt idx="5">
                  <c:v>123800</c:v>
                </c:pt>
                <c:pt idx="6">
                  <c:v>148500</c:v>
                </c:pt>
                <c:pt idx="7">
                  <c:v>173200</c:v>
                </c:pt>
              </c:numCache>
            </c:numRef>
          </c:xVal>
          <c:yVal>
            <c:numRef>
              <c:f>Поправки!$L$2:$L$9</c:f>
              <c:numCache>
                <c:formatCode>0.0000</c:formatCode>
                <c:ptCount val="8"/>
                <c:pt idx="0">
                  <c:v>0.9909</c:v>
                </c:pt>
                <c:pt idx="1">
                  <c:v>0.95020000000000004</c:v>
                </c:pt>
                <c:pt idx="2">
                  <c:v>0.9173</c:v>
                </c:pt>
                <c:pt idx="3">
                  <c:v>0.89959999999999996</c:v>
                </c:pt>
                <c:pt idx="4">
                  <c:v>0.88759999999999994</c:v>
                </c:pt>
                <c:pt idx="5">
                  <c:v>0.87860000000000005</c:v>
                </c:pt>
                <c:pt idx="6">
                  <c:v>0.87150000000000005</c:v>
                </c:pt>
                <c:pt idx="7">
                  <c:v>0.86560000000000004</c:v>
                </c:pt>
              </c:numCache>
            </c:numRef>
          </c:yVal>
          <c:smooth val="0"/>
          <c:extLst xmlns:c16r2="http://schemas.microsoft.com/office/drawing/2015/06/chart">
            <c:ext xmlns:c16="http://schemas.microsoft.com/office/drawing/2014/chart" uri="{C3380CC4-5D6E-409C-BE32-E72D297353CC}">
              <c16:uniqueId val="{00000001-CEE6-4127-B55C-34930137D317}"/>
            </c:ext>
          </c:extLst>
        </c:ser>
        <c:dLbls>
          <c:dLblPos val="t"/>
          <c:showLegendKey val="0"/>
          <c:showVal val="1"/>
          <c:showCatName val="0"/>
          <c:showSerName val="0"/>
          <c:showPercent val="0"/>
          <c:showBubbleSize val="0"/>
        </c:dLbls>
        <c:axId val="1884368048"/>
        <c:axId val="1884363152"/>
      </c:scatterChart>
      <c:valAx>
        <c:axId val="18843680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ru-RU"/>
                  <a:t>Площадь,</a:t>
                </a:r>
                <a:r>
                  <a:rPr lang="ru-RU" baseline="0"/>
                  <a:t> м2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84363152"/>
        <c:crosses val="autoZero"/>
        <c:crossBetween val="midCat"/>
      </c:valAx>
      <c:valAx>
        <c:axId val="1884363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ru-RU"/>
                  <a:t>Поправочный коэффициент</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843680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Цена/Расстояние до метро</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power"/>
            <c:dispRSqr val="1"/>
            <c:dispEq val="1"/>
            <c:trendlineLbl>
              <c:layout>
                <c:manualLayout>
                  <c:x val="0.1462825481322276"/>
                  <c:y val="-0.38630613991703455"/>
                </c:manualLayout>
              </c:layout>
              <c:numFmt formatCode="#,##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rendlineLbl>
          </c:trendline>
          <c:xVal>
            <c:numRef>
              <c:f>Поправки!$N$2:$N$9</c:f>
              <c:numCache>
                <c:formatCode>General</c:formatCode>
                <c:ptCount val="8"/>
                <c:pt idx="0">
                  <c:v>6.8000000000000005E-2</c:v>
                </c:pt>
                <c:pt idx="1">
                  <c:v>3</c:v>
                </c:pt>
                <c:pt idx="2">
                  <c:v>5.9320000000000004</c:v>
                </c:pt>
                <c:pt idx="3">
                  <c:v>8.8640000000000008</c:v>
                </c:pt>
                <c:pt idx="4">
                  <c:v>11.795999999999999</c:v>
                </c:pt>
                <c:pt idx="5">
                  <c:v>14.728</c:v>
                </c:pt>
                <c:pt idx="6">
                  <c:v>17.66</c:v>
                </c:pt>
                <c:pt idx="7">
                  <c:v>20.591999999999999</c:v>
                </c:pt>
              </c:numCache>
            </c:numRef>
          </c:xVal>
          <c:yVal>
            <c:numRef>
              <c:f>Поправки!$Q$2:$Q$9</c:f>
              <c:numCache>
                <c:formatCode>0.0000</c:formatCode>
                <c:ptCount val="8"/>
                <c:pt idx="0">
                  <c:v>1.0165</c:v>
                </c:pt>
                <c:pt idx="1">
                  <c:v>0.99350000000000005</c:v>
                </c:pt>
                <c:pt idx="2">
                  <c:v>0.98960000000000004</c:v>
                </c:pt>
                <c:pt idx="3">
                  <c:v>0.98719999999999997</c:v>
                </c:pt>
                <c:pt idx="4">
                  <c:v>0.98560000000000003</c:v>
                </c:pt>
                <c:pt idx="5">
                  <c:v>0.98440000000000005</c:v>
                </c:pt>
                <c:pt idx="6">
                  <c:v>0.98329999999999995</c:v>
                </c:pt>
                <c:pt idx="7">
                  <c:v>0.98250000000000004</c:v>
                </c:pt>
              </c:numCache>
            </c:numRef>
          </c:yVal>
          <c:smooth val="0"/>
          <c:extLst xmlns:c16r2="http://schemas.microsoft.com/office/drawing/2015/06/chart">
            <c:ext xmlns:c16="http://schemas.microsoft.com/office/drawing/2014/chart" uri="{C3380CC4-5D6E-409C-BE32-E72D297353CC}">
              <c16:uniqueId val="{00000000-7C8A-4F74-87E3-51FAF74AA5E2}"/>
            </c:ext>
          </c:extLst>
        </c:ser>
        <c:dLbls>
          <c:dLblPos val="t"/>
          <c:showLegendKey val="0"/>
          <c:showVal val="1"/>
          <c:showCatName val="0"/>
          <c:showSerName val="0"/>
          <c:showPercent val="0"/>
          <c:showBubbleSize val="0"/>
        </c:dLbls>
        <c:axId val="1884370224"/>
        <c:axId val="1884362064"/>
      </c:scatterChart>
      <c:valAx>
        <c:axId val="18843702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ru-RU"/>
                  <a:t>Расстояние до метро, км</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84362064"/>
        <c:crosses val="autoZero"/>
        <c:crossBetween val="midCat"/>
      </c:valAx>
      <c:valAx>
        <c:axId val="1884362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ru-RU"/>
                  <a:t>Поправочный коэффициент</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843702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Цена/Расстояние до остановок</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power"/>
            <c:dispRSqr val="1"/>
            <c:dispEq val="1"/>
            <c:trendlineLbl>
              <c:layout>
                <c:manualLayout>
                  <c:x val="0.1462825481322276"/>
                  <c:y val="-0.38630613991703455"/>
                </c:manualLayout>
              </c:layout>
              <c:numFmt formatCode="#,##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rendlineLbl>
          </c:trendline>
          <c:xVal>
            <c:numRef>
              <c:f>Поправки!$S$2:$S$9</c:f>
              <c:numCache>
                <c:formatCode>General</c:formatCode>
                <c:ptCount val="8"/>
                <c:pt idx="0">
                  <c:v>1.0999999999999999E-2</c:v>
                </c:pt>
                <c:pt idx="1">
                  <c:v>1.5</c:v>
                </c:pt>
                <c:pt idx="2">
                  <c:v>2.9889999999999999</c:v>
                </c:pt>
                <c:pt idx="3">
                  <c:v>4.4779999999999998</c:v>
                </c:pt>
                <c:pt idx="4">
                  <c:v>5.9669999999999996</c:v>
                </c:pt>
                <c:pt idx="5">
                  <c:v>7.4560000000000004</c:v>
                </c:pt>
                <c:pt idx="6">
                  <c:v>8.9450000000000003</c:v>
                </c:pt>
                <c:pt idx="7">
                  <c:v>10.433999999999999</c:v>
                </c:pt>
              </c:numCache>
            </c:numRef>
          </c:xVal>
          <c:yVal>
            <c:numRef>
              <c:f>Поправки!$V$2:$V$9</c:f>
              <c:numCache>
                <c:formatCode>0.0000</c:formatCode>
                <c:ptCount val="8"/>
                <c:pt idx="0">
                  <c:v>1.0162</c:v>
                </c:pt>
                <c:pt idx="1">
                  <c:v>0.99550000000000005</c:v>
                </c:pt>
                <c:pt idx="2">
                  <c:v>0.99270000000000003</c:v>
                </c:pt>
                <c:pt idx="3">
                  <c:v>0.99109999999999998</c:v>
                </c:pt>
                <c:pt idx="4">
                  <c:v>0.9899</c:v>
                </c:pt>
                <c:pt idx="5">
                  <c:v>0.98899999999999999</c:v>
                </c:pt>
                <c:pt idx="6">
                  <c:v>0.98829999999999996</c:v>
                </c:pt>
                <c:pt idx="7">
                  <c:v>0.98770000000000002</c:v>
                </c:pt>
              </c:numCache>
            </c:numRef>
          </c:yVal>
          <c:smooth val="0"/>
          <c:extLst xmlns:c16r2="http://schemas.microsoft.com/office/drawing/2015/06/chart">
            <c:ext xmlns:c16="http://schemas.microsoft.com/office/drawing/2014/chart" uri="{C3380CC4-5D6E-409C-BE32-E72D297353CC}">
              <c16:uniqueId val="{00000000-549E-465B-8EDC-E653C3346625}"/>
            </c:ext>
          </c:extLst>
        </c:ser>
        <c:dLbls>
          <c:dLblPos val="t"/>
          <c:showLegendKey val="0"/>
          <c:showVal val="1"/>
          <c:showCatName val="0"/>
          <c:showSerName val="0"/>
          <c:showPercent val="0"/>
          <c:showBubbleSize val="0"/>
        </c:dLbls>
        <c:axId val="1884372944"/>
        <c:axId val="1884368592"/>
      </c:scatterChart>
      <c:valAx>
        <c:axId val="18843729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ru-RU"/>
                  <a:t>Расстояние до остановок, км</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84368592"/>
        <c:crosses val="autoZero"/>
        <c:crossBetween val="midCat"/>
      </c:valAx>
      <c:valAx>
        <c:axId val="1884368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ru-RU"/>
                  <a:t>Поправочный коэффициент</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843729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Цена/Расстояние до дорог</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power"/>
            <c:dispRSqr val="1"/>
            <c:dispEq val="1"/>
            <c:trendlineLbl>
              <c:layout>
                <c:manualLayout>
                  <c:x val="0.1462825481322276"/>
                  <c:y val="-0.38630613991703455"/>
                </c:manualLayout>
              </c:layout>
              <c:numFmt formatCode="#,##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rendlineLbl>
          </c:trendline>
          <c:xVal>
            <c:numRef>
              <c:f>Поправки!$X$2:$X$9</c:f>
              <c:numCache>
                <c:formatCode>0.0000</c:formatCode>
                <c:ptCount val="8"/>
                <c:pt idx="0">
                  <c:v>1E-4</c:v>
                </c:pt>
                <c:pt idx="1">
                  <c:v>7.0000000000000007E-2</c:v>
                </c:pt>
                <c:pt idx="2">
                  <c:v>0.1399</c:v>
                </c:pt>
                <c:pt idx="3">
                  <c:v>0.20979999999999999</c:v>
                </c:pt>
                <c:pt idx="4">
                  <c:v>0.2797</c:v>
                </c:pt>
                <c:pt idx="5">
                  <c:v>0.34960000000000002</c:v>
                </c:pt>
                <c:pt idx="6">
                  <c:v>0.41949999999999998</c:v>
                </c:pt>
                <c:pt idx="7">
                  <c:v>0.4894</c:v>
                </c:pt>
              </c:numCache>
            </c:numRef>
          </c:xVal>
          <c:yVal>
            <c:numRef>
              <c:f>Поправки!$AA$2:$AA$9</c:f>
              <c:numCache>
                <c:formatCode>0.0000</c:formatCode>
                <c:ptCount val="8"/>
                <c:pt idx="0">
                  <c:v>1.0965</c:v>
                </c:pt>
                <c:pt idx="1">
                  <c:v>1.0190999999999999</c:v>
                </c:pt>
                <c:pt idx="2">
                  <c:v>1.0114000000000001</c:v>
                </c:pt>
                <c:pt idx="3">
                  <c:v>1.0069999999999999</c:v>
                </c:pt>
                <c:pt idx="4">
                  <c:v>1.0039</c:v>
                </c:pt>
                <c:pt idx="5">
                  <c:v>1.0015000000000001</c:v>
                </c:pt>
                <c:pt idx="6">
                  <c:v>0.99950000000000006</c:v>
                </c:pt>
                <c:pt idx="7">
                  <c:v>0.99780000000000002</c:v>
                </c:pt>
              </c:numCache>
            </c:numRef>
          </c:yVal>
          <c:smooth val="0"/>
          <c:extLst xmlns:c16r2="http://schemas.microsoft.com/office/drawing/2015/06/chart">
            <c:ext xmlns:c16="http://schemas.microsoft.com/office/drawing/2014/chart" uri="{C3380CC4-5D6E-409C-BE32-E72D297353CC}">
              <c16:uniqueId val="{00000000-F3DE-468C-AB3C-7D3A2660D428}"/>
            </c:ext>
          </c:extLst>
        </c:ser>
        <c:dLbls>
          <c:dLblPos val="t"/>
          <c:showLegendKey val="0"/>
          <c:showVal val="1"/>
          <c:showCatName val="0"/>
          <c:showSerName val="0"/>
          <c:showPercent val="0"/>
          <c:showBubbleSize val="0"/>
        </c:dLbls>
        <c:axId val="1884371856"/>
        <c:axId val="1884366960"/>
      </c:scatterChart>
      <c:valAx>
        <c:axId val="1884371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ru-RU"/>
                  <a:t>Расстояние до дорог, км</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84366960"/>
        <c:crosses val="autoZero"/>
        <c:crossBetween val="midCat"/>
      </c:valAx>
      <c:valAx>
        <c:axId val="1884366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ru-RU"/>
                  <a:t>Поправочный коэффициент</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843718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Цена/Расстояние до центра</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power"/>
            <c:dispRSqr val="1"/>
            <c:dispEq val="1"/>
            <c:trendlineLbl>
              <c:layout>
                <c:manualLayout>
                  <c:x val="0.1462825481322276"/>
                  <c:y val="-0.38630613991703455"/>
                </c:manualLayout>
              </c:layout>
              <c:numFmt formatCode="#,##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rendlineLbl>
          </c:trendline>
          <c:xVal>
            <c:numRef>
              <c:f>Поправки!$X$2:$X$9</c:f>
              <c:numCache>
                <c:formatCode>0.0000</c:formatCode>
                <c:ptCount val="8"/>
                <c:pt idx="0">
                  <c:v>1E-4</c:v>
                </c:pt>
                <c:pt idx="1">
                  <c:v>7.0000000000000007E-2</c:v>
                </c:pt>
                <c:pt idx="2">
                  <c:v>0.1399</c:v>
                </c:pt>
                <c:pt idx="3">
                  <c:v>0.20979999999999999</c:v>
                </c:pt>
                <c:pt idx="4">
                  <c:v>0.2797</c:v>
                </c:pt>
                <c:pt idx="5">
                  <c:v>0.34960000000000002</c:v>
                </c:pt>
                <c:pt idx="6">
                  <c:v>0.41949999999999998</c:v>
                </c:pt>
                <c:pt idx="7">
                  <c:v>0.4894</c:v>
                </c:pt>
              </c:numCache>
            </c:numRef>
          </c:xVal>
          <c:yVal>
            <c:numRef>
              <c:f>Поправки!$AA$2:$AA$9</c:f>
              <c:numCache>
                <c:formatCode>0.0000</c:formatCode>
                <c:ptCount val="8"/>
                <c:pt idx="0">
                  <c:v>1.0965</c:v>
                </c:pt>
                <c:pt idx="1">
                  <c:v>1.0190999999999999</c:v>
                </c:pt>
                <c:pt idx="2">
                  <c:v>1.0114000000000001</c:v>
                </c:pt>
                <c:pt idx="3">
                  <c:v>1.0069999999999999</c:v>
                </c:pt>
                <c:pt idx="4">
                  <c:v>1.0039</c:v>
                </c:pt>
                <c:pt idx="5">
                  <c:v>1.0015000000000001</c:v>
                </c:pt>
                <c:pt idx="6">
                  <c:v>0.99950000000000006</c:v>
                </c:pt>
                <c:pt idx="7">
                  <c:v>0.99780000000000002</c:v>
                </c:pt>
              </c:numCache>
            </c:numRef>
          </c:yVal>
          <c:smooth val="0"/>
          <c:extLst xmlns:c16r2="http://schemas.microsoft.com/office/drawing/2015/06/chart">
            <c:ext xmlns:c16="http://schemas.microsoft.com/office/drawing/2014/chart" uri="{C3380CC4-5D6E-409C-BE32-E72D297353CC}">
              <c16:uniqueId val="{00000000-4458-419C-B61D-B9093A5B90B6}"/>
            </c:ext>
          </c:extLst>
        </c:ser>
        <c:dLbls>
          <c:dLblPos val="t"/>
          <c:showLegendKey val="0"/>
          <c:showVal val="1"/>
          <c:showCatName val="0"/>
          <c:showSerName val="0"/>
          <c:showPercent val="0"/>
          <c:showBubbleSize val="0"/>
        </c:dLbls>
        <c:axId val="1884372400"/>
        <c:axId val="1884374032"/>
      </c:scatterChart>
      <c:valAx>
        <c:axId val="18843724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ru-RU"/>
                  <a:t>Расстояние до центра, км</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84374032"/>
        <c:crosses val="autoZero"/>
        <c:crossBetween val="midCat"/>
      </c:valAx>
      <c:valAx>
        <c:axId val="1884374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ru-RU"/>
                  <a:t>Поправочный коэффициент</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843724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Ценовой пояс</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Поправки!$B$48:$B$52</c:f>
              <c:strCache>
                <c:ptCount val="5"/>
                <c:pt idx="0">
                  <c:v>Пояс 2</c:v>
                </c:pt>
                <c:pt idx="1">
                  <c:v>Пояс 3</c:v>
                </c:pt>
                <c:pt idx="2">
                  <c:v>Пояс 4</c:v>
                </c:pt>
                <c:pt idx="3">
                  <c:v>Пояс 1</c:v>
                </c:pt>
                <c:pt idx="4">
                  <c:v>Центр</c:v>
                </c:pt>
              </c:strCache>
            </c:strRef>
          </c:cat>
          <c:val>
            <c:numRef>
              <c:f>Поправки!$D$48:$D$52</c:f>
              <c:numCache>
                <c:formatCode>0.0000</c:formatCode>
                <c:ptCount val="5"/>
                <c:pt idx="0">
                  <c:v>0.70740000000000003</c:v>
                </c:pt>
                <c:pt idx="1">
                  <c:v>0.64959999999999996</c:v>
                </c:pt>
                <c:pt idx="2">
                  <c:v>0.56869999999999998</c:v>
                </c:pt>
                <c:pt idx="3">
                  <c:v>0.82940000000000003</c:v>
                </c:pt>
                <c:pt idx="4">
                  <c:v>1</c:v>
                </c:pt>
              </c:numCache>
            </c:numRef>
          </c:val>
          <c:extLst xmlns:c16r2="http://schemas.microsoft.com/office/drawing/2015/06/chart">
            <c:ext xmlns:c16="http://schemas.microsoft.com/office/drawing/2014/chart" uri="{C3380CC4-5D6E-409C-BE32-E72D297353CC}">
              <c16:uniqueId val="{00000000-8B03-4338-A3C7-4291D7E5E625}"/>
            </c:ext>
          </c:extLst>
        </c:ser>
        <c:dLbls>
          <c:dLblPos val="outEnd"/>
          <c:showLegendKey val="0"/>
          <c:showVal val="1"/>
          <c:showCatName val="0"/>
          <c:showSerName val="0"/>
          <c:showPercent val="0"/>
          <c:showBubbleSize val="0"/>
        </c:dLbls>
        <c:gapWidth val="219"/>
        <c:overlap val="-27"/>
        <c:axId val="1884367504"/>
        <c:axId val="1884364240"/>
      </c:barChart>
      <c:catAx>
        <c:axId val="188436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84364240"/>
        <c:crosses val="autoZero"/>
        <c:auto val="1"/>
        <c:lblAlgn val="ctr"/>
        <c:lblOffset val="100"/>
        <c:noMultiLvlLbl val="0"/>
      </c:catAx>
      <c:valAx>
        <c:axId val="1884364240"/>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8436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Электроснабжение</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Поправки!$B$42:$B$43</c:f>
              <c:strCache>
                <c:ptCount val="2"/>
                <c:pt idx="0">
                  <c:v>Отсутствие электроснабжения</c:v>
                </c:pt>
                <c:pt idx="1">
                  <c:v>Наличие электроснабжения</c:v>
                </c:pt>
              </c:strCache>
            </c:strRef>
          </c:cat>
          <c:val>
            <c:numRef>
              <c:f>Поправки!$D$42:$D$43</c:f>
              <c:numCache>
                <c:formatCode>0.0000</c:formatCode>
                <c:ptCount val="2"/>
                <c:pt idx="0">
                  <c:v>1</c:v>
                </c:pt>
                <c:pt idx="1">
                  <c:v>1.127</c:v>
                </c:pt>
              </c:numCache>
            </c:numRef>
          </c:val>
          <c:extLst xmlns:c16r2="http://schemas.microsoft.com/office/drawing/2015/06/chart">
            <c:ext xmlns:c16="http://schemas.microsoft.com/office/drawing/2014/chart" uri="{C3380CC4-5D6E-409C-BE32-E72D297353CC}">
              <c16:uniqueId val="{00000000-B8B3-45CE-ACE8-86B17C20A5C5}"/>
            </c:ext>
          </c:extLst>
        </c:ser>
        <c:dLbls>
          <c:dLblPos val="outEnd"/>
          <c:showLegendKey val="0"/>
          <c:showVal val="1"/>
          <c:showCatName val="0"/>
          <c:showSerName val="0"/>
          <c:showPercent val="0"/>
          <c:showBubbleSize val="0"/>
        </c:dLbls>
        <c:gapWidth val="219"/>
        <c:overlap val="-27"/>
        <c:axId val="1884362608"/>
        <c:axId val="1884363696"/>
      </c:barChart>
      <c:catAx>
        <c:axId val="188436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84363696"/>
        <c:crosses val="autoZero"/>
        <c:auto val="1"/>
        <c:lblAlgn val="ctr"/>
        <c:lblOffset val="100"/>
        <c:noMultiLvlLbl val="0"/>
      </c:catAx>
      <c:valAx>
        <c:axId val="1884363696"/>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84362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Водоотведение</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Поправки!$B$44:$B$45</c:f>
              <c:strCache>
                <c:ptCount val="2"/>
                <c:pt idx="0">
                  <c:v>Отсутствие водоотведения</c:v>
                </c:pt>
                <c:pt idx="1">
                  <c:v>Наличие водоотведения</c:v>
                </c:pt>
              </c:strCache>
            </c:strRef>
          </c:cat>
          <c:val>
            <c:numRef>
              <c:f>Поправки!$D$44:$D$45</c:f>
              <c:numCache>
                <c:formatCode>0.0000</c:formatCode>
                <c:ptCount val="2"/>
                <c:pt idx="0">
                  <c:v>1</c:v>
                </c:pt>
                <c:pt idx="1">
                  <c:v>1.0757000000000001</c:v>
                </c:pt>
              </c:numCache>
            </c:numRef>
          </c:val>
          <c:extLst xmlns:c16r2="http://schemas.microsoft.com/office/drawing/2015/06/chart">
            <c:ext xmlns:c16="http://schemas.microsoft.com/office/drawing/2014/chart" uri="{C3380CC4-5D6E-409C-BE32-E72D297353CC}">
              <c16:uniqueId val="{00000000-E6D6-46A4-B36F-36AAC82330AA}"/>
            </c:ext>
          </c:extLst>
        </c:ser>
        <c:dLbls>
          <c:dLblPos val="outEnd"/>
          <c:showLegendKey val="0"/>
          <c:showVal val="1"/>
          <c:showCatName val="0"/>
          <c:showSerName val="0"/>
          <c:showPercent val="0"/>
          <c:showBubbleSize val="0"/>
        </c:dLbls>
        <c:gapWidth val="219"/>
        <c:overlap val="-27"/>
        <c:axId val="1884364784"/>
        <c:axId val="1884374576"/>
      </c:barChart>
      <c:catAx>
        <c:axId val="188436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84374576"/>
        <c:crosses val="autoZero"/>
        <c:auto val="1"/>
        <c:lblAlgn val="ctr"/>
        <c:lblOffset val="100"/>
        <c:noMultiLvlLbl val="0"/>
      </c:catAx>
      <c:valAx>
        <c:axId val="1884374576"/>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84364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Теплоснабжение</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Поправки!$B$46:$B$47</c:f>
              <c:strCache>
                <c:ptCount val="2"/>
                <c:pt idx="0">
                  <c:v>Отсутствие теплоснабжения</c:v>
                </c:pt>
                <c:pt idx="1">
                  <c:v>Наличие теплоснабжения</c:v>
                </c:pt>
              </c:strCache>
            </c:strRef>
          </c:cat>
          <c:val>
            <c:numRef>
              <c:f>Поправки!$D$46:$D$47</c:f>
              <c:numCache>
                <c:formatCode>0.0000</c:formatCode>
                <c:ptCount val="2"/>
                <c:pt idx="0">
                  <c:v>1</c:v>
                </c:pt>
                <c:pt idx="1">
                  <c:v>1.1234</c:v>
                </c:pt>
              </c:numCache>
            </c:numRef>
          </c:val>
          <c:extLst xmlns:c16r2="http://schemas.microsoft.com/office/drawing/2015/06/chart">
            <c:ext xmlns:c16="http://schemas.microsoft.com/office/drawing/2014/chart" uri="{C3380CC4-5D6E-409C-BE32-E72D297353CC}">
              <c16:uniqueId val="{00000000-7120-42EF-A72D-3434B09901F4}"/>
            </c:ext>
          </c:extLst>
        </c:ser>
        <c:dLbls>
          <c:dLblPos val="outEnd"/>
          <c:showLegendKey val="0"/>
          <c:showVal val="1"/>
          <c:showCatName val="0"/>
          <c:showSerName val="0"/>
          <c:showPercent val="0"/>
          <c:showBubbleSize val="0"/>
        </c:dLbls>
        <c:gapWidth val="219"/>
        <c:overlap val="-27"/>
        <c:axId val="1884365328"/>
        <c:axId val="1653540752"/>
      </c:barChart>
      <c:catAx>
        <c:axId val="188436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53540752"/>
        <c:crosses val="autoZero"/>
        <c:auto val="1"/>
        <c:lblAlgn val="ctr"/>
        <c:lblOffset val="100"/>
        <c:noMultiLvlLbl val="0"/>
      </c:catAx>
      <c:valAx>
        <c:axId val="1653540752"/>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84365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Сегмент</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Поправки!$B$40:$B$41</c:f>
              <c:strCache>
                <c:ptCount val="2"/>
                <c:pt idx="0">
                  <c:v>3. СЕГМЕНТ "Общественное использование"</c:v>
                </c:pt>
                <c:pt idx="1">
                  <c:v>4. СЕГМЕНТ "Предпринимательство"</c:v>
                </c:pt>
              </c:strCache>
            </c:strRef>
          </c:cat>
          <c:val>
            <c:numRef>
              <c:f>Поправки!$D$40:$D$41</c:f>
              <c:numCache>
                <c:formatCode>0.0000</c:formatCode>
                <c:ptCount val="2"/>
                <c:pt idx="0">
                  <c:v>1</c:v>
                </c:pt>
                <c:pt idx="1">
                  <c:v>1.0954999999999999</c:v>
                </c:pt>
              </c:numCache>
            </c:numRef>
          </c:val>
          <c:extLst xmlns:c16r2="http://schemas.microsoft.com/office/drawing/2015/06/chart">
            <c:ext xmlns:c16="http://schemas.microsoft.com/office/drawing/2014/chart" uri="{C3380CC4-5D6E-409C-BE32-E72D297353CC}">
              <c16:uniqueId val="{00000000-BECC-4621-B961-CD16570F4986}"/>
            </c:ext>
          </c:extLst>
        </c:ser>
        <c:dLbls>
          <c:dLblPos val="outEnd"/>
          <c:showLegendKey val="0"/>
          <c:showVal val="1"/>
          <c:showCatName val="0"/>
          <c:showSerName val="0"/>
          <c:showPercent val="0"/>
          <c:showBubbleSize val="0"/>
        </c:dLbls>
        <c:gapWidth val="219"/>
        <c:overlap val="-27"/>
        <c:axId val="1653541296"/>
        <c:axId val="1652591072"/>
      </c:barChart>
      <c:catAx>
        <c:axId val="165354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52591072"/>
        <c:crosses val="autoZero"/>
        <c:auto val="1"/>
        <c:lblAlgn val="ctr"/>
        <c:lblOffset val="100"/>
        <c:noMultiLvlLbl val="0"/>
      </c:catAx>
      <c:valAx>
        <c:axId val="1652591072"/>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53541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26</xdr:col>
      <xdr:colOff>571499</xdr:colOff>
      <xdr:row>47</xdr:row>
      <xdr:rowOff>173182</xdr:rowOff>
    </xdr:from>
    <xdr:to>
      <xdr:col>35</xdr:col>
      <xdr:colOff>190499</xdr:colOff>
      <xdr:row>67</xdr:row>
      <xdr:rowOff>0</xdr:rowOff>
    </xdr:to>
    <xdr:graphicFrame macro="">
      <xdr:nvGraphicFramePr>
        <xdr:cNvPr id="2" name="Диаграмма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43</xdr:col>
      <xdr:colOff>51955</xdr:colOff>
      <xdr:row>0</xdr:row>
      <xdr:rowOff>103909</xdr:rowOff>
    </xdr:from>
    <xdr:to>
      <xdr:col>50</xdr:col>
      <xdr:colOff>174915</xdr:colOff>
      <xdr:row>12</xdr:row>
      <xdr:rowOff>51955</xdr:rowOff>
    </xdr:to>
    <xdr:graphicFrame macro="">
      <xdr:nvGraphicFramePr>
        <xdr:cNvPr id="3" name="Диаграмма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107758</xdr:colOff>
      <xdr:row>7</xdr:row>
      <xdr:rowOff>32519</xdr:rowOff>
    </xdr:from>
    <xdr:to>
      <xdr:col>39</xdr:col>
      <xdr:colOff>242455</xdr:colOff>
      <xdr:row>19</xdr:row>
      <xdr:rowOff>138545</xdr:rowOff>
    </xdr:to>
    <xdr:graphicFrame macro="">
      <xdr:nvGraphicFramePr>
        <xdr:cNvPr id="4" name="Диаграмма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43</xdr:col>
      <xdr:colOff>346364</xdr:colOff>
      <xdr:row>13</xdr:row>
      <xdr:rowOff>34636</xdr:rowOff>
    </xdr:from>
    <xdr:to>
      <xdr:col>50</xdr:col>
      <xdr:colOff>307685</xdr:colOff>
      <xdr:row>24</xdr:row>
      <xdr:rowOff>173182</xdr:rowOff>
    </xdr:to>
    <xdr:graphicFrame macro="">
      <xdr:nvGraphicFramePr>
        <xdr:cNvPr id="5" name="Диаграмма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46</xdr:col>
      <xdr:colOff>415637</xdr:colOff>
      <xdr:row>26</xdr:row>
      <xdr:rowOff>150090</xdr:rowOff>
    </xdr:from>
    <xdr:to>
      <xdr:col>54</xdr:col>
      <xdr:colOff>87360</xdr:colOff>
      <xdr:row>46</xdr:row>
      <xdr:rowOff>173181</xdr:rowOff>
    </xdr:to>
    <xdr:graphicFrame macro="">
      <xdr:nvGraphicFramePr>
        <xdr:cNvPr id="6" name="Диаграмма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450273</xdr:colOff>
      <xdr:row>48</xdr:row>
      <xdr:rowOff>173182</xdr:rowOff>
    </xdr:from>
    <xdr:to>
      <xdr:col>46</xdr:col>
      <xdr:colOff>379077</xdr:colOff>
      <xdr:row>68</xdr:row>
      <xdr:rowOff>0</xdr:rowOff>
    </xdr:to>
    <xdr:graphicFrame macro="">
      <xdr:nvGraphicFramePr>
        <xdr:cNvPr id="7" name="Диаграмма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259773</xdr:colOff>
      <xdr:row>30</xdr:row>
      <xdr:rowOff>0</xdr:rowOff>
    </xdr:from>
    <xdr:to>
      <xdr:col>38</xdr:col>
      <xdr:colOff>56766</xdr:colOff>
      <xdr:row>46</xdr:row>
      <xdr:rowOff>103909</xdr:rowOff>
    </xdr:to>
    <xdr:graphicFrame macro="">
      <xdr:nvGraphicFramePr>
        <xdr:cNvPr id="8" name="Диаграмма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346363</xdr:colOff>
      <xdr:row>30</xdr:row>
      <xdr:rowOff>173182</xdr:rowOff>
    </xdr:from>
    <xdr:to>
      <xdr:col>30</xdr:col>
      <xdr:colOff>413714</xdr:colOff>
      <xdr:row>47</xdr:row>
      <xdr:rowOff>0</xdr:rowOff>
    </xdr:to>
    <xdr:graphicFrame macro="">
      <xdr:nvGraphicFramePr>
        <xdr:cNvPr id="9" name="Диаграмма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39</xdr:col>
      <xdr:colOff>69272</xdr:colOff>
      <xdr:row>26</xdr:row>
      <xdr:rowOff>173181</xdr:rowOff>
    </xdr:from>
    <xdr:to>
      <xdr:col>45</xdr:col>
      <xdr:colOff>593630</xdr:colOff>
      <xdr:row>44</xdr:row>
      <xdr:rowOff>173182</xdr:rowOff>
    </xdr:to>
    <xdr:graphicFrame macro="">
      <xdr:nvGraphicFramePr>
        <xdr:cNvPr id="10" name="Диаграмма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207819</xdr:colOff>
      <xdr:row>34</xdr:row>
      <xdr:rowOff>103909</xdr:rowOff>
    </xdr:from>
    <xdr:to>
      <xdr:col>23</xdr:col>
      <xdr:colOff>829350</xdr:colOff>
      <xdr:row>50</xdr:row>
      <xdr:rowOff>86591</xdr:rowOff>
    </xdr:to>
    <xdr:graphicFrame macro="">
      <xdr:nvGraphicFramePr>
        <xdr:cNvPr id="11" name="Диаграмма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name="Тема Office">
  <a:themeElements>
    <a:clrScheme name="Аспект">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G5"/>
  <sheetViews>
    <sheetView zoomScaleNormal="100" workbookViewId="0">
      <pane ySplit="3" topLeftCell="A4" activePane="bottomLeft" state="frozen"/>
      <selection activeCell="BS1" sqref="BS1"/>
      <selection pane="bottomLeft" activeCell="B4" sqref="B4:B5"/>
    </sheetView>
  </sheetViews>
  <sheetFormatPr defaultRowHeight="15" x14ac:dyDescent="0.25"/>
  <cols>
    <col min="1" max="13" width="20.42578125" customWidth="1"/>
    <col min="14" max="15" width="31.7109375" customWidth="1"/>
    <col min="16" max="18" width="20.42578125" customWidth="1"/>
    <col min="19" max="21" width="31" customWidth="1"/>
    <col min="22" max="66" width="20.42578125" customWidth="1"/>
    <col min="67" max="67" width="22.28515625" customWidth="1"/>
    <col min="68" max="77" width="22.5703125" customWidth="1"/>
    <col min="78" max="89" width="22" customWidth="1"/>
    <col min="90" max="91" width="12.42578125" customWidth="1"/>
    <col min="92" max="95" width="26.42578125" customWidth="1"/>
    <col min="96" max="96" width="69.28515625" customWidth="1"/>
    <col min="97" max="98" width="18.85546875" customWidth="1"/>
    <col min="99" max="99" width="16.5703125" customWidth="1"/>
    <col min="100" max="101" width="12.42578125" customWidth="1"/>
    <col min="102" max="105" width="9.140625" customWidth="1"/>
    <col min="106" max="106" width="12.85546875" customWidth="1"/>
    <col min="107" max="111" width="9.140625" customWidth="1"/>
    <col min="112" max="112" width="32" bestFit="1" customWidth="1"/>
    <col min="113" max="114" width="9.140625" customWidth="1"/>
    <col min="115" max="116" width="21.85546875" customWidth="1"/>
    <col min="117" max="117" width="27.5703125" customWidth="1"/>
    <col min="118" max="119" width="9.140625" customWidth="1"/>
    <col min="120" max="120" width="10.5703125" customWidth="1"/>
    <col min="121" max="121" width="17.85546875" customWidth="1"/>
    <col min="122" max="122" width="15" customWidth="1"/>
    <col min="123" max="145" width="20.42578125" style="63" customWidth="1"/>
    <col min="146" max="154" width="20.42578125" customWidth="1"/>
    <col min="160" max="160" width="16.42578125" customWidth="1"/>
    <col min="161" max="163" width="16.7109375" customWidth="1"/>
  </cols>
  <sheetData>
    <row r="1" spans="1:163" s="2" customFormat="1" ht="76.5" x14ac:dyDescent="0.25">
      <c r="A1" s="116" t="s">
        <v>0</v>
      </c>
      <c r="B1" s="116" t="s">
        <v>1</v>
      </c>
      <c r="C1" s="116" t="s">
        <v>2</v>
      </c>
      <c r="D1" s="116" t="s">
        <v>3</v>
      </c>
      <c r="E1" s="116" t="s">
        <v>4</v>
      </c>
      <c r="F1" s="116" t="s">
        <v>5</v>
      </c>
      <c r="G1" s="116" t="s">
        <v>6</v>
      </c>
      <c r="H1" s="116" t="s">
        <v>529</v>
      </c>
      <c r="I1" s="116" t="s">
        <v>7</v>
      </c>
      <c r="J1" s="116" t="s">
        <v>8</v>
      </c>
      <c r="K1" s="116" t="s">
        <v>9</v>
      </c>
      <c r="L1" s="117" t="s">
        <v>10</v>
      </c>
      <c r="M1" s="116" t="s">
        <v>11</v>
      </c>
      <c r="N1" s="117" t="s">
        <v>12</v>
      </c>
      <c r="O1" s="116" t="s">
        <v>13</v>
      </c>
      <c r="P1" s="116" t="s">
        <v>14</v>
      </c>
      <c r="Q1" s="116" t="s">
        <v>15</v>
      </c>
      <c r="R1" s="116" t="s">
        <v>16</v>
      </c>
      <c r="S1" s="116" t="s">
        <v>17</v>
      </c>
      <c r="T1" s="116" t="s">
        <v>18</v>
      </c>
      <c r="U1" s="116" t="s">
        <v>19</v>
      </c>
      <c r="V1" s="116" t="s">
        <v>20</v>
      </c>
      <c r="W1" s="116" t="s">
        <v>21</v>
      </c>
      <c r="X1" s="116" t="s">
        <v>22</v>
      </c>
      <c r="Y1" s="116" t="s">
        <v>23</v>
      </c>
      <c r="Z1" s="116" t="s">
        <v>24</v>
      </c>
      <c r="AA1" s="116" t="s">
        <v>25</v>
      </c>
      <c r="AB1" s="116" t="s">
        <v>26</v>
      </c>
      <c r="AC1" s="116" t="s">
        <v>27</v>
      </c>
      <c r="AD1" s="116" t="s">
        <v>28</v>
      </c>
      <c r="AE1" s="116" t="s">
        <v>29</v>
      </c>
      <c r="AF1" s="116" t="s">
        <v>30</v>
      </c>
      <c r="AG1" s="116" t="s">
        <v>31</v>
      </c>
      <c r="AH1" s="116" t="s">
        <v>32</v>
      </c>
      <c r="AI1" s="116" t="s">
        <v>33</v>
      </c>
      <c r="AJ1" s="116" t="s">
        <v>34</v>
      </c>
      <c r="AK1" s="116" t="s">
        <v>35</v>
      </c>
      <c r="AL1" s="116" t="s">
        <v>36</v>
      </c>
      <c r="AM1" s="116" t="s">
        <v>37</v>
      </c>
      <c r="AN1" s="116" t="s">
        <v>38</v>
      </c>
      <c r="AO1" s="116" t="s">
        <v>39</v>
      </c>
      <c r="AP1" s="116" t="s">
        <v>40</v>
      </c>
      <c r="AQ1" s="116" t="s">
        <v>41</v>
      </c>
      <c r="AR1" s="116" t="s">
        <v>42</v>
      </c>
      <c r="AS1" s="116" t="s">
        <v>43</v>
      </c>
      <c r="AT1" s="116" t="s">
        <v>44</v>
      </c>
      <c r="AU1" s="116" t="s">
        <v>45</v>
      </c>
      <c r="AV1" s="116" t="s">
        <v>575</v>
      </c>
      <c r="AW1" s="116" t="s">
        <v>576</v>
      </c>
      <c r="AX1" s="116" t="s">
        <v>588</v>
      </c>
      <c r="AY1" s="116" t="s">
        <v>589</v>
      </c>
      <c r="AZ1" s="116" t="s">
        <v>590</v>
      </c>
      <c r="BA1" s="116" t="s">
        <v>591</v>
      </c>
      <c r="BB1" s="116" t="s">
        <v>592</v>
      </c>
      <c r="BC1" s="116" t="s">
        <v>593</v>
      </c>
      <c r="BD1" s="116" t="s">
        <v>594</v>
      </c>
      <c r="BE1" s="116" t="s">
        <v>595</v>
      </c>
      <c r="BF1" s="116" t="s">
        <v>596</v>
      </c>
      <c r="BG1" s="116" t="s">
        <v>597</v>
      </c>
      <c r="BH1" s="118" t="s">
        <v>598</v>
      </c>
      <c r="BI1" s="116" t="s">
        <v>599</v>
      </c>
      <c r="BJ1" s="116" t="s">
        <v>600</v>
      </c>
      <c r="BK1" s="116" t="s">
        <v>614</v>
      </c>
      <c r="BL1" s="116" t="s">
        <v>1121</v>
      </c>
      <c r="BM1" s="116" t="s">
        <v>1122</v>
      </c>
      <c r="BP1" s="123" t="s">
        <v>77</v>
      </c>
      <c r="BQ1" s="123"/>
      <c r="BR1" s="123"/>
      <c r="BS1" s="123"/>
      <c r="BT1" s="123"/>
      <c r="BU1" s="123"/>
      <c r="BV1" s="123"/>
      <c r="BW1" s="123"/>
      <c r="BX1" s="123"/>
      <c r="BY1" s="123"/>
      <c r="CA1" s="3" t="s">
        <v>106</v>
      </c>
      <c r="CB1" s="4" t="s">
        <v>107</v>
      </c>
      <c r="CC1" s="3" t="s">
        <v>108</v>
      </c>
      <c r="CD1" s="4" t="s">
        <v>109</v>
      </c>
      <c r="CE1" s="3" t="s">
        <v>110</v>
      </c>
      <c r="CF1" s="4" t="s">
        <v>111</v>
      </c>
      <c r="CG1" s="3" t="s">
        <v>112</v>
      </c>
      <c r="CH1" s="4" t="s">
        <v>113</v>
      </c>
      <c r="CI1" s="3" t="s">
        <v>114</v>
      </c>
      <c r="CJ1" s="4" t="s">
        <v>115</v>
      </c>
      <c r="CK1" s="4" t="s">
        <v>133</v>
      </c>
      <c r="CN1" s="125" t="s">
        <v>136</v>
      </c>
      <c r="CO1" s="125"/>
      <c r="CP1" s="125" t="s">
        <v>139</v>
      </c>
      <c r="CQ1" s="125"/>
      <c r="CT1" s="2">
        <v>8003</v>
      </c>
      <c r="CU1" s="5" t="s">
        <v>134</v>
      </c>
      <c r="CX1" s="126" t="s">
        <v>824</v>
      </c>
      <c r="CY1" s="126"/>
      <c r="CZ1" s="126"/>
      <c r="DA1" s="126"/>
      <c r="DB1" s="126"/>
      <c r="DC1" s="126"/>
      <c r="DD1" s="126"/>
      <c r="DE1" s="126"/>
      <c r="DF1" s="126"/>
      <c r="DG1" s="126"/>
      <c r="DH1" s="126"/>
      <c r="DI1" s="126"/>
      <c r="DJ1" s="126"/>
      <c r="DK1" s="126"/>
      <c r="DL1" s="126"/>
      <c r="DM1" s="126"/>
      <c r="DN1" s="82" t="s">
        <v>867</v>
      </c>
      <c r="DO1" s="82" t="str">
        <f>CONCATENATE("М",RIGHT(CT1,1))</f>
        <v>М3</v>
      </c>
      <c r="DP1" s="84" t="s">
        <v>866</v>
      </c>
      <c r="DQ1" s="82" t="s">
        <v>861</v>
      </c>
      <c r="DR1"/>
      <c r="DS1" s="127" t="s">
        <v>574</v>
      </c>
      <c r="DT1" s="127"/>
      <c r="DU1" s="127"/>
      <c r="DV1" s="127"/>
      <c r="DW1" s="127"/>
      <c r="DX1" s="127"/>
      <c r="DY1" s="127"/>
      <c r="DZ1" s="127"/>
      <c r="EA1" s="127"/>
      <c r="EB1" s="127"/>
      <c r="EC1" s="127"/>
      <c r="ED1" s="127"/>
      <c r="EE1" s="127"/>
      <c r="EF1" s="127"/>
      <c r="EG1" s="127"/>
      <c r="EH1" s="127"/>
      <c r="EI1" s="127"/>
      <c r="EJ1" s="127"/>
      <c r="EK1" s="127"/>
      <c r="EL1" s="127"/>
      <c r="EM1" s="127"/>
      <c r="EN1" s="127"/>
      <c r="EO1" s="127"/>
      <c r="EP1" s="127"/>
      <c r="EQ1" s="127"/>
      <c r="ER1" s="127"/>
      <c r="ES1" s="127"/>
      <c r="ET1" s="127"/>
      <c r="FD1" s="124" t="s">
        <v>856</v>
      </c>
      <c r="FE1" s="101" t="s">
        <v>855</v>
      </c>
      <c r="FF1" s="101" t="s">
        <v>853</v>
      </c>
      <c r="FG1" s="101" t="s">
        <v>852</v>
      </c>
    </row>
    <row r="2" spans="1:163" s="2" customFormat="1" x14ac:dyDescent="0.25">
      <c r="A2" s="116" t="s">
        <v>1123</v>
      </c>
      <c r="B2" s="116" t="s">
        <v>103</v>
      </c>
      <c r="C2" s="116" t="s">
        <v>1124</v>
      </c>
      <c r="D2" s="116" t="s">
        <v>1125</v>
      </c>
      <c r="E2" s="116" t="s">
        <v>1126</v>
      </c>
      <c r="F2" s="116" t="s">
        <v>1127</v>
      </c>
      <c r="G2" s="116" t="s">
        <v>1128</v>
      </c>
      <c r="H2" s="116" t="s">
        <v>1129</v>
      </c>
      <c r="I2" s="116" t="s">
        <v>1130</v>
      </c>
      <c r="J2" s="116" t="s">
        <v>1131</v>
      </c>
      <c r="K2" s="116" t="s">
        <v>1132</v>
      </c>
      <c r="L2" s="117" t="s">
        <v>1133</v>
      </c>
      <c r="M2" s="116" t="s">
        <v>1134</v>
      </c>
      <c r="N2" s="117" t="s">
        <v>100</v>
      </c>
      <c r="O2" s="116" t="s">
        <v>101</v>
      </c>
      <c r="P2" s="116" t="s">
        <v>102</v>
      </c>
      <c r="Q2" s="116" t="s">
        <v>1135</v>
      </c>
      <c r="R2" s="116" t="s">
        <v>1136</v>
      </c>
      <c r="S2" s="116" t="s">
        <v>578</v>
      </c>
      <c r="T2" s="116" t="s">
        <v>868</v>
      </c>
      <c r="U2" s="116" t="s">
        <v>579</v>
      </c>
      <c r="V2" s="116" t="s">
        <v>580</v>
      </c>
      <c r="W2" s="116" t="s">
        <v>581</v>
      </c>
      <c r="X2" s="116" t="s">
        <v>582</v>
      </c>
      <c r="Y2" s="116" t="s">
        <v>583</v>
      </c>
      <c r="Z2" s="116" t="s">
        <v>584</v>
      </c>
      <c r="AA2" s="116" t="s">
        <v>585</v>
      </c>
      <c r="AB2" s="116" t="s">
        <v>586</v>
      </c>
      <c r="AC2" s="116" t="s">
        <v>587</v>
      </c>
      <c r="AD2" s="116" t="s">
        <v>1137</v>
      </c>
      <c r="AE2" s="116" t="s">
        <v>1138</v>
      </c>
      <c r="AF2" s="116" t="s">
        <v>84</v>
      </c>
      <c r="AG2" s="116" t="s">
        <v>86</v>
      </c>
      <c r="AH2" s="116" t="s">
        <v>87</v>
      </c>
      <c r="AI2" s="116" t="s">
        <v>85</v>
      </c>
      <c r="AJ2" s="116" t="s">
        <v>88</v>
      </c>
      <c r="AK2" s="116" t="s">
        <v>89</v>
      </c>
      <c r="AL2" s="116" t="s">
        <v>94</v>
      </c>
      <c r="AM2" s="116" t="s">
        <v>90</v>
      </c>
      <c r="AN2" s="116" t="s">
        <v>91</v>
      </c>
      <c r="AO2" s="116" t="s">
        <v>92</v>
      </c>
      <c r="AP2" s="116" t="s">
        <v>93</v>
      </c>
      <c r="AQ2" s="116" t="s">
        <v>1139</v>
      </c>
      <c r="AR2" s="116" t="s">
        <v>1140</v>
      </c>
      <c r="AS2" s="116" t="s">
        <v>1141</v>
      </c>
      <c r="AT2" s="116" t="s">
        <v>99</v>
      </c>
      <c r="AU2" s="116" t="s">
        <v>1142</v>
      </c>
      <c r="AV2" s="116" t="s">
        <v>1143</v>
      </c>
      <c r="AW2" s="116" t="s">
        <v>1144</v>
      </c>
      <c r="AX2" s="116" t="s">
        <v>601</v>
      </c>
      <c r="AY2" s="116" t="s">
        <v>602</v>
      </c>
      <c r="AZ2" s="116" t="s">
        <v>603</v>
      </c>
      <c r="BA2" s="116" t="s">
        <v>604</v>
      </c>
      <c r="BB2" s="116" t="s">
        <v>605</v>
      </c>
      <c r="BC2" s="116" t="s">
        <v>606</v>
      </c>
      <c r="BD2" s="116" t="s">
        <v>607</v>
      </c>
      <c r="BE2" s="116" t="s">
        <v>608</v>
      </c>
      <c r="BF2" s="116" t="s">
        <v>609</v>
      </c>
      <c r="BG2" s="116" t="s">
        <v>610</v>
      </c>
      <c r="BH2" s="118" t="s">
        <v>611</v>
      </c>
      <c r="BI2" s="116" t="s">
        <v>612</v>
      </c>
      <c r="BJ2" s="116" t="s">
        <v>613</v>
      </c>
      <c r="BK2" s="116" t="s">
        <v>1145</v>
      </c>
      <c r="BL2" s="116" t="s">
        <v>1146</v>
      </c>
      <c r="BM2" s="116" t="s">
        <v>1118</v>
      </c>
      <c r="BN2" s="81"/>
      <c r="BO2" s="81"/>
      <c r="BP2" s="81" t="s">
        <v>84</v>
      </c>
      <c r="BQ2" s="81" t="s">
        <v>85</v>
      </c>
      <c r="BR2" s="81" t="s">
        <v>86</v>
      </c>
      <c r="BS2" s="81" t="s">
        <v>87</v>
      </c>
      <c r="BT2" s="81" t="s">
        <v>88</v>
      </c>
      <c r="BU2" s="81" t="s">
        <v>89</v>
      </c>
      <c r="BV2" s="81" t="s">
        <v>90</v>
      </c>
      <c r="BW2" s="81" t="s">
        <v>91</v>
      </c>
      <c r="BX2" s="81" t="s">
        <v>92</v>
      </c>
      <c r="BY2" s="81" t="s">
        <v>93</v>
      </c>
      <c r="BZ2" s="81"/>
      <c r="CA2" s="81"/>
      <c r="CB2" s="81"/>
      <c r="CC2" s="81"/>
      <c r="CD2" s="81"/>
      <c r="CE2" s="81"/>
      <c r="CF2" s="81" t="s">
        <v>94</v>
      </c>
      <c r="CG2" s="81" t="s">
        <v>95</v>
      </c>
      <c r="CH2" s="81" t="s">
        <v>96</v>
      </c>
      <c r="CI2" s="81" t="s">
        <v>97</v>
      </c>
      <c r="CJ2" s="81" t="s">
        <v>98</v>
      </c>
      <c r="CK2" s="81" t="s">
        <v>99</v>
      </c>
      <c r="CL2" s="81"/>
      <c r="CM2" s="81"/>
      <c r="CN2" s="81"/>
      <c r="CO2" s="81"/>
      <c r="CP2" s="81" t="s">
        <v>100</v>
      </c>
      <c r="CQ2" s="81" t="s">
        <v>101</v>
      </c>
      <c r="CR2" s="81" t="s">
        <v>102</v>
      </c>
      <c r="CS2" s="81" t="s">
        <v>103</v>
      </c>
      <c r="CT2" s="81" t="s">
        <v>104</v>
      </c>
      <c r="CU2" s="81" t="s">
        <v>105</v>
      </c>
      <c r="CV2" s="123" t="s">
        <v>136</v>
      </c>
      <c r="CW2" s="123"/>
      <c r="CX2" s="85"/>
      <c r="CY2" s="85"/>
      <c r="CZ2" s="85"/>
      <c r="DA2" s="85"/>
      <c r="DB2" s="85"/>
      <c r="DC2" s="85"/>
      <c r="DD2" s="85"/>
      <c r="DE2" s="85"/>
      <c r="DF2" s="85"/>
      <c r="DG2" s="85"/>
      <c r="DH2" s="85"/>
      <c r="DI2" s="85"/>
      <c r="DJ2" s="85"/>
      <c r="DK2" s="85"/>
      <c r="DL2" s="85"/>
      <c r="DM2" s="85"/>
      <c r="DN2" s="123" t="s">
        <v>573</v>
      </c>
      <c r="DO2" s="123"/>
      <c r="DP2" s="123"/>
      <c r="DQ2" s="123"/>
      <c r="DR2" s="81"/>
      <c r="DS2" s="107" t="s">
        <v>1</v>
      </c>
      <c r="DT2" s="106" t="s">
        <v>72</v>
      </c>
      <c r="DU2" s="106" t="s">
        <v>75</v>
      </c>
      <c r="DV2" s="106" t="s">
        <v>73</v>
      </c>
      <c r="DW2" s="106" t="s">
        <v>74</v>
      </c>
      <c r="DX2" s="106" t="s">
        <v>79</v>
      </c>
      <c r="DY2" s="106" t="s">
        <v>80</v>
      </c>
      <c r="DZ2" s="106" t="s">
        <v>81</v>
      </c>
      <c r="EA2" s="106" t="s">
        <v>76</v>
      </c>
      <c r="EB2" s="106" t="s">
        <v>82</v>
      </c>
      <c r="EC2" s="106" t="s">
        <v>83</v>
      </c>
      <c r="ED2" s="106" t="s">
        <v>121</v>
      </c>
      <c r="EE2" s="106" t="s">
        <v>122</v>
      </c>
      <c r="EF2" s="106" t="s">
        <v>123</v>
      </c>
      <c r="EG2" s="106" t="s">
        <v>124</v>
      </c>
      <c r="EH2" s="106" t="s">
        <v>125</v>
      </c>
      <c r="EI2" s="106" t="s">
        <v>126</v>
      </c>
      <c r="EJ2" s="108" t="s">
        <v>135</v>
      </c>
      <c r="EK2" s="108" t="s">
        <v>190</v>
      </c>
      <c r="EL2" s="108" t="s">
        <v>132</v>
      </c>
      <c r="EM2" s="108" t="s">
        <v>577</v>
      </c>
      <c r="EN2" s="108" t="s">
        <v>188</v>
      </c>
      <c r="EO2" s="109" t="s">
        <v>588</v>
      </c>
      <c r="EP2" s="107" t="s">
        <v>19</v>
      </c>
      <c r="EQ2" s="106" t="s">
        <v>212</v>
      </c>
      <c r="ER2" s="106" t="s">
        <v>825</v>
      </c>
      <c r="ES2" s="106" t="s">
        <v>210</v>
      </c>
      <c r="ET2" s="106" t="s">
        <v>1119</v>
      </c>
      <c r="EU2" s="109" t="s">
        <v>841</v>
      </c>
      <c r="EV2" s="109" t="s">
        <v>842</v>
      </c>
      <c r="EW2" s="109" t="s">
        <v>854</v>
      </c>
      <c r="EX2" s="106" t="s">
        <v>844</v>
      </c>
      <c r="FD2" s="124"/>
      <c r="FE2" s="113" t="b">
        <f>IF(FE3="ОТСУТСТВУЮТ","-",FE3=ГОТОВ!$AD$1)</f>
        <v>0</v>
      </c>
      <c r="FF2" s="114" t="str">
        <f>IF(FF3="ОТСУТСТВУЮТ","-",FF3='ПЕРЕСЧЕТ НЕ ТРЕБУЕТСЯ'!I1)</f>
        <v>-</v>
      </c>
      <c r="FG2" s="112" t="str">
        <f>IF(FG3="ОТСУТСТВУЮТ","-",FG3=СТОПЛИСТ!E1)</f>
        <v>-</v>
      </c>
    </row>
    <row r="3" spans="1:163" s="7" customFormat="1" ht="105" x14ac:dyDescent="0.25">
      <c r="A3" s="119" t="s">
        <v>1147</v>
      </c>
      <c r="B3" s="119" t="s">
        <v>1147</v>
      </c>
      <c r="C3" s="119" t="s">
        <v>1147</v>
      </c>
      <c r="D3" s="119" t="s">
        <v>1147</v>
      </c>
      <c r="E3" s="119" t="s">
        <v>1147</v>
      </c>
      <c r="F3" s="119" t="s">
        <v>1147</v>
      </c>
      <c r="G3" s="119" t="s">
        <v>1147</v>
      </c>
      <c r="H3" s="119" t="s">
        <v>1147</v>
      </c>
      <c r="I3" s="119" t="s">
        <v>1147</v>
      </c>
      <c r="J3" s="119" t="s">
        <v>1147</v>
      </c>
      <c r="K3" s="119" t="s">
        <v>1147</v>
      </c>
      <c r="L3" s="120" t="s">
        <v>1147</v>
      </c>
      <c r="M3" s="119" t="s">
        <v>1147</v>
      </c>
      <c r="N3" s="120" t="s">
        <v>1147</v>
      </c>
      <c r="O3" s="119" t="s">
        <v>1147</v>
      </c>
      <c r="P3" s="119" t="s">
        <v>1147</v>
      </c>
      <c r="Q3" s="119" t="s">
        <v>1147</v>
      </c>
      <c r="R3" s="119" t="s">
        <v>1147</v>
      </c>
      <c r="S3" s="119" t="s">
        <v>1147</v>
      </c>
      <c r="T3" s="119" t="s">
        <v>1147</v>
      </c>
      <c r="U3" s="119" t="s">
        <v>1147</v>
      </c>
      <c r="V3" s="119" t="s">
        <v>1147</v>
      </c>
      <c r="W3" s="119" t="s">
        <v>1147</v>
      </c>
      <c r="X3" s="119" t="s">
        <v>1147</v>
      </c>
      <c r="Y3" s="119" t="s">
        <v>1147</v>
      </c>
      <c r="Z3" s="119" t="s">
        <v>1147</v>
      </c>
      <c r="AA3" s="119" t="s">
        <v>1147</v>
      </c>
      <c r="AB3" s="119" t="s">
        <v>1147</v>
      </c>
      <c r="AC3" s="119" t="s">
        <v>1147</v>
      </c>
      <c r="AD3" s="119" t="s">
        <v>1147</v>
      </c>
      <c r="AE3" s="119" t="s">
        <v>1147</v>
      </c>
      <c r="AF3" s="119" t="s">
        <v>1147</v>
      </c>
      <c r="AG3" s="119" t="s">
        <v>1147</v>
      </c>
      <c r="AH3" s="119" t="s">
        <v>1147</v>
      </c>
      <c r="AI3" s="119" t="s">
        <v>1147</v>
      </c>
      <c r="AJ3" s="119" t="s">
        <v>1147</v>
      </c>
      <c r="AK3" s="119" t="s">
        <v>1147</v>
      </c>
      <c r="AL3" s="119" t="s">
        <v>1147</v>
      </c>
      <c r="AM3" s="119" t="s">
        <v>1147</v>
      </c>
      <c r="AN3" s="119" t="s">
        <v>1147</v>
      </c>
      <c r="AO3" s="119" t="s">
        <v>1147</v>
      </c>
      <c r="AP3" s="119" t="s">
        <v>1147</v>
      </c>
      <c r="AQ3" s="119" t="s">
        <v>1147</v>
      </c>
      <c r="AR3" s="119" t="s">
        <v>1147</v>
      </c>
      <c r="AS3" s="119" t="s">
        <v>1147</v>
      </c>
      <c r="AT3" s="119" t="s">
        <v>1147</v>
      </c>
      <c r="AU3" s="119" t="s">
        <v>1147</v>
      </c>
      <c r="AV3" s="119" t="s">
        <v>1147</v>
      </c>
      <c r="AW3" s="119" t="s">
        <v>1147</v>
      </c>
      <c r="AX3" s="119" t="s">
        <v>1147</v>
      </c>
      <c r="AY3" s="119" t="s">
        <v>1147</v>
      </c>
      <c r="AZ3" s="119" t="s">
        <v>1147</v>
      </c>
      <c r="BA3" s="119" t="s">
        <v>1147</v>
      </c>
      <c r="BB3" s="119" t="s">
        <v>1147</v>
      </c>
      <c r="BC3" s="119" t="s">
        <v>1147</v>
      </c>
      <c r="BD3" s="119" t="s">
        <v>1147</v>
      </c>
      <c r="BE3" s="119" t="s">
        <v>1147</v>
      </c>
      <c r="BF3" s="119" t="s">
        <v>1147</v>
      </c>
      <c r="BG3" s="119" t="s">
        <v>1147</v>
      </c>
      <c r="BH3" s="121" t="s">
        <v>1147</v>
      </c>
      <c r="BI3" s="119" t="s">
        <v>1147</v>
      </c>
      <c r="BJ3" s="119" t="s">
        <v>1147</v>
      </c>
      <c r="BK3" s="119" t="s">
        <v>1147</v>
      </c>
      <c r="BL3" s="119" t="s">
        <v>1147</v>
      </c>
      <c r="BM3" s="119" t="s">
        <v>1147</v>
      </c>
      <c r="BN3" s="7" t="s">
        <v>568</v>
      </c>
      <c r="BO3" s="7" t="s">
        <v>528</v>
      </c>
      <c r="BP3" s="97" t="s">
        <v>72</v>
      </c>
      <c r="BQ3" s="97" t="s">
        <v>75</v>
      </c>
      <c r="BR3" s="97" t="s">
        <v>73</v>
      </c>
      <c r="BS3" s="97" t="s">
        <v>74</v>
      </c>
      <c r="BT3" s="7" t="s">
        <v>79</v>
      </c>
      <c r="BU3" s="7" t="s">
        <v>80</v>
      </c>
      <c r="BV3" s="97" t="s">
        <v>81</v>
      </c>
      <c r="BW3" s="97" t="s">
        <v>76</v>
      </c>
      <c r="BX3" s="97" t="s">
        <v>82</v>
      </c>
      <c r="BY3" s="97" t="s">
        <v>83</v>
      </c>
      <c r="BZ3" s="7" t="s">
        <v>78</v>
      </c>
      <c r="CA3" s="7" t="s">
        <v>116</v>
      </c>
      <c r="CB3" s="7" t="s">
        <v>117</v>
      </c>
      <c r="CC3" s="7" t="s">
        <v>118</v>
      </c>
      <c r="CD3" s="7" t="s">
        <v>119</v>
      </c>
      <c r="CE3" s="7" t="s">
        <v>120</v>
      </c>
      <c r="CF3" s="7" t="s">
        <v>121</v>
      </c>
      <c r="CG3" s="7" t="s">
        <v>122</v>
      </c>
      <c r="CH3" s="7" t="s">
        <v>123</v>
      </c>
      <c r="CI3" s="7" t="s">
        <v>124</v>
      </c>
      <c r="CJ3" s="7" t="s">
        <v>125</v>
      </c>
      <c r="CK3" s="7" t="s">
        <v>126</v>
      </c>
      <c r="CL3" s="7" t="s">
        <v>135</v>
      </c>
      <c r="CM3" s="7" t="s">
        <v>127</v>
      </c>
      <c r="CN3" s="7" t="s">
        <v>128</v>
      </c>
      <c r="CO3" s="7" t="s">
        <v>129</v>
      </c>
      <c r="CP3" s="90" t="s">
        <v>130</v>
      </c>
      <c r="CQ3" s="90" t="s">
        <v>131</v>
      </c>
      <c r="CR3" s="7" t="s">
        <v>132</v>
      </c>
      <c r="CS3" s="7" t="s">
        <v>137</v>
      </c>
      <c r="CT3" s="7" t="s">
        <v>138</v>
      </c>
      <c r="CU3" s="7">
        <v>0.75</v>
      </c>
      <c r="CV3" s="91">
        <v>0.12</v>
      </c>
      <c r="CW3" s="91">
        <v>13117.78</v>
      </c>
      <c r="CX3" s="7" t="s">
        <v>72</v>
      </c>
      <c r="CY3" s="7" t="s">
        <v>75</v>
      </c>
      <c r="CZ3" s="7" t="s">
        <v>73</v>
      </c>
      <c r="DA3" s="7" t="s">
        <v>74</v>
      </c>
      <c r="DB3" s="7" t="s">
        <v>79</v>
      </c>
      <c r="DC3" s="7" t="s">
        <v>80</v>
      </c>
      <c r="DD3" s="7" t="s">
        <v>81</v>
      </c>
      <c r="DE3" s="7" t="s">
        <v>76</v>
      </c>
      <c r="DF3" s="7" t="s">
        <v>82</v>
      </c>
      <c r="DG3" s="7" t="s">
        <v>83</v>
      </c>
      <c r="DH3" s="7" t="s">
        <v>17</v>
      </c>
      <c r="DI3" s="7" t="s">
        <v>570</v>
      </c>
      <c r="DJ3" s="7" t="s">
        <v>846</v>
      </c>
      <c r="DK3" s="7" t="s">
        <v>130</v>
      </c>
      <c r="DL3" s="7" t="s">
        <v>131</v>
      </c>
      <c r="DM3" s="67" t="s">
        <v>567</v>
      </c>
      <c r="DN3" s="7" t="s">
        <v>569</v>
      </c>
      <c r="DO3" s="7" t="s">
        <v>570</v>
      </c>
      <c r="DP3" s="7" t="s">
        <v>571</v>
      </c>
      <c r="DQ3" s="7" t="s">
        <v>572</v>
      </c>
      <c r="DR3" s="7" t="s">
        <v>826</v>
      </c>
      <c r="DS3" s="111" t="s">
        <v>103</v>
      </c>
      <c r="DT3" s="92" t="s">
        <v>84</v>
      </c>
      <c r="DU3" s="92" t="s">
        <v>85</v>
      </c>
      <c r="DV3" s="92" t="s">
        <v>86</v>
      </c>
      <c r="DW3" s="92" t="s">
        <v>87</v>
      </c>
      <c r="DX3" s="92" t="s">
        <v>88</v>
      </c>
      <c r="DY3" s="92" t="s">
        <v>89</v>
      </c>
      <c r="DZ3" s="92" t="s">
        <v>90</v>
      </c>
      <c r="EA3" s="92" t="s">
        <v>91</v>
      </c>
      <c r="EB3" s="92" t="s">
        <v>92</v>
      </c>
      <c r="EC3" s="92" t="s">
        <v>93</v>
      </c>
      <c r="ED3" s="92" t="s">
        <v>94</v>
      </c>
      <c r="EE3" s="92" t="s">
        <v>95</v>
      </c>
      <c r="EF3" s="92" t="s">
        <v>96</v>
      </c>
      <c r="EG3" s="92" t="s">
        <v>97</v>
      </c>
      <c r="EH3" s="92" t="s">
        <v>98</v>
      </c>
      <c r="EI3" s="92" t="s">
        <v>99</v>
      </c>
      <c r="EJ3" s="92" t="s">
        <v>100</v>
      </c>
      <c r="EK3" s="92" t="s">
        <v>101</v>
      </c>
      <c r="EL3" s="92" t="s">
        <v>102</v>
      </c>
      <c r="EM3" s="92" t="s">
        <v>104</v>
      </c>
      <c r="EN3" s="92" t="s">
        <v>105</v>
      </c>
      <c r="EO3" s="115" t="s">
        <v>601</v>
      </c>
      <c r="EP3" s="110" t="s">
        <v>579</v>
      </c>
      <c r="EQ3" s="110" t="s">
        <v>858</v>
      </c>
      <c r="ER3" s="110" t="s">
        <v>578</v>
      </c>
      <c r="ES3" s="110" t="s">
        <v>868</v>
      </c>
      <c r="ET3" s="110" t="s">
        <v>1118</v>
      </c>
      <c r="EU3"/>
      <c r="EV3"/>
      <c r="EW3"/>
      <c r="EX3"/>
      <c r="FD3" s="124"/>
      <c r="FE3" s="102">
        <f>IF(AND(ГОТОВ!AD1=1,COUNTIF(EO:EO,"ГОТОВ")=0),"ОТСУТСТВУЮТ",COUNTIF(EO:EO,"ГОТОВ")+1)</f>
        <v>3</v>
      </c>
      <c r="FF3" s="103" t="str">
        <f>IF(AND('ПЕРЕСЧЕТ НЕ ТРЕБУЕТСЯ'!I1=1,COUNTIF(EO:EO,"ПЕРЕСЧЕТ НЕ ТРЕБУЕТСЯ")=0),"ОТСУТСТВУЮТ",COUNTIF(EO:EO,"ПЕРЕСЧЕТ НЕ ТРЕБУЕТСЯ")+1)</f>
        <v>ОТСУТСТВУЮТ</v>
      </c>
      <c r="FG3" s="104" t="str">
        <f>IF(AND(СТОПЛИСТ!E1=1,COUNTIF(EO:EO,"СТОПЛИСТ")=0),"ОТСУТСТВУЮТ",COUNTIF(EO:EO,"СТОПЛИСТ")+1)</f>
        <v>ОТСУТСТВУЮТ</v>
      </c>
    </row>
    <row r="4" spans="1:163" x14ac:dyDescent="0.25">
      <c r="A4" s="93">
        <v>2768610</v>
      </c>
      <c r="B4" s="122" t="s">
        <v>1148</v>
      </c>
      <c r="C4" s="122" t="s">
        <v>1149</v>
      </c>
      <c r="D4" s="93">
        <v>6567</v>
      </c>
      <c r="E4" s="122" t="s">
        <v>1150</v>
      </c>
      <c r="F4" s="122" t="s">
        <v>1150</v>
      </c>
      <c r="G4" s="122" t="s">
        <v>1151</v>
      </c>
      <c r="H4" s="122" t="s">
        <v>1152</v>
      </c>
      <c r="I4" s="122" t="s">
        <v>1153</v>
      </c>
      <c r="J4" s="122" t="s">
        <v>1154</v>
      </c>
      <c r="K4" s="122" t="s">
        <v>1152</v>
      </c>
      <c r="L4" s="93">
        <v>9482616.6600000001</v>
      </c>
      <c r="M4" s="122" t="s">
        <v>1155</v>
      </c>
      <c r="N4" s="93">
        <v>1443.98</v>
      </c>
      <c r="O4" s="93">
        <v>9482616.6600000001</v>
      </c>
      <c r="P4" s="122" t="s">
        <v>1156</v>
      </c>
      <c r="Q4" s="93">
        <v>8006</v>
      </c>
      <c r="R4" s="122" t="s">
        <v>1157</v>
      </c>
      <c r="S4" s="122" t="s">
        <v>761</v>
      </c>
      <c r="T4" s="122" t="s">
        <v>1062</v>
      </c>
      <c r="U4" s="122" t="s">
        <v>262</v>
      </c>
      <c r="V4" s="93">
        <v>0</v>
      </c>
      <c r="W4" s="93">
        <v>4.45</v>
      </c>
      <c r="X4" s="93"/>
      <c r="Y4" s="93"/>
      <c r="Z4" s="93"/>
      <c r="AA4" s="93">
        <v>1.9</v>
      </c>
      <c r="AB4" s="93">
        <v>0.18</v>
      </c>
      <c r="AC4" s="122" t="s">
        <v>1158</v>
      </c>
      <c r="AD4" s="93"/>
      <c r="AE4" s="122" t="s">
        <v>1159</v>
      </c>
      <c r="AF4" s="122" t="s">
        <v>1158</v>
      </c>
      <c r="AG4" s="93"/>
      <c r="AH4" s="122" t="s">
        <v>1160</v>
      </c>
      <c r="AI4" s="122" t="s">
        <v>1161</v>
      </c>
      <c r="AJ4" s="122" t="s">
        <v>262</v>
      </c>
      <c r="AK4" s="93">
        <v>6567</v>
      </c>
      <c r="AL4" s="93"/>
      <c r="AM4" s="93"/>
      <c r="AN4" s="93"/>
      <c r="AO4" s="93">
        <v>0</v>
      </c>
      <c r="AP4" s="93"/>
      <c r="AQ4" s="93"/>
      <c r="AR4" s="93"/>
      <c r="AS4" s="93"/>
      <c r="AT4" s="93">
        <v>0</v>
      </c>
      <c r="AU4" s="93"/>
      <c r="AV4" s="93"/>
      <c r="AW4" s="93"/>
      <c r="AX4" s="122" t="s">
        <v>1162</v>
      </c>
      <c r="AY4" s="122" t="s">
        <v>1163</v>
      </c>
      <c r="AZ4" s="122" t="s">
        <v>1164</v>
      </c>
      <c r="BA4" s="122" t="s">
        <v>1163</v>
      </c>
      <c r="BB4" s="122" t="s">
        <v>1163</v>
      </c>
      <c r="BC4" s="122" t="s">
        <v>1164</v>
      </c>
      <c r="BD4" s="122" t="s">
        <v>1164</v>
      </c>
      <c r="BE4" s="122" t="s">
        <v>1163</v>
      </c>
      <c r="BF4" s="93"/>
      <c r="BG4" s="122" t="s">
        <v>1164</v>
      </c>
      <c r="BH4" s="122" t="s">
        <v>64</v>
      </c>
      <c r="BI4" s="122" t="s">
        <v>1165</v>
      </c>
      <c r="BJ4" s="93">
        <v>8003</v>
      </c>
      <c r="BK4" s="122" t="s">
        <v>51</v>
      </c>
      <c r="BL4" s="122" t="s">
        <v>1166</v>
      </c>
      <c r="BM4" s="122" t="s">
        <v>1167</v>
      </c>
      <c r="BN4" t="str">
        <f>IFERROR(VLOOKUP(B4,'Объекты МУГИСО'!$A:$B,2,FALSE),"")</f>
        <v/>
      </c>
      <c r="BO4" s="2" t="str">
        <f>IFERROR(VLOOKUP(BH4,'Коды без коммуникаций'!$C:$C,1,FALSE),"")</f>
        <v/>
      </c>
      <c r="BP4" s="2" t="str">
        <f t="shared" ref="BP4" si="0">IF(B4="","",IF(AF4&lt;&gt;"",AF4,IF(AC4&lt;&gt;"",AC4,"Пояс 2")))</f>
        <v>пояс 1</v>
      </c>
      <c r="BQ4" s="2" t="str">
        <f t="shared" ref="BQ4" si="1">IF(B4="","",IF(AI4&lt;&gt;"",AI4,IF(OR(Y4="отсутствие",Y4="Отсутствие электроснабжения"),"Отсутствие электроснабжения","Наличие электроснабжения")))</f>
        <v>наличие электроснабжения</v>
      </c>
      <c r="BR4" s="2" t="str">
        <f t="shared" ref="BR4" si="2">IF(B4="","",IF(AG4&lt;&gt;"",AG4,IF(OR(BO4&lt;&gt;"",X4="",X4="Отсутствие"),"Отсутствие теплоснабжения","Наличие теплоснабжения")))</f>
        <v>Отсутствие теплоснабжения</v>
      </c>
      <c r="BS4" s="2" t="str">
        <f t="shared" ref="BS4" si="3">IF(B4="","",IF(AH4&lt;&gt;"",AH4,IF(OR(BO4&lt;&gt;"",Z4="",Z4="Отсутствие"),"Отсутствие водоотведения","Наличие водоотведения")))</f>
        <v>отсутствие водоотведения</v>
      </c>
      <c r="BT4" s="2" t="str">
        <f t="shared" ref="BT4" si="4">IF(B4="","",BK4)</f>
        <v>3. СЕГМЕНТ "Общественное использование"</v>
      </c>
      <c r="BU4" s="2">
        <f t="shared" ref="BU4" si="5">IF(B4="","",D4)</f>
        <v>6567</v>
      </c>
      <c r="BV4" s="55">
        <f>IF(B4="","",IF(AM4&lt;&gt;"",AM4,IF(AA4="",VLOOKUP(BP4,Поправки!$AJ$1:$AK$6,2,FALSE),AA4)))</f>
        <v>1.9</v>
      </c>
      <c r="BW4" s="55">
        <f>IF(B4="","",IF(AN4&lt;&gt;"",AN4,IF(AB4="",Поправки!$AO$2,AB4)))</f>
        <v>0.18</v>
      </c>
      <c r="BX4" s="55">
        <f>IF(B4="","",IF(AO4&lt;&gt;"",AO4,IF(BN4=1,0.0001,IF(V4="",Поправки!$AP$2,V4))))</f>
        <v>0</v>
      </c>
      <c r="BY4" s="55">
        <f>IF(B4="","",IF(AP4&lt;&gt;"",AP4,IF(OR(W4&lt;=0,W4=""),VLOOKUP(BP4,Поправки!$AJ$1:$AL$6,3,FALSE),W4)))</f>
        <v>4.45</v>
      </c>
      <c r="BZ4" s="58">
        <f>IF(B4="","",Поправки!$K$21)</f>
        <v>12012.3372</v>
      </c>
      <c r="CA4" s="58">
        <f>IF(B4="","",VLOOKUP(BP4,Поправки!$B$40:$D$52,3,FALSE))</f>
        <v>0.82940000000000003</v>
      </c>
      <c r="CB4" s="58">
        <f>IF(B4="","",VLOOKUP(BQ4,Поправки!$B$40:$D$52,3,FALSE))</f>
        <v>1.127</v>
      </c>
      <c r="CC4" s="58">
        <f>IF(B4="","",VLOOKUP(BR4,Поправки!$B$40:$D$52,3,FALSE))</f>
        <v>1</v>
      </c>
      <c r="CD4" s="58">
        <f>IF(B4="","",VLOOKUP(BS4,Поправки!$B$40:$D$52,3,FALSE))</f>
        <v>1</v>
      </c>
      <c r="CE4" s="58">
        <f>IF(B4="","",VLOOKUP(BT4,Поправки!$B$40:$D$52,3,FALSE))</f>
        <v>1</v>
      </c>
      <c r="CF4" s="58">
        <f>IF(B4="","",IF(BU4&lt;Поправки!$I$11,Поправки!$L$11,ROUND((EXP(11.27070473*LN(BU4)^-0.08418488)^Поправки!$G$1)/Поправки!$K$10,4)))</f>
        <v>1.0257000000000001</v>
      </c>
      <c r="CG4" s="58">
        <f>IF(B4="","",IF(BV4&lt;Поправки!$N$11,Поправки!$Q$11,IF(BV4&gt;Поправки!$N$12,Поправки!$Q$12,ROUND((EXP(9.57779229*0.98667563^LN(BV4))^Поправки!$G$2)/Поправки!$P$10,4))))</f>
        <v>0.99619999999999997</v>
      </c>
      <c r="CH4" s="58">
        <f>IF(B4="","",IF(BW4&gt;Поправки!$S$12,Поправки!$V$12,IF(BW4&lt;Поправки!$S$11,Поправки!$V$11,ROUND((EXP(9.3057995*0.99085691^LN(BW4))^Поправки!$G$3)/Поправки!$U$10,4))))</f>
        <v>1.0042</v>
      </c>
      <c r="CI4" s="54">
        <f>IF(B4="","",IF(BX4&lt;Поправки!$X$11,Поправки!$AA$11,IF(BX4&gt;Поправки!$X$12,Поправки!$AA$12,ROUND((EXP(9.23088404*0.99320482^LN(BX4))^Поправки!$G$4)/Поправки!$Z$10,4))))</f>
        <v>1.0965</v>
      </c>
      <c r="CJ4" s="8">
        <f>IF(B4="","",IF(BY4&lt;Поправки!$AC$11,Поправки!$AF$11,IF(BY4&gt;Поправки!$AC$12,Поправки!$AF$12,ROUND((EXP(9.93943263-0.30296633*LN(BY4))^Поправки!$G$5)/Поправки!$AE$10,4))))</f>
        <v>0.8659</v>
      </c>
      <c r="CK4" s="2">
        <f t="shared" ref="CK4" si="6">IF(B4="","",AT4)</f>
        <v>0</v>
      </c>
      <c r="CL4" s="55">
        <f t="shared" ref="CL4" si="7">IF(B4="","",PRODUCT(BZ4:CJ4))</f>
        <v>10939.033378871867</v>
      </c>
      <c r="CM4" s="55">
        <f t="shared" ref="CM4" si="8">IF(B4="","",ROUND(CL4*$CU$3,2))</f>
        <v>8204.2800000000007</v>
      </c>
      <c r="CN4" s="9">
        <f t="shared" ref="CN4" si="9">IF(B4="","",ROUND(IF(51178*D4^-0.982&lt;$CV$3,$CV$3,IF(51178*D4^-0.982&gt;$CW$3,$CW$3,51178*D4^-0.982)),2))</f>
        <v>9.1300000000000008</v>
      </c>
      <c r="CO4" s="9">
        <f t="shared" ref="CO4" si="10">IF(B4="","",ROUND((CM4*(D4-CK4))/D4,2))</f>
        <v>8204.2800000000007</v>
      </c>
      <c r="CP4" s="60">
        <f t="shared" ref="CP4" si="11">IF(B4="","",IF(CK4=0,CM4,IF(CO4&lt;CN4,CN4,CO4)))</f>
        <v>8204.2800000000007</v>
      </c>
      <c r="CQ4" s="59">
        <f t="shared" ref="CQ4" si="12">IF(B4="","",ROUND(CP4*D4,2))</f>
        <v>53877506.759999998</v>
      </c>
      <c r="CR4" s="2" t="str">
        <f t="shared" ref="CR4" si="13">IF(B4="","",CONCATENATE("СТ16_",DN4,"_",DO4,"_",DP4,"_",DQ4,"_",DR4,"_",EX4))</f>
        <v>СТ16_Ф5_М3_02032021_Мухамедьярова_Графика на 01012020_Измененный</v>
      </c>
      <c r="CS4" s="2" t="str">
        <f t="shared" ref="CS4" si="14">IF(B4="","",B4)</f>
        <v>66:41:0000000:187027</v>
      </c>
      <c r="CT4" s="2">
        <f t="shared" ref="CT4" si="15">IF(B4="","",$CT$1)</f>
        <v>8003</v>
      </c>
      <c r="CU4" t="str">
        <f t="shared" ref="CU4" si="16">IF(B4="","","Наличие уторгования")</f>
        <v>Наличие уторгования</v>
      </c>
      <c r="CV4" s="2"/>
      <c r="CW4" s="2"/>
      <c r="CX4" s="2" t="b">
        <f t="shared" ref="CX4" si="17">IF(A4="","",IF(AF4="","Отсутствуют предыдущие значения",BP4=AF4))</f>
        <v>1</v>
      </c>
      <c r="CY4" s="2" t="b">
        <f t="shared" ref="CY4" si="18">IF(A4="","",IF(AI4="","Отсутствуют предыдущие значения",BQ4=AI4))</f>
        <v>1</v>
      </c>
      <c r="CZ4" s="2" t="str">
        <f t="shared" ref="CZ4" si="19">IF(A4="","",IF(AG4="","Отсутствуют предыдущие значения",BR4=AG4))</f>
        <v>Отсутствуют предыдущие значения</v>
      </c>
      <c r="DA4" s="2" t="b">
        <f t="shared" ref="DA4" si="20">IF(A4="","",IF(AH4="","Отсутствуют предыдущие значения",AH4=BS4))</f>
        <v>1</v>
      </c>
      <c r="DB4" s="2" t="b">
        <f t="shared" ref="DB4" si="21">IF(A4="","",IF(U4="","Отсутствуют предыдущие значения",BT4=U4))</f>
        <v>0</v>
      </c>
      <c r="DC4" s="2" t="b">
        <f t="shared" ref="DC4" si="22">IF(A4="","",IF(AK4="","Отсутствуют предыдущие значения",BU4=AK4))</f>
        <v>1</v>
      </c>
      <c r="DD4" s="2" t="str">
        <f t="shared" ref="DD4" si="23">IF(A4="","",IF(AM4="","Отсутствуют предыдущие значения",AM4=BV4))</f>
        <v>Отсутствуют предыдущие значения</v>
      </c>
      <c r="DE4" s="2" t="str">
        <f t="shared" ref="DE4" si="24">IF(A4="","",IF(AN4="","Отсутствуют предыдущие значения",AN4=BW4))</f>
        <v>Отсутствуют предыдущие значения</v>
      </c>
      <c r="DF4" s="2" t="b">
        <f t="shared" ref="DF4" si="25">IF(A4="","",IF(AO4="","Отсутствуют предыдущие значения",BX4=AO4))</f>
        <v>1</v>
      </c>
      <c r="DG4" s="2" t="str">
        <f t="shared" ref="DG4" si="26">IF(A4="","",IF(AP4="","Отсутствуют предыдущие значения",AP4=BY4))</f>
        <v>Отсутствуют предыдущие значения</v>
      </c>
      <c r="DH4" s="2" t="b">
        <f t="shared" ref="DH4" si="27">IF(A4="","",IF(OR(MID(S4,3,1)&lt;&gt;":",MID(BH4,3,1)&lt;&gt;":"),"ОШИБКА В ФОРМАТЕ",IF(S4="","Отсутствуют предыдущие значения",BH4=S4)))</f>
        <v>0</v>
      </c>
      <c r="DI4" s="2" t="b">
        <f t="shared" ref="DI4" si="28">IF(B4="","",Q4=BJ4)</f>
        <v>0</v>
      </c>
      <c r="DJ4" s="2" t="b">
        <f t="shared" ref="DJ4" si="29">IF(A4="","",IF(AF4="","Отсутствуют предыдущие значения",BM4=I4))</f>
        <v>0</v>
      </c>
      <c r="DK4" s="2" t="b">
        <f t="shared" ref="DK4" si="30">IF(A4="","",IF(N4="","Отсутствуют предыдущие значения",CP4=N4))</f>
        <v>0</v>
      </c>
      <c r="DL4" s="2" t="b">
        <f t="shared" ref="DL4" si="31">IF(A4="","",IF(O4="","Отсутствуют предыдущие значения",CQ4=O4))</f>
        <v>0</v>
      </c>
      <c r="DM4" s="2" t="str">
        <f t="shared" ref="DM4" si="32">IF(B4="","",IF(AW4&lt;&gt;"","ОСПАРИВАНИЕ",IF(AQ4="","",AQ4)))</f>
        <v/>
      </c>
      <c r="DN4" t="str">
        <f t="shared" ref="DN4" si="33">IF(B4="","",$DN$1)</f>
        <v>Ф5</v>
      </c>
      <c r="DO4" t="str">
        <f t="shared" ref="DO4" si="34">IF(B4="","",$DO$1)</f>
        <v>М3</v>
      </c>
      <c r="DP4" t="str">
        <f t="shared" ref="DP4" si="35">IF(B4="","",$DP$1)</f>
        <v>02032021</v>
      </c>
      <c r="DQ4" t="str">
        <f t="shared" ref="DQ4" si="36">IF(B4="","",$DQ$1)</f>
        <v>Мухамедьярова</v>
      </c>
      <c r="DR4" t="str">
        <f t="shared" ref="DR4" si="37">IF(B4="","",IF(O4="","Графика по ПКК","Графика на 01012020"))</f>
        <v>Графика на 01012020</v>
      </c>
      <c r="DS4" s="62" t="str">
        <f t="shared" ref="DS4" si="38">IF(B4="","",B4)</f>
        <v>66:41:0000000:187027</v>
      </c>
      <c r="DT4" s="63" t="str">
        <f t="shared" ref="DT4" si="39">IF(B4="","",BP4)</f>
        <v>пояс 1</v>
      </c>
      <c r="DU4" s="63" t="str">
        <f t="shared" ref="DU4" si="40">IF(B4="","",BQ4)</f>
        <v>наличие электроснабжения</v>
      </c>
      <c r="DV4" s="63" t="str">
        <f t="shared" ref="DV4" si="41">IF(B4="","",BR4)</f>
        <v>Отсутствие теплоснабжения</v>
      </c>
      <c r="DW4" s="63" t="str">
        <f t="shared" ref="DW4" si="42">IF(B4="","",BS4)</f>
        <v>отсутствие водоотведения</v>
      </c>
      <c r="DX4" s="64" t="str">
        <f t="shared" ref="DX4" si="43">IF(B4="","",BT4)</f>
        <v>3. СЕГМЕНТ "Общественное использование"</v>
      </c>
      <c r="DY4" s="65">
        <f t="shared" ref="DY4" si="44">IF(B4="","",BU4)</f>
        <v>6567</v>
      </c>
      <c r="DZ4" s="8">
        <f t="shared" ref="DZ4" si="45">IF(B4="","",BV4)</f>
        <v>1.9</v>
      </c>
      <c r="EA4" s="8">
        <f t="shared" ref="EA4" si="46">IF(B4="","",BW4)</f>
        <v>0.18</v>
      </c>
      <c r="EB4" s="8">
        <f t="shared" ref="EB4" si="47">IF(B4="","",BX4)</f>
        <v>0</v>
      </c>
      <c r="EC4" s="8">
        <f t="shared" ref="EC4" si="48">IF(B4="","",BY4)</f>
        <v>4.45</v>
      </c>
      <c r="ED4" s="8">
        <f t="shared" ref="ED4" si="49">IF(B4="","",CF4)</f>
        <v>1.0257000000000001</v>
      </c>
      <c r="EE4" s="8">
        <f t="shared" ref="EE4" si="50">IF(B4="","",CG4)</f>
        <v>0.99619999999999997</v>
      </c>
      <c r="EF4" s="8">
        <f t="shared" ref="EF4" si="51">IF(B4="","",CH4)</f>
        <v>1.0042</v>
      </c>
      <c r="EG4" s="8">
        <f t="shared" ref="EG4" si="52">IF(B4="","",CI4)</f>
        <v>1.0965</v>
      </c>
      <c r="EH4" s="8">
        <f t="shared" ref="EH4" si="53">IF(B4="","",CJ4)</f>
        <v>0.8659</v>
      </c>
      <c r="EI4" s="8">
        <f t="shared" ref="EI4" si="54">IF(B4="","",CK4)</f>
        <v>0</v>
      </c>
      <c r="EJ4" s="73">
        <f t="shared" ref="EJ4" si="55">IF(B4="","",CP4)</f>
        <v>8204.2800000000007</v>
      </c>
      <c r="EK4" s="74">
        <f t="shared" ref="EK4" si="56">IF(B4="","",CQ4)</f>
        <v>53877506.759999998</v>
      </c>
      <c r="EL4" s="63" t="str">
        <f t="shared" ref="EL4" si="57">IF(B4="","",CR4)</f>
        <v>СТ16_Ф5_М3_02032021_Мухамедьярова_Графика на 01012020_Измененный</v>
      </c>
      <c r="EM4" s="63">
        <f t="shared" ref="EM4" si="58">IF(B4="","",CT4)</f>
        <v>8003</v>
      </c>
      <c r="EN4" s="93" t="str">
        <f t="shared" ref="EN4" si="59">IF(B4="","",CU4)</f>
        <v>Наличие уторгования</v>
      </c>
      <c r="EO4" t="str">
        <f t="shared" ref="EO4" si="60">IF(B4="","",IF(OR(AU4&lt;&gt;"",AW4&lt;&gt;"",EK4&lt;0),"СТОПЛИСТ",IF(AR4=21,"СТОПЛИСТ",IF(AND(DH4=TRUE,DC4=TRUE),"ПЕРЕСЧЕТ НЕ ТРЕБУЕТСЯ",IF(OR(EU4="Отсутствует значения предыдущих расчетов",EU4="Осуществлен пересчет"),"ГОТОВ","ПЕРЕСЧЕТ НЕ ТРЕБУЕТСЯ")))))</f>
        <v>ГОТОВ</v>
      </c>
      <c r="EP4" t="str">
        <f t="shared" ref="EP4" si="61">IF(B4="","",DX4)</f>
        <v>3. СЕГМЕНТ "Общественное использование"</v>
      </c>
      <c r="EQ4">
        <f>IF(C4="","",VLOOKUP(EP4,'Сегмент ВРИ'!$B:$C,2,FALSE))</f>
        <v>3</v>
      </c>
      <c r="ER4" t="str">
        <f t="shared" ref="ER4" si="62">IF(B4="","",BH4)</f>
        <v>03:080</v>
      </c>
      <c r="ES4" t="str">
        <f>IF(ER4="","",VLOOKUP(ER4,'Сегмент ВРИ'!$A:$D,4,FALSE))</f>
        <v>Общественное управление в целом</v>
      </c>
      <c r="ET4" t="str">
        <f t="shared" ref="ET4" si="63">IF(BW4="","",IF(OR(I4="",I4="-",I4="."),J4,I4))</f>
        <v>Общественное управление (код 3.8), деловое управление (код 4.1), магазины (код 4.4), банковская и страховая деятельность (код 4.5), культурное развитие (код 3.6), обеспечение научной деятельности (код 3.9), общественное питание (код 4.6), среднеэтажная жилая застройка (код 2.5), многоэтажная жилая застройка (высотная застройка) (код 2.6), бытовое обслуживание (код 3.3), социальное обслуживание (код 3.2), историко-культурная деятельность (код 9.3), здравоохранение (код 3.4), образование и просвещение (код 9.3), объекты торговли (торговые центры, торгово-развлекательные центры (комплексы)) (код 4.2), гостиничное обслуживание (код 4.7), развлечения (код 4.8), хранение автотранспорта (код 2.7.1), служебные гаражи (код 4.9), выставочно-ярмарочная деятельность (код  4.10), спорт (код 5.1), коммунальное обслуживание (код 3.1), внеуличный транспорт (код 7.6)</v>
      </c>
      <c r="EU4" t="str">
        <f t="shared" ref="EU4" si="64">IF(B4="","",IF(O4="","Отсутствует значения предыдущих расчетов",IF(O4=CQ4,"Значения КС не изменилось","Осуществлен пересчет")))</f>
        <v>Осуществлен пересчет</v>
      </c>
      <c r="EV4">
        <f t="shared" ref="EV4" si="65">IF(B4="","",IF(O4="","-",CQ4-O4))</f>
        <v>44394890.099999994</v>
      </c>
      <c r="EW4" s="98">
        <f t="shared" ref="EW4" si="66">IF(B4="","",IF(O4="","Отсутствует значения предыдущих расчетов",EK4/O4-1))</f>
        <v>4.6817130431169405</v>
      </c>
      <c r="EX4" t="str">
        <f t="shared" ref="EX4" si="67">IF(B4="","-",IF(O4="","Новый","Измененный"))</f>
        <v>Измененный</v>
      </c>
    </row>
    <row r="5" spans="1:163" x14ac:dyDescent="0.25">
      <c r="A5">
        <v>2738179</v>
      </c>
      <c r="B5" s="1" t="s">
        <v>1168</v>
      </c>
      <c r="C5" s="1" t="s">
        <v>1149</v>
      </c>
      <c r="D5">
        <v>162</v>
      </c>
      <c r="F5" s="1" t="s">
        <v>1169</v>
      </c>
      <c r="G5" s="1" t="s">
        <v>1151</v>
      </c>
      <c r="H5" s="1" t="s">
        <v>1152</v>
      </c>
      <c r="I5" s="1" t="s">
        <v>1170</v>
      </c>
      <c r="K5" s="1" t="s">
        <v>1152</v>
      </c>
      <c r="L5">
        <v>56086.02</v>
      </c>
      <c r="M5" s="1" t="s">
        <v>1171</v>
      </c>
      <c r="N5">
        <v>346.21</v>
      </c>
      <c r="O5">
        <v>56086.02</v>
      </c>
      <c r="P5" s="1" t="s">
        <v>1172</v>
      </c>
      <c r="Q5">
        <v>8008</v>
      </c>
      <c r="R5" s="1" t="s">
        <v>1157</v>
      </c>
      <c r="S5" s="1" t="s">
        <v>805</v>
      </c>
      <c r="T5" s="1" t="s">
        <v>1101</v>
      </c>
      <c r="U5" s="1" t="s">
        <v>800</v>
      </c>
      <c r="V5">
        <v>0.15</v>
      </c>
      <c r="W5">
        <v>22.38</v>
      </c>
      <c r="AA5">
        <v>16.23</v>
      </c>
      <c r="AB5">
        <v>0.17</v>
      </c>
      <c r="AC5" s="1" t="s">
        <v>1173</v>
      </c>
      <c r="AE5" s="1" t="s">
        <v>1174</v>
      </c>
      <c r="AK5">
        <v>162</v>
      </c>
      <c r="AL5">
        <v>346.20996628772502</v>
      </c>
      <c r="AX5" s="1" t="s">
        <v>1162</v>
      </c>
      <c r="AY5" s="1" t="s">
        <v>1163</v>
      </c>
      <c r="AZ5" s="1" t="s">
        <v>1164</v>
      </c>
      <c r="BA5" s="1" t="s">
        <v>1163</v>
      </c>
      <c r="BB5" s="1" t="s">
        <v>1163</v>
      </c>
      <c r="BC5" s="1" t="s">
        <v>1164</v>
      </c>
      <c r="BD5" s="1" t="s">
        <v>1163</v>
      </c>
      <c r="BE5" s="1" t="s">
        <v>1163</v>
      </c>
      <c r="BG5" s="1" t="s">
        <v>1164</v>
      </c>
      <c r="BH5" s="1" t="s">
        <v>69</v>
      </c>
      <c r="BI5" s="1" t="s">
        <v>1175</v>
      </c>
      <c r="BJ5">
        <v>8003</v>
      </c>
      <c r="BK5" s="1" t="s">
        <v>47</v>
      </c>
      <c r="BL5" s="1" t="s">
        <v>1176</v>
      </c>
      <c r="BM5" s="1" t="s">
        <v>1177</v>
      </c>
      <c r="BN5" t="str">
        <f>IFERROR(VLOOKUP(B5,'Объекты МУГИСО'!$A:$B,2,FALSE),"")</f>
        <v/>
      </c>
      <c r="BO5" s="2" t="str">
        <f>IFERROR(VLOOKUP(BH5,'Коды без коммуникаций'!$C:$C,1,FALSE),"")</f>
        <v/>
      </c>
      <c r="BP5" s="2" t="str">
        <f t="shared" ref="BP5" si="68">IF(B5="","",IF(AF5&lt;&gt;"",AF5,IF(AC5&lt;&gt;"",AC5,"Пояс 2")))</f>
        <v>пояс 4</v>
      </c>
      <c r="BQ5" s="2" t="str">
        <f t="shared" ref="BQ5" si="69">IF(B5="","",IF(AI5&lt;&gt;"",AI5,IF(OR(Y5="отсутствие",Y5="Отсутствие электроснабжения"),"Отсутствие электроснабжения","Наличие электроснабжения")))</f>
        <v>Наличие электроснабжения</v>
      </c>
      <c r="BR5" s="2" t="str">
        <f t="shared" ref="BR5" si="70">IF(B5="","",IF(AG5&lt;&gt;"",AG5,IF(OR(BO5&lt;&gt;"",X5="",X5="Отсутствие"),"Отсутствие теплоснабжения","Наличие теплоснабжения")))</f>
        <v>Отсутствие теплоснабжения</v>
      </c>
      <c r="BS5" s="2" t="str">
        <f t="shared" ref="BS5" si="71">IF(B5="","",IF(AH5&lt;&gt;"",AH5,IF(OR(BO5&lt;&gt;"",Z5="",Z5="Отсутствие"),"Отсутствие водоотведения","Наличие водоотведения")))</f>
        <v>Отсутствие водоотведения</v>
      </c>
      <c r="BT5" s="2" t="str">
        <f t="shared" ref="BT5" si="72">IF(B5="","",BK5)</f>
        <v>4. СЕГМЕНТ "Предпринимательство"</v>
      </c>
      <c r="BU5" s="2">
        <f t="shared" ref="BU5" si="73">IF(B5="","",D5)</f>
        <v>162</v>
      </c>
      <c r="BV5" s="55">
        <f>IF(B5="","",IF(AM5&lt;&gt;"",AM5,IF(AA5="",VLOOKUP(BP5,Поправки!$AJ$1:$AK$6,2,FALSE),AA5)))</f>
        <v>16.23</v>
      </c>
      <c r="BW5" s="55">
        <f>IF(B5="","",IF(AN5&lt;&gt;"",AN5,IF(AB5="",Поправки!$AO$2,AB5)))</f>
        <v>0.17</v>
      </c>
      <c r="BX5" s="55">
        <f>IF(B5="","",IF(AO5&lt;&gt;"",AO5,IF(BN5=1,0.0001,IF(V5="",Поправки!$AP$2,V5))))</f>
        <v>0.15</v>
      </c>
      <c r="BY5" s="55">
        <f>IF(B5="","",IF(AP5&lt;&gt;"",AP5,IF(OR(W5&lt;=0,W5=""),VLOOKUP(BP5,Поправки!$AJ$1:$AL$6,3,FALSE),W5)))</f>
        <v>22.38</v>
      </c>
      <c r="BZ5" s="58">
        <f>IF(B5="","",Поправки!$K$21)</f>
        <v>12012.3372</v>
      </c>
      <c r="CA5" s="58">
        <f>IF(B5="","",VLOOKUP(BP5,Поправки!$B$40:$D$52,3,FALSE))</f>
        <v>0.56869999999999998</v>
      </c>
      <c r="CB5" s="58">
        <f>IF(B5="","",VLOOKUP(BQ5,Поправки!$B$40:$D$52,3,FALSE))</f>
        <v>1.127</v>
      </c>
      <c r="CC5" s="58">
        <f>IF(B5="","",VLOOKUP(BR5,Поправки!$B$40:$D$52,3,FALSE))</f>
        <v>1</v>
      </c>
      <c r="CD5" s="58">
        <f>IF(B5="","",VLOOKUP(BS5,Поправки!$B$40:$D$52,3,FALSE))</f>
        <v>1</v>
      </c>
      <c r="CE5" s="58">
        <f>IF(B5="","",VLOOKUP(BT5,Поправки!$B$40:$D$52,3,FALSE))</f>
        <v>1.0954999999999999</v>
      </c>
      <c r="CF5" s="58">
        <f>IF(B5="","",IF(BU5&lt;Поправки!$I$11,Поправки!$L$11,ROUND((EXP(11.27070473*LN(BU5)^-0.08418488)^Поправки!$G$1)/Поправки!$K$10,4)))</f>
        <v>1.3029999999999999</v>
      </c>
      <c r="CG5" s="58">
        <f>IF(B5="","",IF(BV5&lt;Поправки!$N$11,Поправки!$Q$11,IF(BV5&gt;Поправки!$N$12,Поправки!$Q$12,ROUND((EXP(9.57779229*0.98667563^LN(BV5))^Поправки!$G$2)/Поправки!$P$10,4))))</f>
        <v>0.98380000000000001</v>
      </c>
      <c r="CH5" s="58">
        <f>IF(B5="","",IF(BW5&gt;Поправки!$S$12,Поправки!$V$12,IF(BW5&lt;Поправки!$S$11,Поправки!$V$11,ROUND((EXP(9.3057995*0.99085691^LN(BW5))^Поправки!$G$3)/Поправки!$U$10,4))))</f>
        <v>1.0044999999999999</v>
      </c>
      <c r="CI5" s="54">
        <f>IF(B5="","",IF(BX5&lt;Поправки!$X$11,Поправки!$AA$11,IF(BX5&gt;Поправки!$X$12,Поправки!$AA$12,ROUND((EXP(9.23088404*0.99320482^LN(BX5))^Поправки!$G$4)/Поправки!$Z$10,4))))</f>
        <v>1.0106999999999999</v>
      </c>
      <c r="CJ5" s="8">
        <f>IF(B5="","",IF(BY5&lt;Поправки!$AC$11,Поправки!$AF$11,IF(BY5&gt;Поправки!$AC$12,Поправки!$AF$12,ROUND((EXP(9.93943263-0.30296633*LN(BY5))^Поправки!$G$5)/Поправки!$AE$10,4))))</f>
        <v>0.75309999999999999</v>
      </c>
      <c r="CK5" s="2">
        <f t="shared" ref="CK5" si="74">IF(B5="","",AT5)</f>
        <v>0</v>
      </c>
      <c r="CL5" s="55">
        <f t="shared" ref="CL5" si="75">IF(B5="","",PRODUCT(BZ5:CJ5))</f>
        <v>8266.5277763615541</v>
      </c>
      <c r="CM5" s="55">
        <f t="shared" ref="CM5" si="76">IF(B5="","",ROUND(CL5*$CU$3,2))</f>
        <v>6199.9</v>
      </c>
      <c r="CN5" s="9">
        <f t="shared" ref="CN5" si="77">IF(B5="","",ROUND(IF(51178*D5^-0.982&lt;$CV$3,$CV$3,IF(51178*D5^-0.982&gt;$CW$3,$CW$3,51178*D5^-0.982)),2))</f>
        <v>346.21</v>
      </c>
      <c r="CO5" s="9">
        <f t="shared" ref="CO5" si="78">IF(B5="","",ROUND((CM5*(D5-CK5))/D5,2))</f>
        <v>6199.9</v>
      </c>
      <c r="CP5" s="60">
        <f t="shared" ref="CP5" si="79">IF(B5="","",IF(CK5=0,CM5,IF(CO5&lt;CN5,CN5,CO5)))</f>
        <v>6199.9</v>
      </c>
      <c r="CQ5" s="59">
        <f t="shared" ref="CQ5" si="80">IF(B5="","",ROUND(CP5*D5,2))</f>
        <v>1004383.8</v>
      </c>
      <c r="CR5" s="2" t="str">
        <f t="shared" ref="CR5" si="81">IF(B5="","",CONCATENATE("СТ16_",DN5,"_",DO5,"_",DP5,"_",DQ5,"_",DR5,"_",EX5))</f>
        <v>СТ16_Ф5_М3_02032021_Мухамедьярова_Графика на 01012020_Измененный</v>
      </c>
      <c r="CS5" s="2" t="str">
        <f t="shared" ref="CS5" si="82">IF(B5="","",B5)</f>
        <v>66:41:0614073:123</v>
      </c>
      <c r="CT5" s="2">
        <f t="shared" ref="CT5" si="83">IF(B5="","",$CT$1)</f>
        <v>8003</v>
      </c>
      <c r="CU5" t="str">
        <f t="shared" ref="CU5" si="84">IF(B5="","","Наличие уторгования")</f>
        <v>Наличие уторгования</v>
      </c>
      <c r="CV5" s="2"/>
      <c r="CW5" s="2"/>
      <c r="CX5" s="2" t="str">
        <f t="shared" ref="CX5" si="85">IF(A5="","",IF(AF5="","Отсутствуют предыдущие значения",BP5=AF5))</f>
        <v>Отсутствуют предыдущие значения</v>
      </c>
      <c r="CY5" s="2" t="str">
        <f t="shared" ref="CY5" si="86">IF(A5="","",IF(AI5="","Отсутствуют предыдущие значения",BQ5=AI5))</f>
        <v>Отсутствуют предыдущие значения</v>
      </c>
      <c r="CZ5" s="2" t="str">
        <f t="shared" ref="CZ5" si="87">IF(A5="","",IF(AG5="","Отсутствуют предыдущие значения",BR5=AG5))</f>
        <v>Отсутствуют предыдущие значения</v>
      </c>
      <c r="DA5" s="2" t="str">
        <f t="shared" ref="DA5" si="88">IF(A5="","",IF(AH5="","Отсутствуют предыдущие значения",AH5=BS5))</f>
        <v>Отсутствуют предыдущие значения</v>
      </c>
      <c r="DB5" s="2" t="b">
        <f t="shared" ref="DB5" si="89">IF(A5="","",IF(U5="","Отсутствуют предыдущие значения",BT5=U5))</f>
        <v>0</v>
      </c>
      <c r="DC5" s="2" t="b">
        <f t="shared" ref="DC5" si="90">IF(A5="","",IF(AK5="","Отсутствуют предыдущие значения",BU5=AK5))</f>
        <v>1</v>
      </c>
      <c r="DD5" s="2" t="str">
        <f t="shared" ref="DD5" si="91">IF(A5="","",IF(AM5="","Отсутствуют предыдущие значения",AM5=BV5))</f>
        <v>Отсутствуют предыдущие значения</v>
      </c>
      <c r="DE5" s="2" t="str">
        <f t="shared" ref="DE5" si="92">IF(A5="","",IF(AN5="","Отсутствуют предыдущие значения",AN5=BW5))</f>
        <v>Отсутствуют предыдущие значения</v>
      </c>
      <c r="DF5" s="2" t="str">
        <f t="shared" ref="DF5" si="93">IF(A5="","",IF(AO5="","Отсутствуют предыдущие значения",BX5=AO5))</f>
        <v>Отсутствуют предыдущие значения</v>
      </c>
      <c r="DG5" s="2" t="str">
        <f t="shared" ref="DG5" si="94">IF(A5="","",IF(AP5="","Отсутствуют предыдущие значения",AP5=BY5))</f>
        <v>Отсутствуют предыдущие значения</v>
      </c>
      <c r="DH5" s="2" t="b">
        <f t="shared" ref="DH5" si="95">IF(A5="","",IF(OR(MID(S5,3,1)&lt;&gt;":",MID(BH5,3,1)&lt;&gt;":"),"ОШИБКА В ФОРМАТЕ",IF(S5="","Отсутствуют предыдущие значения",BH5=S5)))</f>
        <v>0</v>
      </c>
      <c r="DI5" s="2" t="b">
        <f t="shared" ref="DI5" si="96">IF(B5="","",Q5=BJ5)</f>
        <v>0</v>
      </c>
      <c r="DJ5" s="2" t="str">
        <f t="shared" ref="DJ5" si="97">IF(A5="","",IF(AF5="","Отсутствуют предыдущие значения",BM5=I5))</f>
        <v>Отсутствуют предыдущие значения</v>
      </c>
      <c r="DK5" s="2" t="b">
        <f t="shared" ref="DK5" si="98">IF(A5="","",IF(N5="","Отсутствуют предыдущие значения",CP5=N5))</f>
        <v>0</v>
      </c>
      <c r="DL5" s="2" t="b">
        <f t="shared" ref="DL5" si="99">IF(A5="","",IF(O5="","Отсутствуют предыдущие значения",CQ5=O5))</f>
        <v>0</v>
      </c>
      <c r="DM5" s="2" t="str">
        <f t="shared" ref="DM5" si="100">IF(B5="","",IF(AW5&lt;&gt;"","ОСПАРИВАНИЕ",IF(AQ5="","",AQ5)))</f>
        <v/>
      </c>
      <c r="DN5" t="str">
        <f t="shared" ref="DN5" si="101">IF(B5="","",$DN$1)</f>
        <v>Ф5</v>
      </c>
      <c r="DO5" t="str">
        <f t="shared" ref="DO5" si="102">IF(B5="","",$DO$1)</f>
        <v>М3</v>
      </c>
      <c r="DP5" t="str">
        <f t="shared" ref="DP5" si="103">IF(B5="","",$DP$1)</f>
        <v>02032021</v>
      </c>
      <c r="DQ5" t="str">
        <f t="shared" ref="DQ5" si="104">IF(B5="","",$DQ$1)</f>
        <v>Мухамедьярова</v>
      </c>
      <c r="DR5" t="str">
        <f t="shared" ref="DR5" si="105">IF(B5="","",IF(O5="","Графика по ПКК","Графика на 01012020"))</f>
        <v>Графика на 01012020</v>
      </c>
      <c r="DS5" s="62" t="str">
        <f t="shared" ref="DS5" si="106">IF(B5="","",B5)</f>
        <v>66:41:0614073:123</v>
      </c>
      <c r="DT5" s="63" t="str">
        <f t="shared" ref="DT5" si="107">IF(B5="","",BP5)</f>
        <v>пояс 4</v>
      </c>
      <c r="DU5" s="63" t="str">
        <f t="shared" ref="DU5" si="108">IF(B5="","",BQ5)</f>
        <v>Наличие электроснабжения</v>
      </c>
      <c r="DV5" s="63" t="str">
        <f t="shared" ref="DV5" si="109">IF(B5="","",BR5)</f>
        <v>Отсутствие теплоснабжения</v>
      </c>
      <c r="DW5" s="63" t="str">
        <f t="shared" ref="DW5" si="110">IF(B5="","",BS5)</f>
        <v>Отсутствие водоотведения</v>
      </c>
      <c r="DX5" s="64" t="str">
        <f t="shared" ref="DX5" si="111">IF(B5="","",BT5)</f>
        <v>4. СЕГМЕНТ "Предпринимательство"</v>
      </c>
      <c r="DY5" s="65">
        <f t="shared" ref="DY5" si="112">IF(B5="","",BU5)</f>
        <v>162</v>
      </c>
      <c r="DZ5" s="8">
        <f t="shared" ref="DZ5" si="113">IF(B5="","",BV5)</f>
        <v>16.23</v>
      </c>
      <c r="EA5" s="8">
        <f t="shared" ref="EA5" si="114">IF(B5="","",BW5)</f>
        <v>0.17</v>
      </c>
      <c r="EB5" s="8">
        <f t="shared" ref="EB5" si="115">IF(B5="","",BX5)</f>
        <v>0.15</v>
      </c>
      <c r="EC5" s="8">
        <f t="shared" ref="EC5" si="116">IF(B5="","",BY5)</f>
        <v>22.38</v>
      </c>
      <c r="ED5" s="8">
        <f t="shared" ref="ED5" si="117">IF(B5="","",CF5)</f>
        <v>1.3029999999999999</v>
      </c>
      <c r="EE5" s="8">
        <f t="shared" ref="EE5" si="118">IF(B5="","",CG5)</f>
        <v>0.98380000000000001</v>
      </c>
      <c r="EF5" s="8">
        <f t="shared" ref="EF5" si="119">IF(B5="","",CH5)</f>
        <v>1.0044999999999999</v>
      </c>
      <c r="EG5" s="8">
        <f t="shared" ref="EG5" si="120">IF(B5="","",CI5)</f>
        <v>1.0106999999999999</v>
      </c>
      <c r="EH5" s="8">
        <f t="shared" ref="EH5" si="121">IF(B5="","",CJ5)</f>
        <v>0.75309999999999999</v>
      </c>
      <c r="EI5" s="8">
        <f t="shared" ref="EI5" si="122">IF(B5="","",CK5)</f>
        <v>0</v>
      </c>
      <c r="EJ5" s="73">
        <f t="shared" ref="EJ5" si="123">IF(B5="","",CP5)</f>
        <v>6199.9</v>
      </c>
      <c r="EK5" s="74">
        <f t="shared" ref="EK5" si="124">IF(B5="","",CQ5)</f>
        <v>1004383.8</v>
      </c>
      <c r="EL5" s="63" t="str">
        <f t="shared" ref="EL5" si="125">IF(B5="","",CR5)</f>
        <v>СТ16_Ф5_М3_02032021_Мухамедьярова_Графика на 01012020_Измененный</v>
      </c>
      <c r="EM5" s="63">
        <f t="shared" ref="EM5" si="126">IF(B5="","",CT5)</f>
        <v>8003</v>
      </c>
      <c r="EN5" s="93" t="str">
        <f t="shared" ref="EN5" si="127">IF(B5="","",CU5)</f>
        <v>Наличие уторгования</v>
      </c>
      <c r="EO5" t="str">
        <f t="shared" ref="EO5" si="128">IF(B5="","",IF(OR(AU5&lt;&gt;"",AW5&lt;&gt;"",EK5&lt;0),"СТОПЛИСТ",IF(AR5=21,"СТОПЛИСТ",IF(AND(DH5=TRUE,DC5=TRUE),"ПЕРЕСЧЕТ НЕ ТРЕБУЕТСЯ",IF(OR(EU5="Отсутствует значения предыдущих расчетов",EU5="Осуществлен пересчет"),"ГОТОВ","ПЕРЕСЧЕТ НЕ ТРЕБУЕТСЯ")))))</f>
        <v>ГОТОВ</v>
      </c>
      <c r="EP5" t="str">
        <f t="shared" ref="EP5" si="129">IF(B5="","",DX5)</f>
        <v>4. СЕГМЕНТ "Предпринимательство"</v>
      </c>
      <c r="EQ5">
        <f>IF(C5="","",VLOOKUP(EP5,'Сегмент ВРИ'!$B:$C,2,FALSE))</f>
        <v>4</v>
      </c>
      <c r="ER5" t="str">
        <f t="shared" ref="ER5" si="130">IF(B5="","",BH5)</f>
        <v>04:040</v>
      </c>
      <c r="ES5" t="str">
        <f>IF(ER5="","",VLOOKUP(ER5,'Сегмент ВРИ'!$A:$D,4,FALSE))</f>
        <v>Магазины. Размещение ОКС, предназначенных для продажи товаров, торговая площадь которых составляет до 5 000 кв.м</v>
      </c>
      <c r="ET5" t="str">
        <f t="shared" ref="ET5" si="131">IF(BW5="","",IF(OR(I5="",I5="-",I5="."),J5,I5))</f>
        <v>Магазины (4.4)</v>
      </c>
      <c r="EU5" t="str">
        <f t="shared" ref="EU5" si="132">IF(B5="","",IF(O5="","Отсутствует значения предыдущих расчетов",IF(O5=CQ5,"Значения КС не изменилось","Осуществлен пересчет")))</f>
        <v>Осуществлен пересчет</v>
      </c>
      <c r="EV5">
        <f t="shared" ref="EV5" si="133">IF(B5="","",IF(O5="","-",CQ5-O5))</f>
        <v>948297.78</v>
      </c>
      <c r="EW5" s="98">
        <f t="shared" ref="EW5" si="134">IF(B5="","",IF(O5="","Отсутствует значения предыдущих расчетов",EK5/O5-1))</f>
        <v>16.907917160105139</v>
      </c>
      <c r="EX5" t="str">
        <f t="shared" ref="EX5" si="135">IF(B5="","-",IF(O5="","Новый","Измененный"))</f>
        <v>Измененный</v>
      </c>
    </row>
  </sheetData>
  <mergeCells count="8">
    <mergeCell ref="BP1:BY1"/>
    <mergeCell ref="FD1:FD3"/>
    <mergeCell ref="CV2:CW2"/>
    <mergeCell ref="DN2:DQ2"/>
    <mergeCell ref="CN1:CO1"/>
    <mergeCell ref="CP1:CQ1"/>
    <mergeCell ref="CX1:DM1"/>
    <mergeCell ref="DS1:ET1"/>
  </mergeCells>
  <conditionalFormatting sqref="DM2:DM4 DM6:DM1048576">
    <cfRule type="containsText" dxfId="5" priority="14" operator="containsText" text="ЗМ">
      <formula>NOT(ISERROR(SEARCH("ЗМ",DM2)))</formula>
    </cfRule>
  </conditionalFormatting>
  <conditionalFormatting sqref="DM1:DM4 DM6:DM1048576">
    <cfRule type="containsText" dxfId="4" priority="5" operator="containsText" text="ложь">
      <formula>NOT(ISERROR(SEARCH("ложь",DM1)))</formula>
    </cfRule>
  </conditionalFormatting>
  <conditionalFormatting sqref="CX3:DL4">
    <cfRule type="cellIs" dxfId="3" priority="4" operator="equal">
      <formula>FALSE</formula>
    </cfRule>
  </conditionalFormatting>
  <conditionalFormatting sqref="DM5">
    <cfRule type="containsText" dxfId="2" priority="3" operator="containsText" text="ЗМ">
      <formula>NOT(ISERROR(SEARCH("ЗМ",DM5)))</formula>
    </cfRule>
  </conditionalFormatting>
  <conditionalFormatting sqref="DM5">
    <cfRule type="containsText" dxfId="1" priority="2" operator="containsText" text="ложь">
      <formula>NOT(ISERROR(SEARCH("ложь",DM5)))</formula>
    </cfRule>
  </conditionalFormatting>
  <conditionalFormatting sqref="CX5:DL5">
    <cfRule type="cellIs" dxfId="0" priority="1" operator="equal">
      <formula>FALSE</formula>
    </cfRule>
  </conditionalFormatting>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I1"/>
  <sheetViews>
    <sheetView workbookViewId="0">
      <selection activeCell="O20" sqref="O20"/>
    </sheetView>
  </sheetViews>
  <sheetFormatPr defaultRowHeight="15" x14ac:dyDescent="0.25"/>
  <sheetData>
    <row r="1" spans="1:9" s="66" customFormat="1" ht="45" x14ac:dyDescent="0.25">
      <c r="A1" s="66" t="s">
        <v>103</v>
      </c>
      <c r="B1" s="66" t="s">
        <v>601</v>
      </c>
      <c r="C1" s="66" t="s">
        <v>579</v>
      </c>
      <c r="D1" s="66" t="s">
        <v>858</v>
      </c>
      <c r="E1" s="66" t="s">
        <v>578</v>
      </c>
      <c r="F1" s="66" t="s">
        <v>868</v>
      </c>
      <c r="G1" s="66" t="s">
        <v>1118</v>
      </c>
      <c r="I1" s="67">
        <f>COUNTA(A:A)</f>
        <v>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79998168889431442"/>
  </sheetPr>
  <dimension ref="A1:AD4"/>
  <sheetViews>
    <sheetView tabSelected="1" topLeftCell="E1" zoomScale="85" zoomScaleNormal="85" workbookViewId="0">
      <selection activeCell="AD1" sqref="AD1"/>
    </sheetView>
  </sheetViews>
  <sheetFormatPr defaultRowHeight="15" x14ac:dyDescent="0.25"/>
  <cols>
    <col min="1" max="1" width="21.42578125" customWidth="1"/>
    <col min="20" max="20" width="19.140625" customWidth="1"/>
    <col min="24" max="25" width="13.7109375" customWidth="1"/>
  </cols>
  <sheetData>
    <row r="1" spans="1:30" x14ac:dyDescent="0.25">
      <c r="A1" t="s">
        <v>103</v>
      </c>
      <c r="B1" t="s">
        <v>84</v>
      </c>
      <c r="C1" t="s">
        <v>85</v>
      </c>
      <c r="D1" t="s">
        <v>86</v>
      </c>
      <c r="E1" t="s">
        <v>87</v>
      </c>
      <c r="F1" t="s">
        <v>88</v>
      </c>
      <c r="G1" t="s">
        <v>89</v>
      </c>
      <c r="H1" t="s">
        <v>90</v>
      </c>
      <c r="I1" t="s">
        <v>91</v>
      </c>
      <c r="J1" t="s">
        <v>92</v>
      </c>
      <c r="K1" t="s">
        <v>93</v>
      </c>
      <c r="L1" t="s">
        <v>94</v>
      </c>
      <c r="M1" t="s">
        <v>95</v>
      </c>
      <c r="N1" t="s">
        <v>96</v>
      </c>
      <c r="O1" t="s">
        <v>97</v>
      </c>
      <c r="P1" t="s">
        <v>98</v>
      </c>
      <c r="Q1" t="s">
        <v>99</v>
      </c>
      <c r="R1" t="s">
        <v>100</v>
      </c>
      <c r="S1" t="s">
        <v>101</v>
      </c>
      <c r="T1" t="s">
        <v>102</v>
      </c>
      <c r="U1" t="s">
        <v>104</v>
      </c>
      <c r="V1" t="s">
        <v>105</v>
      </c>
      <c r="W1" t="s">
        <v>601</v>
      </c>
      <c r="X1" t="s">
        <v>579</v>
      </c>
      <c r="Y1" t="s">
        <v>858</v>
      </c>
      <c r="Z1" t="s">
        <v>578</v>
      </c>
      <c r="AA1" t="s">
        <v>868</v>
      </c>
      <c r="AB1" t="s">
        <v>1118</v>
      </c>
      <c r="AD1" s="99"/>
    </row>
    <row r="2" spans="1:30" x14ac:dyDescent="0.25">
      <c r="A2" s="122" t="s">
        <v>1148</v>
      </c>
      <c r="B2" t="s">
        <v>1178</v>
      </c>
      <c r="L2" t="s">
        <v>1180</v>
      </c>
      <c r="M2" t="s">
        <v>1181</v>
      </c>
    </row>
    <row r="3" spans="1:30" x14ac:dyDescent="0.25">
      <c r="A3" s="1" t="s">
        <v>1168</v>
      </c>
      <c r="B3" t="s">
        <v>1179</v>
      </c>
      <c r="L3" t="s">
        <v>1180</v>
      </c>
      <c r="M3" t="s">
        <v>1181</v>
      </c>
    </row>
    <row r="4" spans="1:30" x14ac:dyDescent="0.25">
      <c r="M4" t="s">
        <v>1182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E1"/>
  <sheetViews>
    <sheetView workbookViewId="0">
      <selection activeCell="A2" sqref="A2:C2"/>
    </sheetView>
  </sheetViews>
  <sheetFormatPr defaultRowHeight="15" x14ac:dyDescent="0.25"/>
  <sheetData>
    <row r="1" spans="1:5" x14ac:dyDescent="0.25">
      <c r="A1" t="s">
        <v>103</v>
      </c>
      <c r="B1" t="s">
        <v>601</v>
      </c>
      <c r="E1" s="100">
        <f>COUNTA(A:A)</f>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zoomScale="85" zoomScaleNormal="85" workbookViewId="0">
      <selection activeCell="B14" sqref="B14"/>
    </sheetView>
  </sheetViews>
  <sheetFormatPr defaultRowHeight="15" x14ac:dyDescent="0.25"/>
  <cols>
    <col min="1" max="1" width="3.42578125" style="94" bestFit="1" customWidth="1"/>
    <col min="2" max="2" width="99.7109375" style="77" customWidth="1"/>
    <col min="3" max="3" width="26.28515625" customWidth="1"/>
  </cols>
  <sheetData>
    <row r="1" spans="1:3" x14ac:dyDescent="0.25">
      <c r="B1" s="88" t="s">
        <v>839</v>
      </c>
      <c r="C1" s="89" t="s">
        <v>827</v>
      </c>
    </row>
    <row r="2" spans="1:3" x14ac:dyDescent="0.25">
      <c r="A2" s="95">
        <v>1</v>
      </c>
      <c r="B2" s="75" t="s">
        <v>843</v>
      </c>
      <c r="C2" s="76" t="s">
        <v>828</v>
      </c>
    </row>
    <row r="3" spans="1:3" x14ac:dyDescent="0.25">
      <c r="A3" s="95">
        <v>2</v>
      </c>
      <c r="B3" s="75" t="s">
        <v>840</v>
      </c>
      <c r="C3" s="76"/>
    </row>
    <row r="4" spans="1:3" x14ac:dyDescent="0.25">
      <c r="A4" s="95">
        <v>3</v>
      </c>
      <c r="B4" s="75" t="s">
        <v>829</v>
      </c>
      <c r="C4" s="76"/>
    </row>
    <row r="5" spans="1:3" ht="30" x14ac:dyDescent="0.25">
      <c r="A5" s="95">
        <v>4</v>
      </c>
      <c r="B5" s="75" t="s">
        <v>847</v>
      </c>
      <c r="C5" s="76"/>
    </row>
    <row r="6" spans="1:3" x14ac:dyDescent="0.25">
      <c r="A6" s="95">
        <v>5</v>
      </c>
      <c r="B6" s="75" t="s">
        <v>830</v>
      </c>
      <c r="C6" s="76"/>
    </row>
    <row r="7" spans="1:3" ht="30" x14ac:dyDescent="0.25">
      <c r="A7" s="95">
        <v>6</v>
      </c>
      <c r="B7" s="75" t="s">
        <v>848</v>
      </c>
      <c r="C7" s="76"/>
    </row>
    <row r="8" spans="1:3" ht="45" x14ac:dyDescent="0.25">
      <c r="A8" s="95">
        <v>7</v>
      </c>
      <c r="B8" s="75" t="s">
        <v>849</v>
      </c>
      <c r="C8" s="76"/>
    </row>
    <row r="9" spans="1:3" ht="30" x14ac:dyDescent="0.25">
      <c r="A9" s="95">
        <v>8</v>
      </c>
      <c r="B9" s="75" t="s">
        <v>845</v>
      </c>
      <c r="C9" s="76"/>
    </row>
    <row r="10" spans="1:3" ht="30" x14ac:dyDescent="0.25">
      <c r="A10" s="95">
        <v>9</v>
      </c>
      <c r="B10" s="75" t="s">
        <v>850</v>
      </c>
      <c r="C10" s="76"/>
    </row>
    <row r="11" spans="1:3" ht="30" x14ac:dyDescent="0.25">
      <c r="A11" s="95">
        <v>10</v>
      </c>
      <c r="B11" s="75" t="s">
        <v>831</v>
      </c>
      <c r="C11" s="76" t="s">
        <v>832</v>
      </c>
    </row>
    <row r="12" spans="1:3" ht="45" x14ac:dyDescent="0.25">
      <c r="A12" s="95">
        <v>11</v>
      </c>
      <c r="B12" s="75" t="s">
        <v>851</v>
      </c>
      <c r="C12" s="76"/>
    </row>
    <row r="13" spans="1:3" ht="30" x14ac:dyDescent="0.25">
      <c r="A13" s="95">
        <v>12</v>
      </c>
      <c r="B13" s="75" t="s">
        <v>833</v>
      </c>
      <c r="C13" s="76"/>
    </row>
    <row r="14" spans="1:3" ht="45" x14ac:dyDescent="0.25">
      <c r="A14" s="95">
        <v>13</v>
      </c>
      <c r="B14" s="75" t="s">
        <v>1120</v>
      </c>
      <c r="C14" s="76"/>
    </row>
    <row r="15" spans="1:3" ht="30" x14ac:dyDescent="0.25">
      <c r="A15" s="95">
        <v>14</v>
      </c>
      <c r="B15" s="75" t="s">
        <v>857</v>
      </c>
      <c r="C15" s="76"/>
    </row>
    <row r="16" spans="1:3" ht="30" x14ac:dyDescent="0.25">
      <c r="A16" s="95">
        <v>15</v>
      </c>
      <c r="B16" s="75" t="s">
        <v>834</v>
      </c>
      <c r="C16" s="76"/>
    </row>
    <row r="18" spans="1:3" x14ac:dyDescent="0.25">
      <c r="B18" s="75" t="s">
        <v>835</v>
      </c>
    </row>
    <row r="19" spans="1:3" x14ac:dyDescent="0.25">
      <c r="B19" s="83" t="s">
        <v>836</v>
      </c>
    </row>
    <row r="20" spans="1:3" x14ac:dyDescent="0.25">
      <c r="B20" s="86" t="s">
        <v>837</v>
      </c>
    </row>
    <row r="21" spans="1:3" x14ac:dyDescent="0.25">
      <c r="B21" s="87" t="s">
        <v>838</v>
      </c>
    </row>
    <row r="23" spans="1:3" x14ac:dyDescent="0.25">
      <c r="A23" s="96"/>
      <c r="B23" s="78"/>
      <c r="C23" s="64"/>
    </row>
    <row r="24" spans="1:3" x14ac:dyDescent="0.25">
      <c r="A24" s="96"/>
      <c r="B24" s="79"/>
      <c r="C24" s="64"/>
    </row>
    <row r="25" spans="1:3" x14ac:dyDescent="0.25">
      <c r="A25" s="96"/>
      <c r="B25" s="80"/>
      <c r="C25" s="64"/>
    </row>
    <row r="26" spans="1:3" x14ac:dyDescent="0.25">
      <c r="A26" s="96"/>
      <c r="B26" s="80"/>
      <c r="C26" s="64"/>
    </row>
    <row r="27" spans="1:3" x14ac:dyDescent="0.25">
      <c r="A27" s="96"/>
      <c r="B27" s="78"/>
      <c r="C27" s="64"/>
    </row>
    <row r="28" spans="1:3" x14ac:dyDescent="0.25">
      <c r="A28" s="96"/>
      <c r="B28" s="78"/>
      <c r="C28" s="64"/>
    </row>
    <row r="29" spans="1:3" x14ac:dyDescent="0.25">
      <c r="A29" s="96"/>
      <c r="B29" s="78"/>
      <c r="C29" s="64"/>
    </row>
    <row r="30" spans="1:3" x14ac:dyDescent="0.25">
      <c r="A30" s="96"/>
      <c r="B30" s="78"/>
      <c r="C30" s="6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52"/>
  <sheetViews>
    <sheetView topLeftCell="I1" zoomScale="70" zoomScaleNormal="70" workbookViewId="0">
      <selection activeCell="AO2" sqref="AO2"/>
    </sheetView>
  </sheetViews>
  <sheetFormatPr defaultRowHeight="15" x14ac:dyDescent="0.25"/>
  <cols>
    <col min="1" max="10" width="9.140625" style="6"/>
    <col min="11" max="11" width="10.42578125" style="6" bestFit="1" customWidth="1"/>
    <col min="12" max="12" width="9.140625" style="6"/>
    <col min="13" max="13" width="12.85546875" style="6" customWidth="1"/>
    <col min="14" max="21" width="9.140625" style="6"/>
    <col min="22" max="22" width="16.7109375" style="6" customWidth="1"/>
    <col min="23" max="23" width="12.42578125" style="6" bestFit="1" customWidth="1"/>
    <col min="24" max="24" width="13.42578125" style="6" customWidth="1"/>
    <col min="25" max="25" width="14.140625" style="6" customWidth="1"/>
    <col min="26" max="44" width="9.140625" style="6"/>
    <col min="45" max="16384" width="9.140625" style="2"/>
  </cols>
  <sheetData>
    <row r="1" spans="2:42" s="6" customFormat="1" ht="120" x14ac:dyDescent="0.25">
      <c r="B1" s="23" t="s">
        <v>140</v>
      </c>
      <c r="E1" s="24" t="s">
        <v>141</v>
      </c>
      <c r="F1" s="25" t="s">
        <v>142</v>
      </c>
      <c r="G1" s="26">
        <v>0.68773775644976998</v>
      </c>
      <c r="H1" s="13"/>
      <c r="I1" s="27" t="s">
        <v>143</v>
      </c>
      <c r="J1" s="28"/>
      <c r="K1" s="28"/>
      <c r="L1" s="28"/>
      <c r="M1" s="28"/>
      <c r="N1" s="27" t="s">
        <v>25</v>
      </c>
      <c r="O1" s="28"/>
      <c r="P1" s="28"/>
      <c r="Q1" s="28"/>
      <c r="R1" s="28"/>
      <c r="S1" s="27" t="s">
        <v>144</v>
      </c>
      <c r="T1" s="28"/>
      <c r="U1" s="28"/>
      <c r="V1" s="28"/>
      <c r="W1" s="28"/>
      <c r="X1" s="27" t="s">
        <v>145</v>
      </c>
      <c r="Y1" s="28"/>
      <c r="Z1" s="28"/>
      <c r="AA1" s="28"/>
      <c r="AB1" s="28"/>
      <c r="AC1" s="27" t="s">
        <v>146</v>
      </c>
      <c r="AD1" s="28"/>
      <c r="AE1" s="28"/>
      <c r="AF1" s="13"/>
      <c r="AI1" s="56"/>
      <c r="AJ1" s="57" t="s">
        <v>147</v>
      </c>
      <c r="AK1" s="57" t="s">
        <v>148</v>
      </c>
      <c r="AL1" s="57" t="s">
        <v>149</v>
      </c>
      <c r="AM1" s="56"/>
      <c r="AN1" s="56"/>
      <c r="AO1" s="57" t="s">
        <v>150</v>
      </c>
      <c r="AP1" s="57" t="s">
        <v>151</v>
      </c>
    </row>
    <row r="2" spans="2:42" s="6" customFormat="1" x14ac:dyDescent="0.25">
      <c r="B2" s="30" t="s">
        <v>152</v>
      </c>
      <c r="E2" s="24" t="s">
        <v>153</v>
      </c>
      <c r="F2" s="25" t="s">
        <v>154</v>
      </c>
      <c r="G2" s="26">
        <v>4.6467472563950001E-2</v>
      </c>
      <c r="H2" s="13"/>
      <c r="I2" s="10">
        <v>11703</v>
      </c>
      <c r="J2" s="11">
        <f xml:space="preserve"> 11.27070473*LN(I2)^-0.08418488</f>
        <v>9.3358669836749133</v>
      </c>
      <c r="K2" s="11">
        <f>EXP(J2)^$G$1</f>
        <v>614.38896058000989</v>
      </c>
      <c r="L2" s="12">
        <f>ROUND(K2/$K$10,4)</f>
        <v>0.9909</v>
      </c>
      <c r="M2" s="13"/>
      <c r="N2" s="10">
        <v>6.8000000000000005E-2</v>
      </c>
      <c r="O2" s="11">
        <f>9.57779229*0.98667563^LN(N2)</f>
        <v>9.9294699323604032</v>
      </c>
      <c r="P2" s="12">
        <f>EXP(O2)^$G$2</f>
        <v>1.5862890723726684</v>
      </c>
      <c r="Q2" s="12">
        <f>ROUND(P2/$P$10,4)</f>
        <v>1.0165</v>
      </c>
      <c r="R2" s="13"/>
      <c r="S2" s="10">
        <v>1.0999999999999999E-2</v>
      </c>
      <c r="T2" s="11">
        <f>9.3057995*0.99085691^LN(S2)</f>
        <v>9.6993757149628834</v>
      </c>
      <c r="U2" s="11">
        <f>EXP(T2)^$G$3</f>
        <v>1.5931977834069273</v>
      </c>
      <c r="V2" s="12">
        <f>ROUND(U2/$U$10,4)</f>
        <v>1.0162</v>
      </c>
      <c r="W2" s="13"/>
      <c r="X2" s="14">
        <v>1E-4</v>
      </c>
      <c r="Y2" s="31">
        <f>9.23088404*0.99320482^LN(X2)</f>
        <v>9.8291686035827919</v>
      </c>
      <c r="Z2" s="11">
        <f>EXP(Y2)^$G$4</f>
        <v>5.3394318664801519</v>
      </c>
      <c r="AA2" s="12">
        <f>ROUND(Z2/$Z$10,4)</f>
        <v>1.0965</v>
      </c>
      <c r="AB2" s="13"/>
      <c r="AC2" s="15">
        <v>4.3</v>
      </c>
      <c r="AD2" s="11">
        <f>9.93943263-0.30296633*LN(AC2)</f>
        <v>9.4975213896898616</v>
      </c>
      <c r="AE2" s="11">
        <f>EXP(AD2)^$G$5</f>
        <v>20.53914475490928</v>
      </c>
      <c r="AF2" s="12">
        <f>ROUND(AE2/$AE$10,4)</f>
        <v>0.86880000000000002</v>
      </c>
      <c r="AJ2" s="32" t="s">
        <v>48</v>
      </c>
      <c r="AK2" s="33">
        <f>ROUND(AM2,2)</f>
        <v>3.3</v>
      </c>
      <c r="AL2" s="33">
        <f>ROUND(AN2,2)</f>
        <v>4.34</v>
      </c>
      <c r="AM2" s="32">
        <v>3.3046425172018377</v>
      </c>
      <c r="AN2" s="32">
        <v>4.3361089449541312</v>
      </c>
      <c r="AO2" s="33">
        <f>ROUND(0.27771881219732,2)</f>
        <v>0.28000000000000003</v>
      </c>
      <c r="AP2" s="33">
        <f>ROUND(0.0488190916089297,2)</f>
        <v>0.05</v>
      </c>
    </row>
    <row r="3" spans="2:42" s="6" customFormat="1" x14ac:dyDescent="0.25">
      <c r="B3" s="34" t="s">
        <v>155</v>
      </c>
      <c r="E3" s="24" t="s">
        <v>156</v>
      </c>
      <c r="F3" s="25" t="s">
        <v>157</v>
      </c>
      <c r="G3" s="26">
        <v>4.8017851326480003E-2</v>
      </c>
      <c r="H3" s="13"/>
      <c r="I3" s="15">
        <v>25000</v>
      </c>
      <c r="J3" s="11">
        <f t="shared" ref="J3:J13" si="0" xml:space="preserve"> 11.27070473*LN(I3)^-0.08418488</f>
        <v>9.2748335170226213</v>
      </c>
      <c r="K3" s="11">
        <f t="shared" ref="K3:K13" si="1">EXP(J3)^$G$1</f>
        <v>589.13372453359227</v>
      </c>
      <c r="L3" s="12">
        <f t="shared" ref="L3:L13" si="2">ROUND(K3/$K$10,4)</f>
        <v>0.95020000000000004</v>
      </c>
      <c r="M3" s="13"/>
      <c r="N3" s="15">
        <v>3</v>
      </c>
      <c r="O3" s="11">
        <f t="shared" ref="O3:O13" si="3">9.57779229*0.98667563^LN(N3)</f>
        <v>9.4376820145116014</v>
      </c>
      <c r="P3" s="12">
        <f t="shared" ref="P3:P13" si="4">EXP(O3)^$G$2</f>
        <v>1.5504500289937986</v>
      </c>
      <c r="Q3" s="12">
        <f t="shared" ref="Q3:Q13" si="5">ROUND(P3/$P$10,4)</f>
        <v>0.99350000000000005</v>
      </c>
      <c r="R3" s="13"/>
      <c r="S3" s="15">
        <v>1.5</v>
      </c>
      <c r="T3" s="11">
        <f t="shared" ref="T3:T13" si="6">9.3057995*0.99085691^LN(S3)</f>
        <v>9.2712067797658708</v>
      </c>
      <c r="U3" s="11">
        <f t="shared" ref="U3:U13" si="7">EXP(T3)^$G$3</f>
        <v>1.5607764608803516</v>
      </c>
      <c r="V3" s="12">
        <f t="shared" ref="V3:V13" si="8">ROUND(U3/$U$10,4)</f>
        <v>0.99550000000000005</v>
      </c>
      <c r="W3" s="13"/>
      <c r="X3" s="16">
        <v>7.0000000000000007E-2</v>
      </c>
      <c r="Y3" s="31">
        <f t="shared" ref="Y3:Y13" si="9">9.23088404*0.99320482^LN(X3)</f>
        <v>9.3997834148994777</v>
      </c>
      <c r="Z3" s="11">
        <f t="shared" ref="Z3:Z13" si="10">EXP(Y3)^$G$4</f>
        <v>4.9626606513880054</v>
      </c>
      <c r="AA3" s="12">
        <f t="shared" ref="AA3:AA13" si="11">ROUND(Z3/$Z$10,4)</f>
        <v>1.0190999999999999</v>
      </c>
      <c r="AB3" s="13"/>
      <c r="AC3" s="17">
        <v>3</v>
      </c>
      <c r="AD3" s="11">
        <f t="shared" ref="AD3:AD13" si="12">9.93943263-0.30296633*LN(AC3)</f>
        <v>9.6065900968093221</v>
      </c>
      <c r="AE3" s="11">
        <f t="shared" ref="AE3:AE13" si="13">EXP(AD3)^$G$5</f>
        <v>21.264537287762803</v>
      </c>
      <c r="AF3" s="12">
        <f t="shared" ref="AF3:AF13" si="14">ROUND(AE3/$AE$10,4)</f>
        <v>0.89949999999999997</v>
      </c>
      <c r="AJ3" s="32" t="s">
        <v>59</v>
      </c>
      <c r="AK3" s="33">
        <f t="shared" ref="AK3:AL6" si="15">ROUND(AM3,2)</f>
        <v>4.37</v>
      </c>
      <c r="AL3" s="33">
        <f t="shared" si="15"/>
        <v>8.6300000000000008</v>
      </c>
      <c r="AM3" s="32">
        <v>4.3736850636846309</v>
      </c>
      <c r="AN3" s="32">
        <v>8.6348129870129888</v>
      </c>
    </row>
    <row r="4" spans="2:42" s="6" customFormat="1" x14ac:dyDescent="0.25">
      <c r="B4" s="35" t="s">
        <v>158</v>
      </c>
      <c r="E4" s="24" t="s">
        <v>159</v>
      </c>
      <c r="F4" s="25" t="s">
        <v>160</v>
      </c>
      <c r="G4" s="26">
        <v>0.17042329039473</v>
      </c>
      <c r="H4" s="13"/>
      <c r="I4" s="10">
        <v>49700</v>
      </c>
      <c r="J4" s="11">
        <f t="shared" si="0"/>
        <v>9.2237147772838561</v>
      </c>
      <c r="K4" s="11">
        <f t="shared" si="1"/>
        <v>568.78181494288754</v>
      </c>
      <c r="L4" s="12">
        <f t="shared" si="2"/>
        <v>0.9173</v>
      </c>
      <c r="M4" s="13"/>
      <c r="N4" s="10">
        <v>5.9320000000000004</v>
      </c>
      <c r="O4" s="11">
        <f t="shared" si="3"/>
        <v>9.3517684221981874</v>
      </c>
      <c r="P4" s="12">
        <f t="shared" si="4"/>
        <v>1.5442726805493743</v>
      </c>
      <c r="Q4" s="12">
        <f t="shared" si="5"/>
        <v>0.98960000000000004</v>
      </c>
      <c r="R4" s="13"/>
      <c r="S4" s="10">
        <v>2.9889999999999999</v>
      </c>
      <c r="T4" s="11">
        <f t="shared" si="6"/>
        <v>9.2126785260020103</v>
      </c>
      <c r="U4" s="11">
        <f t="shared" si="7"/>
        <v>1.5563962111853191</v>
      </c>
      <c r="V4" s="12">
        <f t="shared" si="8"/>
        <v>0.99270000000000003</v>
      </c>
      <c r="W4" s="13"/>
      <c r="X4" s="18">
        <v>0.1399</v>
      </c>
      <c r="Y4" s="31">
        <f t="shared" si="9"/>
        <v>9.3555091573494398</v>
      </c>
      <c r="Z4" s="11">
        <f t="shared" si="10"/>
        <v>4.9253564809013879</v>
      </c>
      <c r="AA4" s="12">
        <f t="shared" si="11"/>
        <v>1.0114000000000001</v>
      </c>
      <c r="AB4" s="13"/>
      <c r="AC4" s="15">
        <v>5.71</v>
      </c>
      <c r="AD4" s="11">
        <f t="shared" si="12"/>
        <v>9.4115989263431477</v>
      </c>
      <c r="AE4" s="11">
        <f t="shared" si="13"/>
        <v>19.985160758172881</v>
      </c>
      <c r="AF4" s="12">
        <f t="shared" si="14"/>
        <v>0.84540000000000004</v>
      </c>
      <c r="AJ4" s="32" t="s">
        <v>52</v>
      </c>
      <c r="AK4" s="33">
        <f t="shared" si="15"/>
        <v>6.7</v>
      </c>
      <c r="AL4" s="33">
        <f t="shared" si="15"/>
        <v>10.3</v>
      </c>
      <c r="AM4" s="32">
        <v>6.7007978290366381</v>
      </c>
      <c r="AN4" s="32">
        <v>10.298812754409779</v>
      </c>
    </row>
    <row r="5" spans="2:42" s="6" customFormat="1" x14ac:dyDescent="0.25">
      <c r="B5" s="29" t="s">
        <v>161</v>
      </c>
      <c r="C5" s="29" t="s">
        <v>162</v>
      </c>
      <c r="E5" s="24" t="s">
        <v>163</v>
      </c>
      <c r="F5" s="25" t="s">
        <v>164</v>
      </c>
      <c r="G5" s="26">
        <v>0.31822329654205</v>
      </c>
      <c r="H5" s="13"/>
      <c r="I5" s="15">
        <v>74400</v>
      </c>
      <c r="J5" s="11">
        <f t="shared" si="0"/>
        <v>9.1953155691580513</v>
      </c>
      <c r="K5" s="11">
        <f t="shared" si="1"/>
        <v>557.78060238879937</v>
      </c>
      <c r="L5" s="12">
        <f t="shared" si="2"/>
        <v>0.89959999999999996</v>
      </c>
      <c r="M5" s="13"/>
      <c r="N5" s="15">
        <v>8.8640000000000008</v>
      </c>
      <c r="O5" s="11">
        <f t="shared" si="3"/>
        <v>9.3015209746583327</v>
      </c>
      <c r="P5" s="12">
        <f t="shared" si="4"/>
        <v>1.5406712078020131</v>
      </c>
      <c r="Q5" s="12">
        <f t="shared" si="5"/>
        <v>0.98719999999999997</v>
      </c>
      <c r="R5" s="13"/>
      <c r="S5" s="15">
        <v>4.4779999999999998</v>
      </c>
      <c r="T5" s="11">
        <f t="shared" si="6"/>
        <v>9.1785354500739587</v>
      </c>
      <c r="U5" s="11">
        <f t="shared" si="7"/>
        <v>1.5538466257350929</v>
      </c>
      <c r="V5" s="12">
        <f t="shared" si="8"/>
        <v>0.99109999999999998</v>
      </c>
      <c r="W5" s="13"/>
      <c r="X5" s="19">
        <v>0.20979999999999999</v>
      </c>
      <c r="Y5" s="31">
        <f t="shared" si="9"/>
        <v>9.3296956818446493</v>
      </c>
      <c r="Z5" s="11">
        <f t="shared" si="10"/>
        <v>4.9037363574914874</v>
      </c>
      <c r="AA5" s="12">
        <f t="shared" si="11"/>
        <v>1.0069999999999999</v>
      </c>
      <c r="AB5" s="13"/>
      <c r="AC5" s="17">
        <v>8.42</v>
      </c>
      <c r="AD5" s="11">
        <f t="shared" si="12"/>
        <v>9.293929589671885</v>
      </c>
      <c r="AE5" s="11">
        <f t="shared" si="13"/>
        <v>19.250651645114342</v>
      </c>
      <c r="AF5" s="12">
        <f t="shared" si="14"/>
        <v>0.81430000000000002</v>
      </c>
      <c r="AJ5" s="32" t="s">
        <v>63</v>
      </c>
      <c r="AK5" s="33">
        <f t="shared" si="15"/>
        <v>15.12</v>
      </c>
      <c r="AL5" s="33">
        <f t="shared" si="15"/>
        <v>16.62</v>
      </c>
      <c r="AM5" s="32">
        <v>15.121397020157769</v>
      </c>
      <c r="AN5" s="32">
        <v>16.622085889570553</v>
      </c>
    </row>
    <row r="6" spans="2:42" s="6" customFormat="1" x14ac:dyDescent="0.25">
      <c r="B6" s="24" t="s">
        <v>165</v>
      </c>
      <c r="C6" s="26">
        <v>498</v>
      </c>
      <c r="H6" s="13"/>
      <c r="I6" s="10">
        <v>99100</v>
      </c>
      <c r="J6" s="11">
        <f t="shared" si="0"/>
        <v>9.175801366333685</v>
      </c>
      <c r="K6" s="11">
        <f t="shared" si="1"/>
        <v>550.34482994924281</v>
      </c>
      <c r="L6" s="12">
        <f t="shared" si="2"/>
        <v>0.88759999999999994</v>
      </c>
      <c r="M6" s="13"/>
      <c r="N6" s="10">
        <v>11.795999999999999</v>
      </c>
      <c r="O6" s="11">
        <f t="shared" si="3"/>
        <v>9.2659346513802561</v>
      </c>
      <c r="P6" s="12">
        <f t="shared" si="4"/>
        <v>1.5381256491337731</v>
      </c>
      <c r="Q6" s="12">
        <f t="shared" si="5"/>
        <v>0.98560000000000003</v>
      </c>
      <c r="R6" s="13"/>
      <c r="S6" s="10">
        <v>5.9669999999999996</v>
      </c>
      <c r="T6" s="11">
        <f t="shared" si="6"/>
        <v>9.1543657431897483</v>
      </c>
      <c r="U6" s="11">
        <f t="shared" si="7"/>
        <v>1.5520443125352625</v>
      </c>
      <c r="V6" s="12">
        <f t="shared" si="8"/>
        <v>0.9899</v>
      </c>
      <c r="W6" s="13"/>
      <c r="X6" s="18">
        <v>0.2797</v>
      </c>
      <c r="Y6" s="31">
        <f t="shared" si="9"/>
        <v>9.3114207670546367</v>
      </c>
      <c r="Z6" s="11">
        <f t="shared" si="10"/>
        <v>4.8884875705532602</v>
      </c>
      <c r="AA6" s="12">
        <f t="shared" si="11"/>
        <v>1.0039</v>
      </c>
      <c r="AB6" s="13"/>
      <c r="AC6" s="15">
        <v>11.13</v>
      </c>
      <c r="AD6" s="11">
        <f t="shared" si="12"/>
        <v>9.2093915806369466</v>
      </c>
      <c r="AE6" s="11">
        <f t="shared" si="13"/>
        <v>18.739675259726436</v>
      </c>
      <c r="AF6" s="12">
        <f t="shared" si="14"/>
        <v>0.79269999999999996</v>
      </c>
      <c r="AJ6" s="32" t="s">
        <v>56</v>
      </c>
      <c r="AK6" s="33">
        <f t="shared" si="15"/>
        <v>1.06</v>
      </c>
      <c r="AL6" s="33">
        <f t="shared" si="15"/>
        <v>1.7</v>
      </c>
      <c r="AM6" s="32">
        <v>1.0611546840958612</v>
      </c>
      <c r="AN6" s="32">
        <v>1.7011830065359499</v>
      </c>
    </row>
    <row r="7" spans="2:42" s="6" customFormat="1" x14ac:dyDescent="0.25">
      <c r="B7" s="24" t="s">
        <v>166</v>
      </c>
      <c r="C7" s="26">
        <v>0.79500000000000004</v>
      </c>
      <c r="H7" s="13"/>
      <c r="I7" s="15">
        <v>123800</v>
      </c>
      <c r="J7" s="11">
        <f t="shared" si="0"/>
        <v>9.161012998534293</v>
      </c>
      <c r="K7" s="11">
        <f t="shared" si="1"/>
        <v>544.77590489173053</v>
      </c>
      <c r="L7" s="12">
        <f t="shared" si="2"/>
        <v>0.87860000000000005</v>
      </c>
      <c r="M7" s="13"/>
      <c r="N7" s="15">
        <v>14.728</v>
      </c>
      <c r="O7" s="11">
        <f t="shared" si="3"/>
        <v>9.238383971053862</v>
      </c>
      <c r="P7" s="12">
        <f t="shared" si="4"/>
        <v>1.536157784464091</v>
      </c>
      <c r="Q7" s="12">
        <f t="shared" si="5"/>
        <v>0.98440000000000005</v>
      </c>
      <c r="R7" s="13"/>
      <c r="S7" s="15">
        <v>7.4560000000000004</v>
      </c>
      <c r="T7" s="11">
        <f t="shared" si="6"/>
        <v>9.1356530609722064</v>
      </c>
      <c r="U7" s="11">
        <f t="shared" si="7"/>
        <v>1.5506503606608659</v>
      </c>
      <c r="V7" s="12">
        <f t="shared" si="8"/>
        <v>0.98899999999999999</v>
      </c>
      <c r="W7" s="13"/>
      <c r="X7" s="19">
        <v>0.34960000000000002</v>
      </c>
      <c r="Y7" s="31">
        <f t="shared" si="9"/>
        <v>9.2972689705069556</v>
      </c>
      <c r="Z7" s="11">
        <f t="shared" si="10"/>
        <v>4.876711743244595</v>
      </c>
      <c r="AA7" s="12">
        <f t="shared" si="11"/>
        <v>1.0015000000000001</v>
      </c>
      <c r="AB7" s="13"/>
      <c r="AC7" s="17">
        <v>13.84</v>
      </c>
      <c r="AD7" s="11">
        <f t="shared" si="12"/>
        <v>9.1433695261371071</v>
      </c>
      <c r="AE7" s="11">
        <f t="shared" si="13"/>
        <v>18.350066383243252</v>
      </c>
      <c r="AF7" s="12">
        <f t="shared" si="14"/>
        <v>0.7762</v>
      </c>
    </row>
    <row r="8" spans="2:42" s="6" customFormat="1" x14ac:dyDescent="0.25">
      <c r="B8" s="24" t="s">
        <v>167</v>
      </c>
      <c r="C8" s="26">
        <v>0.63200000000000001</v>
      </c>
      <c r="H8" s="13"/>
      <c r="I8" s="10">
        <v>148500</v>
      </c>
      <c r="J8" s="11">
        <f t="shared" si="0"/>
        <v>9.1491482579841854</v>
      </c>
      <c r="K8" s="11">
        <f t="shared" si="1"/>
        <v>540.34871322457286</v>
      </c>
      <c r="L8" s="12">
        <f t="shared" si="2"/>
        <v>0.87150000000000005</v>
      </c>
      <c r="M8" s="13"/>
      <c r="N8" s="10">
        <v>17.66</v>
      </c>
      <c r="O8" s="11">
        <f t="shared" si="3"/>
        <v>9.2159128902295198</v>
      </c>
      <c r="P8" s="12">
        <f t="shared" si="4"/>
        <v>1.5345546050811743</v>
      </c>
      <c r="Q8" s="12">
        <f t="shared" si="5"/>
        <v>0.98329999999999995</v>
      </c>
      <c r="R8" s="13"/>
      <c r="S8" s="10">
        <v>8.9450000000000003</v>
      </c>
      <c r="T8" s="11">
        <f t="shared" si="6"/>
        <v>9.1203874449310067</v>
      </c>
      <c r="U8" s="11">
        <f t="shared" si="7"/>
        <v>1.5495141162028729</v>
      </c>
      <c r="V8" s="12">
        <f t="shared" si="8"/>
        <v>0.98829999999999996</v>
      </c>
      <c r="W8" s="13"/>
      <c r="X8" s="18">
        <v>0.41949999999999998</v>
      </c>
      <c r="Y8" s="31">
        <f t="shared" si="9"/>
        <v>9.2857213977161059</v>
      </c>
      <c r="Z8" s="11">
        <f t="shared" si="10"/>
        <v>4.8671239321219097</v>
      </c>
      <c r="AA8" s="12">
        <f t="shared" si="11"/>
        <v>0.99950000000000006</v>
      </c>
      <c r="AB8" s="13"/>
      <c r="AC8" s="15">
        <v>16.55</v>
      </c>
      <c r="AD8" s="11">
        <f t="shared" si="12"/>
        <v>9.0891921321676588</v>
      </c>
      <c r="AE8" s="11">
        <f t="shared" si="13"/>
        <v>18.03641343753883</v>
      </c>
      <c r="AF8" s="12">
        <f t="shared" si="14"/>
        <v>0.76290000000000002</v>
      </c>
    </row>
    <row r="9" spans="2:42" s="6" customFormat="1" x14ac:dyDescent="0.25">
      <c r="B9" s="24" t="s">
        <v>168</v>
      </c>
      <c r="C9" s="26">
        <v>0.625</v>
      </c>
      <c r="H9" s="13"/>
      <c r="I9" s="15">
        <v>173200</v>
      </c>
      <c r="J9" s="11">
        <f t="shared" si="0"/>
        <v>9.1392656929786416</v>
      </c>
      <c r="K9" s="11">
        <f t="shared" si="1"/>
        <v>536.68862428355237</v>
      </c>
      <c r="L9" s="12">
        <f t="shared" si="2"/>
        <v>0.86560000000000004</v>
      </c>
      <c r="M9" s="13"/>
      <c r="N9" s="15">
        <v>20.591999999999999</v>
      </c>
      <c r="O9" s="11">
        <f t="shared" si="3"/>
        <v>9.1969440944070495</v>
      </c>
      <c r="P9" s="12">
        <f t="shared" si="4"/>
        <v>1.5332025954871433</v>
      </c>
      <c r="Q9" s="12">
        <f t="shared" si="5"/>
        <v>0.98250000000000004</v>
      </c>
      <c r="R9" s="13"/>
      <c r="S9" s="15">
        <v>10.433999999999999</v>
      </c>
      <c r="T9" s="11">
        <f t="shared" si="6"/>
        <v>9.1074977573374909</v>
      </c>
      <c r="U9" s="11">
        <f t="shared" si="7"/>
        <v>1.5485553642577432</v>
      </c>
      <c r="V9" s="12">
        <f t="shared" si="8"/>
        <v>0.98770000000000002</v>
      </c>
      <c r="W9" s="13"/>
      <c r="X9" s="19">
        <v>0.4894</v>
      </c>
      <c r="Y9" s="31">
        <f t="shared" si="9"/>
        <v>9.2759688588311473</v>
      </c>
      <c r="Z9" s="11">
        <f t="shared" si="10"/>
        <v>4.8590412001083871</v>
      </c>
      <c r="AA9" s="12">
        <f t="shared" si="11"/>
        <v>0.99780000000000002</v>
      </c>
      <c r="AB9" s="13"/>
      <c r="AC9" s="17">
        <v>19.260000000000002</v>
      </c>
      <c r="AD9" s="11">
        <f t="shared" si="12"/>
        <v>9.0432490137536803</v>
      </c>
      <c r="AE9" s="11">
        <f t="shared" si="13"/>
        <v>17.774636272439562</v>
      </c>
      <c r="AF9" s="12">
        <f t="shared" si="14"/>
        <v>0.75190000000000001</v>
      </c>
    </row>
    <row r="10" spans="2:42" s="6" customFormat="1" x14ac:dyDescent="0.25">
      <c r="B10" s="24" t="s">
        <v>169</v>
      </c>
      <c r="C10" s="26">
        <v>9.4779834658540008</v>
      </c>
      <c r="H10" s="15" t="s">
        <v>170</v>
      </c>
      <c r="I10" s="15">
        <v>10000</v>
      </c>
      <c r="J10" s="11">
        <f t="shared" si="0"/>
        <v>9.349182551592099</v>
      </c>
      <c r="K10" s="11">
        <f t="shared" si="1"/>
        <v>620.04114123687327</v>
      </c>
      <c r="L10" s="12">
        <f t="shared" si="2"/>
        <v>1</v>
      </c>
      <c r="M10" s="15" t="s">
        <v>170</v>
      </c>
      <c r="N10" s="15">
        <v>1</v>
      </c>
      <c r="O10" s="11">
        <f t="shared" si="3"/>
        <v>9.5777922899999997</v>
      </c>
      <c r="P10" s="12">
        <f t="shared" si="4"/>
        <v>1.560577274331014</v>
      </c>
      <c r="Q10" s="12">
        <f t="shared" si="5"/>
        <v>1</v>
      </c>
      <c r="R10" s="15" t="s">
        <v>170</v>
      </c>
      <c r="S10" s="15">
        <v>0.5</v>
      </c>
      <c r="T10" s="11">
        <f t="shared" si="6"/>
        <v>9.3652353372155392</v>
      </c>
      <c r="U10" s="11">
        <f t="shared" si="7"/>
        <v>1.5678393762421001</v>
      </c>
      <c r="V10" s="12">
        <f t="shared" si="8"/>
        <v>1</v>
      </c>
      <c r="W10" s="15" t="s">
        <v>170</v>
      </c>
      <c r="X10" s="19">
        <v>0.4</v>
      </c>
      <c r="Y10" s="31">
        <f t="shared" si="9"/>
        <v>9.2887355450420639</v>
      </c>
      <c r="Z10" s="11">
        <f t="shared" si="10"/>
        <v>4.8696247229974983</v>
      </c>
      <c r="AA10" s="12">
        <f t="shared" si="11"/>
        <v>1</v>
      </c>
      <c r="AB10" s="15" t="s">
        <v>170</v>
      </c>
      <c r="AC10" s="17">
        <v>1</v>
      </c>
      <c r="AD10" s="11">
        <f t="shared" si="12"/>
        <v>9.9394326300000007</v>
      </c>
      <c r="AE10" s="11">
        <f t="shared" si="13"/>
        <v>23.640445021002588</v>
      </c>
      <c r="AF10" s="12">
        <f t="shared" si="14"/>
        <v>1</v>
      </c>
    </row>
    <row r="11" spans="2:42" s="6" customFormat="1" x14ac:dyDescent="0.25">
      <c r="B11" s="24" t="s">
        <v>171</v>
      </c>
      <c r="C11" s="26">
        <v>0.19512047936400001</v>
      </c>
      <c r="H11" s="15" t="s">
        <v>172</v>
      </c>
      <c r="I11" s="15">
        <v>300</v>
      </c>
      <c r="J11" s="11">
        <f t="shared" si="0"/>
        <v>9.7340502686733803</v>
      </c>
      <c r="K11" s="11">
        <f t="shared" si="1"/>
        <v>807.92876535616563</v>
      </c>
      <c r="L11" s="12">
        <f t="shared" si="2"/>
        <v>1.3029999999999999</v>
      </c>
      <c r="M11" s="15" t="s">
        <v>172</v>
      </c>
      <c r="N11" s="15">
        <v>6.8000000000000005E-2</v>
      </c>
      <c r="O11" s="11">
        <f t="shared" si="3"/>
        <v>9.9294699323604032</v>
      </c>
      <c r="P11" s="12">
        <f t="shared" si="4"/>
        <v>1.5862890723726684</v>
      </c>
      <c r="Q11" s="12">
        <f t="shared" si="5"/>
        <v>1.0165</v>
      </c>
      <c r="R11" s="15" t="s">
        <v>172</v>
      </c>
      <c r="S11" s="15">
        <v>1.0999999999999999E-2</v>
      </c>
      <c r="T11" s="11">
        <f t="shared" si="6"/>
        <v>9.6993757149628834</v>
      </c>
      <c r="U11" s="11">
        <f t="shared" si="7"/>
        <v>1.5931977834069273</v>
      </c>
      <c r="V11" s="12">
        <f t="shared" si="8"/>
        <v>1.0162</v>
      </c>
      <c r="W11" s="15" t="s">
        <v>172</v>
      </c>
      <c r="X11" s="19">
        <v>1E-4</v>
      </c>
      <c r="Y11" s="31">
        <f t="shared" si="9"/>
        <v>9.8291686035827919</v>
      </c>
      <c r="Z11" s="11">
        <f t="shared" si="10"/>
        <v>5.3394318664801519</v>
      </c>
      <c r="AA11" s="12">
        <f t="shared" si="11"/>
        <v>1.0965</v>
      </c>
      <c r="AB11" s="15" t="s">
        <v>172</v>
      </c>
      <c r="AC11" s="17">
        <v>0.28999999999999998</v>
      </c>
      <c r="AD11" s="11">
        <f t="shared" si="12"/>
        <v>10.314466880638925</v>
      </c>
      <c r="AE11" s="11">
        <f t="shared" si="13"/>
        <v>26.637064624434782</v>
      </c>
      <c r="AF11" s="12">
        <f t="shared" si="14"/>
        <v>1.1268</v>
      </c>
    </row>
    <row r="12" spans="2:42" s="6" customFormat="1" x14ac:dyDescent="0.25">
      <c r="B12" s="24" t="s">
        <v>173</v>
      </c>
      <c r="C12" s="26">
        <v>1.671</v>
      </c>
      <c r="H12" s="20" t="s">
        <v>174</v>
      </c>
      <c r="I12" s="20">
        <v>170591</v>
      </c>
      <c r="J12" s="11">
        <f t="shared" si="0"/>
        <v>9.1402344906894015</v>
      </c>
      <c r="K12" s="11">
        <f t="shared" si="1"/>
        <v>537.04632766867235</v>
      </c>
      <c r="L12" s="12">
        <f t="shared" si="2"/>
        <v>0.86609999999999998</v>
      </c>
      <c r="M12" s="20" t="s">
        <v>174</v>
      </c>
      <c r="N12" s="20">
        <v>20.844000000000001</v>
      </c>
      <c r="O12" s="11">
        <f t="shared" si="3"/>
        <v>9.1954436413563201</v>
      </c>
      <c r="P12" s="12">
        <f t="shared" si="4"/>
        <v>1.5330957008621744</v>
      </c>
      <c r="Q12" s="12">
        <f t="shared" si="5"/>
        <v>0.98240000000000005</v>
      </c>
      <c r="R12" s="20" t="s">
        <v>174</v>
      </c>
      <c r="S12" s="20">
        <v>0.98399999999999999</v>
      </c>
      <c r="T12" s="11">
        <f t="shared" si="6"/>
        <v>9.3071782628868807</v>
      </c>
      <c r="U12" s="11">
        <f t="shared" si="7"/>
        <v>1.5634746780414075</v>
      </c>
      <c r="V12" s="12">
        <f t="shared" si="8"/>
        <v>0.99719999999999998</v>
      </c>
      <c r="W12" s="20" t="s">
        <v>174</v>
      </c>
      <c r="X12" s="21">
        <v>0.497</v>
      </c>
      <c r="Y12" s="31">
        <f t="shared" si="9"/>
        <v>9.2749942815128144</v>
      </c>
      <c r="Z12" s="11">
        <f t="shared" si="10"/>
        <v>4.8582342257010183</v>
      </c>
      <c r="AA12" s="12">
        <f t="shared" si="11"/>
        <v>0.99770000000000003</v>
      </c>
      <c r="AB12" s="20" t="s">
        <v>174</v>
      </c>
      <c r="AC12" s="22">
        <v>18.93</v>
      </c>
      <c r="AD12" s="11">
        <f t="shared" si="12"/>
        <v>9.0484850115219562</v>
      </c>
      <c r="AE12" s="11">
        <f t="shared" si="13"/>
        <v>17.80427735152341</v>
      </c>
      <c r="AF12" s="12">
        <f t="shared" si="14"/>
        <v>0.75309999999999999</v>
      </c>
    </row>
    <row r="13" spans="2:42" s="6" customFormat="1" x14ac:dyDescent="0.25">
      <c r="B13" s="24" t="s">
        <v>175</v>
      </c>
      <c r="C13" s="26">
        <v>16.065000000000001</v>
      </c>
      <c r="H13" s="10" t="s">
        <v>176</v>
      </c>
      <c r="I13" s="10">
        <f>Q18</f>
        <v>10000</v>
      </c>
      <c r="J13" s="11">
        <f t="shared" si="0"/>
        <v>9.349182551592099</v>
      </c>
      <c r="K13" s="11">
        <f t="shared" si="1"/>
        <v>620.04114123687327</v>
      </c>
      <c r="L13" s="12">
        <f t="shared" si="2"/>
        <v>1</v>
      </c>
      <c r="M13" s="10" t="s">
        <v>176</v>
      </c>
      <c r="N13" s="10">
        <f>R18</f>
        <v>0.5</v>
      </c>
      <c r="O13" s="11">
        <f t="shared" si="3"/>
        <v>9.6672602769030256</v>
      </c>
      <c r="P13" s="12">
        <f t="shared" si="4"/>
        <v>1.5670786470579539</v>
      </c>
      <c r="Q13" s="12">
        <f t="shared" si="5"/>
        <v>1.0042</v>
      </c>
      <c r="R13" s="10" t="s">
        <v>176</v>
      </c>
      <c r="S13" s="10">
        <f>S18</f>
        <v>0.5</v>
      </c>
      <c r="T13" s="11">
        <f t="shared" si="6"/>
        <v>9.3652353372155392</v>
      </c>
      <c r="U13" s="11">
        <f t="shared" si="7"/>
        <v>1.5678393762421001</v>
      </c>
      <c r="V13" s="12">
        <f t="shared" si="8"/>
        <v>1</v>
      </c>
      <c r="W13" s="10" t="s">
        <v>176</v>
      </c>
      <c r="X13" s="14">
        <f>T18</f>
        <v>0.2</v>
      </c>
      <c r="Y13" s="31">
        <f t="shared" si="9"/>
        <v>9.3327392704459733</v>
      </c>
      <c r="Z13" s="11">
        <f t="shared" si="10"/>
        <v>4.9062805774002376</v>
      </c>
      <c r="AA13" s="12">
        <f t="shared" si="11"/>
        <v>1.0075000000000001</v>
      </c>
      <c r="AB13" s="10" t="s">
        <v>176</v>
      </c>
      <c r="AC13" s="10">
        <f>U18</f>
        <v>0.2</v>
      </c>
      <c r="AD13" s="11">
        <f t="shared" si="12"/>
        <v>10.427038127693022</v>
      </c>
      <c r="AE13" s="11">
        <f t="shared" si="13"/>
        <v>27.608575919058154</v>
      </c>
      <c r="AF13" s="12">
        <f t="shared" si="14"/>
        <v>1.1678999999999999</v>
      </c>
    </row>
    <row r="14" spans="2:42" s="6" customFormat="1" x14ac:dyDescent="0.25">
      <c r="B14" s="34" t="s">
        <v>177</v>
      </c>
    </row>
    <row r="15" spans="2:42" s="6" customFormat="1" x14ac:dyDescent="0.25">
      <c r="B15" s="29" t="s">
        <v>161</v>
      </c>
      <c r="C15" s="29" t="s">
        <v>178</v>
      </c>
      <c r="D15" s="29" t="s">
        <v>179</v>
      </c>
      <c r="E15" s="29" t="s">
        <v>180</v>
      </c>
    </row>
    <row r="16" spans="2:42" s="6" customFormat="1" x14ac:dyDescent="0.25">
      <c r="B16" s="24" t="s">
        <v>181</v>
      </c>
      <c r="C16" s="26">
        <v>31.9</v>
      </c>
      <c r="D16" s="26">
        <v>18.541</v>
      </c>
      <c r="E16" s="26">
        <v>50.441000000000003</v>
      </c>
    </row>
    <row r="17" spans="2:26" s="6" customFormat="1" x14ac:dyDescent="0.25">
      <c r="B17" s="24" t="s">
        <v>182</v>
      </c>
      <c r="C17" s="26">
        <v>10</v>
      </c>
      <c r="D17" s="26">
        <v>487</v>
      </c>
      <c r="E17" s="26">
        <v>497</v>
      </c>
      <c r="L17" s="3" t="s">
        <v>106</v>
      </c>
      <c r="M17" s="36" t="s">
        <v>107</v>
      </c>
      <c r="N17" s="3" t="s">
        <v>108</v>
      </c>
      <c r="O17" s="36" t="s">
        <v>109</v>
      </c>
      <c r="P17" s="3" t="s">
        <v>110</v>
      </c>
      <c r="Q17" s="36" t="s">
        <v>111</v>
      </c>
      <c r="R17" s="3" t="s">
        <v>112</v>
      </c>
      <c r="S17" s="36" t="s">
        <v>113</v>
      </c>
      <c r="T17" s="3" t="s">
        <v>114</v>
      </c>
      <c r="U17" s="36" t="s">
        <v>115</v>
      </c>
      <c r="W17" s="6" t="s">
        <v>133</v>
      </c>
    </row>
    <row r="18" spans="2:26" s="6" customFormat="1" x14ac:dyDescent="0.25">
      <c r="B18" s="24" t="s">
        <v>183</v>
      </c>
      <c r="C18" s="26">
        <v>3.19</v>
      </c>
      <c r="D18" s="26">
        <v>3.7999999999999999E-2</v>
      </c>
      <c r="E18" s="26"/>
      <c r="L18" s="37" t="s">
        <v>56</v>
      </c>
      <c r="M18" s="37" t="s">
        <v>184</v>
      </c>
      <c r="N18" s="37" t="s">
        <v>53</v>
      </c>
      <c r="O18" s="37" t="s">
        <v>54</v>
      </c>
      <c r="P18" s="37" t="s">
        <v>47</v>
      </c>
      <c r="Q18" s="37">
        <v>10000</v>
      </c>
      <c r="R18" s="37">
        <v>0.5</v>
      </c>
      <c r="S18" s="37">
        <v>0.5</v>
      </c>
      <c r="T18" s="37">
        <v>0.2</v>
      </c>
      <c r="U18" s="37">
        <v>0.2</v>
      </c>
    </row>
    <row r="19" spans="2:26" s="6" customFormat="1" x14ac:dyDescent="0.25">
      <c r="B19" s="24" t="s">
        <v>185</v>
      </c>
      <c r="C19" s="26">
        <v>83.789000000000001</v>
      </c>
      <c r="D19" s="26"/>
      <c r="E19" s="26"/>
      <c r="K19" s="29" t="s">
        <v>78</v>
      </c>
      <c r="L19" s="29" t="s">
        <v>72</v>
      </c>
      <c r="M19" s="29" t="s">
        <v>186</v>
      </c>
      <c r="N19" s="29" t="s">
        <v>73</v>
      </c>
      <c r="O19" s="29" t="s">
        <v>187</v>
      </c>
      <c r="P19" s="29" t="s">
        <v>19</v>
      </c>
      <c r="Q19" s="29" t="s">
        <v>143</v>
      </c>
      <c r="R19" s="29" t="s">
        <v>25</v>
      </c>
      <c r="S19" s="29" t="s">
        <v>144</v>
      </c>
      <c r="T19" s="29" t="s">
        <v>145</v>
      </c>
      <c r="U19" s="29" t="s">
        <v>146</v>
      </c>
      <c r="V19" s="38" t="s">
        <v>135</v>
      </c>
      <c r="W19" s="39" t="s">
        <v>188</v>
      </c>
      <c r="X19" s="40" t="s">
        <v>189</v>
      </c>
      <c r="Y19" s="29" t="s">
        <v>190</v>
      </c>
    </row>
    <row r="20" spans="2:26" s="6" customFormat="1" x14ac:dyDescent="0.25">
      <c r="B20" s="24" t="s">
        <v>191</v>
      </c>
      <c r="C20" s="26">
        <v>0</v>
      </c>
      <c r="D20" s="26"/>
      <c r="E20" s="26"/>
      <c r="K20" s="32">
        <f>EXP(C23)</f>
        <v>6.8781084838753462E-2</v>
      </c>
      <c r="L20" s="32">
        <f>VLOOKUP(L18,$B:$D,3,FALSE)</f>
        <v>1</v>
      </c>
      <c r="M20" s="32">
        <f>VLOOKUP(M18,$B:$D,3,FALSE)</f>
        <v>1</v>
      </c>
      <c r="N20" s="32">
        <f>VLOOKUP(N18,$B:$D,3,FALSE)</f>
        <v>1</v>
      </c>
      <c r="O20" s="32">
        <f>VLOOKUP(O18,$B:$D,3,FALSE)</f>
        <v>1</v>
      </c>
      <c r="P20" s="32">
        <f>VLOOKUP(P18,$B:$D,3,FALSE)</f>
        <v>1.0954999999999999</v>
      </c>
      <c r="Q20" s="32">
        <f>K13</f>
        <v>620.04114123687327</v>
      </c>
      <c r="R20" s="32">
        <f>P13</f>
        <v>1.5670786470579539</v>
      </c>
      <c r="S20" s="32">
        <f>U13</f>
        <v>1.5678393762421001</v>
      </c>
      <c r="T20" s="32">
        <f>Z13</f>
        <v>4.9062805774002376</v>
      </c>
      <c r="U20" s="32">
        <f>AE13</f>
        <v>27.608575919058154</v>
      </c>
      <c r="V20" s="41">
        <f>PRODUCT(K20:U20)</f>
        <v>15548.57730819784</v>
      </c>
      <c r="W20" s="42">
        <v>0.75</v>
      </c>
      <c r="X20" s="42">
        <f>V20*W20</f>
        <v>11661.43298114838</v>
      </c>
      <c r="Y20" s="43">
        <f>ROUND(V20*$Q$18,2)</f>
        <v>155485773.08000001</v>
      </c>
      <c r="Z20" s="44"/>
    </row>
    <row r="21" spans="2:26" s="6" customFormat="1" x14ac:dyDescent="0.25">
      <c r="B21" s="34" t="s">
        <v>192</v>
      </c>
      <c r="K21" s="45">
        <f>ROUND(K20*K10*P10*U10*Z10*AE10,4)</f>
        <v>12012.3372</v>
      </c>
      <c r="L21" s="32">
        <f>VLOOKUP(L18,$B:$D,3,FALSE)</f>
        <v>1</v>
      </c>
      <c r="M21" s="32">
        <f>VLOOKUP(M18,$B:$D,3,FALSE)</f>
        <v>1</v>
      </c>
      <c r="N21" s="32">
        <f>VLOOKUP(N18,$B:$D,3,FALSE)</f>
        <v>1</v>
      </c>
      <c r="O21" s="32">
        <f>VLOOKUP(O18,$B:$D,3,FALSE)</f>
        <v>1</v>
      </c>
      <c r="P21" s="32">
        <f>VLOOKUP(P18,$B:$D,3,FALSE)</f>
        <v>1.0954999999999999</v>
      </c>
      <c r="Q21" s="32">
        <f>K13/K10</f>
        <v>1</v>
      </c>
      <c r="R21" s="32">
        <f>P13/P10</f>
        <v>1.0041660049994812</v>
      </c>
      <c r="S21" s="32">
        <f>U13/U10</f>
        <v>1</v>
      </c>
      <c r="T21" s="32">
        <f>Z13/Z10</f>
        <v>1.0075274495444437</v>
      </c>
      <c r="U21" s="32">
        <f>AE13/AE10</f>
        <v>1.1678534771460609</v>
      </c>
      <c r="V21" s="41">
        <f>PRODUCT(K21:U21)</f>
        <v>15548.577284730924</v>
      </c>
      <c r="W21" s="42"/>
      <c r="X21" s="42"/>
      <c r="Y21" s="43">
        <f>ROUND(V21*$Q$18,2)</f>
        <v>155485772.84999999</v>
      </c>
      <c r="Z21" s="44"/>
    </row>
    <row r="22" spans="2:26" s="6" customFormat="1" x14ac:dyDescent="0.25">
      <c r="B22" s="29" t="s">
        <v>193</v>
      </c>
      <c r="C22" s="29" t="s">
        <v>194</v>
      </c>
      <c r="D22" s="29" t="s">
        <v>195</v>
      </c>
      <c r="E22" s="29" t="s">
        <v>196</v>
      </c>
      <c r="F22" s="29" t="s">
        <v>197</v>
      </c>
      <c r="G22" s="29" t="s">
        <v>198</v>
      </c>
      <c r="K22" s="32">
        <f>C23</f>
        <v>-2.6768265015122101</v>
      </c>
      <c r="L22" s="32">
        <f>VLOOKUP(L18,$B:$C,2,FALSE)</f>
        <v>0</v>
      </c>
      <c r="M22" s="32">
        <f>VLOOKUP(M18,$B:$C,2,FALSE)</f>
        <v>0</v>
      </c>
      <c r="N22" s="32">
        <f>VLOOKUP(N18,$B:$C,2,FALSE)</f>
        <v>0</v>
      </c>
      <c r="O22" s="32">
        <f>VLOOKUP(O18,$B:$C,2,FALSE)</f>
        <v>0</v>
      </c>
      <c r="P22" s="32">
        <f>VLOOKUP(P18,$B:$C,2,FALSE)</f>
        <v>9.1217000000000006E-2</v>
      </c>
      <c r="Q22" s="32">
        <f>J13*G1</f>
        <v>6.4297858326712864</v>
      </c>
      <c r="R22" s="32">
        <f>O13*G2</f>
        <v>0.44921315168555503</v>
      </c>
      <c r="S22" s="32">
        <f>T13*G3</f>
        <v>0.44969847805991259</v>
      </c>
      <c r="T22" s="32">
        <f>Y13*G4</f>
        <v>1.5905161348655148</v>
      </c>
      <c r="U22" s="32">
        <f>AD13*G5</f>
        <v>3.3181264461641184</v>
      </c>
      <c r="V22" s="41">
        <f>EXP(SUM(K22:U22))</f>
        <v>15548.672464952086</v>
      </c>
      <c r="W22" s="42"/>
      <c r="X22" s="42"/>
      <c r="Y22" s="43">
        <f>ROUND(V22*$Q$18,2)</f>
        <v>155486724.65000001</v>
      </c>
      <c r="Z22" s="44"/>
    </row>
    <row r="23" spans="2:26" s="6" customFormat="1" x14ac:dyDescent="0.25">
      <c r="B23" s="24" t="s">
        <v>78</v>
      </c>
      <c r="C23" s="26">
        <v>-2.6768265015122101</v>
      </c>
      <c r="D23" s="26">
        <v>1.91194403074296</v>
      </c>
      <c r="E23" s="26"/>
      <c r="F23" s="26">
        <v>-1.4</v>
      </c>
      <c r="G23" s="26">
        <v>0.16200000000000001</v>
      </c>
    </row>
    <row r="24" spans="2:26" s="6" customFormat="1" x14ac:dyDescent="0.25">
      <c r="B24" s="24" t="s">
        <v>199</v>
      </c>
      <c r="C24" s="26">
        <v>0.68773775644976998</v>
      </c>
      <c r="D24" s="26">
        <v>7.3914074684879996E-2</v>
      </c>
      <c r="E24" s="26">
        <v>0.27100000000000002</v>
      </c>
      <c r="F24" s="26">
        <v>9.3049999999999997</v>
      </c>
      <c r="G24" s="26">
        <v>0</v>
      </c>
    </row>
    <row r="25" spans="2:26" s="6" customFormat="1" x14ac:dyDescent="0.25">
      <c r="B25" s="24" t="s">
        <v>200</v>
      </c>
      <c r="C25" s="26">
        <v>4.6467472563950001E-2</v>
      </c>
      <c r="D25" s="26">
        <v>8.2821136676429999E-2</v>
      </c>
      <c r="E25" s="26">
        <v>1.9E-2</v>
      </c>
      <c r="F25" s="26">
        <v>0.56100000000000005</v>
      </c>
      <c r="G25" s="26">
        <v>0.57499999999999996</v>
      </c>
    </row>
    <row r="26" spans="2:26" s="6" customFormat="1" x14ac:dyDescent="0.25">
      <c r="B26" s="24" t="s">
        <v>201</v>
      </c>
      <c r="C26" s="26">
        <v>4.8017851326480003E-2</v>
      </c>
      <c r="D26" s="26">
        <v>0.14329812868785999</v>
      </c>
      <c r="E26" s="26">
        <v>0.01</v>
      </c>
      <c r="F26" s="26">
        <v>0.33500000000000002</v>
      </c>
      <c r="G26" s="26">
        <v>0.73799999999999999</v>
      </c>
    </row>
    <row r="27" spans="2:26" s="6" customFormat="1" x14ac:dyDescent="0.25">
      <c r="B27" s="24" t="s">
        <v>202</v>
      </c>
      <c r="C27" s="26">
        <v>0.17042329039473</v>
      </c>
      <c r="D27" s="26">
        <v>0.12346799719031</v>
      </c>
      <c r="E27" s="26">
        <v>0.04</v>
      </c>
      <c r="F27" s="26">
        <v>1.38</v>
      </c>
      <c r="G27" s="26">
        <v>0.16800000000000001</v>
      </c>
    </row>
    <row r="28" spans="2:26" s="6" customFormat="1" x14ac:dyDescent="0.25">
      <c r="B28" s="24" t="s">
        <v>203</v>
      </c>
      <c r="C28" s="26">
        <v>0.31822329654205</v>
      </c>
      <c r="D28" s="26">
        <v>8.6674992795269995E-2</v>
      </c>
      <c r="E28" s="26">
        <v>0.214</v>
      </c>
      <c r="F28" s="26">
        <v>3.6709999999999998</v>
      </c>
      <c r="G28" s="26">
        <v>0</v>
      </c>
    </row>
    <row r="29" spans="2:26" s="6" customFormat="1" x14ac:dyDescent="0.25">
      <c r="B29" s="24" t="s">
        <v>204</v>
      </c>
      <c r="C29" s="26">
        <v>1</v>
      </c>
      <c r="D29" s="26">
        <v>0.20082101735692001</v>
      </c>
      <c r="E29" s="26">
        <v>0.14299999999999999</v>
      </c>
      <c r="F29" s="26">
        <v>4.9800000000000004</v>
      </c>
      <c r="G29" s="26">
        <v>0</v>
      </c>
    </row>
    <row r="30" spans="2:26" s="6" customFormat="1" x14ac:dyDescent="0.25">
      <c r="B30" s="24" t="s">
        <v>205</v>
      </c>
      <c r="C30" s="26">
        <v>1</v>
      </c>
      <c r="D30" s="26">
        <v>0.24771891286110001</v>
      </c>
      <c r="E30" s="26">
        <v>0.115</v>
      </c>
      <c r="F30" s="26">
        <v>4.0369999999999999</v>
      </c>
      <c r="G30" s="26">
        <v>0</v>
      </c>
    </row>
    <row r="31" spans="2:26" s="6" customFormat="1" x14ac:dyDescent="0.25">
      <c r="B31" s="24" t="s">
        <v>206</v>
      </c>
      <c r="C31" s="26">
        <v>1</v>
      </c>
      <c r="D31" s="26">
        <v>1.28143910137404</v>
      </c>
      <c r="E31" s="26">
        <v>2.7E-2</v>
      </c>
      <c r="F31" s="26">
        <v>0.78</v>
      </c>
      <c r="G31" s="26">
        <v>0.436</v>
      </c>
    </row>
    <row r="32" spans="2:26" s="6" customFormat="1" x14ac:dyDescent="0.25">
      <c r="B32" s="24" t="s">
        <v>207</v>
      </c>
      <c r="C32" s="26">
        <v>1</v>
      </c>
      <c r="D32" s="26">
        <v>0.59328218933350996</v>
      </c>
      <c r="E32" s="26">
        <v>0.06</v>
      </c>
      <c r="F32" s="26">
        <v>1.6859999999999999</v>
      </c>
      <c r="G32" s="26">
        <v>9.2999999999999999E-2</v>
      </c>
    </row>
    <row r="33" spans="1:7" s="6" customFormat="1" x14ac:dyDescent="0.25">
      <c r="B33" s="24" t="s">
        <v>208</v>
      </c>
      <c r="C33" s="26">
        <v>1</v>
      </c>
      <c r="D33" s="26">
        <v>0.12011574863968</v>
      </c>
      <c r="E33" s="26">
        <v>0.46100000000000002</v>
      </c>
      <c r="F33" s="26">
        <v>8.3249999999999993</v>
      </c>
      <c r="G33" s="26">
        <v>0</v>
      </c>
    </row>
    <row r="34" spans="1:7" s="6" customFormat="1" x14ac:dyDescent="0.25">
      <c r="B34" s="30" t="s">
        <v>209</v>
      </c>
    </row>
    <row r="35" spans="1:7" s="6" customFormat="1" x14ac:dyDescent="0.25">
      <c r="A35" s="24" t="s">
        <v>141</v>
      </c>
      <c r="B35" s="24" t="s">
        <v>142</v>
      </c>
      <c r="C35" s="26">
        <v>0.68773775644976998</v>
      </c>
    </row>
    <row r="36" spans="1:7" s="6" customFormat="1" x14ac:dyDescent="0.25">
      <c r="A36" s="24" t="s">
        <v>153</v>
      </c>
      <c r="B36" s="24" t="s">
        <v>154</v>
      </c>
      <c r="C36" s="26">
        <v>4.6467472563950001E-2</v>
      </c>
    </row>
    <row r="37" spans="1:7" s="6" customFormat="1" x14ac:dyDescent="0.25">
      <c r="A37" s="24" t="s">
        <v>156</v>
      </c>
      <c r="B37" s="24" t="s">
        <v>157</v>
      </c>
      <c r="C37" s="26">
        <v>4.8017851326480003E-2</v>
      </c>
    </row>
    <row r="38" spans="1:7" s="6" customFormat="1" x14ac:dyDescent="0.25">
      <c r="A38" s="24" t="s">
        <v>159</v>
      </c>
      <c r="B38" s="24" t="s">
        <v>160</v>
      </c>
      <c r="C38" s="26">
        <v>0.17042329039473</v>
      </c>
    </row>
    <row r="39" spans="1:7" s="6" customFormat="1" x14ac:dyDescent="0.25">
      <c r="A39" s="24" t="s">
        <v>163</v>
      </c>
      <c r="B39" s="24" t="s">
        <v>164</v>
      </c>
      <c r="C39" s="26">
        <v>0.31822329654205</v>
      </c>
    </row>
    <row r="40" spans="1:7" s="6" customFormat="1" x14ac:dyDescent="0.25">
      <c r="B40" s="24" t="s">
        <v>51</v>
      </c>
      <c r="C40" s="26">
        <v>0</v>
      </c>
      <c r="D40" s="32">
        <f>ROUND(EXP(C40)^1,4)</f>
        <v>1</v>
      </c>
    </row>
    <row r="41" spans="1:7" s="6" customFormat="1" x14ac:dyDescent="0.25">
      <c r="B41" s="24" t="s">
        <v>47</v>
      </c>
      <c r="C41" s="26">
        <v>9.1217000000000006E-2</v>
      </c>
      <c r="D41" s="32">
        <f t="shared" ref="D41:D52" si="16">ROUND(EXP(C41)^1,4)</f>
        <v>1.0954999999999999</v>
      </c>
    </row>
    <row r="42" spans="1:7" s="6" customFormat="1" x14ac:dyDescent="0.25">
      <c r="B42" s="24" t="s">
        <v>184</v>
      </c>
      <c r="C42" s="26">
        <v>0</v>
      </c>
      <c r="D42" s="32">
        <f t="shared" si="16"/>
        <v>1</v>
      </c>
    </row>
    <row r="43" spans="1:7" s="6" customFormat="1" x14ac:dyDescent="0.25">
      <c r="B43" s="24" t="s">
        <v>23</v>
      </c>
      <c r="C43" s="26">
        <v>0.119518</v>
      </c>
      <c r="D43" s="32">
        <f t="shared" si="16"/>
        <v>1.127</v>
      </c>
    </row>
    <row r="44" spans="1:7" s="6" customFormat="1" x14ac:dyDescent="0.25">
      <c r="B44" s="24" t="s">
        <v>54</v>
      </c>
      <c r="C44" s="26">
        <v>0</v>
      </c>
      <c r="D44" s="32">
        <f t="shared" si="16"/>
        <v>1</v>
      </c>
    </row>
    <row r="45" spans="1:7" s="6" customFormat="1" x14ac:dyDescent="0.25">
      <c r="B45" s="24" t="s">
        <v>24</v>
      </c>
      <c r="C45" s="26">
        <v>7.2999999999999995E-2</v>
      </c>
      <c r="D45" s="32">
        <f t="shared" si="16"/>
        <v>1.0757000000000001</v>
      </c>
    </row>
    <row r="46" spans="1:7" s="6" customFormat="1" x14ac:dyDescent="0.25">
      <c r="B46" s="24" t="s">
        <v>53</v>
      </c>
      <c r="C46" s="26">
        <v>0</v>
      </c>
      <c r="D46" s="32">
        <f t="shared" si="16"/>
        <v>1</v>
      </c>
    </row>
    <row r="47" spans="1:7" s="6" customFormat="1" x14ac:dyDescent="0.25">
      <c r="B47" s="24" t="s">
        <v>49</v>
      </c>
      <c r="C47" s="26">
        <v>0.116317</v>
      </c>
      <c r="D47" s="32">
        <f t="shared" si="16"/>
        <v>1.1234</v>
      </c>
    </row>
    <row r="48" spans="1:7" s="6" customFormat="1" x14ac:dyDescent="0.25">
      <c r="B48" s="24" t="s">
        <v>59</v>
      </c>
      <c r="C48" s="26">
        <v>-0.34613899999999997</v>
      </c>
      <c r="D48" s="32">
        <f t="shared" si="16"/>
        <v>0.70740000000000003</v>
      </c>
    </row>
    <row r="49" spans="2:4" s="6" customFormat="1" x14ac:dyDescent="0.25">
      <c r="B49" s="24" t="s">
        <v>52</v>
      </c>
      <c r="C49" s="26">
        <v>-0.431448</v>
      </c>
      <c r="D49" s="32">
        <f t="shared" si="16"/>
        <v>0.64959999999999996</v>
      </c>
    </row>
    <row r="50" spans="2:4" s="6" customFormat="1" x14ac:dyDescent="0.25">
      <c r="B50" s="24" t="s">
        <v>63</v>
      </c>
      <c r="C50" s="26">
        <v>-0.564384</v>
      </c>
      <c r="D50" s="32">
        <f t="shared" si="16"/>
        <v>0.56869999999999998</v>
      </c>
    </row>
    <row r="51" spans="2:4" s="6" customFormat="1" x14ac:dyDescent="0.25">
      <c r="B51" s="24" t="s">
        <v>48</v>
      </c>
      <c r="C51" s="26">
        <v>-0.187052</v>
      </c>
      <c r="D51" s="32">
        <f t="shared" si="16"/>
        <v>0.82940000000000003</v>
      </c>
    </row>
    <row r="52" spans="2:4" s="6" customFormat="1" x14ac:dyDescent="0.25">
      <c r="B52" s="24" t="s">
        <v>56</v>
      </c>
      <c r="C52" s="26">
        <v>0</v>
      </c>
      <c r="D52" s="32">
        <f t="shared" si="16"/>
        <v>1</v>
      </c>
    </row>
  </sheetData>
  <dataValidations disablePrompts="1" count="5">
    <dataValidation type="list" allowBlank="1" showInputMessage="1" showErrorMessage="1" sqref="L18">
      <formula1>$B$48:$B$52</formula1>
    </dataValidation>
    <dataValidation type="list" allowBlank="1" showInputMessage="1" showErrorMessage="1" sqref="M18">
      <formula1>$B$42:$B$43</formula1>
    </dataValidation>
    <dataValidation type="list" allowBlank="1" showInputMessage="1" showErrorMessage="1" sqref="N18">
      <formula1>$B$46:$B$47</formula1>
    </dataValidation>
    <dataValidation type="list" allowBlank="1" showInputMessage="1" showErrorMessage="1" sqref="O18">
      <formula1>$B$44:$B$45</formula1>
    </dataValidation>
    <dataValidation type="list" allowBlank="1" showInputMessage="1" showErrorMessage="1" sqref="P18">
      <formula1>$B$40:$B$41</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workbookViewId="0">
      <selection activeCell="H32" sqref="H32"/>
    </sheetView>
  </sheetViews>
  <sheetFormatPr defaultRowHeight="15" x14ac:dyDescent="0.25"/>
  <cols>
    <col min="1" max="5" width="24.140625" style="48" customWidth="1"/>
    <col min="6" max="6" width="9.140625" style="48"/>
    <col min="7" max="16384" width="9.140625" style="46"/>
  </cols>
  <sheetData>
    <row r="1" spans="1:6" s="53" customFormat="1" ht="105" x14ac:dyDescent="0.25">
      <c r="A1" s="51" t="s">
        <v>210</v>
      </c>
      <c r="B1" s="51" t="s">
        <v>211</v>
      </c>
      <c r="C1" s="51" t="s">
        <v>17</v>
      </c>
      <c r="D1" s="51" t="s">
        <v>212</v>
      </c>
      <c r="E1" s="51" t="s">
        <v>19</v>
      </c>
      <c r="F1" s="52"/>
    </row>
    <row r="2" spans="1:6" x14ac:dyDescent="0.25">
      <c r="A2" s="47" t="s">
        <v>213</v>
      </c>
      <c r="B2" s="47" t="s">
        <v>214</v>
      </c>
      <c r="C2" s="47" t="s">
        <v>215</v>
      </c>
      <c r="D2" s="47">
        <v>3</v>
      </c>
      <c r="E2" s="47" t="s">
        <v>51</v>
      </c>
    </row>
    <row r="3" spans="1:6" x14ac:dyDescent="0.25">
      <c r="A3" s="47" t="s">
        <v>216</v>
      </c>
      <c r="B3" s="47" t="s">
        <v>217</v>
      </c>
      <c r="C3" s="47" t="s">
        <v>218</v>
      </c>
      <c r="D3" s="47">
        <v>3</v>
      </c>
      <c r="E3" s="47" t="s">
        <v>51</v>
      </c>
    </row>
    <row r="4" spans="1:6" x14ac:dyDescent="0.25">
      <c r="A4" s="47" t="s">
        <v>219</v>
      </c>
      <c r="B4" s="47" t="s">
        <v>217</v>
      </c>
      <c r="C4" s="47" t="s">
        <v>220</v>
      </c>
      <c r="D4" s="47">
        <v>3</v>
      </c>
      <c r="E4" s="47" t="s">
        <v>51</v>
      </c>
    </row>
    <row r="5" spans="1:6" x14ac:dyDescent="0.25">
      <c r="A5" s="47" t="s">
        <v>221</v>
      </c>
      <c r="B5" s="47" t="s">
        <v>222</v>
      </c>
      <c r="C5" s="47" t="s">
        <v>223</v>
      </c>
      <c r="D5" s="47">
        <v>3</v>
      </c>
      <c r="E5" s="47" t="s">
        <v>51</v>
      </c>
    </row>
    <row r="6" spans="1:6" x14ac:dyDescent="0.25">
      <c r="A6" s="47" t="s">
        <v>224</v>
      </c>
      <c r="B6" s="47" t="s">
        <v>225</v>
      </c>
      <c r="C6" s="47" t="s">
        <v>226</v>
      </c>
      <c r="D6" s="47">
        <v>4</v>
      </c>
      <c r="E6" s="47" t="s">
        <v>47</v>
      </c>
    </row>
    <row r="7" spans="1:6" x14ac:dyDescent="0.25">
      <c r="A7" s="47" t="s">
        <v>227</v>
      </c>
      <c r="B7" s="49" t="s">
        <v>228</v>
      </c>
      <c r="C7" s="49" t="s">
        <v>229</v>
      </c>
      <c r="D7" s="47">
        <v>4</v>
      </c>
      <c r="E7" s="47" t="s">
        <v>47</v>
      </c>
    </row>
    <row r="8" spans="1:6" x14ac:dyDescent="0.25">
      <c r="A8" s="47" t="s">
        <v>230</v>
      </c>
      <c r="B8" s="49" t="s">
        <v>231</v>
      </c>
      <c r="C8" s="49" t="s">
        <v>232</v>
      </c>
      <c r="D8" s="47">
        <v>4</v>
      </c>
      <c r="E8" s="47" t="s">
        <v>47</v>
      </c>
    </row>
    <row r="9" spans="1:6" x14ac:dyDescent="0.25">
      <c r="A9" s="47" t="s">
        <v>233</v>
      </c>
      <c r="B9" s="47" t="s">
        <v>234</v>
      </c>
      <c r="C9" s="50" t="s">
        <v>235</v>
      </c>
      <c r="D9" s="47">
        <v>4</v>
      </c>
      <c r="E9" s="47" t="s">
        <v>47</v>
      </c>
    </row>
    <row r="10" spans="1:6" x14ac:dyDescent="0.25">
      <c r="A10" s="47" t="s">
        <v>236</v>
      </c>
      <c r="B10" s="47" t="s">
        <v>237</v>
      </c>
      <c r="C10" s="47" t="s">
        <v>238</v>
      </c>
      <c r="D10" s="47">
        <v>6</v>
      </c>
      <c r="E10" s="47" t="s">
        <v>239</v>
      </c>
    </row>
    <row r="11" spans="1:6" x14ac:dyDescent="0.25">
      <c r="A11" s="47" t="s">
        <v>240</v>
      </c>
      <c r="B11" s="47" t="s">
        <v>241</v>
      </c>
      <c r="C11" s="47" t="s">
        <v>242</v>
      </c>
      <c r="D11" s="47">
        <v>6</v>
      </c>
      <c r="E11" s="47" t="s">
        <v>239</v>
      </c>
    </row>
    <row r="12" spans="1:6" x14ac:dyDescent="0.25">
      <c r="A12" s="47" t="s">
        <v>243</v>
      </c>
      <c r="B12" s="47" t="s">
        <v>241</v>
      </c>
      <c r="C12" s="47" t="s">
        <v>244</v>
      </c>
      <c r="D12" s="47">
        <v>6</v>
      </c>
      <c r="E12" s="47" t="s">
        <v>239</v>
      </c>
    </row>
    <row r="13" spans="1:6" x14ac:dyDescent="0.25">
      <c r="A13" s="47" t="s">
        <v>245</v>
      </c>
      <c r="B13" s="47" t="s">
        <v>246</v>
      </c>
      <c r="C13" s="47" t="s">
        <v>247</v>
      </c>
      <c r="D13" s="47">
        <v>6</v>
      </c>
      <c r="E13" s="47" t="s">
        <v>239</v>
      </c>
    </row>
    <row r="14" spans="1:6" x14ac:dyDescent="0.25">
      <c r="A14" s="47" t="s">
        <v>248</v>
      </c>
      <c r="B14" s="47" t="s">
        <v>249</v>
      </c>
      <c r="C14" s="47" t="s">
        <v>250</v>
      </c>
      <c r="D14" s="47">
        <v>6</v>
      </c>
      <c r="E14" s="47" t="s">
        <v>239</v>
      </c>
    </row>
    <row r="15" spans="1:6" x14ac:dyDescent="0.25">
      <c r="A15" s="47" t="s">
        <v>251</v>
      </c>
      <c r="B15" s="47" t="s">
        <v>249</v>
      </c>
      <c r="C15" s="47" t="s">
        <v>252</v>
      </c>
      <c r="D15" s="47">
        <v>6</v>
      </c>
      <c r="E15" s="47" t="s">
        <v>239</v>
      </c>
    </row>
    <row r="16" spans="1:6" x14ac:dyDescent="0.25">
      <c r="A16" s="47" t="s">
        <v>253</v>
      </c>
      <c r="B16" s="47" t="s">
        <v>254</v>
      </c>
      <c r="C16" s="47" t="s">
        <v>255</v>
      </c>
      <c r="D16" s="47">
        <v>6</v>
      </c>
      <c r="E16" s="47" t="s">
        <v>239</v>
      </c>
    </row>
    <row r="17" spans="1:5" x14ac:dyDescent="0.25">
      <c r="A17" s="47" t="s">
        <v>256</v>
      </c>
      <c r="B17" s="47" t="s">
        <v>257</v>
      </c>
      <c r="C17" s="47" t="s">
        <v>258</v>
      </c>
      <c r="D17" s="47">
        <v>6</v>
      </c>
      <c r="E17" s="47" t="s">
        <v>239</v>
      </c>
    </row>
    <row r="18" spans="1:5" x14ac:dyDescent="0.25">
      <c r="A18" s="47" t="s">
        <v>259</v>
      </c>
      <c r="B18" s="47" t="s">
        <v>260</v>
      </c>
      <c r="C18" s="47" t="s">
        <v>261</v>
      </c>
      <c r="D18" s="47">
        <v>7</v>
      </c>
      <c r="E18" s="47" t="s">
        <v>262</v>
      </c>
    </row>
    <row r="19" spans="1:5" x14ac:dyDescent="0.25">
      <c r="A19" s="47" t="s">
        <v>263</v>
      </c>
      <c r="B19" s="47" t="s">
        <v>254</v>
      </c>
      <c r="C19" s="47" t="s">
        <v>264</v>
      </c>
      <c r="D19" s="47">
        <v>7</v>
      </c>
      <c r="E19" s="47" t="s">
        <v>262</v>
      </c>
    </row>
    <row r="20" spans="1:5" x14ac:dyDescent="0.25">
      <c r="A20" s="47" t="s">
        <v>265</v>
      </c>
      <c r="B20" s="47" t="s">
        <v>266</v>
      </c>
      <c r="C20" s="47" t="s">
        <v>267</v>
      </c>
      <c r="D20" s="47">
        <v>6</v>
      </c>
      <c r="E20" s="47" t="s">
        <v>239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2"/>
  <sheetViews>
    <sheetView workbookViewId="0">
      <selection activeCell="E239" sqref="E239"/>
    </sheetView>
  </sheetViews>
  <sheetFormatPr defaultRowHeight="15" x14ac:dyDescent="0.25"/>
  <cols>
    <col min="1" max="1" width="22.140625" customWidth="1"/>
  </cols>
  <sheetData>
    <row r="1" spans="1:2" x14ac:dyDescent="0.25">
      <c r="A1" t="s">
        <v>268</v>
      </c>
      <c r="B1">
        <v>1</v>
      </c>
    </row>
    <row r="2" spans="1:2" x14ac:dyDescent="0.25">
      <c r="A2" t="s">
        <v>269</v>
      </c>
      <c r="B2">
        <v>1</v>
      </c>
    </row>
    <row r="3" spans="1:2" x14ac:dyDescent="0.25">
      <c r="A3" t="s">
        <v>270</v>
      </c>
      <c r="B3">
        <v>1</v>
      </c>
    </row>
    <row r="4" spans="1:2" x14ac:dyDescent="0.25">
      <c r="A4" t="s">
        <v>271</v>
      </c>
      <c r="B4">
        <v>1</v>
      </c>
    </row>
    <row r="5" spans="1:2" x14ac:dyDescent="0.25">
      <c r="A5" t="s">
        <v>272</v>
      </c>
      <c r="B5">
        <v>1</v>
      </c>
    </row>
    <row r="6" spans="1:2" x14ac:dyDescent="0.25">
      <c r="A6" t="s">
        <v>273</v>
      </c>
      <c r="B6">
        <v>1</v>
      </c>
    </row>
    <row r="7" spans="1:2" x14ac:dyDescent="0.25">
      <c r="A7" t="s">
        <v>274</v>
      </c>
      <c r="B7">
        <v>1</v>
      </c>
    </row>
    <row r="8" spans="1:2" x14ac:dyDescent="0.25">
      <c r="A8" t="s">
        <v>275</v>
      </c>
      <c r="B8">
        <v>1</v>
      </c>
    </row>
    <row r="9" spans="1:2" x14ac:dyDescent="0.25">
      <c r="A9" t="s">
        <v>276</v>
      </c>
      <c r="B9">
        <v>1</v>
      </c>
    </row>
    <row r="10" spans="1:2" x14ac:dyDescent="0.25">
      <c r="A10" t="s">
        <v>277</v>
      </c>
      <c r="B10">
        <v>1</v>
      </c>
    </row>
    <row r="11" spans="1:2" x14ac:dyDescent="0.25">
      <c r="A11" t="s">
        <v>278</v>
      </c>
      <c r="B11">
        <v>1</v>
      </c>
    </row>
    <row r="12" spans="1:2" x14ac:dyDescent="0.25">
      <c r="A12" t="s">
        <v>279</v>
      </c>
      <c r="B12">
        <v>1</v>
      </c>
    </row>
    <row r="13" spans="1:2" x14ac:dyDescent="0.25">
      <c r="A13" t="s">
        <v>280</v>
      </c>
      <c r="B13">
        <v>1</v>
      </c>
    </row>
    <row r="14" spans="1:2" x14ac:dyDescent="0.25">
      <c r="A14" t="s">
        <v>281</v>
      </c>
      <c r="B14">
        <v>1</v>
      </c>
    </row>
    <row r="15" spans="1:2" x14ac:dyDescent="0.25">
      <c r="A15" t="s">
        <v>282</v>
      </c>
      <c r="B15">
        <v>1</v>
      </c>
    </row>
    <row r="16" spans="1:2" x14ac:dyDescent="0.25">
      <c r="A16" t="s">
        <v>283</v>
      </c>
      <c r="B16">
        <v>1</v>
      </c>
    </row>
    <row r="17" spans="1:2" x14ac:dyDescent="0.25">
      <c r="A17" t="s">
        <v>284</v>
      </c>
      <c r="B17">
        <v>1</v>
      </c>
    </row>
    <row r="18" spans="1:2" x14ac:dyDescent="0.25">
      <c r="A18" t="s">
        <v>285</v>
      </c>
      <c r="B18">
        <v>1</v>
      </c>
    </row>
    <row r="19" spans="1:2" x14ac:dyDescent="0.25">
      <c r="A19" t="s">
        <v>286</v>
      </c>
      <c r="B19">
        <v>1</v>
      </c>
    </row>
    <row r="20" spans="1:2" x14ac:dyDescent="0.25">
      <c r="A20" t="s">
        <v>287</v>
      </c>
      <c r="B20">
        <v>1</v>
      </c>
    </row>
    <row r="21" spans="1:2" x14ac:dyDescent="0.25">
      <c r="A21" t="s">
        <v>288</v>
      </c>
      <c r="B21">
        <v>1</v>
      </c>
    </row>
    <row r="22" spans="1:2" x14ac:dyDescent="0.25">
      <c r="A22" s="61" t="s">
        <v>289</v>
      </c>
      <c r="B22" s="61">
        <v>2</v>
      </c>
    </row>
    <row r="23" spans="1:2" x14ac:dyDescent="0.25">
      <c r="A23" t="s">
        <v>290</v>
      </c>
      <c r="B23">
        <v>1</v>
      </c>
    </row>
    <row r="24" spans="1:2" x14ac:dyDescent="0.25">
      <c r="A24" t="s">
        <v>291</v>
      </c>
      <c r="B24">
        <v>1</v>
      </c>
    </row>
    <row r="25" spans="1:2" x14ac:dyDescent="0.25">
      <c r="A25" t="s">
        <v>292</v>
      </c>
      <c r="B25">
        <v>1</v>
      </c>
    </row>
    <row r="26" spans="1:2" x14ac:dyDescent="0.25">
      <c r="A26" t="s">
        <v>293</v>
      </c>
      <c r="B26">
        <v>1</v>
      </c>
    </row>
    <row r="27" spans="1:2" x14ac:dyDescent="0.25">
      <c r="A27" t="s">
        <v>294</v>
      </c>
      <c r="B27">
        <v>1</v>
      </c>
    </row>
    <row r="28" spans="1:2" x14ac:dyDescent="0.25">
      <c r="A28" t="s">
        <v>295</v>
      </c>
      <c r="B28">
        <v>1</v>
      </c>
    </row>
    <row r="29" spans="1:2" x14ac:dyDescent="0.25">
      <c r="A29" t="s">
        <v>296</v>
      </c>
      <c r="B29">
        <v>1</v>
      </c>
    </row>
    <row r="30" spans="1:2" x14ac:dyDescent="0.25">
      <c r="A30" t="s">
        <v>297</v>
      </c>
      <c r="B30">
        <v>1</v>
      </c>
    </row>
    <row r="31" spans="1:2" x14ac:dyDescent="0.25">
      <c r="A31" t="s">
        <v>298</v>
      </c>
      <c r="B31">
        <v>1</v>
      </c>
    </row>
    <row r="32" spans="1:2" x14ac:dyDescent="0.25">
      <c r="A32" t="s">
        <v>299</v>
      </c>
      <c r="B32">
        <v>1</v>
      </c>
    </row>
    <row r="33" spans="1:2" x14ac:dyDescent="0.25">
      <c r="A33" t="s">
        <v>300</v>
      </c>
      <c r="B33">
        <v>1</v>
      </c>
    </row>
    <row r="34" spans="1:2" x14ac:dyDescent="0.25">
      <c r="A34" t="s">
        <v>301</v>
      </c>
      <c r="B34">
        <v>1</v>
      </c>
    </row>
    <row r="35" spans="1:2" x14ac:dyDescent="0.25">
      <c r="A35" t="s">
        <v>302</v>
      </c>
      <c r="B35">
        <v>1</v>
      </c>
    </row>
    <row r="36" spans="1:2" x14ac:dyDescent="0.25">
      <c r="A36" t="s">
        <v>303</v>
      </c>
      <c r="B36">
        <v>1</v>
      </c>
    </row>
    <row r="37" spans="1:2" x14ac:dyDescent="0.25">
      <c r="A37" t="s">
        <v>304</v>
      </c>
      <c r="B37">
        <v>1</v>
      </c>
    </row>
    <row r="38" spans="1:2" x14ac:dyDescent="0.25">
      <c r="A38" t="s">
        <v>305</v>
      </c>
      <c r="B38">
        <v>1</v>
      </c>
    </row>
    <row r="39" spans="1:2" x14ac:dyDescent="0.25">
      <c r="A39" t="s">
        <v>306</v>
      </c>
      <c r="B39">
        <v>1</v>
      </c>
    </row>
    <row r="40" spans="1:2" x14ac:dyDescent="0.25">
      <c r="A40" t="s">
        <v>307</v>
      </c>
      <c r="B40">
        <v>1</v>
      </c>
    </row>
    <row r="41" spans="1:2" x14ac:dyDescent="0.25">
      <c r="A41" t="s">
        <v>308</v>
      </c>
      <c r="B41">
        <v>1</v>
      </c>
    </row>
    <row r="42" spans="1:2" x14ac:dyDescent="0.25">
      <c r="A42" t="s">
        <v>309</v>
      </c>
      <c r="B42">
        <v>1</v>
      </c>
    </row>
    <row r="43" spans="1:2" x14ac:dyDescent="0.25">
      <c r="A43" t="s">
        <v>310</v>
      </c>
      <c r="B43">
        <v>1</v>
      </c>
    </row>
    <row r="44" spans="1:2" x14ac:dyDescent="0.25">
      <c r="A44" t="s">
        <v>311</v>
      </c>
      <c r="B44">
        <v>1</v>
      </c>
    </row>
    <row r="45" spans="1:2" x14ac:dyDescent="0.25">
      <c r="A45" t="s">
        <v>312</v>
      </c>
      <c r="B45">
        <v>1</v>
      </c>
    </row>
    <row r="46" spans="1:2" x14ac:dyDescent="0.25">
      <c r="A46" t="s">
        <v>313</v>
      </c>
      <c r="B46">
        <v>1</v>
      </c>
    </row>
    <row r="47" spans="1:2" x14ac:dyDescent="0.25">
      <c r="A47" t="s">
        <v>314</v>
      </c>
      <c r="B47">
        <v>1</v>
      </c>
    </row>
    <row r="48" spans="1:2" x14ac:dyDescent="0.25">
      <c r="A48" t="s">
        <v>315</v>
      </c>
      <c r="B48">
        <v>1</v>
      </c>
    </row>
    <row r="49" spans="1:2" x14ac:dyDescent="0.25">
      <c r="A49" t="s">
        <v>316</v>
      </c>
      <c r="B49">
        <v>1</v>
      </c>
    </row>
    <row r="50" spans="1:2" x14ac:dyDescent="0.25">
      <c r="A50" t="s">
        <v>317</v>
      </c>
      <c r="B50">
        <v>1</v>
      </c>
    </row>
    <row r="51" spans="1:2" x14ac:dyDescent="0.25">
      <c r="A51" t="s">
        <v>318</v>
      </c>
      <c r="B51">
        <v>1</v>
      </c>
    </row>
    <row r="52" spans="1:2" x14ac:dyDescent="0.25">
      <c r="A52" t="s">
        <v>319</v>
      </c>
      <c r="B52">
        <v>1</v>
      </c>
    </row>
    <row r="53" spans="1:2" x14ac:dyDescent="0.25">
      <c r="A53" t="s">
        <v>320</v>
      </c>
      <c r="B53">
        <v>1</v>
      </c>
    </row>
    <row r="54" spans="1:2" x14ac:dyDescent="0.25">
      <c r="A54" t="s">
        <v>321</v>
      </c>
      <c r="B54">
        <v>1</v>
      </c>
    </row>
    <row r="55" spans="1:2" x14ac:dyDescent="0.25">
      <c r="A55" t="s">
        <v>322</v>
      </c>
      <c r="B55">
        <v>1</v>
      </c>
    </row>
    <row r="56" spans="1:2" x14ac:dyDescent="0.25">
      <c r="A56" t="s">
        <v>323</v>
      </c>
      <c r="B56">
        <v>1</v>
      </c>
    </row>
    <row r="57" spans="1:2" x14ac:dyDescent="0.25">
      <c r="A57" t="s">
        <v>324</v>
      </c>
      <c r="B57">
        <v>1</v>
      </c>
    </row>
    <row r="58" spans="1:2" x14ac:dyDescent="0.25">
      <c r="A58" t="s">
        <v>325</v>
      </c>
      <c r="B58">
        <v>1</v>
      </c>
    </row>
    <row r="59" spans="1:2" x14ac:dyDescent="0.25">
      <c r="A59" t="s">
        <v>326</v>
      </c>
      <c r="B59">
        <v>1</v>
      </c>
    </row>
    <row r="60" spans="1:2" x14ac:dyDescent="0.25">
      <c r="A60" t="s">
        <v>327</v>
      </c>
      <c r="B60">
        <v>1</v>
      </c>
    </row>
    <row r="61" spans="1:2" x14ac:dyDescent="0.25">
      <c r="A61" t="s">
        <v>328</v>
      </c>
      <c r="B61">
        <v>1</v>
      </c>
    </row>
    <row r="62" spans="1:2" x14ac:dyDescent="0.25">
      <c r="A62" t="s">
        <v>329</v>
      </c>
      <c r="B62">
        <v>1</v>
      </c>
    </row>
    <row r="63" spans="1:2" x14ac:dyDescent="0.25">
      <c r="A63" t="s">
        <v>330</v>
      </c>
      <c r="B63">
        <v>1</v>
      </c>
    </row>
    <row r="64" spans="1:2" x14ac:dyDescent="0.25">
      <c r="A64" t="s">
        <v>331</v>
      </c>
      <c r="B64">
        <v>1</v>
      </c>
    </row>
    <row r="65" spans="1:2" x14ac:dyDescent="0.25">
      <c r="A65" t="s">
        <v>332</v>
      </c>
      <c r="B65">
        <v>1</v>
      </c>
    </row>
    <row r="66" spans="1:2" x14ac:dyDescent="0.25">
      <c r="A66" t="s">
        <v>333</v>
      </c>
      <c r="B66">
        <v>1</v>
      </c>
    </row>
    <row r="67" spans="1:2" x14ac:dyDescent="0.25">
      <c r="A67" t="s">
        <v>334</v>
      </c>
      <c r="B67">
        <v>1</v>
      </c>
    </row>
    <row r="68" spans="1:2" x14ac:dyDescent="0.25">
      <c r="A68" t="s">
        <v>335</v>
      </c>
      <c r="B68">
        <v>1</v>
      </c>
    </row>
    <row r="69" spans="1:2" x14ac:dyDescent="0.25">
      <c r="A69" t="s">
        <v>336</v>
      </c>
      <c r="B69">
        <v>1</v>
      </c>
    </row>
    <row r="70" spans="1:2" x14ac:dyDescent="0.25">
      <c r="A70" t="s">
        <v>337</v>
      </c>
      <c r="B70">
        <v>1</v>
      </c>
    </row>
    <row r="71" spans="1:2" x14ac:dyDescent="0.25">
      <c r="A71" t="s">
        <v>338</v>
      </c>
      <c r="B71">
        <v>1</v>
      </c>
    </row>
    <row r="72" spans="1:2" x14ac:dyDescent="0.25">
      <c r="A72" t="s">
        <v>339</v>
      </c>
      <c r="B72">
        <v>1</v>
      </c>
    </row>
    <row r="73" spans="1:2" x14ac:dyDescent="0.25">
      <c r="A73" t="s">
        <v>70</v>
      </c>
      <c r="B73">
        <v>1</v>
      </c>
    </row>
    <row r="74" spans="1:2" x14ac:dyDescent="0.25">
      <c r="A74" t="s">
        <v>340</v>
      </c>
      <c r="B74">
        <v>1</v>
      </c>
    </row>
    <row r="75" spans="1:2" x14ac:dyDescent="0.25">
      <c r="A75" t="s">
        <v>341</v>
      </c>
      <c r="B75">
        <v>1</v>
      </c>
    </row>
    <row r="76" spans="1:2" x14ac:dyDescent="0.25">
      <c r="A76" t="s">
        <v>342</v>
      </c>
      <c r="B76">
        <v>1</v>
      </c>
    </row>
    <row r="77" spans="1:2" x14ac:dyDescent="0.25">
      <c r="A77" t="s">
        <v>343</v>
      </c>
      <c r="B77">
        <v>1</v>
      </c>
    </row>
    <row r="78" spans="1:2" x14ac:dyDescent="0.25">
      <c r="A78" t="s">
        <v>344</v>
      </c>
      <c r="B78">
        <v>1</v>
      </c>
    </row>
    <row r="79" spans="1:2" x14ac:dyDescent="0.25">
      <c r="A79" t="s">
        <v>345</v>
      </c>
      <c r="B79">
        <v>1</v>
      </c>
    </row>
    <row r="80" spans="1:2" x14ac:dyDescent="0.25">
      <c r="A80" t="s">
        <v>346</v>
      </c>
      <c r="B80">
        <v>1</v>
      </c>
    </row>
    <row r="81" spans="1:2" x14ac:dyDescent="0.25">
      <c r="A81" t="s">
        <v>347</v>
      </c>
      <c r="B81">
        <v>1</v>
      </c>
    </row>
    <row r="82" spans="1:2" x14ac:dyDescent="0.25">
      <c r="A82" t="s">
        <v>348</v>
      </c>
      <c r="B82">
        <v>1</v>
      </c>
    </row>
    <row r="83" spans="1:2" x14ac:dyDescent="0.25">
      <c r="A83" t="s">
        <v>349</v>
      </c>
      <c r="B83">
        <v>1</v>
      </c>
    </row>
    <row r="84" spans="1:2" x14ac:dyDescent="0.25">
      <c r="A84" t="s">
        <v>350</v>
      </c>
      <c r="B84">
        <v>1</v>
      </c>
    </row>
    <row r="85" spans="1:2" x14ac:dyDescent="0.25">
      <c r="A85" t="s">
        <v>351</v>
      </c>
      <c r="B85">
        <v>1</v>
      </c>
    </row>
    <row r="86" spans="1:2" x14ac:dyDescent="0.25">
      <c r="A86" t="s">
        <v>352</v>
      </c>
      <c r="B86">
        <v>1</v>
      </c>
    </row>
    <row r="87" spans="1:2" x14ac:dyDescent="0.25">
      <c r="A87" t="s">
        <v>353</v>
      </c>
      <c r="B87">
        <v>1</v>
      </c>
    </row>
    <row r="88" spans="1:2" x14ac:dyDescent="0.25">
      <c r="A88" t="s">
        <v>354</v>
      </c>
      <c r="B88">
        <v>1</v>
      </c>
    </row>
    <row r="89" spans="1:2" x14ac:dyDescent="0.25">
      <c r="A89" t="s">
        <v>355</v>
      </c>
      <c r="B89">
        <v>1</v>
      </c>
    </row>
    <row r="90" spans="1:2" x14ac:dyDescent="0.25">
      <c r="A90" t="s">
        <v>356</v>
      </c>
      <c r="B90">
        <v>1</v>
      </c>
    </row>
    <row r="91" spans="1:2" x14ac:dyDescent="0.25">
      <c r="A91" t="s">
        <v>357</v>
      </c>
      <c r="B91">
        <v>1</v>
      </c>
    </row>
    <row r="92" spans="1:2" x14ac:dyDescent="0.25">
      <c r="A92" t="s">
        <v>358</v>
      </c>
      <c r="B92">
        <v>1</v>
      </c>
    </row>
    <row r="93" spans="1:2" x14ac:dyDescent="0.25">
      <c r="A93" t="s">
        <v>359</v>
      </c>
      <c r="B93">
        <v>1</v>
      </c>
    </row>
    <row r="94" spans="1:2" x14ac:dyDescent="0.25">
      <c r="A94" t="s">
        <v>360</v>
      </c>
      <c r="B94">
        <v>1</v>
      </c>
    </row>
    <row r="95" spans="1:2" x14ac:dyDescent="0.25">
      <c r="A95" t="s">
        <v>361</v>
      </c>
      <c r="B95">
        <v>1</v>
      </c>
    </row>
    <row r="96" spans="1:2" x14ac:dyDescent="0.25">
      <c r="A96" t="s">
        <v>362</v>
      </c>
      <c r="B96">
        <v>1</v>
      </c>
    </row>
    <row r="97" spans="1:2" x14ac:dyDescent="0.25">
      <c r="A97" t="s">
        <v>363</v>
      </c>
      <c r="B97">
        <v>1</v>
      </c>
    </row>
    <row r="98" spans="1:2" x14ac:dyDescent="0.25">
      <c r="A98" t="s">
        <v>364</v>
      </c>
      <c r="B98">
        <v>1</v>
      </c>
    </row>
    <row r="99" spans="1:2" x14ac:dyDescent="0.25">
      <c r="A99" t="s">
        <v>365</v>
      </c>
      <c r="B99">
        <v>1</v>
      </c>
    </row>
    <row r="100" spans="1:2" x14ac:dyDescent="0.25">
      <c r="A100" t="s">
        <v>366</v>
      </c>
      <c r="B100">
        <v>1</v>
      </c>
    </row>
    <row r="101" spans="1:2" x14ac:dyDescent="0.25">
      <c r="A101" t="s">
        <v>367</v>
      </c>
      <c r="B101">
        <v>1</v>
      </c>
    </row>
    <row r="102" spans="1:2" x14ac:dyDescent="0.25">
      <c r="A102" t="s">
        <v>368</v>
      </c>
      <c r="B102">
        <v>1</v>
      </c>
    </row>
    <row r="103" spans="1:2" x14ac:dyDescent="0.25">
      <c r="A103" t="s">
        <v>369</v>
      </c>
      <c r="B103">
        <v>1</v>
      </c>
    </row>
    <row r="104" spans="1:2" x14ac:dyDescent="0.25">
      <c r="A104" t="s">
        <v>370</v>
      </c>
      <c r="B104">
        <v>1</v>
      </c>
    </row>
    <row r="105" spans="1:2" x14ac:dyDescent="0.25">
      <c r="A105" t="s">
        <v>371</v>
      </c>
      <c r="B105">
        <v>1</v>
      </c>
    </row>
    <row r="106" spans="1:2" x14ac:dyDescent="0.25">
      <c r="A106" t="s">
        <v>372</v>
      </c>
      <c r="B106">
        <v>1</v>
      </c>
    </row>
    <row r="107" spans="1:2" x14ac:dyDescent="0.25">
      <c r="A107" t="s">
        <v>373</v>
      </c>
      <c r="B107">
        <v>1</v>
      </c>
    </row>
    <row r="108" spans="1:2" x14ac:dyDescent="0.25">
      <c r="A108" t="s">
        <v>374</v>
      </c>
      <c r="B108">
        <v>1</v>
      </c>
    </row>
    <row r="109" spans="1:2" x14ac:dyDescent="0.25">
      <c r="A109" t="s">
        <v>375</v>
      </c>
      <c r="B109">
        <v>1</v>
      </c>
    </row>
    <row r="110" spans="1:2" x14ac:dyDescent="0.25">
      <c r="A110" t="s">
        <v>376</v>
      </c>
      <c r="B110">
        <v>1</v>
      </c>
    </row>
    <row r="111" spans="1:2" x14ac:dyDescent="0.25">
      <c r="A111" t="s">
        <v>377</v>
      </c>
      <c r="B111">
        <v>1</v>
      </c>
    </row>
    <row r="112" spans="1:2" x14ac:dyDescent="0.25">
      <c r="A112" t="s">
        <v>378</v>
      </c>
      <c r="B112">
        <v>1</v>
      </c>
    </row>
    <row r="113" spans="1:2" x14ac:dyDescent="0.25">
      <c r="A113" t="s">
        <v>379</v>
      </c>
      <c r="B113">
        <v>1</v>
      </c>
    </row>
    <row r="114" spans="1:2" x14ac:dyDescent="0.25">
      <c r="A114" t="s">
        <v>380</v>
      </c>
      <c r="B114">
        <v>1</v>
      </c>
    </row>
    <row r="115" spans="1:2" x14ac:dyDescent="0.25">
      <c r="A115" s="61" t="s">
        <v>381</v>
      </c>
      <c r="B115" s="61">
        <v>2</v>
      </c>
    </row>
    <row r="116" spans="1:2" x14ac:dyDescent="0.25">
      <c r="A116" t="s">
        <v>382</v>
      </c>
      <c r="B116">
        <v>1</v>
      </c>
    </row>
    <row r="117" spans="1:2" x14ac:dyDescent="0.25">
      <c r="A117" t="s">
        <v>383</v>
      </c>
      <c r="B117">
        <v>1</v>
      </c>
    </row>
    <row r="118" spans="1:2" x14ac:dyDescent="0.25">
      <c r="A118" t="s">
        <v>384</v>
      </c>
      <c r="B118">
        <v>1</v>
      </c>
    </row>
    <row r="119" spans="1:2" x14ac:dyDescent="0.25">
      <c r="A119" t="s">
        <v>385</v>
      </c>
      <c r="B119">
        <v>1</v>
      </c>
    </row>
    <row r="120" spans="1:2" x14ac:dyDescent="0.25">
      <c r="A120" t="s">
        <v>67</v>
      </c>
      <c r="B120">
        <v>1</v>
      </c>
    </row>
    <row r="121" spans="1:2" x14ac:dyDescent="0.25">
      <c r="A121" t="s">
        <v>386</v>
      </c>
      <c r="B121">
        <v>1</v>
      </c>
    </row>
    <row r="122" spans="1:2" x14ac:dyDescent="0.25">
      <c r="A122" t="s">
        <v>387</v>
      </c>
      <c r="B122">
        <v>1</v>
      </c>
    </row>
    <row r="123" spans="1:2" x14ac:dyDescent="0.25">
      <c r="A123" t="s">
        <v>388</v>
      </c>
      <c r="B123">
        <v>1</v>
      </c>
    </row>
    <row r="124" spans="1:2" x14ac:dyDescent="0.25">
      <c r="A124" t="s">
        <v>389</v>
      </c>
      <c r="B124">
        <v>1</v>
      </c>
    </row>
    <row r="125" spans="1:2" x14ac:dyDescent="0.25">
      <c r="A125" t="s">
        <v>390</v>
      </c>
      <c r="B125">
        <v>1</v>
      </c>
    </row>
    <row r="126" spans="1:2" x14ac:dyDescent="0.25">
      <c r="A126" t="s">
        <v>391</v>
      </c>
      <c r="B126">
        <v>1</v>
      </c>
    </row>
    <row r="127" spans="1:2" x14ac:dyDescent="0.25">
      <c r="A127" t="s">
        <v>392</v>
      </c>
      <c r="B127">
        <v>1</v>
      </c>
    </row>
    <row r="128" spans="1:2" x14ac:dyDescent="0.25">
      <c r="A128" t="s">
        <v>393</v>
      </c>
      <c r="B128">
        <v>1</v>
      </c>
    </row>
    <row r="129" spans="1:2" x14ac:dyDescent="0.25">
      <c r="A129" t="s">
        <v>394</v>
      </c>
      <c r="B129">
        <v>1</v>
      </c>
    </row>
    <row r="130" spans="1:2" x14ac:dyDescent="0.25">
      <c r="A130" t="s">
        <v>395</v>
      </c>
      <c r="B130">
        <v>1</v>
      </c>
    </row>
    <row r="131" spans="1:2" x14ac:dyDescent="0.25">
      <c r="A131" t="s">
        <v>396</v>
      </c>
      <c r="B131">
        <v>1</v>
      </c>
    </row>
    <row r="132" spans="1:2" x14ac:dyDescent="0.25">
      <c r="A132" t="s">
        <v>397</v>
      </c>
      <c r="B132">
        <v>1</v>
      </c>
    </row>
    <row r="133" spans="1:2" x14ac:dyDescent="0.25">
      <c r="A133" t="s">
        <v>398</v>
      </c>
      <c r="B133">
        <v>1</v>
      </c>
    </row>
    <row r="134" spans="1:2" x14ac:dyDescent="0.25">
      <c r="A134" t="s">
        <v>399</v>
      </c>
      <c r="B134">
        <v>1</v>
      </c>
    </row>
    <row r="135" spans="1:2" x14ac:dyDescent="0.25">
      <c r="A135" t="s">
        <v>400</v>
      </c>
      <c r="B135">
        <v>1</v>
      </c>
    </row>
    <row r="136" spans="1:2" x14ac:dyDescent="0.25">
      <c r="A136" t="s">
        <v>401</v>
      </c>
      <c r="B136">
        <v>1</v>
      </c>
    </row>
    <row r="137" spans="1:2" x14ac:dyDescent="0.25">
      <c r="A137" t="s">
        <v>402</v>
      </c>
      <c r="B137">
        <v>1</v>
      </c>
    </row>
    <row r="138" spans="1:2" x14ac:dyDescent="0.25">
      <c r="A138" t="s">
        <v>403</v>
      </c>
      <c r="B138">
        <v>1</v>
      </c>
    </row>
    <row r="139" spans="1:2" x14ac:dyDescent="0.25">
      <c r="A139" t="s">
        <v>404</v>
      </c>
      <c r="B139">
        <v>1</v>
      </c>
    </row>
    <row r="140" spans="1:2" x14ac:dyDescent="0.25">
      <c r="A140" t="s">
        <v>405</v>
      </c>
      <c r="B140">
        <v>1</v>
      </c>
    </row>
    <row r="141" spans="1:2" x14ac:dyDescent="0.25">
      <c r="A141" t="s">
        <v>406</v>
      </c>
      <c r="B141">
        <v>1</v>
      </c>
    </row>
    <row r="142" spans="1:2" x14ac:dyDescent="0.25">
      <c r="A142" t="s">
        <v>407</v>
      </c>
      <c r="B142">
        <v>1</v>
      </c>
    </row>
    <row r="143" spans="1:2" x14ac:dyDescent="0.25">
      <c r="A143" t="s">
        <v>408</v>
      </c>
      <c r="B143">
        <v>1</v>
      </c>
    </row>
    <row r="144" spans="1:2" x14ac:dyDescent="0.25">
      <c r="A144" t="s">
        <v>409</v>
      </c>
      <c r="B144">
        <v>1</v>
      </c>
    </row>
    <row r="145" spans="1:2" x14ac:dyDescent="0.25">
      <c r="A145" t="s">
        <v>410</v>
      </c>
      <c r="B145">
        <v>1</v>
      </c>
    </row>
    <row r="146" spans="1:2" x14ac:dyDescent="0.25">
      <c r="A146" t="s">
        <v>411</v>
      </c>
      <c r="B146">
        <v>1</v>
      </c>
    </row>
    <row r="147" spans="1:2" x14ac:dyDescent="0.25">
      <c r="A147" t="s">
        <v>412</v>
      </c>
      <c r="B147">
        <v>1</v>
      </c>
    </row>
    <row r="148" spans="1:2" x14ac:dyDescent="0.25">
      <c r="A148" t="s">
        <v>413</v>
      </c>
      <c r="B148">
        <v>1</v>
      </c>
    </row>
    <row r="149" spans="1:2" x14ac:dyDescent="0.25">
      <c r="A149" t="s">
        <v>414</v>
      </c>
      <c r="B149">
        <v>1</v>
      </c>
    </row>
    <row r="150" spans="1:2" x14ac:dyDescent="0.25">
      <c r="A150" t="s">
        <v>415</v>
      </c>
      <c r="B150">
        <v>1</v>
      </c>
    </row>
    <row r="151" spans="1:2" x14ac:dyDescent="0.25">
      <c r="A151" t="s">
        <v>416</v>
      </c>
      <c r="B151">
        <v>1</v>
      </c>
    </row>
    <row r="152" spans="1:2" x14ac:dyDescent="0.25">
      <c r="A152" t="s">
        <v>417</v>
      </c>
      <c r="B152">
        <v>1</v>
      </c>
    </row>
    <row r="153" spans="1:2" x14ac:dyDescent="0.25">
      <c r="A153" t="s">
        <v>418</v>
      </c>
      <c r="B153">
        <v>1</v>
      </c>
    </row>
    <row r="154" spans="1:2" x14ac:dyDescent="0.25">
      <c r="A154" t="s">
        <v>419</v>
      </c>
      <c r="B154">
        <v>1</v>
      </c>
    </row>
    <row r="155" spans="1:2" x14ac:dyDescent="0.25">
      <c r="A155" t="s">
        <v>420</v>
      </c>
      <c r="B155">
        <v>1</v>
      </c>
    </row>
    <row r="156" spans="1:2" x14ac:dyDescent="0.25">
      <c r="A156" t="s">
        <v>421</v>
      </c>
      <c r="B156">
        <v>1</v>
      </c>
    </row>
    <row r="157" spans="1:2" x14ac:dyDescent="0.25">
      <c r="A157" t="s">
        <v>422</v>
      </c>
      <c r="B157">
        <v>1</v>
      </c>
    </row>
    <row r="158" spans="1:2" x14ac:dyDescent="0.25">
      <c r="A158" t="s">
        <v>423</v>
      </c>
      <c r="B158">
        <v>1</v>
      </c>
    </row>
    <row r="159" spans="1:2" x14ac:dyDescent="0.25">
      <c r="A159" t="s">
        <v>424</v>
      </c>
      <c r="B159">
        <v>1</v>
      </c>
    </row>
    <row r="160" spans="1:2" x14ac:dyDescent="0.25">
      <c r="A160" t="s">
        <v>425</v>
      </c>
      <c r="B160">
        <v>1</v>
      </c>
    </row>
    <row r="161" spans="1:2" x14ac:dyDescent="0.25">
      <c r="A161" t="s">
        <v>426</v>
      </c>
      <c r="B161">
        <v>1</v>
      </c>
    </row>
    <row r="162" spans="1:2" x14ac:dyDescent="0.25">
      <c r="A162" t="s">
        <v>427</v>
      </c>
      <c r="B162">
        <v>1</v>
      </c>
    </row>
    <row r="163" spans="1:2" x14ac:dyDescent="0.25">
      <c r="A163" t="s">
        <v>428</v>
      </c>
      <c r="B163">
        <v>1</v>
      </c>
    </row>
    <row r="164" spans="1:2" x14ac:dyDescent="0.25">
      <c r="A164" t="s">
        <v>429</v>
      </c>
      <c r="B164">
        <v>1</v>
      </c>
    </row>
    <row r="165" spans="1:2" x14ac:dyDescent="0.25">
      <c r="A165" t="s">
        <v>430</v>
      </c>
      <c r="B165">
        <v>1</v>
      </c>
    </row>
    <row r="166" spans="1:2" x14ac:dyDescent="0.25">
      <c r="A166" t="s">
        <v>431</v>
      </c>
      <c r="B166">
        <v>1</v>
      </c>
    </row>
    <row r="167" spans="1:2" x14ac:dyDescent="0.25">
      <c r="A167" t="s">
        <v>432</v>
      </c>
      <c r="B167">
        <v>1</v>
      </c>
    </row>
    <row r="168" spans="1:2" x14ac:dyDescent="0.25">
      <c r="A168" t="s">
        <v>433</v>
      </c>
      <c r="B168">
        <v>1</v>
      </c>
    </row>
    <row r="169" spans="1:2" x14ac:dyDescent="0.25">
      <c r="A169" t="s">
        <v>434</v>
      </c>
      <c r="B169">
        <v>1</v>
      </c>
    </row>
    <row r="170" spans="1:2" x14ac:dyDescent="0.25">
      <c r="A170" t="s">
        <v>435</v>
      </c>
      <c r="B170">
        <v>1</v>
      </c>
    </row>
    <row r="171" spans="1:2" x14ac:dyDescent="0.25">
      <c r="A171" t="s">
        <v>436</v>
      </c>
      <c r="B171">
        <v>1</v>
      </c>
    </row>
    <row r="172" spans="1:2" x14ac:dyDescent="0.25">
      <c r="A172" t="s">
        <v>437</v>
      </c>
      <c r="B172">
        <v>1</v>
      </c>
    </row>
    <row r="173" spans="1:2" x14ac:dyDescent="0.25">
      <c r="A173" t="s">
        <v>438</v>
      </c>
      <c r="B173">
        <v>1</v>
      </c>
    </row>
    <row r="174" spans="1:2" x14ac:dyDescent="0.25">
      <c r="A174" t="s">
        <v>439</v>
      </c>
      <c r="B174">
        <v>1</v>
      </c>
    </row>
    <row r="175" spans="1:2" x14ac:dyDescent="0.25">
      <c r="A175" t="s">
        <v>440</v>
      </c>
      <c r="B175">
        <v>1</v>
      </c>
    </row>
    <row r="176" spans="1:2" x14ac:dyDescent="0.25">
      <c r="A176" t="s">
        <v>441</v>
      </c>
      <c r="B176">
        <v>1</v>
      </c>
    </row>
    <row r="177" spans="1:2" x14ac:dyDescent="0.25">
      <c r="A177" t="s">
        <v>442</v>
      </c>
      <c r="B177">
        <v>1</v>
      </c>
    </row>
    <row r="178" spans="1:2" x14ac:dyDescent="0.25">
      <c r="A178" t="s">
        <v>443</v>
      </c>
      <c r="B178">
        <v>1</v>
      </c>
    </row>
    <row r="179" spans="1:2" x14ac:dyDescent="0.25">
      <c r="A179" t="s">
        <v>444</v>
      </c>
      <c r="B179">
        <v>1</v>
      </c>
    </row>
    <row r="180" spans="1:2" x14ac:dyDescent="0.25">
      <c r="A180" t="s">
        <v>445</v>
      </c>
      <c r="B180">
        <v>1</v>
      </c>
    </row>
    <row r="181" spans="1:2" x14ac:dyDescent="0.25">
      <c r="A181" t="s">
        <v>446</v>
      </c>
      <c r="B181">
        <v>1</v>
      </c>
    </row>
    <row r="182" spans="1:2" x14ac:dyDescent="0.25">
      <c r="A182" t="s">
        <v>447</v>
      </c>
      <c r="B182">
        <v>1</v>
      </c>
    </row>
    <row r="183" spans="1:2" x14ac:dyDescent="0.25">
      <c r="A183" t="s">
        <v>448</v>
      </c>
      <c r="B183">
        <v>1</v>
      </c>
    </row>
    <row r="184" spans="1:2" x14ac:dyDescent="0.25">
      <c r="A184" t="s">
        <v>449</v>
      </c>
      <c r="B184">
        <v>1</v>
      </c>
    </row>
    <row r="185" spans="1:2" x14ac:dyDescent="0.25">
      <c r="A185" t="s">
        <v>450</v>
      </c>
      <c r="B185">
        <v>1</v>
      </c>
    </row>
    <row r="186" spans="1:2" x14ac:dyDescent="0.25">
      <c r="A186" t="s">
        <v>451</v>
      </c>
      <c r="B186">
        <v>1</v>
      </c>
    </row>
    <row r="187" spans="1:2" x14ac:dyDescent="0.25">
      <c r="A187" t="s">
        <v>452</v>
      </c>
      <c r="B187">
        <v>1</v>
      </c>
    </row>
    <row r="188" spans="1:2" x14ac:dyDescent="0.25">
      <c r="A188" t="s">
        <v>453</v>
      </c>
      <c r="B188">
        <v>1</v>
      </c>
    </row>
    <row r="189" spans="1:2" x14ac:dyDescent="0.25">
      <c r="A189" t="s">
        <v>454</v>
      </c>
      <c r="B189">
        <v>1</v>
      </c>
    </row>
    <row r="190" spans="1:2" x14ac:dyDescent="0.25">
      <c r="A190" t="s">
        <v>455</v>
      </c>
      <c r="B190">
        <v>1</v>
      </c>
    </row>
    <row r="191" spans="1:2" x14ac:dyDescent="0.25">
      <c r="A191" t="s">
        <v>456</v>
      </c>
      <c r="B191">
        <v>1</v>
      </c>
    </row>
    <row r="192" spans="1:2" x14ac:dyDescent="0.25">
      <c r="A192" t="s">
        <v>457</v>
      </c>
      <c r="B192">
        <v>1</v>
      </c>
    </row>
    <row r="193" spans="1:2" x14ac:dyDescent="0.25">
      <c r="A193" t="s">
        <v>458</v>
      </c>
      <c r="B193">
        <v>1</v>
      </c>
    </row>
    <row r="194" spans="1:2" x14ac:dyDescent="0.25">
      <c r="A194" t="s">
        <v>459</v>
      </c>
      <c r="B194">
        <v>1</v>
      </c>
    </row>
    <row r="195" spans="1:2" x14ac:dyDescent="0.25">
      <c r="A195" t="s">
        <v>460</v>
      </c>
      <c r="B195">
        <v>1</v>
      </c>
    </row>
    <row r="196" spans="1:2" x14ac:dyDescent="0.25">
      <c r="A196" t="s">
        <v>461</v>
      </c>
      <c r="B196">
        <v>1</v>
      </c>
    </row>
    <row r="197" spans="1:2" x14ac:dyDescent="0.25">
      <c r="A197" t="s">
        <v>462</v>
      </c>
      <c r="B197">
        <v>1</v>
      </c>
    </row>
    <row r="198" spans="1:2" x14ac:dyDescent="0.25">
      <c r="A198" t="s">
        <v>463</v>
      </c>
      <c r="B198">
        <v>1</v>
      </c>
    </row>
    <row r="199" spans="1:2" x14ac:dyDescent="0.25">
      <c r="A199" t="s">
        <v>464</v>
      </c>
      <c r="B199">
        <v>1</v>
      </c>
    </row>
    <row r="200" spans="1:2" x14ac:dyDescent="0.25">
      <c r="A200" t="s">
        <v>465</v>
      </c>
      <c r="B200">
        <v>1</v>
      </c>
    </row>
    <row r="201" spans="1:2" x14ac:dyDescent="0.25">
      <c r="A201" t="s">
        <v>466</v>
      </c>
      <c r="B201">
        <v>1</v>
      </c>
    </row>
    <row r="202" spans="1:2" x14ac:dyDescent="0.25">
      <c r="A202" t="s">
        <v>467</v>
      </c>
      <c r="B202">
        <v>1</v>
      </c>
    </row>
    <row r="203" spans="1:2" x14ac:dyDescent="0.25">
      <c r="A203" t="s">
        <v>468</v>
      </c>
      <c r="B203">
        <v>1</v>
      </c>
    </row>
    <row r="204" spans="1:2" x14ac:dyDescent="0.25">
      <c r="A204" t="s">
        <v>469</v>
      </c>
      <c r="B204">
        <v>1</v>
      </c>
    </row>
    <row r="205" spans="1:2" x14ac:dyDescent="0.25">
      <c r="A205" t="s">
        <v>470</v>
      </c>
      <c r="B205">
        <v>1</v>
      </c>
    </row>
    <row r="206" spans="1:2" x14ac:dyDescent="0.25">
      <c r="A206" t="s">
        <v>471</v>
      </c>
      <c r="B206">
        <v>1</v>
      </c>
    </row>
    <row r="207" spans="1:2" x14ac:dyDescent="0.25">
      <c r="A207" t="s">
        <v>472</v>
      </c>
      <c r="B207">
        <v>1</v>
      </c>
    </row>
    <row r="208" spans="1:2" x14ac:dyDescent="0.25">
      <c r="A208" t="s">
        <v>473</v>
      </c>
      <c r="B208">
        <v>1</v>
      </c>
    </row>
    <row r="209" spans="1:2" x14ac:dyDescent="0.25">
      <c r="A209" t="s">
        <v>474</v>
      </c>
      <c r="B209">
        <v>1</v>
      </c>
    </row>
    <row r="210" spans="1:2" x14ac:dyDescent="0.25">
      <c r="A210" t="s">
        <v>475</v>
      </c>
      <c r="B210">
        <v>1</v>
      </c>
    </row>
    <row r="211" spans="1:2" x14ac:dyDescent="0.25">
      <c r="A211" t="s">
        <v>476</v>
      </c>
      <c r="B211">
        <v>1</v>
      </c>
    </row>
    <row r="212" spans="1:2" x14ac:dyDescent="0.25">
      <c r="A212" t="s">
        <v>477</v>
      </c>
      <c r="B212">
        <v>1</v>
      </c>
    </row>
    <row r="213" spans="1:2" x14ac:dyDescent="0.25">
      <c r="A213" t="s">
        <v>478</v>
      </c>
      <c r="B213">
        <v>1</v>
      </c>
    </row>
    <row r="214" spans="1:2" x14ac:dyDescent="0.25">
      <c r="A214" t="s">
        <v>479</v>
      </c>
      <c r="B214">
        <v>1</v>
      </c>
    </row>
    <row r="215" spans="1:2" x14ac:dyDescent="0.25">
      <c r="A215" t="s">
        <v>480</v>
      </c>
      <c r="B215">
        <v>1</v>
      </c>
    </row>
    <row r="216" spans="1:2" x14ac:dyDescent="0.25">
      <c r="A216" t="s">
        <v>481</v>
      </c>
      <c r="B216">
        <v>1</v>
      </c>
    </row>
    <row r="217" spans="1:2" x14ac:dyDescent="0.25">
      <c r="A217" t="s">
        <v>482</v>
      </c>
      <c r="B217">
        <v>1</v>
      </c>
    </row>
    <row r="218" spans="1:2" x14ac:dyDescent="0.25">
      <c r="A218" t="s">
        <v>483</v>
      </c>
      <c r="B218">
        <v>1</v>
      </c>
    </row>
    <row r="219" spans="1:2" x14ac:dyDescent="0.25">
      <c r="A219" t="s">
        <v>484</v>
      </c>
      <c r="B219">
        <v>1</v>
      </c>
    </row>
    <row r="220" spans="1:2" x14ac:dyDescent="0.25">
      <c r="A220" t="s">
        <v>485</v>
      </c>
      <c r="B220">
        <v>1</v>
      </c>
    </row>
    <row r="221" spans="1:2" x14ac:dyDescent="0.25">
      <c r="A221" t="s">
        <v>486</v>
      </c>
      <c r="B221">
        <v>1</v>
      </c>
    </row>
    <row r="222" spans="1:2" x14ac:dyDescent="0.25">
      <c r="A222" t="s">
        <v>487</v>
      </c>
      <c r="B222">
        <v>1</v>
      </c>
    </row>
    <row r="223" spans="1:2" x14ac:dyDescent="0.25">
      <c r="A223" t="s">
        <v>488</v>
      </c>
      <c r="B223">
        <v>1</v>
      </c>
    </row>
    <row r="224" spans="1:2" x14ac:dyDescent="0.25">
      <c r="A224" t="s">
        <v>489</v>
      </c>
      <c r="B224">
        <v>1</v>
      </c>
    </row>
    <row r="225" spans="1:2" x14ac:dyDescent="0.25">
      <c r="A225" t="s">
        <v>490</v>
      </c>
      <c r="B225">
        <v>1</v>
      </c>
    </row>
    <row r="226" spans="1:2" x14ac:dyDescent="0.25">
      <c r="A226" t="s">
        <v>491</v>
      </c>
      <c r="B226">
        <v>1</v>
      </c>
    </row>
    <row r="227" spans="1:2" x14ac:dyDescent="0.25">
      <c r="A227" t="s">
        <v>492</v>
      </c>
      <c r="B227">
        <v>1</v>
      </c>
    </row>
    <row r="228" spans="1:2" x14ac:dyDescent="0.25">
      <c r="A228" t="s">
        <v>493</v>
      </c>
      <c r="B228">
        <v>1</v>
      </c>
    </row>
    <row r="229" spans="1:2" x14ac:dyDescent="0.25">
      <c r="A229" t="s">
        <v>494</v>
      </c>
      <c r="B229">
        <v>1</v>
      </c>
    </row>
    <row r="230" spans="1:2" x14ac:dyDescent="0.25">
      <c r="A230" t="s">
        <v>495</v>
      </c>
      <c r="B230">
        <v>1</v>
      </c>
    </row>
    <row r="231" spans="1:2" x14ac:dyDescent="0.25">
      <c r="A231" t="s">
        <v>496</v>
      </c>
      <c r="B231">
        <v>1</v>
      </c>
    </row>
    <row r="232" spans="1:2" x14ac:dyDescent="0.25">
      <c r="A232" t="s">
        <v>497</v>
      </c>
      <c r="B232">
        <v>1</v>
      </c>
    </row>
    <row r="233" spans="1:2" x14ac:dyDescent="0.25">
      <c r="A233" t="s">
        <v>498</v>
      </c>
      <c r="B233">
        <v>1</v>
      </c>
    </row>
    <row r="234" spans="1:2" x14ac:dyDescent="0.25">
      <c r="A234" t="s">
        <v>499</v>
      </c>
      <c r="B234">
        <v>1</v>
      </c>
    </row>
    <row r="235" spans="1:2" x14ac:dyDescent="0.25">
      <c r="A235" t="s">
        <v>500</v>
      </c>
      <c r="B235">
        <v>1</v>
      </c>
    </row>
    <row r="236" spans="1:2" x14ac:dyDescent="0.25">
      <c r="A236" s="61" t="s">
        <v>501</v>
      </c>
      <c r="B236" s="61">
        <v>2</v>
      </c>
    </row>
    <row r="237" spans="1:2" x14ac:dyDescent="0.25">
      <c r="A237" t="s">
        <v>502</v>
      </c>
      <c r="B237">
        <v>1</v>
      </c>
    </row>
    <row r="238" spans="1:2" x14ac:dyDescent="0.25">
      <c r="A238" t="s">
        <v>503</v>
      </c>
      <c r="B238">
        <v>1</v>
      </c>
    </row>
    <row r="239" spans="1:2" x14ac:dyDescent="0.25">
      <c r="A239" t="s">
        <v>504</v>
      </c>
      <c r="B239">
        <v>1</v>
      </c>
    </row>
    <row r="240" spans="1:2" x14ac:dyDescent="0.25">
      <c r="A240" t="s">
        <v>505</v>
      </c>
      <c r="B240">
        <v>1</v>
      </c>
    </row>
    <row r="241" spans="1:2" x14ac:dyDescent="0.25">
      <c r="A241" t="s">
        <v>506</v>
      </c>
      <c r="B241">
        <v>1</v>
      </c>
    </row>
    <row r="242" spans="1:2" x14ac:dyDescent="0.25">
      <c r="A242" t="s">
        <v>507</v>
      </c>
      <c r="B242">
        <v>1</v>
      </c>
    </row>
    <row r="243" spans="1:2" x14ac:dyDescent="0.25">
      <c r="A243" t="s">
        <v>508</v>
      </c>
      <c r="B243">
        <v>1</v>
      </c>
    </row>
    <row r="244" spans="1:2" x14ac:dyDescent="0.25">
      <c r="A244" t="s">
        <v>509</v>
      </c>
      <c r="B244">
        <v>1</v>
      </c>
    </row>
    <row r="245" spans="1:2" x14ac:dyDescent="0.25">
      <c r="A245" t="s">
        <v>510</v>
      </c>
      <c r="B245">
        <v>1</v>
      </c>
    </row>
    <row r="246" spans="1:2" x14ac:dyDescent="0.25">
      <c r="A246" t="s">
        <v>511</v>
      </c>
      <c r="B246">
        <v>1</v>
      </c>
    </row>
    <row r="247" spans="1:2" x14ac:dyDescent="0.25">
      <c r="A247" t="s">
        <v>512</v>
      </c>
      <c r="B247">
        <v>1</v>
      </c>
    </row>
    <row r="248" spans="1:2" x14ac:dyDescent="0.25">
      <c r="A248" t="s">
        <v>513</v>
      </c>
      <c r="B248">
        <v>1</v>
      </c>
    </row>
    <row r="249" spans="1:2" x14ac:dyDescent="0.25">
      <c r="A249" t="s">
        <v>514</v>
      </c>
      <c r="B249">
        <v>1</v>
      </c>
    </row>
    <row r="250" spans="1:2" x14ac:dyDescent="0.25">
      <c r="A250" t="s">
        <v>515</v>
      </c>
      <c r="B250">
        <v>1</v>
      </c>
    </row>
    <row r="251" spans="1:2" x14ac:dyDescent="0.25">
      <c r="A251" s="61" t="s">
        <v>516</v>
      </c>
      <c r="B251" s="61">
        <v>2</v>
      </c>
    </row>
    <row r="252" spans="1:2" x14ac:dyDescent="0.25">
      <c r="A252" t="s">
        <v>517</v>
      </c>
      <c r="B252">
        <v>1</v>
      </c>
    </row>
    <row r="253" spans="1:2" x14ac:dyDescent="0.25">
      <c r="A253" t="s">
        <v>518</v>
      </c>
      <c r="B253">
        <v>1</v>
      </c>
    </row>
    <row r="254" spans="1:2" x14ac:dyDescent="0.25">
      <c r="A254" t="s">
        <v>519</v>
      </c>
      <c r="B254">
        <v>1</v>
      </c>
    </row>
    <row r="255" spans="1:2" x14ac:dyDescent="0.25">
      <c r="A255" t="s">
        <v>520</v>
      </c>
      <c r="B255">
        <v>1</v>
      </c>
    </row>
    <row r="256" spans="1:2" x14ac:dyDescent="0.25">
      <c r="A256" t="s">
        <v>521</v>
      </c>
      <c r="B256">
        <v>1</v>
      </c>
    </row>
    <row r="257" spans="1:2" x14ac:dyDescent="0.25">
      <c r="A257" t="s">
        <v>522</v>
      </c>
      <c r="B257">
        <v>1</v>
      </c>
    </row>
    <row r="258" spans="1:2" x14ac:dyDescent="0.25">
      <c r="A258" t="s">
        <v>523</v>
      </c>
      <c r="B258">
        <v>1</v>
      </c>
    </row>
    <row r="259" spans="1:2" x14ac:dyDescent="0.25">
      <c r="A259" t="s">
        <v>524</v>
      </c>
      <c r="B259">
        <v>1</v>
      </c>
    </row>
    <row r="260" spans="1:2" x14ac:dyDescent="0.25">
      <c r="A260" t="s">
        <v>525</v>
      </c>
      <c r="B260">
        <v>1</v>
      </c>
    </row>
    <row r="261" spans="1:2" x14ac:dyDescent="0.25">
      <c r="A261" t="s">
        <v>526</v>
      </c>
      <c r="B261">
        <v>1</v>
      </c>
    </row>
    <row r="262" spans="1:2" x14ac:dyDescent="0.25">
      <c r="A262" t="s">
        <v>527</v>
      </c>
      <c r="B262">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1"/>
  <sheetViews>
    <sheetView workbookViewId="0">
      <selection activeCell="D1" sqref="D1:D2"/>
    </sheetView>
  </sheetViews>
  <sheetFormatPr defaultRowHeight="15" x14ac:dyDescent="0.25"/>
  <cols>
    <col min="1" max="1" width="23.140625" style="72" customWidth="1"/>
    <col min="2" max="2" width="38" style="72"/>
    <col min="3" max="3" width="15.28515625" customWidth="1"/>
    <col min="4" max="4" width="44.140625" customWidth="1"/>
  </cols>
  <sheetData>
    <row r="1" spans="1:4" x14ac:dyDescent="0.25">
      <c r="A1" s="68" t="s">
        <v>578</v>
      </c>
      <c r="B1" s="68" t="s">
        <v>579</v>
      </c>
      <c r="C1" t="s">
        <v>858</v>
      </c>
      <c r="D1" t="s">
        <v>868</v>
      </c>
    </row>
    <row r="2" spans="1:4" x14ac:dyDescent="0.25">
      <c r="A2" s="69" t="s">
        <v>17</v>
      </c>
      <c r="B2" s="69" t="s">
        <v>19</v>
      </c>
      <c r="C2" s="105" t="s">
        <v>212</v>
      </c>
      <c r="D2" t="s">
        <v>210</v>
      </c>
    </row>
    <row r="3" spans="1:4" x14ac:dyDescent="0.25">
      <c r="A3" s="70" t="s">
        <v>615</v>
      </c>
      <c r="B3" s="71" t="s">
        <v>616</v>
      </c>
      <c r="C3" s="105" t="s">
        <v>859</v>
      </c>
      <c r="D3" t="s">
        <v>869</v>
      </c>
    </row>
    <row r="4" spans="1:4" x14ac:dyDescent="0.25">
      <c r="A4" s="70" t="s">
        <v>617</v>
      </c>
      <c r="B4" s="71" t="s">
        <v>616</v>
      </c>
      <c r="C4" s="105" t="s">
        <v>859</v>
      </c>
      <c r="D4" t="s">
        <v>870</v>
      </c>
    </row>
    <row r="5" spans="1:4" x14ac:dyDescent="0.25">
      <c r="A5" s="70" t="s">
        <v>618</v>
      </c>
      <c r="B5" s="71" t="s">
        <v>616</v>
      </c>
      <c r="C5" s="105" t="s">
        <v>859</v>
      </c>
      <c r="D5" t="s">
        <v>871</v>
      </c>
    </row>
    <row r="6" spans="1:4" x14ac:dyDescent="0.25">
      <c r="A6" s="70" t="s">
        <v>619</v>
      </c>
      <c r="B6" s="71" t="s">
        <v>616</v>
      </c>
      <c r="C6" s="105" t="s">
        <v>859</v>
      </c>
      <c r="D6" t="s">
        <v>872</v>
      </c>
    </row>
    <row r="7" spans="1:4" x14ac:dyDescent="0.25">
      <c r="A7" s="70" t="s">
        <v>620</v>
      </c>
      <c r="B7" s="71" t="s">
        <v>616</v>
      </c>
      <c r="C7" s="105" t="s">
        <v>859</v>
      </c>
      <c r="D7" t="s">
        <v>873</v>
      </c>
    </row>
    <row r="8" spans="1:4" x14ac:dyDescent="0.25">
      <c r="A8" s="70" t="s">
        <v>621</v>
      </c>
      <c r="B8" s="71" t="s">
        <v>616</v>
      </c>
      <c r="C8" s="105" t="s">
        <v>860</v>
      </c>
      <c r="D8" t="s">
        <v>874</v>
      </c>
    </row>
    <row r="9" spans="1:4" x14ac:dyDescent="0.25">
      <c r="A9" s="70" t="s">
        <v>622</v>
      </c>
      <c r="B9" s="71" t="s">
        <v>616</v>
      </c>
      <c r="C9" s="105" t="s">
        <v>860</v>
      </c>
      <c r="D9" t="s">
        <v>875</v>
      </c>
    </row>
    <row r="10" spans="1:4" x14ac:dyDescent="0.25">
      <c r="A10" s="70" t="s">
        <v>623</v>
      </c>
      <c r="B10" s="71" t="s">
        <v>616</v>
      </c>
      <c r="C10" s="105" t="s">
        <v>860</v>
      </c>
      <c r="D10" t="s">
        <v>876</v>
      </c>
    </row>
    <row r="11" spans="1:4" x14ac:dyDescent="0.25">
      <c r="A11" s="70" t="s">
        <v>624</v>
      </c>
      <c r="B11" s="71" t="s">
        <v>616</v>
      </c>
      <c r="C11" s="105" t="s">
        <v>859</v>
      </c>
      <c r="D11" t="s">
        <v>877</v>
      </c>
    </row>
    <row r="12" spans="1:4" x14ac:dyDescent="0.25">
      <c r="A12" s="70" t="s">
        <v>625</v>
      </c>
      <c r="B12" s="71" t="s">
        <v>616</v>
      </c>
      <c r="C12" s="105" t="s">
        <v>859</v>
      </c>
      <c r="D12" t="s">
        <v>878</v>
      </c>
    </row>
    <row r="13" spans="1:4" x14ac:dyDescent="0.25">
      <c r="A13" s="70" t="s">
        <v>626</v>
      </c>
      <c r="B13" s="71" t="s">
        <v>616</v>
      </c>
      <c r="C13" s="105" t="s">
        <v>859</v>
      </c>
      <c r="D13" t="s">
        <v>879</v>
      </c>
    </row>
    <row r="14" spans="1:4" x14ac:dyDescent="0.25">
      <c r="A14" s="70" t="s">
        <v>627</v>
      </c>
      <c r="B14" s="71" t="s">
        <v>616</v>
      </c>
      <c r="C14" s="105" t="s">
        <v>859</v>
      </c>
      <c r="D14" t="s">
        <v>880</v>
      </c>
    </row>
    <row r="15" spans="1:4" x14ac:dyDescent="0.25">
      <c r="A15" s="70" t="s">
        <v>628</v>
      </c>
      <c r="B15" s="71" t="s">
        <v>616</v>
      </c>
      <c r="C15" s="105" t="s">
        <v>859</v>
      </c>
      <c r="D15" t="s">
        <v>881</v>
      </c>
    </row>
    <row r="16" spans="1:4" x14ac:dyDescent="0.25">
      <c r="A16" s="70" t="s">
        <v>629</v>
      </c>
      <c r="B16" s="71" t="s">
        <v>616</v>
      </c>
      <c r="C16" s="105" t="s">
        <v>859</v>
      </c>
      <c r="D16" t="s">
        <v>882</v>
      </c>
    </row>
    <row r="17" spans="1:4" x14ac:dyDescent="0.25">
      <c r="A17" s="70" t="s">
        <v>630</v>
      </c>
      <c r="B17" s="71" t="s">
        <v>616</v>
      </c>
      <c r="C17" s="105" t="s">
        <v>860</v>
      </c>
      <c r="D17" t="s">
        <v>883</v>
      </c>
    </row>
    <row r="18" spans="1:4" x14ac:dyDescent="0.25">
      <c r="A18" s="70" t="s">
        <v>631</v>
      </c>
      <c r="B18" s="71" t="s">
        <v>616</v>
      </c>
      <c r="C18" s="105" t="s">
        <v>860</v>
      </c>
      <c r="D18" t="s">
        <v>884</v>
      </c>
    </row>
    <row r="19" spans="1:4" x14ac:dyDescent="0.25">
      <c r="A19" s="70" t="s">
        <v>632</v>
      </c>
      <c r="B19" s="71" t="s">
        <v>616</v>
      </c>
      <c r="C19" s="105" t="s">
        <v>860</v>
      </c>
      <c r="D19" t="s">
        <v>885</v>
      </c>
    </row>
    <row r="20" spans="1:4" x14ac:dyDescent="0.25">
      <c r="A20" s="70" t="s">
        <v>633</v>
      </c>
      <c r="B20" s="71" t="s">
        <v>616</v>
      </c>
      <c r="C20" s="105" t="s">
        <v>860</v>
      </c>
      <c r="D20" t="s">
        <v>886</v>
      </c>
    </row>
    <row r="21" spans="1:4" x14ac:dyDescent="0.25">
      <c r="A21" s="70" t="s">
        <v>634</v>
      </c>
      <c r="B21" s="71" t="s">
        <v>616</v>
      </c>
      <c r="C21" s="105" t="s">
        <v>860</v>
      </c>
      <c r="D21" t="s">
        <v>887</v>
      </c>
    </row>
    <row r="22" spans="1:4" x14ac:dyDescent="0.25">
      <c r="A22" s="70" t="s">
        <v>635</v>
      </c>
      <c r="B22" s="71" t="s">
        <v>616</v>
      </c>
      <c r="C22" s="105" t="s">
        <v>860</v>
      </c>
      <c r="D22" t="s">
        <v>888</v>
      </c>
    </row>
    <row r="23" spans="1:4" x14ac:dyDescent="0.25">
      <c r="A23" s="70" t="s">
        <v>636</v>
      </c>
      <c r="B23" s="71" t="s">
        <v>616</v>
      </c>
      <c r="C23" s="105" t="s">
        <v>860</v>
      </c>
      <c r="D23" t="s">
        <v>889</v>
      </c>
    </row>
    <row r="24" spans="1:4" x14ac:dyDescent="0.25">
      <c r="A24" s="70" t="s">
        <v>637</v>
      </c>
      <c r="B24" s="71" t="s">
        <v>616</v>
      </c>
      <c r="C24" s="105" t="s">
        <v>860</v>
      </c>
      <c r="D24" t="s">
        <v>890</v>
      </c>
    </row>
    <row r="25" spans="1:4" x14ac:dyDescent="0.25">
      <c r="A25" s="70" t="s">
        <v>638</v>
      </c>
      <c r="B25" s="71" t="s">
        <v>616</v>
      </c>
      <c r="C25" s="105" t="s">
        <v>860</v>
      </c>
      <c r="D25" t="s">
        <v>891</v>
      </c>
    </row>
    <row r="26" spans="1:4" x14ac:dyDescent="0.25">
      <c r="A26" s="70" t="s">
        <v>639</v>
      </c>
      <c r="B26" s="71" t="s">
        <v>616</v>
      </c>
      <c r="C26" s="105" t="s">
        <v>860</v>
      </c>
      <c r="D26" t="s">
        <v>892</v>
      </c>
    </row>
    <row r="27" spans="1:4" x14ac:dyDescent="0.25">
      <c r="A27" s="70" t="s">
        <v>640</v>
      </c>
      <c r="B27" s="71" t="s">
        <v>616</v>
      </c>
      <c r="C27" s="105" t="s">
        <v>860</v>
      </c>
      <c r="D27" t="s">
        <v>893</v>
      </c>
    </row>
    <row r="28" spans="1:4" x14ac:dyDescent="0.25">
      <c r="A28" s="70" t="s">
        <v>641</v>
      </c>
      <c r="B28" s="71" t="s">
        <v>616</v>
      </c>
      <c r="C28" s="105" t="s">
        <v>860</v>
      </c>
      <c r="D28" t="s">
        <v>894</v>
      </c>
    </row>
    <row r="29" spans="1:4" x14ac:dyDescent="0.25">
      <c r="A29" s="70" t="s">
        <v>642</v>
      </c>
      <c r="B29" s="71" t="s">
        <v>616</v>
      </c>
      <c r="C29" s="105" t="s">
        <v>859</v>
      </c>
      <c r="D29" t="s">
        <v>895</v>
      </c>
    </row>
    <row r="30" spans="1:4" x14ac:dyDescent="0.25">
      <c r="A30" s="70" t="s">
        <v>643</v>
      </c>
      <c r="B30" s="71" t="s">
        <v>616</v>
      </c>
      <c r="C30" s="105" t="s">
        <v>859</v>
      </c>
      <c r="D30" t="s">
        <v>896</v>
      </c>
    </row>
    <row r="31" spans="1:4" x14ac:dyDescent="0.25">
      <c r="A31" s="70" t="s">
        <v>644</v>
      </c>
      <c r="B31" s="71" t="s">
        <v>616</v>
      </c>
      <c r="C31" s="105" t="s">
        <v>859</v>
      </c>
      <c r="D31" t="s">
        <v>897</v>
      </c>
    </row>
    <row r="32" spans="1:4" x14ac:dyDescent="0.25">
      <c r="A32" s="70" t="s">
        <v>645</v>
      </c>
      <c r="B32" s="71" t="s">
        <v>616</v>
      </c>
      <c r="C32" s="105" t="s">
        <v>859</v>
      </c>
      <c r="D32" t="s">
        <v>898</v>
      </c>
    </row>
    <row r="33" spans="1:4" x14ac:dyDescent="0.25">
      <c r="A33" s="70" t="s">
        <v>646</v>
      </c>
      <c r="B33" s="71" t="s">
        <v>616</v>
      </c>
      <c r="C33" s="105" t="s">
        <v>859</v>
      </c>
      <c r="D33" t="s">
        <v>899</v>
      </c>
    </row>
    <row r="34" spans="1:4" x14ac:dyDescent="0.25">
      <c r="A34" s="70" t="s">
        <v>647</v>
      </c>
      <c r="B34" s="71" t="s">
        <v>616</v>
      </c>
      <c r="C34" s="105" t="s">
        <v>859</v>
      </c>
      <c r="D34" t="s">
        <v>900</v>
      </c>
    </row>
    <row r="35" spans="1:4" x14ac:dyDescent="0.25">
      <c r="A35" s="70" t="s">
        <v>648</v>
      </c>
      <c r="B35" s="71" t="s">
        <v>616</v>
      </c>
      <c r="C35" s="105" t="s">
        <v>859</v>
      </c>
      <c r="D35" t="s">
        <v>901</v>
      </c>
    </row>
    <row r="36" spans="1:4" x14ac:dyDescent="0.25">
      <c r="A36" s="70" t="s">
        <v>649</v>
      </c>
      <c r="B36" s="71" t="s">
        <v>616</v>
      </c>
      <c r="C36" s="105" t="s">
        <v>859</v>
      </c>
      <c r="D36" t="s">
        <v>902</v>
      </c>
    </row>
    <row r="37" spans="1:4" x14ac:dyDescent="0.25">
      <c r="A37" s="70" t="s">
        <v>650</v>
      </c>
      <c r="B37" s="71" t="s">
        <v>616</v>
      </c>
      <c r="C37" s="105" t="s">
        <v>859</v>
      </c>
      <c r="D37" t="s">
        <v>903</v>
      </c>
    </row>
    <row r="38" spans="1:4" x14ac:dyDescent="0.25">
      <c r="A38" s="70" t="s">
        <v>651</v>
      </c>
      <c r="B38" s="71" t="s">
        <v>616</v>
      </c>
      <c r="C38" s="105" t="s">
        <v>859</v>
      </c>
      <c r="D38" t="s">
        <v>904</v>
      </c>
    </row>
    <row r="39" spans="1:4" x14ac:dyDescent="0.25">
      <c r="A39" s="70" t="s">
        <v>652</v>
      </c>
      <c r="B39" s="71" t="s">
        <v>616</v>
      </c>
      <c r="C39" s="105" t="s">
        <v>859</v>
      </c>
      <c r="D39" t="s">
        <v>905</v>
      </c>
    </row>
    <row r="40" spans="1:4" x14ac:dyDescent="0.25">
      <c r="A40" s="70" t="s">
        <v>653</v>
      </c>
      <c r="B40" s="71" t="s">
        <v>616</v>
      </c>
      <c r="C40" s="105" t="s">
        <v>859</v>
      </c>
      <c r="D40" t="s">
        <v>906</v>
      </c>
    </row>
    <row r="41" spans="1:4" x14ac:dyDescent="0.25">
      <c r="A41" s="70" t="s">
        <v>654</v>
      </c>
      <c r="B41" s="71" t="s">
        <v>616</v>
      </c>
      <c r="C41" s="105" t="s">
        <v>860</v>
      </c>
      <c r="D41" t="s">
        <v>907</v>
      </c>
    </row>
    <row r="42" spans="1:4" x14ac:dyDescent="0.25">
      <c r="A42" s="70" t="s">
        <v>655</v>
      </c>
      <c r="B42" s="71" t="s">
        <v>616</v>
      </c>
      <c r="C42" s="105" t="s">
        <v>860</v>
      </c>
      <c r="D42" t="s">
        <v>864</v>
      </c>
    </row>
    <row r="43" spans="1:4" x14ac:dyDescent="0.25">
      <c r="A43" s="70" t="s">
        <v>656</v>
      </c>
      <c r="B43" s="71" t="s">
        <v>616</v>
      </c>
      <c r="C43" s="105" t="s">
        <v>859</v>
      </c>
      <c r="D43" t="s">
        <v>865</v>
      </c>
    </row>
    <row r="44" spans="1:4" x14ac:dyDescent="0.25">
      <c r="A44" s="70" t="s">
        <v>657</v>
      </c>
      <c r="B44" s="71" t="s">
        <v>658</v>
      </c>
      <c r="C44" s="105">
        <v>2</v>
      </c>
      <c r="D44" t="s">
        <v>908</v>
      </c>
    </row>
    <row r="45" spans="1:4" x14ac:dyDescent="0.25">
      <c r="A45" s="70" t="s">
        <v>659</v>
      </c>
      <c r="B45" s="71" t="s">
        <v>658</v>
      </c>
      <c r="C45" s="105">
        <v>2</v>
      </c>
      <c r="D45" t="s">
        <v>909</v>
      </c>
    </row>
    <row r="46" spans="1:4" x14ac:dyDescent="0.25">
      <c r="A46" s="70" t="s">
        <v>660</v>
      </c>
      <c r="B46" s="71" t="s">
        <v>658</v>
      </c>
      <c r="C46" s="105">
        <v>2</v>
      </c>
      <c r="D46" t="s">
        <v>910</v>
      </c>
    </row>
    <row r="47" spans="1:4" x14ac:dyDescent="0.25">
      <c r="A47" s="70" t="s">
        <v>661</v>
      </c>
      <c r="B47" s="71" t="s">
        <v>658</v>
      </c>
      <c r="C47" s="105">
        <v>2</v>
      </c>
      <c r="D47" t="s">
        <v>911</v>
      </c>
    </row>
    <row r="48" spans="1:4" x14ac:dyDescent="0.25">
      <c r="A48" s="70" t="s">
        <v>662</v>
      </c>
      <c r="B48" s="71" t="s">
        <v>658</v>
      </c>
      <c r="C48" s="105">
        <v>2</v>
      </c>
      <c r="D48" t="s">
        <v>912</v>
      </c>
    </row>
    <row r="49" spans="1:4" x14ac:dyDescent="0.25">
      <c r="A49" s="70" t="s">
        <v>663</v>
      </c>
      <c r="B49" s="71" t="s">
        <v>658</v>
      </c>
      <c r="C49" s="105">
        <v>2</v>
      </c>
      <c r="D49" t="s">
        <v>913</v>
      </c>
    </row>
    <row r="50" spans="1:4" x14ac:dyDescent="0.25">
      <c r="A50" s="70" t="s">
        <v>664</v>
      </c>
      <c r="B50" s="71" t="s">
        <v>51</v>
      </c>
      <c r="C50" s="105">
        <v>3</v>
      </c>
      <c r="D50" t="s">
        <v>914</v>
      </c>
    </row>
    <row r="51" spans="1:4" x14ac:dyDescent="0.25">
      <c r="A51" s="70" t="s">
        <v>548</v>
      </c>
      <c r="B51" s="71" t="s">
        <v>51</v>
      </c>
      <c r="C51" s="105">
        <v>3</v>
      </c>
      <c r="D51" t="s">
        <v>915</v>
      </c>
    </row>
    <row r="52" spans="1:4" x14ac:dyDescent="0.25">
      <c r="A52" s="70" t="s">
        <v>561</v>
      </c>
      <c r="B52" s="71" t="s">
        <v>51</v>
      </c>
      <c r="C52" s="105">
        <v>3</v>
      </c>
      <c r="D52" t="s">
        <v>916</v>
      </c>
    </row>
    <row r="53" spans="1:4" x14ac:dyDescent="0.25">
      <c r="A53" s="70" t="s">
        <v>562</v>
      </c>
      <c r="B53" s="71" t="s">
        <v>51</v>
      </c>
      <c r="C53" s="105">
        <v>3</v>
      </c>
      <c r="D53" t="s">
        <v>917</v>
      </c>
    </row>
    <row r="54" spans="1:4" x14ac:dyDescent="0.25">
      <c r="A54" s="70" t="s">
        <v>532</v>
      </c>
      <c r="B54" s="71" t="s">
        <v>51</v>
      </c>
      <c r="C54" s="105">
        <v>3</v>
      </c>
      <c r="D54" t="s">
        <v>918</v>
      </c>
    </row>
    <row r="55" spans="1:4" x14ac:dyDescent="0.25">
      <c r="A55" s="70" t="s">
        <v>566</v>
      </c>
      <c r="B55" s="71" t="s">
        <v>51</v>
      </c>
      <c r="C55" s="105">
        <v>3</v>
      </c>
      <c r="D55" t="s">
        <v>919</v>
      </c>
    </row>
    <row r="56" spans="1:4" x14ac:dyDescent="0.25">
      <c r="A56" s="70" t="s">
        <v>552</v>
      </c>
      <c r="B56" s="71" t="s">
        <v>51</v>
      </c>
      <c r="C56" s="105">
        <v>3</v>
      </c>
      <c r="D56" t="s">
        <v>920</v>
      </c>
    </row>
    <row r="57" spans="1:4" x14ac:dyDescent="0.25">
      <c r="A57" s="70" t="s">
        <v>531</v>
      </c>
      <c r="B57" s="71" t="s">
        <v>51</v>
      </c>
      <c r="C57" s="105">
        <v>3</v>
      </c>
      <c r="D57" t="s">
        <v>921</v>
      </c>
    </row>
    <row r="58" spans="1:4" x14ac:dyDescent="0.25">
      <c r="A58" s="70" t="s">
        <v>551</v>
      </c>
      <c r="B58" s="71" t="s">
        <v>51</v>
      </c>
      <c r="C58" s="105">
        <v>3</v>
      </c>
      <c r="D58" t="s">
        <v>922</v>
      </c>
    </row>
    <row r="59" spans="1:4" x14ac:dyDescent="0.25">
      <c r="A59" s="70" t="s">
        <v>550</v>
      </c>
      <c r="B59" s="71" t="s">
        <v>51</v>
      </c>
      <c r="C59" s="105">
        <v>3</v>
      </c>
      <c r="D59" t="s">
        <v>923</v>
      </c>
    </row>
    <row r="60" spans="1:4" x14ac:dyDescent="0.25">
      <c r="A60" s="70" t="s">
        <v>557</v>
      </c>
      <c r="B60" s="71" t="s">
        <v>51</v>
      </c>
      <c r="C60" s="105">
        <v>3</v>
      </c>
      <c r="D60" t="s">
        <v>924</v>
      </c>
    </row>
    <row r="61" spans="1:4" x14ac:dyDescent="0.25">
      <c r="A61" s="70" t="s">
        <v>564</v>
      </c>
      <c r="B61" s="71" t="s">
        <v>51</v>
      </c>
      <c r="C61" s="105">
        <v>3</v>
      </c>
      <c r="D61" t="s">
        <v>925</v>
      </c>
    </row>
    <row r="62" spans="1:4" x14ac:dyDescent="0.25">
      <c r="A62" s="70" t="s">
        <v>565</v>
      </c>
      <c r="B62" s="71" t="s">
        <v>51</v>
      </c>
      <c r="C62" s="105">
        <v>3</v>
      </c>
      <c r="D62" t="s">
        <v>926</v>
      </c>
    </row>
    <row r="63" spans="1:4" x14ac:dyDescent="0.25">
      <c r="A63" s="70" t="s">
        <v>61</v>
      </c>
      <c r="B63" s="71" t="s">
        <v>51</v>
      </c>
      <c r="C63" s="105">
        <v>3</v>
      </c>
      <c r="D63" t="s">
        <v>927</v>
      </c>
    </row>
    <row r="64" spans="1:4" x14ac:dyDescent="0.25">
      <c r="A64" s="70" t="s">
        <v>66</v>
      </c>
      <c r="B64" s="71" t="s">
        <v>51</v>
      </c>
      <c r="C64" s="105">
        <v>3</v>
      </c>
      <c r="D64" t="s">
        <v>928</v>
      </c>
    </row>
    <row r="65" spans="1:4" x14ac:dyDescent="0.25">
      <c r="A65" s="70" t="s">
        <v>547</v>
      </c>
      <c r="B65" s="71" t="s">
        <v>51</v>
      </c>
      <c r="C65" s="105">
        <v>3</v>
      </c>
      <c r="D65" t="s">
        <v>929</v>
      </c>
    </row>
    <row r="66" spans="1:4" x14ac:dyDescent="0.25">
      <c r="A66" s="70" t="s">
        <v>58</v>
      </c>
      <c r="B66" s="71" t="s">
        <v>51</v>
      </c>
      <c r="C66" s="105">
        <v>3</v>
      </c>
      <c r="D66" t="s">
        <v>930</v>
      </c>
    </row>
    <row r="67" spans="1:4" x14ac:dyDescent="0.25">
      <c r="A67" s="70" t="s">
        <v>62</v>
      </c>
      <c r="B67" s="71" t="s">
        <v>51</v>
      </c>
      <c r="C67" s="105">
        <v>3</v>
      </c>
      <c r="D67" t="s">
        <v>931</v>
      </c>
    </row>
    <row r="68" spans="1:4" x14ac:dyDescent="0.25">
      <c r="A68" s="70" t="s">
        <v>540</v>
      </c>
      <c r="B68" s="71" t="s">
        <v>51</v>
      </c>
      <c r="C68" s="105">
        <v>3</v>
      </c>
      <c r="D68" t="s">
        <v>932</v>
      </c>
    </row>
    <row r="69" spans="1:4" x14ac:dyDescent="0.25">
      <c r="A69" s="70" t="s">
        <v>68</v>
      </c>
      <c r="B69" s="71" t="s">
        <v>51</v>
      </c>
      <c r="C69" s="105">
        <v>3</v>
      </c>
      <c r="D69" t="s">
        <v>863</v>
      </c>
    </row>
    <row r="70" spans="1:4" x14ac:dyDescent="0.25">
      <c r="A70" s="70" t="s">
        <v>537</v>
      </c>
      <c r="B70" s="71" t="s">
        <v>51</v>
      </c>
      <c r="C70" s="105">
        <v>3</v>
      </c>
      <c r="D70" t="s">
        <v>933</v>
      </c>
    </row>
    <row r="71" spans="1:4" x14ac:dyDescent="0.25">
      <c r="A71" s="70" t="s">
        <v>536</v>
      </c>
      <c r="B71" s="71" t="s">
        <v>51</v>
      </c>
      <c r="C71" s="105">
        <v>3</v>
      </c>
      <c r="D71" t="s">
        <v>934</v>
      </c>
    </row>
    <row r="72" spans="1:4" x14ac:dyDescent="0.25">
      <c r="A72" s="70" t="s">
        <v>665</v>
      </c>
      <c r="B72" s="71" t="s">
        <v>51</v>
      </c>
      <c r="C72" s="105">
        <v>3</v>
      </c>
      <c r="D72" t="s">
        <v>935</v>
      </c>
    </row>
    <row r="73" spans="1:4" x14ac:dyDescent="0.25">
      <c r="A73" s="70" t="s">
        <v>534</v>
      </c>
      <c r="B73" s="71" t="s">
        <v>51</v>
      </c>
      <c r="C73" s="105">
        <v>3</v>
      </c>
      <c r="D73" t="s">
        <v>936</v>
      </c>
    </row>
    <row r="74" spans="1:4" x14ac:dyDescent="0.25">
      <c r="A74" s="70" t="s">
        <v>541</v>
      </c>
      <c r="B74" s="71" t="s">
        <v>51</v>
      </c>
      <c r="C74" s="105">
        <v>3</v>
      </c>
      <c r="D74" t="s">
        <v>937</v>
      </c>
    </row>
    <row r="75" spans="1:4" x14ac:dyDescent="0.25">
      <c r="A75" s="70" t="s">
        <v>666</v>
      </c>
      <c r="B75" s="71" t="s">
        <v>51</v>
      </c>
      <c r="C75" s="105">
        <v>3</v>
      </c>
      <c r="D75" t="s">
        <v>938</v>
      </c>
    </row>
    <row r="76" spans="1:4" x14ac:dyDescent="0.25">
      <c r="A76" s="70" t="s">
        <v>553</v>
      </c>
      <c r="B76" s="71" t="s">
        <v>51</v>
      </c>
      <c r="C76" s="105">
        <v>3</v>
      </c>
      <c r="D76" t="s">
        <v>939</v>
      </c>
    </row>
    <row r="77" spans="1:4" x14ac:dyDescent="0.25">
      <c r="A77" s="70" t="s">
        <v>64</v>
      </c>
      <c r="B77" s="71" t="s">
        <v>51</v>
      </c>
      <c r="C77" s="105">
        <v>3</v>
      </c>
      <c r="D77" t="s">
        <v>940</v>
      </c>
    </row>
    <row r="78" spans="1:4" x14ac:dyDescent="0.25">
      <c r="A78" s="70" t="s">
        <v>57</v>
      </c>
      <c r="B78" s="71" t="s">
        <v>51</v>
      </c>
      <c r="C78" s="105">
        <v>3</v>
      </c>
      <c r="D78" t="s">
        <v>941</v>
      </c>
    </row>
    <row r="79" spans="1:4" x14ac:dyDescent="0.25">
      <c r="A79" s="70" t="s">
        <v>667</v>
      </c>
      <c r="B79" s="71" t="s">
        <v>51</v>
      </c>
      <c r="C79" s="105">
        <v>3</v>
      </c>
      <c r="D79" t="s">
        <v>942</v>
      </c>
    </row>
    <row r="80" spans="1:4" x14ac:dyDescent="0.25">
      <c r="A80" s="70" t="s">
        <v>668</v>
      </c>
      <c r="B80" s="71" t="s">
        <v>51</v>
      </c>
      <c r="C80" s="105">
        <v>3</v>
      </c>
      <c r="D80" t="s">
        <v>943</v>
      </c>
    </row>
    <row r="81" spans="1:4" x14ac:dyDescent="0.25">
      <c r="A81" s="70" t="s">
        <v>544</v>
      </c>
      <c r="B81" s="71" t="s">
        <v>51</v>
      </c>
      <c r="C81" s="105">
        <v>3</v>
      </c>
      <c r="D81" t="s">
        <v>944</v>
      </c>
    </row>
    <row r="82" spans="1:4" x14ac:dyDescent="0.25">
      <c r="A82" s="70" t="s">
        <v>542</v>
      </c>
      <c r="B82" s="71" t="s">
        <v>51</v>
      </c>
      <c r="C82" s="105">
        <v>3</v>
      </c>
      <c r="D82" t="s">
        <v>945</v>
      </c>
    </row>
    <row r="83" spans="1:4" x14ac:dyDescent="0.25">
      <c r="A83" s="70" t="s">
        <v>545</v>
      </c>
      <c r="B83" s="71" t="s">
        <v>51</v>
      </c>
      <c r="C83" s="105">
        <v>3</v>
      </c>
      <c r="D83" t="s">
        <v>946</v>
      </c>
    </row>
    <row r="84" spans="1:4" x14ac:dyDescent="0.25">
      <c r="A84" s="70" t="s">
        <v>559</v>
      </c>
      <c r="B84" s="71" t="s">
        <v>51</v>
      </c>
      <c r="C84" s="105">
        <v>3</v>
      </c>
      <c r="D84" t="s">
        <v>947</v>
      </c>
    </row>
    <row r="85" spans="1:4" x14ac:dyDescent="0.25">
      <c r="A85" s="70" t="s">
        <v>555</v>
      </c>
      <c r="B85" s="71" t="s">
        <v>51</v>
      </c>
      <c r="C85" s="105">
        <v>3</v>
      </c>
      <c r="D85" t="s">
        <v>948</v>
      </c>
    </row>
    <row r="86" spans="1:4" x14ac:dyDescent="0.25">
      <c r="A86" s="70" t="s">
        <v>669</v>
      </c>
      <c r="B86" s="71" t="s">
        <v>51</v>
      </c>
      <c r="C86" s="105">
        <v>3</v>
      </c>
      <c r="D86" t="s">
        <v>949</v>
      </c>
    </row>
    <row r="87" spans="1:4" x14ac:dyDescent="0.25">
      <c r="A87" s="70" t="s">
        <v>670</v>
      </c>
      <c r="B87" s="71" t="s">
        <v>51</v>
      </c>
      <c r="C87" s="105">
        <v>3</v>
      </c>
      <c r="D87" t="s">
        <v>950</v>
      </c>
    </row>
    <row r="88" spans="1:4" x14ac:dyDescent="0.25">
      <c r="A88" s="70" t="s">
        <v>671</v>
      </c>
      <c r="B88" s="71" t="s">
        <v>51</v>
      </c>
      <c r="C88" s="105">
        <v>3</v>
      </c>
      <c r="D88" t="s">
        <v>951</v>
      </c>
    </row>
    <row r="89" spans="1:4" x14ac:dyDescent="0.25">
      <c r="A89" s="70" t="s">
        <v>530</v>
      </c>
      <c r="B89" s="71" t="s">
        <v>51</v>
      </c>
      <c r="C89" s="105">
        <v>3</v>
      </c>
      <c r="D89" t="s">
        <v>952</v>
      </c>
    </row>
    <row r="90" spans="1:4" x14ac:dyDescent="0.25">
      <c r="A90" s="70" t="s">
        <v>554</v>
      </c>
      <c r="B90" s="71" t="s">
        <v>51</v>
      </c>
      <c r="C90" s="105">
        <v>3</v>
      </c>
      <c r="D90" t="s">
        <v>953</v>
      </c>
    </row>
    <row r="91" spans="1:4" x14ac:dyDescent="0.25">
      <c r="A91" s="70" t="s">
        <v>215</v>
      </c>
      <c r="B91" s="71" t="s">
        <v>51</v>
      </c>
      <c r="C91" s="105">
        <v>3</v>
      </c>
      <c r="D91" t="s">
        <v>213</v>
      </c>
    </row>
    <row r="92" spans="1:4" x14ac:dyDescent="0.25">
      <c r="A92" s="70" t="s">
        <v>218</v>
      </c>
      <c r="B92" s="71" t="s">
        <v>51</v>
      </c>
      <c r="C92" s="105">
        <v>3</v>
      </c>
      <c r="D92" t="s">
        <v>216</v>
      </c>
    </row>
    <row r="93" spans="1:4" x14ac:dyDescent="0.25">
      <c r="A93" s="70" t="s">
        <v>220</v>
      </c>
      <c r="B93" s="71" t="s">
        <v>51</v>
      </c>
      <c r="C93" s="105">
        <v>3</v>
      </c>
      <c r="D93" t="s">
        <v>219</v>
      </c>
    </row>
    <row r="94" spans="1:4" x14ac:dyDescent="0.25">
      <c r="A94" s="70" t="s">
        <v>223</v>
      </c>
      <c r="B94" s="71" t="s">
        <v>51</v>
      </c>
      <c r="C94" s="105">
        <v>3</v>
      </c>
      <c r="D94" t="s">
        <v>221</v>
      </c>
    </row>
    <row r="95" spans="1:4" x14ac:dyDescent="0.25">
      <c r="A95" s="70" t="s">
        <v>556</v>
      </c>
      <c r="B95" s="71" t="s">
        <v>51</v>
      </c>
      <c r="C95" s="105">
        <v>3</v>
      </c>
      <c r="D95" t="s">
        <v>954</v>
      </c>
    </row>
    <row r="96" spans="1:4" x14ac:dyDescent="0.25">
      <c r="A96" s="70" t="s">
        <v>672</v>
      </c>
      <c r="B96" s="71" t="s">
        <v>51</v>
      </c>
      <c r="C96" s="105">
        <v>3</v>
      </c>
      <c r="D96" t="s">
        <v>955</v>
      </c>
    </row>
    <row r="97" spans="1:4" x14ac:dyDescent="0.25">
      <c r="A97" s="70" t="s">
        <v>50</v>
      </c>
      <c r="B97" s="71" t="s">
        <v>51</v>
      </c>
      <c r="C97" s="105">
        <v>3</v>
      </c>
      <c r="D97" t="s">
        <v>956</v>
      </c>
    </row>
    <row r="98" spans="1:4" x14ac:dyDescent="0.25">
      <c r="A98" s="70" t="s">
        <v>539</v>
      </c>
      <c r="B98" s="71" t="s">
        <v>51</v>
      </c>
      <c r="C98" s="105">
        <v>3</v>
      </c>
      <c r="D98" t="s">
        <v>957</v>
      </c>
    </row>
    <row r="99" spans="1:4" x14ac:dyDescent="0.25">
      <c r="A99" s="70" t="s">
        <v>560</v>
      </c>
      <c r="B99" s="71" t="s">
        <v>51</v>
      </c>
      <c r="C99" s="105">
        <v>3</v>
      </c>
      <c r="D99" t="s">
        <v>958</v>
      </c>
    </row>
    <row r="100" spans="1:4" x14ac:dyDescent="0.25">
      <c r="A100" s="70" t="s">
        <v>535</v>
      </c>
      <c r="B100" s="71" t="s">
        <v>51</v>
      </c>
      <c r="C100" s="105">
        <v>3</v>
      </c>
      <c r="D100" t="s">
        <v>959</v>
      </c>
    </row>
    <row r="101" spans="1:4" x14ac:dyDescent="0.25">
      <c r="A101" s="70" t="s">
        <v>55</v>
      </c>
      <c r="B101" s="71" t="s">
        <v>51</v>
      </c>
      <c r="C101" s="105">
        <v>3</v>
      </c>
      <c r="D101" t="s">
        <v>960</v>
      </c>
    </row>
    <row r="102" spans="1:4" x14ac:dyDescent="0.25">
      <c r="A102" s="70" t="s">
        <v>673</v>
      </c>
      <c r="B102" s="71" t="s">
        <v>47</v>
      </c>
      <c r="C102" s="105">
        <v>4</v>
      </c>
      <c r="D102" t="s">
        <v>961</v>
      </c>
    </row>
    <row r="103" spans="1:4" x14ac:dyDescent="0.25">
      <c r="A103" s="70" t="s">
        <v>563</v>
      </c>
      <c r="B103" s="71" t="s">
        <v>47</v>
      </c>
      <c r="C103" s="105">
        <v>4</v>
      </c>
      <c r="D103" t="s">
        <v>962</v>
      </c>
    </row>
    <row r="104" spans="1:4" x14ac:dyDescent="0.25">
      <c r="A104" s="70" t="s">
        <v>674</v>
      </c>
      <c r="B104" s="71" t="s">
        <v>47</v>
      </c>
      <c r="C104" s="105">
        <v>4</v>
      </c>
      <c r="D104" t="s">
        <v>963</v>
      </c>
    </row>
    <row r="105" spans="1:4" x14ac:dyDescent="0.25">
      <c r="A105" s="70" t="s">
        <v>675</v>
      </c>
      <c r="B105" s="71" t="s">
        <v>47</v>
      </c>
      <c r="C105" s="105">
        <v>4</v>
      </c>
      <c r="D105" t="s">
        <v>964</v>
      </c>
    </row>
    <row r="106" spans="1:4" x14ac:dyDescent="0.25">
      <c r="A106" s="70" t="s">
        <v>676</v>
      </c>
      <c r="B106" s="71" t="s">
        <v>47</v>
      </c>
      <c r="C106" s="105">
        <v>4</v>
      </c>
      <c r="D106" t="s">
        <v>965</v>
      </c>
    </row>
    <row r="107" spans="1:4" x14ac:dyDescent="0.25">
      <c r="A107" s="70" t="s">
        <v>677</v>
      </c>
      <c r="B107" s="71" t="s">
        <v>47</v>
      </c>
      <c r="C107" s="105">
        <v>4</v>
      </c>
      <c r="D107" t="s">
        <v>966</v>
      </c>
    </row>
    <row r="108" spans="1:4" x14ac:dyDescent="0.25">
      <c r="A108" s="70" t="s">
        <v>46</v>
      </c>
      <c r="B108" s="71" t="s">
        <v>47</v>
      </c>
      <c r="C108" s="105">
        <v>4</v>
      </c>
      <c r="D108" t="s">
        <v>967</v>
      </c>
    </row>
    <row r="109" spans="1:4" x14ac:dyDescent="0.25">
      <c r="A109" s="70" t="s">
        <v>71</v>
      </c>
      <c r="B109" s="71" t="s">
        <v>47</v>
      </c>
      <c r="C109" s="105">
        <v>4</v>
      </c>
      <c r="D109" t="s">
        <v>968</v>
      </c>
    </row>
    <row r="110" spans="1:4" x14ac:dyDescent="0.25">
      <c r="A110" s="70" t="s">
        <v>543</v>
      </c>
      <c r="B110" s="71" t="s">
        <v>47</v>
      </c>
      <c r="C110" s="105">
        <v>4</v>
      </c>
      <c r="D110" t="s">
        <v>969</v>
      </c>
    </row>
    <row r="111" spans="1:4" x14ac:dyDescent="0.25">
      <c r="A111" s="70" t="s">
        <v>69</v>
      </c>
      <c r="B111" s="71" t="s">
        <v>47</v>
      </c>
      <c r="C111" s="105">
        <v>4</v>
      </c>
      <c r="D111" t="s">
        <v>970</v>
      </c>
    </row>
    <row r="112" spans="1:4" x14ac:dyDescent="0.25">
      <c r="A112" s="70" t="s">
        <v>538</v>
      </c>
      <c r="B112" s="71" t="s">
        <v>47</v>
      </c>
      <c r="C112" s="105">
        <v>4</v>
      </c>
      <c r="D112" t="s">
        <v>971</v>
      </c>
    </row>
    <row r="113" spans="1:4" x14ac:dyDescent="0.25">
      <c r="A113" s="70" t="s">
        <v>65</v>
      </c>
      <c r="B113" s="71" t="s">
        <v>47</v>
      </c>
      <c r="C113" s="105">
        <v>4</v>
      </c>
      <c r="D113" t="s">
        <v>972</v>
      </c>
    </row>
    <row r="114" spans="1:4" x14ac:dyDescent="0.25">
      <c r="A114" s="70" t="s">
        <v>546</v>
      </c>
      <c r="B114" s="71" t="s">
        <v>47</v>
      </c>
      <c r="C114" s="105">
        <v>4</v>
      </c>
      <c r="D114" t="s">
        <v>973</v>
      </c>
    </row>
    <row r="115" spans="1:4" x14ac:dyDescent="0.25">
      <c r="A115" s="70" t="s">
        <v>678</v>
      </c>
      <c r="B115" s="71" t="s">
        <v>47</v>
      </c>
      <c r="C115" s="105">
        <v>4</v>
      </c>
      <c r="D115" t="s">
        <v>974</v>
      </c>
    </row>
    <row r="116" spans="1:4" x14ac:dyDescent="0.25">
      <c r="A116" s="70" t="s">
        <v>558</v>
      </c>
      <c r="B116" s="71" t="s">
        <v>47</v>
      </c>
      <c r="C116" s="105">
        <v>4</v>
      </c>
      <c r="D116" t="s">
        <v>975</v>
      </c>
    </row>
    <row r="117" spans="1:4" x14ac:dyDescent="0.25">
      <c r="A117" s="70" t="s">
        <v>226</v>
      </c>
      <c r="B117" s="71" t="s">
        <v>47</v>
      </c>
      <c r="C117" s="105">
        <v>4</v>
      </c>
      <c r="D117" t="s">
        <v>224</v>
      </c>
    </row>
    <row r="118" spans="1:4" x14ac:dyDescent="0.25">
      <c r="A118" s="70" t="s">
        <v>679</v>
      </c>
      <c r="B118" s="71" t="s">
        <v>47</v>
      </c>
      <c r="C118" s="105">
        <v>4</v>
      </c>
      <c r="D118" t="s">
        <v>976</v>
      </c>
    </row>
    <row r="119" spans="1:4" x14ac:dyDescent="0.25">
      <c r="A119" s="70" t="s">
        <v>60</v>
      </c>
      <c r="B119" s="71" t="s">
        <v>47</v>
      </c>
      <c r="C119" s="105">
        <v>4</v>
      </c>
      <c r="D119" t="s">
        <v>977</v>
      </c>
    </row>
    <row r="120" spans="1:4" x14ac:dyDescent="0.25">
      <c r="A120" s="70" t="s">
        <v>549</v>
      </c>
      <c r="B120" s="71" t="s">
        <v>47</v>
      </c>
      <c r="C120" s="105">
        <v>4</v>
      </c>
      <c r="D120" t="s">
        <v>978</v>
      </c>
    </row>
    <row r="121" spans="1:4" x14ac:dyDescent="0.25">
      <c r="A121" s="70" t="s">
        <v>680</v>
      </c>
      <c r="B121" s="71" t="s">
        <v>47</v>
      </c>
      <c r="C121" s="105">
        <v>4</v>
      </c>
      <c r="D121" t="s">
        <v>979</v>
      </c>
    </row>
    <row r="122" spans="1:4" x14ac:dyDescent="0.25">
      <c r="A122" s="70" t="s">
        <v>681</v>
      </c>
      <c r="B122" s="71" t="s">
        <v>47</v>
      </c>
      <c r="C122" s="105">
        <v>4</v>
      </c>
      <c r="D122" t="s">
        <v>980</v>
      </c>
    </row>
    <row r="123" spans="1:4" x14ac:dyDescent="0.25">
      <c r="A123" s="70" t="s">
        <v>682</v>
      </c>
      <c r="B123" s="71" t="s">
        <v>47</v>
      </c>
      <c r="C123" s="105">
        <v>4</v>
      </c>
      <c r="D123" t="s">
        <v>981</v>
      </c>
    </row>
    <row r="124" spans="1:4" x14ac:dyDescent="0.25">
      <c r="A124" s="70" t="s">
        <v>229</v>
      </c>
      <c r="B124" s="71" t="s">
        <v>47</v>
      </c>
      <c r="C124" s="105">
        <v>4</v>
      </c>
      <c r="D124" t="s">
        <v>227</v>
      </c>
    </row>
    <row r="125" spans="1:4" x14ac:dyDescent="0.25">
      <c r="A125" s="70" t="s">
        <v>232</v>
      </c>
      <c r="B125" s="71" t="s">
        <v>47</v>
      </c>
      <c r="C125" s="105">
        <v>4</v>
      </c>
      <c r="D125" t="s">
        <v>982</v>
      </c>
    </row>
    <row r="126" spans="1:4" x14ac:dyDescent="0.25">
      <c r="A126" s="70" t="s">
        <v>235</v>
      </c>
      <c r="B126" s="71" t="s">
        <v>47</v>
      </c>
      <c r="C126" s="105">
        <v>4</v>
      </c>
      <c r="D126" t="s">
        <v>983</v>
      </c>
    </row>
    <row r="127" spans="1:4" x14ac:dyDescent="0.25">
      <c r="A127" s="70" t="s">
        <v>533</v>
      </c>
      <c r="B127" s="71" t="s">
        <v>47</v>
      </c>
      <c r="C127" s="105">
        <v>4</v>
      </c>
      <c r="D127" t="s">
        <v>984</v>
      </c>
    </row>
    <row r="128" spans="1:4" x14ac:dyDescent="0.25">
      <c r="A128" s="70" t="s">
        <v>683</v>
      </c>
      <c r="B128" s="71" t="s">
        <v>684</v>
      </c>
      <c r="C128" s="105">
        <v>5</v>
      </c>
      <c r="D128" t="s">
        <v>985</v>
      </c>
    </row>
    <row r="129" spans="1:4" x14ac:dyDescent="0.25">
      <c r="A129" s="70" t="s">
        <v>685</v>
      </c>
      <c r="B129" s="71" t="s">
        <v>684</v>
      </c>
      <c r="C129" s="105">
        <v>5</v>
      </c>
      <c r="D129" t="s">
        <v>986</v>
      </c>
    </row>
    <row r="130" spans="1:4" x14ac:dyDescent="0.25">
      <c r="A130" s="70" t="s">
        <v>686</v>
      </c>
      <c r="B130" s="71" t="s">
        <v>684</v>
      </c>
      <c r="C130" s="105">
        <v>5</v>
      </c>
      <c r="D130" t="s">
        <v>987</v>
      </c>
    </row>
    <row r="131" spans="1:4" x14ac:dyDescent="0.25">
      <c r="A131" s="70" t="s">
        <v>687</v>
      </c>
      <c r="B131" s="71" t="s">
        <v>684</v>
      </c>
      <c r="C131" s="105">
        <v>5</v>
      </c>
      <c r="D131" t="s">
        <v>988</v>
      </c>
    </row>
    <row r="132" spans="1:4" x14ac:dyDescent="0.25">
      <c r="A132" s="70" t="s">
        <v>688</v>
      </c>
      <c r="B132" s="71" t="s">
        <v>684</v>
      </c>
      <c r="C132" s="105">
        <v>5</v>
      </c>
      <c r="D132" t="s">
        <v>989</v>
      </c>
    </row>
    <row r="133" spans="1:4" x14ac:dyDescent="0.25">
      <c r="A133" s="70" t="s">
        <v>689</v>
      </c>
      <c r="B133" s="71" t="s">
        <v>684</v>
      </c>
      <c r="C133" s="105">
        <v>5</v>
      </c>
      <c r="D133" t="s">
        <v>990</v>
      </c>
    </row>
    <row r="134" spans="1:4" x14ac:dyDescent="0.25">
      <c r="A134" s="70" t="s">
        <v>690</v>
      </c>
      <c r="B134" s="71" t="s">
        <v>684</v>
      </c>
      <c r="C134" s="105">
        <v>5</v>
      </c>
      <c r="D134" t="s">
        <v>991</v>
      </c>
    </row>
    <row r="135" spans="1:4" x14ac:dyDescent="0.25">
      <c r="A135" s="70" t="s">
        <v>691</v>
      </c>
      <c r="B135" s="71" t="s">
        <v>684</v>
      </c>
      <c r="C135" s="105">
        <v>5</v>
      </c>
      <c r="D135" t="s">
        <v>992</v>
      </c>
    </row>
    <row r="136" spans="1:4" x14ac:dyDescent="0.25">
      <c r="A136" s="70" t="s">
        <v>692</v>
      </c>
      <c r="B136" s="71" t="s">
        <v>684</v>
      </c>
      <c r="C136" s="105">
        <v>5</v>
      </c>
      <c r="D136" t="s">
        <v>993</v>
      </c>
    </row>
    <row r="137" spans="1:4" x14ac:dyDescent="0.25">
      <c r="A137" s="70" t="s">
        <v>693</v>
      </c>
      <c r="B137" s="71" t="s">
        <v>684</v>
      </c>
      <c r="C137" s="105">
        <v>5</v>
      </c>
      <c r="D137" t="s">
        <v>994</v>
      </c>
    </row>
    <row r="138" spans="1:4" x14ac:dyDescent="0.25">
      <c r="A138" s="70" t="s">
        <v>694</v>
      </c>
      <c r="B138" s="71" t="s">
        <v>239</v>
      </c>
      <c r="C138" s="105">
        <v>6</v>
      </c>
      <c r="D138" t="s">
        <v>995</v>
      </c>
    </row>
    <row r="139" spans="1:4" x14ac:dyDescent="0.25">
      <c r="A139" s="70" t="s">
        <v>695</v>
      </c>
      <c r="B139" s="71" t="s">
        <v>239</v>
      </c>
      <c r="C139" s="105">
        <v>6</v>
      </c>
      <c r="D139" t="s">
        <v>996</v>
      </c>
    </row>
    <row r="140" spans="1:4" x14ac:dyDescent="0.25">
      <c r="A140" s="70" t="s">
        <v>696</v>
      </c>
      <c r="B140" s="71" t="s">
        <v>239</v>
      </c>
      <c r="C140" s="105">
        <v>6</v>
      </c>
      <c r="D140" t="s">
        <v>997</v>
      </c>
    </row>
    <row r="141" spans="1:4" x14ac:dyDescent="0.25">
      <c r="A141" s="70" t="s">
        <v>697</v>
      </c>
      <c r="B141" s="71" t="s">
        <v>239</v>
      </c>
      <c r="C141" s="105">
        <v>6</v>
      </c>
      <c r="D141" t="s">
        <v>998</v>
      </c>
    </row>
    <row r="142" spans="1:4" x14ac:dyDescent="0.25">
      <c r="A142" s="70" t="s">
        <v>698</v>
      </c>
      <c r="B142" s="71" t="s">
        <v>239</v>
      </c>
      <c r="C142" s="105">
        <v>6</v>
      </c>
      <c r="D142" t="s">
        <v>999</v>
      </c>
    </row>
    <row r="143" spans="1:4" x14ac:dyDescent="0.25">
      <c r="A143" s="70" t="s">
        <v>699</v>
      </c>
      <c r="B143" s="71" t="s">
        <v>239</v>
      </c>
      <c r="C143" s="105">
        <v>6</v>
      </c>
      <c r="D143" t="s">
        <v>1000</v>
      </c>
    </row>
    <row r="144" spans="1:4" x14ac:dyDescent="0.25">
      <c r="A144" s="70" t="s">
        <v>700</v>
      </c>
      <c r="B144" s="71" t="s">
        <v>239</v>
      </c>
      <c r="C144" s="105">
        <v>6</v>
      </c>
      <c r="D144" t="s">
        <v>1001</v>
      </c>
    </row>
    <row r="145" spans="1:4" x14ac:dyDescent="0.25">
      <c r="A145" s="70" t="s">
        <v>701</v>
      </c>
      <c r="B145" s="71" t="s">
        <v>239</v>
      </c>
      <c r="C145" s="105">
        <v>6</v>
      </c>
      <c r="D145" t="s">
        <v>1002</v>
      </c>
    </row>
    <row r="146" spans="1:4" x14ac:dyDescent="0.25">
      <c r="A146" s="70" t="s">
        <v>702</v>
      </c>
      <c r="B146" s="71" t="s">
        <v>239</v>
      </c>
      <c r="C146" s="105">
        <v>6</v>
      </c>
      <c r="D146" t="s">
        <v>1003</v>
      </c>
    </row>
    <row r="147" spans="1:4" x14ac:dyDescent="0.25">
      <c r="A147" s="70" t="s">
        <v>703</v>
      </c>
      <c r="B147" s="71" t="s">
        <v>239</v>
      </c>
      <c r="C147" s="105">
        <v>6</v>
      </c>
      <c r="D147" t="s">
        <v>1004</v>
      </c>
    </row>
    <row r="148" spans="1:4" x14ac:dyDescent="0.25">
      <c r="A148" s="70" t="s">
        <v>704</v>
      </c>
      <c r="B148" s="71" t="s">
        <v>239</v>
      </c>
      <c r="C148" s="105">
        <v>6</v>
      </c>
      <c r="D148" t="s">
        <v>1005</v>
      </c>
    </row>
    <row r="149" spans="1:4" x14ac:dyDescent="0.25">
      <c r="A149" s="70" t="s">
        <v>705</v>
      </c>
      <c r="B149" s="71" t="s">
        <v>239</v>
      </c>
      <c r="C149" s="105">
        <v>6</v>
      </c>
      <c r="D149" t="s">
        <v>1006</v>
      </c>
    </row>
    <row r="150" spans="1:4" x14ac:dyDescent="0.25">
      <c r="A150" s="70" t="s">
        <v>706</v>
      </c>
      <c r="B150" s="71" t="s">
        <v>239</v>
      </c>
      <c r="C150" s="105">
        <v>6</v>
      </c>
      <c r="D150" t="s">
        <v>1007</v>
      </c>
    </row>
    <row r="151" spans="1:4" x14ac:dyDescent="0.25">
      <c r="A151" s="70" t="s">
        <v>707</v>
      </c>
      <c r="B151" s="71" t="s">
        <v>239</v>
      </c>
      <c r="C151" s="105">
        <v>6</v>
      </c>
      <c r="D151" t="s">
        <v>1008</v>
      </c>
    </row>
    <row r="152" spans="1:4" x14ac:dyDescent="0.25">
      <c r="A152" s="70" t="s">
        <v>708</v>
      </c>
      <c r="B152" s="71" t="s">
        <v>239</v>
      </c>
      <c r="C152" s="105">
        <v>6</v>
      </c>
      <c r="D152" t="s">
        <v>1009</v>
      </c>
    </row>
    <row r="153" spans="1:4" x14ac:dyDescent="0.25">
      <c r="A153" s="70" t="s">
        <v>709</v>
      </c>
      <c r="B153" s="71" t="s">
        <v>239</v>
      </c>
      <c r="C153" s="105">
        <v>6</v>
      </c>
      <c r="D153" t="s">
        <v>1010</v>
      </c>
    </row>
    <row r="154" spans="1:4" x14ac:dyDescent="0.25">
      <c r="A154" s="70" t="s">
        <v>710</v>
      </c>
      <c r="B154" s="71" t="s">
        <v>239</v>
      </c>
      <c r="C154" s="105">
        <v>6</v>
      </c>
      <c r="D154" t="s">
        <v>1011</v>
      </c>
    </row>
    <row r="155" spans="1:4" x14ac:dyDescent="0.25">
      <c r="A155" s="70" t="s">
        <v>711</v>
      </c>
      <c r="B155" s="71" t="s">
        <v>239</v>
      </c>
      <c r="C155" s="105">
        <v>6</v>
      </c>
      <c r="D155" t="s">
        <v>1012</v>
      </c>
    </row>
    <row r="156" spans="1:4" x14ac:dyDescent="0.25">
      <c r="A156" s="70" t="s">
        <v>267</v>
      </c>
      <c r="B156" s="71" t="s">
        <v>239</v>
      </c>
      <c r="C156" s="105">
        <v>6</v>
      </c>
      <c r="D156" t="s">
        <v>265</v>
      </c>
    </row>
    <row r="157" spans="1:4" x14ac:dyDescent="0.25">
      <c r="A157" s="70" t="s">
        <v>712</v>
      </c>
      <c r="B157" s="71" t="s">
        <v>239</v>
      </c>
      <c r="C157" s="105">
        <v>6</v>
      </c>
      <c r="D157" t="s">
        <v>862</v>
      </c>
    </row>
    <row r="158" spans="1:4" x14ac:dyDescent="0.25">
      <c r="A158" s="70" t="s">
        <v>713</v>
      </c>
      <c r="B158" s="71" t="s">
        <v>239</v>
      </c>
      <c r="C158" s="105">
        <v>6</v>
      </c>
      <c r="D158" t="s">
        <v>1013</v>
      </c>
    </row>
    <row r="159" spans="1:4" x14ac:dyDescent="0.25">
      <c r="A159" s="70" t="s">
        <v>714</v>
      </c>
      <c r="B159" s="71" t="s">
        <v>239</v>
      </c>
      <c r="C159" s="105">
        <v>6</v>
      </c>
      <c r="D159" t="s">
        <v>1014</v>
      </c>
    </row>
    <row r="160" spans="1:4" x14ac:dyDescent="0.25">
      <c r="A160" s="70" t="s">
        <v>715</v>
      </c>
      <c r="B160" s="71" t="s">
        <v>239</v>
      </c>
      <c r="C160" s="105">
        <v>6</v>
      </c>
      <c r="D160" t="s">
        <v>1015</v>
      </c>
    </row>
    <row r="161" spans="1:4" x14ac:dyDescent="0.25">
      <c r="A161" s="70" t="s">
        <v>716</v>
      </c>
      <c r="B161" s="71" t="s">
        <v>239</v>
      </c>
      <c r="C161" s="105">
        <v>6</v>
      </c>
      <c r="D161" t="s">
        <v>1016</v>
      </c>
    </row>
    <row r="162" spans="1:4" x14ac:dyDescent="0.25">
      <c r="A162" s="70" t="s">
        <v>238</v>
      </c>
      <c r="B162" s="71" t="s">
        <v>239</v>
      </c>
      <c r="C162" s="105">
        <v>6</v>
      </c>
      <c r="D162" t="s">
        <v>236</v>
      </c>
    </row>
    <row r="163" spans="1:4" x14ac:dyDescent="0.25">
      <c r="A163" s="70" t="s">
        <v>242</v>
      </c>
      <c r="B163" s="71" t="s">
        <v>239</v>
      </c>
      <c r="C163" s="105">
        <v>6</v>
      </c>
      <c r="D163" t="s">
        <v>240</v>
      </c>
    </row>
    <row r="164" spans="1:4" x14ac:dyDescent="0.25">
      <c r="A164" s="70" t="s">
        <v>244</v>
      </c>
      <c r="B164" s="71" t="s">
        <v>239</v>
      </c>
      <c r="C164" s="105">
        <v>6</v>
      </c>
      <c r="D164" t="s">
        <v>243</v>
      </c>
    </row>
    <row r="165" spans="1:4" x14ac:dyDescent="0.25">
      <c r="A165" s="70" t="s">
        <v>717</v>
      </c>
      <c r="B165" s="71" t="s">
        <v>239</v>
      </c>
      <c r="C165" s="105">
        <v>6</v>
      </c>
      <c r="D165" t="s">
        <v>1017</v>
      </c>
    </row>
    <row r="166" spans="1:4" x14ac:dyDescent="0.25">
      <c r="A166" s="70" t="s">
        <v>718</v>
      </c>
      <c r="B166" s="71" t="s">
        <v>239</v>
      </c>
      <c r="C166" s="105">
        <v>6</v>
      </c>
      <c r="D166" t="s">
        <v>1018</v>
      </c>
    </row>
    <row r="167" spans="1:4" x14ac:dyDescent="0.25">
      <c r="A167" s="70" t="s">
        <v>719</v>
      </c>
      <c r="B167" s="71" t="s">
        <v>239</v>
      </c>
      <c r="C167" s="105">
        <v>6</v>
      </c>
      <c r="D167" t="s">
        <v>1019</v>
      </c>
    </row>
    <row r="168" spans="1:4" x14ac:dyDescent="0.25">
      <c r="A168" s="70" t="s">
        <v>720</v>
      </c>
      <c r="B168" s="71" t="s">
        <v>239</v>
      </c>
      <c r="C168" s="105">
        <v>6</v>
      </c>
      <c r="D168" t="s">
        <v>1020</v>
      </c>
    </row>
    <row r="169" spans="1:4" x14ac:dyDescent="0.25">
      <c r="A169" s="70" t="s">
        <v>721</v>
      </c>
      <c r="B169" s="71" t="s">
        <v>239</v>
      </c>
      <c r="C169" s="105">
        <v>6</v>
      </c>
      <c r="D169" t="s">
        <v>1021</v>
      </c>
    </row>
    <row r="170" spans="1:4" x14ac:dyDescent="0.25">
      <c r="A170" s="70" t="s">
        <v>722</v>
      </c>
      <c r="B170" s="71" t="s">
        <v>239</v>
      </c>
      <c r="C170" s="105">
        <v>6</v>
      </c>
      <c r="D170" t="s">
        <v>1022</v>
      </c>
    </row>
    <row r="171" spans="1:4" x14ac:dyDescent="0.25">
      <c r="A171" s="70" t="s">
        <v>723</v>
      </c>
      <c r="B171" s="71" t="s">
        <v>239</v>
      </c>
      <c r="C171" s="105">
        <v>6</v>
      </c>
      <c r="D171" t="s">
        <v>1023</v>
      </c>
    </row>
    <row r="172" spans="1:4" x14ac:dyDescent="0.25">
      <c r="A172" s="70" t="s">
        <v>724</v>
      </c>
      <c r="B172" s="71" t="s">
        <v>239</v>
      </c>
      <c r="C172" s="105">
        <v>6</v>
      </c>
      <c r="D172" t="s">
        <v>1024</v>
      </c>
    </row>
    <row r="173" spans="1:4" x14ac:dyDescent="0.25">
      <c r="A173" s="70" t="s">
        <v>725</v>
      </c>
      <c r="B173" s="71" t="s">
        <v>239</v>
      </c>
      <c r="C173" s="105">
        <v>6</v>
      </c>
      <c r="D173" t="s">
        <v>1025</v>
      </c>
    </row>
    <row r="174" spans="1:4" x14ac:dyDescent="0.25">
      <c r="A174" s="70" t="s">
        <v>726</v>
      </c>
      <c r="B174" s="71" t="s">
        <v>239</v>
      </c>
      <c r="C174" s="105">
        <v>6</v>
      </c>
      <c r="D174" t="s">
        <v>1026</v>
      </c>
    </row>
    <row r="175" spans="1:4" x14ac:dyDescent="0.25">
      <c r="A175" s="70" t="s">
        <v>727</v>
      </c>
      <c r="B175" s="71" t="s">
        <v>239</v>
      </c>
      <c r="C175" s="105">
        <v>6</v>
      </c>
      <c r="D175" t="s">
        <v>1027</v>
      </c>
    </row>
    <row r="176" spans="1:4" x14ac:dyDescent="0.25">
      <c r="A176" s="70" t="s">
        <v>728</v>
      </c>
      <c r="B176" s="71" t="s">
        <v>239</v>
      </c>
      <c r="C176" s="105">
        <v>6</v>
      </c>
      <c r="D176" t="s">
        <v>1028</v>
      </c>
    </row>
    <row r="177" spans="1:4" x14ac:dyDescent="0.25">
      <c r="A177" s="70" t="s">
        <v>729</v>
      </c>
      <c r="B177" s="71" t="s">
        <v>239</v>
      </c>
      <c r="C177" s="105">
        <v>6</v>
      </c>
      <c r="D177" t="s">
        <v>1029</v>
      </c>
    </row>
    <row r="178" spans="1:4" x14ac:dyDescent="0.25">
      <c r="A178" s="70" t="s">
        <v>730</v>
      </c>
      <c r="B178" s="71" t="s">
        <v>239</v>
      </c>
      <c r="C178" s="105">
        <v>6</v>
      </c>
      <c r="D178" t="s">
        <v>1030</v>
      </c>
    </row>
    <row r="179" spans="1:4" x14ac:dyDescent="0.25">
      <c r="A179" s="70" t="s">
        <v>731</v>
      </c>
      <c r="B179" s="71" t="s">
        <v>239</v>
      </c>
      <c r="C179" s="105">
        <v>6</v>
      </c>
      <c r="D179" t="s">
        <v>1031</v>
      </c>
    </row>
    <row r="180" spans="1:4" x14ac:dyDescent="0.25">
      <c r="A180" s="70" t="s">
        <v>247</v>
      </c>
      <c r="B180" s="71" t="s">
        <v>239</v>
      </c>
      <c r="C180" s="105">
        <v>6</v>
      </c>
      <c r="D180" t="s">
        <v>1032</v>
      </c>
    </row>
    <row r="181" spans="1:4" x14ac:dyDescent="0.25">
      <c r="A181" s="70" t="s">
        <v>732</v>
      </c>
      <c r="B181" s="71" t="s">
        <v>239</v>
      </c>
      <c r="C181" s="105">
        <v>6</v>
      </c>
      <c r="D181" t="s">
        <v>1033</v>
      </c>
    </row>
    <row r="182" spans="1:4" x14ac:dyDescent="0.25">
      <c r="A182" s="70" t="s">
        <v>733</v>
      </c>
      <c r="B182" s="71" t="s">
        <v>239</v>
      </c>
      <c r="C182" s="105">
        <v>6</v>
      </c>
      <c r="D182" t="s">
        <v>1034</v>
      </c>
    </row>
    <row r="183" spans="1:4" x14ac:dyDescent="0.25">
      <c r="A183" s="70" t="s">
        <v>734</v>
      </c>
      <c r="B183" s="71" t="s">
        <v>239</v>
      </c>
      <c r="C183" s="105">
        <v>6</v>
      </c>
      <c r="D183" t="s">
        <v>1035</v>
      </c>
    </row>
    <row r="184" spans="1:4" x14ac:dyDescent="0.25">
      <c r="A184" s="70" t="s">
        <v>735</v>
      </c>
      <c r="B184" s="71" t="s">
        <v>239</v>
      </c>
      <c r="C184" s="105">
        <v>6</v>
      </c>
      <c r="D184" t="s">
        <v>1036</v>
      </c>
    </row>
    <row r="185" spans="1:4" x14ac:dyDescent="0.25">
      <c r="A185" s="70" t="s">
        <v>736</v>
      </c>
      <c r="B185" s="71" t="s">
        <v>239</v>
      </c>
      <c r="C185" s="105">
        <v>6</v>
      </c>
      <c r="D185" t="s">
        <v>1037</v>
      </c>
    </row>
    <row r="186" spans="1:4" x14ac:dyDescent="0.25">
      <c r="A186" s="70" t="s">
        <v>737</v>
      </c>
      <c r="B186" s="71" t="s">
        <v>239</v>
      </c>
      <c r="C186" s="105">
        <v>6</v>
      </c>
      <c r="D186" t="s">
        <v>1038</v>
      </c>
    </row>
    <row r="187" spans="1:4" x14ac:dyDescent="0.25">
      <c r="A187" s="70" t="s">
        <v>738</v>
      </c>
      <c r="B187" s="71" t="s">
        <v>239</v>
      </c>
      <c r="C187" s="105">
        <v>6</v>
      </c>
      <c r="D187" t="s">
        <v>1039</v>
      </c>
    </row>
    <row r="188" spans="1:4" x14ac:dyDescent="0.25">
      <c r="A188" s="70" t="s">
        <v>739</v>
      </c>
      <c r="B188" s="71" t="s">
        <v>239</v>
      </c>
      <c r="C188" s="105">
        <v>6</v>
      </c>
      <c r="D188" t="s">
        <v>1040</v>
      </c>
    </row>
    <row r="189" spans="1:4" x14ac:dyDescent="0.25">
      <c r="A189" s="70" t="s">
        <v>250</v>
      </c>
      <c r="B189" s="71" t="s">
        <v>239</v>
      </c>
      <c r="C189" s="105">
        <v>6</v>
      </c>
      <c r="D189" t="s">
        <v>248</v>
      </c>
    </row>
    <row r="190" spans="1:4" x14ac:dyDescent="0.25">
      <c r="A190" s="70" t="s">
        <v>740</v>
      </c>
      <c r="B190" s="71" t="s">
        <v>239</v>
      </c>
      <c r="C190" s="105">
        <v>6</v>
      </c>
      <c r="D190" t="s">
        <v>1041</v>
      </c>
    </row>
    <row r="191" spans="1:4" x14ac:dyDescent="0.25">
      <c r="A191" s="70" t="s">
        <v>741</v>
      </c>
      <c r="B191" s="71" t="s">
        <v>239</v>
      </c>
      <c r="C191" s="105">
        <v>6</v>
      </c>
      <c r="D191" t="s">
        <v>1042</v>
      </c>
    </row>
    <row r="192" spans="1:4" x14ac:dyDescent="0.25">
      <c r="A192" s="70" t="s">
        <v>742</v>
      </c>
      <c r="B192" s="71" t="s">
        <v>239</v>
      </c>
      <c r="C192" s="105">
        <v>6</v>
      </c>
      <c r="D192" t="s">
        <v>1043</v>
      </c>
    </row>
    <row r="193" spans="1:4" x14ac:dyDescent="0.25">
      <c r="A193" s="70" t="s">
        <v>743</v>
      </c>
      <c r="B193" s="71" t="s">
        <v>239</v>
      </c>
      <c r="C193" s="105">
        <v>6</v>
      </c>
      <c r="D193" t="s">
        <v>1044</v>
      </c>
    </row>
    <row r="194" spans="1:4" x14ac:dyDescent="0.25">
      <c r="A194" s="70" t="s">
        <v>252</v>
      </c>
      <c r="B194" s="71" t="s">
        <v>239</v>
      </c>
      <c r="C194" s="105">
        <v>6</v>
      </c>
      <c r="D194" t="s">
        <v>251</v>
      </c>
    </row>
    <row r="195" spans="1:4" x14ac:dyDescent="0.25">
      <c r="A195" s="70" t="s">
        <v>255</v>
      </c>
      <c r="B195" s="71" t="s">
        <v>239</v>
      </c>
      <c r="C195" s="105">
        <v>6</v>
      </c>
      <c r="D195" t="s">
        <v>253</v>
      </c>
    </row>
    <row r="196" spans="1:4" x14ac:dyDescent="0.25">
      <c r="A196" s="70" t="s">
        <v>744</v>
      </c>
      <c r="B196" s="71" t="s">
        <v>239</v>
      </c>
      <c r="C196" s="105">
        <v>6</v>
      </c>
      <c r="D196" t="s">
        <v>1045</v>
      </c>
    </row>
    <row r="197" spans="1:4" x14ac:dyDescent="0.25">
      <c r="A197" s="70" t="s">
        <v>745</v>
      </c>
      <c r="B197" s="71" t="s">
        <v>239</v>
      </c>
      <c r="C197" s="105">
        <v>6</v>
      </c>
      <c r="D197" t="s">
        <v>1046</v>
      </c>
    </row>
    <row r="198" spans="1:4" x14ac:dyDescent="0.25">
      <c r="A198" s="70" t="s">
        <v>746</v>
      </c>
      <c r="B198" s="71" t="s">
        <v>239</v>
      </c>
      <c r="C198" s="105">
        <v>6</v>
      </c>
      <c r="D198" t="s">
        <v>1047</v>
      </c>
    </row>
    <row r="199" spans="1:4" x14ac:dyDescent="0.25">
      <c r="A199" s="70" t="s">
        <v>747</v>
      </c>
      <c r="B199" s="71" t="s">
        <v>239</v>
      </c>
      <c r="C199" s="105">
        <v>6</v>
      </c>
      <c r="D199" t="s">
        <v>1048</v>
      </c>
    </row>
    <row r="200" spans="1:4" x14ac:dyDescent="0.25">
      <c r="A200" s="70" t="s">
        <v>748</v>
      </c>
      <c r="B200" s="71" t="s">
        <v>239</v>
      </c>
      <c r="C200" s="105">
        <v>6</v>
      </c>
      <c r="D200" t="s">
        <v>1049</v>
      </c>
    </row>
    <row r="201" spans="1:4" x14ac:dyDescent="0.25">
      <c r="A201" s="70" t="s">
        <v>749</v>
      </c>
      <c r="B201" s="71" t="s">
        <v>239</v>
      </c>
      <c r="C201" s="105">
        <v>6</v>
      </c>
      <c r="D201" t="s">
        <v>1050</v>
      </c>
    </row>
    <row r="202" spans="1:4" x14ac:dyDescent="0.25">
      <c r="A202" s="70" t="s">
        <v>750</v>
      </c>
      <c r="B202" s="71" t="s">
        <v>239</v>
      </c>
      <c r="C202" s="105">
        <v>6</v>
      </c>
      <c r="D202" t="s">
        <v>1051</v>
      </c>
    </row>
    <row r="203" spans="1:4" x14ac:dyDescent="0.25">
      <c r="A203" s="70" t="s">
        <v>751</v>
      </c>
      <c r="B203" s="71" t="s">
        <v>239</v>
      </c>
      <c r="C203" s="105">
        <v>6</v>
      </c>
      <c r="D203" t="s">
        <v>1052</v>
      </c>
    </row>
    <row r="204" spans="1:4" x14ac:dyDescent="0.25">
      <c r="A204" s="70" t="s">
        <v>752</v>
      </c>
      <c r="B204" s="71" t="s">
        <v>239</v>
      </c>
      <c r="C204" s="105">
        <v>6</v>
      </c>
      <c r="D204" t="s">
        <v>1053</v>
      </c>
    </row>
    <row r="205" spans="1:4" x14ac:dyDescent="0.25">
      <c r="A205" s="70" t="s">
        <v>753</v>
      </c>
      <c r="B205" s="71" t="s">
        <v>239</v>
      </c>
      <c r="C205" s="105">
        <v>6</v>
      </c>
      <c r="D205" t="s">
        <v>1054</v>
      </c>
    </row>
    <row r="206" spans="1:4" x14ac:dyDescent="0.25">
      <c r="A206" s="70" t="s">
        <v>754</v>
      </c>
      <c r="B206" s="71" t="s">
        <v>239</v>
      </c>
      <c r="C206" s="105">
        <v>6</v>
      </c>
      <c r="D206" t="s">
        <v>1055</v>
      </c>
    </row>
    <row r="207" spans="1:4" x14ac:dyDescent="0.25">
      <c r="A207" s="70" t="s">
        <v>755</v>
      </c>
      <c r="B207" s="71" t="s">
        <v>239</v>
      </c>
      <c r="C207" s="105">
        <v>6</v>
      </c>
      <c r="D207" t="s">
        <v>1056</v>
      </c>
    </row>
    <row r="208" spans="1:4" x14ac:dyDescent="0.25">
      <c r="A208" s="70" t="s">
        <v>756</v>
      </c>
      <c r="B208" s="71" t="s">
        <v>239</v>
      </c>
      <c r="C208" s="105">
        <v>6</v>
      </c>
      <c r="D208" t="s">
        <v>1057</v>
      </c>
    </row>
    <row r="209" spans="1:4" x14ac:dyDescent="0.25">
      <c r="A209" s="70" t="s">
        <v>757</v>
      </c>
      <c r="B209" s="71" t="s">
        <v>239</v>
      </c>
      <c r="C209" s="105">
        <v>6</v>
      </c>
      <c r="D209" t="s">
        <v>1058</v>
      </c>
    </row>
    <row r="210" spans="1:4" x14ac:dyDescent="0.25">
      <c r="A210" s="70" t="s">
        <v>758</v>
      </c>
      <c r="B210" s="71" t="s">
        <v>239</v>
      </c>
      <c r="C210" s="105">
        <v>6</v>
      </c>
      <c r="D210" t="s">
        <v>1059</v>
      </c>
    </row>
    <row r="211" spans="1:4" x14ac:dyDescent="0.25">
      <c r="A211" s="70" t="s">
        <v>258</v>
      </c>
      <c r="B211" s="71" t="s">
        <v>239</v>
      </c>
      <c r="C211" s="105">
        <v>6</v>
      </c>
      <c r="D211" t="s">
        <v>256</v>
      </c>
    </row>
    <row r="212" spans="1:4" x14ac:dyDescent="0.25">
      <c r="A212" s="70" t="s">
        <v>759</v>
      </c>
      <c r="B212" s="71" t="s">
        <v>239</v>
      </c>
      <c r="C212" s="105">
        <v>6</v>
      </c>
      <c r="D212" t="s">
        <v>1060</v>
      </c>
    </row>
    <row r="213" spans="1:4" x14ac:dyDescent="0.25">
      <c r="A213" s="70" t="s">
        <v>760</v>
      </c>
      <c r="B213" s="71" t="s">
        <v>239</v>
      </c>
      <c r="C213" s="105">
        <v>6</v>
      </c>
      <c r="D213" t="s">
        <v>1061</v>
      </c>
    </row>
    <row r="214" spans="1:4" x14ac:dyDescent="0.25">
      <c r="A214" s="70" t="s">
        <v>761</v>
      </c>
      <c r="B214" s="71" t="s">
        <v>262</v>
      </c>
      <c r="C214" s="105">
        <v>7</v>
      </c>
      <c r="D214" t="s">
        <v>1062</v>
      </c>
    </row>
    <row r="215" spans="1:4" x14ac:dyDescent="0.25">
      <c r="A215" s="70" t="s">
        <v>762</v>
      </c>
      <c r="B215" s="71" t="s">
        <v>262</v>
      </c>
      <c r="C215" s="105">
        <v>7</v>
      </c>
      <c r="D215" t="s">
        <v>1063</v>
      </c>
    </row>
    <row r="216" spans="1:4" x14ac:dyDescent="0.25">
      <c r="A216" s="70" t="s">
        <v>763</v>
      </c>
      <c r="B216" s="71" t="s">
        <v>262</v>
      </c>
      <c r="C216" s="105">
        <v>7</v>
      </c>
      <c r="D216" t="s">
        <v>1064</v>
      </c>
    </row>
    <row r="217" spans="1:4" x14ac:dyDescent="0.25">
      <c r="A217" s="70" t="s">
        <v>764</v>
      </c>
      <c r="B217" s="71" t="s">
        <v>262</v>
      </c>
      <c r="C217" s="105">
        <v>7</v>
      </c>
      <c r="D217" t="s">
        <v>1065</v>
      </c>
    </row>
    <row r="218" spans="1:4" x14ac:dyDescent="0.25">
      <c r="A218" s="70" t="s">
        <v>261</v>
      </c>
      <c r="B218" s="71" t="s">
        <v>262</v>
      </c>
      <c r="C218" s="105">
        <v>7</v>
      </c>
      <c r="D218" t="s">
        <v>259</v>
      </c>
    </row>
    <row r="219" spans="1:4" x14ac:dyDescent="0.25">
      <c r="A219" s="70" t="s">
        <v>765</v>
      </c>
      <c r="B219" s="71" t="s">
        <v>262</v>
      </c>
      <c r="C219" s="105">
        <v>7</v>
      </c>
      <c r="D219" t="s">
        <v>1066</v>
      </c>
    </row>
    <row r="220" spans="1:4" x14ac:dyDescent="0.25">
      <c r="A220" s="70" t="s">
        <v>766</v>
      </c>
      <c r="B220" s="71" t="s">
        <v>262</v>
      </c>
      <c r="C220" s="105">
        <v>7</v>
      </c>
      <c r="D220" t="s">
        <v>1067</v>
      </c>
    </row>
    <row r="221" spans="1:4" x14ac:dyDescent="0.25">
      <c r="A221" s="70" t="s">
        <v>767</v>
      </c>
      <c r="B221" s="71" t="s">
        <v>262</v>
      </c>
      <c r="C221" s="105">
        <v>7</v>
      </c>
      <c r="D221" t="s">
        <v>1068</v>
      </c>
    </row>
    <row r="222" spans="1:4" x14ac:dyDescent="0.25">
      <c r="A222" s="70" t="s">
        <v>264</v>
      </c>
      <c r="B222" s="71" t="s">
        <v>262</v>
      </c>
      <c r="C222" s="105">
        <v>7</v>
      </c>
      <c r="D222" t="s">
        <v>263</v>
      </c>
    </row>
    <row r="223" spans="1:4" x14ac:dyDescent="0.25">
      <c r="A223" s="70" t="s">
        <v>768</v>
      </c>
      <c r="B223" s="71" t="s">
        <v>262</v>
      </c>
      <c r="C223" s="105">
        <v>7</v>
      </c>
      <c r="D223" t="s">
        <v>1069</v>
      </c>
    </row>
    <row r="224" spans="1:4" x14ac:dyDescent="0.25">
      <c r="A224" s="70" t="s">
        <v>769</v>
      </c>
      <c r="B224" s="71" t="s">
        <v>262</v>
      </c>
      <c r="C224" s="105">
        <v>7</v>
      </c>
      <c r="D224" t="s">
        <v>1070</v>
      </c>
    </row>
    <row r="225" spans="1:4" x14ac:dyDescent="0.25">
      <c r="A225" s="70" t="s">
        <v>770</v>
      </c>
      <c r="B225" s="71" t="s">
        <v>771</v>
      </c>
      <c r="C225" s="105">
        <v>8</v>
      </c>
      <c r="D225" t="s">
        <v>1071</v>
      </c>
    </row>
    <row r="226" spans="1:4" x14ac:dyDescent="0.25">
      <c r="A226" s="70" t="s">
        <v>772</v>
      </c>
      <c r="B226" s="71" t="s">
        <v>771</v>
      </c>
      <c r="C226" s="105">
        <v>8</v>
      </c>
      <c r="D226" t="s">
        <v>1072</v>
      </c>
    </row>
    <row r="227" spans="1:4" x14ac:dyDescent="0.25">
      <c r="A227" s="70" t="s">
        <v>773</v>
      </c>
      <c r="B227" s="71" t="s">
        <v>774</v>
      </c>
      <c r="C227" s="105">
        <v>9</v>
      </c>
      <c r="D227" t="s">
        <v>1073</v>
      </c>
    </row>
    <row r="228" spans="1:4" x14ac:dyDescent="0.25">
      <c r="A228" s="70" t="s">
        <v>775</v>
      </c>
      <c r="B228" s="71" t="s">
        <v>774</v>
      </c>
      <c r="C228" s="105">
        <v>9</v>
      </c>
      <c r="D228" t="s">
        <v>1074</v>
      </c>
    </row>
    <row r="229" spans="1:4" x14ac:dyDescent="0.25">
      <c r="A229" s="70" t="s">
        <v>776</v>
      </c>
      <c r="B229" s="71" t="s">
        <v>774</v>
      </c>
      <c r="C229" s="105">
        <v>9</v>
      </c>
      <c r="D229" t="s">
        <v>1075</v>
      </c>
    </row>
    <row r="230" spans="1:4" x14ac:dyDescent="0.25">
      <c r="A230" s="70" t="s">
        <v>777</v>
      </c>
      <c r="B230" s="71" t="s">
        <v>774</v>
      </c>
      <c r="C230" s="105">
        <v>9</v>
      </c>
      <c r="D230" t="s">
        <v>1076</v>
      </c>
    </row>
    <row r="231" spans="1:4" x14ac:dyDescent="0.25">
      <c r="A231" s="70" t="s">
        <v>778</v>
      </c>
      <c r="B231" s="71" t="s">
        <v>774</v>
      </c>
      <c r="C231" s="105">
        <v>9</v>
      </c>
      <c r="D231" t="s">
        <v>1077</v>
      </c>
    </row>
    <row r="232" spans="1:4" x14ac:dyDescent="0.25">
      <c r="A232" s="70" t="s">
        <v>779</v>
      </c>
      <c r="B232" s="71" t="s">
        <v>774</v>
      </c>
      <c r="C232" s="105">
        <v>9</v>
      </c>
      <c r="D232" t="s">
        <v>1078</v>
      </c>
    </row>
    <row r="233" spans="1:4" x14ac:dyDescent="0.25">
      <c r="A233" s="70" t="s">
        <v>780</v>
      </c>
      <c r="B233" s="71" t="s">
        <v>774</v>
      </c>
      <c r="C233" s="105">
        <v>9</v>
      </c>
      <c r="D233" t="s">
        <v>1079</v>
      </c>
    </row>
    <row r="234" spans="1:4" x14ac:dyDescent="0.25">
      <c r="A234" s="70" t="s">
        <v>781</v>
      </c>
      <c r="B234" s="71" t="s">
        <v>774</v>
      </c>
      <c r="C234" s="105">
        <v>9</v>
      </c>
      <c r="D234" t="s">
        <v>1080</v>
      </c>
    </row>
    <row r="235" spans="1:4" x14ac:dyDescent="0.25">
      <c r="A235" s="70" t="s">
        <v>782</v>
      </c>
      <c r="B235" s="71" t="s">
        <v>774</v>
      </c>
      <c r="C235" s="105">
        <v>9</v>
      </c>
      <c r="D235" t="s">
        <v>1081</v>
      </c>
    </row>
    <row r="236" spans="1:4" x14ac:dyDescent="0.25">
      <c r="A236" s="70" t="s">
        <v>783</v>
      </c>
      <c r="B236" s="71" t="s">
        <v>774</v>
      </c>
      <c r="C236" s="105">
        <v>9</v>
      </c>
      <c r="D236" t="s">
        <v>1082</v>
      </c>
    </row>
    <row r="237" spans="1:4" x14ac:dyDescent="0.25">
      <c r="A237" s="70" t="s">
        <v>784</v>
      </c>
      <c r="B237" s="71" t="s">
        <v>774</v>
      </c>
      <c r="C237" s="105">
        <v>9</v>
      </c>
      <c r="D237" t="s">
        <v>1083</v>
      </c>
    </row>
    <row r="238" spans="1:4" x14ac:dyDescent="0.25">
      <c r="A238" s="70" t="s">
        <v>785</v>
      </c>
      <c r="B238" s="71" t="s">
        <v>774</v>
      </c>
      <c r="C238" s="105">
        <v>9</v>
      </c>
      <c r="D238" t="s">
        <v>1084</v>
      </c>
    </row>
    <row r="239" spans="1:4" x14ac:dyDescent="0.25">
      <c r="A239" s="70" t="s">
        <v>786</v>
      </c>
      <c r="B239" s="71" t="s">
        <v>774</v>
      </c>
      <c r="C239" s="105">
        <v>9</v>
      </c>
      <c r="D239" t="s">
        <v>1085</v>
      </c>
    </row>
    <row r="240" spans="1:4" x14ac:dyDescent="0.25">
      <c r="A240" s="70" t="s">
        <v>787</v>
      </c>
      <c r="B240" s="71" t="s">
        <v>774</v>
      </c>
      <c r="C240" s="105">
        <v>9</v>
      </c>
      <c r="D240" t="s">
        <v>1086</v>
      </c>
    </row>
    <row r="241" spans="1:4" x14ac:dyDescent="0.25">
      <c r="A241" s="70" t="s">
        <v>788</v>
      </c>
      <c r="B241" s="71" t="s">
        <v>774</v>
      </c>
      <c r="C241" s="105">
        <v>9</v>
      </c>
      <c r="D241" t="s">
        <v>1087</v>
      </c>
    </row>
    <row r="242" spans="1:4" x14ac:dyDescent="0.25">
      <c r="A242" s="70" t="s">
        <v>789</v>
      </c>
      <c r="B242" s="71" t="s">
        <v>790</v>
      </c>
      <c r="C242" s="105">
        <v>10</v>
      </c>
      <c r="D242" t="s">
        <v>1088</v>
      </c>
    </row>
    <row r="243" spans="1:4" x14ac:dyDescent="0.25">
      <c r="A243" s="70" t="s">
        <v>791</v>
      </c>
      <c r="B243" s="71" t="s">
        <v>790</v>
      </c>
      <c r="C243" s="105">
        <v>10</v>
      </c>
      <c r="D243" t="s">
        <v>1089</v>
      </c>
    </row>
    <row r="244" spans="1:4" x14ac:dyDescent="0.25">
      <c r="A244" s="70" t="s">
        <v>792</v>
      </c>
      <c r="B244" s="71" t="s">
        <v>790</v>
      </c>
      <c r="C244" s="105">
        <v>10</v>
      </c>
      <c r="D244" t="s">
        <v>1090</v>
      </c>
    </row>
    <row r="245" spans="1:4" x14ac:dyDescent="0.25">
      <c r="A245" s="70" t="s">
        <v>793</v>
      </c>
      <c r="B245" s="71" t="s">
        <v>790</v>
      </c>
      <c r="C245" s="105">
        <v>10</v>
      </c>
      <c r="D245" t="s">
        <v>1091</v>
      </c>
    </row>
    <row r="246" spans="1:4" x14ac:dyDescent="0.25">
      <c r="A246" s="70" t="s">
        <v>794</v>
      </c>
      <c r="B246" s="71" t="s">
        <v>790</v>
      </c>
      <c r="C246" s="105">
        <v>10</v>
      </c>
      <c r="D246" t="s">
        <v>1092</v>
      </c>
    </row>
    <row r="247" spans="1:4" x14ac:dyDescent="0.25">
      <c r="A247" s="70" t="s">
        <v>795</v>
      </c>
      <c r="B247" s="71" t="s">
        <v>796</v>
      </c>
      <c r="C247" s="105">
        <v>11</v>
      </c>
      <c r="D247" t="s">
        <v>1093</v>
      </c>
    </row>
    <row r="248" spans="1:4" x14ac:dyDescent="0.25">
      <c r="A248" s="70" t="s">
        <v>797</v>
      </c>
      <c r="B248" s="71" t="s">
        <v>796</v>
      </c>
      <c r="C248" s="105">
        <v>11</v>
      </c>
      <c r="D248" t="s">
        <v>1094</v>
      </c>
    </row>
    <row r="249" spans="1:4" x14ac:dyDescent="0.25">
      <c r="A249" s="70" t="s">
        <v>798</v>
      </c>
      <c r="B249" s="71" t="s">
        <v>796</v>
      </c>
      <c r="C249" s="105">
        <v>11</v>
      </c>
      <c r="D249" t="s">
        <v>1095</v>
      </c>
    </row>
    <row r="250" spans="1:4" x14ac:dyDescent="0.25">
      <c r="A250" s="70" t="s">
        <v>799</v>
      </c>
      <c r="B250" s="71" t="s">
        <v>800</v>
      </c>
      <c r="C250" s="105">
        <v>12</v>
      </c>
      <c r="D250" t="s">
        <v>1096</v>
      </c>
    </row>
    <row r="251" spans="1:4" x14ac:dyDescent="0.25">
      <c r="A251" s="70" t="s">
        <v>801</v>
      </c>
      <c r="B251" s="71" t="s">
        <v>800</v>
      </c>
      <c r="C251" s="105">
        <v>12</v>
      </c>
      <c r="D251" t="s">
        <v>1097</v>
      </c>
    </row>
    <row r="252" spans="1:4" x14ac:dyDescent="0.25">
      <c r="A252" s="70" t="s">
        <v>802</v>
      </c>
      <c r="B252" s="71" t="s">
        <v>800</v>
      </c>
      <c r="C252" s="105">
        <v>12</v>
      </c>
      <c r="D252" t="s">
        <v>1098</v>
      </c>
    </row>
    <row r="253" spans="1:4" x14ac:dyDescent="0.25">
      <c r="A253" s="70" t="s">
        <v>803</v>
      </c>
      <c r="B253" s="71" t="s">
        <v>800</v>
      </c>
      <c r="C253" s="105">
        <v>12</v>
      </c>
      <c r="D253" t="s">
        <v>1099</v>
      </c>
    </row>
    <row r="254" spans="1:4" x14ac:dyDescent="0.25">
      <c r="A254" s="70" t="s">
        <v>804</v>
      </c>
      <c r="B254" s="71" t="s">
        <v>800</v>
      </c>
      <c r="C254" s="105">
        <v>12</v>
      </c>
      <c r="D254" t="s">
        <v>1100</v>
      </c>
    </row>
    <row r="255" spans="1:4" x14ac:dyDescent="0.25">
      <c r="A255" s="70" t="s">
        <v>805</v>
      </c>
      <c r="B255" s="71" t="s">
        <v>800</v>
      </c>
      <c r="C255" s="105">
        <v>12</v>
      </c>
      <c r="D255" t="s">
        <v>1101</v>
      </c>
    </row>
    <row r="256" spans="1:4" x14ac:dyDescent="0.25">
      <c r="A256" s="70" t="s">
        <v>806</v>
      </c>
      <c r="B256" s="71" t="s">
        <v>807</v>
      </c>
      <c r="C256" s="105">
        <v>13</v>
      </c>
      <c r="D256" t="s">
        <v>1102</v>
      </c>
    </row>
    <row r="257" spans="1:4" x14ac:dyDescent="0.25">
      <c r="A257" s="70" t="s">
        <v>808</v>
      </c>
      <c r="B257" s="71" t="s">
        <v>807</v>
      </c>
      <c r="C257" s="105">
        <v>13</v>
      </c>
      <c r="D257" t="s">
        <v>1103</v>
      </c>
    </row>
    <row r="258" spans="1:4" x14ac:dyDescent="0.25">
      <c r="A258" s="70" t="s">
        <v>809</v>
      </c>
      <c r="B258" s="71" t="s">
        <v>807</v>
      </c>
      <c r="C258" s="105">
        <v>13</v>
      </c>
      <c r="D258" t="s">
        <v>1104</v>
      </c>
    </row>
    <row r="259" spans="1:4" x14ac:dyDescent="0.25">
      <c r="A259" s="70" t="s">
        <v>810</v>
      </c>
      <c r="B259" s="71" t="s">
        <v>807</v>
      </c>
      <c r="C259" s="105">
        <v>13</v>
      </c>
      <c r="D259" t="s">
        <v>1105</v>
      </c>
    </row>
    <row r="260" spans="1:4" x14ac:dyDescent="0.25">
      <c r="A260" s="70" t="s">
        <v>811</v>
      </c>
      <c r="B260" s="71" t="s">
        <v>807</v>
      </c>
      <c r="C260" s="105">
        <v>13</v>
      </c>
      <c r="D260" t="s">
        <v>1106</v>
      </c>
    </row>
    <row r="261" spans="1:4" x14ac:dyDescent="0.25">
      <c r="A261" s="70" t="s">
        <v>812</v>
      </c>
      <c r="B261" s="71" t="s">
        <v>807</v>
      </c>
      <c r="C261" s="105">
        <v>13</v>
      </c>
      <c r="D261" t="s">
        <v>1107</v>
      </c>
    </row>
    <row r="262" spans="1:4" x14ac:dyDescent="0.25">
      <c r="A262" s="70" t="s">
        <v>813</v>
      </c>
      <c r="B262" s="71" t="s">
        <v>807</v>
      </c>
      <c r="C262" s="105">
        <v>13</v>
      </c>
      <c r="D262" t="s">
        <v>1108</v>
      </c>
    </row>
    <row r="263" spans="1:4" x14ac:dyDescent="0.25">
      <c r="A263" s="70" t="s">
        <v>814</v>
      </c>
      <c r="B263" s="71" t="s">
        <v>807</v>
      </c>
      <c r="C263" s="105">
        <v>13</v>
      </c>
      <c r="D263" t="s">
        <v>1109</v>
      </c>
    </row>
    <row r="264" spans="1:4" x14ac:dyDescent="0.25">
      <c r="A264" s="70" t="s">
        <v>815</v>
      </c>
      <c r="B264" s="71" t="s">
        <v>807</v>
      </c>
      <c r="C264" s="105">
        <v>13</v>
      </c>
      <c r="D264" t="s">
        <v>1110</v>
      </c>
    </row>
    <row r="265" spans="1:4" x14ac:dyDescent="0.25">
      <c r="A265" s="70" t="s">
        <v>816</v>
      </c>
      <c r="B265" s="71" t="s">
        <v>807</v>
      </c>
      <c r="C265" s="105">
        <v>13</v>
      </c>
      <c r="D265" t="s">
        <v>1111</v>
      </c>
    </row>
    <row r="266" spans="1:4" x14ac:dyDescent="0.25">
      <c r="A266" s="70" t="s">
        <v>817</v>
      </c>
      <c r="B266" s="71" t="s">
        <v>807</v>
      </c>
      <c r="C266" s="105">
        <v>13</v>
      </c>
      <c r="D266" t="s">
        <v>1112</v>
      </c>
    </row>
    <row r="267" spans="1:4" x14ac:dyDescent="0.25">
      <c r="A267" s="70" t="s">
        <v>818</v>
      </c>
      <c r="B267" s="71" t="s">
        <v>807</v>
      </c>
      <c r="C267" s="105">
        <v>13</v>
      </c>
      <c r="D267" t="s">
        <v>1113</v>
      </c>
    </row>
    <row r="268" spans="1:4" x14ac:dyDescent="0.25">
      <c r="A268" s="70" t="s">
        <v>819</v>
      </c>
      <c r="B268" s="71" t="s">
        <v>807</v>
      </c>
      <c r="C268" s="105">
        <v>13</v>
      </c>
      <c r="D268" t="s">
        <v>1114</v>
      </c>
    </row>
    <row r="269" spans="1:4" x14ac:dyDescent="0.25">
      <c r="A269" s="70" t="s">
        <v>820</v>
      </c>
      <c r="B269" s="71" t="s">
        <v>807</v>
      </c>
      <c r="C269" s="105">
        <v>13</v>
      </c>
      <c r="D269" t="s">
        <v>1115</v>
      </c>
    </row>
    <row r="270" spans="1:4" x14ac:dyDescent="0.25">
      <c r="A270" s="70" t="s">
        <v>821</v>
      </c>
      <c r="B270" s="71" t="s">
        <v>807</v>
      </c>
      <c r="C270" s="105">
        <v>13</v>
      </c>
      <c r="D270" t="s">
        <v>1116</v>
      </c>
    </row>
    <row r="271" spans="1:4" x14ac:dyDescent="0.25">
      <c r="A271" s="70" t="s">
        <v>822</v>
      </c>
      <c r="B271" s="71" t="s">
        <v>823</v>
      </c>
      <c r="C271" s="105">
        <v>14</v>
      </c>
      <c r="D271" t="s">
        <v>1117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9</vt:i4>
      </vt:variant>
    </vt:vector>
  </HeadingPairs>
  <TitlesOfParts>
    <vt:vector size="9" baseType="lpstr">
      <vt:lpstr>Объекты оценки</vt:lpstr>
      <vt:lpstr>ПЕРЕСЧЕТ НЕ ТРЕБУЕТСЯ</vt:lpstr>
      <vt:lpstr>ГОТОВ</vt:lpstr>
      <vt:lpstr>СТОПЛИСТ</vt:lpstr>
      <vt:lpstr>Инструкция</vt:lpstr>
      <vt:lpstr>Поправки</vt:lpstr>
      <vt:lpstr>Коды без коммуникаций</vt:lpstr>
      <vt:lpstr>Объекты МУГИСО</vt:lpstr>
      <vt:lpstr>Сегмент ВРИ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2021-11-24T05:43:52Z</dcterms:modified>
</cp:coreProperties>
</file>