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tabRatio="758"/>
  </bookViews>
  <sheets>
    <sheet name="Объекты оценки" sheetId="1" r:id="rId1"/>
    <sheet name="ГОТОВ" sheetId="7" r:id="rId2"/>
    <sheet name="ПЕРЕСЧЕТ НЕ ТРЕБУЕТСЯ" sheetId="8" r:id="rId3"/>
    <sheet name="СТОПЛИСТ" sheetId="9" r:id="rId4"/>
    <sheet name="Инструкция" sheetId="5" r:id="rId5"/>
    <sheet name="Поправки" sheetId="2" r:id="rId6"/>
    <sheet name="Коды без коммуникаций" sheetId="3" r:id="rId7"/>
    <sheet name="Объекты МУГИСО" sheetId="4" r:id="rId8"/>
    <sheet name="Сегмент ВРИ" sheetId="6" r:id="rId9"/>
  </sheets>
  <definedNames>
    <definedName name="_FilterDatabase" localSheetId="1" hidden="1">ГОТОВ!#REF!</definedName>
    <definedName name="_FilterDatabase" localSheetId="0" hidden="1">'Объекты оценки'!$A$3:$ES$3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S10" i="1" l="1"/>
  <c r="ER10" i="1"/>
  <c r="EQ10" i="1"/>
  <c r="EP10" i="1"/>
  <c r="EN10" i="1"/>
  <c r="EO10" i="1" s="1"/>
  <c r="DV10" i="1"/>
  <c r="DO10" i="1"/>
  <c r="DN10" i="1"/>
  <c r="DM10" i="1"/>
  <c r="DL10" i="1"/>
  <c r="DK10" i="1"/>
  <c r="DJ10" i="1"/>
  <c r="CQ10" i="1" s="1"/>
  <c r="EH10" i="1" s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T10" i="1"/>
  <c r="EJ10" i="1" s="1"/>
  <c r="CS10" i="1"/>
  <c r="EI10" i="1" s="1"/>
  <c r="CR10" i="1"/>
  <c r="CM10" i="1"/>
  <c r="CJ10" i="1"/>
  <c r="EE10" i="1" s="1"/>
  <c r="CF10" i="1"/>
  <c r="EA10" i="1" s="1"/>
  <c r="BY10" i="1"/>
  <c r="BX10" i="1"/>
  <c r="DY10" i="1" s="1"/>
  <c r="BV10" i="1"/>
  <c r="DW10" i="1" s="1"/>
  <c r="BU10" i="1"/>
  <c r="BT10" i="1"/>
  <c r="DU10" i="1" s="1"/>
  <c r="BS10" i="1"/>
  <c r="DT10" i="1" s="1"/>
  <c r="EL10" i="1" s="1"/>
  <c r="EM10" i="1" s="1"/>
  <c r="BP10" i="1"/>
  <c r="DQ10" i="1" s="1"/>
  <c r="BO10" i="1"/>
  <c r="DP10" i="1" s="1"/>
  <c r="BN10" i="1"/>
  <c r="BR10" i="1" s="1"/>
  <c r="BM10" i="1"/>
  <c r="BW10" i="1" s="1"/>
  <c r="ES9" i="1"/>
  <c r="ER9" i="1"/>
  <c r="EQ9" i="1"/>
  <c r="EP9" i="1"/>
  <c r="EO9" i="1"/>
  <c r="EN9" i="1"/>
  <c r="DY9" i="1"/>
  <c r="DU9" i="1"/>
  <c r="DQ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T9" i="1"/>
  <c r="EJ9" i="1" s="1"/>
  <c r="CS9" i="1"/>
  <c r="EI9" i="1" s="1"/>
  <c r="CR9" i="1"/>
  <c r="CQ9" i="1"/>
  <c r="EH9" i="1" s="1"/>
  <c r="CM9" i="1"/>
  <c r="CJ9" i="1"/>
  <c r="EE9" i="1" s="1"/>
  <c r="CI9" i="1"/>
  <c r="ED9" i="1" s="1"/>
  <c r="CF9" i="1"/>
  <c r="EA9" i="1" s="1"/>
  <c r="CE9" i="1"/>
  <c r="DZ9" i="1" s="1"/>
  <c r="CA9" i="1"/>
  <c r="BY9" i="1"/>
  <c r="BX9" i="1"/>
  <c r="BW9" i="1"/>
  <c r="DX9" i="1" s="1"/>
  <c r="BV9" i="1"/>
  <c r="DW9" i="1" s="1"/>
  <c r="BU9" i="1"/>
  <c r="DV9" i="1" s="1"/>
  <c r="BT9" i="1"/>
  <c r="BS9" i="1"/>
  <c r="DT9" i="1" s="1"/>
  <c r="EL9" i="1" s="1"/>
  <c r="EM9" i="1" s="1"/>
  <c r="BP9" i="1"/>
  <c r="BO9" i="1"/>
  <c r="DP9" i="1" s="1"/>
  <c r="BN9" i="1"/>
  <c r="BR9" i="1" s="1"/>
  <c r="BM9" i="1"/>
  <c r="ES8" i="1"/>
  <c r="ER8" i="1"/>
  <c r="EQ8" i="1"/>
  <c r="EP8" i="1"/>
  <c r="EN8" i="1"/>
  <c r="EO8" i="1" s="1"/>
  <c r="DX8" i="1"/>
  <c r="DT8" i="1"/>
  <c r="EL8" i="1" s="1"/>
  <c r="EM8" i="1" s="1"/>
  <c r="DP8" i="1"/>
  <c r="DO8" i="1"/>
  <c r="DN8" i="1"/>
  <c r="DM8" i="1"/>
  <c r="DL8" i="1"/>
  <c r="CQ8" i="1" s="1"/>
  <c r="EH8" i="1" s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T8" i="1"/>
  <c r="EJ8" i="1" s="1"/>
  <c r="CS8" i="1"/>
  <c r="EI8" i="1" s="1"/>
  <c r="CR8" i="1"/>
  <c r="CM8" i="1"/>
  <c r="CJ8" i="1"/>
  <c r="EE8" i="1" s="1"/>
  <c r="CH8" i="1"/>
  <c r="EC8" i="1" s="1"/>
  <c r="CF8" i="1"/>
  <c r="EA8" i="1" s="1"/>
  <c r="CD8" i="1"/>
  <c r="BZ8" i="1"/>
  <c r="BY8" i="1"/>
  <c r="BX8" i="1"/>
  <c r="DY8" i="1" s="1"/>
  <c r="BW8" i="1"/>
  <c r="BV8" i="1"/>
  <c r="BU8" i="1"/>
  <c r="DV8" i="1" s="1"/>
  <c r="BT8" i="1"/>
  <c r="DU8" i="1" s="1"/>
  <c r="BS8" i="1"/>
  <c r="BR8" i="1"/>
  <c r="BP8" i="1"/>
  <c r="DQ8" i="1" s="1"/>
  <c r="BO8" i="1"/>
  <c r="BN8" i="1"/>
  <c r="BQ8" i="1" s="1"/>
  <c r="BM8" i="1"/>
  <c r="ES7" i="1"/>
  <c r="ER7" i="1"/>
  <c r="EQ7" i="1"/>
  <c r="EP7" i="1"/>
  <c r="EN7" i="1"/>
  <c r="EO7" i="1" s="1"/>
  <c r="EE7" i="1"/>
  <c r="DW7" i="1"/>
  <c r="DO7" i="1"/>
  <c r="DN7" i="1"/>
  <c r="DM7" i="1"/>
  <c r="DL7" i="1"/>
  <c r="DK7" i="1"/>
  <c r="CQ7" i="1" s="1"/>
  <c r="EH7" i="1" s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T7" i="1"/>
  <c r="EJ7" i="1" s="1"/>
  <c r="CS7" i="1"/>
  <c r="EI7" i="1" s="1"/>
  <c r="CR7" i="1"/>
  <c r="CM7" i="1"/>
  <c r="CJ7" i="1"/>
  <c r="CI7" i="1"/>
  <c r="ED7" i="1" s="1"/>
  <c r="CG7" i="1"/>
  <c r="EB7" i="1" s="1"/>
  <c r="CE7" i="1"/>
  <c r="DZ7" i="1" s="1"/>
  <c r="CA7" i="1"/>
  <c r="BY7" i="1"/>
  <c r="BX7" i="1"/>
  <c r="DY7" i="1" s="1"/>
  <c r="BV7" i="1"/>
  <c r="BU7" i="1"/>
  <c r="BT7" i="1"/>
  <c r="DU7" i="1" s="1"/>
  <c r="BS7" i="1"/>
  <c r="DT7" i="1" s="1"/>
  <c r="EL7" i="1" s="1"/>
  <c r="EM7" i="1" s="1"/>
  <c r="BQ7" i="1"/>
  <c r="BP7" i="1"/>
  <c r="DQ7" i="1" s="1"/>
  <c r="BO7" i="1"/>
  <c r="DP7" i="1" s="1"/>
  <c r="BN7" i="1"/>
  <c r="BR7" i="1" s="1"/>
  <c r="CC7" i="1" s="1"/>
  <c r="BM7" i="1"/>
  <c r="BW7" i="1" s="1"/>
  <c r="ES6" i="1"/>
  <c r="ER6" i="1"/>
  <c r="EQ6" i="1"/>
  <c r="EP6" i="1"/>
  <c r="EN6" i="1"/>
  <c r="EO6" i="1" s="1"/>
  <c r="EL6" i="1"/>
  <c r="EM6" i="1" s="1"/>
  <c r="DV6" i="1"/>
  <c r="DT6" i="1"/>
  <c r="DP6" i="1"/>
  <c r="DO6" i="1"/>
  <c r="DN6" i="1"/>
  <c r="DM6" i="1"/>
  <c r="DL6" i="1"/>
  <c r="DK6" i="1"/>
  <c r="DJ6" i="1"/>
  <c r="CQ6" i="1" s="1"/>
  <c r="EH6" i="1" s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T6" i="1"/>
  <c r="EJ6" i="1" s="1"/>
  <c r="CS6" i="1"/>
  <c r="EI6" i="1" s="1"/>
  <c r="CR6" i="1"/>
  <c r="CM6" i="1"/>
  <c r="CJ6" i="1"/>
  <c r="CF6" i="1"/>
  <c r="EA6" i="1" s="1"/>
  <c r="CD6" i="1"/>
  <c r="BZ6" i="1"/>
  <c r="BY6" i="1"/>
  <c r="BX6" i="1"/>
  <c r="BV6" i="1"/>
  <c r="DW6" i="1" s="1"/>
  <c r="BU6" i="1"/>
  <c r="BT6" i="1"/>
  <c r="BS6" i="1"/>
  <c r="BP6" i="1"/>
  <c r="BO6" i="1"/>
  <c r="BN6" i="1"/>
  <c r="BR6" i="1" s="1"/>
  <c r="BM6" i="1"/>
  <c r="BW6" i="1" s="1"/>
  <c r="ES5" i="1"/>
  <c r="ER5" i="1"/>
  <c r="EQ5" i="1"/>
  <c r="EP5" i="1"/>
  <c r="EO5" i="1"/>
  <c r="EN5" i="1"/>
  <c r="EE5" i="1"/>
  <c r="DY5" i="1"/>
  <c r="DW5" i="1"/>
  <c r="DU5" i="1"/>
  <c r="DQ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T5" i="1"/>
  <c r="EJ5" i="1" s="1"/>
  <c r="CS5" i="1"/>
  <c r="EI5" i="1" s="1"/>
  <c r="CR5" i="1"/>
  <c r="CQ5" i="1"/>
  <c r="EH5" i="1" s="1"/>
  <c r="CM5" i="1"/>
  <c r="CJ5" i="1"/>
  <c r="CI5" i="1"/>
  <c r="ED5" i="1" s="1"/>
  <c r="CG5" i="1"/>
  <c r="EB5" i="1" s="1"/>
  <c r="CE5" i="1"/>
  <c r="DZ5" i="1" s="1"/>
  <c r="CA5" i="1"/>
  <c r="BY5" i="1"/>
  <c r="BX5" i="1"/>
  <c r="BW5" i="1"/>
  <c r="BV5" i="1"/>
  <c r="BU5" i="1"/>
  <c r="DV5" i="1" s="1"/>
  <c r="BT5" i="1"/>
  <c r="BS5" i="1"/>
  <c r="BQ5" i="1"/>
  <c r="DR5" i="1" s="1"/>
  <c r="BP5" i="1"/>
  <c r="BO5" i="1"/>
  <c r="BN5" i="1"/>
  <c r="BR5" i="1" s="1"/>
  <c r="BM5" i="1"/>
  <c r="DS8" i="1" l="1"/>
  <c r="CC8" i="1"/>
  <c r="DW8" i="1"/>
  <c r="CG8" i="1"/>
  <c r="EB8" i="1" s="1"/>
  <c r="DS10" i="1"/>
  <c r="CC10" i="1"/>
  <c r="DS5" i="1"/>
  <c r="CC5" i="1"/>
  <c r="DT5" i="1"/>
  <c r="EL5" i="1" s="1"/>
  <c r="EM5" i="1" s="1"/>
  <c r="CD5" i="1"/>
  <c r="DX5" i="1"/>
  <c r="CH5" i="1"/>
  <c r="EC5" i="1" s="1"/>
  <c r="EE6" i="1"/>
  <c r="DS7" i="1"/>
  <c r="DR8" i="1"/>
  <c r="CB8" i="1"/>
  <c r="DP5" i="1"/>
  <c r="BZ5" i="1"/>
  <c r="CK5" i="1" s="1"/>
  <c r="CL5" i="1" s="1"/>
  <c r="DQ6" i="1"/>
  <c r="CA6" i="1"/>
  <c r="DV7" i="1"/>
  <c r="CF7" i="1"/>
  <c r="EA7" i="1" s="1"/>
  <c r="DS6" i="1"/>
  <c r="CC6" i="1"/>
  <c r="DU6" i="1"/>
  <c r="CE6" i="1"/>
  <c r="DZ6" i="1" s="1"/>
  <c r="DX6" i="1"/>
  <c r="CH6" i="1"/>
  <c r="EC6" i="1" s="1"/>
  <c r="DY6" i="1"/>
  <c r="CI6" i="1"/>
  <c r="ED6" i="1" s="1"/>
  <c r="DX7" i="1"/>
  <c r="CH7" i="1"/>
  <c r="EC7" i="1" s="1"/>
  <c r="DR7" i="1"/>
  <c r="CB7" i="1"/>
  <c r="DS9" i="1"/>
  <c r="CC9" i="1"/>
  <c r="DX10" i="1"/>
  <c r="CH10" i="1"/>
  <c r="EC10" i="1" s="1"/>
  <c r="CB5" i="1"/>
  <c r="CF5" i="1"/>
  <c r="EA5" i="1" s="1"/>
  <c r="BQ6" i="1"/>
  <c r="CG6" i="1"/>
  <c r="EB6" i="1" s="1"/>
  <c r="BZ7" i="1"/>
  <c r="CK7" i="1" s="1"/>
  <c r="CL7" i="1" s="1"/>
  <c r="CD7" i="1"/>
  <c r="CA8" i="1"/>
  <c r="CE8" i="1"/>
  <c r="DZ8" i="1" s="1"/>
  <c r="CI8" i="1"/>
  <c r="ED8" i="1" s="1"/>
  <c r="BQ10" i="1"/>
  <c r="CG10" i="1"/>
  <c r="EB10" i="1" s="1"/>
  <c r="BQ9" i="1"/>
  <c r="CG9" i="1"/>
  <c r="EB9" i="1" s="1"/>
  <c r="BZ10" i="1"/>
  <c r="CD10" i="1"/>
  <c r="BZ9" i="1"/>
  <c r="CD9" i="1"/>
  <c r="CH9" i="1"/>
  <c r="EC9" i="1" s="1"/>
  <c r="CA10" i="1"/>
  <c r="CE10" i="1"/>
  <c r="DZ10" i="1" s="1"/>
  <c r="CI10" i="1"/>
  <c r="ED10" i="1" s="1"/>
  <c r="BN4" i="1"/>
  <c r="CK10" i="1" l="1"/>
  <c r="CL10" i="1" s="1"/>
  <c r="CK6" i="1"/>
  <c r="CL6" i="1" s="1"/>
  <c r="CK9" i="1"/>
  <c r="CL9" i="1" s="1"/>
  <c r="CO5" i="1"/>
  <c r="CN5" i="1"/>
  <c r="CN7" i="1"/>
  <c r="CO7" i="1"/>
  <c r="CK8" i="1"/>
  <c r="CL8" i="1" s="1"/>
  <c r="DR9" i="1"/>
  <c r="CB9" i="1"/>
  <c r="DR6" i="1"/>
  <c r="CB6" i="1"/>
  <c r="DR10" i="1"/>
  <c r="CB10" i="1"/>
  <c r="DN4" i="1"/>
  <c r="EF7" i="1" l="1"/>
  <c r="CP7" i="1"/>
  <c r="EG7" i="1" s="1"/>
  <c r="EK7" i="1" s="1"/>
  <c r="CN8" i="1"/>
  <c r="CO8" i="1"/>
  <c r="EF5" i="1"/>
  <c r="CP5" i="1"/>
  <c r="EG5" i="1" s="1"/>
  <c r="EK5" i="1" s="1"/>
  <c r="CN9" i="1"/>
  <c r="CO9" i="1"/>
  <c r="CN6" i="1"/>
  <c r="CO6" i="1"/>
  <c r="CN10" i="1"/>
  <c r="CO10" i="1"/>
  <c r="EP4" i="1"/>
  <c r="D1" i="9"/>
  <c r="I1" i="8"/>
  <c r="AD1" i="7"/>
  <c r="DI4" i="1"/>
  <c r="EF6" i="1" l="1"/>
  <c r="CP6" i="1"/>
  <c r="EG6" i="1" s="1"/>
  <c r="EK6" i="1" s="1"/>
  <c r="EF10" i="1"/>
  <c r="CP10" i="1"/>
  <c r="EG10" i="1" s="1"/>
  <c r="EK10" i="1" s="1"/>
  <c r="EF9" i="1"/>
  <c r="CP9" i="1"/>
  <c r="EG9" i="1" s="1"/>
  <c r="EK9" i="1" s="1"/>
  <c r="EF8" i="1"/>
  <c r="CP8" i="1"/>
  <c r="EG8" i="1" s="1"/>
  <c r="EK8" i="1" s="1"/>
  <c r="BP4" i="1"/>
  <c r="ES4" i="1" l="1"/>
  <c r="EN4" i="1" l="1"/>
  <c r="EO4" i="1" s="1"/>
  <c r="DO4" i="1"/>
  <c r="DM4" i="1"/>
  <c r="DL4" i="1"/>
  <c r="DK4" i="1"/>
  <c r="DJ4" i="1"/>
  <c r="CT4" i="1"/>
  <c r="EJ4" i="1" s="1"/>
  <c r="CS4" i="1"/>
  <c r="EI4" i="1" s="1"/>
  <c r="CR4" i="1"/>
  <c r="CM4" i="1"/>
  <c r="CJ4" i="1"/>
  <c r="EE4" i="1" s="1"/>
  <c r="BY4" i="1"/>
  <c r="BV4" i="1"/>
  <c r="DD4" i="1" s="1"/>
  <c r="BT4" i="1"/>
  <c r="DB4" i="1" s="1"/>
  <c r="BS4" i="1"/>
  <c r="DT4" i="1" s="1"/>
  <c r="EL4" i="1" s="1"/>
  <c r="EM4" i="1" s="1"/>
  <c r="CX4" i="1"/>
  <c r="BO4" i="1"/>
  <c r="DP4" i="1" s="1"/>
  <c r="BM4" i="1"/>
  <c r="BW4" i="1" s="1"/>
  <c r="DX4" i="1" s="1"/>
  <c r="BU4" i="1" l="1"/>
  <c r="DC4" i="1" s="1"/>
  <c r="BX4" i="1"/>
  <c r="DF4" i="1" s="1"/>
  <c r="BR4" i="1"/>
  <c r="CC4" i="1" s="1"/>
  <c r="BQ4" i="1"/>
  <c r="DR4" i="1" s="1"/>
  <c r="CQ4" i="1"/>
  <c r="CI4" i="1"/>
  <c r="ED4" i="1" s="1"/>
  <c r="CY4" i="1"/>
  <c r="DY4" i="1"/>
  <c r="CE4" i="1"/>
  <c r="DZ4" i="1" s="1"/>
  <c r="DU4" i="1"/>
  <c r="CG4" i="1"/>
  <c r="EB4" i="1" s="1"/>
  <c r="DW4" i="1"/>
  <c r="CA4" i="1"/>
  <c r="EH4" i="1"/>
  <c r="DQ4" i="1"/>
  <c r="CZ4" i="1"/>
  <c r="DE4" i="1"/>
  <c r="CW4" i="1"/>
  <c r="DA4" i="1"/>
  <c r="BZ4" i="1"/>
  <c r="CD4" i="1"/>
  <c r="CH4" i="1"/>
  <c r="EC4" i="1" s="1"/>
  <c r="DK1" i="1"/>
  <c r="DV4" i="1" l="1"/>
  <c r="CF4" i="1"/>
  <c r="EA4" i="1" s="1"/>
  <c r="CB4" i="1"/>
  <c r="DS4" i="1"/>
  <c r="CK4" i="1" l="1"/>
  <c r="CL4" i="1" s="1"/>
  <c r="CN4" i="1" s="1"/>
  <c r="DG4" i="1"/>
  <c r="CO4" i="1" l="1"/>
  <c r="EF4" i="1" s="1"/>
  <c r="CP4" i="1"/>
  <c r="EG4" i="1" s="1"/>
  <c r="ER4" i="1"/>
  <c r="DH4" i="1"/>
  <c r="EQ4" i="1"/>
  <c r="EK4" i="1" l="1"/>
  <c r="D52" i="2" l="1"/>
  <c r="D51" i="2"/>
  <c r="D50" i="2"/>
  <c r="D49" i="2"/>
  <c r="D48" i="2"/>
  <c r="D47" i="2"/>
  <c r="D46" i="2"/>
  <c r="N21" i="2" s="1"/>
  <c r="D45" i="2"/>
  <c r="D44" i="2"/>
  <c r="D43" i="2"/>
  <c r="D42" i="2"/>
  <c r="D41" i="2"/>
  <c r="P20" i="2" s="1"/>
  <c r="D40" i="2"/>
  <c r="P22" i="2"/>
  <c r="O22" i="2"/>
  <c r="N22" i="2"/>
  <c r="M22" i="2"/>
  <c r="L22" i="2"/>
  <c r="K22" i="2"/>
  <c r="P21" i="2"/>
  <c r="O21" i="2"/>
  <c r="M21" i="2"/>
  <c r="L21" i="2"/>
  <c r="O20" i="2"/>
  <c r="N20" i="2"/>
  <c r="M20" i="2"/>
  <c r="L20" i="2"/>
  <c r="K20" i="2"/>
  <c r="AC13" i="2"/>
  <c r="AD13" i="2" s="1"/>
  <c r="U22" i="2" s="1"/>
  <c r="X13" i="2"/>
  <c r="Y13" i="2" s="1"/>
  <c r="S13" i="2"/>
  <c r="T13" i="2" s="1"/>
  <c r="N13" i="2"/>
  <c r="O13" i="2" s="1"/>
  <c r="I13" i="2"/>
  <c r="J13" i="2" s="1"/>
  <c r="Q22" i="2" s="1"/>
  <c r="AD12" i="2"/>
  <c r="AE12" i="2" s="1"/>
  <c r="Y12" i="2"/>
  <c r="Z12" i="2" s="1"/>
  <c r="T12" i="2"/>
  <c r="U12" i="2" s="1"/>
  <c r="O12" i="2"/>
  <c r="P12" i="2" s="1"/>
  <c r="J12" i="2"/>
  <c r="K12" i="2" s="1"/>
  <c r="L12" i="2" s="1"/>
  <c r="AD11" i="2"/>
  <c r="AE11" i="2" s="1"/>
  <c r="Y11" i="2"/>
  <c r="Z11" i="2" s="1"/>
  <c r="T11" i="2"/>
  <c r="U11" i="2" s="1"/>
  <c r="O11" i="2"/>
  <c r="P11" i="2" s="1"/>
  <c r="Q11" i="2" s="1"/>
  <c r="J11" i="2"/>
  <c r="K11" i="2" s="1"/>
  <c r="AE10" i="2"/>
  <c r="AF10" i="2" s="1"/>
  <c r="AD10" i="2"/>
  <c r="Y10" i="2"/>
  <c r="Z10" i="2" s="1"/>
  <c r="T10" i="2"/>
  <c r="U10" i="2" s="1"/>
  <c r="O10" i="2"/>
  <c r="P10" i="2" s="1"/>
  <c r="J10" i="2"/>
  <c r="K10" i="2" s="1"/>
  <c r="L10" i="2" s="1"/>
  <c r="AD9" i="2"/>
  <c r="AE9" i="2" s="1"/>
  <c r="AF9" i="2" s="1"/>
  <c r="Y9" i="2"/>
  <c r="Z9" i="2" s="1"/>
  <c r="AA9" i="2" s="1"/>
  <c r="T9" i="2"/>
  <c r="U9" i="2" s="1"/>
  <c r="O9" i="2"/>
  <c r="P9" i="2" s="1"/>
  <c r="K9" i="2"/>
  <c r="L9" i="2" s="1"/>
  <c r="J9" i="2"/>
  <c r="AD8" i="2"/>
  <c r="AE8" i="2" s="1"/>
  <c r="AF8" i="2" s="1"/>
  <c r="Y8" i="2"/>
  <c r="Z8" i="2" s="1"/>
  <c r="T8" i="2"/>
  <c r="U8" i="2" s="1"/>
  <c r="O8" i="2"/>
  <c r="P8" i="2" s="1"/>
  <c r="J8" i="2"/>
  <c r="K8" i="2" s="1"/>
  <c r="L8" i="2" s="1"/>
  <c r="AD7" i="2"/>
  <c r="AE7" i="2" s="1"/>
  <c r="Y7" i="2"/>
  <c r="Z7" i="2" s="1"/>
  <c r="AA7" i="2" s="1"/>
  <c r="U7" i="2"/>
  <c r="T7" i="2"/>
  <c r="O7" i="2"/>
  <c r="P7" i="2" s="1"/>
  <c r="J7" i="2"/>
  <c r="K7" i="2" s="1"/>
  <c r="AL6" i="2"/>
  <c r="AK6" i="2"/>
  <c r="AD6" i="2"/>
  <c r="AE6" i="2" s="1"/>
  <c r="AF6" i="2" s="1"/>
  <c r="Y6" i="2"/>
  <c r="Z6" i="2" s="1"/>
  <c r="T6" i="2"/>
  <c r="U6" i="2" s="1"/>
  <c r="O6" i="2"/>
  <c r="P6" i="2" s="1"/>
  <c r="J6" i="2"/>
  <c r="K6" i="2" s="1"/>
  <c r="L6" i="2" s="1"/>
  <c r="AL5" i="2"/>
  <c r="AK5" i="2"/>
  <c r="AD5" i="2"/>
  <c r="AE5" i="2" s="1"/>
  <c r="AF5" i="2" s="1"/>
  <c r="Y5" i="2"/>
  <c r="Z5" i="2" s="1"/>
  <c r="AA5" i="2" s="1"/>
  <c r="T5" i="2"/>
  <c r="U5" i="2" s="1"/>
  <c r="O5" i="2"/>
  <c r="P5" i="2" s="1"/>
  <c r="Q5" i="2" s="1"/>
  <c r="J5" i="2"/>
  <c r="K5" i="2" s="1"/>
  <c r="AL4" i="2"/>
  <c r="AK4" i="2"/>
  <c r="AD4" i="2"/>
  <c r="AE4" i="2" s="1"/>
  <c r="Y4" i="2"/>
  <c r="Z4" i="2" s="1"/>
  <c r="AA4" i="2" s="1"/>
  <c r="T4" i="2"/>
  <c r="U4" i="2" s="1"/>
  <c r="V4" i="2" s="1"/>
  <c r="O4" i="2"/>
  <c r="P4" i="2" s="1"/>
  <c r="Q4" i="2" s="1"/>
  <c r="J4" i="2"/>
  <c r="K4" i="2" s="1"/>
  <c r="AL3" i="2"/>
  <c r="AK3" i="2"/>
  <c r="AD3" i="2"/>
  <c r="AE3" i="2" s="1"/>
  <c r="AF3" i="2" s="1"/>
  <c r="Y3" i="2"/>
  <c r="Z3" i="2" s="1"/>
  <c r="T3" i="2"/>
  <c r="U3" i="2" s="1"/>
  <c r="V3" i="2" s="1"/>
  <c r="P3" i="2"/>
  <c r="O3" i="2"/>
  <c r="J3" i="2"/>
  <c r="K3" i="2" s="1"/>
  <c r="AP2" i="2"/>
  <c r="AO2" i="2"/>
  <c r="AL2" i="2"/>
  <c r="AK2" i="2"/>
  <c r="AD2" i="2"/>
  <c r="AE2" i="2" s="1"/>
  <c r="AF2" i="2" s="1"/>
  <c r="Y2" i="2"/>
  <c r="Z2" i="2" s="1"/>
  <c r="AA2" i="2" s="1"/>
  <c r="T2" i="2"/>
  <c r="U2" i="2" s="1"/>
  <c r="O2" i="2"/>
  <c r="P2" i="2" s="1"/>
  <c r="J2" i="2"/>
  <c r="K2" i="2" s="1"/>
  <c r="V7" i="2" l="1"/>
  <c r="AF12" i="2"/>
  <c r="V11" i="2"/>
  <c r="T22" i="2"/>
  <c r="Z13" i="2"/>
  <c r="T21" i="2" s="1"/>
  <c r="L5" i="2"/>
  <c r="AA11" i="2"/>
  <c r="AA10" i="2"/>
  <c r="R22" i="2"/>
  <c r="P13" i="2"/>
  <c r="R20" i="2" s="1"/>
  <c r="S22" i="2"/>
  <c r="U13" i="2"/>
  <c r="S20" i="2" s="1"/>
  <c r="AA8" i="2"/>
  <c r="L2" i="2"/>
  <c r="AF7" i="2"/>
  <c r="AF4" i="2"/>
  <c r="L11" i="2"/>
  <c r="L7" i="2"/>
  <c r="V5" i="2"/>
  <c r="AF11" i="2"/>
  <c r="K13" i="2"/>
  <c r="Q21" i="2" s="1"/>
  <c r="AE13" i="2"/>
  <c r="U21" i="2" s="1"/>
  <c r="Q3" i="2"/>
  <c r="AA3" i="2"/>
  <c r="L4" i="2"/>
  <c r="AA6" i="2"/>
  <c r="V2" i="2"/>
  <c r="V9" i="2"/>
  <c r="AA12" i="2"/>
  <c r="L3" i="2"/>
  <c r="Q10" i="2"/>
  <c r="Q12" i="2"/>
  <c r="Q8" i="2"/>
  <c r="Q6" i="2"/>
  <c r="Q9" i="2"/>
  <c r="K21" i="2"/>
  <c r="Q2" i="2"/>
  <c r="Q7" i="2"/>
  <c r="Q20" i="2"/>
  <c r="U20" i="2"/>
  <c r="V6" i="2"/>
  <c r="V8" i="2"/>
  <c r="V12" i="2"/>
  <c r="R21" i="2"/>
  <c r="V10" i="2"/>
  <c r="Q13" i="2"/>
  <c r="V13" i="2"/>
  <c r="AA13" i="2"/>
  <c r="AF13" i="2"/>
  <c r="V22" i="2" l="1"/>
  <c r="Y22" i="2" s="1"/>
  <c r="EY3" i="1"/>
  <c r="EY2" i="1" s="1"/>
  <c r="EW3" i="1"/>
  <c r="EW2" i="1" s="1"/>
  <c r="EX3" i="1"/>
  <c r="EX2" i="1" s="1"/>
  <c r="L13" i="2"/>
  <c r="T20" i="2"/>
  <c r="V20" i="2" s="1"/>
  <c r="S21" i="2"/>
  <c r="V21" i="2"/>
  <c r="Y21" i="2" s="1"/>
  <c r="X20" i="2" l="1"/>
  <c r="Y20" i="2"/>
</calcChain>
</file>

<file path=xl/sharedStrings.xml><?xml version="1.0" encoding="utf-8"?>
<sst xmlns="http://schemas.openxmlformats.org/spreadsheetml/2006/main" count="1847" uniqueCount="1179">
  <si>
    <t>Идентификатор</t>
  </si>
  <si>
    <t>Кадастровый номер</t>
  </si>
  <si>
    <t>Вид объекта недвижимости</t>
  </si>
  <si>
    <t>Площадь в квадратных метрах</t>
  </si>
  <si>
    <t>Адрес (местоположение) Иное</t>
  </si>
  <si>
    <t>Адрес (местоположение) Неформализованное описание</t>
  </si>
  <si>
    <t>Категория земель</t>
  </si>
  <si>
    <t>Вид использования участка по документу</t>
  </si>
  <si>
    <t>Разрешенное использование участка</t>
  </si>
  <si>
    <t>Разрешенное использование (текстовое описание)</t>
  </si>
  <si>
    <t>Кадастровая стоимость</t>
  </si>
  <si>
    <t>Дата определения кадастровой стоимости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</si>
  <si>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</si>
  <si>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</si>
  <si>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</si>
  <si>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Группа для XML</t>
  </si>
  <si>
    <t>Код населённого пункта</t>
  </si>
  <si>
    <t>Код расчета вида использования</t>
  </si>
  <si>
    <t>Расшифровка расчетной подгруппы</t>
  </si>
  <si>
    <t>Сегмент</t>
  </si>
  <si>
    <t>Расстояние до дороги</t>
  </si>
  <si>
    <t>Расстояние до центра МО</t>
  </si>
  <si>
    <t>Наличие отопления</t>
  </si>
  <si>
    <t>Наличие электроснабжения</t>
  </si>
  <si>
    <t>Наличие водоотведения</t>
  </si>
  <si>
    <t>Расстояние до метро</t>
  </si>
  <si>
    <t>Расстояние до остановки общественного транспорта</t>
  </si>
  <si>
    <t>Ценовой пояс ЕКБ</t>
  </si>
  <si>
    <t>Признак актуальности</t>
  </si>
  <si>
    <t>Дата пакета</t>
  </si>
  <si>
    <t>Ценовой пояс (ЦФ)</t>
  </si>
  <si>
    <t>Теплоснабжение (ЦФ)</t>
  </si>
  <si>
    <t>Водоотведение (ЦФ)</t>
  </si>
  <si>
    <t>Электроснабжение (ЦФ)</t>
  </si>
  <si>
    <t>Отношение ВРИ к сегменту (ЦФ)</t>
  </si>
  <si>
    <t>Площадь (ЦФ)</t>
  </si>
  <si>
    <t>Поправка на площадь (ЦФ)</t>
  </si>
  <si>
    <t>Расстояние до метро (ЦФ)</t>
  </si>
  <si>
    <t>Расстояние до остановок (ЦФ)</t>
  </si>
  <si>
    <t>Расстояние до дороги (ЦФ)</t>
  </si>
  <si>
    <t>Расстояние до административного центра МО (ЦФ)</t>
  </si>
  <si>
    <t>Номер заявления</t>
  </si>
  <si>
    <t>Тип заявления</t>
  </si>
  <si>
    <t>Статус заявления</t>
  </si>
  <si>
    <t>Площадь обременений (ЦФ)</t>
  </si>
  <si>
    <t>Особый контроль</t>
  </si>
  <si>
    <t>04:010</t>
  </si>
  <si>
    <t>4. СЕГМЕНТ "Предпринимательство"</t>
  </si>
  <si>
    <t>Пояс 1</t>
  </si>
  <si>
    <t>Наличие теплоснабжения</t>
  </si>
  <si>
    <t>08:022</t>
  </si>
  <si>
    <t>3. СЕГМЕНТ "Общественное использование"</t>
  </si>
  <si>
    <t>Пояс 3</t>
  </si>
  <si>
    <t>Отсутствие теплоснабжения</t>
  </si>
  <si>
    <t>Отсутствие водоотведения</t>
  </si>
  <si>
    <t>03:999</t>
  </si>
  <si>
    <t>Центр</t>
  </si>
  <si>
    <t>03:081</t>
  </si>
  <si>
    <t>03:050</t>
  </si>
  <si>
    <t>Пояс 2</t>
  </si>
  <si>
    <t>04:096</t>
  </si>
  <si>
    <t>03:040</t>
  </si>
  <si>
    <t>03:051</t>
  </si>
  <si>
    <t>Пояс 4</t>
  </si>
  <si>
    <t>03:080</t>
  </si>
  <si>
    <t>04:060</t>
  </si>
  <si>
    <t>03:041</t>
  </si>
  <si>
    <t>66:41:0701014:18</t>
  </si>
  <si>
    <t>03:060</t>
  </si>
  <si>
    <t>04:040</t>
  </si>
  <si>
    <t>66:41:0501070:81</t>
  </si>
  <si>
    <t>04:020</t>
  </si>
  <si>
    <t>Ценовой пояс</t>
  </si>
  <si>
    <t>Теплоснабжение</t>
  </si>
  <si>
    <t>Водоотведение</t>
  </si>
  <si>
    <t>Электроснабжение</t>
  </si>
  <si>
    <t>Расстояние до остановок, км</t>
  </si>
  <si>
    <t>ОПРЕДЕЛЕНИЕ ЦФ В РАМКАХ СТАТЬИ 16</t>
  </si>
  <si>
    <t>Константа</t>
  </si>
  <si>
    <t>Отношение ВРИ к сегменту</t>
  </si>
  <si>
    <t>Общая площадь, м2</t>
  </si>
  <si>
    <t>Расстояние до метро, км</t>
  </si>
  <si>
    <t>Расстояние до дорог, км</t>
  </si>
  <si>
    <t>Расстояние до центра, км</t>
  </si>
  <si>
    <t>loc_factor_801</t>
  </si>
  <si>
    <t>loc_factor_804</t>
  </si>
  <si>
    <t>loc_factor_802</t>
  </si>
  <si>
    <t>loc_factor_803</t>
  </si>
  <si>
    <t>loc_factor_806</t>
  </si>
  <si>
    <t>loc_factor_807</t>
  </si>
  <si>
    <t>loc_factor_809</t>
  </si>
  <si>
    <t>loc_factor_810</t>
  </si>
  <si>
    <t>loc_factor_811</t>
  </si>
  <si>
    <t>loc_factor_812</t>
  </si>
  <si>
    <t>loc_factor_8071</t>
  </si>
  <si>
    <t>loc_factor_8091</t>
  </si>
  <si>
    <t>loc_factor_8101</t>
  </si>
  <si>
    <t>loc_factor_8111</t>
  </si>
  <si>
    <t>loc_factor_8121</t>
  </si>
  <si>
    <t>loc_factor_839</t>
  </si>
  <si>
    <t>Specific_CadastralCost</t>
  </si>
  <si>
    <t>CadastralCost</t>
  </si>
  <si>
    <t>CadastralCostDesc</t>
  </si>
  <si>
    <t>CadastralNumber</t>
  </si>
  <si>
    <t>id_group</t>
  </si>
  <si>
    <t>loc_factor_827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</si>
  <si>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</si>
  <si>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</si>
  <si>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</si>
  <si>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</si>
  <si>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</si>
  <si>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</si>
  <si>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</si>
  <si>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</si>
  <si>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</si>
  <si>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</si>
  <si>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Ценовой пояс, поправочный коэффициент</t>
  </si>
  <si>
    <t>Электроснабжение, поправочный коэффициент</t>
  </si>
  <si>
    <t>Теплоснабжение, поправочный коэффициент</t>
  </si>
  <si>
    <t>Водоотведение, поправочный коэффициент</t>
  </si>
  <si>
    <t>Отношение к сегменту, поправочный коэффициент</t>
  </si>
  <si>
    <t>Общая площадь, поправочный коэффициент</t>
  </si>
  <si>
    <t>Расстояние до метро, поправочный коэффициент</t>
  </si>
  <si>
    <t>Расстояние до остановок, поправочный коэффициент</t>
  </si>
  <si>
    <t>Расстояние до дорог, поправочный коэффициент</t>
  </si>
  <si>
    <t>Расстояние до центра, поправочный коэффициент</t>
  </si>
  <si>
    <t>Площадь обременений</t>
  </si>
  <si>
    <t>УПКС с учетом поправки на уторгование, руб/м2 на 2020</t>
  </si>
  <si>
    <t>УПКС по межеванию</t>
  </si>
  <si>
    <t>УПКС с учетом поправки на уторгование И ОБРЕМЕНЕНИЕ, руб/м2 на 2020</t>
  </si>
  <si>
    <t>УПКС с учетом поправки на уторгование И ОБРЕМЕНЕНИЕ И МЕЖЕВАНИЕ, руб/м2 на 2020</t>
  </si>
  <si>
    <t>КС, руб. на 2020</t>
  </si>
  <si>
    <t>Описание КС</t>
  </si>
  <si>
    <t>x11</t>
  </si>
  <si>
    <t>ТОРГ</t>
  </si>
  <si>
    <t>УПКС, руб/м2</t>
  </si>
  <si>
    <t>МЕЖЕВАНИЕ</t>
  </si>
  <si>
    <t>КН</t>
  </si>
  <si>
    <t>Группа хмл</t>
  </si>
  <si>
    <t>ИТОГ</t>
  </si>
  <si>
    <t>Таблица №12</t>
  </si>
  <si>
    <t>площадь</t>
  </si>
  <si>
    <t>Степеннаяln = 11,27070473*#Перем_14^-0,08418488</t>
  </si>
  <si>
    <t>Площадь</t>
  </si>
  <si>
    <t>Расстояние до остановок</t>
  </si>
  <si>
    <t>Расстояние до дорог</t>
  </si>
  <si>
    <t>Расстояние до центра</t>
  </si>
  <si>
    <t>Названия строк</t>
  </si>
  <si>
    <t>Среднее по полю Расстояние до метро</t>
  </si>
  <si>
    <t>Среднее по полю Расстояние до центра МО</t>
  </si>
  <si>
    <t>Среднее по полю Расстояние до остановки общественного транспорта</t>
  </si>
  <si>
    <t>Среднее по полю Расстояние до дороги</t>
  </si>
  <si>
    <t>Линейная регрессия</t>
  </si>
  <si>
    <t>метро</t>
  </si>
  <si>
    <t>Компаундln_ = 9,57779229*0,98667563^#Перем_16</t>
  </si>
  <si>
    <t>Параметры модели:</t>
  </si>
  <si>
    <t>остановки</t>
  </si>
  <si>
    <t>Перем_27 = 9,30579950*0,99085691^#Перем_17</t>
  </si>
  <si>
    <t>-2,6768265015+0,6877377564*#Степеннаяln+0,0464674726*#Компаундln_+0,0480178513*#Перем_27+0,1704232904*#Перем_28+0,3182232965*#Прямая_линия+1,0000000000*#Перем_35+1,0000000000*#Перем_36+1,0000000000*#Перем_37+1,0000000000*#Перем_38+1,0000000000*#Перем_39</t>
  </si>
  <si>
    <t>дороги</t>
  </si>
  <si>
    <t>Перем_28 = 9,23088404*0,99320482^#Перем_18</t>
  </si>
  <si>
    <t>Параметр:</t>
  </si>
  <si>
    <t>Значение:</t>
  </si>
  <si>
    <t>центр екб</t>
  </si>
  <si>
    <t>Прямая_линия = 9,93943263-0,30296633*#Перем_19</t>
  </si>
  <si>
    <t>Кол-во случаев:</t>
  </si>
  <si>
    <t>Коэффициент множественной корреляции R:</t>
  </si>
  <si>
    <t>Коэффициент детерминации R-квадрат:</t>
  </si>
  <si>
    <t>Уточненный R-квадрат:</t>
  </si>
  <si>
    <t>СреднееY(ln оспорен уд.показ.):</t>
  </si>
  <si>
    <t>базовое значение</t>
  </si>
  <si>
    <t>Стандартная ошибка:</t>
  </si>
  <si>
    <t>минимум</t>
  </si>
  <si>
    <t>Средняя ошибка аппроксимации(%):</t>
  </si>
  <si>
    <t>максимум</t>
  </si>
  <si>
    <t>Средняя ошибка аппроксимации (ln)(%):</t>
  </si>
  <si>
    <t>расчетное значение</t>
  </si>
  <si>
    <t>Дисперсионный анализ:</t>
  </si>
  <si>
    <t>Регрессия:</t>
  </si>
  <si>
    <t>Остаток:</t>
  </si>
  <si>
    <t>Общая:</t>
  </si>
  <si>
    <t>Сумма квадратов:</t>
  </si>
  <si>
    <t>Число степеней свободы:</t>
  </si>
  <si>
    <t>на 1 степень:</t>
  </si>
  <si>
    <t>Отсутствие электроснабжения</t>
  </si>
  <si>
    <t>F критерий Фишера:</t>
  </si>
  <si>
    <t>Электричество</t>
  </si>
  <si>
    <t>Канализация</t>
  </si>
  <si>
    <t>Уторгование</t>
  </si>
  <si>
    <t>УПКС с учетом уторгования, руб/м2</t>
  </si>
  <si>
    <t>КС, руб.</t>
  </si>
  <si>
    <t>Вероятность ошибки (значимость):</t>
  </si>
  <si>
    <t>Таблица коэффициентов:</t>
  </si>
  <si>
    <t>Переменная:</t>
  </si>
  <si>
    <t>Коэффициент b:</t>
  </si>
  <si>
    <t>Ошибка b:</t>
  </si>
  <si>
    <t>Beta:</t>
  </si>
  <si>
    <t>t-Стьюдента:</t>
  </si>
  <si>
    <t>Значимость:</t>
  </si>
  <si>
    <t>Степенная(ln_площадь)</t>
  </si>
  <si>
    <t>Компаунд(ln_метро)</t>
  </si>
  <si>
    <t>Компаунд(ln_до остановок)</t>
  </si>
  <si>
    <t>Компаунд(ln_до дорог)</t>
  </si>
  <si>
    <t>Прямая линия(ln_до центра)</t>
  </si>
  <si>
    <t>Сегмент(Альтернативная)</t>
  </si>
  <si>
    <t>Электроснабжение(Альтернативная)</t>
  </si>
  <si>
    <t>Водоотведение(Альтернативная)</t>
  </si>
  <si>
    <t>Теплоснабжение(Альтернативная)</t>
  </si>
  <si>
    <t>Ценовой пояс(Альтернативная)</t>
  </si>
  <si>
    <t>Исходные переменные</t>
  </si>
  <si>
    <t>Наименование вида использования</t>
  </si>
  <si>
    <t>Код вида разрешенного использования (в соответствии с классификатором видов разрешенного использования земельных участков)</t>
  </si>
  <si>
    <t>Код сегмента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</si>
  <si>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</si>
  <si>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5.1</t>
  </si>
  <si>
    <t>05:012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</si>
  <si>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</si>
  <si>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5.2</t>
  </si>
  <si>
    <t>05:020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</si>
  <si>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</si>
  <si>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05:021</t>
  </si>
  <si>
    <t>Поля для гольфа или конных прогулок. Размещение конноспортивных манежей, не предусматривающих устройство трибун</t>
  </si>
  <si>
    <t>5.5</t>
  </si>
  <si>
    <t>05:051</t>
  </si>
  <si>
    <t>Развлечения. Размещение ОКС, предназначенных для размещения ипподромов</t>
  </si>
  <si>
    <t>4.8</t>
  </si>
  <si>
    <t>04:083</t>
  </si>
  <si>
    <t>Ярмарки, торговые выставки на открытых площадках</t>
  </si>
  <si>
    <t>4.96</t>
  </si>
  <si>
    <t>04:996</t>
  </si>
  <si>
    <t>Рекламные щиты/рекламные растяжки/рекламные конструкции</t>
  </si>
  <si>
    <t>4.97</t>
  </si>
  <si>
    <t>04:997</t>
  </si>
  <si>
    <t>Киоски/Ларьки/Торговые павильоны/Прицепы и Трейлеры торговые/торгово-остановочные комплексы</t>
  </si>
  <si>
    <t>4.98</t>
  </si>
  <si>
    <t>04:998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</si>
  <si>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</si>
  <si>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5.4</t>
  </si>
  <si>
    <t>05:040</t>
  </si>
  <si>
    <t>6. СЕГМЕНТ "Производственная деятельность"</t>
  </si>
  <si>
    <t>Недропользование. Осуществление геологических изысканий, добыча недр открытым (карьеры, отвалы) способом</t>
  </si>
  <si>
    <t>6.1</t>
  </si>
  <si>
    <t>06:010</t>
  </si>
  <si>
    <t>Недропользование. Осуществление геологических изысканий, добыча недр закрытым (шахты, скважины) способом</t>
  </si>
  <si>
    <t>06:011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</si>
  <si>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</si>
  <si>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6.8</t>
  </si>
  <si>
    <t>06:080</t>
  </si>
  <si>
    <t>Железнодорожный транспорт. Размещение железнодорожных путей</t>
  </si>
  <si>
    <t>7.1</t>
  </si>
  <si>
    <t>07:010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</si>
  <si>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</si>
  <si>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07:015</t>
  </si>
  <si>
    <t>Автомобильный транспорт. Размещение автомобильных дорог и технически связанных с ними сооружений</t>
  </si>
  <si>
    <t>7.2</t>
  </si>
  <si>
    <t>07:020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</si>
  <si>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</si>
  <si>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12.0</t>
  </si>
  <si>
    <t>12:001</t>
  </si>
  <si>
    <t>Обслуживание автотранспорта. Размещение открытых площадок, предназначенных для хранения автотранспорта</t>
  </si>
  <si>
    <t>4.9</t>
  </si>
  <si>
    <t>04:091</t>
  </si>
  <si>
    <t>7. СЕГМЕНТ "Транспорт"</t>
  </si>
  <si>
    <t>Автомобильный транспорт. Под оборудование для открытых стоянок автомобильного транспорта</t>
  </si>
  <si>
    <t>07:023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</si>
  <si>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</si>
  <si>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3.1</t>
  </si>
  <si>
    <t>03:011</t>
  </si>
  <si>
    <t>66:41:0000000:316</t>
  </si>
  <si>
    <t>66:41:0301001:14</t>
  </si>
  <si>
    <t>66:41:0704045:17</t>
  </si>
  <si>
    <t>66:41:0206018:7</t>
  </si>
  <si>
    <t>66:41:0106155:3</t>
  </si>
  <si>
    <t>66:41:0503014:73</t>
  </si>
  <si>
    <t>66:41:0000000:347</t>
  </si>
  <si>
    <t>66:41:0603016:9</t>
  </si>
  <si>
    <t>66:41:0109051:5</t>
  </si>
  <si>
    <t>66:41:0504096:20</t>
  </si>
  <si>
    <t>66:41:0000000:662</t>
  </si>
  <si>
    <t>66:41:0301016:4</t>
  </si>
  <si>
    <t>66:41:0000000:697</t>
  </si>
  <si>
    <t>66:41:0303161:1178</t>
  </si>
  <si>
    <t>66:41:0306004:9</t>
  </si>
  <si>
    <t>66:41:0511003:16</t>
  </si>
  <si>
    <t>66:41:0303161:1177</t>
  </si>
  <si>
    <t>66:41:0302027:7</t>
  </si>
  <si>
    <t>66:41:0204026:8</t>
  </si>
  <si>
    <t>66:41:0110143:34</t>
  </si>
  <si>
    <t>66:41:0205015:23</t>
  </si>
  <si>
    <t>66:41:0602008:25</t>
  </si>
  <si>
    <t>66:41:0204026:5</t>
  </si>
  <si>
    <t>66:41:0205007:24</t>
  </si>
  <si>
    <t>66:41:0703002:19</t>
  </si>
  <si>
    <t>66:41:0603012:10</t>
  </si>
  <si>
    <t>66:41:0703002:4</t>
  </si>
  <si>
    <t>66:41:0704006:92</t>
  </si>
  <si>
    <t>66:41:0304008:51</t>
  </si>
  <si>
    <t>66:41:0704015:20</t>
  </si>
  <si>
    <t>66:41:0501072:39</t>
  </si>
  <si>
    <t>66:41:0501072:1464</t>
  </si>
  <si>
    <t>66:41:0603012:12</t>
  </si>
  <si>
    <t>66:41:0402018:22</t>
  </si>
  <si>
    <t>66:41:0304030:44</t>
  </si>
  <si>
    <t>66:41:0704005:6</t>
  </si>
  <si>
    <t>66:41:0304011:920</t>
  </si>
  <si>
    <t>66:41:0704024:6</t>
  </si>
  <si>
    <t>66:41:0703002:22</t>
  </si>
  <si>
    <t>66:41:0206006:12</t>
  </si>
  <si>
    <t>66:41:0401047:30</t>
  </si>
  <si>
    <t>66:41:0601039:41</t>
  </si>
  <si>
    <t>66:41:0601021:11</t>
  </si>
  <si>
    <t>66:41:0601024:2</t>
  </si>
  <si>
    <t>66:41:0206014:46</t>
  </si>
  <si>
    <t>66:41:0401042:11</t>
  </si>
  <si>
    <t>66:41:0401039:6</t>
  </si>
  <si>
    <t>66:41:0601014:88</t>
  </si>
  <si>
    <t>66:41:0401035:20</t>
  </si>
  <si>
    <t>66:41:0401008:11</t>
  </si>
  <si>
    <t>66:41:0701028:7</t>
  </si>
  <si>
    <t>66:41:0401015:62</t>
  </si>
  <si>
    <t>66:41:0401019:12</t>
  </si>
  <si>
    <t>66:41:0401017:14</t>
  </si>
  <si>
    <t>66:41:0401019:37</t>
  </si>
  <si>
    <t>66:41:0401015:13</t>
  </si>
  <si>
    <t>66:41:0401029:12</t>
  </si>
  <si>
    <t>66:41:0301014:7</t>
  </si>
  <si>
    <t>66:41:0401020:73</t>
  </si>
  <si>
    <t>66:41:0401020:50</t>
  </si>
  <si>
    <t>66:41:0704006:3</t>
  </si>
  <si>
    <t>66:41:0401021:54</t>
  </si>
  <si>
    <t>66:41:0601015:10</t>
  </si>
  <si>
    <t>66:41:0301013:15</t>
  </si>
  <si>
    <t>66:41:0601034:2</t>
  </si>
  <si>
    <t>66:41:0401011:17</t>
  </si>
  <si>
    <t>66:41:0601015:8</t>
  </si>
  <si>
    <t>66:41:0501064:417</t>
  </si>
  <si>
    <t>66:41:0704021:11</t>
  </si>
  <si>
    <t>66:41:0110019:248</t>
  </si>
  <si>
    <t>66:41:0601023:12</t>
  </si>
  <si>
    <t>66:41:0601007:1</t>
  </si>
  <si>
    <t>66:41:0302034:48</t>
  </si>
  <si>
    <t>66:41:0402010:20</t>
  </si>
  <si>
    <t>66:41:0704037:2837</t>
  </si>
  <si>
    <t>66:41:0401018:18</t>
  </si>
  <si>
    <t>66:41:0401034:2091</t>
  </si>
  <si>
    <t>66:41:0701018:1</t>
  </si>
  <si>
    <t>66:41:0401055:66</t>
  </si>
  <si>
    <t>66:41:0704028:50</t>
  </si>
  <si>
    <t>66:41:0401017:17</t>
  </si>
  <si>
    <t>66:41:0401017:12</t>
  </si>
  <si>
    <t>66:41:0601056:85</t>
  </si>
  <si>
    <t>66:41:0403002:101</t>
  </si>
  <si>
    <t>66:41:0601037:3</t>
  </si>
  <si>
    <t>66:41:0601001:48</t>
  </si>
  <si>
    <t>66:41:0601001:16</t>
  </si>
  <si>
    <t>66:41:0703002:12</t>
  </si>
  <si>
    <t>66:41:0401018:13</t>
  </si>
  <si>
    <t>66:41:0701013:21</t>
  </si>
  <si>
    <t>66:41:0601001:49</t>
  </si>
  <si>
    <t>66:41:0401030:4</t>
  </si>
  <si>
    <t>66:41:0401053:14</t>
  </si>
  <si>
    <t>66:41:0401053:154</t>
  </si>
  <si>
    <t>66:41:0000000:508</t>
  </si>
  <si>
    <t>66:41:0401029:23</t>
  </si>
  <si>
    <t>66:41:0601005:54</t>
  </si>
  <si>
    <t>66:41:0401021:9</t>
  </si>
  <si>
    <t>66:41:0401021:64</t>
  </si>
  <si>
    <t>66:41:0303095:19</t>
  </si>
  <si>
    <t>66:41:0601021:17</t>
  </si>
  <si>
    <t>66:41:0110025:490</t>
  </si>
  <si>
    <t>66:41:0110025:489</t>
  </si>
  <si>
    <t>66:41:0401003:21</t>
  </si>
  <si>
    <t>66:41:0604003:7</t>
  </si>
  <si>
    <t>66:41:0604003:70</t>
  </si>
  <si>
    <t>66:41:0401016:5</t>
  </si>
  <si>
    <t>66:41:0301014:8</t>
  </si>
  <si>
    <t>66:41:0000000:824</t>
  </si>
  <si>
    <t>66:41:0304032:14</t>
  </si>
  <si>
    <t>66:41:0304012:4</t>
  </si>
  <si>
    <t>66:41:0304012:3531</t>
  </si>
  <si>
    <t>66:41:0701009:14</t>
  </si>
  <si>
    <t>66:41:0204018:22</t>
  </si>
  <si>
    <t>66:41:0303072:64</t>
  </si>
  <si>
    <t>66:41:0303043:59</t>
  </si>
  <si>
    <t>66:41:0603012:35</t>
  </si>
  <si>
    <t>66:41:0000000:554</t>
  </si>
  <si>
    <t>66:41:0601026:26</t>
  </si>
  <si>
    <t>66:41:0601032:7</t>
  </si>
  <si>
    <t>66:41:0402008:8</t>
  </si>
  <si>
    <t>66:41:0401017:25</t>
  </si>
  <si>
    <t>66:41:0401011:5</t>
  </si>
  <si>
    <t>66:41:0108001:38</t>
  </si>
  <si>
    <t>66:41:0000000:320</t>
  </si>
  <si>
    <t>66:41:0106091:17</t>
  </si>
  <si>
    <t>66:41:0313010:415</t>
  </si>
  <si>
    <t>66:41:0108014:1214</t>
  </si>
  <si>
    <t>66:41:0106133:30</t>
  </si>
  <si>
    <t>66:41:0205011:396</t>
  </si>
  <si>
    <t>66:41:0606001:33</t>
  </si>
  <si>
    <t>66:41:0604030:40</t>
  </si>
  <si>
    <t>66:41:0303161:1471</t>
  </si>
  <si>
    <t>66:41:0302024:30</t>
  </si>
  <si>
    <t>66:41:0702072:80</t>
  </si>
  <si>
    <t>66:41:0000000:648</t>
  </si>
  <si>
    <t>66:41:0601048:12</t>
  </si>
  <si>
    <t>66:41:0106115:50</t>
  </si>
  <si>
    <t>66:41:0108001:25</t>
  </si>
  <si>
    <t>66:41:0601030:34</t>
  </si>
  <si>
    <t>66:41:0108126:56</t>
  </si>
  <si>
    <t>66:41:0000000:338</t>
  </si>
  <si>
    <t>66:41:0606001:4</t>
  </si>
  <si>
    <t>66:41:0000000:146</t>
  </si>
  <si>
    <t>66:41:0108001:40</t>
  </si>
  <si>
    <t>66:41:0601027:6</t>
  </si>
  <si>
    <t>66:41:0601027:3</t>
  </si>
  <si>
    <t>66:41:0601017:5</t>
  </si>
  <si>
    <t>66:41:0106105:22</t>
  </si>
  <si>
    <t>66:41:0603019:17</t>
  </si>
  <si>
    <t>66:41:0701022:484</t>
  </si>
  <si>
    <t>66:41:0701022:477</t>
  </si>
  <si>
    <t>66:41:0401020:67</t>
  </si>
  <si>
    <t>66:41:0301004:169</t>
  </si>
  <si>
    <t>66:41:0304032:24</t>
  </si>
  <si>
    <t>66:41:0304032:23</t>
  </si>
  <si>
    <t>66:41:0301004:3</t>
  </si>
  <si>
    <t>66:41:0401020:10</t>
  </si>
  <si>
    <t>66:41:0707011:12</t>
  </si>
  <si>
    <t>66:41:0701005:7</t>
  </si>
  <si>
    <t>66:41:0701013:2</t>
  </si>
  <si>
    <t>66:41:0401016:20</t>
  </si>
  <si>
    <t>66:41:0706001:128</t>
  </si>
  <si>
    <t>66:41:0303043:1485</t>
  </si>
  <si>
    <t>66:41:0303043:86</t>
  </si>
  <si>
    <t>66:41:0403077:8</t>
  </si>
  <si>
    <t>66:41:0000000:643</t>
  </si>
  <si>
    <t>66:41:0204005:76</t>
  </si>
  <si>
    <t>66:41:0204005:70</t>
  </si>
  <si>
    <t>66:41:0401039:19</t>
  </si>
  <si>
    <t>66:41:0205008:150</t>
  </si>
  <si>
    <t>66:41:0205008:151</t>
  </si>
  <si>
    <t>66:41:0401020:55</t>
  </si>
  <si>
    <t>66:41:0401040:13</t>
  </si>
  <si>
    <t>66:41:0401039:28</t>
  </si>
  <si>
    <t>66:41:0704002:44</t>
  </si>
  <si>
    <t>66:41:0704002:45</t>
  </si>
  <si>
    <t>66:41:0206016:34</t>
  </si>
  <si>
    <t>66:41:0601021:15</t>
  </si>
  <si>
    <t>66:41:0401038:13</t>
  </si>
  <si>
    <t>66:41:0706001:127</t>
  </si>
  <si>
    <t>66:41:0106091:3</t>
  </si>
  <si>
    <t>66:41:0703008:14</t>
  </si>
  <si>
    <t>66:41:0703008:78</t>
  </si>
  <si>
    <t>66:41:0401021:4</t>
  </si>
  <si>
    <t>66:41:0702034:14</t>
  </si>
  <si>
    <t>66:41:0601005:86</t>
  </si>
  <si>
    <t>66:41:0503019:8</t>
  </si>
  <si>
    <t>66:41:0610004:22</t>
  </si>
  <si>
    <t>66:41:0304027:8</t>
  </si>
  <si>
    <t>66:41:0401033:16</t>
  </si>
  <si>
    <t>66:41:0401033:21</t>
  </si>
  <si>
    <t>66:41:0401033:18</t>
  </si>
  <si>
    <t>66:41:0304026:104</t>
  </si>
  <si>
    <t>66:41:0502060:2</t>
  </si>
  <si>
    <t>66:41:0304003:10</t>
  </si>
  <si>
    <t>66:41:0304003:5</t>
  </si>
  <si>
    <t>66:41:0401035:45</t>
  </si>
  <si>
    <t>66:41:0401035:9</t>
  </si>
  <si>
    <t>66:41:0401035:812</t>
  </si>
  <si>
    <t>66:41:0401035:813</t>
  </si>
  <si>
    <t>66:41:0000000:124</t>
  </si>
  <si>
    <t>66:41:0001001:403</t>
  </si>
  <si>
    <t>66:41:0501005:16</t>
  </si>
  <si>
    <t>66:41:0702017:8</t>
  </si>
  <si>
    <t>66:41:0304032:29</t>
  </si>
  <si>
    <t>66:41:0304032:40</t>
  </si>
  <si>
    <t>66:41:0304032:32</t>
  </si>
  <si>
    <t>66:41:0304032:33</t>
  </si>
  <si>
    <t>66:41:0000000:402</t>
  </si>
  <si>
    <t>66:41:0401031:294</t>
  </si>
  <si>
    <t>66:41:0706001:126</t>
  </si>
  <si>
    <t>66:41:0603001:27</t>
  </si>
  <si>
    <t>66:41:0511021:3280</t>
  </si>
  <si>
    <t>66:41:0304028:8</t>
  </si>
  <si>
    <t>66:41:0401901:11</t>
  </si>
  <si>
    <t>66:41:0106045:50</t>
  </si>
  <si>
    <t>66:41:0000000:226</t>
  </si>
  <si>
    <t>66:41:0302015:26</t>
  </si>
  <si>
    <t>66:41:0702078:8</t>
  </si>
  <si>
    <t>66:41:0402030:21</t>
  </si>
  <si>
    <t>66:41:0108009:37</t>
  </si>
  <si>
    <t>66:41:0000000:591</t>
  </si>
  <si>
    <t>66:41:0401020:1388</t>
  </si>
  <si>
    <t>66:41:0401043:9</t>
  </si>
  <si>
    <t>66:41:0401043:38</t>
  </si>
  <si>
    <t>66:41:0603001:2</t>
  </si>
  <si>
    <t>66:41:0603001:33</t>
  </si>
  <si>
    <t>66:41:0706001:84</t>
  </si>
  <si>
    <t>66:41:0401017:9</t>
  </si>
  <si>
    <t>66:41:0501010:9</t>
  </si>
  <si>
    <t>66:41:0301015:9</t>
  </si>
  <si>
    <t>66:41:0106034:23</t>
  </si>
  <si>
    <t>66:41:0705001:2140</t>
  </si>
  <si>
    <t>66:41:0404008:1</t>
  </si>
  <si>
    <t>66:41:0108079:11</t>
  </si>
  <si>
    <t>66:41:0404012:4</t>
  </si>
  <si>
    <t>66:41:0501008:2</t>
  </si>
  <si>
    <t>66:41:0000000:1213</t>
  </si>
  <si>
    <t>66:41:0402019:20</t>
  </si>
  <si>
    <t>66:41:0304006:2749</t>
  </si>
  <si>
    <t>66:41:0000000:535</t>
  </si>
  <si>
    <t>66:41:0702034:124</t>
  </si>
  <si>
    <t>66:41:0000000:1003</t>
  </si>
  <si>
    <t>66:41:0401027:61</t>
  </si>
  <si>
    <t>66:41:0401027:68</t>
  </si>
  <si>
    <t>66:41:0401027:56</t>
  </si>
  <si>
    <t>66:41:0206004:48</t>
  </si>
  <si>
    <t>66:41:0306055:28</t>
  </si>
  <si>
    <t>66:41:0204021:2</t>
  </si>
  <si>
    <t>66:41:0106105:24</t>
  </si>
  <si>
    <t>66:41:0709013:19</t>
  </si>
  <si>
    <t>66:41:0204034:3</t>
  </si>
  <si>
    <t>66:41:0304027:129</t>
  </si>
  <si>
    <t>66:41:0401004:23</t>
  </si>
  <si>
    <t>66:41:0204033:62</t>
  </si>
  <si>
    <t>66:41:0401010:1</t>
  </si>
  <si>
    <t>66:41:0206001:18</t>
  </si>
  <si>
    <t>66:41:0206004:24</t>
  </si>
  <si>
    <t>66:41:0403901:52</t>
  </si>
  <si>
    <t>Наличие/отсутствие коммуникаций по допущению</t>
  </si>
  <si>
    <t>Разрешенное использование участка Вид разрешенного использования по классификатору</t>
  </si>
  <si>
    <t>05:010</t>
  </si>
  <si>
    <t>03:030</t>
  </si>
  <si>
    <t>03:021</t>
  </si>
  <si>
    <t>04:999</t>
  </si>
  <si>
    <t>03:070</t>
  </si>
  <si>
    <t>09:030</t>
  </si>
  <si>
    <t>03:062</t>
  </si>
  <si>
    <t>03:061</t>
  </si>
  <si>
    <t>04:050</t>
  </si>
  <si>
    <t>08:030</t>
  </si>
  <si>
    <t>03:052</t>
  </si>
  <si>
    <t>03:071</t>
  </si>
  <si>
    <t>03:091</t>
  </si>
  <si>
    <t>04:030</t>
  </si>
  <si>
    <t>03:090</t>
  </si>
  <si>
    <t>03:092</t>
  </si>
  <si>
    <t>04:080</t>
  </si>
  <si>
    <t>03:042</t>
  </si>
  <si>
    <t>03:010</t>
  </si>
  <si>
    <t>04:100</t>
  </si>
  <si>
    <t>03:032</t>
  </si>
  <si>
    <t>03:031</t>
  </si>
  <si>
    <t>03:023</t>
  </si>
  <si>
    <t>03:073</t>
  </si>
  <si>
    <t>05:011</t>
  </si>
  <si>
    <t>03:101</t>
  </si>
  <si>
    <t>07:021</t>
  </si>
  <si>
    <t>03:033</t>
  </si>
  <si>
    <t>04:082</t>
  </si>
  <si>
    <t>03:100</t>
  </si>
  <si>
    <t>08:041</t>
  </si>
  <si>
    <t>03:013</t>
  </si>
  <si>
    <t>03:020</t>
  </si>
  <si>
    <t>02:017</t>
  </si>
  <si>
    <t>03:034</t>
  </si>
  <si>
    <t>03:035</t>
  </si>
  <si>
    <t>03:022</t>
  </si>
  <si>
    <t>ОБЯЗАТЕЛЬНАЯ ПРОВЕРКА</t>
  </si>
  <si>
    <t>Объекты МУГИСО</t>
  </si>
  <si>
    <t>Файл</t>
  </si>
  <si>
    <t>Модель</t>
  </si>
  <si>
    <t>Дата</t>
  </si>
  <si>
    <t>Ответственный</t>
  </si>
  <si>
    <t>ОПИСАНИЕ КС</t>
  </si>
  <si>
    <t>ДАННЫЕ ДЛЯ ЗАГРУЗКИ В БАЗУ</t>
  </si>
  <si>
    <t>Дата комиссии</t>
  </si>
  <si>
    <t>Решение комиссии</t>
  </si>
  <si>
    <t>Группа xml</t>
  </si>
  <si>
    <t>loc_VICode</t>
  </si>
  <si>
    <t>Segment</t>
  </si>
  <si>
    <t>DistanceToRoad</t>
  </si>
  <si>
    <t>DistanceToCMO</t>
  </si>
  <si>
    <t>PresenceHeating</t>
  </si>
  <si>
    <t>PresencePower</t>
  </si>
  <si>
    <t>PresenceWaterDisposal</t>
  </si>
  <si>
    <t>DistanceToMetro</t>
  </si>
  <si>
    <t>DistanceToStationEKB</t>
  </si>
  <si>
    <t>CostZone</t>
  </si>
  <si>
    <t>Статус расчета</t>
  </si>
  <si>
    <t>НЕ Используется</t>
  </si>
  <si>
    <t>Флаг ВРИ по документу</t>
  </si>
  <si>
    <t>Флаг Местоположения (координат)</t>
  </si>
  <si>
    <t>Флаг площади</t>
  </si>
  <si>
    <t>Флаг ВРИ старый спр</t>
  </si>
  <si>
    <t>Флаг ВРИ новый спр</t>
  </si>
  <si>
    <t>Флаг Категории ЗУ</t>
  </si>
  <si>
    <t>Старый код НП</t>
  </si>
  <si>
    <t>Флаг переопределения ФРИ</t>
  </si>
  <si>
    <t>ВРИ по правилам</t>
  </si>
  <si>
    <t>Правило</t>
  </si>
  <si>
    <t>Новоя модель</t>
  </si>
  <si>
    <t>Status_kc</t>
  </si>
  <si>
    <t>Flag_LocalityCode</t>
  </si>
  <si>
    <t>Flag_VRI</t>
  </si>
  <si>
    <t>Flag_Location</t>
  </si>
  <si>
    <t>FlagParam</t>
  </si>
  <si>
    <t>Flag_VRIoldspr</t>
  </si>
  <si>
    <t>Flag_VRInewspr</t>
  </si>
  <si>
    <t>Flag_Category</t>
  </si>
  <si>
    <t>OldLocalityCode</t>
  </si>
  <si>
    <t>Flag_VRI_All</t>
  </si>
  <si>
    <t>VRICode_NEW</t>
  </si>
  <si>
    <t>PraviloVRI</t>
  </si>
  <si>
    <t>New_id_group</t>
  </si>
  <si>
    <t>Новый сегмент</t>
  </si>
  <si>
    <t>01:010</t>
  </si>
  <si>
    <t>1. СЕГМЕНТ "Сельскохозяйственное использование"</t>
  </si>
  <si>
    <t>01:020</t>
  </si>
  <si>
    <t>01:030</t>
  </si>
  <si>
    <t>01:031</t>
  </si>
  <si>
    <t>01:032</t>
  </si>
  <si>
    <t>01:040</t>
  </si>
  <si>
    <t>01:041</t>
  </si>
  <si>
    <t>01:042</t>
  </si>
  <si>
    <t>01:050</t>
  </si>
  <si>
    <t>01:051</t>
  </si>
  <si>
    <t>01:052</t>
  </si>
  <si>
    <t>01:053</t>
  </si>
  <si>
    <t>01:054</t>
  </si>
  <si>
    <t>01:060</t>
  </si>
  <si>
    <t>01:070</t>
  </si>
  <si>
    <t>01:080</t>
  </si>
  <si>
    <t>01:081</t>
  </si>
  <si>
    <t>01:082</t>
  </si>
  <si>
    <t>01:083</t>
  </si>
  <si>
    <t>01:084</t>
  </si>
  <si>
    <t>01:085</t>
  </si>
  <si>
    <t>01:086</t>
  </si>
  <si>
    <t>01:120</t>
  </si>
  <si>
    <t>01:121</t>
  </si>
  <si>
    <t>01:130</t>
  </si>
  <si>
    <t>01:131</t>
  </si>
  <si>
    <t>01:140</t>
  </si>
  <si>
    <t>01:141</t>
  </si>
  <si>
    <t>01:142</t>
  </si>
  <si>
    <t>01:160</t>
  </si>
  <si>
    <t>01:161</t>
  </si>
  <si>
    <t>01:170</t>
  </si>
  <si>
    <t>01:171</t>
  </si>
  <si>
    <t>02:012</t>
  </si>
  <si>
    <t>02:015</t>
  </si>
  <si>
    <t>02:022</t>
  </si>
  <si>
    <t>02:033</t>
  </si>
  <si>
    <t>13:010</t>
  </si>
  <si>
    <t>01:997</t>
  </si>
  <si>
    <t>01:998</t>
  </si>
  <si>
    <t>01:999</t>
  </si>
  <si>
    <t>02:000</t>
  </si>
  <si>
    <t>2. СЕГМЕНТ "Жилая застройка (среднеэтажная и многоэтажная)"</t>
  </si>
  <si>
    <t>02:050</t>
  </si>
  <si>
    <t>02:051</t>
  </si>
  <si>
    <t>02:060</t>
  </si>
  <si>
    <t>02:061</t>
  </si>
  <si>
    <t>02:999</t>
  </si>
  <si>
    <t>01:143</t>
  </si>
  <si>
    <t>03:065</t>
  </si>
  <si>
    <t>03:072</t>
  </si>
  <si>
    <t>03:082</t>
  </si>
  <si>
    <t>03:083</t>
  </si>
  <si>
    <t>03:102</t>
  </si>
  <si>
    <t>03:103</t>
  </si>
  <si>
    <t>03:104</t>
  </si>
  <si>
    <t>07:022</t>
  </si>
  <si>
    <t>01:183</t>
  </si>
  <si>
    <t>02:053</t>
  </si>
  <si>
    <t>02:063</t>
  </si>
  <si>
    <t>03:063</t>
  </si>
  <si>
    <t>03:064</t>
  </si>
  <si>
    <t>04:081</t>
  </si>
  <si>
    <t>04:084</t>
  </si>
  <si>
    <t>05:013</t>
  </si>
  <si>
    <t>05:050</t>
  </si>
  <si>
    <t>08:021</t>
  </si>
  <si>
    <t>02:040</t>
  </si>
  <si>
    <t>5. СЕГМЕНТ "Отдых (рекреация)"</t>
  </si>
  <si>
    <t>04:070</t>
  </si>
  <si>
    <t>04:097</t>
  </si>
  <si>
    <t>05:014</t>
  </si>
  <si>
    <t>05:022</t>
  </si>
  <si>
    <t>05:030</t>
  </si>
  <si>
    <t>08:040</t>
  </si>
  <si>
    <t>09:021</t>
  </si>
  <si>
    <t>09:023</t>
  </si>
  <si>
    <t>05:999</t>
  </si>
  <si>
    <t>01:087</t>
  </si>
  <si>
    <t>01:088</t>
  </si>
  <si>
    <t>01:090</t>
  </si>
  <si>
    <t>01:091</t>
  </si>
  <si>
    <t>01:092</t>
  </si>
  <si>
    <t>01:100</t>
  </si>
  <si>
    <t>01:101</t>
  </si>
  <si>
    <t>01:102</t>
  </si>
  <si>
    <t>01:110</t>
  </si>
  <si>
    <t>01:111</t>
  </si>
  <si>
    <t>01:112</t>
  </si>
  <si>
    <t>01:122</t>
  </si>
  <si>
    <t>01:132</t>
  </si>
  <si>
    <t>01:150</t>
  </si>
  <si>
    <t>01:172</t>
  </si>
  <si>
    <t>01:180</t>
  </si>
  <si>
    <t>01:181</t>
  </si>
  <si>
    <t>01:182</t>
  </si>
  <si>
    <t>03:012</t>
  </si>
  <si>
    <t>03:093</t>
  </si>
  <si>
    <t>04:095</t>
  </si>
  <si>
    <t>04:098</t>
  </si>
  <si>
    <t>04:099</t>
  </si>
  <si>
    <t>06:012</t>
  </si>
  <si>
    <t>06:013</t>
  </si>
  <si>
    <t>06:014</t>
  </si>
  <si>
    <t>06:020</t>
  </si>
  <si>
    <t>06:021</t>
  </si>
  <si>
    <t>06:030</t>
  </si>
  <si>
    <t>06:031</t>
  </si>
  <si>
    <t>06:040</t>
  </si>
  <si>
    <t>06:050</t>
  </si>
  <si>
    <t>06:060</t>
  </si>
  <si>
    <t>06:070</t>
  </si>
  <si>
    <t>06:071</t>
  </si>
  <si>
    <t>06:072</t>
  </si>
  <si>
    <t>06:073</t>
  </si>
  <si>
    <t>06:074</t>
  </si>
  <si>
    <t>06:090</t>
  </si>
  <si>
    <t>06:091</t>
  </si>
  <si>
    <t>06:092</t>
  </si>
  <si>
    <t>06:093</t>
  </si>
  <si>
    <t>06:100</t>
  </si>
  <si>
    <t>06:101</t>
  </si>
  <si>
    <t>06:110</t>
  </si>
  <si>
    <t>06:111</t>
  </si>
  <si>
    <t>07:011</t>
  </si>
  <si>
    <t>07:012</t>
  </si>
  <si>
    <t>07:013</t>
  </si>
  <si>
    <t>07:014</t>
  </si>
  <si>
    <t>07:030</t>
  </si>
  <si>
    <t>07:031</t>
  </si>
  <si>
    <t>07:032</t>
  </si>
  <si>
    <t>07:040</t>
  </si>
  <si>
    <t>07:041</t>
  </si>
  <si>
    <t>07:042</t>
  </si>
  <si>
    <t>07:050</t>
  </si>
  <si>
    <t>07:051</t>
  </si>
  <si>
    <t>08:010</t>
  </si>
  <si>
    <t>08:012</t>
  </si>
  <si>
    <t>08:013</t>
  </si>
  <si>
    <t>08:031</t>
  </si>
  <si>
    <t>10:011</t>
  </si>
  <si>
    <t>10:012</t>
  </si>
  <si>
    <t>11:030</t>
  </si>
  <si>
    <t>06:998</t>
  </si>
  <si>
    <t>06:999</t>
  </si>
  <si>
    <t>02:071</t>
  </si>
  <si>
    <t>04:021</t>
  </si>
  <si>
    <t>04:031</t>
  </si>
  <si>
    <t>04:090</t>
  </si>
  <si>
    <t>04:092</t>
  </si>
  <si>
    <t>04:093</t>
  </si>
  <si>
    <t>04:094</t>
  </si>
  <si>
    <t>07:024</t>
  </si>
  <si>
    <t>07:999</t>
  </si>
  <si>
    <t>08:020</t>
  </si>
  <si>
    <t>8. СЕГМЕНТ "Обеспечение обороны и безопасности"</t>
  </si>
  <si>
    <t>08:999</t>
  </si>
  <si>
    <t>02:016</t>
  </si>
  <si>
    <t>9. СЕГМЕНТ "Охраняемые природные территории и благоустройство"</t>
  </si>
  <si>
    <t>02:032</t>
  </si>
  <si>
    <t>02:052</t>
  </si>
  <si>
    <t>02:062</t>
  </si>
  <si>
    <t>05:031</t>
  </si>
  <si>
    <t>09:010</t>
  </si>
  <si>
    <t>09:020</t>
  </si>
  <si>
    <t>09:022</t>
  </si>
  <si>
    <t>12:002</t>
  </si>
  <si>
    <t>12:003</t>
  </si>
  <si>
    <t>09:999</t>
  </si>
  <si>
    <t>09:998</t>
  </si>
  <si>
    <t>09:997</t>
  </si>
  <si>
    <t>09:996</t>
  </si>
  <si>
    <t>09:995</t>
  </si>
  <si>
    <t>10:010</t>
  </si>
  <si>
    <t>10. СЕГМЕНТ "Использование лесов"</t>
  </si>
  <si>
    <t>10:020</t>
  </si>
  <si>
    <t>10:030</t>
  </si>
  <si>
    <t>10:040</t>
  </si>
  <si>
    <t>10:999</t>
  </si>
  <si>
    <t>11:010</t>
  </si>
  <si>
    <t>11. СЕГМЕНТ "Водные объекты"</t>
  </si>
  <si>
    <t>11:020</t>
  </si>
  <si>
    <t>11:999</t>
  </si>
  <si>
    <t>08:011</t>
  </si>
  <si>
    <t>12. СЕГМЕНТ "Специальное, ритуальное использование, запас"</t>
  </si>
  <si>
    <t>12:010</t>
  </si>
  <si>
    <t>12:020</t>
  </si>
  <si>
    <t>12:021</t>
  </si>
  <si>
    <t>12:030</t>
  </si>
  <si>
    <t>12:999</t>
  </si>
  <si>
    <t>02:010</t>
  </si>
  <si>
    <t>13. СЕГМЕНТ "Садоводство и огородничество, малоэтажная жилая застройка"</t>
  </si>
  <si>
    <t>02:011</t>
  </si>
  <si>
    <t>02:013</t>
  </si>
  <si>
    <t>02:014</t>
  </si>
  <si>
    <t>02:020</t>
  </si>
  <si>
    <t>02:021</t>
  </si>
  <si>
    <t>02:030</t>
  </si>
  <si>
    <t>02:031</t>
  </si>
  <si>
    <t>13:011</t>
  </si>
  <si>
    <t>13:021</t>
  </si>
  <si>
    <t>13:999</t>
  </si>
  <si>
    <t>13:031</t>
  </si>
  <si>
    <t>02:023</t>
  </si>
  <si>
    <t>02:019</t>
  </si>
  <si>
    <t>13:000</t>
  </si>
  <si>
    <t>14:000</t>
  </si>
  <si>
    <t>14. СЕГМЕНТ "Иное использование"</t>
  </si>
  <si>
    <t>СРАВНЕНИЕ РЕЗУЛЬТАТОВ 16СТ С ДАННЫМИ НА 01012020 В СЛУЧАЕ НАЛИЧИЯ ПРЕДЫДУЩИХ РАСЧЕТОВ НА 01012020</t>
  </si>
  <si>
    <t>ВРИ</t>
  </si>
  <si>
    <t>Графика</t>
  </si>
  <si>
    <t>Ссылки на папки</t>
  </si>
  <si>
    <t>W:\ЦГКО\Отдел массовой оценки\19. 16 Статья\8. Земельные участки</t>
  </si>
  <si>
    <t>Выгружаем рабочую область через "Экспорт…", английские заголовки не нужны</t>
  </si>
  <si>
    <t>Меняем формат вставленных данных в стилях ячеек на обычный</t>
  </si>
  <si>
    <t xml:space="preserve">уточню про стоплист </t>
  </si>
  <si>
    <t>В случае наличия замечаний по объекту заходим в папку замечаний и проверяем корректно ли учтены данные при расчете по статье 16</t>
  </si>
  <si>
    <t>W:\ЦГКО\Отдел по работе с обращениями\Замечания к ПОД-2020\ЗАМЕЧАНИЯ</t>
  </si>
  <si>
    <t>Проверяем колонку "Статус расчета" и изменение КС. Если в колонке "Изменение, руб." значение меньше 1 руб. необходимо проверить расчеты</t>
  </si>
  <si>
    <t>ГОТОВО, отправляем на загрузку в базу</t>
  </si>
  <si>
    <t>Важно: формулы растянуты на 10000 строк, если объектов оценки больше необходимо рассчитать их двумя файлами или растянуть ячейки</t>
  </si>
  <si>
    <t>Ячейки в строках 1-3 выделены цветом для удобства:</t>
  </si>
  <si>
    <t>Ячейки для заполнения</t>
  </si>
  <si>
    <t>Ячейки для анализа</t>
  </si>
  <si>
    <t>Ячейки не требующие редактирования</t>
  </si>
  <si>
    <t>Пошаговая инструкция расчета объектов в рамках статьи 16 для модели №3</t>
  </si>
  <si>
    <t>В рабочей области стоят фильтры - новая модель 8003, статус расчета - не готов. Фильтры не трогаем</t>
  </si>
  <si>
    <t>ИЗМЕНЕНИЕ КС</t>
  </si>
  <si>
    <t>ИЗМЕНЕНИЕ, руб.</t>
  </si>
  <si>
    <t>Копируем объекты построчно без шапки, вставляем в данный файл на лист "объекты оценки". Должны быть заполнены ячейки от A3 до BL3 и ниже</t>
  </si>
  <si>
    <t>Все расчетные формулы работают автоматически, ячейки защищены и не редактируются (колонки BM - CV)</t>
  </si>
  <si>
    <t>Открываем рабочую область модели №3</t>
  </si>
  <si>
    <t>Старый/Новый объект</t>
  </si>
  <si>
    <t>Проверяем колонку "ОБЯЗАТЕЛЬНАЯ ПРОВЕРКА" и "ОСОБЫЙ КОНТРОЛЬ" (AU), в ней отражены наличия замечаний по объекту, обращений по статье 21, оспаривание</t>
  </si>
  <si>
    <t>Заполняем ячейки DJ - DN ТОЛЬКО В ПЕРВОЙ СТРОКЕ. Пишем номер файла который указан в названии файла, номер модели - М3, дата - без точек, например 22012021 (формат ячейки с точками некорректно сцепляется), фамилия исполнителя, наличие графики заполняется автоматически</t>
  </si>
  <si>
    <t>Все коммуникации по допущениям, электричество принимается как "наличие" при отсутствии данных</t>
  </si>
  <si>
    <t>Анализируем колонки CW- DI, в случае, если значение не изменилось ячейка останется не закрашеной. Изменений в рамках расчета по 16 статье у объектов без графики быть не должно, за исключением смены модели, кода ВРИ, значения площади</t>
  </si>
  <si>
    <t>В случае наличия обращений по статье 21 или оспаривания ЗУ или особого контроля в колонке "статус расчета" будет указано СТОПЛИСТ</t>
  </si>
  <si>
    <t>loc_SgCode</t>
  </si>
  <si>
    <t>1.1</t>
  </si>
  <si>
    <t>1.2</t>
  </si>
  <si>
    <t>Мухамедьярова</t>
  </si>
  <si>
    <t>02032021</t>
  </si>
  <si>
    <t>Ф5</t>
  </si>
  <si>
    <t>loc_GroupName</t>
  </si>
  <si>
    <t>Растениеводство в целом. Включает коды расчета вида использования 01.020-01.060</t>
  </si>
  <si>
    <t>Выращивание зерновых, бобовых, кормовых, технических, масличных, эфиромасличных и иных сельскохозяйственных культур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</si>
  <si>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</si>
  <si>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Овощеводство в открытом грунте</t>
  </si>
  <si>
    <t>Овощеводство тепличное</t>
  </si>
  <si>
    <t>Выращивание тонизирующих, лекарственных, цветочных культур в целом</t>
  </si>
  <si>
    <t>Выращивание тонизирующих, лекарственных, цветочных культур. Травы</t>
  </si>
  <si>
    <t>Выращивание тонизирующих, лекарственных, цветочных культур. Кустарники</t>
  </si>
  <si>
    <t>Садоводство в целом - выращивание многолетних плодовых и ягодных культур, винограда и иных многолетних культур</t>
  </si>
  <si>
    <t>Садоводство плодовое</t>
  </si>
  <si>
    <t>Садоводство ягодно-кустарниковое</t>
  </si>
  <si>
    <t>Садоводство виноградники</t>
  </si>
  <si>
    <t>Садоводство ягодники</t>
  </si>
  <si>
    <t>Выращивание льна и конопли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</si>
  <si>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</si>
  <si>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</si>
  <si>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Скотоводство. Сенокошение, выпас, производство кормов, за исключением кодов расчета вида использования 01.082-01.084</t>
  </si>
  <si>
    <t>Скотоводство. Оленеводство</t>
  </si>
  <si>
    <t>Скотоводство. Овцеводство</t>
  </si>
  <si>
    <t>Скотоводство. Коневодство</t>
  </si>
  <si>
    <t>Скотоводство молочное. Выращивание скота для получения молочной продукции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</si>
  <si>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</si>
  <si>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Пчеловодство в целом. Разведение, содержание и использование пчел и иных полезных насекомых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</si>
  <si>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</si>
  <si>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</si>
  <si>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Рыбоводство. Водные объекты, предназначенные для рыбоводства</t>
  </si>
  <si>
    <t>Научное обеспечение сельского хозяйства в целом</t>
  </si>
  <si>
    <t>Научное обеспечение сельского хозяйства. Растениеводство. Выращивание опытных образцов</t>
  </si>
  <si>
    <t>Научное обеспечение сельского хозяйства. Животноводство. Сенокошение, выпас, производство кормов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</si>
  <si>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</si>
  <si>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Крестьянское фермерское хозяйство (площадью от 5000 кв м)</t>
  </si>
  <si>
    <t>Питомники в целом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</si>
  <si>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</si>
  <si>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Выращивание плодовых, ягодных, овощных, бахчевых или иных декоративных или сельскохозяйственных культур</t>
  </si>
  <si>
    <t>Разведение декоративных и плодовых, ягодных, овощных культур</t>
  </si>
  <si>
    <t>Ведение личного подсобного хозяйства. Производство (выращивание) сельскохозяйственной продукции, кормов, выпаса скота</t>
  </si>
  <si>
    <t>Блокированная жилая застройка. Разведение декоративных и плодовых, ягодных, овощных культур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</si>
  <si>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</si>
  <si>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Для размещения ферм, МТФ, свинарников, коровников, конных дворов, тепличных хозяйств</t>
  </si>
  <si>
    <t>Сельскохозяйственное производство</t>
  </si>
  <si>
    <t>Иной вид использования в сегменте "Сельскохозяйственное использование"</t>
  </si>
  <si>
    <t>Жилая застройка (среднеэтажная и многоэтажная без уточнения этажности)</t>
  </si>
  <si>
    <t>Среднеэтажная жилая застройка в целом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</si>
  <si>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</si>
  <si>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Многоэтажная жилая застройка (высотная застройка) в целом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</si>
  <si>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</si>
  <si>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Иной вид использования в сегменте "Жилая застройка (среднеэтажная и многоэтажная)"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</si>
  <si>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</si>
  <si>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Коммунальное обслуживание в целом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</si>
  <si>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</si>
  <si>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Социальное обслуживание в целом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</si>
  <si>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</si>
  <si>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Социальное обслуживание. Размещение ОКС для размещения отделений почты и телеграфа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</si>
  <si>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</si>
  <si>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Бытовое обслуживание в целом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</si>
  <si>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</si>
  <si>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Бытовое обслуживание. Размещение ОКС, предназначенных для оказания населению или организациям бытовых услуг. Бани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</si>
  <si>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</si>
  <si>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</si>
  <si>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</si>
  <si>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</si>
  <si>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</si>
  <si>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</si>
  <si>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</si>
  <si>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</si>
  <si>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</si>
  <si>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Культурное развитие в целом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</si>
  <si>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</si>
  <si>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Культурное развитие. Размещение ОКС, предназначенных для размещения в них домов культуры, театров, филармоний, цирков</t>
  </si>
  <si>
    <t>Культурное развитие. Размещение зданий и сооружений для размещения зверинцев, зоопарков, океанариумов</t>
  </si>
  <si>
    <t>Религиозное использование в целом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</si>
  <si>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</si>
  <si>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</si>
  <si>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</si>
  <si>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Общественное управление в целом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</si>
  <si>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</si>
  <si>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</si>
  <si>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</si>
  <si>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Обеспечение научной деятельности в целом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</si>
  <si>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</si>
  <si>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</si>
  <si>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</si>
  <si>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</si>
  <si>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Приюты для животных. Размещение ОКС, предназначенных для оказания ветеринарных услуг в стационаре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</si>
  <si>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</si>
  <si>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Приюты для животных. Размещение ОКС, предназначенных для организации гостиниц для животных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</si>
  <si>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</si>
  <si>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Спорт. Размещение ОКС в качестве спортивных клубов, спортивных залов, бассейнов</t>
  </si>
  <si>
    <t>Автомобильный транспорт. Размещение зданий и сооружений, предназначенных для обслуживания пассажиров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</si>
  <si>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</si>
  <si>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</si>
  <si>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</si>
  <si>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Обеспечение деятельности по исполнению наказаний. Размещение ОКС для создания мест лишения свободы (поселения)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</si>
  <si>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</si>
  <si>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Иной вид использования в сегменте "Общественное использование"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</si>
  <si>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</si>
  <si>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</si>
  <si>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</si>
  <si>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</si>
  <si>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Культурное развитие. Размещение ОКС, предназначенных для размещения в них кинотеатров и кинозалов</t>
  </si>
  <si>
    <t>Культурное развитие. Устройство площадок для празднеств и гуляний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</si>
  <si>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</si>
  <si>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</si>
  <si>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</si>
  <si>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Магазины. Размещение ОКС, предназначенных для продажи товаров, торговая площадь которых составляет до 5 000 кв.м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</si>
  <si>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</si>
  <si>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</si>
  <si>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Развлечения. Размещение ОКС, предназначенных для размещения дискотек и танцевальных площадок, ночных клубов</t>
  </si>
  <si>
    <t>Развлечения. Размещение ОКС, предназначенных для размещения аквапарков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</si>
  <si>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</si>
  <si>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</si>
  <si>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</si>
  <si>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</si>
  <si>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</si>
  <si>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</si>
  <si>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</si>
  <si>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 xml:space="preserve">Рекламные щиты/рекламные растяжки/рекламные конструкции </t>
  </si>
  <si>
    <t>Киоски/Ларьки/Торговые павильоны/Прицепы и Трейлеры торговые</t>
  </si>
  <si>
    <t>Иной вид использования в сегменте "Предпринимательство"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</si>
  <si>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</si>
  <si>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</si>
  <si>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Объекты придорожного сервиса. Предоставление гостиничных услуг в качестве придорожного сервиса</t>
  </si>
  <si>
    <t>Спорт. Размещение спортивных баз и лагерей - ОКС для временного проживания, питания спортсменов, для бытовых нужд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</si>
  <si>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</si>
  <si>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Охота и рыбалка. Размещение дома охотника или рыболова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</si>
  <si>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</si>
  <si>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</si>
  <si>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Санаторная деятельность. Размещение лечебно-оздоровительных лагерей</t>
  </si>
  <si>
    <t>Иной вид использования в сегменте "Отдых (рекреация)"</t>
  </si>
  <si>
    <t>Скотоводство. Размещение зданий, сооружений, используемых для содержания и разведения скота, хранения кормов</t>
  </si>
  <si>
    <t>Скотоводство. Размещение зданий, сооружений, используемых для переработки продукции</t>
  </si>
  <si>
    <t>Звероводство в целом. Разведение в неволе ценных пушных зверей.</t>
  </si>
  <si>
    <t>Звероводство. Размещение зданий, сооружений, используемых для содержания и разведения животных, хранения кормов</t>
  </si>
  <si>
    <t>Звероводство. Размещение зданий, сооружений, используемых для производства, хранения и первичной переработки продукции</t>
  </si>
  <si>
    <t>Птицеводство в целом. Разведение домашних пород птиц, в том числе водоплавающих</t>
  </si>
  <si>
    <t>Птицеводство. Размещение зданий, сооружений, используемых для содержания и разведения животных, хранения кормов</t>
  </si>
  <si>
    <t>Птицеводство. Размещение зданий, сооружений, используемых для производства, хранения и первичной переработки продукции</t>
  </si>
  <si>
    <t>Свиноводство в целом</t>
  </si>
  <si>
    <t>Свиноводство. Размещение зданий, сооружений, используемых для содержания и разведения животных, хранения кормов</t>
  </si>
  <si>
    <t>Свиноводство. Размещение зданий, сооружений, используемых для производства, хранения и первичной переработки продукции</t>
  </si>
  <si>
    <t>Пчеловодство. Размещение сооружений, используемых для хранения и первичной переработки продукции пчеловодства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</si>
  <si>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</si>
  <si>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</si>
  <si>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</si>
  <si>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Обеспечение сельскохозяйственного производства в целом. Включает коды расчета вида использования 01:181, 01:182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</si>
  <si>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</si>
  <si>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</si>
  <si>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</si>
  <si>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</si>
  <si>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Объекты придорожного сервиса. Размещение автозаправочных станций (бензиновых, газовых)</t>
  </si>
  <si>
    <t>Объекты придорожного сервиса. Размещение автомобильных моек и прачечных для автомобильных принадлежностей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</si>
  <si>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</si>
  <si>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Недропользование. Размещение ОКС, в том числе подземных, в целях добычи недр</t>
  </si>
  <si>
    <t>Недропользование. Размещение ОКС, необходимых для подготовки сырья к транспортировке и (или) промышленной переработке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</si>
  <si>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</si>
  <si>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</si>
  <si>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</si>
  <si>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Легкая промышленность. Размещение ОКС, предназначенных для текстильной, фарфорово-фаянсовой, электронной промышленности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</si>
  <si>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</si>
  <si>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</si>
  <si>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</si>
  <si>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</si>
  <si>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</si>
  <si>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</si>
  <si>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</si>
  <si>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</si>
  <si>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Атомная энергетика. Размещение объектов электросетевого хозяйства, обслуживающих атомные электростанции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</si>
  <si>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</si>
  <si>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</si>
  <si>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</si>
  <si>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</si>
  <si>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</si>
  <si>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</si>
  <si>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</si>
  <si>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</si>
  <si>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Железнодорожный транспорт. Размещение зданий и сооружений, в том числе железнодорожных вокзалов и станций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</si>
  <si>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</si>
  <si>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</si>
  <si>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</si>
  <si>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</si>
  <si>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Водный транспорт. Размещение ОКС морских портов и речных портов, причалов, пристаней, гидротехнических сооружений</t>
  </si>
  <si>
    <t>Водный транспорт. Размещение ОКС гидротехнических сооружений, за исключением кодов расчета вида использования 07:030, 07:031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</si>
  <si>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</si>
  <si>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</si>
  <si>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Воздушный транспорт. Размещение объектов, предназначенных для технического обслуживания и ремонта воздушных судов</t>
  </si>
  <si>
    <t>Трубопроводный транспорт. Размещение магистральных нефтепроводов, водопроводов, газопроводов и иных трубопроводов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</si>
  <si>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</si>
  <si>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</si>
  <si>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</si>
  <si>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</si>
  <si>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</si>
  <si>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</si>
  <si>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Заготовка древесины. Создание лесных дорог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</si>
  <si>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</si>
  <si>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здания/нежилые здания/сооружения по документу с производственным использованием по классификатору</t>
  </si>
  <si>
    <t>Иной вид использования в сегменте "Производственная деятельность"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</si>
  <si>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</si>
  <si>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</si>
  <si>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Рынки. Размещение гаражей и (или) стоянок для автомобилей сотрудников и посетителей рынка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</si>
  <si>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</si>
  <si>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</si>
  <si>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</si>
  <si>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</si>
  <si>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</si>
  <si>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Иной вид использования в сегменте "Транспорт"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</si>
  <si>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</si>
  <si>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Иной вид использования в сегменте "Обеспечение обороны и безопасности"</t>
  </si>
  <si>
    <t>Обустройство спортивных и детских площадок, площадок отдыха на территории малоэтажной многоквартирной жилой застройки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</si>
  <si>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</si>
  <si>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</si>
  <si>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</si>
  <si>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</si>
  <si>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</si>
  <si>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</si>
  <si>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Санаторная деятельность. Обустройство лечебно-оздоровительных местностей (пляжи, бюветы, места добычи целебной грязи)</t>
  </si>
  <si>
    <t>Размещение в границах населенных пунктов набережных, береговых полос водных объектов общего пользования</t>
  </si>
  <si>
    <t>Размещение в границах населенных пунктов скверов, бульваров, малых архитектурных форм благоустройства</t>
  </si>
  <si>
    <t>Иной вид использования в сегменте "Деятельность по особой охране и изучению природы"</t>
  </si>
  <si>
    <t>Территории общего пользования - остановки и остановочные комплексы</t>
  </si>
  <si>
    <t>Территории общего пользования - без указания уточняющей функции</t>
  </si>
  <si>
    <t>Территории общего пользования - размещение автомобильных дорог и технически связанных с ними сооружений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</si>
  <si>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</si>
  <si>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</si>
  <si>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Лесные плантации. Выращивание и рубка лесных насаждений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</si>
  <si>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</si>
  <si>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Резервные леса. Деятельность, связанная с охраной лесов</t>
  </si>
  <si>
    <t>Иной вид использования в сегменте "Использование лесов"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</si>
  <si>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</si>
  <si>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</si>
  <si>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Иной вид использования в сегменте "Водные объекты"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</si>
  <si>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</si>
  <si>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Ритуальная деятельность. Размещение кладбищ, крематориев и мест захоронения, культовых сооружений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</si>
  <si>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</si>
  <si>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</si>
  <si>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Запас. Отсутствие хозяйственной деятельности</t>
  </si>
  <si>
    <t>Иной вид использования в сегменте "Специальное, ритуальное использование, запас"</t>
  </si>
  <si>
    <t>Индивидуальное жилищное строительство в целом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</si>
  <si>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</si>
  <si>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Малоэтажная многоквартирная жилая застройка в целом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</si>
  <si>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</si>
  <si>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 с правом застройки в целом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</si>
  <si>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</si>
  <si>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 в целом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</si>
  <si>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</si>
  <si>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</si>
  <si>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</si>
  <si>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</si>
  <si>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</si>
  <si>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</si>
  <si>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Размещение индивидуального жилого дома в организованных коттеджных поселках</t>
  </si>
  <si>
    <t>Малоэтажная жилая застройка без  уточнения этажности и характера использования земельного участка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</si>
  <si>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</si>
  <si>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</si>
  <si>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</si>
  <si>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Вид использования учтенный при ТЕКУЩЕМ расчете в рамках 16 статьи для загрузки в базу (в базе название колонки "ВРИ по документу старое")</t>
  </si>
  <si>
    <t>КОНТРОЛЬНАЯ ПРОВЕРКА</t>
  </si>
  <si>
    <t>ГОТОВО</t>
  </si>
  <si>
    <t>ПЕРЕСЧЕТ НЕ ТРЕБУЕТСЯ</t>
  </si>
  <si>
    <t>СТОПЛИСТ</t>
  </si>
  <si>
    <t>По колонке "статус расчета" EK разносим файлы по листам. Если "пересчет не требуется" то только кадастровый номер и статус расчета, в иных случаях все данные на загрузку в базу. В шапке только английские заголовки!</t>
  </si>
  <si>
    <t>Дата оценки</t>
  </si>
  <si>
    <t>ID</t>
  </si>
  <si>
    <t>ObjectType</t>
  </si>
  <si>
    <t>Area</t>
  </si>
  <si>
    <t>AddressOther</t>
  </si>
  <si>
    <t>AddressNote</t>
  </si>
  <si>
    <t>ParcelCategory</t>
  </si>
  <si>
    <t>Utilization</t>
  </si>
  <si>
    <t>UtilizationByDoc</t>
  </si>
  <si>
    <t>UtilizationLandUse</t>
  </si>
  <si>
    <t>UtilizationТхт</t>
  </si>
  <si>
    <t>CostValue</t>
  </si>
  <si>
    <t>CostDateValuation</t>
  </si>
  <si>
    <t>ID_Group</t>
  </si>
  <si>
    <t>LocalityCode</t>
  </si>
  <si>
    <t>act_sign</t>
  </si>
  <si>
    <t>inputpacket_date</t>
  </si>
  <si>
    <t>Statement</t>
  </si>
  <si>
    <t>Type_Statement</t>
  </si>
  <si>
    <t>Status_Statement</t>
  </si>
  <si>
    <t>ControlSP</t>
  </si>
  <si>
    <t>Date_comm</t>
  </si>
  <si>
    <t>Sol_comm</t>
  </si>
  <si>
    <t>New_Segment</t>
  </si>
  <si>
    <t>Date_KC</t>
  </si>
  <si>
    <t>PARCELS</t>
  </si>
  <si>
    <t>66:41:0313010:15828</t>
  </si>
  <si>
    <t>Земельный участок</t>
  </si>
  <si>
    <t>Свердловская область, г. Екатеринбург</t>
  </si>
  <si>
    <t>Земли населенных пунктов</t>
  </si>
  <si>
    <t>Для иных видов использования, характерных для населенных пунктов</t>
  </si>
  <si>
    <t>Дошкольное, начальное и среднее общее образование</t>
  </si>
  <si>
    <t>47:004:1:1:1</t>
  </si>
  <si>
    <t>пояс 3</t>
  </si>
  <si>
    <t>2021-09-28</t>
  </si>
  <si>
    <t>НЕ ГОТОВ</t>
  </si>
  <si>
    <t>Правило0</t>
  </si>
  <si>
    <t>66:41:0704045:38</t>
  </si>
  <si>
    <t>обл. Свердловская, г. Екатеринбург, ул. Студенческая, дом 51</t>
  </si>
  <si>
    <t>Для размещения объектов среднего профессионального и высшего профессионального образования</t>
  </si>
  <si>
    <t>Земли, занятые НИИ и проектными институтами</t>
  </si>
  <si>
    <t>2010-01-01 00:00:00.0000000</t>
  </si>
  <si>
    <t>пояс 1</t>
  </si>
  <si>
    <t>2021-11-17</t>
  </si>
  <si>
    <t>66:41:0313010:15840</t>
  </si>
  <si>
    <t>66:41:0313010:15836</t>
  </si>
  <si>
    <t>66:41:0313010:15757</t>
  </si>
  <si>
    <t>спорт</t>
  </si>
  <si>
    <t>66:41:0313010:16416</t>
  </si>
  <si>
    <t>Деловое управление, общественное питание</t>
  </si>
  <si>
    <t>пояс 2</t>
  </si>
  <si>
    <t>2021-11-18</t>
  </si>
  <si>
    <t>ручной разбор</t>
  </si>
  <si>
    <t>66:41:0000000:188232</t>
  </si>
  <si>
    <t>Свердловская область. г Екатеринбург. ул Бисертская</t>
  </si>
  <si>
    <t>Для размещения культовых зданий</t>
  </si>
  <si>
    <t>Религиозное использование</t>
  </si>
  <si>
    <t>2021-09-13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</si>
</sst>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000"/>
    <numFmt numFmtId="165" formatCode="0.000"/>
    <numFmt numFmtId="166" formatCode="_-* #,##0.0000\ _₽_-;\-* #,##0.0000\ _₽_-;_-* &quot;-&quot;??\ _₽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i/>
      <sz val="9"/>
      <color rgb="FF000000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</borders>
  <cellStyleXfs count="11">
    <xf numFmtId="0" fontId="0" fillId="0" borderId="0"/>
    <xf numFmtId="0" fontId="8" fillId="0" borderId="0"/>
    <xf numFmtId="0" fontId="8" fillId="0" borderId="0"/>
    <xf numFmtId="43" fontId="13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25">
    <xf numFmtId="0" fontId="0" fillId="0" borderId="0" xfId="0"/>
    <xf numFmtId="0" fontId="0" fillId="0" borderId="0" xfId="0" quotePrefix="1"/>
    <xf numFmtId="0" fontId="0" fillId="0" borderId="0" xfId="0" applyFill="1"/>
    <xf numFmtId="0" fontId="10" fillId="0" borderId="0" xfId="0" applyFont="1" applyFill="1" applyAlignment="1">
      <alignment horizontal="center" vertical="center"/>
    </xf>
    <xf numFmtId="0" fontId="11" fillId="0" borderId="0" xfId="2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9" fillId="0" borderId="0" xfId="0" applyFont="1" applyFill="1" applyAlignment="1">
      <alignment horizontal="center" vertical="center" wrapText="1"/>
    </xf>
    <xf numFmtId="164" fontId="0" fillId="0" borderId="0" xfId="0" applyNumberFormat="1"/>
    <xf numFmtId="43" fontId="0" fillId="0" borderId="0" xfId="3" applyFont="1"/>
    <xf numFmtId="0" fontId="15" fillId="0" borderId="2" xfId="4" applyFont="1" applyFill="1" applyBorder="1" applyAlignment="1">
      <alignment horizontal="left" vertical="center"/>
    </xf>
    <xf numFmtId="2" fontId="15" fillId="0" borderId="2" xfId="4" applyNumberFormat="1" applyFont="1" applyFill="1" applyBorder="1" applyAlignment="1">
      <alignment horizontal="right" vertical="center"/>
    </xf>
    <xf numFmtId="164" fontId="15" fillId="0" borderId="2" xfId="4" applyNumberFormat="1" applyFont="1" applyFill="1" applyBorder="1" applyAlignment="1">
      <alignment horizontal="right" vertical="center"/>
    </xf>
    <xf numFmtId="0" fontId="7" fillId="0" borderId="0" xfId="4" applyFill="1" applyAlignment="1"/>
    <xf numFmtId="164" fontId="15" fillId="0" borderId="2" xfId="4" applyNumberFormat="1" applyFont="1" applyFill="1" applyBorder="1" applyAlignment="1">
      <alignment horizontal="left" vertical="center"/>
    </xf>
    <xf numFmtId="0" fontId="15" fillId="0" borderId="1" xfId="4" applyFont="1" applyFill="1" applyBorder="1" applyAlignment="1">
      <alignment horizontal="left" vertical="center"/>
    </xf>
    <xf numFmtId="164" fontId="15" fillId="0" borderId="4" xfId="4" applyNumberFormat="1" applyFont="1" applyFill="1" applyBorder="1" applyAlignment="1">
      <alignment horizontal="left" vertical="center"/>
    </xf>
    <xf numFmtId="0" fontId="15" fillId="0" borderId="4" xfId="4" applyFont="1" applyFill="1" applyBorder="1" applyAlignment="1">
      <alignment horizontal="left" vertical="center"/>
    </xf>
    <xf numFmtId="164" fontId="15" fillId="0" borderId="5" xfId="4" applyNumberFormat="1" applyFont="1" applyFill="1" applyBorder="1" applyAlignment="1">
      <alignment horizontal="left" vertical="center"/>
    </xf>
    <xf numFmtId="164" fontId="15" fillId="0" borderId="1" xfId="4" applyNumberFormat="1" applyFont="1" applyFill="1" applyBorder="1" applyAlignment="1">
      <alignment horizontal="left" vertical="center"/>
    </xf>
    <xf numFmtId="0" fontId="15" fillId="0" borderId="6" xfId="4" applyFont="1" applyFill="1" applyBorder="1" applyAlignment="1">
      <alignment horizontal="left" vertical="center"/>
    </xf>
    <xf numFmtId="164" fontId="15" fillId="0" borderId="6" xfId="4" applyNumberFormat="1" applyFont="1" applyFill="1" applyBorder="1" applyAlignment="1">
      <alignment horizontal="left" vertical="center"/>
    </xf>
    <xf numFmtId="0" fontId="15" fillId="0" borderId="5" xfId="4" applyFont="1" applyFill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5" fillId="0" borderId="1" xfId="0" applyFont="1" applyFill="1" applyBorder="1" applyAlignment="1">
      <alignment horizontal="right" vertical="center"/>
    </xf>
    <xf numFmtId="0" fontId="17" fillId="0" borderId="0" xfId="4" applyFont="1" applyFill="1" applyBorder="1" applyAlignment="1">
      <alignment horizontal="center" vertical="center"/>
    </xf>
    <xf numFmtId="0" fontId="7" fillId="0" borderId="0" xfId="4" applyFill="1" applyBorder="1" applyAlignment="1"/>
    <xf numFmtId="0" fontId="15" fillId="0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165" fontId="15" fillId="0" borderId="3" xfId="0" applyNumberFormat="1" applyFont="1" applyFill="1" applyBorder="1" applyAlignment="1">
      <alignment horizontal="right" vertical="center"/>
    </xf>
    <xf numFmtId="164" fontId="15" fillId="0" borderId="1" xfId="0" applyNumberFormat="1" applyFont="1" applyFill="1" applyBorder="1" applyAlignment="1">
      <alignment horizontal="right" vertical="center"/>
    </xf>
    <xf numFmtId="2" fontId="15" fillId="0" borderId="1" xfId="0" applyNumberFormat="1" applyFont="1" applyFill="1" applyBorder="1" applyAlignment="1">
      <alignment horizontal="right" vertical="center"/>
    </xf>
    <xf numFmtId="0" fontId="17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1" fillId="0" borderId="0" xfId="4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2" fontId="14" fillId="0" borderId="7" xfId="0" applyNumberFormat="1" applyFont="1" applyFill="1" applyBorder="1" applyAlignment="1">
      <alignment horizontal="right" vertical="center"/>
    </xf>
    <xf numFmtId="0" fontId="0" fillId="0" borderId="2" xfId="0" applyFill="1" applyBorder="1" applyAlignment="1"/>
    <xf numFmtId="2" fontId="14" fillId="0" borderId="3" xfId="0" applyNumberFormat="1" applyFont="1" applyFill="1" applyBorder="1" applyAlignment="1">
      <alignment horizontal="right" vertical="center"/>
    </xf>
    <xf numFmtId="2" fontId="14" fillId="0" borderId="1" xfId="0" applyNumberFormat="1" applyFont="1" applyFill="1" applyBorder="1" applyAlignment="1">
      <alignment horizontal="right" vertical="center"/>
    </xf>
    <xf numFmtId="164" fontId="14" fillId="0" borderId="1" xfId="0" applyNumberFormat="1" applyFont="1" applyFill="1" applyBorder="1" applyAlignment="1">
      <alignment horizontal="right" vertical="center"/>
    </xf>
    <xf numFmtId="0" fontId="7" fillId="0" borderId="0" xfId="4"/>
    <xf numFmtId="0" fontId="18" fillId="0" borderId="2" xfId="4" applyFont="1" applyFill="1" applyBorder="1" applyAlignment="1"/>
    <xf numFmtId="0" fontId="7" fillId="0" borderId="0" xfId="4" applyFill="1"/>
    <xf numFmtId="49" fontId="18" fillId="0" borderId="2" xfId="4" applyNumberFormat="1" applyFont="1" applyFill="1" applyBorder="1" applyAlignment="1"/>
    <xf numFmtId="0" fontId="18" fillId="0" borderId="2" xfId="4" quotePrefix="1" applyFont="1" applyFill="1" applyBorder="1" applyAlignment="1"/>
    <xf numFmtId="0" fontId="18" fillId="0" borderId="2" xfId="4" applyFont="1" applyFill="1" applyBorder="1" applyAlignment="1">
      <alignment horizontal="center" vertical="center" wrapText="1"/>
    </xf>
    <xf numFmtId="0" fontId="7" fillId="0" borderId="0" xfId="4" applyFill="1" applyAlignment="1">
      <alignment wrapText="1"/>
    </xf>
    <xf numFmtId="0" fontId="7" fillId="0" borderId="0" xfId="4" applyAlignment="1">
      <alignment wrapText="1"/>
    </xf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Fill="1" applyAlignment="1">
      <alignment wrapText="1"/>
    </xf>
    <xf numFmtId="0" fontId="15" fillId="0" borderId="1" xfId="0" applyFont="1" applyFill="1" applyBorder="1" applyAlignment="1">
      <alignment horizontal="center" vertical="center" wrapText="1"/>
    </xf>
    <xf numFmtId="166" fontId="0" fillId="0" borderId="0" xfId="3" applyNumberFormat="1" applyFont="1" applyFill="1"/>
    <xf numFmtId="43" fontId="0" fillId="0" borderId="0" xfId="0" applyNumberFormat="1" applyFill="1"/>
    <xf numFmtId="43" fontId="0" fillId="0" borderId="0" xfId="3" applyNumberFormat="1" applyFont="1"/>
    <xf numFmtId="0" fontId="0" fillId="2" borderId="0" xfId="0" applyFill="1"/>
    <xf numFmtId="0" fontId="0" fillId="0" borderId="10" xfId="0" applyBorder="1"/>
    <xf numFmtId="0" fontId="0" fillId="0" borderId="0" xfId="0" applyBorder="1"/>
    <xf numFmtId="0" fontId="0" fillId="0" borderId="0" xfId="0" applyFill="1" applyBorder="1"/>
    <xf numFmtId="1" fontId="0" fillId="0" borderId="0" xfId="0" applyNumberFormat="1"/>
    <xf numFmtId="0" fontId="9" fillId="2" borderId="0" xfId="0" applyFont="1" applyFill="1" applyAlignment="1">
      <alignment horizontal="center" vertical="center" wrapText="1"/>
    </xf>
    <xf numFmtId="0" fontId="0" fillId="0" borderId="0" xfId="0" applyAlignment="1"/>
    <xf numFmtId="0" fontId="12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8" fillId="0" borderId="0" xfId="0" applyFont="1" applyFill="1" applyBorder="1" applyAlignment="1"/>
    <xf numFmtId="2" fontId="0" fillId="0" borderId="0" xfId="0" applyNumberFormat="1"/>
    <xf numFmtId="2" fontId="0" fillId="0" borderId="0" xfId="0" applyNumberForma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3" borderId="0" xfId="0" applyFill="1"/>
    <xf numFmtId="0" fontId="9" fillId="3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2" xfId="0" applyFill="1" applyBorder="1" applyAlignment="1">
      <alignment wrapText="1"/>
    </xf>
    <xf numFmtId="49" fontId="0" fillId="6" borderId="0" xfId="0" applyNumberFormat="1" applyFill="1"/>
    <xf numFmtId="0" fontId="0" fillId="7" borderId="0" xfId="0" applyFill="1"/>
    <xf numFmtId="0" fontId="20" fillId="7" borderId="0" xfId="6" applyFont="1" applyFill="1" applyAlignment="1">
      <alignment horizontal="left" vertical="center" wrapText="1"/>
    </xf>
    <xf numFmtId="0" fontId="0" fillId="7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4" borderId="2" xfId="0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2" fontId="9" fillId="0" borderId="0" xfId="0" applyNumberFormat="1" applyFont="1" applyFill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Border="1"/>
    <xf numFmtId="0" fontId="9" fillId="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1" fillId="0" borderId="0" xfId="0" applyFont="1" applyFill="1"/>
    <xf numFmtId="0" fontId="21" fillId="9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0" fillId="12" borderId="0" xfId="0" applyFill="1"/>
    <xf numFmtId="0" fontId="0" fillId="8" borderId="0" xfId="0" applyFill="1"/>
    <xf numFmtId="0" fontId="9" fillId="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20" fillId="0" borderId="0" xfId="10" applyFont="1" applyAlignment="1">
      <alignment horizontal="left" vertical="center" wrapText="1"/>
    </xf>
    <xf numFmtId="49" fontId="20" fillId="0" borderId="0" xfId="10" applyNumberFormat="1" applyFont="1" applyAlignment="1">
      <alignment horizontal="left" vertical="center" wrapText="1"/>
    </xf>
    <xf numFmtId="0" fontId="22" fillId="0" borderId="0" xfId="10" applyFont="1" applyAlignment="1">
      <alignment vertical="top" wrapText="1"/>
    </xf>
    <xf numFmtId="49" fontId="22" fillId="0" borderId="0" xfId="10" applyNumberFormat="1" applyFont="1" applyAlignment="1">
      <alignment vertical="top" wrapText="1"/>
    </xf>
    <xf numFmtId="0" fontId="0" fillId="3" borderId="0" xfId="0" applyFill="1" applyAlignment="1">
      <alignment horizontal="center"/>
    </xf>
    <xf numFmtId="0" fontId="21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quotePrefix="1" applyNumberFormat="1"/>
  </cellXfs>
  <cellStyles count="11">
    <cellStyle name="Обычный" xfId="0" builtinId="0"/>
    <cellStyle name="Обычный 2" xfId="2"/>
    <cellStyle name="Обычный 2 2" xfId="4"/>
    <cellStyle name="Обычный 3" xfId="5"/>
    <cellStyle name="Обычный 4" xfId="6"/>
    <cellStyle name="Обычный 5" xfId="1"/>
    <cellStyle name="Обычный 6" xfId="7"/>
    <cellStyle name="Обычный 7" xfId="8"/>
    <cellStyle name="Обычный 8" xfId="9"/>
    <cellStyle name="Обычный 9" xfId="10"/>
    <cellStyle name="Финансовый" xfId="3" builtinId="3"/>
  </cellStyles>
  <dxfs count="6"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Цена/Площадь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65980186236226E-2"/>
                  <c:y val="-5.7940248012235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EE6-4127-B55C-34930137D31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7.7964718753941089E-3"/>
                  <c:y val="0.17788647648207689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Поправки!$I$2:$I$9</c:f>
              <c:numCache>
                <c:formatCode>General</c:formatCode>
                <c:ptCount val="8"/>
                <c:pt idx="0">
                  <c:v>11703</c:v>
                </c:pt>
                <c:pt idx="1">
                  <c:v>25000</c:v>
                </c:pt>
                <c:pt idx="2">
                  <c:v>49700</c:v>
                </c:pt>
                <c:pt idx="3">
                  <c:v>74400</c:v>
                </c:pt>
                <c:pt idx="4">
                  <c:v>99100</c:v>
                </c:pt>
                <c:pt idx="5">
                  <c:v>123800</c:v>
                </c:pt>
                <c:pt idx="6">
                  <c:v>148500</c:v>
                </c:pt>
                <c:pt idx="7">
                  <c:v>173200</c:v>
                </c:pt>
              </c:numCache>
            </c:numRef>
          </c:xVal>
          <c:yVal>
            <c:numRef>
              <c:f>Поправки!$L$2:$L$9</c:f>
              <c:numCache>
                <c:formatCode>0.0000</c:formatCode>
                <c:ptCount val="8"/>
                <c:pt idx="0">
                  <c:v>0.9909</c:v>
                </c:pt>
                <c:pt idx="1">
                  <c:v>0.95020000000000004</c:v>
                </c:pt>
                <c:pt idx="2">
                  <c:v>0.9173</c:v>
                </c:pt>
                <c:pt idx="3">
                  <c:v>0.89959999999999996</c:v>
                </c:pt>
                <c:pt idx="4">
                  <c:v>0.88759999999999994</c:v>
                </c:pt>
                <c:pt idx="5">
                  <c:v>0.87860000000000005</c:v>
                </c:pt>
                <c:pt idx="6">
                  <c:v>0.87150000000000005</c:v>
                </c:pt>
                <c:pt idx="7">
                  <c:v>0.86560000000000004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E6-4127-B55C-34930137D3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51462344"/>
        <c:axId val="251466656"/>
      </c:scatterChart>
      <c:valAx>
        <c:axId val="251462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</a:t>
                </a:r>
                <a:r>
                  <a:rPr lang="ru-RU" baseline="0"/>
                  <a:t> м2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1466656"/>
        <c:crosses val="autoZero"/>
        <c:crossBetween val="midCat"/>
      </c:valAx>
      <c:valAx>
        <c:axId val="2514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Поправочный 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1462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Цена/Расстояние до метро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62825481322276"/>
                  <c:y val="-0.38630613991703455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Поправки!$N$2:$N$9</c:f>
              <c:numCache>
                <c:formatCode>General</c:formatCode>
                <c:ptCount val="8"/>
                <c:pt idx="0">
                  <c:v>6.8000000000000005E-2</c:v>
                </c:pt>
                <c:pt idx="1">
                  <c:v>3</c:v>
                </c:pt>
                <c:pt idx="2">
                  <c:v>5.9320000000000004</c:v>
                </c:pt>
                <c:pt idx="3">
                  <c:v>8.8640000000000008</c:v>
                </c:pt>
                <c:pt idx="4">
                  <c:v>11.795999999999999</c:v>
                </c:pt>
                <c:pt idx="5">
                  <c:v>14.728</c:v>
                </c:pt>
                <c:pt idx="6">
                  <c:v>17.66</c:v>
                </c:pt>
                <c:pt idx="7">
                  <c:v>20.591999999999999</c:v>
                </c:pt>
              </c:numCache>
            </c:numRef>
          </c:xVal>
          <c:yVal>
            <c:numRef>
              <c:f>Поправки!$Q$2:$Q$9</c:f>
              <c:numCache>
                <c:formatCode>0.0000</c:formatCode>
                <c:ptCount val="8"/>
                <c:pt idx="0">
                  <c:v>1.0165</c:v>
                </c:pt>
                <c:pt idx="1">
                  <c:v>0.99350000000000005</c:v>
                </c:pt>
                <c:pt idx="2">
                  <c:v>0.98960000000000004</c:v>
                </c:pt>
                <c:pt idx="3">
                  <c:v>0.98719999999999997</c:v>
                </c:pt>
                <c:pt idx="4">
                  <c:v>0.98560000000000003</c:v>
                </c:pt>
                <c:pt idx="5">
                  <c:v>0.98440000000000005</c:v>
                </c:pt>
                <c:pt idx="6">
                  <c:v>0.98329999999999995</c:v>
                </c:pt>
                <c:pt idx="7">
                  <c:v>0.98250000000000004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C8A-4F74-87E3-51FAF74AA5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51462736"/>
        <c:axId val="251463128"/>
      </c:scatterChart>
      <c:valAx>
        <c:axId val="25146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Расстояние до метро, 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1463128"/>
        <c:crosses val="autoZero"/>
        <c:crossBetween val="midCat"/>
      </c:valAx>
      <c:valAx>
        <c:axId val="25146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Поправочный 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14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Цена/Расстояние до остановок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62825481322276"/>
                  <c:y val="-0.38630613991703455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Поправки!$S$2:$S$9</c:f>
              <c:numCache>
                <c:formatCode>General</c:formatCode>
                <c:ptCount val="8"/>
                <c:pt idx="0">
                  <c:v>1.0999999999999999E-2</c:v>
                </c:pt>
                <c:pt idx="1">
                  <c:v>1.5</c:v>
                </c:pt>
                <c:pt idx="2">
                  <c:v>2.9889999999999999</c:v>
                </c:pt>
                <c:pt idx="3">
                  <c:v>4.4779999999999998</c:v>
                </c:pt>
                <c:pt idx="4">
                  <c:v>5.9669999999999996</c:v>
                </c:pt>
                <c:pt idx="5">
                  <c:v>7.4560000000000004</c:v>
                </c:pt>
                <c:pt idx="6">
                  <c:v>8.9450000000000003</c:v>
                </c:pt>
                <c:pt idx="7">
                  <c:v>10.433999999999999</c:v>
                </c:pt>
              </c:numCache>
            </c:numRef>
          </c:xVal>
          <c:yVal>
            <c:numRef>
              <c:f>Поправки!$V$2:$V$9</c:f>
              <c:numCache>
                <c:formatCode>0.0000</c:formatCode>
                <c:ptCount val="8"/>
                <c:pt idx="0">
                  <c:v>1.0162</c:v>
                </c:pt>
                <c:pt idx="1">
                  <c:v>0.99550000000000005</c:v>
                </c:pt>
                <c:pt idx="2">
                  <c:v>0.99270000000000003</c:v>
                </c:pt>
                <c:pt idx="3">
                  <c:v>0.99109999999999998</c:v>
                </c:pt>
                <c:pt idx="4">
                  <c:v>0.9899</c:v>
                </c:pt>
                <c:pt idx="5">
                  <c:v>0.98899999999999999</c:v>
                </c:pt>
                <c:pt idx="6">
                  <c:v>0.98829999999999996</c:v>
                </c:pt>
                <c:pt idx="7">
                  <c:v>0.98770000000000002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49E-465B-8EDC-E653C33466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9907464"/>
        <c:axId val="159905504"/>
      </c:scatterChart>
      <c:valAx>
        <c:axId val="15990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Расстояние до остановок, 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905504"/>
        <c:crosses val="autoZero"/>
        <c:crossBetween val="midCat"/>
      </c:valAx>
      <c:valAx>
        <c:axId val="15990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Поправочный 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907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Цена/Расстояние до дорог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62825481322276"/>
                  <c:y val="-0.38630613991703455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Поправки!$X$2:$X$9</c:f>
              <c:numCache>
                <c:formatCode>0.0000</c:formatCode>
                <c:ptCount val="8"/>
                <c:pt idx="0">
                  <c:v>1E-4</c:v>
                </c:pt>
                <c:pt idx="1">
                  <c:v>7.0000000000000007E-2</c:v>
                </c:pt>
                <c:pt idx="2">
                  <c:v>0.1399</c:v>
                </c:pt>
                <c:pt idx="3">
                  <c:v>0.20979999999999999</c:v>
                </c:pt>
                <c:pt idx="4">
                  <c:v>0.2797</c:v>
                </c:pt>
                <c:pt idx="5">
                  <c:v>0.34960000000000002</c:v>
                </c:pt>
                <c:pt idx="6">
                  <c:v>0.41949999999999998</c:v>
                </c:pt>
                <c:pt idx="7">
                  <c:v>0.4894</c:v>
                </c:pt>
              </c:numCache>
            </c:numRef>
          </c:xVal>
          <c:yVal>
            <c:numRef>
              <c:f>Поправки!$AA$2:$AA$9</c:f>
              <c:numCache>
                <c:formatCode>0.0000</c:formatCode>
                <c:ptCount val="8"/>
                <c:pt idx="0">
                  <c:v>1.0965</c:v>
                </c:pt>
                <c:pt idx="1">
                  <c:v>1.0190999999999999</c:v>
                </c:pt>
                <c:pt idx="2">
                  <c:v>1.0114000000000001</c:v>
                </c:pt>
                <c:pt idx="3">
                  <c:v>1.0069999999999999</c:v>
                </c:pt>
                <c:pt idx="4">
                  <c:v>1.0039</c:v>
                </c:pt>
                <c:pt idx="5">
                  <c:v>1.0015000000000001</c:v>
                </c:pt>
                <c:pt idx="6">
                  <c:v>0.99950000000000006</c:v>
                </c:pt>
                <c:pt idx="7">
                  <c:v>0.99780000000000002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DE-468C-AB3C-7D3A2660D4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7778936"/>
        <c:axId val="517782072"/>
      </c:scatterChart>
      <c:valAx>
        <c:axId val="51777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Расстояние до дорог, 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82072"/>
        <c:crosses val="autoZero"/>
        <c:crossBetween val="midCat"/>
      </c:valAx>
      <c:valAx>
        <c:axId val="51778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Поправочный 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78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Цена/Расстояние до центра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62825481322276"/>
                  <c:y val="-0.38630613991703455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Поправки!$X$2:$X$9</c:f>
              <c:numCache>
                <c:formatCode>0.0000</c:formatCode>
                <c:ptCount val="8"/>
                <c:pt idx="0">
                  <c:v>1E-4</c:v>
                </c:pt>
                <c:pt idx="1">
                  <c:v>7.0000000000000007E-2</c:v>
                </c:pt>
                <c:pt idx="2">
                  <c:v>0.1399</c:v>
                </c:pt>
                <c:pt idx="3">
                  <c:v>0.20979999999999999</c:v>
                </c:pt>
                <c:pt idx="4">
                  <c:v>0.2797</c:v>
                </c:pt>
                <c:pt idx="5">
                  <c:v>0.34960000000000002</c:v>
                </c:pt>
                <c:pt idx="6">
                  <c:v>0.41949999999999998</c:v>
                </c:pt>
                <c:pt idx="7">
                  <c:v>0.4894</c:v>
                </c:pt>
              </c:numCache>
            </c:numRef>
          </c:xVal>
          <c:yVal>
            <c:numRef>
              <c:f>Поправки!$AA$2:$AA$9</c:f>
              <c:numCache>
                <c:formatCode>0.0000</c:formatCode>
                <c:ptCount val="8"/>
                <c:pt idx="0">
                  <c:v>1.0965</c:v>
                </c:pt>
                <c:pt idx="1">
                  <c:v>1.0190999999999999</c:v>
                </c:pt>
                <c:pt idx="2">
                  <c:v>1.0114000000000001</c:v>
                </c:pt>
                <c:pt idx="3">
                  <c:v>1.0069999999999999</c:v>
                </c:pt>
                <c:pt idx="4">
                  <c:v>1.0039</c:v>
                </c:pt>
                <c:pt idx="5">
                  <c:v>1.0015000000000001</c:v>
                </c:pt>
                <c:pt idx="6">
                  <c:v>0.99950000000000006</c:v>
                </c:pt>
                <c:pt idx="7">
                  <c:v>0.99780000000000002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58-419C-B61D-B9093A5B90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7781680"/>
        <c:axId val="517780896"/>
      </c:scatterChart>
      <c:valAx>
        <c:axId val="51778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Расстояние до центра, 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80896"/>
        <c:crosses val="autoZero"/>
        <c:crossBetween val="midCat"/>
      </c:valAx>
      <c:valAx>
        <c:axId val="5177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Поправочный 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8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Ценовой пояс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Поправки!$B$48:$B$52</c:f>
              <c:strCache>
                <c:ptCount val="5"/>
                <c:pt idx="0">
                  <c:v>Пояс 2</c:v>
                </c:pt>
                <c:pt idx="1">
                  <c:v>Пояс 3</c:v>
                </c:pt>
                <c:pt idx="2">
                  <c:v>Пояс 4</c:v>
                </c:pt>
                <c:pt idx="3">
                  <c:v>Пояс 1</c:v>
                </c:pt>
                <c:pt idx="4">
                  <c:v>Центр</c:v>
                </c:pt>
              </c:strCache>
            </c:strRef>
          </c:cat>
          <c:val>
            <c:numRef>
              <c:f>Поправки!$D$48:$D$52</c:f>
              <c:numCache>
                <c:formatCode>0.0000</c:formatCode>
                <c:ptCount val="5"/>
                <c:pt idx="0">
                  <c:v>0.70740000000000003</c:v>
                </c:pt>
                <c:pt idx="1">
                  <c:v>0.64959999999999996</c:v>
                </c:pt>
                <c:pt idx="2">
                  <c:v>0.56869999999999998</c:v>
                </c:pt>
                <c:pt idx="3">
                  <c:v>0.82940000000000003</c:v>
                </c:pt>
                <c:pt idx="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03-4338-A3C7-4291D7E5E6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7775408"/>
        <c:axId val="517776584"/>
      </c:barChart>
      <c:catAx>
        <c:axId val="51777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76584"/>
        <c:crosses val="autoZero"/>
        <c:auto val="1"/>
        <c:lblAlgn val="ctr"/>
        <c:lblOffset val="100"/>
        <c:noMultiLvlLbl val="0"/>
      </c:catAx>
      <c:valAx>
        <c:axId val="51777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7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Электроснабжение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Поправки!$B$42:$B$43</c:f>
              <c:strCache>
                <c:ptCount val="2"/>
                <c:pt idx="0">
                  <c:v>Отсутствие электроснабжения</c:v>
                </c:pt>
                <c:pt idx="1">
                  <c:v>Наличие электроснабжения</c:v>
                </c:pt>
              </c:strCache>
            </c:strRef>
          </c:cat>
          <c:val>
            <c:numRef>
              <c:f>Поправки!$D$42:$D$43</c:f>
              <c:numCache>
                <c:formatCode>0.0000</c:formatCode>
                <c:ptCount val="2"/>
                <c:pt idx="0">
                  <c:v>1</c:v>
                </c:pt>
                <c:pt idx="1">
                  <c:v>1.127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8B3-45CE-ACE8-86B17C20A5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7775800"/>
        <c:axId val="517777368"/>
      </c:barChart>
      <c:catAx>
        <c:axId val="51777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77368"/>
        <c:crosses val="autoZero"/>
        <c:auto val="1"/>
        <c:lblAlgn val="ctr"/>
        <c:lblOffset val="100"/>
        <c:noMultiLvlLbl val="0"/>
      </c:catAx>
      <c:valAx>
        <c:axId val="51777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75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Водоотведение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Поправки!$B$44:$B$45</c:f>
              <c:strCache>
                <c:ptCount val="2"/>
                <c:pt idx="0">
                  <c:v>Отсутствие водоотведения</c:v>
                </c:pt>
                <c:pt idx="1">
                  <c:v>Наличие водоотведения</c:v>
                </c:pt>
              </c:strCache>
            </c:strRef>
          </c:cat>
          <c:val>
            <c:numRef>
              <c:f>Поправки!$D$44:$D$45</c:f>
              <c:numCache>
                <c:formatCode>0.0000</c:formatCode>
                <c:ptCount val="2"/>
                <c:pt idx="0">
                  <c:v>1</c:v>
                </c:pt>
                <c:pt idx="1">
                  <c:v>1.0757000000000001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D6-46A4-B36F-36AAC82330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7778544"/>
        <c:axId val="517779328"/>
      </c:barChart>
      <c:catAx>
        <c:axId val="5177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79328"/>
        <c:crosses val="autoZero"/>
        <c:auto val="1"/>
        <c:lblAlgn val="ctr"/>
        <c:lblOffset val="100"/>
        <c:noMultiLvlLbl val="0"/>
      </c:catAx>
      <c:valAx>
        <c:axId val="5177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77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Теплоснабжение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Поправки!$B$46:$B$47</c:f>
              <c:strCache>
                <c:ptCount val="2"/>
                <c:pt idx="0">
                  <c:v>Отсутствие теплоснабжения</c:v>
                </c:pt>
                <c:pt idx="1">
                  <c:v>Наличие теплоснабжения</c:v>
                </c:pt>
              </c:strCache>
            </c:strRef>
          </c:cat>
          <c:val>
            <c:numRef>
              <c:f>Поправки!$D$46:$D$47</c:f>
              <c:numCache>
                <c:formatCode>0.0000</c:formatCode>
                <c:ptCount val="2"/>
                <c:pt idx="0">
                  <c:v>1</c:v>
                </c:pt>
                <c:pt idx="1">
                  <c:v>1.1234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20-42EF-A72D-3434B09901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1344336"/>
        <c:axId val="531340808"/>
      </c:barChart>
      <c:catAx>
        <c:axId val="53134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340808"/>
        <c:crosses val="autoZero"/>
        <c:auto val="1"/>
        <c:lblAlgn val="ctr"/>
        <c:lblOffset val="100"/>
        <c:noMultiLvlLbl val="0"/>
      </c:catAx>
      <c:valAx>
        <c:axId val="53134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34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Сегмент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Поправки!$B$40:$B$41</c:f>
              <c:strCache>
                <c:ptCount val="2"/>
                <c:pt idx="0">
                  <c:v>3. СЕГМЕНТ "Общественное использование"</c:v>
                </c:pt>
                <c:pt idx="1">
                  <c:v>4. СЕГМЕНТ "Предпринимательство"</c:v>
                </c:pt>
              </c:strCache>
            </c:strRef>
          </c:cat>
          <c:val>
            <c:numRef>
              <c:f>Поправки!$D$40:$D$41</c:f>
              <c:numCache>
                <c:formatCode>0.0000</c:formatCode>
                <c:ptCount val="2"/>
                <c:pt idx="0">
                  <c:v>1</c:v>
                </c:pt>
                <c:pt idx="1">
                  <c:v>1.0954999999999999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C-4621-B961-CD16570F49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1344728"/>
        <c:axId val="531343944"/>
      </c:barChart>
      <c:catAx>
        <c:axId val="53134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343944"/>
        <c:crosses val="autoZero"/>
        <c:auto val="1"/>
        <c:lblAlgn val="ctr"/>
        <c:lblOffset val="100"/>
        <c:noMultiLvlLbl val="0"/>
      </c:catAx>
      <c:valAx>
        <c:axId val="53134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344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571499</xdr:colOff>
      <xdr:row>47</xdr:row>
      <xdr:rowOff>173182</xdr:rowOff>
    </xdr:from>
    <xdr:to>
      <xdr:col>35</xdr:col>
      <xdr:colOff>190499</xdr:colOff>
      <xdr:row>67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51955</xdr:colOff>
      <xdr:row>0</xdr:row>
      <xdr:rowOff>103909</xdr:rowOff>
    </xdr:from>
    <xdr:to>
      <xdr:col>50</xdr:col>
      <xdr:colOff>174915</xdr:colOff>
      <xdr:row>12</xdr:row>
      <xdr:rowOff>51955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107758</xdr:colOff>
      <xdr:row>7</xdr:row>
      <xdr:rowOff>32519</xdr:rowOff>
    </xdr:from>
    <xdr:to>
      <xdr:col>39</xdr:col>
      <xdr:colOff>242455</xdr:colOff>
      <xdr:row>19</xdr:row>
      <xdr:rowOff>138545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346364</xdr:colOff>
      <xdr:row>13</xdr:row>
      <xdr:rowOff>34636</xdr:rowOff>
    </xdr:from>
    <xdr:to>
      <xdr:col>50</xdr:col>
      <xdr:colOff>307685</xdr:colOff>
      <xdr:row>24</xdr:row>
      <xdr:rowOff>173182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415637</xdr:colOff>
      <xdr:row>26</xdr:row>
      <xdr:rowOff>150090</xdr:rowOff>
    </xdr:from>
    <xdr:to>
      <xdr:col>54</xdr:col>
      <xdr:colOff>87360</xdr:colOff>
      <xdr:row>46</xdr:row>
      <xdr:rowOff>173181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450273</xdr:colOff>
      <xdr:row>48</xdr:row>
      <xdr:rowOff>173182</xdr:rowOff>
    </xdr:from>
    <xdr:to>
      <xdr:col>46</xdr:col>
      <xdr:colOff>379077</xdr:colOff>
      <xdr:row>68</xdr:row>
      <xdr:rowOff>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259773</xdr:colOff>
      <xdr:row>30</xdr:row>
      <xdr:rowOff>0</xdr:rowOff>
    </xdr:from>
    <xdr:to>
      <xdr:col>38</xdr:col>
      <xdr:colOff>56766</xdr:colOff>
      <xdr:row>46</xdr:row>
      <xdr:rowOff>103909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346363</xdr:colOff>
      <xdr:row>30</xdr:row>
      <xdr:rowOff>173182</xdr:rowOff>
    </xdr:from>
    <xdr:to>
      <xdr:col>30</xdr:col>
      <xdr:colOff>413714</xdr:colOff>
      <xdr:row>47</xdr:row>
      <xdr:rowOff>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69272</xdr:colOff>
      <xdr:row>26</xdr:row>
      <xdr:rowOff>173181</xdr:rowOff>
    </xdr:from>
    <xdr:to>
      <xdr:col>45</xdr:col>
      <xdr:colOff>593630</xdr:colOff>
      <xdr:row>44</xdr:row>
      <xdr:rowOff>173182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207819</xdr:colOff>
      <xdr:row>34</xdr:row>
      <xdr:rowOff>103909</xdr:rowOff>
    </xdr:from>
    <xdr:to>
      <xdr:col>23</xdr:col>
      <xdr:colOff>829350</xdr:colOff>
      <xdr:row>50</xdr:row>
      <xdr:rowOff>86591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Аспект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10"/>
  <sheetViews>
    <sheetView tabSelected="1" topLeftCell="BE1" zoomScale="85" zoomScaleNormal="85" workbookViewId="0">
      <pane ySplit="3" topLeftCell="A4" activePane="bottomLeft" state="frozen"/>
      <selection activeCell="BS1" sqref="BS1"/>
      <selection pane="bottomLeft" activeCell="BM5" sqref="BM5:EY10"/>
    </sheetView>
  </sheetViews>
  <sheetFormatPr defaultRowHeight="15" x14ac:dyDescent="0.25"/>
  <cols>
    <col min="1" max="18" width="20.42578125" customWidth="1"/>
    <col min="19" max="21" width="31.140625" customWidth="1"/>
    <col min="22" max="65" width="20.42578125" customWidth="1"/>
    <col min="66" max="66" width="22.28515625" customWidth="1"/>
    <col min="67" max="76" width="22.5703125" customWidth="1"/>
    <col min="77" max="88" width="22" customWidth="1"/>
    <col min="89" max="90" width="12.42578125" customWidth="1"/>
    <col min="91" max="94" width="26.42578125" customWidth="1"/>
    <col min="95" max="95" width="69.28515625" customWidth="1"/>
    <col min="96" max="97" width="18.85546875" customWidth="1"/>
    <col min="98" max="98" width="16.5703125" customWidth="1"/>
    <col min="99" max="100" width="12.42578125" customWidth="1"/>
    <col min="101" max="104" width="9.140625" customWidth="1"/>
    <col min="105" max="105" width="12.85546875" customWidth="1"/>
    <col min="106" max="110" width="9.140625" customWidth="1"/>
    <col min="111" max="112" width="21.85546875" customWidth="1"/>
    <col min="113" max="113" width="27.5703125" customWidth="1"/>
    <col min="114" max="115" width="9.140625" customWidth="1"/>
    <col min="116" max="116" width="10.5703125" customWidth="1"/>
    <col min="117" max="117" width="17.85546875" customWidth="1"/>
    <col min="118" max="118" width="15" customWidth="1"/>
    <col min="119" max="137" width="20.42578125" style="63" customWidth="1"/>
    <col min="138" max="138" width="23.85546875" style="63" bestFit="1" customWidth="1"/>
    <col min="139" max="141" width="20.42578125" style="63" customWidth="1"/>
    <col min="142" max="143" width="20.42578125" customWidth="1"/>
    <col min="144" max="144" width="16.28515625" bestFit="1" customWidth="1"/>
    <col min="145" max="149" width="20.42578125" customWidth="1"/>
    <col min="152" max="152" width="15.85546875" customWidth="1"/>
    <col min="153" max="153" width="14.85546875" bestFit="1" customWidth="1"/>
    <col min="154" max="155" width="21.28515625" customWidth="1"/>
  </cols>
  <sheetData>
    <row r="1" spans="1:155" s="2" customFormat="1" ht="76.5" x14ac:dyDescent="0.25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529</v>
      </c>
      <c r="I1" s="115" t="s">
        <v>7</v>
      </c>
      <c r="J1" s="115" t="s">
        <v>8</v>
      </c>
      <c r="K1" s="115" t="s">
        <v>9</v>
      </c>
      <c r="L1" s="115" t="s">
        <v>10</v>
      </c>
      <c r="M1" s="115" t="s">
        <v>11</v>
      </c>
      <c r="N1" s="115" t="s">
        <v>12</v>
      </c>
      <c r="O1" s="115" t="s">
        <v>13</v>
      </c>
      <c r="P1" s="115" t="s">
        <v>14</v>
      </c>
      <c r="Q1" s="115" t="s">
        <v>15</v>
      </c>
      <c r="R1" s="115" t="s">
        <v>16</v>
      </c>
      <c r="S1" s="115" t="s">
        <v>17</v>
      </c>
      <c r="T1" s="115" t="s">
        <v>18</v>
      </c>
      <c r="U1" s="115" t="s">
        <v>19</v>
      </c>
      <c r="V1" s="115" t="s">
        <v>20</v>
      </c>
      <c r="W1" s="115" t="s">
        <v>21</v>
      </c>
      <c r="X1" s="115" t="s">
        <v>22</v>
      </c>
      <c r="Y1" s="115" t="s">
        <v>23</v>
      </c>
      <c r="Z1" s="115" t="s">
        <v>24</v>
      </c>
      <c r="AA1" s="115" t="s">
        <v>25</v>
      </c>
      <c r="AB1" s="115" t="s">
        <v>26</v>
      </c>
      <c r="AC1" s="115" t="s">
        <v>27</v>
      </c>
      <c r="AD1" s="115" t="s">
        <v>28</v>
      </c>
      <c r="AE1" s="115" t="s">
        <v>29</v>
      </c>
      <c r="AF1" s="115" t="s">
        <v>30</v>
      </c>
      <c r="AG1" s="115" t="s">
        <v>31</v>
      </c>
      <c r="AH1" s="115" t="s">
        <v>32</v>
      </c>
      <c r="AI1" s="115" t="s">
        <v>33</v>
      </c>
      <c r="AJ1" s="115" t="s">
        <v>34</v>
      </c>
      <c r="AK1" s="115" t="s">
        <v>35</v>
      </c>
      <c r="AL1" s="115" t="s">
        <v>36</v>
      </c>
      <c r="AM1" s="115" t="s">
        <v>37</v>
      </c>
      <c r="AN1" s="115" t="s">
        <v>38</v>
      </c>
      <c r="AO1" s="115" t="s">
        <v>39</v>
      </c>
      <c r="AP1" s="115" t="s">
        <v>40</v>
      </c>
      <c r="AQ1" s="115" t="s">
        <v>41</v>
      </c>
      <c r="AR1" s="115" t="s">
        <v>42</v>
      </c>
      <c r="AS1" s="115" t="s">
        <v>43</v>
      </c>
      <c r="AT1" s="115" t="s">
        <v>44</v>
      </c>
      <c r="AU1" s="115" t="s">
        <v>45</v>
      </c>
      <c r="AV1" s="115" t="s">
        <v>575</v>
      </c>
      <c r="AW1" s="115" t="s">
        <v>576</v>
      </c>
      <c r="AX1" s="115" t="s">
        <v>588</v>
      </c>
      <c r="AY1" s="115" t="s">
        <v>589</v>
      </c>
      <c r="AZ1" s="115" t="s">
        <v>590</v>
      </c>
      <c r="BA1" s="115" t="s">
        <v>591</v>
      </c>
      <c r="BB1" s="115" t="s">
        <v>592</v>
      </c>
      <c r="BC1" s="115" t="s">
        <v>593</v>
      </c>
      <c r="BD1" s="115" t="s">
        <v>594</v>
      </c>
      <c r="BE1" s="115" t="s">
        <v>595</v>
      </c>
      <c r="BF1" s="115" t="s">
        <v>596</v>
      </c>
      <c r="BG1" s="115" t="s">
        <v>597</v>
      </c>
      <c r="BH1" s="116" t="s">
        <v>598</v>
      </c>
      <c r="BI1" s="115" t="s">
        <v>599</v>
      </c>
      <c r="BJ1" s="115" t="s">
        <v>600</v>
      </c>
      <c r="BK1" s="115" t="s">
        <v>614</v>
      </c>
      <c r="BL1" s="115" t="s">
        <v>1121</v>
      </c>
      <c r="BO1" s="119" t="s">
        <v>77</v>
      </c>
      <c r="BP1" s="119"/>
      <c r="BQ1" s="119"/>
      <c r="BR1" s="119"/>
      <c r="BS1" s="119"/>
      <c r="BT1" s="119"/>
      <c r="BU1" s="119"/>
      <c r="BV1" s="119"/>
      <c r="BW1" s="119"/>
      <c r="BX1" s="119"/>
      <c r="BZ1" s="3" t="s">
        <v>106</v>
      </c>
      <c r="CA1" s="4" t="s">
        <v>107</v>
      </c>
      <c r="CB1" s="3" t="s">
        <v>108</v>
      </c>
      <c r="CC1" s="4" t="s">
        <v>109</v>
      </c>
      <c r="CD1" s="3" t="s">
        <v>110</v>
      </c>
      <c r="CE1" s="4" t="s">
        <v>111</v>
      </c>
      <c r="CF1" s="3" t="s">
        <v>112</v>
      </c>
      <c r="CG1" s="4" t="s">
        <v>113</v>
      </c>
      <c r="CH1" s="3" t="s">
        <v>114</v>
      </c>
      <c r="CI1" s="4" t="s">
        <v>115</v>
      </c>
      <c r="CJ1" s="4" t="s">
        <v>133</v>
      </c>
      <c r="CM1" s="122" t="s">
        <v>136</v>
      </c>
      <c r="CN1" s="122"/>
      <c r="CO1" s="122" t="s">
        <v>139</v>
      </c>
      <c r="CP1" s="122"/>
      <c r="CS1" s="2">
        <v>8003</v>
      </c>
      <c r="CT1" s="5" t="s">
        <v>134</v>
      </c>
      <c r="CW1" s="123" t="s">
        <v>824</v>
      </c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82" t="s">
        <v>859</v>
      </c>
      <c r="DK1" s="82" t="str">
        <f>CONCATENATE("М",RIGHT(CS1,1))</f>
        <v>М3</v>
      </c>
      <c r="DL1" s="84" t="s">
        <v>858</v>
      </c>
      <c r="DM1" s="82" t="s">
        <v>857</v>
      </c>
      <c r="DN1"/>
      <c r="DO1" s="121" t="s">
        <v>574</v>
      </c>
      <c r="DP1" s="121"/>
      <c r="DQ1" s="121"/>
      <c r="DR1" s="121"/>
      <c r="DS1" s="121"/>
      <c r="DT1" s="121"/>
      <c r="DU1" s="121"/>
      <c r="DV1" s="121"/>
      <c r="DW1" s="121"/>
      <c r="DX1" s="121"/>
      <c r="DY1" s="121"/>
      <c r="DZ1" s="121"/>
      <c r="EA1" s="121"/>
      <c r="EB1" s="121"/>
      <c r="EC1" s="121"/>
      <c r="ED1" s="121"/>
      <c r="EE1" s="121"/>
      <c r="EF1" s="121"/>
      <c r="EG1" s="121"/>
      <c r="EH1" s="121"/>
      <c r="EI1" s="121"/>
      <c r="EJ1" s="121"/>
      <c r="EK1" s="64"/>
      <c r="EV1" s="120" t="s">
        <v>1116</v>
      </c>
      <c r="EW1" s="102" t="s">
        <v>1117</v>
      </c>
      <c r="EX1" s="102" t="s">
        <v>1118</v>
      </c>
      <c r="EY1" s="102" t="s">
        <v>1119</v>
      </c>
    </row>
    <row r="2" spans="1:155" s="2" customFormat="1" x14ac:dyDescent="0.25">
      <c r="A2" s="115" t="s">
        <v>1122</v>
      </c>
      <c r="B2" s="115" t="s">
        <v>103</v>
      </c>
      <c r="C2" s="115" t="s">
        <v>1123</v>
      </c>
      <c r="D2" s="115" t="s">
        <v>1124</v>
      </c>
      <c r="E2" s="115" t="s">
        <v>1125</v>
      </c>
      <c r="F2" s="115" t="s">
        <v>1126</v>
      </c>
      <c r="G2" s="115" t="s">
        <v>1127</v>
      </c>
      <c r="H2" s="115" t="s">
        <v>1128</v>
      </c>
      <c r="I2" s="115" t="s">
        <v>1129</v>
      </c>
      <c r="J2" s="115" t="s">
        <v>1130</v>
      </c>
      <c r="K2" s="115" t="s">
        <v>1131</v>
      </c>
      <c r="L2" s="115" t="s">
        <v>1132</v>
      </c>
      <c r="M2" s="115" t="s">
        <v>1133</v>
      </c>
      <c r="N2" s="115" t="s">
        <v>100</v>
      </c>
      <c r="O2" s="115" t="s">
        <v>101</v>
      </c>
      <c r="P2" s="115" t="s">
        <v>102</v>
      </c>
      <c r="Q2" s="115" t="s">
        <v>1134</v>
      </c>
      <c r="R2" s="115" t="s">
        <v>1135</v>
      </c>
      <c r="S2" s="115" t="s">
        <v>578</v>
      </c>
      <c r="T2" s="115" t="s">
        <v>860</v>
      </c>
      <c r="U2" s="115" t="s">
        <v>579</v>
      </c>
      <c r="V2" s="115" t="s">
        <v>580</v>
      </c>
      <c r="W2" s="115" t="s">
        <v>581</v>
      </c>
      <c r="X2" s="115" t="s">
        <v>582</v>
      </c>
      <c r="Y2" s="115" t="s">
        <v>583</v>
      </c>
      <c r="Z2" s="115" t="s">
        <v>584</v>
      </c>
      <c r="AA2" s="115" t="s">
        <v>585</v>
      </c>
      <c r="AB2" s="115" t="s">
        <v>586</v>
      </c>
      <c r="AC2" s="115" t="s">
        <v>587</v>
      </c>
      <c r="AD2" s="115" t="s">
        <v>1136</v>
      </c>
      <c r="AE2" s="115" t="s">
        <v>1137</v>
      </c>
      <c r="AF2" s="115" t="s">
        <v>84</v>
      </c>
      <c r="AG2" s="115" t="s">
        <v>86</v>
      </c>
      <c r="AH2" s="115" t="s">
        <v>87</v>
      </c>
      <c r="AI2" s="115" t="s">
        <v>85</v>
      </c>
      <c r="AJ2" s="115" t="s">
        <v>88</v>
      </c>
      <c r="AK2" s="115" t="s">
        <v>89</v>
      </c>
      <c r="AL2" s="115" t="s">
        <v>94</v>
      </c>
      <c r="AM2" s="115" t="s">
        <v>90</v>
      </c>
      <c r="AN2" s="115" t="s">
        <v>91</v>
      </c>
      <c r="AO2" s="115" t="s">
        <v>92</v>
      </c>
      <c r="AP2" s="115" t="s">
        <v>93</v>
      </c>
      <c r="AQ2" s="115" t="s">
        <v>1138</v>
      </c>
      <c r="AR2" s="115" t="s">
        <v>1139</v>
      </c>
      <c r="AS2" s="115" t="s">
        <v>1140</v>
      </c>
      <c r="AT2" s="115" t="s">
        <v>99</v>
      </c>
      <c r="AU2" s="115" t="s">
        <v>1141</v>
      </c>
      <c r="AV2" s="115" t="s">
        <v>1142</v>
      </c>
      <c r="AW2" s="115" t="s">
        <v>1143</v>
      </c>
      <c r="AX2" s="115" t="s">
        <v>601</v>
      </c>
      <c r="AY2" s="115" t="s">
        <v>602</v>
      </c>
      <c r="AZ2" s="115" t="s">
        <v>603</v>
      </c>
      <c r="BA2" s="115" t="s">
        <v>604</v>
      </c>
      <c r="BB2" s="115" t="s">
        <v>605</v>
      </c>
      <c r="BC2" s="115" t="s">
        <v>606</v>
      </c>
      <c r="BD2" s="115" t="s">
        <v>607</v>
      </c>
      <c r="BE2" s="115" t="s">
        <v>608</v>
      </c>
      <c r="BF2" s="115" t="s">
        <v>609</v>
      </c>
      <c r="BG2" s="115" t="s">
        <v>610</v>
      </c>
      <c r="BH2" s="116" t="s">
        <v>611</v>
      </c>
      <c r="BI2" s="115" t="s">
        <v>612</v>
      </c>
      <c r="BJ2" s="115" t="s">
        <v>613</v>
      </c>
      <c r="BK2" s="115" t="s">
        <v>1144</v>
      </c>
      <c r="BL2" s="115" t="s">
        <v>1145</v>
      </c>
      <c r="BM2" s="80"/>
      <c r="BN2" s="80"/>
      <c r="BO2" s="80" t="s">
        <v>84</v>
      </c>
      <c r="BP2" s="80" t="s">
        <v>85</v>
      </c>
      <c r="BQ2" s="80" t="s">
        <v>86</v>
      </c>
      <c r="BR2" s="80" t="s">
        <v>87</v>
      </c>
      <c r="BS2" s="80" t="s">
        <v>88</v>
      </c>
      <c r="BT2" s="80" t="s">
        <v>89</v>
      </c>
      <c r="BU2" s="80" t="s">
        <v>90</v>
      </c>
      <c r="BV2" s="80" t="s">
        <v>91</v>
      </c>
      <c r="BW2" s="80" t="s">
        <v>92</v>
      </c>
      <c r="BX2" s="80" t="s">
        <v>93</v>
      </c>
      <c r="BY2" s="80"/>
      <c r="BZ2" s="80"/>
      <c r="CA2" s="80"/>
      <c r="CB2" s="80"/>
      <c r="CC2" s="80"/>
      <c r="CD2" s="80"/>
      <c r="CE2" s="80" t="s">
        <v>94</v>
      </c>
      <c r="CF2" s="80" t="s">
        <v>95</v>
      </c>
      <c r="CG2" s="80" t="s">
        <v>96</v>
      </c>
      <c r="CH2" s="80" t="s">
        <v>97</v>
      </c>
      <c r="CI2" s="80" t="s">
        <v>98</v>
      </c>
      <c r="CJ2" s="80" t="s">
        <v>99</v>
      </c>
      <c r="CK2" s="80"/>
      <c r="CL2" s="80"/>
      <c r="CM2" s="80"/>
      <c r="CN2" s="80"/>
      <c r="CO2" s="80" t="s">
        <v>100</v>
      </c>
      <c r="CP2" s="80" t="s">
        <v>101</v>
      </c>
      <c r="CQ2" s="80" t="s">
        <v>102</v>
      </c>
      <c r="CR2" s="80" t="s">
        <v>103</v>
      </c>
      <c r="CS2" s="80" t="s">
        <v>104</v>
      </c>
      <c r="CT2" s="80" t="s">
        <v>105</v>
      </c>
      <c r="CU2" s="119" t="s">
        <v>136</v>
      </c>
      <c r="CV2" s="119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119" t="s">
        <v>573</v>
      </c>
      <c r="DK2" s="119"/>
      <c r="DL2" s="119"/>
      <c r="DM2" s="119"/>
      <c r="DN2" s="80"/>
      <c r="DO2" s="112" t="s">
        <v>1</v>
      </c>
      <c r="DP2" s="111" t="s">
        <v>72</v>
      </c>
      <c r="DQ2" s="111" t="s">
        <v>75</v>
      </c>
      <c r="DR2" s="111" t="s">
        <v>73</v>
      </c>
      <c r="DS2" s="111" t="s">
        <v>74</v>
      </c>
      <c r="DT2" s="111" t="s">
        <v>79</v>
      </c>
      <c r="DU2" s="111" t="s">
        <v>80</v>
      </c>
      <c r="DV2" s="111" t="s">
        <v>81</v>
      </c>
      <c r="DW2" s="111" t="s">
        <v>76</v>
      </c>
      <c r="DX2" s="111" t="s">
        <v>82</v>
      </c>
      <c r="DY2" s="111" t="s">
        <v>83</v>
      </c>
      <c r="DZ2" s="111" t="s">
        <v>121</v>
      </c>
      <c r="EA2" s="111" t="s">
        <v>122</v>
      </c>
      <c r="EB2" s="111" t="s">
        <v>123</v>
      </c>
      <c r="EC2" s="111" t="s">
        <v>124</v>
      </c>
      <c r="ED2" s="111" t="s">
        <v>125</v>
      </c>
      <c r="EE2" s="111" t="s">
        <v>126</v>
      </c>
      <c r="EF2" s="113" t="s">
        <v>135</v>
      </c>
      <c r="EG2" s="113" t="s">
        <v>190</v>
      </c>
      <c r="EH2" s="113" t="s">
        <v>132</v>
      </c>
      <c r="EI2" s="113" t="s">
        <v>577</v>
      </c>
      <c r="EJ2" s="113" t="s">
        <v>188</v>
      </c>
      <c r="EK2" s="114" t="s">
        <v>588</v>
      </c>
      <c r="EL2" s="112" t="s">
        <v>19</v>
      </c>
      <c r="EM2" s="112" t="s">
        <v>212</v>
      </c>
      <c r="EN2" s="111" t="s">
        <v>825</v>
      </c>
      <c r="EO2" s="111" t="s">
        <v>18</v>
      </c>
      <c r="EP2" s="111" t="s">
        <v>1115</v>
      </c>
      <c r="EQ2" s="101" t="s">
        <v>843</v>
      </c>
      <c r="ER2" s="101" t="s">
        <v>844</v>
      </c>
      <c r="ES2" s="100" t="s">
        <v>848</v>
      </c>
      <c r="EV2" s="120"/>
      <c r="EW2" s="103" t="b">
        <f>IF(EW3="ОТСУТСТВУЮТ","-",EW3=ГОТОВ!AD1)</f>
        <v>0</v>
      </c>
      <c r="EX2" s="104" t="str">
        <f>IF(EX3="ОТСУТСТВУЮТ","-",EX3='ПЕРЕСЧЕТ НЕ ТРЕБУЕТСЯ'!I1)</f>
        <v>-</v>
      </c>
      <c r="EY2" s="105" t="str">
        <f>IF(EY3="ОТСУТСТВУЮТ","-",EY3=СТОПЛИСТ!D1)</f>
        <v>-</v>
      </c>
    </row>
    <row r="3" spans="1:155" s="7" customFormat="1" ht="105" x14ac:dyDescent="0.25">
      <c r="A3" s="117" t="s">
        <v>1146</v>
      </c>
      <c r="B3" s="117" t="s">
        <v>1146</v>
      </c>
      <c r="C3" s="117" t="s">
        <v>1146</v>
      </c>
      <c r="D3" s="117" t="s">
        <v>1146</v>
      </c>
      <c r="E3" s="117" t="s">
        <v>1146</v>
      </c>
      <c r="F3" s="117" t="s">
        <v>1146</v>
      </c>
      <c r="G3" s="117" t="s">
        <v>1146</v>
      </c>
      <c r="H3" s="117" t="s">
        <v>1146</v>
      </c>
      <c r="I3" s="117" t="s">
        <v>1146</v>
      </c>
      <c r="J3" s="117" t="s">
        <v>1146</v>
      </c>
      <c r="K3" s="117" t="s">
        <v>1146</v>
      </c>
      <c r="L3" s="117" t="s">
        <v>1146</v>
      </c>
      <c r="M3" s="117" t="s">
        <v>1146</v>
      </c>
      <c r="N3" s="117" t="s">
        <v>1146</v>
      </c>
      <c r="O3" s="117" t="s">
        <v>1146</v>
      </c>
      <c r="P3" s="117" t="s">
        <v>1146</v>
      </c>
      <c r="Q3" s="117" t="s">
        <v>1146</v>
      </c>
      <c r="R3" s="117" t="s">
        <v>1146</v>
      </c>
      <c r="S3" s="117" t="s">
        <v>1146</v>
      </c>
      <c r="T3" s="117" t="s">
        <v>1146</v>
      </c>
      <c r="U3" s="117" t="s">
        <v>1146</v>
      </c>
      <c r="V3" s="117" t="s">
        <v>1146</v>
      </c>
      <c r="W3" s="117" t="s">
        <v>1146</v>
      </c>
      <c r="X3" s="117" t="s">
        <v>1146</v>
      </c>
      <c r="Y3" s="117" t="s">
        <v>1146</v>
      </c>
      <c r="Z3" s="117" t="s">
        <v>1146</v>
      </c>
      <c r="AA3" s="117" t="s">
        <v>1146</v>
      </c>
      <c r="AB3" s="117" t="s">
        <v>1146</v>
      </c>
      <c r="AC3" s="117" t="s">
        <v>1146</v>
      </c>
      <c r="AD3" s="117" t="s">
        <v>1146</v>
      </c>
      <c r="AE3" s="117" t="s">
        <v>1146</v>
      </c>
      <c r="AF3" s="117" t="s">
        <v>1146</v>
      </c>
      <c r="AG3" s="117" t="s">
        <v>1146</v>
      </c>
      <c r="AH3" s="117" t="s">
        <v>1146</v>
      </c>
      <c r="AI3" s="117" t="s">
        <v>1146</v>
      </c>
      <c r="AJ3" s="117" t="s">
        <v>1146</v>
      </c>
      <c r="AK3" s="117" t="s">
        <v>1146</v>
      </c>
      <c r="AL3" s="117" t="s">
        <v>1146</v>
      </c>
      <c r="AM3" s="117" t="s">
        <v>1146</v>
      </c>
      <c r="AN3" s="117" t="s">
        <v>1146</v>
      </c>
      <c r="AO3" s="117" t="s">
        <v>1146</v>
      </c>
      <c r="AP3" s="117" t="s">
        <v>1146</v>
      </c>
      <c r="AQ3" s="117" t="s">
        <v>1146</v>
      </c>
      <c r="AR3" s="117" t="s">
        <v>1146</v>
      </c>
      <c r="AS3" s="117" t="s">
        <v>1146</v>
      </c>
      <c r="AT3" s="117" t="s">
        <v>1146</v>
      </c>
      <c r="AU3" s="117" t="s">
        <v>1146</v>
      </c>
      <c r="AV3" s="117" t="s">
        <v>1146</v>
      </c>
      <c r="AW3" s="117" t="s">
        <v>1146</v>
      </c>
      <c r="AX3" s="117" t="s">
        <v>1146</v>
      </c>
      <c r="AY3" s="117" t="s">
        <v>1146</v>
      </c>
      <c r="AZ3" s="117" t="s">
        <v>1146</v>
      </c>
      <c r="BA3" s="117" t="s">
        <v>1146</v>
      </c>
      <c r="BB3" s="117" t="s">
        <v>1146</v>
      </c>
      <c r="BC3" s="117" t="s">
        <v>1146</v>
      </c>
      <c r="BD3" s="117" t="s">
        <v>1146</v>
      </c>
      <c r="BE3" s="117" t="s">
        <v>1146</v>
      </c>
      <c r="BF3" s="117" t="s">
        <v>1146</v>
      </c>
      <c r="BG3" s="117" t="s">
        <v>1146</v>
      </c>
      <c r="BH3" s="118" t="s">
        <v>1146</v>
      </c>
      <c r="BI3" s="117" t="s">
        <v>1146</v>
      </c>
      <c r="BJ3" s="117" t="s">
        <v>1146</v>
      </c>
      <c r="BK3" s="117" t="s">
        <v>1146</v>
      </c>
      <c r="BL3" s="117" t="s">
        <v>1146</v>
      </c>
      <c r="BM3" s="7" t="s">
        <v>568</v>
      </c>
      <c r="BN3" s="7" t="s">
        <v>528</v>
      </c>
      <c r="BO3" s="7" t="s">
        <v>72</v>
      </c>
      <c r="BP3" s="7" t="s">
        <v>75</v>
      </c>
      <c r="BQ3" s="7" t="s">
        <v>73</v>
      </c>
      <c r="BR3" s="7" t="s">
        <v>74</v>
      </c>
      <c r="BS3" s="7" t="s">
        <v>79</v>
      </c>
      <c r="BT3" s="7" t="s">
        <v>80</v>
      </c>
      <c r="BU3" s="7" t="s">
        <v>81</v>
      </c>
      <c r="BV3" s="7" t="s">
        <v>76</v>
      </c>
      <c r="BW3" s="7" t="s">
        <v>82</v>
      </c>
      <c r="BX3" s="7" t="s">
        <v>83</v>
      </c>
      <c r="BY3" s="7" t="s">
        <v>78</v>
      </c>
      <c r="BZ3" s="7" t="s">
        <v>116</v>
      </c>
      <c r="CA3" s="7" t="s">
        <v>117</v>
      </c>
      <c r="CB3" s="7" t="s">
        <v>118</v>
      </c>
      <c r="CC3" s="7" t="s">
        <v>119</v>
      </c>
      <c r="CD3" s="7" t="s">
        <v>120</v>
      </c>
      <c r="CE3" s="7" t="s">
        <v>121</v>
      </c>
      <c r="CF3" s="7" t="s">
        <v>122</v>
      </c>
      <c r="CG3" s="7" t="s">
        <v>123</v>
      </c>
      <c r="CH3" s="7" t="s">
        <v>124</v>
      </c>
      <c r="CI3" s="7" t="s">
        <v>125</v>
      </c>
      <c r="CJ3" s="7" t="s">
        <v>126</v>
      </c>
      <c r="CK3" s="7" t="s">
        <v>135</v>
      </c>
      <c r="CL3" s="7" t="s">
        <v>127</v>
      </c>
      <c r="CM3" s="7" t="s">
        <v>128</v>
      </c>
      <c r="CN3" s="7" t="s">
        <v>129</v>
      </c>
      <c r="CO3" s="91" t="s">
        <v>130</v>
      </c>
      <c r="CP3" s="91" t="s">
        <v>131</v>
      </c>
      <c r="CQ3" s="7" t="s">
        <v>132</v>
      </c>
      <c r="CR3" s="7" t="s">
        <v>137</v>
      </c>
      <c r="CS3" s="7" t="s">
        <v>138</v>
      </c>
      <c r="CT3" s="7">
        <v>0.75</v>
      </c>
      <c r="CU3" s="92">
        <v>0.12</v>
      </c>
      <c r="CV3" s="92">
        <v>13117.78</v>
      </c>
      <c r="CW3" s="7" t="s">
        <v>72</v>
      </c>
      <c r="CX3" s="7" t="s">
        <v>75</v>
      </c>
      <c r="CY3" s="7" t="s">
        <v>73</v>
      </c>
      <c r="CZ3" s="7" t="s">
        <v>74</v>
      </c>
      <c r="DA3" s="7" t="s">
        <v>79</v>
      </c>
      <c r="DB3" s="7" t="s">
        <v>80</v>
      </c>
      <c r="DC3" s="7" t="s">
        <v>81</v>
      </c>
      <c r="DD3" s="7" t="s">
        <v>76</v>
      </c>
      <c r="DE3" s="7" t="s">
        <v>82</v>
      </c>
      <c r="DF3" s="7" t="s">
        <v>83</v>
      </c>
      <c r="DG3" s="7" t="s">
        <v>130</v>
      </c>
      <c r="DH3" s="7" t="s">
        <v>131</v>
      </c>
      <c r="DI3" s="66" t="s">
        <v>567</v>
      </c>
      <c r="DJ3" s="7" t="s">
        <v>569</v>
      </c>
      <c r="DK3" s="7" t="s">
        <v>570</v>
      </c>
      <c r="DL3" s="7" t="s">
        <v>571</v>
      </c>
      <c r="DM3" s="7" t="s">
        <v>572</v>
      </c>
      <c r="DN3" s="7" t="s">
        <v>826</v>
      </c>
      <c r="DO3" s="93" t="s">
        <v>103</v>
      </c>
      <c r="DP3" s="94" t="s">
        <v>84</v>
      </c>
      <c r="DQ3" s="94" t="s">
        <v>85</v>
      </c>
      <c r="DR3" s="94" t="s">
        <v>86</v>
      </c>
      <c r="DS3" s="94" t="s">
        <v>87</v>
      </c>
      <c r="DT3" s="94" t="s">
        <v>88</v>
      </c>
      <c r="DU3" s="94" t="s">
        <v>89</v>
      </c>
      <c r="DV3" s="94" t="s">
        <v>90</v>
      </c>
      <c r="DW3" s="94" t="s">
        <v>91</v>
      </c>
      <c r="DX3" s="94" t="s">
        <v>92</v>
      </c>
      <c r="DY3" s="94" t="s">
        <v>93</v>
      </c>
      <c r="DZ3" s="94" t="s">
        <v>94</v>
      </c>
      <c r="EA3" s="94" t="s">
        <v>95</v>
      </c>
      <c r="EB3" s="94" t="s">
        <v>96</v>
      </c>
      <c r="EC3" s="94" t="s">
        <v>97</v>
      </c>
      <c r="ED3" s="94" t="s">
        <v>98</v>
      </c>
      <c r="EE3" s="94" t="s">
        <v>99</v>
      </c>
      <c r="EF3" s="94" t="s">
        <v>100</v>
      </c>
      <c r="EG3" s="94" t="s">
        <v>101</v>
      </c>
      <c r="EH3" s="94" t="s">
        <v>102</v>
      </c>
      <c r="EI3" s="94" t="s">
        <v>104</v>
      </c>
      <c r="EJ3" s="94" t="s">
        <v>105</v>
      </c>
      <c r="EK3" s="86" t="s">
        <v>601</v>
      </c>
      <c r="EL3" s="81" t="s">
        <v>579</v>
      </c>
      <c r="EM3" s="81" t="s">
        <v>854</v>
      </c>
      <c r="EN3" s="81" t="s">
        <v>578</v>
      </c>
      <c r="EO3" s="81" t="s">
        <v>860</v>
      </c>
      <c r="EP3" s="81" t="s">
        <v>1114</v>
      </c>
      <c r="EQ3" s="2"/>
      <c r="ER3" s="2"/>
      <c r="ES3" s="2"/>
      <c r="EV3" s="120"/>
      <c r="EW3" s="106">
        <f>IF(AND(ГОТОВ!AD1=1,COUNTIF(EK:EK,"ГОТОВ")=0),"ОТСУТСТВУЮТ",COUNTIF(EK:EK,"ГОТОВ")+1)</f>
        <v>8</v>
      </c>
      <c r="EX3" s="107" t="str">
        <f>IF(AND('ПЕРЕСЧЕТ НЕ ТРЕБУЕТСЯ'!I1=1,COUNTIF(EK:EK,"ПЕРЕСЧЕТ НЕ ТРЕБУЕТСЯ")=0),"ОТСУТСТВУЮТ",COUNTIF(EK:EK,"ПЕРЕСЧЕТ НЕ ТРЕБУЕТСЯ")+1)</f>
        <v>ОТСУТСТВУЮТ</v>
      </c>
      <c r="EY3" s="108" t="str">
        <f>IF(AND(СТОПЛИСТ!D1=1,COUNTIF(EK:EK,"СТОПЛИСТ")=0),"ОТСУТСТВУЮТ",COUNTIF(EK:EK,"СТОПЛИСТ")+1)</f>
        <v>ОТСУТСТВУЮТ</v>
      </c>
    </row>
    <row r="4" spans="1:155" x14ac:dyDescent="0.25">
      <c r="A4" s="95">
        <v>2775523</v>
      </c>
      <c r="B4" s="124" t="s">
        <v>1147</v>
      </c>
      <c r="C4" s="124" t="s">
        <v>1148</v>
      </c>
      <c r="D4" s="95">
        <v>4367</v>
      </c>
      <c r="E4" s="95"/>
      <c r="F4" s="124" t="s">
        <v>1149</v>
      </c>
      <c r="G4" s="124" t="s">
        <v>1150</v>
      </c>
      <c r="H4" s="124" t="s">
        <v>1151</v>
      </c>
      <c r="I4" s="124" t="s">
        <v>1152</v>
      </c>
      <c r="J4" s="95"/>
      <c r="K4" s="95"/>
      <c r="L4" s="95"/>
      <c r="M4" s="95"/>
      <c r="N4" s="95"/>
      <c r="O4" s="95"/>
      <c r="P4" s="95"/>
      <c r="Q4" s="95"/>
      <c r="R4" s="124" t="s">
        <v>1153</v>
      </c>
      <c r="S4" s="95"/>
      <c r="T4" s="95"/>
      <c r="U4" s="95"/>
      <c r="V4" s="95">
        <v>0.01</v>
      </c>
      <c r="W4" s="95">
        <v>12.86</v>
      </c>
      <c r="X4" s="95"/>
      <c r="Y4" s="95"/>
      <c r="Z4" s="95"/>
      <c r="AA4" s="95">
        <v>7.43</v>
      </c>
      <c r="AB4" s="95">
        <v>0.87</v>
      </c>
      <c r="AC4" s="124" t="s">
        <v>1154</v>
      </c>
      <c r="AD4" s="95"/>
      <c r="AE4" s="124" t="s">
        <v>1155</v>
      </c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124" t="s">
        <v>1156</v>
      </c>
      <c r="AY4" s="95"/>
      <c r="AZ4" s="95"/>
      <c r="BA4" s="95"/>
      <c r="BB4" s="95"/>
      <c r="BC4" s="95"/>
      <c r="BD4" s="95"/>
      <c r="BE4" s="95"/>
      <c r="BF4" s="95"/>
      <c r="BG4" s="95"/>
      <c r="BH4" s="124" t="s">
        <v>62</v>
      </c>
      <c r="BI4" s="124" t="s">
        <v>1157</v>
      </c>
      <c r="BJ4" s="95">
        <v>8003</v>
      </c>
      <c r="BK4" s="124" t="s">
        <v>51</v>
      </c>
      <c r="BL4" s="95"/>
      <c r="BM4" t="str">
        <f>IFERROR(VLOOKUP(B4,'Объекты МУГИСО'!$A:$B,2,FALSE),"")</f>
        <v/>
      </c>
      <c r="BN4" s="2" t="str">
        <f>IFERROR(VLOOKUP(BH4,'Коды без коммуникаций'!$C:$C,1,FALSE),"")</f>
        <v/>
      </c>
      <c r="BO4" s="2" t="str">
        <f t="shared" ref="BO4" si="0">IF(B4="","",IF(AC4="","Пояс 2",AC4))</f>
        <v>пояс 3</v>
      </c>
      <c r="BP4" s="2" t="str">
        <f t="shared" ref="BP4" si="1">IF(B4="","",IF(OR(Y4="отсутствие",Y4="отсутствие электроснабжения"),"Отсутствие электроснабжения","Наличие электроснабжения"))</f>
        <v>Наличие электроснабжения</v>
      </c>
      <c r="BQ4" s="2" t="str">
        <f t="shared" ref="BQ4" si="2">IF(A4="","",IF(OR(BN4&lt;&gt;"",X4="",X4="Отсутствие"),"Отсутствие теплоснабжения","Наличие теплоснабжения"))</f>
        <v>Отсутствие теплоснабжения</v>
      </c>
      <c r="BR4" s="2" t="str">
        <f t="shared" ref="BR4" si="3">IF(A4="","",IF(OR(BN4&lt;&gt;"",Z4="",Z4="Отсутствие"),"Отсутствие водоотведения","Наличие водоотведения"))</f>
        <v>Отсутствие водоотведения</v>
      </c>
      <c r="BS4" s="2" t="str">
        <f t="shared" ref="BS4" si="4">IF(B4="","",BK4)</f>
        <v>3. СЕГМЕНТ "Общественное использование"</v>
      </c>
      <c r="BT4" s="2">
        <f t="shared" ref="BT4" si="5">IF(B4="","",D4)</f>
        <v>4367</v>
      </c>
      <c r="BU4" s="55">
        <f>IF(B4="","",IF(AA4="",VLOOKUP(BO4,Поправки!$AJ$1:$AK$6,2,FALSE),AA4))</f>
        <v>7.43</v>
      </c>
      <c r="BV4" s="55">
        <f>IF(B4="","",IF(AB4="",Поправки!$AO$2,AB4))</f>
        <v>0.87</v>
      </c>
      <c r="BW4" s="55">
        <f>IF(B4="","",IF(BM4=1,0.0001,IF(V4="",Поправки!$AP$2,V4)))</f>
        <v>0.01</v>
      </c>
      <c r="BX4" s="55">
        <f>IF(B4="","",IF(W4&lt;=0,VLOOKUP(BO4,Поправки!$AJ$1:$AL$6,3,FALSE),W4))</f>
        <v>12.86</v>
      </c>
      <c r="BY4" s="58">
        <f>IF(B4="","",Поправки!$K$21)</f>
        <v>12012.3372</v>
      </c>
      <c r="BZ4" s="58">
        <f>IF(B4="","",VLOOKUP(BO4,Поправки!$B$40:$D$52,3,FALSE))</f>
        <v>0.64959999999999996</v>
      </c>
      <c r="CA4" s="58">
        <f>IF(B4="","",VLOOKUP(BP4,Поправки!$B$40:$D$52,3,FALSE))</f>
        <v>1.127</v>
      </c>
      <c r="CB4" s="58">
        <f>IF(B4="","",VLOOKUP(BQ4,Поправки!$B$40:$D$52,3,FALSE))</f>
        <v>1</v>
      </c>
      <c r="CC4" s="58">
        <f>IF(B4="","",VLOOKUP(BR4,Поправки!$B$40:$D$52,3,FALSE))</f>
        <v>1</v>
      </c>
      <c r="CD4" s="58">
        <f>IF(B4="","",VLOOKUP(BS4,Поправки!$B$40:$D$52,3,FALSE))</f>
        <v>1</v>
      </c>
      <c r="CE4" s="58">
        <f>IF(B4="","",IF(BT4&lt;Поправки!$I$11,Поправки!$L$11,ROUND((EXP(11.27070473*LN(BT4)^-0.08418488)^Поправки!$G$1)/Поправки!$K$10,4)))</f>
        <v>1.0526</v>
      </c>
      <c r="CF4" s="58">
        <f>IF(B4="","",IF(BU4&lt;Поправки!$N$11,Поправки!$Q$11,IF(BU4&gt;Поправки!$N$12,Поправки!$Q$12,ROUND((EXP(9.57779229*0.98667563^LN(BU4))^Поправки!$G$2)/Поправки!$P$10,4))))</f>
        <v>0.98829999999999996</v>
      </c>
      <c r="CG4" s="58">
        <f>IF(B4="","",IF(BV4&gt;Поправки!$S$12,Поправки!$V$12,IF(BV4&lt;Поправки!$S$11,Поправки!$V$11,ROUND((EXP(9.3057995*0.99085691^LN(BV4))^Поправки!$G$3)/Поправки!$U$10,4))))</f>
        <v>0.99770000000000003</v>
      </c>
      <c r="CH4" s="54">
        <f>IF(B4="","",IF(BW4&lt;Поправки!$X$11,Поправки!$AA$11,IF(BW4&gt;Поправки!$X$12,Поправки!$AA$12,ROUND((EXP(9.23088404*0.99320482^LN(BW4))^Поправки!$G$4)/Поправки!$Z$10,4))))</f>
        <v>1.0410999999999999</v>
      </c>
      <c r="CI4" s="8">
        <f>IF(B4="","",IF(BX4&lt;Поправки!$AC$11,Поправки!$AF$11,IF(BX4&gt;Поправки!$AC$12,Поправки!$AF$12,ROUND((EXP(9.93943263-0.30296633*LN(BX4))^Поправки!$G$5)/Поправки!$AE$10,4))))</f>
        <v>0.78169999999999995</v>
      </c>
      <c r="CJ4" s="2">
        <f t="shared" ref="CJ4" si="6">IF(B4="","",AT4)</f>
        <v>0</v>
      </c>
      <c r="CK4" s="55">
        <f t="shared" ref="CK4" si="7">IF(B4="","",PRODUCT(BY4:CI4))</f>
        <v>7428.1752070840457</v>
      </c>
      <c r="CL4" s="55">
        <f t="shared" ref="CL4" si="8">IF(B4="","",ROUND(CK4*$CT$3,2))</f>
        <v>5571.13</v>
      </c>
      <c r="CM4" s="9">
        <f t="shared" ref="CM4" si="9">IF(B4="","",ROUND(IF(51178*D4^-0.982&lt;$CU$3,$CU$3,IF(51178*D4^-0.982&gt;$CV$3,$CV$3,51178*D4^-0.982)),2))</f>
        <v>13.63</v>
      </c>
      <c r="CN4" s="9">
        <f t="shared" ref="CN4" si="10">IF(B4="","",ROUND((CL4*(D4-CJ4))/D4,2))</f>
        <v>5571.13</v>
      </c>
      <c r="CO4" s="60">
        <f t="shared" ref="CO4" si="11">IF(B4="","",IF(CJ4=0,CL4,IF(CN4&lt;CM4,CM4,CN4)))</f>
        <v>5571.13</v>
      </c>
      <c r="CP4" s="59">
        <f t="shared" ref="CP4" si="12">IF(B4="","",ROUND(CO4*D4,2))</f>
        <v>24329124.710000001</v>
      </c>
      <c r="CQ4" s="2" t="str">
        <f t="shared" ref="CQ4" si="13">IF(B4="","",CONCATENATE("СТ16_",DJ4,"_",DK4,"_",DL4,"_",DM4,"_",DN4,"_",ES4))</f>
        <v>СТ16_Ф5_М3_02032021_Мухамедьярова_Графика по ПКК_Новый</v>
      </c>
      <c r="CR4" s="2" t="str">
        <f t="shared" ref="CR4" si="14">IF(B4="","",B4)</f>
        <v>66:41:0313010:15828</v>
      </c>
      <c r="CS4" s="2">
        <f t="shared" ref="CS4" si="15">IF(B4="","",$CS$1)</f>
        <v>8003</v>
      </c>
      <c r="CT4" t="str">
        <f t="shared" ref="CT4" si="16">IF(B4="","","Наличие уторгования")</f>
        <v>Наличие уторгования</v>
      </c>
      <c r="CU4" s="2"/>
      <c r="CV4" s="2"/>
      <c r="CW4" s="2" t="str">
        <f t="shared" ref="CW4" si="17">IF(A4="","",IF(AF4="","Отсутствуют предыдущие значения",BO4=AF4))</f>
        <v>Отсутствуют предыдущие значения</v>
      </c>
      <c r="CX4" s="2" t="str">
        <f t="shared" ref="CX4" si="18">IF(A4="","",IF(AI4="","Отсутствуют предыдущие значения",BP4=AI4))</f>
        <v>Отсутствуют предыдущие значения</v>
      </c>
      <c r="CY4" s="2" t="str">
        <f t="shared" ref="CY4" si="19">IF(A4="","",IF(AG4="","Отсутствуют предыдущие значения",BQ4=AG4))</f>
        <v>Отсутствуют предыдущие значения</v>
      </c>
      <c r="CZ4" s="2" t="str">
        <f t="shared" ref="CZ4" si="20">IF(A4="","",IF(AH4="","Отсутствуют предыдущие значения",AH4=BR4))</f>
        <v>Отсутствуют предыдущие значения</v>
      </c>
      <c r="DA4" s="2" t="str">
        <f t="shared" ref="DA4" si="21">IF(A4="","",IF(U4="","Отсутствуют предыдущие значения",BS4=U4))</f>
        <v>Отсутствуют предыдущие значения</v>
      </c>
      <c r="DB4" s="2" t="str">
        <f t="shared" ref="DB4" si="22">IF(A4="","",IF(AK4="","Отсутствуют предыдущие значения",BT4=AK4))</f>
        <v>Отсутствуют предыдущие значения</v>
      </c>
      <c r="DC4" s="2" t="str">
        <f t="shared" ref="DC4" si="23">IF(A4="","",IF(AM4="","Отсутствуют предыдущие значения",AM4=BU4))</f>
        <v>Отсутствуют предыдущие значения</v>
      </c>
      <c r="DD4" s="2" t="str">
        <f t="shared" ref="DD4" si="24">IF(A4="","",IF(AN4="","Отсутствуют предыдущие значения",AN4=BV4))</f>
        <v>Отсутствуют предыдущие значения</v>
      </c>
      <c r="DE4" s="2" t="str">
        <f t="shared" ref="DE4" si="25">IF(A4="","",IF(AO4="","Отсутствуют предыдущие значения",BW4=AO4))</f>
        <v>Отсутствуют предыдущие значения</v>
      </c>
      <c r="DF4" s="2" t="str">
        <f t="shared" ref="DF4" si="26">IF(A4="","",IF(AP4="","Отсутствуют предыдущие значения",AP4=BX4))</f>
        <v>Отсутствуют предыдущие значения</v>
      </c>
      <c r="DG4" s="2" t="str">
        <f t="shared" ref="DG4" si="27">IF(A4="","",IF(N4="","Отсутствуют предыдущие значения",CO4=N4))</f>
        <v>Отсутствуют предыдущие значения</v>
      </c>
      <c r="DH4" s="2" t="str">
        <f t="shared" ref="DH4" si="28">IF(A4="","",IF(O4="","Отсутствуют предыдущие значения",CP4=O4))</f>
        <v>Отсутствуют предыдущие значения</v>
      </c>
      <c r="DI4" s="2" t="str">
        <f t="shared" ref="DI4" si="29">IF(B4="","",IF(MID(BH4,3,1)&lt;&gt;":","ОШИБКА В ФОРМАТЕ КОДА НП",IF(AW4&lt;&gt;"","ОСПАРИВАНИЕ",IF(AQ4="","",AQ4))))</f>
        <v/>
      </c>
      <c r="DJ4" t="str">
        <f t="shared" ref="DJ4" si="30">IF(B4="","",$DJ$1)</f>
        <v>Ф5</v>
      </c>
      <c r="DK4" t="str">
        <f t="shared" ref="DK4" si="31">IF(B4="","",$DK$1)</f>
        <v>М3</v>
      </c>
      <c r="DL4" t="str">
        <f t="shared" ref="DL4" si="32">IF(B4="","",$DL$1)</f>
        <v>02032021</v>
      </c>
      <c r="DM4" t="str">
        <f t="shared" ref="DM4" si="33">IF(B4="","",$DM$1)</f>
        <v>Мухамедьярова</v>
      </c>
      <c r="DN4" t="str">
        <f t="shared" ref="DN4" si="34">IF(B4="","",IF(O4="","Графика по ПКК","Графика на 01012020"))</f>
        <v>Графика по ПКК</v>
      </c>
      <c r="DO4" s="62" t="str">
        <f t="shared" ref="DO4" si="35">IF(B4="","",B4)</f>
        <v>66:41:0313010:15828</v>
      </c>
      <c r="DP4" s="63" t="str">
        <f t="shared" ref="DP4" si="36">IF(B4="","",BO4)</f>
        <v>пояс 3</v>
      </c>
      <c r="DQ4" s="63" t="str">
        <f t="shared" ref="DQ4" si="37">IF(B4="","",BP4)</f>
        <v>Наличие электроснабжения</v>
      </c>
      <c r="DR4" s="63" t="str">
        <f t="shared" ref="DR4" si="38">IF(B4="","",BQ4)</f>
        <v>Отсутствие теплоснабжения</v>
      </c>
      <c r="DS4" s="63" t="str">
        <f t="shared" ref="DS4" si="39">IF(B4="","",BR4)</f>
        <v>Отсутствие водоотведения</v>
      </c>
      <c r="DT4" s="64" t="str">
        <f t="shared" ref="DT4" si="40">IF(B4="","",BS4)</f>
        <v>3. СЕГМЕНТ "Общественное использование"</v>
      </c>
      <c r="DU4" s="65">
        <f t="shared" ref="DU4" si="41">IF(B4="","",BT4)</f>
        <v>4367</v>
      </c>
      <c r="DV4" s="8">
        <f t="shared" ref="DV4" si="42">IF(B4="","",BU4)</f>
        <v>7.43</v>
      </c>
      <c r="DW4" s="8">
        <f t="shared" ref="DW4" si="43">IF(B4="","",BV4)</f>
        <v>0.87</v>
      </c>
      <c r="DX4" s="8">
        <f t="shared" ref="DX4" si="44">IF(B4="","",BW4)</f>
        <v>0.01</v>
      </c>
      <c r="DY4" s="8">
        <f t="shared" ref="DY4" si="45">IF(B4="","",BX4)</f>
        <v>12.86</v>
      </c>
      <c r="DZ4" s="8">
        <f t="shared" ref="DZ4" si="46">IF(B4="","",CE4)</f>
        <v>1.0526</v>
      </c>
      <c r="EA4" s="8">
        <f t="shared" ref="EA4" si="47">IF(B4="","",CF4)</f>
        <v>0.98829999999999996</v>
      </c>
      <c r="EB4" s="8">
        <f t="shared" ref="EB4" si="48">IF(B4="","",CG4)</f>
        <v>0.99770000000000003</v>
      </c>
      <c r="EC4" s="8">
        <f t="shared" ref="EC4" si="49">IF(B4="","",CH4)</f>
        <v>1.0410999999999999</v>
      </c>
      <c r="ED4" s="8">
        <f t="shared" ref="ED4" si="50">IF(B4="","",CI4)</f>
        <v>0.78169999999999995</v>
      </c>
      <c r="EE4" s="8">
        <f t="shared" ref="EE4" si="51">IF(B4="","",CJ4)</f>
        <v>0</v>
      </c>
      <c r="EF4" s="72">
        <f t="shared" ref="EF4" si="52">IF(B4="","",CO4)</f>
        <v>5571.13</v>
      </c>
      <c r="EG4" s="73">
        <f t="shared" ref="EG4" si="53">IF(B4="","",CP4)</f>
        <v>24329124.710000001</v>
      </c>
      <c r="EH4" s="63" t="str">
        <f t="shared" ref="EH4" si="54">IF(B4="","",CQ4)</f>
        <v>СТ16_Ф5_М3_02032021_Мухамедьярова_Графика по ПКК_Новый</v>
      </c>
      <c r="EI4" s="63">
        <f t="shared" ref="EI4" si="55">IF(B4="","",CS4)</f>
        <v>8003</v>
      </c>
      <c r="EJ4" s="95" t="str">
        <f t="shared" ref="EJ4" si="56">IF(B4="","",CT4)</f>
        <v>Наличие уторгования</v>
      </c>
      <c r="EK4" t="str">
        <f t="shared" ref="EK4" si="57">IF(B4="","",IF(OR(AU4&lt;&gt;"",AW4&lt;&gt;"",EG4&lt;0),"СТОПЛИСТ",IF(OR(EQ4="Отсутствует значения предыдущих расчетов",EQ4="Осуществлен пересчет"),"ГОТОВ","ПЕРЕСЧЕТ НЕ ТРЕБУЕТСЯ")))</f>
        <v>ГОТОВ</v>
      </c>
      <c r="EL4" t="str">
        <f t="shared" ref="EL4" si="58">IF(B4="","",DT4)</f>
        <v>3. СЕГМЕНТ "Общественное использование"</v>
      </c>
      <c r="EM4">
        <f>IF(B4="","",VLOOKUP(EL4,'Сегмент ВРИ'!$B:$C,2,FALSE))</f>
        <v>3</v>
      </c>
      <c r="EN4" t="str">
        <f t="shared" ref="EN4" si="59">IF(B4="","",BH4)</f>
        <v>03:051</v>
      </c>
      <c r="EO4" t="str">
        <f>IF(B4="","",VLOOKUP(EN4,'Сегмент ВРИ'!$A:$E,4,FALSE))</f>
        <v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v>
      </c>
      <c r="EP4" t="str">
        <f t="shared" ref="EP4" si="60">IF(B4="","",IF(OR(I4="",I4="-",I4="."),J4,I4))</f>
        <v>Дошкольное, начальное и среднее общее образование</v>
      </c>
      <c r="EQ4" t="str">
        <f t="shared" ref="EQ4" si="61">IF(B4="","",IF(O4="","Отсутствует значения предыдущих расчетов",IF(O4=CP4,"Значения КС не изменилось","Осуществлен пересчет")))</f>
        <v>Отсутствует значения предыдущих расчетов</v>
      </c>
      <c r="ER4" t="str">
        <f t="shared" ref="ER4" si="62">IF(O4="","-",O4-CP4)</f>
        <v>-</v>
      </c>
      <c r="ES4" t="str">
        <f t="shared" ref="ES4" si="63">IF(B4="","-",IF(O4="","Новый","Измененный"))</f>
        <v>Новый</v>
      </c>
    </row>
    <row r="5" spans="1:155" x14ac:dyDescent="0.25">
      <c r="A5">
        <v>2776124</v>
      </c>
      <c r="B5" s="1" t="s">
        <v>1158</v>
      </c>
      <c r="C5" s="1" t="s">
        <v>1148</v>
      </c>
      <c r="D5">
        <v>8218</v>
      </c>
      <c r="F5" s="1" t="s">
        <v>1159</v>
      </c>
      <c r="G5" s="1" t="s">
        <v>1150</v>
      </c>
      <c r="H5" s="1" t="s">
        <v>1160</v>
      </c>
      <c r="I5" s="1" t="s">
        <v>1161</v>
      </c>
      <c r="K5" s="1" t="s">
        <v>1160</v>
      </c>
      <c r="L5">
        <v>98842898.980000004</v>
      </c>
      <c r="M5" s="1" t="s">
        <v>1162</v>
      </c>
      <c r="R5" s="1" t="s">
        <v>1153</v>
      </c>
      <c r="V5">
        <v>0.02</v>
      </c>
      <c r="W5">
        <v>5.32</v>
      </c>
      <c r="AA5">
        <v>4.04</v>
      </c>
      <c r="AB5">
        <v>0.28999999999999998</v>
      </c>
      <c r="AC5" s="1" t="s">
        <v>1163</v>
      </c>
      <c r="AE5" s="1" t="s">
        <v>1164</v>
      </c>
      <c r="AX5" s="1" t="s">
        <v>1156</v>
      </c>
      <c r="BH5" s="1" t="s">
        <v>545</v>
      </c>
      <c r="BI5" s="1" t="s">
        <v>1157</v>
      </c>
      <c r="BJ5">
        <v>8003</v>
      </c>
      <c r="BK5" s="1" t="s">
        <v>51</v>
      </c>
      <c r="BM5" t="str">
        <f>IFERROR(VLOOKUP(B5,'Объекты МУГИСО'!$A:$B,2,FALSE),"")</f>
        <v/>
      </c>
      <c r="BN5" s="2" t="str">
        <f>IFERROR(VLOOKUP(BH5,'Коды без коммуникаций'!$C:$C,1,FALSE),"")</f>
        <v/>
      </c>
      <c r="BO5" s="2" t="str">
        <f t="shared" ref="BO5:BO10" si="64">IF(B5="","",IF(AC5="","Пояс 2",AC5))</f>
        <v>пояс 1</v>
      </c>
      <c r="BP5" s="2" t="str">
        <f t="shared" ref="BP5:BP10" si="65">IF(B5="","",IF(OR(Y5="отсутствие",Y5="отсутствие электроснабжения"),"Отсутствие электроснабжения","Наличие электроснабжения"))</f>
        <v>Наличие электроснабжения</v>
      </c>
      <c r="BQ5" s="2" t="str">
        <f t="shared" ref="BQ5:BQ10" si="66">IF(A5="","",IF(OR(BN5&lt;&gt;"",X5="",X5="Отсутствие"),"Отсутствие теплоснабжения","Наличие теплоснабжения"))</f>
        <v>Отсутствие теплоснабжения</v>
      </c>
      <c r="BR5" s="2" t="str">
        <f t="shared" ref="BR5:BR10" si="67">IF(A5="","",IF(OR(BN5&lt;&gt;"",Z5="",Z5="Отсутствие"),"Отсутствие водоотведения","Наличие водоотведения"))</f>
        <v>Отсутствие водоотведения</v>
      </c>
      <c r="BS5" s="2" t="str">
        <f t="shared" ref="BS5:BS10" si="68">IF(B5="","",BK5)</f>
        <v>3. СЕГМЕНТ "Общественное использование"</v>
      </c>
      <c r="BT5" s="2">
        <f t="shared" ref="BT5:BT10" si="69">IF(B5="","",D5)</f>
        <v>8218</v>
      </c>
      <c r="BU5" s="55">
        <f>IF(B5="","",IF(AA5="",VLOOKUP(BO5,Поправки!$AJ$1:$AK$6,2,FALSE),AA5))</f>
        <v>4.04</v>
      </c>
      <c r="BV5" s="55">
        <f>IF(B5="","",IF(AB5="",Поправки!$AO$2,AB5))</f>
        <v>0.28999999999999998</v>
      </c>
      <c r="BW5" s="55">
        <f>IF(B5="","",IF(BM5=1,0.0001,IF(V5="",Поправки!$AP$2,V5)))</f>
        <v>0.02</v>
      </c>
      <c r="BX5" s="55">
        <f>IF(B5="","",IF(W5&lt;=0,VLOOKUP(BO5,Поправки!$AJ$1:$AL$6,3,FALSE),W5))</f>
        <v>5.32</v>
      </c>
      <c r="BY5" s="58">
        <f>IF(B5="","",Поправки!$K$21)</f>
        <v>12012.3372</v>
      </c>
      <c r="BZ5" s="58">
        <f>IF(B5="","",VLOOKUP(BO5,Поправки!$B$40:$D$52,3,FALSE))</f>
        <v>0.82940000000000003</v>
      </c>
      <c r="CA5" s="58">
        <f>IF(B5="","",VLOOKUP(BP5,Поправки!$B$40:$D$52,3,FALSE))</f>
        <v>1.127</v>
      </c>
      <c r="CB5" s="58">
        <f>IF(B5="","",VLOOKUP(BQ5,Поправки!$B$40:$D$52,3,FALSE))</f>
        <v>1</v>
      </c>
      <c r="CC5" s="58">
        <f>IF(B5="","",VLOOKUP(BR5,Поправки!$B$40:$D$52,3,FALSE))</f>
        <v>1</v>
      </c>
      <c r="CD5" s="58">
        <f>IF(B5="","",VLOOKUP(BS5,Поправки!$B$40:$D$52,3,FALSE))</f>
        <v>1</v>
      </c>
      <c r="CE5" s="58">
        <f>IF(B5="","",IF(BT5&lt;Поправки!$I$11,Поправки!$L$11,ROUND((EXP(11.27070473*LN(BT5)^-0.08418488)^Поправки!$G$1)/Поправки!$K$10,4)))</f>
        <v>1.0117</v>
      </c>
      <c r="CF5" s="58">
        <f>IF(B5="","",IF(BU5&lt;Поправки!$N$11,Поправки!$Q$11,IF(BU5&gt;Поправки!$N$12,Поправки!$Q$12,ROUND((EXP(9.57779229*0.98667563^LN(BU5))^Поправки!$G$2)/Поправки!$P$10,4))))</f>
        <v>0.99180000000000001</v>
      </c>
      <c r="CG5" s="58">
        <f>IF(B5="","",IF(BV5&gt;Поправки!$S$12,Поправки!$V$12,IF(BV5&lt;Поправки!$S$11,Поправки!$V$11,ROUND((EXP(9.3057995*0.99085691^LN(BV5))^Поправки!$G$3)/Поправки!$U$10,4))))</f>
        <v>1.0023</v>
      </c>
      <c r="CH5" s="54">
        <f>IF(B5="","",IF(BW5&lt;Поправки!$X$11,Поправки!$AA$11,IF(BW5&gt;Поправки!$X$12,Поправки!$AA$12,ROUND((EXP(9.23088404*0.99320482^LN(BW5))^Поправки!$G$4)/Поправки!$Z$10,4))))</f>
        <v>1.0331999999999999</v>
      </c>
      <c r="CI5" s="8">
        <f>IF(B5="","",IF(BX5&lt;Поправки!$AC$11,Поправки!$AF$11,IF(BX5&gt;Поправки!$AC$12,Поправки!$AF$12,ROUND((EXP(9.93943263-0.30296633*LN(BX5))^Поправки!$G$5)/Поправки!$AE$10,4))))</f>
        <v>0.85119999999999996</v>
      </c>
      <c r="CJ5" s="2">
        <f t="shared" ref="CJ5:CJ10" si="70">IF(B5="","",AT5)</f>
        <v>0</v>
      </c>
      <c r="CK5" s="55">
        <f t="shared" ref="CK5:CK10" si="71">IF(B5="","",PRODUCT(BY5:CI5))</f>
        <v>9931.2761632781712</v>
      </c>
      <c r="CL5" s="55">
        <f t="shared" ref="CL5:CL10" si="72">IF(B5="","",ROUND(CK5*$CT$3,2))</f>
        <v>7448.46</v>
      </c>
      <c r="CM5" s="9">
        <f t="shared" ref="CM5:CM10" si="73">IF(B5="","",ROUND(IF(51178*D5^-0.982&lt;$CU$3,$CU$3,IF(51178*D5^-0.982&gt;$CV$3,$CV$3,51178*D5^-0.982)),2))</f>
        <v>7.32</v>
      </c>
      <c r="CN5" s="9">
        <f t="shared" ref="CN5:CN10" si="74">IF(B5="","",ROUND((CL5*(D5-CJ5))/D5,2))</f>
        <v>7448.46</v>
      </c>
      <c r="CO5" s="60">
        <f t="shared" ref="CO5:CO10" si="75">IF(B5="","",IF(CJ5=0,CL5,IF(CN5&lt;CM5,CM5,CN5)))</f>
        <v>7448.46</v>
      </c>
      <c r="CP5" s="59">
        <f t="shared" ref="CP5:CP10" si="76">IF(B5="","",ROUND(CO5*D5,2))</f>
        <v>61211444.280000001</v>
      </c>
      <c r="CQ5" s="2" t="str">
        <f t="shared" ref="CQ5:CQ10" si="77">IF(B5="","",CONCATENATE("СТ16_",DJ5,"_",DK5,"_",DL5,"_",DM5,"_",DN5,"_",ES5))</f>
        <v>СТ16_Ф5_М3_02032021_Мухамедьярова_Графика по ПКК_Новый</v>
      </c>
      <c r="CR5" s="2" t="str">
        <f t="shared" ref="CR5:CR10" si="78">IF(B5="","",B5)</f>
        <v>66:41:0704045:38</v>
      </c>
      <c r="CS5" s="2">
        <f t="shared" ref="CS5:CS10" si="79">IF(B5="","",$CS$1)</f>
        <v>8003</v>
      </c>
      <c r="CT5" t="str">
        <f t="shared" ref="CT5:CT10" si="80">IF(B5="","","Наличие уторгования")</f>
        <v>Наличие уторгования</v>
      </c>
      <c r="CU5" s="2"/>
      <c r="CV5" s="2"/>
      <c r="CW5" s="2" t="str">
        <f t="shared" ref="CW5:CW10" si="81">IF(A5="","",IF(AF5="","Отсутствуют предыдущие значения",BO5=AF5))</f>
        <v>Отсутствуют предыдущие значения</v>
      </c>
      <c r="CX5" s="2" t="str">
        <f t="shared" ref="CX5:CX10" si="82">IF(A5="","",IF(AI5="","Отсутствуют предыдущие значения",BP5=AI5))</f>
        <v>Отсутствуют предыдущие значения</v>
      </c>
      <c r="CY5" s="2" t="str">
        <f t="shared" ref="CY5:CY10" si="83">IF(A5="","",IF(AG5="","Отсутствуют предыдущие значения",BQ5=AG5))</f>
        <v>Отсутствуют предыдущие значения</v>
      </c>
      <c r="CZ5" s="2" t="str">
        <f t="shared" ref="CZ5:CZ10" si="84">IF(A5="","",IF(AH5="","Отсутствуют предыдущие значения",AH5=BR5))</f>
        <v>Отсутствуют предыдущие значения</v>
      </c>
      <c r="DA5" s="2" t="str">
        <f t="shared" ref="DA5:DA10" si="85">IF(A5="","",IF(U5="","Отсутствуют предыдущие значения",BS5=U5))</f>
        <v>Отсутствуют предыдущие значения</v>
      </c>
      <c r="DB5" s="2" t="str">
        <f t="shared" ref="DB5:DB10" si="86">IF(A5="","",IF(AK5="","Отсутствуют предыдущие значения",BT5=AK5))</f>
        <v>Отсутствуют предыдущие значения</v>
      </c>
      <c r="DC5" s="2" t="str">
        <f t="shared" ref="DC5:DC10" si="87">IF(A5="","",IF(AM5="","Отсутствуют предыдущие значения",AM5=BU5))</f>
        <v>Отсутствуют предыдущие значения</v>
      </c>
      <c r="DD5" s="2" t="str">
        <f t="shared" ref="DD5:DD10" si="88">IF(A5="","",IF(AN5="","Отсутствуют предыдущие значения",AN5=BV5))</f>
        <v>Отсутствуют предыдущие значения</v>
      </c>
      <c r="DE5" s="2" t="str">
        <f t="shared" ref="DE5:DE10" si="89">IF(A5="","",IF(AO5="","Отсутствуют предыдущие значения",BW5=AO5))</f>
        <v>Отсутствуют предыдущие значения</v>
      </c>
      <c r="DF5" s="2" t="str">
        <f t="shared" ref="DF5:DF10" si="90">IF(A5="","",IF(AP5="","Отсутствуют предыдущие значения",AP5=BX5))</f>
        <v>Отсутствуют предыдущие значения</v>
      </c>
      <c r="DG5" s="2" t="str">
        <f t="shared" ref="DG5:DG10" si="91">IF(A5="","",IF(N5="","Отсутствуют предыдущие значения",CO5=N5))</f>
        <v>Отсутствуют предыдущие значения</v>
      </c>
      <c r="DH5" s="2" t="str">
        <f t="shared" ref="DH5:DH10" si="92">IF(A5="","",IF(O5="","Отсутствуют предыдущие значения",CP5=O5))</f>
        <v>Отсутствуют предыдущие значения</v>
      </c>
      <c r="DI5" s="2" t="str">
        <f t="shared" ref="DI5:DI10" si="93">IF(B5="","",IF(MID(BH5,3,1)&lt;&gt;":","ОШИБКА В ФОРМАТЕ КОДА НП",IF(AW5&lt;&gt;"","ОСПАРИВАНИЕ",IF(AQ5="","",AQ5))))</f>
        <v/>
      </c>
      <c r="DJ5" t="str">
        <f t="shared" ref="DJ5:DJ10" si="94">IF(B5="","",$DJ$1)</f>
        <v>Ф5</v>
      </c>
      <c r="DK5" t="str">
        <f t="shared" ref="DK5:DK10" si="95">IF(B5="","",$DK$1)</f>
        <v>М3</v>
      </c>
      <c r="DL5" t="str">
        <f t="shared" ref="DL5:DL10" si="96">IF(B5="","",$DL$1)</f>
        <v>02032021</v>
      </c>
      <c r="DM5" t="str">
        <f t="shared" ref="DM5:DM10" si="97">IF(B5="","",$DM$1)</f>
        <v>Мухамедьярова</v>
      </c>
      <c r="DN5" t="str">
        <f t="shared" ref="DN5:DN10" si="98">IF(B5="","",IF(O5="","Графика по ПКК","Графика на 01012020"))</f>
        <v>Графика по ПКК</v>
      </c>
      <c r="DO5" s="62" t="str">
        <f t="shared" ref="DO5:DO10" si="99">IF(B5="","",B5)</f>
        <v>66:41:0704045:38</v>
      </c>
      <c r="DP5" s="63" t="str">
        <f t="shared" ref="DP5:DP10" si="100">IF(B5="","",BO5)</f>
        <v>пояс 1</v>
      </c>
      <c r="DQ5" s="63" t="str">
        <f t="shared" ref="DQ5:DQ10" si="101">IF(B5="","",BP5)</f>
        <v>Наличие электроснабжения</v>
      </c>
      <c r="DR5" s="63" t="str">
        <f t="shared" ref="DR5:DR10" si="102">IF(B5="","",BQ5)</f>
        <v>Отсутствие теплоснабжения</v>
      </c>
      <c r="DS5" s="63" t="str">
        <f t="shared" ref="DS5:DS10" si="103">IF(B5="","",BR5)</f>
        <v>Отсутствие водоотведения</v>
      </c>
      <c r="DT5" s="64" t="str">
        <f t="shared" ref="DT5:DT10" si="104">IF(B5="","",BS5)</f>
        <v>3. СЕГМЕНТ "Общественное использование"</v>
      </c>
      <c r="DU5" s="65">
        <f t="shared" ref="DU5:DU10" si="105">IF(B5="","",BT5)</f>
        <v>8218</v>
      </c>
      <c r="DV5" s="8">
        <f t="shared" ref="DV5:DV10" si="106">IF(B5="","",BU5)</f>
        <v>4.04</v>
      </c>
      <c r="DW5" s="8">
        <f t="shared" ref="DW5:DW10" si="107">IF(B5="","",BV5)</f>
        <v>0.28999999999999998</v>
      </c>
      <c r="DX5" s="8">
        <f t="shared" ref="DX5:DX10" si="108">IF(B5="","",BW5)</f>
        <v>0.02</v>
      </c>
      <c r="DY5" s="8">
        <f t="shared" ref="DY5:DY10" si="109">IF(B5="","",BX5)</f>
        <v>5.32</v>
      </c>
      <c r="DZ5" s="8">
        <f t="shared" ref="DZ5:DZ10" si="110">IF(B5="","",CE5)</f>
        <v>1.0117</v>
      </c>
      <c r="EA5" s="8">
        <f t="shared" ref="EA5:EA10" si="111">IF(B5="","",CF5)</f>
        <v>0.99180000000000001</v>
      </c>
      <c r="EB5" s="8">
        <f t="shared" ref="EB5:EB10" si="112">IF(B5="","",CG5)</f>
        <v>1.0023</v>
      </c>
      <c r="EC5" s="8">
        <f t="shared" ref="EC5:EC10" si="113">IF(B5="","",CH5)</f>
        <v>1.0331999999999999</v>
      </c>
      <c r="ED5" s="8">
        <f t="shared" ref="ED5:ED10" si="114">IF(B5="","",CI5)</f>
        <v>0.85119999999999996</v>
      </c>
      <c r="EE5" s="8">
        <f t="shared" ref="EE5:EE10" si="115">IF(B5="","",CJ5)</f>
        <v>0</v>
      </c>
      <c r="EF5" s="72">
        <f t="shared" ref="EF5:EF10" si="116">IF(B5="","",CO5)</f>
        <v>7448.46</v>
      </c>
      <c r="EG5" s="73">
        <f t="shared" ref="EG5:EG10" si="117">IF(B5="","",CP5)</f>
        <v>61211444.280000001</v>
      </c>
      <c r="EH5" s="63" t="str">
        <f t="shared" ref="EH5:EH10" si="118">IF(B5="","",CQ5)</f>
        <v>СТ16_Ф5_М3_02032021_Мухамедьярова_Графика по ПКК_Новый</v>
      </c>
      <c r="EI5" s="63">
        <f t="shared" ref="EI5:EI10" si="119">IF(B5="","",CS5)</f>
        <v>8003</v>
      </c>
      <c r="EJ5" s="95" t="str">
        <f t="shared" ref="EJ5:EJ10" si="120">IF(B5="","",CT5)</f>
        <v>Наличие уторгования</v>
      </c>
      <c r="EK5" t="str">
        <f t="shared" ref="EK5:EK10" si="121">IF(B5="","",IF(OR(AU5&lt;&gt;"",AW5&lt;&gt;"",EG5&lt;0),"СТОПЛИСТ",IF(OR(EQ5="Отсутствует значения предыдущих расчетов",EQ5="Осуществлен пересчет"),"ГОТОВ","ПЕРЕСЧЕТ НЕ ТРЕБУЕТСЯ")))</f>
        <v>ГОТОВ</v>
      </c>
      <c r="EL5" t="str">
        <f t="shared" ref="EL5:EL10" si="122">IF(B5="","",DT5)</f>
        <v>3. СЕГМЕНТ "Общественное использование"</v>
      </c>
      <c r="EM5">
        <f>IF(B5="","",VLOOKUP(EL5,'Сегмент ВРИ'!$B:$C,2,FALSE))</f>
        <v>3</v>
      </c>
      <c r="EN5" t="str">
        <f t="shared" ref="EN5:EN10" si="123">IF(B5="","",BH5)</f>
        <v>03:092</v>
      </c>
      <c r="EO5" t="str">
        <f>IF(B5="","",VLOOKUP(EN5,'Сегмент ВРИ'!$A:$E,4,FALSE))</f>
        <v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v>
      </c>
      <c r="EP5" t="str">
        <f t="shared" ref="EP5:EP10" si="124">IF(B5="","",IF(OR(I5="",I5="-",I5="."),J5,I5))</f>
        <v>Земли, занятые НИИ и проектными институтами</v>
      </c>
      <c r="EQ5" t="str">
        <f t="shared" ref="EQ5:EQ10" si="125">IF(B5="","",IF(O5="","Отсутствует значения предыдущих расчетов",IF(O5=CP5,"Значения КС не изменилось","Осуществлен пересчет")))</f>
        <v>Отсутствует значения предыдущих расчетов</v>
      </c>
      <c r="ER5" t="str">
        <f t="shared" ref="ER5:ER10" si="126">IF(O5="","-",O5-CP5)</f>
        <v>-</v>
      </c>
      <c r="ES5" t="str">
        <f t="shared" ref="ES5:ES10" si="127">IF(B5="","-",IF(O5="","Новый","Измененный"))</f>
        <v>Новый</v>
      </c>
    </row>
    <row r="6" spans="1:155" x14ac:dyDescent="0.25">
      <c r="A6">
        <v>2775535</v>
      </c>
      <c r="B6" s="1" t="s">
        <v>1165</v>
      </c>
      <c r="C6" s="1" t="s">
        <v>1148</v>
      </c>
      <c r="D6">
        <v>10150</v>
      </c>
      <c r="F6" s="1" t="s">
        <v>1149</v>
      </c>
      <c r="G6" s="1" t="s">
        <v>1150</v>
      </c>
      <c r="H6" s="1" t="s">
        <v>1151</v>
      </c>
      <c r="I6" s="1" t="s">
        <v>1152</v>
      </c>
      <c r="R6" s="1" t="s">
        <v>1153</v>
      </c>
      <c r="V6">
        <v>0.26</v>
      </c>
      <c r="W6">
        <v>11.96</v>
      </c>
      <c r="AA6">
        <v>6.82</v>
      </c>
      <c r="AB6">
        <v>0.55000000000000004</v>
      </c>
      <c r="AC6" s="1" t="s">
        <v>1154</v>
      </c>
      <c r="AE6" s="1" t="s">
        <v>1155</v>
      </c>
      <c r="AX6" s="1" t="s">
        <v>1156</v>
      </c>
      <c r="BH6" s="1" t="s">
        <v>62</v>
      </c>
      <c r="BI6" s="1" t="s">
        <v>1157</v>
      </c>
      <c r="BJ6">
        <v>8003</v>
      </c>
      <c r="BK6" s="1" t="s">
        <v>51</v>
      </c>
      <c r="BM6" t="str">
        <f>IFERROR(VLOOKUP(B6,'Объекты МУГИСО'!$A:$B,2,FALSE),"")</f>
        <v/>
      </c>
      <c r="BN6" s="2" t="str">
        <f>IFERROR(VLOOKUP(BH6,'Коды без коммуникаций'!$C:$C,1,FALSE),"")</f>
        <v/>
      </c>
      <c r="BO6" s="2" t="str">
        <f t="shared" si="64"/>
        <v>пояс 3</v>
      </c>
      <c r="BP6" s="2" t="str">
        <f t="shared" si="65"/>
        <v>Наличие электроснабжения</v>
      </c>
      <c r="BQ6" s="2" t="str">
        <f t="shared" si="66"/>
        <v>Отсутствие теплоснабжения</v>
      </c>
      <c r="BR6" s="2" t="str">
        <f t="shared" si="67"/>
        <v>Отсутствие водоотведения</v>
      </c>
      <c r="BS6" s="2" t="str">
        <f t="shared" si="68"/>
        <v>3. СЕГМЕНТ "Общественное использование"</v>
      </c>
      <c r="BT6" s="2">
        <f t="shared" si="69"/>
        <v>10150</v>
      </c>
      <c r="BU6" s="55">
        <f>IF(B6="","",IF(AA6="",VLOOKUP(BO6,Поправки!$AJ$1:$AK$6,2,FALSE),AA6))</f>
        <v>6.82</v>
      </c>
      <c r="BV6" s="55">
        <f>IF(B6="","",IF(AB6="",Поправки!$AO$2,AB6))</f>
        <v>0.55000000000000004</v>
      </c>
      <c r="BW6" s="55">
        <f>IF(B6="","",IF(BM6=1,0.0001,IF(V6="",Поправки!$AP$2,V6)))</f>
        <v>0.26</v>
      </c>
      <c r="BX6" s="55">
        <f>IF(B6="","",IF(W6&lt;=0,VLOOKUP(BO6,Поправки!$AJ$1:$AL$6,3,FALSE),W6))</f>
        <v>11.96</v>
      </c>
      <c r="BY6" s="58">
        <f>IF(B6="","",Поправки!$K$21)</f>
        <v>12012.3372</v>
      </c>
      <c r="BZ6" s="58">
        <f>IF(B6="","",VLOOKUP(BO6,Поправки!$B$40:$D$52,3,FALSE))</f>
        <v>0.64959999999999996</v>
      </c>
      <c r="CA6" s="58">
        <f>IF(B6="","",VLOOKUP(BP6,Поправки!$B$40:$D$52,3,FALSE))</f>
        <v>1.127</v>
      </c>
      <c r="CB6" s="58">
        <f>IF(B6="","",VLOOKUP(BQ6,Поправки!$B$40:$D$52,3,FALSE))</f>
        <v>1</v>
      </c>
      <c r="CC6" s="58">
        <f>IF(B6="","",VLOOKUP(BR6,Поправки!$B$40:$D$52,3,FALSE))</f>
        <v>1</v>
      </c>
      <c r="CD6" s="58">
        <f>IF(B6="","",VLOOKUP(BS6,Поправки!$B$40:$D$52,3,FALSE))</f>
        <v>1</v>
      </c>
      <c r="CE6" s="58">
        <f>IF(B6="","",IF(BT6&lt;Поправки!$I$11,Поправки!$L$11,ROUND((EXP(11.27070473*LN(BT6)^-0.08418488)^Поправки!$G$1)/Поправки!$K$10,4)))</f>
        <v>0.99909999999999999</v>
      </c>
      <c r="CF6" s="58">
        <f>IF(B6="","",IF(BU6&lt;Поправки!$N$11,Поправки!$Q$11,IF(BU6&gt;Поправки!$N$12,Поправки!$Q$12,ROUND((EXP(9.57779229*0.98667563^LN(BU6))^Поправки!$G$2)/Поправки!$P$10,4))))</f>
        <v>0.98870000000000002</v>
      </c>
      <c r="CG6" s="58">
        <f>IF(B6="","",IF(BV6&gt;Поправки!$S$12,Поправки!$V$12,IF(BV6&lt;Поправки!$S$11,Поправки!$V$11,ROUND((EXP(9.3057995*0.99085691^LN(BV6))^Поправки!$G$3)/Поправки!$U$10,4))))</f>
        <v>0.99960000000000004</v>
      </c>
      <c r="CH6" s="54">
        <f>IF(B6="","",IF(BW6&lt;Поправки!$X$11,Поправки!$AA$11,IF(BW6&gt;Поправки!$X$12,Поправки!$AA$12,ROUND((EXP(9.23088404*0.99320482^LN(BW6))^Поправки!$G$4)/Поправки!$Z$10,4))))</f>
        <v>1.0046999999999999</v>
      </c>
      <c r="CI6" s="8">
        <f>IF(B6="","",IF(BX6&lt;Поправки!$AC$11,Поправки!$AF$11,IF(BX6&gt;Поправки!$AC$12,Поправки!$AF$12,ROUND((EXP(9.93943263-0.30296633*LN(BX6))^Поправки!$G$5)/Поправки!$AE$10,4))))</f>
        <v>0.78720000000000001</v>
      </c>
      <c r="CJ6" s="2">
        <f t="shared" si="70"/>
        <v>0</v>
      </c>
      <c r="CK6" s="55">
        <f t="shared" si="71"/>
        <v>6867.8163826379123</v>
      </c>
      <c r="CL6" s="55">
        <f t="shared" si="72"/>
        <v>5150.8599999999997</v>
      </c>
      <c r="CM6" s="9">
        <f t="shared" si="73"/>
        <v>5.95</v>
      </c>
      <c r="CN6" s="9">
        <f t="shared" si="74"/>
        <v>5150.8599999999997</v>
      </c>
      <c r="CO6" s="60">
        <f t="shared" si="75"/>
        <v>5150.8599999999997</v>
      </c>
      <c r="CP6" s="59">
        <f t="shared" si="76"/>
        <v>52281229</v>
      </c>
      <c r="CQ6" s="2" t="str">
        <f t="shared" si="77"/>
        <v>СТ16_Ф5_М3_02032021_Мухамедьярова_Графика по ПКК_Новый</v>
      </c>
      <c r="CR6" s="2" t="str">
        <f t="shared" si="78"/>
        <v>66:41:0313010:15840</v>
      </c>
      <c r="CS6" s="2">
        <f t="shared" si="79"/>
        <v>8003</v>
      </c>
      <c r="CT6" t="str">
        <f t="shared" si="80"/>
        <v>Наличие уторгования</v>
      </c>
      <c r="CU6" s="2"/>
      <c r="CV6" s="2"/>
      <c r="CW6" s="2" t="str">
        <f t="shared" si="81"/>
        <v>Отсутствуют предыдущие значения</v>
      </c>
      <c r="CX6" s="2" t="str">
        <f t="shared" si="82"/>
        <v>Отсутствуют предыдущие значения</v>
      </c>
      <c r="CY6" s="2" t="str">
        <f t="shared" si="83"/>
        <v>Отсутствуют предыдущие значения</v>
      </c>
      <c r="CZ6" s="2" t="str">
        <f t="shared" si="84"/>
        <v>Отсутствуют предыдущие значения</v>
      </c>
      <c r="DA6" s="2" t="str">
        <f t="shared" si="85"/>
        <v>Отсутствуют предыдущие значения</v>
      </c>
      <c r="DB6" s="2" t="str">
        <f t="shared" si="86"/>
        <v>Отсутствуют предыдущие значения</v>
      </c>
      <c r="DC6" s="2" t="str">
        <f t="shared" si="87"/>
        <v>Отсутствуют предыдущие значения</v>
      </c>
      <c r="DD6" s="2" t="str">
        <f t="shared" si="88"/>
        <v>Отсутствуют предыдущие значения</v>
      </c>
      <c r="DE6" s="2" t="str">
        <f t="shared" si="89"/>
        <v>Отсутствуют предыдущие значения</v>
      </c>
      <c r="DF6" s="2" t="str">
        <f t="shared" si="90"/>
        <v>Отсутствуют предыдущие значения</v>
      </c>
      <c r="DG6" s="2" t="str">
        <f t="shared" si="91"/>
        <v>Отсутствуют предыдущие значения</v>
      </c>
      <c r="DH6" s="2" t="str">
        <f t="shared" si="92"/>
        <v>Отсутствуют предыдущие значения</v>
      </c>
      <c r="DI6" s="2" t="str">
        <f t="shared" si="93"/>
        <v/>
      </c>
      <c r="DJ6" t="str">
        <f t="shared" si="94"/>
        <v>Ф5</v>
      </c>
      <c r="DK6" t="str">
        <f t="shared" si="95"/>
        <v>М3</v>
      </c>
      <c r="DL6" t="str">
        <f t="shared" si="96"/>
        <v>02032021</v>
      </c>
      <c r="DM6" t="str">
        <f t="shared" si="97"/>
        <v>Мухамедьярова</v>
      </c>
      <c r="DN6" t="str">
        <f t="shared" si="98"/>
        <v>Графика по ПКК</v>
      </c>
      <c r="DO6" s="62" t="str">
        <f t="shared" si="99"/>
        <v>66:41:0313010:15840</v>
      </c>
      <c r="DP6" s="63" t="str">
        <f t="shared" si="100"/>
        <v>пояс 3</v>
      </c>
      <c r="DQ6" s="63" t="str">
        <f t="shared" si="101"/>
        <v>Наличие электроснабжения</v>
      </c>
      <c r="DR6" s="63" t="str">
        <f t="shared" si="102"/>
        <v>Отсутствие теплоснабжения</v>
      </c>
      <c r="DS6" s="63" t="str">
        <f t="shared" si="103"/>
        <v>Отсутствие водоотведения</v>
      </c>
      <c r="DT6" s="64" t="str">
        <f t="shared" si="104"/>
        <v>3. СЕГМЕНТ "Общественное использование"</v>
      </c>
      <c r="DU6" s="65">
        <f t="shared" si="105"/>
        <v>10150</v>
      </c>
      <c r="DV6" s="8">
        <f t="shared" si="106"/>
        <v>6.82</v>
      </c>
      <c r="DW6" s="8">
        <f t="shared" si="107"/>
        <v>0.55000000000000004</v>
      </c>
      <c r="DX6" s="8">
        <f t="shared" si="108"/>
        <v>0.26</v>
      </c>
      <c r="DY6" s="8">
        <f t="shared" si="109"/>
        <v>11.96</v>
      </c>
      <c r="DZ6" s="8">
        <f t="shared" si="110"/>
        <v>0.99909999999999999</v>
      </c>
      <c r="EA6" s="8">
        <f t="shared" si="111"/>
        <v>0.98870000000000002</v>
      </c>
      <c r="EB6" s="8">
        <f t="shared" si="112"/>
        <v>0.99960000000000004</v>
      </c>
      <c r="EC6" s="8">
        <f t="shared" si="113"/>
        <v>1.0046999999999999</v>
      </c>
      <c r="ED6" s="8">
        <f t="shared" si="114"/>
        <v>0.78720000000000001</v>
      </c>
      <c r="EE6" s="8">
        <f t="shared" si="115"/>
        <v>0</v>
      </c>
      <c r="EF6" s="72">
        <f t="shared" si="116"/>
        <v>5150.8599999999997</v>
      </c>
      <c r="EG6" s="73">
        <f t="shared" si="117"/>
        <v>52281229</v>
      </c>
      <c r="EH6" s="63" t="str">
        <f t="shared" si="118"/>
        <v>СТ16_Ф5_М3_02032021_Мухамедьярова_Графика по ПКК_Новый</v>
      </c>
      <c r="EI6" s="63">
        <f t="shared" si="119"/>
        <v>8003</v>
      </c>
      <c r="EJ6" s="95" t="str">
        <f t="shared" si="120"/>
        <v>Наличие уторгования</v>
      </c>
      <c r="EK6" t="str">
        <f t="shared" si="121"/>
        <v>ГОТОВ</v>
      </c>
      <c r="EL6" t="str">
        <f t="shared" si="122"/>
        <v>3. СЕГМЕНТ "Общественное использование"</v>
      </c>
      <c r="EM6">
        <f>IF(B6="","",VLOOKUP(EL6,'Сегмент ВРИ'!$B:$C,2,FALSE))</f>
        <v>3</v>
      </c>
      <c r="EN6" t="str">
        <f t="shared" si="123"/>
        <v>03:051</v>
      </c>
      <c r="EO6" t="str">
        <f>IF(B6="","",VLOOKUP(EN6,'Сегмент ВРИ'!$A:$E,4,FALSE))</f>
        <v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v>
      </c>
      <c r="EP6" t="str">
        <f t="shared" si="124"/>
        <v>Дошкольное, начальное и среднее общее образование</v>
      </c>
      <c r="EQ6" t="str">
        <f t="shared" si="125"/>
        <v>Отсутствует значения предыдущих расчетов</v>
      </c>
      <c r="ER6" t="str">
        <f t="shared" si="126"/>
        <v>-</v>
      </c>
      <c r="ES6" t="str">
        <f t="shared" si="127"/>
        <v>Новый</v>
      </c>
    </row>
    <row r="7" spans="1:155" x14ac:dyDescent="0.25">
      <c r="A7">
        <v>2775531</v>
      </c>
      <c r="B7" s="1" t="s">
        <v>1166</v>
      </c>
      <c r="C7" s="1" t="s">
        <v>1148</v>
      </c>
      <c r="D7">
        <v>7879</v>
      </c>
      <c r="F7" s="1" t="s">
        <v>1149</v>
      </c>
      <c r="G7" s="1" t="s">
        <v>1150</v>
      </c>
      <c r="H7" s="1" t="s">
        <v>1151</v>
      </c>
      <c r="I7" s="1" t="s">
        <v>1152</v>
      </c>
      <c r="R7" s="1" t="s">
        <v>1153</v>
      </c>
      <c r="V7">
        <v>0.04</v>
      </c>
      <c r="W7">
        <v>12.84</v>
      </c>
      <c r="AA7">
        <v>7.38</v>
      </c>
      <c r="AB7">
        <v>0.75</v>
      </c>
      <c r="AC7" s="1" t="s">
        <v>1154</v>
      </c>
      <c r="AE7" s="1" t="s">
        <v>1155</v>
      </c>
      <c r="AX7" s="1" t="s">
        <v>1156</v>
      </c>
      <c r="BH7" s="1" t="s">
        <v>62</v>
      </c>
      <c r="BI7" s="1" t="s">
        <v>1157</v>
      </c>
      <c r="BJ7">
        <v>8003</v>
      </c>
      <c r="BK7" s="1" t="s">
        <v>51</v>
      </c>
      <c r="BM7" t="str">
        <f>IFERROR(VLOOKUP(B7,'Объекты МУГИСО'!$A:$B,2,FALSE),"")</f>
        <v/>
      </c>
      <c r="BN7" s="2" t="str">
        <f>IFERROR(VLOOKUP(BH7,'Коды без коммуникаций'!$C:$C,1,FALSE),"")</f>
        <v/>
      </c>
      <c r="BO7" s="2" t="str">
        <f t="shared" si="64"/>
        <v>пояс 3</v>
      </c>
      <c r="BP7" s="2" t="str">
        <f t="shared" si="65"/>
        <v>Наличие электроснабжения</v>
      </c>
      <c r="BQ7" s="2" t="str">
        <f t="shared" si="66"/>
        <v>Отсутствие теплоснабжения</v>
      </c>
      <c r="BR7" s="2" t="str">
        <f t="shared" si="67"/>
        <v>Отсутствие водоотведения</v>
      </c>
      <c r="BS7" s="2" t="str">
        <f t="shared" si="68"/>
        <v>3. СЕГМЕНТ "Общественное использование"</v>
      </c>
      <c r="BT7" s="2">
        <f t="shared" si="69"/>
        <v>7879</v>
      </c>
      <c r="BU7" s="55">
        <f>IF(B7="","",IF(AA7="",VLOOKUP(BO7,Поправки!$AJ$1:$AK$6,2,FALSE),AA7))</f>
        <v>7.38</v>
      </c>
      <c r="BV7" s="55">
        <f>IF(B7="","",IF(AB7="",Поправки!$AO$2,AB7))</f>
        <v>0.75</v>
      </c>
      <c r="BW7" s="55">
        <f>IF(B7="","",IF(BM7=1,0.0001,IF(V7="",Поправки!$AP$2,V7)))</f>
        <v>0.04</v>
      </c>
      <c r="BX7" s="55">
        <f>IF(B7="","",IF(W7&lt;=0,VLOOKUP(BO7,Поправки!$AJ$1:$AL$6,3,FALSE),W7))</f>
        <v>12.84</v>
      </c>
      <c r="BY7" s="58">
        <f>IF(B7="","",Поправки!$K$21)</f>
        <v>12012.3372</v>
      </c>
      <c r="BZ7" s="58">
        <f>IF(B7="","",VLOOKUP(BO7,Поправки!$B$40:$D$52,3,FALSE))</f>
        <v>0.64959999999999996</v>
      </c>
      <c r="CA7" s="58">
        <f>IF(B7="","",VLOOKUP(BP7,Поправки!$B$40:$D$52,3,FALSE))</f>
        <v>1.127</v>
      </c>
      <c r="CB7" s="58">
        <f>IF(B7="","",VLOOKUP(BQ7,Поправки!$B$40:$D$52,3,FALSE))</f>
        <v>1</v>
      </c>
      <c r="CC7" s="58">
        <f>IF(B7="","",VLOOKUP(BR7,Поправки!$B$40:$D$52,3,FALSE))</f>
        <v>1</v>
      </c>
      <c r="CD7" s="58">
        <f>IF(B7="","",VLOOKUP(BS7,Поправки!$B$40:$D$52,3,FALSE))</f>
        <v>1</v>
      </c>
      <c r="CE7" s="58">
        <f>IF(B7="","",IF(BT7&lt;Поправки!$I$11,Поправки!$L$11,ROUND((EXP(11.27070473*LN(BT7)^-0.08418488)^Поправки!$G$1)/Поправки!$K$10,4)))</f>
        <v>1.0143</v>
      </c>
      <c r="CF7" s="58">
        <f>IF(B7="","",IF(BU7&lt;Поправки!$N$11,Поправки!$Q$11,IF(BU7&gt;Поправки!$N$12,Поправки!$Q$12,ROUND((EXP(9.57779229*0.98667563^LN(BU7))^Поправки!$G$2)/Поправки!$P$10,4))))</f>
        <v>0.98829999999999996</v>
      </c>
      <c r="CG7" s="58">
        <f>IF(B7="","",IF(BV7&gt;Поправки!$S$12,Поправки!$V$12,IF(BV7&lt;Поправки!$S$11,Поправки!$V$11,ROUND((EXP(9.3057995*0.99085691^LN(BV7))^Поправки!$G$3)/Поправки!$U$10,4))))</f>
        <v>0.99829999999999997</v>
      </c>
      <c r="CH7" s="54">
        <f>IF(B7="","",IF(BW7&lt;Поправки!$X$11,Поправки!$AA$11,IF(BW7&gt;Поправки!$X$12,Поправки!$AA$12,ROUND((EXP(9.23088404*0.99320482^LN(BW7))^Поправки!$G$4)/Поправки!$Z$10,4))))</f>
        <v>1.0254000000000001</v>
      </c>
      <c r="CI7" s="8">
        <f>IF(B7="","",IF(BX7&lt;Поправки!$AC$11,Поправки!$AF$11,IF(BX7&gt;Поправки!$AC$12,Поправки!$AF$12,ROUND((EXP(9.93943263-0.30296633*LN(BX7))^Поправки!$G$5)/Поправки!$AE$10,4))))</f>
        <v>0.78180000000000005</v>
      </c>
      <c r="CJ7" s="2">
        <f t="shared" si="70"/>
        <v>0</v>
      </c>
      <c r="CK7" s="55">
        <f t="shared" si="71"/>
        <v>7055.0925987354894</v>
      </c>
      <c r="CL7" s="55">
        <f t="shared" si="72"/>
        <v>5291.32</v>
      </c>
      <c r="CM7" s="9">
        <f t="shared" si="73"/>
        <v>7.63</v>
      </c>
      <c r="CN7" s="9">
        <f t="shared" si="74"/>
        <v>5291.32</v>
      </c>
      <c r="CO7" s="60">
        <f t="shared" si="75"/>
        <v>5291.32</v>
      </c>
      <c r="CP7" s="59">
        <f t="shared" si="76"/>
        <v>41690310.280000001</v>
      </c>
      <c r="CQ7" s="2" t="str">
        <f t="shared" si="77"/>
        <v>СТ16_Ф5_М3_02032021_Мухамедьярова_Графика по ПКК_Новый</v>
      </c>
      <c r="CR7" s="2" t="str">
        <f t="shared" si="78"/>
        <v>66:41:0313010:15836</v>
      </c>
      <c r="CS7" s="2">
        <f t="shared" si="79"/>
        <v>8003</v>
      </c>
      <c r="CT7" t="str">
        <f t="shared" si="80"/>
        <v>Наличие уторгования</v>
      </c>
      <c r="CU7" s="2"/>
      <c r="CV7" s="2"/>
      <c r="CW7" s="2" t="str">
        <f t="shared" si="81"/>
        <v>Отсутствуют предыдущие значения</v>
      </c>
      <c r="CX7" s="2" t="str">
        <f t="shared" si="82"/>
        <v>Отсутствуют предыдущие значения</v>
      </c>
      <c r="CY7" s="2" t="str">
        <f t="shared" si="83"/>
        <v>Отсутствуют предыдущие значения</v>
      </c>
      <c r="CZ7" s="2" t="str">
        <f t="shared" si="84"/>
        <v>Отсутствуют предыдущие значения</v>
      </c>
      <c r="DA7" s="2" t="str">
        <f t="shared" si="85"/>
        <v>Отсутствуют предыдущие значения</v>
      </c>
      <c r="DB7" s="2" t="str">
        <f t="shared" si="86"/>
        <v>Отсутствуют предыдущие значения</v>
      </c>
      <c r="DC7" s="2" t="str">
        <f t="shared" si="87"/>
        <v>Отсутствуют предыдущие значения</v>
      </c>
      <c r="DD7" s="2" t="str">
        <f t="shared" si="88"/>
        <v>Отсутствуют предыдущие значения</v>
      </c>
      <c r="DE7" s="2" t="str">
        <f t="shared" si="89"/>
        <v>Отсутствуют предыдущие значения</v>
      </c>
      <c r="DF7" s="2" t="str">
        <f t="shared" si="90"/>
        <v>Отсутствуют предыдущие значения</v>
      </c>
      <c r="DG7" s="2" t="str">
        <f t="shared" si="91"/>
        <v>Отсутствуют предыдущие значения</v>
      </c>
      <c r="DH7" s="2" t="str">
        <f t="shared" si="92"/>
        <v>Отсутствуют предыдущие значения</v>
      </c>
      <c r="DI7" s="2" t="str">
        <f t="shared" si="93"/>
        <v/>
      </c>
      <c r="DJ7" t="str">
        <f t="shared" si="94"/>
        <v>Ф5</v>
      </c>
      <c r="DK7" t="str">
        <f t="shared" si="95"/>
        <v>М3</v>
      </c>
      <c r="DL7" t="str">
        <f t="shared" si="96"/>
        <v>02032021</v>
      </c>
      <c r="DM7" t="str">
        <f t="shared" si="97"/>
        <v>Мухамедьярова</v>
      </c>
      <c r="DN7" t="str">
        <f t="shared" si="98"/>
        <v>Графика по ПКК</v>
      </c>
      <c r="DO7" s="62" t="str">
        <f t="shared" si="99"/>
        <v>66:41:0313010:15836</v>
      </c>
      <c r="DP7" s="63" t="str">
        <f t="shared" si="100"/>
        <v>пояс 3</v>
      </c>
      <c r="DQ7" s="63" t="str">
        <f t="shared" si="101"/>
        <v>Наличие электроснабжения</v>
      </c>
      <c r="DR7" s="63" t="str">
        <f t="shared" si="102"/>
        <v>Отсутствие теплоснабжения</v>
      </c>
      <c r="DS7" s="63" t="str">
        <f t="shared" si="103"/>
        <v>Отсутствие водоотведения</v>
      </c>
      <c r="DT7" s="64" t="str">
        <f t="shared" si="104"/>
        <v>3. СЕГМЕНТ "Общественное использование"</v>
      </c>
      <c r="DU7" s="65">
        <f t="shared" si="105"/>
        <v>7879</v>
      </c>
      <c r="DV7" s="8">
        <f t="shared" si="106"/>
        <v>7.38</v>
      </c>
      <c r="DW7" s="8">
        <f t="shared" si="107"/>
        <v>0.75</v>
      </c>
      <c r="DX7" s="8">
        <f t="shared" si="108"/>
        <v>0.04</v>
      </c>
      <c r="DY7" s="8">
        <f t="shared" si="109"/>
        <v>12.84</v>
      </c>
      <c r="DZ7" s="8">
        <f t="shared" si="110"/>
        <v>1.0143</v>
      </c>
      <c r="EA7" s="8">
        <f t="shared" si="111"/>
        <v>0.98829999999999996</v>
      </c>
      <c r="EB7" s="8">
        <f t="shared" si="112"/>
        <v>0.99829999999999997</v>
      </c>
      <c r="EC7" s="8">
        <f t="shared" si="113"/>
        <v>1.0254000000000001</v>
      </c>
      <c r="ED7" s="8">
        <f t="shared" si="114"/>
        <v>0.78180000000000005</v>
      </c>
      <c r="EE7" s="8">
        <f t="shared" si="115"/>
        <v>0</v>
      </c>
      <c r="EF7" s="72">
        <f t="shared" si="116"/>
        <v>5291.32</v>
      </c>
      <c r="EG7" s="73">
        <f t="shared" si="117"/>
        <v>41690310.280000001</v>
      </c>
      <c r="EH7" s="63" t="str">
        <f t="shared" si="118"/>
        <v>СТ16_Ф5_М3_02032021_Мухамедьярова_Графика по ПКК_Новый</v>
      </c>
      <c r="EI7" s="63">
        <f t="shared" si="119"/>
        <v>8003</v>
      </c>
      <c r="EJ7" s="95" t="str">
        <f t="shared" si="120"/>
        <v>Наличие уторгования</v>
      </c>
      <c r="EK7" t="str">
        <f t="shared" si="121"/>
        <v>ГОТОВ</v>
      </c>
      <c r="EL7" t="str">
        <f t="shared" si="122"/>
        <v>3. СЕГМЕНТ "Общественное использование"</v>
      </c>
      <c r="EM7">
        <f>IF(B7="","",VLOOKUP(EL7,'Сегмент ВРИ'!$B:$C,2,FALSE))</f>
        <v>3</v>
      </c>
      <c r="EN7" t="str">
        <f t="shared" si="123"/>
        <v>03:051</v>
      </c>
      <c r="EO7" t="str">
        <f>IF(B7="","",VLOOKUP(EN7,'Сегмент ВРИ'!$A:$E,4,FALSE))</f>
        <v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v>
      </c>
      <c r="EP7" t="str">
        <f t="shared" si="124"/>
        <v>Дошкольное, начальное и среднее общее образование</v>
      </c>
      <c r="EQ7" t="str">
        <f t="shared" si="125"/>
        <v>Отсутствует значения предыдущих расчетов</v>
      </c>
      <c r="ER7" t="str">
        <f t="shared" si="126"/>
        <v>-</v>
      </c>
      <c r="ES7" t="str">
        <f t="shared" si="127"/>
        <v>Новый</v>
      </c>
    </row>
    <row r="8" spans="1:155" x14ac:dyDescent="0.25">
      <c r="A8">
        <v>2775452</v>
      </c>
      <c r="B8" s="1" t="s">
        <v>1167</v>
      </c>
      <c r="C8" s="1" t="s">
        <v>1148</v>
      </c>
      <c r="D8">
        <v>8992</v>
      </c>
      <c r="F8" s="1" t="s">
        <v>1149</v>
      </c>
      <c r="G8" s="1" t="s">
        <v>1150</v>
      </c>
      <c r="H8" s="1" t="s">
        <v>1151</v>
      </c>
      <c r="I8" s="1" t="s">
        <v>1168</v>
      </c>
      <c r="R8" s="1" t="s">
        <v>1153</v>
      </c>
      <c r="V8">
        <v>0.03</v>
      </c>
      <c r="W8">
        <v>13.22</v>
      </c>
      <c r="AA8">
        <v>7.34</v>
      </c>
      <c r="AB8">
        <v>0.99</v>
      </c>
      <c r="AC8" s="1" t="s">
        <v>1154</v>
      </c>
      <c r="AE8" s="1" t="s">
        <v>1155</v>
      </c>
      <c r="AX8" s="1" t="s">
        <v>1156</v>
      </c>
      <c r="BH8" s="1" t="s">
        <v>530</v>
      </c>
      <c r="BI8" s="1" t="s">
        <v>1157</v>
      </c>
      <c r="BJ8">
        <v>8003</v>
      </c>
      <c r="BK8" s="1" t="s">
        <v>51</v>
      </c>
      <c r="BM8" t="str">
        <f>IFERROR(VLOOKUP(B8,'Объекты МУГИСО'!$A:$B,2,FALSE),"")</f>
        <v/>
      </c>
      <c r="BN8" s="2" t="str">
        <f>IFERROR(VLOOKUP(BH8,'Коды без коммуникаций'!$C:$C,1,FALSE),"")</f>
        <v/>
      </c>
      <c r="BO8" s="2" t="str">
        <f t="shared" si="64"/>
        <v>пояс 3</v>
      </c>
      <c r="BP8" s="2" t="str">
        <f t="shared" si="65"/>
        <v>Наличие электроснабжения</v>
      </c>
      <c r="BQ8" s="2" t="str">
        <f t="shared" si="66"/>
        <v>Отсутствие теплоснабжения</v>
      </c>
      <c r="BR8" s="2" t="str">
        <f t="shared" si="67"/>
        <v>Отсутствие водоотведения</v>
      </c>
      <c r="BS8" s="2" t="str">
        <f t="shared" si="68"/>
        <v>3. СЕГМЕНТ "Общественное использование"</v>
      </c>
      <c r="BT8" s="2">
        <f t="shared" si="69"/>
        <v>8992</v>
      </c>
      <c r="BU8" s="55">
        <f>IF(B8="","",IF(AA8="",VLOOKUP(BO8,Поправки!$AJ$1:$AK$6,2,FALSE),AA8))</f>
        <v>7.34</v>
      </c>
      <c r="BV8" s="55">
        <f>IF(B8="","",IF(AB8="",Поправки!$AO$2,AB8))</f>
        <v>0.99</v>
      </c>
      <c r="BW8" s="55">
        <f>IF(B8="","",IF(BM8=1,0.0001,IF(V8="",Поправки!$AP$2,V8)))</f>
        <v>0.03</v>
      </c>
      <c r="BX8" s="55">
        <f>IF(B8="","",IF(W8&lt;=0,VLOOKUP(BO8,Поправки!$AJ$1:$AL$6,3,FALSE),W8))</f>
        <v>13.22</v>
      </c>
      <c r="BY8" s="58">
        <f>IF(B8="","",Поправки!$K$21)</f>
        <v>12012.3372</v>
      </c>
      <c r="BZ8" s="58">
        <f>IF(B8="","",VLOOKUP(BO8,Поправки!$B$40:$D$52,3,FALSE))</f>
        <v>0.64959999999999996</v>
      </c>
      <c r="CA8" s="58">
        <f>IF(B8="","",VLOOKUP(BP8,Поправки!$B$40:$D$52,3,FALSE))</f>
        <v>1.127</v>
      </c>
      <c r="CB8" s="58">
        <f>IF(B8="","",VLOOKUP(BQ8,Поправки!$B$40:$D$52,3,FALSE))</f>
        <v>1</v>
      </c>
      <c r="CC8" s="58">
        <f>IF(B8="","",VLOOKUP(BR8,Поправки!$B$40:$D$52,3,FALSE))</f>
        <v>1</v>
      </c>
      <c r="CD8" s="58">
        <f>IF(B8="","",VLOOKUP(BS8,Поправки!$B$40:$D$52,3,FALSE))</f>
        <v>1</v>
      </c>
      <c r="CE8" s="58">
        <f>IF(B8="","",IF(BT8&lt;Поправки!$I$11,Поправки!$L$11,ROUND((EXP(11.27070473*LN(BT8)^-0.08418488)^Поправки!$G$1)/Поправки!$K$10,4)))</f>
        <v>1.0063</v>
      </c>
      <c r="CF8" s="58">
        <f>IF(B8="","",IF(BU8&lt;Поправки!$N$11,Поправки!$Q$11,IF(BU8&gt;Поправки!$N$12,Поправки!$Q$12,ROUND((EXP(9.57779229*0.98667563^LN(BU8))^Поправки!$G$2)/Поправки!$P$10,4))))</f>
        <v>0.98829999999999996</v>
      </c>
      <c r="CG8" s="58">
        <f>IF(B8="","",IF(BV8&gt;Поправки!$S$12,Поправки!$V$12,IF(BV8&lt;Поправки!$S$11,Поправки!$V$11,ROUND((EXP(9.3057995*0.99085691^LN(BV8))^Поправки!$G$3)/Поправки!$U$10,4))))</f>
        <v>0.99719999999999998</v>
      </c>
      <c r="CH8" s="54">
        <f>IF(B8="","",IF(BW8&lt;Поправки!$X$11,Поправки!$AA$11,IF(BW8&gt;Поправки!$X$12,Поправки!$AA$12,ROUND((EXP(9.23088404*0.99320482^LN(BW8))^Поправки!$G$4)/Поправки!$Z$10,4))))</f>
        <v>1.0286</v>
      </c>
      <c r="CI8" s="8">
        <f>IF(B8="","",IF(BX8&lt;Поправки!$AC$11,Поправки!$AF$11,IF(BX8&gt;Поправки!$AC$12,Поправки!$AF$12,ROUND((EXP(9.93943263-0.30296633*LN(BX8))^Поправки!$G$5)/Поправки!$AE$10,4))))</f>
        <v>0.77969999999999995</v>
      </c>
      <c r="CJ8" s="2">
        <f t="shared" si="70"/>
        <v>0</v>
      </c>
      <c r="CK8" s="55">
        <f t="shared" si="71"/>
        <v>6994.7152475804214</v>
      </c>
      <c r="CL8" s="55">
        <f t="shared" si="72"/>
        <v>5246.04</v>
      </c>
      <c r="CM8" s="9">
        <f t="shared" si="73"/>
        <v>6.7</v>
      </c>
      <c r="CN8" s="9">
        <f t="shared" si="74"/>
        <v>5246.04</v>
      </c>
      <c r="CO8" s="60">
        <f t="shared" si="75"/>
        <v>5246.04</v>
      </c>
      <c r="CP8" s="59">
        <f t="shared" si="76"/>
        <v>47172391.68</v>
      </c>
      <c r="CQ8" s="2" t="str">
        <f t="shared" si="77"/>
        <v>СТ16_Ф5_М3_02032021_Мухамедьярова_Графика по ПКК_Новый</v>
      </c>
      <c r="CR8" s="2" t="str">
        <f t="shared" si="78"/>
        <v>66:41:0313010:15757</v>
      </c>
      <c r="CS8" s="2">
        <f t="shared" si="79"/>
        <v>8003</v>
      </c>
      <c r="CT8" t="str">
        <f t="shared" si="80"/>
        <v>Наличие уторгования</v>
      </c>
      <c r="CU8" s="2"/>
      <c r="CV8" s="2"/>
      <c r="CW8" s="2" t="str">
        <f t="shared" si="81"/>
        <v>Отсутствуют предыдущие значения</v>
      </c>
      <c r="CX8" s="2" t="str">
        <f t="shared" si="82"/>
        <v>Отсутствуют предыдущие значения</v>
      </c>
      <c r="CY8" s="2" t="str">
        <f t="shared" si="83"/>
        <v>Отсутствуют предыдущие значения</v>
      </c>
      <c r="CZ8" s="2" t="str">
        <f t="shared" si="84"/>
        <v>Отсутствуют предыдущие значения</v>
      </c>
      <c r="DA8" s="2" t="str">
        <f t="shared" si="85"/>
        <v>Отсутствуют предыдущие значения</v>
      </c>
      <c r="DB8" s="2" t="str">
        <f t="shared" si="86"/>
        <v>Отсутствуют предыдущие значения</v>
      </c>
      <c r="DC8" s="2" t="str">
        <f t="shared" si="87"/>
        <v>Отсутствуют предыдущие значения</v>
      </c>
      <c r="DD8" s="2" t="str">
        <f t="shared" si="88"/>
        <v>Отсутствуют предыдущие значения</v>
      </c>
      <c r="DE8" s="2" t="str">
        <f t="shared" si="89"/>
        <v>Отсутствуют предыдущие значения</v>
      </c>
      <c r="DF8" s="2" t="str">
        <f t="shared" si="90"/>
        <v>Отсутствуют предыдущие значения</v>
      </c>
      <c r="DG8" s="2" t="str">
        <f t="shared" si="91"/>
        <v>Отсутствуют предыдущие значения</v>
      </c>
      <c r="DH8" s="2" t="str">
        <f t="shared" si="92"/>
        <v>Отсутствуют предыдущие значения</v>
      </c>
      <c r="DI8" s="2" t="str">
        <f t="shared" si="93"/>
        <v/>
      </c>
      <c r="DJ8" t="str">
        <f t="shared" si="94"/>
        <v>Ф5</v>
      </c>
      <c r="DK8" t="str">
        <f t="shared" si="95"/>
        <v>М3</v>
      </c>
      <c r="DL8" t="str">
        <f t="shared" si="96"/>
        <v>02032021</v>
      </c>
      <c r="DM8" t="str">
        <f t="shared" si="97"/>
        <v>Мухамедьярова</v>
      </c>
      <c r="DN8" t="str">
        <f t="shared" si="98"/>
        <v>Графика по ПКК</v>
      </c>
      <c r="DO8" s="62" t="str">
        <f t="shared" si="99"/>
        <v>66:41:0313010:15757</v>
      </c>
      <c r="DP8" s="63" t="str">
        <f t="shared" si="100"/>
        <v>пояс 3</v>
      </c>
      <c r="DQ8" s="63" t="str">
        <f t="shared" si="101"/>
        <v>Наличие электроснабжения</v>
      </c>
      <c r="DR8" s="63" t="str">
        <f t="shared" si="102"/>
        <v>Отсутствие теплоснабжения</v>
      </c>
      <c r="DS8" s="63" t="str">
        <f t="shared" si="103"/>
        <v>Отсутствие водоотведения</v>
      </c>
      <c r="DT8" s="64" t="str">
        <f t="shared" si="104"/>
        <v>3. СЕГМЕНТ "Общественное использование"</v>
      </c>
      <c r="DU8" s="65">
        <f t="shared" si="105"/>
        <v>8992</v>
      </c>
      <c r="DV8" s="8">
        <f t="shared" si="106"/>
        <v>7.34</v>
      </c>
      <c r="DW8" s="8">
        <f t="shared" si="107"/>
        <v>0.99</v>
      </c>
      <c r="DX8" s="8">
        <f t="shared" si="108"/>
        <v>0.03</v>
      </c>
      <c r="DY8" s="8">
        <f t="shared" si="109"/>
        <v>13.22</v>
      </c>
      <c r="DZ8" s="8">
        <f t="shared" si="110"/>
        <v>1.0063</v>
      </c>
      <c r="EA8" s="8">
        <f t="shared" si="111"/>
        <v>0.98829999999999996</v>
      </c>
      <c r="EB8" s="8">
        <f t="shared" si="112"/>
        <v>0.99719999999999998</v>
      </c>
      <c r="EC8" s="8">
        <f t="shared" si="113"/>
        <v>1.0286</v>
      </c>
      <c r="ED8" s="8">
        <f t="shared" si="114"/>
        <v>0.77969999999999995</v>
      </c>
      <c r="EE8" s="8">
        <f t="shared" si="115"/>
        <v>0</v>
      </c>
      <c r="EF8" s="72">
        <f t="shared" si="116"/>
        <v>5246.04</v>
      </c>
      <c r="EG8" s="73">
        <f t="shared" si="117"/>
        <v>47172391.68</v>
      </c>
      <c r="EH8" s="63" t="str">
        <f t="shared" si="118"/>
        <v>СТ16_Ф5_М3_02032021_Мухамедьярова_Графика по ПКК_Новый</v>
      </c>
      <c r="EI8" s="63">
        <f t="shared" si="119"/>
        <v>8003</v>
      </c>
      <c r="EJ8" s="95" t="str">
        <f t="shared" si="120"/>
        <v>Наличие уторгования</v>
      </c>
      <c r="EK8" t="str">
        <f t="shared" si="121"/>
        <v>ГОТОВ</v>
      </c>
      <c r="EL8" t="str">
        <f t="shared" si="122"/>
        <v>3. СЕГМЕНТ "Общественное использование"</v>
      </c>
      <c r="EM8">
        <f>IF(B8="","",VLOOKUP(EL8,'Сегмент ВРИ'!$B:$C,2,FALSE))</f>
        <v>3</v>
      </c>
      <c r="EN8" t="str">
        <f t="shared" si="123"/>
        <v>05:010</v>
      </c>
      <c r="EO8" t="str">
        <f>IF(B8="","",VLOOKUP(EN8,'Сегмент ВРИ'!$A:$E,4,FALSE))</f>
        <v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v>
      </c>
      <c r="EP8" t="str">
        <f t="shared" si="124"/>
        <v>спорт</v>
      </c>
      <c r="EQ8" t="str">
        <f t="shared" si="125"/>
        <v>Отсутствует значения предыдущих расчетов</v>
      </c>
      <c r="ER8" t="str">
        <f t="shared" si="126"/>
        <v>-</v>
      </c>
      <c r="ES8" t="str">
        <f t="shared" si="127"/>
        <v>Новый</v>
      </c>
    </row>
    <row r="9" spans="1:155" x14ac:dyDescent="0.25">
      <c r="A9">
        <v>2776207</v>
      </c>
      <c r="B9" s="1" t="s">
        <v>1169</v>
      </c>
      <c r="C9" s="1" t="s">
        <v>1148</v>
      </c>
      <c r="D9">
        <v>6738</v>
      </c>
      <c r="F9" s="1" t="s">
        <v>1149</v>
      </c>
      <c r="G9" s="1" t="s">
        <v>1150</v>
      </c>
      <c r="H9" s="1" t="s">
        <v>1151</v>
      </c>
      <c r="I9" s="1" t="s">
        <v>1170</v>
      </c>
      <c r="K9" s="1" t="s">
        <v>1151</v>
      </c>
      <c r="R9" s="1" t="s">
        <v>1153</v>
      </c>
      <c r="V9">
        <v>0.05</v>
      </c>
      <c r="W9">
        <v>8.31</v>
      </c>
      <c r="AA9">
        <v>6.59</v>
      </c>
      <c r="AB9">
        <v>0.25</v>
      </c>
      <c r="AC9" s="1" t="s">
        <v>1171</v>
      </c>
      <c r="AE9" s="1" t="s">
        <v>1172</v>
      </c>
      <c r="AX9" s="1" t="s">
        <v>1156</v>
      </c>
      <c r="BH9" s="1" t="s">
        <v>46</v>
      </c>
      <c r="BI9" s="1" t="s">
        <v>1173</v>
      </c>
      <c r="BJ9">
        <v>8003</v>
      </c>
      <c r="BK9" s="1" t="s">
        <v>47</v>
      </c>
      <c r="BM9" t="str">
        <f>IFERROR(VLOOKUP(B9,'Объекты МУГИСО'!$A:$B,2,FALSE),"")</f>
        <v/>
      </c>
      <c r="BN9" s="2" t="str">
        <f>IFERROR(VLOOKUP(BH9,'Коды без коммуникаций'!$C:$C,1,FALSE),"")</f>
        <v/>
      </c>
      <c r="BO9" s="2" t="str">
        <f t="shared" si="64"/>
        <v>пояс 2</v>
      </c>
      <c r="BP9" s="2" t="str">
        <f t="shared" si="65"/>
        <v>Наличие электроснабжения</v>
      </c>
      <c r="BQ9" s="2" t="str">
        <f t="shared" si="66"/>
        <v>Отсутствие теплоснабжения</v>
      </c>
      <c r="BR9" s="2" t="str">
        <f t="shared" si="67"/>
        <v>Отсутствие водоотведения</v>
      </c>
      <c r="BS9" s="2" t="str">
        <f t="shared" si="68"/>
        <v>4. СЕГМЕНТ "Предпринимательство"</v>
      </c>
      <c r="BT9" s="2">
        <f t="shared" si="69"/>
        <v>6738</v>
      </c>
      <c r="BU9" s="55">
        <f>IF(B9="","",IF(AA9="",VLOOKUP(BO9,Поправки!$AJ$1:$AK$6,2,FALSE),AA9))</f>
        <v>6.59</v>
      </c>
      <c r="BV9" s="55">
        <f>IF(B9="","",IF(AB9="",Поправки!$AO$2,AB9))</f>
        <v>0.25</v>
      </c>
      <c r="BW9" s="55">
        <f>IF(B9="","",IF(BM9=1,0.0001,IF(V9="",Поправки!$AP$2,V9)))</f>
        <v>0.05</v>
      </c>
      <c r="BX9" s="55">
        <f>IF(B9="","",IF(W9&lt;=0,VLOOKUP(BO9,Поправки!$AJ$1:$AL$6,3,FALSE),W9))</f>
        <v>8.31</v>
      </c>
      <c r="BY9" s="58">
        <f>IF(B9="","",Поправки!$K$21)</f>
        <v>12012.3372</v>
      </c>
      <c r="BZ9" s="58">
        <f>IF(B9="","",VLOOKUP(BO9,Поправки!$B$40:$D$52,3,FALSE))</f>
        <v>0.70740000000000003</v>
      </c>
      <c r="CA9" s="58">
        <f>IF(B9="","",VLOOKUP(BP9,Поправки!$B$40:$D$52,3,FALSE))</f>
        <v>1.127</v>
      </c>
      <c r="CB9" s="58">
        <f>IF(B9="","",VLOOKUP(BQ9,Поправки!$B$40:$D$52,3,FALSE))</f>
        <v>1</v>
      </c>
      <c r="CC9" s="58">
        <f>IF(B9="","",VLOOKUP(BR9,Поправки!$B$40:$D$52,3,FALSE))</f>
        <v>1</v>
      </c>
      <c r="CD9" s="58">
        <f>IF(B9="","",VLOOKUP(BS9,Поправки!$B$40:$D$52,3,FALSE))</f>
        <v>1.0954999999999999</v>
      </c>
      <c r="CE9" s="58">
        <f>IF(B9="","",IF(BT9&lt;Поправки!$I$11,Поправки!$L$11,ROUND((EXP(11.27070473*LN(BT9)^-0.08418488)^Поправки!$G$1)/Поправки!$K$10,4)))</f>
        <v>1.024</v>
      </c>
      <c r="CF9" s="58">
        <f>IF(B9="","",IF(BU9&lt;Поправки!$N$11,Поправки!$Q$11,IF(BU9&gt;Поправки!$N$12,Поправки!$Q$12,ROUND((EXP(9.57779229*0.98667563^LN(BU9))^Поправки!$G$2)/Поправки!$P$10,4))))</f>
        <v>0.9889</v>
      </c>
      <c r="CG9" s="58">
        <f>IF(B9="","",IF(BV9&gt;Поправки!$S$12,Поправки!$V$12,IF(BV9&lt;Поправки!$S$11,Поправки!$V$11,ROUND((EXP(9.3057995*0.99085691^LN(BV9))^Поправки!$G$3)/Поправки!$U$10,4))))</f>
        <v>1.0028999999999999</v>
      </c>
      <c r="CH9" s="54">
        <f>IF(B9="","",IF(BW9&lt;Поправки!$X$11,Поправки!$AA$11,IF(BW9&gt;Поправки!$X$12,Поправки!$AA$12,ROUND((EXP(9.23088404*0.99320482^LN(BW9))^Поправки!$G$4)/Поправки!$Z$10,4))))</f>
        <v>1.0228999999999999</v>
      </c>
      <c r="CI9" s="8">
        <f>IF(B9="","",IF(BX9&lt;Поправки!$AC$11,Поправки!$AF$11,IF(BX9&gt;Поправки!$AC$12,Поправки!$AF$12,ROUND((EXP(9.93943263-0.30296633*LN(BX9))^Поправки!$G$5)/Поправки!$AE$10,4))))</f>
        <v>0.81530000000000002</v>
      </c>
      <c r="CJ9" s="2">
        <f t="shared" si="70"/>
        <v>0</v>
      </c>
      <c r="CK9" s="55">
        <f t="shared" si="71"/>
        <v>8885.6551430970449</v>
      </c>
      <c r="CL9" s="55">
        <f t="shared" si="72"/>
        <v>6664.24</v>
      </c>
      <c r="CM9" s="9">
        <f t="shared" si="73"/>
        <v>8.9</v>
      </c>
      <c r="CN9" s="9">
        <f t="shared" si="74"/>
        <v>6664.24</v>
      </c>
      <c r="CO9" s="60">
        <f t="shared" si="75"/>
        <v>6664.24</v>
      </c>
      <c r="CP9" s="59">
        <f t="shared" si="76"/>
        <v>44903649.119999997</v>
      </c>
      <c r="CQ9" s="2" t="str">
        <f t="shared" si="77"/>
        <v>СТ16_Ф5_М3_02032021_Мухамедьярова_Графика по ПКК_Новый</v>
      </c>
      <c r="CR9" s="2" t="str">
        <f t="shared" si="78"/>
        <v>66:41:0313010:16416</v>
      </c>
      <c r="CS9" s="2">
        <f t="shared" si="79"/>
        <v>8003</v>
      </c>
      <c r="CT9" t="str">
        <f t="shared" si="80"/>
        <v>Наличие уторгования</v>
      </c>
      <c r="CU9" s="2"/>
      <c r="CV9" s="2"/>
      <c r="CW9" s="2" t="str">
        <f t="shared" si="81"/>
        <v>Отсутствуют предыдущие значения</v>
      </c>
      <c r="CX9" s="2" t="str">
        <f t="shared" si="82"/>
        <v>Отсутствуют предыдущие значения</v>
      </c>
      <c r="CY9" s="2" t="str">
        <f t="shared" si="83"/>
        <v>Отсутствуют предыдущие значения</v>
      </c>
      <c r="CZ9" s="2" t="str">
        <f t="shared" si="84"/>
        <v>Отсутствуют предыдущие значения</v>
      </c>
      <c r="DA9" s="2" t="str">
        <f t="shared" si="85"/>
        <v>Отсутствуют предыдущие значения</v>
      </c>
      <c r="DB9" s="2" t="str">
        <f t="shared" si="86"/>
        <v>Отсутствуют предыдущие значения</v>
      </c>
      <c r="DC9" s="2" t="str">
        <f t="shared" si="87"/>
        <v>Отсутствуют предыдущие значения</v>
      </c>
      <c r="DD9" s="2" t="str">
        <f t="shared" si="88"/>
        <v>Отсутствуют предыдущие значения</v>
      </c>
      <c r="DE9" s="2" t="str">
        <f t="shared" si="89"/>
        <v>Отсутствуют предыдущие значения</v>
      </c>
      <c r="DF9" s="2" t="str">
        <f t="shared" si="90"/>
        <v>Отсутствуют предыдущие значения</v>
      </c>
      <c r="DG9" s="2" t="str">
        <f t="shared" si="91"/>
        <v>Отсутствуют предыдущие значения</v>
      </c>
      <c r="DH9" s="2" t="str">
        <f t="shared" si="92"/>
        <v>Отсутствуют предыдущие значения</v>
      </c>
      <c r="DI9" s="2" t="str">
        <f t="shared" si="93"/>
        <v/>
      </c>
      <c r="DJ9" t="str">
        <f t="shared" si="94"/>
        <v>Ф5</v>
      </c>
      <c r="DK9" t="str">
        <f t="shared" si="95"/>
        <v>М3</v>
      </c>
      <c r="DL9" t="str">
        <f t="shared" si="96"/>
        <v>02032021</v>
      </c>
      <c r="DM9" t="str">
        <f t="shared" si="97"/>
        <v>Мухамедьярова</v>
      </c>
      <c r="DN9" t="str">
        <f t="shared" si="98"/>
        <v>Графика по ПКК</v>
      </c>
      <c r="DO9" s="62" t="str">
        <f t="shared" si="99"/>
        <v>66:41:0313010:16416</v>
      </c>
      <c r="DP9" s="63" t="str">
        <f t="shared" si="100"/>
        <v>пояс 2</v>
      </c>
      <c r="DQ9" s="63" t="str">
        <f t="shared" si="101"/>
        <v>Наличие электроснабжения</v>
      </c>
      <c r="DR9" s="63" t="str">
        <f t="shared" si="102"/>
        <v>Отсутствие теплоснабжения</v>
      </c>
      <c r="DS9" s="63" t="str">
        <f t="shared" si="103"/>
        <v>Отсутствие водоотведения</v>
      </c>
      <c r="DT9" s="64" t="str">
        <f t="shared" si="104"/>
        <v>4. СЕГМЕНТ "Предпринимательство"</v>
      </c>
      <c r="DU9" s="65">
        <f t="shared" si="105"/>
        <v>6738</v>
      </c>
      <c r="DV9" s="8">
        <f t="shared" si="106"/>
        <v>6.59</v>
      </c>
      <c r="DW9" s="8">
        <f t="shared" si="107"/>
        <v>0.25</v>
      </c>
      <c r="DX9" s="8">
        <f t="shared" si="108"/>
        <v>0.05</v>
      </c>
      <c r="DY9" s="8">
        <f t="shared" si="109"/>
        <v>8.31</v>
      </c>
      <c r="DZ9" s="8">
        <f t="shared" si="110"/>
        <v>1.024</v>
      </c>
      <c r="EA9" s="8">
        <f t="shared" si="111"/>
        <v>0.9889</v>
      </c>
      <c r="EB9" s="8">
        <f t="shared" si="112"/>
        <v>1.0028999999999999</v>
      </c>
      <c r="EC9" s="8">
        <f t="shared" si="113"/>
        <v>1.0228999999999999</v>
      </c>
      <c r="ED9" s="8">
        <f t="shared" si="114"/>
        <v>0.81530000000000002</v>
      </c>
      <c r="EE9" s="8">
        <f t="shared" si="115"/>
        <v>0</v>
      </c>
      <c r="EF9" s="72">
        <f t="shared" si="116"/>
        <v>6664.24</v>
      </c>
      <c r="EG9" s="73">
        <f t="shared" si="117"/>
        <v>44903649.119999997</v>
      </c>
      <c r="EH9" s="63" t="str">
        <f t="shared" si="118"/>
        <v>СТ16_Ф5_М3_02032021_Мухамедьярова_Графика по ПКК_Новый</v>
      </c>
      <c r="EI9" s="63">
        <f t="shared" si="119"/>
        <v>8003</v>
      </c>
      <c r="EJ9" s="95" t="str">
        <f t="shared" si="120"/>
        <v>Наличие уторгования</v>
      </c>
      <c r="EK9" t="str">
        <f t="shared" si="121"/>
        <v>ГОТОВ</v>
      </c>
      <c r="EL9" t="str">
        <f t="shared" si="122"/>
        <v>4. СЕГМЕНТ "Предпринимательство"</v>
      </c>
      <c r="EM9">
        <f>IF(B9="","",VLOOKUP(EL9,'Сегмент ВРИ'!$B:$C,2,FALSE))</f>
        <v>4</v>
      </c>
      <c r="EN9" t="str">
        <f t="shared" si="123"/>
        <v>04:010</v>
      </c>
      <c r="EO9" t="str">
        <f>IF(B9="","",VLOOKUP(EN9,'Сегмент ВРИ'!$A:$E,4,FALSE))</f>
        <v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v>
      </c>
      <c r="EP9" t="str">
        <f t="shared" si="124"/>
        <v>Деловое управление, общественное питание</v>
      </c>
      <c r="EQ9" t="str">
        <f t="shared" si="125"/>
        <v>Отсутствует значения предыдущих расчетов</v>
      </c>
      <c r="ER9" t="str">
        <f t="shared" si="126"/>
        <v>-</v>
      </c>
      <c r="ES9" t="str">
        <f t="shared" si="127"/>
        <v>Новый</v>
      </c>
    </row>
    <row r="10" spans="1:155" x14ac:dyDescent="0.25">
      <c r="A10">
        <v>2775444</v>
      </c>
      <c r="B10" s="1" t="s">
        <v>1174</v>
      </c>
      <c r="C10" s="1" t="s">
        <v>1148</v>
      </c>
      <c r="D10">
        <v>18060</v>
      </c>
      <c r="F10" s="1" t="s">
        <v>1175</v>
      </c>
      <c r="G10" s="1" t="s">
        <v>1150</v>
      </c>
      <c r="H10" s="1" t="s">
        <v>1176</v>
      </c>
      <c r="I10" s="1" t="s">
        <v>1177</v>
      </c>
      <c r="R10" s="1" t="s">
        <v>1153</v>
      </c>
      <c r="V10">
        <v>0.04</v>
      </c>
      <c r="W10">
        <v>12.72</v>
      </c>
      <c r="AA10">
        <v>6.29</v>
      </c>
      <c r="AB10">
        <v>0.15</v>
      </c>
      <c r="AC10" s="1" t="s">
        <v>1154</v>
      </c>
      <c r="AE10" s="1" t="s">
        <v>1178</v>
      </c>
      <c r="AX10" s="1" t="s">
        <v>1156</v>
      </c>
      <c r="BH10" s="1" t="s">
        <v>534</v>
      </c>
      <c r="BI10" s="1" t="s">
        <v>1157</v>
      </c>
      <c r="BJ10">
        <v>8003</v>
      </c>
      <c r="BK10" s="1" t="s">
        <v>51</v>
      </c>
      <c r="BM10" t="str">
        <f>IFERROR(VLOOKUP(B10,'Объекты МУГИСО'!$A:$B,2,FALSE),"")</f>
        <v/>
      </c>
      <c r="BN10" s="2" t="str">
        <f>IFERROR(VLOOKUP(BH10,'Коды без коммуникаций'!$C:$C,1,FALSE),"")</f>
        <v/>
      </c>
      <c r="BO10" s="2" t="str">
        <f t="shared" si="64"/>
        <v>пояс 3</v>
      </c>
      <c r="BP10" s="2" t="str">
        <f t="shared" si="65"/>
        <v>Наличие электроснабжения</v>
      </c>
      <c r="BQ10" s="2" t="str">
        <f t="shared" si="66"/>
        <v>Отсутствие теплоснабжения</v>
      </c>
      <c r="BR10" s="2" t="str">
        <f t="shared" si="67"/>
        <v>Отсутствие водоотведения</v>
      </c>
      <c r="BS10" s="2" t="str">
        <f t="shared" si="68"/>
        <v>3. СЕГМЕНТ "Общественное использование"</v>
      </c>
      <c r="BT10" s="2">
        <f t="shared" si="69"/>
        <v>18060</v>
      </c>
      <c r="BU10" s="55">
        <f>IF(B10="","",IF(AA10="",VLOOKUP(BO10,Поправки!$AJ$1:$AK$6,2,FALSE),AA10))</f>
        <v>6.29</v>
      </c>
      <c r="BV10" s="55">
        <f>IF(B10="","",IF(AB10="",Поправки!$AO$2,AB10))</f>
        <v>0.15</v>
      </c>
      <c r="BW10" s="55">
        <f>IF(B10="","",IF(BM10=1,0.0001,IF(V10="",Поправки!$AP$2,V10)))</f>
        <v>0.04</v>
      </c>
      <c r="BX10" s="55">
        <f>IF(B10="","",IF(W10&lt;=0,VLOOKUP(BO10,Поправки!$AJ$1:$AL$6,3,FALSE),W10))</f>
        <v>12.72</v>
      </c>
      <c r="BY10" s="58">
        <f>IF(B10="","",Поправки!$K$21)</f>
        <v>12012.3372</v>
      </c>
      <c r="BZ10" s="58">
        <f>IF(B10="","",VLOOKUP(BO10,Поправки!$B$40:$D$52,3,FALSE))</f>
        <v>0.64959999999999996</v>
      </c>
      <c r="CA10" s="58">
        <f>IF(B10="","",VLOOKUP(BP10,Поправки!$B$40:$D$52,3,FALSE))</f>
        <v>1.127</v>
      </c>
      <c r="CB10" s="58">
        <f>IF(B10="","",VLOOKUP(BQ10,Поправки!$B$40:$D$52,3,FALSE))</f>
        <v>1</v>
      </c>
      <c r="CC10" s="58">
        <f>IF(B10="","",VLOOKUP(BR10,Поправки!$B$40:$D$52,3,FALSE))</f>
        <v>1</v>
      </c>
      <c r="CD10" s="58">
        <f>IF(B10="","",VLOOKUP(BS10,Поправки!$B$40:$D$52,3,FALSE))</f>
        <v>1</v>
      </c>
      <c r="CE10" s="58">
        <f>IF(B10="","",IF(BT10&lt;Поправки!$I$11,Поправки!$L$11,ROUND((EXP(11.27070473*LN(BT10)^-0.08418488)^Поправки!$G$1)/Поправки!$K$10,4)))</f>
        <v>0.96699999999999997</v>
      </c>
      <c r="CF10" s="58">
        <f>IF(B10="","",IF(BU10&lt;Поправки!$N$11,Поправки!$Q$11,IF(BU10&gt;Поправки!$N$12,Поправки!$Q$12,ROUND((EXP(9.57779229*0.98667563^LN(BU10))^Поправки!$G$2)/Поправки!$P$10,4))))</f>
        <v>0.98919999999999997</v>
      </c>
      <c r="CG10" s="58">
        <f>IF(B10="","",IF(BV10&gt;Поправки!$S$12,Поправки!$V$12,IF(BV10&lt;Поправки!$S$11,Поправки!$V$11,ROUND((EXP(9.3057995*0.99085691^LN(BV10))^Поправки!$G$3)/Поправки!$U$10,4))))</f>
        <v>1.0049999999999999</v>
      </c>
      <c r="CH10" s="54">
        <f>IF(B10="","",IF(BW10&lt;Поправки!$X$11,Поправки!$AA$11,IF(BW10&gt;Поправки!$X$12,Поправки!$AA$12,ROUND((EXP(9.23088404*0.99320482^LN(BW10))^Поправки!$G$4)/Поправки!$Z$10,4))))</f>
        <v>1.0254000000000001</v>
      </c>
      <c r="CI10" s="8">
        <f>IF(B10="","",IF(BX10&lt;Поправки!$AC$11,Поправки!$AF$11,IF(BX10&gt;Поправки!$AC$12,Поправки!$AF$12,ROUND((EXP(9.93943263-0.30296633*LN(BX10))^Поправки!$G$5)/Поправки!$AE$10,4))))</f>
        <v>0.78259999999999996</v>
      </c>
      <c r="CJ10" s="2">
        <f t="shared" si="70"/>
        <v>0</v>
      </c>
      <c r="CK10" s="55">
        <f t="shared" si="71"/>
        <v>6784.3344180427785</v>
      </c>
      <c r="CL10" s="55">
        <f t="shared" si="72"/>
        <v>5088.25</v>
      </c>
      <c r="CM10" s="9">
        <f t="shared" si="73"/>
        <v>3.38</v>
      </c>
      <c r="CN10" s="9">
        <f t="shared" si="74"/>
        <v>5088.25</v>
      </c>
      <c r="CO10" s="60">
        <f t="shared" si="75"/>
        <v>5088.25</v>
      </c>
      <c r="CP10" s="59">
        <f t="shared" si="76"/>
        <v>91893795</v>
      </c>
      <c r="CQ10" s="2" t="str">
        <f t="shared" si="77"/>
        <v>СТ16_Ф5_М3_02032021_Мухамедьярова_Графика по ПКК_Новый</v>
      </c>
      <c r="CR10" s="2" t="str">
        <f t="shared" si="78"/>
        <v>66:41:0000000:188232</v>
      </c>
      <c r="CS10" s="2">
        <f t="shared" si="79"/>
        <v>8003</v>
      </c>
      <c r="CT10" t="str">
        <f t="shared" si="80"/>
        <v>Наличие уторгования</v>
      </c>
      <c r="CU10" s="2"/>
      <c r="CV10" s="2"/>
      <c r="CW10" s="2" t="str">
        <f t="shared" si="81"/>
        <v>Отсутствуют предыдущие значения</v>
      </c>
      <c r="CX10" s="2" t="str">
        <f t="shared" si="82"/>
        <v>Отсутствуют предыдущие значения</v>
      </c>
      <c r="CY10" s="2" t="str">
        <f t="shared" si="83"/>
        <v>Отсутствуют предыдущие значения</v>
      </c>
      <c r="CZ10" s="2" t="str">
        <f t="shared" si="84"/>
        <v>Отсутствуют предыдущие значения</v>
      </c>
      <c r="DA10" s="2" t="str">
        <f t="shared" si="85"/>
        <v>Отсутствуют предыдущие значения</v>
      </c>
      <c r="DB10" s="2" t="str">
        <f t="shared" si="86"/>
        <v>Отсутствуют предыдущие значения</v>
      </c>
      <c r="DC10" s="2" t="str">
        <f t="shared" si="87"/>
        <v>Отсутствуют предыдущие значения</v>
      </c>
      <c r="DD10" s="2" t="str">
        <f t="shared" si="88"/>
        <v>Отсутствуют предыдущие значения</v>
      </c>
      <c r="DE10" s="2" t="str">
        <f t="shared" si="89"/>
        <v>Отсутствуют предыдущие значения</v>
      </c>
      <c r="DF10" s="2" t="str">
        <f t="shared" si="90"/>
        <v>Отсутствуют предыдущие значения</v>
      </c>
      <c r="DG10" s="2" t="str">
        <f t="shared" si="91"/>
        <v>Отсутствуют предыдущие значения</v>
      </c>
      <c r="DH10" s="2" t="str">
        <f t="shared" si="92"/>
        <v>Отсутствуют предыдущие значения</v>
      </c>
      <c r="DI10" s="2" t="str">
        <f t="shared" si="93"/>
        <v/>
      </c>
      <c r="DJ10" t="str">
        <f t="shared" si="94"/>
        <v>Ф5</v>
      </c>
      <c r="DK10" t="str">
        <f t="shared" si="95"/>
        <v>М3</v>
      </c>
      <c r="DL10" t="str">
        <f t="shared" si="96"/>
        <v>02032021</v>
      </c>
      <c r="DM10" t="str">
        <f t="shared" si="97"/>
        <v>Мухамедьярова</v>
      </c>
      <c r="DN10" t="str">
        <f t="shared" si="98"/>
        <v>Графика по ПКК</v>
      </c>
      <c r="DO10" s="62" t="str">
        <f t="shared" si="99"/>
        <v>66:41:0000000:188232</v>
      </c>
      <c r="DP10" s="63" t="str">
        <f t="shared" si="100"/>
        <v>пояс 3</v>
      </c>
      <c r="DQ10" s="63" t="str">
        <f t="shared" si="101"/>
        <v>Наличие электроснабжения</v>
      </c>
      <c r="DR10" s="63" t="str">
        <f t="shared" si="102"/>
        <v>Отсутствие теплоснабжения</v>
      </c>
      <c r="DS10" s="63" t="str">
        <f t="shared" si="103"/>
        <v>Отсутствие водоотведения</v>
      </c>
      <c r="DT10" s="64" t="str">
        <f t="shared" si="104"/>
        <v>3. СЕГМЕНТ "Общественное использование"</v>
      </c>
      <c r="DU10" s="65">
        <f t="shared" si="105"/>
        <v>18060</v>
      </c>
      <c r="DV10" s="8">
        <f t="shared" si="106"/>
        <v>6.29</v>
      </c>
      <c r="DW10" s="8">
        <f t="shared" si="107"/>
        <v>0.15</v>
      </c>
      <c r="DX10" s="8">
        <f t="shared" si="108"/>
        <v>0.04</v>
      </c>
      <c r="DY10" s="8">
        <f t="shared" si="109"/>
        <v>12.72</v>
      </c>
      <c r="DZ10" s="8">
        <f t="shared" si="110"/>
        <v>0.96699999999999997</v>
      </c>
      <c r="EA10" s="8">
        <f t="shared" si="111"/>
        <v>0.98919999999999997</v>
      </c>
      <c r="EB10" s="8">
        <f t="shared" si="112"/>
        <v>1.0049999999999999</v>
      </c>
      <c r="EC10" s="8">
        <f t="shared" si="113"/>
        <v>1.0254000000000001</v>
      </c>
      <c r="ED10" s="8">
        <f t="shared" si="114"/>
        <v>0.78259999999999996</v>
      </c>
      <c r="EE10" s="8">
        <f t="shared" si="115"/>
        <v>0</v>
      </c>
      <c r="EF10" s="72">
        <f t="shared" si="116"/>
        <v>5088.25</v>
      </c>
      <c r="EG10" s="73">
        <f t="shared" si="117"/>
        <v>91893795</v>
      </c>
      <c r="EH10" s="63" t="str">
        <f t="shared" si="118"/>
        <v>СТ16_Ф5_М3_02032021_Мухамедьярова_Графика по ПКК_Новый</v>
      </c>
      <c r="EI10" s="63">
        <f t="shared" si="119"/>
        <v>8003</v>
      </c>
      <c r="EJ10" s="95" t="str">
        <f t="shared" si="120"/>
        <v>Наличие уторгования</v>
      </c>
      <c r="EK10" t="str">
        <f t="shared" si="121"/>
        <v>ГОТОВ</v>
      </c>
      <c r="EL10" t="str">
        <f t="shared" si="122"/>
        <v>3. СЕГМЕНТ "Общественное использование"</v>
      </c>
      <c r="EM10">
        <f>IF(B10="","",VLOOKUP(EL10,'Сегмент ВРИ'!$B:$C,2,FALSE))</f>
        <v>3</v>
      </c>
      <c r="EN10" t="str">
        <f t="shared" si="123"/>
        <v>03:070</v>
      </c>
      <c r="EO10" t="str">
        <f>IF(B10="","",VLOOKUP(EN10,'Сегмент ВРИ'!$A:$E,4,FALSE))</f>
        <v>Религиозное использование в целом</v>
      </c>
      <c r="EP10" t="str">
        <f t="shared" si="124"/>
        <v>Религиозное использование</v>
      </c>
      <c r="EQ10" t="str">
        <f t="shared" si="125"/>
        <v>Отсутствует значения предыдущих расчетов</v>
      </c>
      <c r="ER10" t="str">
        <f t="shared" si="126"/>
        <v>-</v>
      </c>
      <c r="ES10" t="str">
        <f t="shared" si="127"/>
        <v>Новый</v>
      </c>
    </row>
  </sheetData>
  <mergeCells count="8">
    <mergeCell ref="BO1:BX1"/>
    <mergeCell ref="EV1:EV3"/>
    <mergeCell ref="DO1:EJ1"/>
    <mergeCell ref="CU2:CV2"/>
    <mergeCell ref="DJ2:DM2"/>
    <mergeCell ref="CM1:CN1"/>
    <mergeCell ref="CO1:CP1"/>
    <mergeCell ref="CW1:DI1"/>
  </mergeCells>
  <conditionalFormatting sqref="DI2:DI4 DI11:DI1048576">
    <cfRule type="containsText" dxfId="5" priority="14" operator="containsText" text="ЗМ">
      <formula>NOT(ISERROR(SEARCH("ЗМ",DI2)))</formula>
    </cfRule>
  </conditionalFormatting>
  <conditionalFormatting sqref="DI1:DI4 DI11:DI1048576">
    <cfRule type="containsText" dxfId="4" priority="5" operator="containsText" text="ложь">
      <formula>NOT(ISERROR(SEARCH("ложь",DI1)))</formula>
    </cfRule>
  </conditionalFormatting>
  <conditionalFormatting sqref="CW3:DH4">
    <cfRule type="cellIs" dxfId="3" priority="4" operator="equal">
      <formula>FALSE</formula>
    </cfRule>
  </conditionalFormatting>
  <conditionalFormatting sqref="DI5:DI10">
    <cfRule type="containsText" dxfId="2" priority="3" operator="containsText" text="ЗМ">
      <formula>NOT(ISERROR(SEARCH("ЗМ",DI5)))</formula>
    </cfRule>
  </conditionalFormatting>
  <conditionalFormatting sqref="DI5:DI10">
    <cfRule type="containsText" dxfId="1" priority="2" operator="containsText" text="ложь">
      <formula>NOT(ISERROR(SEARCH("ложь",DI5)))</formula>
    </cfRule>
  </conditionalFormatting>
  <conditionalFormatting sqref="CW5:DH10">
    <cfRule type="cellIs" dxfId="0" priority="1" operator="equal">
      <formula>FALSE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AD1"/>
  <sheetViews>
    <sheetView zoomScale="85" zoomScaleNormal="85" workbookViewId="0">
      <selection activeCell="L6" sqref="L6"/>
    </sheetView>
  </sheetViews>
  <sheetFormatPr defaultRowHeight="15" x14ac:dyDescent="0.25"/>
  <cols>
    <col min="1" max="2" width="9.140625" customWidth="1"/>
  </cols>
  <sheetData>
    <row r="1" spans="1:30" x14ac:dyDescent="0.25">
      <c r="A1" t="s">
        <v>103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104</v>
      </c>
      <c r="V1" t="s">
        <v>105</v>
      </c>
      <c r="W1" t="s">
        <v>601</v>
      </c>
      <c r="X1" t="s">
        <v>579</v>
      </c>
      <c r="Y1" t="s">
        <v>854</v>
      </c>
      <c r="Z1" t="s">
        <v>578</v>
      </c>
      <c r="AA1" t="s">
        <v>860</v>
      </c>
      <c r="AB1" t="s">
        <v>1114</v>
      </c>
      <c r="AD1" s="109">
        <f>COUNTA(A:A)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I1"/>
  <sheetViews>
    <sheetView workbookViewId="0">
      <selection activeCell="I1" sqref="I1"/>
    </sheetView>
  </sheetViews>
  <sheetFormatPr defaultRowHeight="15" x14ac:dyDescent="0.25"/>
  <sheetData>
    <row r="1" spans="1:9" x14ac:dyDescent="0.25">
      <c r="A1" t="s">
        <v>103</v>
      </c>
      <c r="B1" t="s">
        <v>601</v>
      </c>
      <c r="C1" t="s">
        <v>579</v>
      </c>
      <c r="D1" t="s">
        <v>854</v>
      </c>
      <c r="E1" t="s">
        <v>578</v>
      </c>
      <c r="F1" t="s">
        <v>860</v>
      </c>
      <c r="G1" t="s">
        <v>1114</v>
      </c>
      <c r="I1" s="110">
        <f>COUNTA(A:A)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D1"/>
  <sheetViews>
    <sheetView workbookViewId="0">
      <selection activeCell="F31" sqref="F31"/>
    </sheetView>
  </sheetViews>
  <sheetFormatPr defaultRowHeight="15" x14ac:dyDescent="0.25"/>
  <cols>
    <col min="1" max="1" width="16.85546875" customWidth="1"/>
  </cols>
  <sheetData>
    <row r="1" spans="1:4" x14ac:dyDescent="0.25">
      <c r="A1" t="s">
        <v>103</v>
      </c>
      <c r="B1" t="s">
        <v>601</v>
      </c>
      <c r="D1" s="80">
        <f>COUNTA(A:A)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zoomScale="85" zoomScaleNormal="85" workbookViewId="0">
      <selection activeCell="B14" sqref="B14"/>
    </sheetView>
  </sheetViews>
  <sheetFormatPr defaultRowHeight="15" x14ac:dyDescent="0.25"/>
  <cols>
    <col min="1" max="1" width="3.42578125" style="96" bestFit="1" customWidth="1"/>
    <col min="2" max="2" width="99.7109375" style="76" customWidth="1"/>
    <col min="3" max="3" width="26.28515625" customWidth="1"/>
  </cols>
  <sheetData>
    <row r="1" spans="1:8" x14ac:dyDescent="0.25">
      <c r="B1" s="89" t="s">
        <v>841</v>
      </c>
      <c r="C1" s="90" t="s">
        <v>827</v>
      </c>
    </row>
    <row r="2" spans="1:8" x14ac:dyDescent="0.25">
      <c r="A2" s="97">
        <v>1</v>
      </c>
      <c r="B2" s="74" t="s">
        <v>847</v>
      </c>
      <c r="C2" s="75" t="s">
        <v>828</v>
      </c>
      <c r="H2" t="s">
        <v>851</v>
      </c>
    </row>
    <row r="3" spans="1:8" x14ac:dyDescent="0.25">
      <c r="A3" s="97">
        <v>2</v>
      </c>
      <c r="B3" s="74" t="s">
        <v>842</v>
      </c>
      <c r="C3" s="75"/>
    </row>
    <row r="4" spans="1:8" x14ac:dyDescent="0.25">
      <c r="A4" s="97">
        <v>3</v>
      </c>
      <c r="B4" s="74" t="s">
        <v>829</v>
      </c>
      <c r="C4" s="75"/>
    </row>
    <row r="5" spans="1:8" ht="30" x14ac:dyDescent="0.25">
      <c r="A5" s="97">
        <v>4</v>
      </c>
      <c r="B5" s="74" t="s">
        <v>845</v>
      </c>
      <c r="C5" s="75"/>
    </row>
    <row r="6" spans="1:8" x14ac:dyDescent="0.25">
      <c r="A6" s="97">
        <v>5</v>
      </c>
      <c r="B6" s="74" t="s">
        <v>830</v>
      </c>
      <c r="C6" s="75"/>
    </row>
    <row r="7" spans="1:8" ht="30" x14ac:dyDescent="0.25">
      <c r="A7" s="97">
        <v>6</v>
      </c>
      <c r="B7" s="74" t="s">
        <v>846</v>
      </c>
      <c r="C7" s="75"/>
    </row>
    <row r="8" spans="1:8" ht="45" x14ac:dyDescent="0.25">
      <c r="A8" s="97">
        <v>7</v>
      </c>
      <c r="B8" s="74" t="s">
        <v>852</v>
      </c>
      <c r="C8" s="75"/>
    </row>
    <row r="9" spans="1:8" ht="30" x14ac:dyDescent="0.25">
      <c r="A9" s="97">
        <v>8</v>
      </c>
      <c r="B9" s="74" t="s">
        <v>849</v>
      </c>
      <c r="C9" s="75"/>
    </row>
    <row r="10" spans="1:8" ht="30" x14ac:dyDescent="0.25">
      <c r="A10" s="97">
        <v>9</v>
      </c>
      <c r="B10" s="74" t="s">
        <v>853</v>
      </c>
      <c r="C10" s="75"/>
      <c r="D10" t="s">
        <v>831</v>
      </c>
    </row>
    <row r="11" spans="1:8" ht="30" x14ac:dyDescent="0.25">
      <c r="A11" s="97">
        <v>10</v>
      </c>
      <c r="B11" s="74" t="s">
        <v>832</v>
      </c>
      <c r="C11" s="75" t="s">
        <v>833</v>
      </c>
    </row>
    <row r="12" spans="1:8" ht="45" x14ac:dyDescent="0.25">
      <c r="A12" s="97">
        <v>11</v>
      </c>
      <c r="B12" s="74" t="s">
        <v>850</v>
      </c>
      <c r="C12" s="75"/>
    </row>
    <row r="13" spans="1:8" ht="30" x14ac:dyDescent="0.25">
      <c r="A13" s="97">
        <v>12</v>
      </c>
      <c r="B13" s="74" t="s">
        <v>834</v>
      </c>
      <c r="C13" s="75"/>
    </row>
    <row r="14" spans="1:8" ht="45" x14ac:dyDescent="0.25">
      <c r="A14" s="97">
        <v>13</v>
      </c>
      <c r="B14" s="74" t="s">
        <v>1120</v>
      </c>
      <c r="C14" s="75"/>
    </row>
    <row r="15" spans="1:8" x14ac:dyDescent="0.25">
      <c r="A15" s="97">
        <v>14</v>
      </c>
      <c r="B15" s="74" t="s">
        <v>835</v>
      </c>
      <c r="C15" s="75"/>
    </row>
    <row r="16" spans="1:8" ht="30" x14ac:dyDescent="0.25">
      <c r="A16" s="97">
        <v>15</v>
      </c>
      <c r="B16" s="74" t="s">
        <v>836</v>
      </c>
      <c r="C16" s="75"/>
    </row>
    <row r="18" spans="1:3" x14ac:dyDescent="0.25">
      <c r="B18" s="74" t="s">
        <v>837</v>
      </c>
    </row>
    <row r="19" spans="1:3" x14ac:dyDescent="0.25">
      <c r="B19" s="83" t="s">
        <v>838</v>
      </c>
    </row>
    <row r="20" spans="1:3" x14ac:dyDescent="0.25">
      <c r="B20" s="87" t="s">
        <v>839</v>
      </c>
    </row>
    <row r="21" spans="1:3" x14ac:dyDescent="0.25">
      <c r="B21" s="88" t="s">
        <v>840</v>
      </c>
    </row>
    <row r="23" spans="1:3" x14ac:dyDescent="0.25">
      <c r="A23" s="98"/>
      <c r="B23" s="77"/>
      <c r="C23" s="64"/>
    </row>
    <row r="24" spans="1:3" x14ac:dyDescent="0.25">
      <c r="A24" s="98"/>
      <c r="B24" s="78"/>
      <c r="C24" s="64"/>
    </row>
    <row r="25" spans="1:3" x14ac:dyDescent="0.25">
      <c r="A25" s="98"/>
      <c r="B25" s="79"/>
      <c r="C25" s="64"/>
    </row>
    <row r="26" spans="1:3" x14ac:dyDescent="0.25">
      <c r="A26" s="98"/>
      <c r="B26" s="79"/>
      <c r="C26" s="64"/>
    </row>
    <row r="27" spans="1:3" x14ac:dyDescent="0.25">
      <c r="A27" s="98"/>
      <c r="B27" s="77"/>
      <c r="C27" s="64"/>
    </row>
    <row r="28" spans="1:3" x14ac:dyDescent="0.25">
      <c r="A28" s="98"/>
      <c r="B28" s="77"/>
      <c r="C28" s="64"/>
    </row>
    <row r="29" spans="1:3" x14ac:dyDescent="0.25">
      <c r="A29" s="98"/>
      <c r="B29" s="77"/>
      <c r="C29" s="64"/>
    </row>
    <row r="30" spans="1:3" x14ac:dyDescent="0.25">
      <c r="A30" s="98"/>
      <c r="B30" s="77"/>
      <c r="C30" s="64"/>
    </row>
  </sheetData>
  <pageMargins left="0.7" right="0.7" top="0.75" bottom="0.75" header="0.3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2"/>
  <sheetViews>
    <sheetView topLeftCell="I1" zoomScale="70" zoomScaleNormal="70" workbookViewId="0">
      <selection activeCell="AO2" sqref="AO2"/>
    </sheetView>
  </sheetViews>
  <sheetFormatPr defaultRowHeight="15" x14ac:dyDescent="0.25"/>
  <cols>
    <col min="1" max="10" width="9.140625" style="6"/>
    <col min="11" max="11" width="10.42578125" style="6" bestFit="1" customWidth="1"/>
    <col min="12" max="12" width="9.140625" style="6"/>
    <col min="13" max="13" width="12.85546875" style="6" customWidth="1"/>
    <col min="14" max="21" width="9.140625" style="6"/>
    <col min="22" max="22" width="16.7109375" style="6" customWidth="1"/>
    <col min="23" max="23" width="12.42578125" style="6" bestFit="1" customWidth="1"/>
    <col min="24" max="24" width="13.42578125" style="6" customWidth="1"/>
    <col min="25" max="25" width="14.140625" style="6" customWidth="1"/>
    <col min="26" max="44" width="9.140625" style="6"/>
    <col min="45" max="16384" width="9.140625" style="2"/>
  </cols>
  <sheetData>
    <row r="1" spans="2:42" s="6" customFormat="1" ht="120" x14ac:dyDescent="0.25">
      <c r="B1" s="23" t="s">
        <v>140</v>
      </c>
      <c r="E1" s="24" t="s">
        <v>141</v>
      </c>
      <c r="F1" s="25" t="s">
        <v>142</v>
      </c>
      <c r="G1" s="26">
        <v>0.68773775644976998</v>
      </c>
      <c r="H1" s="13"/>
      <c r="I1" s="27" t="s">
        <v>143</v>
      </c>
      <c r="J1" s="28"/>
      <c r="K1" s="28"/>
      <c r="L1" s="28"/>
      <c r="M1" s="28"/>
      <c r="N1" s="27" t="s">
        <v>25</v>
      </c>
      <c r="O1" s="28"/>
      <c r="P1" s="28"/>
      <c r="Q1" s="28"/>
      <c r="R1" s="28"/>
      <c r="S1" s="27" t="s">
        <v>144</v>
      </c>
      <c r="T1" s="28"/>
      <c r="U1" s="28"/>
      <c r="V1" s="28"/>
      <c r="W1" s="28"/>
      <c r="X1" s="27" t="s">
        <v>145</v>
      </c>
      <c r="Y1" s="28"/>
      <c r="Z1" s="28"/>
      <c r="AA1" s="28"/>
      <c r="AB1" s="28"/>
      <c r="AC1" s="27" t="s">
        <v>146</v>
      </c>
      <c r="AD1" s="28"/>
      <c r="AE1" s="28"/>
      <c r="AF1" s="13"/>
      <c r="AI1" s="56"/>
      <c r="AJ1" s="57" t="s">
        <v>147</v>
      </c>
      <c r="AK1" s="57" t="s">
        <v>148</v>
      </c>
      <c r="AL1" s="57" t="s">
        <v>149</v>
      </c>
      <c r="AM1" s="56"/>
      <c r="AN1" s="56"/>
      <c r="AO1" s="57" t="s">
        <v>150</v>
      </c>
      <c r="AP1" s="57" t="s">
        <v>151</v>
      </c>
    </row>
    <row r="2" spans="2:42" s="6" customFormat="1" x14ac:dyDescent="0.25">
      <c r="B2" s="30" t="s">
        <v>152</v>
      </c>
      <c r="E2" s="24" t="s">
        <v>153</v>
      </c>
      <c r="F2" s="25" t="s">
        <v>154</v>
      </c>
      <c r="G2" s="26">
        <v>4.6467472563950001E-2</v>
      </c>
      <c r="H2" s="13"/>
      <c r="I2" s="10">
        <v>11703</v>
      </c>
      <c r="J2" s="11">
        <f xml:space="preserve"> 11.27070473*LN(I2)^-0.08418488</f>
        <v>9.3358669836749133</v>
      </c>
      <c r="K2" s="11">
        <f>EXP(J2)^$G$1</f>
        <v>614.38896058000989</v>
      </c>
      <c r="L2" s="12">
        <f>ROUND(K2/$K$10,4)</f>
        <v>0.9909</v>
      </c>
      <c r="M2" s="13"/>
      <c r="N2" s="10">
        <v>6.8000000000000005E-2</v>
      </c>
      <c r="O2" s="11">
        <f>9.57779229*0.98667563^LN(N2)</f>
        <v>9.9294699323604032</v>
      </c>
      <c r="P2" s="12">
        <f>EXP(O2)^$G$2</f>
        <v>1.5862890723726684</v>
      </c>
      <c r="Q2" s="12">
        <f>ROUND(P2/$P$10,4)</f>
        <v>1.0165</v>
      </c>
      <c r="R2" s="13"/>
      <c r="S2" s="10">
        <v>1.0999999999999999E-2</v>
      </c>
      <c r="T2" s="11">
        <f>9.3057995*0.99085691^LN(S2)</f>
        <v>9.6993757149628834</v>
      </c>
      <c r="U2" s="11">
        <f>EXP(T2)^$G$3</f>
        <v>1.5931977834069273</v>
      </c>
      <c r="V2" s="12">
        <f>ROUND(U2/$U$10,4)</f>
        <v>1.0162</v>
      </c>
      <c r="W2" s="13"/>
      <c r="X2" s="14">
        <v>1E-4</v>
      </c>
      <c r="Y2" s="31">
        <f>9.23088404*0.99320482^LN(X2)</f>
        <v>9.8291686035827919</v>
      </c>
      <c r="Z2" s="11">
        <f>EXP(Y2)^$G$4</f>
        <v>5.3394318664801519</v>
      </c>
      <c r="AA2" s="12">
        <f>ROUND(Z2/$Z$10,4)</f>
        <v>1.0965</v>
      </c>
      <c r="AB2" s="13"/>
      <c r="AC2" s="15">
        <v>4.3</v>
      </c>
      <c r="AD2" s="11">
        <f>9.93943263-0.30296633*LN(AC2)</f>
        <v>9.4975213896898616</v>
      </c>
      <c r="AE2" s="11">
        <f>EXP(AD2)^$G$5</f>
        <v>20.53914475490928</v>
      </c>
      <c r="AF2" s="12">
        <f>ROUND(AE2/$AE$10,4)</f>
        <v>0.86880000000000002</v>
      </c>
      <c r="AJ2" s="32" t="s">
        <v>48</v>
      </c>
      <c r="AK2" s="33">
        <f>ROUND(AM2,2)</f>
        <v>3.3</v>
      </c>
      <c r="AL2" s="33">
        <f>ROUND(AN2,2)</f>
        <v>4.34</v>
      </c>
      <c r="AM2" s="32">
        <v>3.3046425172018377</v>
      </c>
      <c r="AN2" s="32">
        <v>4.3361089449541312</v>
      </c>
      <c r="AO2" s="33">
        <f>ROUND(0.27771881219732,2)</f>
        <v>0.28000000000000003</v>
      </c>
      <c r="AP2" s="33">
        <f>ROUND(0.0488190916089297,2)</f>
        <v>0.05</v>
      </c>
    </row>
    <row r="3" spans="2:42" s="6" customFormat="1" x14ac:dyDescent="0.25">
      <c r="B3" s="34" t="s">
        <v>155</v>
      </c>
      <c r="E3" s="24" t="s">
        <v>156</v>
      </c>
      <c r="F3" s="25" t="s">
        <v>157</v>
      </c>
      <c r="G3" s="26">
        <v>4.8017851326480003E-2</v>
      </c>
      <c r="H3" s="13"/>
      <c r="I3" s="15">
        <v>25000</v>
      </c>
      <c r="J3" s="11">
        <f t="shared" ref="J3:J13" si="0" xml:space="preserve"> 11.27070473*LN(I3)^-0.08418488</f>
        <v>9.2748335170226213</v>
      </c>
      <c r="K3" s="11">
        <f t="shared" ref="K3:K13" si="1">EXP(J3)^$G$1</f>
        <v>589.13372453359227</v>
      </c>
      <c r="L3" s="12">
        <f t="shared" ref="L3:L13" si="2">ROUND(K3/$K$10,4)</f>
        <v>0.95020000000000004</v>
      </c>
      <c r="M3" s="13"/>
      <c r="N3" s="15">
        <v>3</v>
      </c>
      <c r="O3" s="11">
        <f t="shared" ref="O3:O13" si="3">9.57779229*0.98667563^LN(N3)</f>
        <v>9.4376820145116014</v>
      </c>
      <c r="P3" s="12">
        <f t="shared" ref="P3:P13" si="4">EXP(O3)^$G$2</f>
        <v>1.5504500289937986</v>
      </c>
      <c r="Q3" s="12">
        <f t="shared" ref="Q3:Q13" si="5">ROUND(P3/$P$10,4)</f>
        <v>0.99350000000000005</v>
      </c>
      <c r="R3" s="13"/>
      <c r="S3" s="15">
        <v>1.5</v>
      </c>
      <c r="T3" s="11">
        <f t="shared" ref="T3:T13" si="6">9.3057995*0.99085691^LN(S3)</f>
        <v>9.2712067797658708</v>
      </c>
      <c r="U3" s="11">
        <f t="shared" ref="U3:U13" si="7">EXP(T3)^$G$3</f>
        <v>1.5607764608803516</v>
      </c>
      <c r="V3" s="12">
        <f t="shared" ref="V3:V13" si="8">ROUND(U3/$U$10,4)</f>
        <v>0.99550000000000005</v>
      </c>
      <c r="W3" s="13"/>
      <c r="X3" s="16">
        <v>7.0000000000000007E-2</v>
      </c>
      <c r="Y3" s="31">
        <f t="shared" ref="Y3:Y13" si="9">9.23088404*0.99320482^LN(X3)</f>
        <v>9.3997834148994777</v>
      </c>
      <c r="Z3" s="11">
        <f t="shared" ref="Z3:Z13" si="10">EXP(Y3)^$G$4</f>
        <v>4.9626606513880054</v>
      </c>
      <c r="AA3" s="12">
        <f t="shared" ref="AA3:AA13" si="11">ROUND(Z3/$Z$10,4)</f>
        <v>1.0190999999999999</v>
      </c>
      <c r="AB3" s="13"/>
      <c r="AC3" s="17">
        <v>3</v>
      </c>
      <c r="AD3" s="11">
        <f t="shared" ref="AD3:AD13" si="12">9.93943263-0.30296633*LN(AC3)</f>
        <v>9.6065900968093221</v>
      </c>
      <c r="AE3" s="11">
        <f t="shared" ref="AE3:AE13" si="13">EXP(AD3)^$G$5</f>
        <v>21.264537287762803</v>
      </c>
      <c r="AF3" s="12">
        <f t="shared" ref="AF3:AF13" si="14">ROUND(AE3/$AE$10,4)</f>
        <v>0.89949999999999997</v>
      </c>
      <c r="AJ3" s="32" t="s">
        <v>59</v>
      </c>
      <c r="AK3" s="33">
        <f t="shared" ref="AK3:AL6" si="15">ROUND(AM3,2)</f>
        <v>4.37</v>
      </c>
      <c r="AL3" s="33">
        <f t="shared" si="15"/>
        <v>8.6300000000000008</v>
      </c>
      <c r="AM3" s="32">
        <v>4.3736850636846309</v>
      </c>
      <c r="AN3" s="32">
        <v>8.6348129870129888</v>
      </c>
    </row>
    <row r="4" spans="2:42" s="6" customFormat="1" x14ac:dyDescent="0.25">
      <c r="B4" s="35" t="s">
        <v>158</v>
      </c>
      <c r="E4" s="24" t="s">
        <v>159</v>
      </c>
      <c r="F4" s="25" t="s">
        <v>160</v>
      </c>
      <c r="G4" s="26">
        <v>0.17042329039473</v>
      </c>
      <c r="H4" s="13"/>
      <c r="I4" s="10">
        <v>49700</v>
      </c>
      <c r="J4" s="11">
        <f t="shared" si="0"/>
        <v>9.2237147772838561</v>
      </c>
      <c r="K4" s="11">
        <f t="shared" si="1"/>
        <v>568.78181494288754</v>
      </c>
      <c r="L4" s="12">
        <f t="shared" si="2"/>
        <v>0.9173</v>
      </c>
      <c r="M4" s="13"/>
      <c r="N4" s="10">
        <v>5.9320000000000004</v>
      </c>
      <c r="O4" s="11">
        <f t="shared" si="3"/>
        <v>9.3517684221981874</v>
      </c>
      <c r="P4" s="12">
        <f t="shared" si="4"/>
        <v>1.5442726805493743</v>
      </c>
      <c r="Q4" s="12">
        <f t="shared" si="5"/>
        <v>0.98960000000000004</v>
      </c>
      <c r="R4" s="13"/>
      <c r="S4" s="10">
        <v>2.9889999999999999</v>
      </c>
      <c r="T4" s="11">
        <f t="shared" si="6"/>
        <v>9.2126785260020103</v>
      </c>
      <c r="U4" s="11">
        <f t="shared" si="7"/>
        <v>1.5563962111853191</v>
      </c>
      <c r="V4" s="12">
        <f t="shared" si="8"/>
        <v>0.99270000000000003</v>
      </c>
      <c r="W4" s="13"/>
      <c r="X4" s="18">
        <v>0.1399</v>
      </c>
      <c r="Y4" s="31">
        <f t="shared" si="9"/>
        <v>9.3555091573494398</v>
      </c>
      <c r="Z4" s="11">
        <f t="shared" si="10"/>
        <v>4.9253564809013879</v>
      </c>
      <c r="AA4" s="12">
        <f t="shared" si="11"/>
        <v>1.0114000000000001</v>
      </c>
      <c r="AB4" s="13"/>
      <c r="AC4" s="15">
        <v>5.71</v>
      </c>
      <c r="AD4" s="11">
        <f t="shared" si="12"/>
        <v>9.4115989263431477</v>
      </c>
      <c r="AE4" s="11">
        <f t="shared" si="13"/>
        <v>19.985160758172881</v>
      </c>
      <c r="AF4" s="12">
        <f t="shared" si="14"/>
        <v>0.84540000000000004</v>
      </c>
      <c r="AJ4" s="32" t="s">
        <v>52</v>
      </c>
      <c r="AK4" s="33">
        <f t="shared" si="15"/>
        <v>6.7</v>
      </c>
      <c r="AL4" s="33">
        <f t="shared" si="15"/>
        <v>10.3</v>
      </c>
      <c r="AM4" s="32">
        <v>6.7007978290366381</v>
      </c>
      <c r="AN4" s="32">
        <v>10.298812754409779</v>
      </c>
    </row>
    <row r="5" spans="2:42" s="6" customFormat="1" x14ac:dyDescent="0.25">
      <c r="B5" s="29" t="s">
        <v>161</v>
      </c>
      <c r="C5" s="29" t="s">
        <v>162</v>
      </c>
      <c r="E5" s="24" t="s">
        <v>163</v>
      </c>
      <c r="F5" s="25" t="s">
        <v>164</v>
      </c>
      <c r="G5" s="26">
        <v>0.31822329654205</v>
      </c>
      <c r="H5" s="13"/>
      <c r="I5" s="15">
        <v>74400</v>
      </c>
      <c r="J5" s="11">
        <f t="shared" si="0"/>
        <v>9.1953155691580513</v>
      </c>
      <c r="K5" s="11">
        <f t="shared" si="1"/>
        <v>557.78060238879937</v>
      </c>
      <c r="L5" s="12">
        <f t="shared" si="2"/>
        <v>0.89959999999999996</v>
      </c>
      <c r="M5" s="13"/>
      <c r="N5" s="15">
        <v>8.8640000000000008</v>
      </c>
      <c r="O5" s="11">
        <f t="shared" si="3"/>
        <v>9.3015209746583327</v>
      </c>
      <c r="P5" s="12">
        <f t="shared" si="4"/>
        <v>1.5406712078020131</v>
      </c>
      <c r="Q5" s="12">
        <f t="shared" si="5"/>
        <v>0.98719999999999997</v>
      </c>
      <c r="R5" s="13"/>
      <c r="S5" s="15">
        <v>4.4779999999999998</v>
      </c>
      <c r="T5" s="11">
        <f t="shared" si="6"/>
        <v>9.1785354500739587</v>
      </c>
      <c r="U5" s="11">
        <f t="shared" si="7"/>
        <v>1.5538466257350929</v>
      </c>
      <c r="V5" s="12">
        <f t="shared" si="8"/>
        <v>0.99109999999999998</v>
      </c>
      <c r="W5" s="13"/>
      <c r="X5" s="19">
        <v>0.20979999999999999</v>
      </c>
      <c r="Y5" s="31">
        <f t="shared" si="9"/>
        <v>9.3296956818446493</v>
      </c>
      <c r="Z5" s="11">
        <f t="shared" si="10"/>
        <v>4.9037363574914874</v>
      </c>
      <c r="AA5" s="12">
        <f t="shared" si="11"/>
        <v>1.0069999999999999</v>
      </c>
      <c r="AB5" s="13"/>
      <c r="AC5" s="17">
        <v>8.42</v>
      </c>
      <c r="AD5" s="11">
        <f t="shared" si="12"/>
        <v>9.293929589671885</v>
      </c>
      <c r="AE5" s="11">
        <f t="shared" si="13"/>
        <v>19.250651645114342</v>
      </c>
      <c r="AF5" s="12">
        <f t="shared" si="14"/>
        <v>0.81430000000000002</v>
      </c>
      <c r="AJ5" s="32" t="s">
        <v>63</v>
      </c>
      <c r="AK5" s="33">
        <f t="shared" si="15"/>
        <v>15.12</v>
      </c>
      <c r="AL5" s="33">
        <f t="shared" si="15"/>
        <v>16.62</v>
      </c>
      <c r="AM5" s="32">
        <v>15.121397020157769</v>
      </c>
      <c r="AN5" s="32">
        <v>16.622085889570553</v>
      </c>
    </row>
    <row r="6" spans="2:42" s="6" customFormat="1" x14ac:dyDescent="0.25">
      <c r="B6" s="24" t="s">
        <v>165</v>
      </c>
      <c r="C6" s="26">
        <v>498</v>
      </c>
      <c r="H6" s="13"/>
      <c r="I6" s="10">
        <v>99100</v>
      </c>
      <c r="J6" s="11">
        <f t="shared" si="0"/>
        <v>9.175801366333685</v>
      </c>
      <c r="K6" s="11">
        <f t="shared" si="1"/>
        <v>550.34482994924281</v>
      </c>
      <c r="L6" s="12">
        <f t="shared" si="2"/>
        <v>0.88759999999999994</v>
      </c>
      <c r="M6" s="13"/>
      <c r="N6" s="10">
        <v>11.795999999999999</v>
      </c>
      <c r="O6" s="11">
        <f t="shared" si="3"/>
        <v>9.2659346513802561</v>
      </c>
      <c r="P6" s="12">
        <f t="shared" si="4"/>
        <v>1.5381256491337731</v>
      </c>
      <c r="Q6" s="12">
        <f t="shared" si="5"/>
        <v>0.98560000000000003</v>
      </c>
      <c r="R6" s="13"/>
      <c r="S6" s="10">
        <v>5.9669999999999996</v>
      </c>
      <c r="T6" s="11">
        <f t="shared" si="6"/>
        <v>9.1543657431897483</v>
      </c>
      <c r="U6" s="11">
        <f t="shared" si="7"/>
        <v>1.5520443125352625</v>
      </c>
      <c r="V6" s="12">
        <f t="shared" si="8"/>
        <v>0.9899</v>
      </c>
      <c r="W6" s="13"/>
      <c r="X6" s="18">
        <v>0.2797</v>
      </c>
      <c r="Y6" s="31">
        <f t="shared" si="9"/>
        <v>9.3114207670546367</v>
      </c>
      <c r="Z6" s="11">
        <f t="shared" si="10"/>
        <v>4.8884875705532602</v>
      </c>
      <c r="AA6" s="12">
        <f t="shared" si="11"/>
        <v>1.0039</v>
      </c>
      <c r="AB6" s="13"/>
      <c r="AC6" s="15">
        <v>11.13</v>
      </c>
      <c r="AD6" s="11">
        <f t="shared" si="12"/>
        <v>9.2093915806369466</v>
      </c>
      <c r="AE6" s="11">
        <f t="shared" si="13"/>
        <v>18.739675259726436</v>
      </c>
      <c r="AF6" s="12">
        <f t="shared" si="14"/>
        <v>0.79269999999999996</v>
      </c>
      <c r="AJ6" s="32" t="s">
        <v>56</v>
      </c>
      <c r="AK6" s="33">
        <f t="shared" si="15"/>
        <v>1.06</v>
      </c>
      <c r="AL6" s="33">
        <f t="shared" si="15"/>
        <v>1.7</v>
      </c>
      <c r="AM6" s="32">
        <v>1.0611546840958612</v>
      </c>
      <c r="AN6" s="32">
        <v>1.7011830065359499</v>
      </c>
    </row>
    <row r="7" spans="2:42" s="6" customFormat="1" x14ac:dyDescent="0.25">
      <c r="B7" s="24" t="s">
        <v>166</v>
      </c>
      <c r="C7" s="26">
        <v>0.79500000000000004</v>
      </c>
      <c r="H7" s="13"/>
      <c r="I7" s="15">
        <v>123800</v>
      </c>
      <c r="J7" s="11">
        <f t="shared" si="0"/>
        <v>9.161012998534293</v>
      </c>
      <c r="K7" s="11">
        <f t="shared" si="1"/>
        <v>544.77590489173053</v>
      </c>
      <c r="L7" s="12">
        <f t="shared" si="2"/>
        <v>0.87860000000000005</v>
      </c>
      <c r="M7" s="13"/>
      <c r="N7" s="15">
        <v>14.728</v>
      </c>
      <c r="O7" s="11">
        <f t="shared" si="3"/>
        <v>9.238383971053862</v>
      </c>
      <c r="P7" s="12">
        <f t="shared" si="4"/>
        <v>1.536157784464091</v>
      </c>
      <c r="Q7" s="12">
        <f t="shared" si="5"/>
        <v>0.98440000000000005</v>
      </c>
      <c r="R7" s="13"/>
      <c r="S7" s="15">
        <v>7.4560000000000004</v>
      </c>
      <c r="T7" s="11">
        <f t="shared" si="6"/>
        <v>9.1356530609722064</v>
      </c>
      <c r="U7" s="11">
        <f t="shared" si="7"/>
        <v>1.5506503606608659</v>
      </c>
      <c r="V7" s="12">
        <f t="shared" si="8"/>
        <v>0.98899999999999999</v>
      </c>
      <c r="W7" s="13"/>
      <c r="X7" s="19">
        <v>0.34960000000000002</v>
      </c>
      <c r="Y7" s="31">
        <f t="shared" si="9"/>
        <v>9.2972689705069556</v>
      </c>
      <c r="Z7" s="11">
        <f t="shared" si="10"/>
        <v>4.876711743244595</v>
      </c>
      <c r="AA7" s="12">
        <f t="shared" si="11"/>
        <v>1.0015000000000001</v>
      </c>
      <c r="AB7" s="13"/>
      <c r="AC7" s="17">
        <v>13.84</v>
      </c>
      <c r="AD7" s="11">
        <f t="shared" si="12"/>
        <v>9.1433695261371071</v>
      </c>
      <c r="AE7" s="11">
        <f t="shared" si="13"/>
        <v>18.350066383243252</v>
      </c>
      <c r="AF7" s="12">
        <f t="shared" si="14"/>
        <v>0.7762</v>
      </c>
    </row>
    <row r="8" spans="2:42" s="6" customFormat="1" x14ac:dyDescent="0.25">
      <c r="B8" s="24" t="s">
        <v>167</v>
      </c>
      <c r="C8" s="26">
        <v>0.63200000000000001</v>
      </c>
      <c r="H8" s="13"/>
      <c r="I8" s="10">
        <v>148500</v>
      </c>
      <c r="J8" s="11">
        <f t="shared" si="0"/>
        <v>9.1491482579841854</v>
      </c>
      <c r="K8" s="11">
        <f t="shared" si="1"/>
        <v>540.34871322457286</v>
      </c>
      <c r="L8" s="12">
        <f t="shared" si="2"/>
        <v>0.87150000000000005</v>
      </c>
      <c r="M8" s="13"/>
      <c r="N8" s="10">
        <v>17.66</v>
      </c>
      <c r="O8" s="11">
        <f t="shared" si="3"/>
        <v>9.2159128902295198</v>
      </c>
      <c r="P8" s="12">
        <f t="shared" si="4"/>
        <v>1.5345546050811743</v>
      </c>
      <c r="Q8" s="12">
        <f t="shared" si="5"/>
        <v>0.98329999999999995</v>
      </c>
      <c r="R8" s="13"/>
      <c r="S8" s="10">
        <v>8.9450000000000003</v>
      </c>
      <c r="T8" s="11">
        <f t="shared" si="6"/>
        <v>9.1203874449310067</v>
      </c>
      <c r="U8" s="11">
        <f t="shared" si="7"/>
        <v>1.5495141162028729</v>
      </c>
      <c r="V8" s="12">
        <f t="shared" si="8"/>
        <v>0.98829999999999996</v>
      </c>
      <c r="W8" s="13"/>
      <c r="X8" s="18">
        <v>0.41949999999999998</v>
      </c>
      <c r="Y8" s="31">
        <f t="shared" si="9"/>
        <v>9.2857213977161059</v>
      </c>
      <c r="Z8" s="11">
        <f t="shared" si="10"/>
        <v>4.8671239321219097</v>
      </c>
      <c r="AA8" s="12">
        <f t="shared" si="11"/>
        <v>0.99950000000000006</v>
      </c>
      <c r="AB8" s="13"/>
      <c r="AC8" s="15">
        <v>16.55</v>
      </c>
      <c r="AD8" s="11">
        <f t="shared" si="12"/>
        <v>9.0891921321676588</v>
      </c>
      <c r="AE8" s="11">
        <f t="shared" si="13"/>
        <v>18.03641343753883</v>
      </c>
      <c r="AF8" s="12">
        <f t="shared" si="14"/>
        <v>0.76290000000000002</v>
      </c>
    </row>
    <row r="9" spans="2:42" s="6" customFormat="1" x14ac:dyDescent="0.25">
      <c r="B9" s="24" t="s">
        <v>168</v>
      </c>
      <c r="C9" s="26">
        <v>0.625</v>
      </c>
      <c r="H9" s="13"/>
      <c r="I9" s="15">
        <v>173200</v>
      </c>
      <c r="J9" s="11">
        <f t="shared" si="0"/>
        <v>9.1392656929786416</v>
      </c>
      <c r="K9" s="11">
        <f t="shared" si="1"/>
        <v>536.68862428355237</v>
      </c>
      <c r="L9" s="12">
        <f t="shared" si="2"/>
        <v>0.86560000000000004</v>
      </c>
      <c r="M9" s="13"/>
      <c r="N9" s="15">
        <v>20.591999999999999</v>
      </c>
      <c r="O9" s="11">
        <f t="shared" si="3"/>
        <v>9.1969440944070495</v>
      </c>
      <c r="P9" s="12">
        <f t="shared" si="4"/>
        <v>1.5332025954871433</v>
      </c>
      <c r="Q9" s="12">
        <f t="shared" si="5"/>
        <v>0.98250000000000004</v>
      </c>
      <c r="R9" s="13"/>
      <c r="S9" s="15">
        <v>10.433999999999999</v>
      </c>
      <c r="T9" s="11">
        <f t="shared" si="6"/>
        <v>9.1074977573374909</v>
      </c>
      <c r="U9" s="11">
        <f t="shared" si="7"/>
        <v>1.5485553642577432</v>
      </c>
      <c r="V9" s="12">
        <f t="shared" si="8"/>
        <v>0.98770000000000002</v>
      </c>
      <c r="W9" s="13"/>
      <c r="X9" s="19">
        <v>0.4894</v>
      </c>
      <c r="Y9" s="31">
        <f t="shared" si="9"/>
        <v>9.2759688588311473</v>
      </c>
      <c r="Z9" s="11">
        <f t="shared" si="10"/>
        <v>4.8590412001083871</v>
      </c>
      <c r="AA9" s="12">
        <f t="shared" si="11"/>
        <v>0.99780000000000002</v>
      </c>
      <c r="AB9" s="13"/>
      <c r="AC9" s="17">
        <v>19.260000000000002</v>
      </c>
      <c r="AD9" s="11">
        <f t="shared" si="12"/>
        <v>9.0432490137536803</v>
      </c>
      <c r="AE9" s="11">
        <f t="shared" si="13"/>
        <v>17.774636272439562</v>
      </c>
      <c r="AF9" s="12">
        <f t="shared" si="14"/>
        <v>0.75190000000000001</v>
      </c>
    </row>
    <row r="10" spans="2:42" s="6" customFormat="1" x14ac:dyDescent="0.25">
      <c r="B10" s="24" t="s">
        <v>169</v>
      </c>
      <c r="C10" s="26">
        <v>9.4779834658540008</v>
      </c>
      <c r="H10" s="15" t="s">
        <v>170</v>
      </c>
      <c r="I10" s="15">
        <v>10000</v>
      </c>
      <c r="J10" s="11">
        <f t="shared" si="0"/>
        <v>9.349182551592099</v>
      </c>
      <c r="K10" s="11">
        <f t="shared" si="1"/>
        <v>620.04114123687327</v>
      </c>
      <c r="L10" s="12">
        <f t="shared" si="2"/>
        <v>1</v>
      </c>
      <c r="M10" s="15" t="s">
        <v>170</v>
      </c>
      <c r="N10" s="15">
        <v>1</v>
      </c>
      <c r="O10" s="11">
        <f t="shared" si="3"/>
        <v>9.5777922899999997</v>
      </c>
      <c r="P10" s="12">
        <f t="shared" si="4"/>
        <v>1.560577274331014</v>
      </c>
      <c r="Q10" s="12">
        <f t="shared" si="5"/>
        <v>1</v>
      </c>
      <c r="R10" s="15" t="s">
        <v>170</v>
      </c>
      <c r="S10" s="15">
        <v>0.5</v>
      </c>
      <c r="T10" s="11">
        <f t="shared" si="6"/>
        <v>9.3652353372155392</v>
      </c>
      <c r="U10" s="11">
        <f t="shared" si="7"/>
        <v>1.5678393762421001</v>
      </c>
      <c r="V10" s="12">
        <f t="shared" si="8"/>
        <v>1</v>
      </c>
      <c r="W10" s="15" t="s">
        <v>170</v>
      </c>
      <c r="X10" s="19">
        <v>0.4</v>
      </c>
      <c r="Y10" s="31">
        <f t="shared" si="9"/>
        <v>9.2887355450420639</v>
      </c>
      <c r="Z10" s="11">
        <f t="shared" si="10"/>
        <v>4.8696247229974983</v>
      </c>
      <c r="AA10" s="12">
        <f t="shared" si="11"/>
        <v>1</v>
      </c>
      <c r="AB10" s="15" t="s">
        <v>170</v>
      </c>
      <c r="AC10" s="17">
        <v>1</v>
      </c>
      <c r="AD10" s="11">
        <f t="shared" si="12"/>
        <v>9.9394326300000007</v>
      </c>
      <c r="AE10" s="11">
        <f t="shared" si="13"/>
        <v>23.640445021002588</v>
      </c>
      <c r="AF10" s="12">
        <f t="shared" si="14"/>
        <v>1</v>
      </c>
    </row>
    <row r="11" spans="2:42" s="6" customFormat="1" x14ac:dyDescent="0.25">
      <c r="B11" s="24" t="s">
        <v>171</v>
      </c>
      <c r="C11" s="26">
        <v>0.19512047936400001</v>
      </c>
      <c r="H11" s="15" t="s">
        <v>172</v>
      </c>
      <c r="I11" s="15">
        <v>300</v>
      </c>
      <c r="J11" s="11">
        <f t="shared" si="0"/>
        <v>9.7340502686733803</v>
      </c>
      <c r="K11" s="11">
        <f t="shared" si="1"/>
        <v>807.92876535616563</v>
      </c>
      <c r="L11" s="12">
        <f t="shared" si="2"/>
        <v>1.3029999999999999</v>
      </c>
      <c r="M11" s="15" t="s">
        <v>172</v>
      </c>
      <c r="N11" s="15">
        <v>6.8000000000000005E-2</v>
      </c>
      <c r="O11" s="11">
        <f t="shared" si="3"/>
        <v>9.9294699323604032</v>
      </c>
      <c r="P11" s="12">
        <f t="shared" si="4"/>
        <v>1.5862890723726684</v>
      </c>
      <c r="Q11" s="12">
        <f t="shared" si="5"/>
        <v>1.0165</v>
      </c>
      <c r="R11" s="15" t="s">
        <v>172</v>
      </c>
      <c r="S11" s="15">
        <v>1.0999999999999999E-2</v>
      </c>
      <c r="T11" s="11">
        <f t="shared" si="6"/>
        <v>9.6993757149628834</v>
      </c>
      <c r="U11" s="11">
        <f t="shared" si="7"/>
        <v>1.5931977834069273</v>
      </c>
      <c r="V11" s="12">
        <f t="shared" si="8"/>
        <v>1.0162</v>
      </c>
      <c r="W11" s="15" t="s">
        <v>172</v>
      </c>
      <c r="X11" s="19">
        <v>1E-4</v>
      </c>
      <c r="Y11" s="31">
        <f t="shared" si="9"/>
        <v>9.8291686035827919</v>
      </c>
      <c r="Z11" s="11">
        <f t="shared" si="10"/>
        <v>5.3394318664801519</v>
      </c>
      <c r="AA11" s="12">
        <f t="shared" si="11"/>
        <v>1.0965</v>
      </c>
      <c r="AB11" s="15" t="s">
        <v>172</v>
      </c>
      <c r="AC11" s="17">
        <v>0.28999999999999998</v>
      </c>
      <c r="AD11" s="11">
        <f t="shared" si="12"/>
        <v>10.314466880638925</v>
      </c>
      <c r="AE11" s="11">
        <f t="shared" si="13"/>
        <v>26.637064624434782</v>
      </c>
      <c r="AF11" s="12">
        <f t="shared" si="14"/>
        <v>1.1268</v>
      </c>
    </row>
    <row r="12" spans="2:42" s="6" customFormat="1" x14ac:dyDescent="0.25">
      <c r="B12" s="24" t="s">
        <v>173</v>
      </c>
      <c r="C12" s="26">
        <v>1.671</v>
      </c>
      <c r="H12" s="20" t="s">
        <v>174</v>
      </c>
      <c r="I12" s="20">
        <v>170591</v>
      </c>
      <c r="J12" s="11">
        <f t="shared" si="0"/>
        <v>9.1402344906894015</v>
      </c>
      <c r="K12" s="11">
        <f t="shared" si="1"/>
        <v>537.04632766867235</v>
      </c>
      <c r="L12" s="12">
        <f t="shared" si="2"/>
        <v>0.86609999999999998</v>
      </c>
      <c r="M12" s="20" t="s">
        <v>174</v>
      </c>
      <c r="N12" s="20">
        <v>20.844000000000001</v>
      </c>
      <c r="O12" s="11">
        <f t="shared" si="3"/>
        <v>9.1954436413563201</v>
      </c>
      <c r="P12" s="12">
        <f t="shared" si="4"/>
        <v>1.5330957008621744</v>
      </c>
      <c r="Q12" s="12">
        <f t="shared" si="5"/>
        <v>0.98240000000000005</v>
      </c>
      <c r="R12" s="20" t="s">
        <v>174</v>
      </c>
      <c r="S12" s="20">
        <v>0.98399999999999999</v>
      </c>
      <c r="T12" s="11">
        <f t="shared" si="6"/>
        <v>9.3071782628868807</v>
      </c>
      <c r="U12" s="11">
        <f t="shared" si="7"/>
        <v>1.5634746780414075</v>
      </c>
      <c r="V12" s="12">
        <f t="shared" si="8"/>
        <v>0.99719999999999998</v>
      </c>
      <c r="W12" s="20" t="s">
        <v>174</v>
      </c>
      <c r="X12" s="21">
        <v>0.497</v>
      </c>
      <c r="Y12" s="31">
        <f t="shared" si="9"/>
        <v>9.2749942815128144</v>
      </c>
      <c r="Z12" s="11">
        <f t="shared" si="10"/>
        <v>4.8582342257010183</v>
      </c>
      <c r="AA12" s="12">
        <f t="shared" si="11"/>
        <v>0.99770000000000003</v>
      </c>
      <c r="AB12" s="20" t="s">
        <v>174</v>
      </c>
      <c r="AC12" s="22">
        <v>18.93</v>
      </c>
      <c r="AD12" s="11">
        <f t="shared" si="12"/>
        <v>9.0484850115219562</v>
      </c>
      <c r="AE12" s="11">
        <f t="shared" si="13"/>
        <v>17.80427735152341</v>
      </c>
      <c r="AF12" s="12">
        <f t="shared" si="14"/>
        <v>0.75309999999999999</v>
      </c>
    </row>
    <row r="13" spans="2:42" s="6" customFormat="1" x14ac:dyDescent="0.25">
      <c r="B13" s="24" t="s">
        <v>175</v>
      </c>
      <c r="C13" s="26">
        <v>16.065000000000001</v>
      </c>
      <c r="H13" s="10" t="s">
        <v>176</v>
      </c>
      <c r="I13" s="10">
        <f>Q18</f>
        <v>10000</v>
      </c>
      <c r="J13" s="11">
        <f t="shared" si="0"/>
        <v>9.349182551592099</v>
      </c>
      <c r="K13" s="11">
        <f t="shared" si="1"/>
        <v>620.04114123687327</v>
      </c>
      <c r="L13" s="12">
        <f t="shared" si="2"/>
        <v>1</v>
      </c>
      <c r="M13" s="10" t="s">
        <v>176</v>
      </c>
      <c r="N13" s="10">
        <f>R18</f>
        <v>0.5</v>
      </c>
      <c r="O13" s="11">
        <f t="shared" si="3"/>
        <v>9.6672602769030256</v>
      </c>
      <c r="P13" s="12">
        <f t="shared" si="4"/>
        <v>1.5670786470579539</v>
      </c>
      <c r="Q13" s="12">
        <f t="shared" si="5"/>
        <v>1.0042</v>
      </c>
      <c r="R13" s="10" t="s">
        <v>176</v>
      </c>
      <c r="S13" s="10">
        <f>S18</f>
        <v>0.5</v>
      </c>
      <c r="T13" s="11">
        <f t="shared" si="6"/>
        <v>9.3652353372155392</v>
      </c>
      <c r="U13" s="11">
        <f t="shared" si="7"/>
        <v>1.5678393762421001</v>
      </c>
      <c r="V13" s="12">
        <f t="shared" si="8"/>
        <v>1</v>
      </c>
      <c r="W13" s="10" t="s">
        <v>176</v>
      </c>
      <c r="X13" s="14">
        <f>T18</f>
        <v>0.2</v>
      </c>
      <c r="Y13" s="31">
        <f t="shared" si="9"/>
        <v>9.3327392704459733</v>
      </c>
      <c r="Z13" s="11">
        <f t="shared" si="10"/>
        <v>4.9062805774002376</v>
      </c>
      <c r="AA13" s="12">
        <f t="shared" si="11"/>
        <v>1.0075000000000001</v>
      </c>
      <c r="AB13" s="10" t="s">
        <v>176</v>
      </c>
      <c r="AC13" s="10">
        <f>U18</f>
        <v>0.2</v>
      </c>
      <c r="AD13" s="11">
        <f t="shared" si="12"/>
        <v>10.427038127693022</v>
      </c>
      <c r="AE13" s="11">
        <f t="shared" si="13"/>
        <v>27.608575919058154</v>
      </c>
      <c r="AF13" s="12">
        <f t="shared" si="14"/>
        <v>1.1678999999999999</v>
      </c>
    </row>
    <row r="14" spans="2:42" s="6" customFormat="1" x14ac:dyDescent="0.25">
      <c r="B14" s="34" t="s">
        <v>177</v>
      </c>
    </row>
    <row r="15" spans="2:42" s="6" customFormat="1" x14ac:dyDescent="0.25">
      <c r="B15" s="29" t="s">
        <v>161</v>
      </c>
      <c r="C15" s="29" t="s">
        <v>178</v>
      </c>
      <c r="D15" s="29" t="s">
        <v>179</v>
      </c>
      <c r="E15" s="29" t="s">
        <v>180</v>
      </c>
    </row>
    <row r="16" spans="2:42" s="6" customFormat="1" x14ac:dyDescent="0.25">
      <c r="B16" s="24" t="s">
        <v>181</v>
      </c>
      <c r="C16" s="26">
        <v>31.9</v>
      </c>
      <c r="D16" s="26">
        <v>18.541</v>
      </c>
      <c r="E16" s="26">
        <v>50.441000000000003</v>
      </c>
    </row>
    <row r="17" spans="2:26" s="6" customFormat="1" x14ac:dyDescent="0.25">
      <c r="B17" s="24" t="s">
        <v>182</v>
      </c>
      <c r="C17" s="26">
        <v>10</v>
      </c>
      <c r="D17" s="26">
        <v>487</v>
      </c>
      <c r="E17" s="26">
        <v>497</v>
      </c>
      <c r="L17" s="3" t="s">
        <v>106</v>
      </c>
      <c r="M17" s="36" t="s">
        <v>107</v>
      </c>
      <c r="N17" s="3" t="s">
        <v>108</v>
      </c>
      <c r="O17" s="36" t="s">
        <v>109</v>
      </c>
      <c r="P17" s="3" t="s">
        <v>110</v>
      </c>
      <c r="Q17" s="36" t="s">
        <v>111</v>
      </c>
      <c r="R17" s="3" t="s">
        <v>112</v>
      </c>
      <c r="S17" s="36" t="s">
        <v>113</v>
      </c>
      <c r="T17" s="3" t="s">
        <v>114</v>
      </c>
      <c r="U17" s="36" t="s">
        <v>115</v>
      </c>
      <c r="W17" s="6" t="s">
        <v>133</v>
      </c>
    </row>
    <row r="18" spans="2:26" s="6" customFormat="1" x14ac:dyDescent="0.25">
      <c r="B18" s="24" t="s">
        <v>183</v>
      </c>
      <c r="C18" s="26">
        <v>3.19</v>
      </c>
      <c r="D18" s="26">
        <v>3.7999999999999999E-2</v>
      </c>
      <c r="E18" s="26"/>
      <c r="L18" s="37" t="s">
        <v>56</v>
      </c>
      <c r="M18" s="37" t="s">
        <v>184</v>
      </c>
      <c r="N18" s="37" t="s">
        <v>53</v>
      </c>
      <c r="O18" s="37" t="s">
        <v>54</v>
      </c>
      <c r="P18" s="37" t="s">
        <v>47</v>
      </c>
      <c r="Q18" s="37">
        <v>10000</v>
      </c>
      <c r="R18" s="37">
        <v>0.5</v>
      </c>
      <c r="S18" s="37">
        <v>0.5</v>
      </c>
      <c r="T18" s="37">
        <v>0.2</v>
      </c>
      <c r="U18" s="37">
        <v>0.2</v>
      </c>
    </row>
    <row r="19" spans="2:26" s="6" customFormat="1" x14ac:dyDescent="0.25">
      <c r="B19" s="24" t="s">
        <v>185</v>
      </c>
      <c r="C19" s="26">
        <v>83.789000000000001</v>
      </c>
      <c r="D19" s="26"/>
      <c r="E19" s="26"/>
      <c r="K19" s="29" t="s">
        <v>78</v>
      </c>
      <c r="L19" s="29" t="s">
        <v>72</v>
      </c>
      <c r="M19" s="29" t="s">
        <v>186</v>
      </c>
      <c r="N19" s="29" t="s">
        <v>73</v>
      </c>
      <c r="O19" s="29" t="s">
        <v>187</v>
      </c>
      <c r="P19" s="29" t="s">
        <v>19</v>
      </c>
      <c r="Q19" s="29" t="s">
        <v>143</v>
      </c>
      <c r="R19" s="29" t="s">
        <v>25</v>
      </c>
      <c r="S19" s="29" t="s">
        <v>144</v>
      </c>
      <c r="T19" s="29" t="s">
        <v>145</v>
      </c>
      <c r="U19" s="29" t="s">
        <v>146</v>
      </c>
      <c r="V19" s="38" t="s">
        <v>135</v>
      </c>
      <c r="W19" s="39" t="s">
        <v>188</v>
      </c>
      <c r="X19" s="40" t="s">
        <v>189</v>
      </c>
      <c r="Y19" s="29" t="s">
        <v>190</v>
      </c>
    </row>
    <row r="20" spans="2:26" s="6" customFormat="1" x14ac:dyDescent="0.25">
      <c r="B20" s="24" t="s">
        <v>191</v>
      </c>
      <c r="C20" s="26">
        <v>0</v>
      </c>
      <c r="D20" s="26"/>
      <c r="E20" s="26"/>
      <c r="K20" s="32">
        <f>EXP(C23)</f>
        <v>6.8781084838753462E-2</v>
      </c>
      <c r="L20" s="32">
        <f>VLOOKUP(L18,$B:$D,3,FALSE)</f>
        <v>1</v>
      </c>
      <c r="M20" s="32">
        <f>VLOOKUP(M18,$B:$D,3,FALSE)</f>
        <v>1</v>
      </c>
      <c r="N20" s="32">
        <f>VLOOKUP(N18,$B:$D,3,FALSE)</f>
        <v>1</v>
      </c>
      <c r="O20" s="32">
        <f>VLOOKUP(O18,$B:$D,3,FALSE)</f>
        <v>1</v>
      </c>
      <c r="P20" s="32">
        <f>VLOOKUP(P18,$B:$D,3,FALSE)</f>
        <v>1.0954999999999999</v>
      </c>
      <c r="Q20" s="32">
        <f>K13</f>
        <v>620.04114123687327</v>
      </c>
      <c r="R20" s="32">
        <f>P13</f>
        <v>1.5670786470579539</v>
      </c>
      <c r="S20" s="32">
        <f>U13</f>
        <v>1.5678393762421001</v>
      </c>
      <c r="T20" s="32">
        <f>Z13</f>
        <v>4.9062805774002376</v>
      </c>
      <c r="U20" s="32">
        <f>AE13</f>
        <v>27.608575919058154</v>
      </c>
      <c r="V20" s="41">
        <f>PRODUCT(K20:U20)</f>
        <v>15548.57730819784</v>
      </c>
      <c r="W20" s="42">
        <v>0.75</v>
      </c>
      <c r="X20" s="42">
        <f>V20*W20</f>
        <v>11661.43298114838</v>
      </c>
      <c r="Y20" s="43">
        <f>ROUND(V20*$Q$18,2)</f>
        <v>155485773.08000001</v>
      </c>
      <c r="Z20" s="44"/>
    </row>
    <row r="21" spans="2:26" s="6" customFormat="1" x14ac:dyDescent="0.25">
      <c r="B21" s="34" t="s">
        <v>192</v>
      </c>
      <c r="K21" s="45">
        <f>ROUND(K20*K10*P10*U10*Z10*AE10,4)</f>
        <v>12012.3372</v>
      </c>
      <c r="L21" s="32">
        <f>VLOOKUP(L18,$B:$D,3,FALSE)</f>
        <v>1</v>
      </c>
      <c r="M21" s="32">
        <f>VLOOKUP(M18,$B:$D,3,FALSE)</f>
        <v>1</v>
      </c>
      <c r="N21" s="32">
        <f>VLOOKUP(N18,$B:$D,3,FALSE)</f>
        <v>1</v>
      </c>
      <c r="O21" s="32">
        <f>VLOOKUP(O18,$B:$D,3,FALSE)</f>
        <v>1</v>
      </c>
      <c r="P21" s="32">
        <f>VLOOKUP(P18,$B:$D,3,FALSE)</f>
        <v>1.0954999999999999</v>
      </c>
      <c r="Q21" s="32">
        <f>K13/K10</f>
        <v>1</v>
      </c>
      <c r="R21" s="32">
        <f>P13/P10</f>
        <v>1.0041660049994812</v>
      </c>
      <c r="S21" s="32">
        <f>U13/U10</f>
        <v>1</v>
      </c>
      <c r="T21" s="32">
        <f>Z13/Z10</f>
        <v>1.0075274495444437</v>
      </c>
      <c r="U21" s="32">
        <f>AE13/AE10</f>
        <v>1.1678534771460609</v>
      </c>
      <c r="V21" s="41">
        <f>PRODUCT(K21:U21)</f>
        <v>15548.577284730924</v>
      </c>
      <c r="W21" s="42"/>
      <c r="X21" s="42"/>
      <c r="Y21" s="43">
        <f>ROUND(V21*$Q$18,2)</f>
        <v>155485772.84999999</v>
      </c>
      <c r="Z21" s="44"/>
    </row>
    <row r="22" spans="2:26" s="6" customFormat="1" x14ac:dyDescent="0.25">
      <c r="B22" s="29" t="s">
        <v>193</v>
      </c>
      <c r="C22" s="29" t="s">
        <v>194</v>
      </c>
      <c r="D22" s="29" t="s">
        <v>195</v>
      </c>
      <c r="E22" s="29" t="s">
        <v>196</v>
      </c>
      <c r="F22" s="29" t="s">
        <v>197</v>
      </c>
      <c r="G22" s="29" t="s">
        <v>198</v>
      </c>
      <c r="K22" s="32">
        <f>C23</f>
        <v>-2.6768265015122101</v>
      </c>
      <c r="L22" s="32">
        <f>VLOOKUP(L18,$B:$C,2,FALSE)</f>
        <v>0</v>
      </c>
      <c r="M22" s="32">
        <f>VLOOKUP(M18,$B:$C,2,FALSE)</f>
        <v>0</v>
      </c>
      <c r="N22" s="32">
        <f>VLOOKUP(N18,$B:$C,2,FALSE)</f>
        <v>0</v>
      </c>
      <c r="O22" s="32">
        <f>VLOOKUP(O18,$B:$C,2,FALSE)</f>
        <v>0</v>
      </c>
      <c r="P22" s="32">
        <f>VLOOKUP(P18,$B:$C,2,FALSE)</f>
        <v>9.1217000000000006E-2</v>
      </c>
      <c r="Q22" s="32">
        <f>J13*G1</f>
        <v>6.4297858326712864</v>
      </c>
      <c r="R22" s="32">
        <f>O13*G2</f>
        <v>0.44921315168555503</v>
      </c>
      <c r="S22" s="32">
        <f>T13*G3</f>
        <v>0.44969847805991259</v>
      </c>
      <c r="T22" s="32">
        <f>Y13*G4</f>
        <v>1.5905161348655148</v>
      </c>
      <c r="U22" s="32">
        <f>AD13*G5</f>
        <v>3.3181264461641184</v>
      </c>
      <c r="V22" s="41">
        <f>EXP(SUM(K22:U22))</f>
        <v>15548.672464952086</v>
      </c>
      <c r="W22" s="42"/>
      <c r="X22" s="42"/>
      <c r="Y22" s="43">
        <f>ROUND(V22*$Q$18,2)</f>
        <v>155486724.65000001</v>
      </c>
      <c r="Z22" s="44"/>
    </row>
    <row r="23" spans="2:26" s="6" customFormat="1" x14ac:dyDescent="0.25">
      <c r="B23" s="24" t="s">
        <v>78</v>
      </c>
      <c r="C23" s="26">
        <v>-2.6768265015122101</v>
      </c>
      <c r="D23" s="26">
        <v>1.91194403074296</v>
      </c>
      <c r="E23" s="26"/>
      <c r="F23" s="26">
        <v>-1.4</v>
      </c>
      <c r="G23" s="26">
        <v>0.16200000000000001</v>
      </c>
    </row>
    <row r="24" spans="2:26" s="6" customFormat="1" x14ac:dyDescent="0.25">
      <c r="B24" s="24" t="s">
        <v>199</v>
      </c>
      <c r="C24" s="26">
        <v>0.68773775644976998</v>
      </c>
      <c r="D24" s="26">
        <v>7.3914074684879996E-2</v>
      </c>
      <c r="E24" s="26">
        <v>0.27100000000000002</v>
      </c>
      <c r="F24" s="26">
        <v>9.3049999999999997</v>
      </c>
      <c r="G24" s="26">
        <v>0</v>
      </c>
    </row>
    <row r="25" spans="2:26" s="6" customFormat="1" x14ac:dyDescent="0.25">
      <c r="B25" s="24" t="s">
        <v>200</v>
      </c>
      <c r="C25" s="26">
        <v>4.6467472563950001E-2</v>
      </c>
      <c r="D25" s="26">
        <v>8.2821136676429999E-2</v>
      </c>
      <c r="E25" s="26">
        <v>1.9E-2</v>
      </c>
      <c r="F25" s="26">
        <v>0.56100000000000005</v>
      </c>
      <c r="G25" s="26">
        <v>0.57499999999999996</v>
      </c>
    </row>
    <row r="26" spans="2:26" s="6" customFormat="1" x14ac:dyDescent="0.25">
      <c r="B26" s="24" t="s">
        <v>201</v>
      </c>
      <c r="C26" s="26">
        <v>4.8017851326480003E-2</v>
      </c>
      <c r="D26" s="26">
        <v>0.14329812868785999</v>
      </c>
      <c r="E26" s="26">
        <v>0.01</v>
      </c>
      <c r="F26" s="26">
        <v>0.33500000000000002</v>
      </c>
      <c r="G26" s="26">
        <v>0.73799999999999999</v>
      </c>
    </row>
    <row r="27" spans="2:26" s="6" customFormat="1" x14ac:dyDescent="0.25">
      <c r="B27" s="24" t="s">
        <v>202</v>
      </c>
      <c r="C27" s="26">
        <v>0.17042329039473</v>
      </c>
      <c r="D27" s="26">
        <v>0.12346799719031</v>
      </c>
      <c r="E27" s="26">
        <v>0.04</v>
      </c>
      <c r="F27" s="26">
        <v>1.38</v>
      </c>
      <c r="G27" s="26">
        <v>0.16800000000000001</v>
      </c>
    </row>
    <row r="28" spans="2:26" s="6" customFormat="1" x14ac:dyDescent="0.25">
      <c r="B28" s="24" t="s">
        <v>203</v>
      </c>
      <c r="C28" s="26">
        <v>0.31822329654205</v>
      </c>
      <c r="D28" s="26">
        <v>8.6674992795269995E-2</v>
      </c>
      <c r="E28" s="26">
        <v>0.214</v>
      </c>
      <c r="F28" s="26">
        <v>3.6709999999999998</v>
      </c>
      <c r="G28" s="26">
        <v>0</v>
      </c>
    </row>
    <row r="29" spans="2:26" s="6" customFormat="1" x14ac:dyDescent="0.25">
      <c r="B29" s="24" t="s">
        <v>204</v>
      </c>
      <c r="C29" s="26">
        <v>1</v>
      </c>
      <c r="D29" s="26">
        <v>0.20082101735692001</v>
      </c>
      <c r="E29" s="26">
        <v>0.14299999999999999</v>
      </c>
      <c r="F29" s="26">
        <v>4.9800000000000004</v>
      </c>
      <c r="G29" s="26">
        <v>0</v>
      </c>
    </row>
    <row r="30" spans="2:26" s="6" customFormat="1" x14ac:dyDescent="0.25">
      <c r="B30" s="24" t="s">
        <v>205</v>
      </c>
      <c r="C30" s="26">
        <v>1</v>
      </c>
      <c r="D30" s="26">
        <v>0.24771891286110001</v>
      </c>
      <c r="E30" s="26">
        <v>0.115</v>
      </c>
      <c r="F30" s="26">
        <v>4.0369999999999999</v>
      </c>
      <c r="G30" s="26">
        <v>0</v>
      </c>
    </row>
    <row r="31" spans="2:26" s="6" customFormat="1" x14ac:dyDescent="0.25">
      <c r="B31" s="24" t="s">
        <v>206</v>
      </c>
      <c r="C31" s="26">
        <v>1</v>
      </c>
      <c r="D31" s="26">
        <v>1.28143910137404</v>
      </c>
      <c r="E31" s="26">
        <v>2.7E-2</v>
      </c>
      <c r="F31" s="26">
        <v>0.78</v>
      </c>
      <c r="G31" s="26">
        <v>0.436</v>
      </c>
    </row>
    <row r="32" spans="2:26" s="6" customFormat="1" x14ac:dyDescent="0.25">
      <c r="B32" s="24" t="s">
        <v>207</v>
      </c>
      <c r="C32" s="26">
        <v>1</v>
      </c>
      <c r="D32" s="26">
        <v>0.59328218933350996</v>
      </c>
      <c r="E32" s="26">
        <v>0.06</v>
      </c>
      <c r="F32" s="26">
        <v>1.6859999999999999</v>
      </c>
      <c r="G32" s="26">
        <v>9.2999999999999999E-2</v>
      </c>
    </row>
    <row r="33" spans="1:7" s="6" customFormat="1" x14ac:dyDescent="0.25">
      <c r="B33" s="24" t="s">
        <v>208</v>
      </c>
      <c r="C33" s="26">
        <v>1</v>
      </c>
      <c r="D33" s="26">
        <v>0.12011574863968</v>
      </c>
      <c r="E33" s="26">
        <v>0.46100000000000002</v>
      </c>
      <c r="F33" s="26">
        <v>8.3249999999999993</v>
      </c>
      <c r="G33" s="26">
        <v>0</v>
      </c>
    </row>
    <row r="34" spans="1:7" s="6" customFormat="1" x14ac:dyDescent="0.25">
      <c r="B34" s="30" t="s">
        <v>209</v>
      </c>
    </row>
    <row r="35" spans="1:7" s="6" customFormat="1" x14ac:dyDescent="0.25">
      <c r="A35" s="24" t="s">
        <v>141</v>
      </c>
      <c r="B35" s="24" t="s">
        <v>142</v>
      </c>
      <c r="C35" s="26">
        <v>0.68773775644976998</v>
      </c>
    </row>
    <row r="36" spans="1:7" s="6" customFormat="1" x14ac:dyDescent="0.25">
      <c r="A36" s="24" t="s">
        <v>153</v>
      </c>
      <c r="B36" s="24" t="s">
        <v>154</v>
      </c>
      <c r="C36" s="26">
        <v>4.6467472563950001E-2</v>
      </c>
    </row>
    <row r="37" spans="1:7" s="6" customFormat="1" x14ac:dyDescent="0.25">
      <c r="A37" s="24" t="s">
        <v>156</v>
      </c>
      <c r="B37" s="24" t="s">
        <v>157</v>
      </c>
      <c r="C37" s="26">
        <v>4.8017851326480003E-2</v>
      </c>
    </row>
    <row r="38" spans="1:7" s="6" customFormat="1" x14ac:dyDescent="0.25">
      <c r="A38" s="24" t="s">
        <v>159</v>
      </c>
      <c r="B38" s="24" t="s">
        <v>160</v>
      </c>
      <c r="C38" s="26">
        <v>0.17042329039473</v>
      </c>
    </row>
    <row r="39" spans="1:7" s="6" customFormat="1" x14ac:dyDescent="0.25">
      <c r="A39" s="24" t="s">
        <v>163</v>
      </c>
      <c r="B39" s="24" t="s">
        <v>164</v>
      </c>
      <c r="C39" s="26">
        <v>0.31822329654205</v>
      </c>
    </row>
    <row r="40" spans="1:7" s="6" customFormat="1" x14ac:dyDescent="0.25">
      <c r="B40" s="24" t="s">
        <v>51</v>
      </c>
      <c r="C40" s="26">
        <v>0</v>
      </c>
      <c r="D40" s="32">
        <f>ROUND(EXP(C40)^1,4)</f>
        <v>1</v>
      </c>
    </row>
    <row r="41" spans="1:7" s="6" customFormat="1" x14ac:dyDescent="0.25">
      <c r="B41" s="24" t="s">
        <v>47</v>
      </c>
      <c r="C41" s="26">
        <v>9.1217000000000006E-2</v>
      </c>
      <c r="D41" s="32">
        <f t="shared" ref="D41:D52" si="16">ROUND(EXP(C41)^1,4)</f>
        <v>1.0954999999999999</v>
      </c>
    </row>
    <row r="42" spans="1:7" s="6" customFormat="1" x14ac:dyDescent="0.25">
      <c r="B42" s="24" t="s">
        <v>184</v>
      </c>
      <c r="C42" s="26">
        <v>0</v>
      </c>
      <c r="D42" s="32">
        <f t="shared" si="16"/>
        <v>1</v>
      </c>
    </row>
    <row r="43" spans="1:7" s="6" customFormat="1" x14ac:dyDescent="0.25">
      <c r="B43" s="24" t="s">
        <v>23</v>
      </c>
      <c r="C43" s="26">
        <v>0.119518</v>
      </c>
      <c r="D43" s="32">
        <f t="shared" si="16"/>
        <v>1.127</v>
      </c>
    </row>
    <row r="44" spans="1:7" s="6" customFormat="1" x14ac:dyDescent="0.25">
      <c r="B44" s="24" t="s">
        <v>54</v>
      </c>
      <c r="C44" s="26">
        <v>0</v>
      </c>
      <c r="D44" s="32">
        <f t="shared" si="16"/>
        <v>1</v>
      </c>
    </row>
    <row r="45" spans="1:7" s="6" customFormat="1" x14ac:dyDescent="0.25">
      <c r="B45" s="24" t="s">
        <v>24</v>
      </c>
      <c r="C45" s="26">
        <v>7.2999999999999995E-2</v>
      </c>
      <c r="D45" s="32">
        <f t="shared" si="16"/>
        <v>1.0757000000000001</v>
      </c>
    </row>
    <row r="46" spans="1:7" s="6" customFormat="1" x14ac:dyDescent="0.25">
      <c r="B46" s="24" t="s">
        <v>53</v>
      </c>
      <c r="C46" s="26">
        <v>0</v>
      </c>
      <c r="D46" s="32">
        <f t="shared" si="16"/>
        <v>1</v>
      </c>
    </row>
    <row r="47" spans="1:7" s="6" customFormat="1" x14ac:dyDescent="0.25">
      <c r="B47" s="24" t="s">
        <v>49</v>
      </c>
      <c r="C47" s="26">
        <v>0.116317</v>
      </c>
      <c r="D47" s="32">
        <f t="shared" si="16"/>
        <v>1.1234</v>
      </c>
    </row>
    <row r="48" spans="1:7" s="6" customFormat="1" x14ac:dyDescent="0.25">
      <c r="B48" s="24" t="s">
        <v>59</v>
      </c>
      <c r="C48" s="26">
        <v>-0.34613899999999997</v>
      </c>
      <c r="D48" s="32">
        <f t="shared" si="16"/>
        <v>0.70740000000000003</v>
      </c>
    </row>
    <row r="49" spans="2:4" s="6" customFormat="1" x14ac:dyDescent="0.25">
      <c r="B49" s="24" t="s">
        <v>52</v>
      </c>
      <c r="C49" s="26">
        <v>-0.431448</v>
      </c>
      <c r="D49" s="32">
        <f t="shared" si="16"/>
        <v>0.64959999999999996</v>
      </c>
    </row>
    <row r="50" spans="2:4" s="6" customFormat="1" x14ac:dyDescent="0.25">
      <c r="B50" s="24" t="s">
        <v>63</v>
      </c>
      <c r="C50" s="26">
        <v>-0.564384</v>
      </c>
      <c r="D50" s="32">
        <f t="shared" si="16"/>
        <v>0.56869999999999998</v>
      </c>
    </row>
    <row r="51" spans="2:4" s="6" customFormat="1" x14ac:dyDescent="0.25">
      <c r="B51" s="24" t="s">
        <v>48</v>
      </c>
      <c r="C51" s="26">
        <v>-0.187052</v>
      </c>
      <c r="D51" s="32">
        <f t="shared" si="16"/>
        <v>0.82940000000000003</v>
      </c>
    </row>
    <row r="52" spans="2:4" s="6" customFormat="1" x14ac:dyDescent="0.25">
      <c r="B52" s="24" t="s">
        <v>56</v>
      </c>
      <c r="C52" s="26">
        <v>0</v>
      </c>
      <c r="D52" s="32">
        <f t="shared" si="16"/>
        <v>1</v>
      </c>
    </row>
  </sheetData>
  <dataValidations disablePrompts="1" count="5">
    <dataValidation type="list" allowBlank="1" showInputMessage="1" showErrorMessage="1" sqref="L18">
      <formula1>$B$48:$B$52</formula1>
    </dataValidation>
    <dataValidation type="list" allowBlank="1" showInputMessage="1" showErrorMessage="1" sqref="M18">
      <formula1>$B$42:$B$43</formula1>
    </dataValidation>
    <dataValidation type="list" allowBlank="1" showInputMessage="1" showErrorMessage="1" sqref="N18">
      <formula1>$B$46:$B$47</formula1>
    </dataValidation>
    <dataValidation type="list" allowBlank="1" showInputMessage="1" showErrorMessage="1" sqref="O18">
      <formula1>$B$44:$B$45</formula1>
    </dataValidation>
    <dataValidation type="list" allowBlank="1" showInputMessage="1" showErrorMessage="1" sqref="P18">
      <formula1>$B$40:$B$41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32" sqref="B32"/>
    </sheetView>
  </sheetViews>
  <sheetFormatPr defaultRowHeight="15" x14ac:dyDescent="0.25"/>
  <cols>
    <col min="1" max="5" width="24.140625" style="48" customWidth="1"/>
    <col min="6" max="6" width="9.140625" style="48"/>
    <col min="7" max="16384" width="9.140625" style="46"/>
  </cols>
  <sheetData>
    <row r="1" spans="1:6" s="53" customFormat="1" ht="105" x14ac:dyDescent="0.25">
      <c r="A1" s="51" t="s">
        <v>210</v>
      </c>
      <c r="B1" s="51" t="s">
        <v>211</v>
      </c>
      <c r="C1" s="51" t="s">
        <v>17</v>
      </c>
      <c r="D1" s="51" t="s">
        <v>212</v>
      </c>
      <c r="E1" s="51" t="s">
        <v>19</v>
      </c>
      <c r="F1" s="52"/>
    </row>
    <row r="2" spans="1:6" x14ac:dyDescent="0.25">
      <c r="A2" s="47" t="s">
        <v>213</v>
      </c>
      <c r="B2" s="47" t="s">
        <v>214</v>
      </c>
      <c r="C2" s="47" t="s">
        <v>215</v>
      </c>
      <c r="D2" s="47">
        <v>3</v>
      </c>
      <c r="E2" s="47" t="s">
        <v>51</v>
      </c>
    </row>
    <row r="3" spans="1:6" x14ac:dyDescent="0.25">
      <c r="A3" s="47" t="s">
        <v>216</v>
      </c>
      <c r="B3" s="47" t="s">
        <v>217</v>
      </c>
      <c r="C3" s="47" t="s">
        <v>218</v>
      </c>
      <c r="D3" s="47">
        <v>3</v>
      </c>
      <c r="E3" s="47" t="s">
        <v>51</v>
      </c>
    </row>
    <row r="4" spans="1:6" x14ac:dyDescent="0.25">
      <c r="A4" s="47" t="s">
        <v>219</v>
      </c>
      <c r="B4" s="47" t="s">
        <v>217</v>
      </c>
      <c r="C4" s="47" t="s">
        <v>220</v>
      </c>
      <c r="D4" s="47">
        <v>3</v>
      </c>
      <c r="E4" s="47" t="s">
        <v>51</v>
      </c>
    </row>
    <row r="5" spans="1:6" x14ac:dyDescent="0.25">
      <c r="A5" s="47" t="s">
        <v>221</v>
      </c>
      <c r="B5" s="47" t="s">
        <v>222</v>
      </c>
      <c r="C5" s="47" t="s">
        <v>223</v>
      </c>
      <c r="D5" s="47">
        <v>3</v>
      </c>
      <c r="E5" s="47" t="s">
        <v>51</v>
      </c>
    </row>
    <row r="6" spans="1:6" x14ac:dyDescent="0.25">
      <c r="A6" s="47" t="s">
        <v>224</v>
      </c>
      <c r="B6" s="47" t="s">
        <v>225</v>
      </c>
      <c r="C6" s="47" t="s">
        <v>226</v>
      </c>
      <c r="D6" s="47">
        <v>4</v>
      </c>
      <c r="E6" s="47" t="s">
        <v>47</v>
      </c>
    </row>
    <row r="7" spans="1:6" x14ac:dyDescent="0.25">
      <c r="A7" s="47" t="s">
        <v>227</v>
      </c>
      <c r="B7" s="49" t="s">
        <v>228</v>
      </c>
      <c r="C7" s="49" t="s">
        <v>229</v>
      </c>
      <c r="D7" s="47">
        <v>4</v>
      </c>
      <c r="E7" s="47" t="s">
        <v>47</v>
      </c>
    </row>
    <row r="8" spans="1:6" x14ac:dyDescent="0.25">
      <c r="A8" s="47" t="s">
        <v>230</v>
      </c>
      <c r="B8" s="49" t="s">
        <v>231</v>
      </c>
      <c r="C8" s="49" t="s">
        <v>232</v>
      </c>
      <c r="D8" s="47">
        <v>4</v>
      </c>
      <c r="E8" s="47" t="s">
        <v>47</v>
      </c>
    </row>
    <row r="9" spans="1:6" x14ac:dyDescent="0.25">
      <c r="A9" s="47" t="s">
        <v>233</v>
      </c>
      <c r="B9" s="47" t="s">
        <v>234</v>
      </c>
      <c r="C9" s="50" t="s">
        <v>235</v>
      </c>
      <c r="D9" s="47">
        <v>4</v>
      </c>
      <c r="E9" s="47" t="s">
        <v>47</v>
      </c>
    </row>
    <row r="10" spans="1:6" x14ac:dyDescent="0.25">
      <c r="A10" s="47" t="s">
        <v>236</v>
      </c>
      <c r="B10" s="47" t="s">
        <v>237</v>
      </c>
      <c r="C10" s="47" t="s">
        <v>238</v>
      </c>
      <c r="D10" s="47">
        <v>6</v>
      </c>
      <c r="E10" s="47" t="s">
        <v>239</v>
      </c>
    </row>
    <row r="11" spans="1:6" x14ac:dyDescent="0.25">
      <c r="A11" s="47" t="s">
        <v>240</v>
      </c>
      <c r="B11" s="47" t="s">
        <v>241</v>
      </c>
      <c r="C11" s="47" t="s">
        <v>242</v>
      </c>
      <c r="D11" s="47">
        <v>6</v>
      </c>
      <c r="E11" s="47" t="s">
        <v>239</v>
      </c>
    </row>
    <row r="12" spans="1:6" x14ac:dyDescent="0.25">
      <c r="A12" s="47" t="s">
        <v>243</v>
      </c>
      <c r="B12" s="47" t="s">
        <v>241</v>
      </c>
      <c r="C12" s="47" t="s">
        <v>244</v>
      </c>
      <c r="D12" s="47">
        <v>6</v>
      </c>
      <c r="E12" s="47" t="s">
        <v>239</v>
      </c>
    </row>
    <row r="13" spans="1:6" x14ac:dyDescent="0.25">
      <c r="A13" s="47" t="s">
        <v>245</v>
      </c>
      <c r="B13" s="47" t="s">
        <v>246</v>
      </c>
      <c r="C13" s="47" t="s">
        <v>247</v>
      </c>
      <c r="D13" s="47">
        <v>6</v>
      </c>
      <c r="E13" s="47" t="s">
        <v>239</v>
      </c>
    </row>
    <row r="14" spans="1:6" x14ac:dyDescent="0.25">
      <c r="A14" s="47" t="s">
        <v>248</v>
      </c>
      <c r="B14" s="47" t="s">
        <v>249</v>
      </c>
      <c r="C14" s="47" t="s">
        <v>250</v>
      </c>
      <c r="D14" s="47">
        <v>6</v>
      </c>
      <c r="E14" s="47" t="s">
        <v>239</v>
      </c>
    </row>
    <row r="15" spans="1:6" x14ac:dyDescent="0.25">
      <c r="A15" s="47" t="s">
        <v>251</v>
      </c>
      <c r="B15" s="47" t="s">
        <v>249</v>
      </c>
      <c r="C15" s="47" t="s">
        <v>252</v>
      </c>
      <c r="D15" s="47">
        <v>6</v>
      </c>
      <c r="E15" s="47" t="s">
        <v>239</v>
      </c>
    </row>
    <row r="16" spans="1:6" x14ac:dyDescent="0.25">
      <c r="A16" s="47" t="s">
        <v>253</v>
      </c>
      <c r="B16" s="47" t="s">
        <v>254</v>
      </c>
      <c r="C16" s="47" t="s">
        <v>255</v>
      </c>
      <c r="D16" s="47">
        <v>6</v>
      </c>
      <c r="E16" s="47" t="s">
        <v>239</v>
      </c>
    </row>
    <row r="17" spans="1:5" x14ac:dyDescent="0.25">
      <c r="A17" s="47" t="s">
        <v>256</v>
      </c>
      <c r="B17" s="47" t="s">
        <v>257</v>
      </c>
      <c r="C17" s="47" t="s">
        <v>258</v>
      </c>
      <c r="D17" s="47">
        <v>6</v>
      </c>
      <c r="E17" s="47" t="s">
        <v>239</v>
      </c>
    </row>
    <row r="18" spans="1:5" x14ac:dyDescent="0.25">
      <c r="A18" s="47" t="s">
        <v>259</v>
      </c>
      <c r="B18" s="47" t="s">
        <v>260</v>
      </c>
      <c r="C18" s="47" t="s">
        <v>261</v>
      </c>
      <c r="D18" s="47">
        <v>7</v>
      </c>
      <c r="E18" s="47" t="s">
        <v>262</v>
      </c>
    </row>
    <row r="19" spans="1:5" x14ac:dyDescent="0.25">
      <c r="A19" s="47" t="s">
        <v>263</v>
      </c>
      <c r="B19" s="47" t="s">
        <v>254</v>
      </c>
      <c r="C19" s="47" t="s">
        <v>264</v>
      </c>
      <c r="D19" s="47">
        <v>7</v>
      </c>
      <c r="E19" s="47" t="s">
        <v>262</v>
      </c>
    </row>
    <row r="20" spans="1:5" x14ac:dyDescent="0.25">
      <c r="A20" s="47" t="s">
        <v>265</v>
      </c>
      <c r="B20" s="47" t="s">
        <v>266</v>
      </c>
      <c r="C20" s="47" t="s">
        <v>267</v>
      </c>
      <c r="D20" s="47">
        <v>6</v>
      </c>
      <c r="E20" s="47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workbookViewId="0">
      <selection activeCell="E239" sqref="E239"/>
    </sheetView>
  </sheetViews>
  <sheetFormatPr defaultRowHeight="15" x14ac:dyDescent="0.25"/>
  <cols>
    <col min="1" max="1" width="22.140625" customWidth="1"/>
  </cols>
  <sheetData>
    <row r="1" spans="1:2" x14ac:dyDescent="0.25">
      <c r="A1" t="s">
        <v>268</v>
      </c>
      <c r="B1">
        <v>1</v>
      </c>
    </row>
    <row r="2" spans="1:2" x14ac:dyDescent="0.25">
      <c r="A2" t="s">
        <v>269</v>
      </c>
      <c r="B2">
        <v>1</v>
      </c>
    </row>
    <row r="3" spans="1:2" x14ac:dyDescent="0.25">
      <c r="A3" t="s">
        <v>270</v>
      </c>
      <c r="B3">
        <v>1</v>
      </c>
    </row>
    <row r="4" spans="1:2" x14ac:dyDescent="0.25">
      <c r="A4" t="s">
        <v>271</v>
      </c>
      <c r="B4">
        <v>1</v>
      </c>
    </row>
    <row r="5" spans="1:2" x14ac:dyDescent="0.25">
      <c r="A5" t="s">
        <v>272</v>
      </c>
      <c r="B5">
        <v>1</v>
      </c>
    </row>
    <row r="6" spans="1:2" x14ac:dyDescent="0.25">
      <c r="A6" t="s">
        <v>273</v>
      </c>
      <c r="B6">
        <v>1</v>
      </c>
    </row>
    <row r="7" spans="1:2" x14ac:dyDescent="0.25">
      <c r="A7" t="s">
        <v>274</v>
      </c>
      <c r="B7">
        <v>1</v>
      </c>
    </row>
    <row r="8" spans="1:2" x14ac:dyDescent="0.25">
      <c r="A8" t="s">
        <v>275</v>
      </c>
      <c r="B8">
        <v>1</v>
      </c>
    </row>
    <row r="9" spans="1:2" x14ac:dyDescent="0.25">
      <c r="A9" t="s">
        <v>276</v>
      </c>
      <c r="B9">
        <v>1</v>
      </c>
    </row>
    <row r="10" spans="1:2" x14ac:dyDescent="0.25">
      <c r="A10" t="s">
        <v>277</v>
      </c>
      <c r="B10">
        <v>1</v>
      </c>
    </row>
    <row r="11" spans="1:2" x14ac:dyDescent="0.25">
      <c r="A11" t="s">
        <v>278</v>
      </c>
      <c r="B11">
        <v>1</v>
      </c>
    </row>
    <row r="12" spans="1:2" x14ac:dyDescent="0.25">
      <c r="A12" t="s">
        <v>279</v>
      </c>
      <c r="B12">
        <v>1</v>
      </c>
    </row>
    <row r="13" spans="1:2" x14ac:dyDescent="0.25">
      <c r="A13" t="s">
        <v>280</v>
      </c>
      <c r="B13">
        <v>1</v>
      </c>
    </row>
    <row r="14" spans="1:2" x14ac:dyDescent="0.25">
      <c r="A14" t="s">
        <v>281</v>
      </c>
      <c r="B14">
        <v>1</v>
      </c>
    </row>
    <row r="15" spans="1:2" x14ac:dyDescent="0.25">
      <c r="A15" t="s">
        <v>282</v>
      </c>
      <c r="B15">
        <v>1</v>
      </c>
    </row>
    <row r="16" spans="1:2" x14ac:dyDescent="0.25">
      <c r="A16" t="s">
        <v>283</v>
      </c>
      <c r="B16">
        <v>1</v>
      </c>
    </row>
    <row r="17" spans="1:2" x14ac:dyDescent="0.25">
      <c r="A17" t="s">
        <v>284</v>
      </c>
      <c r="B17">
        <v>1</v>
      </c>
    </row>
    <row r="18" spans="1:2" x14ac:dyDescent="0.25">
      <c r="A18" t="s">
        <v>285</v>
      </c>
      <c r="B18">
        <v>1</v>
      </c>
    </row>
    <row r="19" spans="1:2" x14ac:dyDescent="0.25">
      <c r="A19" t="s">
        <v>286</v>
      </c>
      <c r="B19">
        <v>1</v>
      </c>
    </row>
    <row r="20" spans="1:2" x14ac:dyDescent="0.25">
      <c r="A20" t="s">
        <v>287</v>
      </c>
      <c r="B20">
        <v>1</v>
      </c>
    </row>
    <row r="21" spans="1:2" x14ac:dyDescent="0.25">
      <c r="A21" t="s">
        <v>288</v>
      </c>
      <c r="B21">
        <v>1</v>
      </c>
    </row>
    <row r="22" spans="1:2" x14ac:dyDescent="0.25">
      <c r="A22" s="61" t="s">
        <v>289</v>
      </c>
      <c r="B22" s="61">
        <v>2</v>
      </c>
    </row>
    <row r="23" spans="1:2" x14ac:dyDescent="0.25">
      <c r="A23" t="s">
        <v>290</v>
      </c>
      <c r="B23">
        <v>1</v>
      </c>
    </row>
    <row r="24" spans="1:2" x14ac:dyDescent="0.25">
      <c r="A24" t="s">
        <v>291</v>
      </c>
      <c r="B24">
        <v>1</v>
      </c>
    </row>
    <row r="25" spans="1:2" x14ac:dyDescent="0.25">
      <c r="A25" t="s">
        <v>292</v>
      </c>
      <c r="B25">
        <v>1</v>
      </c>
    </row>
    <row r="26" spans="1:2" x14ac:dyDescent="0.25">
      <c r="A26" t="s">
        <v>293</v>
      </c>
      <c r="B26">
        <v>1</v>
      </c>
    </row>
    <row r="27" spans="1:2" x14ac:dyDescent="0.25">
      <c r="A27" t="s">
        <v>294</v>
      </c>
      <c r="B27">
        <v>1</v>
      </c>
    </row>
    <row r="28" spans="1:2" x14ac:dyDescent="0.25">
      <c r="A28" t="s">
        <v>295</v>
      </c>
      <c r="B28">
        <v>1</v>
      </c>
    </row>
    <row r="29" spans="1:2" x14ac:dyDescent="0.25">
      <c r="A29" t="s">
        <v>296</v>
      </c>
      <c r="B29">
        <v>1</v>
      </c>
    </row>
    <row r="30" spans="1:2" x14ac:dyDescent="0.25">
      <c r="A30" t="s">
        <v>297</v>
      </c>
      <c r="B30">
        <v>1</v>
      </c>
    </row>
    <row r="31" spans="1:2" x14ac:dyDescent="0.25">
      <c r="A31" t="s">
        <v>298</v>
      </c>
      <c r="B31">
        <v>1</v>
      </c>
    </row>
    <row r="32" spans="1:2" x14ac:dyDescent="0.25">
      <c r="A32" t="s">
        <v>299</v>
      </c>
      <c r="B32">
        <v>1</v>
      </c>
    </row>
    <row r="33" spans="1:2" x14ac:dyDescent="0.25">
      <c r="A33" t="s">
        <v>300</v>
      </c>
      <c r="B33">
        <v>1</v>
      </c>
    </row>
    <row r="34" spans="1:2" x14ac:dyDescent="0.25">
      <c r="A34" t="s">
        <v>301</v>
      </c>
      <c r="B34">
        <v>1</v>
      </c>
    </row>
    <row r="35" spans="1:2" x14ac:dyDescent="0.25">
      <c r="A35" t="s">
        <v>302</v>
      </c>
      <c r="B35">
        <v>1</v>
      </c>
    </row>
    <row r="36" spans="1:2" x14ac:dyDescent="0.25">
      <c r="A36" t="s">
        <v>303</v>
      </c>
      <c r="B36">
        <v>1</v>
      </c>
    </row>
    <row r="37" spans="1:2" x14ac:dyDescent="0.25">
      <c r="A37" t="s">
        <v>304</v>
      </c>
      <c r="B37">
        <v>1</v>
      </c>
    </row>
    <row r="38" spans="1:2" x14ac:dyDescent="0.25">
      <c r="A38" t="s">
        <v>305</v>
      </c>
      <c r="B38">
        <v>1</v>
      </c>
    </row>
    <row r="39" spans="1:2" x14ac:dyDescent="0.25">
      <c r="A39" t="s">
        <v>306</v>
      </c>
      <c r="B39">
        <v>1</v>
      </c>
    </row>
    <row r="40" spans="1:2" x14ac:dyDescent="0.25">
      <c r="A40" t="s">
        <v>307</v>
      </c>
      <c r="B40">
        <v>1</v>
      </c>
    </row>
    <row r="41" spans="1:2" x14ac:dyDescent="0.25">
      <c r="A41" t="s">
        <v>308</v>
      </c>
      <c r="B41">
        <v>1</v>
      </c>
    </row>
    <row r="42" spans="1:2" x14ac:dyDescent="0.25">
      <c r="A42" t="s">
        <v>309</v>
      </c>
      <c r="B42">
        <v>1</v>
      </c>
    </row>
    <row r="43" spans="1:2" x14ac:dyDescent="0.25">
      <c r="A43" t="s">
        <v>310</v>
      </c>
      <c r="B43">
        <v>1</v>
      </c>
    </row>
    <row r="44" spans="1:2" x14ac:dyDescent="0.25">
      <c r="A44" t="s">
        <v>311</v>
      </c>
      <c r="B44">
        <v>1</v>
      </c>
    </row>
    <row r="45" spans="1:2" x14ac:dyDescent="0.25">
      <c r="A45" t="s">
        <v>312</v>
      </c>
      <c r="B45">
        <v>1</v>
      </c>
    </row>
    <row r="46" spans="1:2" x14ac:dyDescent="0.25">
      <c r="A46" t="s">
        <v>313</v>
      </c>
      <c r="B46">
        <v>1</v>
      </c>
    </row>
    <row r="47" spans="1:2" x14ac:dyDescent="0.25">
      <c r="A47" t="s">
        <v>314</v>
      </c>
      <c r="B47">
        <v>1</v>
      </c>
    </row>
    <row r="48" spans="1:2" x14ac:dyDescent="0.25">
      <c r="A48" t="s">
        <v>315</v>
      </c>
      <c r="B48">
        <v>1</v>
      </c>
    </row>
    <row r="49" spans="1:2" x14ac:dyDescent="0.25">
      <c r="A49" t="s">
        <v>316</v>
      </c>
      <c r="B49">
        <v>1</v>
      </c>
    </row>
    <row r="50" spans="1:2" x14ac:dyDescent="0.25">
      <c r="A50" t="s">
        <v>317</v>
      </c>
      <c r="B50">
        <v>1</v>
      </c>
    </row>
    <row r="51" spans="1:2" x14ac:dyDescent="0.25">
      <c r="A51" t="s">
        <v>318</v>
      </c>
      <c r="B51">
        <v>1</v>
      </c>
    </row>
    <row r="52" spans="1:2" x14ac:dyDescent="0.25">
      <c r="A52" t="s">
        <v>319</v>
      </c>
      <c r="B52">
        <v>1</v>
      </c>
    </row>
    <row r="53" spans="1:2" x14ac:dyDescent="0.25">
      <c r="A53" t="s">
        <v>320</v>
      </c>
      <c r="B53">
        <v>1</v>
      </c>
    </row>
    <row r="54" spans="1:2" x14ac:dyDescent="0.25">
      <c r="A54" t="s">
        <v>321</v>
      </c>
      <c r="B54">
        <v>1</v>
      </c>
    </row>
    <row r="55" spans="1:2" x14ac:dyDescent="0.25">
      <c r="A55" t="s">
        <v>322</v>
      </c>
      <c r="B55">
        <v>1</v>
      </c>
    </row>
    <row r="56" spans="1:2" x14ac:dyDescent="0.25">
      <c r="A56" t="s">
        <v>323</v>
      </c>
      <c r="B56">
        <v>1</v>
      </c>
    </row>
    <row r="57" spans="1:2" x14ac:dyDescent="0.25">
      <c r="A57" t="s">
        <v>324</v>
      </c>
      <c r="B57">
        <v>1</v>
      </c>
    </row>
    <row r="58" spans="1:2" x14ac:dyDescent="0.25">
      <c r="A58" t="s">
        <v>325</v>
      </c>
      <c r="B58">
        <v>1</v>
      </c>
    </row>
    <row r="59" spans="1:2" x14ac:dyDescent="0.25">
      <c r="A59" t="s">
        <v>326</v>
      </c>
      <c r="B59">
        <v>1</v>
      </c>
    </row>
    <row r="60" spans="1:2" x14ac:dyDescent="0.25">
      <c r="A60" t="s">
        <v>327</v>
      </c>
      <c r="B60">
        <v>1</v>
      </c>
    </row>
    <row r="61" spans="1:2" x14ac:dyDescent="0.25">
      <c r="A61" t="s">
        <v>328</v>
      </c>
      <c r="B61">
        <v>1</v>
      </c>
    </row>
    <row r="62" spans="1:2" x14ac:dyDescent="0.25">
      <c r="A62" t="s">
        <v>329</v>
      </c>
      <c r="B62">
        <v>1</v>
      </c>
    </row>
    <row r="63" spans="1:2" x14ac:dyDescent="0.25">
      <c r="A63" t="s">
        <v>330</v>
      </c>
      <c r="B63">
        <v>1</v>
      </c>
    </row>
    <row r="64" spans="1:2" x14ac:dyDescent="0.25">
      <c r="A64" t="s">
        <v>331</v>
      </c>
      <c r="B64">
        <v>1</v>
      </c>
    </row>
    <row r="65" spans="1:2" x14ac:dyDescent="0.25">
      <c r="A65" t="s">
        <v>332</v>
      </c>
      <c r="B65">
        <v>1</v>
      </c>
    </row>
    <row r="66" spans="1:2" x14ac:dyDescent="0.25">
      <c r="A66" t="s">
        <v>333</v>
      </c>
      <c r="B66">
        <v>1</v>
      </c>
    </row>
    <row r="67" spans="1:2" x14ac:dyDescent="0.25">
      <c r="A67" t="s">
        <v>334</v>
      </c>
      <c r="B67">
        <v>1</v>
      </c>
    </row>
    <row r="68" spans="1:2" x14ac:dyDescent="0.25">
      <c r="A68" t="s">
        <v>335</v>
      </c>
      <c r="B68">
        <v>1</v>
      </c>
    </row>
    <row r="69" spans="1:2" x14ac:dyDescent="0.25">
      <c r="A69" t="s">
        <v>336</v>
      </c>
      <c r="B69">
        <v>1</v>
      </c>
    </row>
    <row r="70" spans="1:2" x14ac:dyDescent="0.25">
      <c r="A70" t="s">
        <v>337</v>
      </c>
      <c r="B70">
        <v>1</v>
      </c>
    </row>
    <row r="71" spans="1:2" x14ac:dyDescent="0.25">
      <c r="A71" t="s">
        <v>338</v>
      </c>
      <c r="B71">
        <v>1</v>
      </c>
    </row>
    <row r="72" spans="1:2" x14ac:dyDescent="0.25">
      <c r="A72" t="s">
        <v>339</v>
      </c>
      <c r="B72">
        <v>1</v>
      </c>
    </row>
    <row r="73" spans="1:2" x14ac:dyDescent="0.25">
      <c r="A73" t="s">
        <v>70</v>
      </c>
      <c r="B73">
        <v>1</v>
      </c>
    </row>
    <row r="74" spans="1:2" x14ac:dyDescent="0.25">
      <c r="A74" t="s">
        <v>340</v>
      </c>
      <c r="B74">
        <v>1</v>
      </c>
    </row>
    <row r="75" spans="1:2" x14ac:dyDescent="0.25">
      <c r="A75" t="s">
        <v>341</v>
      </c>
      <c r="B75">
        <v>1</v>
      </c>
    </row>
    <row r="76" spans="1:2" x14ac:dyDescent="0.25">
      <c r="A76" t="s">
        <v>342</v>
      </c>
      <c r="B76">
        <v>1</v>
      </c>
    </row>
    <row r="77" spans="1:2" x14ac:dyDescent="0.25">
      <c r="A77" t="s">
        <v>343</v>
      </c>
      <c r="B77">
        <v>1</v>
      </c>
    </row>
    <row r="78" spans="1:2" x14ac:dyDescent="0.25">
      <c r="A78" t="s">
        <v>344</v>
      </c>
      <c r="B78">
        <v>1</v>
      </c>
    </row>
    <row r="79" spans="1:2" x14ac:dyDescent="0.25">
      <c r="A79" t="s">
        <v>345</v>
      </c>
      <c r="B79">
        <v>1</v>
      </c>
    </row>
    <row r="80" spans="1:2" x14ac:dyDescent="0.25">
      <c r="A80" t="s">
        <v>346</v>
      </c>
      <c r="B80">
        <v>1</v>
      </c>
    </row>
    <row r="81" spans="1:2" x14ac:dyDescent="0.25">
      <c r="A81" t="s">
        <v>347</v>
      </c>
      <c r="B81">
        <v>1</v>
      </c>
    </row>
    <row r="82" spans="1:2" x14ac:dyDescent="0.25">
      <c r="A82" t="s">
        <v>348</v>
      </c>
      <c r="B82">
        <v>1</v>
      </c>
    </row>
    <row r="83" spans="1:2" x14ac:dyDescent="0.25">
      <c r="A83" t="s">
        <v>349</v>
      </c>
      <c r="B83">
        <v>1</v>
      </c>
    </row>
    <row r="84" spans="1:2" x14ac:dyDescent="0.25">
      <c r="A84" t="s">
        <v>350</v>
      </c>
      <c r="B84">
        <v>1</v>
      </c>
    </row>
    <row r="85" spans="1:2" x14ac:dyDescent="0.25">
      <c r="A85" t="s">
        <v>351</v>
      </c>
      <c r="B85">
        <v>1</v>
      </c>
    </row>
    <row r="86" spans="1:2" x14ac:dyDescent="0.25">
      <c r="A86" t="s">
        <v>352</v>
      </c>
      <c r="B86">
        <v>1</v>
      </c>
    </row>
    <row r="87" spans="1:2" x14ac:dyDescent="0.25">
      <c r="A87" t="s">
        <v>353</v>
      </c>
      <c r="B87">
        <v>1</v>
      </c>
    </row>
    <row r="88" spans="1:2" x14ac:dyDescent="0.25">
      <c r="A88" t="s">
        <v>354</v>
      </c>
      <c r="B88">
        <v>1</v>
      </c>
    </row>
    <row r="89" spans="1:2" x14ac:dyDescent="0.25">
      <c r="A89" t="s">
        <v>355</v>
      </c>
      <c r="B89">
        <v>1</v>
      </c>
    </row>
    <row r="90" spans="1:2" x14ac:dyDescent="0.25">
      <c r="A90" t="s">
        <v>356</v>
      </c>
      <c r="B90">
        <v>1</v>
      </c>
    </row>
    <row r="91" spans="1:2" x14ac:dyDescent="0.25">
      <c r="A91" t="s">
        <v>357</v>
      </c>
      <c r="B91">
        <v>1</v>
      </c>
    </row>
    <row r="92" spans="1:2" x14ac:dyDescent="0.25">
      <c r="A92" t="s">
        <v>358</v>
      </c>
      <c r="B92">
        <v>1</v>
      </c>
    </row>
    <row r="93" spans="1:2" x14ac:dyDescent="0.25">
      <c r="A93" t="s">
        <v>359</v>
      </c>
      <c r="B93">
        <v>1</v>
      </c>
    </row>
    <row r="94" spans="1:2" x14ac:dyDescent="0.25">
      <c r="A94" t="s">
        <v>360</v>
      </c>
      <c r="B94">
        <v>1</v>
      </c>
    </row>
    <row r="95" spans="1:2" x14ac:dyDescent="0.25">
      <c r="A95" t="s">
        <v>361</v>
      </c>
      <c r="B95">
        <v>1</v>
      </c>
    </row>
    <row r="96" spans="1:2" x14ac:dyDescent="0.25">
      <c r="A96" t="s">
        <v>362</v>
      </c>
      <c r="B96">
        <v>1</v>
      </c>
    </row>
    <row r="97" spans="1:2" x14ac:dyDescent="0.25">
      <c r="A97" t="s">
        <v>363</v>
      </c>
      <c r="B97">
        <v>1</v>
      </c>
    </row>
    <row r="98" spans="1:2" x14ac:dyDescent="0.25">
      <c r="A98" t="s">
        <v>364</v>
      </c>
      <c r="B98">
        <v>1</v>
      </c>
    </row>
    <row r="99" spans="1:2" x14ac:dyDescent="0.25">
      <c r="A99" t="s">
        <v>365</v>
      </c>
      <c r="B99">
        <v>1</v>
      </c>
    </row>
    <row r="100" spans="1:2" x14ac:dyDescent="0.25">
      <c r="A100" t="s">
        <v>366</v>
      </c>
      <c r="B100">
        <v>1</v>
      </c>
    </row>
    <row r="101" spans="1:2" x14ac:dyDescent="0.25">
      <c r="A101" t="s">
        <v>367</v>
      </c>
      <c r="B101">
        <v>1</v>
      </c>
    </row>
    <row r="102" spans="1:2" x14ac:dyDescent="0.25">
      <c r="A102" t="s">
        <v>368</v>
      </c>
      <c r="B102">
        <v>1</v>
      </c>
    </row>
    <row r="103" spans="1:2" x14ac:dyDescent="0.25">
      <c r="A103" t="s">
        <v>369</v>
      </c>
      <c r="B103">
        <v>1</v>
      </c>
    </row>
    <row r="104" spans="1:2" x14ac:dyDescent="0.25">
      <c r="A104" t="s">
        <v>370</v>
      </c>
      <c r="B104">
        <v>1</v>
      </c>
    </row>
    <row r="105" spans="1:2" x14ac:dyDescent="0.25">
      <c r="A105" t="s">
        <v>371</v>
      </c>
      <c r="B105">
        <v>1</v>
      </c>
    </row>
    <row r="106" spans="1:2" x14ac:dyDescent="0.25">
      <c r="A106" t="s">
        <v>372</v>
      </c>
      <c r="B106">
        <v>1</v>
      </c>
    </row>
    <row r="107" spans="1:2" x14ac:dyDescent="0.25">
      <c r="A107" t="s">
        <v>373</v>
      </c>
      <c r="B107">
        <v>1</v>
      </c>
    </row>
    <row r="108" spans="1:2" x14ac:dyDescent="0.25">
      <c r="A108" t="s">
        <v>374</v>
      </c>
      <c r="B108">
        <v>1</v>
      </c>
    </row>
    <row r="109" spans="1:2" x14ac:dyDescent="0.25">
      <c r="A109" t="s">
        <v>375</v>
      </c>
      <c r="B109">
        <v>1</v>
      </c>
    </row>
    <row r="110" spans="1:2" x14ac:dyDescent="0.25">
      <c r="A110" t="s">
        <v>376</v>
      </c>
      <c r="B110">
        <v>1</v>
      </c>
    </row>
    <row r="111" spans="1:2" x14ac:dyDescent="0.25">
      <c r="A111" t="s">
        <v>377</v>
      </c>
      <c r="B111">
        <v>1</v>
      </c>
    </row>
    <row r="112" spans="1:2" x14ac:dyDescent="0.25">
      <c r="A112" t="s">
        <v>378</v>
      </c>
      <c r="B112">
        <v>1</v>
      </c>
    </row>
    <row r="113" spans="1:2" x14ac:dyDescent="0.25">
      <c r="A113" t="s">
        <v>379</v>
      </c>
      <c r="B113">
        <v>1</v>
      </c>
    </row>
    <row r="114" spans="1:2" x14ac:dyDescent="0.25">
      <c r="A114" t="s">
        <v>380</v>
      </c>
      <c r="B114">
        <v>1</v>
      </c>
    </row>
    <row r="115" spans="1:2" x14ac:dyDescent="0.25">
      <c r="A115" s="61" t="s">
        <v>381</v>
      </c>
      <c r="B115" s="61">
        <v>2</v>
      </c>
    </row>
    <row r="116" spans="1:2" x14ac:dyDescent="0.25">
      <c r="A116" t="s">
        <v>382</v>
      </c>
      <c r="B116">
        <v>1</v>
      </c>
    </row>
    <row r="117" spans="1:2" x14ac:dyDescent="0.25">
      <c r="A117" t="s">
        <v>383</v>
      </c>
      <c r="B117">
        <v>1</v>
      </c>
    </row>
    <row r="118" spans="1:2" x14ac:dyDescent="0.25">
      <c r="A118" t="s">
        <v>384</v>
      </c>
      <c r="B118">
        <v>1</v>
      </c>
    </row>
    <row r="119" spans="1:2" x14ac:dyDescent="0.25">
      <c r="A119" t="s">
        <v>385</v>
      </c>
      <c r="B119">
        <v>1</v>
      </c>
    </row>
    <row r="120" spans="1:2" x14ac:dyDescent="0.25">
      <c r="A120" t="s">
        <v>67</v>
      </c>
      <c r="B120">
        <v>1</v>
      </c>
    </row>
    <row r="121" spans="1:2" x14ac:dyDescent="0.25">
      <c r="A121" t="s">
        <v>386</v>
      </c>
      <c r="B121">
        <v>1</v>
      </c>
    </row>
    <row r="122" spans="1:2" x14ac:dyDescent="0.25">
      <c r="A122" t="s">
        <v>387</v>
      </c>
      <c r="B122">
        <v>1</v>
      </c>
    </row>
    <row r="123" spans="1:2" x14ac:dyDescent="0.25">
      <c r="A123" t="s">
        <v>388</v>
      </c>
      <c r="B123">
        <v>1</v>
      </c>
    </row>
    <row r="124" spans="1:2" x14ac:dyDescent="0.25">
      <c r="A124" t="s">
        <v>389</v>
      </c>
      <c r="B124">
        <v>1</v>
      </c>
    </row>
    <row r="125" spans="1:2" x14ac:dyDescent="0.25">
      <c r="A125" t="s">
        <v>390</v>
      </c>
      <c r="B125">
        <v>1</v>
      </c>
    </row>
    <row r="126" spans="1:2" x14ac:dyDescent="0.25">
      <c r="A126" t="s">
        <v>391</v>
      </c>
      <c r="B126">
        <v>1</v>
      </c>
    </row>
    <row r="127" spans="1:2" x14ac:dyDescent="0.25">
      <c r="A127" t="s">
        <v>392</v>
      </c>
      <c r="B127">
        <v>1</v>
      </c>
    </row>
    <row r="128" spans="1:2" x14ac:dyDescent="0.25">
      <c r="A128" t="s">
        <v>393</v>
      </c>
      <c r="B128">
        <v>1</v>
      </c>
    </row>
    <row r="129" spans="1:2" x14ac:dyDescent="0.25">
      <c r="A129" t="s">
        <v>394</v>
      </c>
      <c r="B129">
        <v>1</v>
      </c>
    </row>
    <row r="130" spans="1:2" x14ac:dyDescent="0.25">
      <c r="A130" t="s">
        <v>395</v>
      </c>
      <c r="B130">
        <v>1</v>
      </c>
    </row>
    <row r="131" spans="1:2" x14ac:dyDescent="0.25">
      <c r="A131" t="s">
        <v>396</v>
      </c>
      <c r="B131">
        <v>1</v>
      </c>
    </row>
    <row r="132" spans="1:2" x14ac:dyDescent="0.25">
      <c r="A132" t="s">
        <v>397</v>
      </c>
      <c r="B132">
        <v>1</v>
      </c>
    </row>
    <row r="133" spans="1:2" x14ac:dyDescent="0.25">
      <c r="A133" t="s">
        <v>398</v>
      </c>
      <c r="B133">
        <v>1</v>
      </c>
    </row>
    <row r="134" spans="1:2" x14ac:dyDescent="0.25">
      <c r="A134" t="s">
        <v>399</v>
      </c>
      <c r="B134">
        <v>1</v>
      </c>
    </row>
    <row r="135" spans="1:2" x14ac:dyDescent="0.25">
      <c r="A135" t="s">
        <v>400</v>
      </c>
      <c r="B135">
        <v>1</v>
      </c>
    </row>
    <row r="136" spans="1:2" x14ac:dyDescent="0.25">
      <c r="A136" t="s">
        <v>401</v>
      </c>
      <c r="B136">
        <v>1</v>
      </c>
    </row>
    <row r="137" spans="1:2" x14ac:dyDescent="0.25">
      <c r="A137" t="s">
        <v>402</v>
      </c>
      <c r="B137">
        <v>1</v>
      </c>
    </row>
    <row r="138" spans="1:2" x14ac:dyDescent="0.25">
      <c r="A138" t="s">
        <v>403</v>
      </c>
      <c r="B138">
        <v>1</v>
      </c>
    </row>
    <row r="139" spans="1:2" x14ac:dyDescent="0.25">
      <c r="A139" t="s">
        <v>404</v>
      </c>
      <c r="B139">
        <v>1</v>
      </c>
    </row>
    <row r="140" spans="1:2" x14ac:dyDescent="0.25">
      <c r="A140" t="s">
        <v>405</v>
      </c>
      <c r="B140">
        <v>1</v>
      </c>
    </row>
    <row r="141" spans="1:2" x14ac:dyDescent="0.25">
      <c r="A141" t="s">
        <v>406</v>
      </c>
      <c r="B141">
        <v>1</v>
      </c>
    </row>
    <row r="142" spans="1:2" x14ac:dyDescent="0.25">
      <c r="A142" t="s">
        <v>407</v>
      </c>
      <c r="B142">
        <v>1</v>
      </c>
    </row>
    <row r="143" spans="1:2" x14ac:dyDescent="0.25">
      <c r="A143" t="s">
        <v>408</v>
      </c>
      <c r="B143">
        <v>1</v>
      </c>
    </row>
    <row r="144" spans="1:2" x14ac:dyDescent="0.25">
      <c r="A144" t="s">
        <v>409</v>
      </c>
      <c r="B144">
        <v>1</v>
      </c>
    </row>
    <row r="145" spans="1:2" x14ac:dyDescent="0.25">
      <c r="A145" t="s">
        <v>410</v>
      </c>
      <c r="B145">
        <v>1</v>
      </c>
    </row>
    <row r="146" spans="1:2" x14ac:dyDescent="0.25">
      <c r="A146" t="s">
        <v>411</v>
      </c>
      <c r="B146">
        <v>1</v>
      </c>
    </row>
    <row r="147" spans="1:2" x14ac:dyDescent="0.25">
      <c r="A147" t="s">
        <v>412</v>
      </c>
      <c r="B147">
        <v>1</v>
      </c>
    </row>
    <row r="148" spans="1:2" x14ac:dyDescent="0.25">
      <c r="A148" t="s">
        <v>413</v>
      </c>
      <c r="B148">
        <v>1</v>
      </c>
    </row>
    <row r="149" spans="1:2" x14ac:dyDescent="0.25">
      <c r="A149" t="s">
        <v>414</v>
      </c>
      <c r="B149">
        <v>1</v>
      </c>
    </row>
    <row r="150" spans="1:2" x14ac:dyDescent="0.25">
      <c r="A150" t="s">
        <v>415</v>
      </c>
      <c r="B150">
        <v>1</v>
      </c>
    </row>
    <row r="151" spans="1:2" x14ac:dyDescent="0.25">
      <c r="A151" t="s">
        <v>416</v>
      </c>
      <c r="B151">
        <v>1</v>
      </c>
    </row>
    <row r="152" spans="1:2" x14ac:dyDescent="0.25">
      <c r="A152" t="s">
        <v>417</v>
      </c>
      <c r="B152">
        <v>1</v>
      </c>
    </row>
    <row r="153" spans="1:2" x14ac:dyDescent="0.25">
      <c r="A153" t="s">
        <v>418</v>
      </c>
      <c r="B153">
        <v>1</v>
      </c>
    </row>
    <row r="154" spans="1:2" x14ac:dyDescent="0.25">
      <c r="A154" t="s">
        <v>419</v>
      </c>
      <c r="B154">
        <v>1</v>
      </c>
    </row>
    <row r="155" spans="1:2" x14ac:dyDescent="0.25">
      <c r="A155" t="s">
        <v>420</v>
      </c>
      <c r="B155">
        <v>1</v>
      </c>
    </row>
    <row r="156" spans="1:2" x14ac:dyDescent="0.25">
      <c r="A156" t="s">
        <v>421</v>
      </c>
      <c r="B156">
        <v>1</v>
      </c>
    </row>
    <row r="157" spans="1:2" x14ac:dyDescent="0.25">
      <c r="A157" t="s">
        <v>422</v>
      </c>
      <c r="B157">
        <v>1</v>
      </c>
    </row>
    <row r="158" spans="1:2" x14ac:dyDescent="0.25">
      <c r="A158" t="s">
        <v>423</v>
      </c>
      <c r="B158">
        <v>1</v>
      </c>
    </row>
    <row r="159" spans="1:2" x14ac:dyDescent="0.25">
      <c r="A159" t="s">
        <v>424</v>
      </c>
      <c r="B159">
        <v>1</v>
      </c>
    </row>
    <row r="160" spans="1:2" x14ac:dyDescent="0.25">
      <c r="A160" t="s">
        <v>425</v>
      </c>
      <c r="B160">
        <v>1</v>
      </c>
    </row>
    <row r="161" spans="1:2" x14ac:dyDescent="0.25">
      <c r="A161" t="s">
        <v>426</v>
      </c>
      <c r="B161">
        <v>1</v>
      </c>
    </row>
    <row r="162" spans="1:2" x14ac:dyDescent="0.25">
      <c r="A162" t="s">
        <v>427</v>
      </c>
      <c r="B162">
        <v>1</v>
      </c>
    </row>
    <row r="163" spans="1:2" x14ac:dyDescent="0.25">
      <c r="A163" t="s">
        <v>428</v>
      </c>
      <c r="B163">
        <v>1</v>
      </c>
    </row>
    <row r="164" spans="1:2" x14ac:dyDescent="0.25">
      <c r="A164" t="s">
        <v>429</v>
      </c>
      <c r="B164">
        <v>1</v>
      </c>
    </row>
    <row r="165" spans="1:2" x14ac:dyDescent="0.25">
      <c r="A165" t="s">
        <v>430</v>
      </c>
      <c r="B165">
        <v>1</v>
      </c>
    </row>
    <row r="166" spans="1:2" x14ac:dyDescent="0.25">
      <c r="A166" t="s">
        <v>431</v>
      </c>
      <c r="B166">
        <v>1</v>
      </c>
    </row>
    <row r="167" spans="1:2" x14ac:dyDescent="0.25">
      <c r="A167" t="s">
        <v>432</v>
      </c>
      <c r="B167">
        <v>1</v>
      </c>
    </row>
    <row r="168" spans="1:2" x14ac:dyDescent="0.25">
      <c r="A168" t="s">
        <v>433</v>
      </c>
      <c r="B168">
        <v>1</v>
      </c>
    </row>
    <row r="169" spans="1:2" x14ac:dyDescent="0.25">
      <c r="A169" t="s">
        <v>434</v>
      </c>
      <c r="B169">
        <v>1</v>
      </c>
    </row>
    <row r="170" spans="1:2" x14ac:dyDescent="0.25">
      <c r="A170" t="s">
        <v>435</v>
      </c>
      <c r="B170">
        <v>1</v>
      </c>
    </row>
    <row r="171" spans="1:2" x14ac:dyDescent="0.25">
      <c r="A171" t="s">
        <v>436</v>
      </c>
      <c r="B171">
        <v>1</v>
      </c>
    </row>
    <row r="172" spans="1:2" x14ac:dyDescent="0.25">
      <c r="A172" t="s">
        <v>437</v>
      </c>
      <c r="B172">
        <v>1</v>
      </c>
    </row>
    <row r="173" spans="1:2" x14ac:dyDescent="0.25">
      <c r="A173" t="s">
        <v>438</v>
      </c>
      <c r="B173">
        <v>1</v>
      </c>
    </row>
    <row r="174" spans="1:2" x14ac:dyDescent="0.25">
      <c r="A174" t="s">
        <v>439</v>
      </c>
      <c r="B174">
        <v>1</v>
      </c>
    </row>
    <row r="175" spans="1:2" x14ac:dyDescent="0.25">
      <c r="A175" t="s">
        <v>440</v>
      </c>
      <c r="B175">
        <v>1</v>
      </c>
    </row>
    <row r="176" spans="1:2" x14ac:dyDescent="0.25">
      <c r="A176" t="s">
        <v>441</v>
      </c>
      <c r="B176">
        <v>1</v>
      </c>
    </row>
    <row r="177" spans="1:2" x14ac:dyDescent="0.25">
      <c r="A177" t="s">
        <v>442</v>
      </c>
      <c r="B177">
        <v>1</v>
      </c>
    </row>
    <row r="178" spans="1:2" x14ac:dyDescent="0.25">
      <c r="A178" t="s">
        <v>443</v>
      </c>
      <c r="B178">
        <v>1</v>
      </c>
    </row>
    <row r="179" spans="1:2" x14ac:dyDescent="0.25">
      <c r="A179" t="s">
        <v>444</v>
      </c>
      <c r="B179">
        <v>1</v>
      </c>
    </row>
    <row r="180" spans="1:2" x14ac:dyDescent="0.25">
      <c r="A180" t="s">
        <v>445</v>
      </c>
      <c r="B180">
        <v>1</v>
      </c>
    </row>
    <row r="181" spans="1:2" x14ac:dyDescent="0.25">
      <c r="A181" t="s">
        <v>446</v>
      </c>
      <c r="B181">
        <v>1</v>
      </c>
    </row>
    <row r="182" spans="1:2" x14ac:dyDescent="0.25">
      <c r="A182" t="s">
        <v>447</v>
      </c>
      <c r="B182">
        <v>1</v>
      </c>
    </row>
    <row r="183" spans="1:2" x14ac:dyDescent="0.25">
      <c r="A183" t="s">
        <v>448</v>
      </c>
      <c r="B183">
        <v>1</v>
      </c>
    </row>
    <row r="184" spans="1:2" x14ac:dyDescent="0.25">
      <c r="A184" t="s">
        <v>449</v>
      </c>
      <c r="B184">
        <v>1</v>
      </c>
    </row>
    <row r="185" spans="1:2" x14ac:dyDescent="0.25">
      <c r="A185" t="s">
        <v>450</v>
      </c>
      <c r="B185">
        <v>1</v>
      </c>
    </row>
    <row r="186" spans="1:2" x14ac:dyDescent="0.25">
      <c r="A186" t="s">
        <v>451</v>
      </c>
      <c r="B186">
        <v>1</v>
      </c>
    </row>
    <row r="187" spans="1:2" x14ac:dyDescent="0.25">
      <c r="A187" t="s">
        <v>452</v>
      </c>
      <c r="B187">
        <v>1</v>
      </c>
    </row>
    <row r="188" spans="1:2" x14ac:dyDescent="0.25">
      <c r="A188" t="s">
        <v>453</v>
      </c>
      <c r="B188">
        <v>1</v>
      </c>
    </row>
    <row r="189" spans="1:2" x14ac:dyDescent="0.25">
      <c r="A189" t="s">
        <v>454</v>
      </c>
      <c r="B189">
        <v>1</v>
      </c>
    </row>
    <row r="190" spans="1:2" x14ac:dyDescent="0.25">
      <c r="A190" t="s">
        <v>455</v>
      </c>
      <c r="B190">
        <v>1</v>
      </c>
    </row>
    <row r="191" spans="1:2" x14ac:dyDescent="0.25">
      <c r="A191" t="s">
        <v>456</v>
      </c>
      <c r="B191">
        <v>1</v>
      </c>
    </row>
    <row r="192" spans="1:2" x14ac:dyDescent="0.25">
      <c r="A192" t="s">
        <v>457</v>
      </c>
      <c r="B192">
        <v>1</v>
      </c>
    </row>
    <row r="193" spans="1:2" x14ac:dyDescent="0.25">
      <c r="A193" t="s">
        <v>458</v>
      </c>
      <c r="B193">
        <v>1</v>
      </c>
    </row>
    <row r="194" spans="1:2" x14ac:dyDescent="0.25">
      <c r="A194" t="s">
        <v>459</v>
      </c>
      <c r="B194">
        <v>1</v>
      </c>
    </row>
    <row r="195" spans="1:2" x14ac:dyDescent="0.25">
      <c r="A195" t="s">
        <v>460</v>
      </c>
      <c r="B195">
        <v>1</v>
      </c>
    </row>
    <row r="196" spans="1:2" x14ac:dyDescent="0.25">
      <c r="A196" t="s">
        <v>461</v>
      </c>
      <c r="B196">
        <v>1</v>
      </c>
    </row>
    <row r="197" spans="1:2" x14ac:dyDescent="0.25">
      <c r="A197" t="s">
        <v>462</v>
      </c>
      <c r="B197">
        <v>1</v>
      </c>
    </row>
    <row r="198" spans="1:2" x14ac:dyDescent="0.25">
      <c r="A198" t="s">
        <v>463</v>
      </c>
      <c r="B198">
        <v>1</v>
      </c>
    </row>
    <row r="199" spans="1:2" x14ac:dyDescent="0.25">
      <c r="A199" t="s">
        <v>464</v>
      </c>
      <c r="B199">
        <v>1</v>
      </c>
    </row>
    <row r="200" spans="1:2" x14ac:dyDescent="0.25">
      <c r="A200" t="s">
        <v>465</v>
      </c>
      <c r="B200">
        <v>1</v>
      </c>
    </row>
    <row r="201" spans="1:2" x14ac:dyDescent="0.25">
      <c r="A201" t="s">
        <v>466</v>
      </c>
      <c r="B201">
        <v>1</v>
      </c>
    </row>
    <row r="202" spans="1:2" x14ac:dyDescent="0.25">
      <c r="A202" t="s">
        <v>467</v>
      </c>
      <c r="B202">
        <v>1</v>
      </c>
    </row>
    <row r="203" spans="1:2" x14ac:dyDescent="0.25">
      <c r="A203" t="s">
        <v>468</v>
      </c>
      <c r="B203">
        <v>1</v>
      </c>
    </row>
    <row r="204" spans="1:2" x14ac:dyDescent="0.25">
      <c r="A204" t="s">
        <v>469</v>
      </c>
      <c r="B204">
        <v>1</v>
      </c>
    </row>
    <row r="205" spans="1:2" x14ac:dyDescent="0.25">
      <c r="A205" t="s">
        <v>470</v>
      </c>
      <c r="B205">
        <v>1</v>
      </c>
    </row>
    <row r="206" spans="1:2" x14ac:dyDescent="0.25">
      <c r="A206" t="s">
        <v>471</v>
      </c>
      <c r="B206">
        <v>1</v>
      </c>
    </row>
    <row r="207" spans="1:2" x14ac:dyDescent="0.25">
      <c r="A207" t="s">
        <v>472</v>
      </c>
      <c r="B207">
        <v>1</v>
      </c>
    </row>
    <row r="208" spans="1:2" x14ac:dyDescent="0.25">
      <c r="A208" t="s">
        <v>473</v>
      </c>
      <c r="B208">
        <v>1</v>
      </c>
    </row>
    <row r="209" spans="1:2" x14ac:dyDescent="0.25">
      <c r="A209" t="s">
        <v>474</v>
      </c>
      <c r="B209">
        <v>1</v>
      </c>
    </row>
    <row r="210" spans="1:2" x14ac:dyDescent="0.25">
      <c r="A210" t="s">
        <v>475</v>
      </c>
      <c r="B210">
        <v>1</v>
      </c>
    </row>
    <row r="211" spans="1:2" x14ac:dyDescent="0.25">
      <c r="A211" t="s">
        <v>476</v>
      </c>
      <c r="B211">
        <v>1</v>
      </c>
    </row>
    <row r="212" spans="1:2" x14ac:dyDescent="0.25">
      <c r="A212" t="s">
        <v>477</v>
      </c>
      <c r="B212">
        <v>1</v>
      </c>
    </row>
    <row r="213" spans="1:2" x14ac:dyDescent="0.25">
      <c r="A213" t="s">
        <v>478</v>
      </c>
      <c r="B213">
        <v>1</v>
      </c>
    </row>
    <row r="214" spans="1:2" x14ac:dyDescent="0.25">
      <c r="A214" t="s">
        <v>479</v>
      </c>
      <c r="B214">
        <v>1</v>
      </c>
    </row>
    <row r="215" spans="1:2" x14ac:dyDescent="0.25">
      <c r="A215" t="s">
        <v>480</v>
      </c>
      <c r="B215">
        <v>1</v>
      </c>
    </row>
    <row r="216" spans="1:2" x14ac:dyDescent="0.25">
      <c r="A216" t="s">
        <v>481</v>
      </c>
      <c r="B216">
        <v>1</v>
      </c>
    </row>
    <row r="217" spans="1:2" x14ac:dyDescent="0.25">
      <c r="A217" t="s">
        <v>482</v>
      </c>
      <c r="B217">
        <v>1</v>
      </c>
    </row>
    <row r="218" spans="1:2" x14ac:dyDescent="0.25">
      <c r="A218" t="s">
        <v>483</v>
      </c>
      <c r="B218">
        <v>1</v>
      </c>
    </row>
    <row r="219" spans="1:2" x14ac:dyDescent="0.25">
      <c r="A219" t="s">
        <v>484</v>
      </c>
      <c r="B219">
        <v>1</v>
      </c>
    </row>
    <row r="220" spans="1:2" x14ac:dyDescent="0.25">
      <c r="A220" t="s">
        <v>485</v>
      </c>
      <c r="B220">
        <v>1</v>
      </c>
    </row>
    <row r="221" spans="1:2" x14ac:dyDescent="0.25">
      <c r="A221" t="s">
        <v>486</v>
      </c>
      <c r="B221">
        <v>1</v>
      </c>
    </row>
    <row r="222" spans="1:2" x14ac:dyDescent="0.25">
      <c r="A222" t="s">
        <v>487</v>
      </c>
      <c r="B222">
        <v>1</v>
      </c>
    </row>
    <row r="223" spans="1:2" x14ac:dyDescent="0.25">
      <c r="A223" t="s">
        <v>488</v>
      </c>
      <c r="B223">
        <v>1</v>
      </c>
    </row>
    <row r="224" spans="1:2" x14ac:dyDescent="0.25">
      <c r="A224" t="s">
        <v>489</v>
      </c>
      <c r="B224">
        <v>1</v>
      </c>
    </row>
    <row r="225" spans="1:2" x14ac:dyDescent="0.25">
      <c r="A225" t="s">
        <v>490</v>
      </c>
      <c r="B225">
        <v>1</v>
      </c>
    </row>
    <row r="226" spans="1:2" x14ac:dyDescent="0.25">
      <c r="A226" t="s">
        <v>491</v>
      </c>
      <c r="B226">
        <v>1</v>
      </c>
    </row>
    <row r="227" spans="1:2" x14ac:dyDescent="0.25">
      <c r="A227" t="s">
        <v>492</v>
      </c>
      <c r="B227">
        <v>1</v>
      </c>
    </row>
    <row r="228" spans="1:2" x14ac:dyDescent="0.25">
      <c r="A228" t="s">
        <v>493</v>
      </c>
      <c r="B228">
        <v>1</v>
      </c>
    </row>
    <row r="229" spans="1:2" x14ac:dyDescent="0.25">
      <c r="A229" t="s">
        <v>494</v>
      </c>
      <c r="B229">
        <v>1</v>
      </c>
    </row>
    <row r="230" spans="1:2" x14ac:dyDescent="0.25">
      <c r="A230" t="s">
        <v>495</v>
      </c>
      <c r="B230">
        <v>1</v>
      </c>
    </row>
    <row r="231" spans="1:2" x14ac:dyDescent="0.25">
      <c r="A231" t="s">
        <v>496</v>
      </c>
      <c r="B231">
        <v>1</v>
      </c>
    </row>
    <row r="232" spans="1:2" x14ac:dyDescent="0.25">
      <c r="A232" t="s">
        <v>497</v>
      </c>
      <c r="B232">
        <v>1</v>
      </c>
    </row>
    <row r="233" spans="1:2" x14ac:dyDescent="0.25">
      <c r="A233" t="s">
        <v>498</v>
      </c>
      <c r="B233">
        <v>1</v>
      </c>
    </row>
    <row r="234" spans="1:2" x14ac:dyDescent="0.25">
      <c r="A234" t="s">
        <v>499</v>
      </c>
      <c r="B234">
        <v>1</v>
      </c>
    </row>
    <row r="235" spans="1:2" x14ac:dyDescent="0.25">
      <c r="A235" t="s">
        <v>500</v>
      </c>
      <c r="B235">
        <v>1</v>
      </c>
    </row>
    <row r="236" spans="1:2" x14ac:dyDescent="0.25">
      <c r="A236" s="61" t="s">
        <v>501</v>
      </c>
      <c r="B236" s="61">
        <v>2</v>
      </c>
    </row>
    <row r="237" spans="1:2" x14ac:dyDescent="0.25">
      <c r="A237" t="s">
        <v>502</v>
      </c>
      <c r="B237">
        <v>1</v>
      </c>
    </row>
    <row r="238" spans="1:2" x14ac:dyDescent="0.25">
      <c r="A238" t="s">
        <v>503</v>
      </c>
      <c r="B238">
        <v>1</v>
      </c>
    </row>
    <row r="239" spans="1:2" x14ac:dyDescent="0.25">
      <c r="A239" t="s">
        <v>504</v>
      </c>
      <c r="B239">
        <v>1</v>
      </c>
    </row>
    <row r="240" spans="1:2" x14ac:dyDescent="0.25">
      <c r="A240" t="s">
        <v>505</v>
      </c>
      <c r="B240">
        <v>1</v>
      </c>
    </row>
    <row r="241" spans="1:2" x14ac:dyDescent="0.25">
      <c r="A241" t="s">
        <v>506</v>
      </c>
      <c r="B241">
        <v>1</v>
      </c>
    </row>
    <row r="242" spans="1:2" x14ac:dyDescent="0.25">
      <c r="A242" t="s">
        <v>507</v>
      </c>
      <c r="B242">
        <v>1</v>
      </c>
    </row>
    <row r="243" spans="1:2" x14ac:dyDescent="0.25">
      <c r="A243" t="s">
        <v>508</v>
      </c>
      <c r="B243">
        <v>1</v>
      </c>
    </row>
    <row r="244" spans="1:2" x14ac:dyDescent="0.25">
      <c r="A244" t="s">
        <v>509</v>
      </c>
      <c r="B244">
        <v>1</v>
      </c>
    </row>
    <row r="245" spans="1:2" x14ac:dyDescent="0.25">
      <c r="A245" t="s">
        <v>510</v>
      </c>
      <c r="B245">
        <v>1</v>
      </c>
    </row>
    <row r="246" spans="1:2" x14ac:dyDescent="0.25">
      <c r="A246" t="s">
        <v>511</v>
      </c>
      <c r="B246">
        <v>1</v>
      </c>
    </row>
    <row r="247" spans="1:2" x14ac:dyDescent="0.25">
      <c r="A247" t="s">
        <v>512</v>
      </c>
      <c r="B247">
        <v>1</v>
      </c>
    </row>
    <row r="248" spans="1:2" x14ac:dyDescent="0.25">
      <c r="A248" t="s">
        <v>513</v>
      </c>
      <c r="B248">
        <v>1</v>
      </c>
    </row>
    <row r="249" spans="1:2" x14ac:dyDescent="0.25">
      <c r="A249" t="s">
        <v>514</v>
      </c>
      <c r="B249">
        <v>1</v>
      </c>
    </row>
    <row r="250" spans="1:2" x14ac:dyDescent="0.25">
      <c r="A250" t="s">
        <v>515</v>
      </c>
      <c r="B250">
        <v>1</v>
      </c>
    </row>
    <row r="251" spans="1:2" x14ac:dyDescent="0.25">
      <c r="A251" s="61" t="s">
        <v>516</v>
      </c>
      <c r="B251" s="61">
        <v>2</v>
      </c>
    </row>
    <row r="252" spans="1:2" x14ac:dyDescent="0.25">
      <c r="A252" t="s">
        <v>517</v>
      </c>
      <c r="B252">
        <v>1</v>
      </c>
    </row>
    <row r="253" spans="1:2" x14ac:dyDescent="0.25">
      <c r="A253" t="s">
        <v>518</v>
      </c>
      <c r="B253">
        <v>1</v>
      </c>
    </row>
    <row r="254" spans="1:2" x14ac:dyDescent="0.25">
      <c r="A254" t="s">
        <v>519</v>
      </c>
      <c r="B254">
        <v>1</v>
      </c>
    </row>
    <row r="255" spans="1:2" x14ac:dyDescent="0.25">
      <c r="A255" t="s">
        <v>520</v>
      </c>
      <c r="B255">
        <v>1</v>
      </c>
    </row>
    <row r="256" spans="1:2" x14ac:dyDescent="0.25">
      <c r="A256" t="s">
        <v>521</v>
      </c>
      <c r="B256">
        <v>1</v>
      </c>
    </row>
    <row r="257" spans="1:2" x14ac:dyDescent="0.25">
      <c r="A257" t="s">
        <v>522</v>
      </c>
      <c r="B257">
        <v>1</v>
      </c>
    </row>
    <row r="258" spans="1:2" x14ac:dyDescent="0.25">
      <c r="A258" t="s">
        <v>523</v>
      </c>
      <c r="B258">
        <v>1</v>
      </c>
    </row>
    <row r="259" spans="1:2" x14ac:dyDescent="0.25">
      <c r="A259" t="s">
        <v>524</v>
      </c>
      <c r="B259">
        <v>1</v>
      </c>
    </row>
    <row r="260" spans="1:2" x14ac:dyDescent="0.25">
      <c r="A260" t="s">
        <v>525</v>
      </c>
      <c r="B260">
        <v>1</v>
      </c>
    </row>
    <row r="261" spans="1:2" x14ac:dyDescent="0.25">
      <c r="A261" t="s">
        <v>526</v>
      </c>
      <c r="B261">
        <v>1</v>
      </c>
    </row>
    <row r="262" spans="1:2" x14ac:dyDescent="0.25">
      <c r="A262" t="s">
        <v>527</v>
      </c>
      <c r="B2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1"/>
  <sheetViews>
    <sheetView workbookViewId="0">
      <selection activeCell="D1" sqref="D1:D2"/>
    </sheetView>
  </sheetViews>
  <sheetFormatPr defaultRowHeight="15" x14ac:dyDescent="0.25"/>
  <cols>
    <col min="1" max="1" width="23.140625" style="71" customWidth="1"/>
    <col min="2" max="2" width="38" style="71"/>
    <col min="3" max="3" width="13.28515625" customWidth="1"/>
  </cols>
  <sheetData>
    <row r="1" spans="1:4" x14ac:dyDescent="0.25">
      <c r="A1" s="67" t="s">
        <v>578</v>
      </c>
      <c r="B1" s="67" t="s">
        <v>579</v>
      </c>
      <c r="C1" t="s">
        <v>854</v>
      </c>
      <c r="D1" t="s">
        <v>860</v>
      </c>
    </row>
    <row r="2" spans="1:4" x14ac:dyDescent="0.25">
      <c r="A2" s="68" t="s">
        <v>17</v>
      </c>
      <c r="B2" s="68" t="s">
        <v>19</v>
      </c>
      <c r="C2" s="99" t="s">
        <v>212</v>
      </c>
      <c r="D2" t="s">
        <v>210</v>
      </c>
    </row>
    <row r="3" spans="1:4" x14ac:dyDescent="0.25">
      <c r="A3" s="69" t="s">
        <v>615</v>
      </c>
      <c r="B3" s="70" t="s">
        <v>616</v>
      </c>
      <c r="C3" s="99" t="s">
        <v>855</v>
      </c>
      <c r="D3" t="s">
        <v>861</v>
      </c>
    </row>
    <row r="4" spans="1:4" x14ac:dyDescent="0.25">
      <c r="A4" s="69" t="s">
        <v>617</v>
      </c>
      <c r="B4" s="70" t="s">
        <v>616</v>
      </c>
      <c r="C4" s="99" t="s">
        <v>855</v>
      </c>
      <c r="D4" t="s">
        <v>862</v>
      </c>
    </row>
    <row r="5" spans="1:4" x14ac:dyDescent="0.25">
      <c r="A5" s="69" t="s">
        <v>618</v>
      </c>
      <c r="B5" s="70" t="s">
        <v>616</v>
      </c>
      <c r="C5" s="99" t="s">
        <v>855</v>
      </c>
      <c r="D5" t="s">
        <v>863</v>
      </c>
    </row>
    <row r="6" spans="1:4" x14ac:dyDescent="0.25">
      <c r="A6" s="69" t="s">
        <v>619</v>
      </c>
      <c r="B6" s="70" t="s">
        <v>616</v>
      </c>
      <c r="C6" s="99" t="s">
        <v>855</v>
      </c>
      <c r="D6" t="s">
        <v>864</v>
      </c>
    </row>
    <row r="7" spans="1:4" x14ac:dyDescent="0.25">
      <c r="A7" s="69" t="s">
        <v>620</v>
      </c>
      <c r="B7" s="70" t="s">
        <v>616</v>
      </c>
      <c r="C7" s="99" t="s">
        <v>855</v>
      </c>
      <c r="D7" t="s">
        <v>865</v>
      </c>
    </row>
    <row r="8" spans="1:4" x14ac:dyDescent="0.25">
      <c r="A8" s="69" t="s">
        <v>621</v>
      </c>
      <c r="B8" s="70" t="s">
        <v>616</v>
      </c>
      <c r="C8" s="99" t="s">
        <v>856</v>
      </c>
      <c r="D8" t="s">
        <v>866</v>
      </c>
    </row>
    <row r="9" spans="1:4" x14ac:dyDescent="0.25">
      <c r="A9" s="69" t="s">
        <v>622</v>
      </c>
      <c r="B9" s="70" t="s">
        <v>616</v>
      </c>
      <c r="C9" s="99" t="s">
        <v>856</v>
      </c>
      <c r="D9" t="s">
        <v>867</v>
      </c>
    </row>
    <row r="10" spans="1:4" x14ac:dyDescent="0.25">
      <c r="A10" s="69" t="s">
        <v>623</v>
      </c>
      <c r="B10" s="70" t="s">
        <v>616</v>
      </c>
      <c r="C10" s="99" t="s">
        <v>856</v>
      </c>
      <c r="D10" t="s">
        <v>868</v>
      </c>
    </row>
    <row r="11" spans="1:4" x14ac:dyDescent="0.25">
      <c r="A11" s="69" t="s">
        <v>624</v>
      </c>
      <c r="B11" s="70" t="s">
        <v>616</v>
      </c>
      <c r="C11" s="99" t="s">
        <v>855</v>
      </c>
      <c r="D11" t="s">
        <v>869</v>
      </c>
    </row>
    <row r="12" spans="1:4" x14ac:dyDescent="0.25">
      <c r="A12" s="69" t="s">
        <v>625</v>
      </c>
      <c r="B12" s="70" t="s">
        <v>616</v>
      </c>
      <c r="C12" s="99" t="s">
        <v>855</v>
      </c>
      <c r="D12" t="s">
        <v>870</v>
      </c>
    </row>
    <row r="13" spans="1:4" x14ac:dyDescent="0.25">
      <c r="A13" s="69" t="s">
        <v>626</v>
      </c>
      <c r="B13" s="70" t="s">
        <v>616</v>
      </c>
      <c r="C13" s="99" t="s">
        <v>855</v>
      </c>
      <c r="D13" t="s">
        <v>871</v>
      </c>
    </row>
    <row r="14" spans="1:4" x14ac:dyDescent="0.25">
      <c r="A14" s="69" t="s">
        <v>627</v>
      </c>
      <c r="B14" s="70" t="s">
        <v>616</v>
      </c>
      <c r="C14" s="99" t="s">
        <v>855</v>
      </c>
      <c r="D14" t="s">
        <v>872</v>
      </c>
    </row>
    <row r="15" spans="1:4" x14ac:dyDescent="0.25">
      <c r="A15" s="69" t="s">
        <v>628</v>
      </c>
      <c r="B15" s="70" t="s">
        <v>616</v>
      </c>
      <c r="C15" s="99" t="s">
        <v>855</v>
      </c>
      <c r="D15" t="s">
        <v>873</v>
      </c>
    </row>
    <row r="16" spans="1:4" x14ac:dyDescent="0.25">
      <c r="A16" s="69" t="s">
        <v>629</v>
      </c>
      <c r="B16" s="70" t="s">
        <v>616</v>
      </c>
      <c r="C16" s="99" t="s">
        <v>855</v>
      </c>
      <c r="D16" t="s">
        <v>874</v>
      </c>
    </row>
    <row r="17" spans="1:4" x14ac:dyDescent="0.25">
      <c r="A17" s="69" t="s">
        <v>630</v>
      </c>
      <c r="B17" s="70" t="s">
        <v>616</v>
      </c>
      <c r="C17" s="99" t="s">
        <v>856</v>
      </c>
      <c r="D17" t="s">
        <v>875</v>
      </c>
    </row>
    <row r="18" spans="1:4" x14ac:dyDescent="0.25">
      <c r="A18" s="69" t="s">
        <v>631</v>
      </c>
      <c r="B18" s="70" t="s">
        <v>616</v>
      </c>
      <c r="C18" s="99" t="s">
        <v>856</v>
      </c>
      <c r="D18" t="s">
        <v>876</v>
      </c>
    </row>
    <row r="19" spans="1:4" x14ac:dyDescent="0.25">
      <c r="A19" s="69" t="s">
        <v>632</v>
      </c>
      <c r="B19" s="70" t="s">
        <v>616</v>
      </c>
      <c r="C19" s="99" t="s">
        <v>856</v>
      </c>
      <c r="D19" t="s">
        <v>877</v>
      </c>
    </row>
    <row r="20" spans="1:4" x14ac:dyDescent="0.25">
      <c r="A20" s="69" t="s">
        <v>633</v>
      </c>
      <c r="B20" s="70" t="s">
        <v>616</v>
      </c>
      <c r="C20" s="99" t="s">
        <v>856</v>
      </c>
      <c r="D20" t="s">
        <v>878</v>
      </c>
    </row>
    <row r="21" spans="1:4" x14ac:dyDescent="0.25">
      <c r="A21" s="69" t="s">
        <v>634</v>
      </c>
      <c r="B21" s="70" t="s">
        <v>616</v>
      </c>
      <c r="C21" s="99" t="s">
        <v>856</v>
      </c>
      <c r="D21" t="s">
        <v>879</v>
      </c>
    </row>
    <row r="22" spans="1:4" x14ac:dyDescent="0.25">
      <c r="A22" s="69" t="s">
        <v>635</v>
      </c>
      <c r="B22" s="70" t="s">
        <v>616</v>
      </c>
      <c r="C22" s="99" t="s">
        <v>856</v>
      </c>
      <c r="D22" t="s">
        <v>880</v>
      </c>
    </row>
    <row r="23" spans="1:4" x14ac:dyDescent="0.25">
      <c r="A23" s="69" t="s">
        <v>636</v>
      </c>
      <c r="B23" s="70" t="s">
        <v>616</v>
      </c>
      <c r="C23" s="99" t="s">
        <v>856</v>
      </c>
      <c r="D23" t="s">
        <v>881</v>
      </c>
    </row>
    <row r="24" spans="1:4" x14ac:dyDescent="0.25">
      <c r="A24" s="69" t="s">
        <v>637</v>
      </c>
      <c r="B24" s="70" t="s">
        <v>616</v>
      </c>
      <c r="C24" s="99" t="s">
        <v>856</v>
      </c>
      <c r="D24" t="s">
        <v>882</v>
      </c>
    </row>
    <row r="25" spans="1:4" x14ac:dyDescent="0.25">
      <c r="A25" s="69" t="s">
        <v>638</v>
      </c>
      <c r="B25" s="70" t="s">
        <v>616</v>
      </c>
      <c r="C25" s="99" t="s">
        <v>856</v>
      </c>
      <c r="D25" t="s">
        <v>883</v>
      </c>
    </row>
    <row r="26" spans="1:4" x14ac:dyDescent="0.25">
      <c r="A26" s="69" t="s">
        <v>639</v>
      </c>
      <c r="B26" s="70" t="s">
        <v>616</v>
      </c>
      <c r="C26" s="99" t="s">
        <v>856</v>
      </c>
      <c r="D26" t="s">
        <v>884</v>
      </c>
    </row>
    <row r="27" spans="1:4" x14ac:dyDescent="0.25">
      <c r="A27" s="69" t="s">
        <v>640</v>
      </c>
      <c r="B27" s="70" t="s">
        <v>616</v>
      </c>
      <c r="C27" s="99" t="s">
        <v>856</v>
      </c>
      <c r="D27" t="s">
        <v>885</v>
      </c>
    </row>
    <row r="28" spans="1:4" x14ac:dyDescent="0.25">
      <c r="A28" s="69" t="s">
        <v>641</v>
      </c>
      <c r="B28" s="70" t="s">
        <v>616</v>
      </c>
      <c r="C28" s="99" t="s">
        <v>856</v>
      </c>
      <c r="D28" t="s">
        <v>886</v>
      </c>
    </row>
    <row r="29" spans="1:4" x14ac:dyDescent="0.25">
      <c r="A29" s="69" t="s">
        <v>642</v>
      </c>
      <c r="B29" s="70" t="s">
        <v>616</v>
      </c>
      <c r="C29" s="99" t="s">
        <v>855</v>
      </c>
      <c r="D29" t="s">
        <v>887</v>
      </c>
    </row>
    <row r="30" spans="1:4" x14ac:dyDescent="0.25">
      <c r="A30" s="69" t="s">
        <v>643</v>
      </c>
      <c r="B30" s="70" t="s">
        <v>616</v>
      </c>
      <c r="C30" s="99" t="s">
        <v>855</v>
      </c>
      <c r="D30" t="s">
        <v>888</v>
      </c>
    </row>
    <row r="31" spans="1:4" x14ac:dyDescent="0.25">
      <c r="A31" s="69" t="s">
        <v>644</v>
      </c>
      <c r="B31" s="70" t="s">
        <v>616</v>
      </c>
      <c r="C31" s="99" t="s">
        <v>855</v>
      </c>
      <c r="D31" t="s">
        <v>889</v>
      </c>
    </row>
    <row r="32" spans="1:4" x14ac:dyDescent="0.25">
      <c r="A32" s="69" t="s">
        <v>645</v>
      </c>
      <c r="B32" s="70" t="s">
        <v>616</v>
      </c>
      <c r="C32" s="99" t="s">
        <v>855</v>
      </c>
      <c r="D32" t="s">
        <v>890</v>
      </c>
    </row>
    <row r="33" spans="1:4" x14ac:dyDescent="0.25">
      <c r="A33" s="69" t="s">
        <v>646</v>
      </c>
      <c r="B33" s="70" t="s">
        <v>616</v>
      </c>
      <c r="C33" s="99" t="s">
        <v>855</v>
      </c>
      <c r="D33" t="s">
        <v>891</v>
      </c>
    </row>
    <row r="34" spans="1:4" x14ac:dyDescent="0.25">
      <c r="A34" s="69" t="s">
        <v>647</v>
      </c>
      <c r="B34" s="70" t="s">
        <v>616</v>
      </c>
      <c r="C34" s="99" t="s">
        <v>855</v>
      </c>
      <c r="D34" t="s">
        <v>892</v>
      </c>
    </row>
    <row r="35" spans="1:4" x14ac:dyDescent="0.25">
      <c r="A35" s="69" t="s">
        <v>648</v>
      </c>
      <c r="B35" s="70" t="s">
        <v>616</v>
      </c>
      <c r="C35" s="99" t="s">
        <v>855</v>
      </c>
      <c r="D35" t="s">
        <v>893</v>
      </c>
    </row>
    <row r="36" spans="1:4" x14ac:dyDescent="0.25">
      <c r="A36" s="69" t="s">
        <v>649</v>
      </c>
      <c r="B36" s="70" t="s">
        <v>616</v>
      </c>
      <c r="C36" s="99" t="s">
        <v>855</v>
      </c>
      <c r="D36" t="s">
        <v>894</v>
      </c>
    </row>
    <row r="37" spans="1:4" x14ac:dyDescent="0.25">
      <c r="A37" s="69" t="s">
        <v>650</v>
      </c>
      <c r="B37" s="70" t="s">
        <v>616</v>
      </c>
      <c r="C37" s="99" t="s">
        <v>855</v>
      </c>
      <c r="D37" t="s">
        <v>895</v>
      </c>
    </row>
    <row r="38" spans="1:4" x14ac:dyDescent="0.25">
      <c r="A38" s="69" t="s">
        <v>651</v>
      </c>
      <c r="B38" s="70" t="s">
        <v>616</v>
      </c>
      <c r="C38" s="99" t="s">
        <v>855</v>
      </c>
      <c r="D38" t="s">
        <v>896</v>
      </c>
    </row>
    <row r="39" spans="1:4" x14ac:dyDescent="0.25">
      <c r="A39" s="69" t="s">
        <v>652</v>
      </c>
      <c r="B39" s="70" t="s">
        <v>616</v>
      </c>
      <c r="C39" s="99" t="s">
        <v>855</v>
      </c>
      <c r="D39" t="s">
        <v>897</v>
      </c>
    </row>
    <row r="40" spans="1:4" x14ac:dyDescent="0.25">
      <c r="A40" s="69" t="s">
        <v>653</v>
      </c>
      <c r="B40" s="70" t="s">
        <v>616</v>
      </c>
      <c r="C40" s="99" t="s">
        <v>855</v>
      </c>
      <c r="D40" t="s">
        <v>898</v>
      </c>
    </row>
    <row r="41" spans="1:4" x14ac:dyDescent="0.25">
      <c r="A41" s="69" t="s">
        <v>654</v>
      </c>
      <c r="B41" s="70" t="s">
        <v>616</v>
      </c>
      <c r="C41" s="99" t="s">
        <v>856</v>
      </c>
      <c r="D41" t="s">
        <v>899</v>
      </c>
    </row>
    <row r="42" spans="1:4" x14ac:dyDescent="0.25">
      <c r="A42" s="69" t="s">
        <v>655</v>
      </c>
      <c r="B42" s="70" t="s">
        <v>616</v>
      </c>
      <c r="C42" s="99" t="s">
        <v>856</v>
      </c>
      <c r="D42" t="s">
        <v>900</v>
      </c>
    </row>
    <row r="43" spans="1:4" x14ac:dyDescent="0.25">
      <c r="A43" s="69" t="s">
        <v>656</v>
      </c>
      <c r="B43" s="70" t="s">
        <v>616</v>
      </c>
      <c r="C43" s="99" t="s">
        <v>855</v>
      </c>
      <c r="D43" t="s">
        <v>901</v>
      </c>
    </row>
    <row r="44" spans="1:4" x14ac:dyDescent="0.25">
      <c r="A44" s="69" t="s">
        <v>657</v>
      </c>
      <c r="B44" s="70" t="s">
        <v>658</v>
      </c>
      <c r="C44" s="99">
        <v>2</v>
      </c>
      <c r="D44" t="s">
        <v>902</v>
      </c>
    </row>
    <row r="45" spans="1:4" x14ac:dyDescent="0.25">
      <c r="A45" s="69" t="s">
        <v>659</v>
      </c>
      <c r="B45" s="70" t="s">
        <v>658</v>
      </c>
      <c r="C45" s="99">
        <v>2</v>
      </c>
      <c r="D45" t="s">
        <v>903</v>
      </c>
    </row>
    <row r="46" spans="1:4" x14ac:dyDescent="0.25">
      <c r="A46" s="69" t="s">
        <v>660</v>
      </c>
      <c r="B46" s="70" t="s">
        <v>658</v>
      </c>
      <c r="C46" s="99">
        <v>2</v>
      </c>
      <c r="D46" t="s">
        <v>904</v>
      </c>
    </row>
    <row r="47" spans="1:4" x14ac:dyDescent="0.25">
      <c r="A47" s="69" t="s">
        <v>661</v>
      </c>
      <c r="B47" s="70" t="s">
        <v>658</v>
      </c>
      <c r="C47" s="99">
        <v>2</v>
      </c>
      <c r="D47" t="s">
        <v>905</v>
      </c>
    </row>
    <row r="48" spans="1:4" x14ac:dyDescent="0.25">
      <c r="A48" s="69" t="s">
        <v>662</v>
      </c>
      <c r="B48" s="70" t="s">
        <v>658</v>
      </c>
      <c r="C48" s="99">
        <v>2</v>
      </c>
      <c r="D48" t="s">
        <v>906</v>
      </c>
    </row>
    <row r="49" spans="1:4" x14ac:dyDescent="0.25">
      <c r="A49" s="69" t="s">
        <v>663</v>
      </c>
      <c r="B49" s="70" t="s">
        <v>658</v>
      </c>
      <c r="C49" s="99">
        <v>2</v>
      </c>
      <c r="D49" t="s">
        <v>907</v>
      </c>
    </row>
    <row r="50" spans="1:4" x14ac:dyDescent="0.25">
      <c r="A50" s="69" t="s">
        <v>664</v>
      </c>
      <c r="B50" s="70" t="s">
        <v>51</v>
      </c>
      <c r="C50" s="99">
        <v>3</v>
      </c>
      <c r="D50" t="s">
        <v>908</v>
      </c>
    </row>
    <row r="51" spans="1:4" x14ac:dyDescent="0.25">
      <c r="A51" s="69" t="s">
        <v>548</v>
      </c>
      <c r="B51" s="70" t="s">
        <v>51</v>
      </c>
      <c r="C51" s="99">
        <v>3</v>
      </c>
      <c r="D51" t="s">
        <v>909</v>
      </c>
    </row>
    <row r="52" spans="1:4" x14ac:dyDescent="0.25">
      <c r="A52" s="69" t="s">
        <v>561</v>
      </c>
      <c r="B52" s="70" t="s">
        <v>51</v>
      </c>
      <c r="C52" s="99">
        <v>3</v>
      </c>
      <c r="D52" t="s">
        <v>910</v>
      </c>
    </row>
    <row r="53" spans="1:4" x14ac:dyDescent="0.25">
      <c r="A53" s="69" t="s">
        <v>562</v>
      </c>
      <c r="B53" s="70" t="s">
        <v>51</v>
      </c>
      <c r="C53" s="99">
        <v>3</v>
      </c>
      <c r="D53" t="s">
        <v>911</v>
      </c>
    </row>
    <row r="54" spans="1:4" x14ac:dyDescent="0.25">
      <c r="A54" s="69" t="s">
        <v>532</v>
      </c>
      <c r="B54" s="70" t="s">
        <v>51</v>
      </c>
      <c r="C54" s="99">
        <v>3</v>
      </c>
      <c r="D54" t="s">
        <v>912</v>
      </c>
    </row>
    <row r="55" spans="1:4" x14ac:dyDescent="0.25">
      <c r="A55" s="69" t="s">
        <v>566</v>
      </c>
      <c r="B55" s="70" t="s">
        <v>51</v>
      </c>
      <c r="C55" s="99">
        <v>3</v>
      </c>
      <c r="D55" t="s">
        <v>913</v>
      </c>
    </row>
    <row r="56" spans="1:4" x14ac:dyDescent="0.25">
      <c r="A56" s="69" t="s">
        <v>552</v>
      </c>
      <c r="B56" s="70" t="s">
        <v>51</v>
      </c>
      <c r="C56" s="99">
        <v>3</v>
      </c>
      <c r="D56" t="s">
        <v>914</v>
      </c>
    </row>
    <row r="57" spans="1:4" x14ac:dyDescent="0.25">
      <c r="A57" s="69" t="s">
        <v>531</v>
      </c>
      <c r="B57" s="70" t="s">
        <v>51</v>
      </c>
      <c r="C57" s="99">
        <v>3</v>
      </c>
      <c r="D57" t="s">
        <v>915</v>
      </c>
    </row>
    <row r="58" spans="1:4" x14ac:dyDescent="0.25">
      <c r="A58" s="69" t="s">
        <v>551</v>
      </c>
      <c r="B58" s="70" t="s">
        <v>51</v>
      </c>
      <c r="C58" s="99">
        <v>3</v>
      </c>
      <c r="D58" t="s">
        <v>916</v>
      </c>
    </row>
    <row r="59" spans="1:4" x14ac:dyDescent="0.25">
      <c r="A59" s="69" t="s">
        <v>550</v>
      </c>
      <c r="B59" s="70" t="s">
        <v>51</v>
      </c>
      <c r="C59" s="99">
        <v>3</v>
      </c>
      <c r="D59" t="s">
        <v>917</v>
      </c>
    </row>
    <row r="60" spans="1:4" x14ac:dyDescent="0.25">
      <c r="A60" s="69" t="s">
        <v>557</v>
      </c>
      <c r="B60" s="70" t="s">
        <v>51</v>
      </c>
      <c r="C60" s="99">
        <v>3</v>
      </c>
      <c r="D60" t="s">
        <v>918</v>
      </c>
    </row>
    <row r="61" spans="1:4" x14ac:dyDescent="0.25">
      <c r="A61" s="69" t="s">
        <v>564</v>
      </c>
      <c r="B61" s="70" t="s">
        <v>51</v>
      </c>
      <c r="C61" s="99">
        <v>3</v>
      </c>
      <c r="D61" t="s">
        <v>919</v>
      </c>
    </row>
    <row r="62" spans="1:4" x14ac:dyDescent="0.25">
      <c r="A62" s="69" t="s">
        <v>565</v>
      </c>
      <c r="B62" s="70" t="s">
        <v>51</v>
      </c>
      <c r="C62" s="99">
        <v>3</v>
      </c>
      <c r="D62" t="s">
        <v>920</v>
      </c>
    </row>
    <row r="63" spans="1:4" x14ac:dyDescent="0.25">
      <c r="A63" s="69" t="s">
        <v>61</v>
      </c>
      <c r="B63" s="70" t="s">
        <v>51</v>
      </c>
      <c r="C63" s="99">
        <v>3</v>
      </c>
      <c r="D63" t="s">
        <v>921</v>
      </c>
    </row>
    <row r="64" spans="1:4" x14ac:dyDescent="0.25">
      <c r="A64" s="69" t="s">
        <v>66</v>
      </c>
      <c r="B64" s="70" t="s">
        <v>51</v>
      </c>
      <c r="C64" s="99">
        <v>3</v>
      </c>
      <c r="D64" t="s">
        <v>922</v>
      </c>
    </row>
    <row r="65" spans="1:4" x14ac:dyDescent="0.25">
      <c r="A65" s="69" t="s">
        <v>547</v>
      </c>
      <c r="B65" s="70" t="s">
        <v>51</v>
      </c>
      <c r="C65" s="99">
        <v>3</v>
      </c>
      <c r="D65" t="s">
        <v>923</v>
      </c>
    </row>
    <row r="66" spans="1:4" x14ac:dyDescent="0.25">
      <c r="A66" s="69" t="s">
        <v>58</v>
      </c>
      <c r="B66" s="70" t="s">
        <v>51</v>
      </c>
      <c r="C66" s="99">
        <v>3</v>
      </c>
      <c r="D66" t="s">
        <v>924</v>
      </c>
    </row>
    <row r="67" spans="1:4" x14ac:dyDescent="0.25">
      <c r="A67" s="69" t="s">
        <v>62</v>
      </c>
      <c r="B67" s="70" t="s">
        <v>51</v>
      </c>
      <c r="C67" s="99">
        <v>3</v>
      </c>
      <c r="D67" t="s">
        <v>925</v>
      </c>
    </row>
    <row r="68" spans="1:4" x14ac:dyDescent="0.25">
      <c r="A68" s="69" t="s">
        <v>540</v>
      </c>
      <c r="B68" s="70" t="s">
        <v>51</v>
      </c>
      <c r="C68" s="99">
        <v>3</v>
      </c>
      <c r="D68" t="s">
        <v>926</v>
      </c>
    </row>
    <row r="69" spans="1:4" x14ac:dyDescent="0.25">
      <c r="A69" s="69" t="s">
        <v>68</v>
      </c>
      <c r="B69" s="70" t="s">
        <v>51</v>
      </c>
      <c r="C69" s="99">
        <v>3</v>
      </c>
      <c r="D69" t="s">
        <v>927</v>
      </c>
    </row>
    <row r="70" spans="1:4" x14ac:dyDescent="0.25">
      <c r="A70" s="69" t="s">
        <v>537</v>
      </c>
      <c r="B70" s="70" t="s">
        <v>51</v>
      </c>
      <c r="C70" s="99">
        <v>3</v>
      </c>
      <c r="D70" t="s">
        <v>928</v>
      </c>
    </row>
    <row r="71" spans="1:4" x14ac:dyDescent="0.25">
      <c r="A71" s="69" t="s">
        <v>536</v>
      </c>
      <c r="B71" s="70" t="s">
        <v>51</v>
      </c>
      <c r="C71" s="99">
        <v>3</v>
      </c>
      <c r="D71" t="s">
        <v>929</v>
      </c>
    </row>
    <row r="72" spans="1:4" x14ac:dyDescent="0.25">
      <c r="A72" s="69" t="s">
        <v>665</v>
      </c>
      <c r="B72" s="70" t="s">
        <v>51</v>
      </c>
      <c r="C72" s="99">
        <v>3</v>
      </c>
      <c r="D72" t="s">
        <v>930</v>
      </c>
    </row>
    <row r="73" spans="1:4" x14ac:dyDescent="0.25">
      <c r="A73" s="69" t="s">
        <v>534</v>
      </c>
      <c r="B73" s="70" t="s">
        <v>51</v>
      </c>
      <c r="C73" s="99">
        <v>3</v>
      </c>
      <c r="D73" t="s">
        <v>931</v>
      </c>
    </row>
    <row r="74" spans="1:4" x14ac:dyDescent="0.25">
      <c r="A74" s="69" t="s">
        <v>541</v>
      </c>
      <c r="B74" s="70" t="s">
        <v>51</v>
      </c>
      <c r="C74" s="99">
        <v>3</v>
      </c>
      <c r="D74" t="s">
        <v>932</v>
      </c>
    </row>
    <row r="75" spans="1:4" x14ac:dyDescent="0.25">
      <c r="A75" s="69" t="s">
        <v>666</v>
      </c>
      <c r="B75" s="70" t="s">
        <v>51</v>
      </c>
      <c r="C75" s="99">
        <v>3</v>
      </c>
      <c r="D75" t="s">
        <v>933</v>
      </c>
    </row>
    <row r="76" spans="1:4" x14ac:dyDescent="0.25">
      <c r="A76" s="69" t="s">
        <v>553</v>
      </c>
      <c r="B76" s="70" t="s">
        <v>51</v>
      </c>
      <c r="C76" s="99">
        <v>3</v>
      </c>
      <c r="D76" t="s">
        <v>934</v>
      </c>
    </row>
    <row r="77" spans="1:4" x14ac:dyDescent="0.25">
      <c r="A77" s="69" t="s">
        <v>64</v>
      </c>
      <c r="B77" s="70" t="s">
        <v>51</v>
      </c>
      <c r="C77" s="99">
        <v>3</v>
      </c>
      <c r="D77" t="s">
        <v>935</v>
      </c>
    </row>
    <row r="78" spans="1:4" x14ac:dyDescent="0.25">
      <c r="A78" s="69" t="s">
        <v>57</v>
      </c>
      <c r="B78" s="70" t="s">
        <v>51</v>
      </c>
      <c r="C78" s="99">
        <v>3</v>
      </c>
      <c r="D78" t="s">
        <v>936</v>
      </c>
    </row>
    <row r="79" spans="1:4" x14ac:dyDescent="0.25">
      <c r="A79" s="69" t="s">
        <v>667</v>
      </c>
      <c r="B79" s="70" t="s">
        <v>51</v>
      </c>
      <c r="C79" s="99">
        <v>3</v>
      </c>
      <c r="D79" t="s">
        <v>937</v>
      </c>
    </row>
    <row r="80" spans="1:4" x14ac:dyDescent="0.25">
      <c r="A80" s="69" t="s">
        <v>668</v>
      </c>
      <c r="B80" s="70" t="s">
        <v>51</v>
      </c>
      <c r="C80" s="99">
        <v>3</v>
      </c>
      <c r="D80" t="s">
        <v>938</v>
      </c>
    </row>
    <row r="81" spans="1:4" x14ac:dyDescent="0.25">
      <c r="A81" s="69" t="s">
        <v>544</v>
      </c>
      <c r="B81" s="70" t="s">
        <v>51</v>
      </c>
      <c r="C81" s="99">
        <v>3</v>
      </c>
      <c r="D81" t="s">
        <v>939</v>
      </c>
    </row>
    <row r="82" spans="1:4" x14ac:dyDescent="0.25">
      <c r="A82" s="69" t="s">
        <v>542</v>
      </c>
      <c r="B82" s="70" t="s">
        <v>51</v>
      </c>
      <c r="C82" s="99">
        <v>3</v>
      </c>
      <c r="D82" t="s">
        <v>940</v>
      </c>
    </row>
    <row r="83" spans="1:4" x14ac:dyDescent="0.25">
      <c r="A83" s="69" t="s">
        <v>545</v>
      </c>
      <c r="B83" s="70" t="s">
        <v>51</v>
      </c>
      <c r="C83" s="99">
        <v>3</v>
      </c>
      <c r="D83" t="s">
        <v>941</v>
      </c>
    </row>
    <row r="84" spans="1:4" x14ac:dyDescent="0.25">
      <c r="A84" s="69" t="s">
        <v>559</v>
      </c>
      <c r="B84" s="70" t="s">
        <v>51</v>
      </c>
      <c r="C84" s="99">
        <v>3</v>
      </c>
      <c r="D84" t="s">
        <v>942</v>
      </c>
    </row>
    <row r="85" spans="1:4" x14ac:dyDescent="0.25">
      <c r="A85" s="69" t="s">
        <v>555</v>
      </c>
      <c r="B85" s="70" t="s">
        <v>51</v>
      </c>
      <c r="C85" s="99">
        <v>3</v>
      </c>
      <c r="D85" t="s">
        <v>943</v>
      </c>
    </row>
    <row r="86" spans="1:4" x14ac:dyDescent="0.25">
      <c r="A86" s="69" t="s">
        <v>669</v>
      </c>
      <c r="B86" s="70" t="s">
        <v>51</v>
      </c>
      <c r="C86" s="99">
        <v>3</v>
      </c>
      <c r="D86" t="s">
        <v>944</v>
      </c>
    </row>
    <row r="87" spans="1:4" x14ac:dyDescent="0.25">
      <c r="A87" s="69" t="s">
        <v>670</v>
      </c>
      <c r="B87" s="70" t="s">
        <v>51</v>
      </c>
      <c r="C87" s="99">
        <v>3</v>
      </c>
      <c r="D87" t="s">
        <v>945</v>
      </c>
    </row>
    <row r="88" spans="1:4" x14ac:dyDescent="0.25">
      <c r="A88" s="69" t="s">
        <v>671</v>
      </c>
      <c r="B88" s="70" t="s">
        <v>51</v>
      </c>
      <c r="C88" s="99">
        <v>3</v>
      </c>
      <c r="D88" t="s">
        <v>946</v>
      </c>
    </row>
    <row r="89" spans="1:4" x14ac:dyDescent="0.25">
      <c r="A89" s="69" t="s">
        <v>530</v>
      </c>
      <c r="B89" s="70" t="s">
        <v>51</v>
      </c>
      <c r="C89" s="99">
        <v>3</v>
      </c>
      <c r="D89" t="s">
        <v>947</v>
      </c>
    </row>
    <row r="90" spans="1:4" x14ac:dyDescent="0.25">
      <c r="A90" s="69" t="s">
        <v>554</v>
      </c>
      <c r="B90" s="70" t="s">
        <v>51</v>
      </c>
      <c r="C90" s="99">
        <v>3</v>
      </c>
      <c r="D90" t="s">
        <v>948</v>
      </c>
    </row>
    <row r="91" spans="1:4" x14ac:dyDescent="0.25">
      <c r="A91" s="69" t="s">
        <v>215</v>
      </c>
      <c r="B91" s="70" t="s">
        <v>51</v>
      </c>
      <c r="C91" s="99">
        <v>3</v>
      </c>
      <c r="D91" t="s">
        <v>213</v>
      </c>
    </row>
    <row r="92" spans="1:4" x14ac:dyDescent="0.25">
      <c r="A92" s="69" t="s">
        <v>218</v>
      </c>
      <c r="B92" s="70" t="s">
        <v>51</v>
      </c>
      <c r="C92" s="99">
        <v>3</v>
      </c>
      <c r="D92" t="s">
        <v>216</v>
      </c>
    </row>
    <row r="93" spans="1:4" x14ac:dyDescent="0.25">
      <c r="A93" s="69" t="s">
        <v>220</v>
      </c>
      <c r="B93" s="70" t="s">
        <v>51</v>
      </c>
      <c r="C93" s="99">
        <v>3</v>
      </c>
      <c r="D93" t="s">
        <v>219</v>
      </c>
    </row>
    <row r="94" spans="1:4" x14ac:dyDescent="0.25">
      <c r="A94" s="69" t="s">
        <v>223</v>
      </c>
      <c r="B94" s="70" t="s">
        <v>51</v>
      </c>
      <c r="C94" s="99">
        <v>3</v>
      </c>
      <c r="D94" t="s">
        <v>221</v>
      </c>
    </row>
    <row r="95" spans="1:4" x14ac:dyDescent="0.25">
      <c r="A95" s="69" t="s">
        <v>556</v>
      </c>
      <c r="B95" s="70" t="s">
        <v>51</v>
      </c>
      <c r="C95" s="99">
        <v>3</v>
      </c>
      <c r="D95" t="s">
        <v>949</v>
      </c>
    </row>
    <row r="96" spans="1:4" x14ac:dyDescent="0.25">
      <c r="A96" s="69" t="s">
        <v>672</v>
      </c>
      <c r="B96" s="70" t="s">
        <v>51</v>
      </c>
      <c r="C96" s="99">
        <v>3</v>
      </c>
      <c r="D96" t="s">
        <v>950</v>
      </c>
    </row>
    <row r="97" spans="1:4" x14ac:dyDescent="0.25">
      <c r="A97" s="69" t="s">
        <v>50</v>
      </c>
      <c r="B97" s="70" t="s">
        <v>51</v>
      </c>
      <c r="C97" s="99">
        <v>3</v>
      </c>
      <c r="D97" t="s">
        <v>951</v>
      </c>
    </row>
    <row r="98" spans="1:4" x14ac:dyDescent="0.25">
      <c r="A98" s="69" t="s">
        <v>539</v>
      </c>
      <c r="B98" s="70" t="s">
        <v>51</v>
      </c>
      <c r="C98" s="99">
        <v>3</v>
      </c>
      <c r="D98" t="s">
        <v>952</v>
      </c>
    </row>
    <row r="99" spans="1:4" x14ac:dyDescent="0.25">
      <c r="A99" s="69" t="s">
        <v>560</v>
      </c>
      <c r="B99" s="70" t="s">
        <v>51</v>
      </c>
      <c r="C99" s="99">
        <v>3</v>
      </c>
      <c r="D99" t="s">
        <v>953</v>
      </c>
    </row>
    <row r="100" spans="1:4" x14ac:dyDescent="0.25">
      <c r="A100" s="69" t="s">
        <v>535</v>
      </c>
      <c r="B100" s="70" t="s">
        <v>51</v>
      </c>
      <c r="C100" s="99">
        <v>3</v>
      </c>
      <c r="D100" t="s">
        <v>954</v>
      </c>
    </row>
    <row r="101" spans="1:4" x14ac:dyDescent="0.25">
      <c r="A101" s="69" t="s">
        <v>55</v>
      </c>
      <c r="B101" s="70" t="s">
        <v>51</v>
      </c>
      <c r="C101" s="99">
        <v>3</v>
      </c>
      <c r="D101" t="s">
        <v>955</v>
      </c>
    </row>
    <row r="102" spans="1:4" x14ac:dyDescent="0.25">
      <c r="A102" s="69" t="s">
        <v>673</v>
      </c>
      <c r="B102" s="70" t="s">
        <v>47</v>
      </c>
      <c r="C102" s="99">
        <v>4</v>
      </c>
      <c r="D102" t="s">
        <v>956</v>
      </c>
    </row>
    <row r="103" spans="1:4" x14ac:dyDescent="0.25">
      <c r="A103" s="69" t="s">
        <v>563</v>
      </c>
      <c r="B103" s="70" t="s">
        <v>47</v>
      </c>
      <c r="C103" s="99">
        <v>4</v>
      </c>
      <c r="D103" t="s">
        <v>957</v>
      </c>
    </row>
    <row r="104" spans="1:4" x14ac:dyDescent="0.25">
      <c r="A104" s="69" t="s">
        <v>674</v>
      </c>
      <c r="B104" s="70" t="s">
        <v>47</v>
      </c>
      <c r="C104" s="99">
        <v>4</v>
      </c>
      <c r="D104" t="s">
        <v>958</v>
      </c>
    </row>
    <row r="105" spans="1:4" x14ac:dyDescent="0.25">
      <c r="A105" s="69" t="s">
        <v>675</v>
      </c>
      <c r="B105" s="70" t="s">
        <v>47</v>
      </c>
      <c r="C105" s="99">
        <v>4</v>
      </c>
      <c r="D105" t="s">
        <v>959</v>
      </c>
    </row>
    <row r="106" spans="1:4" x14ac:dyDescent="0.25">
      <c r="A106" s="69" t="s">
        <v>676</v>
      </c>
      <c r="B106" s="70" t="s">
        <v>47</v>
      </c>
      <c r="C106" s="99">
        <v>4</v>
      </c>
      <c r="D106" t="s">
        <v>960</v>
      </c>
    </row>
    <row r="107" spans="1:4" x14ac:dyDescent="0.25">
      <c r="A107" s="69" t="s">
        <v>677</v>
      </c>
      <c r="B107" s="70" t="s">
        <v>47</v>
      </c>
      <c r="C107" s="99">
        <v>4</v>
      </c>
      <c r="D107" t="s">
        <v>961</v>
      </c>
    </row>
    <row r="108" spans="1:4" x14ac:dyDescent="0.25">
      <c r="A108" s="69" t="s">
        <v>46</v>
      </c>
      <c r="B108" s="70" t="s">
        <v>47</v>
      </c>
      <c r="C108" s="99">
        <v>4</v>
      </c>
      <c r="D108" t="s">
        <v>962</v>
      </c>
    </row>
    <row r="109" spans="1:4" x14ac:dyDescent="0.25">
      <c r="A109" s="69" t="s">
        <v>71</v>
      </c>
      <c r="B109" s="70" t="s">
        <v>47</v>
      </c>
      <c r="C109" s="99">
        <v>4</v>
      </c>
      <c r="D109" t="s">
        <v>963</v>
      </c>
    </row>
    <row r="110" spans="1:4" x14ac:dyDescent="0.25">
      <c r="A110" s="69" t="s">
        <v>543</v>
      </c>
      <c r="B110" s="70" t="s">
        <v>47</v>
      </c>
      <c r="C110" s="99">
        <v>4</v>
      </c>
      <c r="D110" t="s">
        <v>964</v>
      </c>
    </row>
    <row r="111" spans="1:4" x14ac:dyDescent="0.25">
      <c r="A111" s="69" t="s">
        <v>69</v>
      </c>
      <c r="B111" s="70" t="s">
        <v>47</v>
      </c>
      <c r="C111" s="99">
        <v>4</v>
      </c>
      <c r="D111" t="s">
        <v>965</v>
      </c>
    </row>
    <row r="112" spans="1:4" x14ac:dyDescent="0.25">
      <c r="A112" s="69" t="s">
        <v>538</v>
      </c>
      <c r="B112" s="70" t="s">
        <v>47</v>
      </c>
      <c r="C112" s="99">
        <v>4</v>
      </c>
      <c r="D112" t="s">
        <v>966</v>
      </c>
    </row>
    <row r="113" spans="1:4" x14ac:dyDescent="0.25">
      <c r="A113" s="69" t="s">
        <v>65</v>
      </c>
      <c r="B113" s="70" t="s">
        <v>47</v>
      </c>
      <c r="C113" s="99">
        <v>4</v>
      </c>
      <c r="D113" t="s">
        <v>967</v>
      </c>
    </row>
    <row r="114" spans="1:4" x14ac:dyDescent="0.25">
      <c r="A114" s="69" t="s">
        <v>546</v>
      </c>
      <c r="B114" s="70" t="s">
        <v>47</v>
      </c>
      <c r="C114" s="99">
        <v>4</v>
      </c>
      <c r="D114" t="s">
        <v>968</v>
      </c>
    </row>
    <row r="115" spans="1:4" x14ac:dyDescent="0.25">
      <c r="A115" s="69" t="s">
        <v>678</v>
      </c>
      <c r="B115" s="70" t="s">
        <v>47</v>
      </c>
      <c r="C115" s="99">
        <v>4</v>
      </c>
      <c r="D115" t="s">
        <v>969</v>
      </c>
    </row>
    <row r="116" spans="1:4" x14ac:dyDescent="0.25">
      <c r="A116" s="69" t="s">
        <v>558</v>
      </c>
      <c r="B116" s="70" t="s">
        <v>47</v>
      </c>
      <c r="C116" s="99">
        <v>4</v>
      </c>
      <c r="D116" t="s">
        <v>970</v>
      </c>
    </row>
    <row r="117" spans="1:4" x14ac:dyDescent="0.25">
      <c r="A117" s="69" t="s">
        <v>226</v>
      </c>
      <c r="B117" s="70" t="s">
        <v>47</v>
      </c>
      <c r="C117" s="99">
        <v>4</v>
      </c>
      <c r="D117" t="s">
        <v>224</v>
      </c>
    </row>
    <row r="118" spans="1:4" x14ac:dyDescent="0.25">
      <c r="A118" s="69" t="s">
        <v>679</v>
      </c>
      <c r="B118" s="70" t="s">
        <v>47</v>
      </c>
      <c r="C118" s="99">
        <v>4</v>
      </c>
      <c r="D118" t="s">
        <v>971</v>
      </c>
    </row>
    <row r="119" spans="1:4" x14ac:dyDescent="0.25">
      <c r="A119" s="69" t="s">
        <v>60</v>
      </c>
      <c r="B119" s="70" t="s">
        <v>47</v>
      </c>
      <c r="C119" s="99">
        <v>4</v>
      </c>
      <c r="D119" t="s">
        <v>972</v>
      </c>
    </row>
    <row r="120" spans="1:4" x14ac:dyDescent="0.25">
      <c r="A120" s="69" t="s">
        <v>549</v>
      </c>
      <c r="B120" s="70" t="s">
        <v>47</v>
      </c>
      <c r="C120" s="99">
        <v>4</v>
      </c>
      <c r="D120" t="s">
        <v>973</v>
      </c>
    </row>
    <row r="121" spans="1:4" x14ac:dyDescent="0.25">
      <c r="A121" s="69" t="s">
        <v>680</v>
      </c>
      <c r="B121" s="70" t="s">
        <v>47</v>
      </c>
      <c r="C121" s="99">
        <v>4</v>
      </c>
      <c r="D121" t="s">
        <v>974</v>
      </c>
    </row>
    <row r="122" spans="1:4" x14ac:dyDescent="0.25">
      <c r="A122" s="69" t="s">
        <v>681</v>
      </c>
      <c r="B122" s="70" t="s">
        <v>47</v>
      </c>
      <c r="C122" s="99">
        <v>4</v>
      </c>
      <c r="D122" t="s">
        <v>975</v>
      </c>
    </row>
    <row r="123" spans="1:4" x14ac:dyDescent="0.25">
      <c r="A123" s="69" t="s">
        <v>682</v>
      </c>
      <c r="B123" s="70" t="s">
        <v>47</v>
      </c>
      <c r="C123" s="99">
        <v>4</v>
      </c>
      <c r="D123" t="s">
        <v>976</v>
      </c>
    </row>
    <row r="124" spans="1:4" x14ac:dyDescent="0.25">
      <c r="A124" s="69" t="s">
        <v>229</v>
      </c>
      <c r="B124" s="70" t="s">
        <v>47</v>
      </c>
      <c r="C124" s="99">
        <v>4</v>
      </c>
      <c r="D124" t="s">
        <v>227</v>
      </c>
    </row>
    <row r="125" spans="1:4" x14ac:dyDescent="0.25">
      <c r="A125" s="69" t="s">
        <v>232</v>
      </c>
      <c r="B125" s="70" t="s">
        <v>47</v>
      </c>
      <c r="C125" s="99">
        <v>4</v>
      </c>
      <c r="D125" t="s">
        <v>977</v>
      </c>
    </row>
    <row r="126" spans="1:4" x14ac:dyDescent="0.25">
      <c r="A126" s="69" t="s">
        <v>235</v>
      </c>
      <c r="B126" s="70" t="s">
        <v>47</v>
      </c>
      <c r="C126" s="99">
        <v>4</v>
      </c>
      <c r="D126" t="s">
        <v>978</v>
      </c>
    </row>
    <row r="127" spans="1:4" x14ac:dyDescent="0.25">
      <c r="A127" s="69" t="s">
        <v>533</v>
      </c>
      <c r="B127" s="70" t="s">
        <v>47</v>
      </c>
      <c r="C127" s="99">
        <v>4</v>
      </c>
      <c r="D127" t="s">
        <v>979</v>
      </c>
    </row>
    <row r="128" spans="1:4" x14ac:dyDescent="0.25">
      <c r="A128" s="69" t="s">
        <v>683</v>
      </c>
      <c r="B128" s="70" t="s">
        <v>684</v>
      </c>
      <c r="C128" s="99">
        <v>5</v>
      </c>
      <c r="D128" t="s">
        <v>980</v>
      </c>
    </row>
    <row r="129" spans="1:4" x14ac:dyDescent="0.25">
      <c r="A129" s="69" t="s">
        <v>685</v>
      </c>
      <c r="B129" s="70" t="s">
        <v>684</v>
      </c>
      <c r="C129" s="99">
        <v>5</v>
      </c>
      <c r="D129" t="s">
        <v>981</v>
      </c>
    </row>
    <row r="130" spans="1:4" x14ac:dyDescent="0.25">
      <c r="A130" s="69" t="s">
        <v>686</v>
      </c>
      <c r="B130" s="70" t="s">
        <v>684</v>
      </c>
      <c r="C130" s="99">
        <v>5</v>
      </c>
      <c r="D130" t="s">
        <v>982</v>
      </c>
    </row>
    <row r="131" spans="1:4" x14ac:dyDescent="0.25">
      <c r="A131" s="69" t="s">
        <v>687</v>
      </c>
      <c r="B131" s="70" t="s">
        <v>684</v>
      </c>
      <c r="C131" s="99">
        <v>5</v>
      </c>
      <c r="D131" t="s">
        <v>983</v>
      </c>
    </row>
    <row r="132" spans="1:4" x14ac:dyDescent="0.25">
      <c r="A132" s="69" t="s">
        <v>688</v>
      </c>
      <c r="B132" s="70" t="s">
        <v>684</v>
      </c>
      <c r="C132" s="99">
        <v>5</v>
      </c>
      <c r="D132" t="s">
        <v>984</v>
      </c>
    </row>
    <row r="133" spans="1:4" x14ac:dyDescent="0.25">
      <c r="A133" s="69" t="s">
        <v>689</v>
      </c>
      <c r="B133" s="70" t="s">
        <v>684</v>
      </c>
      <c r="C133" s="99">
        <v>5</v>
      </c>
      <c r="D133" t="s">
        <v>985</v>
      </c>
    </row>
    <row r="134" spans="1:4" x14ac:dyDescent="0.25">
      <c r="A134" s="69" t="s">
        <v>690</v>
      </c>
      <c r="B134" s="70" t="s">
        <v>684</v>
      </c>
      <c r="C134" s="99">
        <v>5</v>
      </c>
      <c r="D134" t="s">
        <v>986</v>
      </c>
    </row>
    <row r="135" spans="1:4" x14ac:dyDescent="0.25">
      <c r="A135" s="69" t="s">
        <v>691</v>
      </c>
      <c r="B135" s="70" t="s">
        <v>684</v>
      </c>
      <c r="C135" s="99">
        <v>5</v>
      </c>
      <c r="D135" t="s">
        <v>987</v>
      </c>
    </row>
    <row r="136" spans="1:4" x14ac:dyDescent="0.25">
      <c r="A136" s="69" t="s">
        <v>692</v>
      </c>
      <c r="B136" s="70" t="s">
        <v>684</v>
      </c>
      <c r="C136" s="99">
        <v>5</v>
      </c>
      <c r="D136" t="s">
        <v>988</v>
      </c>
    </row>
    <row r="137" spans="1:4" x14ac:dyDescent="0.25">
      <c r="A137" s="69" t="s">
        <v>693</v>
      </c>
      <c r="B137" s="70" t="s">
        <v>684</v>
      </c>
      <c r="C137" s="99">
        <v>5</v>
      </c>
      <c r="D137" t="s">
        <v>989</v>
      </c>
    </row>
    <row r="138" spans="1:4" x14ac:dyDescent="0.25">
      <c r="A138" s="69" t="s">
        <v>694</v>
      </c>
      <c r="B138" s="70" t="s">
        <v>239</v>
      </c>
      <c r="C138" s="99">
        <v>6</v>
      </c>
      <c r="D138" t="s">
        <v>990</v>
      </c>
    </row>
    <row r="139" spans="1:4" x14ac:dyDescent="0.25">
      <c r="A139" s="69" t="s">
        <v>695</v>
      </c>
      <c r="B139" s="70" t="s">
        <v>239</v>
      </c>
      <c r="C139" s="99">
        <v>6</v>
      </c>
      <c r="D139" t="s">
        <v>991</v>
      </c>
    </row>
    <row r="140" spans="1:4" x14ac:dyDescent="0.25">
      <c r="A140" s="69" t="s">
        <v>696</v>
      </c>
      <c r="B140" s="70" t="s">
        <v>239</v>
      </c>
      <c r="C140" s="99">
        <v>6</v>
      </c>
      <c r="D140" t="s">
        <v>992</v>
      </c>
    </row>
    <row r="141" spans="1:4" x14ac:dyDescent="0.25">
      <c r="A141" s="69" t="s">
        <v>697</v>
      </c>
      <c r="B141" s="70" t="s">
        <v>239</v>
      </c>
      <c r="C141" s="99">
        <v>6</v>
      </c>
      <c r="D141" t="s">
        <v>993</v>
      </c>
    </row>
    <row r="142" spans="1:4" x14ac:dyDescent="0.25">
      <c r="A142" s="69" t="s">
        <v>698</v>
      </c>
      <c r="B142" s="70" t="s">
        <v>239</v>
      </c>
      <c r="C142" s="99">
        <v>6</v>
      </c>
      <c r="D142" t="s">
        <v>994</v>
      </c>
    </row>
    <row r="143" spans="1:4" x14ac:dyDescent="0.25">
      <c r="A143" s="69" t="s">
        <v>699</v>
      </c>
      <c r="B143" s="70" t="s">
        <v>239</v>
      </c>
      <c r="C143" s="99">
        <v>6</v>
      </c>
      <c r="D143" t="s">
        <v>995</v>
      </c>
    </row>
    <row r="144" spans="1:4" x14ac:dyDescent="0.25">
      <c r="A144" s="69" t="s">
        <v>700</v>
      </c>
      <c r="B144" s="70" t="s">
        <v>239</v>
      </c>
      <c r="C144" s="99">
        <v>6</v>
      </c>
      <c r="D144" t="s">
        <v>996</v>
      </c>
    </row>
    <row r="145" spans="1:4" x14ac:dyDescent="0.25">
      <c r="A145" s="69" t="s">
        <v>701</v>
      </c>
      <c r="B145" s="70" t="s">
        <v>239</v>
      </c>
      <c r="C145" s="99">
        <v>6</v>
      </c>
      <c r="D145" t="s">
        <v>997</v>
      </c>
    </row>
    <row r="146" spans="1:4" x14ac:dyDescent="0.25">
      <c r="A146" s="69" t="s">
        <v>702</v>
      </c>
      <c r="B146" s="70" t="s">
        <v>239</v>
      </c>
      <c r="C146" s="99">
        <v>6</v>
      </c>
      <c r="D146" t="s">
        <v>998</v>
      </c>
    </row>
    <row r="147" spans="1:4" x14ac:dyDescent="0.25">
      <c r="A147" s="69" t="s">
        <v>703</v>
      </c>
      <c r="B147" s="70" t="s">
        <v>239</v>
      </c>
      <c r="C147" s="99">
        <v>6</v>
      </c>
      <c r="D147" t="s">
        <v>999</v>
      </c>
    </row>
    <row r="148" spans="1:4" x14ac:dyDescent="0.25">
      <c r="A148" s="69" t="s">
        <v>704</v>
      </c>
      <c r="B148" s="70" t="s">
        <v>239</v>
      </c>
      <c r="C148" s="99">
        <v>6</v>
      </c>
      <c r="D148" t="s">
        <v>1000</v>
      </c>
    </row>
    <row r="149" spans="1:4" x14ac:dyDescent="0.25">
      <c r="A149" s="69" t="s">
        <v>705</v>
      </c>
      <c r="B149" s="70" t="s">
        <v>239</v>
      </c>
      <c r="C149" s="99">
        <v>6</v>
      </c>
      <c r="D149" t="s">
        <v>1001</v>
      </c>
    </row>
    <row r="150" spans="1:4" x14ac:dyDescent="0.25">
      <c r="A150" s="69" t="s">
        <v>706</v>
      </c>
      <c r="B150" s="70" t="s">
        <v>239</v>
      </c>
      <c r="C150" s="99">
        <v>6</v>
      </c>
      <c r="D150" t="s">
        <v>1002</v>
      </c>
    </row>
    <row r="151" spans="1:4" x14ac:dyDescent="0.25">
      <c r="A151" s="69" t="s">
        <v>707</v>
      </c>
      <c r="B151" s="70" t="s">
        <v>239</v>
      </c>
      <c r="C151" s="99">
        <v>6</v>
      </c>
      <c r="D151" t="s">
        <v>1003</v>
      </c>
    </row>
    <row r="152" spans="1:4" x14ac:dyDescent="0.25">
      <c r="A152" s="69" t="s">
        <v>708</v>
      </c>
      <c r="B152" s="70" t="s">
        <v>239</v>
      </c>
      <c r="C152" s="99">
        <v>6</v>
      </c>
      <c r="D152" t="s">
        <v>1004</v>
      </c>
    </row>
    <row r="153" spans="1:4" x14ac:dyDescent="0.25">
      <c r="A153" s="69" t="s">
        <v>709</v>
      </c>
      <c r="B153" s="70" t="s">
        <v>239</v>
      </c>
      <c r="C153" s="99">
        <v>6</v>
      </c>
      <c r="D153" t="s">
        <v>1005</v>
      </c>
    </row>
    <row r="154" spans="1:4" x14ac:dyDescent="0.25">
      <c r="A154" s="69" t="s">
        <v>710</v>
      </c>
      <c r="B154" s="70" t="s">
        <v>239</v>
      </c>
      <c r="C154" s="99">
        <v>6</v>
      </c>
      <c r="D154" t="s">
        <v>1006</v>
      </c>
    </row>
    <row r="155" spans="1:4" x14ac:dyDescent="0.25">
      <c r="A155" s="69" t="s">
        <v>711</v>
      </c>
      <c r="B155" s="70" t="s">
        <v>239</v>
      </c>
      <c r="C155" s="99">
        <v>6</v>
      </c>
      <c r="D155" t="s">
        <v>1007</v>
      </c>
    </row>
    <row r="156" spans="1:4" x14ac:dyDescent="0.25">
      <c r="A156" s="69" t="s">
        <v>267</v>
      </c>
      <c r="B156" s="70" t="s">
        <v>239</v>
      </c>
      <c r="C156" s="99">
        <v>6</v>
      </c>
      <c r="D156" t="s">
        <v>265</v>
      </c>
    </row>
    <row r="157" spans="1:4" x14ac:dyDescent="0.25">
      <c r="A157" s="69" t="s">
        <v>712</v>
      </c>
      <c r="B157" s="70" t="s">
        <v>239</v>
      </c>
      <c r="C157" s="99">
        <v>6</v>
      </c>
      <c r="D157" t="s">
        <v>1008</v>
      </c>
    </row>
    <row r="158" spans="1:4" x14ac:dyDescent="0.25">
      <c r="A158" s="69" t="s">
        <v>713</v>
      </c>
      <c r="B158" s="70" t="s">
        <v>239</v>
      </c>
      <c r="C158" s="99">
        <v>6</v>
      </c>
      <c r="D158" t="s">
        <v>1009</v>
      </c>
    </row>
    <row r="159" spans="1:4" x14ac:dyDescent="0.25">
      <c r="A159" s="69" t="s">
        <v>714</v>
      </c>
      <c r="B159" s="70" t="s">
        <v>239</v>
      </c>
      <c r="C159" s="99">
        <v>6</v>
      </c>
      <c r="D159" t="s">
        <v>1010</v>
      </c>
    </row>
    <row r="160" spans="1:4" x14ac:dyDescent="0.25">
      <c r="A160" s="69" t="s">
        <v>715</v>
      </c>
      <c r="B160" s="70" t="s">
        <v>239</v>
      </c>
      <c r="C160" s="99">
        <v>6</v>
      </c>
      <c r="D160" t="s">
        <v>1011</v>
      </c>
    </row>
    <row r="161" spans="1:4" x14ac:dyDescent="0.25">
      <c r="A161" s="69" t="s">
        <v>716</v>
      </c>
      <c r="B161" s="70" t="s">
        <v>239</v>
      </c>
      <c r="C161" s="99">
        <v>6</v>
      </c>
      <c r="D161" t="s">
        <v>1012</v>
      </c>
    </row>
    <row r="162" spans="1:4" x14ac:dyDescent="0.25">
      <c r="A162" s="69" t="s">
        <v>238</v>
      </c>
      <c r="B162" s="70" t="s">
        <v>239</v>
      </c>
      <c r="C162" s="99">
        <v>6</v>
      </c>
      <c r="D162" t="s">
        <v>236</v>
      </c>
    </row>
    <row r="163" spans="1:4" x14ac:dyDescent="0.25">
      <c r="A163" s="69" t="s">
        <v>242</v>
      </c>
      <c r="B163" s="70" t="s">
        <v>239</v>
      </c>
      <c r="C163" s="99">
        <v>6</v>
      </c>
      <c r="D163" t="s">
        <v>240</v>
      </c>
    </row>
    <row r="164" spans="1:4" x14ac:dyDescent="0.25">
      <c r="A164" s="69" t="s">
        <v>244</v>
      </c>
      <c r="B164" s="70" t="s">
        <v>239</v>
      </c>
      <c r="C164" s="99">
        <v>6</v>
      </c>
      <c r="D164" t="s">
        <v>243</v>
      </c>
    </row>
    <row r="165" spans="1:4" x14ac:dyDescent="0.25">
      <c r="A165" s="69" t="s">
        <v>717</v>
      </c>
      <c r="B165" s="70" t="s">
        <v>239</v>
      </c>
      <c r="C165" s="99">
        <v>6</v>
      </c>
      <c r="D165" t="s">
        <v>1013</v>
      </c>
    </row>
    <row r="166" spans="1:4" x14ac:dyDescent="0.25">
      <c r="A166" s="69" t="s">
        <v>718</v>
      </c>
      <c r="B166" s="70" t="s">
        <v>239</v>
      </c>
      <c r="C166" s="99">
        <v>6</v>
      </c>
      <c r="D166" t="s">
        <v>1014</v>
      </c>
    </row>
    <row r="167" spans="1:4" x14ac:dyDescent="0.25">
      <c r="A167" s="69" t="s">
        <v>719</v>
      </c>
      <c r="B167" s="70" t="s">
        <v>239</v>
      </c>
      <c r="C167" s="99">
        <v>6</v>
      </c>
      <c r="D167" t="s">
        <v>1015</v>
      </c>
    </row>
    <row r="168" spans="1:4" x14ac:dyDescent="0.25">
      <c r="A168" s="69" t="s">
        <v>720</v>
      </c>
      <c r="B168" s="70" t="s">
        <v>239</v>
      </c>
      <c r="C168" s="99">
        <v>6</v>
      </c>
      <c r="D168" t="s">
        <v>1016</v>
      </c>
    </row>
    <row r="169" spans="1:4" x14ac:dyDescent="0.25">
      <c r="A169" s="69" t="s">
        <v>721</v>
      </c>
      <c r="B169" s="70" t="s">
        <v>239</v>
      </c>
      <c r="C169" s="99">
        <v>6</v>
      </c>
      <c r="D169" t="s">
        <v>1017</v>
      </c>
    </row>
    <row r="170" spans="1:4" x14ac:dyDescent="0.25">
      <c r="A170" s="69" t="s">
        <v>722</v>
      </c>
      <c r="B170" s="70" t="s">
        <v>239</v>
      </c>
      <c r="C170" s="99">
        <v>6</v>
      </c>
      <c r="D170" t="s">
        <v>1018</v>
      </c>
    </row>
    <row r="171" spans="1:4" x14ac:dyDescent="0.25">
      <c r="A171" s="69" t="s">
        <v>723</v>
      </c>
      <c r="B171" s="70" t="s">
        <v>239</v>
      </c>
      <c r="C171" s="99">
        <v>6</v>
      </c>
      <c r="D171" t="s">
        <v>1019</v>
      </c>
    </row>
    <row r="172" spans="1:4" x14ac:dyDescent="0.25">
      <c r="A172" s="69" t="s">
        <v>724</v>
      </c>
      <c r="B172" s="70" t="s">
        <v>239</v>
      </c>
      <c r="C172" s="99">
        <v>6</v>
      </c>
      <c r="D172" t="s">
        <v>1020</v>
      </c>
    </row>
    <row r="173" spans="1:4" x14ac:dyDescent="0.25">
      <c r="A173" s="69" t="s">
        <v>725</v>
      </c>
      <c r="B173" s="70" t="s">
        <v>239</v>
      </c>
      <c r="C173" s="99">
        <v>6</v>
      </c>
      <c r="D173" t="s">
        <v>1021</v>
      </c>
    </row>
    <row r="174" spans="1:4" x14ac:dyDescent="0.25">
      <c r="A174" s="69" t="s">
        <v>726</v>
      </c>
      <c r="B174" s="70" t="s">
        <v>239</v>
      </c>
      <c r="C174" s="99">
        <v>6</v>
      </c>
      <c r="D174" t="s">
        <v>1022</v>
      </c>
    </row>
    <row r="175" spans="1:4" x14ac:dyDescent="0.25">
      <c r="A175" s="69" t="s">
        <v>727</v>
      </c>
      <c r="B175" s="70" t="s">
        <v>239</v>
      </c>
      <c r="C175" s="99">
        <v>6</v>
      </c>
      <c r="D175" t="s">
        <v>1023</v>
      </c>
    </row>
    <row r="176" spans="1:4" x14ac:dyDescent="0.25">
      <c r="A176" s="69" t="s">
        <v>728</v>
      </c>
      <c r="B176" s="70" t="s">
        <v>239</v>
      </c>
      <c r="C176" s="99">
        <v>6</v>
      </c>
      <c r="D176" t="s">
        <v>1024</v>
      </c>
    </row>
    <row r="177" spans="1:4" x14ac:dyDescent="0.25">
      <c r="A177" s="69" t="s">
        <v>729</v>
      </c>
      <c r="B177" s="70" t="s">
        <v>239</v>
      </c>
      <c r="C177" s="99">
        <v>6</v>
      </c>
      <c r="D177" t="s">
        <v>1025</v>
      </c>
    </row>
    <row r="178" spans="1:4" x14ac:dyDescent="0.25">
      <c r="A178" s="69" t="s">
        <v>730</v>
      </c>
      <c r="B178" s="70" t="s">
        <v>239</v>
      </c>
      <c r="C178" s="99">
        <v>6</v>
      </c>
      <c r="D178" t="s">
        <v>1026</v>
      </c>
    </row>
    <row r="179" spans="1:4" x14ac:dyDescent="0.25">
      <c r="A179" s="69" t="s">
        <v>731</v>
      </c>
      <c r="B179" s="70" t="s">
        <v>239</v>
      </c>
      <c r="C179" s="99">
        <v>6</v>
      </c>
      <c r="D179" t="s">
        <v>1027</v>
      </c>
    </row>
    <row r="180" spans="1:4" x14ac:dyDescent="0.25">
      <c r="A180" s="69" t="s">
        <v>247</v>
      </c>
      <c r="B180" s="70" t="s">
        <v>239</v>
      </c>
      <c r="C180" s="99">
        <v>6</v>
      </c>
      <c r="D180" t="s">
        <v>1113</v>
      </c>
    </row>
    <row r="181" spans="1:4" x14ac:dyDescent="0.25">
      <c r="A181" s="69" t="s">
        <v>732</v>
      </c>
      <c r="B181" s="70" t="s">
        <v>239</v>
      </c>
      <c r="C181" s="99">
        <v>6</v>
      </c>
      <c r="D181" t="s">
        <v>1028</v>
      </c>
    </row>
    <row r="182" spans="1:4" x14ac:dyDescent="0.25">
      <c r="A182" s="69" t="s">
        <v>733</v>
      </c>
      <c r="B182" s="70" t="s">
        <v>239</v>
      </c>
      <c r="C182" s="99">
        <v>6</v>
      </c>
      <c r="D182" t="s">
        <v>1029</v>
      </c>
    </row>
    <row r="183" spans="1:4" x14ac:dyDescent="0.25">
      <c r="A183" s="69" t="s">
        <v>734</v>
      </c>
      <c r="B183" s="70" t="s">
        <v>239</v>
      </c>
      <c r="C183" s="99">
        <v>6</v>
      </c>
      <c r="D183" t="s">
        <v>1030</v>
      </c>
    </row>
    <row r="184" spans="1:4" x14ac:dyDescent="0.25">
      <c r="A184" s="69" t="s">
        <v>735</v>
      </c>
      <c r="B184" s="70" t="s">
        <v>239</v>
      </c>
      <c r="C184" s="99">
        <v>6</v>
      </c>
      <c r="D184" t="s">
        <v>1031</v>
      </c>
    </row>
    <row r="185" spans="1:4" x14ac:dyDescent="0.25">
      <c r="A185" s="69" t="s">
        <v>736</v>
      </c>
      <c r="B185" s="70" t="s">
        <v>239</v>
      </c>
      <c r="C185" s="99">
        <v>6</v>
      </c>
      <c r="D185" t="s">
        <v>1032</v>
      </c>
    </row>
    <row r="186" spans="1:4" x14ac:dyDescent="0.25">
      <c r="A186" s="69" t="s">
        <v>737</v>
      </c>
      <c r="B186" s="70" t="s">
        <v>239</v>
      </c>
      <c r="C186" s="99">
        <v>6</v>
      </c>
      <c r="D186" t="s">
        <v>1033</v>
      </c>
    </row>
    <row r="187" spans="1:4" x14ac:dyDescent="0.25">
      <c r="A187" s="69" t="s">
        <v>738</v>
      </c>
      <c r="B187" s="70" t="s">
        <v>239</v>
      </c>
      <c r="C187" s="99">
        <v>6</v>
      </c>
      <c r="D187" t="s">
        <v>1034</v>
      </c>
    </row>
    <row r="188" spans="1:4" x14ac:dyDescent="0.25">
      <c r="A188" s="69" t="s">
        <v>739</v>
      </c>
      <c r="B188" s="70" t="s">
        <v>239</v>
      </c>
      <c r="C188" s="99">
        <v>6</v>
      </c>
      <c r="D188" t="s">
        <v>1035</v>
      </c>
    </row>
    <row r="189" spans="1:4" x14ac:dyDescent="0.25">
      <c r="A189" s="69" t="s">
        <v>250</v>
      </c>
      <c r="B189" s="70" t="s">
        <v>239</v>
      </c>
      <c r="C189" s="99">
        <v>6</v>
      </c>
      <c r="D189" t="s">
        <v>248</v>
      </c>
    </row>
    <row r="190" spans="1:4" x14ac:dyDescent="0.25">
      <c r="A190" s="69" t="s">
        <v>740</v>
      </c>
      <c r="B190" s="70" t="s">
        <v>239</v>
      </c>
      <c r="C190" s="99">
        <v>6</v>
      </c>
      <c r="D190" t="s">
        <v>1036</v>
      </c>
    </row>
    <row r="191" spans="1:4" x14ac:dyDescent="0.25">
      <c r="A191" s="69" t="s">
        <v>741</v>
      </c>
      <c r="B191" s="70" t="s">
        <v>239</v>
      </c>
      <c r="C191" s="99">
        <v>6</v>
      </c>
      <c r="D191" t="s">
        <v>1037</v>
      </c>
    </row>
    <row r="192" spans="1:4" x14ac:dyDescent="0.25">
      <c r="A192" s="69" t="s">
        <v>742</v>
      </c>
      <c r="B192" s="70" t="s">
        <v>239</v>
      </c>
      <c r="C192" s="99">
        <v>6</v>
      </c>
      <c r="D192" t="s">
        <v>1038</v>
      </c>
    </row>
    <row r="193" spans="1:4" x14ac:dyDescent="0.25">
      <c r="A193" s="69" t="s">
        <v>743</v>
      </c>
      <c r="B193" s="70" t="s">
        <v>239</v>
      </c>
      <c r="C193" s="99">
        <v>6</v>
      </c>
      <c r="D193" t="s">
        <v>1039</v>
      </c>
    </row>
    <row r="194" spans="1:4" x14ac:dyDescent="0.25">
      <c r="A194" s="69" t="s">
        <v>252</v>
      </c>
      <c r="B194" s="70" t="s">
        <v>239</v>
      </c>
      <c r="C194" s="99">
        <v>6</v>
      </c>
      <c r="D194" t="s">
        <v>251</v>
      </c>
    </row>
    <row r="195" spans="1:4" x14ac:dyDescent="0.25">
      <c r="A195" s="69" t="s">
        <v>255</v>
      </c>
      <c r="B195" s="70" t="s">
        <v>239</v>
      </c>
      <c r="C195" s="99">
        <v>6</v>
      </c>
      <c r="D195" t="s">
        <v>253</v>
      </c>
    </row>
    <row r="196" spans="1:4" x14ac:dyDescent="0.25">
      <c r="A196" s="69" t="s">
        <v>744</v>
      </c>
      <c r="B196" s="70" t="s">
        <v>239</v>
      </c>
      <c r="C196" s="99">
        <v>6</v>
      </c>
      <c r="D196" t="s">
        <v>1040</v>
      </c>
    </row>
    <row r="197" spans="1:4" x14ac:dyDescent="0.25">
      <c r="A197" s="69" t="s">
        <v>745</v>
      </c>
      <c r="B197" s="70" t="s">
        <v>239</v>
      </c>
      <c r="C197" s="99">
        <v>6</v>
      </c>
      <c r="D197" t="s">
        <v>1041</v>
      </c>
    </row>
    <row r="198" spans="1:4" x14ac:dyDescent="0.25">
      <c r="A198" s="69" t="s">
        <v>746</v>
      </c>
      <c r="B198" s="70" t="s">
        <v>239</v>
      </c>
      <c r="C198" s="99">
        <v>6</v>
      </c>
      <c r="D198" t="s">
        <v>1042</v>
      </c>
    </row>
    <row r="199" spans="1:4" x14ac:dyDescent="0.25">
      <c r="A199" s="69" t="s">
        <v>747</v>
      </c>
      <c r="B199" s="70" t="s">
        <v>239</v>
      </c>
      <c r="C199" s="99">
        <v>6</v>
      </c>
      <c r="D199" t="s">
        <v>1043</v>
      </c>
    </row>
    <row r="200" spans="1:4" x14ac:dyDescent="0.25">
      <c r="A200" s="69" t="s">
        <v>748</v>
      </c>
      <c r="B200" s="70" t="s">
        <v>239</v>
      </c>
      <c r="C200" s="99">
        <v>6</v>
      </c>
      <c r="D200" t="s">
        <v>1044</v>
      </c>
    </row>
    <row r="201" spans="1:4" x14ac:dyDescent="0.25">
      <c r="A201" s="69" t="s">
        <v>749</v>
      </c>
      <c r="B201" s="70" t="s">
        <v>239</v>
      </c>
      <c r="C201" s="99">
        <v>6</v>
      </c>
      <c r="D201" t="s">
        <v>1045</v>
      </c>
    </row>
    <row r="202" spans="1:4" x14ac:dyDescent="0.25">
      <c r="A202" s="69" t="s">
        <v>750</v>
      </c>
      <c r="B202" s="70" t="s">
        <v>239</v>
      </c>
      <c r="C202" s="99">
        <v>6</v>
      </c>
      <c r="D202" t="s">
        <v>1046</v>
      </c>
    </row>
    <row r="203" spans="1:4" x14ac:dyDescent="0.25">
      <c r="A203" s="69" t="s">
        <v>751</v>
      </c>
      <c r="B203" s="70" t="s">
        <v>239</v>
      </c>
      <c r="C203" s="99">
        <v>6</v>
      </c>
      <c r="D203" t="s">
        <v>1047</v>
      </c>
    </row>
    <row r="204" spans="1:4" x14ac:dyDescent="0.25">
      <c r="A204" s="69" t="s">
        <v>752</v>
      </c>
      <c r="B204" s="70" t="s">
        <v>239</v>
      </c>
      <c r="C204" s="99">
        <v>6</v>
      </c>
      <c r="D204" t="s">
        <v>1048</v>
      </c>
    </row>
    <row r="205" spans="1:4" x14ac:dyDescent="0.25">
      <c r="A205" s="69" t="s">
        <v>753</v>
      </c>
      <c r="B205" s="70" t="s">
        <v>239</v>
      </c>
      <c r="C205" s="99">
        <v>6</v>
      </c>
      <c r="D205" t="s">
        <v>1049</v>
      </c>
    </row>
    <row r="206" spans="1:4" x14ac:dyDescent="0.25">
      <c r="A206" s="69" t="s">
        <v>754</v>
      </c>
      <c r="B206" s="70" t="s">
        <v>239</v>
      </c>
      <c r="C206" s="99">
        <v>6</v>
      </c>
      <c r="D206" t="s">
        <v>1050</v>
      </c>
    </row>
    <row r="207" spans="1:4" x14ac:dyDescent="0.25">
      <c r="A207" s="69" t="s">
        <v>755</v>
      </c>
      <c r="B207" s="70" t="s">
        <v>239</v>
      </c>
      <c r="C207" s="99">
        <v>6</v>
      </c>
      <c r="D207" t="s">
        <v>1051</v>
      </c>
    </row>
    <row r="208" spans="1:4" x14ac:dyDescent="0.25">
      <c r="A208" s="69" t="s">
        <v>756</v>
      </c>
      <c r="B208" s="70" t="s">
        <v>239</v>
      </c>
      <c r="C208" s="99">
        <v>6</v>
      </c>
      <c r="D208" t="s">
        <v>1052</v>
      </c>
    </row>
    <row r="209" spans="1:4" x14ac:dyDescent="0.25">
      <c r="A209" s="69" t="s">
        <v>757</v>
      </c>
      <c r="B209" s="70" t="s">
        <v>239</v>
      </c>
      <c r="C209" s="99">
        <v>6</v>
      </c>
      <c r="D209" t="s">
        <v>1053</v>
      </c>
    </row>
    <row r="210" spans="1:4" x14ac:dyDescent="0.25">
      <c r="A210" s="69" t="s">
        <v>758</v>
      </c>
      <c r="B210" s="70" t="s">
        <v>239</v>
      </c>
      <c r="C210" s="99">
        <v>6</v>
      </c>
      <c r="D210" t="s">
        <v>1054</v>
      </c>
    </row>
    <row r="211" spans="1:4" x14ac:dyDescent="0.25">
      <c r="A211" s="69" t="s">
        <v>258</v>
      </c>
      <c r="B211" s="70" t="s">
        <v>239</v>
      </c>
      <c r="C211" s="99">
        <v>6</v>
      </c>
      <c r="D211" t="s">
        <v>256</v>
      </c>
    </row>
    <row r="212" spans="1:4" x14ac:dyDescent="0.25">
      <c r="A212" s="69" t="s">
        <v>759</v>
      </c>
      <c r="B212" s="70" t="s">
        <v>239</v>
      </c>
      <c r="C212" s="99">
        <v>6</v>
      </c>
      <c r="D212" t="s">
        <v>1055</v>
      </c>
    </row>
    <row r="213" spans="1:4" x14ac:dyDescent="0.25">
      <c r="A213" s="69" t="s">
        <v>760</v>
      </c>
      <c r="B213" s="70" t="s">
        <v>239</v>
      </c>
      <c r="C213" s="99">
        <v>6</v>
      </c>
      <c r="D213" t="s">
        <v>1056</v>
      </c>
    </row>
    <row r="214" spans="1:4" x14ac:dyDescent="0.25">
      <c r="A214" s="69" t="s">
        <v>761</v>
      </c>
      <c r="B214" s="70" t="s">
        <v>262</v>
      </c>
      <c r="C214" s="99">
        <v>7</v>
      </c>
      <c r="D214" t="s">
        <v>1057</v>
      </c>
    </row>
    <row r="215" spans="1:4" x14ac:dyDescent="0.25">
      <c r="A215" s="69" t="s">
        <v>762</v>
      </c>
      <c r="B215" s="70" t="s">
        <v>262</v>
      </c>
      <c r="C215" s="99">
        <v>7</v>
      </c>
      <c r="D215" t="s">
        <v>1058</v>
      </c>
    </row>
    <row r="216" spans="1:4" x14ac:dyDescent="0.25">
      <c r="A216" s="69" t="s">
        <v>763</v>
      </c>
      <c r="B216" s="70" t="s">
        <v>262</v>
      </c>
      <c r="C216" s="99">
        <v>7</v>
      </c>
      <c r="D216" t="s">
        <v>1059</v>
      </c>
    </row>
    <row r="217" spans="1:4" x14ac:dyDescent="0.25">
      <c r="A217" s="69" t="s">
        <v>764</v>
      </c>
      <c r="B217" s="70" t="s">
        <v>262</v>
      </c>
      <c r="C217" s="99">
        <v>7</v>
      </c>
      <c r="D217" t="s">
        <v>1060</v>
      </c>
    </row>
    <row r="218" spans="1:4" x14ac:dyDescent="0.25">
      <c r="A218" s="69" t="s">
        <v>261</v>
      </c>
      <c r="B218" s="70" t="s">
        <v>262</v>
      </c>
      <c r="C218" s="99">
        <v>7</v>
      </c>
      <c r="D218" t="s">
        <v>259</v>
      </c>
    </row>
    <row r="219" spans="1:4" x14ac:dyDescent="0.25">
      <c r="A219" s="69" t="s">
        <v>765</v>
      </c>
      <c r="B219" s="70" t="s">
        <v>262</v>
      </c>
      <c r="C219" s="99">
        <v>7</v>
      </c>
      <c r="D219" t="s">
        <v>1061</v>
      </c>
    </row>
    <row r="220" spans="1:4" x14ac:dyDescent="0.25">
      <c r="A220" s="69" t="s">
        <v>766</v>
      </c>
      <c r="B220" s="70" t="s">
        <v>262</v>
      </c>
      <c r="C220" s="99">
        <v>7</v>
      </c>
      <c r="D220" t="s">
        <v>1062</v>
      </c>
    </row>
    <row r="221" spans="1:4" x14ac:dyDescent="0.25">
      <c r="A221" s="69" t="s">
        <v>767</v>
      </c>
      <c r="B221" s="70" t="s">
        <v>262</v>
      </c>
      <c r="C221" s="99">
        <v>7</v>
      </c>
      <c r="D221" t="s">
        <v>1063</v>
      </c>
    </row>
    <row r="222" spans="1:4" x14ac:dyDescent="0.25">
      <c r="A222" s="69" t="s">
        <v>264</v>
      </c>
      <c r="B222" s="70" t="s">
        <v>262</v>
      </c>
      <c r="C222" s="99">
        <v>7</v>
      </c>
      <c r="D222" t="s">
        <v>263</v>
      </c>
    </row>
    <row r="223" spans="1:4" x14ac:dyDescent="0.25">
      <c r="A223" s="69" t="s">
        <v>768</v>
      </c>
      <c r="B223" s="70" t="s">
        <v>262</v>
      </c>
      <c r="C223" s="99">
        <v>7</v>
      </c>
      <c r="D223" t="s">
        <v>1064</v>
      </c>
    </row>
    <row r="224" spans="1:4" x14ac:dyDescent="0.25">
      <c r="A224" s="69" t="s">
        <v>769</v>
      </c>
      <c r="B224" s="70" t="s">
        <v>262</v>
      </c>
      <c r="C224" s="99">
        <v>7</v>
      </c>
      <c r="D224" t="s">
        <v>1065</v>
      </c>
    </row>
    <row r="225" spans="1:4" x14ac:dyDescent="0.25">
      <c r="A225" s="69" t="s">
        <v>770</v>
      </c>
      <c r="B225" s="70" t="s">
        <v>771</v>
      </c>
      <c r="C225" s="99">
        <v>8</v>
      </c>
      <c r="D225" t="s">
        <v>1066</v>
      </c>
    </row>
    <row r="226" spans="1:4" x14ac:dyDescent="0.25">
      <c r="A226" s="69" t="s">
        <v>772</v>
      </c>
      <c r="B226" s="70" t="s">
        <v>771</v>
      </c>
      <c r="C226" s="99">
        <v>8</v>
      </c>
      <c r="D226" t="s">
        <v>1067</v>
      </c>
    </row>
    <row r="227" spans="1:4" x14ac:dyDescent="0.25">
      <c r="A227" s="69" t="s">
        <v>773</v>
      </c>
      <c r="B227" s="70" t="s">
        <v>774</v>
      </c>
      <c r="C227" s="99">
        <v>9</v>
      </c>
      <c r="D227" t="s">
        <v>1068</v>
      </c>
    </row>
    <row r="228" spans="1:4" x14ac:dyDescent="0.25">
      <c r="A228" s="69" t="s">
        <v>775</v>
      </c>
      <c r="B228" s="70" t="s">
        <v>774</v>
      </c>
      <c r="C228" s="99">
        <v>9</v>
      </c>
      <c r="D228" t="s">
        <v>1069</v>
      </c>
    </row>
    <row r="229" spans="1:4" x14ac:dyDescent="0.25">
      <c r="A229" s="69" t="s">
        <v>776</v>
      </c>
      <c r="B229" s="70" t="s">
        <v>774</v>
      </c>
      <c r="C229" s="99">
        <v>9</v>
      </c>
      <c r="D229" t="s">
        <v>1070</v>
      </c>
    </row>
    <row r="230" spans="1:4" x14ac:dyDescent="0.25">
      <c r="A230" s="69" t="s">
        <v>777</v>
      </c>
      <c r="B230" s="70" t="s">
        <v>774</v>
      </c>
      <c r="C230" s="99">
        <v>9</v>
      </c>
      <c r="D230" t="s">
        <v>1071</v>
      </c>
    </row>
    <row r="231" spans="1:4" x14ac:dyDescent="0.25">
      <c r="A231" s="69" t="s">
        <v>778</v>
      </c>
      <c r="B231" s="70" t="s">
        <v>774</v>
      </c>
      <c r="C231" s="99">
        <v>9</v>
      </c>
      <c r="D231" t="s">
        <v>1072</v>
      </c>
    </row>
    <row r="232" spans="1:4" x14ac:dyDescent="0.25">
      <c r="A232" s="69" t="s">
        <v>779</v>
      </c>
      <c r="B232" s="70" t="s">
        <v>774</v>
      </c>
      <c r="C232" s="99">
        <v>9</v>
      </c>
      <c r="D232" t="s">
        <v>1073</v>
      </c>
    </row>
    <row r="233" spans="1:4" x14ac:dyDescent="0.25">
      <c r="A233" s="69" t="s">
        <v>780</v>
      </c>
      <c r="B233" s="70" t="s">
        <v>774</v>
      </c>
      <c r="C233" s="99">
        <v>9</v>
      </c>
      <c r="D233" t="s">
        <v>1074</v>
      </c>
    </row>
    <row r="234" spans="1:4" x14ac:dyDescent="0.25">
      <c r="A234" s="69" t="s">
        <v>781</v>
      </c>
      <c r="B234" s="70" t="s">
        <v>774</v>
      </c>
      <c r="C234" s="99">
        <v>9</v>
      </c>
      <c r="D234" t="s">
        <v>1075</v>
      </c>
    </row>
    <row r="235" spans="1:4" x14ac:dyDescent="0.25">
      <c r="A235" s="69" t="s">
        <v>782</v>
      </c>
      <c r="B235" s="70" t="s">
        <v>774</v>
      </c>
      <c r="C235" s="99">
        <v>9</v>
      </c>
      <c r="D235" t="s">
        <v>1076</v>
      </c>
    </row>
    <row r="236" spans="1:4" x14ac:dyDescent="0.25">
      <c r="A236" s="69" t="s">
        <v>783</v>
      </c>
      <c r="B236" s="70" t="s">
        <v>774</v>
      </c>
      <c r="C236" s="99">
        <v>9</v>
      </c>
      <c r="D236" t="s">
        <v>1077</v>
      </c>
    </row>
    <row r="237" spans="1:4" x14ac:dyDescent="0.25">
      <c r="A237" s="69" t="s">
        <v>784</v>
      </c>
      <c r="B237" s="70" t="s">
        <v>774</v>
      </c>
      <c r="C237" s="99">
        <v>9</v>
      </c>
      <c r="D237" t="s">
        <v>1078</v>
      </c>
    </row>
    <row r="238" spans="1:4" x14ac:dyDescent="0.25">
      <c r="A238" s="69" t="s">
        <v>785</v>
      </c>
      <c r="B238" s="70" t="s">
        <v>774</v>
      </c>
      <c r="C238" s="99">
        <v>9</v>
      </c>
      <c r="D238" t="s">
        <v>1079</v>
      </c>
    </row>
    <row r="239" spans="1:4" x14ac:dyDescent="0.25">
      <c r="A239" s="69" t="s">
        <v>786</v>
      </c>
      <c r="B239" s="70" t="s">
        <v>774</v>
      </c>
      <c r="C239" s="99">
        <v>9</v>
      </c>
      <c r="D239" t="s">
        <v>1080</v>
      </c>
    </row>
    <row r="240" spans="1:4" x14ac:dyDescent="0.25">
      <c r="A240" s="69" t="s">
        <v>787</v>
      </c>
      <c r="B240" s="70" t="s">
        <v>774</v>
      </c>
      <c r="C240" s="99">
        <v>9</v>
      </c>
      <c r="D240" t="s">
        <v>1081</v>
      </c>
    </row>
    <row r="241" spans="1:4" x14ac:dyDescent="0.25">
      <c r="A241" s="69" t="s">
        <v>788</v>
      </c>
      <c r="B241" s="70" t="s">
        <v>774</v>
      </c>
      <c r="C241" s="99">
        <v>9</v>
      </c>
      <c r="D241" t="s">
        <v>1082</v>
      </c>
    </row>
    <row r="242" spans="1:4" x14ac:dyDescent="0.25">
      <c r="A242" s="69" t="s">
        <v>789</v>
      </c>
      <c r="B242" s="70" t="s">
        <v>790</v>
      </c>
      <c r="C242" s="99">
        <v>10</v>
      </c>
      <c r="D242" t="s">
        <v>1083</v>
      </c>
    </row>
    <row r="243" spans="1:4" x14ac:dyDescent="0.25">
      <c r="A243" s="69" t="s">
        <v>791</v>
      </c>
      <c r="B243" s="70" t="s">
        <v>790</v>
      </c>
      <c r="C243" s="99">
        <v>10</v>
      </c>
      <c r="D243" t="s">
        <v>1084</v>
      </c>
    </row>
    <row r="244" spans="1:4" x14ac:dyDescent="0.25">
      <c r="A244" s="69" t="s">
        <v>792</v>
      </c>
      <c r="B244" s="70" t="s">
        <v>790</v>
      </c>
      <c r="C244" s="99">
        <v>10</v>
      </c>
      <c r="D244" t="s">
        <v>1085</v>
      </c>
    </row>
    <row r="245" spans="1:4" x14ac:dyDescent="0.25">
      <c r="A245" s="69" t="s">
        <v>793</v>
      </c>
      <c r="B245" s="70" t="s">
        <v>790</v>
      </c>
      <c r="C245" s="99">
        <v>10</v>
      </c>
      <c r="D245" t="s">
        <v>1086</v>
      </c>
    </row>
    <row r="246" spans="1:4" x14ac:dyDescent="0.25">
      <c r="A246" s="69" t="s">
        <v>794</v>
      </c>
      <c r="B246" s="70" t="s">
        <v>790</v>
      </c>
      <c r="C246" s="99">
        <v>10</v>
      </c>
      <c r="D246" t="s">
        <v>1087</v>
      </c>
    </row>
    <row r="247" spans="1:4" x14ac:dyDescent="0.25">
      <c r="A247" s="69" t="s">
        <v>795</v>
      </c>
      <c r="B247" s="70" t="s">
        <v>796</v>
      </c>
      <c r="C247" s="99">
        <v>11</v>
      </c>
      <c r="D247" t="s">
        <v>1088</v>
      </c>
    </row>
    <row r="248" spans="1:4" x14ac:dyDescent="0.25">
      <c r="A248" s="69" t="s">
        <v>797</v>
      </c>
      <c r="B248" s="70" t="s">
        <v>796</v>
      </c>
      <c r="C248" s="99">
        <v>11</v>
      </c>
      <c r="D248" t="s">
        <v>1089</v>
      </c>
    </row>
    <row r="249" spans="1:4" x14ac:dyDescent="0.25">
      <c r="A249" s="69" t="s">
        <v>798</v>
      </c>
      <c r="B249" s="70" t="s">
        <v>796</v>
      </c>
      <c r="C249" s="99">
        <v>11</v>
      </c>
      <c r="D249" t="s">
        <v>1090</v>
      </c>
    </row>
    <row r="250" spans="1:4" x14ac:dyDescent="0.25">
      <c r="A250" s="69" t="s">
        <v>799</v>
      </c>
      <c r="B250" s="70" t="s">
        <v>800</v>
      </c>
      <c r="C250" s="99">
        <v>12</v>
      </c>
      <c r="D250" t="s">
        <v>1091</v>
      </c>
    </row>
    <row r="251" spans="1:4" x14ac:dyDescent="0.25">
      <c r="A251" s="69" t="s">
        <v>801</v>
      </c>
      <c r="B251" s="70" t="s">
        <v>800</v>
      </c>
      <c r="C251" s="99">
        <v>12</v>
      </c>
      <c r="D251" t="s">
        <v>1092</v>
      </c>
    </row>
    <row r="252" spans="1:4" x14ac:dyDescent="0.25">
      <c r="A252" s="69" t="s">
        <v>802</v>
      </c>
      <c r="B252" s="70" t="s">
        <v>800</v>
      </c>
      <c r="C252" s="99">
        <v>12</v>
      </c>
      <c r="D252" t="s">
        <v>1093</v>
      </c>
    </row>
    <row r="253" spans="1:4" x14ac:dyDescent="0.25">
      <c r="A253" s="69" t="s">
        <v>803</v>
      </c>
      <c r="B253" s="70" t="s">
        <v>800</v>
      </c>
      <c r="C253" s="99">
        <v>12</v>
      </c>
      <c r="D253" t="s">
        <v>1094</v>
      </c>
    </row>
    <row r="254" spans="1:4" x14ac:dyDescent="0.25">
      <c r="A254" s="69" t="s">
        <v>804</v>
      </c>
      <c r="B254" s="70" t="s">
        <v>800</v>
      </c>
      <c r="C254" s="99">
        <v>12</v>
      </c>
      <c r="D254" t="s">
        <v>1095</v>
      </c>
    </row>
    <row r="255" spans="1:4" x14ac:dyDescent="0.25">
      <c r="A255" s="69" t="s">
        <v>805</v>
      </c>
      <c r="B255" s="70" t="s">
        <v>800</v>
      </c>
      <c r="C255" s="99">
        <v>12</v>
      </c>
      <c r="D255" t="s">
        <v>1096</v>
      </c>
    </row>
    <row r="256" spans="1:4" x14ac:dyDescent="0.25">
      <c r="A256" s="69" t="s">
        <v>806</v>
      </c>
      <c r="B256" s="70" t="s">
        <v>807</v>
      </c>
      <c r="C256" s="99">
        <v>13</v>
      </c>
      <c r="D256" t="s">
        <v>1097</v>
      </c>
    </row>
    <row r="257" spans="1:4" x14ac:dyDescent="0.25">
      <c r="A257" s="69" t="s">
        <v>808</v>
      </c>
      <c r="B257" s="70" t="s">
        <v>807</v>
      </c>
      <c r="C257" s="99">
        <v>13</v>
      </c>
      <c r="D257" t="s">
        <v>1098</v>
      </c>
    </row>
    <row r="258" spans="1:4" x14ac:dyDescent="0.25">
      <c r="A258" s="69" t="s">
        <v>809</v>
      </c>
      <c r="B258" s="70" t="s">
        <v>807</v>
      </c>
      <c r="C258" s="99">
        <v>13</v>
      </c>
      <c r="D258" t="s">
        <v>1099</v>
      </c>
    </row>
    <row r="259" spans="1:4" x14ac:dyDescent="0.25">
      <c r="A259" s="69" t="s">
        <v>810</v>
      </c>
      <c r="B259" s="70" t="s">
        <v>807</v>
      </c>
      <c r="C259" s="99">
        <v>13</v>
      </c>
      <c r="D259" t="s">
        <v>1100</v>
      </c>
    </row>
    <row r="260" spans="1:4" x14ac:dyDescent="0.25">
      <c r="A260" s="69" t="s">
        <v>811</v>
      </c>
      <c r="B260" s="70" t="s">
        <v>807</v>
      </c>
      <c r="C260" s="99">
        <v>13</v>
      </c>
      <c r="D260" t="s">
        <v>1101</v>
      </c>
    </row>
    <row r="261" spans="1:4" x14ac:dyDescent="0.25">
      <c r="A261" s="69" t="s">
        <v>812</v>
      </c>
      <c r="B261" s="70" t="s">
        <v>807</v>
      </c>
      <c r="C261" s="99">
        <v>13</v>
      </c>
      <c r="D261" t="s">
        <v>1102</v>
      </c>
    </row>
    <row r="262" spans="1:4" x14ac:dyDescent="0.25">
      <c r="A262" s="69" t="s">
        <v>813</v>
      </c>
      <c r="B262" s="70" t="s">
        <v>807</v>
      </c>
      <c r="C262" s="99">
        <v>13</v>
      </c>
      <c r="D262" t="s">
        <v>1103</v>
      </c>
    </row>
    <row r="263" spans="1:4" x14ac:dyDescent="0.25">
      <c r="A263" s="69" t="s">
        <v>814</v>
      </c>
      <c r="B263" s="70" t="s">
        <v>807</v>
      </c>
      <c r="C263" s="99">
        <v>13</v>
      </c>
      <c r="D263" t="s">
        <v>1104</v>
      </c>
    </row>
    <row r="264" spans="1:4" x14ac:dyDescent="0.25">
      <c r="A264" s="69" t="s">
        <v>815</v>
      </c>
      <c r="B264" s="70" t="s">
        <v>807</v>
      </c>
      <c r="C264" s="99">
        <v>13</v>
      </c>
      <c r="D264" t="s">
        <v>1105</v>
      </c>
    </row>
    <row r="265" spans="1:4" x14ac:dyDescent="0.25">
      <c r="A265" s="69" t="s">
        <v>816</v>
      </c>
      <c r="B265" s="70" t="s">
        <v>807</v>
      </c>
      <c r="C265" s="99">
        <v>13</v>
      </c>
      <c r="D265" t="s">
        <v>1106</v>
      </c>
    </row>
    <row r="266" spans="1:4" x14ac:dyDescent="0.25">
      <c r="A266" s="69" t="s">
        <v>817</v>
      </c>
      <c r="B266" s="70" t="s">
        <v>807</v>
      </c>
      <c r="C266" s="99">
        <v>13</v>
      </c>
      <c r="D266" t="s">
        <v>1107</v>
      </c>
    </row>
    <row r="267" spans="1:4" x14ac:dyDescent="0.25">
      <c r="A267" s="69" t="s">
        <v>818</v>
      </c>
      <c r="B267" s="70" t="s">
        <v>807</v>
      </c>
      <c r="C267" s="99">
        <v>13</v>
      </c>
      <c r="D267" t="s">
        <v>1108</v>
      </c>
    </row>
    <row r="268" spans="1:4" x14ac:dyDescent="0.25">
      <c r="A268" s="69" t="s">
        <v>819</v>
      </c>
      <c r="B268" s="70" t="s">
        <v>807</v>
      </c>
      <c r="C268" s="99">
        <v>13</v>
      </c>
      <c r="D268" t="s">
        <v>1109</v>
      </c>
    </row>
    <row r="269" spans="1:4" x14ac:dyDescent="0.25">
      <c r="A269" s="69" t="s">
        <v>820</v>
      </c>
      <c r="B269" s="70" t="s">
        <v>807</v>
      </c>
      <c r="C269" s="99">
        <v>13</v>
      </c>
      <c r="D269" t="s">
        <v>1110</v>
      </c>
    </row>
    <row r="270" spans="1:4" x14ac:dyDescent="0.25">
      <c r="A270" s="69" t="s">
        <v>821</v>
      </c>
      <c r="B270" s="70" t="s">
        <v>807</v>
      </c>
      <c r="C270" s="99">
        <v>13</v>
      </c>
      <c r="D270" t="s">
        <v>1111</v>
      </c>
    </row>
    <row r="271" spans="1:4" x14ac:dyDescent="0.25">
      <c r="A271" s="69" t="s">
        <v>822</v>
      </c>
      <c r="B271" s="70" t="s">
        <v>823</v>
      </c>
      <c r="C271" s="99">
        <v>14</v>
      </c>
      <c r="D271" t="s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Объекты оценки</vt:lpstr>
      <vt:lpstr>ГОТОВ</vt:lpstr>
      <vt:lpstr>ПЕРЕСЧЕТ НЕ ТРЕБУЕТСЯ</vt:lpstr>
      <vt:lpstr>СТОПЛИСТ</vt:lpstr>
      <vt:lpstr>Инструкция</vt:lpstr>
      <vt:lpstr>Поправки</vt:lpstr>
      <vt:lpstr>Коды без коммуникаций</vt:lpstr>
      <vt:lpstr>Объекты МУГИСО</vt:lpstr>
      <vt:lpstr>Сегмент ВРИ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2021-11-22T08:41:41Z</dcterms:modified>
</cp:coreProperties>
</file>